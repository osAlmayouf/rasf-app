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My work\الدراسات المالية - (عمر - عبدالله)\الدراسات\"/>
    </mc:Choice>
  </mc:AlternateContent>
  <xr:revisionPtr revIDLastSave="0" documentId="13_ncr:1_{D89713E6-490D-4432-A068-57AA1C8719CC}" xr6:coauthVersionLast="47" xr6:coauthVersionMax="47" xr10:uidLastSave="{00000000-0000-0000-0000-000000000000}"/>
  <bookViews>
    <workbookView xWindow="-120" yWindow="-120" windowWidth="51840" windowHeight="21120" xr2:uid="{911C6409-E019-42FB-80ED-219B011D85A3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2" i="1" l="1"/>
  <c r="M10" i="1" l="1"/>
  <c r="N10" i="1" s="1"/>
  <c r="E35" i="1"/>
  <c r="C67" i="1"/>
  <c r="K8" i="1"/>
  <c r="J24" i="1"/>
  <c r="E62" i="1"/>
  <c r="G62" i="1" s="1"/>
  <c r="H62" i="1" l="1"/>
  <c r="F62" i="1"/>
  <c r="I62" i="1" l="1"/>
  <c r="K9" i="1"/>
  <c r="F38" i="1" l="1"/>
  <c r="F39" i="1"/>
  <c r="F40" i="1"/>
  <c r="F41" i="1"/>
  <c r="D52" i="1" l="1"/>
  <c r="C52" i="1" l="1"/>
  <c r="K39" i="1"/>
  <c r="E40" i="1" l="1"/>
  <c r="E39" i="1"/>
  <c r="E41" i="1"/>
  <c r="E38" i="1"/>
  <c r="K13" i="1" l="1"/>
  <c r="K12" i="1"/>
  <c r="C36" i="1" l="1"/>
  <c r="K66" i="1"/>
  <c r="G7" i="1"/>
  <c r="E66" i="1"/>
  <c r="D22" i="1" l="1"/>
  <c r="K36" i="1" s="1"/>
  <c r="D21" i="1"/>
  <c r="F66" i="1"/>
  <c r="G66" i="1"/>
  <c r="H66" i="1" s="1"/>
  <c r="K35" i="1"/>
  <c r="H11" i="1"/>
  <c r="G24" i="1"/>
  <c r="I66" i="1" l="1"/>
  <c r="K62" i="1"/>
  <c r="E65" i="1" l="1"/>
  <c r="E64" i="1"/>
  <c r="E63" i="1"/>
  <c r="E67" i="1" l="1"/>
  <c r="D67" i="1" s="1"/>
  <c r="G63" i="1"/>
  <c r="F63" i="1"/>
  <c r="F64" i="1"/>
  <c r="G64" i="1"/>
  <c r="H64" i="1" s="1"/>
  <c r="G65" i="1"/>
  <c r="H65" i="1" s="1"/>
  <c r="F65" i="1"/>
  <c r="K65" i="1"/>
  <c r="K64" i="1"/>
  <c r="K63" i="1"/>
  <c r="K67" i="1" l="1"/>
  <c r="I65" i="1"/>
  <c r="F67" i="1"/>
  <c r="G67" i="1"/>
  <c r="I64" i="1"/>
  <c r="H63" i="1"/>
  <c r="H67" i="1" s="1"/>
  <c r="E7" i="1"/>
  <c r="D23" i="1"/>
  <c r="K23" i="1" s="1"/>
  <c r="K16" i="1"/>
  <c r="M63" i="1" l="1"/>
  <c r="J67" i="1"/>
  <c r="M64" i="1"/>
  <c r="C20" i="1" s="1"/>
  <c r="C24" i="1" s="1"/>
  <c r="I63" i="1"/>
  <c r="I67" i="1" s="1"/>
  <c r="F7" i="1" l="1"/>
  <c r="H7" i="1" s="1"/>
  <c r="D10" i="1" s="1"/>
  <c r="F10" i="1" s="1"/>
  <c r="D11" i="1" l="1"/>
  <c r="F11" i="1" s="1"/>
  <c r="D20" i="1"/>
  <c r="D13" i="1"/>
  <c r="F13" i="1" s="1"/>
  <c r="H13" i="1" s="1"/>
  <c r="D17" i="1"/>
  <c r="F17" i="1" s="1"/>
  <c r="H17" i="1" s="1"/>
  <c r="D9" i="1"/>
  <c r="F9" i="1" s="1"/>
  <c r="D12" i="1"/>
  <c r="F12" i="1" s="1"/>
  <c r="H12" i="1" s="1"/>
  <c r="D15" i="1"/>
  <c r="F15" i="1" s="1"/>
  <c r="H15" i="1" s="1"/>
  <c r="D18" i="1"/>
  <c r="F18" i="1" s="1"/>
  <c r="H18" i="1" s="1"/>
  <c r="D16" i="1"/>
  <c r="K38" i="1" s="1"/>
  <c r="H10" i="1"/>
  <c r="D14" i="1"/>
  <c r="F14" i="1" s="1"/>
  <c r="H14" i="1" s="1"/>
  <c r="M9" i="1"/>
  <c r="N9" i="1" s="1"/>
  <c r="H9" i="1"/>
  <c r="K17" i="1"/>
  <c r="K14" i="1"/>
  <c r="I24" i="1" l="1" a="1"/>
  <c r="I24" i="1" s="1"/>
  <c r="K15" i="1"/>
  <c r="F16" i="1"/>
  <c r="H16" i="1" s="1"/>
  <c r="K22" i="1"/>
  <c r="L26" i="1" s="1"/>
  <c r="I7" i="1"/>
  <c r="D24" i="1"/>
  <c r="L25" i="1" l="1"/>
  <c r="F24" i="1"/>
  <c r="E24" i="1" s="1"/>
  <c r="K41" i="1"/>
  <c r="K37" i="1"/>
  <c r="C56" i="1"/>
  <c r="C57" i="1"/>
  <c r="K40" i="1"/>
  <c r="L27" i="1" l="1"/>
  <c r="H2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<sst xmlns="http://schemas.openxmlformats.org/spreadsheetml/2006/main" count="185" uniqueCount="107">
  <si>
    <t>*حقول الزامية</t>
  </si>
  <si>
    <t>طول الأرض على الشارع</t>
  </si>
  <si>
    <t>عمق الأرض</t>
  </si>
  <si>
    <t>مساحة الأرض</t>
  </si>
  <si>
    <t>سعر متر الأرض</t>
  </si>
  <si>
    <t>المدينة - الحي</t>
  </si>
  <si>
    <t>معامل البناء</t>
  </si>
  <si>
    <t>إجمالي مسطحات البناء فوق الأرض</t>
  </si>
  <si>
    <t>إجمالي تكلفة البناء</t>
  </si>
  <si>
    <t>معيار المواقف</t>
  </si>
  <si>
    <t>المكون</t>
  </si>
  <si>
    <t>السكني</t>
  </si>
  <si>
    <t>فلل</t>
  </si>
  <si>
    <t>تاون هاوس</t>
  </si>
  <si>
    <t>أدوار</t>
  </si>
  <si>
    <t>استديوهات</t>
  </si>
  <si>
    <t>المكتبي</t>
  </si>
  <si>
    <t>التجاري</t>
  </si>
  <si>
    <t>الفندقي</t>
  </si>
  <si>
    <t>صحي</t>
  </si>
  <si>
    <t>الشاليهات</t>
  </si>
  <si>
    <t>القبو*</t>
  </si>
  <si>
    <t>الإجمالي</t>
  </si>
  <si>
    <t>-</t>
  </si>
  <si>
    <t>بيانات أخرى / ملاحظات</t>
  </si>
  <si>
    <t>نسبة المكون من مساحة الأرض*</t>
  </si>
  <si>
    <t>الإطار الزمني</t>
  </si>
  <si>
    <t>التكاليف الأخرى</t>
  </si>
  <si>
    <t>البند</t>
  </si>
  <si>
    <t>البداية</t>
  </si>
  <si>
    <t>النهاية</t>
  </si>
  <si>
    <t>القيمة</t>
  </si>
  <si>
    <t>المعيار</t>
  </si>
  <si>
    <t>التسوير</t>
  </si>
  <si>
    <t>الرخصة</t>
  </si>
  <si>
    <t>الحفر والمسح والاختبار</t>
  </si>
  <si>
    <t>التصميم</t>
  </si>
  <si>
    <t>الإشراف الهندسي</t>
  </si>
  <si>
    <t>الاحتياطي</t>
  </si>
  <si>
    <t xml:space="preserve"> الهيكلة المالية</t>
  </si>
  <si>
    <t>نموذج عمل المكونات</t>
  </si>
  <si>
    <t>نموذج العمل</t>
  </si>
  <si>
    <t>اختر</t>
  </si>
  <si>
    <t>بيع على الخارطة</t>
  </si>
  <si>
    <t>تأجير / مدر للدخل</t>
  </si>
  <si>
    <t>نسبة المكون من 
المساحة البنائية</t>
  </si>
  <si>
    <t>إجمالي المساحة
البنائية للمكون</t>
  </si>
  <si>
    <t>نسبة المساحات
الصافية القابلة للبيع</t>
  </si>
  <si>
    <t>المساحات
الصافية القابلة للبيع</t>
  </si>
  <si>
    <t>أثاث الوحدات الفندقية</t>
  </si>
  <si>
    <t>أثاث الوحدات</t>
  </si>
  <si>
    <t>عدد الوحدات</t>
  </si>
  <si>
    <t>تكلفة متر البناء</t>
  </si>
  <si>
    <t>بيع مباشر</t>
  </si>
  <si>
    <t>تأجير يومي ثم مخارجة</t>
  </si>
  <si>
    <t>تأجير سنوي ثم مخارجة</t>
  </si>
  <si>
    <t>رقم الأرض</t>
  </si>
  <si>
    <t>المساحة الأرض</t>
  </si>
  <si>
    <t>تكلفة الأرض قبل الضرائب</t>
  </si>
  <si>
    <t xml:space="preserve">التمويل البنكي </t>
  </si>
  <si>
    <t>المصدر</t>
  </si>
  <si>
    <t>%</t>
  </si>
  <si>
    <t>المساحات الحركية والخدمية</t>
  </si>
  <si>
    <t>الاشتراكات النقدية*</t>
  </si>
  <si>
    <t>الأشتراك النقدي من المطور*</t>
  </si>
  <si>
    <t>مساحة الوحدة</t>
  </si>
  <si>
    <t>ملاحظات / نموذج عمل أخرى</t>
  </si>
  <si>
    <t>بيع جزئي على الخارطة*</t>
  </si>
  <si>
    <t>الاشتراك من مدير الصندوق*</t>
  </si>
  <si>
    <t>المدة الزمنية الإجمالية للمشروع</t>
  </si>
  <si>
    <t>ذكر نسبة البيع على الخارطة ونموذج االعمل
 للنسبة المتبقية من المكون في الملاحظات*</t>
  </si>
  <si>
    <t>الفرق</t>
  </si>
  <si>
    <t>كود المشروع  ←</t>
  </si>
  <si>
    <t>التاريخ ←</t>
  </si>
  <si>
    <t>اسم المهندس ←</t>
  </si>
  <si>
    <t>تفاصيل الأرض</t>
  </si>
  <si>
    <t>تكلفة المتر</t>
  </si>
  <si>
    <t>إدخال القيمة النقدية
للأشتراكات أو النسبة مئوية</t>
  </si>
  <si>
    <t>نسبة الأشتراك العيني من المطور</t>
  </si>
  <si>
    <t>نسبة الإشتراك العيني من مالك الأرض</t>
  </si>
  <si>
    <t>نسبة الأشتراك العيني من المقاول</t>
  </si>
  <si>
    <t>نسبة تكاليف المطور</t>
  </si>
  <si>
    <t>البناء</t>
  </si>
  <si>
    <t>إجمالي الفترة</t>
  </si>
  <si>
    <t>سكني</t>
  </si>
  <si>
    <t>مكتبي</t>
  </si>
  <si>
    <t>تجاري</t>
  </si>
  <si>
    <t>فندقي</t>
  </si>
  <si>
    <t>شاليهات</t>
  </si>
  <si>
    <t>البوديوم*</t>
  </si>
  <si>
    <t>اللاند سكيب*</t>
  </si>
  <si>
    <t>الحد الأقصى لسعر
البيع / التأجير
للمتر</t>
  </si>
  <si>
    <t>عدد المواقف
 المطلوبة / المتوفرة</t>
  </si>
  <si>
    <t xml:space="preserve">التصميم </t>
  </si>
  <si>
    <t>إجمالي المواقف المطلوبة</t>
  </si>
  <si>
    <t>إجمالي المواقف المتوفرة</t>
  </si>
  <si>
    <t>Credits: Abdullah Alothman &amp; Omer Almayouf. All Rights Reserved 2026©.</t>
  </si>
  <si>
    <t>ملاحظات - نسب الأشغال - مدة البيع</t>
  </si>
  <si>
    <t>ضريبة التصرفات العقارية</t>
  </si>
  <si>
    <t>السعي</t>
  </si>
  <si>
    <t>ضريبة السعي</t>
  </si>
  <si>
    <t>عدد أدوار المشروع</t>
  </si>
  <si>
    <t>عدد بلوكات المشروع</t>
  </si>
  <si>
    <t>التكلفة الشاملة للأرض</t>
  </si>
  <si>
    <t>الغدير</t>
  </si>
  <si>
    <t>زياد السياري</t>
  </si>
  <si>
    <t>اسم المشروع: القاسم - المدينة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</si>
</sst>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Q&quot;\ #,##0"/>
    <numFmt numFmtId="165" formatCode="0\ &quot;m²&quot;"/>
    <numFmt numFmtId="166" formatCode="#,##0\ &quot;m²&quot;"/>
    <numFmt numFmtId="167" formatCode="_(* #,##0_);_(* \(#,##0\);_(* &quot;-&quot;??_);_(@_)"/>
    <numFmt numFmtId="168" formatCode="#,##0.00\ &quot;Months&quot;"/>
    <numFmt numFmtId="169" formatCode="#,##0.00\ &quot;Quarter&quot;"/>
    <numFmt numFmtId="170" formatCode="m/d/yyyy;@"/>
    <numFmt numFmtId="171" formatCode="#,##0\ &quot;Days&quot;"/>
    <numFmt numFmtId="172" formatCode="#,##0\ &quot;M&quot;"/>
    <numFmt numFmtId="173" formatCode="#,##0\ &quot;Q&quot;"/>
    <numFmt numFmtId="174" formatCode="&quot;Avg&quot;\ #,##0"/>
    <numFmt numFmtId="175" formatCode="&quot; Avg&quot;\ #,##0&quot;m²&quot;"/>
    <numFmt numFmtId="176" formatCode="&quot;Avg&quot;\ 0.00%\ "/>
    <numFmt numFmtId="177" formatCode="0.00\ &quot;m²&quot;"/>
    <numFmt numFmtId="178" formatCode="0%\ &quot;الفلل - نسبة البيع من مساحة الأرض&quot;"/>
    <numFmt numFmtId="179" formatCode="0%\ &quot;التاون هاوس - نسبة البيع من مساحة الأرض&quot;"/>
    <numFmt numFmtId="180" formatCode="#,##0\ &quot;Years&quot;"/>
    <numFmt numFmtId="181" formatCode="#,##0\ &quot;إجمالي الإيرادات&quot;"/>
    <numFmt numFmtId="182" formatCode="#,##0\ &quot;قيمة الوحدة&quot;"/>
  </numFmts>
  <fonts count="26" x14ac:knownFonts="1">
    <font>
      <sz val="11"/>
      <color theme="1"/>
      <name val="Arial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rgb="FFC00000"/>
      <name val="Calibri"/>
      <family val="2"/>
    </font>
    <font>
      <sz val="7"/>
      <color theme="1"/>
      <name val="Calibri"/>
      <family val="2"/>
    </font>
    <font>
      <sz val="6"/>
      <color theme="0" tint="-0.249977111117893"/>
      <name val="Calibri"/>
      <family val="2"/>
    </font>
    <font>
      <sz val="7"/>
      <name val="Calibri"/>
      <family val="2"/>
    </font>
    <font>
      <sz val="7"/>
      <color theme="0" tint="-4.9989318521683403E-2"/>
      <name val="Calibri"/>
      <family val="2"/>
    </font>
    <font>
      <sz val="8"/>
      <color theme="0" tint="-0.14999847407452621"/>
      <name val="Calibri"/>
      <family val="2"/>
    </font>
    <font>
      <sz val="6"/>
      <color theme="0"/>
      <name val="Calibri"/>
      <family val="2"/>
    </font>
    <font>
      <sz val="6"/>
      <name val="Calibri"/>
      <family val="2"/>
    </font>
    <font>
      <sz val="5"/>
      <color theme="0" tint="-0.249977111117893"/>
      <name val="Calibri"/>
      <family val="2"/>
    </font>
    <font>
      <b/>
      <sz val="9"/>
      <color theme="0"/>
      <name val="Calibri"/>
      <family val="2"/>
    </font>
    <font>
      <sz val="8"/>
      <color theme="0"/>
      <name val="Calibri"/>
      <family val="2"/>
    </font>
    <font>
      <sz val="6"/>
      <color theme="1"/>
      <name val="Calibri"/>
      <family val="2"/>
    </font>
    <font>
      <sz val="6"/>
      <color rgb="FFC00000"/>
      <name val="Calibri"/>
      <family val="2"/>
    </font>
    <font>
      <sz val="6"/>
      <color theme="9" tint="-0.249977111117893"/>
      <name val="Calibri"/>
      <family val="2"/>
    </font>
    <font>
      <sz val="6"/>
      <color rgb="FF000000"/>
      <name val="Calibri"/>
      <family val="2"/>
    </font>
    <font>
      <sz val="7"/>
      <color theme="0" tint="-0.14999847407452621"/>
      <name val="Calibri"/>
      <family val="2"/>
    </font>
    <font>
      <sz val="6"/>
      <color theme="0" tint="-4.9989318521683403E-2"/>
      <name val="Calibri"/>
      <family val="2"/>
    </font>
    <font>
      <sz val="4"/>
      <color theme="0" tint="-0.14999847407452621"/>
      <name val="Calibri"/>
      <family val="2"/>
    </font>
    <font>
      <sz val="11"/>
      <color theme="1"/>
      <name val="Calibri"/>
      <family val="2"/>
    </font>
    <font>
      <sz val="5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E4D6"/>
        <bgColor indexed="64"/>
      </patternFill>
    </fill>
    <fill>
      <patternFill patternType="solid">
        <fgColor rgb="FFA4907E"/>
        <bgColor indexed="64"/>
      </patternFill>
    </fill>
    <fill>
      <patternFill patternType="solid">
        <fgColor rgb="FFF0EAE4"/>
        <bgColor indexed="64"/>
      </patternFill>
    </fill>
  </fills>
  <borders count="37">
    <border>
      <left/>
      <right/>
      <top/>
      <bottom/>
      <diagonal/>
    </border>
    <border>
      <left style="medium">
        <color rgb="FFDAD2CC"/>
      </left>
      <right style="thin">
        <color rgb="FFDAD2CC"/>
      </right>
      <top style="medium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medium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thin">
        <color rgb="FFDAD2CC"/>
      </left>
      <right style="medium">
        <color rgb="FFDAD2CC"/>
      </right>
      <top style="thin">
        <color rgb="FFDAD2CC"/>
      </top>
      <bottom style="medium">
        <color rgb="FFDAD2CC"/>
      </bottom>
      <diagonal/>
    </border>
    <border>
      <left/>
      <right style="medium">
        <color rgb="FFDAD2CC"/>
      </right>
      <top/>
      <bottom/>
      <diagonal/>
    </border>
    <border>
      <left style="medium">
        <color rgb="FFDAD2CC"/>
      </left>
      <right/>
      <top/>
      <bottom style="hair">
        <color rgb="FFDAD2CC"/>
      </bottom>
      <diagonal/>
    </border>
    <border>
      <left/>
      <right/>
      <top/>
      <bottom style="hair">
        <color rgb="FFDAD2CC"/>
      </bottom>
      <diagonal/>
    </border>
    <border>
      <left/>
      <right style="medium">
        <color rgb="FFDAD2CC"/>
      </right>
      <top/>
      <bottom style="hair">
        <color rgb="FFDAD2CC"/>
      </bottom>
      <diagonal/>
    </border>
    <border>
      <left style="medium">
        <color rgb="FFDAD2CC"/>
      </left>
      <right/>
      <top style="medium">
        <color rgb="FFDAD2CC"/>
      </top>
      <bottom style="medium">
        <color rgb="FFDAD2CC"/>
      </bottom>
      <diagonal/>
    </border>
    <border>
      <left/>
      <right/>
      <top style="medium">
        <color rgb="FFDAD2CC"/>
      </top>
      <bottom style="medium">
        <color rgb="FFDAD2CC"/>
      </bottom>
      <diagonal/>
    </border>
    <border>
      <left/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 style="medium">
        <color rgb="FFDAD2CC"/>
      </left>
      <right style="medium">
        <color rgb="FFDAD2CC"/>
      </right>
      <top style="medium">
        <color rgb="FFDAD2CC"/>
      </top>
      <bottom/>
      <diagonal/>
    </border>
    <border>
      <left style="hair">
        <color rgb="FFDAD2CC"/>
      </left>
      <right/>
      <top style="medium">
        <color rgb="FFDAD2CC"/>
      </top>
      <bottom/>
      <diagonal/>
    </border>
    <border>
      <left style="hair">
        <color rgb="FFDAD2CC"/>
      </left>
      <right/>
      <top/>
      <bottom/>
      <diagonal/>
    </border>
    <border>
      <left style="hair">
        <color rgb="FFDAD2CC"/>
      </left>
      <right/>
      <top/>
      <bottom style="medium">
        <color rgb="FFDAD2CC"/>
      </bottom>
      <diagonal/>
    </border>
    <border>
      <left/>
      <right style="hair">
        <color rgb="FFDAD2CC"/>
      </right>
      <top style="medium">
        <color rgb="FFDAD2CC"/>
      </top>
      <bottom/>
      <diagonal/>
    </border>
    <border>
      <left/>
      <right style="hair">
        <color rgb="FFDAD2CC"/>
      </right>
      <top/>
      <bottom/>
      <diagonal/>
    </border>
    <border>
      <left/>
      <right style="hair">
        <color rgb="FFDAD2CC"/>
      </right>
      <top/>
      <bottom style="medium">
        <color rgb="FFDAD2CC"/>
      </bottom>
      <diagonal/>
    </border>
    <border>
      <left/>
      <right/>
      <top/>
      <bottom style="medium">
        <color rgb="FFDAD2CC"/>
      </bottom>
      <diagonal/>
    </border>
    <border>
      <left style="thick">
        <color rgb="FFDAD2CC"/>
      </left>
      <right style="thin">
        <color rgb="FFDAD2CC"/>
      </right>
      <top style="medium">
        <color rgb="FFDAD2CC"/>
      </top>
      <bottom style="thin">
        <color rgb="FFDAD2CC"/>
      </bottom>
      <diagonal/>
    </border>
    <border>
      <left style="thick">
        <color rgb="FFDAD2CC"/>
      </left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ck">
        <color rgb="FFDAD2CC"/>
      </left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medium">
        <color rgb="FFDAD2CC"/>
      </left>
      <right style="thin">
        <color rgb="FFDAD2CC"/>
      </right>
      <top/>
      <bottom style="medium">
        <color rgb="FFDAD2CC"/>
      </bottom>
      <diagonal/>
    </border>
    <border>
      <left style="thin">
        <color rgb="FFDAD2CC"/>
      </left>
      <right style="thin">
        <color rgb="FFDAD2CC"/>
      </right>
      <top/>
      <bottom style="medium">
        <color rgb="FFDAD2CC"/>
      </bottom>
      <diagonal/>
    </border>
    <border>
      <left style="thin">
        <color rgb="FFDAD2CC"/>
      </left>
      <right style="medium">
        <color rgb="FFDAD2CC"/>
      </right>
      <top/>
      <bottom style="medium">
        <color rgb="FFDAD2CC"/>
      </bottom>
      <diagonal/>
    </border>
    <border>
      <left style="medium">
        <color rgb="FFDAD2CC"/>
      </left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/>
      <right/>
      <top style="medium">
        <color rgb="FFDAD2CC"/>
      </top>
      <bottom/>
      <diagonal/>
    </border>
    <border>
      <left style="thin">
        <color rgb="FFDAD2CC"/>
      </left>
      <right style="thick">
        <color rgb="FFDAD2CC"/>
      </right>
      <top style="medium">
        <color rgb="FFDAD2CC"/>
      </top>
      <bottom style="thin">
        <color rgb="FFDAD2CC"/>
      </bottom>
      <diagonal/>
    </border>
    <border>
      <left style="thin">
        <color rgb="FFDAD2CC"/>
      </left>
      <right style="thick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thick">
        <color rgb="FFDAD2CC"/>
      </right>
      <top style="thin">
        <color rgb="FFDAD2CC"/>
      </top>
      <bottom style="medium">
        <color rgb="FFDAD2CC"/>
      </bottom>
      <diagonal/>
    </border>
    <border>
      <left style="medium">
        <color rgb="FFDAD2CC"/>
      </left>
      <right style="medium">
        <color rgb="FFDAD2CC"/>
      </right>
      <top style="thin">
        <color rgb="FFDAD2CC"/>
      </top>
      <bottom style="thin">
        <color rgb="FFDAD2CC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99">
    <xf numFmtId="0" fontId="0" fillId="0" borderId="0" xfId="0"/>
    <xf numFmtId="3" fontId="7" fillId="0" borderId="0" xfId="0" applyNumberFormat="1" applyFont="1" applyAlignment="1" applyProtection="1">
      <alignment horizontal="center" vertical="center" wrapText="1" shrinkToFit="1"/>
      <protection locked="0"/>
    </xf>
    <xf numFmtId="3" fontId="9" fillId="0" borderId="0" xfId="0" applyNumberFormat="1" applyFont="1" applyAlignment="1" applyProtection="1">
      <alignment horizontal="center" vertical="center" wrapText="1" shrinkToFit="1"/>
      <protection locked="0"/>
    </xf>
    <xf numFmtId="3" fontId="10" fillId="0" borderId="0" xfId="0" applyNumberFormat="1" applyFont="1" applyAlignment="1" applyProtection="1">
      <alignment horizontal="center" vertical="center" wrapText="1" shrinkToFi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 shrinkToFi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166" fontId="13" fillId="2" borderId="5" xfId="0" applyNumberFormat="1" applyFont="1" applyFill="1" applyBorder="1" applyAlignment="1" applyProtection="1">
      <alignment horizontal="center" vertical="center" wrapText="1" shrinkToFit="1"/>
      <protection locked="0"/>
    </xf>
    <xf numFmtId="4" fontId="13" fillId="2" borderId="5" xfId="0" applyNumberFormat="1" applyFont="1" applyFill="1" applyBorder="1" applyAlignment="1" applyProtection="1">
      <alignment horizontal="center" vertical="center" wrapText="1" shrinkToFit="1"/>
      <protection locked="0"/>
    </xf>
    <xf numFmtId="38" fontId="19" fillId="2" borderId="5" xfId="0" applyNumberFormat="1" applyFont="1" applyFill="1" applyBorder="1" applyAlignment="1" applyProtection="1">
      <alignment horizontal="center" vertical="center"/>
      <protection locked="0"/>
    </xf>
    <xf numFmtId="0" fontId="17" fillId="2" borderId="5" xfId="0" applyFont="1" applyFill="1" applyBorder="1" applyAlignment="1" applyProtection="1">
      <alignment horizontal="center" vertical="center"/>
      <protection locked="0"/>
    </xf>
    <xf numFmtId="0" fontId="17" fillId="2" borderId="6" xfId="0" applyFont="1" applyFill="1" applyBorder="1" applyAlignment="1" applyProtection="1">
      <alignment horizontal="center" vertical="center" shrinkToFit="1"/>
      <protection locked="0"/>
    </xf>
    <xf numFmtId="0" fontId="17" fillId="2" borderId="8" xfId="0" applyFont="1" applyFill="1" applyBorder="1" applyAlignment="1" applyProtection="1">
      <alignment horizontal="center" vertical="center"/>
      <protection locked="0"/>
    </xf>
    <xf numFmtId="0" fontId="17" fillId="2" borderId="9" xfId="0" applyFont="1" applyFill="1" applyBorder="1" applyAlignment="1" applyProtection="1">
      <alignment horizontal="center" vertical="center" shrinkToFit="1"/>
      <protection locked="0"/>
    </xf>
    <xf numFmtId="0" fontId="17" fillId="2" borderId="6" xfId="0" applyFont="1" applyFill="1" applyBorder="1" applyAlignment="1" applyProtection="1">
      <alignment horizontal="center" vertical="center"/>
      <protection locked="0"/>
    </xf>
    <xf numFmtId="3" fontId="17" fillId="2" borderId="6" xfId="0" applyNumberFormat="1" applyFont="1" applyFill="1" applyBorder="1" applyAlignment="1" applyProtection="1">
      <alignment horizontal="center" vertical="center"/>
      <protection locked="0"/>
    </xf>
    <xf numFmtId="3" fontId="18" fillId="2" borderId="5" xfId="0" applyNumberFormat="1" applyFont="1" applyFill="1" applyBorder="1" applyAlignment="1" applyProtection="1">
      <alignment horizontal="center" vertical="center"/>
      <protection locked="0"/>
    </xf>
    <xf numFmtId="10" fontId="17" fillId="2" borderId="9" xfId="1" applyNumberFormat="1" applyFont="1" applyFill="1" applyBorder="1" applyAlignment="1" applyProtection="1">
      <alignment horizontal="center" vertical="center"/>
      <protection locked="0"/>
    </xf>
    <xf numFmtId="164" fontId="17" fillId="2" borderId="8" xfId="0" applyNumberFormat="1" applyFont="1" applyFill="1" applyBorder="1" applyAlignment="1" applyProtection="1">
      <alignment horizontal="center" vertical="center"/>
      <protection locked="0"/>
    </xf>
    <xf numFmtId="4" fontId="17" fillId="2" borderId="6" xfId="0" applyNumberFormat="1" applyFont="1" applyFill="1" applyBorder="1" applyAlignment="1" applyProtection="1">
      <alignment horizontal="center" vertical="center"/>
      <protection locked="0"/>
    </xf>
    <xf numFmtId="0" fontId="17" fillId="2" borderId="4" xfId="0" applyFont="1" applyFill="1" applyBorder="1" applyAlignment="1" applyProtection="1">
      <alignment horizontal="center" vertical="center"/>
      <protection locked="0"/>
    </xf>
    <xf numFmtId="0" fontId="18" fillId="2" borderId="5" xfId="0" applyFont="1" applyFill="1" applyBorder="1" applyAlignment="1" applyProtection="1">
      <alignment horizontal="center" vertical="center"/>
      <protection locked="0"/>
    </xf>
    <xf numFmtId="171" fontId="21" fillId="0" borderId="11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shrinkToFit="1"/>
      <protection locked="0"/>
    </xf>
    <xf numFmtId="0" fontId="17" fillId="2" borderId="6" xfId="0" applyFont="1" applyFill="1" applyBorder="1" applyAlignment="1" applyProtection="1">
      <alignment horizontal="center" vertical="center" wrapText="1" shrinkToFit="1"/>
      <protection locked="0"/>
    </xf>
    <xf numFmtId="3" fontId="18" fillId="2" borderId="5" xfId="0" applyNumberFormat="1" applyFont="1" applyFill="1" applyBorder="1" applyAlignment="1" applyProtection="1">
      <alignment horizontal="center" vertical="center" wrapText="1" shrinkToFit="1"/>
      <protection locked="0"/>
    </xf>
    <xf numFmtId="3" fontId="17" fillId="0" borderId="26" xfId="0" applyNumberFormat="1" applyFont="1" applyBorder="1" applyAlignment="1" applyProtection="1">
      <alignment horizontal="center" vertical="center"/>
      <protection locked="0"/>
    </xf>
    <xf numFmtId="3" fontId="17" fillId="4" borderId="26" xfId="0" applyNumberFormat="1" applyFont="1" applyFill="1" applyBorder="1" applyAlignment="1" applyProtection="1">
      <alignment horizontal="center" vertical="center"/>
      <protection locked="0"/>
    </xf>
    <xf numFmtId="10" fontId="17" fillId="2" borderId="5" xfId="0" applyNumberFormat="1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 shrinkToFi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 shrinkToFit="1"/>
      <protection locked="0"/>
    </xf>
    <xf numFmtId="0" fontId="4" fillId="0" borderId="13" xfId="0" applyFont="1" applyBorder="1" applyAlignment="1" applyProtection="1">
      <alignment horizontal="center" vertical="center" shrinkToFit="1"/>
      <protection locked="0"/>
    </xf>
    <xf numFmtId="0" fontId="4" fillId="0" borderId="22" xfId="0" applyFont="1" applyBorder="1" applyAlignment="1" applyProtection="1">
      <alignment horizontal="center" vertical="center" shrinkToFit="1"/>
      <protection locked="0"/>
    </xf>
    <xf numFmtId="0" fontId="4" fillId="0" borderId="19" xfId="0" applyFont="1" applyBorder="1" applyAlignment="1" applyProtection="1">
      <alignment horizontal="center" vertical="center" shrinkToFit="1"/>
      <protection locked="0"/>
    </xf>
    <xf numFmtId="0" fontId="4" fillId="0" borderId="21" xfId="0" applyFont="1" applyBorder="1" applyAlignment="1" applyProtection="1">
      <alignment horizontal="center" vertical="center" shrinkToFit="1"/>
      <protection locked="0"/>
    </xf>
    <xf numFmtId="0" fontId="4" fillId="0" borderId="14" xfId="0" applyFont="1" applyBorder="1" applyAlignment="1" applyProtection="1">
      <alignment horizontal="center" vertical="center" shrinkToFit="1"/>
      <protection locked="0"/>
    </xf>
    <xf numFmtId="0" fontId="4" fillId="0" borderId="15" xfId="0" applyFont="1" applyBorder="1" applyAlignment="1" applyProtection="1">
      <alignment horizontal="center" vertical="center" shrinkToFit="1"/>
      <protection locked="0"/>
    </xf>
    <xf numFmtId="0" fontId="4" fillId="0" borderId="16" xfId="0" applyFont="1" applyBorder="1" applyAlignment="1" applyProtection="1">
      <alignment horizontal="center" vertical="center" shrinkToFit="1"/>
      <protection locked="0"/>
    </xf>
    <xf numFmtId="0" fontId="4" fillId="0" borderId="18" xfId="0" applyFont="1" applyBorder="1" applyAlignment="1" applyProtection="1">
      <alignment horizontal="center" vertical="center" shrinkToFit="1"/>
      <protection locked="0"/>
    </xf>
    <xf numFmtId="0" fontId="4" fillId="0" borderId="20" xfId="0" applyFont="1" applyBorder="1" applyAlignment="1" applyProtection="1">
      <alignment horizontal="center" vertical="center" shrinkToFit="1"/>
      <protection locked="0"/>
    </xf>
    <xf numFmtId="3" fontId="4" fillId="0" borderId="0" xfId="0" applyNumberFormat="1" applyFont="1" applyAlignment="1" applyProtection="1">
      <alignment horizontal="center" vertical="center" shrinkToFit="1"/>
      <protection locked="0"/>
    </xf>
    <xf numFmtId="38" fontId="4" fillId="0" borderId="0" xfId="0" applyNumberFormat="1" applyFont="1" applyAlignment="1" applyProtection="1">
      <alignment horizontal="center" vertical="center" shrinkToFit="1"/>
      <protection locked="0"/>
    </xf>
    <xf numFmtId="167" fontId="4" fillId="0" borderId="0" xfId="2" applyNumberFormat="1" applyFont="1" applyAlignment="1" applyProtection="1">
      <alignment horizontal="center" vertical="center" shrinkToFit="1"/>
      <protection locked="0"/>
    </xf>
    <xf numFmtId="167" fontId="4" fillId="0" borderId="0" xfId="0" applyNumberFormat="1" applyFont="1" applyAlignment="1" applyProtection="1">
      <alignment horizontal="center" vertical="center" shrinkToFit="1"/>
      <protection locked="0"/>
    </xf>
    <xf numFmtId="0" fontId="3" fillId="0" borderId="22" xfId="0" applyFont="1" applyBorder="1" applyAlignment="1" applyProtection="1">
      <alignment horizontal="center" vertical="center" shrinkToFit="1"/>
      <protection locked="0"/>
    </xf>
    <xf numFmtId="0" fontId="17" fillId="0" borderId="0" xfId="0" applyFont="1" applyAlignment="1" applyProtection="1">
      <alignment horizontal="center" vertical="center" shrinkToFit="1"/>
      <protection locked="0"/>
    </xf>
    <xf numFmtId="3" fontId="17" fillId="0" borderId="0" xfId="0" applyNumberFormat="1" applyFont="1" applyAlignment="1" applyProtection="1">
      <alignment horizontal="center" vertical="center" shrinkToFit="1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3" borderId="4" xfId="0" applyFont="1" applyFill="1" applyBorder="1" applyAlignment="1">
      <alignment horizontal="center" vertical="center" wrapText="1" shrinkToFit="1"/>
    </xf>
    <xf numFmtId="0" fontId="13" fillId="0" borderId="4" xfId="0" applyFont="1" applyBorder="1" applyAlignment="1">
      <alignment horizontal="center" vertical="center" wrapText="1" shrinkToFit="1"/>
    </xf>
    <xf numFmtId="0" fontId="13" fillId="4" borderId="4" xfId="0" applyFont="1" applyFill="1" applyBorder="1" applyAlignment="1">
      <alignment horizontal="center" vertical="center" wrapText="1" shrinkToFit="1"/>
    </xf>
    <xf numFmtId="0" fontId="13" fillId="4" borderId="7" xfId="0" applyFont="1" applyFill="1" applyBorder="1" applyAlignment="1">
      <alignment horizontal="center" vertical="center" wrapText="1" shrinkToFit="1"/>
    </xf>
    <xf numFmtId="3" fontId="18" fillId="4" borderId="8" xfId="0" applyNumberFormat="1" applyFont="1" applyFill="1" applyBorder="1" applyAlignment="1">
      <alignment horizontal="center" vertical="center" wrapText="1" shrinkToFit="1"/>
    </xf>
    <xf numFmtId="3" fontId="18" fillId="0" borderId="5" xfId="0" applyNumberFormat="1" applyFont="1" applyBorder="1" applyAlignment="1">
      <alignment horizontal="center" vertical="center" wrapText="1" shrinkToFit="1"/>
    </xf>
    <xf numFmtId="3" fontId="18" fillId="4" borderId="5" xfId="0" applyNumberFormat="1" applyFont="1" applyFill="1" applyBorder="1" applyAlignment="1">
      <alignment horizontal="center" vertical="center" wrapText="1" shrinkToFit="1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/>
    </xf>
    <xf numFmtId="172" fontId="22" fillId="0" borderId="0" xfId="0" applyNumberFormat="1" applyFont="1" applyAlignment="1">
      <alignment horizontal="center" vertical="center"/>
    </xf>
    <xf numFmtId="173" fontId="22" fillId="0" borderId="0" xfId="0" applyNumberFormat="1" applyFont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/>
    </xf>
    <xf numFmtId="3" fontId="18" fillId="0" borderId="5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66" fontId="17" fillId="0" borderId="5" xfId="0" applyNumberFormat="1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readingOrder="2"/>
    </xf>
    <xf numFmtId="0" fontId="4" fillId="4" borderId="8" xfId="0" applyFont="1" applyFill="1" applyBorder="1" applyAlignment="1">
      <alignment horizontal="center" vertical="center" readingOrder="2"/>
    </xf>
    <xf numFmtId="4" fontId="18" fillId="0" borderId="26" xfId="0" applyNumberFormat="1" applyFont="1" applyBorder="1" applyAlignment="1">
      <alignment horizontal="center" vertical="center" wrapText="1"/>
    </xf>
    <xf numFmtId="4" fontId="19" fillId="0" borderId="26" xfId="0" applyNumberFormat="1" applyFont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 readingOrder="2"/>
    </xf>
    <xf numFmtId="3" fontId="18" fillId="0" borderId="6" xfId="0" applyNumberFormat="1" applyFont="1" applyBorder="1" applyAlignment="1">
      <alignment horizontal="center" vertical="center"/>
    </xf>
    <xf numFmtId="3" fontId="19" fillId="0" borderId="6" xfId="0" applyNumberFormat="1" applyFont="1" applyBorder="1" applyAlignment="1">
      <alignment horizontal="center" vertical="center"/>
    </xf>
    <xf numFmtId="38" fontId="17" fillId="4" borderId="9" xfId="0" applyNumberFormat="1" applyFont="1" applyFill="1" applyBorder="1" applyAlignment="1">
      <alignment horizontal="center" vertical="center" readingOrder="2"/>
    </xf>
    <xf numFmtId="165" fontId="13" fillId="4" borderId="5" xfId="0" applyNumberFormat="1" applyFont="1" applyFill="1" applyBorder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175" fontId="17" fillId="4" borderId="5" xfId="0" applyNumberFormat="1" applyFont="1" applyFill="1" applyBorder="1" applyAlignment="1">
      <alignment horizontal="center" vertical="center"/>
    </xf>
    <xf numFmtId="166" fontId="20" fillId="4" borderId="5" xfId="0" applyNumberFormat="1" applyFont="1" applyFill="1" applyBorder="1" applyAlignment="1">
      <alignment horizontal="center" vertical="center"/>
    </xf>
    <xf numFmtId="166" fontId="17" fillId="4" borderId="5" xfId="0" applyNumberFormat="1" applyFont="1" applyFill="1" applyBorder="1" applyAlignment="1">
      <alignment horizontal="center" vertical="center"/>
    </xf>
    <xf numFmtId="176" fontId="17" fillId="2" borderId="5" xfId="0" applyNumberFormat="1" applyFont="1" applyFill="1" applyBorder="1" applyAlignment="1">
      <alignment horizontal="center" vertical="center"/>
    </xf>
    <xf numFmtId="3" fontId="17" fillId="2" borderId="5" xfId="0" applyNumberFormat="1" applyFont="1" applyFill="1" applyBorder="1" applyAlignment="1">
      <alignment horizontal="center" vertical="center"/>
    </xf>
    <xf numFmtId="174" fontId="17" fillId="2" borderId="5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3" fontId="17" fillId="0" borderId="26" xfId="0" applyNumberFormat="1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38" fontId="18" fillId="0" borderId="5" xfId="1" applyNumberFormat="1" applyFont="1" applyFill="1" applyBorder="1" applyAlignment="1" applyProtection="1">
      <alignment horizontal="center" vertical="center" shrinkToFit="1"/>
    </xf>
    <xf numFmtId="38" fontId="18" fillId="0" borderId="5" xfId="1" applyNumberFormat="1" applyFont="1" applyFill="1" applyBorder="1" applyAlignment="1" applyProtection="1">
      <alignment horizontal="center" vertical="center" wrapText="1" shrinkToFit="1"/>
    </xf>
    <xf numFmtId="38" fontId="18" fillId="4" borderId="5" xfId="1" applyNumberFormat="1" applyFont="1" applyFill="1" applyBorder="1" applyAlignment="1" applyProtection="1">
      <alignment horizontal="center" vertical="center" wrapText="1" shrinkToFit="1"/>
    </xf>
    <xf numFmtId="38" fontId="18" fillId="4" borderId="8" xfId="0" applyNumberFormat="1" applyFont="1" applyFill="1" applyBorder="1" applyAlignment="1">
      <alignment horizontal="center" vertical="center" wrapText="1" shrinkToFit="1"/>
    </xf>
    <xf numFmtId="10" fontId="18" fillId="2" borderId="28" xfId="1" applyNumberFormat="1" applyFont="1" applyFill="1" applyBorder="1" applyAlignment="1" applyProtection="1">
      <alignment horizontal="center" vertical="center" shrinkToFit="1"/>
      <protection locked="0"/>
    </xf>
    <xf numFmtId="10" fontId="18" fillId="2" borderId="29" xfId="1" applyNumberFormat="1" applyFont="1" applyFill="1" applyBorder="1" applyAlignment="1" applyProtection="1">
      <alignment horizontal="center" vertical="center" shrinkToFit="1"/>
      <protection locked="0"/>
    </xf>
    <xf numFmtId="10" fontId="18" fillId="2" borderId="30" xfId="1" applyNumberFormat="1" applyFont="1" applyFill="1" applyBorder="1" applyAlignment="1" applyProtection="1">
      <alignment horizontal="center" vertical="center" shrinkToFit="1"/>
      <protection locked="0"/>
    </xf>
    <xf numFmtId="0" fontId="12" fillId="3" borderId="5" xfId="0" applyFont="1" applyFill="1" applyBorder="1" applyAlignment="1">
      <alignment horizontal="center" vertical="center" wrapText="1" shrinkToFit="1"/>
    </xf>
    <xf numFmtId="164" fontId="17" fillId="2" borderId="5" xfId="0" applyNumberFormat="1" applyFont="1" applyFill="1" applyBorder="1" applyAlignment="1" applyProtection="1">
      <alignment horizontal="center" vertical="center"/>
      <protection locked="0"/>
    </xf>
    <xf numFmtId="164" fontId="17" fillId="2" borderId="6" xfId="0" applyNumberFormat="1" applyFont="1" applyFill="1" applyBorder="1" applyAlignment="1" applyProtection="1">
      <alignment horizontal="center" vertical="center"/>
      <protection locked="0"/>
    </xf>
    <xf numFmtId="0" fontId="17" fillId="0" borderId="4" xfId="0" applyFont="1" applyBorder="1" applyAlignment="1">
      <alignment horizontal="center" vertical="center"/>
    </xf>
    <xf numFmtId="10" fontId="17" fillId="2" borderId="5" xfId="1" applyNumberFormat="1" applyFont="1" applyFill="1" applyBorder="1" applyAlignment="1" applyProtection="1">
      <alignment horizontal="center" vertical="center"/>
      <protection locked="0"/>
    </xf>
    <xf numFmtId="10" fontId="17" fillId="2" borderId="6" xfId="1" applyNumberFormat="1" applyFont="1" applyFill="1" applyBorder="1" applyAlignment="1" applyProtection="1">
      <alignment horizontal="center" vertical="center"/>
      <protection locked="0"/>
    </xf>
    <xf numFmtId="0" fontId="12" fillId="3" borderId="6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 wrapText="1"/>
    </xf>
    <xf numFmtId="3" fontId="19" fillId="2" borderId="34" xfId="0" applyNumberFormat="1" applyFont="1" applyFill="1" applyBorder="1" applyAlignment="1" applyProtection="1">
      <alignment horizontal="center" vertical="center"/>
      <protection locked="0"/>
    </xf>
    <xf numFmtId="3" fontId="19" fillId="2" borderId="34" xfId="0" applyNumberFormat="1" applyFont="1" applyFill="1" applyBorder="1" applyAlignment="1">
      <alignment horizontal="center" vertical="center"/>
    </xf>
    <xf numFmtId="174" fontId="17" fillId="2" borderId="34" xfId="0" applyNumberFormat="1" applyFont="1" applyFill="1" applyBorder="1" applyAlignment="1">
      <alignment horizontal="center" vertical="center"/>
    </xf>
    <xf numFmtId="177" fontId="17" fillId="2" borderId="26" xfId="0" applyNumberFormat="1" applyFont="1" applyFill="1" applyBorder="1" applyAlignment="1" applyProtection="1">
      <alignment horizontal="center" vertical="center"/>
      <protection locked="0"/>
    </xf>
    <xf numFmtId="177" fontId="17" fillId="2" borderId="6" xfId="0" applyNumberFormat="1" applyFont="1" applyFill="1" applyBorder="1" applyAlignment="1" applyProtection="1">
      <alignment horizontal="center" vertical="center"/>
      <protection locked="0"/>
    </xf>
    <xf numFmtId="0" fontId="8" fillId="0" borderId="32" xfId="0" applyFont="1" applyBorder="1" applyAlignment="1">
      <alignment horizontal="center" vertical="center"/>
    </xf>
    <xf numFmtId="179" fontId="25" fillId="2" borderId="36" xfId="1" applyNumberFormat="1" applyFont="1" applyFill="1" applyBorder="1" applyAlignment="1" applyProtection="1">
      <alignment horizontal="center" vertical="center"/>
      <protection locked="0"/>
    </xf>
    <xf numFmtId="178" fontId="25" fillId="2" borderId="31" xfId="1" applyNumberFormat="1" applyFont="1" applyFill="1" applyBorder="1" applyAlignment="1" applyProtection="1">
      <alignment horizontal="center" vertical="center"/>
      <protection locked="0"/>
    </xf>
    <xf numFmtId="38" fontId="19" fillId="2" borderId="8" xfId="0" applyNumberFormat="1" applyFont="1" applyFill="1" applyBorder="1" applyAlignment="1" applyProtection="1">
      <alignment horizontal="center" vertical="center"/>
      <protection locked="0"/>
    </xf>
    <xf numFmtId="38" fontId="17" fillId="2" borderId="5" xfId="1" applyNumberFormat="1" applyFont="1" applyFill="1" applyBorder="1" applyAlignment="1" applyProtection="1">
      <alignment horizontal="center" vertical="center"/>
      <protection locked="0"/>
    </xf>
    <xf numFmtId="38" fontId="17" fillId="2" borderId="8" xfId="1" applyNumberFormat="1" applyFont="1" applyFill="1" applyBorder="1" applyAlignment="1" applyProtection="1">
      <alignment horizontal="center" vertical="center"/>
      <protection locked="0"/>
    </xf>
    <xf numFmtId="166" fontId="13" fillId="2" borderId="8" xfId="0" applyNumberFormat="1" applyFont="1" applyFill="1" applyBorder="1" applyAlignment="1" applyProtection="1">
      <alignment horizontal="center" vertical="center" wrapText="1" shrinkToFit="1"/>
      <protection locked="0"/>
    </xf>
    <xf numFmtId="3" fontId="18" fillId="2" borderId="8" xfId="0" applyNumberFormat="1" applyFont="1" applyFill="1" applyBorder="1" applyAlignment="1" applyProtection="1">
      <alignment horizontal="center" vertical="center" wrapText="1" shrinkToFit="1"/>
      <protection locked="0"/>
    </xf>
    <xf numFmtId="4" fontId="13" fillId="2" borderId="8" xfId="0" applyNumberFormat="1" applyFont="1" applyFill="1" applyBorder="1" applyAlignment="1" applyProtection="1">
      <alignment horizontal="center" vertical="center" wrapText="1" shrinkToFit="1"/>
      <protection locked="0"/>
    </xf>
    <xf numFmtId="3" fontId="18" fillId="4" borderId="5" xfId="0" applyNumberFormat="1" applyFont="1" applyFill="1" applyBorder="1" applyAlignment="1">
      <alignment horizontal="center" vertical="center"/>
    </xf>
    <xf numFmtId="3" fontId="18" fillId="2" borderId="5" xfId="0" applyNumberFormat="1" applyFont="1" applyFill="1" applyBorder="1" applyAlignment="1">
      <alignment horizontal="center" vertical="center"/>
    </xf>
    <xf numFmtId="3" fontId="18" fillId="4" borderId="8" xfId="0" applyNumberFormat="1" applyFont="1" applyFill="1" applyBorder="1" applyAlignment="1">
      <alignment horizontal="center" vertical="center"/>
    </xf>
    <xf numFmtId="3" fontId="17" fillId="4" borderId="26" xfId="0" applyNumberFormat="1" applyFont="1" applyFill="1" applyBorder="1" applyAlignment="1">
      <alignment horizontal="center" vertical="center"/>
    </xf>
    <xf numFmtId="4" fontId="17" fillId="2" borderId="6" xfId="0" applyNumberFormat="1" applyFont="1" applyFill="1" applyBorder="1" applyAlignment="1">
      <alignment horizontal="center" vertical="center"/>
    </xf>
    <xf numFmtId="4" fontId="17" fillId="4" borderId="26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 applyProtection="1">
      <alignment horizontal="center" vertical="center" shrinkToFit="1"/>
      <protection locked="0"/>
    </xf>
    <xf numFmtId="0" fontId="25" fillId="2" borderId="5" xfId="0" applyFont="1" applyFill="1" applyBorder="1" applyAlignment="1" applyProtection="1">
      <alignment horizontal="center" vertical="center"/>
      <protection locked="0"/>
    </xf>
    <xf numFmtId="0" fontId="1" fillId="4" borderId="8" xfId="0" applyFont="1" applyFill="1" applyBorder="1" applyAlignment="1" applyProtection="1">
      <alignment horizontal="center" vertical="center" readingOrder="2"/>
      <protection locked="0"/>
    </xf>
    <xf numFmtId="38" fontId="17" fillId="0" borderId="0" xfId="0" applyNumberFormat="1" applyFont="1" applyAlignment="1" applyProtection="1">
      <alignment horizontal="center" vertical="center" shrinkToFit="1"/>
      <protection locked="0"/>
    </xf>
    <xf numFmtId="9" fontId="13" fillId="0" borderId="0" xfId="1" applyFont="1" applyFill="1" applyBorder="1" applyAlignment="1" applyProtection="1">
      <alignment horizontal="center" vertical="center" wrapText="1" shrinkToFit="1"/>
      <protection locked="0"/>
    </xf>
    <xf numFmtId="9" fontId="17" fillId="0" borderId="0" xfId="0" applyNumberFormat="1" applyFont="1" applyAlignment="1" applyProtection="1">
      <alignment horizontal="center" vertical="center" shrinkToFit="1"/>
      <protection locked="0"/>
    </xf>
    <xf numFmtId="3" fontId="17" fillId="0" borderId="0" xfId="0" applyNumberFormat="1" applyFont="1" applyAlignment="1" applyProtection="1">
      <alignment horizontal="center" vertical="center" wrapText="1" shrinkToFi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9" fontId="17" fillId="0" borderId="0" xfId="1" applyFont="1" applyAlignment="1" applyProtection="1">
      <alignment horizontal="center" vertical="center" shrinkToFit="1"/>
      <protection locked="0"/>
    </xf>
    <xf numFmtId="1" fontId="17" fillId="0" borderId="0" xfId="0" applyNumberFormat="1" applyFont="1" applyAlignment="1" applyProtection="1">
      <alignment horizontal="center" vertical="center" shrinkToFit="1"/>
      <protection locked="0"/>
    </xf>
    <xf numFmtId="181" fontId="17" fillId="0" borderId="0" xfId="0" applyNumberFormat="1" applyFont="1" applyAlignment="1" applyProtection="1">
      <alignment horizontal="center" vertical="center" shrinkToFit="1"/>
      <protection locked="0"/>
    </xf>
    <xf numFmtId="182" fontId="17" fillId="0" borderId="0" xfId="0" applyNumberFormat="1" applyFont="1" applyAlignment="1" applyProtection="1">
      <alignment horizontal="center" vertical="center" shrinkToFit="1"/>
      <protection locked="0"/>
    </xf>
    <xf numFmtId="180" fontId="21" fillId="0" borderId="0" xfId="0" applyNumberFormat="1" applyFont="1" applyAlignment="1" applyProtection="1">
      <alignment horizontal="center" vertical="center"/>
      <protection locked="0"/>
    </xf>
    <xf numFmtId="166" fontId="13" fillId="4" borderId="5" xfId="0" applyNumberFormat="1" applyFont="1" applyFill="1" applyBorder="1" applyAlignment="1">
      <alignment horizontal="center" vertical="center" wrapText="1" shrinkToFit="1"/>
    </xf>
    <xf numFmtId="166" fontId="13" fillId="4" borderId="6" xfId="0" applyNumberFormat="1" applyFont="1" applyFill="1" applyBorder="1" applyAlignment="1">
      <alignment horizontal="center" vertical="center" wrapText="1" shrinkToFit="1"/>
    </xf>
    <xf numFmtId="166" fontId="13" fillId="0" borderId="5" xfId="0" applyNumberFormat="1" applyFont="1" applyBorder="1" applyAlignment="1">
      <alignment horizontal="center" vertical="center" wrapText="1" shrinkToFit="1"/>
    </xf>
    <xf numFmtId="166" fontId="13" fillId="0" borderId="6" xfId="0" applyNumberFormat="1" applyFont="1" applyBorder="1" applyAlignment="1">
      <alignment horizontal="center" vertical="center" wrapText="1" shrinkToFit="1"/>
    </xf>
    <xf numFmtId="166" fontId="13" fillId="4" borderId="8" xfId="0" applyNumberFormat="1" applyFont="1" applyFill="1" applyBorder="1" applyAlignment="1">
      <alignment horizontal="center" vertical="center" wrapText="1" shrinkToFit="1"/>
    </xf>
    <xf numFmtId="166" fontId="13" fillId="4" borderId="9" xfId="0" applyNumberFormat="1" applyFont="1" applyFill="1" applyBorder="1" applyAlignment="1">
      <alignment horizontal="center" vertical="center" wrapText="1" shrinkToFit="1"/>
    </xf>
    <xf numFmtId="0" fontId="16" fillId="3" borderId="1" xfId="0" applyFont="1" applyFill="1" applyBorder="1" applyAlignment="1">
      <alignment horizontal="center" vertical="center" wrapText="1" shrinkToFit="1"/>
    </xf>
    <xf numFmtId="0" fontId="16" fillId="3" borderId="2" xfId="0" applyFont="1" applyFill="1" applyBorder="1" applyAlignment="1">
      <alignment horizontal="center" vertical="center" wrapText="1" shrinkToFit="1"/>
    </xf>
    <xf numFmtId="0" fontId="16" fillId="3" borderId="3" xfId="0" applyFont="1" applyFill="1" applyBorder="1" applyAlignment="1">
      <alignment horizontal="center" vertical="center" wrapText="1" shrinkToFit="1"/>
    </xf>
    <xf numFmtId="0" fontId="12" fillId="3" borderId="5" xfId="0" applyFont="1" applyFill="1" applyBorder="1" applyAlignment="1">
      <alignment horizontal="center" vertical="center" wrapText="1" shrinkToFit="1"/>
    </xf>
    <xf numFmtId="0" fontId="12" fillId="3" borderId="6" xfId="0" applyFont="1" applyFill="1" applyBorder="1" applyAlignment="1">
      <alignment horizontal="center" vertical="center" wrapText="1" shrinkToFit="1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169" fontId="17" fillId="2" borderId="5" xfId="0" applyNumberFormat="1" applyFont="1" applyFill="1" applyBorder="1" applyAlignment="1" applyProtection="1">
      <alignment horizontal="center" vertical="center"/>
      <protection locked="0"/>
    </xf>
    <xf numFmtId="169" fontId="17" fillId="2" borderId="6" xfId="0" applyNumberFormat="1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164" fontId="17" fillId="2" borderId="5" xfId="0" applyNumberFormat="1" applyFont="1" applyFill="1" applyBorder="1" applyAlignment="1" applyProtection="1">
      <alignment horizontal="center" vertical="center"/>
      <protection locked="0"/>
    </xf>
    <xf numFmtId="164" fontId="17" fillId="2" borderId="6" xfId="0" applyNumberFormat="1" applyFont="1" applyFill="1" applyBorder="1" applyAlignment="1" applyProtection="1">
      <alignment horizontal="center" vertical="center"/>
      <protection locked="0"/>
    </xf>
    <xf numFmtId="0" fontId="17" fillId="0" borderId="4" xfId="0" applyFont="1" applyBorder="1" applyAlignment="1">
      <alignment horizontal="center" vertical="center"/>
    </xf>
    <xf numFmtId="3" fontId="18" fillId="0" borderId="5" xfId="0" applyNumberFormat="1" applyFont="1" applyBorder="1" applyAlignment="1">
      <alignment horizontal="center" vertical="center"/>
    </xf>
    <xf numFmtId="3" fontId="18" fillId="0" borderId="34" xfId="0" applyNumberFormat="1" applyFont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10" fontId="17" fillId="2" borderId="5" xfId="1" applyNumberFormat="1" applyFont="1" applyFill="1" applyBorder="1" applyAlignment="1" applyProtection="1">
      <alignment horizontal="center" vertical="center"/>
      <protection locked="0"/>
    </xf>
    <xf numFmtId="10" fontId="17" fillId="2" borderId="6" xfId="1" applyNumberFormat="1" applyFont="1" applyFill="1" applyBorder="1" applyAlignment="1" applyProtection="1">
      <alignment horizontal="center" vertical="center"/>
      <protection locked="0"/>
    </xf>
    <xf numFmtId="10" fontId="17" fillId="2" borderId="2" xfId="1" applyNumberFormat="1" applyFont="1" applyFill="1" applyBorder="1" applyAlignment="1" applyProtection="1">
      <alignment horizontal="center" vertical="center"/>
      <protection locked="0"/>
    </xf>
    <xf numFmtId="10" fontId="17" fillId="2" borderId="3" xfId="1" applyNumberFormat="1" applyFont="1" applyFill="1" applyBorder="1" applyAlignment="1" applyProtection="1">
      <alignment horizontal="center" vertical="center"/>
      <protection locked="0"/>
    </xf>
    <xf numFmtId="0" fontId="17" fillId="0" borderId="24" xfId="0" applyFont="1" applyBorder="1" applyAlignment="1">
      <alignment horizontal="left" wrapText="1"/>
    </xf>
    <xf numFmtId="0" fontId="17" fillId="0" borderId="24" xfId="0" applyFont="1" applyBorder="1" applyAlignment="1">
      <alignment horizontal="left"/>
    </xf>
    <xf numFmtId="168" fontId="17" fillId="2" borderId="5" xfId="0" applyNumberFormat="1" applyFont="1" applyFill="1" applyBorder="1" applyAlignment="1" applyProtection="1">
      <alignment horizontal="center" vertical="center"/>
      <protection locked="0"/>
    </xf>
    <xf numFmtId="168" fontId="17" fillId="2" borderId="6" xfId="0" applyNumberFormat="1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0" fontId="15" fillId="3" borderId="2" xfId="0" applyFont="1" applyFill="1" applyBorder="1" applyAlignment="1" applyProtection="1">
      <alignment horizontal="center" vertical="center"/>
      <protection locked="0"/>
    </xf>
    <xf numFmtId="0" fontId="15" fillId="3" borderId="33" xfId="0" applyFont="1" applyFill="1" applyBorder="1" applyAlignment="1" applyProtection="1">
      <alignment horizontal="center" vertical="center"/>
      <protection locked="0"/>
    </xf>
    <xf numFmtId="0" fontId="15" fillId="3" borderId="4" xfId="0" applyFont="1" applyFill="1" applyBorder="1" applyAlignment="1" applyProtection="1">
      <alignment horizontal="center" vertical="center"/>
      <protection locked="0"/>
    </xf>
    <xf numFmtId="0" fontId="15" fillId="3" borderId="5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4" fillId="4" borderId="8" xfId="0" applyFont="1" applyFill="1" applyBorder="1" applyAlignment="1" applyProtection="1">
      <alignment horizontal="center" vertical="center" readingOrder="2"/>
      <protection locked="0"/>
    </xf>
    <xf numFmtId="0" fontId="4" fillId="4" borderId="35" xfId="0" applyFont="1" applyFill="1" applyBorder="1" applyAlignment="1" applyProtection="1">
      <alignment horizontal="center" vertical="center" readingOrder="2"/>
      <protection locked="0"/>
    </xf>
    <xf numFmtId="0" fontId="17" fillId="0" borderId="5" xfId="0" applyFont="1" applyBorder="1" applyAlignment="1" applyProtection="1">
      <alignment horizontal="center" vertical="center"/>
      <protection locked="0"/>
    </xf>
    <xf numFmtId="0" fontId="17" fillId="0" borderId="34" xfId="0" applyFont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170" fontId="2" fillId="4" borderId="8" xfId="0" applyNumberFormat="1" applyFont="1" applyFill="1" applyBorder="1" applyAlignment="1" applyProtection="1">
      <alignment horizontal="center" vertical="center"/>
      <protection locked="0"/>
    </xf>
    <xf numFmtId="170" fontId="4" fillId="4" borderId="8" xfId="0" applyNumberFormat="1" applyFont="1" applyFill="1" applyBorder="1" applyAlignment="1" applyProtection="1">
      <alignment horizontal="center" vertical="center"/>
      <protection locked="0"/>
    </xf>
  </cellXfs>
  <cellStyles count="3">
    <cellStyle name="Comma" xfId="2" builtinId="3"/>
    <cellStyle name="Normal" xfId="0" builtinId="0"/>
    <cellStyle name="Percent" xfId="1" builtinId="5"/>
  </cellStyles>
  <dxfs count="12"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9" tint="-0.24994659260841701"/>
      </font>
    </dxf>
    <dxf>
      <font>
        <color rgb="FFC00000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colors>
    <mruColors>
      <color rgb="FFF0EAE4"/>
      <color rgb="FFEDE4D6"/>
      <color rgb="FFE5DFDB"/>
      <color rgb="FFB5A599"/>
      <color rgb="FFBDAEA3"/>
      <color rgb="FFA4907E"/>
      <color rgb="FF000000"/>
      <color rgb="FFE9DECD"/>
      <color rgb="FFF2ECE2"/>
      <color rgb="FFDAC8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C14D-7990-4C44-AD9B-F11B59AEB5A9}">
  <dimension ref="A1:Y122"/>
  <sheetViews>
    <sheetView showGridLines="0" rightToLeft="1" tabSelected="1" zoomScale="145" zoomScaleNormal="145" workbookViewId="0">
      <selection activeCell="F29" sqref="F29"/>
    </sheetView>
  </sheetViews>
  <sheetFormatPr defaultColWidth="6" defaultRowHeight="11.25" x14ac:dyDescent="0.2"/>
  <cols>
    <col min="1" max="1" width="4.125" style="32" customWidth="1"/>
    <col min="2" max="2" width="13.25" style="32" bestFit="1" customWidth="1"/>
    <col min="3" max="3" width="14.75" style="32" bestFit="1" customWidth="1"/>
    <col min="4" max="4" width="11.25" style="32" bestFit="1" customWidth="1"/>
    <col min="5" max="5" width="9.625" style="32" bestFit="1" customWidth="1"/>
    <col min="6" max="6" width="9.5" style="32" bestFit="1" customWidth="1"/>
    <col min="7" max="7" width="8.25" style="32" bestFit="1" customWidth="1"/>
    <col min="8" max="8" width="12.375" style="32" bestFit="1" customWidth="1"/>
    <col min="9" max="9" width="8.125" style="32" bestFit="1" customWidth="1"/>
    <col min="10" max="10" width="12.875" style="32" bestFit="1" customWidth="1"/>
    <col min="11" max="11" width="9.125" style="32" bestFit="1" customWidth="1"/>
    <col min="12" max="12" width="13.5" style="32" bestFit="1" customWidth="1"/>
    <col min="13" max="13" width="12.125" style="53" bestFit="1" customWidth="1"/>
    <col min="14" max="14" width="9.25" style="53" bestFit="1" customWidth="1"/>
    <col min="15" max="15" width="4.625" style="53" bestFit="1" customWidth="1"/>
    <col min="16" max="16" width="13.875" style="53" bestFit="1" customWidth="1"/>
    <col min="17" max="17" width="9.125" style="32" bestFit="1" customWidth="1"/>
    <col min="18" max="18" width="9.375" style="32" bestFit="1" customWidth="1"/>
    <col min="19" max="23" width="6" style="32"/>
    <col min="24" max="24" width="16.75" style="32" bestFit="1" customWidth="1"/>
    <col min="25" max="25" width="4.25" style="32" bestFit="1" customWidth="1"/>
    <col min="26" max="16384" width="6" style="32"/>
  </cols>
  <sheetData>
    <row r="1" spans="2:25" x14ac:dyDescent="0.2">
      <c r="X1" s="53"/>
    </row>
    <row r="2" spans="2:25" ht="12" thickBot="1" x14ac:dyDescent="0.25">
      <c r="X2" s="53"/>
    </row>
    <row r="3" spans="2:25" ht="16.5" thickBot="1" x14ac:dyDescent="0.2">
      <c r="B3" s="76" t="s">
        <v>0</v>
      </c>
      <c r="C3" s="33"/>
      <c r="D3" s="33"/>
      <c r="E3" s="33"/>
      <c r="F3" s="33"/>
      <c r="G3" s="33"/>
      <c r="H3" s="33"/>
      <c r="I3" s="179" t="s">
        <v>96</v>
      </c>
      <c r="J3" s="180"/>
      <c r="K3" s="180"/>
      <c r="L3" s="180"/>
    </row>
    <row r="4" spans="2:25" x14ac:dyDescent="0.2">
      <c r="B4" s="183" t="s">
        <v>106</v>
      </c>
      <c r="C4" s="184"/>
      <c r="D4" s="184"/>
      <c r="E4" s="184"/>
      <c r="F4" s="184"/>
      <c r="G4" s="184"/>
      <c r="H4" s="184"/>
      <c r="I4" s="184"/>
      <c r="J4" s="185"/>
      <c r="K4" s="195" t="s">
        <v>92</v>
      </c>
      <c r="L4" s="193" t="s">
        <v>9</v>
      </c>
    </row>
    <row r="5" spans="2:25" x14ac:dyDescent="0.2">
      <c r="B5" s="186"/>
      <c r="C5" s="187"/>
      <c r="D5" s="187"/>
      <c r="E5" s="187"/>
      <c r="F5" s="187"/>
      <c r="G5" s="187"/>
      <c r="H5" s="187"/>
      <c r="I5" s="187"/>
      <c r="J5" s="188"/>
      <c r="K5" s="196"/>
      <c r="L5" s="194"/>
    </row>
    <row r="6" spans="2:25" x14ac:dyDescent="0.2">
      <c r="B6" s="64" t="s">
        <v>5</v>
      </c>
      <c r="C6" s="65" t="s">
        <v>101</v>
      </c>
      <c r="D6" s="65" t="s">
        <v>102</v>
      </c>
      <c r="E6" s="65" t="s">
        <v>4</v>
      </c>
      <c r="F6" s="65" t="s">
        <v>6</v>
      </c>
      <c r="G6" s="65" t="s">
        <v>3</v>
      </c>
      <c r="H6" s="77" t="s">
        <v>7</v>
      </c>
      <c r="I6" s="173" t="s">
        <v>8</v>
      </c>
      <c r="J6" s="174"/>
      <c r="K6" s="78" t="s">
        <v>1</v>
      </c>
      <c r="L6" s="116" t="s">
        <v>2</v>
      </c>
      <c r="O6" s="147"/>
    </row>
    <row r="7" spans="2:25" x14ac:dyDescent="0.2">
      <c r="B7" s="23" t="s">
        <v>104</v>
      </c>
      <c r="C7" s="139"/>
      <c r="D7" s="139"/>
      <c r="E7" s="79" t="str">
        <f>D67</f>
        <v>0.00</v>
      </c>
      <c r="F7" s="80" t="str">
        <f>J67</f>
        <v>0.00</v>
      </c>
      <c r="G7" s="81">
        <f>C67</f>
        <v>0</v>
      </c>
      <c r="H7" s="81">
        <f>G7*F7</f>
        <v>0</v>
      </c>
      <c r="I7" s="171">
        <f>(I9*D9)+(I10*D10)+(I11*D11)+(I12*D12)+(I13*D13)+(I14*D14)+(I15*D15)+(I16*D16)+(I17*D17)+(I18*D18)+(I20*D20)+(I21*D21)+(I22*D22)+(I23*D23)</f>
        <v>0</v>
      </c>
      <c r="J7" s="172"/>
      <c r="K7" s="121">
        <v>0</v>
      </c>
      <c r="L7" s="122"/>
    </row>
    <row r="8" spans="2:25" ht="24.75" x14ac:dyDescent="0.2">
      <c r="B8" s="64" t="s">
        <v>10</v>
      </c>
      <c r="C8" s="77" t="s">
        <v>45</v>
      </c>
      <c r="D8" s="77" t="s">
        <v>46</v>
      </c>
      <c r="E8" s="77" t="s">
        <v>47</v>
      </c>
      <c r="F8" s="77" t="s">
        <v>48</v>
      </c>
      <c r="G8" s="77" t="s">
        <v>51</v>
      </c>
      <c r="H8" s="77" t="s">
        <v>65</v>
      </c>
      <c r="I8" s="77" t="s">
        <v>52</v>
      </c>
      <c r="J8" s="117" t="s">
        <v>91</v>
      </c>
      <c r="K8" s="30">
        <f>K7/L8</f>
        <v>0</v>
      </c>
      <c r="L8" s="22">
        <v>3.5</v>
      </c>
      <c r="Q8" s="33"/>
    </row>
    <row r="9" spans="2:25" x14ac:dyDescent="0.2">
      <c r="B9" s="113" t="s">
        <v>84</v>
      </c>
      <c r="C9" s="114"/>
      <c r="D9" s="81">
        <f>$H$7*C9</f>
        <v>0</v>
      </c>
      <c r="E9" s="114">
        <v>0</v>
      </c>
      <c r="F9" s="81">
        <f>E9*D9</f>
        <v>0</v>
      </c>
      <c r="G9" s="13">
        <v>0</v>
      </c>
      <c r="H9" s="91" t="str">
        <f>IFERROR(F9/G9, "0 m²")</f>
        <v>0 m²</v>
      </c>
      <c r="I9" s="19">
        <v>3200</v>
      </c>
      <c r="J9" s="118">
        <v>12500</v>
      </c>
      <c r="K9" s="29">
        <f>L9*G9</f>
        <v>0</v>
      </c>
      <c r="L9" s="22">
        <v>1.5</v>
      </c>
      <c r="M9" s="148">
        <f>J9*F9</f>
        <v>0</v>
      </c>
      <c r="N9" s="149" t="e">
        <f>M9/G9</f>
        <v>#DIV/0!</v>
      </c>
      <c r="Q9" s="33"/>
    </row>
    <row r="10" spans="2:25" x14ac:dyDescent="0.2">
      <c r="B10" s="66" t="s">
        <v>12</v>
      </c>
      <c r="C10" s="114"/>
      <c r="D10" s="96">
        <f>$H$7*C10</f>
        <v>0</v>
      </c>
      <c r="E10" s="114">
        <v>0</v>
      </c>
      <c r="F10" s="95">
        <f>E10*D10</f>
        <v>0</v>
      </c>
      <c r="G10" s="13">
        <v>0</v>
      </c>
      <c r="H10" s="90" t="str">
        <f t="shared" ref="H10:H18" si="0">IFERROR(F10/G10, "0 m²")</f>
        <v>0 m²</v>
      </c>
      <c r="I10" s="19">
        <v>3400</v>
      </c>
      <c r="J10" s="118">
        <v>22000</v>
      </c>
      <c r="K10" s="30" t="s">
        <v>23</v>
      </c>
      <c r="L10" s="22" t="s">
        <v>23</v>
      </c>
      <c r="M10" s="148">
        <f>J10*C64</f>
        <v>0</v>
      </c>
      <c r="N10" s="149" t="e">
        <f>M10/G10</f>
        <v>#DIV/0!</v>
      </c>
      <c r="Q10" s="33"/>
    </row>
    <row r="11" spans="2:25" x14ac:dyDescent="0.2">
      <c r="B11" s="113" t="s">
        <v>13</v>
      </c>
      <c r="C11" s="114"/>
      <c r="D11" s="81">
        <f>$H$7*C11</f>
        <v>0</v>
      </c>
      <c r="E11" s="114">
        <v>0</v>
      </c>
      <c r="F11" s="81">
        <f t="shared" ref="F11:F18" si="1">E11*D11</f>
        <v>0</v>
      </c>
      <c r="G11" s="13">
        <v>0</v>
      </c>
      <c r="H11" s="91" t="str">
        <f>IFERROR(G7/G11, "0 m²")</f>
        <v>0 m²</v>
      </c>
      <c r="I11" s="19">
        <v>0</v>
      </c>
      <c r="J11" s="118"/>
      <c r="K11" s="29" t="s">
        <v>23</v>
      </c>
      <c r="L11" s="22" t="s">
        <v>23</v>
      </c>
      <c r="M11" s="141"/>
    </row>
    <row r="12" spans="2:25" x14ac:dyDescent="0.2">
      <c r="B12" s="66" t="s">
        <v>14</v>
      </c>
      <c r="C12" s="114"/>
      <c r="D12" s="96">
        <f t="shared" ref="D12:D14" si="2">$H$7*C12</f>
        <v>0</v>
      </c>
      <c r="E12" s="114">
        <v>0</v>
      </c>
      <c r="F12" s="96">
        <f t="shared" si="1"/>
        <v>0</v>
      </c>
      <c r="G12" s="13">
        <v>0</v>
      </c>
      <c r="H12" s="90" t="str">
        <f t="shared" si="0"/>
        <v>0 m²</v>
      </c>
      <c r="I12" s="19">
        <v>0</v>
      </c>
      <c r="J12" s="118"/>
      <c r="K12" s="30">
        <f>L12*G12</f>
        <v>0</v>
      </c>
      <c r="L12" s="22">
        <v>0</v>
      </c>
      <c r="O12" s="142"/>
    </row>
    <row r="13" spans="2:25" x14ac:dyDescent="0.2">
      <c r="B13" s="113" t="s">
        <v>15</v>
      </c>
      <c r="C13" s="114"/>
      <c r="D13" s="81">
        <f t="shared" si="2"/>
        <v>0</v>
      </c>
      <c r="E13" s="114">
        <v>0</v>
      </c>
      <c r="F13" s="81">
        <f t="shared" si="1"/>
        <v>0</v>
      </c>
      <c r="G13" s="13">
        <v>0</v>
      </c>
      <c r="H13" s="91" t="str">
        <f t="shared" si="0"/>
        <v>0 m²</v>
      </c>
      <c r="I13" s="19">
        <v>0</v>
      </c>
      <c r="J13" s="118"/>
      <c r="K13" s="29">
        <f>L13*G13</f>
        <v>0</v>
      </c>
      <c r="L13" s="22">
        <v>1</v>
      </c>
      <c r="M13" s="143"/>
      <c r="N13" s="143"/>
      <c r="O13" s="142"/>
    </row>
    <row r="14" spans="2:25" x14ac:dyDescent="0.2">
      <c r="B14" s="66" t="s">
        <v>85</v>
      </c>
      <c r="C14" s="114"/>
      <c r="D14" s="96">
        <f t="shared" si="2"/>
        <v>0</v>
      </c>
      <c r="E14" s="114">
        <v>0</v>
      </c>
      <c r="F14" s="96">
        <f t="shared" si="1"/>
        <v>0</v>
      </c>
      <c r="G14" s="13">
        <v>0</v>
      </c>
      <c r="H14" s="90" t="str">
        <f t="shared" si="0"/>
        <v>0 m²</v>
      </c>
      <c r="I14" s="19">
        <v>0</v>
      </c>
      <c r="J14" s="118"/>
      <c r="K14" s="30">
        <f>F14/L14</f>
        <v>0</v>
      </c>
      <c r="L14" s="22">
        <v>25</v>
      </c>
      <c r="P14" s="144"/>
      <c r="Q14" s="1"/>
      <c r="R14" s="1"/>
      <c r="X14" s="2"/>
      <c r="Y14" s="3"/>
    </row>
    <row r="15" spans="2:25" x14ac:dyDescent="0.2">
      <c r="B15" s="113" t="s">
        <v>86</v>
      </c>
      <c r="C15" s="114"/>
      <c r="D15" s="81">
        <f t="shared" ref="D15:D17" si="3">$H$7*C15</f>
        <v>0</v>
      </c>
      <c r="E15" s="114">
        <v>0</v>
      </c>
      <c r="F15" s="81">
        <f t="shared" si="1"/>
        <v>0</v>
      </c>
      <c r="G15" s="13">
        <v>0</v>
      </c>
      <c r="H15" s="91" t="str">
        <f t="shared" si="0"/>
        <v>0 m²</v>
      </c>
      <c r="I15" s="19">
        <v>0</v>
      </c>
      <c r="J15" s="118"/>
      <c r="K15" s="29">
        <f>F15/L15</f>
        <v>0</v>
      </c>
      <c r="L15" s="22">
        <v>45</v>
      </c>
      <c r="P15" s="144"/>
      <c r="Q15" s="1"/>
      <c r="R15" s="1"/>
      <c r="X15" s="2"/>
      <c r="Y15" s="2"/>
    </row>
    <row r="16" spans="2:25" x14ac:dyDescent="0.2">
      <c r="B16" s="66" t="s">
        <v>87</v>
      </c>
      <c r="C16" s="114"/>
      <c r="D16" s="96">
        <f t="shared" si="3"/>
        <v>0</v>
      </c>
      <c r="E16" s="114">
        <v>0</v>
      </c>
      <c r="F16" s="96">
        <f>E16*D16</f>
        <v>0</v>
      </c>
      <c r="G16" s="13"/>
      <c r="H16" s="90" t="str">
        <f>IFERROR(F16/G16, "0 m²")</f>
        <v>0 m²</v>
      </c>
      <c r="I16" s="19">
        <v>6000</v>
      </c>
      <c r="J16" s="118">
        <v>800</v>
      </c>
      <c r="K16" s="30">
        <f>G16/L16</f>
        <v>0</v>
      </c>
      <c r="L16" s="22">
        <v>2</v>
      </c>
    </row>
    <row r="17" spans="2:13" x14ac:dyDescent="0.2">
      <c r="B17" s="113" t="s">
        <v>19</v>
      </c>
      <c r="C17" s="114"/>
      <c r="D17" s="81">
        <f t="shared" si="3"/>
        <v>0</v>
      </c>
      <c r="E17" s="114">
        <v>0</v>
      </c>
      <c r="F17" s="81">
        <f t="shared" si="1"/>
        <v>0</v>
      </c>
      <c r="G17" s="13">
        <v>0</v>
      </c>
      <c r="H17" s="91" t="str">
        <f t="shared" si="0"/>
        <v>0 m²</v>
      </c>
      <c r="I17" s="19">
        <v>0</v>
      </c>
      <c r="J17" s="118"/>
      <c r="K17" s="29">
        <f>F17/L17</f>
        <v>0</v>
      </c>
      <c r="L17" s="22">
        <v>35</v>
      </c>
    </row>
    <row r="18" spans="2:13" x14ac:dyDescent="0.2">
      <c r="B18" s="66" t="s">
        <v>88</v>
      </c>
      <c r="C18" s="114"/>
      <c r="D18" s="96">
        <f>$H$7*C18</f>
        <v>0</v>
      </c>
      <c r="E18" s="114">
        <v>0</v>
      </c>
      <c r="F18" s="96">
        <f t="shared" si="1"/>
        <v>0</v>
      </c>
      <c r="G18" s="13">
        <v>0</v>
      </c>
      <c r="H18" s="90" t="str">
        <f t="shared" si="0"/>
        <v>0 m²</v>
      </c>
      <c r="I18" s="19">
        <v>0</v>
      </c>
      <c r="J18" s="118"/>
      <c r="K18" s="135" t="s">
        <v>23</v>
      </c>
      <c r="L18" s="136" t="s">
        <v>23</v>
      </c>
    </row>
    <row r="19" spans="2:13" x14ac:dyDescent="0.2">
      <c r="B19" s="113" t="s">
        <v>23</v>
      </c>
      <c r="C19" s="100" t="s">
        <v>23</v>
      </c>
      <c r="D19" s="92" t="s">
        <v>23</v>
      </c>
      <c r="E19" s="100" t="s">
        <v>23</v>
      </c>
      <c r="F19" s="92" t="s">
        <v>23</v>
      </c>
      <c r="G19" s="100" t="s">
        <v>23</v>
      </c>
      <c r="H19" s="92" t="s">
        <v>23</v>
      </c>
      <c r="I19" s="100" t="s">
        <v>23</v>
      </c>
      <c r="J19" s="119" t="s">
        <v>23</v>
      </c>
      <c r="K19" s="101" t="s">
        <v>23</v>
      </c>
      <c r="L19" s="102" t="s">
        <v>23</v>
      </c>
    </row>
    <row r="20" spans="2:13" x14ac:dyDescent="0.2">
      <c r="B20" s="66" t="s">
        <v>62</v>
      </c>
      <c r="C20" s="31">
        <f>100%-SUM(C9:C18)</f>
        <v>1</v>
      </c>
      <c r="D20" s="96">
        <f>C20*H7</f>
        <v>0</v>
      </c>
      <c r="E20" s="100" t="s">
        <v>23</v>
      </c>
      <c r="F20" s="93" t="s">
        <v>23</v>
      </c>
      <c r="G20" s="100" t="s">
        <v>23</v>
      </c>
      <c r="H20" s="93" t="s">
        <v>23</v>
      </c>
      <c r="I20" s="24"/>
      <c r="J20" s="119" t="s">
        <v>23</v>
      </c>
      <c r="K20" s="135" t="s">
        <v>23</v>
      </c>
      <c r="L20" s="102" t="s">
        <v>23</v>
      </c>
    </row>
    <row r="21" spans="2:13" x14ac:dyDescent="0.2">
      <c r="B21" s="113" t="s">
        <v>90</v>
      </c>
      <c r="C21" s="114"/>
      <c r="D21" s="81">
        <f>C21*$G$7</f>
        <v>0</v>
      </c>
      <c r="E21" s="13" t="s">
        <v>23</v>
      </c>
      <c r="F21" s="92" t="s">
        <v>23</v>
      </c>
      <c r="G21" s="13" t="s">
        <v>23</v>
      </c>
      <c r="H21" s="92" t="s">
        <v>23</v>
      </c>
      <c r="I21" s="19">
        <v>1000</v>
      </c>
      <c r="J21" s="118" t="s">
        <v>23</v>
      </c>
      <c r="K21" s="101" t="s">
        <v>23</v>
      </c>
      <c r="L21" s="136" t="s">
        <v>23</v>
      </c>
    </row>
    <row r="22" spans="2:13" x14ac:dyDescent="0.2">
      <c r="B22" s="66" t="s">
        <v>21</v>
      </c>
      <c r="C22" s="114"/>
      <c r="D22" s="96">
        <f>C22*G7</f>
        <v>0</v>
      </c>
      <c r="E22" s="13" t="s">
        <v>23</v>
      </c>
      <c r="F22" s="93" t="s">
        <v>23</v>
      </c>
      <c r="G22" s="13" t="s">
        <v>23</v>
      </c>
      <c r="H22" s="93" t="s">
        <v>23</v>
      </c>
      <c r="I22" s="19">
        <v>2200</v>
      </c>
      <c r="J22" s="118" t="s">
        <v>23</v>
      </c>
      <c r="K22" s="30">
        <f>D22/L22</f>
        <v>0</v>
      </c>
      <c r="L22" s="22">
        <v>45</v>
      </c>
    </row>
    <row r="23" spans="2:13" x14ac:dyDescent="0.2">
      <c r="B23" s="113" t="s">
        <v>89</v>
      </c>
      <c r="C23" s="114"/>
      <c r="D23" s="81">
        <f>C23*$G$7</f>
        <v>0</v>
      </c>
      <c r="E23" s="13" t="s">
        <v>23</v>
      </c>
      <c r="F23" s="92" t="s">
        <v>23</v>
      </c>
      <c r="G23" s="13" t="s">
        <v>23</v>
      </c>
      <c r="H23" s="92" t="s">
        <v>23</v>
      </c>
      <c r="I23" s="19"/>
      <c r="J23" s="118" t="s">
        <v>23</v>
      </c>
      <c r="K23" s="29">
        <f>D23/L23</f>
        <v>0</v>
      </c>
      <c r="L23" s="22">
        <v>45</v>
      </c>
    </row>
    <row r="24" spans="2:13" x14ac:dyDescent="0.2">
      <c r="B24" s="66" t="s">
        <v>22</v>
      </c>
      <c r="C24" s="31" t="str">
        <f>IF(COUNTIF(C9:C20,"&lt;0")&gt;0,"FALSE",IF(SUM(C9:C18,C20)=1,"TRUE",SUM(C9:C18,C20)))</f>
        <v>TRUE</v>
      </c>
      <c r="D24" s="96">
        <f>SUM(D9:D18,D20,D22:D23)</f>
        <v>0</v>
      </c>
      <c r="E24" s="97" t="str">
        <f>IFERROR(F24/(SUM(D9:D18)), "0.00% - Avg")</f>
        <v>0.00% - Avg</v>
      </c>
      <c r="F24" s="96">
        <f>SUM(F9:F18)</f>
        <v>0</v>
      </c>
      <c r="G24" s="98">
        <f>SUM(G9:G18)</f>
        <v>0</v>
      </c>
      <c r="H24" s="94" t="str">
        <f>IFERROR(F24/G24, "0 Avg")</f>
        <v>0 Avg</v>
      </c>
      <c r="I24" s="99" cm="1">
        <f t="array" ref="I24">IFERROR(
    SUMPRODUCT( D9:D18, I9:I18 * (D9:D18&gt;0) * (I9:I18&gt;0) )
    /
    SUMIFS( D9:D18, D9:D18, "&gt;0", I9:I18, "&gt;0" ), 0)</f>
        <v>0</v>
      </c>
      <c r="J24" s="120">
        <f>IFERROR(
    AVERAGEIF(J9:J18, "&gt;0"), 0)</f>
        <v>11766.666666666666</v>
      </c>
      <c r="K24" s="137" t="s">
        <v>23</v>
      </c>
      <c r="L24" s="136" t="s">
        <v>23</v>
      </c>
    </row>
    <row r="25" spans="2:13" x14ac:dyDescent="0.2">
      <c r="B25" s="170" t="s">
        <v>24</v>
      </c>
      <c r="C25" s="191" t="s">
        <v>23</v>
      </c>
      <c r="D25" s="191"/>
      <c r="E25" s="191"/>
      <c r="F25" s="191"/>
      <c r="G25" s="191"/>
      <c r="H25" s="191"/>
      <c r="I25" s="191"/>
      <c r="J25" s="192"/>
      <c r="K25" s="84" t="s">
        <v>94</v>
      </c>
      <c r="L25" s="87">
        <f>SUM(K9:K18)</f>
        <v>0</v>
      </c>
    </row>
    <row r="26" spans="2:13" x14ac:dyDescent="0.2">
      <c r="B26" s="170"/>
      <c r="C26" s="191"/>
      <c r="D26" s="191"/>
      <c r="E26" s="191"/>
      <c r="F26" s="191"/>
      <c r="G26" s="191"/>
      <c r="H26" s="191"/>
      <c r="I26" s="191"/>
      <c r="J26" s="192"/>
      <c r="K26" s="85" t="s">
        <v>95</v>
      </c>
      <c r="L26" s="88">
        <f>SUM(K8,K21:K23)</f>
        <v>0</v>
      </c>
      <c r="M26" s="141"/>
    </row>
    <row r="27" spans="2:13" ht="12" thickBot="1" x14ac:dyDescent="0.25">
      <c r="B27" s="82" t="s">
        <v>74</v>
      </c>
      <c r="C27" s="140" t="s">
        <v>105</v>
      </c>
      <c r="D27" s="83" t="s">
        <v>73</v>
      </c>
      <c r="E27" s="197">
        <v>46040</v>
      </c>
      <c r="F27" s="198"/>
      <c r="G27" s="83" t="s">
        <v>72</v>
      </c>
      <c r="H27" s="189" t="s">
        <v>23</v>
      </c>
      <c r="I27" s="189"/>
      <c r="J27" s="190"/>
      <c r="K27" s="86" t="s">
        <v>71</v>
      </c>
      <c r="L27" s="89">
        <f>L26-L25</f>
        <v>0</v>
      </c>
    </row>
    <row r="28" spans="2:13" x14ac:dyDescent="0.2">
      <c r="B28" s="123" t="s">
        <v>25</v>
      </c>
      <c r="C28" s="125">
        <v>0</v>
      </c>
      <c r="E28" s="33"/>
      <c r="F28" s="33"/>
      <c r="G28" s="33"/>
      <c r="H28" s="33"/>
      <c r="I28" s="33"/>
      <c r="J28" s="33"/>
      <c r="K28" s="33"/>
      <c r="L28" s="34"/>
    </row>
    <row r="29" spans="2:13" x14ac:dyDescent="0.2">
      <c r="B29" s="33"/>
      <c r="C29" s="124">
        <v>0</v>
      </c>
      <c r="E29" s="33"/>
      <c r="G29" s="33"/>
      <c r="H29" s="33"/>
      <c r="I29" s="33"/>
      <c r="J29" s="33"/>
      <c r="K29" s="33"/>
      <c r="L29" s="35"/>
    </row>
    <row r="30" spans="2:13" x14ac:dyDescent="0.2">
      <c r="B30" s="33"/>
      <c r="C30" s="41"/>
      <c r="E30" s="33"/>
      <c r="G30" s="33"/>
      <c r="H30" s="33"/>
      <c r="I30" s="33"/>
      <c r="J30" s="33"/>
      <c r="K30" s="33"/>
      <c r="L30" s="35"/>
    </row>
    <row r="31" spans="2:13" x14ac:dyDescent="0.2">
      <c r="B31" s="33"/>
      <c r="C31" s="41"/>
      <c r="E31" s="33"/>
      <c r="F31" s="33"/>
      <c r="G31" s="33"/>
      <c r="H31" s="33"/>
      <c r="I31" s="33"/>
      <c r="J31" s="33"/>
      <c r="K31" s="33"/>
      <c r="L31" s="35"/>
    </row>
    <row r="32" spans="2:13" ht="12" thickBot="1" x14ac:dyDescent="0.25">
      <c r="B32" s="33"/>
      <c r="C32" s="36"/>
      <c r="D32" s="33"/>
      <c r="E32" s="33"/>
      <c r="F32" s="33"/>
      <c r="G32" s="33"/>
      <c r="H32" s="33"/>
      <c r="I32" s="33"/>
      <c r="J32" s="33"/>
      <c r="K32" s="33"/>
      <c r="L32" s="36"/>
    </row>
    <row r="33" spans="1:14" ht="15" x14ac:dyDescent="0.2">
      <c r="B33" s="165" t="s">
        <v>26</v>
      </c>
      <c r="C33" s="166"/>
      <c r="D33" s="167"/>
      <c r="E33" s="55"/>
      <c r="F33" s="4"/>
      <c r="J33" s="165" t="s">
        <v>27</v>
      </c>
      <c r="K33" s="166"/>
      <c r="L33" s="167"/>
    </row>
    <row r="34" spans="1:14" x14ac:dyDescent="0.2">
      <c r="B34" s="64" t="s">
        <v>28</v>
      </c>
      <c r="C34" s="65" t="s">
        <v>29</v>
      </c>
      <c r="D34" s="116" t="s">
        <v>30</v>
      </c>
      <c r="E34" s="56" t="s">
        <v>83</v>
      </c>
      <c r="F34" s="4"/>
      <c r="J34" s="64" t="s">
        <v>28</v>
      </c>
      <c r="K34" s="65" t="s">
        <v>31</v>
      </c>
      <c r="L34" s="116" t="s">
        <v>32</v>
      </c>
    </row>
    <row r="35" spans="1:14" x14ac:dyDescent="0.2">
      <c r="B35" s="170" t="s">
        <v>69</v>
      </c>
      <c r="C35" s="181">
        <v>48</v>
      </c>
      <c r="D35" s="182"/>
      <c r="E35" s="150">
        <f>C35/12</f>
        <v>4</v>
      </c>
      <c r="F35" s="4"/>
      <c r="J35" s="113" t="s">
        <v>33</v>
      </c>
      <c r="K35" s="79">
        <f>L35*G7</f>
        <v>0</v>
      </c>
      <c r="L35" s="17">
        <v>65</v>
      </c>
    </row>
    <row r="36" spans="1:14" x14ac:dyDescent="0.2">
      <c r="B36" s="170"/>
      <c r="C36" s="163">
        <f>C35/3</f>
        <v>16</v>
      </c>
      <c r="D36" s="164"/>
      <c r="E36" s="150"/>
      <c r="F36" s="33"/>
      <c r="J36" s="66" t="s">
        <v>35</v>
      </c>
      <c r="K36" s="132">
        <f>(D22+1500)*4.5*L36</f>
        <v>540000</v>
      </c>
      <c r="L36" s="17">
        <v>80</v>
      </c>
    </row>
    <row r="37" spans="1:14" x14ac:dyDescent="0.2">
      <c r="B37" s="66" t="s">
        <v>34</v>
      </c>
      <c r="C37" s="168">
        <v>6</v>
      </c>
      <c r="D37" s="169"/>
      <c r="E37" s="25"/>
      <c r="F37" s="37"/>
      <c r="G37" s="38"/>
      <c r="H37" s="38"/>
      <c r="I37" s="39"/>
      <c r="J37" s="113" t="s">
        <v>93</v>
      </c>
      <c r="K37" s="79">
        <f>L37*I7</f>
        <v>0</v>
      </c>
      <c r="L37" s="115">
        <v>0.03</v>
      </c>
    </row>
    <row r="38" spans="1:14" x14ac:dyDescent="0.2">
      <c r="B38" s="113" t="s">
        <v>36</v>
      </c>
      <c r="C38" s="111">
        <v>1</v>
      </c>
      <c r="D38" s="112">
        <v>6</v>
      </c>
      <c r="E38" s="73">
        <f>(D38-C38)*3</f>
        <v>15</v>
      </c>
      <c r="F38" s="74">
        <f>D38-C38</f>
        <v>5</v>
      </c>
      <c r="J38" s="66" t="s">
        <v>49</v>
      </c>
      <c r="K38" s="132">
        <f>L38*D16</f>
        <v>0</v>
      </c>
      <c r="L38" s="18">
        <v>1000</v>
      </c>
    </row>
    <row r="39" spans="1:14" x14ac:dyDescent="0.2">
      <c r="B39" s="66" t="s">
        <v>82</v>
      </c>
      <c r="C39" s="111">
        <v>6</v>
      </c>
      <c r="D39" s="112">
        <v>16</v>
      </c>
      <c r="E39" s="73">
        <f t="shared" ref="E39:E41" si="4">(D39-C39)*3</f>
        <v>30</v>
      </c>
      <c r="F39" s="74">
        <f t="shared" ref="F39:F41" si="5">D39-C39</f>
        <v>10</v>
      </c>
      <c r="J39" s="75" t="s">
        <v>50</v>
      </c>
      <c r="K39" s="133">
        <f>L39*G13</f>
        <v>0</v>
      </c>
      <c r="L39" s="18">
        <v>0</v>
      </c>
    </row>
    <row r="40" spans="1:14" x14ac:dyDescent="0.2">
      <c r="B40" s="113" t="s">
        <v>35</v>
      </c>
      <c r="C40" s="111">
        <v>3</v>
      </c>
      <c r="D40" s="112">
        <v>5</v>
      </c>
      <c r="E40" s="73">
        <f>(D40-C40)*3</f>
        <v>6</v>
      </c>
      <c r="F40" s="74">
        <f t="shared" si="5"/>
        <v>2</v>
      </c>
      <c r="J40" s="113" t="s">
        <v>38</v>
      </c>
      <c r="K40" s="79">
        <f>L40*I7</f>
        <v>0</v>
      </c>
      <c r="L40" s="115">
        <v>1.4999999999999999E-2</v>
      </c>
    </row>
    <row r="41" spans="1:14" ht="12" thickBot="1" x14ac:dyDescent="0.25">
      <c r="B41" s="72" t="s">
        <v>38</v>
      </c>
      <c r="C41" s="21">
        <v>0</v>
      </c>
      <c r="D41" s="112">
        <v>0</v>
      </c>
      <c r="E41" s="73">
        <f t="shared" si="4"/>
        <v>0</v>
      </c>
      <c r="F41" s="74">
        <f t="shared" si="5"/>
        <v>0</v>
      </c>
      <c r="J41" s="72" t="s">
        <v>37</v>
      </c>
      <c r="K41" s="134">
        <f>L41*I7</f>
        <v>0</v>
      </c>
      <c r="L41" s="20">
        <v>0.03</v>
      </c>
    </row>
    <row r="42" spans="1:14" x14ac:dyDescent="0.2">
      <c r="B42" s="52"/>
      <c r="C42" s="41"/>
      <c r="E42" s="4"/>
      <c r="F42" s="4"/>
      <c r="K42" s="42"/>
    </row>
    <row r="43" spans="1:14" x14ac:dyDescent="0.2">
      <c r="B43" s="7"/>
      <c r="C43" s="9"/>
      <c r="D43" s="4"/>
      <c r="E43" s="4"/>
      <c r="F43" s="4"/>
      <c r="K43" s="40"/>
      <c r="M43" s="145"/>
      <c r="N43" s="145"/>
    </row>
    <row r="44" spans="1:14" x14ac:dyDescent="0.2">
      <c r="B44" s="7"/>
      <c r="C44" s="9"/>
      <c r="D44" s="4"/>
      <c r="E44" s="4"/>
      <c r="F44" s="4"/>
      <c r="J44" s="4"/>
      <c r="K44" s="7"/>
      <c r="L44" s="4"/>
      <c r="M44" s="145"/>
      <c r="N44" s="145"/>
    </row>
    <row r="45" spans="1:14" ht="12" thickBot="1" x14ac:dyDescent="0.25">
      <c r="B45" s="40"/>
      <c r="C45" s="41"/>
      <c r="E45" s="4"/>
      <c r="F45" s="4"/>
      <c r="J45" s="4"/>
      <c r="K45" s="8"/>
      <c r="L45" s="4"/>
    </row>
    <row r="46" spans="1:14" x14ac:dyDescent="0.2">
      <c r="B46" s="165" t="s">
        <v>39</v>
      </c>
      <c r="C46" s="166"/>
      <c r="D46" s="167"/>
      <c r="E46" s="4"/>
      <c r="F46" s="4"/>
      <c r="J46" s="165" t="s">
        <v>40</v>
      </c>
      <c r="K46" s="166"/>
      <c r="L46" s="167"/>
    </row>
    <row r="47" spans="1:14" x14ac:dyDescent="0.2">
      <c r="B47" s="64" t="s">
        <v>60</v>
      </c>
      <c r="C47" s="65" t="s">
        <v>31</v>
      </c>
      <c r="D47" s="116" t="s">
        <v>61</v>
      </c>
      <c r="E47" s="4"/>
      <c r="F47" s="4"/>
      <c r="J47" s="64" t="s">
        <v>10</v>
      </c>
      <c r="K47" s="65" t="s">
        <v>41</v>
      </c>
      <c r="L47" s="116" t="s">
        <v>97</v>
      </c>
    </row>
    <row r="48" spans="1:14" x14ac:dyDescent="0.2">
      <c r="A48" s="162"/>
      <c r="B48" s="113" t="s">
        <v>63</v>
      </c>
      <c r="C48" s="12">
        <v>0</v>
      </c>
      <c r="D48" s="115">
        <v>0</v>
      </c>
      <c r="E48" s="4"/>
      <c r="F48" s="4"/>
      <c r="J48" s="113" t="s">
        <v>11</v>
      </c>
      <c r="K48" s="13" t="s">
        <v>53</v>
      </c>
      <c r="L48" s="27" t="s">
        <v>23</v>
      </c>
    </row>
    <row r="49" spans="1:13" x14ac:dyDescent="0.2">
      <c r="A49" s="162"/>
      <c r="B49" s="66" t="s">
        <v>68</v>
      </c>
      <c r="C49" s="12">
        <v>0</v>
      </c>
      <c r="D49" s="115">
        <v>0</v>
      </c>
      <c r="E49" s="4"/>
      <c r="F49" s="4"/>
      <c r="J49" s="66" t="s">
        <v>12</v>
      </c>
      <c r="K49" s="13" t="s">
        <v>53</v>
      </c>
      <c r="L49" s="14" t="s">
        <v>23</v>
      </c>
    </row>
    <row r="50" spans="1:13" x14ac:dyDescent="0.2">
      <c r="A50" s="162"/>
      <c r="B50" s="113" t="s">
        <v>64</v>
      </c>
      <c r="C50" s="12">
        <v>0</v>
      </c>
      <c r="D50" s="115">
        <v>0</v>
      </c>
      <c r="E50" s="5"/>
      <c r="F50" s="5"/>
      <c r="G50" s="38"/>
      <c r="H50" s="38"/>
      <c r="I50" s="39"/>
      <c r="J50" s="113" t="s">
        <v>13</v>
      </c>
      <c r="K50" s="13" t="s">
        <v>42</v>
      </c>
      <c r="L50" s="14" t="s">
        <v>23</v>
      </c>
    </row>
    <row r="51" spans="1:13" x14ac:dyDescent="0.2">
      <c r="B51" s="66" t="s">
        <v>59</v>
      </c>
      <c r="C51" s="12">
        <v>0</v>
      </c>
      <c r="D51" s="115">
        <v>0</v>
      </c>
      <c r="E51" s="4"/>
      <c r="F51" s="4"/>
      <c r="J51" s="66" t="s">
        <v>14</v>
      </c>
      <c r="K51" s="13" t="s">
        <v>42</v>
      </c>
      <c r="L51" s="14" t="s">
        <v>23</v>
      </c>
    </row>
    <row r="52" spans="1:13" ht="12" thickBot="1" x14ac:dyDescent="0.25">
      <c r="B52" s="67" t="s">
        <v>22</v>
      </c>
      <c r="C52" s="126">
        <f>SUM(C48:C51)</f>
        <v>0</v>
      </c>
      <c r="D52" s="20">
        <f>SUM(D48:D51)</f>
        <v>0</v>
      </c>
      <c r="E52" s="4"/>
      <c r="F52" s="4"/>
      <c r="J52" s="113" t="s">
        <v>15</v>
      </c>
      <c r="K52" s="13" t="s">
        <v>42</v>
      </c>
      <c r="L52" s="14" t="s">
        <v>23</v>
      </c>
    </row>
    <row r="53" spans="1:13" ht="12" thickBot="1" x14ac:dyDescent="0.25">
      <c r="B53" s="43"/>
      <c r="C53" s="44"/>
      <c r="D53" s="45"/>
      <c r="J53" s="66" t="s">
        <v>16</v>
      </c>
      <c r="K53" s="13" t="s">
        <v>42</v>
      </c>
      <c r="L53" s="14" t="s">
        <v>23</v>
      </c>
    </row>
    <row r="54" spans="1:13" x14ac:dyDescent="0.2">
      <c r="A54" s="4"/>
      <c r="B54" s="68" t="s">
        <v>79</v>
      </c>
      <c r="C54" s="177">
        <v>0</v>
      </c>
      <c r="D54" s="178"/>
      <c r="J54" s="113" t="s">
        <v>17</v>
      </c>
      <c r="K54" s="13" t="s">
        <v>42</v>
      </c>
      <c r="L54" s="14" t="s">
        <v>23</v>
      </c>
    </row>
    <row r="55" spans="1:13" x14ac:dyDescent="0.2">
      <c r="B55" s="66" t="s">
        <v>78</v>
      </c>
      <c r="C55" s="175">
        <v>0</v>
      </c>
      <c r="D55" s="176"/>
      <c r="E55" s="4"/>
      <c r="F55" s="4"/>
      <c r="J55" s="66" t="s">
        <v>18</v>
      </c>
      <c r="K55" s="13" t="s">
        <v>54</v>
      </c>
      <c r="L55" s="14" t="s">
        <v>23</v>
      </c>
    </row>
    <row r="56" spans="1:13" x14ac:dyDescent="0.2">
      <c r="B56" s="69" t="s">
        <v>80</v>
      </c>
      <c r="C56" s="127">
        <f>D56*I7</f>
        <v>0</v>
      </c>
      <c r="D56" s="115">
        <v>0</v>
      </c>
      <c r="E56" s="4"/>
      <c r="F56" s="4"/>
      <c r="J56" s="113" t="s">
        <v>19</v>
      </c>
      <c r="K56" s="13" t="s">
        <v>42</v>
      </c>
      <c r="L56" s="14" t="s">
        <v>23</v>
      </c>
    </row>
    <row r="57" spans="1:13" ht="12" thickBot="1" x14ac:dyDescent="0.25">
      <c r="B57" s="70" t="s">
        <v>81</v>
      </c>
      <c r="C57" s="128">
        <f>D57*I7</f>
        <v>0</v>
      </c>
      <c r="D57" s="20">
        <v>0</v>
      </c>
      <c r="J57" s="72" t="s">
        <v>20</v>
      </c>
      <c r="K57" s="15" t="s">
        <v>42</v>
      </c>
      <c r="L57" s="16" t="s">
        <v>23</v>
      </c>
    </row>
    <row r="58" spans="1:13" ht="16.5" x14ac:dyDescent="0.2">
      <c r="B58" s="71" t="s">
        <v>77</v>
      </c>
      <c r="C58" s="41"/>
      <c r="J58" s="71" t="s">
        <v>70</v>
      </c>
      <c r="L58" s="46"/>
    </row>
    <row r="59" spans="1:13" ht="12" thickBot="1" x14ac:dyDescent="0.25">
      <c r="C59" s="47"/>
      <c r="L59" s="47"/>
    </row>
    <row r="60" spans="1:13" x14ac:dyDescent="0.2">
      <c r="B60" s="157" t="s">
        <v>75</v>
      </c>
      <c r="C60" s="158"/>
      <c r="D60" s="158"/>
      <c r="E60" s="158"/>
      <c r="F60" s="158"/>
      <c r="G60" s="158"/>
      <c r="H60" s="158"/>
      <c r="I60" s="158"/>
      <c r="J60" s="158"/>
      <c r="K60" s="158"/>
      <c r="L60" s="159"/>
    </row>
    <row r="61" spans="1:13" x14ac:dyDescent="0.2">
      <c r="B61" s="57" t="s">
        <v>56</v>
      </c>
      <c r="C61" s="110" t="s">
        <v>57</v>
      </c>
      <c r="D61" s="110" t="s">
        <v>76</v>
      </c>
      <c r="E61" s="110" t="s">
        <v>58</v>
      </c>
      <c r="F61" s="110" t="s">
        <v>98</v>
      </c>
      <c r="G61" s="110" t="s">
        <v>99</v>
      </c>
      <c r="H61" s="110" t="s">
        <v>100</v>
      </c>
      <c r="I61" s="110" t="s">
        <v>103</v>
      </c>
      <c r="J61" s="110" t="s">
        <v>6</v>
      </c>
      <c r="K61" s="160" t="s">
        <v>7</v>
      </c>
      <c r="L61" s="161"/>
    </row>
    <row r="62" spans="1:13" x14ac:dyDescent="0.2">
      <c r="B62" s="58">
        <v>1</v>
      </c>
      <c r="C62" s="10">
        <v>0</v>
      </c>
      <c r="D62" s="28">
        <v>15000</v>
      </c>
      <c r="E62" s="62">
        <f>D62*C62</f>
        <v>0</v>
      </c>
      <c r="F62" s="103">
        <f>$F$68*E62</f>
        <v>0</v>
      </c>
      <c r="G62" s="104">
        <f>$G$68*E62</f>
        <v>0</v>
      </c>
      <c r="H62" s="104">
        <f>$H$68*G62</f>
        <v>0</v>
      </c>
      <c r="I62" s="62">
        <f>SUM(E62:H62)</f>
        <v>0</v>
      </c>
      <c r="J62" s="11">
        <v>2.0499999999999998</v>
      </c>
      <c r="K62" s="153">
        <f>J62*C62</f>
        <v>0</v>
      </c>
      <c r="L62" s="154"/>
      <c r="M62" s="146" t="e">
        <f>K62/$K$67</f>
        <v>#DIV/0!</v>
      </c>
    </row>
    <row r="63" spans="1:13" x14ac:dyDescent="0.2">
      <c r="B63" s="59">
        <v>2</v>
      </c>
      <c r="C63" s="10">
        <v>0</v>
      </c>
      <c r="D63" s="28">
        <v>7000</v>
      </c>
      <c r="E63" s="63">
        <f>D63*C63</f>
        <v>0</v>
      </c>
      <c r="F63" s="105">
        <f>$F$68*E63</f>
        <v>0</v>
      </c>
      <c r="G63" s="105">
        <f>$G$68*E63</f>
        <v>0</v>
      </c>
      <c r="H63" s="105">
        <f t="shared" ref="H63:H65" si="6">$H$68*G63</f>
        <v>0</v>
      </c>
      <c r="I63" s="63">
        <f t="shared" ref="I63:I66" si="7">SUM(E63:H63)</f>
        <v>0</v>
      </c>
      <c r="J63" s="11">
        <v>1.89</v>
      </c>
      <c r="K63" s="151">
        <f>J63*C63</f>
        <v>0</v>
      </c>
      <c r="L63" s="152"/>
      <c r="M63" s="146" t="e">
        <f t="shared" ref="M63:M64" si="8">K63/$K$67</f>
        <v>#DIV/0!</v>
      </c>
    </row>
    <row r="64" spans="1:13" x14ac:dyDescent="0.2">
      <c r="B64" s="58">
        <v>3</v>
      </c>
      <c r="C64" s="10">
        <v>0</v>
      </c>
      <c r="D64" s="28">
        <v>7000</v>
      </c>
      <c r="E64" s="62">
        <f>D64*C64</f>
        <v>0</v>
      </c>
      <c r="F64" s="104">
        <f>$F$68*E64</f>
        <v>0</v>
      </c>
      <c r="G64" s="104">
        <f>$G$68*E64</f>
        <v>0</v>
      </c>
      <c r="H64" s="104">
        <f t="shared" si="6"/>
        <v>0</v>
      </c>
      <c r="I64" s="62">
        <f t="shared" si="7"/>
        <v>0</v>
      </c>
      <c r="J64" s="11">
        <v>1.8</v>
      </c>
      <c r="K64" s="153">
        <f>J64*C64</f>
        <v>0</v>
      </c>
      <c r="L64" s="154"/>
      <c r="M64" s="146" t="e">
        <f t="shared" si="8"/>
        <v>#DIV/0!</v>
      </c>
    </row>
    <row r="65" spans="2:14" x14ac:dyDescent="0.2">
      <c r="B65" s="59">
        <v>4</v>
      </c>
      <c r="C65" s="10"/>
      <c r="D65" s="28"/>
      <c r="E65" s="63">
        <f>D65*C65</f>
        <v>0</v>
      </c>
      <c r="F65" s="105">
        <f>$F$68*E65</f>
        <v>0</v>
      </c>
      <c r="G65" s="105">
        <f>$G$68*E65</f>
        <v>0</v>
      </c>
      <c r="H65" s="105">
        <f t="shared" si="6"/>
        <v>0</v>
      </c>
      <c r="I65" s="63">
        <f t="shared" si="7"/>
        <v>0</v>
      </c>
      <c r="J65" s="11"/>
      <c r="K65" s="151">
        <f>J65*C65</f>
        <v>0</v>
      </c>
      <c r="L65" s="152"/>
      <c r="M65" s="146"/>
    </row>
    <row r="66" spans="2:14" x14ac:dyDescent="0.2">
      <c r="B66" s="58">
        <v>5</v>
      </c>
      <c r="C66" s="10"/>
      <c r="D66" s="28"/>
      <c r="E66" s="62">
        <f>D66*C66</f>
        <v>0</v>
      </c>
      <c r="F66" s="104">
        <f>$F$68*E66</f>
        <v>0</v>
      </c>
      <c r="G66" s="104">
        <f>$G$68*E66</f>
        <v>0</v>
      </c>
      <c r="H66" s="104">
        <f>$H$68*G66</f>
        <v>0</v>
      </c>
      <c r="I66" s="62">
        <f t="shared" si="7"/>
        <v>0</v>
      </c>
      <c r="J66" s="11"/>
      <c r="K66" s="153">
        <f>J66*C66</f>
        <v>0</v>
      </c>
      <c r="L66" s="154"/>
      <c r="M66" s="146"/>
    </row>
    <row r="67" spans="2:14" ht="12" thickBot="1" x14ac:dyDescent="0.25">
      <c r="B67" s="60" t="s">
        <v>22</v>
      </c>
      <c r="C67" s="129">
        <f>SUM(C62:C66)</f>
        <v>0</v>
      </c>
      <c r="D67" s="130" t="str">
        <f>IFERROR(E67/C67, "0.00")</f>
        <v>0.00</v>
      </c>
      <c r="E67" s="61">
        <f>SUM(E62:E66)</f>
        <v>0</v>
      </c>
      <c r="F67" s="106">
        <f>SUM(F62:F66)</f>
        <v>0</v>
      </c>
      <c r="G67" s="106">
        <f>SUM(G62:G66)</f>
        <v>0</v>
      </c>
      <c r="H67" s="106">
        <f>SUM(H62:H66)</f>
        <v>0</v>
      </c>
      <c r="I67" s="61">
        <f>SUM(I62:I66)</f>
        <v>0</v>
      </c>
      <c r="J67" s="131" t="str">
        <f>IFERROR(K67/C67, "0.00")</f>
        <v>0.00</v>
      </c>
      <c r="K67" s="155">
        <f>SUM(K62:L66)</f>
        <v>0</v>
      </c>
      <c r="L67" s="156"/>
    </row>
    <row r="68" spans="2:14" ht="12" thickBot="1" x14ac:dyDescent="0.25">
      <c r="B68" s="53"/>
      <c r="C68" s="53"/>
      <c r="D68" s="53"/>
      <c r="E68" s="54"/>
      <c r="F68" s="107">
        <v>0</v>
      </c>
      <c r="G68" s="108">
        <v>0</v>
      </c>
      <c r="H68" s="109">
        <v>0</v>
      </c>
      <c r="I68" s="53"/>
      <c r="J68" s="53"/>
      <c r="K68" s="53"/>
      <c r="L68" s="53"/>
    </row>
    <row r="69" spans="2:14" x14ac:dyDescent="0.2">
      <c r="E69" s="48"/>
    </row>
    <row r="70" spans="2:14" x14ac:dyDescent="0.2">
      <c r="E70" s="48"/>
      <c r="K70" s="49"/>
      <c r="L70" s="49"/>
      <c r="M70" s="141"/>
      <c r="N70" s="141"/>
    </row>
    <row r="71" spans="2:14" x14ac:dyDescent="0.2">
      <c r="E71" s="48"/>
      <c r="K71" s="49"/>
      <c r="L71" s="49"/>
      <c r="M71" s="141"/>
      <c r="N71" s="141"/>
    </row>
    <row r="72" spans="2:14" x14ac:dyDescent="0.2">
      <c r="E72" s="48"/>
      <c r="K72" s="49"/>
      <c r="L72" s="49"/>
      <c r="M72" s="141"/>
      <c r="N72" s="141"/>
    </row>
    <row r="73" spans="2:14" x14ac:dyDescent="0.2">
      <c r="K73" s="49"/>
      <c r="L73" s="49"/>
      <c r="M73" s="141"/>
      <c r="N73" s="141"/>
    </row>
    <row r="74" spans="2:14" x14ac:dyDescent="0.2">
      <c r="C74" s="138"/>
      <c r="K74" s="49"/>
      <c r="L74" s="49"/>
      <c r="M74" s="141"/>
      <c r="N74" s="141"/>
    </row>
    <row r="75" spans="2:14" x14ac:dyDescent="0.2">
      <c r="K75" s="49"/>
      <c r="L75" s="49"/>
      <c r="M75" s="141"/>
      <c r="N75" s="141"/>
    </row>
    <row r="76" spans="2:14" x14ac:dyDescent="0.2">
      <c r="K76" s="49"/>
      <c r="L76" s="49"/>
      <c r="M76" s="141"/>
      <c r="N76" s="141"/>
    </row>
    <row r="107" spans="2:7" x14ac:dyDescent="0.2">
      <c r="B107" s="48"/>
      <c r="C107" s="48"/>
      <c r="D107" s="48"/>
      <c r="E107" s="48"/>
      <c r="F107" s="48"/>
      <c r="G107" s="48"/>
    </row>
    <row r="108" spans="2:7" x14ac:dyDescent="0.2">
      <c r="B108" s="48"/>
      <c r="C108" s="48"/>
      <c r="D108" s="48"/>
      <c r="E108" s="48"/>
      <c r="F108" s="48"/>
      <c r="G108" s="48"/>
    </row>
    <row r="109" spans="2:7" x14ac:dyDescent="0.2">
      <c r="B109" s="48"/>
      <c r="C109" s="48"/>
      <c r="D109" s="48"/>
      <c r="E109" s="48"/>
      <c r="F109" s="48"/>
      <c r="G109" s="48"/>
    </row>
    <row r="110" spans="2:7" x14ac:dyDescent="0.2">
      <c r="B110" s="48"/>
      <c r="C110" s="48"/>
      <c r="D110" s="48"/>
      <c r="E110" s="48"/>
      <c r="F110" s="48"/>
      <c r="G110" s="48"/>
    </row>
    <row r="111" spans="2:7" x14ac:dyDescent="0.2">
      <c r="B111" s="48"/>
      <c r="C111" s="48"/>
      <c r="D111" s="48"/>
      <c r="E111" s="48"/>
      <c r="F111" s="48"/>
      <c r="G111" s="48"/>
    </row>
    <row r="112" spans="2:7" x14ac:dyDescent="0.2">
      <c r="C112" s="48"/>
    </row>
    <row r="113" spans="2:5" x14ac:dyDescent="0.2">
      <c r="C113" s="50"/>
      <c r="D113" s="48"/>
      <c r="E113" s="48"/>
    </row>
    <row r="114" spans="2:5" x14ac:dyDescent="0.2">
      <c r="B114" s="26" t="s">
        <v>42</v>
      </c>
      <c r="C114" s="51"/>
      <c r="E114" s="48"/>
    </row>
    <row r="115" spans="2:5" x14ac:dyDescent="0.2">
      <c r="B115" s="26" t="s">
        <v>53</v>
      </c>
    </row>
    <row r="116" spans="2:5" x14ac:dyDescent="0.2">
      <c r="B116" s="26" t="s">
        <v>43</v>
      </c>
    </row>
    <row r="117" spans="2:5" x14ac:dyDescent="0.2">
      <c r="B117" s="26" t="s">
        <v>67</v>
      </c>
    </row>
    <row r="118" spans="2:5" x14ac:dyDescent="0.2">
      <c r="B118" s="26" t="s">
        <v>55</v>
      </c>
    </row>
    <row r="119" spans="2:5" x14ac:dyDescent="0.2">
      <c r="B119" s="26" t="s">
        <v>54</v>
      </c>
    </row>
    <row r="120" spans="2:5" x14ac:dyDescent="0.2">
      <c r="B120" s="26" t="s">
        <v>44</v>
      </c>
    </row>
    <row r="121" spans="2:5" x14ac:dyDescent="0.2">
      <c r="B121" s="26" t="s">
        <v>66</v>
      </c>
    </row>
    <row r="122" spans="2:5" x14ac:dyDescent="0.2">
      <c r="B122" s="6"/>
    </row>
  </sheetData>
  <sheetProtection formatCells="0" formatColumns="0" formatRows="0"/>
  <mergeCells count="30">
    <mergeCell ref="I7:J7"/>
    <mergeCell ref="I6:J6"/>
    <mergeCell ref="C55:D55"/>
    <mergeCell ref="C54:D54"/>
    <mergeCell ref="I3:L3"/>
    <mergeCell ref="C35:D35"/>
    <mergeCell ref="B4:J5"/>
    <mergeCell ref="H27:J27"/>
    <mergeCell ref="B25:B26"/>
    <mergeCell ref="C25:J26"/>
    <mergeCell ref="L4:L5"/>
    <mergeCell ref="K4:K5"/>
    <mergeCell ref="E27:F27"/>
    <mergeCell ref="J46:L46"/>
    <mergeCell ref="B33:D33"/>
    <mergeCell ref="J33:L33"/>
    <mergeCell ref="A48:A50"/>
    <mergeCell ref="C36:D36"/>
    <mergeCell ref="B46:D46"/>
    <mergeCell ref="C37:D37"/>
    <mergeCell ref="B35:B36"/>
    <mergeCell ref="E35:E36"/>
    <mergeCell ref="K65:L65"/>
    <mergeCell ref="K66:L66"/>
    <mergeCell ref="K67:L67"/>
    <mergeCell ref="B60:L60"/>
    <mergeCell ref="K61:L61"/>
    <mergeCell ref="K62:L62"/>
    <mergeCell ref="K63:L63"/>
    <mergeCell ref="K64:L64"/>
  </mergeCells>
  <conditionalFormatting sqref="B9:B18 D9:L18 B20:B24 D20:L24 D62:K66">
    <cfRule type="expression" dxfId="11" priority="8">
      <formula>$C9=0</formula>
    </cfRule>
  </conditionalFormatting>
  <conditionalFormatting sqref="B62:B66">
    <cfRule type="expression" dxfId="10" priority="6">
      <formula>$C62=0</formula>
    </cfRule>
  </conditionalFormatting>
  <conditionalFormatting sqref="C20">
    <cfRule type="cellIs" dxfId="9" priority="2" operator="equal">
      <formula>0</formula>
    </cfRule>
    <cfRule type="cellIs" dxfId="8" priority="7" operator="lessThan">
      <formula>-0.0001</formula>
    </cfRule>
    <cfRule type="cellIs" dxfId="7" priority="11" operator="equal">
      <formula>1</formula>
    </cfRule>
  </conditionalFormatting>
  <conditionalFormatting sqref="C24">
    <cfRule type="containsText" dxfId="6" priority="12" operator="containsText" text="FALSE">
      <formula>NOT(ISERROR(SEARCH("FALSE",C24)))</formula>
    </cfRule>
    <cfRule type="containsText" dxfId="5" priority="13" operator="containsText" text="TRUE">
      <formula>NOT(ISERROR(SEARCH("TRUE",C24)))</formula>
    </cfRule>
  </conditionalFormatting>
  <conditionalFormatting sqref="D67 J67">
    <cfRule type="containsText" dxfId="4" priority="5" operator="containsText" text="0.00">
      <formula>NOT(ISERROR(SEARCH("0.00",D67)))</formula>
    </cfRule>
  </conditionalFormatting>
  <conditionalFormatting sqref="J35:J41">
    <cfRule type="expression" dxfId="3" priority="3">
      <formula>$L35=0</formula>
    </cfRule>
  </conditionalFormatting>
  <conditionalFormatting sqref="K48:K57">
    <cfRule type="containsText" dxfId="2" priority="9" operator="containsText" text="اختر">
      <formula>NOT(ISERROR(SEARCH("اختر",K48)))</formula>
    </cfRule>
  </conditionalFormatting>
  <conditionalFormatting sqref="K7:L24 L25:L27 C35:D41 K35:L41 C48:D52 C54:D57 C62:E67 I62:L67 F67:I68">
    <cfRule type="cellIs" dxfId="1" priority="10" operator="equal">
      <formula>0</formula>
    </cfRule>
  </conditionalFormatting>
  <conditionalFormatting sqref="K8:L8">
    <cfRule type="expression" dxfId="0" priority="1">
      <formula>$C8=0</formula>
    </cfRule>
  </conditionalFormatting>
  <dataValidations count="1">
    <dataValidation type="list" allowBlank="1" showErrorMessage="1" sqref="K48:K57" xr:uid="{BAB6AAC0-AF6A-4A8D-96E6-01D538BEA843}">
      <formula1>$B$114:$B$121</formula1>
    </dataValidation>
  </dataValidations>
  <pageMargins left="0.7" right="0.7" top="0.75" bottom="0.75" header="0.3" footer="0.3"/>
  <pageSetup paperSize="9" orientation="portrait" r:id="rId1"/>
  <ignoredErrors>
    <ignoredError sqref="K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عبدالله</dc:creator>
  <cp:lastModifiedBy>Omar Almayouf</cp:lastModifiedBy>
  <dcterms:created xsi:type="dcterms:W3CDTF">2025-03-25T17:42:41Z</dcterms:created>
  <dcterms:modified xsi:type="dcterms:W3CDTF">2026-06-24T08:43:02Z</dcterms:modified>
</cp:coreProperties>
</file>