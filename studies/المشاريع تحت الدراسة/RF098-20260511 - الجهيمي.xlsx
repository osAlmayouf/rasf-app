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My work\الدراسات المالية - (عمر - عبدالله)\الدراسات\مرحلة الدراسة\المسار الرياضي حي الربيع - الجهيمي\"/>
    </mc:Choice>
  </mc:AlternateContent>
  <xr:revisionPtr revIDLastSave="0" documentId="13_ncr:1_{09547E4D-70E8-4BA6-BE85-A95B3ADC3ED9}" xr6:coauthVersionLast="47" xr6:coauthVersionMax="47" xr10:uidLastSave="{00000000-0000-0000-0000-000000000000}"/>
  <bookViews>
    <workbookView xWindow="-120" yWindow="-120" windowWidth="51840" windowHeight="21120" tabRatio="851" xr2:uid="{08494FB3-3157-40BF-A39A-1857DBA01C82}"/>
  </bookViews>
  <sheets>
    <sheet name="Study" sheetId="1" r:id="rId1"/>
    <sheet name="Summary" sheetId="2" r:id="rId2"/>
    <sheet name="Indicators" sheetId="3" r:id="rId3"/>
    <sheet name="Sheet1" sheetId="4" r:id="rId4"/>
  </sheets>
  <externalReferences>
    <externalReference r:id="rId5"/>
  </externalReferences>
  <definedNames>
    <definedName name="_xlnm._FilterDatabase" localSheetId="0" hidden="1">Study!$AG$160:$AG$161</definedName>
    <definedName name="_xlchart.v1.0" hidden="1">Sheet1!$P$13:$P$27</definedName>
    <definedName name="_xlchart.v1.1" hidden="1">Sheet1!$Q$13:$Q$27</definedName>
    <definedName name="_xlchart.v1.2" hidden="1">Sheet1!$B$11:$B$15</definedName>
    <definedName name="_xlchart.v1.3" hidden="1">Sheet1!$C$11:$C$15</definedName>
    <definedName name="AuditFailsCommercial">[1]Audit!$G$12</definedName>
    <definedName name="AuditFailsStructural">[1]Audit!$G$11</definedName>
    <definedName name="AuditOK">[1]Audit!$G$13</definedName>
    <definedName name="_xlnm.Print_Area" localSheetId="2">Indicators!$C$3:$U$88</definedName>
    <definedName name="_xlnm.Print_Area" localSheetId="1">Summary!$A$1:$K$168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4" i="1" l="1"/>
  <c r="C218" i="1"/>
  <c r="C219" i="1"/>
  <c r="C223" i="1"/>
  <c r="C188" i="1"/>
  <c r="C221" i="1"/>
  <c r="C225" i="1" s="1"/>
  <c r="S188" i="1"/>
  <c r="S213" i="1"/>
  <c r="S185" i="1"/>
  <c r="P213" i="1"/>
  <c r="I157" i="1"/>
  <c r="G156" i="1"/>
  <c r="E156" i="1"/>
  <c r="C156" i="1"/>
  <c r="D156" i="1"/>
  <c r="D153" i="1"/>
  <c r="D159" i="1"/>
  <c r="E159" i="1"/>
  <c r="F159" i="1" s="1"/>
  <c r="F161" i="1" s="1"/>
  <c r="F160" i="1"/>
  <c r="D161" i="1"/>
  <c r="G216" i="1"/>
  <c r="I152" i="1"/>
  <c r="Y154" i="1"/>
  <c r="Y157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F212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M207" i="1"/>
  <c r="F207" i="1"/>
  <c r="G207" i="1"/>
  <c r="H207" i="1"/>
  <c r="I207" i="1"/>
  <c r="J207" i="1"/>
  <c r="K207" i="1"/>
  <c r="L207" i="1"/>
  <c r="C96" i="1"/>
  <c r="G208" i="1" l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F208" i="1"/>
  <c r="T204" i="1"/>
  <c r="T205" i="1"/>
  <c r="T206" i="1"/>
  <c r="S206" i="1"/>
  <c r="S205" i="1"/>
  <c r="S204" i="1"/>
  <c r="T202" i="1"/>
  <c r="S202" i="1"/>
  <c r="G201" i="1"/>
  <c r="H201" i="1"/>
  <c r="I201" i="1"/>
  <c r="F201" i="1"/>
  <c r="I199" i="1"/>
  <c r="I198" i="1"/>
  <c r="H198" i="1"/>
  <c r="C59" i="4" l="1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P27" i="4" l="1"/>
  <c r="P26" i="4"/>
  <c r="P25" i="4"/>
  <c r="P24" i="4"/>
  <c r="P23" i="4"/>
  <c r="P22" i="4"/>
  <c r="P21" i="4"/>
  <c r="P20" i="4"/>
  <c r="P19" i="4"/>
  <c r="M19" i="4"/>
  <c r="P18" i="4"/>
  <c r="M18" i="4"/>
  <c r="P17" i="4"/>
  <c r="P16" i="4"/>
  <c r="P15" i="4"/>
  <c r="P14" i="4"/>
  <c r="P13" i="4"/>
  <c r="P12" i="4"/>
  <c r="P11" i="4"/>
  <c r="B57" i="4"/>
  <c r="B56" i="4" s="1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B6" i="4"/>
  <c r="C24" i="4"/>
  <c r="C25" i="4"/>
  <c r="C41" i="4"/>
  <c r="D41" i="4" s="1"/>
  <c r="D46" i="4" s="1"/>
  <c r="C42" i="4"/>
  <c r="D42" i="4" s="1"/>
  <c r="C43" i="4"/>
  <c r="D43" i="4" s="1"/>
  <c r="C44" i="4"/>
  <c r="D44" i="4" s="1"/>
  <c r="C45" i="4"/>
  <c r="D45" i="4" s="1"/>
  <c r="AC325" i="1"/>
  <c r="AB325" i="1"/>
  <c r="AA325" i="1"/>
  <c r="Z325" i="1"/>
  <c r="Y325" i="1"/>
  <c r="Y214" i="1" s="1"/>
  <c r="X325" i="1"/>
  <c r="X214" i="1" s="1"/>
  <c r="W325" i="1"/>
  <c r="W214" i="1" s="1"/>
  <c r="V325" i="1"/>
  <c r="V214" i="1" s="1"/>
  <c r="T325" i="1"/>
  <c r="T214" i="1" s="1"/>
  <c r="R325" i="1"/>
  <c r="R214" i="1" s="1"/>
  <c r="P325" i="1"/>
  <c r="P214" i="1" s="1"/>
  <c r="N325" i="1"/>
  <c r="N214" i="1" s="1"/>
  <c r="L325" i="1"/>
  <c r="L214" i="1" s="1"/>
  <c r="J325" i="1"/>
  <c r="J214" i="1" s="1"/>
  <c r="H325" i="1"/>
  <c r="H214" i="1" s="1"/>
  <c r="C46" i="4" l="1"/>
  <c r="J199" i="1" l="1"/>
  <c r="C7" i="3"/>
  <c r="F66" i="4" l="1"/>
  <c r="F60" i="4"/>
  <c r="U88" i="3"/>
  <c r="B3" i="2"/>
  <c r="I3" i="2"/>
  <c r="BW1" i="1"/>
  <c r="BZ12" i="1"/>
  <c r="AH13" i="1"/>
  <c r="AH14" i="1" s="1"/>
  <c r="BA14" i="1"/>
  <c r="BC14" i="1"/>
  <c r="BX15" i="1"/>
  <c r="BZ16" i="1"/>
  <c r="CA16" i="1" s="1"/>
  <c r="AH21" i="1"/>
  <c r="AH22" i="1"/>
  <c r="AH23" i="1"/>
  <c r="AH24" i="1"/>
  <c r="AH25" i="1"/>
  <c r="AH26" i="1"/>
  <c r="AH27" i="1"/>
  <c r="AH28" i="1"/>
  <c r="AH29" i="1"/>
  <c r="AH30" i="1"/>
  <c r="AT31" i="1"/>
  <c r="AT32" i="1" s="1"/>
  <c r="AR32" i="1"/>
  <c r="BA32" i="1"/>
  <c r="BC32" i="1"/>
  <c r="AH39" i="1"/>
  <c r="AH40" i="1"/>
  <c r="AH41" i="1"/>
  <c r="AH42" i="1"/>
  <c r="AH43" i="1"/>
  <c r="AH44" i="1"/>
  <c r="AH45" i="1"/>
  <c r="AH46" i="1"/>
  <c r="AH47" i="1"/>
  <c r="AH48" i="1"/>
  <c r="AM50" i="1"/>
  <c r="AO50" i="1"/>
  <c r="BA50" i="1"/>
  <c r="BC50" i="1"/>
  <c r="C129" i="1"/>
  <c r="C130" i="1"/>
  <c r="C131" i="1"/>
  <c r="C132" i="1"/>
  <c r="C133" i="1"/>
  <c r="C134" i="1"/>
  <c r="C135" i="1"/>
  <c r="C136" i="1"/>
  <c r="C137" i="1"/>
  <c r="C138" i="1"/>
  <c r="S129" i="1"/>
  <c r="D129" i="1" s="1"/>
  <c r="AO3" i="1" s="1"/>
  <c r="C155" i="1"/>
  <c r="C154" i="1"/>
  <c r="C153" i="1"/>
  <c r="C152" i="1"/>
  <c r="C151" i="1"/>
  <c r="C150" i="1"/>
  <c r="C149" i="1"/>
  <c r="C148" i="1"/>
  <c r="C147" i="1"/>
  <c r="R148" i="1"/>
  <c r="T148" i="1" s="1"/>
  <c r="R149" i="1"/>
  <c r="T149" i="1" s="1"/>
  <c r="R150" i="1"/>
  <c r="T150" i="1" s="1"/>
  <c r="R151" i="1"/>
  <c r="T151" i="1" s="1"/>
  <c r="R152" i="1"/>
  <c r="T152" i="1" s="1"/>
  <c r="R153" i="1"/>
  <c r="T153" i="1" s="1"/>
  <c r="R154" i="1"/>
  <c r="T154" i="1" s="1"/>
  <c r="R155" i="1"/>
  <c r="T155" i="1" s="1"/>
  <c r="R156" i="1"/>
  <c r="T156" i="1" s="1"/>
  <c r="R147" i="1"/>
  <c r="T147" i="1" s="1"/>
  <c r="AH49" i="1" l="1"/>
  <c r="AH50" i="1" s="1"/>
  <c r="AH31" i="1"/>
  <c r="AH32" i="1" s="1"/>
  <c r="AO21" i="1"/>
  <c r="AO39" i="1" s="1"/>
  <c r="C93" i="1"/>
  <c r="E215" i="1"/>
  <c r="C106" i="1" s="1"/>
  <c r="K60" i="1" l="1"/>
  <c r="D276" i="1"/>
  <c r="D292" i="1"/>
  <c r="V154" i="1"/>
  <c r="S130" i="1" l="1"/>
  <c r="AO22" i="1" s="1"/>
  <c r="C157" i="1"/>
  <c r="R139" i="1"/>
  <c r="B268" i="1" s="1"/>
  <c r="C139" i="1"/>
  <c r="D130" i="1" l="1"/>
  <c r="AO4" i="1" s="1"/>
  <c r="X154" i="1"/>
  <c r="AC154" i="1" s="1"/>
  <c r="AO40" i="1" l="1"/>
  <c r="F250" i="1"/>
  <c r="F256" i="1" l="1"/>
  <c r="F244" i="1"/>
  <c r="E270" i="1"/>
  <c r="Z252" i="1"/>
  <c r="Y256" i="1"/>
  <c r="Z256" i="1"/>
  <c r="AA252" i="1"/>
  <c r="AB252" i="1"/>
  <c r="AC252" i="1"/>
  <c r="AA256" i="1"/>
  <c r="AB256" i="1"/>
  <c r="AC256" i="1"/>
  <c r="Y252" i="1"/>
  <c r="Z244" i="1"/>
  <c r="AA244" i="1"/>
  <c r="AB244" i="1"/>
  <c r="AC244" i="1"/>
  <c r="Y244" i="1"/>
  <c r="Z242" i="1"/>
  <c r="J266" i="1"/>
  <c r="K266" i="1"/>
  <c r="H266" i="1"/>
  <c r="F266" i="1"/>
  <c r="F199" i="1"/>
  <c r="L44" i="1"/>
  <c r="B96" i="2" l="1"/>
  <c r="B97" i="2"/>
  <c r="J54" i="2"/>
  <c r="J53" i="2"/>
  <c r="J52" i="2"/>
  <c r="C27" i="2"/>
  <c r="C28" i="2"/>
  <c r="C29" i="2"/>
  <c r="C30" i="2"/>
  <c r="C31" i="2"/>
  <c r="C32" i="2"/>
  <c r="C33" i="2"/>
  <c r="C34" i="2"/>
  <c r="C35" i="2"/>
  <c r="C26" i="2"/>
  <c r="X256" i="1"/>
  <c r="V256" i="1"/>
  <c r="U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V242" i="1"/>
  <c r="R242" i="1"/>
  <c r="N242" i="1"/>
  <c r="J242" i="1"/>
  <c r="F242" i="1"/>
  <c r="F240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H199" i="1"/>
  <c r="C181" i="1"/>
  <c r="F181" i="1" s="1"/>
  <c r="C180" i="1"/>
  <c r="F180" i="1" s="1"/>
  <c r="G177" i="1"/>
  <c r="C57" i="4" s="1"/>
  <c r="E175" i="1"/>
  <c r="D175" i="1" s="1"/>
  <c r="E174" i="1"/>
  <c r="D174" i="1" s="1"/>
  <c r="E173" i="1"/>
  <c r="D173" i="1" s="1"/>
  <c r="E172" i="1"/>
  <c r="D172" i="1" s="1"/>
  <c r="E171" i="1"/>
  <c r="D171" i="1" s="1"/>
  <c r="R157" i="1"/>
  <c r="X156" i="1"/>
  <c r="Y156" i="1" s="1"/>
  <c r="X153" i="1"/>
  <c r="Y153" i="1" s="1"/>
  <c r="X152" i="1"/>
  <c r="Y152" i="1" s="1"/>
  <c r="X151" i="1"/>
  <c r="Y151" i="1" s="1"/>
  <c r="X148" i="1"/>
  <c r="Y148" i="1" s="1"/>
  <c r="S138" i="1"/>
  <c r="AO30" i="1" s="1"/>
  <c r="S137" i="1"/>
  <c r="AO29" i="1" s="1"/>
  <c r="S136" i="1"/>
  <c r="AO28" i="1" s="1"/>
  <c r="S135" i="1"/>
  <c r="AO27" i="1" s="1"/>
  <c r="S134" i="1"/>
  <c r="AO26" i="1" s="1"/>
  <c r="S133" i="1"/>
  <c r="AO25" i="1" s="1"/>
  <c r="S132" i="1"/>
  <c r="AO24" i="1" s="1"/>
  <c r="S131" i="1"/>
  <c r="AO23" i="1" s="1"/>
  <c r="D270" i="1"/>
  <c r="F128" i="1"/>
  <c r="E128" i="1"/>
  <c r="C204" i="1"/>
  <c r="C86" i="1"/>
  <c r="H76" i="1"/>
  <c r="K68" i="1"/>
  <c r="K65" i="1"/>
  <c r="K64" i="1"/>
  <c r="K63" i="1"/>
  <c r="K62" i="1"/>
  <c r="K61" i="1"/>
  <c r="C49" i="1"/>
  <c r="L48" i="1"/>
  <c r="E48" i="1"/>
  <c r="G48" i="1" s="1"/>
  <c r="H48" i="1" s="1"/>
  <c r="L47" i="1"/>
  <c r="E47" i="1"/>
  <c r="G47" i="1" s="1"/>
  <c r="H47" i="1" s="1"/>
  <c r="L46" i="1"/>
  <c r="E46" i="1"/>
  <c r="G46" i="1" s="1"/>
  <c r="H46" i="1" s="1"/>
  <c r="L45" i="1"/>
  <c r="E45" i="1"/>
  <c r="E44" i="1"/>
  <c r="G44" i="1" s="1"/>
  <c r="H10" i="2" l="1"/>
  <c r="T2" i="4"/>
  <c r="Q20" i="4"/>
  <c r="D66" i="4"/>
  <c r="S66" i="4"/>
  <c r="S60" i="4"/>
  <c r="H66" i="4"/>
  <c r="H60" i="4"/>
  <c r="T66" i="4"/>
  <c r="T60" i="4"/>
  <c r="K66" i="4"/>
  <c r="K60" i="4"/>
  <c r="L66" i="4"/>
  <c r="L60" i="4"/>
  <c r="V66" i="4"/>
  <c r="V60" i="4"/>
  <c r="M66" i="4"/>
  <c r="M60" i="4"/>
  <c r="N66" i="4"/>
  <c r="N60" i="4"/>
  <c r="U66" i="4"/>
  <c r="U60" i="4"/>
  <c r="G66" i="4"/>
  <c r="G60" i="4"/>
  <c r="O66" i="4"/>
  <c r="O60" i="4"/>
  <c r="X66" i="4"/>
  <c r="X60" i="4"/>
  <c r="P66" i="4"/>
  <c r="P60" i="4"/>
  <c r="I66" i="4"/>
  <c r="I60" i="4"/>
  <c r="J66" i="4"/>
  <c r="J60" i="4"/>
  <c r="Q66" i="4"/>
  <c r="Q60" i="4"/>
  <c r="W66" i="4"/>
  <c r="W60" i="4"/>
  <c r="Y66" i="4"/>
  <c r="Y60" i="4"/>
  <c r="R66" i="4"/>
  <c r="R60" i="4"/>
  <c r="H177" i="1"/>
  <c r="D57" i="4" s="1"/>
  <c r="C94" i="1"/>
  <c r="C95" i="1"/>
  <c r="C206" i="1" s="1"/>
  <c r="D134" i="1"/>
  <c r="AO8" i="1" s="1"/>
  <c r="AO44" i="1" s="1"/>
  <c r="D133" i="1"/>
  <c r="AO7" i="1" s="1"/>
  <c r="AO43" i="1" s="1"/>
  <c r="D135" i="1"/>
  <c r="AO9" i="1" s="1"/>
  <c r="AO45" i="1" s="1"/>
  <c r="D138" i="1"/>
  <c r="AO12" i="1" s="1"/>
  <c r="AO48" i="1" s="1"/>
  <c r="D136" i="1"/>
  <c r="AO10" i="1" s="1"/>
  <c r="AO46" i="1" s="1"/>
  <c r="D137" i="1"/>
  <c r="AO11" i="1" s="1"/>
  <c r="AO47" i="1" s="1"/>
  <c r="D131" i="1"/>
  <c r="AO5" i="1" s="1"/>
  <c r="D132" i="1"/>
  <c r="AO6" i="1" s="1"/>
  <c r="AO42" i="1" s="1"/>
  <c r="C306" i="1"/>
  <c r="X155" i="1"/>
  <c r="V149" i="1"/>
  <c r="X149" i="1"/>
  <c r="Y149" i="1" s="1"/>
  <c r="X150" i="1"/>
  <c r="Y150" i="1" s="1"/>
  <c r="E204" i="1"/>
  <c r="D204" i="1" s="1"/>
  <c r="F44" i="1"/>
  <c r="J83" i="2"/>
  <c r="L49" i="1"/>
  <c r="T4" i="4" s="1"/>
  <c r="D268" i="1"/>
  <c r="C197" i="1"/>
  <c r="V155" i="1"/>
  <c r="V150" i="1"/>
  <c r="H44" i="1"/>
  <c r="F48" i="1"/>
  <c r="I48" i="1" s="1"/>
  <c r="E49" i="1"/>
  <c r="G240" i="1"/>
  <c r="F47" i="1"/>
  <c r="I47" i="1" s="1"/>
  <c r="E180" i="1"/>
  <c r="D180" i="1" s="1"/>
  <c r="C207" i="1"/>
  <c r="Q23" i="4" s="1"/>
  <c r="E181" i="1"/>
  <c r="D181" i="1" s="1"/>
  <c r="V156" i="1"/>
  <c r="V151" i="1"/>
  <c r="V153" i="1"/>
  <c r="D74" i="1"/>
  <c r="D73" i="1"/>
  <c r="J73" i="1" s="1"/>
  <c r="D75" i="1"/>
  <c r="F45" i="1"/>
  <c r="G45" i="1"/>
  <c r="H45" i="1" s="1"/>
  <c r="T157" i="1"/>
  <c r="V148" i="1"/>
  <c r="V152" i="1"/>
  <c r="F46" i="1"/>
  <c r="I46" i="1" s="1"/>
  <c r="Q22" i="4" l="1"/>
  <c r="F197" i="1"/>
  <c r="Q13" i="4"/>
  <c r="I177" i="1"/>
  <c r="E57" i="4" s="1"/>
  <c r="H240" i="1"/>
  <c r="AI25" i="1"/>
  <c r="AI7" i="1"/>
  <c r="AI27" i="1"/>
  <c r="AI29" i="1"/>
  <c r="AI3" i="1"/>
  <c r="AI6" i="1"/>
  <c r="AI12" i="1"/>
  <c r="AI22" i="1"/>
  <c r="AI11" i="1"/>
  <c r="AI47" i="1" s="1"/>
  <c r="AI10" i="1"/>
  <c r="AI46" i="1" s="1"/>
  <c r="AI24" i="1"/>
  <c r="AI5" i="1"/>
  <c r="AI9" i="1"/>
  <c r="AI26" i="1"/>
  <c r="AI28" i="1"/>
  <c r="AI30" i="1"/>
  <c r="AI8" i="1"/>
  <c r="AI4" i="1"/>
  <c r="AI21" i="1"/>
  <c r="AI23" i="1"/>
  <c r="AO41" i="1"/>
  <c r="AO32" i="1"/>
  <c r="AO14" i="1"/>
  <c r="E206" i="1"/>
  <c r="D206" i="1" s="1"/>
  <c r="D49" i="1"/>
  <c r="BJ32" i="1" s="1"/>
  <c r="D33" i="4" s="1"/>
  <c r="H23" i="1"/>
  <c r="C205" i="1"/>
  <c r="D65" i="1"/>
  <c r="Y155" i="1"/>
  <c r="X147" i="1"/>
  <c r="D63" i="1"/>
  <c r="D64" i="1"/>
  <c r="D62" i="1"/>
  <c r="K49" i="1"/>
  <c r="D59" i="1" s="1"/>
  <c r="J101" i="2"/>
  <c r="D70" i="1"/>
  <c r="F194" i="1"/>
  <c r="J10" i="2"/>
  <c r="C194" i="1"/>
  <c r="F49" i="1"/>
  <c r="H49" i="1"/>
  <c r="G49" i="1"/>
  <c r="I45" i="1"/>
  <c r="I44" i="1"/>
  <c r="J74" i="1"/>
  <c r="C87" i="1"/>
  <c r="K74" i="1"/>
  <c r="K75" i="1"/>
  <c r="J75" i="1"/>
  <c r="V147" i="1"/>
  <c r="H24" i="2"/>
  <c r="T1" i="4" l="1"/>
  <c r="Q11" i="4"/>
  <c r="AI41" i="1"/>
  <c r="E194" i="1"/>
  <c r="D194" i="1" s="1"/>
  <c r="AI43" i="1"/>
  <c r="E205" i="1"/>
  <c r="D205" i="1" s="1"/>
  <c r="Q21" i="4"/>
  <c r="AI48" i="1"/>
  <c r="AI44" i="1"/>
  <c r="AI45" i="1"/>
  <c r="I240" i="1"/>
  <c r="J177" i="1"/>
  <c r="F57" i="4" s="1"/>
  <c r="AI42" i="1"/>
  <c r="AI31" i="1"/>
  <c r="AI40" i="1"/>
  <c r="AI13" i="1"/>
  <c r="AI39" i="1"/>
  <c r="I10" i="2"/>
  <c r="E130" i="1"/>
  <c r="C183" i="1"/>
  <c r="F183" i="1" s="1"/>
  <c r="T133" i="1"/>
  <c r="F62" i="1"/>
  <c r="E133" i="1"/>
  <c r="T130" i="1"/>
  <c r="T132" i="1"/>
  <c r="E132" i="1"/>
  <c r="T131" i="1"/>
  <c r="E131" i="1"/>
  <c r="E138" i="1"/>
  <c r="T138" i="1"/>
  <c r="Y147" i="1"/>
  <c r="L77" i="1"/>
  <c r="AC155" i="1"/>
  <c r="AC148" i="1"/>
  <c r="AC150" i="1"/>
  <c r="E197" i="1"/>
  <c r="D197" i="1" s="1"/>
  <c r="C198" i="1"/>
  <c r="F195" i="1"/>
  <c r="E195" i="1" s="1"/>
  <c r="I49" i="1"/>
  <c r="C195" i="1"/>
  <c r="E207" i="1"/>
  <c r="D207" i="1" s="1"/>
  <c r="B100" i="2"/>
  <c r="G24" i="2"/>
  <c r="Q14" i="4" l="1"/>
  <c r="B59" i="4"/>
  <c r="BJ23" i="1"/>
  <c r="D24" i="4" s="1"/>
  <c r="BI10" i="1"/>
  <c r="C11" i="4" s="1"/>
  <c r="BI32" i="1"/>
  <c r="C33" i="4" s="1"/>
  <c r="J240" i="1"/>
  <c r="K177" i="1"/>
  <c r="G57" i="4" s="1"/>
  <c r="AI49" i="1"/>
  <c r="AI50" i="1" s="1"/>
  <c r="AI14" i="1"/>
  <c r="AI32" i="1"/>
  <c r="C109" i="1"/>
  <c r="E183" i="1"/>
  <c r="D183" i="1" s="1"/>
  <c r="G62" i="1"/>
  <c r="D195" i="1"/>
  <c r="C18" i="1"/>
  <c r="F324" i="1" s="1"/>
  <c r="AC147" i="1"/>
  <c r="AC151" i="1"/>
  <c r="AC153" i="1"/>
  <c r="AC152" i="1"/>
  <c r="AC156" i="1"/>
  <c r="AC149" i="1"/>
  <c r="B66" i="4" l="1"/>
  <c r="L177" i="1"/>
  <c r="H57" i="4" s="1"/>
  <c r="K240" i="1"/>
  <c r="E198" i="1"/>
  <c r="D198" i="1" s="1"/>
  <c r="M177" i="1" l="1"/>
  <c r="I57" i="4" s="1"/>
  <c r="L240" i="1"/>
  <c r="M240" i="1" l="1"/>
  <c r="N177" i="1"/>
  <c r="J57" i="4" s="1"/>
  <c r="E203" i="1"/>
  <c r="O177" i="1" l="1"/>
  <c r="K57" i="4" s="1"/>
  <c r="N240" i="1"/>
  <c r="E66" i="4" l="1"/>
  <c r="P177" i="1"/>
  <c r="L57" i="4" s="1"/>
  <c r="O240" i="1"/>
  <c r="J86" i="2"/>
  <c r="J84" i="2"/>
  <c r="Q177" i="1" l="1"/>
  <c r="M57" i="4" s="1"/>
  <c r="P240" i="1"/>
  <c r="J56" i="2"/>
  <c r="N14" i="4" s="1"/>
  <c r="J85" i="2"/>
  <c r="J82" i="2" l="1"/>
  <c r="H16" i="2" s="1"/>
  <c r="R177" i="1"/>
  <c r="N57" i="4" s="1"/>
  <c r="Q240" i="1"/>
  <c r="S177" i="1" l="1"/>
  <c r="O57" i="4" s="1"/>
  <c r="R240" i="1"/>
  <c r="E119" i="1" l="1"/>
  <c r="T177" i="1"/>
  <c r="P57" i="4" s="1"/>
  <c r="S240" i="1"/>
  <c r="T240" i="1" l="1"/>
  <c r="U177" i="1"/>
  <c r="Q57" i="4" l="1"/>
  <c r="C122" i="1"/>
  <c r="U240" i="1"/>
  <c r="V177" i="1"/>
  <c r="R57" i="4" s="1"/>
  <c r="D122" i="1"/>
  <c r="J38" i="2" s="1"/>
  <c r="V240" i="1" l="1"/>
  <c r="W177" i="1"/>
  <c r="S57" i="4" s="1"/>
  <c r="C215" i="1"/>
  <c r="D215" i="1" s="1"/>
  <c r="X177" i="1" l="1"/>
  <c r="T57" i="4" s="1"/>
  <c r="W240" i="1"/>
  <c r="C27" i="1"/>
  <c r="E122" i="1"/>
  <c r="Y177" i="1" l="1"/>
  <c r="U57" i="4" s="1"/>
  <c r="X240" i="1"/>
  <c r="Y240" i="1" l="1"/>
  <c r="Z177" i="1"/>
  <c r="V57" i="4" s="1"/>
  <c r="AA177" i="1" l="1"/>
  <c r="W57" i="4" s="1"/>
  <c r="Z240" i="1"/>
  <c r="AB177" i="1" l="1"/>
  <c r="X57" i="4" s="1"/>
  <c r="AA240" i="1"/>
  <c r="AC177" i="1" l="1"/>
  <c r="Y57" i="4" s="1"/>
  <c r="Y56" i="4" s="1"/>
  <c r="AB240" i="1"/>
  <c r="AC240" i="1" l="1"/>
  <c r="U130" i="1" l="1"/>
  <c r="X130" i="1" s="1"/>
  <c r="U132" i="1"/>
  <c r="X132" i="1" s="1"/>
  <c r="Y132" i="1" s="1"/>
  <c r="F70" i="1"/>
  <c r="U131" i="1"/>
  <c r="X131" i="1" s="1"/>
  <c r="Y131" i="1" s="1"/>
  <c r="U133" i="1"/>
  <c r="X133" i="1" s="1"/>
  <c r="Y133" i="1" s="1"/>
  <c r="J62" i="1"/>
  <c r="J63" i="1"/>
  <c r="U138" i="1"/>
  <c r="X138" i="1" s="1"/>
  <c r="Y138" i="1" s="1"/>
  <c r="J70" i="1"/>
  <c r="F64" i="1"/>
  <c r="J64" i="1"/>
  <c r="J65" i="1"/>
  <c r="F63" i="1"/>
  <c r="F65" i="1"/>
  <c r="AG22" i="1" l="1"/>
  <c r="AG4" i="1"/>
  <c r="AG7" i="1"/>
  <c r="AG25" i="1"/>
  <c r="AG5" i="1"/>
  <c r="AG23" i="1"/>
  <c r="AG6" i="1"/>
  <c r="AG24" i="1"/>
  <c r="AG12" i="1"/>
  <c r="AG30" i="1"/>
  <c r="Y130" i="1"/>
  <c r="Z130" i="1" s="1"/>
  <c r="G65" i="1"/>
  <c r="F133" i="1"/>
  <c r="I133" i="1" s="1"/>
  <c r="J133" i="1" s="1"/>
  <c r="AA132" i="1"/>
  <c r="Z133" i="1"/>
  <c r="AA133" i="1"/>
  <c r="Z138" i="1"/>
  <c r="AA138" i="1"/>
  <c r="G266" i="1"/>
  <c r="Z131" i="1"/>
  <c r="AA131" i="1"/>
  <c r="Z132" i="1"/>
  <c r="F138" i="1"/>
  <c r="I138" i="1" s="1"/>
  <c r="J138" i="1" s="1"/>
  <c r="G70" i="1"/>
  <c r="G63" i="1"/>
  <c r="AB131" i="1"/>
  <c r="AB138" i="1"/>
  <c r="F131" i="1"/>
  <c r="I131" i="1" s="1"/>
  <c r="J131" i="1" s="1"/>
  <c r="F132" i="1"/>
  <c r="I132" i="1" s="1"/>
  <c r="J132" i="1" s="1"/>
  <c r="G64" i="1"/>
  <c r="AB133" i="1"/>
  <c r="AB132" i="1"/>
  <c r="AG41" i="1" l="1"/>
  <c r="AG40" i="1"/>
  <c r="AG42" i="1"/>
  <c r="AG43" i="1"/>
  <c r="AG48" i="1"/>
  <c r="D149" i="1"/>
  <c r="F149" i="1" s="1"/>
  <c r="N131" i="1" s="1"/>
  <c r="AA130" i="1"/>
  <c r="D35" i="2"/>
  <c r="AB130" i="1"/>
  <c r="D151" i="1"/>
  <c r="F151" i="1" s="1"/>
  <c r="D30" i="2"/>
  <c r="AC138" i="1"/>
  <c r="AX30" i="1" s="1"/>
  <c r="AC132" i="1"/>
  <c r="AX24" i="1" s="1"/>
  <c r="AC131" i="1"/>
  <c r="AX23" i="1" s="1"/>
  <c r="AC133" i="1"/>
  <c r="AX25" i="1" s="1"/>
  <c r="F156" i="1"/>
  <c r="D28" i="2"/>
  <c r="D148" i="1"/>
  <c r="D27" i="2"/>
  <c r="D150" i="1"/>
  <c r="F150" i="1" s="1"/>
  <c r="N132" i="1" s="1"/>
  <c r="D29" i="2"/>
  <c r="F130" i="1"/>
  <c r="I130" i="1" s="1"/>
  <c r="AC130" i="1" l="1"/>
  <c r="AX22" i="1" s="1"/>
  <c r="F148" i="1"/>
  <c r="H148" i="1" s="1"/>
  <c r="H156" i="1"/>
  <c r="N138" i="1"/>
  <c r="H151" i="1"/>
  <c r="N133" i="1"/>
  <c r="H150" i="1"/>
  <c r="H149" i="1"/>
  <c r="N130" i="1" l="1"/>
  <c r="I151" i="1"/>
  <c r="AT7" i="1" s="1"/>
  <c r="AT43" i="1" s="1"/>
  <c r="I148" i="1"/>
  <c r="AT4" i="1" s="1"/>
  <c r="I150" i="1"/>
  <c r="AT6" i="1" s="1"/>
  <c r="AT42" i="1" s="1"/>
  <c r="I149" i="1"/>
  <c r="AT5" i="1" s="1"/>
  <c r="AT41" i="1" s="1"/>
  <c r="AT40" i="1" l="1"/>
  <c r="M156" i="1"/>
  <c r="O138" i="1" s="1"/>
  <c r="AX12" i="1" s="1"/>
  <c r="AT12" i="1"/>
  <c r="AT48" i="1" s="1"/>
  <c r="M151" i="1"/>
  <c r="M149" i="1"/>
  <c r="M150" i="1"/>
  <c r="M148" i="1"/>
  <c r="G199" i="1"/>
  <c r="C66" i="4" l="1"/>
  <c r="C76" i="4"/>
  <c r="C74" i="4" s="1"/>
  <c r="D76" i="4"/>
  <c r="E76" i="4" s="1"/>
  <c r="AX48" i="1"/>
  <c r="O133" i="1"/>
  <c r="AX7" i="1" s="1"/>
  <c r="O132" i="1"/>
  <c r="AX6" i="1" s="1"/>
  <c r="O131" i="1"/>
  <c r="AX5" i="1" s="1"/>
  <c r="O130" i="1"/>
  <c r="AX42" i="1" l="1"/>
  <c r="AX43" i="1"/>
  <c r="AX41" i="1"/>
  <c r="J130" i="1" l="1"/>
  <c r="AX4" i="1" s="1"/>
  <c r="AX40" i="1" l="1"/>
  <c r="W256" i="1" l="1"/>
  <c r="X157" i="1" l="1"/>
  <c r="C186" i="1" l="1"/>
  <c r="O186" i="1"/>
  <c r="S186" i="1"/>
  <c r="I186" i="1"/>
  <c r="W186" i="1"/>
  <c r="P186" i="1" l="1"/>
  <c r="H186" i="1"/>
  <c r="G186" i="1"/>
  <c r="V186" i="1"/>
  <c r="AC186" i="1"/>
  <c r="Q186" i="1"/>
  <c r="N186" i="1"/>
  <c r="J155" i="2"/>
  <c r="M186" i="1"/>
  <c r="T186" i="1"/>
  <c r="Z186" i="1"/>
  <c r="L186" i="1"/>
  <c r="K186" i="1"/>
  <c r="Y186" i="1"/>
  <c r="J186" i="1"/>
  <c r="X186" i="1"/>
  <c r="F186" i="1"/>
  <c r="U186" i="1"/>
  <c r="R186" i="1"/>
  <c r="AB186" i="1"/>
  <c r="AA186" i="1"/>
  <c r="AC157" i="1"/>
  <c r="T9" i="4" s="1"/>
  <c r="E186" i="1" l="1"/>
  <c r="D186" i="1" s="1"/>
  <c r="F248" i="1" l="1"/>
  <c r="F246" i="1" s="1"/>
  <c r="F178" i="1"/>
  <c r="G192" i="1" l="1"/>
  <c r="G178" i="1" l="1"/>
  <c r="H192" i="1" s="1"/>
  <c r="G250" i="1"/>
  <c r="G254" i="1" s="1"/>
  <c r="H250" i="1" l="1"/>
  <c r="H254" i="1" s="1"/>
  <c r="G248" i="1"/>
  <c r="G246" i="1" s="1"/>
  <c r="H248" i="1" l="1"/>
  <c r="H246" i="1" s="1"/>
  <c r="H178" i="1"/>
  <c r="I192" i="1" s="1"/>
  <c r="I248" i="1" l="1"/>
  <c r="I250" i="1"/>
  <c r="I254" i="1" s="1"/>
  <c r="I178" i="1" l="1"/>
  <c r="J192" i="1" s="1"/>
  <c r="I246" i="1"/>
  <c r="J250" i="1" l="1"/>
  <c r="J254" i="1" s="1"/>
  <c r="J178" i="1" l="1"/>
  <c r="K192" i="1" s="1"/>
  <c r="J248" i="1"/>
  <c r="J246" i="1" s="1"/>
  <c r="K178" i="1" l="1"/>
  <c r="L192" i="1" s="1"/>
  <c r="K250" i="1"/>
  <c r="K254" i="1" s="1"/>
  <c r="L250" i="1" l="1"/>
  <c r="L254" i="1" s="1"/>
  <c r="K248" i="1"/>
  <c r="K246" i="1" s="1"/>
  <c r="L248" i="1" l="1"/>
  <c r="L246" i="1" s="1"/>
  <c r="L178" i="1"/>
  <c r="M192" i="1" s="1"/>
  <c r="M250" i="1" l="1"/>
  <c r="M254" i="1" s="1"/>
  <c r="M178" i="1"/>
  <c r="N192" i="1" s="1"/>
  <c r="M248" i="1"/>
  <c r="M246" i="1" s="1"/>
  <c r="N250" i="1" l="1"/>
  <c r="N254" i="1" s="1"/>
  <c r="N248" i="1"/>
  <c r="N246" i="1" s="1"/>
  <c r="N178" i="1" l="1"/>
  <c r="O192" i="1" s="1"/>
  <c r="O250" i="1" l="1"/>
  <c r="O254" i="1" s="1"/>
  <c r="O178" i="1"/>
  <c r="P192" i="1" s="1"/>
  <c r="O248" i="1"/>
  <c r="O246" i="1" s="1"/>
  <c r="P250" i="1" l="1"/>
  <c r="P254" i="1" s="1"/>
  <c r="P178" i="1"/>
  <c r="P248" i="1"/>
  <c r="P246" i="1" s="1"/>
  <c r="Q192" i="1" l="1"/>
  <c r="Q178" i="1"/>
  <c r="R192" i="1" s="1"/>
  <c r="Q248" i="1"/>
  <c r="Q246" i="1" s="1"/>
  <c r="R250" i="1" l="1"/>
  <c r="R254" i="1" s="1"/>
  <c r="Q250" i="1"/>
  <c r="Q254" i="1" s="1"/>
  <c r="R248" i="1"/>
  <c r="R246" i="1" s="1"/>
  <c r="R178" i="1" l="1"/>
  <c r="S192" i="1" s="1"/>
  <c r="S178" i="1" l="1"/>
  <c r="T192" i="1" s="1"/>
  <c r="S250" i="1"/>
  <c r="S254" i="1" s="1"/>
  <c r="T250" i="1" l="1"/>
  <c r="T254" i="1" s="1"/>
  <c r="S248" i="1"/>
  <c r="S246" i="1" s="1"/>
  <c r="T248" i="1" l="1"/>
  <c r="U248" i="1" l="1"/>
  <c r="V248" i="1" l="1"/>
  <c r="W248" i="1" l="1"/>
  <c r="X248" i="1" l="1"/>
  <c r="Y248" i="1" l="1"/>
  <c r="D61" i="1" l="1"/>
  <c r="F61" i="1" l="1"/>
  <c r="E129" i="1"/>
  <c r="J61" i="1"/>
  <c r="T129" i="1"/>
  <c r="U129" i="1" l="1"/>
  <c r="X129" i="1" s="1"/>
  <c r="AG21" i="1"/>
  <c r="AG3" i="1"/>
  <c r="F129" i="1"/>
  <c r="I129" i="1" s="1"/>
  <c r="G61" i="1"/>
  <c r="Y129" i="1" l="1"/>
  <c r="D147" i="1"/>
  <c r="D26" i="2"/>
  <c r="J129" i="1"/>
  <c r="AG39" i="1"/>
  <c r="F147" i="1" l="1"/>
  <c r="AB129" i="1"/>
  <c r="Z129" i="1"/>
  <c r="AA129" i="1"/>
  <c r="AC129" i="1" l="1"/>
  <c r="N129" i="1"/>
  <c r="H147" i="1"/>
  <c r="I147" i="1" l="1"/>
  <c r="M147" i="1" s="1"/>
  <c r="AX21" i="1"/>
  <c r="BI29" i="1" l="1"/>
  <c r="C30" i="4" s="1"/>
  <c r="O129" i="1"/>
  <c r="AT3" i="1"/>
  <c r="AX3" i="1" l="1"/>
  <c r="AT39" i="1"/>
  <c r="AX39" i="1" l="1"/>
  <c r="D68" i="1"/>
  <c r="J68" i="1" l="1"/>
  <c r="AG28" i="1" s="1"/>
  <c r="C91" i="1"/>
  <c r="AG10" i="1"/>
  <c r="AG46" i="1" l="1"/>
  <c r="C202" i="1"/>
  <c r="E202" i="1" s="1"/>
  <c r="D202" i="1" l="1"/>
  <c r="Q18" i="4"/>
  <c r="E136" i="1" l="1"/>
  <c r="T136" i="1"/>
  <c r="U136" i="1" s="1"/>
  <c r="X136" i="1" s="1"/>
  <c r="F68" i="1"/>
  <c r="F136" i="1" l="1"/>
  <c r="I136" i="1" s="1"/>
  <c r="Y136" i="1"/>
  <c r="G68" i="1"/>
  <c r="J136" i="1" l="1"/>
  <c r="D33" i="2"/>
  <c r="D154" i="1"/>
  <c r="AA136" i="1"/>
  <c r="AB136" i="1"/>
  <c r="Z136" i="1"/>
  <c r="F154" i="1" l="1"/>
  <c r="AC136" i="1"/>
  <c r="AX28" i="1" l="1"/>
  <c r="N136" i="1"/>
  <c r="H154" i="1"/>
  <c r="I154" i="1" l="1"/>
  <c r="AT10" i="1" l="1"/>
  <c r="M154" i="1"/>
  <c r="O136" i="1" l="1"/>
  <c r="X188" i="1" s="1"/>
  <c r="AT46" i="1"/>
  <c r="AX10" i="1" l="1"/>
  <c r="AX46" i="1" l="1"/>
  <c r="D66" i="1"/>
  <c r="F66" i="1" s="1"/>
  <c r="K66" i="1" s="1"/>
  <c r="T134" i="1" l="1"/>
  <c r="U134" i="1" s="1"/>
  <c r="X134" i="1" s="1"/>
  <c r="G66" i="1"/>
  <c r="E134" i="1"/>
  <c r="J66" i="1"/>
  <c r="Y134" i="1" l="1"/>
  <c r="F134" i="1"/>
  <c r="I134" i="1" s="1"/>
  <c r="Z134" i="1"/>
  <c r="AB134" i="1"/>
  <c r="AA134" i="1"/>
  <c r="C92" i="1"/>
  <c r="D152" i="1"/>
  <c r="D31" i="2"/>
  <c r="AG8" i="1"/>
  <c r="AG26" i="1"/>
  <c r="F152" i="1" l="1"/>
  <c r="AC134" i="1"/>
  <c r="C203" i="1"/>
  <c r="AG44" i="1"/>
  <c r="J134" i="1"/>
  <c r="N134" i="1" l="1"/>
  <c r="H152" i="1"/>
  <c r="D203" i="1"/>
  <c r="Q19" i="4"/>
  <c r="AX26" i="1"/>
  <c r="M152" i="1" l="1"/>
  <c r="AT8" i="1"/>
  <c r="O134" i="1"/>
  <c r="AX8" i="1" l="1"/>
  <c r="AT44" i="1"/>
  <c r="AX44" i="1" l="1"/>
  <c r="D69" i="1"/>
  <c r="T137" i="1" s="1"/>
  <c r="E137" i="1" l="1"/>
  <c r="U137" i="1"/>
  <c r="X137" i="1" s="1"/>
  <c r="F69" i="1"/>
  <c r="J69" i="1"/>
  <c r="AG29" i="1" l="1"/>
  <c r="AG11" i="1"/>
  <c r="K69" i="1"/>
  <c r="G69" i="1"/>
  <c r="F137" i="1"/>
  <c r="I137" i="1" s="1"/>
  <c r="Y137" i="1"/>
  <c r="AG47" i="1" l="1"/>
  <c r="Z137" i="1"/>
  <c r="AB137" i="1"/>
  <c r="AA137" i="1"/>
  <c r="J137" i="1"/>
  <c r="D155" i="1"/>
  <c r="D34" i="2"/>
  <c r="F155" i="1" l="1"/>
  <c r="AC137" i="1"/>
  <c r="AX29" i="1" l="1"/>
  <c r="N137" i="1"/>
  <c r="H155" i="1"/>
  <c r="I155" i="1" l="1"/>
  <c r="AT11" i="1" l="1"/>
  <c r="M155" i="1"/>
  <c r="AT47" i="1" l="1"/>
  <c r="O137" i="1"/>
  <c r="AX11" i="1" l="1"/>
  <c r="AX47" i="1" l="1"/>
  <c r="C71" i="1"/>
  <c r="D71" i="1" s="1"/>
  <c r="E76" i="1"/>
  <c r="C76" i="1"/>
  <c r="D67" i="1"/>
  <c r="F67" i="1" s="1"/>
  <c r="G67" i="1" l="1"/>
  <c r="K67" i="1"/>
  <c r="J67" i="1"/>
  <c r="AG27" i="1" s="1"/>
  <c r="AG31" i="1" s="1"/>
  <c r="T135" i="1"/>
  <c r="E135" i="1"/>
  <c r="E59" i="1"/>
  <c r="H11" i="2" s="1"/>
  <c r="D32" i="2"/>
  <c r="G157" i="1" a="1"/>
  <c r="D76" i="1"/>
  <c r="H59" i="1"/>
  <c r="J71" i="1"/>
  <c r="F59" i="1"/>
  <c r="F76" i="1"/>
  <c r="I83" i="2" l="1"/>
  <c r="I84" i="2"/>
  <c r="I86" i="2"/>
  <c r="I85" i="2"/>
  <c r="I101" i="2"/>
  <c r="AG9" i="1"/>
  <c r="AG13" i="1" s="1"/>
  <c r="AG14" i="1" s="1"/>
  <c r="F135" i="1"/>
  <c r="I135" i="1" s="1"/>
  <c r="I139" i="1" s="1" a="1"/>
  <c r="E139" i="1"/>
  <c r="F139" i="1" s="1"/>
  <c r="H139" i="1"/>
  <c r="W139" i="1"/>
  <c r="U135" i="1"/>
  <c r="X135" i="1" s="1"/>
  <c r="X139" i="1" s="1" a="1"/>
  <c r="T139" i="1"/>
  <c r="U139" i="1" s="1"/>
  <c r="AL9" i="1"/>
  <c r="L76" i="1"/>
  <c r="AJ27" i="1" s="1"/>
  <c r="F153" i="1"/>
  <c r="F157" i="1" s="1" a="1"/>
  <c r="G157" i="1"/>
  <c r="J59" i="1"/>
  <c r="G76" i="1"/>
  <c r="BI36" i="1"/>
  <c r="C37" i="4" s="1"/>
  <c r="AL8" i="1"/>
  <c r="AL24" i="1"/>
  <c r="AL30" i="1"/>
  <c r="AL26" i="1"/>
  <c r="AL28" i="1"/>
  <c r="AL29" i="1"/>
  <c r="AL11" i="1"/>
  <c r="AL21" i="1"/>
  <c r="AL23" i="1"/>
  <c r="AL7" i="1"/>
  <c r="AL3" i="1"/>
  <c r="AL10" i="1"/>
  <c r="AL46" i="1" s="1"/>
  <c r="C89" i="1"/>
  <c r="AL5" i="1"/>
  <c r="AL4" i="1"/>
  <c r="AL22" i="1"/>
  <c r="AL12" i="1"/>
  <c r="AL6" i="1"/>
  <c r="AL27" i="1"/>
  <c r="AL25" i="1"/>
  <c r="J76" i="1"/>
  <c r="AL47" i="1" l="1"/>
  <c r="I82" i="2"/>
  <c r="AL43" i="1"/>
  <c r="AG45" i="1"/>
  <c r="AG49" i="1" s="1"/>
  <c r="AG50" i="1" s="1"/>
  <c r="AL41" i="1"/>
  <c r="Y135" i="1"/>
  <c r="X139" i="1"/>
  <c r="AL45" i="1"/>
  <c r="J135" i="1"/>
  <c r="J139" i="1" s="1"/>
  <c r="I139" i="1"/>
  <c r="C200" i="1"/>
  <c r="I200" i="1" s="1"/>
  <c r="AL39" i="1"/>
  <c r="AL13" i="1"/>
  <c r="AF22" i="1"/>
  <c r="AF28" i="1"/>
  <c r="AF8" i="1"/>
  <c r="AF29" i="1"/>
  <c r="AF6" i="1"/>
  <c r="AF11" i="1"/>
  <c r="AF23" i="1"/>
  <c r="AF7" i="1"/>
  <c r="AF24" i="1"/>
  <c r="H12" i="2"/>
  <c r="AF4" i="1"/>
  <c r="AF21" i="1"/>
  <c r="AF12" i="1"/>
  <c r="AF10" i="1"/>
  <c r="AF26" i="1"/>
  <c r="AF3" i="1"/>
  <c r="AF30" i="1"/>
  <c r="AF25" i="1"/>
  <c r="AF5" i="1"/>
  <c r="AF27" i="1"/>
  <c r="AF9" i="1"/>
  <c r="AK27" i="1"/>
  <c r="AJ9" i="1"/>
  <c r="AJ45" i="1" s="1"/>
  <c r="AL31" i="1"/>
  <c r="AK9" i="1"/>
  <c r="AL44" i="1"/>
  <c r="H153" i="1"/>
  <c r="I153" i="1" s="1"/>
  <c r="F157" i="1"/>
  <c r="N135" i="1"/>
  <c r="BW3" i="1"/>
  <c r="BI11" i="1"/>
  <c r="I76" i="1"/>
  <c r="C110" i="1"/>
  <c r="C196" i="1"/>
  <c r="C19" i="1"/>
  <c r="L78" i="1"/>
  <c r="AJ24" i="1"/>
  <c r="AK30" i="1"/>
  <c r="AJ28" i="1"/>
  <c r="AK4" i="1"/>
  <c r="AK24" i="1"/>
  <c r="AK22" i="1"/>
  <c r="AJ8" i="1"/>
  <c r="AK6" i="1"/>
  <c r="AK25" i="1"/>
  <c r="AJ21" i="1"/>
  <c r="AK7" i="1"/>
  <c r="AK5" i="1"/>
  <c r="AK3" i="1"/>
  <c r="AK10" i="1"/>
  <c r="AJ6" i="1"/>
  <c r="AK28" i="1"/>
  <c r="AJ10" i="1"/>
  <c r="AJ11" i="1"/>
  <c r="AK26" i="1"/>
  <c r="AJ22" i="1"/>
  <c r="AK29" i="1"/>
  <c r="AK11" i="1"/>
  <c r="AJ3" i="1"/>
  <c r="AK12" i="1"/>
  <c r="AK8" i="1"/>
  <c r="AK21" i="1"/>
  <c r="AJ30" i="1"/>
  <c r="AJ29" i="1"/>
  <c r="AJ5" i="1"/>
  <c r="AJ4" i="1"/>
  <c r="AJ7" i="1"/>
  <c r="AJ12" i="1"/>
  <c r="AJ25" i="1"/>
  <c r="AK23" i="1"/>
  <c r="AJ26" i="1"/>
  <c r="AJ23" i="1"/>
  <c r="AL42" i="1"/>
  <c r="AL48" i="1"/>
  <c r="AL40" i="1"/>
  <c r="AG32" i="1"/>
  <c r="C187" i="1" l="1"/>
  <c r="T6" i="4"/>
  <c r="T3" i="4"/>
  <c r="Q12" i="4"/>
  <c r="I266" i="1"/>
  <c r="E200" i="1"/>
  <c r="AK47" i="1"/>
  <c r="J187" i="1"/>
  <c r="K187" i="1"/>
  <c r="L187" i="1"/>
  <c r="M187" i="1"/>
  <c r="N187" i="1"/>
  <c r="AJ48" i="1"/>
  <c r="AJ46" i="1"/>
  <c r="AK42" i="1"/>
  <c r="AJ41" i="1"/>
  <c r="AK41" i="1"/>
  <c r="AJ42" i="1"/>
  <c r="AJ43" i="1"/>
  <c r="AK43" i="1"/>
  <c r="AJ40" i="1"/>
  <c r="AK44" i="1"/>
  <c r="AJ44" i="1"/>
  <c r="AK48" i="1"/>
  <c r="Y139" i="1"/>
  <c r="AB135" i="1"/>
  <c r="AB139" i="1" s="1"/>
  <c r="Z135" i="1"/>
  <c r="AA135" i="1"/>
  <c r="AA139" i="1" s="1"/>
  <c r="AB196" i="1"/>
  <c r="X61" i="4" s="1"/>
  <c r="BX11" i="1"/>
  <c r="N196" i="1"/>
  <c r="J61" i="4" s="1"/>
  <c r="U196" i="1"/>
  <c r="Q61" i="4" s="1"/>
  <c r="I196" i="1"/>
  <c r="E61" i="4" s="1"/>
  <c r="Z196" i="1"/>
  <c r="V61" i="4" s="1"/>
  <c r="BI7" i="1"/>
  <c r="V196" i="1"/>
  <c r="R61" i="4" s="1"/>
  <c r="Y196" i="1"/>
  <c r="U61" i="4" s="1"/>
  <c r="R196" i="1"/>
  <c r="N61" i="4" s="1"/>
  <c r="F196" i="1"/>
  <c r="B61" i="4" s="1"/>
  <c r="O196" i="1"/>
  <c r="K61" i="4" s="1"/>
  <c r="H196" i="1"/>
  <c r="D61" i="4" s="1"/>
  <c r="M196" i="1"/>
  <c r="I61" i="4" s="1"/>
  <c r="T196" i="1"/>
  <c r="P61" i="4" s="1"/>
  <c r="K196" i="1"/>
  <c r="G61" i="4" s="1"/>
  <c r="L196" i="1"/>
  <c r="H61" i="4" s="1"/>
  <c r="AC196" i="1"/>
  <c r="Y61" i="4" s="1"/>
  <c r="G196" i="1"/>
  <c r="C61" i="4" s="1"/>
  <c r="W196" i="1"/>
  <c r="S61" i="4" s="1"/>
  <c r="J196" i="1"/>
  <c r="F61" i="4" s="1"/>
  <c r="Q196" i="1"/>
  <c r="M61" i="4" s="1"/>
  <c r="AA196" i="1"/>
  <c r="W61" i="4" s="1"/>
  <c r="X196" i="1"/>
  <c r="T61" i="4" s="1"/>
  <c r="S196" i="1"/>
  <c r="O61" i="4" s="1"/>
  <c r="P196" i="1"/>
  <c r="L61" i="4" s="1"/>
  <c r="BX12" i="1"/>
  <c r="CA12" i="1" s="1"/>
  <c r="C104" i="1"/>
  <c r="C97" i="1"/>
  <c r="C101" i="1"/>
  <c r="C90" i="1"/>
  <c r="C88" i="1"/>
  <c r="AF42" i="1"/>
  <c r="AF44" i="1"/>
  <c r="C213" i="1"/>
  <c r="H157" i="1"/>
  <c r="C185" i="1" s="1"/>
  <c r="AF39" i="1"/>
  <c r="AF13" i="1"/>
  <c r="AN13" i="1"/>
  <c r="AN3" i="1" s="1"/>
  <c r="AN31" i="1"/>
  <c r="AN23" i="1" s="1"/>
  <c r="AL14" i="1"/>
  <c r="AL32" i="1"/>
  <c r="AL49" i="1"/>
  <c r="AL50" i="1" s="1"/>
  <c r="AK31" i="1"/>
  <c r="C12" i="4"/>
  <c r="AJ39" i="1"/>
  <c r="AJ13" i="1"/>
  <c r="AK45" i="1"/>
  <c r="AF46" i="1"/>
  <c r="J152" i="2"/>
  <c r="W187" i="1"/>
  <c r="T187" i="1"/>
  <c r="S187" i="1"/>
  <c r="Z187" i="1"/>
  <c r="H187" i="1"/>
  <c r="F187" i="1"/>
  <c r="I187" i="1"/>
  <c r="AB187" i="1"/>
  <c r="Y187" i="1"/>
  <c r="V187" i="1"/>
  <c r="X187" i="1"/>
  <c r="Q187" i="1"/>
  <c r="G187" i="1"/>
  <c r="AC187" i="1"/>
  <c r="AA187" i="1"/>
  <c r="U187" i="1"/>
  <c r="P187" i="1"/>
  <c r="R187" i="1"/>
  <c r="O187" i="1"/>
  <c r="AK46" i="1"/>
  <c r="AK39" i="1"/>
  <c r="AK13" i="1"/>
  <c r="AF48" i="1"/>
  <c r="AF43" i="1"/>
  <c r="AF45" i="1"/>
  <c r="AJ31" i="1"/>
  <c r="AK40" i="1"/>
  <c r="AJ47" i="1"/>
  <c r="AF31" i="1"/>
  <c r="J89" i="2"/>
  <c r="AF47" i="1"/>
  <c r="AF41" i="1"/>
  <c r="AF40" i="1"/>
  <c r="Q16" i="4"/>
  <c r="D200" i="1"/>
  <c r="AF49" i="1" l="1"/>
  <c r="AF50" i="1" s="1"/>
  <c r="F185" i="1"/>
  <c r="G185" i="1"/>
  <c r="H185" i="1"/>
  <c r="I185" i="1"/>
  <c r="J185" i="1"/>
  <c r="AN6" i="1"/>
  <c r="AN26" i="1"/>
  <c r="AP26" i="1" s="1"/>
  <c r="AN4" i="1"/>
  <c r="AN21" i="1"/>
  <c r="AP21" i="1" s="1"/>
  <c r="AN32" i="1"/>
  <c r="AN9" i="1"/>
  <c r="AN30" i="1"/>
  <c r="AP30" i="1" s="1"/>
  <c r="AN10" i="1"/>
  <c r="AN28" i="1"/>
  <c r="AP28" i="1" s="1"/>
  <c r="AN7" i="1"/>
  <c r="AN5" i="1"/>
  <c r="AN41" i="1" s="1"/>
  <c r="AN27" i="1"/>
  <c r="AP27" i="1" s="1"/>
  <c r="AN25" i="1"/>
  <c r="AP25" i="1" s="1"/>
  <c r="AN8" i="1"/>
  <c r="AN11" i="1"/>
  <c r="AN29" i="1"/>
  <c r="AP29" i="1" s="1"/>
  <c r="AN12" i="1"/>
  <c r="AN22" i="1"/>
  <c r="AJ49" i="1"/>
  <c r="AJ50" i="1" s="1"/>
  <c r="Z139" i="1"/>
  <c r="AC135" i="1"/>
  <c r="AM31" i="1"/>
  <c r="AM32" i="1" s="1"/>
  <c r="C100" i="1"/>
  <c r="C211" i="1" s="1"/>
  <c r="Q26" i="4" s="1"/>
  <c r="C307" i="1"/>
  <c r="AP23" i="1"/>
  <c r="AN39" i="1"/>
  <c r="S182" i="1"/>
  <c r="O68" i="4"/>
  <c r="S272" i="1"/>
  <c r="S274" i="1" s="1"/>
  <c r="S216" i="1"/>
  <c r="S266" i="1"/>
  <c r="R182" i="1"/>
  <c r="R216" i="1"/>
  <c r="R266" i="1"/>
  <c r="R272" i="1"/>
  <c r="R274" i="1" s="1"/>
  <c r="Y182" i="1"/>
  <c r="U68" i="4"/>
  <c r="Y216" i="1"/>
  <c r="Y266" i="1"/>
  <c r="Y272" i="1"/>
  <c r="Y274" i="1" s="1"/>
  <c r="Q182" i="1"/>
  <c r="Q272" i="1"/>
  <c r="Q274" i="1" s="1"/>
  <c r="M68" i="4"/>
  <c r="Q216" i="1"/>
  <c r="Q266" i="1"/>
  <c r="C8" i="4"/>
  <c r="AT9" i="1"/>
  <c r="Z182" i="1"/>
  <c r="Z272" i="1"/>
  <c r="Z274" i="1" s="1"/>
  <c r="Z216" i="1"/>
  <c r="M153" i="1"/>
  <c r="J182" i="1"/>
  <c r="J272" i="1"/>
  <c r="J274" i="1" s="1"/>
  <c r="J216" i="1"/>
  <c r="I182" i="1"/>
  <c r="E68" i="4"/>
  <c r="I272" i="1"/>
  <c r="I274" i="1" s="1"/>
  <c r="I216" i="1"/>
  <c r="W182" i="1"/>
  <c r="W272" i="1"/>
  <c r="W274" i="1" s="1"/>
  <c r="S68" i="4"/>
  <c r="W216" i="1"/>
  <c r="W266" i="1"/>
  <c r="U182" i="1"/>
  <c r="U272" i="1"/>
  <c r="U274" i="1" s="1"/>
  <c r="U216" i="1"/>
  <c r="U266" i="1"/>
  <c r="Q68" i="4"/>
  <c r="C199" i="1"/>
  <c r="BJ24" i="1"/>
  <c r="G182" i="1"/>
  <c r="G272" i="1"/>
  <c r="G274" i="1" s="1"/>
  <c r="C68" i="4"/>
  <c r="N182" i="1"/>
  <c r="N266" i="1"/>
  <c r="N272" i="1"/>
  <c r="N274" i="1" s="1"/>
  <c r="N216" i="1"/>
  <c r="V182" i="1"/>
  <c r="V216" i="1"/>
  <c r="V266" i="1"/>
  <c r="V272" i="1"/>
  <c r="V274" i="1" s="1"/>
  <c r="C201" i="1"/>
  <c r="AC182" i="1"/>
  <c r="AC216" i="1"/>
  <c r="AC272" i="1"/>
  <c r="AC274" i="1" s="1"/>
  <c r="Y68" i="4"/>
  <c r="C99" i="1"/>
  <c r="P185" i="1"/>
  <c r="L185" i="1"/>
  <c r="Z185" i="1"/>
  <c r="Y185" i="1"/>
  <c r="N185" i="1"/>
  <c r="Q185" i="1"/>
  <c r="AA185" i="1"/>
  <c r="O185" i="1"/>
  <c r="T185" i="1"/>
  <c r="AB185" i="1"/>
  <c r="AC185" i="1"/>
  <c r="M185" i="1"/>
  <c r="W185" i="1"/>
  <c r="K185" i="1"/>
  <c r="R185" i="1"/>
  <c r="U185" i="1"/>
  <c r="X185" i="1"/>
  <c r="V185" i="1"/>
  <c r="J154" i="2"/>
  <c r="C212" i="1"/>
  <c r="L182" i="1"/>
  <c r="L272" i="1"/>
  <c r="L274" i="1" s="1"/>
  <c r="L266" i="1"/>
  <c r="L216" i="1"/>
  <c r="H68" i="4"/>
  <c r="AB182" i="1"/>
  <c r="X68" i="4"/>
  <c r="AB272" i="1"/>
  <c r="AB274" i="1" s="1"/>
  <c r="AB216" i="1"/>
  <c r="AJ32" i="1"/>
  <c r="AJ14" i="1"/>
  <c r="AA182" i="1"/>
  <c r="W68" i="4"/>
  <c r="AA272" i="1"/>
  <c r="AA274" i="1" s="1"/>
  <c r="AA216" i="1"/>
  <c r="BI37" i="1"/>
  <c r="E187" i="1"/>
  <c r="D187" i="1" s="1"/>
  <c r="K182" i="1"/>
  <c r="K272" i="1"/>
  <c r="K274" i="1" s="1"/>
  <c r="G68" i="4"/>
  <c r="K216" i="1"/>
  <c r="AN24" i="1"/>
  <c r="C208" i="1"/>
  <c r="T182" i="1"/>
  <c r="T216" i="1"/>
  <c r="P68" i="4"/>
  <c r="T266" i="1"/>
  <c r="T272" i="1"/>
  <c r="T274" i="1" s="1"/>
  <c r="X182" i="1"/>
  <c r="X216" i="1"/>
  <c r="X272" i="1"/>
  <c r="X274" i="1" s="1"/>
  <c r="X266" i="1"/>
  <c r="T68" i="4"/>
  <c r="C216" i="1"/>
  <c r="J91" i="2"/>
  <c r="I91" i="2" s="1"/>
  <c r="M182" i="1"/>
  <c r="M266" i="1"/>
  <c r="I68" i="4"/>
  <c r="M216" i="1"/>
  <c r="M272" i="1"/>
  <c r="M274" i="1" s="1"/>
  <c r="I89" i="2"/>
  <c r="H182" i="1"/>
  <c r="D68" i="4"/>
  <c r="H216" i="1"/>
  <c r="H272" i="1"/>
  <c r="H274" i="1" s="1"/>
  <c r="O182" i="1"/>
  <c r="O266" i="1"/>
  <c r="K68" i="4"/>
  <c r="O216" i="1"/>
  <c r="O272" i="1"/>
  <c r="O274" i="1" s="1"/>
  <c r="AK14" i="1"/>
  <c r="AK32" i="1"/>
  <c r="AK49" i="1"/>
  <c r="AK50" i="1" s="1"/>
  <c r="AF32" i="1"/>
  <c r="AF14" i="1"/>
  <c r="AM13" i="1"/>
  <c r="P182" i="1"/>
  <c r="P272" i="1"/>
  <c r="P274" i="1" s="1"/>
  <c r="P266" i="1"/>
  <c r="P216" i="1"/>
  <c r="L68" i="4"/>
  <c r="F182" i="1"/>
  <c r="F272" i="1"/>
  <c r="F216" i="1"/>
  <c r="E196" i="1"/>
  <c r="V63" i="4" l="1"/>
  <c r="Z213" i="1"/>
  <c r="R63" i="4"/>
  <c r="V213" i="1"/>
  <c r="J63" i="4"/>
  <c r="N213" i="1"/>
  <c r="U63" i="4"/>
  <c r="U70" i="4" s="1"/>
  <c r="Y213" i="1"/>
  <c r="H63" i="4"/>
  <c r="H70" i="4" s="1"/>
  <c r="L213" i="1"/>
  <c r="T63" i="4"/>
  <c r="T70" i="4" s="1"/>
  <c r="X213" i="1"/>
  <c r="Q63" i="4"/>
  <c r="Q70" i="4" s="1"/>
  <c r="U213" i="1"/>
  <c r="G63" i="4"/>
  <c r="G70" i="4" s="1"/>
  <c r="K213" i="1"/>
  <c r="S63" i="4"/>
  <c r="S70" i="4" s="1"/>
  <c r="W213" i="1"/>
  <c r="I63" i="4"/>
  <c r="I70" i="4" s="1"/>
  <c r="M213" i="1"/>
  <c r="Y63" i="4"/>
  <c r="Y70" i="4" s="1"/>
  <c r="AC213" i="1"/>
  <c r="F63" i="4"/>
  <c r="J213" i="1"/>
  <c r="X63" i="4"/>
  <c r="X70" i="4" s="1"/>
  <c r="AB213" i="1"/>
  <c r="E63" i="4"/>
  <c r="E70" i="4" s="1"/>
  <c r="I213" i="1"/>
  <c r="P63" i="4"/>
  <c r="P70" i="4" s="1"/>
  <c r="T213" i="1"/>
  <c r="D63" i="4"/>
  <c r="D70" i="4" s="1"/>
  <c r="H213" i="1"/>
  <c r="K63" i="4"/>
  <c r="K70" i="4" s="1"/>
  <c r="O213" i="1"/>
  <c r="C63" i="4"/>
  <c r="C70" i="4" s="1"/>
  <c r="G213" i="1"/>
  <c r="W63" i="4"/>
  <c r="W70" i="4" s="1"/>
  <c r="AA213" i="1"/>
  <c r="B63" i="4"/>
  <c r="F213" i="1"/>
  <c r="O63" i="4"/>
  <c r="O70" i="4" s="1"/>
  <c r="N63" i="4"/>
  <c r="R213" i="1"/>
  <c r="M63" i="4"/>
  <c r="M70" i="4" s="1"/>
  <c r="Q213" i="1"/>
  <c r="L63" i="4"/>
  <c r="L70" i="4" s="1"/>
  <c r="AM22" i="1"/>
  <c r="AQ22" i="1" s="1"/>
  <c r="Q27" i="4"/>
  <c r="E60" i="4"/>
  <c r="E199" i="1"/>
  <c r="D199" i="1" s="1"/>
  <c r="AM28" i="1"/>
  <c r="AQ28" i="1" s="1"/>
  <c r="AN44" i="1"/>
  <c r="AN48" i="1"/>
  <c r="AM27" i="1"/>
  <c r="AQ27" i="1" s="1"/>
  <c r="AM30" i="1"/>
  <c r="AQ30" i="1" s="1"/>
  <c r="AM23" i="1"/>
  <c r="AQ23" i="1" s="1"/>
  <c r="AM25" i="1"/>
  <c r="AQ25" i="1" s="1"/>
  <c r="AM24" i="1"/>
  <c r="AQ24" i="1" s="1"/>
  <c r="AM26" i="1"/>
  <c r="AQ26" i="1" s="1"/>
  <c r="AN46" i="1"/>
  <c r="AN45" i="1"/>
  <c r="AM29" i="1"/>
  <c r="AQ29" i="1" s="1"/>
  <c r="AM21" i="1"/>
  <c r="AQ21" i="1" s="1"/>
  <c r="AN43" i="1"/>
  <c r="AN40" i="1"/>
  <c r="AN14" i="1"/>
  <c r="AP22" i="1"/>
  <c r="AN47" i="1"/>
  <c r="AN42" i="1"/>
  <c r="S278" i="1"/>
  <c r="S211" i="1" s="1"/>
  <c r="AC278" i="1"/>
  <c r="AC211" i="1" s="1"/>
  <c r="Z278" i="1"/>
  <c r="Z211" i="1" s="1"/>
  <c r="I278" i="1"/>
  <c r="I211" i="1" s="1"/>
  <c r="F278" i="1"/>
  <c r="F211" i="1" s="1"/>
  <c r="AB278" i="1"/>
  <c r="AB211" i="1" s="1"/>
  <c r="T278" i="1"/>
  <c r="T211" i="1" s="1"/>
  <c r="P278" i="1"/>
  <c r="P211" i="1" s="1"/>
  <c r="M278" i="1"/>
  <c r="M211" i="1" s="1"/>
  <c r="X278" i="1"/>
  <c r="X211" i="1" s="1"/>
  <c r="H278" i="1"/>
  <c r="H211" i="1" s="1"/>
  <c r="O278" i="1"/>
  <c r="O211" i="1" s="1"/>
  <c r="C303" i="1"/>
  <c r="V278" i="1"/>
  <c r="V211" i="1" s="1"/>
  <c r="K278" i="1"/>
  <c r="K211" i="1" s="1"/>
  <c r="Y278" i="1"/>
  <c r="Y211" i="1" s="1"/>
  <c r="J278" i="1"/>
  <c r="J211" i="1" s="1"/>
  <c r="R278" i="1"/>
  <c r="R211" i="1" s="1"/>
  <c r="G278" i="1"/>
  <c r="G211" i="1" s="1"/>
  <c r="Q278" i="1"/>
  <c r="Q211" i="1" s="1"/>
  <c r="AA278" i="1"/>
  <c r="AA211" i="1" s="1"/>
  <c r="U278" i="1"/>
  <c r="U211" i="1" s="1"/>
  <c r="N278" i="1"/>
  <c r="N211" i="1" s="1"/>
  <c r="L278" i="1"/>
  <c r="L211" i="1" s="1"/>
  <c r="W278" i="1"/>
  <c r="W211" i="1" s="1"/>
  <c r="AC139" i="1"/>
  <c r="T7" i="4" s="1"/>
  <c r="AX27" i="1"/>
  <c r="AX31" i="1" s="1"/>
  <c r="C210" i="1"/>
  <c r="AP5" i="1"/>
  <c r="J68" i="4"/>
  <c r="AP6" i="1"/>
  <c r="AP11" i="1"/>
  <c r="AP10" i="1"/>
  <c r="B60" i="4"/>
  <c r="D60" i="4"/>
  <c r="Q17" i="4"/>
  <c r="C60" i="4"/>
  <c r="E185" i="1"/>
  <c r="D185" i="1" s="1"/>
  <c r="V68" i="4"/>
  <c r="BJ37" i="1"/>
  <c r="D38" i="4" s="1"/>
  <c r="C38" i="4"/>
  <c r="R68" i="4"/>
  <c r="F274" i="1"/>
  <c r="E272" i="1"/>
  <c r="D272" i="1" s="1"/>
  <c r="AP7" i="1"/>
  <c r="AP24" i="1"/>
  <c r="F68" i="4"/>
  <c r="AM11" i="1"/>
  <c r="AM3" i="1"/>
  <c r="AM7" i="1"/>
  <c r="AM4" i="1"/>
  <c r="AM9" i="1"/>
  <c r="AM10" i="1"/>
  <c r="AM12" i="1"/>
  <c r="AM8" i="1"/>
  <c r="AM6" i="1"/>
  <c r="AM5" i="1"/>
  <c r="D25" i="4"/>
  <c r="N68" i="4"/>
  <c r="E182" i="1"/>
  <c r="AP9" i="1"/>
  <c r="Q15" i="4"/>
  <c r="AT13" i="1"/>
  <c r="AT45" i="1"/>
  <c r="AT49" i="1" s="1"/>
  <c r="AP3" i="1"/>
  <c r="Q24" i="4"/>
  <c r="H22" i="1"/>
  <c r="D196" i="1"/>
  <c r="AP4" i="1"/>
  <c r="AP8" i="1"/>
  <c r="O135" i="1"/>
  <c r="M157" i="1"/>
  <c r="B68" i="4"/>
  <c r="AP12" i="1"/>
  <c r="E216" i="1"/>
  <c r="D216" i="1" s="1"/>
  <c r="E213" i="1" l="1"/>
  <c r="D213" i="1" s="1"/>
  <c r="E212" i="1"/>
  <c r="D212" i="1" s="1"/>
  <c r="C98" i="1"/>
  <c r="T8" i="4"/>
  <c r="E208" i="1"/>
  <c r="D208" i="1" s="1"/>
  <c r="S210" i="1"/>
  <c r="O210" i="1"/>
  <c r="R210" i="1"/>
  <c r="T210" i="1"/>
  <c r="Q210" i="1"/>
  <c r="P210" i="1"/>
  <c r="AP31" i="1"/>
  <c r="D78" i="4"/>
  <c r="C78" i="4"/>
  <c r="AN49" i="1"/>
  <c r="AN50" i="1" s="1"/>
  <c r="AX32" i="1"/>
  <c r="O280" i="1"/>
  <c r="O288" i="1"/>
  <c r="K67" i="4"/>
  <c r="O282" i="1"/>
  <c r="O286" i="1"/>
  <c r="O284" i="1"/>
  <c r="C184" i="1"/>
  <c r="J153" i="2" s="1"/>
  <c r="J29" i="1"/>
  <c r="H29" i="1" s="1"/>
  <c r="J58" i="2" s="1"/>
  <c r="X288" i="1"/>
  <c r="X284" i="1"/>
  <c r="X280" i="1"/>
  <c r="X282" i="1"/>
  <c r="X286" i="1"/>
  <c r="T67" i="4"/>
  <c r="S67" i="4"/>
  <c r="W280" i="1"/>
  <c r="W284" i="1"/>
  <c r="W286" i="1"/>
  <c r="W282" i="1"/>
  <c r="W288" i="1"/>
  <c r="I67" i="4"/>
  <c r="M284" i="1"/>
  <c r="M280" i="1"/>
  <c r="M286" i="1"/>
  <c r="M282" i="1"/>
  <c r="M288" i="1"/>
  <c r="H67" i="4"/>
  <c r="L288" i="1"/>
  <c r="L280" i="1"/>
  <c r="L286" i="1"/>
  <c r="L284" i="1"/>
  <c r="L282" i="1"/>
  <c r="L67" i="4"/>
  <c r="P288" i="1"/>
  <c r="P282" i="1"/>
  <c r="P284" i="1"/>
  <c r="P286" i="1"/>
  <c r="P280" i="1"/>
  <c r="N280" i="1"/>
  <c r="N282" i="1"/>
  <c r="N288" i="1"/>
  <c r="N284" i="1"/>
  <c r="N286" i="1"/>
  <c r="T286" i="1"/>
  <c r="T288" i="1"/>
  <c r="P67" i="4"/>
  <c r="T282" i="1"/>
  <c r="T280" i="1"/>
  <c r="T284" i="1"/>
  <c r="U286" i="1"/>
  <c r="U280" i="1"/>
  <c r="Q67" i="4"/>
  <c r="U284" i="1"/>
  <c r="U288" i="1"/>
  <c r="U282" i="1"/>
  <c r="AB288" i="1"/>
  <c r="AB286" i="1"/>
  <c r="AB284" i="1"/>
  <c r="AB282" i="1"/>
  <c r="AB280" i="1"/>
  <c r="AB290" i="1" s="1"/>
  <c r="X67" i="4"/>
  <c r="H288" i="1"/>
  <c r="H284" i="1"/>
  <c r="H280" i="1"/>
  <c r="D67" i="4"/>
  <c r="H286" i="1"/>
  <c r="H282" i="1"/>
  <c r="AA282" i="1"/>
  <c r="AA288" i="1"/>
  <c r="AA284" i="1"/>
  <c r="AA286" i="1"/>
  <c r="AA280" i="1"/>
  <c r="AA290" i="1" s="1"/>
  <c r="W67" i="4"/>
  <c r="F280" i="1"/>
  <c r="F288" i="1"/>
  <c r="F286" i="1"/>
  <c r="E278" i="1"/>
  <c r="D278" i="1" s="1"/>
  <c r="F282" i="1"/>
  <c r="F284" i="1"/>
  <c r="Q288" i="1"/>
  <c r="Q286" i="1"/>
  <c r="Q282" i="1"/>
  <c r="Q284" i="1"/>
  <c r="Q280" i="1"/>
  <c r="M67" i="4"/>
  <c r="I288" i="1"/>
  <c r="I282" i="1"/>
  <c r="E67" i="4"/>
  <c r="I280" i="1"/>
  <c r="I286" i="1"/>
  <c r="I284" i="1"/>
  <c r="E201" i="1"/>
  <c r="D201" i="1" s="1"/>
  <c r="G288" i="1"/>
  <c r="G282" i="1"/>
  <c r="G280" i="1"/>
  <c r="G286" i="1"/>
  <c r="G284" i="1"/>
  <c r="C67" i="4"/>
  <c r="Z284" i="1"/>
  <c r="Z286" i="1"/>
  <c r="Z280" i="1"/>
  <c r="Z282" i="1"/>
  <c r="Z288" i="1"/>
  <c r="R284" i="1"/>
  <c r="R288" i="1"/>
  <c r="R280" i="1"/>
  <c r="R286" i="1"/>
  <c r="R282" i="1"/>
  <c r="AC280" i="1"/>
  <c r="AC284" i="1"/>
  <c r="AC288" i="1"/>
  <c r="AC282" i="1"/>
  <c r="AC286" i="1"/>
  <c r="Y67" i="4"/>
  <c r="J286" i="1"/>
  <c r="J288" i="1"/>
  <c r="J280" i="1"/>
  <c r="J284" i="1"/>
  <c r="J282" i="1"/>
  <c r="S288" i="1"/>
  <c r="S282" i="1"/>
  <c r="S284" i="1"/>
  <c r="S286" i="1"/>
  <c r="S280" i="1"/>
  <c r="S290" i="1" s="1"/>
  <c r="O67" i="4"/>
  <c r="Y280" i="1"/>
  <c r="U67" i="4"/>
  <c r="Y288" i="1"/>
  <c r="Y284" i="1"/>
  <c r="Y286" i="1"/>
  <c r="Y282" i="1"/>
  <c r="K288" i="1"/>
  <c r="K286" i="1"/>
  <c r="K282" i="1"/>
  <c r="K284" i="1"/>
  <c r="G67" i="4"/>
  <c r="K280" i="1"/>
  <c r="V288" i="1"/>
  <c r="V280" i="1"/>
  <c r="V286" i="1"/>
  <c r="V284" i="1"/>
  <c r="V282" i="1"/>
  <c r="C312" i="1"/>
  <c r="C308" i="1"/>
  <c r="C310" i="1"/>
  <c r="C309" i="1"/>
  <c r="C311" i="1"/>
  <c r="B70" i="4"/>
  <c r="F70" i="4"/>
  <c r="AP43" i="1"/>
  <c r="J30" i="1"/>
  <c r="AP46" i="1"/>
  <c r="AP41" i="1"/>
  <c r="AP42" i="1"/>
  <c r="O139" i="1"/>
  <c r="T10" i="4" s="1"/>
  <c r="AX9" i="1"/>
  <c r="N70" i="4"/>
  <c r="J70" i="4"/>
  <c r="E274" i="1"/>
  <c r="D274" i="1" s="1"/>
  <c r="F276" i="1"/>
  <c r="G276" i="1" s="1"/>
  <c r="H276" i="1" s="1"/>
  <c r="I276" i="1" s="1"/>
  <c r="J276" i="1" s="1"/>
  <c r="K276" i="1" s="1"/>
  <c r="L276" i="1" s="1"/>
  <c r="M276" i="1" s="1"/>
  <c r="N276" i="1" s="1"/>
  <c r="O276" i="1" s="1"/>
  <c r="P276" i="1" s="1"/>
  <c r="Q276" i="1" s="1"/>
  <c r="R276" i="1" s="1"/>
  <c r="S276" i="1" s="1"/>
  <c r="T276" i="1" s="1"/>
  <c r="U276" i="1" s="1"/>
  <c r="V276" i="1" s="1"/>
  <c r="W276" i="1" s="1"/>
  <c r="X276" i="1" s="1"/>
  <c r="Y276" i="1" s="1"/>
  <c r="Z276" i="1" s="1"/>
  <c r="AA276" i="1" s="1"/>
  <c r="AB276" i="1" s="1"/>
  <c r="AC276" i="1" s="1"/>
  <c r="AP47" i="1"/>
  <c r="V70" i="4"/>
  <c r="AP45" i="1"/>
  <c r="R70" i="4"/>
  <c r="AP40" i="1"/>
  <c r="AP48" i="1"/>
  <c r="AM14" i="1"/>
  <c r="AP39" i="1"/>
  <c r="AP44" i="1"/>
  <c r="BX9" i="1"/>
  <c r="C182" i="1"/>
  <c r="D182" i="1" s="1"/>
  <c r="BX10" i="1"/>
  <c r="BZ10" i="1" s="1"/>
  <c r="CA10" i="1" s="1"/>
  <c r="H24" i="1"/>
  <c r="J55" i="2"/>
  <c r="Q290" i="1" l="1"/>
  <c r="E280" i="1"/>
  <c r="M290" i="1"/>
  <c r="I290" i="1"/>
  <c r="O290" i="1"/>
  <c r="T290" i="1"/>
  <c r="V290" i="1"/>
  <c r="L290" i="1"/>
  <c r="Y290" i="1"/>
  <c r="E284" i="1"/>
  <c r="D284" i="1" s="1"/>
  <c r="N290" i="1"/>
  <c r="H290" i="1"/>
  <c r="E282" i="1"/>
  <c r="D282" i="1" s="1"/>
  <c r="P290" i="1"/>
  <c r="K290" i="1"/>
  <c r="J290" i="1"/>
  <c r="U290" i="1"/>
  <c r="AC290" i="1"/>
  <c r="Z290" i="1"/>
  <c r="E286" i="1"/>
  <c r="D286" i="1" s="1"/>
  <c r="W290" i="1"/>
  <c r="X290" i="1"/>
  <c r="R290" i="1"/>
  <c r="G290" i="1"/>
  <c r="E288" i="1"/>
  <c r="E210" i="1"/>
  <c r="D210" i="1" s="1"/>
  <c r="E78" i="4"/>
  <c r="D80" i="4"/>
  <c r="C80" i="4"/>
  <c r="F67" i="4"/>
  <c r="D288" i="1"/>
  <c r="F290" i="1"/>
  <c r="N67" i="4"/>
  <c r="J67" i="4"/>
  <c r="V67" i="4"/>
  <c r="C304" i="1"/>
  <c r="C305" i="1"/>
  <c r="C313" i="1"/>
  <c r="D280" i="1"/>
  <c r="E211" i="1"/>
  <c r="R67" i="4"/>
  <c r="AQ12" i="1"/>
  <c r="AQ9" i="1"/>
  <c r="C209" i="1"/>
  <c r="J93" i="2"/>
  <c r="I93" i="2" s="1"/>
  <c r="AQ3" i="1"/>
  <c r="AQ11" i="1"/>
  <c r="AQ8" i="1"/>
  <c r="AQ4" i="1"/>
  <c r="AQ7" i="1"/>
  <c r="AQ10" i="1"/>
  <c r="AQ6" i="1"/>
  <c r="AQ5" i="1"/>
  <c r="C102" i="1"/>
  <c r="T5" i="4" s="1"/>
  <c r="BX17" i="1"/>
  <c r="BX19" i="1" s="1"/>
  <c r="N13" i="4"/>
  <c r="BI41" i="1"/>
  <c r="BI44" i="1"/>
  <c r="BI42" i="1"/>
  <c r="BI40" i="1"/>
  <c r="F322" i="1"/>
  <c r="E322" i="1" s="1"/>
  <c r="C116" i="1"/>
  <c r="BI43" i="1"/>
  <c r="C114" i="1"/>
  <c r="C25" i="1"/>
  <c r="AX13" i="1"/>
  <c r="AX45" i="1"/>
  <c r="BW5" i="1"/>
  <c r="P209" i="1" l="1"/>
  <c r="Q209" i="1"/>
  <c r="R209" i="1"/>
  <c r="S209" i="1"/>
  <c r="D313" i="1"/>
  <c r="AQ43" i="1"/>
  <c r="AQ44" i="1"/>
  <c r="AQ39" i="1"/>
  <c r="AP13" i="1"/>
  <c r="AP32" i="1" s="1"/>
  <c r="AQ45" i="1"/>
  <c r="AQ40" i="1"/>
  <c r="AQ48" i="1"/>
  <c r="AQ47" i="1"/>
  <c r="AQ41" i="1"/>
  <c r="AQ42" i="1"/>
  <c r="AQ46" i="1"/>
  <c r="E80" i="4"/>
  <c r="C81" i="4"/>
  <c r="D81" i="4" s="1"/>
  <c r="B67" i="4"/>
  <c r="D211" i="1"/>
  <c r="E290" i="1"/>
  <c r="D290" i="1" s="1"/>
  <c r="F292" i="1"/>
  <c r="F294" i="1" s="1"/>
  <c r="BI12" i="1"/>
  <c r="E91" i="1"/>
  <c r="E94" i="1"/>
  <c r="E92" i="1"/>
  <c r="C20" i="1"/>
  <c r="J90" i="2"/>
  <c r="E86" i="1"/>
  <c r="C111" i="1"/>
  <c r="E95" i="1"/>
  <c r="E96" i="1"/>
  <c r="E87" i="1"/>
  <c r="E93" i="1"/>
  <c r="E89" i="1"/>
  <c r="E100" i="1"/>
  <c r="E88" i="1"/>
  <c r="E97" i="1"/>
  <c r="E101" i="1"/>
  <c r="E90" i="1"/>
  <c r="E99" i="1"/>
  <c r="N188" i="1"/>
  <c r="J64" i="4" s="1"/>
  <c r="W188" i="1"/>
  <c r="AC188" i="1"/>
  <c r="R188" i="1"/>
  <c r="N64" i="4" s="1"/>
  <c r="M188" i="1"/>
  <c r="F188" i="1"/>
  <c r="B64" i="4" s="1"/>
  <c r="Y188" i="1"/>
  <c r="L188" i="1"/>
  <c r="J156" i="2"/>
  <c r="J157" i="2" s="1"/>
  <c r="AB188" i="1"/>
  <c r="H188" i="1"/>
  <c r="Z188" i="1"/>
  <c r="V64" i="4" s="1"/>
  <c r="V188" i="1"/>
  <c r="R64" i="4" s="1"/>
  <c r="O188" i="1"/>
  <c r="I188" i="1"/>
  <c r="P188" i="1"/>
  <c r="J188" i="1"/>
  <c r="F64" i="4" s="1"/>
  <c r="AA188" i="1"/>
  <c r="K188" i="1"/>
  <c r="Q188" i="1"/>
  <c r="U188" i="1"/>
  <c r="G188" i="1"/>
  <c r="C17" i="1"/>
  <c r="AX14" i="1" s="1"/>
  <c r="BI16" i="1"/>
  <c r="BZ13" i="1"/>
  <c r="CA13" i="1" s="1"/>
  <c r="C220" i="1"/>
  <c r="BI45" i="1"/>
  <c r="BI9" i="1"/>
  <c r="AT14" i="1"/>
  <c r="AT50" i="1"/>
  <c r="AX49" i="1"/>
  <c r="Q25" i="4"/>
  <c r="E98" i="1"/>
  <c r="N20" i="4"/>
  <c r="E209" i="1" l="1"/>
  <c r="AP49" i="1"/>
  <c r="AP50" i="1" s="1"/>
  <c r="D209" i="1"/>
  <c r="AP14" i="1"/>
  <c r="AX50" i="1"/>
  <c r="D220" i="1"/>
  <c r="W64" i="4"/>
  <c r="W71" i="4" s="1"/>
  <c r="O64" i="4"/>
  <c r="O71" i="4" s="1"/>
  <c r="E64" i="4"/>
  <c r="E71" i="4" s="1"/>
  <c r="T64" i="4"/>
  <c r="T71" i="4" s="1"/>
  <c r="Y64" i="4"/>
  <c r="Y71" i="4" s="1"/>
  <c r="K64" i="4"/>
  <c r="K71" i="4" s="1"/>
  <c r="L64" i="4"/>
  <c r="L71" i="4" s="1"/>
  <c r="P64" i="4"/>
  <c r="P71" i="4" s="1"/>
  <c r="S64" i="4"/>
  <c r="S71" i="4" s="1"/>
  <c r="D64" i="4"/>
  <c r="D71" i="4" s="1"/>
  <c r="X64" i="4"/>
  <c r="X71" i="4" s="1"/>
  <c r="C64" i="4"/>
  <c r="C71" i="4" s="1"/>
  <c r="Q64" i="4"/>
  <c r="Q71" i="4" s="1"/>
  <c r="U64" i="4"/>
  <c r="U71" i="4" s="1"/>
  <c r="M64" i="4"/>
  <c r="M71" i="4" s="1"/>
  <c r="H64" i="4"/>
  <c r="H71" i="4" s="1"/>
  <c r="G64" i="4"/>
  <c r="G71" i="4" s="1"/>
  <c r="I64" i="4"/>
  <c r="I71" i="4" s="1"/>
  <c r="D77" i="4"/>
  <c r="C77" i="4"/>
  <c r="D74" i="4"/>
  <c r="E81" i="4"/>
  <c r="G292" i="1"/>
  <c r="G294" i="1" s="1"/>
  <c r="G296" i="1" s="1"/>
  <c r="F296" i="1"/>
  <c r="C112" i="1"/>
  <c r="N71" i="4"/>
  <c r="I90" i="2"/>
  <c r="I88" i="2" s="1"/>
  <c r="J88" i="2"/>
  <c r="F71" i="4"/>
  <c r="J71" i="4"/>
  <c r="R71" i="4"/>
  <c r="C13" i="4"/>
  <c r="E188" i="1"/>
  <c r="D188" i="1" s="1"/>
  <c r="V71" i="4"/>
  <c r="C10" i="4"/>
  <c r="C17" i="4"/>
  <c r="J12" i="2"/>
  <c r="I12" i="2" s="1"/>
  <c r="F184" i="1" l="1"/>
  <c r="B62" i="4" s="1"/>
  <c r="G184" i="1"/>
  <c r="C62" i="4" s="1"/>
  <c r="C69" i="4" s="1"/>
  <c r="C79" i="4"/>
  <c r="E77" i="4"/>
  <c r="H292" i="1"/>
  <c r="H294" i="1" s="1"/>
  <c r="H296" i="1" s="1"/>
  <c r="B71" i="4"/>
  <c r="G167" i="1"/>
  <c r="G323" i="1" l="1"/>
  <c r="G325" i="1" s="1"/>
  <c r="G214" i="1" s="1"/>
  <c r="F167" i="1"/>
  <c r="H184" i="1"/>
  <c r="D62" i="4" s="1"/>
  <c r="D69" i="4" s="1"/>
  <c r="B69" i="4"/>
  <c r="I292" i="1"/>
  <c r="H167" i="1" l="1"/>
  <c r="I294" i="1"/>
  <c r="I296" i="1" l="1"/>
  <c r="I184" i="1" s="1"/>
  <c r="I167" i="1" s="1"/>
  <c r="J292" i="1"/>
  <c r="J294" i="1" s="1"/>
  <c r="J296" i="1" s="1"/>
  <c r="E62" i="4" l="1"/>
  <c r="E69" i="4" s="1"/>
  <c r="I323" i="1"/>
  <c r="J184" i="1"/>
  <c r="F62" i="4" s="1"/>
  <c r="K292" i="1"/>
  <c r="K294" i="1" s="1"/>
  <c r="J167" i="1"/>
  <c r="I325" i="1" l="1"/>
  <c r="I214" i="1" s="1"/>
  <c r="K296" i="1"/>
  <c r="K184" i="1" s="1"/>
  <c r="L292" i="1"/>
  <c r="L294" i="1" s="1"/>
  <c r="L296" i="1" s="1"/>
  <c r="F69" i="4"/>
  <c r="G62" i="4" l="1"/>
  <c r="G69" i="4" s="1"/>
  <c r="K167" i="1"/>
  <c r="K323" i="1"/>
  <c r="L184" i="1"/>
  <c r="H62" i="4" s="1"/>
  <c r="H69" i="4" s="1"/>
  <c r="M292" i="1"/>
  <c r="L167" i="1"/>
  <c r="K325" i="1" l="1"/>
  <c r="K214" i="1" s="1"/>
  <c r="M294" i="1"/>
  <c r="M296" i="1" s="1"/>
  <c r="M184" i="1" l="1"/>
  <c r="N292" i="1"/>
  <c r="N294" i="1" s="1"/>
  <c r="N296" i="1" s="1"/>
  <c r="M167" i="1"/>
  <c r="I62" i="4" l="1"/>
  <c r="I69" i="4" s="1"/>
  <c r="M323" i="1"/>
  <c r="N184" i="1"/>
  <c r="J62" i="4" s="1"/>
  <c r="O292" i="1"/>
  <c r="O294" i="1" s="1"/>
  <c r="O296" i="1" s="1"/>
  <c r="N167" i="1"/>
  <c r="M325" i="1" l="1"/>
  <c r="M214" i="1" s="1"/>
  <c r="O184" i="1"/>
  <c r="P292" i="1"/>
  <c r="P294" i="1" s="1"/>
  <c r="P296" i="1" s="1"/>
  <c r="J69" i="4"/>
  <c r="O167" i="1"/>
  <c r="K62" i="4" l="1"/>
  <c r="K69" i="4" s="1"/>
  <c r="O323" i="1"/>
  <c r="P184" i="1"/>
  <c r="L62" i="4" s="1"/>
  <c r="L69" i="4" s="1"/>
  <c r="Q292" i="1"/>
  <c r="P167" i="1" l="1"/>
  <c r="O325" i="1"/>
  <c r="O214" i="1" s="1"/>
  <c r="Q294" i="1"/>
  <c r="Q296" i="1" s="1"/>
  <c r="Q184" i="1" l="1"/>
  <c r="Q167" i="1" s="1"/>
  <c r="R292" i="1"/>
  <c r="M62" i="4" l="1"/>
  <c r="M69" i="4" s="1"/>
  <c r="Q323" i="1"/>
  <c r="R294" i="1"/>
  <c r="R296" i="1" s="1"/>
  <c r="Q325" i="1" l="1"/>
  <c r="Q214" i="1" s="1"/>
  <c r="R184" i="1"/>
  <c r="N62" i="4" s="1"/>
  <c r="S292" i="1"/>
  <c r="S294" i="1" s="1"/>
  <c r="S296" i="1" s="1"/>
  <c r="R167" i="1"/>
  <c r="S184" i="1" l="1"/>
  <c r="T292" i="1"/>
  <c r="T294" i="1" s="1"/>
  <c r="N69" i="4"/>
  <c r="S167" i="1"/>
  <c r="O62" i="4" l="1"/>
  <c r="O69" i="4" s="1"/>
  <c r="S323" i="1"/>
  <c r="S325" i="1" s="1"/>
  <c r="S214" i="1" s="1"/>
  <c r="T296" i="1"/>
  <c r="T184" i="1" s="1"/>
  <c r="U292" i="1"/>
  <c r="U294" i="1" s="1"/>
  <c r="U296" i="1" s="1"/>
  <c r="U184" i="1" l="1"/>
  <c r="P62" i="4"/>
  <c r="P69" i="4" s="1"/>
  <c r="T167" i="1"/>
  <c r="V292" i="1"/>
  <c r="V294" i="1" s="1"/>
  <c r="V296" i="1" s="1"/>
  <c r="U167" i="1"/>
  <c r="Q62" i="4" l="1"/>
  <c r="Q69" i="4" s="1"/>
  <c r="U323" i="1"/>
  <c r="E323" i="1" s="1"/>
  <c r="V184" i="1"/>
  <c r="R62" i="4" s="1"/>
  <c r="W292" i="1"/>
  <c r="W294" i="1" s="1"/>
  <c r="W296" i="1" s="1"/>
  <c r="V167" i="1"/>
  <c r="W184" i="1" l="1"/>
  <c r="S62" i="4" s="1"/>
  <c r="S69" i="4" s="1"/>
  <c r="X292" i="1"/>
  <c r="X294" i="1" s="1"/>
  <c r="X296" i="1" s="1"/>
  <c r="R69" i="4"/>
  <c r="W167" i="1"/>
  <c r="X184" i="1" l="1"/>
  <c r="T62" i="4" s="1"/>
  <c r="T69" i="4" s="1"/>
  <c r="Y292" i="1"/>
  <c r="Y294" i="1" s="1"/>
  <c r="Y296" i="1" s="1"/>
  <c r="X167" i="1"/>
  <c r="Y184" i="1" l="1"/>
  <c r="U62" i="4" s="1"/>
  <c r="U69" i="4" s="1"/>
  <c r="Y167" i="1"/>
  <c r="Z292" i="1"/>
  <c r="Z294" i="1" l="1"/>
  <c r="Z296" i="1" s="1"/>
  <c r="Z184" i="1" l="1"/>
  <c r="V62" i="4" s="1"/>
  <c r="Z167" i="1"/>
  <c r="AA292" i="1"/>
  <c r="AA294" i="1" l="1"/>
  <c r="AA296" i="1" s="1"/>
  <c r="V69" i="4"/>
  <c r="AA184" i="1" l="1"/>
  <c r="W62" i="4" s="1"/>
  <c r="W69" i="4" s="1"/>
  <c r="AB292" i="1"/>
  <c r="AB294" i="1" s="1"/>
  <c r="AB296" i="1" s="1"/>
  <c r="AA167" i="1"/>
  <c r="AB184" i="1" l="1"/>
  <c r="X62" i="4" s="1"/>
  <c r="X69" i="4" s="1"/>
  <c r="AC292" i="1"/>
  <c r="AC294" i="1" s="1"/>
  <c r="AB167" i="1"/>
  <c r="AC296" i="1" l="1"/>
  <c r="E294" i="1"/>
  <c r="D294" i="1" s="1"/>
  <c r="AC184" i="1" l="1"/>
  <c r="E296" i="1"/>
  <c r="D296" i="1" s="1"/>
  <c r="E184" i="1" l="1"/>
  <c r="D184" i="1" s="1"/>
  <c r="AC167" i="1"/>
  <c r="E167" i="1" s="1"/>
  <c r="D167" i="1" s="1"/>
  <c r="Y62" i="4"/>
  <c r="Y69" i="4" s="1"/>
  <c r="D79" i="4" s="1"/>
  <c r="E79" i="4" s="1"/>
  <c r="O223" i="1" l="1"/>
  <c r="O218" i="1"/>
  <c r="H218" i="1"/>
  <c r="H223" i="1"/>
  <c r="J218" i="1"/>
  <c r="J223" i="1"/>
  <c r="G218" i="1"/>
  <c r="BJ29" i="1"/>
  <c r="D30" i="4" s="1"/>
  <c r="G223" i="1"/>
  <c r="I218" i="1"/>
  <c r="I223" i="1"/>
  <c r="K223" i="1"/>
  <c r="K218" i="1"/>
  <c r="S218" i="1"/>
  <c r="S223" i="1"/>
  <c r="P223" i="1"/>
  <c r="P218" i="1"/>
  <c r="N218" i="1"/>
  <c r="N223" i="1"/>
  <c r="R218" i="1"/>
  <c r="R223" i="1"/>
  <c r="L218" i="1"/>
  <c r="L223" i="1"/>
  <c r="M218" i="1"/>
  <c r="M223" i="1"/>
  <c r="Q223" i="1"/>
  <c r="Q218" i="1"/>
  <c r="J157" i="1" l="1" a="1"/>
  <c r="Z248" i="1" l="1"/>
  <c r="AB259" i="1" s="1"/>
  <c r="AC248" i="1"/>
  <c r="AB248" i="1"/>
  <c r="AA248" i="1"/>
  <c r="E189" i="1"/>
  <c r="U168" i="1" s="1"/>
  <c r="C189" i="1" l="1"/>
  <c r="U324" i="1" s="1"/>
  <c r="H168" i="1"/>
  <c r="T168" i="1"/>
  <c r="AB260" i="1"/>
  <c r="E324" i="1"/>
  <c r="U325" i="1"/>
  <c r="U214" i="1" s="1"/>
  <c r="Y168" i="1"/>
  <c r="M168" i="1"/>
  <c r="F193" i="1"/>
  <c r="N168" i="1"/>
  <c r="S168" i="1"/>
  <c r="AA168" i="1"/>
  <c r="P168" i="1"/>
  <c r="I168" i="1"/>
  <c r="W168" i="1"/>
  <c r="D189" i="1"/>
  <c r="AB168" i="1"/>
  <c r="V168" i="1"/>
  <c r="H26" i="1"/>
  <c r="X168" i="1"/>
  <c r="L168" i="1"/>
  <c r="C191" i="1"/>
  <c r="Q168" i="1"/>
  <c r="AC168" i="1"/>
  <c r="K168" i="1"/>
  <c r="J168" i="1"/>
  <c r="R168" i="1"/>
  <c r="F168" i="1"/>
  <c r="O168" i="1"/>
  <c r="G168" i="1"/>
  <c r="Z168" i="1"/>
  <c r="C118" i="1"/>
  <c r="E168" i="1" l="1"/>
  <c r="D168" i="1" s="1"/>
  <c r="F252" i="1"/>
  <c r="E193" i="1"/>
  <c r="D193" i="1" s="1"/>
  <c r="J57" i="2"/>
  <c r="BI28" i="1"/>
  <c r="C23" i="1"/>
  <c r="BI22" i="1"/>
  <c r="BJ22" i="1"/>
  <c r="D23" i="4" s="1"/>
  <c r="BG23" i="1"/>
  <c r="BI27" i="1"/>
  <c r="F321" i="1"/>
  <c r="T178" i="1"/>
  <c r="T223" i="1"/>
  <c r="T256" i="1"/>
  <c r="T246" i="1" s="1"/>
  <c r="U246" i="1" s="1"/>
  <c r="V246" i="1" s="1"/>
  <c r="W246" i="1" s="1"/>
  <c r="X246" i="1" s="1"/>
  <c r="Y246" i="1" s="1"/>
  <c r="Z246" i="1" s="1"/>
  <c r="AA246" i="1" s="1"/>
  <c r="AB246" i="1" s="1"/>
  <c r="AC246" i="1" s="1"/>
  <c r="T218" i="1"/>
  <c r="E191" i="1"/>
  <c r="T169" i="1" s="1"/>
  <c r="X169" i="1" l="1"/>
  <c r="AB169" i="1"/>
  <c r="J169" i="1"/>
  <c r="P169" i="1"/>
  <c r="I169" i="1"/>
  <c r="S169" i="1"/>
  <c r="Q169" i="1"/>
  <c r="W169" i="1"/>
  <c r="O169" i="1"/>
  <c r="H169" i="1"/>
  <c r="L169" i="1"/>
  <c r="F169" i="1"/>
  <c r="U169" i="1"/>
  <c r="Z169" i="1"/>
  <c r="M169" i="1"/>
  <c r="AA169" i="1"/>
  <c r="AC169" i="1"/>
  <c r="V169" i="1"/>
  <c r="G169" i="1"/>
  <c r="Y169" i="1"/>
  <c r="N169" i="1"/>
  <c r="R169" i="1"/>
  <c r="K169" i="1"/>
  <c r="U192" i="1"/>
  <c r="U178" i="1"/>
  <c r="J97" i="2"/>
  <c r="F254" i="1"/>
  <c r="E190" i="1"/>
  <c r="C23" i="4"/>
  <c r="N12" i="4"/>
  <c r="D191" i="1"/>
  <c r="E321" i="1"/>
  <c r="F325" i="1"/>
  <c r="C28" i="4"/>
  <c r="BJ27" i="1"/>
  <c r="D28" i="4" s="1"/>
  <c r="I97" i="2" l="1"/>
  <c r="E169" i="1"/>
  <c r="D169" i="1" s="1"/>
  <c r="V192" i="1"/>
  <c r="V178" i="1"/>
  <c r="U250" i="1"/>
  <c r="U254" i="1" s="1"/>
  <c r="U223" i="1"/>
  <c r="U218" i="1"/>
  <c r="E325" i="1"/>
  <c r="C105" i="1" s="1"/>
  <c r="F214" i="1"/>
  <c r="N19" i="4"/>
  <c r="E214" i="1" l="1"/>
  <c r="F218" i="1"/>
  <c r="F223" i="1"/>
  <c r="F225" i="1" s="1"/>
  <c r="G225" i="1" s="1"/>
  <c r="H225" i="1" s="1"/>
  <c r="I225" i="1" s="1"/>
  <c r="J225" i="1" s="1"/>
  <c r="K225" i="1" s="1"/>
  <c r="L225" i="1" s="1"/>
  <c r="M225" i="1" s="1"/>
  <c r="N225" i="1" s="1"/>
  <c r="W178" i="1"/>
  <c r="W192" i="1"/>
  <c r="C214" i="1"/>
  <c r="J100" i="2"/>
  <c r="C107" i="1"/>
  <c r="V223" i="1"/>
  <c r="V218" i="1"/>
  <c r="V250" i="1"/>
  <c r="V254" i="1" s="1"/>
  <c r="N227" i="1" l="1"/>
  <c r="O225" i="1"/>
  <c r="AS3" i="1"/>
  <c r="AS7" i="1"/>
  <c r="AS25" i="1"/>
  <c r="AU25" i="1" s="1"/>
  <c r="AS29" i="1"/>
  <c r="AU29" i="1" s="1"/>
  <c r="AS23" i="1"/>
  <c r="AU23" i="1" s="1"/>
  <c r="BI14" i="1"/>
  <c r="AS24" i="1"/>
  <c r="AU24" i="1" s="1"/>
  <c r="AS12" i="1"/>
  <c r="AS48" i="1" s="1"/>
  <c r="AS11" i="1"/>
  <c r="AS47" i="1" s="1"/>
  <c r="AS26" i="1"/>
  <c r="AU26" i="1" s="1"/>
  <c r="C21" i="1"/>
  <c r="C113" i="1"/>
  <c r="AS27" i="1"/>
  <c r="AU27" i="1" s="1"/>
  <c r="AS4" i="1"/>
  <c r="AS40" i="1" s="1"/>
  <c r="AS5" i="1"/>
  <c r="AS30" i="1"/>
  <c r="AU30" i="1" s="1"/>
  <c r="AS28" i="1"/>
  <c r="AU28" i="1" s="1"/>
  <c r="AS8" i="1"/>
  <c r="AS22" i="1"/>
  <c r="AU22" i="1" s="1"/>
  <c r="AS6" i="1"/>
  <c r="AS10" i="1"/>
  <c r="AS46" i="1" s="1"/>
  <c r="AS21" i="1"/>
  <c r="AS9" i="1"/>
  <c r="W218" i="1"/>
  <c r="W250" i="1"/>
  <c r="W254" i="1" s="1"/>
  <c r="W223" i="1"/>
  <c r="J99" i="2"/>
  <c r="I100" i="2"/>
  <c r="I99" i="2" s="1"/>
  <c r="M170" i="1"/>
  <c r="I170" i="1"/>
  <c r="P170" i="1"/>
  <c r="R170" i="1"/>
  <c r="AB170" i="1"/>
  <c r="H170" i="1"/>
  <c r="N170" i="1"/>
  <c r="Q170" i="1"/>
  <c r="T170" i="1"/>
  <c r="X170" i="1"/>
  <c r="Z170" i="1"/>
  <c r="K170" i="1"/>
  <c r="W170" i="1"/>
  <c r="S170" i="1"/>
  <c r="L170" i="1"/>
  <c r="AA170" i="1"/>
  <c r="G170" i="1"/>
  <c r="V170" i="1"/>
  <c r="AC170" i="1"/>
  <c r="O170" i="1"/>
  <c r="Y170" i="1"/>
  <c r="J170" i="1"/>
  <c r="U170" i="1"/>
  <c r="X178" i="1"/>
  <c r="X192" i="1"/>
  <c r="F219" i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D214" i="1"/>
  <c r="F170" i="1"/>
  <c r="W219" i="1" l="1"/>
  <c r="E170" i="1"/>
  <c r="D170" i="1" s="1"/>
  <c r="AZ26" i="1"/>
  <c r="AV26" i="1"/>
  <c r="V134" i="1" s="1"/>
  <c r="AZ27" i="1"/>
  <c r="AV27" i="1"/>
  <c r="V135" i="1" s="1"/>
  <c r="X223" i="1"/>
  <c r="X218" i="1"/>
  <c r="X219" i="1" s="1"/>
  <c r="X250" i="1"/>
  <c r="X254" i="1" s="1"/>
  <c r="Y178" i="1"/>
  <c r="Y192" i="1"/>
  <c r="AV24" i="1"/>
  <c r="V132" i="1" s="1"/>
  <c r="AZ24" i="1"/>
  <c r="AV25" i="1"/>
  <c r="V133" i="1" s="1"/>
  <c r="AZ25" i="1"/>
  <c r="C15" i="4"/>
  <c r="AS43" i="1"/>
  <c r="AU21" i="1"/>
  <c r="AS31" i="1"/>
  <c r="AS42" i="1"/>
  <c r="AZ22" i="1"/>
  <c r="AV22" i="1"/>
  <c r="V130" i="1" s="1"/>
  <c r="AZ28" i="1"/>
  <c r="AV28" i="1"/>
  <c r="V136" i="1" s="1"/>
  <c r="AS13" i="1"/>
  <c r="AS39" i="1"/>
  <c r="AV23" i="1"/>
  <c r="V131" i="1" s="1"/>
  <c r="AZ23" i="1"/>
  <c r="AZ30" i="1"/>
  <c r="AV30" i="1"/>
  <c r="V138" i="1" s="1"/>
  <c r="P225" i="1"/>
  <c r="O227" i="1"/>
  <c r="AS45" i="1"/>
  <c r="AV29" i="1"/>
  <c r="V137" i="1" s="1"/>
  <c r="AZ29" i="1"/>
  <c r="AS44" i="1"/>
  <c r="AS41" i="1"/>
  <c r="Y223" i="1" l="1"/>
  <c r="Y218" i="1"/>
  <c r="Y219" i="1" s="1"/>
  <c r="Y250" i="1"/>
  <c r="Y254" i="1" s="1"/>
  <c r="AZ21" i="1"/>
  <c r="AU31" i="1"/>
  <c r="AV31" i="1" s="1"/>
  <c r="AV32" i="1" s="1"/>
  <c r="AV21" i="1"/>
  <c r="V129" i="1" s="1"/>
  <c r="V139" i="1" s="1"/>
  <c r="BD28" i="1"/>
  <c r="BB28" i="1"/>
  <c r="AY28" i="1"/>
  <c r="BB22" i="1"/>
  <c r="BD22" i="1"/>
  <c r="AY22" i="1"/>
  <c r="Z192" i="1"/>
  <c r="Z178" i="1"/>
  <c r="P227" i="1"/>
  <c r="Q225" i="1"/>
  <c r="BD23" i="1"/>
  <c r="AY23" i="1"/>
  <c r="BB23" i="1"/>
  <c r="BD30" i="1"/>
  <c r="BB30" i="1"/>
  <c r="AY30" i="1"/>
  <c r="AS49" i="1"/>
  <c r="AS50" i="1" s="1"/>
  <c r="BD25" i="1"/>
  <c r="AY25" i="1"/>
  <c r="BB25" i="1"/>
  <c r="AY27" i="1"/>
  <c r="BB27" i="1"/>
  <c r="BD27" i="1"/>
  <c r="AS14" i="1"/>
  <c r="AS32" i="1"/>
  <c r="BD29" i="1"/>
  <c r="BB29" i="1"/>
  <c r="AY29" i="1"/>
  <c r="AY24" i="1"/>
  <c r="BB24" i="1"/>
  <c r="BD24" i="1"/>
  <c r="BD26" i="1"/>
  <c r="AY26" i="1"/>
  <c r="BB26" i="1"/>
  <c r="Z250" i="1" l="1"/>
  <c r="Z254" i="1" s="1"/>
  <c r="Z223" i="1"/>
  <c r="Z218" i="1"/>
  <c r="BB21" i="1"/>
  <c r="AZ31" i="1"/>
  <c r="AY21" i="1"/>
  <c r="BD21" i="1"/>
  <c r="R225" i="1"/>
  <c r="Q227" i="1"/>
  <c r="AA178" i="1"/>
  <c r="AA192" i="1"/>
  <c r="BB31" i="1" l="1"/>
  <c r="BB32" i="1" s="1"/>
  <c r="AZ32" i="1"/>
  <c r="AY31" i="1"/>
  <c r="AY32" i="1" s="1"/>
  <c r="BD31" i="1"/>
  <c r="BD32" i="1" s="1"/>
  <c r="AA223" i="1"/>
  <c r="AA250" i="1"/>
  <c r="AA254" i="1" s="1"/>
  <c r="AA218" i="1"/>
  <c r="AB192" i="1"/>
  <c r="AB178" i="1"/>
  <c r="S225" i="1"/>
  <c r="R227" i="1"/>
  <c r="Z219" i="1"/>
  <c r="AB250" i="1" l="1"/>
  <c r="AB254" i="1" s="1"/>
  <c r="AB223" i="1"/>
  <c r="AB218" i="1"/>
  <c r="S227" i="1"/>
  <c r="T225" i="1"/>
  <c r="AC178" i="1"/>
  <c r="AC192" i="1"/>
  <c r="AA219" i="1"/>
  <c r="AB219" i="1" l="1"/>
  <c r="AC223" i="1"/>
  <c r="AC218" i="1"/>
  <c r="AC250" i="1"/>
  <c r="AC254" i="1" s="1"/>
  <c r="AC259" i="1" s="1"/>
  <c r="E192" i="1"/>
  <c r="T227" i="1"/>
  <c r="U225" i="1"/>
  <c r="C119" i="1" l="1"/>
  <c r="BI8" i="1"/>
  <c r="D192" i="1"/>
  <c r="J96" i="2"/>
  <c r="V225" i="1"/>
  <c r="U227" i="1"/>
  <c r="E218" i="1"/>
  <c r="AC260" i="1"/>
  <c r="AC219" i="1"/>
  <c r="W225" i="1" l="1"/>
  <c r="V227" i="1"/>
  <c r="I96" i="2"/>
  <c r="I95" i="2" s="1"/>
  <c r="J95" i="2"/>
  <c r="J129" i="2" s="1"/>
  <c r="D217" i="1"/>
  <c r="D221" i="1"/>
  <c r="D218" i="1"/>
  <c r="F164" i="2"/>
  <c r="F163" i="2"/>
  <c r="C28" i="1"/>
  <c r="C21" i="2" s="1"/>
  <c r="C226" i="1"/>
  <c r="F166" i="2" s="1"/>
  <c r="F165" i="2"/>
  <c r="C9" i="4"/>
  <c r="AR8" i="1"/>
  <c r="AR6" i="1"/>
  <c r="AR10" i="1"/>
  <c r="AR7" i="1"/>
  <c r="AR12" i="1"/>
  <c r="BI13" i="1"/>
  <c r="AR4" i="1"/>
  <c r="AR5" i="1"/>
  <c r="AR11" i="1"/>
  <c r="AR3" i="1"/>
  <c r="AR9" i="1"/>
  <c r="C22" i="1"/>
  <c r="C115" i="1"/>
  <c r="D219" i="1" s="1"/>
  <c r="J166" i="2" l="1"/>
  <c r="I166" i="2"/>
  <c r="C166" i="2"/>
  <c r="D166" i="2"/>
  <c r="J165" i="2"/>
  <c r="C165" i="2"/>
  <c r="D165" i="2"/>
  <c r="I165" i="2"/>
  <c r="D164" i="2"/>
  <c r="C164" i="2"/>
  <c r="J164" i="2"/>
  <c r="I164" i="2"/>
  <c r="C14" i="4"/>
  <c r="BI26" i="1"/>
  <c r="C24" i="1"/>
  <c r="BJ13" i="1" s="1"/>
  <c r="D14" i="4" s="1"/>
  <c r="AU9" i="1"/>
  <c r="AR45" i="1"/>
  <c r="AR39" i="1"/>
  <c r="AU3" i="1"/>
  <c r="AR13" i="1"/>
  <c r="AR14" i="1" s="1"/>
  <c r="AU11" i="1"/>
  <c r="AR47" i="1"/>
  <c r="J163" i="2"/>
  <c r="C163" i="2"/>
  <c r="I163" i="2"/>
  <c r="D163" i="2"/>
  <c r="AU5" i="1"/>
  <c r="AR41" i="1"/>
  <c r="AR40" i="1"/>
  <c r="AU4" i="1"/>
  <c r="I129" i="2"/>
  <c r="I16" i="2"/>
  <c r="J16" i="2" s="1"/>
  <c r="AU7" i="1"/>
  <c r="AR43" i="1"/>
  <c r="AU10" i="1"/>
  <c r="AR46" i="1"/>
  <c r="AU12" i="1"/>
  <c r="AR48" i="1"/>
  <c r="AR42" i="1"/>
  <c r="AU6" i="1"/>
  <c r="AR44" i="1"/>
  <c r="AU8" i="1"/>
  <c r="X225" i="1"/>
  <c r="W227" i="1"/>
  <c r="AW4" i="1" l="1"/>
  <c r="AU40" i="1"/>
  <c r="L148" i="1"/>
  <c r="K148" i="1" s="1"/>
  <c r="J148" i="1"/>
  <c r="AZ4" i="1"/>
  <c r="AV4" i="1"/>
  <c r="G130" i="1" s="1"/>
  <c r="BR4" i="1"/>
  <c r="AA148" i="1"/>
  <c r="AB148" i="1"/>
  <c r="Z148" i="1"/>
  <c r="BO4" i="1"/>
  <c r="BO6" i="1"/>
  <c r="L150" i="1"/>
  <c r="K150" i="1" s="1"/>
  <c r="AU42" i="1"/>
  <c r="AV6" i="1"/>
  <c r="G132" i="1" s="1"/>
  <c r="J150" i="1"/>
  <c r="AB150" i="1"/>
  <c r="Z150" i="1"/>
  <c r="AA150" i="1"/>
  <c r="BR6" i="1"/>
  <c r="AW6" i="1"/>
  <c r="AZ6" i="1"/>
  <c r="Z147" i="1"/>
  <c r="AV3" i="1"/>
  <c r="G129" i="1" s="1"/>
  <c r="AU13" i="1"/>
  <c r="BO3" i="1"/>
  <c r="BR3" i="1"/>
  <c r="AU39" i="1"/>
  <c r="L147" i="1"/>
  <c r="K147" i="1" s="1"/>
  <c r="AA147" i="1"/>
  <c r="AB147" i="1"/>
  <c r="J147" i="1"/>
  <c r="AW3" i="1"/>
  <c r="AZ3" i="1"/>
  <c r="C29" i="4"/>
  <c r="BJ25" i="1"/>
  <c r="C27" i="4"/>
  <c r="AU44" i="1"/>
  <c r="AZ8" i="1"/>
  <c r="BR8" i="1"/>
  <c r="Z152" i="1"/>
  <c r="AA152" i="1"/>
  <c r="L152" i="1"/>
  <c r="K152" i="1" s="1"/>
  <c r="AV8" i="1"/>
  <c r="G134" i="1" s="1"/>
  <c r="AW8" i="1"/>
  <c r="AW44" i="1" s="1"/>
  <c r="BO8" i="1"/>
  <c r="AB152" i="1"/>
  <c r="J152" i="1"/>
  <c r="L149" i="1"/>
  <c r="K149" i="1" s="1"/>
  <c r="AW5" i="1"/>
  <c r="BR5" i="1"/>
  <c r="AZ5" i="1"/>
  <c r="BO5" i="1"/>
  <c r="Z149" i="1"/>
  <c r="AU41" i="1"/>
  <c r="AV5" i="1"/>
  <c r="G131" i="1" s="1"/>
  <c r="AB149" i="1"/>
  <c r="AA149" i="1"/>
  <c r="J149" i="1"/>
  <c r="L154" i="1"/>
  <c r="K154" i="1" s="1"/>
  <c r="AZ10" i="1"/>
  <c r="J154" i="1"/>
  <c r="G33" i="2"/>
  <c r="AU46" i="1"/>
  <c r="AV46" i="1" s="1"/>
  <c r="AB154" i="1"/>
  <c r="AA154" i="1"/>
  <c r="BR10" i="1"/>
  <c r="AW10" i="1"/>
  <c r="AV10" i="1"/>
  <c r="G136" i="1" s="1"/>
  <c r="Z154" i="1"/>
  <c r="BO10" i="1"/>
  <c r="X227" i="1"/>
  <c r="Y225" i="1"/>
  <c r="AZ12" i="1"/>
  <c r="AA156" i="1"/>
  <c r="AB156" i="1"/>
  <c r="AU48" i="1"/>
  <c r="AV12" i="1"/>
  <c r="G138" i="1" s="1"/>
  <c r="BR12" i="1"/>
  <c r="BO12" i="1"/>
  <c r="Z156" i="1"/>
  <c r="J156" i="1"/>
  <c r="AW12" i="1"/>
  <c r="L156" i="1"/>
  <c r="K156" i="1" s="1"/>
  <c r="AZ11" i="1"/>
  <c r="BR11" i="1"/>
  <c r="L155" i="1"/>
  <c r="K155" i="1" s="1"/>
  <c r="Z155" i="1"/>
  <c r="AW11" i="1"/>
  <c r="AB155" i="1"/>
  <c r="J155" i="1"/>
  <c r="AV11" i="1"/>
  <c r="G137" i="1" s="1"/>
  <c r="AA155" i="1"/>
  <c r="BO11" i="1"/>
  <c r="AU47" i="1"/>
  <c r="Z153" i="1"/>
  <c r="L153" i="1"/>
  <c r="K153" i="1" s="1"/>
  <c r="BR9" i="1"/>
  <c r="AV9" i="1"/>
  <c r="G135" i="1" s="1"/>
  <c r="AW9" i="1"/>
  <c r="AA153" i="1"/>
  <c r="AU45" i="1"/>
  <c r="AV45" i="1" s="1"/>
  <c r="AZ9" i="1"/>
  <c r="BO9" i="1"/>
  <c r="G32" i="2"/>
  <c r="J153" i="1"/>
  <c r="AB153" i="1"/>
  <c r="AR49" i="1"/>
  <c r="AR50" i="1" s="1"/>
  <c r="L151" i="1"/>
  <c r="K151" i="1" s="1"/>
  <c r="Z151" i="1"/>
  <c r="BO7" i="1"/>
  <c r="AZ7" i="1"/>
  <c r="AV7" i="1"/>
  <c r="G133" i="1" s="1"/>
  <c r="AW7" i="1"/>
  <c r="AU43" i="1"/>
  <c r="AB151" i="1"/>
  <c r="J151" i="1"/>
  <c r="AA151" i="1"/>
  <c r="BR7" i="1"/>
  <c r="BI33" i="1"/>
  <c r="BJ11" i="1"/>
  <c r="D12" i="4" s="1"/>
  <c r="BJ7" i="1"/>
  <c r="D8" i="4" s="1"/>
  <c r="BW4" i="1"/>
  <c r="BI6" i="1"/>
  <c r="C26" i="1"/>
  <c r="J11" i="2"/>
  <c r="I11" i="2" s="1"/>
  <c r="BI5" i="1"/>
  <c r="C6" i="4" s="1"/>
  <c r="BI20" i="1"/>
  <c r="BJ12" i="1"/>
  <c r="D13" i="4" s="1"/>
  <c r="H34" i="1"/>
  <c r="BI30" i="1"/>
  <c r="C31" i="4" s="1"/>
  <c r="BJ10" i="1"/>
  <c r="D11" i="4" s="1"/>
  <c r="BJ9" i="1"/>
  <c r="D10" i="4" s="1"/>
  <c r="AW28" i="1"/>
  <c r="BA28" i="1" s="1"/>
  <c r="AW26" i="1"/>
  <c r="BA26" i="1" s="1"/>
  <c r="AW27" i="1"/>
  <c r="BA27" i="1" s="1"/>
  <c r="AW25" i="1"/>
  <c r="BA25" i="1" s="1"/>
  <c r="AW22" i="1"/>
  <c r="BA22" i="1" s="1"/>
  <c r="BJ14" i="1"/>
  <c r="D15" i="4" s="1"/>
  <c r="AW23" i="1"/>
  <c r="BA23" i="1" s="1"/>
  <c r="AW30" i="1"/>
  <c r="BA30" i="1" s="1"/>
  <c r="AW29" i="1"/>
  <c r="BA29" i="1" s="1"/>
  <c r="AW24" i="1"/>
  <c r="BA24" i="1" s="1"/>
  <c r="AW21" i="1"/>
  <c r="BJ8" i="1"/>
  <c r="D9" i="4" s="1"/>
  <c r="J157" i="1" l="1"/>
  <c r="G29" i="2"/>
  <c r="AV42" i="1"/>
  <c r="AU49" i="1"/>
  <c r="AV39" i="1"/>
  <c r="G26" i="2"/>
  <c r="G35" i="2"/>
  <c r="AV48" i="1"/>
  <c r="Y227" i="1"/>
  <c r="Z225" i="1"/>
  <c r="BD9" i="1"/>
  <c r="AY9" i="1"/>
  <c r="H32" i="2" s="1"/>
  <c r="I32" i="2"/>
  <c r="BC9" i="1"/>
  <c r="BB9" i="1"/>
  <c r="AZ45" i="1"/>
  <c r="G28" i="2"/>
  <c r="AV41" i="1"/>
  <c r="BD8" i="1"/>
  <c r="BC8" i="1"/>
  <c r="AY8" i="1"/>
  <c r="H31" i="2" s="1"/>
  <c r="BB8" i="1"/>
  <c r="I31" i="2"/>
  <c r="AZ44" i="1"/>
  <c r="AU14" i="1"/>
  <c r="AV13" i="1"/>
  <c r="AV14" i="1" s="1"/>
  <c r="AU32" i="1"/>
  <c r="G139" i="1"/>
  <c r="C7" i="4"/>
  <c r="BI17" i="1"/>
  <c r="AW47" i="1"/>
  <c r="AW46" i="1"/>
  <c r="BD5" i="1"/>
  <c r="AY5" i="1"/>
  <c r="H28" i="2" s="1"/>
  <c r="BC5" i="1"/>
  <c r="BB5" i="1"/>
  <c r="I28" i="2"/>
  <c r="AZ41" i="1"/>
  <c r="BI25" i="1"/>
  <c r="C26" i="4" s="1"/>
  <c r="D26" i="4"/>
  <c r="AY6" i="1"/>
  <c r="H29" i="2" s="1"/>
  <c r="BD6" i="1"/>
  <c r="BB6" i="1"/>
  <c r="BC6" i="1"/>
  <c r="I29" i="2"/>
  <c r="AZ42" i="1"/>
  <c r="AW45" i="1"/>
  <c r="G30" i="2"/>
  <c r="AV43" i="1"/>
  <c r="AW48" i="1"/>
  <c r="AW42" i="1"/>
  <c r="AY4" i="1"/>
  <c r="H27" i="2" s="1"/>
  <c r="BC4" i="1"/>
  <c r="I27" i="2"/>
  <c r="BB4" i="1"/>
  <c r="BD4" i="1"/>
  <c r="AZ40" i="1"/>
  <c r="C34" i="4"/>
  <c r="BI34" i="1"/>
  <c r="I24" i="1"/>
  <c r="I22" i="1"/>
  <c r="I21" i="1"/>
  <c r="I23" i="1"/>
  <c r="I20" i="1"/>
  <c r="I29" i="1"/>
  <c r="I19" i="1"/>
  <c r="I26" i="1"/>
  <c r="AW43" i="1"/>
  <c r="AW41" i="1"/>
  <c r="C32" i="1"/>
  <c r="BI18" i="1"/>
  <c r="BJ43" i="1"/>
  <c r="BJ41" i="1"/>
  <c r="BJ44" i="1"/>
  <c r="BI19" i="1"/>
  <c r="C20" i="4" s="1"/>
  <c r="BJ42" i="1"/>
  <c r="BJ40" i="1"/>
  <c r="C30" i="1"/>
  <c r="BC22" i="1"/>
  <c r="BC30" i="1"/>
  <c r="BC25" i="1"/>
  <c r="BC29" i="1"/>
  <c r="BC24" i="1"/>
  <c r="BC28" i="1"/>
  <c r="BC26" i="1"/>
  <c r="BC27" i="1"/>
  <c r="BC23" i="1"/>
  <c r="BC21" i="1"/>
  <c r="AY10" i="1"/>
  <c r="H33" i="2" s="1"/>
  <c r="BC10" i="1"/>
  <c r="BD10" i="1"/>
  <c r="BB10" i="1"/>
  <c r="I33" i="2"/>
  <c r="AZ46" i="1"/>
  <c r="G31" i="2"/>
  <c r="AV44" i="1"/>
  <c r="AW31" i="1"/>
  <c r="BA21" i="1"/>
  <c r="BJ20" i="1"/>
  <c r="D21" i="4" s="1"/>
  <c r="C21" i="4"/>
  <c r="BC7" i="1"/>
  <c r="AY7" i="1"/>
  <c r="H30" i="2" s="1"/>
  <c r="BD7" i="1"/>
  <c r="I30" i="2"/>
  <c r="BB7" i="1"/>
  <c r="AZ43" i="1"/>
  <c r="AZ13" i="1"/>
  <c r="AY3" i="1"/>
  <c r="H26" i="2" s="1"/>
  <c r="BD3" i="1"/>
  <c r="BB3" i="1"/>
  <c r="I26" i="2"/>
  <c r="BC3" i="1"/>
  <c r="AZ39" i="1"/>
  <c r="G27" i="2"/>
  <c r="AV40" i="1"/>
  <c r="AY12" i="1"/>
  <c r="H35" i="2" s="1"/>
  <c r="BD12" i="1"/>
  <c r="BB12" i="1"/>
  <c r="I35" i="2"/>
  <c r="BC12" i="1"/>
  <c r="AZ48" i="1"/>
  <c r="AY11" i="1"/>
  <c r="H34" i="2" s="1"/>
  <c r="BB11" i="1"/>
  <c r="BC11" i="1"/>
  <c r="BD11" i="1"/>
  <c r="I34" i="2"/>
  <c r="AZ47" i="1"/>
  <c r="AV47" i="1"/>
  <c r="G34" i="2"/>
  <c r="AW39" i="1"/>
  <c r="AW13" i="1"/>
  <c r="AW40" i="1"/>
  <c r="BJ45" i="1" l="1"/>
  <c r="BD13" i="1"/>
  <c r="BD14" i="1" s="1"/>
  <c r="AZ14" i="1"/>
  <c r="AY13" i="1"/>
  <c r="AY14" i="1" s="1"/>
  <c r="BB13" i="1"/>
  <c r="BB14" i="1" s="1"/>
  <c r="BD43" i="1"/>
  <c r="BA43" i="1" s="1"/>
  <c r="BB43" i="1"/>
  <c r="AY43" i="1"/>
  <c r="BC43" i="1"/>
  <c r="AY48" i="1"/>
  <c r="BD48" i="1"/>
  <c r="BA48" i="1" s="1"/>
  <c r="BC48" i="1"/>
  <c r="BB48" i="1"/>
  <c r="BA9" i="1"/>
  <c r="J32" i="2"/>
  <c r="E21" i="2"/>
  <c r="BB42" i="1"/>
  <c r="BC42" i="1"/>
  <c r="AY42" i="1"/>
  <c r="BD42" i="1"/>
  <c r="BA42" i="1" s="1"/>
  <c r="J29" i="2"/>
  <c r="BA6" i="1"/>
  <c r="AA225" i="1"/>
  <c r="Z227" i="1"/>
  <c r="C34" i="1"/>
  <c r="I21" i="2" s="1"/>
  <c r="BW6" i="1"/>
  <c r="G21" i="2"/>
  <c r="BD44" i="1"/>
  <c r="BA44" i="1" s="1"/>
  <c r="AY44" i="1"/>
  <c r="BB44" i="1"/>
  <c r="BC44" i="1"/>
  <c r="BJ17" i="1"/>
  <c r="D18" i="4" s="1"/>
  <c r="C18" i="4"/>
  <c r="BC46" i="1"/>
  <c r="BD46" i="1"/>
  <c r="BA46" i="1" s="1"/>
  <c r="BB46" i="1"/>
  <c r="AY46" i="1"/>
  <c r="AW14" i="1"/>
  <c r="AW32" i="1"/>
  <c r="BB41" i="1"/>
  <c r="BD41" i="1"/>
  <c r="BA41" i="1" s="1"/>
  <c r="BC41" i="1"/>
  <c r="AY41" i="1"/>
  <c r="BB45" i="1"/>
  <c r="BC45" i="1"/>
  <c r="AY45" i="1"/>
  <c r="BD45" i="1"/>
  <c r="BA45" i="1" s="1"/>
  <c r="BA7" i="1"/>
  <c r="J30" i="2"/>
  <c r="AW49" i="1"/>
  <c r="AW50" i="1" s="1"/>
  <c r="AV49" i="1"/>
  <c r="AV50" i="1" s="1"/>
  <c r="AU50" i="1"/>
  <c r="J33" i="2"/>
  <c r="BA10" i="1"/>
  <c r="BA12" i="1"/>
  <c r="J35" i="2"/>
  <c r="C19" i="4"/>
  <c r="BJ18" i="1"/>
  <c r="D19" i="4" s="1"/>
  <c r="J27" i="2"/>
  <c r="BA4" i="1"/>
  <c r="AY47" i="1"/>
  <c r="BD47" i="1"/>
  <c r="BA47" i="1" s="1"/>
  <c r="BB47" i="1"/>
  <c r="BC47" i="1"/>
  <c r="BA8" i="1"/>
  <c r="J31" i="2"/>
  <c r="BA5" i="1"/>
  <c r="J28" i="2"/>
  <c r="BI35" i="1"/>
  <c r="C36" i="4" s="1"/>
  <c r="C35" i="4"/>
  <c r="BB40" i="1"/>
  <c r="AY40" i="1"/>
  <c r="BC40" i="1"/>
  <c r="BD40" i="1"/>
  <c r="BA40" i="1" s="1"/>
  <c r="AZ49" i="1"/>
  <c r="BD39" i="1"/>
  <c r="BA39" i="1" s="1"/>
  <c r="BB39" i="1"/>
  <c r="AY39" i="1"/>
  <c r="BC39" i="1"/>
  <c r="BA11" i="1"/>
  <c r="J34" i="2"/>
  <c r="J26" i="2"/>
  <c r="BA3" i="1"/>
  <c r="B227" i="1" l="1"/>
  <c r="AA227" i="1"/>
  <c r="AB225" i="1"/>
  <c r="AZ50" i="1"/>
  <c r="AY49" i="1"/>
  <c r="AY50" i="1" s="1"/>
  <c r="BB49" i="1"/>
  <c r="BB50" i="1" s="1"/>
  <c r="BD49" i="1"/>
  <c r="BD50" i="1" s="1"/>
  <c r="BZ18" i="1"/>
  <c r="CA18" i="1" s="1"/>
  <c r="BZ15" i="1"/>
  <c r="CA15" i="1" s="1"/>
  <c r="BZ11" i="1"/>
  <c r="CA11" i="1" s="1"/>
  <c r="BZ9" i="1"/>
  <c r="BZ14" i="1"/>
  <c r="BZ17" i="1" l="1"/>
  <c r="BZ19" i="1" s="1"/>
  <c r="CA19" i="1" s="1"/>
  <c r="CA9" i="1"/>
  <c r="CA17" i="1" s="1"/>
  <c r="AC225" i="1"/>
  <c r="AC227" i="1" s="1"/>
  <c r="AB227" i="1"/>
  <c r="AD189" i="1"/>
  <c r="H30" i="1"/>
  <c r="I30" i="1" s="1"/>
  <c r="H31" i="1" l="1"/>
  <c r="J59" i="2"/>
  <c r="N11" i="4" l="1"/>
  <c r="J60" i="2"/>
  <c r="I31" i="1"/>
  <c r="I33" i="1" s="1"/>
  <c r="H33" i="1"/>
  <c r="H35" i="1" s="1"/>
  <c r="L30" i="1" l="1"/>
  <c r="L29" i="1"/>
  <c r="I56" i="2"/>
  <c r="I52" i="2"/>
  <c r="O12" i="4"/>
  <c r="I54" i="2"/>
  <c r="I55" i="2"/>
  <c r="I58" i="2"/>
  <c r="O14" i="4"/>
  <c r="I57" i="2"/>
  <c r="O13" i="4"/>
  <c r="I53" i="2"/>
  <c r="I59" i="2"/>
  <c r="O11" i="4"/>
  <c r="N18" i="4"/>
  <c r="I60" i="2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<sst xmlns="http://schemas.openxmlformats.org/spreadsheetml/2006/main" count="1081" uniqueCount="524">
  <si>
    <t>Financial Structuring | الهيكلة المالية</t>
  </si>
  <si>
    <t xml:space="preserve"> Feasibility Study Summary | ملخص دراسة الجدوى</t>
  </si>
  <si>
    <t>المصدر
(Source)</t>
  </si>
  <si>
    <t>SAR</t>
  </si>
  <si>
    <t>%</t>
  </si>
  <si>
    <t>البند
(Item)</t>
  </si>
  <si>
    <t>القيمة
(Value)</t>
  </si>
  <si>
    <t>(Equity) - الملكية</t>
  </si>
  <si>
    <t>إجمالي الإيرادات
(Total Revenue)</t>
  </si>
  <si>
    <t xml:space="preserve"> رأس المال - (capital)</t>
  </si>
  <si>
    <t>إجمالي تكلفة الأرض
(Total Land Cost)</t>
  </si>
  <si>
    <t xml:space="preserve"> الاشتراكات النقدية
 (Cash Subscription)</t>
  </si>
  <si>
    <t>إجمالي تكلفة البناء
 (Total Construction Cost)</t>
  </si>
  <si>
    <t xml:space="preserve"> الاشتراك من مدير الصندوق
 (fund manager's Subscription)</t>
  </si>
  <si>
    <t>إجمالي التكاليف الأخرى
 (Total Other cost)</t>
  </si>
  <si>
    <t>الأشتراك النقدي من المطور
(Cash Subscription from Developer)</t>
  </si>
  <si>
    <t>إجمالي رسوم الصندوق
(Total Fund Fees)</t>
  </si>
  <si>
    <t>الأشتراك العيني من المطور
(In-Kind Subscription from Developer)</t>
  </si>
  <si>
    <t>فوائد التمويل
 (Interest)</t>
  </si>
  <si>
    <t xml:space="preserve"> التمويل البنكي
 (Bank Financing)</t>
  </si>
  <si>
    <t xml:space="preserve"> الإشتراك العيني من مالك الأرض
 (In-Kind Subscription from Landowner)</t>
  </si>
  <si>
    <t>إجمالي الملكية 
(Total Equity)</t>
  </si>
  <si>
    <t>صافي الدخل
(Net Income)</t>
  </si>
  <si>
    <r>
      <t xml:space="preserve">معدل العائد الداخلي
</t>
    </r>
    <r>
      <rPr>
        <sz val="8"/>
        <color theme="5" tint="-0.249977111117893"/>
        <rFont val="Calibri"/>
        <family val="2"/>
      </rPr>
      <t>(IRR)</t>
    </r>
  </si>
  <si>
    <r>
      <t xml:space="preserve">العائد على الإستثمار
</t>
    </r>
    <r>
      <rPr>
        <sz val="8"/>
        <color theme="5" tint="-0.249977111117893"/>
        <rFont val="Calibri"/>
        <family val="2"/>
      </rPr>
      <t xml:space="preserve">(ROI) </t>
    </r>
    <r>
      <rPr>
        <sz val="8"/>
        <color theme="1"/>
        <rFont val="Calibri"/>
        <family val="2"/>
      </rPr>
      <t xml:space="preserve"> </t>
    </r>
  </si>
  <si>
    <r>
      <t xml:space="preserve">العائد على الملكية
</t>
    </r>
    <r>
      <rPr>
        <sz val="8"/>
        <color theme="5" tint="-0.249977111117893"/>
        <rFont val="Calibri"/>
        <family val="2"/>
      </rPr>
      <t xml:space="preserve">(ROE) </t>
    </r>
  </si>
  <si>
    <t>البيع على الخارطة
(Off-Plan Sales)</t>
  </si>
  <si>
    <r>
      <t xml:space="preserve">  العائد على الملكية السنوي
</t>
    </r>
    <r>
      <rPr>
        <sz val="8"/>
        <color theme="5" tint="-0.24994659260841701"/>
        <rFont val="Calibri"/>
        <family val="2"/>
      </rPr>
      <t>(ROE Annually</t>
    </r>
    <r>
      <rPr>
        <sz val="8"/>
        <color theme="5" tint="-0.249977111117893"/>
        <rFont val="Calibri"/>
        <family val="2"/>
      </rPr>
      <t>)</t>
    </r>
  </si>
  <si>
    <t>مصادر أخرى
(Other Sources)</t>
  </si>
  <si>
    <t>إجمالي مصادر التمويل 
(Total Financing Sources)</t>
  </si>
  <si>
    <t xml:space="preserve"> الفرق
 (Difference)</t>
  </si>
  <si>
    <t>تفاصيل الأرض | Land Details</t>
  </si>
  <si>
    <t>رقم الأرض
(Land Number)</t>
  </si>
  <si>
    <t>المساحة الأرض
(Land Area)</t>
  </si>
  <si>
    <t>التكلفة للمتر
(Cost per SQM)</t>
  </si>
  <si>
    <t>معامل البناء
(FAR)</t>
  </si>
  <si>
    <r>
      <t>إجمالي مسطحات البناء فوق الأرض
(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 xml:space="preserve">bove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rade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B</t>
    </r>
    <r>
      <rPr>
        <sz val="8"/>
        <color theme="0"/>
        <rFont val="Calibri"/>
        <family val="2"/>
      </rPr>
      <t xml:space="preserve">uilding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</si>
  <si>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t>الإجمالي
 (Total)</t>
  </si>
  <si>
    <t>المكون
(Component)</t>
  </si>
  <si>
    <t>سكني 
(Apartments)</t>
  </si>
  <si>
    <t>فلل
(Villas)</t>
  </si>
  <si>
    <t>تاون هاوس
(Townhouse)</t>
  </si>
  <si>
    <t>أدوار
(Floors)</t>
  </si>
  <si>
    <t>تجاري
 (Retail)</t>
  </si>
  <si>
    <t>فندقي 
(Hotel)</t>
  </si>
  <si>
    <t>صحي 
(health)</t>
  </si>
  <si>
    <t>شاليهات
(Chalets)</t>
  </si>
  <si>
    <t>Construction Details and Costs | تفاصيل البناء و تكاليفة</t>
  </si>
  <si>
    <t>طول الأرض على الشارع
(Land Frontage)</t>
  </si>
  <si>
    <t>عمق الأرض
(Land Depth)</t>
  </si>
  <si>
    <r>
      <t>إجمالي المساحة التطويرية 
(</t>
    </r>
    <r>
      <rPr>
        <sz val="8"/>
        <color theme="5" tint="0.59999389629810485"/>
        <rFont val="Calibri"/>
        <family val="2"/>
      </rPr>
      <t>T</t>
    </r>
    <r>
      <rPr>
        <sz val="8"/>
        <color theme="0"/>
        <rFont val="Calibri"/>
        <family val="2"/>
      </rPr>
      <t xml:space="preserve">otal </t>
    </r>
    <r>
      <rPr>
        <sz val="8"/>
        <color theme="5" tint="0.59999389629810485"/>
        <rFont val="Calibri"/>
        <family val="2"/>
      </rPr>
      <t>D</t>
    </r>
    <r>
      <rPr>
        <sz val="8"/>
        <color theme="0"/>
        <rFont val="Calibri"/>
        <family val="2"/>
      </rPr>
      <t xml:space="preserve">evelopment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</si>
  <si>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r>
      <t>إجمالي المساحة المبنية
(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B</t>
    </r>
    <r>
      <rPr>
        <sz val="8"/>
        <color theme="0"/>
        <rFont val="Calibri"/>
        <family val="2"/>
      </rPr>
      <t xml:space="preserve">uilt-Up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</si>
  <si>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r>
      <t>إجمالي المساحة البنائية فوق مستوى الأرض
(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 xml:space="preserve">bove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rade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B</t>
    </r>
    <r>
      <rPr>
        <sz val="8"/>
        <color theme="0"/>
        <rFont val="Calibri"/>
        <family val="2"/>
      </rPr>
      <t xml:space="preserve">uilding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</si>
  <si>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r>
      <t>إجمالي المساحات القابلة للبيع
(</t>
    </r>
    <r>
      <rPr>
        <sz val="8"/>
        <color theme="5" tint="0.59999389629810485"/>
        <rFont val="Calibri"/>
        <family val="2"/>
      </rPr>
      <t>N</t>
    </r>
    <r>
      <rPr>
        <sz val="8"/>
        <color theme="0"/>
        <rFont val="Calibri"/>
        <family val="2"/>
      </rPr>
      <t xml:space="preserve">et </t>
    </r>
    <r>
      <rPr>
        <sz val="8"/>
        <color theme="5" tint="0.59999389629810485"/>
        <rFont val="Calibri"/>
        <family val="2"/>
      </rPr>
      <t>S</t>
    </r>
    <r>
      <rPr>
        <sz val="8"/>
        <color theme="0"/>
        <rFont val="Calibri"/>
        <family val="2"/>
      </rPr>
      <t xml:space="preserve">ellable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</si>
  <si>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t>المواقف
(Parking)</t>
  </si>
  <si>
    <t>معيار المواقف
(Parking Standards)</t>
  </si>
  <si>
    <t>نسبة المكون من المساحة البنائية
(GBA-%)</t>
  </si>
  <si>
    <t>إجمالي المساحة البنائية للمكون 
(GBA)</t>
  </si>
  <si>
    <t>نسبة المساحات الصافية القابلة للبيع
  (NSA-%)</t>
  </si>
  <si>
    <t>المساحات الصافية القابلة للبيع
(NSA)</t>
  </si>
  <si>
    <t>مساحة الوحدة
(Unit Area)</t>
  </si>
  <si>
    <t>عدد الوحدات
(Number of Units)</t>
  </si>
  <si>
    <t>تكلفة متر البناء
 (Construction cost Per m²)</t>
  </si>
  <si>
    <t>اجمالي التكاليف
(Total Costs)</t>
  </si>
  <si>
    <t>صافي دخل كل مكون
(Net Income per Component)</t>
  </si>
  <si>
    <t>نسبة عائد كل مكون
(Return % per Component)</t>
  </si>
  <si>
    <t>أستوديوهات
(Studios)</t>
  </si>
  <si>
    <t>لا يــــنــطــبــق</t>
  </si>
  <si>
    <t>-</t>
  </si>
  <si>
    <t>T &amp; F</t>
  </si>
  <si>
    <t>لاند سكيب* 
(Landscape)</t>
  </si>
  <si>
    <t>قبو *
(Basement)</t>
  </si>
  <si>
    <t>بوديوم*
 (Podium)</t>
  </si>
  <si>
    <t>إجمالي المواقف المتوفرة
(Total Available Parking Spaces)</t>
  </si>
  <si>
    <t>من مساحة الأرض*
(Based on Land Area)</t>
  </si>
  <si>
    <t>إجمالي وحدات المشروع
(Total Project Units)</t>
  </si>
  <si>
    <t>إجمالي المواقف المطلوبة
(Total Required Parking Spaces)</t>
  </si>
  <si>
    <t xml:space="preserve">فارق المواقف
(Parking Deficit) </t>
  </si>
  <si>
    <t>Other Cost | التكاليف الأخرى</t>
  </si>
  <si>
    <t>المعيار
(Standard)</t>
  </si>
  <si>
    <t>التسوير 
 (Fencing)</t>
  </si>
  <si>
    <t>الحفر والمسح والاختبار 
 (Excavation, surveying, and testing)</t>
  </si>
  <si>
    <t>التأمين 
 (Insurance)</t>
  </si>
  <si>
    <t>الرخصة 
 (License)</t>
  </si>
  <si>
    <t>التصميم
(Design)</t>
  </si>
  <si>
    <t>أثاث الوحدات الفندقية 
 (Hotel Furniture Units)</t>
  </si>
  <si>
    <t>أثاث الوحدات
 (Furniture Units)</t>
  </si>
  <si>
    <t>رسوم الكهرباء 
 (Electricity fees)</t>
  </si>
  <si>
    <t>رسوم الماء وصرف الصحي 
 (Water and sewer fees)</t>
  </si>
  <si>
    <t>الفرز 
 (Sorting)</t>
  </si>
  <si>
    <t>الصيانة و التشغيل 
 (Maintenance and Operation)</t>
  </si>
  <si>
    <t>الاحتياطي 
 (Contingency)</t>
  </si>
  <si>
    <t>الإشراف الهندسي 
 (Engineering Supervision)</t>
  </si>
  <si>
    <t>إجمالي التكاليف الأخرى 
 (Total Other Cost)</t>
  </si>
  <si>
    <t>تفاصيل تكاليف الصندوق | Fund Cost Details</t>
  </si>
  <si>
    <t>تكاليف المطور 
 (Developer costs)</t>
  </si>
  <si>
    <t>رسوم الصندوق 
 (Fund fees)</t>
  </si>
  <si>
    <t>التكاليف الأخرى للصندوق
 (Other costs)</t>
  </si>
  <si>
    <t>الإجمالي
(Total)</t>
  </si>
  <si>
    <t>ملخص تكاليف المشروع | Project Costs</t>
  </si>
  <si>
    <t>اجمالي تكلفة الأرض
(Total Land Cost)</t>
  </si>
  <si>
    <t xml:space="preserve"> اجمالي تكلفة البناء
 (Total construction cost)</t>
  </si>
  <si>
    <t>Y1</t>
  </si>
  <si>
    <t>إجمالي التكاليف الأخرى 
 (Total other costs)</t>
  </si>
  <si>
    <t>Y2</t>
  </si>
  <si>
    <t>إجمالي تكلفة التطوير  
 (Total development cost)</t>
  </si>
  <si>
    <t>Y3</t>
  </si>
  <si>
    <t xml:space="preserve">إجمالي تكاليف الصندوق 
 (Total fund costs)  </t>
  </si>
  <si>
    <t>Y4</t>
  </si>
  <si>
    <t>Y5</t>
  </si>
  <si>
    <t>الملكية
(Equity)</t>
  </si>
  <si>
    <t>Y6</t>
  </si>
  <si>
    <t>التمويل | Finance</t>
  </si>
  <si>
    <t>التمويل المطلوب 
 (Required financing)</t>
  </si>
  <si>
    <t>الإطار الزمني | Time frame</t>
  </si>
  <si>
    <t>بالأشهر - Months</t>
  </si>
  <si>
    <t>بالسنين - Years</t>
  </si>
  <si>
    <t>ربع سنوي - Quarterly</t>
  </si>
  <si>
    <t>البيع المباشر | Direct Sale</t>
  </si>
  <si>
    <t>البيع على الخارطة | Off-Plan Sale</t>
  </si>
  <si>
    <t>عدد الوحدات
(Number of units)</t>
  </si>
  <si>
    <t>نسبة البيع
 (Selling-%)</t>
  </si>
  <si>
    <t>سعر بيع المتر 
(Sale Price per m²)</t>
  </si>
  <si>
    <t>قيمة الوحدة 
(Unit Value)</t>
  </si>
  <si>
    <t xml:space="preserve"> CAP-RATE | معدل الرسملة    </t>
  </si>
  <si>
    <t xml:space="preserve">  التأجير اليومي | Daily leasing</t>
  </si>
  <si>
    <t>عدد الوحدات
(Number Of Units)</t>
  </si>
  <si>
    <t>مساحة الوحدة
(Unit area)</t>
  </si>
  <si>
    <t>تأجير المتر
(Meter Rental)</t>
  </si>
  <si>
    <t>نسبة الإشغال
(Occupancy Rate)</t>
  </si>
  <si>
    <t>إجمالي إيرادات التأجير السنوي
(Total Annual Rental Revenue)</t>
  </si>
  <si>
    <r>
      <t>متوسط السعر اليومي للغرفة المشغولة
(</t>
    </r>
    <r>
      <rPr>
        <sz val="7"/>
        <color theme="5" tint="0.59999389629810485"/>
        <rFont val="Calibri"/>
        <family val="2"/>
      </rPr>
      <t>A</t>
    </r>
    <r>
      <rPr>
        <sz val="7"/>
        <color theme="0"/>
        <rFont val="Calibri"/>
        <family val="2"/>
      </rPr>
      <t xml:space="preserve">verage </t>
    </r>
    <r>
      <rPr>
        <sz val="7"/>
        <color theme="5" tint="0.59999389629810485"/>
        <rFont val="Calibri"/>
        <family val="2"/>
      </rPr>
      <t>D</t>
    </r>
    <r>
      <rPr>
        <sz val="7"/>
        <color theme="0"/>
        <rFont val="Calibri"/>
        <family val="2"/>
      </rPr>
      <t xml:space="preserve">aily </t>
    </r>
    <r>
      <rPr>
        <sz val="7"/>
        <color theme="5" tint="0.59999389629810485"/>
        <rFont val="Calibri"/>
        <family val="2"/>
      </rPr>
      <t>R</t>
    </r>
    <r>
      <rPr>
        <sz val="7"/>
        <color theme="0"/>
        <rFont val="Calibri"/>
        <family val="2"/>
      </rPr>
      <t>ate)</t>
    </r>
  </si>
  <si>
    <r>
      <t xml:space="preserve"> الإيراد الفعلي للوحدة السنوي
(</t>
    </r>
    <r>
      <rPr>
        <sz val="7"/>
        <color theme="5" tint="0.59999389629810485"/>
        <rFont val="Calibri"/>
        <family val="2"/>
      </rPr>
      <t>E</t>
    </r>
    <r>
      <rPr>
        <sz val="7"/>
        <color theme="0"/>
        <rFont val="Calibri"/>
        <family val="2"/>
      </rPr>
      <t xml:space="preserve">ffective </t>
    </r>
    <r>
      <rPr>
        <sz val="7"/>
        <color theme="5" tint="0.59999389629810485"/>
        <rFont val="Calibri"/>
        <family val="2"/>
      </rPr>
      <t>G</t>
    </r>
    <r>
      <rPr>
        <sz val="7"/>
        <color theme="0"/>
        <rFont val="Calibri"/>
        <family val="2"/>
      </rPr>
      <t xml:space="preserve">ross </t>
    </r>
    <r>
      <rPr>
        <sz val="7"/>
        <color theme="5" tint="0.59999389629810485"/>
        <rFont val="Calibri"/>
        <family val="2"/>
      </rPr>
      <t>I</t>
    </r>
    <r>
      <rPr>
        <sz val="7"/>
        <color theme="0"/>
        <rFont val="Calibri"/>
        <family val="2"/>
      </rPr>
      <t>ncome per Unit)</t>
    </r>
  </si>
  <si>
    <t>الإطار الزمني (بالسنوات) - Time frame (Years)</t>
  </si>
  <si>
    <t>المجموع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</si>
  <si>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</si>
  <si>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</si>
  <si>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</si>
  <si>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</si>
  <si>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</si>
  <si>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</si>
  <si>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</si>
  <si>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</si>
  <si>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</si>
  <si>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</si>
  <si>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</si>
  <si>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</si>
  <si>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</si>
  <si>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</si>
  <si>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</si>
  <si>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</si>
  <si>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</si>
  <si>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</si>
  <si>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</si>
  <si>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</si>
  <si>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</si>
  <si>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</si>
  <si>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</si>
  <si>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</si>
  <si>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أصل التمويل 
(Principal)</t>
  </si>
  <si>
    <t>سداد أصل التمويل
 (Principal Repayment)</t>
  </si>
  <si>
    <t>رسوم الصندوق
 (Fund costs)</t>
  </si>
  <si>
    <t>البيع المباشر
(Direct Sale)</t>
  </si>
  <si>
    <t>المخارجة 
(Buyout)</t>
  </si>
  <si>
    <t>تكاليف مسطحات البناء
(Construction Costs)</t>
  </si>
  <si>
    <t>التدفقات النقدية الداخلة - (Cash Inflows)</t>
  </si>
  <si>
    <t>الإطار الزمني - Time frame</t>
  </si>
  <si>
    <t>القيمة الإجمالية
(Total Value)</t>
  </si>
  <si>
    <t>إجمالي إيرادات التأجير اليومي
(Total Daily Rental Revenue)</t>
  </si>
  <si>
    <t xml:space="preserve">المخارجة 
(Buyout) </t>
  </si>
  <si>
    <t>التدفقات النقدية الخارجة - (Cash Outflows)</t>
  </si>
  <si>
    <t>رسوم ترتيب التمويل 
(Arrangement Fee)</t>
  </si>
  <si>
    <t>تكلفة الأرض
 (Land Cost)</t>
  </si>
  <si>
    <t>تكاليف مسطحات البناء 
(Construction Costs)</t>
  </si>
  <si>
    <t>التسوير 
 (Fence - surrounding the land)</t>
  </si>
  <si>
    <t>الرخصة
 (License)</t>
  </si>
  <si>
    <t>التصميم
 (Design)</t>
  </si>
  <si>
    <t>أثاث الوحدات الفندقية 
 (Apartment furniture)</t>
  </si>
  <si>
    <t>أثاث الوحدات 
 (Apartment furniture)</t>
  </si>
  <si>
    <t>رسوم كهرباء 
 (Electricity fees)</t>
  </si>
  <si>
    <t>رسوم وافي
(Wafi Fees)</t>
  </si>
  <si>
    <t>تكاليف التشغيل والصيانة الخاصة بالإجار
(O&amp;M Costs for Leasing)</t>
  </si>
  <si>
    <t>رسوم الصندوق
 (Fund fees)</t>
  </si>
  <si>
    <t>التكاليف الأخرى للصندوق
(Other Fund Costs)</t>
  </si>
  <si>
    <t>تكاليف المطور 
(Developer costs)</t>
  </si>
  <si>
    <t xml:space="preserve"> صافي التدفق النقدي
(Net cash flow)</t>
  </si>
  <si>
    <t>إجمالي الإرادات
(Total Revenue)</t>
  </si>
  <si>
    <t>المؤشرات المالية | Financial Indicators</t>
  </si>
  <si>
    <r>
      <t xml:space="preserve">  العائد على الملكية السنوي
</t>
    </r>
    <r>
      <rPr>
        <sz val="8"/>
        <color rgb="FFC65911"/>
        <rFont val="Calibri"/>
        <family val="2"/>
      </rPr>
      <t>(ROE Annually)</t>
    </r>
  </si>
  <si>
    <t>متشائم
(Pessimistic)</t>
  </si>
  <si>
    <t>منخفض
(Low)</t>
  </si>
  <si>
    <t>متوسط
(Normal)</t>
  </si>
  <si>
    <t>متفائل 
(Optimistic)</t>
  </si>
  <si>
    <t>متفائل جداً 
(Very optimistic)</t>
  </si>
  <si>
    <t>جدول التسهيلات المصرفية | Bank Facilities Table</t>
  </si>
  <si>
    <t>الإطار الزمني
(Time frame)</t>
  </si>
  <si>
    <t>إجمالي مبلغ التمويل</t>
  </si>
  <si>
    <t>إجمالي الفوائد</t>
  </si>
  <si>
    <t>البيع على  الخارطة | Off-Plan Sale</t>
  </si>
  <si>
    <t>عدد الوحدات المباعة خلال الفترة 
 (Number of Units Sold During the Period)</t>
  </si>
  <si>
    <t>إجمالي تكاليف مسطحات البناء
(Total Construction Costs)</t>
  </si>
  <si>
    <t>نسب الإنجاز - ربع سنوي 
 (Progress Percentage Quarterly)</t>
  </si>
  <si>
    <t>نسبة الإنجاز التراكمية 
 (Cumulative Progress Percentage)</t>
  </si>
  <si>
    <t>إجمالي قيمة أستقطاع الضمان
(Total Retention Guarantee Amount)</t>
  </si>
  <si>
    <t>صافي القيمة بعد استقطاع البنود بالأعلى 
 (Net Value After Deducting the Above Items)</t>
  </si>
  <si>
    <t>حساب الضمان
(Escrow Account)</t>
  </si>
  <si>
    <t>دفعات مراحل الإنجاز
(Milestone Payments)</t>
  </si>
  <si>
    <t>ملخص البيع على الخارطة | Off-Plan Sale Summary</t>
  </si>
  <si>
    <t>عدد الوحدات المباعة
(Number of Units Sold)</t>
  </si>
  <si>
    <t>متوسط سعر بيع الوحدة
(Average Units Sales Value)</t>
  </si>
  <si>
    <t>إجمالي قيمة رسوم وافي
(Total Wafi Fees)</t>
  </si>
  <si>
    <t xml:space="preserve"> التمويل البنكي - (Bank Financing)</t>
  </si>
  <si>
    <t xml:space="preserve">العائد على الإستثمار - (ROI)  </t>
  </si>
  <si>
    <t xml:space="preserve">العائد على الملكية - (ROE) </t>
  </si>
  <si>
    <t xml:space="preserve"> الاشتراكات النقدية - (Cash Subscription)</t>
  </si>
  <si>
    <t>الأشتراك النقدي من المطور - (Cash Subscription from Developer)</t>
  </si>
  <si>
    <t>الأشتراك العيني من المطور - (In-Kind Subscription from Developer)</t>
  </si>
  <si>
    <t xml:space="preserve"> الإشتراك العيني من مالك الأرض - (In-Kind Subscription from Landowner)</t>
  </si>
  <si>
    <t>البيع على الخارطة - (Off-Plan Sales)</t>
  </si>
  <si>
    <t>مصادر أخرى - (Other Sources)</t>
  </si>
  <si>
    <t>الإجمالي - (Total)</t>
  </si>
  <si>
    <r>
      <t>إجمالي الربح التشغيلي
(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O</t>
    </r>
    <r>
      <rPr>
        <sz val="8"/>
        <color theme="0"/>
        <rFont val="Calibri"/>
        <family val="2"/>
      </rPr>
      <t xml:space="preserve">perating </t>
    </r>
    <r>
      <rPr>
        <sz val="8"/>
        <color theme="5" tint="0.59999389629810485"/>
        <rFont val="Calibri"/>
        <family val="2"/>
      </rPr>
      <t>P</t>
    </r>
    <r>
      <rPr>
        <sz val="8"/>
        <color theme="0"/>
        <rFont val="Calibri"/>
        <family val="2"/>
      </rPr>
      <t>rofit)</t>
    </r>
  </si>
  <si>
    <r>
      <t>إجمالي الربح التشغيلي
(</t>
    </r>
    <r>
      <rPr>
        <sz val="7"/>
        <color theme="5" tint="0.59999389629810485"/>
        <rFont val="Calibri"/>
        <family val="2"/>
      </rPr>
      <t>G</t>
    </r>
    <r>
      <rPr>
        <sz val="7"/>
        <color theme="0"/>
        <rFont val="Calibri"/>
        <family val="2"/>
      </rPr>
      <t xml:space="preserve">ross </t>
    </r>
    <r>
      <rPr>
        <sz val="7"/>
        <color theme="5" tint="0.59999389629810485"/>
        <rFont val="Calibri"/>
        <family val="2"/>
      </rPr>
      <t>O</t>
    </r>
    <r>
      <rPr>
        <sz val="7"/>
        <color theme="0"/>
        <rFont val="Calibri"/>
        <family val="2"/>
      </rPr>
      <t xml:space="preserve">perating </t>
    </r>
    <r>
      <rPr>
        <sz val="7"/>
        <color theme="5" tint="0.59999389629810485"/>
        <rFont val="Calibri"/>
        <family val="2"/>
      </rPr>
      <t>P</t>
    </r>
    <r>
      <rPr>
        <sz val="7"/>
        <color theme="0"/>
        <rFont val="Calibri"/>
        <family val="2"/>
      </rPr>
      <t>rofit)</t>
    </r>
  </si>
  <si>
    <t>البيع على الخارطة
(Off-Plan Sale)</t>
  </si>
  <si>
    <t>التأجير السنوي | Annual Leasing</t>
  </si>
  <si>
    <t xml:space="preserve"> إيرادات التأجير السنوي
 (Annual Leasing income)</t>
  </si>
  <si>
    <t>إيرادات التأجير اليومي 
(Daily leasing income)</t>
  </si>
  <si>
    <t>أصل التمويل
(Principal)</t>
  </si>
  <si>
    <t>حجم التمويل للفترة - (Principal amount for the period)</t>
  </si>
  <si>
    <t xml:space="preserve">سكني </t>
  </si>
  <si>
    <t>فلل</t>
  </si>
  <si>
    <t>تاون هاوس</t>
  </si>
  <si>
    <t>أدوار</t>
  </si>
  <si>
    <t>أستوديوهات</t>
  </si>
  <si>
    <t>تجاري</t>
  </si>
  <si>
    <t>فندقي</t>
  </si>
  <si>
    <t>صحي</t>
  </si>
  <si>
    <t>شاليهات</t>
  </si>
  <si>
    <t>ضريبة التصرفات العقارية
(RETT)</t>
  </si>
  <si>
    <t>السعي
(Commission)</t>
  </si>
  <si>
    <t>ضريبة السعي
(Commission tax)</t>
  </si>
  <si>
    <t>قيمة بيع الوحدات
(Units Sales Value)</t>
  </si>
  <si>
    <t>مدة المشروع المتوقعة
  (Estimated Project Duration)</t>
  </si>
  <si>
    <t>المساحات الحركية والخدمية
(Circulation &amp; Service Areas)</t>
  </si>
  <si>
    <t xml:space="preserve">SR </t>
  </si>
  <si>
    <t xml:space="preserve">Total Funding الإجمالي </t>
  </si>
  <si>
    <t xml:space="preserve">SR/B.sqm </t>
  </si>
  <si>
    <t>RASF Investment Co.</t>
  </si>
  <si>
    <t>شركة رصف للاستثمار</t>
  </si>
  <si>
    <t>التمويل</t>
  </si>
  <si>
    <t>مصادر أخرى</t>
  </si>
  <si>
    <t xml:space="preserve"> الاشتراك من مدير الصندوق - (Fund Manager's Subscription)</t>
  </si>
  <si>
    <t>Summary | ملخص</t>
  </si>
  <si>
    <t>Capital Structure | هيكل رأس المال</t>
  </si>
  <si>
    <t>Cost Breakdown | توزيع التكلفة</t>
  </si>
  <si>
    <t>صافي الربح - (Net Income)</t>
  </si>
  <si>
    <t xml:space="preserve"> جدول تحليل الحساسية | Sensitivity Analysis Table</t>
  </si>
  <si>
    <t>Fund Economics | اقتصاديات الصندوق</t>
  </si>
  <si>
    <t>العائد على الإستثمار
ROI</t>
  </si>
  <si>
    <t xml:space="preserve">العائد على الملكية
ROE </t>
  </si>
  <si>
    <t xml:space="preserve">العائد على الملكية سنوياَ
ROE Annualy </t>
  </si>
  <si>
    <t>العائد على الملكية سنويا - (ROE Annualy)</t>
  </si>
  <si>
    <t>البيع على الخارطة - (Off-Plan Sale)</t>
  </si>
  <si>
    <t>إجمالي تكلفة الأرض بعد الضرائب - (Tota Land Cost After TAX)</t>
  </si>
  <si>
    <t>(Commissions) - العمولة</t>
  </si>
  <si>
    <t xml:space="preserve">(Commission Tax) - ضريبة العمولة </t>
  </si>
  <si>
    <t>ضريبة التصرفات العقارية - (RETT)</t>
  </si>
  <si>
    <t xml:space="preserve">(Development) - التطوير </t>
  </si>
  <si>
    <t xml:space="preserve">Marketing (RASF) - التسويق </t>
  </si>
  <si>
    <t>(TotaI Fund expenses) - إجمالي تكاليف الصندوق</t>
  </si>
  <si>
    <t>التكاليف الأخرى للصندوق - (Other costs)</t>
  </si>
  <si>
    <t>Total Costs - إجمالي التكاليف</t>
  </si>
  <si>
    <t>البيع المباشر - (Direct Sale)</t>
  </si>
  <si>
    <t>إجمالي إيرادات التأجير السنوي - (Total Annual Rental Revenue)</t>
  </si>
  <si>
    <t>إجمالي إيرادات التأجير اليومي - (Total Daily Rental Revenue)</t>
  </si>
  <si>
    <t>إجمالي الإيرادات - (Total Revenue)</t>
  </si>
  <si>
    <t>فلل - (Villas)</t>
  </si>
  <si>
    <t>تاون هاوس - (Townhouse)</t>
  </si>
  <si>
    <t>أدوار - (Floors)</t>
  </si>
  <si>
    <t>أستوديوهات - (Studios)</t>
  </si>
  <si>
    <t>تجاري - (Retail)</t>
  </si>
  <si>
    <t>فندقي - (Hotel)</t>
  </si>
  <si>
    <t>صحي  - (health)</t>
  </si>
  <si>
    <t>(Land Cost Before TAX) - تكلفة الأرض قبل الضرائب</t>
  </si>
  <si>
    <t>(Hard Cost - Construction) - تكلفة البناء</t>
  </si>
  <si>
    <t>Soft Costs (Fees,Consultants, Insurance, Permits, Overheads etc) - التكاليف الأخرى</t>
  </si>
  <si>
    <t>إجمالي تكاليف التمويل - (Total Financing Costs)</t>
  </si>
  <si>
    <t>المخارجة - (Buyout)</t>
  </si>
  <si>
    <t>معدل العائد الداخلي 
IRR</t>
  </si>
  <si>
    <t>Land purchase cost - base price (excl. taxes &amp; commissions) - تكلفة شراء الأرض - السعر الأساسي (باستثناء الضرائب والعمولات)</t>
  </si>
  <si>
    <t xml:space="preserve">    (Apartments) - سكني</t>
  </si>
  <si>
    <t>Units shown are SAR except where stated | الوحدات المعروضة هي بالريال سعودي باستثناء ما هو مذكور</t>
  </si>
  <si>
    <t xml:space="preserve">تكلفة الأرض قبل الضرائب
(Land Cost Before Taxes) </t>
  </si>
  <si>
    <t>إجمالي تكلفة الأرض بعد الضرائب 
 (Total Land Cost After Taxes)</t>
  </si>
  <si>
    <t>(Total project cost - including land, works, overheads and fees) - التكلفة الإجمالية للمشروع - بما في ذلك الأرض والأعمال والنفقات العامة والرسوم</t>
  </si>
  <si>
    <t>(Area) - المساحة</t>
  </si>
  <si>
    <t>(SR/m²) - ر.س/م²</t>
  </si>
  <si>
    <t>نسبة الارتفاع او الانخفاض 
 (Rate of Increase or Decrease)</t>
  </si>
  <si>
    <t>وقت البيع</t>
  </si>
  <si>
    <t>الفارق</t>
  </si>
  <si>
    <t>وقت الشراء</t>
  </si>
  <si>
    <t>اشتراكات نقدية</t>
  </si>
  <si>
    <t>اشتراكات المطور</t>
  </si>
  <si>
    <t>مكتبي 
(Office)</t>
  </si>
  <si>
    <t>مكتبي - (Office)</t>
  </si>
  <si>
    <t>نمو قيمة الأرض - Land Value Uplift</t>
  </si>
  <si>
    <t xml:space="preserve"> التفاصيل الفنية و المالية لجميع للمكونات | Technical and Financial Details For All Components</t>
  </si>
  <si>
    <t>نسبة فوائد التمويل السنوية
 (Annual Interest)</t>
  </si>
  <si>
    <t>نسبة فوائد التمويل الربع السنوية
 (QER)</t>
  </si>
  <si>
    <t>حجم التمويل للفترة 
 (Principal amount for the period)</t>
  </si>
  <si>
    <t>أصل التمويل 
 (Principal)</t>
  </si>
  <si>
    <t>فوائد التمويل 
(Interest)</t>
  </si>
  <si>
    <t xml:space="preserve">فوائد التمويل + رسوم ترتيب التمويل 
(Arrangement Fee + Interest) </t>
  </si>
  <si>
    <t>رسوم وافي 
 (Wafi fees)</t>
  </si>
  <si>
    <t>تسويق البيع على الخارطة
 (Off-Plan Sales Marketing)</t>
  </si>
  <si>
    <t>ضريبة التصرفات العقارية + السعي + ضريبة السعي 
-
(RETT + Commission + Commission tax)</t>
  </si>
  <si>
    <t>المجموع بناء على التدفقات النقدية
(Total Based on Cash Flows)</t>
  </si>
  <si>
    <t>صافي المبيعات على الخارطة 
 (Net Off-Plan Sales)</t>
  </si>
  <si>
    <t>قيمة أستقطاع الضمان 
(Retention Guarantee Amount)</t>
  </si>
  <si>
    <t>اجمالي المبيعات
(Total Sales)</t>
  </si>
  <si>
    <t>مكتبي</t>
  </si>
  <si>
    <t>مدة المشروع المتوقعة - سنوي
  (Estimated Project Duration - Years)</t>
  </si>
  <si>
    <t>النسب المئوية للتدفقات النقدية
(Percentage Breakdown of Cash Flows)</t>
  </si>
  <si>
    <t>جـــــــــدول تفاصيل التدفـــــــــــــقات النقديــــــــــــــــــــــــة | Cash Flow Details</t>
  </si>
  <si>
    <t>إجمالي إيرادات البيع على الخارطة
(Total Off-Plan Sales Revenue)</t>
  </si>
  <si>
    <t>تكاليف المحاسب القانوني المعتمد
(Certified Accountant Fees)</t>
  </si>
  <si>
    <t>أتعاب المكتب الاستشاري الهندسي
(Engineering Supervision Fees)</t>
  </si>
  <si>
    <t>أتعاب المحاسب القانوني والاستشاري الهندسي
(Certified Accountant &amp; Engineering Supervision Fees)</t>
  </si>
  <si>
    <t>الملكية</t>
  </si>
  <si>
    <t>نسبة البند من إجمالي التكاليف الأخرى
(Item % of Total Other Costs)</t>
  </si>
  <si>
    <t>صافي المبيعات على الخارطة
 (Net Off-Plan Sales)</t>
  </si>
  <si>
    <r>
      <t>التكاليف التشغيلية
(</t>
    </r>
    <r>
      <rPr>
        <sz val="8"/>
        <color theme="5" tint="0.59999389629810485"/>
        <rFont val="Calibri"/>
        <family val="2"/>
      </rPr>
      <t>Op</t>
    </r>
    <r>
      <rPr>
        <sz val="8"/>
        <color theme="0"/>
        <rFont val="Calibri"/>
        <family val="2"/>
      </rPr>
      <t xml:space="preserve">erating </t>
    </r>
    <r>
      <rPr>
        <sz val="8"/>
        <color theme="5" tint="0.59999389629810485"/>
        <rFont val="Calibri"/>
        <family val="2"/>
      </rPr>
      <t>Ex</t>
    </r>
    <r>
      <rPr>
        <sz val="8"/>
        <color theme="0"/>
        <rFont val="Calibri"/>
        <family val="2"/>
      </rPr>
      <t>penditures)</t>
    </r>
  </si>
  <si>
    <t xml:space="preserve"> إجمالي التمويل البنكي
 (Total Bank Financing)</t>
  </si>
  <si>
    <t>تمويل تشغيلي خارج هيكل رأس المال - (Off-Capital-Structure Operational Financing)</t>
  </si>
  <si>
    <t>إجمالي التمويل التشغيلي 
 (Total Operational Financing)</t>
  </si>
  <si>
    <t xml:space="preserve">  إجمالي التكاليف الكاملة للمشروع 
 (Total Project Costs)</t>
  </si>
  <si>
    <t>إجمالي التكاليف التشغيلية
(Total Operating Expenses)</t>
  </si>
  <si>
    <t>قيم الدفعات الأولى
(Down Payments)</t>
  </si>
  <si>
    <t>إجمالي التكاليف الرأسمالية للمشروع
(Total Capital Expenditures)</t>
  </si>
  <si>
    <t xml:space="preserve">قيم الدفعات الأولى + دفعات مراحل الإنجاز
(Down Payments) + (Milestone Payments) </t>
  </si>
  <si>
    <t>إجمالي التكاليف الرأسمالية للمشروع + إجمالي التكاليف التشغيلية
(Total Capital Expenditures) + (Total Operating Expenses)</t>
  </si>
  <si>
    <t>التكاليف التشغيلية والإدارية
(Operating &amp; Administrative Costs)</t>
  </si>
  <si>
    <t>توزيع تكاليف الأرض</t>
  </si>
  <si>
    <t xml:space="preserve"> تكاليف البناء</t>
  </si>
  <si>
    <t>توزيع تكاليف اللاندسكيب</t>
  </si>
  <si>
    <t>توزيع تكاليف البوديم و القبو</t>
  </si>
  <si>
    <t>توزيع تكاليف الحفر والمسح و الاختبار</t>
  </si>
  <si>
    <t>توزيع تكاليف المساحات الحركية والخدمية</t>
  </si>
  <si>
    <t>توزيع التكاليف الأخرى</t>
  </si>
  <si>
    <t>توزيع تكاليف التمويل</t>
  </si>
  <si>
    <t>توزيع تكاليف الصندوق</t>
  </si>
  <si>
    <t>إجمالي تكاليف كل مكون</t>
  </si>
  <si>
    <t>توزيع التكلفة على المساحات الصافية القابلة للبيع</t>
  </si>
  <si>
    <t>نسبة تكاليف كل مكون من إجمالي المشروع</t>
  </si>
  <si>
    <t>إجمالي إيراد كل مكون</t>
  </si>
  <si>
    <t>صافي العائد لكل م² بيعي</t>
  </si>
  <si>
    <t>صافي دخل كل مكون</t>
  </si>
  <si>
    <t>نسبة صافي دخل كل مكون</t>
  </si>
  <si>
    <t xml:space="preserve">المكون
</t>
  </si>
  <si>
    <t>استديوهات</t>
  </si>
  <si>
    <t xml:space="preserve">فندقي </t>
  </si>
  <si>
    <t xml:space="preserve">صحي </t>
  </si>
  <si>
    <t>الإجمالي</t>
  </si>
  <si>
    <t>فترة استرداد رأس المال - بالسنوات
(Payback Period - in Years)</t>
  </si>
  <si>
    <t xml:space="preserve">مكتبي </t>
  </si>
  <si>
    <t>عدد الوحدات المشغولة - سنوي
(Number of Occupied Units - Annually)</t>
  </si>
  <si>
    <t>نسبة العائد على التكلفة لكل م²‌ بيعي
(Return on Cost per Sellable m²)</t>
  </si>
  <si>
    <t>العائد على التكلفة - سنوي
(Return on Cost - Annual)</t>
  </si>
  <si>
    <t>قيمة الوحدة
(Units Value)</t>
  </si>
  <si>
    <t>المؤشر الإرشادي لتسعير المتر التأجيري
(Estimated Rental Price Index per m²)</t>
  </si>
  <si>
    <t xml:space="preserve">قيمة تأجير الوحدة السنوي
(Annual Unit Rental Value) </t>
  </si>
  <si>
    <t>جدول المؤشرات العامة للمشروع | General Project Indicators Table</t>
  </si>
  <si>
    <t>مؤشرات التكاليف والكفاءة
(Costs &amp; Efficiency Indicators)</t>
  </si>
  <si>
    <t>إجمالي التكاليف غير المباشرة
(Total Indirect Costs)</t>
  </si>
  <si>
    <t>كفاءة المساحة البيعية من المساحات المبنية فوق الأرض
 (Saleable Efficiency Ratio of Above-Ground Built-Up Area)</t>
  </si>
  <si>
    <t>قيمة ونسبة تمويل مبيعات الخارطة من تكاليف المشروع خلال فترة البيع
(Value and % of Off-Plan Sales Financing for Project Costs During Sales Period)</t>
  </si>
  <si>
    <t>تكلفة متر الأرض شاملة الضريبة والسعي
(Land Cost per m² - Including Tax and Commission)</t>
  </si>
  <si>
    <t>الحدود المرجعية أو المثلى للمؤشرات
(Reference Ranges for Indicators)</t>
  </si>
  <si>
    <t>غالبًا تمثل 70% – 85% من إجمالي التكاليف</t>
  </si>
  <si>
    <t>من 10% إلى 25% غالبًا</t>
  </si>
  <si>
    <t xml:space="preserve">غالبًا بين 45% إلى 65% </t>
  </si>
  <si>
    <t>من 5% – 12% حسب مدة التمويل والفوائد</t>
  </si>
  <si>
    <t>تتراوح من 1% – 7% حسب شروط الصندوق</t>
  </si>
  <si>
    <t>المستهدف المثالي ≥ 70%
(الممتاز يتجاوز 75–80%)</t>
  </si>
  <si>
    <t>مثالي إن كان بين 20% إلى 35%
(أقل من 15% يُعد ضعيف، وأكثر من 40% نادر وممتاز)</t>
  </si>
  <si>
    <t>يفضل أن يكون ≤ 1.5
(كلما ارتفع زادت المخاطرة)</t>
  </si>
  <si>
    <t>المستهدف الجيد ≥ 20%
(بمعنى أن القيمة السوقية أعلى بـ 20% من التكلفة)</t>
  </si>
  <si>
    <t>من 10% إلى 40% خلال 3–5 سنوات يعتبر جيد</t>
  </si>
  <si>
    <t>توزيع تكاليف مكونات البيع على الخارطة</t>
  </si>
  <si>
    <t xml:space="preserve">سكني
(بيع على الخارطة) </t>
  </si>
  <si>
    <t>فلل
(بيع على الخارطة)</t>
  </si>
  <si>
    <t>تاون هاوس
(بيع على الخارطة)</t>
  </si>
  <si>
    <t>أدوار
(بيع على الخارطة)</t>
  </si>
  <si>
    <t>استديوهات
(بيع على الخارطة)</t>
  </si>
  <si>
    <t xml:space="preserve">مكتبي
(بيع على الخارطة) </t>
  </si>
  <si>
    <t>تجاري
(بيع على الخارطة)</t>
  </si>
  <si>
    <t xml:space="preserve">فندقي
(بيع على الخارطة) </t>
  </si>
  <si>
    <t xml:space="preserve">صحي
(بيع على الخارطة) </t>
  </si>
  <si>
    <t>نسبة بيع المكون على الخارطة من الإجمالي</t>
  </si>
  <si>
    <t>توزيع التكاليف التشغيلية</t>
  </si>
  <si>
    <t>توزيع تكاليف أخرى إضافية</t>
  </si>
  <si>
    <t>نسب التكاليف السابقة من التكاليف الكلية</t>
  </si>
  <si>
    <t>نسب التكاليف السابقة من التكاليف الموجودة بالجدول</t>
  </si>
  <si>
    <t>تكاليف بيع الخارطة</t>
  </si>
  <si>
    <t>نسبة تزيع تكاليف اللاند سكيب</t>
  </si>
  <si>
    <t>نسب المكونات من البيع المباشر أو المخارجة من الإجمالي</t>
  </si>
  <si>
    <t>هامش الربح من إجمالي الإرادات</t>
  </si>
  <si>
    <t>توزيع تكاليف المشروع على مكونات البيع المباشر و التأجير السنوي و اليومي</t>
  </si>
  <si>
    <t>إجمالي توزيع التكاليف على جميع المكونات</t>
  </si>
  <si>
    <t>متوسط سعر بيع المتر البيعي
(Average Selling Price per Sellable m²)</t>
  </si>
  <si>
    <t>توزيع التكلفة على الأمتار البيعية</t>
  </si>
  <si>
    <t>المؤشر الإرشادي لتسعير الوحدة اليومي
(Estimated Rental Price Index per Units</t>
  </si>
  <si>
    <t>سعر المتر</t>
  </si>
  <si>
    <t>فترة الأسترداد - بالسنوات</t>
  </si>
  <si>
    <t>سعر المتر بناءً على فترة الاسترداد - (التأجير السنوي)</t>
  </si>
  <si>
    <t>سعر المتر بناءً على فترة الاسترداد - (التأجير اليومي)</t>
  </si>
  <si>
    <t>نسبة توزيع تكاليف اللاند سكيب</t>
  </si>
  <si>
    <t>نسبة صافي دخل كل مكون من إجمالي صافي دخل المشروع</t>
  </si>
  <si>
    <t>العائد النسبي للمكون</t>
  </si>
  <si>
    <t>إجمالي التكاليف المباشرة
(Total Direct Costs)</t>
  </si>
  <si>
    <t>متوسط قيمة و نسبة الربح لكل م²
(Average Profit Value and % per m²)</t>
  </si>
  <si>
    <t>مؤشرات التمويل والمخاطر | Financing &amp; Risk Indicators</t>
  </si>
  <si>
    <t>مؤشرات الأرض والزمن | Land &amp; Time Indicators</t>
  </si>
  <si>
    <t>توزيع الأرباح | Profit Distribution</t>
  </si>
  <si>
    <t>نسبة المساهمة من إجمالي الملكية
(Equity Ownership Percentage)</t>
  </si>
  <si>
    <t>المستفيد
(Beneficiaries)</t>
  </si>
  <si>
    <t>صافي الربح للمستفيدين
(Net Profit for Beneficiaries)</t>
  </si>
  <si>
    <t>نقطة التعادل - عدد الأمتار البيعية اللازمة لتغطية التكاليف
(Sellable Area Required for Cost Recovery)</t>
  </si>
  <si>
    <t>نسب المكون من البيع المباشر أو المخارجة من الإجمالي</t>
  </si>
  <si>
    <t>بين (50%) و (70%) = طبيعي
أقل من (50%) = منخفض (اعتماد كبير على تمويل ذاتي)
أكثر من (70%) = مرتفع (مخاطرة عالية على البنك)</t>
  </si>
  <si>
    <t>من 15% إلى 25% من إجمالي التكاليف غالبًا</t>
  </si>
  <si>
    <t>غالبًا بين 10% – 20%</t>
  </si>
  <si>
    <t xml:space="preserve">اسم المشروع </t>
  </si>
  <si>
    <t>حالة المشروع</t>
  </si>
  <si>
    <t>مرحلة توقيع العقود</t>
  </si>
  <si>
    <t>اسم الصندوق</t>
  </si>
  <si>
    <t>تاريخ الانتهاء المتوقع</t>
  </si>
  <si>
    <t xml:space="preserve">تكلفة اجمالي المشروع </t>
  </si>
  <si>
    <t>اشتراكات رصف</t>
  </si>
  <si>
    <t>مبلغ الاشتراك</t>
  </si>
  <si>
    <t>الآلية</t>
  </si>
  <si>
    <t>مبلغ الربح</t>
  </si>
  <si>
    <t>ملاحظات</t>
  </si>
  <si>
    <t>الحصة العينية من التطوير</t>
  </si>
  <si>
    <t>استثمار عيني</t>
  </si>
  <si>
    <t>الحصة العينية من المقاولات</t>
  </si>
  <si>
    <t>الحصة من فارق قيمة الأرض</t>
  </si>
  <si>
    <t>×</t>
  </si>
  <si>
    <t>اشتراكات نقدية / مصاريف سابقة</t>
  </si>
  <si>
    <t>مخارجة</t>
  </si>
  <si>
    <t>اجمالي رصف</t>
  </si>
  <si>
    <t>مستثمرين رصف</t>
  </si>
  <si>
    <t>الاجمالي</t>
  </si>
  <si>
    <t>?</t>
  </si>
  <si>
    <t>الطبيعي من 1 إلى 1.5 سنوات</t>
  </si>
  <si>
    <t>مدة البيع - بالسنوات (غير شامل بيع الخارطة)
 (Sales Duration – Years)</t>
  </si>
  <si>
    <t>هامش الأمان
(Safety Margin)</t>
  </si>
  <si>
    <t>مؤشر المخاطر التمويلية
(Leverage Risk Indicator)</t>
  </si>
  <si>
    <t>نسبة المخاطرة التمويلية
Loan to Value Ratio (LTV))</t>
  </si>
  <si>
    <t>القيم والنسب الخاصة بالتمويل البنكي
(Bank Financing Limits &amp; Conditions)</t>
  </si>
  <si>
    <t>نسبة صافي الربح من الإيرادات
(Net Profit as % of Revenues)</t>
  </si>
  <si>
    <t>العائد على المتر البيعي (شامل عوائد الإيجار)
(Total Return per Saleable m² including Rental Income)</t>
  </si>
  <si>
    <t>إجمالي قيمة ونسبة تكاليف الصندوق من إجمالي تكاليف المشروع
(Fund Management Cost as Value and % of Total Project Cost)</t>
  </si>
  <si>
    <t>إجمالي قيمة ونسبة تكاليف فوائد التمويل من إجمالي تكاليف المشروع
(Financing Interest as Value and % of Total Project Cost)</t>
  </si>
  <si>
    <t>إجمالي قيمة ونسبة التكاليف الأخرى من إجمالي تكاليف المشروع
(Other Costs as % of Total Project Cost)</t>
  </si>
  <si>
    <t>إجمالي قيمة ونسبة تكاليف البناء من إجمالي تكاليف المشروع
(Construction Cost as Value and % of Total Project Cost)</t>
  </si>
  <si>
    <t>إجمالي قيمة ونسبة تكاليف الأرض من إجمالي تكاليف المشروع
(Land Cost as Value and %  of Total Project Cost)</t>
  </si>
  <si>
    <t>إجمالي التكاليف التشغيلية
(Total Operating Costs)</t>
  </si>
  <si>
    <t>التكلفة لكل م² من إجمالي المساحات القابلة للبيع
(Cost per m² of Saleable Area)</t>
  </si>
  <si>
    <t>التكلفة لكل م² من إجمالي المساحات التطويرية
(Cost per m² of Total Built-Up Area)</t>
  </si>
  <si>
    <t>سعر متر الأرض عند البيع
(Land Price per m² at Sale)</t>
  </si>
  <si>
    <t>قيمة ارتفاع سعر متر الأرض عند البيع
(Land Price Appreciation Value)</t>
  </si>
  <si>
    <t>نسبة ارتفاع سعر متر الأرض
(Land Price Appreciation Rate)</t>
  </si>
  <si>
    <t xml:space="preserve"> الاشتراكات النقدية
(Cash Subscription)</t>
  </si>
  <si>
    <t xml:space="preserve"> الاشتراك من مدير الصندوق
(fund manager's Subscription)</t>
  </si>
  <si>
    <t xml:space="preserve"> الإشتراك العيني من مالك الأرض
(In-Kind Subscription from Landowner)</t>
  </si>
  <si>
    <t>مؤشرات الإيرادات والربحية | Revenue &amp; Profitability Indicators</t>
  </si>
  <si>
    <t>ايرادات المشروع</t>
  </si>
  <si>
    <t>العائد على الملكية</t>
  </si>
  <si>
    <t>العمولات 2.5% من المبيعات</t>
  </si>
  <si>
    <t>نسبة رصف من المستثمرين</t>
  </si>
  <si>
    <t>الحصة  من التطوير</t>
  </si>
  <si>
    <t>الحصة  من المقاولات</t>
  </si>
  <si>
    <t>نسبة الحصة</t>
  </si>
  <si>
    <t>تسويق المبيعات
 (Sales Marketing)</t>
  </si>
  <si>
    <t>إجمالي تكاليف البناء</t>
  </si>
  <si>
    <t>لا ينطبق</t>
  </si>
  <si>
    <t>تسويق التأجير
(Leasing Marketing)</t>
  </si>
  <si>
    <t>نسبة إيرادات الأنشطة الإضافية
(Ancillary Revenue)</t>
  </si>
  <si>
    <t>من 30% إلى 60% من التكاليف أثناء البيع يعتبر جيد جداً</t>
  </si>
  <si>
    <t>اسم المشروع</t>
  </si>
  <si>
    <t>موقع المشروع</t>
  </si>
  <si>
    <t>مؤشرات التكاليف والكفاءة (Costs &amp; Efficiency Indicators)</t>
  </si>
  <si>
    <r>
      <rPr>
        <b/>
        <sz val="16"/>
        <color rgb="FFF0EAE4"/>
        <rFont val="Calibri"/>
        <family val="2"/>
      </rPr>
      <t>Disclaimer</t>
    </r>
    <r>
      <rPr>
        <sz val="12"/>
        <color rgb="FFF0EAE4"/>
        <rFont val="Calibri"/>
        <family val="2"/>
      </rPr>
      <t xml:space="preserve">
This Excel model is intended exclusively for internal use by</t>
    </r>
    <r>
      <rPr>
        <b/>
        <sz val="12"/>
        <color rgb="FFF0EAE4"/>
        <rFont val="Calibri"/>
        <family val="2"/>
      </rPr>
      <t xml:space="preserve"> Rasf Investment</t>
    </r>
    <r>
      <rPr>
        <sz val="12"/>
        <color rgb="FFF0EAE4"/>
        <rFont val="Calibri"/>
        <family val="2"/>
      </rPr>
      <t>. Unauthorized use or distribution for any other purpose is strictly prohibited</t>
    </r>
  </si>
  <si>
    <t>البيع على الخارطة - Off-plan selling</t>
  </si>
  <si>
    <t>التأجير، البيع - Rent, Sell</t>
  </si>
  <si>
    <t>المخارجة - Exit</t>
  </si>
  <si>
    <t>Fund Expenses | مصروفات الصندوق</t>
  </si>
  <si>
    <t>رسوم ترتيب القرض 
 (Loan Arrangement Fees)</t>
  </si>
  <si>
    <t>One Time</t>
  </si>
  <si>
    <t>رسوم إدارة الهيكل 
 (Structure Management Fees)</t>
  </si>
  <si>
    <t>رسوم إدارة الأصول
 (Asset Management Fees)</t>
  </si>
  <si>
    <t>Semi-Annually</t>
  </si>
  <si>
    <t>أتعاب المشغل
 (Operator Fees)</t>
  </si>
  <si>
    <t>Time frame (Years)</t>
  </si>
  <si>
    <t>START DATE</t>
  </si>
  <si>
    <t>END DATE</t>
  </si>
  <si>
    <t>TASK NAME</t>
  </si>
  <si>
    <t>START</t>
  </si>
  <si>
    <t>FINISH</t>
  </si>
  <si>
    <t>DURATION (DAYS)</t>
  </si>
  <si>
    <t xml:space="preserve"> الأرض - Land </t>
  </si>
  <si>
    <t xml:space="preserve">تجهيز الأرض والتصاميم - Ground Processing and Designs </t>
  </si>
  <si>
    <t xml:space="preserve">فترة البناء - Construction </t>
  </si>
  <si>
    <t>البيع والتأجير - Sale &amp; Leasing</t>
  </si>
  <si>
    <t xml:space="preserve">المخارجة - Buyout </t>
  </si>
  <si>
    <t xml:space="preserve">تجهيز التصاميم والرخصة - design and license Preparation  </t>
  </si>
  <si>
    <t>أخرى
(Other)</t>
  </si>
  <si>
    <t>أخرى
(Other)
(بيع على الخارطة)</t>
  </si>
  <si>
    <t>أخرى - (Other)</t>
  </si>
  <si>
    <t xml:space="preserve">GLA.m² : Net Sellable Area|BUA.m² : Total Development Area|PA.m² : Total Land Area 
GLA.m² | المساحات الصافية القابلة للبيع | BUA.m² : إجمالي المساحة التطويرية | PA.m² : مساحة الأرض الإجمالية </t>
  </si>
  <si>
    <t>(Other Cost) التكاليف الأخرى</t>
  </si>
  <si>
    <t>إجمالي مسطحات البناء فوق الأرض
(Above Grade Gross Building Area)</t>
  </si>
  <si>
    <t>اند سكيب تجاري
(LandscapeRetail)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</si>
</sst>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3" formatCode="_(* #,##0.00_);_(* \(#,##0.00\);_(* &quot;-&quot;??_);_(@_)"/>
    <numFmt numFmtId="164" formatCode="0%&quot; نسبة الأشتراك العيني من المطور&quot;"/>
    <numFmt numFmtId="165" formatCode="0%\ &quot;نسبة الأشتراك العيني من مالك الأرض&quot;"/>
    <numFmt numFmtId="166" formatCode="#,##0\ &quot;اجمالي قيمة فائدة البنك&quot;"/>
    <numFmt numFmtId="167" formatCode="#,##0.0"/>
    <numFmt numFmtId="168" formatCode="#,##0&quot; m²&quot;"/>
    <numFmt numFmtId="169" formatCode="0%\ &quot;نسبة التحمل&quot;"/>
    <numFmt numFmtId="170" formatCode="#,##0.00_ ;[Red]\-#,##0.00\ "/>
    <numFmt numFmtId="171" formatCode="#,##0\ &quot;إجمالي تكاليف البناء&quot;"/>
    <numFmt numFmtId="172" formatCode="#,##0_ ;[Red]\-#,##0\ "/>
    <numFmt numFmtId="173" formatCode="0.0%"/>
    <numFmt numFmtId="174" formatCode="0.00%\ &quot;نسبة رسوم المطور&quot;"/>
    <numFmt numFmtId="175" formatCode="0.00%\ &quot;إجمالي نسبة فائدة التمويل&quot;"/>
    <numFmt numFmtId="176" formatCode="0.00%\ &quot;نسبة الفائدة السنوية خلال فترة المشروع&quot;"/>
    <numFmt numFmtId="177" formatCode="#,##0.00\ &quot;الفترة الزمنية للتمويل (سنوي)&quot;"/>
    <numFmt numFmtId="178" formatCode="0.00%\ &quot;المتوسط&quot;"/>
    <numFmt numFmtId="179" formatCode="#,##0\ &quot;المتبقي من الحد الأعلى للتمويل&quot;"/>
    <numFmt numFmtId="180" formatCode="0.00%\ &quot;(Low) منخفض&quot;"/>
    <numFmt numFmtId="181" formatCode="#,##0\ \ &quot;عدد الوحدات المتبقية&quot;"/>
    <numFmt numFmtId="182" formatCode="&quot;Avg&quot;\ #,##0"/>
    <numFmt numFmtId="183" formatCode="&quot;Avg&quot;\ #,##0&quot; m²&quot;"/>
    <numFmt numFmtId="184" formatCode="&quot;Avg&quot;\ 0%"/>
    <numFmt numFmtId="185" formatCode="&quot;Avg&quot;\ 0.00%"/>
    <numFmt numFmtId="186" formatCode="#,##0\ \ &quot;إجمالي قيمة الصيانة السنوية&quot;"/>
    <numFmt numFmtId="187" formatCode="#,##0\ &quot;N.sqm  &quot;"/>
    <numFmt numFmtId="188" formatCode="#,##0\ &quot;/N.sqm  &quot;"/>
    <numFmt numFmtId="189" formatCode="\ &quot;Investment Duration&quot;\ 0.0\ &quot;yrs&quot;"/>
    <numFmt numFmtId="190" formatCode="0\ \م\خ\ل\ص"/>
    <numFmt numFmtId="191" formatCode="0.00%\ &quot;(Developer costs) - تكاليف المطور &quot;"/>
    <numFmt numFmtId="192" formatCode="0.00%\ &quot;(Interest) -  فوائد التمويل&quot;"/>
    <numFmt numFmtId="193" formatCode="0.00%\ &quot;(Arrangement Fee) -  رسوم ترتيب التمويل&quot;"/>
    <numFmt numFmtId="194" formatCode="0.00%\ &quot;(Annual Fund fees) -  رسوم الصندوق السنوية&quot;"/>
    <numFmt numFmtId="195" formatCode="0.00%\ &quot;نسبة التمويل المطلوب من المسموح&quot;"/>
    <numFmt numFmtId="196" formatCode="0.00%\ &quot;الحد الأعلى لنسبة التمويل البنكي من تكاليف التطوير&quot;"/>
    <numFmt numFmtId="197" formatCode="0.00%\ &quot;نسبة الرسوم&quot;"/>
    <numFmt numFmtId="198" formatCode="0%\ &quot;نسبة الدفعة المقدمة&quot;"/>
    <numFmt numFmtId="199" formatCode="0.00%\ &quot; نسبة التكاليف التشغيلية والإدارية&quot;"/>
    <numFmt numFmtId="200" formatCode="0.000%"/>
    <numFmt numFmtId="201" formatCode="&quot;Avg&quot;\ #,##0.00"/>
    <numFmt numFmtId="202" formatCode="0.00%\ \ &quot;نسبة التحوط&quot;"/>
    <numFmt numFmtId="203" formatCode="0.00%\ &quot;الحد الأعلى لنسبة التمويل البنكي من الأرض&quot;"/>
    <numFmt numFmtId="204" formatCode="0.0000%"/>
    <numFmt numFmtId="205" formatCode="_(* #,##0_);_(* \(#,##0\);_(* &quot;-&quot;??_);_(@_)"/>
    <numFmt numFmtId="206" formatCode="0.00%\ \ &quot;من مدة المشروع الإجمالية&quot;"/>
    <numFmt numFmtId="207" formatCode="#,##0\ \ &quot;مجموع القيم السابقة&quot;"/>
    <numFmt numFmtId="208" formatCode="#,##0\ &quot;تكلفة متر الأرض قبل الضريبة و السعي&quot;"/>
    <numFmt numFmtId="209" formatCode="0%\ &quot;من إجمالي الأمتار البيعية&quot;"/>
    <numFmt numFmtId="210" formatCode="#,##0.000000000000"/>
    <numFmt numFmtId="211" formatCode="#,##0.000000"/>
    <numFmt numFmtId="212" formatCode="#,##0.0000000000000000000000000000000000000000000"/>
    <numFmt numFmtId="213" formatCode="mm/dd/yy;@"/>
    <numFmt numFmtId="214" formatCode="m/d/yy;@"/>
    <numFmt numFmtId="215" formatCode="#,##0\ &quot; PA.m²&quot;"/>
    <numFmt numFmtId="216" formatCode="#,##0\ &quot;/ PA.m²&quot;"/>
    <numFmt numFmtId="217" formatCode="#,##0\ &quot;BUA.m²&quot;\ "/>
    <numFmt numFmtId="218" formatCode="#,##0\ &quot;/ BUA.m²&quot;"/>
    <numFmt numFmtId="219" formatCode="#,##0\ &quot;GLA.m²&quot;"/>
    <numFmt numFmtId="220" formatCode="#,##0\ &quot; / GLA.m²&quot;"/>
    <numFmt numFmtId="221" formatCode="0.0%\ &quot; نسبة تكاليف الصيانة السنوية&quot;"/>
    <numFmt numFmtId="222" formatCode="#,##0.00000"/>
  </numFmts>
  <fonts count="78" x14ac:knownFonts="1">
    <font>
      <sz val="11"/>
      <color theme="1"/>
      <name val="Arial"/>
      <family val="2"/>
      <scheme val="minor"/>
    </font>
    <font>
      <sz val="8"/>
      <color theme="1"/>
      <name val="Calibri"/>
      <family val="2"/>
    </font>
    <font>
      <sz val="11"/>
      <color theme="1"/>
      <name val="Arial"/>
      <family val="2"/>
      <scheme val="minor"/>
    </font>
    <font>
      <sz val="8"/>
      <color theme="1"/>
      <name val="Calibri"/>
      <family val="2"/>
    </font>
    <font>
      <sz val="6"/>
      <color theme="1"/>
      <name val="Calibri"/>
      <family val="2"/>
    </font>
    <font>
      <sz val="6"/>
      <color theme="0"/>
      <name val="Calibri"/>
      <family val="2"/>
    </font>
    <font>
      <sz val="7"/>
      <color theme="1"/>
      <name val="Calibri"/>
      <family val="2"/>
    </font>
    <font>
      <sz val="10"/>
      <color theme="0"/>
      <name val="Calibri"/>
      <family val="2"/>
    </font>
    <font>
      <sz val="8"/>
      <color theme="0"/>
      <name val="Calibri"/>
      <family val="2"/>
    </font>
    <font>
      <sz val="8"/>
      <color rgb="FFD60000"/>
      <name val="Calibri"/>
      <family val="2"/>
    </font>
    <font>
      <sz val="8"/>
      <color theme="5" tint="-0.249977111117893"/>
      <name val="Calibri"/>
      <family val="2"/>
    </font>
    <font>
      <sz val="8"/>
      <color theme="5" tint="-0.24994659260841701"/>
      <name val="Calibri"/>
      <family val="2"/>
    </font>
    <font>
      <sz val="8"/>
      <name val="Calibri"/>
      <family val="2"/>
    </font>
    <font>
      <sz val="8"/>
      <color theme="5" tint="0.59999389629810485"/>
      <name val="Calibri"/>
      <family val="2"/>
    </font>
    <font>
      <sz val="7"/>
      <name val="Calibri"/>
      <family val="2"/>
    </font>
    <font>
      <sz val="6"/>
      <name val="Calibri"/>
      <family val="2"/>
    </font>
    <font>
      <sz val="8"/>
      <color rgb="FFFF0000"/>
      <name val="Calibri"/>
      <family val="2"/>
    </font>
    <font>
      <sz val="7"/>
      <color theme="0" tint="-0.14999847407452621"/>
      <name val="Calibri"/>
      <family val="2"/>
    </font>
    <font>
      <sz val="7"/>
      <color theme="0"/>
      <name val="Calibri"/>
      <family val="2"/>
    </font>
    <font>
      <sz val="7"/>
      <color theme="5" tint="0.59999389629810485"/>
      <name val="Calibri"/>
      <family val="2"/>
    </font>
    <font>
      <sz val="11"/>
      <name val="Calibri"/>
      <family val="2"/>
    </font>
    <font>
      <sz val="6"/>
      <color rgb="FFD5D5D5"/>
      <name val="Calibri"/>
      <family val="2"/>
    </font>
    <font>
      <sz val="8"/>
      <color rgb="FFC65911"/>
      <name val="Calibri"/>
      <family val="2"/>
    </font>
    <font>
      <sz val="7"/>
      <color theme="0" tint="-0.249977111117893"/>
      <name val="Calibri"/>
      <family val="2"/>
    </font>
    <font>
      <sz val="5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sz val="12"/>
      <name val="Calibri"/>
      <family val="2"/>
    </font>
    <font>
      <sz val="14"/>
      <color theme="0"/>
      <name val="Calibri"/>
      <family val="2"/>
    </font>
    <font>
      <sz val="14"/>
      <color rgb="FF7F7F7F"/>
      <name val="Calibri"/>
      <family val="2"/>
    </font>
    <font>
      <b/>
      <sz val="14"/>
      <color rgb="FFA37953"/>
      <name val="Calibri"/>
      <family val="2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9" tint="-0.499984740745262"/>
      <name val="Calibri"/>
      <family val="2"/>
    </font>
    <font>
      <sz val="14"/>
      <color rgb="FFC00000"/>
      <name val="Calibri"/>
      <family val="2"/>
    </font>
    <font>
      <sz val="14"/>
      <color theme="9" tint="-0.249977111117893"/>
      <name val="Calibri"/>
      <family val="2"/>
    </font>
    <font>
      <sz val="16"/>
      <color theme="1"/>
      <name val="Calibri"/>
      <family val="2"/>
    </font>
    <font>
      <b/>
      <sz val="16"/>
      <color theme="0"/>
      <name val="Calibri"/>
      <family val="2"/>
    </font>
    <font>
      <b/>
      <sz val="16"/>
      <color rgb="FF7F7F7F"/>
      <name val="Calibri"/>
      <family val="2"/>
    </font>
    <font>
      <sz val="16"/>
      <color rgb="FF7F7F7F"/>
      <name val="Calibri"/>
      <family val="2"/>
    </font>
    <font>
      <sz val="16"/>
      <color theme="0"/>
      <name val="Calibri"/>
      <family val="2"/>
    </font>
    <font>
      <sz val="14"/>
      <color rgb="FFFF0000"/>
      <name val="Calibri"/>
      <family val="2"/>
    </font>
    <font>
      <sz val="8"/>
      <color theme="0" tint="-0.14999847407452621"/>
      <name val="Calibri"/>
      <family val="2"/>
    </font>
    <font>
      <sz val="6"/>
      <color theme="0" tint="-0.14999847407452621"/>
      <name val="Calibri"/>
      <family val="2"/>
    </font>
    <font>
      <sz val="7"/>
      <color rgb="FF00B050"/>
      <name val="Calibri"/>
      <family val="2"/>
    </font>
    <font>
      <sz val="8"/>
      <color theme="9" tint="-0.249977111117893"/>
      <name val="Calibri"/>
      <family val="2"/>
    </font>
    <font>
      <sz val="7"/>
      <color theme="9" tint="-0.249977111117893"/>
      <name val="Calibri"/>
      <family val="2"/>
    </font>
    <font>
      <sz val="7"/>
      <color rgb="FFFF0000"/>
      <name val="Calibri"/>
      <family val="2"/>
    </font>
    <font>
      <sz val="12"/>
      <color theme="0"/>
      <name val="Calibri"/>
      <family val="2"/>
    </font>
    <font>
      <sz val="8"/>
      <name val="Arial"/>
      <family val="2"/>
      <scheme val="minor"/>
    </font>
    <font>
      <sz val="8"/>
      <color rgb="FFC00000"/>
      <name val="Calibri"/>
      <family val="2"/>
    </font>
    <font>
      <sz val="7"/>
      <color rgb="FFC00000"/>
      <name val="Calibri"/>
      <family val="2"/>
    </font>
    <font>
      <sz val="6"/>
      <name val="Arial"/>
      <family val="2"/>
      <scheme val="minor"/>
    </font>
    <font>
      <sz val="8"/>
      <color theme="0" tint="-0.249977111117893"/>
      <name val="Calibri"/>
      <family val="2"/>
    </font>
    <font>
      <sz val="11"/>
      <color theme="0"/>
      <name val="Calibri"/>
      <family val="2"/>
    </font>
    <font>
      <b/>
      <sz val="11"/>
      <color theme="1"/>
      <name val="Arial"/>
      <family val="2"/>
      <scheme val="minor"/>
    </font>
    <font>
      <sz val="8"/>
      <color rgb="FF493833"/>
      <name val="Arial"/>
      <family val="2"/>
    </font>
    <font>
      <u/>
      <sz val="8"/>
      <color rgb="FF493833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sz val="12"/>
      <color rgb="FFF0EAE4"/>
      <name val="Calibri"/>
      <family val="2"/>
    </font>
    <font>
      <b/>
      <sz val="12"/>
      <color rgb="FFF0EAE4"/>
      <name val="Calibri"/>
      <family val="2"/>
    </font>
    <font>
      <b/>
      <sz val="16"/>
      <color rgb="FFF0EAE4"/>
      <name val="Calibri"/>
      <family val="2"/>
    </font>
    <font>
      <sz val="11"/>
      <color theme="0"/>
      <name val="Arial"/>
      <family val="2"/>
      <scheme val="minor"/>
    </font>
    <font>
      <sz val="24"/>
      <color theme="0"/>
      <name val="Arial"/>
      <family val="2"/>
      <scheme val="minor"/>
    </font>
    <font>
      <sz val="11"/>
      <color theme="0" tint="-0.34998626667073579"/>
      <name val="Arial"/>
      <family val="2"/>
      <scheme val="minor"/>
    </font>
    <font>
      <sz val="11"/>
      <name val="Arial"/>
      <family val="2"/>
      <scheme val="minor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4"/>
      <color rgb="FFC00000"/>
      <name val="Arial"/>
      <family val="2"/>
      <scheme val="minor"/>
    </font>
    <font>
      <sz val="14"/>
      <color rgb="FF0C2340"/>
      <name val="Arial"/>
      <family val="2"/>
      <scheme val="minor"/>
    </font>
    <font>
      <sz val="14"/>
      <color theme="9" tint="-0.249977111117893"/>
      <name val="Arial"/>
      <family val="2"/>
      <scheme val="minor"/>
    </font>
    <font>
      <vertAlign val="subscript"/>
      <sz val="16"/>
      <color rgb="FF342C24"/>
      <name val="Arial"/>
      <family val="2"/>
      <scheme val="minor"/>
    </font>
    <font>
      <vertAlign val="subscript"/>
      <sz val="16"/>
      <color rgb="FF342C24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A4907E"/>
        <bgColor indexed="64"/>
      </patternFill>
    </fill>
    <fill>
      <patternFill patternType="solid">
        <fgColor rgb="FFF0EAE4"/>
        <bgColor indexed="64"/>
      </patternFill>
    </fill>
    <fill>
      <patternFill patternType="solid">
        <fgColor rgb="FFEDE4D6"/>
        <bgColor indexed="64"/>
      </patternFill>
    </fill>
    <fill>
      <patternFill patternType="solid">
        <fgColor rgb="FFAC9A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4907E"/>
        <bgColor rgb="FFCDB49E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8F5F2"/>
        <bgColor indexed="64"/>
      </patternFill>
    </fill>
    <fill>
      <patternFill patternType="solid">
        <fgColor rgb="FFF8F5F2"/>
        <bgColor theme="0"/>
      </patternFill>
    </fill>
    <fill>
      <patternFill patternType="solid">
        <fgColor rgb="FFDAD2CC"/>
        <bgColor rgb="FFF2F2F2"/>
      </patternFill>
    </fill>
    <fill>
      <patternFill patternType="solid">
        <fgColor rgb="FFF8F5F2"/>
        <bgColor rgb="FFF2F2F2"/>
      </patternFill>
    </fill>
    <fill>
      <patternFill patternType="solid">
        <fgColor rgb="FFB5A495"/>
        <bgColor rgb="FFF2F2F2"/>
      </patternFill>
    </fill>
    <fill>
      <patternFill patternType="solid">
        <fgColor rgb="FFE9E0D7"/>
        <bgColor rgb="FFF2F2F2"/>
      </patternFill>
    </fill>
  </fills>
  <borders count="75">
    <border>
      <left/>
      <right/>
      <top/>
      <bottom/>
      <diagonal/>
    </border>
    <border>
      <left style="medium">
        <color rgb="FFDAD2CC"/>
      </left>
      <right style="thin">
        <color rgb="FFDAD2CC"/>
      </right>
      <top style="medium">
        <color rgb="FFDAD2CC"/>
      </top>
      <bottom style="thin">
        <color rgb="FFDAD2CC"/>
      </bottom>
      <diagonal/>
    </border>
    <border>
      <left style="thin">
        <color rgb="FFDAD2CC"/>
      </left>
      <right style="thin">
        <color rgb="FFDAD2CC"/>
      </right>
      <top style="medium">
        <color rgb="FFDAD2CC"/>
      </top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 style="medium">
        <color rgb="FFDAD2CC"/>
      </top>
      <bottom style="thin">
        <color rgb="FFDAD2CC"/>
      </bottom>
      <diagonal/>
    </border>
    <border>
      <left style="medium">
        <color rgb="FFDAD2CC"/>
      </left>
      <right style="thin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thin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 style="thin">
        <color rgb="FFDAD2CC"/>
      </top>
      <bottom style="thin">
        <color rgb="FFDAD2CC"/>
      </bottom>
      <diagonal/>
    </border>
    <border>
      <left style="medium">
        <color rgb="FFDAD2CC"/>
      </left>
      <right style="thin">
        <color rgb="FFDAD2CC"/>
      </right>
      <top style="thin">
        <color rgb="FFDAD2CC"/>
      </top>
      <bottom style="medium">
        <color rgb="FFDAD2CC"/>
      </bottom>
      <diagonal/>
    </border>
    <border>
      <left style="thin">
        <color rgb="FFDAD2CC"/>
      </left>
      <right style="thin">
        <color rgb="FFDAD2CC"/>
      </right>
      <top style="thin">
        <color rgb="FFDAD2CC"/>
      </top>
      <bottom style="medium">
        <color rgb="FFDAD2CC"/>
      </bottom>
      <diagonal/>
    </border>
    <border>
      <left style="thin">
        <color rgb="FFDAD2CC"/>
      </left>
      <right style="medium">
        <color rgb="FFDAD2CC"/>
      </right>
      <top style="thin">
        <color rgb="FFDAD2CC"/>
      </top>
      <bottom style="medium">
        <color rgb="FFDAD2CC"/>
      </bottom>
      <diagonal/>
    </border>
    <border>
      <left style="medium">
        <color rgb="FFDAD2CC"/>
      </left>
      <right style="medium">
        <color rgb="FFDAD2CC"/>
      </right>
      <top style="medium">
        <color rgb="FFDAD2CC"/>
      </top>
      <bottom style="medium">
        <color rgb="FFDAD2CC"/>
      </bottom>
      <diagonal/>
    </border>
    <border>
      <left style="medium">
        <color rgb="FFDAD2CC"/>
      </left>
      <right style="thin">
        <color rgb="FFDAD2CC"/>
      </right>
      <top style="medium">
        <color rgb="FFDAD2CC"/>
      </top>
      <bottom style="medium">
        <color rgb="FFDAD2CC"/>
      </bottom>
      <diagonal/>
    </border>
    <border>
      <left style="thin">
        <color rgb="FFDAD2CC"/>
      </left>
      <right style="thin">
        <color rgb="FFDAD2CC"/>
      </right>
      <top style="medium">
        <color rgb="FFDAD2CC"/>
      </top>
      <bottom style="medium">
        <color rgb="FFDAD2CC"/>
      </bottom>
      <diagonal/>
    </border>
    <border>
      <left style="thin">
        <color rgb="FFDAD2CC"/>
      </left>
      <right style="medium">
        <color rgb="FFDAD2CC"/>
      </right>
      <top style="medium">
        <color rgb="FFDAD2CC"/>
      </top>
      <bottom style="medium">
        <color rgb="FFDAD2CC"/>
      </bottom>
      <diagonal/>
    </border>
    <border>
      <left style="medium">
        <color rgb="FFDAD2CC"/>
      </left>
      <right style="medium">
        <color rgb="FFDAD2CC"/>
      </right>
      <top style="medium">
        <color rgb="FFDAD2CC"/>
      </top>
      <bottom style="thin">
        <color rgb="FFDAD2CC"/>
      </bottom>
      <diagonal/>
    </border>
    <border>
      <left style="medium">
        <color rgb="FFDAD2CC"/>
      </left>
      <right style="medium">
        <color rgb="FFDAD2CC"/>
      </right>
      <top style="thin">
        <color rgb="FFDAD2CC"/>
      </top>
      <bottom style="medium">
        <color rgb="FFDAD2CC"/>
      </bottom>
      <diagonal/>
    </border>
    <border>
      <left style="thin">
        <color rgb="FFDAD2CC"/>
      </left>
      <right style="thin">
        <color rgb="FFDAD2CC"/>
      </right>
      <top style="thin">
        <color rgb="FFDAD2CC"/>
      </top>
      <bottom/>
      <diagonal/>
    </border>
    <border>
      <left style="medium">
        <color rgb="FFDAD2CC"/>
      </left>
      <right style="medium">
        <color rgb="FFDAD2CC"/>
      </right>
      <top style="thin">
        <color rgb="FFDAD2CC"/>
      </top>
      <bottom style="thin">
        <color rgb="FFDAD2CC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7F7F7F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DAD2CC"/>
      </left>
      <right style="thin">
        <color rgb="FFDAD2CC"/>
      </right>
      <top/>
      <bottom style="thin">
        <color rgb="FFDAD2CC"/>
      </bottom>
      <diagonal/>
    </border>
    <border>
      <left style="medium">
        <color rgb="FFDAD2CC"/>
      </left>
      <right style="thin">
        <color rgb="FFDAD2CC"/>
      </right>
      <top style="thin">
        <color rgb="FFDAD2CC"/>
      </top>
      <bottom/>
      <diagonal/>
    </border>
    <border>
      <left style="thin">
        <color rgb="FFDAD2CC"/>
      </left>
      <right style="medium">
        <color rgb="FFDAD2CC"/>
      </right>
      <top style="thin">
        <color rgb="FFDAD2CC"/>
      </top>
      <bottom/>
      <diagonal/>
    </border>
    <border>
      <left style="medium">
        <color rgb="FFDAD2CC"/>
      </left>
      <right style="thin">
        <color rgb="FFDAD2CC"/>
      </right>
      <top/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/>
      <bottom style="thin">
        <color rgb="FFDAD2CC"/>
      </bottom>
      <diagonal/>
    </border>
    <border>
      <left/>
      <right style="medium">
        <color rgb="FFDAD2CC"/>
      </right>
      <top/>
      <bottom/>
      <diagonal/>
    </border>
    <border>
      <left style="thin">
        <color rgb="FFDAD2CC"/>
      </left>
      <right/>
      <top style="thin">
        <color rgb="FFDAD2CC"/>
      </top>
      <bottom style="thin">
        <color rgb="FFDAD2CC"/>
      </bottom>
      <diagonal/>
    </border>
    <border>
      <left style="thin">
        <color rgb="FFDAD2CC"/>
      </left>
      <right/>
      <top/>
      <bottom style="thin">
        <color rgb="FFDAD2CC"/>
      </bottom>
      <diagonal/>
    </border>
    <border>
      <left/>
      <right/>
      <top/>
      <bottom style="thin">
        <color rgb="FFDAD2CC"/>
      </bottom>
      <diagonal/>
    </border>
    <border>
      <left/>
      <right/>
      <top style="thin">
        <color rgb="FFDAD2CC"/>
      </top>
      <bottom/>
      <diagonal/>
    </border>
    <border>
      <left style="thin">
        <color rgb="FFDAD2CC"/>
      </left>
      <right/>
      <top style="thin">
        <color rgb="FFDAD2CC"/>
      </top>
      <bottom/>
      <diagonal/>
    </border>
    <border>
      <left/>
      <right style="medium">
        <color rgb="FFDAD2CC"/>
      </right>
      <top style="thin">
        <color rgb="FFDAD2CC"/>
      </top>
      <bottom/>
      <diagonal/>
    </border>
    <border>
      <left style="thin">
        <color rgb="FFDAD2CC"/>
      </left>
      <right/>
      <top/>
      <bottom/>
      <diagonal/>
    </border>
    <border>
      <left/>
      <right style="medium">
        <color rgb="FFDAD2CC"/>
      </right>
      <top/>
      <bottom style="thin">
        <color rgb="FFDAD2CC"/>
      </bottom>
      <diagonal/>
    </border>
    <border>
      <left style="medium">
        <color rgb="FFDAD2CC"/>
      </left>
      <right/>
      <top style="medium">
        <color rgb="FFDAD2CC"/>
      </top>
      <bottom style="medium">
        <color rgb="FFDAD2CC"/>
      </bottom>
      <diagonal/>
    </border>
    <border>
      <left/>
      <right/>
      <top style="medium">
        <color rgb="FFDAD2CC"/>
      </top>
      <bottom style="medium">
        <color rgb="FFDAD2CC"/>
      </bottom>
      <diagonal/>
    </border>
    <border>
      <left/>
      <right style="medium">
        <color rgb="FFDAD2CC"/>
      </right>
      <top style="medium">
        <color rgb="FFDAD2CC"/>
      </top>
      <bottom style="medium">
        <color rgb="FFDAD2CC"/>
      </bottom>
      <diagonal/>
    </border>
    <border>
      <left/>
      <right/>
      <top style="medium">
        <color rgb="FFDAD2CC"/>
      </top>
      <bottom/>
      <diagonal/>
    </border>
    <border>
      <left style="medium">
        <color rgb="FFDAD2CC"/>
      </left>
      <right/>
      <top/>
      <bottom style="thin">
        <color rgb="FFDAD2CC"/>
      </bottom>
      <diagonal/>
    </border>
    <border>
      <left style="thin">
        <color rgb="FFDAD2CC"/>
      </left>
      <right/>
      <top style="thin">
        <color rgb="FFDAD2CC"/>
      </top>
      <bottom style="medium">
        <color rgb="FFDAD2CC"/>
      </bottom>
      <diagonal/>
    </border>
    <border>
      <left/>
      <right style="thin">
        <color rgb="FFDAD2CC"/>
      </right>
      <top style="thin">
        <color rgb="FFDAD2CC"/>
      </top>
      <bottom style="medium">
        <color rgb="FFDAD2CC"/>
      </bottom>
      <diagonal/>
    </border>
    <border>
      <left style="medium">
        <color rgb="FFDAD2CC"/>
      </left>
      <right/>
      <top style="thin">
        <color rgb="FFDAD2CC"/>
      </top>
      <bottom style="thin">
        <color rgb="FFDAD2CC"/>
      </bottom>
      <diagonal/>
    </border>
    <border>
      <left/>
      <right/>
      <top style="thin">
        <color rgb="FFDAD2CC"/>
      </top>
      <bottom style="thin">
        <color rgb="FFDAD2CC"/>
      </bottom>
      <diagonal/>
    </border>
    <border>
      <left/>
      <right style="thin">
        <color rgb="FFDAD2CC"/>
      </right>
      <top style="thin">
        <color rgb="FFDAD2CC"/>
      </top>
      <bottom style="thin">
        <color rgb="FFDAD2CC"/>
      </bottom>
      <diagonal/>
    </border>
    <border>
      <left/>
      <right style="thin">
        <color rgb="FFDAD2CC"/>
      </right>
      <top/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 style="medium">
        <color rgb="FFDAD2CC"/>
      </top>
      <bottom/>
      <diagonal/>
    </border>
    <border>
      <left style="thin">
        <color rgb="FFDAD2CC"/>
      </left>
      <right style="medium">
        <color rgb="FFDAD2CC"/>
      </right>
      <top/>
      <bottom/>
      <diagonal/>
    </border>
    <border>
      <left style="medium">
        <color rgb="FFDAD2CC"/>
      </left>
      <right/>
      <top style="medium">
        <color rgb="FFDAD2CC"/>
      </top>
      <bottom/>
      <diagonal/>
    </border>
    <border>
      <left/>
      <right style="thin">
        <color rgb="FFDAD2CC"/>
      </right>
      <top style="medium">
        <color rgb="FFDAD2CC"/>
      </top>
      <bottom/>
      <diagonal/>
    </border>
    <border>
      <left style="medium">
        <color rgb="FFDAD2CC"/>
      </left>
      <right/>
      <top/>
      <bottom/>
      <diagonal/>
    </border>
    <border>
      <left/>
      <right style="thin">
        <color rgb="FFDAD2CC"/>
      </right>
      <top/>
      <bottom/>
      <diagonal/>
    </border>
    <border>
      <left/>
      <right style="medium">
        <color rgb="FFDAD2CC"/>
      </right>
      <top style="medium">
        <color rgb="FFDAD2CC"/>
      </top>
      <bottom style="thin">
        <color rgb="FFDAD2CC"/>
      </bottom>
      <diagonal/>
    </border>
    <border>
      <left style="thin">
        <color rgb="FFDAD2CC"/>
      </left>
      <right/>
      <top style="medium">
        <color rgb="FFDAD2CC"/>
      </top>
      <bottom style="thin">
        <color rgb="FFDAD2CC"/>
      </bottom>
      <diagonal/>
    </border>
    <border>
      <left/>
      <right style="medium">
        <color rgb="FFDAD2CC"/>
      </right>
      <top style="thin">
        <color rgb="FFDAD2CC"/>
      </top>
      <bottom style="thin">
        <color rgb="FFDAD2CC"/>
      </bottom>
      <diagonal/>
    </border>
    <border>
      <left/>
      <right style="medium">
        <color rgb="FFDAD2CC"/>
      </right>
      <top style="thin">
        <color rgb="FFDAD2CC"/>
      </top>
      <bottom style="medium">
        <color rgb="FFDAD2CC"/>
      </bottom>
      <diagonal/>
    </border>
    <border>
      <left style="medium">
        <color rgb="FFDAD2CC"/>
      </left>
      <right style="medium">
        <color rgb="FFDAD2CC"/>
      </right>
      <top style="medium">
        <color rgb="FFDAD2CC"/>
      </top>
      <bottom/>
      <diagonal/>
    </border>
    <border>
      <left style="medium">
        <color rgb="FFDAD2CC"/>
      </left>
      <right style="thin">
        <color rgb="FFDAD2CC"/>
      </right>
      <top/>
      <bottom/>
      <diagonal/>
    </border>
    <border>
      <left style="medium">
        <color rgb="FFDAD2CC"/>
      </left>
      <right/>
      <top style="medium">
        <color rgb="FFDAD2CC"/>
      </top>
      <bottom style="thin">
        <color rgb="FFDAD2CC"/>
      </bottom>
      <diagonal/>
    </border>
    <border>
      <left/>
      <right/>
      <top style="medium">
        <color rgb="FFDAD2CC"/>
      </top>
      <bottom style="thin">
        <color rgb="FFDAD2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DAD2CC"/>
      </left>
      <right/>
      <top/>
      <bottom style="medium">
        <color rgb="FFDAD2CC"/>
      </bottom>
      <diagonal/>
    </border>
    <border>
      <left/>
      <right/>
      <top/>
      <bottom style="medium">
        <color rgb="FFDAD2CC"/>
      </bottom>
      <diagonal/>
    </border>
    <border>
      <left/>
      <right style="thin">
        <color rgb="FFDAD2CC"/>
      </right>
      <top/>
      <bottom style="medium">
        <color rgb="FFDAD2CC"/>
      </bottom>
      <diagonal/>
    </border>
    <border>
      <left style="medium">
        <color rgb="FFDAD2CC"/>
      </left>
      <right style="thin">
        <color rgb="FFDAD2CC"/>
      </right>
      <top/>
      <bottom style="medium">
        <color rgb="FFDAD2CC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82">
    <xf numFmtId="0" fontId="0" fillId="0" borderId="0" xfId="0"/>
    <xf numFmtId="3" fontId="3" fillId="2" borderId="0" xfId="0" applyNumberFormat="1" applyFont="1" applyFill="1" applyAlignment="1">
      <alignment horizontal="center" vertical="center" wrapText="1" shrinkToFit="1"/>
    </xf>
    <xf numFmtId="9" fontId="3" fillId="3" borderId="6" xfId="2" applyFont="1" applyFill="1" applyBorder="1" applyAlignment="1">
      <alignment horizontal="center" vertical="center" wrapText="1" shrinkToFit="1"/>
    </xf>
    <xf numFmtId="3" fontId="6" fillId="0" borderId="1" xfId="0" applyNumberFormat="1" applyFont="1" applyBorder="1" applyAlignment="1">
      <alignment horizontal="center" vertical="center" wrapText="1" shrinkToFit="1"/>
    </xf>
    <xf numFmtId="10" fontId="6" fillId="4" borderId="3" xfId="2" applyNumberFormat="1" applyFont="1" applyFill="1" applyBorder="1" applyAlignment="1">
      <alignment horizontal="center" vertical="center" wrapText="1" shrinkToFit="1"/>
    </xf>
    <xf numFmtId="10" fontId="6" fillId="4" borderId="9" xfId="2" applyNumberFormat="1" applyFont="1" applyFill="1" applyBorder="1" applyAlignment="1">
      <alignment horizontal="center" vertical="center" wrapText="1" shrinkToFit="1"/>
    </xf>
    <xf numFmtId="9" fontId="3" fillId="0" borderId="6" xfId="2" applyFont="1" applyFill="1" applyBorder="1" applyAlignment="1">
      <alignment horizontal="center" vertical="center" wrapText="1" shrinkToFit="1"/>
    </xf>
    <xf numFmtId="3" fontId="12" fillId="0" borderId="4" xfId="0" applyNumberFormat="1" applyFont="1" applyBorder="1" applyAlignment="1">
      <alignment horizontal="center" vertical="center" wrapText="1" shrinkToFit="1"/>
    </xf>
    <xf numFmtId="3" fontId="12" fillId="3" borderId="4" xfId="0" applyNumberFormat="1" applyFont="1" applyFill="1" applyBorder="1" applyAlignment="1">
      <alignment horizontal="center" vertical="center" wrapText="1" shrinkToFit="1"/>
    </xf>
    <xf numFmtId="3" fontId="12" fillId="2" borderId="7" xfId="0" applyNumberFormat="1" applyFont="1" applyFill="1" applyBorder="1" applyAlignment="1">
      <alignment horizontal="center" vertical="center" wrapText="1" shrinkToFit="1"/>
    </xf>
    <xf numFmtId="168" fontId="12" fillId="2" borderId="8" xfId="0" applyNumberFormat="1" applyFont="1" applyFill="1" applyBorder="1" applyAlignment="1">
      <alignment horizontal="center" vertical="center" wrapText="1" shrinkToFit="1"/>
    </xf>
    <xf numFmtId="3" fontId="12" fillId="2" borderId="8" xfId="0" applyNumberFormat="1" applyFont="1" applyFill="1" applyBorder="1" applyAlignment="1">
      <alignment horizontal="center" vertical="center" wrapText="1" shrinkToFit="1"/>
    </xf>
    <xf numFmtId="4" fontId="12" fillId="2" borderId="8" xfId="0" applyNumberFormat="1" applyFont="1" applyFill="1" applyBorder="1" applyAlignment="1">
      <alignment horizontal="center" vertical="center" wrapText="1" shrinkToFit="1"/>
    </xf>
    <xf numFmtId="3" fontId="12" fillId="2" borderId="9" xfId="0" applyNumberFormat="1" applyFont="1" applyFill="1" applyBorder="1" applyAlignment="1">
      <alignment horizontal="center" vertical="center" wrapText="1" shrinkToFit="1"/>
    </xf>
    <xf numFmtId="10" fontId="6" fillId="3" borderId="1" xfId="2" applyNumberFormat="1" applyFont="1" applyFill="1" applyBorder="1" applyAlignment="1">
      <alignment horizontal="center" vertical="center" wrapText="1" shrinkToFit="1"/>
    </xf>
    <xf numFmtId="10" fontId="6" fillId="3" borderId="2" xfId="2" applyNumberFormat="1" applyFont="1" applyFill="1" applyBorder="1" applyAlignment="1">
      <alignment horizontal="center" vertical="center" wrapText="1" shrinkToFit="1"/>
    </xf>
    <xf numFmtId="10" fontId="6" fillId="3" borderId="3" xfId="2" applyNumberFormat="1" applyFont="1" applyFill="1" applyBorder="1" applyAlignment="1">
      <alignment horizontal="center" vertical="center" wrapText="1" shrinkToFit="1"/>
    </xf>
    <xf numFmtId="169" fontId="6" fillId="4" borderId="7" xfId="2" applyNumberFormat="1" applyFont="1" applyFill="1" applyBorder="1" applyAlignment="1">
      <alignment horizontal="center" vertical="center" wrapText="1" shrinkToFit="1"/>
    </xf>
    <xf numFmtId="169" fontId="6" fillId="4" borderId="8" xfId="2" applyNumberFormat="1" applyFont="1" applyFill="1" applyBorder="1" applyAlignment="1">
      <alignment horizontal="center" vertical="center" wrapText="1" shrinkToFit="1"/>
    </xf>
    <xf numFmtId="169" fontId="6" fillId="4" borderId="9" xfId="2" applyNumberFormat="1" applyFont="1" applyFill="1" applyBorder="1" applyAlignment="1">
      <alignment horizontal="center" vertical="center" wrapText="1" shrinkToFit="1"/>
    </xf>
    <xf numFmtId="4" fontId="12" fillId="0" borderId="5" xfId="0" applyNumberFormat="1" applyFont="1" applyBorder="1" applyAlignment="1">
      <alignment horizontal="center" vertical="center" wrapText="1" shrinkToFit="1"/>
    </xf>
    <xf numFmtId="3" fontId="8" fillId="2" borderId="4" xfId="0" applyNumberFormat="1" applyFont="1" applyFill="1" applyBorder="1" applyAlignment="1">
      <alignment horizontal="center" vertical="center" wrapText="1" shrinkToFit="1" readingOrder="1"/>
    </xf>
    <xf numFmtId="3" fontId="8" fillId="2" borderId="5" xfId="0" applyNumberFormat="1" applyFont="1" applyFill="1" applyBorder="1" applyAlignment="1">
      <alignment horizontal="center" vertical="center" wrapText="1" shrinkToFit="1" readingOrder="1"/>
    </xf>
    <xf numFmtId="4" fontId="12" fillId="4" borderId="6" xfId="0" applyNumberFormat="1" applyFont="1" applyFill="1" applyBorder="1" applyAlignment="1">
      <alignment horizontal="center" vertical="center" wrapText="1" shrinkToFit="1"/>
    </xf>
    <xf numFmtId="168" fontId="12" fillId="0" borderId="4" xfId="0" applyNumberFormat="1" applyFont="1" applyBorder="1" applyAlignment="1">
      <alignment horizontal="center" vertical="center" wrapText="1" shrinkToFit="1"/>
    </xf>
    <xf numFmtId="168" fontId="12" fillId="3" borderId="4" xfId="0" applyNumberFormat="1" applyFont="1" applyFill="1" applyBorder="1" applyAlignment="1">
      <alignment horizontal="center" vertical="center" wrapText="1" shrinkToFit="1"/>
    </xf>
    <xf numFmtId="168" fontId="12" fillId="3" borderId="5" xfId="0" applyNumberFormat="1" applyFont="1" applyFill="1" applyBorder="1" applyAlignment="1">
      <alignment horizontal="center" vertical="center" wrapText="1" shrinkToFit="1"/>
    </xf>
    <xf numFmtId="3" fontId="16" fillId="3" borderId="5" xfId="0" applyNumberFormat="1" applyFont="1" applyFill="1" applyBorder="1" applyAlignment="1">
      <alignment horizontal="center" vertical="center" wrapText="1" shrinkToFit="1"/>
    </xf>
    <xf numFmtId="3" fontId="15" fillId="3" borderId="5" xfId="0" applyNumberFormat="1" applyFont="1" applyFill="1" applyBorder="1" applyAlignment="1">
      <alignment horizontal="center" vertical="center" wrapText="1" shrinkToFit="1"/>
    </xf>
    <xf numFmtId="168" fontId="12" fillId="2" borderId="7" xfId="0" applyNumberFormat="1" applyFont="1" applyFill="1" applyBorder="1" applyAlignment="1">
      <alignment horizontal="center" vertical="center" wrapText="1" shrinkToFit="1"/>
    </xf>
    <xf numFmtId="10" fontId="12" fillId="2" borderId="8" xfId="0" applyNumberFormat="1" applyFont="1" applyFill="1" applyBorder="1" applyAlignment="1">
      <alignment horizontal="center" vertical="center" wrapText="1" shrinkToFit="1"/>
    </xf>
    <xf numFmtId="3" fontId="6" fillId="3" borderId="10" xfId="0" applyNumberFormat="1" applyFont="1" applyFill="1" applyBorder="1" applyAlignment="1">
      <alignment horizontal="center" vertical="center" wrapText="1" shrinkToFit="1"/>
    </xf>
    <xf numFmtId="3" fontId="14" fillId="3" borderId="1" xfId="0" applyNumberFormat="1" applyFont="1" applyFill="1" applyBorder="1" applyAlignment="1">
      <alignment horizontal="center" vertical="center" wrapText="1" shrinkToFit="1"/>
    </xf>
    <xf numFmtId="172" fontId="6" fillId="3" borderId="7" xfId="0" applyNumberFormat="1" applyFont="1" applyFill="1" applyBorder="1" applyAlignment="1">
      <alignment horizontal="center" vertical="center" wrapText="1" shrinkToFit="1"/>
    </xf>
    <xf numFmtId="38" fontId="14" fillId="3" borderId="9" xfId="0" applyNumberFormat="1" applyFont="1" applyFill="1" applyBorder="1" applyAlignment="1">
      <alignment horizontal="center" vertical="center" wrapText="1" shrinkToFit="1"/>
    </xf>
    <xf numFmtId="10" fontId="3" fillId="0" borderId="4" xfId="2" applyNumberFormat="1" applyFont="1" applyFill="1" applyBorder="1" applyAlignment="1">
      <alignment horizontal="center" vertical="center" wrapText="1" shrinkToFit="1"/>
    </xf>
    <xf numFmtId="10" fontId="3" fillId="3" borderId="4" xfId="0" applyNumberFormat="1" applyFont="1" applyFill="1" applyBorder="1" applyAlignment="1">
      <alignment horizontal="center" vertical="center" wrapText="1" shrinkToFit="1"/>
    </xf>
    <xf numFmtId="10" fontId="3" fillId="0" borderId="4" xfId="0" applyNumberFormat="1" applyFont="1" applyBorder="1" applyAlignment="1">
      <alignment horizontal="center" vertical="center" wrapText="1" shrinkToFit="1"/>
    </xf>
    <xf numFmtId="174" fontId="12" fillId="4" borderId="6" xfId="0" applyNumberFormat="1" applyFont="1" applyFill="1" applyBorder="1" applyAlignment="1">
      <alignment horizontal="center" vertical="center" wrapText="1" shrinkToFit="1"/>
    </xf>
    <xf numFmtId="10" fontId="3" fillId="3" borderId="4" xfId="2" applyNumberFormat="1" applyFont="1" applyFill="1" applyBorder="1" applyAlignment="1">
      <alignment horizontal="center" vertical="center" wrapText="1" shrinkToFit="1"/>
    </xf>
    <xf numFmtId="3" fontId="6" fillId="3" borderId="14" xfId="0" applyNumberFormat="1" applyFont="1" applyFill="1" applyBorder="1" applyAlignment="1">
      <alignment horizontal="center" vertical="center" shrinkToFit="1"/>
    </xf>
    <xf numFmtId="3" fontId="3" fillId="4" borderId="8" xfId="0" applyNumberFormat="1" applyFont="1" applyFill="1" applyBorder="1" applyAlignment="1">
      <alignment horizontal="center" vertical="center" wrapText="1" shrinkToFit="1"/>
    </xf>
    <xf numFmtId="10" fontId="8" fillId="2" borderId="4" xfId="2" applyNumberFormat="1" applyFont="1" applyFill="1" applyBorder="1" applyAlignment="1">
      <alignment horizontal="center" vertical="center" wrapText="1" shrinkToFit="1"/>
    </xf>
    <xf numFmtId="10" fontId="8" fillId="2" borderId="5" xfId="2" applyNumberFormat="1" applyFont="1" applyFill="1" applyBorder="1" applyAlignment="1">
      <alignment horizontal="center" vertical="center" wrapText="1" shrinkToFit="1"/>
    </xf>
    <xf numFmtId="9" fontId="8" fillId="2" borderId="5" xfId="2" applyFont="1" applyFill="1" applyBorder="1" applyAlignment="1">
      <alignment horizontal="center" vertical="center" wrapText="1" shrinkToFit="1" readingOrder="1"/>
    </xf>
    <xf numFmtId="10" fontId="8" fillId="2" borderId="6" xfId="2" applyNumberFormat="1" applyFont="1" applyFill="1" applyBorder="1" applyAlignment="1">
      <alignment horizontal="center" vertical="center" wrapText="1" shrinkToFit="1"/>
    </xf>
    <xf numFmtId="10" fontId="12" fillId="0" borderId="5" xfId="2" applyNumberFormat="1" applyFont="1" applyBorder="1" applyAlignment="1">
      <alignment horizontal="center" vertical="center" wrapText="1" shrinkToFit="1"/>
    </xf>
    <xf numFmtId="10" fontId="12" fillId="3" borderId="5" xfId="2" applyNumberFormat="1" applyFont="1" applyFill="1" applyBorder="1" applyAlignment="1">
      <alignment horizontal="center" vertical="center" wrapText="1" shrinkToFit="1"/>
    </xf>
    <xf numFmtId="9" fontId="12" fillId="2" borderId="8" xfId="2" applyFont="1" applyFill="1" applyBorder="1" applyAlignment="1">
      <alignment horizontal="center" vertical="center" wrapText="1" shrinkToFit="1"/>
    </xf>
    <xf numFmtId="0" fontId="8" fillId="2" borderId="6" xfId="0" applyFont="1" applyFill="1" applyBorder="1" applyAlignment="1">
      <alignment horizontal="center" vertical="center" wrapText="1" shrinkToFit="1"/>
    </xf>
    <xf numFmtId="3" fontId="18" fillId="2" borderId="4" xfId="0" applyNumberFormat="1" applyFont="1" applyFill="1" applyBorder="1" applyAlignment="1">
      <alignment horizontal="center" vertical="center" wrapText="1" shrinkToFit="1"/>
    </xf>
    <xf numFmtId="3" fontId="18" fillId="2" borderId="5" xfId="0" applyNumberFormat="1" applyFont="1" applyFill="1" applyBorder="1" applyAlignment="1">
      <alignment horizontal="center" vertical="center" wrapText="1" shrinkToFit="1"/>
    </xf>
    <xf numFmtId="3" fontId="18" fillId="2" borderId="6" xfId="0" applyNumberFormat="1" applyFont="1" applyFill="1" applyBorder="1" applyAlignment="1">
      <alignment horizontal="center" vertical="center" wrapText="1" shrinkToFit="1"/>
    </xf>
    <xf numFmtId="10" fontId="12" fillId="4" borderId="5" xfId="2" applyNumberFormat="1" applyFont="1" applyFill="1" applyBorder="1" applyAlignment="1">
      <alignment horizontal="center" vertical="center" wrapText="1" shrinkToFit="1"/>
    </xf>
    <xf numFmtId="178" fontId="12" fillId="2" borderId="8" xfId="2" applyNumberFormat="1" applyFont="1" applyFill="1" applyBorder="1" applyAlignment="1">
      <alignment horizontal="center" vertical="center" wrapText="1" shrinkToFit="1"/>
    </xf>
    <xf numFmtId="40" fontId="21" fillId="3" borderId="5" xfId="0" applyNumberFormat="1" applyFont="1" applyFill="1" applyBorder="1" applyAlignment="1">
      <alignment horizontal="center" vertical="center" wrapText="1" shrinkToFit="1"/>
    </xf>
    <xf numFmtId="3" fontId="20" fillId="3" borderId="5" xfId="0" applyNumberFormat="1" applyFont="1" applyFill="1" applyBorder="1" applyAlignment="1">
      <alignment horizontal="center" vertical="center" wrapText="1" shrinkToFit="1"/>
    </xf>
    <xf numFmtId="3" fontId="20" fillId="3" borderId="6" xfId="0" applyNumberFormat="1" applyFont="1" applyFill="1" applyBorder="1" applyAlignment="1">
      <alignment horizontal="center" vertical="center" wrapText="1" shrinkToFit="1"/>
    </xf>
    <xf numFmtId="9" fontId="12" fillId="4" borderId="5" xfId="2" applyFont="1" applyFill="1" applyBorder="1" applyAlignment="1">
      <alignment horizontal="center" vertical="center" wrapText="1" shrinkToFit="1"/>
    </xf>
    <xf numFmtId="9" fontId="12" fillId="4" borderId="6" xfId="2" applyFont="1" applyFill="1" applyBorder="1" applyAlignment="1">
      <alignment horizontal="center" vertical="center" wrapText="1" shrinkToFit="1"/>
    </xf>
    <xf numFmtId="3" fontId="8" fillId="2" borderId="7" xfId="0" applyNumberFormat="1" applyFont="1" applyFill="1" applyBorder="1" applyAlignment="1">
      <alignment horizontal="center" vertical="center" wrapText="1" shrinkToFit="1"/>
    </xf>
    <xf numFmtId="3" fontId="15" fillId="3" borderId="8" xfId="0" applyNumberFormat="1" applyFont="1" applyFill="1" applyBorder="1" applyAlignment="1">
      <alignment horizontal="center" vertical="center" wrapText="1" shrinkToFit="1"/>
    </xf>
    <xf numFmtId="9" fontId="12" fillId="3" borderId="8" xfId="2" applyFont="1" applyFill="1" applyBorder="1" applyAlignment="1">
      <alignment horizontal="center" vertical="center" wrapText="1" shrinkToFit="1"/>
    </xf>
    <xf numFmtId="9" fontId="12" fillId="4" borderId="8" xfId="2" applyFont="1" applyFill="1" applyBorder="1" applyAlignment="1">
      <alignment horizontal="center" vertical="center" wrapText="1" shrinkToFit="1"/>
    </xf>
    <xf numFmtId="9" fontId="12" fillId="4" borderId="9" xfId="2" applyFont="1" applyFill="1" applyBorder="1" applyAlignment="1">
      <alignment horizontal="center" vertical="center" wrapText="1" shrinkToFit="1"/>
    </xf>
    <xf numFmtId="3" fontId="12" fillId="0" borderId="2" xfId="0" applyNumberFormat="1" applyFont="1" applyBorder="1" applyAlignment="1">
      <alignment horizontal="center" vertical="center" wrapText="1" shrinkToFit="1"/>
    </xf>
    <xf numFmtId="14" fontId="12" fillId="4" borderId="2" xfId="0" applyNumberFormat="1" applyFont="1" applyFill="1" applyBorder="1" applyAlignment="1">
      <alignment horizontal="center" vertical="center" wrapText="1" shrinkToFit="1"/>
    </xf>
    <xf numFmtId="14" fontId="12" fillId="4" borderId="3" xfId="0" applyNumberFormat="1" applyFont="1" applyFill="1" applyBorder="1" applyAlignment="1">
      <alignment horizontal="center" vertical="center" wrapText="1" shrinkToFit="1"/>
    </xf>
    <xf numFmtId="3" fontId="8" fillId="5" borderId="4" xfId="0" applyNumberFormat="1" applyFont="1" applyFill="1" applyBorder="1" applyAlignment="1">
      <alignment horizontal="center" vertical="center" wrapText="1" shrinkToFit="1"/>
    </xf>
    <xf numFmtId="38" fontId="12" fillId="3" borderId="2" xfId="0" applyNumberFormat="1" applyFont="1" applyFill="1" applyBorder="1" applyAlignment="1">
      <alignment horizontal="center" vertical="center" wrapText="1" shrinkToFit="1"/>
    </xf>
    <xf numFmtId="38" fontId="12" fillId="4" borderId="5" xfId="1" applyNumberFormat="1" applyFont="1" applyFill="1" applyBorder="1" applyAlignment="1">
      <alignment horizontal="center" vertical="center" wrapText="1" shrinkToFit="1"/>
    </xf>
    <xf numFmtId="10" fontId="6" fillId="3" borderId="14" xfId="2" applyNumberFormat="1" applyFont="1" applyFill="1" applyBorder="1" applyAlignment="1">
      <alignment horizontal="center" vertical="center" wrapText="1" shrinkToFit="1"/>
    </xf>
    <xf numFmtId="182" fontId="3" fillId="2" borderId="8" xfId="0" applyNumberFormat="1" applyFont="1" applyFill="1" applyBorder="1" applyAlignment="1">
      <alignment horizontal="center" vertical="center" wrapText="1" shrinkToFit="1"/>
    </xf>
    <xf numFmtId="183" fontId="3" fillId="2" borderId="8" xfId="0" applyNumberFormat="1" applyFont="1" applyFill="1" applyBorder="1" applyAlignment="1">
      <alignment horizontal="center" vertical="center" wrapText="1" shrinkToFit="1"/>
    </xf>
    <xf numFmtId="183" fontId="12" fillId="2" borderId="8" xfId="0" applyNumberFormat="1" applyFont="1" applyFill="1" applyBorder="1" applyAlignment="1">
      <alignment horizontal="center" vertical="center" wrapText="1" shrinkToFit="1"/>
    </xf>
    <xf numFmtId="182" fontId="12" fillId="2" borderId="8" xfId="0" applyNumberFormat="1" applyFont="1" applyFill="1" applyBorder="1" applyAlignment="1">
      <alignment horizontal="center" vertical="center" wrapText="1" shrinkToFit="1"/>
    </xf>
    <xf numFmtId="184" fontId="3" fillId="2" borderId="8" xfId="2" applyNumberFormat="1" applyFont="1" applyFill="1" applyBorder="1" applyAlignment="1">
      <alignment horizontal="center" vertical="center" wrapText="1" shrinkToFit="1"/>
    </xf>
    <xf numFmtId="185" fontId="3" fillId="2" borderId="8" xfId="0" applyNumberFormat="1" applyFont="1" applyFill="1" applyBorder="1" applyAlignment="1">
      <alignment horizontal="center" vertical="center" wrapText="1" shrinkToFit="1"/>
    </xf>
    <xf numFmtId="3" fontId="6" fillId="0" borderId="7" xfId="0" applyNumberFormat="1" applyFont="1" applyBorder="1" applyAlignment="1">
      <alignment horizontal="center" vertical="center" wrapText="1" shrinkToFit="1"/>
    </xf>
    <xf numFmtId="3" fontId="6" fillId="6" borderId="15" xfId="0" applyNumberFormat="1" applyFont="1" applyFill="1" applyBorder="1" applyAlignment="1">
      <alignment horizontal="center" vertical="center" wrapText="1" shrinkToFit="1"/>
    </xf>
    <xf numFmtId="167" fontId="3" fillId="6" borderId="9" xfId="0" applyNumberFormat="1" applyFont="1" applyFill="1" applyBorder="1" applyAlignment="1">
      <alignment horizontal="center" vertical="center" wrapText="1" shrinkToFit="1"/>
    </xf>
    <xf numFmtId="3" fontId="26" fillId="6" borderId="0" xfId="0" applyNumberFormat="1" applyFont="1" applyFill="1" applyAlignment="1">
      <alignment horizontal="center" vertical="center" wrapText="1" shrinkToFit="1"/>
    </xf>
    <xf numFmtId="164" fontId="6" fillId="4" borderId="14" xfId="0" applyNumberFormat="1" applyFont="1" applyFill="1" applyBorder="1" applyAlignment="1">
      <alignment horizontal="center" vertical="center" wrapText="1" shrinkToFit="1"/>
    </xf>
    <xf numFmtId="3" fontId="3" fillId="0" borderId="0" xfId="0" applyNumberFormat="1" applyFont="1" applyAlignment="1">
      <alignment horizontal="center" vertical="center" wrapText="1" shrinkToFit="1"/>
    </xf>
    <xf numFmtId="3" fontId="17" fillId="0" borderId="0" xfId="0" applyNumberFormat="1" applyFont="1" applyAlignment="1">
      <alignment horizontal="center" vertical="center" wrapText="1" shrinkToFit="1"/>
    </xf>
    <xf numFmtId="3" fontId="23" fillId="0" borderId="0" xfId="0" applyNumberFormat="1" applyFont="1" applyAlignment="1">
      <alignment horizontal="center" vertical="center" wrapText="1" shrinkToFit="1"/>
    </xf>
    <xf numFmtId="9" fontId="17" fillId="0" borderId="0" xfId="2" applyFont="1" applyFill="1" applyAlignment="1">
      <alignment horizontal="center" vertical="center" wrapText="1" shrinkToFit="1"/>
    </xf>
    <xf numFmtId="0" fontId="28" fillId="7" borderId="0" xfId="0" applyFont="1" applyFill="1" applyAlignment="1">
      <alignment horizontal="center" vertical="center"/>
    </xf>
    <xf numFmtId="0" fontId="25" fillId="6" borderId="0" xfId="0" applyFont="1" applyFill="1" applyAlignment="1">
      <alignment horizontal="right" vertical="center"/>
    </xf>
    <xf numFmtId="0" fontId="25" fillId="6" borderId="0" xfId="0" applyFont="1" applyFill="1" applyAlignment="1">
      <alignment vertical="center"/>
    </xf>
    <xf numFmtId="0" fontId="28" fillId="7" borderId="0" xfId="0" applyFont="1" applyFill="1" applyAlignment="1">
      <alignment horizontal="left" vertical="center"/>
    </xf>
    <xf numFmtId="0" fontId="39" fillId="7" borderId="0" xfId="0" applyFont="1" applyFill="1" applyAlignment="1">
      <alignment horizontal="right" vertical="center"/>
    </xf>
    <xf numFmtId="0" fontId="39" fillId="7" borderId="0" xfId="0" applyFont="1" applyFill="1" applyAlignment="1">
      <alignment vertical="center"/>
    </xf>
    <xf numFmtId="190" fontId="40" fillId="7" borderId="0" xfId="0" applyNumberFormat="1" applyFont="1" applyFill="1" applyAlignment="1">
      <alignment horizontal="right" vertical="center"/>
    </xf>
    <xf numFmtId="0" fontId="41" fillId="7" borderId="0" xfId="0" applyFont="1" applyFill="1" applyAlignment="1">
      <alignment horizontal="center" vertical="center"/>
    </xf>
    <xf numFmtId="0" fontId="42" fillId="7" borderId="0" xfId="0" applyFont="1" applyFill="1" applyAlignment="1">
      <alignment horizontal="left" vertical="center"/>
    </xf>
    <xf numFmtId="0" fontId="33" fillId="7" borderId="0" xfId="0" applyFont="1" applyFill="1" applyAlignment="1">
      <alignment horizontal="center" vertical="center"/>
    </xf>
    <xf numFmtId="3" fontId="25" fillId="6" borderId="0" xfId="0" applyNumberFormat="1" applyFont="1" applyFill="1" applyAlignment="1">
      <alignment vertical="center"/>
    </xf>
    <xf numFmtId="10" fontId="44" fillId="3" borderId="6" xfId="2" applyNumberFormat="1" applyFont="1" applyFill="1" applyBorder="1" applyAlignment="1">
      <alignment horizontal="center" vertical="center" wrapText="1" shrinkToFit="1"/>
    </xf>
    <xf numFmtId="14" fontId="12" fillId="0" borderId="5" xfId="0" applyNumberFormat="1" applyFont="1" applyBorder="1" applyAlignment="1">
      <alignment horizontal="center" vertical="center" wrapText="1" shrinkToFit="1"/>
    </xf>
    <xf numFmtId="14" fontId="12" fillId="0" borderId="6" xfId="0" applyNumberFormat="1" applyFont="1" applyBorder="1" applyAlignment="1">
      <alignment horizontal="center" vertical="center" wrapText="1" shrinkToFit="1"/>
    </xf>
    <xf numFmtId="40" fontId="44" fillId="0" borderId="2" xfId="0" applyNumberFormat="1" applyFont="1" applyBorder="1" applyAlignment="1">
      <alignment horizontal="center" vertical="center" wrapText="1" shrinkToFit="1"/>
    </xf>
    <xf numFmtId="40" fontId="44" fillId="0" borderId="5" xfId="0" applyNumberFormat="1" applyFont="1" applyBorder="1" applyAlignment="1">
      <alignment horizontal="center" vertical="center" wrapText="1" shrinkToFit="1"/>
    </xf>
    <xf numFmtId="40" fontId="44" fillId="0" borderId="8" xfId="0" applyNumberFormat="1" applyFont="1" applyBorder="1" applyAlignment="1">
      <alignment horizontal="center" vertical="center" wrapText="1" shrinkToFit="1"/>
    </xf>
    <xf numFmtId="3" fontId="12" fillId="0" borderId="6" xfId="0" applyNumberFormat="1" applyFont="1" applyBorder="1" applyAlignment="1">
      <alignment horizontal="center" vertical="center" wrapText="1" shrinkToFit="1"/>
    </xf>
    <xf numFmtId="3" fontId="3" fillId="0" borderId="4" xfId="0" applyNumberFormat="1" applyFont="1" applyBorder="1" applyAlignment="1">
      <alignment horizontal="center" vertical="center" wrapText="1" shrinkToFit="1"/>
    </xf>
    <xf numFmtId="9" fontId="12" fillId="0" borderId="5" xfId="2" applyFont="1" applyFill="1" applyBorder="1" applyAlignment="1">
      <alignment horizontal="center" vertical="center" wrapText="1" shrinkToFit="1"/>
    </xf>
    <xf numFmtId="9" fontId="12" fillId="0" borderId="6" xfId="2" applyFont="1" applyFill="1" applyBorder="1" applyAlignment="1">
      <alignment horizontal="center" vertical="center" wrapText="1" shrinkToFit="1"/>
    </xf>
    <xf numFmtId="9" fontId="12" fillId="3" borderId="5" xfId="2" applyFont="1" applyFill="1" applyBorder="1" applyAlignment="1">
      <alignment horizontal="center" vertical="center" wrapText="1" shrinkToFit="1"/>
    </xf>
    <xf numFmtId="3" fontId="12" fillId="4" borderId="5" xfId="0" applyNumberFormat="1" applyFont="1" applyFill="1" applyBorder="1" applyAlignment="1">
      <alignment horizontal="center" vertical="center" wrapText="1" shrinkToFit="1"/>
    </xf>
    <xf numFmtId="3" fontId="12" fillId="4" borderId="6" xfId="0" applyNumberFormat="1" applyFont="1" applyFill="1" applyBorder="1" applyAlignment="1">
      <alignment horizontal="center" vertical="center" wrapText="1" shrinkToFit="1"/>
    </xf>
    <xf numFmtId="3" fontId="3" fillId="3" borderId="4" xfId="0" applyNumberFormat="1" applyFont="1" applyFill="1" applyBorder="1" applyAlignment="1">
      <alignment horizontal="center" vertical="center" wrapText="1" shrinkToFit="1"/>
    </xf>
    <xf numFmtId="3" fontId="3" fillId="3" borderId="5" xfId="0" applyNumberFormat="1" applyFont="1" applyFill="1" applyBorder="1" applyAlignment="1">
      <alignment horizontal="center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3" fontId="3" fillId="0" borderId="5" xfId="0" applyNumberFormat="1" applyFont="1" applyBorder="1" applyAlignment="1">
      <alignment horizontal="center" vertical="center" wrapText="1" shrinkToFit="1"/>
    </xf>
    <xf numFmtId="3" fontId="3" fillId="0" borderId="6" xfId="0" applyNumberFormat="1" applyFont="1" applyBorder="1" applyAlignment="1">
      <alignment horizontal="center" vertical="center" wrapText="1" shrinkToFit="1"/>
    </xf>
    <xf numFmtId="3" fontId="8" fillId="2" borderId="5" xfId="0" applyNumberFormat="1" applyFont="1" applyFill="1" applyBorder="1" applyAlignment="1">
      <alignment horizontal="center" vertical="center" wrapText="1" shrinkToFit="1"/>
    </xf>
    <xf numFmtId="3" fontId="8" fillId="2" borderId="6" xfId="0" applyNumberFormat="1" applyFont="1" applyFill="1" applyBorder="1" applyAlignment="1">
      <alignment horizontal="center" vertical="center" wrapText="1" shrinkToFit="1"/>
    </xf>
    <xf numFmtId="168" fontId="12" fillId="0" borderId="5" xfId="0" applyNumberFormat="1" applyFont="1" applyBorder="1" applyAlignment="1">
      <alignment horizontal="center" vertical="center" wrapText="1" shrinkToFit="1"/>
    </xf>
    <xf numFmtId="3" fontId="8" fillId="2" borderId="4" xfId="0" applyNumberFormat="1" applyFont="1" applyFill="1" applyBorder="1" applyAlignment="1">
      <alignment horizontal="center" vertical="center" wrapText="1" shrinkToFit="1"/>
    </xf>
    <xf numFmtId="3" fontId="12" fillId="0" borderId="5" xfId="0" applyNumberFormat="1" applyFont="1" applyBorder="1" applyAlignment="1">
      <alignment horizontal="center" vertical="center" wrapText="1" shrinkToFit="1"/>
    </xf>
    <xf numFmtId="3" fontId="12" fillId="3" borderId="5" xfId="0" applyNumberFormat="1" applyFont="1" applyFill="1" applyBorder="1" applyAlignment="1">
      <alignment horizontal="center" vertical="center" wrapText="1" shrinkToFit="1"/>
    </xf>
    <xf numFmtId="3" fontId="12" fillId="3" borderId="6" xfId="0" applyNumberFormat="1" applyFont="1" applyFill="1" applyBorder="1" applyAlignment="1">
      <alignment horizontal="center" vertical="center" wrapText="1" shrinkToFit="1"/>
    </xf>
    <xf numFmtId="0" fontId="8" fillId="2" borderId="4" xfId="0" applyFont="1" applyFill="1" applyBorder="1" applyAlignment="1">
      <alignment horizontal="center" vertical="center" wrapText="1" shrinkToFit="1"/>
    </xf>
    <xf numFmtId="0" fontId="8" fillId="2" borderId="5" xfId="0" applyFont="1" applyFill="1" applyBorder="1" applyAlignment="1">
      <alignment horizontal="center" vertical="center" wrapText="1" shrinkToFit="1"/>
    </xf>
    <xf numFmtId="3" fontId="3" fillId="3" borderId="7" xfId="0" applyNumberFormat="1" applyFont="1" applyFill="1" applyBorder="1" applyAlignment="1">
      <alignment horizontal="center" vertical="center" wrapText="1" shrinkToFit="1"/>
    </xf>
    <xf numFmtId="10" fontId="45" fillId="0" borderId="0" xfId="2" applyNumberFormat="1" applyFont="1" applyFill="1" applyBorder="1" applyAlignment="1">
      <alignment horizontal="center" vertical="center" wrapText="1" shrinkToFit="1"/>
    </xf>
    <xf numFmtId="168" fontId="45" fillId="0" borderId="5" xfId="0" applyNumberFormat="1" applyFont="1" applyBorder="1" applyAlignment="1">
      <alignment horizontal="center" vertical="center" wrapText="1" shrinkToFit="1"/>
    </xf>
    <xf numFmtId="168" fontId="45" fillId="3" borderId="5" xfId="0" applyNumberFormat="1" applyFont="1" applyFill="1" applyBorder="1" applyAlignment="1">
      <alignment horizontal="center" vertical="center" wrapText="1" shrinkToFit="1"/>
    </xf>
    <xf numFmtId="3" fontId="45" fillId="3" borderId="5" xfId="0" applyNumberFormat="1" applyFont="1" applyFill="1" applyBorder="1" applyAlignment="1">
      <alignment horizontal="center" vertical="center" wrapText="1" shrinkToFit="1"/>
    </xf>
    <xf numFmtId="4" fontId="45" fillId="4" borderId="6" xfId="0" applyNumberFormat="1" applyFont="1" applyFill="1" applyBorder="1" applyAlignment="1">
      <alignment horizontal="center" vertical="center" wrapText="1" shrinkToFit="1"/>
    </xf>
    <xf numFmtId="38" fontId="12" fillId="2" borderId="5" xfId="0" applyNumberFormat="1" applyFont="1" applyFill="1" applyBorder="1" applyAlignment="1">
      <alignment horizontal="center" vertical="center" wrapText="1" shrinkToFit="1"/>
    </xf>
    <xf numFmtId="3" fontId="12" fillId="2" borderId="5" xfId="0" applyNumberFormat="1" applyFont="1" applyFill="1" applyBorder="1" applyAlignment="1">
      <alignment horizontal="center" vertical="center" wrapText="1" shrinkToFit="1"/>
    </xf>
    <xf numFmtId="3" fontId="18" fillId="2" borderId="25" xfId="0" applyNumberFormat="1" applyFont="1" applyFill="1" applyBorder="1" applyAlignment="1">
      <alignment horizontal="center" vertical="center" wrapText="1" shrinkToFit="1"/>
    </xf>
    <xf numFmtId="38" fontId="12" fillId="3" borderId="16" xfId="0" applyNumberFormat="1" applyFont="1" applyFill="1" applyBorder="1" applyAlignment="1">
      <alignment horizontal="center" vertical="center" wrapText="1" shrinkToFit="1"/>
    </xf>
    <xf numFmtId="40" fontId="44" fillId="0" borderId="16" xfId="0" applyNumberFormat="1" applyFont="1" applyBorder="1" applyAlignment="1">
      <alignment horizontal="center" vertical="center" wrapText="1" shrinkToFit="1"/>
    </xf>
    <xf numFmtId="3" fontId="8" fillId="2" borderId="27" xfId="0" applyNumberFormat="1" applyFont="1" applyFill="1" applyBorder="1" applyAlignment="1">
      <alignment horizontal="center" vertical="center" wrapText="1" shrinkToFit="1" readingOrder="1"/>
    </xf>
    <xf numFmtId="38" fontId="12" fillId="3" borderId="24" xfId="0" applyNumberFormat="1" applyFont="1" applyFill="1" applyBorder="1" applyAlignment="1">
      <alignment horizontal="center" vertical="center" wrapText="1" shrinkToFit="1"/>
    </xf>
    <xf numFmtId="40" fontId="44" fillId="0" borderId="24" xfId="0" applyNumberFormat="1" applyFont="1" applyBorder="1" applyAlignment="1">
      <alignment horizontal="center" vertical="center" wrapText="1" shrinkToFit="1"/>
    </xf>
    <xf numFmtId="0" fontId="8" fillId="2" borderId="11" xfId="0" applyFont="1" applyFill="1" applyBorder="1" applyAlignment="1">
      <alignment horizontal="center" vertical="center" wrapText="1" shrinkToFit="1"/>
    </xf>
    <xf numFmtId="0" fontId="44" fillId="0" borderId="12" xfId="0" applyFont="1" applyBorder="1" applyAlignment="1">
      <alignment horizontal="center" vertical="center" wrapText="1" shrinkToFit="1"/>
    </xf>
    <xf numFmtId="3" fontId="46" fillId="3" borderId="3" xfId="0" applyNumberFormat="1" applyFont="1" applyFill="1" applyBorder="1" applyAlignment="1">
      <alignment horizontal="center" vertical="center" wrapText="1" shrinkToFit="1"/>
    </xf>
    <xf numFmtId="10" fontId="3" fillId="4" borderId="4" xfId="2" applyNumberFormat="1" applyFont="1" applyFill="1" applyBorder="1" applyAlignment="1">
      <alignment horizontal="center" vertical="center" wrapText="1" shrinkToFit="1"/>
    </xf>
    <xf numFmtId="10" fontId="6" fillId="3" borderId="17" xfId="2" applyNumberFormat="1" applyFont="1" applyFill="1" applyBorder="1" applyAlignment="1">
      <alignment horizontal="center" vertical="center" wrapText="1" shrinkToFit="1"/>
    </xf>
    <xf numFmtId="173" fontId="14" fillId="3" borderId="17" xfId="0" applyNumberFormat="1" applyFont="1" applyFill="1" applyBorder="1" applyAlignment="1">
      <alignment horizontal="center" vertical="center" wrapText="1" shrinkToFit="1"/>
    </xf>
    <xf numFmtId="173" fontId="14" fillId="3" borderId="15" xfId="0" applyNumberFormat="1" applyFont="1" applyFill="1" applyBorder="1" applyAlignment="1">
      <alignment horizontal="center" vertical="center" wrapText="1" shrinkToFit="1"/>
    </xf>
    <xf numFmtId="177" fontId="6" fillId="4" borderId="10" xfId="0" applyNumberFormat="1" applyFont="1" applyFill="1" applyBorder="1" applyAlignment="1">
      <alignment horizontal="center" vertical="center" wrapText="1" shrinkToFit="1"/>
    </xf>
    <xf numFmtId="40" fontId="12" fillId="3" borderId="12" xfId="0" applyNumberFormat="1" applyFont="1" applyFill="1" applyBorder="1" applyAlignment="1">
      <alignment horizontal="center" vertical="center" wrapText="1" shrinkToFit="1"/>
    </xf>
    <xf numFmtId="3" fontId="8" fillId="2" borderId="25" xfId="0" applyNumberFormat="1" applyFont="1" applyFill="1" applyBorder="1" applyAlignment="1">
      <alignment horizontal="center" vertical="center" wrapText="1" shrinkToFit="1" readingOrder="1"/>
    </xf>
    <xf numFmtId="3" fontId="8" fillId="2" borderId="1" xfId="0" applyNumberFormat="1" applyFont="1" applyFill="1" applyBorder="1" applyAlignment="1">
      <alignment horizontal="center" vertical="center" wrapText="1" shrinkToFit="1" readingOrder="1"/>
    </xf>
    <xf numFmtId="38" fontId="12" fillId="0" borderId="2" xfId="1" applyNumberFormat="1" applyFont="1" applyFill="1" applyBorder="1" applyAlignment="1">
      <alignment horizontal="center" vertical="center" wrapText="1" shrinkToFit="1"/>
    </xf>
    <xf numFmtId="38" fontId="12" fillId="0" borderId="3" xfId="1" applyNumberFormat="1" applyFont="1" applyFill="1" applyBorder="1" applyAlignment="1">
      <alignment horizontal="center" vertical="center" wrapText="1" shrinkToFit="1"/>
    </xf>
    <xf numFmtId="10" fontId="18" fillId="2" borderId="6" xfId="2" applyNumberFormat="1" applyFont="1" applyFill="1" applyBorder="1" applyAlignment="1">
      <alignment horizontal="center" vertical="center" wrapText="1" shrinkToFit="1"/>
    </xf>
    <xf numFmtId="38" fontId="12" fillId="0" borderId="12" xfId="1" applyNumberFormat="1" applyFont="1" applyFill="1" applyBorder="1" applyAlignment="1">
      <alignment horizontal="center" vertical="center" wrapText="1" shrinkToFit="1"/>
    </xf>
    <xf numFmtId="38" fontId="12" fillId="0" borderId="13" xfId="1" applyNumberFormat="1" applyFont="1" applyFill="1" applyBorder="1" applyAlignment="1">
      <alignment horizontal="center" vertical="center" wrapText="1" shrinkToFit="1"/>
    </xf>
    <xf numFmtId="38" fontId="12" fillId="2" borderId="6" xfId="0" applyNumberFormat="1" applyFont="1" applyFill="1" applyBorder="1" applyAlignment="1">
      <alignment horizontal="center" vertical="center" wrapText="1" shrinkToFit="1"/>
    </xf>
    <xf numFmtId="38" fontId="12" fillId="3" borderId="12" xfId="0" applyNumberFormat="1" applyFont="1" applyFill="1" applyBorder="1" applyAlignment="1">
      <alignment horizontal="center" vertical="center" wrapText="1" shrinkToFit="1"/>
    </xf>
    <xf numFmtId="3" fontId="16" fillId="3" borderId="6" xfId="0" applyNumberFormat="1" applyFont="1" applyFill="1" applyBorder="1" applyAlignment="1">
      <alignment horizontal="center" vertical="center" wrapText="1" shrinkToFit="1"/>
    </xf>
    <xf numFmtId="38" fontId="12" fillId="0" borderId="5" xfId="1" applyNumberFormat="1" applyFont="1" applyFill="1" applyBorder="1" applyAlignment="1">
      <alignment horizontal="center" vertical="center" wrapText="1" shrinkToFit="1"/>
    </xf>
    <xf numFmtId="38" fontId="12" fillId="0" borderId="6" xfId="1" applyNumberFormat="1" applyFont="1" applyFill="1" applyBorder="1" applyAlignment="1">
      <alignment horizontal="center" vertical="center" wrapText="1" shrinkToFit="1"/>
    </xf>
    <xf numFmtId="38" fontId="12" fillId="3" borderId="5" xfId="1" applyNumberFormat="1" applyFont="1" applyFill="1" applyBorder="1" applyAlignment="1">
      <alignment horizontal="center" vertical="center" wrapText="1" shrinkToFit="1"/>
    </xf>
    <xf numFmtId="38" fontId="12" fillId="3" borderId="6" xfId="1" applyNumberFormat="1" applyFont="1" applyFill="1" applyBorder="1" applyAlignment="1">
      <alignment horizontal="center" vertical="center" wrapText="1" shrinkToFit="1"/>
    </xf>
    <xf numFmtId="38" fontId="12" fillId="3" borderId="16" xfId="1" applyNumberFormat="1" applyFont="1" applyFill="1" applyBorder="1" applyAlignment="1">
      <alignment horizontal="center" vertical="center" wrapText="1" shrinkToFit="1"/>
    </xf>
    <xf numFmtId="38" fontId="12" fillId="3" borderId="24" xfId="1" applyNumberFormat="1" applyFont="1" applyFill="1" applyBorder="1" applyAlignment="1">
      <alignment horizontal="center" vertical="center" wrapText="1" shrinkToFit="1"/>
    </xf>
    <xf numFmtId="38" fontId="12" fillId="3" borderId="26" xfId="1" applyNumberFormat="1" applyFont="1" applyFill="1" applyBorder="1" applyAlignment="1">
      <alignment horizontal="center" vertical="center" wrapText="1" shrinkToFit="1"/>
    </xf>
    <xf numFmtId="38" fontId="12" fillId="3" borderId="28" xfId="1" applyNumberFormat="1" applyFont="1" applyFill="1" applyBorder="1" applyAlignment="1">
      <alignment horizontal="center" vertical="center" wrapText="1" shrinkToFit="1"/>
    </xf>
    <xf numFmtId="38" fontId="12" fillId="3" borderId="5" xfId="0" applyNumberFormat="1" applyFont="1" applyFill="1" applyBorder="1" applyAlignment="1">
      <alignment horizontal="center" vertical="center" wrapText="1" shrinkToFit="1"/>
    </xf>
    <xf numFmtId="38" fontId="12" fillId="3" borderId="8" xfId="0" applyNumberFormat="1" applyFont="1" applyFill="1" applyBorder="1" applyAlignment="1">
      <alignment horizontal="center" vertical="center" wrapText="1" shrinkToFit="1"/>
    </xf>
    <xf numFmtId="10" fontId="18" fillId="2" borderId="5" xfId="2" applyNumberFormat="1" applyFont="1" applyFill="1" applyBorder="1" applyAlignment="1">
      <alignment horizontal="center" vertical="center" wrapText="1" shrinkToFit="1"/>
    </xf>
    <xf numFmtId="38" fontId="12" fillId="6" borderId="0" xfId="1" applyNumberFormat="1" applyFont="1" applyFill="1" applyBorder="1" applyAlignment="1">
      <alignment vertical="center" wrapText="1" shrinkToFit="1"/>
    </xf>
    <xf numFmtId="38" fontId="12" fillId="6" borderId="29" xfId="1" applyNumberFormat="1" applyFont="1" applyFill="1" applyBorder="1" applyAlignment="1">
      <alignment vertical="center" wrapText="1" shrinkToFit="1"/>
    </xf>
    <xf numFmtId="3" fontId="16" fillId="0" borderId="5" xfId="0" applyNumberFormat="1" applyFont="1" applyBorder="1" applyAlignment="1">
      <alignment horizontal="center" vertical="center" wrapText="1" shrinkToFit="1"/>
    </xf>
    <xf numFmtId="3" fontId="16" fillId="2" borderId="8" xfId="0" applyNumberFormat="1" applyFont="1" applyFill="1" applyBorder="1" applyAlignment="1">
      <alignment horizontal="center" vertical="center" wrapText="1" shrinkToFit="1"/>
    </xf>
    <xf numFmtId="3" fontId="47" fillId="0" borderId="6" xfId="0" applyNumberFormat="1" applyFont="1" applyBorder="1" applyAlignment="1">
      <alignment horizontal="center" vertical="center" wrapText="1" shrinkToFit="1"/>
    </xf>
    <xf numFmtId="3" fontId="47" fillId="3" borderId="6" xfId="0" applyNumberFormat="1" applyFont="1" applyFill="1" applyBorder="1" applyAlignment="1">
      <alignment horizontal="center" vertical="center" wrapText="1" shrinkToFit="1"/>
    </xf>
    <xf numFmtId="3" fontId="47" fillId="2" borderId="9" xfId="0" applyNumberFormat="1" applyFont="1" applyFill="1" applyBorder="1" applyAlignment="1">
      <alignment horizontal="center" vertical="center" wrapText="1" shrinkToFit="1"/>
    </xf>
    <xf numFmtId="3" fontId="16" fillId="0" borderId="6" xfId="0" applyNumberFormat="1" applyFont="1" applyBorder="1" applyAlignment="1">
      <alignment horizontal="center" vertical="center" wrapText="1" shrinkToFit="1"/>
    </xf>
    <xf numFmtId="171" fontId="16" fillId="2" borderId="8" xfId="0" applyNumberFormat="1" applyFont="1" applyFill="1" applyBorder="1" applyAlignment="1">
      <alignment horizontal="center" vertical="center" wrapText="1" shrinkToFit="1"/>
    </xf>
    <xf numFmtId="3" fontId="16" fillId="2" borderId="9" xfId="0" applyNumberFormat="1" applyFont="1" applyFill="1" applyBorder="1" applyAlignment="1">
      <alignment horizontal="center" vertical="center" wrapText="1" shrinkToFit="1"/>
    </xf>
    <xf numFmtId="3" fontId="49" fillId="3" borderId="3" xfId="0" applyNumberFormat="1" applyFont="1" applyFill="1" applyBorder="1" applyAlignment="1">
      <alignment horizontal="center" vertical="center" wrapText="1" shrinkToFit="1"/>
    </xf>
    <xf numFmtId="38" fontId="49" fillId="3" borderId="9" xfId="0" applyNumberFormat="1" applyFont="1" applyFill="1" applyBorder="1" applyAlignment="1">
      <alignment horizontal="center" vertical="center" wrapText="1" shrinkToFit="1"/>
    </xf>
    <xf numFmtId="3" fontId="17" fillId="0" borderId="0" xfId="0" applyNumberFormat="1" applyFont="1" applyAlignment="1">
      <alignment vertical="center" wrapText="1" shrinkToFit="1"/>
    </xf>
    <xf numFmtId="179" fontId="48" fillId="0" borderId="5" xfId="2" applyNumberFormat="1" applyFont="1" applyFill="1" applyBorder="1" applyAlignment="1">
      <alignment horizontal="center" vertical="center" wrapText="1" shrinkToFit="1"/>
    </xf>
    <xf numFmtId="38" fontId="48" fillId="3" borderId="1" xfId="0" applyNumberFormat="1" applyFont="1" applyFill="1" applyBorder="1" applyAlignment="1">
      <alignment horizontal="center" vertical="center" wrapText="1" shrinkToFit="1"/>
    </xf>
    <xf numFmtId="3" fontId="48" fillId="3" borderId="7" xfId="0" applyNumberFormat="1" applyFont="1" applyFill="1" applyBorder="1" applyAlignment="1">
      <alignment horizontal="center" vertical="center" wrapText="1" shrinkToFit="1"/>
    </xf>
    <xf numFmtId="3" fontId="12" fillId="3" borderId="5" xfId="2" applyNumberFormat="1" applyFont="1" applyFill="1" applyBorder="1" applyAlignment="1">
      <alignment horizontal="center" vertical="center" wrapText="1" shrinkToFit="1"/>
    </xf>
    <xf numFmtId="196" fontId="14" fillId="4" borderId="5" xfId="2" applyNumberFormat="1" applyFont="1" applyFill="1" applyBorder="1" applyAlignment="1">
      <alignment horizontal="center" vertical="center" wrapText="1" shrinkToFit="1"/>
    </xf>
    <xf numFmtId="3" fontId="12" fillId="0" borderId="5" xfId="0" applyNumberFormat="1" applyFont="1" applyBorder="1" applyAlignment="1">
      <alignment horizontal="centerContinuous" vertical="center" wrapText="1" shrinkToFit="1"/>
    </xf>
    <xf numFmtId="3" fontId="3" fillId="0" borderId="5" xfId="0" applyNumberFormat="1" applyFont="1" applyBorder="1" applyAlignment="1">
      <alignment horizontal="centerContinuous" vertical="center" wrapText="1" shrinkToFit="1"/>
    </xf>
    <xf numFmtId="3" fontId="3" fillId="0" borderId="6" xfId="0" applyNumberFormat="1" applyFont="1" applyBorder="1" applyAlignment="1">
      <alignment horizontal="centerContinuous" vertical="center" wrapText="1" shrinkToFit="1"/>
    </xf>
    <xf numFmtId="165" fontId="6" fillId="4" borderId="15" xfId="2" applyNumberFormat="1" applyFont="1" applyFill="1" applyBorder="1" applyAlignment="1">
      <alignment horizontal="center" vertical="center" wrapText="1" shrinkToFit="1"/>
    </xf>
    <xf numFmtId="0" fontId="26" fillId="6" borderId="0" xfId="0" applyFont="1" applyFill="1" applyAlignment="1">
      <alignment vertical="center"/>
    </xf>
    <xf numFmtId="3" fontId="26" fillId="6" borderId="0" xfId="0" applyNumberFormat="1" applyFont="1" applyFill="1" applyAlignment="1">
      <alignment vertical="center"/>
    </xf>
    <xf numFmtId="0" fontId="26" fillId="6" borderId="0" xfId="0" applyFont="1" applyFill="1" applyAlignment="1">
      <alignment horizontal="center" vertical="center"/>
    </xf>
    <xf numFmtId="3" fontId="26" fillId="6" borderId="0" xfId="0" applyNumberFormat="1" applyFont="1" applyFill="1" applyAlignment="1">
      <alignment horizontal="center" vertical="center"/>
    </xf>
    <xf numFmtId="38" fontId="26" fillId="6" borderId="0" xfId="0" applyNumberFormat="1" applyFont="1" applyFill="1" applyAlignment="1">
      <alignment horizontal="center" vertical="center"/>
    </xf>
    <xf numFmtId="3" fontId="3" fillId="2" borderId="8" xfId="0" applyNumberFormat="1" applyFont="1" applyFill="1" applyBorder="1" applyAlignment="1">
      <alignment horizontal="center" vertical="center" wrapText="1" shrinkToFit="1"/>
    </xf>
    <xf numFmtId="10" fontId="12" fillId="0" borderId="5" xfId="0" applyNumberFormat="1" applyFont="1" applyBorder="1" applyAlignment="1">
      <alignment horizontal="center" vertical="center" wrapText="1" shrinkToFit="1"/>
    </xf>
    <xf numFmtId="3" fontId="14" fillId="3" borderId="4" xfId="0" applyNumberFormat="1" applyFont="1" applyFill="1" applyBorder="1" applyAlignment="1">
      <alignment horizontal="center" vertical="center" wrapText="1" shrinkToFit="1"/>
    </xf>
    <xf numFmtId="3" fontId="14" fillId="2" borderId="7" xfId="0" applyNumberFormat="1" applyFont="1" applyFill="1" applyBorder="1" applyAlignment="1">
      <alignment horizontal="center" vertical="center" wrapText="1" shrinkToFit="1"/>
    </xf>
    <xf numFmtId="3" fontId="52" fillId="0" borderId="5" xfId="0" applyNumberFormat="1" applyFont="1" applyBorder="1" applyAlignment="1">
      <alignment horizontal="center" vertical="center" wrapText="1" shrinkToFit="1"/>
    </xf>
    <xf numFmtId="3" fontId="52" fillId="3" borderId="5" xfId="0" applyNumberFormat="1" applyFont="1" applyFill="1" applyBorder="1" applyAlignment="1">
      <alignment horizontal="center" vertical="center" wrapText="1" shrinkToFit="1"/>
    </xf>
    <xf numFmtId="186" fontId="52" fillId="2" borderId="8" xfId="0" applyNumberFormat="1" applyFont="1" applyFill="1" applyBorder="1" applyAlignment="1">
      <alignment horizontal="center" vertical="center" wrapText="1" shrinkToFit="1"/>
    </xf>
    <xf numFmtId="10" fontId="5" fillId="2" borderId="5" xfId="2" applyNumberFormat="1" applyFont="1" applyFill="1" applyBorder="1" applyAlignment="1">
      <alignment horizontal="center" vertical="center" wrapText="1" shrinkToFit="1"/>
    </xf>
    <xf numFmtId="40" fontId="12" fillId="3" borderId="4" xfId="0" applyNumberFormat="1" applyFont="1" applyFill="1" applyBorder="1" applyAlignment="1">
      <alignment horizontal="center" vertical="center" wrapText="1" shrinkToFit="1"/>
    </xf>
    <xf numFmtId="3" fontId="12" fillId="4" borderId="9" xfId="0" applyNumberFormat="1" applyFont="1" applyFill="1" applyBorder="1" applyAlignment="1">
      <alignment horizontal="center" vertical="center" wrapText="1" shrinkToFit="1"/>
    </xf>
    <xf numFmtId="3" fontId="8" fillId="2" borderId="1" xfId="0" applyNumberFormat="1" applyFont="1" applyFill="1" applyBorder="1" applyAlignment="1">
      <alignment horizontal="center" vertical="center" wrapText="1" shrinkToFit="1"/>
    </xf>
    <xf numFmtId="38" fontId="9" fillId="3" borderId="2" xfId="0" applyNumberFormat="1" applyFont="1" applyFill="1" applyBorder="1" applyAlignment="1">
      <alignment horizontal="center" vertical="center" wrapText="1" shrinkToFit="1"/>
    </xf>
    <xf numFmtId="38" fontId="12" fillId="4" borderId="2" xfId="1" applyNumberFormat="1" applyFont="1" applyFill="1" applyBorder="1" applyAlignment="1">
      <alignment horizontal="center" vertical="center" wrapText="1" shrinkToFit="1"/>
    </xf>
    <xf numFmtId="38" fontId="12" fillId="4" borderId="3" xfId="1" applyNumberFormat="1" applyFont="1" applyFill="1" applyBorder="1" applyAlignment="1">
      <alignment horizontal="center" vertical="center" wrapText="1" shrinkToFit="1"/>
    </xf>
    <xf numFmtId="3" fontId="12" fillId="2" borderId="4" xfId="0" applyNumberFormat="1" applyFont="1" applyFill="1" applyBorder="1" applyAlignment="1">
      <alignment horizontal="center" vertical="center" wrapText="1" shrinkToFit="1"/>
    </xf>
    <xf numFmtId="38" fontId="12" fillId="6" borderId="33" xfId="1" applyNumberFormat="1" applyFont="1" applyFill="1" applyBorder="1" applyAlignment="1">
      <alignment vertical="center" wrapText="1" shrinkToFit="1"/>
    </xf>
    <xf numFmtId="38" fontId="12" fillId="6" borderId="35" xfId="1" applyNumberFormat="1" applyFont="1" applyFill="1" applyBorder="1" applyAlignment="1">
      <alignment vertical="center" wrapText="1" shrinkToFit="1"/>
    </xf>
    <xf numFmtId="38" fontId="12" fillId="6" borderId="36" xfId="1" applyNumberFormat="1" applyFont="1" applyFill="1" applyBorder="1" applyAlignment="1">
      <alignment vertical="center" wrapText="1" shrinkToFit="1"/>
    </xf>
    <xf numFmtId="38" fontId="12" fillId="6" borderId="31" xfId="1" applyNumberFormat="1" applyFont="1" applyFill="1" applyBorder="1" applyAlignment="1">
      <alignment vertical="center" wrapText="1" shrinkToFit="1"/>
    </xf>
    <xf numFmtId="38" fontId="12" fillId="6" borderId="32" xfId="1" applyNumberFormat="1" applyFont="1" applyFill="1" applyBorder="1" applyAlignment="1">
      <alignment vertical="center" wrapText="1" shrinkToFit="1"/>
    </xf>
    <xf numFmtId="38" fontId="12" fillId="6" borderId="37" xfId="1" applyNumberFormat="1" applyFont="1" applyFill="1" applyBorder="1" applyAlignment="1">
      <alignment vertical="center" wrapText="1" shrinkToFit="1"/>
    </xf>
    <xf numFmtId="3" fontId="12" fillId="0" borderId="38" xfId="0" applyNumberFormat="1" applyFont="1" applyBorder="1" applyAlignment="1">
      <alignment horizontal="right" vertical="center" wrapText="1" shrinkToFit="1"/>
    </xf>
    <xf numFmtId="38" fontId="12" fillId="0" borderId="39" xfId="0" applyNumberFormat="1" applyFont="1" applyBorder="1" applyAlignment="1">
      <alignment horizontal="center" vertical="center" wrapText="1" shrinkToFit="1"/>
    </xf>
    <xf numFmtId="3" fontId="12" fillId="0" borderId="39" xfId="0" applyNumberFormat="1" applyFont="1" applyBorder="1" applyAlignment="1">
      <alignment horizontal="center" vertical="center" wrapText="1" shrinkToFit="1"/>
    </xf>
    <xf numFmtId="38" fontId="12" fillId="0" borderId="40" xfId="0" applyNumberFormat="1" applyFont="1" applyBorder="1" applyAlignment="1">
      <alignment horizontal="center" vertical="center" wrapText="1" shrinkToFit="1"/>
    </xf>
    <xf numFmtId="4" fontId="49" fillId="2" borderId="5" xfId="0" applyNumberFormat="1" applyFont="1" applyFill="1" applyBorder="1" applyAlignment="1">
      <alignment horizontal="center" vertical="center" wrapText="1" shrinkToFit="1"/>
    </xf>
    <xf numFmtId="3" fontId="48" fillId="2" borderId="9" xfId="0" applyNumberFormat="1" applyFont="1" applyFill="1" applyBorder="1" applyAlignment="1">
      <alignment horizontal="center" vertical="center" wrapText="1" shrinkToFit="1"/>
    </xf>
    <xf numFmtId="3" fontId="12" fillId="0" borderId="0" xfId="2" applyNumberFormat="1" applyFont="1" applyFill="1" applyAlignment="1">
      <alignment horizontal="center" vertical="center" wrapText="1" shrinkToFit="1"/>
    </xf>
    <xf numFmtId="9" fontId="3" fillId="0" borderId="6" xfId="2" applyFont="1" applyBorder="1" applyAlignment="1">
      <alignment horizontal="center" vertical="center" wrapText="1" shrinkToFit="1"/>
    </xf>
    <xf numFmtId="3" fontId="6" fillId="0" borderId="4" xfId="0" applyNumberFormat="1" applyFont="1" applyBorder="1" applyAlignment="1">
      <alignment horizontal="center" vertical="center" wrapText="1" shrinkToFit="1"/>
    </xf>
    <xf numFmtId="3" fontId="7" fillId="2" borderId="1" xfId="0" applyNumberFormat="1" applyFont="1" applyFill="1" applyBorder="1" applyAlignment="1">
      <alignment horizontal="centerContinuous" vertical="center" wrapText="1" shrinkToFit="1"/>
    </xf>
    <xf numFmtId="3" fontId="7" fillId="2" borderId="2" xfId="0" applyNumberFormat="1" applyFont="1" applyFill="1" applyBorder="1" applyAlignment="1">
      <alignment horizontal="centerContinuous" vertical="center" wrapText="1" shrinkToFit="1"/>
    </xf>
    <xf numFmtId="3" fontId="7" fillId="2" borderId="3" xfId="0" applyNumberFormat="1" applyFont="1" applyFill="1" applyBorder="1" applyAlignment="1">
      <alignment horizontal="centerContinuous" vertical="center" wrapText="1" shrinkToFit="1"/>
    </xf>
    <xf numFmtId="3" fontId="47" fillId="0" borderId="9" xfId="0" applyNumberFormat="1" applyFont="1" applyBorder="1" applyAlignment="1">
      <alignment horizontal="center" vertical="center" wrapText="1" shrinkToFit="1"/>
    </xf>
    <xf numFmtId="3" fontId="6" fillId="3" borderId="6" xfId="0" applyNumberFormat="1" applyFont="1" applyFill="1" applyBorder="1" applyAlignment="1">
      <alignment horizontal="center" vertical="center" wrapText="1" shrinkToFit="1"/>
    </xf>
    <xf numFmtId="3" fontId="3" fillId="0" borderId="7" xfId="0" applyNumberFormat="1" applyFont="1" applyBorder="1" applyAlignment="1">
      <alignment horizontal="center" vertical="center" wrapText="1" shrinkToFit="1"/>
    </xf>
    <xf numFmtId="38" fontId="16" fillId="3" borderId="5" xfId="0" applyNumberFormat="1" applyFont="1" applyFill="1" applyBorder="1" applyAlignment="1">
      <alignment horizontal="center" vertical="center" wrapText="1" shrinkToFit="1"/>
    </xf>
    <xf numFmtId="3" fontId="14" fillId="3" borderId="5" xfId="0" applyNumberFormat="1" applyFont="1" applyFill="1" applyBorder="1" applyAlignment="1">
      <alignment horizontal="center" vertical="center" wrapText="1" shrinkToFit="1"/>
    </xf>
    <xf numFmtId="3" fontId="14" fillId="0" borderId="5" xfId="0" applyNumberFormat="1" applyFont="1" applyBorder="1" applyAlignment="1">
      <alignment horizontal="center" vertical="center" wrapText="1" shrinkToFit="1"/>
    </xf>
    <xf numFmtId="167" fontId="3" fillId="0" borderId="6" xfId="0" applyNumberFormat="1" applyFont="1" applyBorder="1" applyAlignment="1">
      <alignment horizontal="center" vertical="center" shrinkToFit="1"/>
    </xf>
    <xf numFmtId="199" fontId="6" fillId="4" borderId="10" xfId="2" applyNumberFormat="1" applyFont="1" applyFill="1" applyBorder="1" applyAlignment="1">
      <alignment horizontal="center" vertical="center" wrapText="1" shrinkToFit="1"/>
    </xf>
    <xf numFmtId="3" fontId="14" fillId="2" borderId="8" xfId="0" applyNumberFormat="1" applyFont="1" applyFill="1" applyBorder="1" applyAlignment="1">
      <alignment horizontal="center" vertical="center" wrapText="1" shrinkToFit="1"/>
    </xf>
    <xf numFmtId="38" fontId="12" fillId="0" borderId="34" xfId="1" applyNumberFormat="1" applyFont="1" applyFill="1" applyBorder="1" applyAlignment="1">
      <alignment vertical="center" wrapText="1" shrinkToFit="1"/>
    </xf>
    <xf numFmtId="38" fontId="44" fillId="0" borderId="2" xfId="0" applyNumberFormat="1" applyFont="1" applyBorder="1" applyAlignment="1">
      <alignment horizontal="center" vertical="center" wrapText="1" shrinkToFit="1"/>
    </xf>
    <xf numFmtId="38" fontId="48" fillId="0" borderId="39" xfId="0" applyNumberFormat="1" applyFont="1" applyBorder="1" applyAlignment="1">
      <alignment horizontal="center" vertical="center" wrapText="1" shrinkToFit="1"/>
    </xf>
    <xf numFmtId="4" fontId="12" fillId="3" borderId="5" xfId="0" applyNumberFormat="1" applyFont="1" applyFill="1" applyBorder="1" applyAlignment="1">
      <alignment horizontal="center" vertical="center" wrapText="1" shrinkToFit="1"/>
    </xf>
    <xf numFmtId="185" fontId="3" fillId="2" borderId="8" xfId="2" applyNumberFormat="1" applyFont="1" applyFill="1" applyBorder="1" applyAlignment="1">
      <alignment horizontal="center" vertical="center" wrapText="1" shrinkToFit="1"/>
    </xf>
    <xf numFmtId="201" fontId="3" fillId="2" borderId="8" xfId="0" applyNumberFormat="1" applyFont="1" applyFill="1" applyBorder="1" applyAlignment="1">
      <alignment horizontal="center" vertical="center" wrapText="1" shrinkToFit="1"/>
    </xf>
    <xf numFmtId="200" fontId="12" fillId="3" borderId="5" xfId="2" applyNumberFormat="1" applyFont="1" applyFill="1" applyBorder="1" applyAlignment="1">
      <alignment horizontal="center" vertical="center" wrapText="1" shrinkToFit="1"/>
    </xf>
    <xf numFmtId="202" fontId="4" fillId="4" borderId="10" xfId="2" applyNumberFormat="1" applyFont="1" applyFill="1" applyBorder="1" applyAlignment="1">
      <alignment horizontal="center" vertical="center" wrapText="1" shrinkToFit="1"/>
    </xf>
    <xf numFmtId="203" fontId="14" fillId="4" borderId="5" xfId="2" applyNumberFormat="1" applyFont="1" applyFill="1" applyBorder="1" applyAlignment="1">
      <alignment horizontal="center" vertical="center" wrapText="1" shrinkToFit="1"/>
    </xf>
    <xf numFmtId="3" fontId="47" fillId="3" borderId="5" xfId="0" applyNumberFormat="1" applyFont="1" applyFill="1" applyBorder="1" applyAlignment="1">
      <alignment horizontal="center" vertical="center" wrapText="1" shrinkToFit="1"/>
    </xf>
    <xf numFmtId="204" fontId="12" fillId="3" borderId="5" xfId="2" applyNumberFormat="1" applyFont="1" applyFill="1" applyBorder="1" applyAlignment="1">
      <alignment horizontal="center" vertical="center" wrapText="1" shrinkToFit="1"/>
    </xf>
    <xf numFmtId="10" fontId="3" fillId="2" borderId="8" xfId="2" applyNumberFormat="1" applyFont="1" applyFill="1" applyBorder="1" applyAlignment="1">
      <alignment horizontal="center" vertical="center" wrapText="1" shrinkToFit="1"/>
    </xf>
    <xf numFmtId="3" fontId="47" fillId="0" borderId="5" xfId="0" applyNumberFormat="1" applyFont="1" applyBorder="1" applyAlignment="1">
      <alignment horizontal="center" vertical="center" wrapText="1" shrinkToFit="1"/>
    </xf>
    <xf numFmtId="170" fontId="12" fillId="0" borderId="4" xfId="0" applyNumberFormat="1" applyFont="1" applyBorder="1" applyAlignment="1">
      <alignment horizontal="center" vertical="center" wrapText="1" shrinkToFit="1"/>
    </xf>
    <xf numFmtId="170" fontId="12" fillId="0" borderId="5" xfId="0" applyNumberFormat="1" applyFont="1" applyBorder="1" applyAlignment="1">
      <alignment horizontal="center" vertical="center" wrapText="1" shrinkToFit="1"/>
    </xf>
    <xf numFmtId="197" fontId="3" fillId="0" borderId="17" xfId="2" applyNumberFormat="1" applyFont="1" applyFill="1" applyBorder="1" applyAlignment="1">
      <alignment horizontal="center" vertical="center" wrapText="1" shrinkToFit="1"/>
    </xf>
    <xf numFmtId="197" fontId="3" fillId="3" borderId="14" xfId="2" applyNumberFormat="1" applyFont="1" applyFill="1" applyBorder="1" applyAlignment="1">
      <alignment horizontal="center" vertical="center" wrapText="1" shrinkToFit="1"/>
    </xf>
    <xf numFmtId="197" fontId="3" fillId="3" borderId="17" xfId="2" applyNumberFormat="1" applyFont="1" applyFill="1" applyBorder="1" applyAlignment="1">
      <alignment horizontal="center" vertical="center" wrapText="1" shrinkToFit="1"/>
    </xf>
    <xf numFmtId="198" fontId="3" fillId="3" borderId="17" xfId="2" applyNumberFormat="1" applyFont="1" applyFill="1" applyBorder="1" applyAlignment="1">
      <alignment horizontal="center" vertical="center" wrapText="1" shrinkToFit="1"/>
    </xf>
    <xf numFmtId="173" fontId="12" fillId="0" borderId="6" xfId="0" applyNumberFormat="1" applyFont="1" applyBorder="1" applyAlignment="1">
      <alignment horizontal="center" vertical="center" wrapText="1" shrinkToFit="1"/>
    </xf>
    <xf numFmtId="173" fontId="12" fillId="3" borderId="6" xfId="0" applyNumberFormat="1" applyFont="1" applyFill="1" applyBorder="1" applyAlignment="1">
      <alignment horizontal="center" vertical="center" wrapText="1" shrinkToFit="1"/>
    </xf>
    <xf numFmtId="185" fontId="12" fillId="2" borderId="8" xfId="0" applyNumberFormat="1" applyFont="1" applyFill="1" applyBorder="1" applyAlignment="1">
      <alignment horizontal="center" vertical="center" wrapText="1" shrinkToFit="1"/>
    </xf>
    <xf numFmtId="10" fontId="49" fillId="0" borderId="5" xfId="2" applyNumberFormat="1" applyFont="1" applyFill="1" applyBorder="1" applyAlignment="1">
      <alignment horizontal="center" vertical="center" wrapText="1" shrinkToFit="1"/>
    </xf>
    <xf numFmtId="10" fontId="49" fillId="3" borderId="5" xfId="2" applyNumberFormat="1" applyFont="1" applyFill="1" applyBorder="1" applyAlignment="1">
      <alignment horizontal="center" vertical="center" wrapText="1" shrinkToFit="1"/>
    </xf>
    <xf numFmtId="176" fontId="49" fillId="0" borderId="5" xfId="2" applyNumberFormat="1" applyFont="1" applyFill="1" applyBorder="1" applyAlignment="1">
      <alignment horizontal="center" vertical="center" wrapText="1" shrinkToFit="1"/>
    </xf>
    <xf numFmtId="3" fontId="18" fillId="2" borderId="5" xfId="0" applyNumberFormat="1" applyFont="1" applyFill="1" applyBorder="1" applyAlignment="1">
      <alignment horizontal="center" vertical="center" wrapText="1" shrinkToFit="1" readingOrder="1"/>
    </xf>
    <xf numFmtId="10" fontId="6" fillId="0" borderId="5" xfId="2" applyNumberFormat="1" applyFont="1" applyBorder="1" applyAlignment="1">
      <alignment horizontal="center" vertical="center" wrapText="1" shrinkToFit="1"/>
    </xf>
    <xf numFmtId="3" fontId="14" fillId="4" borderId="5" xfId="2" applyNumberFormat="1" applyFont="1" applyFill="1" applyBorder="1" applyAlignment="1">
      <alignment horizontal="center" vertical="center" wrapText="1" shrinkToFit="1"/>
    </xf>
    <xf numFmtId="3" fontId="49" fillId="0" borderId="5" xfId="0" applyNumberFormat="1" applyFont="1" applyBorder="1" applyAlignment="1">
      <alignment horizontal="center" vertical="center" wrapText="1" shrinkToFit="1"/>
    </xf>
    <xf numFmtId="38" fontId="48" fillId="0" borderId="5" xfId="0" applyNumberFormat="1" applyFont="1" applyBorder="1" applyAlignment="1">
      <alignment horizontal="center" vertical="center" wrapText="1" shrinkToFit="1"/>
    </xf>
    <xf numFmtId="10" fontId="48" fillId="0" borderId="6" xfId="2" applyNumberFormat="1" applyFont="1" applyFill="1" applyBorder="1" applyAlignment="1">
      <alignment horizontal="center" vertical="center" wrapText="1" shrinkToFit="1"/>
    </xf>
    <xf numFmtId="10" fontId="14" fillId="3" borderId="5" xfId="2" applyNumberFormat="1" applyFont="1" applyFill="1" applyBorder="1" applyAlignment="1">
      <alignment horizontal="center" vertical="center" wrapText="1" shrinkToFit="1"/>
    </xf>
    <xf numFmtId="3" fontId="49" fillId="3" borderId="5" xfId="0" applyNumberFormat="1" applyFont="1" applyFill="1" applyBorder="1" applyAlignment="1">
      <alignment horizontal="center" vertical="center" wrapText="1" shrinkToFit="1"/>
    </xf>
    <xf numFmtId="10" fontId="48" fillId="3" borderId="6" xfId="2" applyNumberFormat="1" applyFont="1" applyFill="1" applyBorder="1" applyAlignment="1">
      <alignment horizontal="center" vertical="center" wrapText="1" shrinkToFit="1"/>
    </xf>
    <xf numFmtId="10" fontId="48" fillId="0" borderId="6" xfId="2" applyNumberFormat="1" applyFont="1" applyBorder="1" applyAlignment="1">
      <alignment horizontal="center" vertical="center" wrapText="1" shrinkToFit="1"/>
    </xf>
    <xf numFmtId="3" fontId="49" fillId="2" borderId="8" xfId="0" applyNumberFormat="1" applyFont="1" applyFill="1" applyBorder="1" applyAlignment="1">
      <alignment horizontal="center" vertical="center" wrapText="1" shrinkToFit="1"/>
    </xf>
    <xf numFmtId="182" fontId="49" fillId="2" borderId="8" xfId="0" applyNumberFormat="1" applyFont="1" applyFill="1" applyBorder="1" applyAlignment="1">
      <alignment horizontal="center" vertical="center" wrapText="1" shrinkToFit="1"/>
    </xf>
    <xf numFmtId="9" fontId="49" fillId="2" borderId="8" xfId="2" applyFont="1" applyFill="1" applyBorder="1" applyAlignment="1">
      <alignment horizontal="center" vertical="center" wrapText="1" shrinkToFit="1"/>
    </xf>
    <xf numFmtId="182" fontId="48" fillId="2" borderId="8" xfId="0" applyNumberFormat="1" applyFont="1" applyFill="1" applyBorder="1" applyAlignment="1">
      <alignment horizontal="center" vertical="center" wrapText="1" shrinkToFit="1"/>
    </xf>
    <xf numFmtId="3" fontId="48" fillId="2" borderId="8" xfId="0" applyNumberFormat="1" applyFont="1" applyFill="1" applyBorder="1" applyAlignment="1">
      <alignment horizontal="center" vertical="center" wrapText="1" shrinkToFit="1"/>
    </xf>
    <xf numFmtId="184" fontId="48" fillId="2" borderId="9" xfId="2" applyNumberFormat="1" applyFont="1" applyFill="1" applyBorder="1" applyAlignment="1">
      <alignment horizontal="center" vertical="center" wrapText="1" shrinkToFit="1"/>
    </xf>
    <xf numFmtId="10" fontId="54" fillId="0" borderId="5" xfId="2" applyNumberFormat="1" applyFont="1" applyBorder="1" applyAlignment="1">
      <alignment horizontal="center" vertical="center" wrapText="1" shrinkToFit="1" readingOrder="2"/>
    </xf>
    <xf numFmtId="10" fontId="15" fillId="3" borderId="5" xfId="2" applyNumberFormat="1" applyFont="1" applyFill="1" applyBorder="1" applyAlignment="1">
      <alignment horizontal="center" vertical="center" wrapText="1" shrinkToFit="1"/>
    </xf>
    <xf numFmtId="9" fontId="6" fillId="2" borderId="8" xfId="2" applyFont="1" applyFill="1" applyBorder="1" applyAlignment="1">
      <alignment horizontal="center" vertical="center" wrapText="1" shrinkToFit="1"/>
    </xf>
    <xf numFmtId="207" fontId="6" fillId="2" borderId="8" xfId="0" applyNumberFormat="1" applyFont="1" applyFill="1" applyBorder="1" applyAlignment="1">
      <alignment horizontal="center" vertical="center" wrapText="1" shrinkToFit="1"/>
    </xf>
    <xf numFmtId="38" fontId="48" fillId="3" borderId="5" xfId="0" applyNumberFormat="1" applyFont="1" applyFill="1" applyBorder="1" applyAlignment="1">
      <alignment horizontal="center" vertical="center" wrapText="1" shrinkToFit="1"/>
    </xf>
    <xf numFmtId="3" fontId="14" fillId="0" borderId="5" xfId="2" applyNumberFormat="1" applyFont="1" applyFill="1" applyBorder="1" applyAlignment="1">
      <alignment horizontal="center" vertical="center" wrapText="1" shrinkToFit="1"/>
    </xf>
    <xf numFmtId="3" fontId="48" fillId="0" borderId="5" xfId="0" applyNumberFormat="1" applyFont="1" applyBorder="1" applyAlignment="1">
      <alignment horizontal="center" vertical="center" wrapText="1" shrinkToFit="1"/>
    </xf>
    <xf numFmtId="9" fontId="6" fillId="3" borderId="6" xfId="2" applyFont="1" applyFill="1" applyBorder="1" applyAlignment="1">
      <alignment horizontal="center" vertical="center" wrapText="1" shrinkToFit="1"/>
    </xf>
    <xf numFmtId="9" fontId="14" fillId="2" borderId="8" xfId="2" applyFont="1" applyFill="1" applyBorder="1" applyAlignment="1">
      <alignment horizontal="center" vertical="center" wrapText="1" shrinkToFit="1"/>
    </xf>
    <xf numFmtId="10" fontId="6" fillId="4" borderId="5" xfId="2" applyNumberFormat="1" applyFont="1" applyFill="1" applyBorder="1" applyAlignment="1">
      <alignment horizontal="center" vertical="center" wrapText="1" shrinkToFit="1"/>
    </xf>
    <xf numFmtId="10" fontId="14" fillId="4" borderId="5" xfId="2" applyNumberFormat="1" applyFont="1" applyFill="1" applyBorder="1" applyAlignment="1">
      <alignment horizontal="center" vertical="center" wrapText="1" shrinkToFit="1"/>
    </xf>
    <xf numFmtId="10" fontId="6" fillId="0" borderId="5" xfId="2" applyNumberFormat="1" applyFont="1" applyFill="1" applyBorder="1" applyAlignment="1">
      <alignment horizontal="center" vertical="center" wrapText="1" shrinkToFit="1"/>
    </xf>
    <xf numFmtId="195" fontId="48" fillId="0" borderId="5" xfId="2" applyNumberFormat="1" applyFont="1" applyFill="1" applyBorder="1" applyAlignment="1">
      <alignment horizontal="center" vertical="center" wrapText="1" shrinkToFit="1"/>
    </xf>
    <xf numFmtId="205" fontId="6" fillId="0" borderId="5" xfId="1" applyNumberFormat="1" applyFont="1" applyBorder="1" applyAlignment="1">
      <alignment horizontal="center" vertical="center" wrapText="1" shrinkToFit="1"/>
    </xf>
    <xf numFmtId="175" fontId="49" fillId="0" borderId="5" xfId="2" applyNumberFormat="1" applyFont="1" applyFill="1" applyBorder="1" applyAlignment="1">
      <alignment horizontal="center" vertical="center" wrapText="1" shrinkToFit="1"/>
    </xf>
    <xf numFmtId="9" fontId="3" fillId="0" borderId="5" xfId="2" applyFont="1" applyBorder="1" applyAlignment="1">
      <alignment horizontal="center" vertical="center" wrapText="1" shrinkToFit="1"/>
    </xf>
    <xf numFmtId="9" fontId="3" fillId="3" borderId="5" xfId="2" applyFont="1" applyFill="1" applyBorder="1" applyAlignment="1">
      <alignment horizontal="center" vertical="center" wrapText="1" shrinkToFit="1"/>
    </xf>
    <xf numFmtId="3" fontId="3" fillId="2" borderId="7" xfId="0" applyNumberFormat="1" applyFont="1" applyFill="1" applyBorder="1" applyAlignment="1">
      <alignment horizontal="center" vertical="center" wrapText="1" shrinkToFit="1"/>
    </xf>
    <xf numFmtId="10" fontId="17" fillId="0" borderId="5" xfId="2" applyNumberFormat="1" applyFont="1" applyBorder="1" applyAlignment="1">
      <alignment horizontal="center" vertical="center" wrapText="1" shrinkToFit="1"/>
    </xf>
    <xf numFmtId="10" fontId="17" fillId="3" borderId="5" xfId="2" applyNumberFormat="1" applyFont="1" applyFill="1" applyBorder="1" applyAlignment="1">
      <alignment horizontal="center" vertical="center" wrapText="1" shrinkToFit="1"/>
    </xf>
    <xf numFmtId="3" fontId="6" fillId="2" borderId="8" xfId="0" applyNumberFormat="1" applyFont="1" applyFill="1" applyBorder="1" applyAlignment="1">
      <alignment horizontal="center" vertical="center" wrapText="1" shrinkToFit="1"/>
    </xf>
    <xf numFmtId="3" fontId="48" fillId="3" borderId="5" xfId="0" applyNumberFormat="1" applyFont="1" applyFill="1" applyBorder="1" applyAlignment="1">
      <alignment horizontal="center" vertical="center" wrapText="1" shrinkToFit="1"/>
    </xf>
    <xf numFmtId="3" fontId="6" fillId="0" borderId="5" xfId="0" applyNumberFormat="1" applyFont="1" applyBorder="1" applyAlignment="1">
      <alignment horizontal="center" vertical="center" wrapText="1" shrinkToFit="1"/>
    </xf>
    <xf numFmtId="3" fontId="6" fillId="3" borderId="5" xfId="0" applyNumberFormat="1" applyFont="1" applyFill="1" applyBorder="1" applyAlignment="1">
      <alignment horizontal="center" vertical="center" wrapText="1" shrinkToFit="1"/>
    </xf>
    <xf numFmtId="3" fontId="6" fillId="0" borderId="5" xfId="2" applyNumberFormat="1" applyFont="1" applyBorder="1" applyAlignment="1">
      <alignment horizontal="center" vertical="center" wrapText="1" shrinkToFit="1"/>
    </xf>
    <xf numFmtId="3" fontId="6" fillId="3" borderId="5" xfId="2" applyNumberFormat="1" applyFont="1" applyFill="1" applyBorder="1" applyAlignment="1">
      <alignment horizontal="center" vertical="center" wrapText="1" shrinkToFit="1"/>
    </xf>
    <xf numFmtId="10" fontId="48" fillId="0" borderId="5" xfId="2" applyNumberFormat="1" applyFont="1" applyFill="1" applyBorder="1" applyAlignment="1">
      <alignment horizontal="center" vertical="center" wrapText="1" shrinkToFit="1"/>
    </xf>
    <xf numFmtId="10" fontId="48" fillId="3" borderId="5" xfId="2" applyNumberFormat="1" applyFont="1" applyFill="1" applyBorder="1" applyAlignment="1">
      <alignment horizontal="center" vertical="center" wrapText="1" shrinkToFit="1"/>
    </xf>
    <xf numFmtId="184" fontId="48" fillId="2" borderId="8" xfId="2" applyNumberFormat="1" applyFont="1" applyFill="1" applyBorder="1" applyAlignment="1">
      <alignment horizontal="center" vertical="center" wrapText="1" shrinkToFit="1"/>
    </xf>
    <xf numFmtId="3" fontId="6" fillId="3" borderId="4" xfId="0" applyNumberFormat="1" applyFont="1" applyFill="1" applyBorder="1" applyAlignment="1">
      <alignment horizontal="center" vertical="center" wrapText="1" shrinkToFit="1"/>
    </xf>
    <xf numFmtId="10" fontId="6" fillId="3" borderId="5" xfId="2" applyNumberFormat="1" applyFont="1" applyFill="1" applyBorder="1" applyAlignment="1">
      <alignment horizontal="center" vertical="center" wrapText="1" shrinkToFit="1"/>
    </xf>
    <xf numFmtId="10" fontId="3" fillId="3" borderId="6" xfId="2" applyNumberFormat="1" applyFont="1" applyFill="1" applyBorder="1" applyAlignment="1">
      <alignment horizontal="center" vertical="center" wrapText="1" shrinkToFit="1"/>
    </xf>
    <xf numFmtId="3" fontId="3" fillId="3" borderId="9" xfId="0" applyNumberFormat="1" applyFont="1" applyFill="1" applyBorder="1" applyAlignment="1">
      <alignment horizontal="center" vertical="center" wrapText="1" shrinkToFit="1"/>
    </xf>
    <xf numFmtId="168" fontId="3" fillId="0" borderId="0" xfId="0" applyNumberFormat="1" applyFont="1" applyAlignment="1">
      <alignment horizontal="center" vertical="center" wrapText="1" shrinkToFit="1"/>
    </xf>
    <xf numFmtId="3" fontId="44" fillId="0" borderId="0" xfId="0" applyNumberFormat="1" applyFont="1" applyAlignment="1">
      <alignment horizontal="center" vertical="center" wrapText="1" shrinkToFit="1"/>
    </xf>
    <xf numFmtId="10" fontId="49" fillId="2" borderId="8" xfId="2" applyNumberFormat="1" applyFont="1" applyFill="1" applyBorder="1" applyAlignment="1">
      <alignment horizontal="center" vertical="center" wrapText="1" shrinkToFit="1"/>
    </xf>
    <xf numFmtId="3" fontId="12" fillId="0" borderId="7" xfId="0" applyNumberFormat="1" applyFont="1" applyBorder="1" applyAlignment="1">
      <alignment horizontal="center" vertical="center" wrapText="1" shrinkToFit="1"/>
    </xf>
    <xf numFmtId="3" fontId="12" fillId="0" borderId="8" xfId="0" applyNumberFormat="1" applyFont="1" applyBorder="1" applyAlignment="1">
      <alignment horizontal="center" vertical="center" wrapText="1" shrinkToFit="1"/>
    </xf>
    <xf numFmtId="4" fontId="12" fillId="4" borderId="9" xfId="0" applyNumberFormat="1" applyFont="1" applyFill="1" applyBorder="1" applyAlignment="1">
      <alignment horizontal="center" vertical="center" wrapText="1" shrinkToFit="1"/>
    </xf>
    <xf numFmtId="3" fontId="53" fillId="0" borderId="5" xfId="0" applyNumberFormat="1" applyFont="1" applyBorder="1" applyAlignment="1">
      <alignment horizontal="center" vertical="center" wrapText="1" shrinkToFit="1"/>
    </xf>
    <xf numFmtId="10" fontId="55" fillId="0" borderId="5" xfId="0" applyNumberFormat="1" applyFont="1" applyBorder="1" applyAlignment="1">
      <alignment horizontal="center" vertical="center" wrapText="1" shrinkToFit="1"/>
    </xf>
    <xf numFmtId="10" fontId="55" fillId="3" borderId="5" xfId="2" applyNumberFormat="1" applyFont="1" applyFill="1" applyBorder="1" applyAlignment="1">
      <alignment horizontal="center" vertical="center" wrapText="1" shrinkToFit="1"/>
    </xf>
    <xf numFmtId="10" fontId="55" fillId="0" borderId="5" xfId="2" applyNumberFormat="1" applyFont="1" applyBorder="1" applyAlignment="1">
      <alignment horizontal="center" vertical="center" wrapText="1" shrinkToFit="1"/>
    </xf>
    <xf numFmtId="3" fontId="3" fillId="0" borderId="15" xfId="0" applyNumberFormat="1" applyFont="1" applyBorder="1" applyAlignment="1">
      <alignment horizontal="center" vertical="center" wrapText="1" shrinkToFit="1"/>
    </xf>
    <xf numFmtId="40" fontId="48" fillId="0" borderId="5" xfId="0" applyNumberFormat="1" applyFont="1" applyBorder="1" applyAlignment="1">
      <alignment horizontal="center" vertical="center" wrapText="1" shrinkToFit="1"/>
    </xf>
    <xf numFmtId="40" fontId="48" fillId="3" borderId="5" xfId="0" applyNumberFormat="1" applyFont="1" applyFill="1" applyBorder="1" applyAlignment="1">
      <alignment horizontal="center" vertical="center" wrapText="1" shrinkToFit="1"/>
    </xf>
    <xf numFmtId="3" fontId="53" fillId="3" borderId="5" xfId="2" applyNumberFormat="1" applyFont="1" applyFill="1" applyBorder="1" applyAlignment="1">
      <alignment horizontal="center" vertical="center" wrapText="1" shrinkToFit="1"/>
    </xf>
    <xf numFmtId="3" fontId="53" fillId="3" borderId="5" xfId="0" applyNumberFormat="1" applyFont="1" applyFill="1" applyBorder="1" applyAlignment="1">
      <alignment horizontal="center" vertical="center" wrapText="1" shrinkToFit="1"/>
    </xf>
    <xf numFmtId="209" fontId="3" fillId="0" borderId="0" xfId="2" applyNumberFormat="1" applyFont="1" applyAlignment="1">
      <alignment horizontal="center" vertical="center" wrapText="1" shrinkToFit="1"/>
    </xf>
    <xf numFmtId="4" fontId="12" fillId="2" borderId="6" xfId="0" applyNumberFormat="1" applyFont="1" applyFill="1" applyBorder="1" applyAlignment="1">
      <alignment horizontal="center" vertical="center" wrapText="1" shrinkToFit="1"/>
    </xf>
    <xf numFmtId="4" fontId="12" fillId="2" borderId="5" xfId="0" applyNumberFormat="1" applyFont="1" applyFill="1" applyBorder="1" applyAlignment="1">
      <alignment horizontal="center" vertical="center" wrapText="1" shrinkToFit="1"/>
    </xf>
    <xf numFmtId="3" fontId="6" fillId="4" borderId="4" xfId="0" applyNumberFormat="1" applyFont="1" applyFill="1" applyBorder="1" applyAlignment="1">
      <alignment horizontal="center" vertical="center" wrapText="1" shrinkToFit="1"/>
    </xf>
    <xf numFmtId="3" fontId="6" fillId="4" borderId="5" xfId="0" applyNumberFormat="1" applyFont="1" applyFill="1" applyBorder="1" applyAlignment="1">
      <alignment horizontal="center" vertical="center" wrapText="1" shrinkToFit="1"/>
    </xf>
    <xf numFmtId="3" fontId="6" fillId="4" borderId="6" xfId="0" applyNumberFormat="1" applyFont="1" applyFill="1" applyBorder="1" applyAlignment="1">
      <alignment horizontal="center" vertical="center" wrapText="1" shrinkToFit="1"/>
    </xf>
    <xf numFmtId="208" fontId="53" fillId="0" borderId="5" xfId="0" applyNumberFormat="1" applyFont="1" applyBorder="1" applyAlignment="1">
      <alignment horizontal="center" vertical="center" wrapText="1" shrinkToFit="1"/>
    </xf>
    <xf numFmtId="3" fontId="4" fillId="3" borderId="6" xfId="0" applyNumberFormat="1" applyFont="1" applyFill="1" applyBorder="1" applyAlignment="1">
      <alignment horizontal="center" vertical="center" wrapText="1" shrinkToFit="1"/>
    </xf>
    <xf numFmtId="3" fontId="12" fillId="0" borderId="0" xfId="2" applyNumberFormat="1" applyFont="1" applyFill="1" applyBorder="1" applyAlignment="1">
      <alignment horizontal="center" vertical="center" wrapText="1" shrinkToFit="1"/>
    </xf>
    <xf numFmtId="3" fontId="14" fillId="0" borderId="0" xfId="0" applyNumberFormat="1" applyFont="1" applyAlignment="1">
      <alignment horizontal="center" vertical="center" wrapText="1" shrinkToFit="1"/>
    </xf>
    <xf numFmtId="3" fontId="12" fillId="0" borderId="0" xfId="0" applyNumberFormat="1" applyFont="1" applyAlignment="1">
      <alignment horizontal="center" vertical="center" wrapText="1" shrinkToFit="1"/>
    </xf>
    <xf numFmtId="3" fontId="24" fillId="0" borderId="0" xfId="0" applyNumberFormat="1" applyFont="1" applyAlignment="1">
      <alignment vertical="center" wrapText="1" shrinkToFit="1"/>
    </xf>
    <xf numFmtId="3" fontId="24" fillId="0" borderId="0" xfId="0" applyNumberFormat="1" applyFont="1" applyAlignment="1">
      <alignment horizontal="center" vertical="center" wrapText="1" shrinkToFit="1"/>
    </xf>
    <xf numFmtId="3" fontId="24" fillId="0" borderId="0" xfId="0" applyNumberFormat="1" applyFont="1" applyAlignment="1">
      <alignment horizontal="center" vertical="center" shrinkToFit="1" readingOrder="2"/>
    </xf>
    <xf numFmtId="3" fontId="15" fillId="0" borderId="0" xfId="0" applyNumberFormat="1" applyFont="1" applyAlignment="1">
      <alignment horizontal="center" vertical="center" wrapText="1" shrinkToFit="1"/>
    </xf>
    <xf numFmtId="3" fontId="14" fillId="0" borderId="0" xfId="2" applyNumberFormat="1" applyFont="1" applyFill="1" applyAlignment="1">
      <alignment horizontal="center" vertical="center" wrapText="1" shrinkToFit="1"/>
    </xf>
    <xf numFmtId="3" fontId="24" fillId="0" borderId="0" xfId="2" applyNumberFormat="1" applyFont="1" applyFill="1" applyAlignment="1">
      <alignment horizontal="center" vertical="center" wrapText="1" shrinkToFit="1"/>
    </xf>
    <xf numFmtId="3" fontId="14" fillId="0" borderId="0" xfId="2" applyNumberFormat="1" applyFont="1" applyFill="1" applyBorder="1" applyAlignment="1">
      <alignment vertical="center" wrapText="1" shrinkToFit="1"/>
    </xf>
    <xf numFmtId="3" fontId="14" fillId="0" borderId="0" xfId="2" applyNumberFormat="1" applyFont="1" applyFill="1" applyBorder="1" applyAlignment="1">
      <alignment horizontal="center" vertical="center" wrapText="1" shrinkToFit="1"/>
    </xf>
    <xf numFmtId="3" fontId="12" fillId="0" borderId="0" xfId="1" applyNumberFormat="1" applyFont="1" applyFill="1" applyAlignment="1">
      <alignment horizontal="center" vertical="center" wrapText="1" shrinkToFit="1"/>
    </xf>
    <xf numFmtId="3" fontId="15" fillId="0" borderId="0" xfId="2" applyNumberFormat="1" applyFont="1" applyFill="1" applyAlignment="1">
      <alignment horizontal="center" vertical="center" wrapText="1" shrinkToFit="1"/>
    </xf>
    <xf numFmtId="3" fontId="15" fillId="0" borderId="0" xfId="1" applyNumberFormat="1" applyFont="1" applyFill="1" applyAlignment="1">
      <alignment horizontal="center" vertical="center" wrapText="1" shrinkToFit="1"/>
    </xf>
    <xf numFmtId="3" fontId="14" fillId="0" borderId="0" xfId="1" applyNumberFormat="1" applyFont="1" applyFill="1" applyAlignment="1">
      <alignment horizontal="center" vertical="center" wrapText="1" shrinkToFit="1"/>
    </xf>
    <xf numFmtId="3" fontId="15" fillId="0" borderId="0" xfId="2" applyNumberFormat="1" applyFont="1" applyFill="1" applyBorder="1" applyAlignment="1">
      <alignment horizontal="center" vertical="center" wrapText="1" shrinkToFit="1"/>
    </xf>
    <xf numFmtId="3" fontId="58" fillId="2" borderId="8" xfId="0" applyNumberFormat="1" applyFont="1" applyFill="1" applyBorder="1" applyAlignment="1">
      <alignment horizontal="center" vertical="center"/>
    </xf>
    <xf numFmtId="0" fontId="58" fillId="2" borderId="7" xfId="0" applyFont="1" applyFill="1" applyBorder="1" applyAlignment="1">
      <alignment horizontal="center" vertical="center"/>
    </xf>
    <xf numFmtId="3" fontId="12" fillId="0" borderId="41" xfId="0" applyNumberFormat="1" applyFont="1" applyBorder="1" applyAlignment="1">
      <alignment horizontal="center" vertical="center" wrapText="1" shrinkToFit="1"/>
    </xf>
    <xf numFmtId="3" fontId="12" fillId="0" borderId="29" xfId="0" applyNumberFormat="1" applyFont="1" applyBorder="1" applyAlignment="1">
      <alignment horizontal="center" vertical="center" wrapText="1" shrinkToFit="1"/>
    </xf>
    <xf numFmtId="3" fontId="12" fillId="0" borderId="53" xfId="0" applyNumberFormat="1" applyFont="1" applyBorder="1" applyAlignment="1">
      <alignment horizontal="center" vertical="center" wrapText="1" shrinkToFit="1"/>
    </xf>
    <xf numFmtId="0" fontId="59" fillId="0" borderId="7" xfId="0" applyFont="1" applyBorder="1" applyAlignment="1">
      <alignment horizontal="center" vertical="center"/>
    </xf>
    <xf numFmtId="14" fontId="59" fillId="0" borderId="9" xfId="0" applyNumberFormat="1" applyFont="1" applyBorder="1" applyAlignment="1">
      <alignment horizontal="center" vertical="center"/>
    </xf>
    <xf numFmtId="3" fontId="6" fillId="2" borderId="4" xfId="0" applyNumberFormat="1" applyFont="1" applyFill="1" applyBorder="1" applyAlignment="1">
      <alignment horizontal="center" vertical="center" wrapText="1" shrinkToFit="1"/>
    </xf>
    <xf numFmtId="3" fontId="14" fillId="2" borderId="5" xfId="0" applyNumberFormat="1" applyFont="1" applyFill="1" applyBorder="1" applyAlignment="1">
      <alignment horizontal="center" vertical="center" wrapText="1" shrinkToFit="1"/>
    </xf>
    <xf numFmtId="3" fontId="14" fillId="3" borderId="7" xfId="0" applyNumberFormat="1" applyFont="1" applyFill="1" applyBorder="1" applyAlignment="1">
      <alignment horizontal="center" vertical="center" wrapText="1" shrinkToFit="1"/>
    </xf>
    <xf numFmtId="4" fontId="12" fillId="0" borderId="0" xfId="0" applyNumberFormat="1" applyFont="1" applyAlignment="1">
      <alignment horizontal="center" vertical="center" wrapText="1" shrinkToFit="1"/>
    </xf>
    <xf numFmtId="4" fontId="6" fillId="3" borderId="5" xfId="0" applyNumberFormat="1" applyFont="1" applyFill="1" applyBorder="1" applyAlignment="1">
      <alignment horizontal="center" vertical="center" wrapText="1" shrinkToFit="1"/>
    </xf>
    <xf numFmtId="206" fontId="6" fillId="3" borderId="5" xfId="2" applyNumberFormat="1" applyFont="1" applyFill="1" applyBorder="1" applyAlignment="1">
      <alignment horizontal="center" vertical="center" wrapText="1" shrinkToFit="1"/>
    </xf>
    <xf numFmtId="0" fontId="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>
      <alignment vertical="center" wrapText="1"/>
    </xf>
    <xf numFmtId="168" fontId="12" fillId="0" borderId="25" xfId="0" applyNumberFormat="1" applyFont="1" applyBorder="1" applyAlignment="1">
      <alignment horizontal="center" vertical="center" wrapText="1" shrinkToFit="1"/>
    </xf>
    <xf numFmtId="10" fontId="3" fillId="6" borderId="16" xfId="2" applyNumberFormat="1" applyFont="1" applyFill="1" applyBorder="1" applyAlignment="1">
      <alignment horizontal="center" vertical="center" wrapText="1" shrinkToFit="1"/>
    </xf>
    <xf numFmtId="168" fontId="12" fillId="0" borderId="16" xfId="0" applyNumberFormat="1" applyFont="1" applyBorder="1" applyAlignment="1">
      <alignment horizontal="center" vertical="center" wrapText="1" shrinkToFit="1"/>
    </xf>
    <xf numFmtId="10" fontId="45" fillId="0" borderId="16" xfId="2" applyNumberFormat="1" applyFont="1" applyFill="1" applyBorder="1" applyAlignment="1">
      <alignment horizontal="center" vertical="center" wrapText="1" shrinkToFit="1"/>
    </xf>
    <xf numFmtId="168" fontId="45" fillId="0" borderId="16" xfId="0" applyNumberFormat="1" applyFont="1" applyBorder="1" applyAlignment="1">
      <alignment horizontal="center" vertical="center" wrapText="1" shrinkToFit="1"/>
    </xf>
    <xf numFmtId="3" fontId="45" fillId="0" borderId="16" xfId="0" applyNumberFormat="1" applyFont="1" applyBorder="1" applyAlignment="1">
      <alignment horizontal="center" vertical="center" wrapText="1" shrinkToFit="1"/>
    </xf>
    <xf numFmtId="3" fontId="52" fillId="0" borderId="16" xfId="0" applyNumberFormat="1" applyFont="1" applyBorder="1" applyAlignment="1">
      <alignment horizontal="center" vertical="center" wrapText="1" shrinkToFit="1"/>
    </xf>
    <xf numFmtId="4" fontId="45" fillId="0" borderId="26" xfId="0" applyNumberFormat="1" applyFont="1" applyBorder="1" applyAlignment="1">
      <alignment horizontal="center" vertical="center" wrapText="1" shrinkToFit="1"/>
    </xf>
    <xf numFmtId="168" fontId="12" fillId="0" borderId="27" xfId="0" applyNumberFormat="1" applyFont="1" applyBorder="1" applyAlignment="1">
      <alignment horizontal="center" vertical="center" wrapText="1" shrinkToFit="1"/>
    </xf>
    <xf numFmtId="10" fontId="12" fillId="0" borderId="24" xfId="0" applyNumberFormat="1" applyFont="1" applyBorder="1" applyAlignment="1">
      <alignment horizontal="center" vertical="center" wrapText="1" shrinkToFit="1"/>
    </xf>
    <xf numFmtId="168" fontId="12" fillId="0" borderId="24" xfId="0" applyNumberFormat="1" applyFont="1" applyBorder="1" applyAlignment="1">
      <alignment horizontal="center" vertical="center" wrapText="1" shrinkToFit="1"/>
    </xf>
    <xf numFmtId="168" fontId="45" fillId="0" borderId="24" xfId="0" applyNumberFormat="1" applyFont="1" applyBorder="1" applyAlignment="1">
      <alignment horizontal="center" vertical="center" wrapText="1" shrinkToFit="1"/>
    </xf>
    <xf numFmtId="3" fontId="52" fillId="0" borderId="24" xfId="0" applyNumberFormat="1" applyFont="1" applyBorder="1" applyAlignment="1">
      <alignment horizontal="center" vertical="center" wrapText="1" shrinkToFit="1"/>
    </xf>
    <xf numFmtId="3" fontId="45" fillId="0" borderId="24" xfId="0" applyNumberFormat="1" applyFont="1" applyBorder="1" applyAlignment="1">
      <alignment horizontal="center" vertical="center" wrapText="1" shrinkToFit="1"/>
    </xf>
    <xf numFmtId="4" fontId="45" fillId="4" borderId="28" xfId="0" applyNumberFormat="1" applyFont="1" applyFill="1" applyBorder="1" applyAlignment="1">
      <alignment horizontal="center" vertical="center" wrapText="1" shrinkToFit="1"/>
    </xf>
    <xf numFmtId="168" fontId="12" fillId="3" borderId="11" xfId="0" applyNumberFormat="1" applyFont="1" applyFill="1" applyBorder="1" applyAlignment="1">
      <alignment horizontal="center" vertical="center" wrapText="1" shrinkToFit="1"/>
    </xf>
    <xf numFmtId="10" fontId="15" fillId="3" borderId="12" xfId="0" applyNumberFormat="1" applyFont="1" applyFill="1" applyBorder="1" applyAlignment="1">
      <alignment horizontal="center" vertical="center" wrapText="1" shrinkToFit="1"/>
    </xf>
    <xf numFmtId="168" fontId="15" fillId="3" borderId="12" xfId="0" applyNumberFormat="1" applyFont="1" applyFill="1" applyBorder="1" applyAlignment="1">
      <alignment horizontal="center" vertical="center" wrapText="1" shrinkToFit="1"/>
    </xf>
    <xf numFmtId="3" fontId="15" fillId="3" borderId="12" xfId="0" applyNumberFormat="1" applyFont="1" applyFill="1" applyBorder="1" applyAlignment="1">
      <alignment horizontal="center" vertical="center" wrapText="1" shrinkToFit="1"/>
    </xf>
    <xf numFmtId="4" fontId="15" fillId="3" borderId="13" xfId="0" applyNumberFormat="1" applyFont="1" applyFill="1" applyBorder="1" applyAlignment="1">
      <alignment horizontal="center" vertical="center" wrapText="1" shrinkToFit="1"/>
    </xf>
    <xf numFmtId="0" fontId="60" fillId="2" borderId="1" xfId="0" applyFont="1" applyFill="1" applyBorder="1" applyAlignment="1">
      <alignment horizontal="center" vertical="center"/>
    </xf>
    <xf numFmtId="0" fontId="60" fillId="2" borderId="2" xfId="0" applyFont="1" applyFill="1" applyBorder="1" applyAlignment="1">
      <alignment horizontal="center" vertical="center"/>
    </xf>
    <xf numFmtId="0" fontId="60" fillId="2" borderId="3" xfId="0" applyFont="1" applyFill="1" applyBorder="1" applyAlignment="1">
      <alignment horizontal="center" vertical="center"/>
    </xf>
    <xf numFmtId="10" fontId="14" fillId="0" borderId="0" xfId="2" applyNumberFormat="1" applyFont="1" applyFill="1" applyAlignment="1">
      <alignment horizontal="center" vertical="center" wrapText="1" shrinkToFit="1"/>
    </xf>
    <xf numFmtId="9" fontId="6" fillId="0" borderId="5" xfId="2" applyFont="1" applyBorder="1" applyAlignment="1">
      <alignment horizontal="center" vertical="center" wrapText="1" shrinkToFit="1"/>
    </xf>
    <xf numFmtId="9" fontId="6" fillId="4" borderId="5" xfId="2" applyFont="1" applyFill="1" applyBorder="1" applyAlignment="1">
      <alignment horizontal="center" vertical="center" wrapText="1" shrinkToFit="1"/>
    </xf>
    <xf numFmtId="9" fontId="14" fillId="2" borderId="5" xfId="2" applyFont="1" applyFill="1" applyBorder="1" applyAlignment="1">
      <alignment horizontal="center" vertical="center" wrapText="1" shrinkToFit="1"/>
    </xf>
    <xf numFmtId="9" fontId="58" fillId="2" borderId="8" xfId="2" applyFont="1" applyFill="1" applyBorder="1" applyAlignment="1">
      <alignment horizontal="center" vertical="center"/>
    </xf>
    <xf numFmtId="9" fontId="14" fillId="4" borderId="5" xfId="2" applyFont="1" applyFill="1" applyBorder="1" applyAlignment="1">
      <alignment horizontal="center" vertical="center" wrapText="1" shrinkToFit="1"/>
    </xf>
    <xf numFmtId="10" fontId="3" fillId="4" borderId="4" xfId="0" applyNumberFormat="1" applyFont="1" applyFill="1" applyBorder="1" applyAlignment="1">
      <alignment horizontal="center" vertical="center" wrapText="1" shrinkToFit="1"/>
    </xf>
    <xf numFmtId="173" fontId="12" fillId="4" borderId="6" xfId="2" applyNumberFormat="1" applyFont="1" applyFill="1" applyBorder="1" applyAlignment="1">
      <alignment horizontal="center" vertical="center" wrapText="1" shrinkToFit="1"/>
    </xf>
    <xf numFmtId="9" fontId="12" fillId="0" borderId="0" xfId="2" applyFont="1" applyAlignment="1">
      <alignment horizontal="center" vertical="center" wrapText="1" shrinkToFit="1"/>
    </xf>
    <xf numFmtId="43" fontId="12" fillId="0" borderId="0" xfId="1" applyFont="1" applyAlignment="1">
      <alignment horizontal="center" vertical="center" wrapText="1" shrinkToFit="1"/>
    </xf>
    <xf numFmtId="9" fontId="12" fillId="0" borderId="0" xfId="1" applyNumberFormat="1" applyFont="1" applyAlignment="1">
      <alignment horizontal="center" vertical="center" wrapText="1" shrinkToFit="1"/>
    </xf>
    <xf numFmtId="0" fontId="60" fillId="2" borderId="56" xfId="0" applyFont="1" applyFill="1" applyBorder="1" applyAlignment="1">
      <alignment horizontal="center" vertical="center"/>
    </xf>
    <xf numFmtId="3" fontId="6" fillId="0" borderId="30" xfId="0" applyNumberFormat="1" applyFont="1" applyBorder="1" applyAlignment="1">
      <alignment horizontal="center" vertical="center" wrapText="1" shrinkToFit="1"/>
    </xf>
    <xf numFmtId="3" fontId="14" fillId="3" borderId="30" xfId="0" applyNumberFormat="1" applyFont="1" applyFill="1" applyBorder="1" applyAlignment="1">
      <alignment horizontal="center" vertical="center" wrapText="1" shrinkToFit="1"/>
    </xf>
    <xf numFmtId="3" fontId="14" fillId="2" borderId="30" xfId="0" applyNumberFormat="1" applyFont="1" applyFill="1" applyBorder="1" applyAlignment="1">
      <alignment horizontal="center" vertical="center" wrapText="1" shrinkToFit="1"/>
    </xf>
    <xf numFmtId="3" fontId="58" fillId="2" borderId="43" xfId="0" applyNumberFormat="1" applyFont="1" applyFill="1" applyBorder="1" applyAlignment="1">
      <alignment horizontal="center" vertical="center"/>
    </xf>
    <xf numFmtId="0" fontId="60" fillId="2" borderId="55" xfId="0" applyFont="1" applyFill="1" applyBorder="1" applyAlignment="1">
      <alignment horizontal="center" vertical="center"/>
    </xf>
    <xf numFmtId="3" fontId="6" fillId="0" borderId="57" xfId="0" applyNumberFormat="1" applyFont="1" applyBorder="1" applyAlignment="1">
      <alignment horizontal="center" vertical="center" wrapText="1" shrinkToFit="1"/>
    </xf>
    <xf numFmtId="3" fontId="14" fillId="3" borderId="57" xfId="0" applyNumberFormat="1" applyFont="1" applyFill="1" applyBorder="1" applyAlignment="1">
      <alignment horizontal="center" vertical="center" wrapText="1" shrinkToFit="1"/>
    </xf>
    <xf numFmtId="3" fontId="14" fillId="2" borderId="57" xfId="0" applyNumberFormat="1" applyFont="1" applyFill="1" applyBorder="1" applyAlignment="1">
      <alignment horizontal="center" vertical="center" wrapText="1" shrinkToFit="1"/>
    </xf>
    <xf numFmtId="0" fontId="58" fillId="2" borderId="58" xfId="0" applyFont="1" applyFill="1" applyBorder="1" applyAlignment="1">
      <alignment horizontal="center" vertical="center"/>
    </xf>
    <xf numFmtId="3" fontId="12" fillId="0" borderId="59" xfId="0" applyNumberFormat="1" applyFont="1" applyBorder="1" applyAlignment="1">
      <alignment horizontal="center" vertical="center" wrapText="1" shrinkToFit="1"/>
    </xf>
    <xf numFmtId="0" fontId="60" fillId="2" borderId="14" xfId="0" applyFont="1" applyFill="1" applyBorder="1" applyAlignment="1">
      <alignment horizontal="center" vertical="center"/>
    </xf>
    <xf numFmtId="3" fontId="6" fillId="0" borderId="17" xfId="0" applyNumberFormat="1" applyFont="1" applyBorder="1" applyAlignment="1">
      <alignment horizontal="center" vertical="center" wrapText="1" shrinkToFit="1"/>
    </xf>
    <xf numFmtId="3" fontId="14" fillId="3" borderId="17" xfId="0" applyNumberFormat="1" applyFont="1" applyFill="1" applyBorder="1" applyAlignment="1">
      <alignment horizontal="center" vertical="center" wrapText="1" shrinkToFit="1"/>
    </xf>
    <xf numFmtId="3" fontId="14" fillId="2" borderId="17" xfId="0" applyNumberFormat="1" applyFont="1" applyFill="1" applyBorder="1" applyAlignment="1">
      <alignment horizontal="center" vertical="center" wrapText="1" shrinkToFit="1"/>
    </xf>
    <xf numFmtId="3" fontId="58" fillId="2" borderId="15" xfId="0" applyNumberFormat="1" applyFont="1" applyFill="1" applyBorder="1" applyAlignment="1">
      <alignment horizontal="center" vertical="center"/>
    </xf>
    <xf numFmtId="3" fontId="53" fillId="3" borderId="6" xfId="0" applyNumberFormat="1" applyFont="1" applyFill="1" applyBorder="1" applyAlignment="1">
      <alignment horizontal="center" vertical="center" wrapText="1" shrinkToFit="1"/>
    </xf>
    <xf numFmtId="3" fontId="53" fillId="0" borderId="6" xfId="0" applyNumberFormat="1" applyFont="1" applyBorder="1" applyAlignment="1">
      <alignment horizontal="center" vertical="center" wrapText="1" shrinkToFit="1"/>
    </xf>
    <xf numFmtId="168" fontId="44" fillId="4" borderId="5" xfId="0" applyNumberFormat="1" applyFont="1" applyFill="1" applyBorder="1" applyAlignment="1">
      <alignment horizontal="center" vertical="center" wrapText="1" shrinkToFit="1"/>
    </xf>
    <xf numFmtId="9" fontId="48" fillId="3" borderId="9" xfId="2" applyFont="1" applyFill="1" applyBorder="1" applyAlignment="1">
      <alignment horizontal="center" vertical="center" wrapText="1" shrinkToFit="1"/>
    </xf>
    <xf numFmtId="3" fontId="48" fillId="0" borderId="6" xfId="0" applyNumberFormat="1" applyFont="1" applyBorder="1" applyAlignment="1">
      <alignment horizontal="center" vertical="center" wrapText="1" shrinkToFit="1"/>
    </xf>
    <xf numFmtId="0" fontId="61" fillId="0" borderId="1" xfId="0" applyFont="1" applyBorder="1" applyAlignment="1">
      <alignment horizontal="center" vertical="center"/>
    </xf>
    <xf numFmtId="3" fontId="61" fillId="0" borderId="3" xfId="0" applyNumberFormat="1" applyFont="1" applyBorder="1" applyAlignment="1">
      <alignment horizontal="center" vertical="center"/>
    </xf>
    <xf numFmtId="200" fontId="12" fillId="0" borderId="0" xfId="2" applyNumberFormat="1" applyFont="1" applyAlignment="1">
      <alignment horizontal="center" vertical="center" wrapText="1" shrinkToFit="1"/>
    </xf>
    <xf numFmtId="3" fontId="12" fillId="0" borderId="0" xfId="0" applyNumberFormat="1" applyFont="1" applyAlignment="1">
      <alignment vertical="center" wrapText="1" shrinkToFit="1"/>
    </xf>
    <xf numFmtId="9" fontId="14" fillId="0" borderId="0" xfId="2" applyFont="1" applyFill="1" applyAlignment="1">
      <alignment horizontal="center" vertical="center" wrapText="1" shrinkToFit="1"/>
    </xf>
    <xf numFmtId="9" fontId="14" fillId="0" borderId="0" xfId="2" applyFont="1" applyAlignment="1">
      <alignment horizontal="center" vertical="center" wrapText="1" shrinkToFit="1"/>
    </xf>
    <xf numFmtId="173" fontId="12" fillId="0" borderId="53" xfId="2" applyNumberFormat="1" applyFont="1" applyFill="1" applyBorder="1" applyAlignment="1">
      <alignment vertical="center" wrapText="1" shrinkToFit="1"/>
    </xf>
    <xf numFmtId="173" fontId="12" fillId="0" borderId="53" xfId="2" applyNumberFormat="1" applyFont="1" applyBorder="1" applyAlignment="1">
      <alignment vertical="center" wrapText="1" shrinkToFit="1"/>
    </xf>
    <xf numFmtId="210" fontId="12" fillId="0" borderId="0" xfId="0" applyNumberFormat="1" applyFont="1" applyAlignment="1">
      <alignment horizontal="center" vertical="center" wrapText="1" shrinkToFit="1"/>
    </xf>
    <xf numFmtId="173" fontId="12" fillId="0" borderId="0" xfId="2" applyNumberFormat="1" applyFont="1" applyAlignment="1">
      <alignment horizontal="center" vertical="center" wrapText="1" shrinkToFit="1"/>
    </xf>
    <xf numFmtId="10" fontId="3" fillId="3" borderId="47" xfId="0" applyNumberFormat="1" applyFont="1" applyFill="1" applyBorder="1" applyAlignment="1">
      <alignment horizontal="center" vertical="center" wrapText="1" shrinkToFit="1"/>
    </xf>
    <xf numFmtId="10" fontId="3" fillId="0" borderId="47" xfId="2" applyNumberFormat="1" applyFont="1" applyFill="1" applyBorder="1" applyAlignment="1">
      <alignment horizontal="center" vertical="center" wrapText="1" shrinkToFit="1"/>
    </xf>
    <xf numFmtId="3" fontId="12" fillId="8" borderId="0" xfId="0" applyNumberFormat="1" applyFont="1" applyFill="1" applyAlignment="1">
      <alignment horizontal="center" vertical="center" wrapText="1" shrinkToFit="1"/>
    </xf>
    <xf numFmtId="211" fontId="12" fillId="0" borderId="0" xfId="0" applyNumberFormat="1" applyFont="1" applyAlignment="1">
      <alignment horizontal="center" vertical="center" wrapText="1" shrinkToFit="1"/>
    </xf>
    <xf numFmtId="38" fontId="14" fillId="0" borderId="0" xfId="0" applyNumberFormat="1" applyFont="1" applyAlignment="1">
      <alignment horizontal="center" vertical="center" wrapText="1" shrinkToFit="1"/>
    </xf>
    <xf numFmtId="10" fontId="14" fillId="0" borderId="0" xfId="2" applyNumberFormat="1" applyFont="1" applyAlignment="1">
      <alignment horizontal="center" vertical="center" wrapText="1" shrinkToFit="1"/>
    </xf>
    <xf numFmtId="212" fontId="12" fillId="0" borderId="0" xfId="0" applyNumberFormat="1" applyFont="1" applyAlignment="1">
      <alignment horizontal="center" vertical="center" wrapText="1" shrinkToFit="1"/>
    </xf>
    <xf numFmtId="14" fontId="26" fillId="6" borderId="0" xfId="0" applyNumberFormat="1" applyFont="1" applyFill="1" applyAlignment="1">
      <alignment vertical="center"/>
    </xf>
    <xf numFmtId="3" fontId="26" fillId="0" borderId="0" xfId="0" applyNumberFormat="1" applyFont="1" applyAlignment="1">
      <alignment horizontal="center" vertical="center"/>
    </xf>
    <xf numFmtId="3" fontId="65" fillId="2" borderId="0" xfId="0" applyNumberFormat="1" applyFont="1" applyFill="1"/>
    <xf numFmtId="0" fontId="65" fillId="2" borderId="0" xfId="0" applyFont="1" applyFill="1"/>
    <xf numFmtId="3" fontId="65" fillId="2" borderId="0" xfId="0" applyNumberFormat="1" applyFont="1" applyFill="1" applyAlignment="1">
      <alignment horizontal="left"/>
    </xf>
    <xf numFmtId="0" fontId="0" fillId="0" borderId="0" xfId="0" applyAlignment="1">
      <alignment horizontal="centerContinuous" wrapText="1"/>
    </xf>
    <xf numFmtId="0" fontId="0" fillId="0" borderId="0" xfId="0" applyAlignment="1">
      <alignment horizontal="centerContinuous"/>
    </xf>
    <xf numFmtId="0" fontId="0" fillId="0" borderId="0" xfId="0" applyAlignment="1">
      <alignment vertical="center"/>
    </xf>
    <xf numFmtId="0" fontId="0" fillId="0" borderId="0" xfId="0" applyAlignment="1">
      <alignment horizontal="centerContinuous" vertical="center"/>
    </xf>
    <xf numFmtId="0" fontId="0" fillId="2" borderId="0" xfId="0" applyFill="1"/>
    <xf numFmtId="10" fontId="6" fillId="3" borderId="30" xfId="2" applyNumberFormat="1" applyFont="1" applyFill="1" applyBorder="1" applyAlignment="1">
      <alignment vertical="center" wrapText="1" shrinkToFit="1"/>
    </xf>
    <xf numFmtId="10" fontId="6" fillId="3" borderId="47" xfId="2" applyNumberFormat="1" applyFont="1" applyFill="1" applyBorder="1" applyAlignment="1">
      <alignment vertical="center" wrapText="1" shrinkToFit="1"/>
    </xf>
    <xf numFmtId="22" fontId="67" fillId="2" borderId="0" xfId="0" applyNumberFormat="1" applyFont="1" applyFill="1"/>
    <xf numFmtId="173" fontId="6" fillId="4" borderId="5" xfId="2" applyNumberFormat="1" applyFont="1" applyFill="1" applyBorder="1" applyAlignment="1">
      <alignment horizontal="center" vertical="center" wrapText="1" shrinkToFit="1"/>
    </xf>
    <xf numFmtId="0" fontId="66" fillId="2" borderId="0" xfId="0" applyFont="1" applyFill="1"/>
    <xf numFmtId="0" fontId="68" fillId="0" borderId="0" xfId="0" applyFont="1"/>
    <xf numFmtId="0" fontId="26" fillId="0" borderId="0" xfId="0" applyFont="1" applyAlignment="1">
      <alignment vertical="center"/>
    </xf>
    <xf numFmtId="40" fontId="26" fillId="0" borderId="0" xfId="0" applyNumberFormat="1" applyFont="1" applyAlignment="1">
      <alignment vertical="center"/>
    </xf>
    <xf numFmtId="3" fontId="26" fillId="0" borderId="0" xfId="0" applyNumberFormat="1" applyFont="1" applyAlignment="1">
      <alignment vertical="center"/>
    </xf>
    <xf numFmtId="3" fontId="26" fillId="0" borderId="65" xfId="0" applyNumberFormat="1" applyFont="1" applyBorder="1" applyAlignment="1">
      <alignment vertical="center"/>
    </xf>
    <xf numFmtId="0" fontId="26" fillId="0" borderId="65" xfId="0" applyFont="1" applyBorder="1" applyAlignment="1">
      <alignment vertical="center"/>
    </xf>
    <xf numFmtId="38" fontId="26" fillId="0" borderId="0" xfId="0" applyNumberFormat="1" applyFont="1" applyAlignment="1">
      <alignment vertical="center"/>
    </xf>
    <xf numFmtId="0" fontId="26" fillId="0" borderId="67" xfId="0" applyFont="1" applyBorder="1" applyAlignment="1">
      <alignment vertical="center"/>
    </xf>
    <xf numFmtId="0" fontId="26" fillId="0" borderId="0" xfId="0" applyFont="1" applyAlignment="1">
      <alignment horizontal="center" vertical="center"/>
    </xf>
    <xf numFmtId="9" fontId="26" fillId="0" borderId="0" xfId="2" applyFont="1" applyFill="1" applyAlignment="1">
      <alignment horizontal="center" vertical="center"/>
    </xf>
    <xf numFmtId="0" fontId="26" fillId="0" borderId="0" xfId="0" applyFont="1" applyAlignment="1">
      <alignment horizontal="right" vertical="center"/>
    </xf>
    <xf numFmtId="10" fontId="14" fillId="4" borderId="10" xfId="0" applyNumberFormat="1" applyFont="1" applyFill="1" applyBorder="1" applyAlignment="1">
      <alignment horizontal="center" vertical="center" wrapText="1" shrinkToFit="1"/>
    </xf>
    <xf numFmtId="0" fontId="69" fillId="2" borderId="73" xfId="0" applyFont="1" applyFill="1" applyBorder="1" applyAlignment="1">
      <alignment horizontal="center" vertical="center"/>
    </xf>
    <xf numFmtId="0" fontId="69" fillId="2" borderId="73" xfId="0" applyFont="1" applyFill="1" applyBorder="1" applyAlignment="1">
      <alignment horizontal="center" vertical="center" wrapText="1"/>
    </xf>
    <xf numFmtId="0" fontId="70" fillId="0" borderId="73" xfId="0" applyFont="1" applyBorder="1" applyAlignment="1">
      <alignment horizontal="center" vertical="center"/>
    </xf>
    <xf numFmtId="213" fontId="70" fillId="0" borderId="73" xfId="0" applyNumberFormat="1" applyFont="1" applyBorder="1" applyAlignment="1">
      <alignment horizontal="center" vertical="center"/>
    </xf>
    <xf numFmtId="0" fontId="72" fillId="2" borderId="74" xfId="0" applyFont="1" applyFill="1" applyBorder="1" applyAlignment="1">
      <alignment horizontal="center" vertical="center" wrapText="1"/>
    </xf>
    <xf numFmtId="3" fontId="26" fillId="0" borderId="66" xfId="0" applyNumberFormat="1" applyFont="1" applyBorder="1" applyAlignment="1">
      <alignment horizontal="center" vertical="center"/>
    </xf>
    <xf numFmtId="38" fontId="26" fillId="0" borderId="0" xfId="0" applyNumberFormat="1" applyFont="1" applyAlignment="1">
      <alignment horizontal="center" vertical="center"/>
    </xf>
    <xf numFmtId="38" fontId="26" fillId="0" borderId="66" xfId="0" applyNumberFormat="1" applyFont="1" applyBorder="1" applyAlignment="1">
      <alignment horizontal="center" vertical="center"/>
    </xf>
    <xf numFmtId="0" fontId="26" fillId="10" borderId="65" xfId="0" applyFont="1" applyFill="1" applyBorder="1" applyAlignment="1">
      <alignment vertical="center"/>
    </xf>
    <xf numFmtId="38" fontId="26" fillId="10" borderId="0" xfId="0" applyNumberFormat="1" applyFont="1" applyFill="1" applyAlignment="1">
      <alignment horizontal="center" vertical="center"/>
    </xf>
    <xf numFmtId="38" fontId="26" fillId="10" borderId="66" xfId="0" applyNumberFormat="1" applyFont="1" applyFill="1" applyBorder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14" fontId="26" fillId="0" borderId="66" xfId="0" applyNumberFormat="1" applyFont="1" applyBorder="1" applyAlignment="1">
      <alignment horizontal="center" vertical="center"/>
    </xf>
    <xf numFmtId="14" fontId="26" fillId="0" borderId="22" xfId="0" applyNumberFormat="1" applyFont="1" applyBorder="1" applyAlignment="1">
      <alignment horizontal="center" vertical="center"/>
    </xf>
    <xf numFmtId="14" fontId="26" fillId="0" borderId="68" xfId="0" applyNumberFormat="1" applyFont="1" applyBorder="1" applyAlignment="1">
      <alignment horizontal="center" vertical="center"/>
    </xf>
    <xf numFmtId="0" fontId="26" fillId="11" borderId="63" xfId="0" applyFont="1" applyFill="1" applyBorder="1" applyAlignment="1">
      <alignment vertical="center"/>
    </xf>
    <xf numFmtId="14" fontId="26" fillId="11" borderId="23" xfId="0" applyNumberFormat="1" applyFont="1" applyFill="1" applyBorder="1" applyAlignment="1">
      <alignment horizontal="center" vertical="center"/>
    </xf>
    <xf numFmtId="14" fontId="26" fillId="11" borderId="64" xfId="0" applyNumberFormat="1" applyFont="1" applyFill="1" applyBorder="1" applyAlignment="1">
      <alignment horizontal="center" vertical="center"/>
    </xf>
    <xf numFmtId="3" fontId="26" fillId="11" borderId="65" xfId="0" applyNumberFormat="1" applyFont="1" applyFill="1" applyBorder="1" applyAlignment="1">
      <alignment vertical="center"/>
    </xf>
    <xf numFmtId="3" fontId="26" fillId="11" borderId="0" xfId="0" applyNumberFormat="1" applyFont="1" applyFill="1" applyAlignment="1">
      <alignment horizontal="center" vertical="center"/>
    </xf>
    <xf numFmtId="3" fontId="26" fillId="11" borderId="66" xfId="0" applyNumberFormat="1" applyFont="1" applyFill="1" applyBorder="1" applyAlignment="1">
      <alignment horizontal="center" vertical="center"/>
    </xf>
    <xf numFmtId="0" fontId="69" fillId="6" borderId="73" xfId="0" applyFont="1" applyFill="1" applyBorder="1" applyAlignment="1">
      <alignment horizontal="center" vertical="center" wrapText="1"/>
    </xf>
    <xf numFmtId="0" fontId="26" fillId="0" borderId="0" xfId="1" applyNumberFormat="1" applyFont="1" applyAlignment="1">
      <alignment vertical="center"/>
    </xf>
    <xf numFmtId="214" fontId="71" fillId="9" borderId="74" xfId="0" applyNumberFormat="1" applyFont="1" applyFill="1" applyBorder="1" applyAlignment="1">
      <alignment horizontal="center" vertical="center" wrapText="1" readingOrder="1"/>
    </xf>
    <xf numFmtId="0" fontId="71" fillId="3" borderId="74" xfId="0" applyFont="1" applyFill="1" applyBorder="1" applyAlignment="1">
      <alignment horizontal="center" vertical="center" wrapText="1" readingOrder="1"/>
    </xf>
    <xf numFmtId="214" fontId="71" fillId="3" borderId="74" xfId="0" applyNumberFormat="1" applyFont="1" applyFill="1" applyBorder="1" applyAlignment="1">
      <alignment horizontal="center" vertical="center" wrapText="1" readingOrder="1"/>
    </xf>
    <xf numFmtId="0" fontId="71" fillId="9" borderId="74" xfId="0" applyFont="1" applyFill="1" applyBorder="1" applyAlignment="1">
      <alignment horizontal="center" vertical="center" wrapText="1" readingOrder="1"/>
    </xf>
    <xf numFmtId="0" fontId="25" fillId="12" borderId="0" xfId="0" applyFont="1" applyFill="1" applyAlignment="1">
      <alignment vertical="center"/>
    </xf>
    <xf numFmtId="0" fontId="25" fillId="12" borderId="0" xfId="0" applyFont="1" applyFill="1" applyAlignment="1">
      <alignment horizontal="right" vertical="center"/>
    </xf>
    <xf numFmtId="0" fontId="25" fillId="12" borderId="0" xfId="0" applyFont="1" applyFill="1" applyAlignment="1">
      <alignment horizontal="center" vertical="center"/>
    </xf>
    <xf numFmtId="0" fontId="26" fillId="12" borderId="0" xfId="0" applyFont="1" applyFill="1" applyAlignment="1">
      <alignment vertical="center"/>
    </xf>
    <xf numFmtId="0" fontId="30" fillId="13" borderId="18" xfId="0" applyFont="1" applyFill="1" applyBorder="1" applyAlignment="1">
      <alignment horizontal="right" vertical="center"/>
    </xf>
    <xf numFmtId="0" fontId="25" fillId="13" borderId="0" xfId="0" applyFont="1" applyFill="1" applyAlignment="1">
      <alignment horizontal="center" vertical="center"/>
    </xf>
    <xf numFmtId="0" fontId="25" fillId="13" borderId="0" xfId="0" applyFont="1" applyFill="1" applyAlignment="1">
      <alignment vertical="center"/>
    </xf>
    <xf numFmtId="0" fontId="25" fillId="13" borderId="21" xfId="0" applyFont="1" applyFill="1" applyBorder="1" applyAlignment="1">
      <alignment horizontal="right" vertical="center"/>
    </xf>
    <xf numFmtId="0" fontId="25" fillId="13" borderId="21" xfId="0" applyFont="1" applyFill="1" applyBorder="1" applyAlignment="1">
      <alignment horizontal="center" vertical="center"/>
    </xf>
    <xf numFmtId="0" fontId="25" fillId="13" borderId="0" xfId="0" applyFont="1" applyFill="1" applyAlignment="1">
      <alignment horizontal="right" vertical="center"/>
    </xf>
    <xf numFmtId="215" fontId="25" fillId="13" borderId="0" xfId="0" applyNumberFormat="1" applyFont="1" applyFill="1" applyAlignment="1">
      <alignment horizontal="center" vertical="center"/>
    </xf>
    <xf numFmtId="216" fontId="25" fillId="13" borderId="0" xfId="0" applyNumberFormat="1" applyFont="1" applyFill="1" applyAlignment="1">
      <alignment horizontal="center" vertical="center"/>
    </xf>
    <xf numFmtId="3" fontId="25" fillId="13" borderId="0" xfId="0" applyNumberFormat="1" applyFont="1" applyFill="1" applyAlignment="1">
      <alignment horizontal="center" vertical="center"/>
    </xf>
    <xf numFmtId="217" fontId="25" fillId="13" borderId="0" xfId="0" applyNumberFormat="1" applyFont="1" applyFill="1" applyAlignment="1">
      <alignment horizontal="center" vertical="center"/>
    </xf>
    <xf numFmtId="218" fontId="25" fillId="13" borderId="0" xfId="0" applyNumberFormat="1" applyFont="1" applyFill="1" applyAlignment="1">
      <alignment horizontal="center" vertical="center"/>
    </xf>
    <xf numFmtId="219" fontId="25" fillId="12" borderId="0" xfId="0" applyNumberFormat="1" applyFont="1" applyFill="1" applyAlignment="1">
      <alignment horizontal="center" vertical="center"/>
    </xf>
    <xf numFmtId="220" fontId="25" fillId="12" borderId="0" xfId="0" applyNumberFormat="1" applyFont="1" applyFill="1" applyAlignment="1">
      <alignment horizontal="center" vertical="center"/>
    </xf>
    <xf numFmtId="3" fontId="25" fillId="12" borderId="0" xfId="0" applyNumberFormat="1" applyFont="1" applyFill="1" applyAlignment="1">
      <alignment horizontal="center" vertical="center"/>
    </xf>
    <xf numFmtId="187" fontId="25" fillId="13" borderId="0" xfId="0" applyNumberFormat="1" applyFont="1" applyFill="1" applyAlignment="1">
      <alignment horizontal="center" vertical="center"/>
    </xf>
    <xf numFmtId="188" fontId="25" fillId="13" borderId="0" xfId="0" applyNumberFormat="1" applyFont="1" applyFill="1" applyAlignment="1">
      <alignment horizontal="center" vertical="center"/>
    </xf>
    <xf numFmtId="0" fontId="31" fillId="13" borderId="0" xfId="0" applyFont="1" applyFill="1" applyAlignment="1">
      <alignment horizontal="center" vertical="center"/>
    </xf>
    <xf numFmtId="173" fontId="32" fillId="13" borderId="0" xfId="0" applyNumberFormat="1" applyFont="1" applyFill="1" applyAlignment="1">
      <alignment horizontal="center" vertical="center"/>
    </xf>
    <xf numFmtId="0" fontId="30" fillId="12" borderId="18" xfId="0" applyFont="1" applyFill="1" applyBorder="1" applyAlignment="1">
      <alignment horizontal="right" vertical="center"/>
    </xf>
    <xf numFmtId="0" fontId="25" fillId="13" borderId="19" xfId="0" applyFont="1" applyFill="1" applyBorder="1" applyAlignment="1">
      <alignment horizontal="right" vertical="center" readingOrder="1"/>
    </xf>
    <xf numFmtId="3" fontId="26" fillId="12" borderId="0" xfId="0" applyNumberFormat="1" applyFont="1" applyFill="1" applyAlignment="1">
      <alignment horizontal="center" vertical="center" wrapText="1" shrinkToFit="1"/>
    </xf>
    <xf numFmtId="3" fontId="36" fillId="12" borderId="0" xfId="0" applyNumberFormat="1" applyFont="1" applyFill="1" applyAlignment="1">
      <alignment horizontal="center" vertical="center" wrapText="1" shrinkToFit="1"/>
    </xf>
    <xf numFmtId="3" fontId="37" fillId="12" borderId="0" xfId="0" applyNumberFormat="1" applyFont="1" applyFill="1" applyAlignment="1">
      <alignment horizontal="center" vertical="center" wrapText="1" shrinkToFit="1"/>
    </xf>
    <xf numFmtId="10" fontId="37" fillId="13" borderId="0" xfId="2" applyNumberFormat="1" applyFont="1" applyFill="1" applyAlignment="1">
      <alignment horizontal="center" vertical="center"/>
    </xf>
    <xf numFmtId="10" fontId="25" fillId="13" borderId="0" xfId="0" applyNumberFormat="1" applyFont="1" applyFill="1" applyAlignment="1">
      <alignment horizontal="right" vertical="center"/>
    </xf>
    <xf numFmtId="0" fontId="25" fillId="13" borderId="0" xfId="0" applyFont="1" applyFill="1" applyAlignment="1">
      <alignment horizontal="right" vertical="center" wrapText="1"/>
    </xf>
    <xf numFmtId="0" fontId="25" fillId="13" borderId="19" xfId="0" applyFont="1" applyFill="1" applyBorder="1" applyAlignment="1">
      <alignment horizontal="right" vertical="center"/>
    </xf>
    <xf numFmtId="0" fontId="25" fillId="13" borderId="19" xfId="0" applyFont="1" applyFill="1" applyBorder="1" applyAlignment="1">
      <alignment horizontal="center" vertical="center"/>
    </xf>
    <xf numFmtId="189" fontId="34" fillId="13" borderId="19" xfId="0" applyNumberFormat="1" applyFont="1" applyFill="1" applyBorder="1" applyAlignment="1">
      <alignment vertical="center"/>
    </xf>
    <xf numFmtId="10" fontId="32" fillId="13" borderId="0" xfId="0" applyNumberFormat="1" applyFont="1" applyFill="1" applyAlignment="1">
      <alignment horizontal="center" vertical="center"/>
    </xf>
    <xf numFmtId="0" fontId="25" fillId="13" borderId="18" xfId="0" applyFont="1" applyFill="1" applyBorder="1" applyAlignment="1">
      <alignment horizontal="center" vertical="center"/>
    </xf>
    <xf numFmtId="0" fontId="25" fillId="13" borderId="18" xfId="0" applyFont="1" applyFill="1" applyBorder="1" applyAlignment="1">
      <alignment vertical="center"/>
    </xf>
    <xf numFmtId="0" fontId="25" fillId="13" borderId="19" xfId="0" applyFont="1" applyFill="1" applyBorder="1" applyAlignment="1">
      <alignment horizontal="right" vertical="center" readingOrder="2"/>
    </xf>
    <xf numFmtId="0" fontId="25" fillId="13" borderId="19" xfId="0" applyFont="1" applyFill="1" applyBorder="1" applyAlignment="1">
      <alignment vertical="center"/>
    </xf>
    <xf numFmtId="0" fontId="35" fillId="13" borderId="19" xfId="0" applyFont="1" applyFill="1" applyBorder="1" applyAlignment="1">
      <alignment horizontal="center" vertical="center"/>
    </xf>
    <xf numFmtId="9" fontId="25" fillId="13" borderId="0" xfId="2" applyFont="1" applyFill="1" applyAlignment="1">
      <alignment horizontal="center" vertical="center"/>
    </xf>
    <xf numFmtId="0" fontId="25" fillId="13" borderId="0" xfId="0" applyFont="1" applyFill="1" applyAlignment="1">
      <alignment horizontal="right" vertical="center" readingOrder="2"/>
    </xf>
    <xf numFmtId="0" fontId="43" fillId="12" borderId="0" xfId="0" applyFont="1" applyFill="1" applyAlignment="1">
      <alignment vertical="center"/>
    </xf>
    <xf numFmtId="0" fontId="43" fillId="13" borderId="0" xfId="0" applyFont="1" applyFill="1" applyAlignment="1">
      <alignment horizontal="center" vertical="center"/>
    </xf>
    <xf numFmtId="0" fontId="25" fillId="13" borderId="0" xfId="0" applyFont="1" applyFill="1" applyAlignment="1">
      <alignment horizontal="left" vertical="center"/>
    </xf>
    <xf numFmtId="0" fontId="32" fillId="13" borderId="20" xfId="0" applyFont="1" applyFill="1" applyBorder="1" applyAlignment="1">
      <alignment horizontal="right" vertical="center"/>
    </xf>
    <xf numFmtId="0" fontId="32" fillId="13" borderId="20" xfId="0" applyFont="1" applyFill="1" applyBorder="1" applyAlignment="1">
      <alignment horizontal="center" vertical="center"/>
    </xf>
    <xf numFmtId="0" fontId="32" fillId="13" borderId="20" xfId="0" applyFont="1" applyFill="1" applyBorder="1" applyAlignment="1">
      <alignment vertical="center"/>
    </xf>
    <xf numFmtId="9" fontId="32" fillId="13" borderId="20" xfId="2" applyFont="1" applyFill="1" applyBorder="1" applyAlignment="1">
      <alignment horizontal="center" vertical="center"/>
    </xf>
    <xf numFmtId="3" fontId="32" fillId="13" borderId="20" xfId="0" applyNumberFormat="1" applyFont="1" applyFill="1" applyBorder="1" applyAlignment="1">
      <alignment horizontal="center" vertical="center"/>
    </xf>
    <xf numFmtId="0" fontId="32" fillId="13" borderId="0" xfId="0" applyFont="1" applyFill="1" applyAlignment="1">
      <alignment horizontal="right" vertical="center"/>
    </xf>
    <xf numFmtId="0" fontId="32" fillId="13" borderId="0" xfId="0" applyFont="1" applyFill="1" applyAlignment="1">
      <alignment horizontal="center" vertical="center"/>
    </xf>
    <xf numFmtId="9" fontId="32" fillId="13" borderId="0" xfId="2" applyFont="1" applyFill="1" applyBorder="1" applyAlignment="1">
      <alignment horizontal="center" vertical="center"/>
    </xf>
    <xf numFmtId="3" fontId="32" fillId="13" borderId="0" xfId="0" applyNumberFormat="1" applyFont="1" applyFill="1" applyAlignment="1">
      <alignment horizontal="center" vertical="center"/>
    </xf>
    <xf numFmtId="0" fontId="32" fillId="13" borderId="0" xfId="0" applyFont="1" applyFill="1" applyAlignment="1">
      <alignment vertical="center"/>
    </xf>
    <xf numFmtId="38" fontId="25" fillId="13" borderId="0" xfId="0" applyNumberFormat="1" applyFont="1" applyFill="1" applyAlignment="1">
      <alignment horizontal="center" vertical="center"/>
    </xf>
    <xf numFmtId="0" fontId="29" fillId="13" borderId="0" xfId="0" applyFont="1" applyFill="1" applyAlignment="1">
      <alignment horizontal="right" vertical="center"/>
    </xf>
    <xf numFmtId="38" fontId="29" fillId="13" borderId="0" xfId="0" applyNumberFormat="1" applyFont="1" applyFill="1" applyAlignment="1">
      <alignment horizontal="center" vertical="center"/>
    </xf>
    <xf numFmtId="191" fontId="29" fillId="13" borderId="0" xfId="0" applyNumberFormat="1" applyFont="1" applyFill="1" applyAlignment="1">
      <alignment horizontal="right" vertical="center"/>
    </xf>
    <xf numFmtId="192" fontId="29" fillId="13" borderId="0" xfId="0" applyNumberFormat="1" applyFont="1" applyFill="1" applyAlignment="1">
      <alignment horizontal="right" vertical="center"/>
    </xf>
    <xf numFmtId="193" fontId="29" fillId="13" borderId="0" xfId="0" applyNumberFormat="1" applyFont="1" applyFill="1" applyAlignment="1">
      <alignment horizontal="right" vertical="center"/>
    </xf>
    <xf numFmtId="194" fontId="29" fillId="13" borderId="0" xfId="0" applyNumberFormat="1" applyFont="1" applyFill="1" applyAlignment="1">
      <alignment horizontal="right" vertical="center"/>
    </xf>
    <xf numFmtId="1" fontId="26" fillId="12" borderId="0" xfId="0" applyNumberFormat="1" applyFont="1" applyFill="1" applyAlignment="1">
      <alignment vertical="center"/>
    </xf>
    <xf numFmtId="38" fontId="32" fillId="13" borderId="20" xfId="0" applyNumberFormat="1" applyFont="1" applyFill="1" applyBorder="1" applyAlignment="1">
      <alignment horizontal="center" vertical="center"/>
    </xf>
    <xf numFmtId="3" fontId="29" fillId="13" borderId="0" xfId="0" applyNumberFormat="1" applyFont="1" applyFill="1" applyAlignment="1">
      <alignment horizontal="right" vertical="center"/>
    </xf>
    <xf numFmtId="38" fontId="25" fillId="12" borderId="0" xfId="0" applyNumberFormat="1" applyFont="1" applyFill="1" applyAlignment="1">
      <alignment horizontal="center" vertical="center"/>
    </xf>
    <xf numFmtId="0" fontId="30" fillId="13" borderId="22" xfId="0" applyFont="1" applyFill="1" applyBorder="1" applyAlignment="1">
      <alignment horizontal="center" vertical="center"/>
    </xf>
    <xf numFmtId="3" fontId="25" fillId="12" borderId="22" xfId="0" applyNumberFormat="1" applyFont="1" applyFill="1" applyBorder="1" applyAlignment="1">
      <alignment horizontal="center" vertical="center" wrapText="1" shrinkToFit="1"/>
    </xf>
    <xf numFmtId="9" fontId="73" fillId="14" borderId="23" xfId="0" applyNumberFormat="1" applyFont="1" applyFill="1" applyBorder="1" applyAlignment="1">
      <alignment horizontal="center" vertical="center"/>
    </xf>
    <xf numFmtId="3" fontId="73" fillId="15" borderId="0" xfId="0" applyNumberFormat="1" applyFont="1" applyFill="1" applyAlignment="1">
      <alignment horizontal="center" vertical="center"/>
    </xf>
    <xf numFmtId="9" fontId="73" fillId="14" borderId="0" xfId="0" applyNumberFormat="1" applyFont="1" applyFill="1" applyAlignment="1">
      <alignment horizontal="center" vertical="center"/>
    </xf>
    <xf numFmtId="9" fontId="73" fillId="15" borderId="0" xfId="0" applyNumberFormat="1" applyFont="1" applyFill="1" applyAlignment="1">
      <alignment horizontal="center" vertical="center"/>
    </xf>
    <xf numFmtId="9" fontId="75" fillId="14" borderId="0" xfId="0" applyNumberFormat="1" applyFont="1" applyFill="1" applyAlignment="1">
      <alignment horizontal="center" vertical="center"/>
    </xf>
    <xf numFmtId="3" fontId="75" fillId="15" borderId="0" xfId="0" applyNumberFormat="1" applyFont="1" applyFill="1" applyAlignment="1">
      <alignment horizontal="center" vertical="center"/>
    </xf>
    <xf numFmtId="9" fontId="75" fillId="15" borderId="0" xfId="0" applyNumberFormat="1" applyFont="1" applyFill="1" applyAlignment="1">
      <alignment horizontal="center" vertical="center"/>
    </xf>
    <xf numFmtId="0" fontId="74" fillId="14" borderId="0" xfId="0" applyFont="1" applyFill="1" applyAlignment="1">
      <alignment horizontal="right" vertical="center" wrapText="1"/>
    </xf>
    <xf numFmtId="9" fontId="74" fillId="15" borderId="0" xfId="0" applyNumberFormat="1" applyFont="1" applyFill="1" applyAlignment="1">
      <alignment horizontal="right" vertical="center" wrapText="1"/>
    </xf>
    <xf numFmtId="0" fontId="74" fillId="14" borderId="0" xfId="0" applyFont="1" applyFill="1" applyAlignment="1">
      <alignment horizontal="right" vertical="center"/>
    </xf>
    <xf numFmtId="0" fontId="74" fillId="15" borderId="0" xfId="0" applyFont="1" applyFill="1" applyAlignment="1">
      <alignment horizontal="right" vertical="center"/>
    </xf>
    <xf numFmtId="221" fontId="6" fillId="4" borderId="10" xfId="2" applyNumberFormat="1" applyFont="1" applyFill="1" applyBorder="1" applyAlignment="1">
      <alignment horizontal="center" vertical="center" wrapText="1" shrinkToFit="1"/>
    </xf>
    <xf numFmtId="222" fontId="14" fillId="0" borderId="0" xfId="0" applyNumberFormat="1" applyFont="1" applyAlignment="1">
      <alignment horizontal="center" vertical="center" wrapText="1" shrinkToFit="1"/>
    </xf>
    <xf numFmtId="3" fontId="26" fillId="0" borderId="0" xfId="0" applyNumberFormat="1" applyFont="1" applyAlignment="1">
      <alignment horizontal="right" vertical="center"/>
    </xf>
    <xf numFmtId="38" fontId="68" fillId="0" borderId="0" xfId="0" applyNumberFormat="1" applyFont="1" applyAlignment="1">
      <alignment horizontal="center" vertical="center"/>
    </xf>
    <xf numFmtId="38" fontId="12" fillId="0" borderId="0" xfId="0" applyNumberFormat="1" applyFont="1" applyAlignment="1">
      <alignment horizontal="center" vertical="center" wrapText="1" shrinkToFit="1"/>
    </xf>
    <xf numFmtId="38" fontId="14" fillId="0" borderId="0" xfId="2" applyNumberFormat="1" applyFont="1" applyAlignment="1">
      <alignment horizontal="center" vertical="center" wrapText="1" shrinkToFit="1"/>
    </xf>
    <xf numFmtId="3" fontId="7" fillId="2" borderId="1" xfId="0" applyNumberFormat="1" applyFont="1" applyFill="1" applyBorder="1" applyAlignment="1">
      <alignment horizontal="center" vertical="center" wrapText="1" shrinkToFit="1"/>
    </xf>
    <xf numFmtId="3" fontId="7" fillId="2" borderId="2" xfId="0" applyNumberFormat="1" applyFont="1" applyFill="1" applyBorder="1" applyAlignment="1">
      <alignment horizontal="center" vertical="center" wrapText="1" shrinkToFit="1"/>
    </xf>
    <xf numFmtId="3" fontId="7" fillId="2" borderId="3" xfId="0" applyNumberFormat="1" applyFont="1" applyFill="1" applyBorder="1" applyAlignment="1">
      <alignment horizontal="center" vertical="center" wrapText="1" shrinkToFit="1"/>
    </xf>
    <xf numFmtId="3" fontId="12" fillId="2" borderId="69" xfId="0" applyNumberFormat="1" applyFont="1" applyFill="1" applyBorder="1" applyAlignment="1">
      <alignment horizontal="center" vertical="center" wrapText="1" shrinkToFit="1"/>
    </xf>
    <xf numFmtId="3" fontId="12" fillId="2" borderId="70" xfId="0" applyNumberFormat="1" applyFont="1" applyFill="1" applyBorder="1" applyAlignment="1">
      <alignment horizontal="center" vertical="center" wrapText="1" shrinkToFit="1"/>
    </xf>
    <xf numFmtId="3" fontId="12" fillId="2" borderId="71" xfId="0" applyNumberFormat="1" applyFont="1" applyFill="1" applyBorder="1" applyAlignment="1">
      <alignment horizontal="center" vertical="center" wrapText="1" shrinkToFit="1"/>
    </xf>
    <xf numFmtId="3" fontId="62" fillId="2" borderId="0" xfId="0" applyNumberFormat="1" applyFont="1" applyFill="1" applyAlignment="1">
      <alignment horizontal="center" vertical="center" wrapText="1" shrinkToFit="1"/>
    </xf>
    <xf numFmtId="3" fontId="17" fillId="0" borderId="41" xfId="0" applyNumberFormat="1" applyFont="1" applyBorder="1" applyAlignment="1">
      <alignment horizontal="center" vertical="center" wrapText="1" shrinkToFit="1"/>
    </xf>
    <xf numFmtId="3" fontId="6" fillId="2" borderId="43" xfId="0" applyNumberFormat="1" applyFont="1" applyFill="1" applyBorder="1" applyAlignment="1">
      <alignment horizontal="center" vertical="center" wrapText="1" shrinkToFit="1"/>
    </xf>
    <xf numFmtId="3" fontId="6" fillId="2" borderId="44" xfId="0" applyNumberFormat="1" applyFont="1" applyFill="1" applyBorder="1" applyAlignment="1">
      <alignment horizontal="center" vertical="center" wrapText="1" shrinkToFit="1"/>
    </xf>
    <xf numFmtId="3" fontId="7" fillId="2" borderId="42" xfId="0" applyNumberFormat="1" applyFont="1" applyFill="1" applyBorder="1" applyAlignment="1">
      <alignment horizontal="center" vertical="center" wrapText="1" shrinkToFit="1"/>
    </xf>
    <xf numFmtId="3" fontId="7" fillId="2" borderId="32" xfId="0" applyNumberFormat="1" applyFont="1" applyFill="1" applyBorder="1" applyAlignment="1">
      <alignment horizontal="center" vertical="center" wrapText="1" shrinkToFit="1"/>
    </xf>
    <xf numFmtId="3" fontId="12" fillId="2" borderId="8" xfId="0" applyNumberFormat="1" applyFont="1" applyFill="1" applyBorder="1" applyAlignment="1">
      <alignment horizontal="center" vertical="center" wrapText="1" shrinkToFit="1"/>
    </xf>
    <xf numFmtId="3" fontId="12" fillId="0" borderId="5" xfId="0" applyNumberFormat="1" applyFont="1" applyBorder="1" applyAlignment="1">
      <alignment horizontal="center" vertical="center" wrapText="1" shrinkToFit="1"/>
    </xf>
    <xf numFmtId="3" fontId="12" fillId="0" borderId="6" xfId="0" applyNumberFormat="1" applyFont="1" applyBorder="1" applyAlignment="1">
      <alignment horizontal="center" vertical="center" wrapText="1" shrinkToFit="1"/>
    </xf>
    <xf numFmtId="3" fontId="8" fillId="2" borderId="4" xfId="0" applyNumberFormat="1" applyFont="1" applyFill="1" applyBorder="1" applyAlignment="1">
      <alignment horizontal="center" vertical="center" wrapText="1" shrinkToFit="1"/>
    </xf>
    <xf numFmtId="3" fontId="8" fillId="2" borderId="5" xfId="0" applyNumberFormat="1" applyFont="1" applyFill="1" applyBorder="1" applyAlignment="1">
      <alignment horizontal="center" vertical="center" wrapText="1" shrinkToFit="1"/>
    </xf>
    <xf numFmtId="3" fontId="8" fillId="2" borderId="6" xfId="0" applyNumberFormat="1" applyFont="1" applyFill="1" applyBorder="1" applyAlignment="1">
      <alignment horizontal="center" vertical="center" wrapText="1" shrinkToFit="1"/>
    </xf>
    <xf numFmtId="9" fontId="47" fillId="0" borderId="6" xfId="2" applyFont="1" applyFill="1" applyBorder="1" applyAlignment="1">
      <alignment horizontal="center" vertical="center" wrapText="1" shrinkToFit="1"/>
    </xf>
    <xf numFmtId="3" fontId="3" fillId="0" borderId="4" xfId="0" applyNumberFormat="1" applyFont="1" applyBorder="1" applyAlignment="1">
      <alignment horizontal="center" vertical="center" wrapText="1" shrinkToFit="1"/>
    </xf>
    <xf numFmtId="9" fontId="47" fillId="3" borderId="6" xfId="2" applyFont="1" applyFill="1" applyBorder="1" applyAlignment="1">
      <alignment horizontal="center" vertical="center" wrapText="1" shrinkToFit="1"/>
    </xf>
    <xf numFmtId="3" fontId="3" fillId="3" borderId="4" xfId="0" applyNumberFormat="1" applyFont="1" applyFill="1" applyBorder="1" applyAlignment="1">
      <alignment horizontal="center" vertical="center" wrapText="1" shrinkToFit="1"/>
    </xf>
    <xf numFmtId="3" fontId="12" fillId="3" borderId="5" xfId="0" applyNumberFormat="1" applyFont="1" applyFill="1" applyBorder="1" applyAlignment="1">
      <alignment horizontal="center" vertical="center" wrapText="1" shrinkToFit="1"/>
    </xf>
    <xf numFmtId="3" fontId="12" fillId="3" borderId="6" xfId="0" applyNumberFormat="1" applyFont="1" applyFill="1" applyBorder="1" applyAlignment="1">
      <alignment horizontal="center" vertical="center" wrapText="1" shrinkToFit="1"/>
    </xf>
    <xf numFmtId="3" fontId="8" fillId="2" borderId="5" xfId="0" applyNumberFormat="1" applyFont="1" applyFill="1" applyBorder="1" applyAlignment="1">
      <alignment horizontal="center" vertical="center" shrinkToFit="1"/>
    </xf>
    <xf numFmtId="168" fontId="12" fillId="0" borderId="5" xfId="0" applyNumberFormat="1" applyFont="1" applyBorder="1" applyAlignment="1">
      <alignment horizontal="center" vertical="center" wrapText="1" shrinkToFit="1"/>
    </xf>
    <xf numFmtId="173" fontId="47" fillId="3" borderId="6" xfId="2" applyNumberFormat="1" applyFont="1" applyFill="1" applyBorder="1" applyAlignment="1">
      <alignment horizontal="center" vertical="center" wrapText="1" shrinkToFit="1"/>
    </xf>
    <xf numFmtId="38" fontId="12" fillId="2" borderId="8" xfId="0" applyNumberFormat="1" applyFont="1" applyFill="1" applyBorder="1" applyAlignment="1">
      <alignment horizontal="center" vertical="center" wrapText="1" shrinkToFit="1"/>
    </xf>
    <xf numFmtId="38" fontId="12" fillId="2" borderId="9" xfId="0" applyNumberFormat="1" applyFont="1" applyFill="1" applyBorder="1" applyAlignment="1">
      <alignment horizontal="center" vertical="center" wrapText="1" shrinkToFit="1"/>
    </xf>
    <xf numFmtId="3" fontId="3" fillId="0" borderId="5" xfId="0" applyNumberFormat="1" applyFont="1" applyBorder="1" applyAlignment="1">
      <alignment horizontal="center" vertical="center" wrapText="1" shrinkToFit="1"/>
    </xf>
    <xf numFmtId="3" fontId="3" fillId="0" borderId="6" xfId="0" applyNumberFormat="1" applyFont="1" applyBorder="1" applyAlignment="1">
      <alignment horizontal="center" vertical="center" wrapText="1" shrinkToFit="1"/>
    </xf>
    <xf numFmtId="173" fontId="47" fillId="0" borderId="6" xfId="2" applyNumberFormat="1" applyFont="1" applyFill="1" applyBorder="1" applyAlignment="1">
      <alignment horizontal="center" vertical="center" wrapText="1" shrinkToFit="1"/>
    </xf>
    <xf numFmtId="173" fontId="47" fillId="0" borderId="9" xfId="2" applyNumberFormat="1" applyFont="1" applyFill="1" applyBorder="1" applyAlignment="1">
      <alignment horizontal="center" vertical="center" wrapText="1" shrinkToFit="1"/>
    </xf>
    <xf numFmtId="3" fontId="3" fillId="0" borderId="7" xfId="0" applyNumberFormat="1" applyFont="1" applyBorder="1" applyAlignment="1">
      <alignment horizontal="center" vertical="center" wrapText="1" shrinkToFit="1"/>
    </xf>
    <xf numFmtId="9" fontId="3" fillId="0" borderId="6" xfId="2" applyFont="1" applyBorder="1" applyAlignment="1">
      <alignment horizontal="center" vertical="center" wrapText="1" shrinkToFit="1"/>
    </xf>
    <xf numFmtId="3" fontId="8" fillId="2" borderId="45" xfId="0" applyNumberFormat="1" applyFont="1" applyFill="1" applyBorder="1" applyAlignment="1">
      <alignment horizontal="center" vertical="center" wrapText="1" shrinkToFit="1"/>
    </xf>
    <xf numFmtId="3" fontId="8" fillId="2" borderId="46" xfId="0" applyNumberFormat="1" applyFont="1" applyFill="1" applyBorder="1" applyAlignment="1">
      <alignment horizontal="center" vertical="center" wrapText="1" shrinkToFit="1"/>
    </xf>
    <xf numFmtId="3" fontId="8" fillId="2" borderId="47" xfId="0" applyNumberFormat="1" applyFont="1" applyFill="1" applyBorder="1" applyAlignment="1">
      <alignment horizontal="center" vertical="center" wrapText="1" shrinkToFit="1"/>
    </xf>
    <xf numFmtId="3" fontId="18" fillId="2" borderId="61" xfId="0" applyNumberFormat="1" applyFont="1" applyFill="1" applyBorder="1" applyAlignment="1">
      <alignment horizontal="center" vertical="center" wrapText="1" shrinkToFit="1"/>
    </xf>
    <xf numFmtId="3" fontId="18" fillId="2" borderId="62" xfId="0" applyNumberFormat="1" applyFont="1" applyFill="1" applyBorder="1" applyAlignment="1">
      <alignment horizontal="center" vertical="center" wrapText="1" shrinkToFit="1"/>
    </xf>
    <xf numFmtId="3" fontId="18" fillId="2" borderId="55" xfId="0" applyNumberFormat="1" applyFont="1" applyFill="1" applyBorder="1" applyAlignment="1">
      <alignment horizontal="center" vertical="center" wrapText="1" shrinkToFit="1"/>
    </xf>
    <xf numFmtId="3" fontId="7" fillId="2" borderId="49" xfId="0" applyNumberFormat="1" applyFont="1" applyFill="1" applyBorder="1" applyAlignment="1">
      <alignment horizontal="center" vertical="center" wrapText="1" shrinkToFit="1"/>
    </xf>
    <xf numFmtId="3" fontId="7" fillId="2" borderId="50" xfId="0" applyNumberFormat="1" applyFont="1" applyFill="1" applyBorder="1" applyAlignment="1">
      <alignment horizontal="center" vertical="center" wrapText="1" shrinkToFit="1"/>
    </xf>
    <xf numFmtId="3" fontId="7" fillId="2" borderId="28" xfId="0" applyNumberFormat="1" applyFont="1" applyFill="1" applyBorder="1" applyAlignment="1">
      <alignment horizontal="center" vertical="center" wrapText="1" shrinkToFit="1"/>
    </xf>
    <xf numFmtId="3" fontId="7" fillId="2" borderId="45" xfId="0" applyNumberFormat="1" applyFont="1" applyFill="1" applyBorder="1" applyAlignment="1">
      <alignment horizontal="center" vertical="center" wrapText="1" shrinkToFit="1"/>
    </xf>
    <xf numFmtId="3" fontId="7" fillId="2" borderId="46" xfId="0" applyNumberFormat="1" applyFont="1" applyFill="1" applyBorder="1" applyAlignment="1">
      <alignment horizontal="center" vertical="center" wrapText="1" shrinkToFit="1"/>
    </xf>
    <xf numFmtId="3" fontId="7" fillId="2" borderId="47" xfId="0" applyNumberFormat="1" applyFont="1" applyFill="1" applyBorder="1" applyAlignment="1">
      <alignment horizontal="center" vertical="center" wrapText="1" shrinkToFit="1"/>
    </xf>
    <xf numFmtId="3" fontId="53" fillId="0" borderId="30" xfId="2" applyNumberFormat="1" applyFont="1" applyBorder="1" applyAlignment="1">
      <alignment horizontal="center" vertical="center" wrapText="1" shrinkToFit="1"/>
    </xf>
    <xf numFmtId="3" fontId="53" fillId="0" borderId="47" xfId="2" applyNumberFormat="1" applyFont="1" applyBorder="1" applyAlignment="1">
      <alignment horizontal="center" vertical="center" wrapText="1" shrinkToFit="1"/>
    </xf>
    <xf numFmtId="3" fontId="53" fillId="3" borderId="30" xfId="2" applyNumberFormat="1" applyFont="1" applyFill="1" applyBorder="1" applyAlignment="1">
      <alignment horizontal="center" vertical="center" wrapText="1" shrinkToFit="1"/>
    </xf>
    <xf numFmtId="3" fontId="53" fillId="3" borderId="47" xfId="2" applyNumberFormat="1" applyFont="1" applyFill="1" applyBorder="1" applyAlignment="1">
      <alignment horizontal="center" vertical="center" wrapText="1" shrinkToFit="1"/>
    </xf>
    <xf numFmtId="3" fontId="6" fillId="0" borderId="30" xfId="0" applyNumberFormat="1" applyFont="1" applyBorder="1" applyAlignment="1">
      <alignment horizontal="center" vertical="center" wrapText="1" shrinkToFit="1"/>
    </xf>
    <xf numFmtId="3" fontId="6" fillId="0" borderId="47" xfId="0" applyNumberFormat="1" applyFont="1" applyBorder="1" applyAlignment="1">
      <alignment horizontal="center" vertical="center" wrapText="1" shrinkToFit="1"/>
    </xf>
    <xf numFmtId="9" fontId="6" fillId="3" borderId="30" xfId="2" applyFont="1" applyFill="1" applyBorder="1" applyAlignment="1">
      <alignment horizontal="center" vertical="center" wrapText="1" shrinkToFit="1"/>
    </xf>
    <xf numFmtId="9" fontId="6" fillId="3" borderId="47" xfId="2" applyFont="1" applyFill="1" applyBorder="1" applyAlignment="1">
      <alignment horizontal="center" vertical="center" wrapText="1" shrinkToFit="1"/>
    </xf>
    <xf numFmtId="3" fontId="56" fillId="2" borderId="51" xfId="0" applyNumberFormat="1" applyFont="1" applyFill="1" applyBorder="1" applyAlignment="1">
      <alignment horizontal="center" vertical="center" wrapText="1" shrinkToFit="1"/>
    </xf>
    <xf numFmtId="3" fontId="56" fillId="2" borderId="41" xfId="0" applyNumberFormat="1" applyFont="1" applyFill="1" applyBorder="1" applyAlignment="1">
      <alignment horizontal="center" vertical="center" wrapText="1" shrinkToFit="1"/>
    </xf>
    <xf numFmtId="3" fontId="56" fillId="2" borderId="52" xfId="0" applyNumberFormat="1" applyFont="1" applyFill="1" applyBorder="1" applyAlignment="1">
      <alignment horizontal="center" vertical="center" wrapText="1" shrinkToFit="1"/>
    </xf>
    <xf numFmtId="3" fontId="56" fillId="2" borderId="53" xfId="0" applyNumberFormat="1" applyFont="1" applyFill="1" applyBorder="1" applyAlignment="1">
      <alignment horizontal="center" vertical="center" wrapText="1" shrinkToFit="1"/>
    </xf>
    <xf numFmtId="3" fontId="56" fillId="2" borderId="0" xfId="0" applyNumberFormat="1" applyFont="1" applyFill="1" applyAlignment="1">
      <alignment horizontal="center" vertical="center" wrapText="1" shrinkToFit="1"/>
    </xf>
    <xf numFmtId="3" fontId="56" fillId="2" borderId="54" xfId="0" applyNumberFormat="1" applyFont="1" applyFill="1" applyBorder="1" applyAlignment="1">
      <alignment horizontal="center" vertical="center" wrapText="1" shrinkToFit="1"/>
    </xf>
    <xf numFmtId="3" fontId="56" fillId="2" borderId="42" xfId="0" applyNumberFormat="1" applyFont="1" applyFill="1" applyBorder="1" applyAlignment="1">
      <alignment horizontal="center" vertical="center" wrapText="1" shrinkToFit="1"/>
    </xf>
    <xf numFmtId="3" fontId="56" fillId="2" borderId="32" xfId="0" applyNumberFormat="1" applyFont="1" applyFill="1" applyBorder="1" applyAlignment="1">
      <alignment horizontal="center" vertical="center" wrapText="1" shrinkToFit="1"/>
    </xf>
    <xf numFmtId="3" fontId="56" fillId="2" borderId="48" xfId="0" applyNumberFormat="1" applyFont="1" applyFill="1" applyBorder="1" applyAlignment="1">
      <alignment horizontal="center" vertical="center" wrapText="1" shrinkToFit="1"/>
    </xf>
    <xf numFmtId="9" fontId="18" fillId="2" borderId="45" xfId="2" applyFont="1" applyFill="1" applyBorder="1" applyAlignment="1">
      <alignment horizontal="center" vertical="center" wrapText="1" shrinkToFit="1"/>
    </xf>
    <xf numFmtId="9" fontId="18" fillId="2" borderId="46" xfId="2" applyFont="1" applyFill="1" applyBorder="1" applyAlignment="1">
      <alignment horizontal="center" vertical="center" wrapText="1" shrinkToFit="1"/>
    </xf>
    <xf numFmtId="9" fontId="18" fillId="2" borderId="47" xfId="2" applyFont="1" applyFill="1" applyBorder="1" applyAlignment="1">
      <alignment horizontal="center" vertical="center" wrapText="1" shrinkToFit="1"/>
    </xf>
    <xf numFmtId="10" fontId="6" fillId="3" borderId="30" xfId="2" applyNumberFormat="1" applyFont="1" applyFill="1" applyBorder="1" applyAlignment="1">
      <alignment horizontal="center" vertical="center" wrapText="1" shrinkToFit="1"/>
    </xf>
    <xf numFmtId="10" fontId="6" fillId="3" borderId="47" xfId="2" applyNumberFormat="1" applyFont="1" applyFill="1" applyBorder="1" applyAlignment="1">
      <alignment horizontal="center" vertical="center" wrapText="1" shrinkToFit="1"/>
    </xf>
    <xf numFmtId="3" fontId="48" fillId="3" borderId="30" xfId="0" applyNumberFormat="1" applyFont="1" applyFill="1" applyBorder="1" applyAlignment="1">
      <alignment horizontal="center" vertical="center" wrapText="1" shrinkToFit="1"/>
    </xf>
    <xf numFmtId="3" fontId="48" fillId="3" borderId="47" xfId="0" applyNumberFormat="1" applyFont="1" applyFill="1" applyBorder="1" applyAlignment="1">
      <alignment horizontal="center" vertical="center" wrapText="1" shrinkToFit="1"/>
    </xf>
    <xf numFmtId="9" fontId="6" fillId="0" borderId="30" xfId="2" applyFont="1" applyFill="1" applyBorder="1" applyAlignment="1">
      <alignment horizontal="center" vertical="center" wrapText="1" shrinkToFit="1"/>
    </xf>
    <xf numFmtId="9" fontId="6" fillId="0" borderId="47" xfId="2" applyFont="1" applyFill="1" applyBorder="1" applyAlignment="1">
      <alignment horizontal="center" vertical="center" wrapText="1" shrinkToFit="1"/>
    </xf>
    <xf numFmtId="10" fontId="6" fillId="0" borderId="30" xfId="2" applyNumberFormat="1" applyFont="1" applyFill="1" applyBorder="1" applyAlignment="1">
      <alignment horizontal="center" vertical="center" wrapText="1" shrinkToFit="1"/>
    </xf>
    <xf numFmtId="10" fontId="6" fillId="0" borderId="47" xfId="2" applyNumberFormat="1" applyFont="1" applyFill="1" applyBorder="1" applyAlignment="1">
      <alignment horizontal="center" vertical="center" wrapText="1" shrinkToFit="1"/>
    </xf>
    <xf numFmtId="4" fontId="6" fillId="0" borderId="30" xfId="0" applyNumberFormat="1" applyFont="1" applyBorder="1" applyAlignment="1">
      <alignment horizontal="center" vertical="center" wrapText="1" shrinkToFit="1"/>
    </xf>
    <xf numFmtId="4" fontId="6" fillId="0" borderId="47" xfId="0" applyNumberFormat="1" applyFont="1" applyBorder="1" applyAlignment="1">
      <alignment horizontal="center" vertical="center" wrapText="1" shrinkToFit="1"/>
    </xf>
    <xf numFmtId="166" fontId="49" fillId="0" borderId="30" xfId="2" applyNumberFormat="1" applyFont="1" applyFill="1" applyBorder="1" applyAlignment="1">
      <alignment horizontal="center" vertical="center" wrapText="1" shrinkToFit="1"/>
    </xf>
    <xf numFmtId="166" fontId="49" fillId="0" borderId="47" xfId="2" applyNumberFormat="1" applyFont="1" applyFill="1" applyBorder="1" applyAlignment="1">
      <alignment horizontal="center" vertical="center" wrapText="1" shrinkToFit="1"/>
    </xf>
    <xf numFmtId="3" fontId="6" fillId="0" borderId="25" xfId="0" applyNumberFormat="1" applyFont="1" applyBorder="1" applyAlignment="1">
      <alignment horizontal="center" vertical="center" wrapText="1" shrinkToFit="1"/>
    </xf>
    <xf numFmtId="3" fontId="6" fillId="0" borderId="60" xfId="0" applyNumberFormat="1" applyFont="1" applyBorder="1" applyAlignment="1">
      <alignment horizontal="center" vertical="center" wrapText="1" shrinkToFit="1"/>
    </xf>
    <xf numFmtId="3" fontId="6" fillId="0" borderId="27" xfId="0" applyNumberFormat="1" applyFont="1" applyBorder="1" applyAlignment="1">
      <alignment horizontal="center" vertical="center" wrapText="1" shrinkToFit="1"/>
    </xf>
    <xf numFmtId="3" fontId="3" fillId="3" borderId="5" xfId="0" applyNumberFormat="1" applyFont="1" applyFill="1" applyBorder="1" applyAlignment="1">
      <alignment horizontal="center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10" fontId="12" fillId="0" borderId="5" xfId="0" applyNumberFormat="1" applyFont="1" applyBorder="1" applyAlignment="1">
      <alignment horizontal="center" vertical="center" wrapText="1" shrinkToFit="1"/>
    </xf>
    <xf numFmtId="10" fontId="12" fillId="3" borderId="8" xfId="0" applyNumberFormat="1" applyFont="1" applyFill="1" applyBorder="1" applyAlignment="1">
      <alignment horizontal="center" vertical="center" wrapText="1" shrinkToFit="1"/>
    </xf>
    <xf numFmtId="49" fontId="3" fillId="0" borderId="4" xfId="0" applyNumberFormat="1" applyFont="1" applyBorder="1" applyAlignment="1">
      <alignment horizontal="center" vertical="center" wrapText="1" shrinkToFit="1"/>
    </xf>
    <xf numFmtId="49" fontId="3" fillId="0" borderId="5" xfId="0" applyNumberFormat="1" applyFont="1" applyBorder="1" applyAlignment="1">
      <alignment horizontal="center" vertical="center" wrapText="1" shrinkToFit="1"/>
    </xf>
    <xf numFmtId="3" fontId="17" fillId="0" borderId="0" xfId="0" applyNumberFormat="1" applyFont="1" applyAlignment="1">
      <alignment horizontal="center" vertical="center" wrapText="1" shrinkToFit="1"/>
    </xf>
    <xf numFmtId="3" fontId="8" fillId="2" borderId="4" xfId="0" applyNumberFormat="1" applyFont="1" applyFill="1" applyBorder="1" applyAlignment="1">
      <alignment horizontal="center" vertical="center" shrinkToFit="1"/>
    </xf>
    <xf numFmtId="3" fontId="8" fillId="2" borderId="6" xfId="0" applyNumberFormat="1" applyFont="1" applyFill="1" applyBorder="1" applyAlignment="1">
      <alignment horizontal="center" vertical="center" shrinkToFit="1"/>
    </xf>
    <xf numFmtId="3" fontId="16" fillId="3" borderId="5" xfId="0" applyNumberFormat="1" applyFont="1" applyFill="1" applyBorder="1" applyAlignment="1">
      <alignment horizontal="center" vertical="center" wrapText="1" shrinkToFit="1"/>
    </xf>
    <xf numFmtId="3" fontId="16" fillId="3" borderId="6" xfId="0" applyNumberFormat="1" applyFont="1" applyFill="1" applyBorder="1" applyAlignment="1">
      <alignment horizontal="center" vertical="center" wrapText="1" shrinkToFit="1"/>
    </xf>
    <xf numFmtId="38" fontId="12" fillId="3" borderId="5" xfId="1" applyNumberFormat="1" applyFont="1" applyFill="1" applyBorder="1" applyAlignment="1">
      <alignment horizontal="center" vertical="center" wrapText="1" shrinkToFit="1"/>
    </xf>
    <xf numFmtId="38" fontId="12" fillId="3" borderId="8" xfId="1" applyNumberFormat="1" applyFont="1" applyFill="1" applyBorder="1" applyAlignment="1">
      <alignment horizontal="center" vertical="center" wrapText="1" shrinkToFit="1"/>
    </xf>
    <xf numFmtId="38" fontId="12" fillId="0" borderId="24" xfId="1" applyNumberFormat="1" applyFont="1" applyFill="1" applyBorder="1" applyAlignment="1">
      <alignment horizontal="center" vertical="center" wrapText="1" shrinkToFit="1"/>
    </xf>
    <xf numFmtId="38" fontId="12" fillId="0" borderId="5" xfId="1" applyNumberFormat="1" applyFont="1" applyFill="1" applyBorder="1" applyAlignment="1">
      <alignment horizontal="center" vertical="center" wrapText="1" shrinkToFit="1"/>
    </xf>
    <xf numFmtId="3" fontId="3" fillId="3" borderId="25" xfId="0" applyNumberFormat="1" applyFont="1" applyFill="1" applyBorder="1" applyAlignment="1">
      <alignment horizontal="center" vertical="center" wrapText="1" shrinkToFit="1"/>
    </xf>
    <xf numFmtId="3" fontId="3" fillId="3" borderId="72" xfId="0" applyNumberFormat="1" applyFont="1" applyFill="1" applyBorder="1" applyAlignment="1">
      <alignment horizontal="center" vertical="center" wrapText="1" shrinkToFit="1"/>
    </xf>
    <xf numFmtId="38" fontId="12" fillId="3" borderId="5" xfId="0" applyNumberFormat="1" applyFont="1" applyFill="1" applyBorder="1" applyAlignment="1">
      <alignment horizontal="center" vertical="center" wrapText="1" shrinkToFit="1"/>
    </xf>
    <xf numFmtId="38" fontId="12" fillId="3" borderId="30" xfId="0" applyNumberFormat="1" applyFont="1" applyFill="1" applyBorder="1" applyAlignment="1">
      <alignment horizontal="center" vertical="center" wrapText="1" shrinkToFit="1"/>
    </xf>
    <xf numFmtId="38" fontId="12" fillId="3" borderId="8" xfId="0" applyNumberFormat="1" applyFont="1" applyFill="1" applyBorder="1" applyAlignment="1">
      <alignment horizontal="center" vertical="center" wrapText="1" shrinkToFit="1"/>
    </xf>
    <xf numFmtId="3" fontId="16" fillId="0" borderId="5" xfId="0" applyNumberFormat="1" applyFont="1" applyBorder="1" applyAlignment="1">
      <alignment horizontal="center" vertical="center" wrapText="1" shrinkToFit="1"/>
    </xf>
    <xf numFmtId="3" fontId="16" fillId="0" borderId="6" xfId="0" applyNumberFormat="1" applyFont="1" applyBorder="1" applyAlignment="1">
      <alignment horizontal="center" vertical="center" wrapText="1" shrinkToFit="1"/>
    </xf>
    <xf numFmtId="3" fontId="12" fillId="3" borderId="4" xfId="0" applyNumberFormat="1" applyFont="1" applyFill="1" applyBorder="1" applyAlignment="1">
      <alignment horizontal="right" vertical="center" wrapText="1" shrinkToFit="1"/>
    </xf>
    <xf numFmtId="3" fontId="12" fillId="3" borderId="5" xfId="0" applyNumberFormat="1" applyFont="1" applyFill="1" applyBorder="1" applyAlignment="1">
      <alignment horizontal="right" vertical="center" wrapText="1" shrinkToFit="1"/>
    </xf>
    <xf numFmtId="0" fontId="8" fillId="2" borderId="4" xfId="0" applyFont="1" applyFill="1" applyBorder="1" applyAlignment="1">
      <alignment horizontal="center" vertical="center" wrapText="1" shrinkToFit="1"/>
    </xf>
    <xf numFmtId="0" fontId="8" fillId="2" borderId="5" xfId="0" applyFont="1" applyFill="1" applyBorder="1" applyAlignment="1">
      <alignment horizontal="center" vertical="center" wrapText="1" shrinkToFit="1"/>
    </xf>
    <xf numFmtId="3" fontId="20" fillId="0" borderId="5" xfId="0" applyNumberFormat="1" applyFont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10" fontId="12" fillId="3" borderId="5" xfId="2" applyNumberFormat="1" applyFont="1" applyFill="1" applyBorder="1" applyAlignment="1">
      <alignment horizontal="center" vertical="center" wrapText="1" shrinkToFit="1"/>
    </xf>
    <xf numFmtId="3" fontId="7" fillId="2" borderId="1" xfId="0" applyNumberFormat="1" applyFont="1" applyFill="1" applyBorder="1" applyAlignment="1">
      <alignment horizontal="center" vertical="center" shrinkToFit="1" readingOrder="2"/>
    </xf>
    <xf numFmtId="3" fontId="7" fillId="2" borderId="2" xfId="0" applyNumberFormat="1" applyFont="1" applyFill="1" applyBorder="1" applyAlignment="1">
      <alignment horizontal="center" vertical="center" shrinkToFit="1" readingOrder="2"/>
    </xf>
    <xf numFmtId="3" fontId="7" fillId="2" borderId="3" xfId="0" applyNumberFormat="1" applyFont="1" applyFill="1" applyBorder="1" applyAlignment="1">
      <alignment horizontal="center" vertical="center" shrinkToFit="1" readingOrder="2"/>
    </xf>
    <xf numFmtId="3" fontId="12" fillId="0" borderId="1" xfId="0" applyNumberFormat="1" applyFont="1" applyBorder="1" applyAlignment="1">
      <alignment horizontal="right" vertical="center" wrapText="1" shrinkToFit="1"/>
    </xf>
    <xf numFmtId="3" fontId="12" fillId="0" borderId="2" xfId="0" applyNumberFormat="1" applyFont="1" applyBorder="1" applyAlignment="1">
      <alignment horizontal="right" vertical="center" wrapText="1" shrinkToFit="1"/>
    </xf>
    <xf numFmtId="3" fontId="50" fillId="2" borderId="1" xfId="0" applyNumberFormat="1" applyFont="1" applyFill="1" applyBorder="1" applyAlignment="1">
      <alignment horizontal="right" vertical="center" shrinkToFit="1"/>
    </xf>
    <xf numFmtId="3" fontId="50" fillId="2" borderId="2" xfId="0" applyNumberFormat="1" applyFont="1" applyFill="1" applyBorder="1" applyAlignment="1">
      <alignment horizontal="right" vertical="center" shrinkToFit="1"/>
    </xf>
    <xf numFmtId="3" fontId="50" fillId="2" borderId="3" xfId="0" applyNumberFormat="1" applyFont="1" applyFill="1" applyBorder="1" applyAlignment="1">
      <alignment horizontal="right" vertical="center" shrinkToFit="1"/>
    </xf>
    <xf numFmtId="3" fontId="50" fillId="2" borderId="4" xfId="0" applyNumberFormat="1" applyFont="1" applyFill="1" applyBorder="1" applyAlignment="1">
      <alignment horizontal="right" vertical="center" shrinkToFit="1"/>
    </xf>
    <xf numFmtId="3" fontId="50" fillId="2" borderId="5" xfId="0" applyNumberFormat="1" applyFont="1" applyFill="1" applyBorder="1" applyAlignment="1">
      <alignment horizontal="right" vertical="center" shrinkToFit="1"/>
    </xf>
    <xf numFmtId="3" fontId="50" fillId="2" borderId="6" xfId="0" applyNumberFormat="1" applyFont="1" applyFill="1" applyBorder="1" applyAlignment="1">
      <alignment horizontal="right" vertical="center" shrinkToFit="1"/>
    </xf>
    <xf numFmtId="38" fontId="12" fillId="0" borderId="8" xfId="1" applyNumberFormat="1" applyFont="1" applyFill="1" applyBorder="1" applyAlignment="1">
      <alignment horizontal="center" vertical="center" wrapText="1" shrinkToFit="1"/>
    </xf>
    <xf numFmtId="10" fontId="12" fillId="3" borderId="5" xfId="0" applyNumberFormat="1" applyFont="1" applyFill="1" applyBorder="1" applyAlignment="1">
      <alignment horizontal="center" vertical="center" wrapText="1" shrinkToFit="1"/>
    </xf>
    <xf numFmtId="9" fontId="12" fillId="3" borderId="5" xfId="2" applyFont="1" applyFill="1" applyBorder="1" applyAlignment="1">
      <alignment horizontal="center" vertical="center" wrapText="1" shrinkToFit="1"/>
    </xf>
    <xf numFmtId="9" fontId="12" fillId="0" borderId="5" xfId="2" applyFont="1" applyFill="1" applyBorder="1" applyAlignment="1">
      <alignment horizontal="center" vertical="center" wrapText="1" shrinkToFit="1"/>
    </xf>
    <xf numFmtId="38" fontId="12" fillId="0" borderId="6" xfId="1" applyNumberFormat="1" applyFont="1" applyFill="1" applyBorder="1" applyAlignment="1">
      <alignment horizontal="center" vertical="center" wrapText="1" shrinkToFit="1"/>
    </xf>
    <xf numFmtId="38" fontId="12" fillId="0" borderId="9" xfId="1" applyNumberFormat="1" applyFont="1" applyFill="1" applyBorder="1" applyAlignment="1">
      <alignment horizontal="center" vertical="center" wrapText="1" shrinkToFit="1"/>
    </xf>
    <xf numFmtId="9" fontId="12" fillId="0" borderId="6" xfId="2" applyFont="1" applyFill="1" applyBorder="1" applyAlignment="1">
      <alignment horizontal="center" vertical="center" wrapText="1" shrinkToFit="1"/>
    </xf>
    <xf numFmtId="38" fontId="12" fillId="3" borderId="6" xfId="1" applyNumberFormat="1" applyFont="1" applyFill="1" applyBorder="1" applyAlignment="1">
      <alignment horizontal="center" vertical="center" wrapText="1" shrinkToFit="1"/>
    </xf>
    <xf numFmtId="9" fontId="12" fillId="3" borderId="6" xfId="2" applyFont="1" applyFill="1" applyBorder="1" applyAlignment="1">
      <alignment horizontal="center" vertical="center" wrapText="1" shrinkToFit="1"/>
    </xf>
    <xf numFmtId="37" fontId="12" fillId="0" borderId="6" xfId="1" applyNumberFormat="1" applyFont="1" applyFill="1" applyBorder="1" applyAlignment="1">
      <alignment horizontal="center" vertical="center" wrapText="1" shrinkToFit="1"/>
    </xf>
    <xf numFmtId="37" fontId="12" fillId="0" borderId="5" xfId="1" applyNumberFormat="1" applyFont="1" applyFill="1" applyBorder="1" applyAlignment="1">
      <alignment horizontal="center" vertical="center" wrapText="1" shrinkToFit="1"/>
    </xf>
    <xf numFmtId="3" fontId="7" fillId="2" borderId="24" xfId="0" applyNumberFormat="1" applyFont="1" applyFill="1" applyBorder="1" applyAlignment="1">
      <alignment horizontal="center" vertical="center" wrapText="1" shrinkToFit="1"/>
    </xf>
    <xf numFmtId="10" fontId="3" fillId="0" borderId="5" xfId="2" applyNumberFormat="1" applyFont="1" applyFill="1" applyBorder="1" applyAlignment="1">
      <alignment horizontal="center" vertical="center" wrapText="1" shrinkToFit="1"/>
    </xf>
    <xf numFmtId="3" fontId="20" fillId="0" borderId="6" xfId="0" applyNumberFormat="1" applyFont="1" applyBorder="1" applyAlignment="1">
      <alignment horizontal="center" vertical="center" wrapText="1" shrinkToFit="1"/>
    </xf>
    <xf numFmtId="38" fontId="12" fillId="3" borderId="9" xfId="1" applyNumberFormat="1" applyFont="1" applyFill="1" applyBorder="1" applyAlignment="1">
      <alignment horizontal="center" vertical="center" wrapText="1" shrinkToFit="1"/>
    </xf>
    <xf numFmtId="10" fontId="3" fillId="0" borderId="6" xfId="2" applyNumberFormat="1" applyFont="1" applyFill="1" applyBorder="1" applyAlignment="1">
      <alignment horizontal="center" vertical="center" wrapText="1" shrinkToFit="1"/>
    </xf>
    <xf numFmtId="10" fontId="12" fillId="3" borderId="6" xfId="0" applyNumberFormat="1" applyFont="1" applyFill="1" applyBorder="1" applyAlignment="1">
      <alignment horizontal="center" vertical="center" wrapText="1" shrinkToFit="1"/>
    </xf>
    <xf numFmtId="38" fontId="12" fillId="0" borderId="28" xfId="1" applyNumberFormat="1" applyFont="1" applyFill="1" applyBorder="1" applyAlignment="1">
      <alignment horizontal="center" vertical="center" wrapText="1" shrinkToFit="1"/>
    </xf>
    <xf numFmtId="49" fontId="3" fillId="0" borderId="4" xfId="2" applyNumberFormat="1" applyFont="1" applyFill="1" applyBorder="1" applyAlignment="1">
      <alignment horizontal="center" vertical="center" wrapText="1" shrinkToFit="1"/>
    </xf>
    <xf numFmtId="49" fontId="3" fillId="0" borderId="5" xfId="2" applyNumberFormat="1" applyFont="1" applyFill="1" applyBorder="1" applyAlignment="1">
      <alignment horizontal="center" vertical="center" wrapText="1" shrinkToFit="1"/>
    </xf>
    <xf numFmtId="49" fontId="3" fillId="3" borderId="4" xfId="0" applyNumberFormat="1" applyFont="1" applyFill="1" applyBorder="1" applyAlignment="1">
      <alignment horizontal="center" vertical="center" wrapText="1" shrinkToFit="1"/>
    </xf>
    <xf numFmtId="49" fontId="3" fillId="3" borderId="5" xfId="0" applyNumberFormat="1" applyFont="1" applyFill="1" applyBorder="1" applyAlignment="1">
      <alignment horizontal="center" vertical="center" wrapText="1" shrinkToFit="1"/>
    </xf>
    <xf numFmtId="49" fontId="3" fillId="0" borderId="7" xfId="0" applyNumberFormat="1" applyFont="1" applyBorder="1" applyAlignment="1">
      <alignment horizontal="center" vertical="center" wrapText="1" shrinkToFit="1"/>
    </xf>
    <xf numFmtId="49" fontId="3" fillId="0" borderId="8" xfId="0" applyNumberFormat="1" applyFont="1" applyBorder="1" applyAlignment="1">
      <alignment horizontal="center" vertical="center" wrapText="1" shrinkToFit="1"/>
    </xf>
    <xf numFmtId="49" fontId="12" fillId="3" borderId="4" xfId="0" applyNumberFormat="1" applyFont="1" applyFill="1" applyBorder="1" applyAlignment="1">
      <alignment horizontal="center" vertical="center" wrapText="1" shrinkToFit="1"/>
    </xf>
    <xf numFmtId="49" fontId="12" fillId="3" borderId="5" xfId="0" applyNumberFormat="1" applyFont="1" applyFill="1" applyBorder="1" applyAlignment="1">
      <alignment horizontal="center" vertical="center" wrapText="1" shrinkToFit="1"/>
    </xf>
    <xf numFmtId="0" fontId="44" fillId="3" borderId="5" xfId="0" applyFont="1" applyFill="1" applyBorder="1" applyAlignment="1">
      <alignment horizontal="center" vertical="center" wrapText="1" shrinkToFit="1"/>
    </xf>
    <xf numFmtId="38" fontId="16" fillId="3" borderId="5" xfId="1" applyNumberFormat="1" applyFont="1" applyFill="1" applyBorder="1" applyAlignment="1">
      <alignment horizontal="center" vertical="center" wrapText="1" shrinkToFit="1"/>
    </xf>
    <xf numFmtId="0" fontId="44" fillId="0" borderId="5" xfId="0" applyFont="1" applyBorder="1" applyAlignment="1">
      <alignment horizontal="center" vertical="center" wrapText="1" shrinkToFit="1"/>
    </xf>
    <xf numFmtId="181" fontId="16" fillId="0" borderId="4" xfId="0" applyNumberFormat="1" applyFont="1" applyBorder="1" applyAlignment="1">
      <alignment horizontal="center" vertical="center" wrapText="1" shrinkToFit="1"/>
    </xf>
    <xf numFmtId="181" fontId="16" fillId="0" borderId="5" xfId="0" applyNumberFormat="1" applyFont="1" applyBorder="1" applyAlignment="1">
      <alignment horizontal="center" vertical="center" wrapText="1" shrinkToFit="1"/>
    </xf>
    <xf numFmtId="49" fontId="12" fillId="0" borderId="4" xfId="0" applyNumberFormat="1" applyFont="1" applyBorder="1" applyAlignment="1">
      <alignment horizontal="center" vertical="center" wrapText="1" shrinkToFit="1"/>
    </xf>
    <xf numFmtId="49" fontId="12" fillId="0" borderId="5" xfId="0" applyNumberFormat="1" applyFont="1" applyBorder="1" applyAlignment="1">
      <alignment horizontal="center" vertical="center" wrapText="1" shrinkToFit="1"/>
    </xf>
    <xf numFmtId="3" fontId="16" fillId="3" borderId="5" xfId="1" applyNumberFormat="1" applyFont="1" applyFill="1" applyBorder="1" applyAlignment="1">
      <alignment horizontal="center" vertical="center" wrapText="1" shrinkToFit="1"/>
    </xf>
    <xf numFmtId="38" fontId="47" fillId="0" borderId="5" xfId="1" applyNumberFormat="1" applyFont="1" applyFill="1" applyBorder="1" applyAlignment="1">
      <alignment horizontal="center" vertical="center" wrapText="1" shrinkToFit="1"/>
    </xf>
    <xf numFmtId="38" fontId="47" fillId="0" borderId="8" xfId="1" applyNumberFormat="1" applyFont="1" applyFill="1" applyBorder="1" applyAlignment="1">
      <alignment horizontal="center" vertical="center" wrapText="1" shrinkToFit="1"/>
    </xf>
    <xf numFmtId="0" fontId="44" fillId="0" borderId="8" xfId="0" applyFont="1" applyBorder="1" applyAlignment="1">
      <alignment horizontal="center" vertical="center" wrapText="1" shrinkToFit="1"/>
    </xf>
    <xf numFmtId="37" fontId="12" fillId="3" borderId="5" xfId="1" applyNumberFormat="1" applyFont="1" applyFill="1" applyBorder="1" applyAlignment="1">
      <alignment horizontal="center" vertical="center" wrapText="1" shrinkToFit="1"/>
    </xf>
    <xf numFmtId="0" fontId="7" fillId="2" borderId="61" xfId="0" applyFont="1" applyFill="1" applyBorder="1" applyAlignment="1">
      <alignment horizontal="center" vertical="center" wrapText="1" shrinkToFit="1"/>
    </xf>
    <xf numFmtId="0" fontId="7" fillId="2" borderId="55" xfId="0" applyFont="1" applyFill="1" applyBorder="1" applyAlignment="1">
      <alignment horizontal="center" vertical="center" wrapText="1" shrinkToFit="1"/>
    </xf>
    <xf numFmtId="38" fontId="47" fillId="0" borderId="6" xfId="1" applyNumberFormat="1" applyFont="1" applyFill="1" applyBorder="1" applyAlignment="1">
      <alignment horizontal="center" vertical="center" wrapText="1" shrinkToFit="1"/>
    </xf>
    <xf numFmtId="38" fontId="47" fillId="0" borderId="9" xfId="1" applyNumberFormat="1" applyFont="1" applyFill="1" applyBorder="1" applyAlignment="1">
      <alignment horizontal="center" vertical="center" wrapText="1" shrinkToFit="1"/>
    </xf>
    <xf numFmtId="3" fontId="12" fillId="3" borderId="30" xfId="0" applyNumberFormat="1" applyFont="1" applyFill="1" applyBorder="1" applyAlignment="1">
      <alignment horizontal="center" vertical="center" wrapText="1" shrinkToFit="1"/>
    </xf>
    <xf numFmtId="3" fontId="12" fillId="3" borderId="57" xfId="0" applyNumberFormat="1" applyFont="1" applyFill="1" applyBorder="1" applyAlignment="1">
      <alignment horizontal="center" vertical="center" wrapText="1" shrinkToFit="1"/>
    </xf>
    <xf numFmtId="3" fontId="40" fillId="7" borderId="0" xfId="0" applyNumberFormat="1" applyFont="1" applyFill="1" applyAlignment="1">
      <alignment horizontal="left" vertical="center"/>
    </xf>
    <xf numFmtId="0" fontId="40" fillId="7" borderId="0" xfId="0" applyFont="1" applyFill="1" applyAlignment="1">
      <alignment horizontal="left" vertical="center"/>
    </xf>
    <xf numFmtId="0" fontId="38" fillId="13" borderId="19" xfId="0" applyFont="1" applyFill="1" applyBorder="1" applyAlignment="1">
      <alignment horizontal="center" vertical="center" wrapText="1"/>
    </xf>
    <xf numFmtId="0" fontId="38" fillId="13" borderId="0" xfId="0" applyFont="1" applyFill="1" applyAlignment="1">
      <alignment horizontal="center" vertical="center" wrapText="1"/>
    </xf>
    <xf numFmtId="0" fontId="77" fillId="7" borderId="0" xfId="0" applyFont="1" applyFill="1" applyAlignment="1">
      <alignment horizontal="left" vertical="center" wrapText="1"/>
    </xf>
    <xf numFmtId="0" fontId="38" fillId="12" borderId="23" xfId="0" applyFont="1" applyFill="1" applyBorder="1" applyAlignment="1">
      <alignment horizontal="right" vertical="center" wrapText="1"/>
    </xf>
    <xf numFmtId="0" fontId="38" fillId="12" borderId="0" xfId="0" applyFont="1" applyFill="1" applyAlignment="1">
      <alignment horizontal="right" vertical="center" wrapText="1"/>
    </xf>
    <xf numFmtId="0" fontId="38" fillId="12" borderId="18" xfId="0" applyFont="1" applyFill="1" applyBorder="1" applyAlignment="1">
      <alignment horizontal="right" vertical="center" wrapText="1"/>
    </xf>
    <xf numFmtId="3" fontId="36" fillId="12" borderId="0" xfId="0" applyNumberFormat="1" applyFont="1" applyFill="1" applyAlignment="1">
      <alignment horizontal="center" vertical="top" wrapText="1" shrinkToFit="1"/>
    </xf>
    <xf numFmtId="3" fontId="36" fillId="12" borderId="18" xfId="0" applyNumberFormat="1" applyFont="1" applyFill="1" applyBorder="1" applyAlignment="1">
      <alignment horizontal="center" vertical="top" wrapText="1" shrinkToFit="1"/>
    </xf>
    <xf numFmtId="187" fontId="25" fillId="12" borderId="23" xfId="0" applyNumberFormat="1" applyFont="1" applyFill="1" applyBorder="1" applyAlignment="1">
      <alignment horizontal="center" vertical="center"/>
    </xf>
    <xf numFmtId="187" fontId="25" fillId="12" borderId="0" xfId="0" applyNumberFormat="1" applyFont="1" applyFill="1" applyAlignment="1">
      <alignment horizontal="center" vertical="center"/>
    </xf>
    <xf numFmtId="3" fontId="37" fillId="12" borderId="0" xfId="0" applyNumberFormat="1" applyFont="1" applyFill="1" applyAlignment="1">
      <alignment horizontal="center" vertical="top" wrapText="1" shrinkToFit="1"/>
    </xf>
    <xf numFmtId="3" fontId="37" fillId="12" borderId="18" xfId="0" applyNumberFormat="1" applyFont="1" applyFill="1" applyBorder="1" applyAlignment="1">
      <alignment horizontal="center" vertical="top" wrapText="1" shrinkToFit="1"/>
    </xf>
    <xf numFmtId="0" fontId="76" fillId="7" borderId="0" xfId="0" applyFont="1" applyFill="1" applyAlignment="1">
      <alignment horizontal="right" wrapText="1"/>
    </xf>
    <xf numFmtId="9" fontId="33" fillId="13" borderId="0" xfId="2" applyFont="1" applyFill="1" applyBorder="1" applyAlignment="1">
      <alignment horizontal="center" vertical="center" wrapText="1"/>
    </xf>
    <xf numFmtId="9" fontId="33" fillId="13" borderId="22" xfId="2" applyFont="1" applyFill="1" applyBorder="1" applyAlignment="1">
      <alignment horizontal="center" vertical="center" wrapText="1"/>
    </xf>
    <xf numFmtId="3" fontId="27" fillId="12" borderId="0" xfId="0" applyNumberFormat="1" applyFont="1" applyFill="1" applyAlignment="1">
      <alignment horizontal="center" vertical="center" wrapText="1" shrinkToFit="1"/>
    </xf>
    <xf numFmtId="3" fontId="27" fillId="12" borderId="22" xfId="0" applyNumberFormat="1" applyFont="1" applyFill="1" applyBorder="1" applyAlignment="1">
      <alignment horizontal="center" vertical="center" wrapText="1" shrinkToFit="1"/>
    </xf>
    <xf numFmtId="0" fontId="31" fillId="13" borderId="19" xfId="0" applyFont="1" applyFill="1" applyBorder="1" applyAlignment="1">
      <alignment horizontal="center" vertical="center" wrapText="1"/>
    </xf>
    <xf numFmtId="0" fontId="31" fillId="13" borderId="0" xfId="0" applyFont="1" applyFill="1" applyAlignment="1">
      <alignment horizontal="center" vertical="center" wrapText="1"/>
    </xf>
    <xf numFmtId="0" fontId="31" fillId="13" borderId="18" xfId="0" applyFont="1" applyFill="1" applyBorder="1" applyAlignment="1">
      <alignment horizontal="center" vertical="center" wrapText="1"/>
    </xf>
    <xf numFmtId="0" fontId="38" fillId="13" borderId="19" xfId="0" applyFont="1" applyFill="1" applyBorder="1" applyAlignment="1">
      <alignment horizontal="center" vertical="center" wrapText="1" readingOrder="2"/>
    </xf>
    <xf numFmtId="0" fontId="38" fillId="13" borderId="0" xfId="0" applyFont="1" applyFill="1" applyAlignment="1">
      <alignment horizontal="center" vertical="center" wrapText="1" readingOrder="2"/>
    </xf>
    <xf numFmtId="10" fontId="38" fillId="13" borderId="0" xfId="0" applyNumberFormat="1" applyFont="1" applyFill="1" applyAlignment="1">
      <alignment horizontal="center" vertical="center"/>
    </xf>
    <xf numFmtId="10" fontId="38" fillId="13" borderId="18" xfId="0" applyNumberFormat="1" applyFont="1" applyFill="1" applyBorder="1" applyAlignment="1">
      <alignment horizontal="center" vertical="center"/>
    </xf>
    <xf numFmtId="3" fontId="74" fillId="17" borderId="0" xfId="0" applyNumberFormat="1" applyFont="1" applyFill="1" applyAlignment="1">
      <alignment horizontal="center" vertical="center" wrapText="1"/>
    </xf>
    <xf numFmtId="3" fontId="25" fillId="12" borderId="22" xfId="0" applyNumberFormat="1" applyFont="1" applyFill="1" applyBorder="1" applyAlignment="1">
      <alignment horizontal="center" vertical="center" wrapText="1" shrinkToFit="1"/>
    </xf>
    <xf numFmtId="9" fontId="74" fillId="16" borderId="0" xfId="0" applyNumberFormat="1" applyFont="1" applyFill="1" applyAlignment="1">
      <alignment horizontal="center" vertical="center" wrapText="1"/>
    </xf>
    <xf numFmtId="9" fontId="74" fillId="17" borderId="0" xfId="0" applyNumberFormat="1" applyFont="1" applyFill="1" applyAlignment="1">
      <alignment horizontal="center" vertical="center" wrapText="1"/>
    </xf>
    <xf numFmtId="9" fontId="74" fillId="16" borderId="23" xfId="0" applyNumberFormat="1" applyFont="1" applyFill="1" applyBorder="1" applyAlignment="1">
      <alignment horizontal="center" vertical="center" wrapText="1"/>
    </xf>
    <xf numFmtId="9" fontId="73" fillId="14" borderId="0" xfId="0" applyNumberFormat="1" applyFont="1" applyFill="1" applyAlignment="1">
      <alignment horizontal="center" vertical="center"/>
    </xf>
    <xf numFmtId="180" fontId="25" fillId="12" borderId="22" xfId="0" applyNumberFormat="1" applyFont="1" applyFill="1" applyBorder="1" applyAlignment="1">
      <alignment horizontal="center" vertical="center" wrapText="1" shrinkToFit="1"/>
    </xf>
    <xf numFmtId="9" fontId="73" fillId="14" borderId="23" xfId="0" applyNumberFormat="1" applyFont="1" applyFill="1" applyBorder="1" applyAlignment="1">
      <alignment horizontal="center" vertical="center"/>
    </xf>
    <xf numFmtId="3" fontId="73" fillId="15" borderId="0" xfId="0" applyNumberFormat="1" applyFont="1" applyFill="1" applyAlignment="1">
      <alignment horizontal="center" vertical="center"/>
    </xf>
    <xf numFmtId="9" fontId="73" fillId="15" borderId="0" xfId="0" applyNumberFormat="1" applyFont="1" applyFill="1" applyAlignment="1">
      <alignment horizontal="center" vertical="center"/>
    </xf>
    <xf numFmtId="0" fontId="66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8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C0000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C00000"/>
      </font>
    </dxf>
    <dxf>
      <font>
        <color theme="0" tint="-0.14996795556505021"/>
      </font>
    </dxf>
    <dxf>
      <font>
        <color rgb="FFC0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C00000"/>
      </font>
    </dxf>
  </dxfs>
  <tableStyles count="0" defaultTableStyle="TableStyleMedium2" defaultPivotStyle="PivotStyleLight16"/>
  <colors>
    <mruColors>
      <color rgb="FF342C24"/>
      <color rgb="FFA4907E"/>
      <color rgb="FFF8F5F2"/>
      <color rgb="FFEDE4D6"/>
      <color rgb="FFF0EAE4"/>
      <color rgb="FFDAD2CC"/>
      <color rgb="FFB5A495"/>
      <color rgb="FFFFFFFF"/>
      <color rgb="FFA18D7B"/>
      <color rgb="FFF1EC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b="1" baseline="0">
                <a:solidFill>
                  <a:srgbClr val="A4907E"/>
                </a:solidFill>
              </a:rPr>
              <a:t>تفصيل العناصر</a:t>
            </a:r>
            <a:r>
              <a:rPr lang="en-US" b="1" baseline="0">
                <a:solidFill>
                  <a:srgbClr val="A4907E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Summary!$J$51</c:f>
              <c:strCache>
                <c:ptCount val="1"/>
                <c:pt idx="0">
                  <c:v>SR </c:v>
                </c:pt>
              </c:strCache>
            </c:strRef>
          </c:tx>
          <c:spPr>
            <a:solidFill>
              <a:srgbClr val="A4907E"/>
            </a:solidFill>
            <a:ln>
              <a:noFill/>
            </a:ln>
            <a:effectLst/>
          </c:spPr>
          <c:invertIfNegative val="0"/>
          <c:cat>
            <c:strRef>
              <c:f>Summary!$B$52:$B$59</c:f>
              <c:strCache>
                <c:ptCount val="8"/>
                <c:pt idx="0">
                  <c:v> الاشتراكات النقدية - (Cash Subscription)</c:v>
                </c:pt>
                <c:pt idx="1">
                  <c:v> الاشتراك من مدير الصندوق - (Fund Manager's Subscription)</c:v>
                </c:pt>
                <c:pt idx="2">
                  <c:v>الأشتراك النقدي من المطور - (Cash Subscription from Developer)</c:v>
                </c:pt>
                <c:pt idx="3">
                  <c:v>الأشتراك العيني من المطور - (In-Kind Subscription from Developer)</c:v>
                </c:pt>
                <c:pt idx="4">
                  <c:v> الإشتراك العيني من مالك الأرض - (In-Kind Subscription from Landowner)</c:v>
                </c:pt>
                <c:pt idx="5">
                  <c:v> التمويل البنكي - (Bank Financing)</c:v>
                </c:pt>
                <c:pt idx="6">
                  <c:v>البيع على الخارطة - (Off-Plan Sales)</c:v>
                </c:pt>
                <c:pt idx="7">
                  <c:v>مصادر أخرى - (Other Sources)</c:v>
                </c:pt>
              </c:strCache>
            </c:strRef>
          </c:cat>
          <c:val>
            <c:numRef>
              <c:f>Summary!$J$52:$J$59</c:f>
              <c:numCache>
                <c:formatCode>#,##0</c:formatCode>
                <c:ptCount val="8"/>
                <c:pt idx="0">
                  <c:v>60000000</c:v>
                </c:pt>
                <c:pt idx="1">
                  <c:v>0</c:v>
                </c:pt>
                <c:pt idx="2">
                  <c:v>0</c:v>
                </c:pt>
                <c:pt idx="3">
                  <c:v>17190139.199999999</c:v>
                </c:pt>
                <c:pt idx="4">
                  <c:v>338000000</c:v>
                </c:pt>
                <c:pt idx="5">
                  <c:v>113000000</c:v>
                </c:pt>
                <c:pt idx="6">
                  <c:v>118949481.33119997</c:v>
                </c:pt>
                <c:pt idx="7">
                  <c:v>115628443.94255066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8-42F2-A367-7EAEAE323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578704"/>
        <c:axId val="1881564304"/>
      </c:barChart>
      <c:catAx>
        <c:axId val="188157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564304"/>
        <c:crosses val="autoZero"/>
        <c:auto val="1"/>
        <c:lblAlgn val="ctr"/>
        <c:lblOffset val="100"/>
        <c:noMultiLvlLbl val="0"/>
      </c:catAx>
      <c:valAx>
        <c:axId val="188156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A4907E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57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5F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ar-SA" sz="1400" b="0" i="0" u="none" strike="noStrike" kern="1200" spc="0" baseline="0">
                <a:solidFill>
                  <a:srgbClr val="A4907E"/>
                </a:solidFill>
                <a:latin typeface="+mn-lt"/>
                <a:ea typeface="+mn-ea"/>
                <a:cs typeface="+mn-cs"/>
              </a:defRPr>
            </a:pPr>
            <a:r>
              <a:rPr lang="ar-SA" sz="1400" b="1" i="0" u="none" strike="noStrike" kern="1200" spc="0" baseline="0">
                <a:solidFill>
                  <a:srgbClr val="A4907E"/>
                </a:solidFill>
                <a:latin typeface="+mn-lt"/>
                <a:ea typeface="+mn-ea"/>
                <a:cs typeface="+mn-cs"/>
              </a:rPr>
              <a:t>العناصر الاساسية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ar-SA" sz="1400" b="0" i="0" u="none" strike="noStrike" kern="1200" spc="0" baseline="0">
              <a:solidFill>
                <a:srgbClr val="A4907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A4907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384-48FF-B1A0-EB326A5FED8A}"/>
              </c:ext>
            </c:extLst>
          </c:dPt>
          <c:dPt>
            <c:idx val="1"/>
            <c:bubble3D val="0"/>
            <c:spPr>
              <a:solidFill>
                <a:srgbClr val="E0D0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84-48FF-B1A0-EB326A5FED8A}"/>
              </c:ext>
            </c:extLst>
          </c:dPt>
          <c:dPt>
            <c:idx val="2"/>
            <c:bubble3D val="0"/>
            <c:spPr>
              <a:solidFill>
                <a:srgbClr val="CDB4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B06-4487-B8CB-B8D2B424AB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Sheet1!$M$18:$M$20</c:f>
              <c:strCache>
                <c:ptCount val="3"/>
                <c:pt idx="0">
                  <c:v>مصادر أخرى</c:v>
                </c:pt>
                <c:pt idx="1">
                  <c:v>التمويل</c:v>
                </c:pt>
                <c:pt idx="2">
                  <c:v>الملكية</c:v>
                </c:pt>
              </c:strCache>
            </c:strRef>
          </c:cat>
          <c:val>
            <c:numRef>
              <c:f>Sheet1!$N$18:$N$20</c:f>
              <c:numCache>
                <c:formatCode>#,##0</c:formatCode>
                <c:ptCount val="3"/>
                <c:pt idx="0">
                  <c:v>234577925.27375063</c:v>
                </c:pt>
                <c:pt idx="1">
                  <c:v>113000000</c:v>
                </c:pt>
                <c:pt idx="2">
                  <c:v>415190139.19999999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4-48FF-B1A0-EB326A5FED8A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71-41D5-978E-C017F547D4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71-41D5-978E-C017F547D4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Sheet1!$M$18:$M$20</c:f>
              <c:strCache>
                <c:ptCount val="3"/>
                <c:pt idx="0">
                  <c:v>مصادر أخرى</c:v>
                </c:pt>
                <c:pt idx="1">
                  <c:v>التمويل</c:v>
                </c:pt>
                <c:pt idx="2">
                  <c:v>الملكية</c:v>
                </c:pt>
              </c:strCache>
            </c:strRef>
          </c:cat>
          <c:val>
            <c:numRef>
              <c:f>Sheet1!$O$11:$O$12</c:f>
              <c:numCache>
                <c:formatCode>0%</c:formatCode>
                <c:ptCount val="2"/>
                <c:pt idx="0">
                  <c:v>0.30753506367048911</c:v>
                </c:pt>
                <c:pt idx="1">
                  <c:v>0.14814463958708213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4-48FF-B1A0-EB326A5FE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ar-SA" sz="1400" b="0" i="0" u="none" strike="noStrike" kern="1200" spc="0" baseline="0">
                <a:solidFill>
                  <a:srgbClr val="A4907E"/>
                </a:solidFill>
                <a:latin typeface="+mn-lt"/>
                <a:ea typeface="+mn-ea"/>
                <a:cs typeface="+mn-cs"/>
              </a:defRPr>
            </a:pPr>
            <a:r>
              <a:rPr lang="ar-SA" sz="1400" b="1" i="0" u="none" strike="noStrike" kern="1200" spc="0" baseline="0">
                <a:solidFill>
                  <a:srgbClr val="A4907E"/>
                </a:solidFill>
                <a:latin typeface="+mn-lt"/>
                <a:ea typeface="+mn-ea"/>
                <a:cs typeface="+mn-cs"/>
              </a:rPr>
              <a:t>تفاصيل الملكية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ar-SA" sz="1400" b="0" i="0" u="none" strike="noStrike" kern="1200" spc="0" baseline="0">
              <a:solidFill>
                <a:srgbClr val="A4907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DB4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E2-4B58-B8AB-DECD57A74324}"/>
              </c:ext>
            </c:extLst>
          </c:dPt>
          <c:dPt>
            <c:idx val="1"/>
            <c:bubble3D val="0"/>
            <c:spPr>
              <a:solidFill>
                <a:srgbClr val="E0D0C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E2-4B58-B8AB-DECD57A74324}"/>
              </c:ext>
            </c:extLst>
          </c:dPt>
          <c:dLbls>
            <c:dLbl>
              <c:idx val="0"/>
              <c:layout>
                <c:manualLayout>
                  <c:x val="-0.15055263717426481"/>
                  <c:y val="0.2329197173980326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5594223802157238"/>
                      <c:h val="0.245923587286648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E2-4B58-B8AB-DECD57A7432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031777504719195"/>
                      <c:h val="0.202994282772769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E2-4B58-B8AB-DECD57A743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Sheet1!$M$13:$M$14</c:f>
              <c:strCache>
                <c:ptCount val="2"/>
                <c:pt idx="0">
                  <c:v>اشتراكات المطور</c:v>
                </c:pt>
                <c:pt idx="1">
                  <c:v>اشتراكات نقدية</c:v>
                </c:pt>
              </c:strCache>
            </c:strRef>
          </c:cat>
          <c:val>
            <c:numRef>
              <c:f>Sheet1!$N$13:$N$14</c:f>
              <c:numCache>
                <c:formatCode>#,##0</c:formatCode>
                <c:ptCount val="2"/>
                <c:pt idx="0">
                  <c:v>17190139.199999999</c:v>
                </c:pt>
                <c:pt idx="1">
                  <c:v>398000000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E2-4B58-B8AB-DECD57A7432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5E2-4B58-B8AB-DECD57A74324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5E2-4B58-B8AB-DECD57A743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Sheet1!$M$13:$M$14</c:f>
              <c:strCache>
                <c:ptCount val="2"/>
                <c:pt idx="0">
                  <c:v>اشتراكات المطور</c:v>
                </c:pt>
                <c:pt idx="1">
                  <c:v>اشتراكات نقدية</c:v>
                </c:pt>
              </c:strCache>
            </c:strRef>
          </c:cat>
          <c:val>
            <c:numRef>
              <c:f>Sheet1!$O$13:$O$14</c:f>
              <c:numCache>
                <c:formatCode>0%</c:formatCode>
                <c:ptCount val="2"/>
                <c:pt idx="0">
                  <c:v>2.2536521913590905E-2</c:v>
                </c:pt>
                <c:pt idx="1">
                  <c:v>0.52178377482883787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5E2-4B58-B8AB-DECD57A74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5F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ar-SA" sz="1400" b="1" i="0" u="none" strike="noStrike" kern="1200" cap="all" spc="0" baseline="0">
                <a:solidFill>
                  <a:srgbClr val="A4907E"/>
                </a:solidFill>
                <a:latin typeface="+mn-lt"/>
                <a:ea typeface="+mn-ea"/>
                <a:cs typeface="+mn-cs"/>
              </a:defRPr>
            </a:pPr>
            <a:r>
              <a:rPr lang="ar-SA" sz="1400" b="1" i="0" u="none" strike="noStrike" kern="1200" cap="all" spc="0" baseline="0" dirty="0" err="1">
                <a:solidFill>
                  <a:srgbClr val="A4907E"/>
                </a:solidFill>
                <a:latin typeface="+mn-lt"/>
                <a:ea typeface="+mn-ea"/>
                <a:cs typeface="+mn-cs"/>
              </a:rPr>
              <a:t> التسهيلات المصرفية </a:t>
            </a:r>
            <a:endParaRPr lang="ar-SA" sz="1400" b="1" i="0" u="none" strike="noStrike" kern="1200" cap="all" spc="0" baseline="0" dirty="0">
              <a:solidFill>
                <a:srgbClr val="A4907E"/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ar-SA" sz="1400" b="1" i="0" u="none" strike="noStrike" kern="1200" cap="all" spc="0" baseline="0">
              <a:solidFill>
                <a:srgbClr val="A4907E"/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Study!$B$246</c:f>
              <c:strCache>
                <c:ptCount val="1"/>
                <c:pt idx="0">
                  <c:v>حجم التمويل للفترة 
 (Principal amount for the period)</c:v>
                </c:pt>
              </c:strCache>
            </c:strRef>
          </c:tx>
          <c:spPr>
            <a:ln w="28575" cap="rnd">
              <a:solidFill>
                <a:srgbClr val="A4907E"/>
              </a:solidFill>
              <a:round/>
            </a:ln>
            <a:effectLst/>
          </c:spPr>
          <c:marker>
            <c:symbol val="none"/>
          </c:marker>
          <c:cat>
            <c:strRef>
              <c:f>Study!$C$241:$AC$241</c:f>
              <c:strCache>
                <c:ptCount val="27"/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7">
                  <c:v>Q5</c:v>
                </c:pt>
                <c:pt idx="8">
                  <c:v>Q6</c:v>
                </c:pt>
                <c:pt idx="9">
                  <c:v>Q7</c:v>
                </c:pt>
                <c:pt idx="10">
                  <c:v>Q8</c:v>
                </c:pt>
                <c:pt idx="11">
                  <c:v>Q9</c:v>
                </c:pt>
                <c:pt idx="12">
                  <c:v>Q10</c:v>
                </c:pt>
                <c:pt idx="13">
                  <c:v>Q11</c:v>
                </c:pt>
                <c:pt idx="14">
                  <c:v>Q12</c:v>
                </c:pt>
                <c:pt idx="15">
                  <c:v>Q13</c:v>
                </c:pt>
                <c:pt idx="16">
                  <c:v>Q14</c:v>
                </c:pt>
                <c:pt idx="17">
                  <c:v>Q15</c:v>
                </c:pt>
                <c:pt idx="18">
                  <c:v>Q16</c:v>
                </c:pt>
                <c:pt idx="19">
                  <c:v>Q17</c:v>
                </c:pt>
                <c:pt idx="20">
                  <c:v>Q18</c:v>
                </c:pt>
                <c:pt idx="21">
                  <c:v>Q19</c:v>
                </c:pt>
                <c:pt idx="22">
                  <c:v>Q20</c:v>
                </c:pt>
                <c:pt idx="23">
                  <c:v>Q21</c:v>
                </c:pt>
                <c:pt idx="24">
                  <c:v>Q22</c:v>
                </c:pt>
                <c:pt idx="25">
                  <c:v>Q23</c:v>
                </c:pt>
                <c:pt idx="26">
                  <c:v>Q24</c:v>
                </c:pt>
              </c:strCache>
            </c:strRef>
          </c:cat>
          <c:val>
            <c:numRef>
              <c:f>Study!$C$246:$AC$246</c:f>
              <c:numCache>
                <c:formatCode>@</c:formatCode>
                <c:ptCount val="27"/>
                <c:pt idx="3" formatCode="#,##0_);[Red]\(#,##0\)">
                  <c:v>0</c:v>
                </c:pt>
                <c:pt idx="4" formatCode="#,##0_);[Red]\(#,##0\)">
                  <c:v>0</c:v>
                </c:pt>
                <c:pt idx="5" formatCode="#,##0_);[Red]\(#,##0\)">
                  <c:v>0</c:v>
                </c:pt>
                <c:pt idx="6" formatCode="#,##0_);[Red]\(#,##0\)">
                  <c:v>0</c:v>
                </c:pt>
                <c:pt idx="7" formatCode="#,##0_);[Red]\(#,##0\)">
                  <c:v>9000000</c:v>
                </c:pt>
                <c:pt idx="8" formatCode="#,##0_);[Red]\(#,##0\)">
                  <c:v>27000000</c:v>
                </c:pt>
                <c:pt idx="9" formatCode="#,##0_);[Red]\(#,##0\)">
                  <c:v>42000000</c:v>
                </c:pt>
                <c:pt idx="10" formatCode="#,##0_);[Red]\(#,##0\)">
                  <c:v>52000000</c:v>
                </c:pt>
                <c:pt idx="11" formatCode="#,##0_);[Red]\(#,##0\)">
                  <c:v>73000000</c:v>
                </c:pt>
                <c:pt idx="12" formatCode="#,##0_);[Red]\(#,##0\)">
                  <c:v>93000000</c:v>
                </c:pt>
                <c:pt idx="13" formatCode="#,##0_);[Red]\(#,##0\)">
                  <c:v>113000000</c:v>
                </c:pt>
                <c:pt idx="14" formatCode="#,##0_);[Red]\(#,##0\)">
                  <c:v>113000000</c:v>
                </c:pt>
                <c:pt idx="15" formatCode="#,##0_);[Red]\(#,##0\)">
                  <c:v>67720060.760771811</c:v>
                </c:pt>
                <c:pt idx="16" formatCode="#,##0_);[Red]\(#,##0\)">
                  <c:v>0</c:v>
                </c:pt>
                <c:pt idx="17" formatCode="#,##0_);[Red]\(#,##0\)">
                  <c:v>0</c:v>
                </c:pt>
                <c:pt idx="18" formatCode="#,##0_);[Red]\(#,##0\)">
                  <c:v>0</c:v>
                </c:pt>
                <c:pt idx="19" formatCode="#,##0_);[Red]\(#,##0\)">
                  <c:v>0</c:v>
                </c:pt>
                <c:pt idx="20" formatCode="#,##0_);[Red]\(#,##0\)">
                  <c:v>0</c:v>
                </c:pt>
                <c:pt idx="21" formatCode="#,##0_);[Red]\(#,##0\)">
                  <c:v>0</c:v>
                </c:pt>
                <c:pt idx="22" formatCode="#,##0_);[Red]\(#,##0\)">
                  <c:v>0</c:v>
                </c:pt>
                <c:pt idx="23" formatCode="#,##0_);[Red]\(#,##0\)">
                  <c:v>0</c:v>
                </c:pt>
                <c:pt idx="24" formatCode="#,##0_);[Red]\(#,##0\)">
                  <c:v>0</c:v>
                </c:pt>
                <c:pt idx="25" formatCode="#,##0_);[Red]\(#,##0\)">
                  <c:v>0</c:v>
                </c:pt>
                <c:pt idx="26" formatCode="#,##0_);[Red]\(#,##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0-4D64-8868-16643E64D69E}"/>
            </c:ext>
          </c:extLst>
        </c:ser>
        <c:ser>
          <c:idx val="1"/>
          <c:order val="1"/>
          <c:tx>
            <c:strRef>
              <c:f>Study!$B$247</c:f>
              <c:strCache>
                <c:ptCount val="1"/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Study!$C$241:$AC$241</c:f>
              <c:strCache>
                <c:ptCount val="27"/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7">
                  <c:v>Q5</c:v>
                </c:pt>
                <c:pt idx="8">
                  <c:v>Q6</c:v>
                </c:pt>
                <c:pt idx="9">
                  <c:v>Q7</c:v>
                </c:pt>
                <c:pt idx="10">
                  <c:v>Q8</c:v>
                </c:pt>
                <c:pt idx="11">
                  <c:v>Q9</c:v>
                </c:pt>
                <c:pt idx="12">
                  <c:v>Q10</c:v>
                </c:pt>
                <c:pt idx="13">
                  <c:v>Q11</c:v>
                </c:pt>
                <c:pt idx="14">
                  <c:v>Q12</c:v>
                </c:pt>
                <c:pt idx="15">
                  <c:v>Q13</c:v>
                </c:pt>
                <c:pt idx="16">
                  <c:v>Q14</c:v>
                </c:pt>
                <c:pt idx="17">
                  <c:v>Q15</c:v>
                </c:pt>
                <c:pt idx="18">
                  <c:v>Q16</c:v>
                </c:pt>
                <c:pt idx="19">
                  <c:v>Q17</c:v>
                </c:pt>
                <c:pt idx="20">
                  <c:v>Q18</c:v>
                </c:pt>
                <c:pt idx="21">
                  <c:v>Q19</c:v>
                </c:pt>
                <c:pt idx="22">
                  <c:v>Q20</c:v>
                </c:pt>
                <c:pt idx="23">
                  <c:v>Q21</c:v>
                </c:pt>
                <c:pt idx="24">
                  <c:v>Q22</c:v>
                </c:pt>
                <c:pt idx="25">
                  <c:v>Q23</c:v>
                </c:pt>
                <c:pt idx="26">
                  <c:v>Q24</c:v>
                </c:pt>
              </c:strCache>
            </c:strRef>
          </c:cat>
          <c:val>
            <c:numRef>
              <c:f>Study!$C$247:$AC$247</c:f>
              <c:numCache>
                <c:formatCode>@</c:formatCode>
                <c:ptCount val="2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10-4D64-8868-16643E64D69E}"/>
            </c:ext>
          </c:extLst>
        </c:ser>
        <c:ser>
          <c:idx val="2"/>
          <c:order val="2"/>
          <c:tx>
            <c:strRef>
              <c:f>Study!$B$248</c:f>
              <c:strCache>
                <c:ptCount val="1"/>
                <c:pt idx="0">
                  <c:v>أصل التمويل 
 (Principal)</c:v>
                </c:pt>
              </c:strCache>
            </c:strRef>
          </c:tx>
          <c:spPr>
            <a:ln w="28575" cap="rnd">
              <a:solidFill>
                <a:srgbClr val="E0D0C2"/>
              </a:solidFill>
              <a:round/>
            </a:ln>
            <a:effectLst/>
          </c:spPr>
          <c:marker>
            <c:symbol val="none"/>
          </c:marker>
          <c:cat>
            <c:strRef>
              <c:f>Study!$C$241:$AC$241</c:f>
              <c:strCache>
                <c:ptCount val="27"/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7">
                  <c:v>Q5</c:v>
                </c:pt>
                <c:pt idx="8">
                  <c:v>Q6</c:v>
                </c:pt>
                <c:pt idx="9">
                  <c:v>Q7</c:v>
                </c:pt>
                <c:pt idx="10">
                  <c:v>Q8</c:v>
                </c:pt>
                <c:pt idx="11">
                  <c:v>Q9</c:v>
                </c:pt>
                <c:pt idx="12">
                  <c:v>Q10</c:v>
                </c:pt>
                <c:pt idx="13">
                  <c:v>Q11</c:v>
                </c:pt>
                <c:pt idx="14">
                  <c:v>Q12</c:v>
                </c:pt>
                <c:pt idx="15">
                  <c:v>Q13</c:v>
                </c:pt>
                <c:pt idx="16">
                  <c:v>Q14</c:v>
                </c:pt>
                <c:pt idx="17">
                  <c:v>Q15</c:v>
                </c:pt>
                <c:pt idx="18">
                  <c:v>Q16</c:v>
                </c:pt>
                <c:pt idx="19">
                  <c:v>Q17</c:v>
                </c:pt>
                <c:pt idx="20">
                  <c:v>Q18</c:v>
                </c:pt>
                <c:pt idx="21">
                  <c:v>Q19</c:v>
                </c:pt>
                <c:pt idx="22">
                  <c:v>Q20</c:v>
                </c:pt>
                <c:pt idx="23">
                  <c:v>Q21</c:v>
                </c:pt>
                <c:pt idx="24">
                  <c:v>Q22</c:v>
                </c:pt>
                <c:pt idx="25">
                  <c:v>Q23</c:v>
                </c:pt>
                <c:pt idx="26">
                  <c:v>Q24</c:v>
                </c:pt>
              </c:strCache>
            </c:strRef>
          </c:cat>
          <c:val>
            <c:numRef>
              <c:f>Study!$C$248:$AC$248</c:f>
              <c:numCache>
                <c:formatCode>@</c:formatCode>
                <c:ptCount val="27"/>
                <c:pt idx="3" formatCode="#,##0_);[Red]\(#,##0\)">
                  <c:v>0</c:v>
                </c:pt>
                <c:pt idx="4" formatCode="#,##0_);[Red]\(#,##0\)">
                  <c:v>0</c:v>
                </c:pt>
                <c:pt idx="5" formatCode="#,##0_);[Red]\(#,##0\)">
                  <c:v>0</c:v>
                </c:pt>
                <c:pt idx="6" formatCode="#,##0_);[Red]\(#,##0\)">
                  <c:v>0</c:v>
                </c:pt>
                <c:pt idx="7" formatCode="#,##0_);[Red]\(#,##0\)">
                  <c:v>9000000</c:v>
                </c:pt>
                <c:pt idx="8" formatCode="#,##0_);[Red]\(#,##0\)">
                  <c:v>18000000</c:v>
                </c:pt>
                <c:pt idx="9" formatCode="#,##0_);[Red]\(#,##0\)">
                  <c:v>15000000</c:v>
                </c:pt>
                <c:pt idx="10" formatCode="#,##0_);[Red]\(#,##0\)">
                  <c:v>10000000</c:v>
                </c:pt>
                <c:pt idx="11" formatCode="#,##0_);[Red]\(#,##0\)">
                  <c:v>21000000</c:v>
                </c:pt>
                <c:pt idx="12" formatCode="#,##0_);[Red]\(#,##0\)">
                  <c:v>20000000</c:v>
                </c:pt>
                <c:pt idx="13" formatCode="#,##0_);[Red]\(#,##0\)">
                  <c:v>20000000</c:v>
                </c:pt>
                <c:pt idx="14" formatCode="#,##0_);[Red]\(#,##0\)">
                  <c:v>0</c:v>
                </c:pt>
                <c:pt idx="15" formatCode="#,##0_);[Red]\(#,##0\)">
                  <c:v>0</c:v>
                </c:pt>
                <c:pt idx="16" formatCode="#,##0_);[Red]\(#,##0\)">
                  <c:v>0</c:v>
                </c:pt>
                <c:pt idx="17" formatCode="#,##0_);[Red]\(#,##0\)">
                  <c:v>0</c:v>
                </c:pt>
                <c:pt idx="18" formatCode="#,##0_);[Red]\(#,##0\)">
                  <c:v>0</c:v>
                </c:pt>
                <c:pt idx="19" formatCode="#,##0_);[Red]\(#,##0\)">
                  <c:v>0</c:v>
                </c:pt>
                <c:pt idx="20" formatCode="#,##0_);[Red]\(#,##0\)">
                  <c:v>0</c:v>
                </c:pt>
                <c:pt idx="21" formatCode="#,##0_);[Red]\(#,##0\)">
                  <c:v>0</c:v>
                </c:pt>
                <c:pt idx="22" formatCode="#,##0_);[Red]\(#,##0\)">
                  <c:v>0</c:v>
                </c:pt>
                <c:pt idx="23" formatCode="#,##0_);[Red]\(#,##0\)">
                  <c:v>0</c:v>
                </c:pt>
                <c:pt idx="24" formatCode="#,##0_);[Red]\(#,##0\)">
                  <c:v>0</c:v>
                </c:pt>
                <c:pt idx="25" formatCode="#,##0_);[Red]\(#,##0\)">
                  <c:v>0</c:v>
                </c:pt>
                <c:pt idx="26" formatCode="#,##0_);[Red]\(#,##0\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10-4D64-8868-16643E64D69E}"/>
            </c:ext>
          </c:extLst>
        </c:ser>
        <c:ser>
          <c:idx val="3"/>
          <c:order val="3"/>
          <c:tx>
            <c:strRef>
              <c:f>Study!$B$249</c:f>
              <c:strCache>
                <c:ptCount val="1"/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Study!$C$241:$AC$241</c:f>
              <c:strCache>
                <c:ptCount val="27"/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7">
                  <c:v>Q5</c:v>
                </c:pt>
                <c:pt idx="8">
                  <c:v>Q6</c:v>
                </c:pt>
                <c:pt idx="9">
                  <c:v>Q7</c:v>
                </c:pt>
                <c:pt idx="10">
                  <c:v>Q8</c:v>
                </c:pt>
                <c:pt idx="11">
                  <c:v>Q9</c:v>
                </c:pt>
                <c:pt idx="12">
                  <c:v>Q10</c:v>
                </c:pt>
                <c:pt idx="13">
                  <c:v>Q11</c:v>
                </c:pt>
                <c:pt idx="14">
                  <c:v>Q12</c:v>
                </c:pt>
                <c:pt idx="15">
                  <c:v>Q13</c:v>
                </c:pt>
                <c:pt idx="16">
                  <c:v>Q14</c:v>
                </c:pt>
                <c:pt idx="17">
                  <c:v>Q15</c:v>
                </c:pt>
                <c:pt idx="18">
                  <c:v>Q16</c:v>
                </c:pt>
                <c:pt idx="19">
                  <c:v>Q17</c:v>
                </c:pt>
                <c:pt idx="20">
                  <c:v>Q18</c:v>
                </c:pt>
                <c:pt idx="21">
                  <c:v>Q19</c:v>
                </c:pt>
                <c:pt idx="22">
                  <c:v>Q20</c:v>
                </c:pt>
                <c:pt idx="23">
                  <c:v>Q21</c:v>
                </c:pt>
                <c:pt idx="24">
                  <c:v>Q22</c:v>
                </c:pt>
                <c:pt idx="25">
                  <c:v>Q23</c:v>
                </c:pt>
                <c:pt idx="26">
                  <c:v>Q24</c:v>
                </c:pt>
              </c:strCache>
            </c:strRef>
          </c:cat>
          <c:val>
            <c:numRef>
              <c:f>Study!$C$249:$AC$249</c:f>
              <c:numCache>
                <c:formatCode>@</c:formatCode>
                <c:ptCount val="2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10-4D64-8868-16643E64D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5317103"/>
        <c:axId val="1775318063"/>
      </c:lineChart>
      <c:catAx>
        <c:axId val="1775317103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318063"/>
        <c:crosses val="autoZero"/>
        <c:auto val="1"/>
        <c:lblAlgn val="ctr"/>
        <c:lblOffset val="100"/>
        <c:noMultiLvlLbl val="0"/>
      </c:catAx>
      <c:valAx>
        <c:axId val="177531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31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5F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Sheet1!$C$75</c:f>
              <c:strCache>
                <c:ptCount val="1"/>
                <c:pt idx="0">
                  <c:v>START</c:v>
                </c:pt>
              </c:strCache>
            </c:strRef>
          </c:tx>
          <c:spPr>
            <a:solidFill>
              <a:schemeClr val="bg1">
                <a:alpha val="0"/>
              </a:schemeClr>
            </a:solidFill>
            <a:ln>
              <a:solidFill>
                <a:schemeClr val="bg1">
                  <a:alpha val="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0"/>
                </a:schemeClr>
              </a:solidFill>
              <a:ln>
                <a:solidFill>
                  <a:schemeClr val="accent2">
                    <a:alpha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33-4628-B187-D3E838859B3E}"/>
              </c:ext>
            </c:extLst>
          </c:dPt>
          <c:cat>
            <c:strRef>
              <c:f>Sheet1!$B$76:$B$81</c:f>
              <c:strCache>
                <c:ptCount val="6"/>
                <c:pt idx="0">
                  <c:v> الأرض - Land </c:v>
                </c:pt>
                <c:pt idx="1">
                  <c:v>تجهيز الأرض والتصاميم - Ground Processing and Designs </c:v>
                </c:pt>
                <c:pt idx="2">
                  <c:v>فترة البناء - Construction </c:v>
                </c:pt>
                <c:pt idx="3">
                  <c:v>البيع على الخارطة - Off-plan selling</c:v>
                </c:pt>
                <c:pt idx="4">
                  <c:v>البيع والتأجير - Sale &amp; Leasing</c:v>
                </c:pt>
                <c:pt idx="5">
                  <c:v>المخارجة - Buyout </c:v>
                </c:pt>
              </c:strCache>
            </c:strRef>
          </c:cat>
          <c:val>
            <c:numRef>
              <c:f>Sheet1!$C$76:$C$81</c:f>
              <c:numCache>
                <c:formatCode>m/d/yy;@</c:formatCode>
                <c:ptCount val="6"/>
                <c:pt idx="0">
                  <c:v>45993</c:v>
                </c:pt>
                <c:pt idx="1">
                  <c:v>46011</c:v>
                </c:pt>
                <c:pt idx="2">
                  <c:v>46387</c:v>
                </c:pt>
                <c:pt idx="3">
                  <c:v>46475</c:v>
                </c:pt>
                <c:pt idx="4">
                  <c:v>46934</c:v>
                </c:pt>
                <c:pt idx="5">
                  <c:v>47844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33-4628-B187-D3E838859B3E}"/>
            </c:ext>
          </c:extLst>
        </c:ser>
        <c:ser>
          <c:idx val="1"/>
          <c:order val="1"/>
          <c:tx>
            <c:strRef>
              <c:f>Sheet1!$E$75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100000"/>
                    <a:shade val="100000"/>
                    <a:satMod val="130000"/>
                  </a:schemeClr>
                </a:gs>
                <a:gs pos="100000">
                  <a:schemeClr val="accent2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A4907E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C33-4628-B187-D3E838859B3E}"/>
              </c:ext>
            </c:extLst>
          </c:dPt>
          <c:dPt>
            <c:idx val="1"/>
            <c:invertIfNegative val="0"/>
            <c:bubble3D val="0"/>
            <c:spPr>
              <a:solidFill>
                <a:srgbClr val="EDE4D6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C33-4628-B187-D3E838859B3E}"/>
              </c:ext>
            </c:extLst>
          </c:dPt>
          <c:dPt>
            <c:idx val="2"/>
            <c:invertIfNegative val="0"/>
            <c:bubble3D val="0"/>
            <c:spPr>
              <a:solidFill>
                <a:srgbClr val="A4907E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C33-4628-B187-D3E838859B3E}"/>
              </c:ext>
            </c:extLst>
          </c:dPt>
          <c:dPt>
            <c:idx val="3"/>
            <c:invertIfNegative val="0"/>
            <c:bubble3D val="0"/>
            <c:spPr>
              <a:solidFill>
                <a:srgbClr val="DAD2CC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2C33-4628-B187-D3E838859B3E}"/>
              </c:ext>
            </c:extLst>
          </c:dPt>
          <c:dPt>
            <c:idx val="4"/>
            <c:invertIfNegative val="0"/>
            <c:bubble3D val="0"/>
            <c:spPr>
              <a:solidFill>
                <a:srgbClr val="B5A495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2C33-4628-B187-D3E838859B3E}"/>
              </c:ext>
            </c:extLst>
          </c:dPt>
          <c:dPt>
            <c:idx val="5"/>
            <c:invertIfNegative val="0"/>
            <c:bubble3D val="0"/>
            <c:spPr>
              <a:solidFill>
                <a:srgbClr val="A4907E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2C33-4628-B187-D3E838859B3E}"/>
              </c:ext>
            </c:extLst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2C33-4628-B187-D3E838859B3E}"/>
              </c:ext>
            </c:extLst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2C33-4628-B187-D3E838859B3E}"/>
              </c:ext>
            </c:extLst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2C33-4628-B187-D3E838859B3E}"/>
              </c:ext>
            </c:extLst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2C33-4628-B187-D3E838859B3E}"/>
              </c:ext>
            </c:extLst>
          </c:dPt>
          <c:cat>
            <c:strRef>
              <c:f>Sheet1!$B$76:$B$81</c:f>
              <c:strCache>
                <c:ptCount val="6"/>
                <c:pt idx="0">
                  <c:v> الأرض - Land </c:v>
                </c:pt>
                <c:pt idx="1">
                  <c:v>تجهيز الأرض والتصاميم - Ground Processing and Designs </c:v>
                </c:pt>
                <c:pt idx="2">
                  <c:v>فترة البناء - Construction </c:v>
                </c:pt>
                <c:pt idx="3">
                  <c:v>البيع على الخارطة - Off-plan selling</c:v>
                </c:pt>
                <c:pt idx="4">
                  <c:v>البيع والتأجير - Sale &amp; Leasing</c:v>
                </c:pt>
                <c:pt idx="5">
                  <c:v>المخارجة - Buyout </c:v>
                </c:pt>
              </c:strCache>
            </c:strRef>
          </c:cat>
          <c:val>
            <c:numRef>
              <c:f>Sheet1!$E$76:$E$81</c:f>
              <c:numCache>
                <c:formatCode>General</c:formatCode>
                <c:ptCount val="6"/>
                <c:pt idx="0">
                  <c:v>15</c:v>
                </c:pt>
                <c:pt idx="1">
                  <c:v>464</c:v>
                </c:pt>
                <c:pt idx="2">
                  <c:v>1092</c:v>
                </c:pt>
                <c:pt idx="3">
                  <c:v>1004</c:v>
                </c:pt>
                <c:pt idx="4">
                  <c:v>910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C33-4628-B187-D3E838859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4709760"/>
        <c:axId val="64711296"/>
      </c:barChart>
      <c:catAx>
        <c:axId val="64709760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 rtl="1">
              <a:defRPr sz="1600" b="0" i="0" u="none" strike="noStrike" kern="1200" baseline="0">
                <a:ln>
                  <a:noFill/>
                </a:ln>
                <a:solidFill>
                  <a:srgbClr val="0C2340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4711296"/>
        <c:crosses val="autoZero"/>
        <c:auto val="1"/>
        <c:lblAlgn val="ctr"/>
        <c:lblOffset val="100"/>
        <c:tickMarkSkip val="1"/>
        <c:noMultiLvlLbl val="0"/>
      </c:catAx>
      <c:valAx>
        <c:axId val="64711296"/>
        <c:scaling>
          <c:orientation val="minMax"/>
          <c:max val="48121"/>
          <c:min val="45993"/>
        </c:scaling>
        <c:delete val="0"/>
        <c:axPos val="t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m/d/yy;@" sourceLinked="1"/>
        <c:majorTickMark val="out"/>
        <c:minorTickMark val="none"/>
        <c:tickLblPos val="nextTo"/>
        <c:spPr>
          <a:solidFill>
            <a:srgbClr val="F8F5F2"/>
          </a:solidFill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64709760"/>
        <c:crosses val="autoZero"/>
        <c:crossBetween val="between"/>
      </c:valAx>
      <c:spPr>
        <a:solidFill>
          <a:srgbClr val="F8F5F2"/>
        </a:solidFill>
        <a:ln cap="flat">
          <a:noFill/>
          <a:round/>
        </a:ln>
        <a:effectLst/>
      </c:spPr>
    </c:plotArea>
    <c:plotVisOnly val="1"/>
    <c:dispBlanksAs val="gap"/>
    <c:showDLblsOverMax val="0"/>
  </c:chart>
  <c:spPr>
    <a:solidFill>
      <a:srgbClr val="F8F5F2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1" l="0.75" r="0.75" t="1" header="0.5" footer="0.5"/>
    <c:pageSetup orientation="portrait" horizontalDpi="-4" verticalDpi="-4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solidFill>
                <a:schemeClr val="bg1">
                  <a:lumMod val="75000"/>
                </a:schemeClr>
              </a:solidFill>
            </a:ln>
          </c:spPr>
          <c:dPt>
            <c:idx val="0"/>
            <c:bubble3D val="0"/>
            <c:spPr>
              <a:solidFill>
                <a:srgbClr val="A4907E"/>
              </a:solidFill>
              <a:ln w="19050">
                <a:solidFill>
                  <a:schemeClr val="bg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A8-4D69-8E3D-113D6BDEED98}"/>
              </c:ext>
            </c:extLst>
          </c:dPt>
          <c:dPt>
            <c:idx val="1"/>
            <c:bubble3D val="0"/>
            <c:spPr>
              <a:solidFill>
                <a:srgbClr val="EDE4D6"/>
              </a:solidFill>
              <a:ln w="19050">
                <a:solidFill>
                  <a:schemeClr val="bg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A8-4D69-8E3D-113D6BDEED9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203151226818917"/>
                      <c:h val="0.2601231053003039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5A8-4D69-8E3D-113D6BDEED9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854517076418166"/>
                      <c:h val="0.20453782127242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5A8-4D69-8E3D-113D6BDEED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Sheet1!$B$8:$B$9</c:f>
              <c:strCache>
                <c:ptCount val="2"/>
                <c:pt idx="0">
                  <c:v>إجمالي التكاليف المباشرة
(Total Direct Costs)</c:v>
                </c:pt>
                <c:pt idx="1">
                  <c:v>إجمالي التكاليف غير المباشرة
(Total Indirect Costs)</c:v>
                </c:pt>
              </c:strCache>
            </c:strRef>
          </c:cat>
          <c:val>
            <c:numRef>
              <c:f>Sheet1!$C$8:$C$9</c:f>
              <c:numCache>
                <c:formatCode>#,##0</c:formatCode>
                <c:ptCount val="2"/>
                <c:pt idx="0">
                  <c:v>624502320</c:v>
                </c:pt>
                <c:pt idx="1">
                  <c:v>138265744.47375065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A8-4D69-8E3D-113D6BDEE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A4907E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A4907E"/>
                </a:solidFill>
                <a:latin typeface="+mn-lt"/>
                <a:ea typeface="+mn-ea"/>
                <a:cs typeface="+mn-cs"/>
              </a:defRPr>
            </a:pPr>
            <a:r>
              <a:rPr lang="ar-SA">
                <a:solidFill>
                  <a:srgbClr val="A4907E"/>
                </a:solidFill>
              </a:rPr>
              <a:t>نسبة المخاطرة التمويلية</a:t>
            </a:r>
          </a:p>
          <a:p>
            <a:pPr>
              <a:defRPr>
                <a:solidFill>
                  <a:srgbClr val="A4907E"/>
                </a:solidFill>
              </a:defRPr>
            </a:pPr>
            <a:r>
              <a:rPr lang="en-US">
                <a:solidFill>
                  <a:srgbClr val="A4907E"/>
                </a:solidFill>
              </a:rPr>
              <a:t>Loan to Value Ratio (LTV))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A4907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765539405332823E-2"/>
          <c:y val="0.23127175368139224"/>
          <c:w val="0.90732217433663709"/>
          <c:h val="0.5343865751720794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4907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FCB-41A7-9A5B-AE5FD65DA1C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5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AFCB-41A7-9A5B-AE5FD65DA1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Sheet1!$B$28</c:f>
              <c:strCache>
                <c:ptCount val="1"/>
                <c:pt idx="0">
                  <c:v>نسبة المخاطرة التمويلية
Loan to Value Ratio (LTV))</c:v>
                </c:pt>
              </c:strCache>
            </c:strRef>
          </c:cat>
          <c:val>
            <c:numRef>
              <c:f>Sheet1!$C$28</c:f>
              <c:numCache>
                <c:formatCode>0.00%</c:formatCode>
                <c:ptCount val="1"/>
                <c:pt idx="0">
                  <c:v>0.10832234246677404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CB-41A7-9A5B-AE5FD65DA1C4}"/>
            </c:ext>
          </c:extLst>
        </c:ser>
        <c:ser>
          <c:idx val="1"/>
          <c:order val="1"/>
          <c:spPr>
            <a:pattFill prst="divot">
              <a:fgClr>
                <a:srgbClr val="A4907E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Sheet1!$B$28</c:f>
              <c:strCache>
                <c:ptCount val="1"/>
                <c:pt idx="0">
                  <c:v>نسبة المخاطرة التمويلية
Loan to Value Ratio (LTV))</c:v>
                </c:pt>
              </c:strCache>
            </c:strRef>
          </c:cat>
          <c:val>
            <c:numRef>
              <c:f>Sheet1!$D$28</c:f>
              <c:numCache>
                <c:formatCode>0.00%</c:formatCode>
                <c:ptCount val="1"/>
                <c:pt idx="0">
                  <c:v>0.89167765753322592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CB-41A7-9A5B-AE5FD65DA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2658143"/>
        <c:axId val="832658623"/>
      </c:barChart>
      <c:catAx>
        <c:axId val="832658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32658623"/>
        <c:crosses val="autoZero"/>
        <c:auto val="1"/>
        <c:lblAlgn val="ctr"/>
        <c:lblOffset val="100"/>
        <c:noMultiLvlLbl val="0"/>
      </c:catAx>
      <c:valAx>
        <c:axId val="83265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A4907E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r-SA">
                    <a:solidFill>
                      <a:srgbClr val="A4907E"/>
                    </a:solidFill>
                  </a:rPr>
                  <a:t>بين (50%) و (70%) = طبيعي</a:t>
                </a:r>
                <a:endParaRPr lang="en-US">
                  <a:solidFill>
                    <a:srgbClr val="A4907E"/>
                  </a:solidFill>
                </a:endParaRPr>
              </a:p>
            </c:rich>
          </c:tx>
          <c:layout>
            <c:manualLayout>
              <c:xMode val="edge"/>
              <c:yMode val="edge"/>
              <c:x val="0.75959899149082299"/>
              <c:y val="0.880898980650674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A4907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4907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65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857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ar-SA" sz="1400" b="1" i="0" u="none" strike="noStrike" kern="1200" cap="all" spc="0" baseline="0">
                <a:solidFill>
                  <a:srgbClr val="A4907E"/>
                </a:solidFill>
                <a:latin typeface="+mn-lt"/>
                <a:ea typeface="+mn-ea"/>
                <a:cs typeface="+mn-cs"/>
              </a:rPr>
              <a:t>التكاليف</a:t>
            </a:r>
            <a:r>
              <a:rPr lang="ar-SA" sz="1600" b="1" i="0" u="none" strike="noStrike" cap="all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  <a:r>
              <a:rPr lang="ar-SA" sz="1400" b="1" i="0" u="none" strike="noStrike" kern="1200" spc="0" baseline="0" dirty="0">
                <a:solidFill>
                  <a:srgbClr val="A4907E"/>
                </a:solidFill>
                <a:latin typeface="+mn-lt"/>
                <a:ea typeface="+mn-ea"/>
                <a:cs typeface="+mn-cs"/>
              </a:rPr>
              <a:t>الاخرى</a:t>
            </a:r>
          </a:p>
        </cx:rich>
      </cx:tx>
    </cx:title>
    <cx:plotArea>
      <cx:plotAreaRegion>
        <cx:series layoutId="treemap" uniqueId="{4A216023-3C54-4CDC-9254-CF23CED93CAC}">
          <cx:spPr>
            <a:solidFill>
              <a:schemeClr val="tx1"/>
            </a:solidFill>
          </cx:spPr>
          <cx:dataPt idx="0">
            <cx:spPr>
              <a:solidFill>
                <a:srgbClr val="957E6F"/>
              </a:solidFill>
            </cx:spPr>
          </cx:dataPt>
          <cx:dataPt idx="1">
            <cx:spPr>
              <a:solidFill>
                <a:srgbClr val="B29C85"/>
              </a:solidFill>
            </cx:spPr>
          </cx:dataPt>
          <cx:dataPt idx="2">
            <cx:spPr>
              <a:solidFill>
                <a:srgbClr val="D1C2B4"/>
              </a:solidFill>
            </cx:spPr>
          </cx:dataPt>
          <cx:dataPt idx="3">
            <cx:spPr>
              <a:solidFill>
                <a:srgbClr val="866C60"/>
              </a:solidFill>
            </cx:spPr>
          </cx:dataPt>
          <cx:dataPt idx="4">
            <cx:spPr>
              <a:solidFill>
                <a:srgbClr val="957E6F"/>
              </a:solidFill>
            </cx:spPr>
          </cx:dataPt>
          <cx:dataPt idx="5">
            <cx:spPr>
              <a:solidFill>
                <a:srgbClr val="866C60"/>
              </a:solidFill>
            </cx:spPr>
          </cx:dataPt>
          <cx:dataPt idx="7">
            <cx:spPr>
              <a:solidFill>
                <a:srgbClr val="D1C2B4"/>
              </a:solidFill>
            </cx:spPr>
          </cx:dataPt>
          <cx:dataPt idx="8">
            <cx:spPr>
              <a:solidFill>
                <a:srgbClr val="B29C85"/>
              </a:solidFill>
            </cx:spPr>
          </cx:dataPt>
          <cx:dataPt idx="9">
            <cx:spPr>
              <a:solidFill>
                <a:srgbClr val="A4907E"/>
              </a:solidFill>
            </cx:spPr>
          </cx:dataPt>
          <cx:dataPt idx="10">
            <cx:spPr>
              <a:solidFill>
                <a:srgbClr val="C1AF9C"/>
              </a:solidFill>
            </cx:spPr>
          </cx:dataPt>
          <cx:dataPt idx="11">
            <cx:spPr>
              <a:solidFill>
                <a:srgbClr val="E0D5CB"/>
              </a:solidFill>
            </cx:spPr>
          </cx:dataPt>
          <cx:dataPt idx="12">
            <cx:spPr>
              <a:solidFill>
                <a:srgbClr val="C1AF9C"/>
              </a:solidFill>
            </cx:spPr>
          </cx:dataPt>
          <cx:dataPt idx="13">
            <cx:spPr>
              <a:solidFill>
                <a:srgbClr val="F0E8E3"/>
              </a:solidFill>
            </cx:spPr>
          </cx:dataPt>
          <cx:dataPt idx="14">
            <cx:spPr>
              <a:solidFill>
                <a:srgbClr val="A4907E"/>
              </a:solidFill>
            </cx:spPr>
          </cx:dataPt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/>
                </a:pPr>
                <a:endParaRPr lang="en-US" sz="16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  <cx:dataLabel idx="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1600" b="0" i="0" u="none" strike="noStrike" baseline="0">
                      <a:solidFill>
                        <a:sysClr val="window" lastClr="FFFFFF"/>
                      </a:solidFill>
                      <a:latin typeface="Calibri" panose="020F0502020204030204"/>
                    </a:rPr>
                    <a:t>الرخصة
 (License)</a:t>
                  </a:r>
                </a:p>
              </cx:txPr>
              <cx:visibility seriesName="0" categoryName="1" value="0"/>
            </cx:dataLabel>
          </cx:dataLabels>
          <cx:dataId val="0"/>
          <cx:layoutPr>
            <cx:parentLabelLayout val="overlapping"/>
          </cx:layoutPr>
        </cx:series>
      </cx:plotAreaRegion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title pos="t" align="ctr" overlay="0">
      <cx:tx>
        <cx:txData>
          <cx:v>Chart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rgbClr val="A4907E"/>
              </a:solidFill>
            </a:defRPr>
          </a:pPr>
          <a:r>
            <a:rPr lang="en-US" sz="1400" b="0" i="0" u="none" strike="noStrike" baseline="0">
              <a:solidFill>
                <a:srgbClr val="A4907E"/>
              </a:solidFill>
              <a:latin typeface="Calibri" panose="020F0502020204030204"/>
            </a:rPr>
            <a:t>Chart Title</a:t>
          </a:r>
        </a:p>
      </cx:txPr>
    </cx:title>
    <cx:plotArea>
      <cx:plotAreaRegion>
        <cx:series layoutId="treemap" uniqueId="{0BB38F0B-76AC-4F85-A28B-3670B6E68E3A}">
          <cx:dataPt idx="0">
            <cx:spPr>
              <a:solidFill>
                <a:sysClr val="window" lastClr="FFFFFF">
                  <a:lumMod val="50000"/>
                </a:sysClr>
              </a:solidFill>
            </cx:spPr>
          </cx:dataPt>
          <cx:dataPt idx="1">
            <cx:spPr>
              <a:solidFill>
                <a:srgbClr val="B5A495"/>
              </a:solidFill>
            </cx:spPr>
          </cx:dataPt>
          <cx:dataPt idx="2">
            <cx:spPr>
              <a:solidFill>
                <a:srgbClr val="DAD2CC"/>
              </a:solidFill>
            </cx:spPr>
          </cx:dataPt>
          <cx:dataPt idx="3">
            <cx:spPr>
              <a:solidFill>
                <a:srgbClr val="A4907E"/>
              </a:solidFill>
            </cx:spPr>
          </cx:dataPt>
          <cx:dataPt idx="4">
            <cx:spPr>
              <a:solidFill>
                <a:srgbClr val="F0EAE4"/>
              </a:solidFill>
            </cx:spPr>
          </cx:dataPt>
          <cx:dataLabels pos="inEnd">
            <cx:visibility seriesName="0" categoryName="1" value="0"/>
            <cx:dataLabel idx="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aseline="0">
                      <a:solidFill>
                        <a:srgbClr val="A4907E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rgbClr val="A4907E"/>
                      </a:solidFill>
                      <a:latin typeface="Calibri" panose="020F0502020204030204"/>
                    </a:rPr>
                    <a:t>إجمالي قيمة ونسبة تكاليف الصندوق من إجمالي تكاليف المشروع
(Fund Management Cost as Value and % of Total Project Cost)</a:t>
                  </a:r>
                </a:p>
              </cx:txPr>
              <cx:visibility seriesName="0" categoryName="1" value="0"/>
            </cx:dataLabel>
          </cx:dataLabels>
          <cx:dataId val="0"/>
          <cx:layoutPr>
            <cx:parentLabelLayout val="overlapping"/>
          </cx:layoutPr>
        </cx:series>
      </cx:plotAreaRegion>
    </cx:plotArea>
  </cx:chart>
  <cx:spPr>
    <a:noFill/>
    <a:ln w="28575">
      <a:solidFill>
        <a:schemeClr val="bg1">
          <a:lumMod val="75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18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3">
      <cs:styleClr val="auto"/>
    </cs:fillRef>
    <cs:effectRef idx="2">
      <a:schemeClr val="dk1"/>
    </cs:effectRef>
    <cs:fontRef idx="minor">
      <a:schemeClr val="tx1"/>
    </cs:fontRef>
  </cs:dataPoint>
  <cs:dataPoint3D>
    <cs:lnRef idx="0"/>
    <cs:fillRef idx="3">
      <cs:styleClr val="auto"/>
    </cs:fillRef>
    <cs:effectRef idx="2">
      <a:schemeClr val="dk1"/>
    </cs:effectRef>
    <cs:fontRef idx="minor">
      <a:schemeClr val="tx1"/>
    </cs:fontRef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3">
      <cs:styleClr val="auto"/>
    </cs:fillRef>
    <cs:effectRef idx="2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0"/>
    <cs:fillRef idx="3">
      <a:schemeClr val="dk1">
        <a:tint val="95000"/>
      </a:schemeClr>
    </cs:fillRef>
    <cs:effectRef idx="2">
      <a:schemeClr val="dk1"/>
    </cs:effectRef>
    <cs:fontRef idx="minor">
      <a:schemeClr val="tx1"/>
    </cs:fontRef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0"/>
    <cs:fillRef idx="3">
      <a:schemeClr val="dk1">
        <a:tint val="5000"/>
      </a:schemeClr>
    </cs:fillRef>
    <cs:effectRef idx="2">
      <a:schemeClr val="dk1"/>
    </cs:effectRef>
    <cs:fontRef idx="minor">
      <a:schemeClr val="tx1"/>
    </cs:fontRef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73639</xdr:colOff>
      <xdr:row>1</xdr:row>
      <xdr:rowOff>95250</xdr:rowOff>
    </xdr:from>
    <xdr:to>
      <xdr:col>2</xdr:col>
      <xdr:colOff>880046</xdr:colOff>
      <xdr:row>5</xdr:row>
      <xdr:rowOff>248069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9FD846B1-D5E8-47BF-B7C8-4A9EFA162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62097626" y="258536"/>
          <a:ext cx="3468235" cy="137432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19049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4BE53D7D-E158-8752-3D9E-458782C989FE}"/>
            </a:ext>
          </a:extLst>
        </xdr:cNvPr>
        <xdr:cNvSpPr>
          <a:spLocks noChangeAspect="1" noChangeArrowheads="1"/>
        </xdr:cNvSpPr>
      </xdr:nvSpPr>
      <xdr:spPr bwMode="auto">
        <a:xfrm flipH="1">
          <a:off x="105482133759" y="2196353"/>
          <a:ext cx="304800" cy="310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398319</xdr:colOff>
      <xdr:row>61</xdr:row>
      <xdr:rowOff>0</xdr:rowOff>
    </xdr:from>
    <xdr:to>
      <xdr:col>3</xdr:col>
      <xdr:colOff>201706</xdr:colOff>
      <xdr:row>78</xdr:row>
      <xdr:rowOff>212913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7E0C52-DD0F-886D-7F10-79F53BFF1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243471</xdr:colOff>
      <xdr:row>60</xdr:row>
      <xdr:rowOff>219024</xdr:rowOff>
    </xdr:from>
    <xdr:to>
      <xdr:col>7</xdr:col>
      <xdr:colOff>1297842</xdr:colOff>
      <xdr:row>78</xdr:row>
      <xdr:rowOff>196614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22972C-FCD9-9462-DEEF-6050FAE4C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42788</xdr:colOff>
      <xdr:row>61</xdr:row>
      <xdr:rowOff>28526</xdr:rowOff>
    </xdr:from>
    <xdr:to>
      <xdr:col>9</xdr:col>
      <xdr:colOff>1932710</xdr:colOff>
      <xdr:row>78</xdr:row>
      <xdr:rowOff>126423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9C721F8-E00E-4CF5-A952-3080CAC61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403412</xdr:colOff>
      <xdr:row>131</xdr:row>
      <xdr:rowOff>33618</xdr:rowOff>
    </xdr:from>
    <xdr:to>
      <xdr:col>9</xdr:col>
      <xdr:colOff>1311088</xdr:colOff>
      <xdr:row>147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FFE428-315B-43F7-A4CC-F48B79C2A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54428</xdr:colOff>
      <xdr:row>103</xdr:row>
      <xdr:rowOff>138546</xdr:rowOff>
    </xdr:from>
    <xdr:to>
      <xdr:col>9</xdr:col>
      <xdr:colOff>2544536</xdr:colOff>
      <xdr:row>125</xdr:row>
      <xdr:rowOff>225137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9B28599-C2C8-ECB6-3762-B12EE312A5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45166014" y="24941646"/>
              <a:ext cx="23549883" cy="53253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ar-S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4095750</xdr:colOff>
      <xdr:row>38</xdr:row>
      <xdr:rowOff>163285</xdr:rowOff>
    </xdr:from>
    <xdr:to>
      <xdr:col>9</xdr:col>
      <xdr:colOff>136071</xdr:colOff>
      <xdr:row>47</xdr:row>
      <xdr:rowOff>160027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156EB2-E7FC-44BC-966E-75FE79434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8501061</xdr:colOff>
      <xdr:row>82</xdr:row>
      <xdr:rowOff>71438</xdr:rowOff>
    </xdr:from>
    <xdr:to>
      <xdr:col>6</xdr:col>
      <xdr:colOff>1167019</xdr:colOff>
      <xdr:row>98</xdr:row>
      <xdr:rowOff>190500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FC5BCD28-B3F9-453C-9147-A88EF589B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duotone>
            <a:prstClr val="black"/>
            <a:srgbClr val="A18D7B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11328796669" y="19788188"/>
          <a:ext cx="9144208" cy="39290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14646</xdr:colOff>
      <xdr:row>2</xdr:row>
      <xdr:rowOff>38345</xdr:rowOff>
    </xdr:from>
    <xdr:to>
      <xdr:col>3</xdr:col>
      <xdr:colOff>542925</xdr:colOff>
      <xdr:row>5</xdr:row>
      <xdr:rowOff>67530</xdr:rowOff>
    </xdr:to>
    <xdr:pic>
      <xdr:nvPicPr>
        <xdr:cNvPr id="77" name="صورة 2">
          <a:extLst>
            <a:ext uri="{FF2B5EF4-FFF2-40B4-BE49-F238E27FC236}">
              <a16:creationId xmlns:a16="http://schemas.microsoft.com/office/drawing/2014/main" id="{CD4F893C-0E2B-48CE-9939-5898BDE77C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34"/>
        <a:stretch>
          <a:fillRect/>
        </a:stretch>
      </xdr:blipFill>
      <xdr:spPr>
        <a:xfrm>
          <a:off x="11237004450" y="400295"/>
          <a:ext cx="1214079" cy="572110"/>
        </a:xfrm>
        <a:prstGeom prst="rect">
          <a:avLst/>
        </a:prstGeom>
        <a:ln w="28575">
          <a:noFill/>
        </a:ln>
      </xdr:spPr>
    </xdr:pic>
    <xdr:clientData/>
  </xdr:twoCellAnchor>
  <xdr:twoCellAnchor>
    <xdr:from>
      <xdr:col>16</xdr:col>
      <xdr:colOff>567449</xdr:colOff>
      <xdr:row>10</xdr:row>
      <xdr:rowOff>60395</xdr:rowOff>
    </xdr:from>
    <xdr:to>
      <xdr:col>20</xdr:col>
      <xdr:colOff>253622</xdr:colOff>
      <xdr:row>17</xdr:row>
      <xdr:rowOff>56585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24A5C95-4B9F-481E-90B8-301ED6E2F30F}"/>
            </a:ext>
          </a:extLst>
        </xdr:cNvPr>
        <xdr:cNvGrpSpPr/>
      </xdr:nvGrpSpPr>
      <xdr:grpSpPr>
        <a:xfrm flipH="1">
          <a:off x="11136580485" y="1829324"/>
          <a:ext cx="2407602" cy="1234440"/>
          <a:chOff x="11224259998" y="695325"/>
          <a:chExt cx="1809751" cy="192405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65084DE-C041-D7ED-3666-6139CE49B9A2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1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4" name="Rectangle 3">
            <a:extLst>
              <a:ext uri="{FF2B5EF4-FFF2-40B4-BE49-F238E27FC236}">
                <a16:creationId xmlns:a16="http://schemas.microsoft.com/office/drawing/2014/main" id="{D3FF3809-E49C-E206-8A28-C9EB376DBCA7}"/>
              </a:ext>
            </a:extLst>
          </xdr:cNvPr>
          <xdr:cNvSpPr/>
        </xdr:nvSpPr>
        <xdr:spPr>
          <a:xfrm>
            <a:off x="11224345724" y="820910"/>
            <a:ext cx="1619250" cy="63817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8BEC894B-5B5C-4349-9110-1C2F73E469AA}" type="TxLink">
              <a:rPr lang="ar-SA" sz="10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التكلفة لكل م² من إجمالي المساحات التطويرية
(Cost per m² of Total Built-Up Area)</a:t>
            </a:fld>
            <a:endParaRPr lang="ar-SA" sz="16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5" name="Rectangle 4">
            <a:extLst>
              <a:ext uri="{FF2B5EF4-FFF2-40B4-BE49-F238E27FC236}">
                <a16:creationId xmlns:a16="http://schemas.microsoft.com/office/drawing/2014/main" id="{0A2CD7E2-597C-1BC4-9A30-D233D35A0F06}"/>
              </a:ext>
            </a:extLst>
          </xdr:cNvPr>
          <xdr:cNvSpPr/>
        </xdr:nvSpPr>
        <xdr:spPr>
          <a:xfrm>
            <a:off x="11224345724" y="1577784"/>
            <a:ext cx="1619250" cy="898715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F509D372-0F50-4C9F-93A6-C842D9A2A73C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#DIV/0!</a:t>
            </a:fld>
            <a:endParaRPr lang="ar-SA" sz="44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14</xdr:col>
      <xdr:colOff>609600</xdr:colOff>
      <xdr:row>26</xdr:row>
      <xdr:rowOff>154183</xdr:rowOff>
    </xdr:from>
    <xdr:to>
      <xdr:col>20</xdr:col>
      <xdr:colOff>257174</xdr:colOff>
      <xdr:row>32</xdr:row>
      <xdr:rowOff>131323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A668B92F-917B-4173-AC85-8AE2A6A74201}"/>
            </a:ext>
          </a:extLst>
        </xdr:cNvPr>
        <xdr:cNvGrpSpPr/>
      </xdr:nvGrpSpPr>
      <xdr:grpSpPr>
        <a:xfrm flipH="1">
          <a:off x="11136576933" y="4753397"/>
          <a:ext cx="3729717" cy="1038497"/>
          <a:chOff x="11224259998" y="695325"/>
          <a:chExt cx="1809751" cy="1924050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C934BBBB-4623-1AAF-BE13-436584645816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1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8" name="Rectangle 7">
            <a:extLst>
              <a:ext uri="{FF2B5EF4-FFF2-40B4-BE49-F238E27FC236}">
                <a16:creationId xmlns:a16="http://schemas.microsoft.com/office/drawing/2014/main" id="{64579871-584E-913C-EFE3-07F777759460}"/>
              </a:ext>
            </a:extLst>
          </xdr:cNvPr>
          <xdr:cNvSpPr/>
        </xdr:nvSpPr>
        <xdr:spPr>
          <a:xfrm>
            <a:off x="11224345724" y="820910"/>
            <a:ext cx="1619250" cy="63817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A1896DDF-A481-4EB2-AEE2-5A8FE9A2CB9F}" type="TxLink">
              <a:rPr lang="ar-SA" sz="12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التكلفة لكل م² من إجمالي المساحات القابلة للبيع
(Cost per m² of Saleable Area)</a:t>
            </a:fld>
            <a:endParaRPr lang="ar-SA" sz="32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9" name="Rectangle 8">
            <a:extLst>
              <a:ext uri="{FF2B5EF4-FFF2-40B4-BE49-F238E27FC236}">
                <a16:creationId xmlns:a16="http://schemas.microsoft.com/office/drawing/2014/main" id="{DF6D365B-C258-C22F-95BD-C08F227F1491}"/>
              </a:ext>
            </a:extLst>
          </xdr:cNvPr>
          <xdr:cNvSpPr/>
        </xdr:nvSpPr>
        <xdr:spPr>
          <a:xfrm>
            <a:off x="11224345724" y="1577784"/>
            <a:ext cx="1619250" cy="898715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1184DFCF-3BC2-44DE-9786-42E4C81A0945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#DIV/0!</a:t>
            </a:fld>
            <a:endParaRPr lang="ar-SA" sz="166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13</xdr:col>
      <xdr:colOff>1511</xdr:colOff>
      <xdr:row>10</xdr:row>
      <xdr:rowOff>61345</xdr:rowOff>
    </xdr:from>
    <xdr:to>
      <xdr:col>16</xdr:col>
      <xdr:colOff>423925</xdr:colOff>
      <xdr:row>23</xdr:row>
      <xdr:rowOff>140677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440A890-A85C-45A2-98C2-9FA6D03FE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389281</xdr:colOff>
      <xdr:row>10</xdr:row>
      <xdr:rowOff>55963</xdr:rowOff>
    </xdr:from>
    <xdr:to>
      <xdr:col>12</xdr:col>
      <xdr:colOff>468922</xdr:colOff>
      <xdr:row>23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8184CD3F-661F-4F02-9D9F-DCAE8200C6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30906253" y="1865713"/>
              <a:ext cx="6937641" cy="24205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ar-S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574842</xdr:colOff>
      <xdr:row>18</xdr:row>
      <xdr:rowOff>3847</xdr:rowOff>
    </xdr:from>
    <xdr:to>
      <xdr:col>20</xdr:col>
      <xdr:colOff>261015</xdr:colOff>
      <xdr:row>23</xdr:row>
      <xdr:rowOff>167404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78EC62A-83E9-40F6-8323-C51B84600726}"/>
            </a:ext>
          </a:extLst>
        </xdr:cNvPr>
        <xdr:cNvGrpSpPr/>
      </xdr:nvGrpSpPr>
      <xdr:grpSpPr>
        <a:xfrm flipH="1">
          <a:off x="11136573092" y="3187918"/>
          <a:ext cx="2407602" cy="1048022"/>
          <a:chOff x="11224258104" y="695325"/>
          <a:chExt cx="1809751" cy="1924050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6D80AA4C-9A4C-5C07-068B-7B9BA3336D9B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1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14" name="Rectangle 13">
            <a:extLst>
              <a:ext uri="{FF2B5EF4-FFF2-40B4-BE49-F238E27FC236}">
                <a16:creationId xmlns:a16="http://schemas.microsoft.com/office/drawing/2014/main" id="{2C29614A-0164-16E3-60AD-AF9975E3C217}"/>
              </a:ext>
            </a:extLst>
          </xdr:cNvPr>
          <xdr:cNvSpPr/>
        </xdr:nvSpPr>
        <xdr:spPr>
          <a:xfrm>
            <a:off x="11224345724" y="820910"/>
            <a:ext cx="1619250" cy="63817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C2F1425F-AFC2-436E-BB7F-85C596796442}" type="TxLink">
              <a:rPr lang="ar-SA" sz="105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إجمالي التكاليف التشغيلية
(Total Operating Costs)</a:t>
            </a:fld>
            <a:endParaRPr lang="ar-SA" sz="24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15" name="Rectangle 14">
            <a:extLst>
              <a:ext uri="{FF2B5EF4-FFF2-40B4-BE49-F238E27FC236}">
                <a16:creationId xmlns:a16="http://schemas.microsoft.com/office/drawing/2014/main" id="{BCDBB9D4-9110-5110-F588-42CD4B4267BD}"/>
              </a:ext>
            </a:extLst>
          </xdr:cNvPr>
          <xdr:cNvSpPr/>
        </xdr:nvSpPr>
        <xdr:spPr>
          <a:xfrm>
            <a:off x="11224345724" y="1577784"/>
            <a:ext cx="1619250" cy="898715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AA5E7AFB-11D6-4028-A1BD-1365D6B3E150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0</a:t>
            </a:fld>
            <a:endParaRPr lang="ar-SA" sz="166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15</xdr:col>
      <xdr:colOff>494</xdr:colOff>
      <xdr:row>33</xdr:row>
      <xdr:rowOff>96076</xdr:rowOff>
    </xdr:from>
    <xdr:to>
      <xdr:col>20</xdr:col>
      <xdr:colOff>256580</xdr:colOff>
      <xdr:row>39</xdr:row>
      <xdr:rowOff>73216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C55F64F5-2263-4A7A-8CBF-8E6F507F2E32}"/>
            </a:ext>
          </a:extLst>
        </xdr:cNvPr>
        <xdr:cNvGrpSpPr/>
      </xdr:nvGrpSpPr>
      <xdr:grpSpPr>
        <a:xfrm flipH="1">
          <a:off x="11136577527" y="5933540"/>
          <a:ext cx="3657872" cy="1038497"/>
          <a:chOff x="11224259998" y="695325"/>
          <a:chExt cx="1809751" cy="192405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2CABC432-33E2-82E2-2E91-89D5BE025CCC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4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18" name="Rectangle 17">
            <a:extLst>
              <a:ext uri="{FF2B5EF4-FFF2-40B4-BE49-F238E27FC236}">
                <a16:creationId xmlns:a16="http://schemas.microsoft.com/office/drawing/2014/main" id="{C3D2F165-7EB3-9869-5D46-E10106DA6C80}"/>
              </a:ext>
            </a:extLst>
          </xdr:cNvPr>
          <xdr:cNvSpPr/>
        </xdr:nvSpPr>
        <xdr:spPr>
          <a:xfrm>
            <a:off x="11224345724" y="820910"/>
            <a:ext cx="1619250" cy="63817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DB7E745C-0850-45D2-973B-09A8BC1C6A7B}" type="TxLink">
              <a:rPr lang="ar-SA" sz="12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متوسط سعر بيع المتر البيعي
(Average Selling Price per Sellable m²)</a:t>
            </a:fld>
            <a:endParaRPr lang="ar-SA" sz="40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19" name="Rectangle 18">
            <a:extLst>
              <a:ext uri="{FF2B5EF4-FFF2-40B4-BE49-F238E27FC236}">
                <a16:creationId xmlns:a16="http://schemas.microsoft.com/office/drawing/2014/main" id="{0B934B28-CA04-804D-D407-C89EFE4C099E}"/>
              </a:ext>
            </a:extLst>
          </xdr:cNvPr>
          <xdr:cNvSpPr/>
        </xdr:nvSpPr>
        <xdr:spPr>
          <a:xfrm>
            <a:off x="11224345724" y="1577784"/>
            <a:ext cx="1619250" cy="898715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18935E6F-77BA-4337-AB07-8AF6028B93C9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#DIV/0!</a:t>
            </a:fld>
            <a:endParaRPr lang="ar-SA" sz="1234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2</xdr:col>
      <xdr:colOff>398174</xdr:colOff>
      <xdr:row>26</xdr:row>
      <xdr:rowOff>154183</xdr:rowOff>
    </xdr:from>
    <xdr:to>
      <xdr:col>8</xdr:col>
      <xdr:colOff>32414</xdr:colOff>
      <xdr:row>32</xdr:row>
      <xdr:rowOff>131323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5CA608EB-B1AF-482D-BCD5-D0DA9B7DE5AF}"/>
            </a:ext>
          </a:extLst>
        </xdr:cNvPr>
        <xdr:cNvGrpSpPr/>
      </xdr:nvGrpSpPr>
      <xdr:grpSpPr>
        <a:xfrm flipH="1">
          <a:off x="11144965979" y="4753397"/>
          <a:ext cx="3716383" cy="1038497"/>
          <a:chOff x="11224259998" y="695325"/>
          <a:chExt cx="1809751" cy="1924050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EE69C484-DF38-E2DA-C248-292D11713520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4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22" name="Rectangle 21">
            <a:extLst>
              <a:ext uri="{FF2B5EF4-FFF2-40B4-BE49-F238E27FC236}">
                <a16:creationId xmlns:a16="http://schemas.microsoft.com/office/drawing/2014/main" id="{F0694A7E-0FF6-6F1E-5720-554CA51EC1C9}"/>
              </a:ext>
            </a:extLst>
          </xdr:cNvPr>
          <xdr:cNvSpPr/>
        </xdr:nvSpPr>
        <xdr:spPr>
          <a:xfrm>
            <a:off x="11224345724" y="820910"/>
            <a:ext cx="1619250" cy="63817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B4A20540-790E-4670-83DB-8DB671606729}" type="TxLink">
              <a:rPr lang="ar-SA" sz="12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متوسط قيمة و نسبة الربح لكل م²
(Average Profit Value and % per m²)</a:t>
            </a:fld>
            <a:endParaRPr lang="ar-SA" sz="40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23" name="Rectangle 22">
            <a:extLst>
              <a:ext uri="{FF2B5EF4-FFF2-40B4-BE49-F238E27FC236}">
                <a16:creationId xmlns:a16="http://schemas.microsoft.com/office/drawing/2014/main" id="{CFDBEEAC-FBCA-4C19-76C7-74356DA09DE4}"/>
              </a:ext>
            </a:extLst>
          </xdr:cNvPr>
          <xdr:cNvSpPr/>
        </xdr:nvSpPr>
        <xdr:spPr>
          <a:xfrm>
            <a:off x="11224345724" y="1577784"/>
            <a:ext cx="1619250" cy="898715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409E4AE5-DD88-408A-90F5-348B76700208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#DIV/0!</a:t>
            </a:fld>
            <a:endParaRPr lang="ar-SA" sz="1234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8</xdr:col>
      <xdr:colOff>516228</xdr:colOff>
      <xdr:row>26</xdr:row>
      <xdr:rowOff>154183</xdr:rowOff>
    </xdr:from>
    <xdr:to>
      <xdr:col>14</xdr:col>
      <xdr:colOff>150468</xdr:colOff>
      <xdr:row>32</xdr:row>
      <xdr:rowOff>131323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0671E0B8-B169-4CC8-A733-E7BD407E3925}"/>
            </a:ext>
          </a:extLst>
        </xdr:cNvPr>
        <xdr:cNvGrpSpPr/>
      </xdr:nvGrpSpPr>
      <xdr:grpSpPr>
        <a:xfrm flipH="1">
          <a:off x="11140765782" y="4753397"/>
          <a:ext cx="3716383" cy="1038497"/>
          <a:chOff x="11224259998" y="695325"/>
          <a:chExt cx="1809751" cy="1924050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99E078F6-FFA0-004D-065D-C703C36020E8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4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26" name="Rectangle 25">
            <a:extLst>
              <a:ext uri="{FF2B5EF4-FFF2-40B4-BE49-F238E27FC236}">
                <a16:creationId xmlns:a16="http://schemas.microsoft.com/office/drawing/2014/main" id="{07EB09B3-68C2-C504-D37A-D76D99E0BD29}"/>
              </a:ext>
            </a:extLst>
          </xdr:cNvPr>
          <xdr:cNvSpPr/>
        </xdr:nvSpPr>
        <xdr:spPr>
          <a:xfrm>
            <a:off x="11224345724" y="820910"/>
            <a:ext cx="1619250" cy="63817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84BD6C9A-DC43-4277-ABF2-9913605AE8A9}" type="TxLink">
              <a:rPr lang="ar-SA" sz="11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العائد على المتر البيعي (شامل عوائد الإيجار)
(Total Return per Saleable m² including Rental Income)</a:t>
            </a:fld>
            <a:endParaRPr lang="ar-SA" sz="36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27" name="Rectangle 26">
            <a:extLst>
              <a:ext uri="{FF2B5EF4-FFF2-40B4-BE49-F238E27FC236}">
                <a16:creationId xmlns:a16="http://schemas.microsoft.com/office/drawing/2014/main" id="{C4F6E66B-991E-F356-E488-724E2A1B43B8}"/>
              </a:ext>
            </a:extLst>
          </xdr:cNvPr>
          <xdr:cNvSpPr/>
        </xdr:nvSpPr>
        <xdr:spPr>
          <a:xfrm>
            <a:off x="11224345724" y="1577784"/>
            <a:ext cx="1619250" cy="898715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B1D8A4A1-C1E7-4987-AB78-C49DA5153D05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#DIV/0!</a:t>
            </a:fld>
            <a:endParaRPr lang="ar-SA" sz="1234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8</xdr:col>
      <xdr:colOff>506047</xdr:colOff>
      <xdr:row>33</xdr:row>
      <xdr:rowOff>96076</xdr:rowOff>
    </xdr:from>
    <xdr:to>
      <xdr:col>14</xdr:col>
      <xdr:colOff>140287</xdr:colOff>
      <xdr:row>39</xdr:row>
      <xdr:rowOff>73216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56BCA9B4-33F6-4064-A72C-F560468B5203}"/>
            </a:ext>
          </a:extLst>
        </xdr:cNvPr>
        <xdr:cNvGrpSpPr/>
      </xdr:nvGrpSpPr>
      <xdr:grpSpPr>
        <a:xfrm flipH="1">
          <a:off x="11140775963" y="5933540"/>
          <a:ext cx="3716383" cy="1038497"/>
          <a:chOff x="11224259998" y="695325"/>
          <a:chExt cx="1809751" cy="1924050"/>
        </a:xfrm>
      </xdr:grpSpPr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F14CB971-5E9D-5188-93C1-8619EC61985E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4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30" name="Rectangle 29">
            <a:extLst>
              <a:ext uri="{FF2B5EF4-FFF2-40B4-BE49-F238E27FC236}">
                <a16:creationId xmlns:a16="http://schemas.microsoft.com/office/drawing/2014/main" id="{B7B6B7CB-A737-5F65-C725-9B16F1F667AE}"/>
              </a:ext>
            </a:extLst>
          </xdr:cNvPr>
          <xdr:cNvSpPr/>
        </xdr:nvSpPr>
        <xdr:spPr>
          <a:xfrm>
            <a:off x="11224345724" y="820910"/>
            <a:ext cx="1619250" cy="63817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E0D42D16-7EBD-4709-BA8E-6B9F71371568}" type="TxLink">
              <a:rPr lang="ar-SA" sz="12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نقطة التعادل - عدد الأمتار البيعية اللازمة لتغطية التكاليف
(Sellable Area Required for Cost Recovery)</a:t>
            </a:fld>
            <a:endParaRPr lang="ar-SA" sz="40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31" name="Rectangle 30">
            <a:extLst>
              <a:ext uri="{FF2B5EF4-FFF2-40B4-BE49-F238E27FC236}">
                <a16:creationId xmlns:a16="http://schemas.microsoft.com/office/drawing/2014/main" id="{79D4B942-2A06-DA17-52E9-34491FD1974C}"/>
              </a:ext>
            </a:extLst>
          </xdr:cNvPr>
          <xdr:cNvSpPr/>
        </xdr:nvSpPr>
        <xdr:spPr>
          <a:xfrm>
            <a:off x="11224345724" y="1577784"/>
            <a:ext cx="1619250" cy="898715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DB831BBA-22C5-45AA-8664-A2A6B79E2829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#DIV/0!</a:t>
            </a:fld>
            <a:endParaRPr lang="ar-SA" sz="1028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2</xdr:col>
      <xdr:colOff>397190</xdr:colOff>
      <xdr:row>33</xdr:row>
      <xdr:rowOff>96076</xdr:rowOff>
    </xdr:from>
    <xdr:to>
      <xdr:col>8</xdr:col>
      <xdr:colOff>31430</xdr:colOff>
      <xdr:row>39</xdr:row>
      <xdr:rowOff>73216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D949AB53-D7F6-4EA5-8C04-E5FA9DC6D9A9}"/>
            </a:ext>
          </a:extLst>
        </xdr:cNvPr>
        <xdr:cNvGrpSpPr/>
      </xdr:nvGrpSpPr>
      <xdr:grpSpPr>
        <a:xfrm flipH="1">
          <a:off x="11144966963" y="5933540"/>
          <a:ext cx="3716383" cy="1038497"/>
          <a:chOff x="11224259998" y="695325"/>
          <a:chExt cx="1809751" cy="1924050"/>
        </a:xfrm>
      </xdr:grpSpPr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B69B1672-7D4D-2020-7BCF-B0BAA895C872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4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34" name="Rectangle 33">
            <a:extLst>
              <a:ext uri="{FF2B5EF4-FFF2-40B4-BE49-F238E27FC236}">
                <a16:creationId xmlns:a16="http://schemas.microsoft.com/office/drawing/2014/main" id="{9A0D7E2C-8610-29F0-F21C-0B80629C01F6}"/>
              </a:ext>
            </a:extLst>
          </xdr:cNvPr>
          <xdr:cNvSpPr/>
        </xdr:nvSpPr>
        <xdr:spPr>
          <a:xfrm>
            <a:off x="11224345724" y="820910"/>
            <a:ext cx="1619250" cy="63817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F5F5893F-204B-4142-85EC-097B60C3345E}" type="TxLink">
              <a:rPr lang="ar-SA" sz="12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نسبة صافي الربح من الإيرادات
(Net Profit as % of Revenues)</a:t>
            </a:fld>
            <a:endParaRPr lang="ar-SA" sz="48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35" name="Rectangle 34">
            <a:extLst>
              <a:ext uri="{FF2B5EF4-FFF2-40B4-BE49-F238E27FC236}">
                <a16:creationId xmlns:a16="http://schemas.microsoft.com/office/drawing/2014/main" id="{78824B69-2752-A59D-1856-313777F5D4B7}"/>
              </a:ext>
            </a:extLst>
          </xdr:cNvPr>
          <xdr:cNvSpPr/>
        </xdr:nvSpPr>
        <xdr:spPr>
          <a:xfrm>
            <a:off x="11224345724" y="1577784"/>
            <a:ext cx="1619250" cy="898715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fld id="{F9B5AE00-5848-4F0E-95B3-791C172E2753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1"/>
              <a:t>#DIV/0!</a:t>
            </a:fld>
            <a:endParaRPr lang="ar-SA" sz="4000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16</xdr:col>
      <xdr:colOff>562762</xdr:colOff>
      <xdr:row>43</xdr:row>
      <xdr:rowOff>4082</xdr:rowOff>
    </xdr:from>
    <xdr:to>
      <xdr:col>20</xdr:col>
      <xdr:colOff>251866</xdr:colOff>
      <xdr:row>49</xdr:row>
      <xdr:rowOff>272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559600C4-BD0F-4A7D-A797-F6130A68E85B}"/>
            </a:ext>
          </a:extLst>
        </xdr:cNvPr>
        <xdr:cNvGrpSpPr/>
      </xdr:nvGrpSpPr>
      <xdr:grpSpPr>
        <a:xfrm flipH="1">
          <a:off x="11136582241" y="7610475"/>
          <a:ext cx="2410533" cy="1057547"/>
          <a:chOff x="11224259998" y="695325"/>
          <a:chExt cx="1809751" cy="1924050"/>
        </a:xfrm>
      </xdr:grpSpPr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DC38D0F-1A15-93D6-6255-3BA5C0CD870E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8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38" name="Rectangle 37">
            <a:extLst>
              <a:ext uri="{FF2B5EF4-FFF2-40B4-BE49-F238E27FC236}">
                <a16:creationId xmlns:a16="http://schemas.microsoft.com/office/drawing/2014/main" id="{CDE371B4-B184-1334-66DE-5C5C242E018C}"/>
              </a:ext>
            </a:extLst>
          </xdr:cNvPr>
          <xdr:cNvSpPr/>
        </xdr:nvSpPr>
        <xdr:spPr>
          <a:xfrm>
            <a:off x="11224345724" y="820909"/>
            <a:ext cx="1619250" cy="700104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32FECE97-C863-4BA3-90EC-71CEC0A9C0B5}" type="TxLink">
              <a:rPr lang="en-US" sz="105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#DIV/0!</a:t>
            </a:fld>
            <a:endParaRPr lang="ar-SA" sz="40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39" name="Rectangle 38">
            <a:extLst>
              <a:ext uri="{FF2B5EF4-FFF2-40B4-BE49-F238E27FC236}">
                <a16:creationId xmlns:a16="http://schemas.microsoft.com/office/drawing/2014/main" id="{217A4B5E-FDC8-739B-FA5B-9DDD62EDD837}"/>
              </a:ext>
            </a:extLst>
          </xdr:cNvPr>
          <xdr:cNvSpPr/>
        </xdr:nvSpPr>
        <xdr:spPr>
          <a:xfrm>
            <a:off x="11224345724" y="1694843"/>
            <a:ext cx="1619250" cy="78165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F9DCD997-DB8F-4449-AF2F-5F52EC86435D}" type="TxLink">
              <a:rPr lang="en-US" sz="105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#DIV/0!</a:t>
            </a:fld>
            <a:endParaRPr lang="ar-SA" sz="2132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12</xdr:col>
      <xdr:colOff>360149</xdr:colOff>
      <xdr:row>43</xdr:row>
      <xdr:rowOff>4082</xdr:rowOff>
    </xdr:from>
    <xdr:to>
      <xdr:col>16</xdr:col>
      <xdr:colOff>49253</xdr:colOff>
      <xdr:row>49</xdr:row>
      <xdr:rowOff>272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3B2F1E04-6C88-4F1D-B05C-9A53F2DDD819}"/>
            </a:ext>
          </a:extLst>
        </xdr:cNvPr>
        <xdr:cNvGrpSpPr/>
      </xdr:nvGrpSpPr>
      <xdr:grpSpPr>
        <a:xfrm flipH="1">
          <a:off x="11139506283" y="7610475"/>
          <a:ext cx="2410532" cy="1057547"/>
          <a:chOff x="11224259998" y="695325"/>
          <a:chExt cx="1809751" cy="1924050"/>
        </a:xfrm>
      </xdr:grpSpPr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1EAB042D-7395-D532-C0C6-BBB4127F691D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800" b="0">
              <a:solidFill>
                <a:srgbClr val="736151"/>
              </a:solidFill>
            </a:endParaRP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738E2AFB-5BDB-4350-0C3A-46C89B8FB1B2}"/>
              </a:ext>
            </a:extLst>
          </xdr:cNvPr>
          <xdr:cNvSpPr/>
        </xdr:nvSpPr>
        <xdr:spPr>
          <a:xfrm>
            <a:off x="11224345724" y="820909"/>
            <a:ext cx="1619250" cy="700104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r>
              <a:rPr lang="ar-SA" sz="1400" b="0" i="0" u="none" strike="noStrike">
                <a:solidFill>
                  <a:srgbClr val="736151"/>
                </a:solidFill>
                <a:latin typeface="+mn-lt"/>
                <a:ea typeface="Calibri"/>
                <a:cs typeface="Calibri"/>
              </a:rPr>
              <a:t>فوائد التمويل</a:t>
            </a:r>
            <a:br>
              <a:rPr lang="ar-SA" sz="1400" b="0" i="0" u="none" strike="noStrike">
                <a:solidFill>
                  <a:srgbClr val="736151"/>
                </a:solidFill>
                <a:latin typeface="+mn-lt"/>
                <a:ea typeface="Calibri"/>
                <a:cs typeface="Calibri"/>
              </a:rPr>
            </a:br>
            <a:r>
              <a:rPr lang="ar-SA" sz="1400" b="0" i="0" u="none" strike="noStrike">
                <a:solidFill>
                  <a:srgbClr val="736151"/>
                </a:solidFill>
                <a:latin typeface="+mn-lt"/>
                <a:ea typeface="Calibri"/>
                <a:cs typeface="Calibri"/>
              </a:rPr>
              <a:t> )</a:t>
            </a:r>
            <a:r>
              <a:rPr lang="en-US" sz="1400" b="0" i="0" u="none" strike="noStrike">
                <a:solidFill>
                  <a:srgbClr val="736151"/>
                </a:solidFill>
                <a:latin typeface="+mn-lt"/>
                <a:ea typeface="Calibri"/>
                <a:cs typeface="Calibri"/>
              </a:rPr>
              <a:t>Interest</a:t>
            </a:r>
            <a:r>
              <a:rPr lang="ar-SA" sz="1400" b="0" i="0" u="none" strike="noStrike">
                <a:solidFill>
                  <a:srgbClr val="736151"/>
                </a:solidFill>
                <a:latin typeface="+mn-lt"/>
                <a:ea typeface="Calibri"/>
                <a:cs typeface="Calibri"/>
              </a:rPr>
              <a:t> (</a:t>
            </a:r>
          </a:p>
        </xdr:txBody>
      </xdr:sp>
      <xdr:sp macro="" textlink="#REF!">
        <xdr:nvSpPr>
          <xdr:cNvPr id="43" name="Rectangle 42">
            <a:extLst>
              <a:ext uri="{FF2B5EF4-FFF2-40B4-BE49-F238E27FC236}">
                <a16:creationId xmlns:a16="http://schemas.microsoft.com/office/drawing/2014/main" id="{E8EDE121-1983-ECDE-4AA8-56B4AFF9FF5F}"/>
              </a:ext>
            </a:extLst>
          </xdr:cNvPr>
          <xdr:cNvSpPr/>
        </xdr:nvSpPr>
        <xdr:spPr>
          <a:xfrm>
            <a:off x="11224345724" y="1694843"/>
            <a:ext cx="1619250" cy="78165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C3992CC9-8BD2-42A4-BE6D-A3D6C15BAA0B}" type="TxLink">
              <a:rPr lang="en-US" sz="1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0 اجمالي قيمة فائدة البنك</a:t>
            </a:fld>
            <a:endParaRPr lang="ar-SA" sz="3333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2</xdr:col>
      <xdr:colOff>397565</xdr:colOff>
      <xdr:row>43</xdr:row>
      <xdr:rowOff>16968</xdr:rowOff>
    </xdr:from>
    <xdr:to>
      <xdr:col>11</xdr:col>
      <xdr:colOff>549730</xdr:colOff>
      <xdr:row>55</xdr:row>
      <xdr:rowOff>87406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87E3668-E68D-451D-9965-43C68B85EC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553237</xdr:colOff>
      <xdr:row>49</xdr:row>
      <xdr:rowOff>146957</xdr:rowOff>
    </xdr:from>
    <xdr:to>
      <xdr:col>20</xdr:col>
      <xdr:colOff>242341</xdr:colOff>
      <xdr:row>55</xdr:row>
      <xdr:rowOff>124097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2014E1FC-BE58-47F5-8F25-1617BC9108F0}"/>
            </a:ext>
          </a:extLst>
        </xdr:cNvPr>
        <xdr:cNvGrpSpPr/>
      </xdr:nvGrpSpPr>
      <xdr:grpSpPr>
        <a:xfrm flipH="1">
          <a:off x="11136591766" y="8814707"/>
          <a:ext cx="2410533" cy="1038497"/>
          <a:chOff x="11224259998" y="695325"/>
          <a:chExt cx="1809751" cy="1924050"/>
        </a:xfrm>
      </xdr:grpSpPr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02DBE0B0-BD74-6EB7-893A-A8C41D337E8F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4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47" name="Rectangle 46">
            <a:extLst>
              <a:ext uri="{FF2B5EF4-FFF2-40B4-BE49-F238E27FC236}">
                <a16:creationId xmlns:a16="http://schemas.microsoft.com/office/drawing/2014/main" id="{17C8AEDB-E85E-5E7A-904D-7F9B0539A5FE}"/>
              </a:ext>
            </a:extLst>
          </xdr:cNvPr>
          <xdr:cNvSpPr/>
        </xdr:nvSpPr>
        <xdr:spPr>
          <a:xfrm>
            <a:off x="11224345724" y="820909"/>
            <a:ext cx="1619250" cy="700104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CBA20749-6E6E-4AA7-8122-BBB665C7EA71}" type="TxLink">
              <a:rPr lang="ar-SA" sz="11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مؤشر المخاطر التمويلية
(Leverage Risk Indicator)</a:t>
            </a:fld>
            <a:endParaRPr lang="ar-SA" sz="54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48" name="Rectangle 47">
            <a:extLst>
              <a:ext uri="{FF2B5EF4-FFF2-40B4-BE49-F238E27FC236}">
                <a16:creationId xmlns:a16="http://schemas.microsoft.com/office/drawing/2014/main" id="{60357DB2-8845-C248-B907-A69BB9F56CC7}"/>
              </a:ext>
            </a:extLst>
          </xdr:cNvPr>
          <xdr:cNvSpPr/>
        </xdr:nvSpPr>
        <xdr:spPr>
          <a:xfrm>
            <a:off x="11224345724" y="1694843"/>
            <a:ext cx="1619250" cy="78165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6EB18301-9FA4-4FA0-80AE-826349EE7F49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0.00</a:t>
            </a:fld>
            <a:endParaRPr lang="ar-SA" sz="4000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12</xdr:col>
      <xdr:colOff>369674</xdr:colOff>
      <xdr:row>49</xdr:row>
      <xdr:rowOff>130629</xdr:rowOff>
    </xdr:from>
    <xdr:to>
      <xdr:col>16</xdr:col>
      <xdr:colOff>58778</xdr:colOff>
      <xdr:row>55</xdr:row>
      <xdr:rowOff>107769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12F407EA-CCAF-419A-BD1C-2DD810EFC4D0}"/>
            </a:ext>
          </a:extLst>
        </xdr:cNvPr>
        <xdr:cNvGrpSpPr/>
      </xdr:nvGrpSpPr>
      <xdr:grpSpPr>
        <a:xfrm flipH="1">
          <a:off x="11139496758" y="8798379"/>
          <a:ext cx="2410532" cy="1038497"/>
          <a:chOff x="11224259998" y="695325"/>
          <a:chExt cx="1809751" cy="1924050"/>
        </a:xfrm>
      </xdr:grpSpPr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B7714AD5-1488-73B9-F577-90FAA4E4378E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4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51" name="Rectangle 50">
            <a:extLst>
              <a:ext uri="{FF2B5EF4-FFF2-40B4-BE49-F238E27FC236}">
                <a16:creationId xmlns:a16="http://schemas.microsoft.com/office/drawing/2014/main" id="{3BA0C483-1CA9-A0BC-43A0-CEF1F89ED108}"/>
              </a:ext>
            </a:extLst>
          </xdr:cNvPr>
          <xdr:cNvSpPr/>
        </xdr:nvSpPr>
        <xdr:spPr>
          <a:xfrm>
            <a:off x="11224345724" y="820909"/>
            <a:ext cx="1619250" cy="700104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D0D97601-3F4A-449E-A7DA-3DD0F20306B6}" type="TxLink">
              <a:rPr lang="ar-SA" sz="12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هامش الأمان
(Safety Margin)</a:t>
            </a:fld>
            <a:endParaRPr lang="ar-SA" sz="72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52" name="Rectangle 51">
            <a:extLst>
              <a:ext uri="{FF2B5EF4-FFF2-40B4-BE49-F238E27FC236}">
                <a16:creationId xmlns:a16="http://schemas.microsoft.com/office/drawing/2014/main" id="{A00D27A0-3C61-ABCA-03CB-2B264F5A3D78}"/>
              </a:ext>
            </a:extLst>
          </xdr:cNvPr>
          <xdr:cNvSpPr/>
        </xdr:nvSpPr>
        <xdr:spPr>
          <a:xfrm>
            <a:off x="11224345724" y="1694843"/>
            <a:ext cx="1619250" cy="78165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837B11A0-84C6-490F-BE72-04B95842BCD3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#DIV/0!</a:t>
            </a:fld>
            <a:endParaRPr lang="ar-SA" sz="4000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14</xdr:col>
      <xdr:colOff>605613</xdr:colOff>
      <xdr:row>60</xdr:row>
      <xdr:rowOff>88150</xdr:rowOff>
    </xdr:from>
    <xdr:to>
      <xdr:col>20</xdr:col>
      <xdr:colOff>261442</xdr:colOff>
      <xdr:row>68</xdr:row>
      <xdr:rowOff>85805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E641852A-63EF-4398-8A37-14F877C7756E}"/>
            </a:ext>
          </a:extLst>
        </xdr:cNvPr>
        <xdr:cNvGrpSpPr/>
      </xdr:nvGrpSpPr>
      <xdr:grpSpPr>
        <a:xfrm flipH="1">
          <a:off x="11136572665" y="10701721"/>
          <a:ext cx="3737972" cy="1412798"/>
          <a:chOff x="11224259998" y="695325"/>
          <a:chExt cx="1809751" cy="1924050"/>
        </a:xfrm>
      </xdr:grpSpPr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6B8F6477-44D4-844D-A986-F8FA3E2043E7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8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55" name="Rectangle 54">
            <a:extLst>
              <a:ext uri="{FF2B5EF4-FFF2-40B4-BE49-F238E27FC236}">
                <a16:creationId xmlns:a16="http://schemas.microsoft.com/office/drawing/2014/main" id="{D969A9E5-F51A-2745-0F71-7B863A5795E7}"/>
              </a:ext>
            </a:extLst>
          </xdr:cNvPr>
          <xdr:cNvSpPr/>
        </xdr:nvSpPr>
        <xdr:spPr>
          <a:xfrm>
            <a:off x="11224345724" y="820909"/>
            <a:ext cx="1619250" cy="700104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65BC1C9E-3784-4557-83F1-C0BE90D4899F}" type="TxLink">
              <a:rPr lang="ar-SA" sz="12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تكلفة متر الأرض شاملة الضريبة والسعي
(Land Cost per m² - Including Tax and Commission)</a:t>
            </a:fld>
            <a:endParaRPr lang="ar-SA" sz="72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56" name="Rectangle 55">
            <a:extLst>
              <a:ext uri="{FF2B5EF4-FFF2-40B4-BE49-F238E27FC236}">
                <a16:creationId xmlns:a16="http://schemas.microsoft.com/office/drawing/2014/main" id="{A4899D14-DB73-3A76-A9D8-3A84AE788BF0}"/>
              </a:ext>
            </a:extLst>
          </xdr:cNvPr>
          <xdr:cNvSpPr/>
        </xdr:nvSpPr>
        <xdr:spPr>
          <a:xfrm>
            <a:off x="11224345724" y="1694843"/>
            <a:ext cx="1619250" cy="78165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E85539AA-77EB-4D5E-BE6C-107949907384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#DIV/0!</a:t>
            </a:fld>
            <a:endParaRPr lang="ar-SA" sz="24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8</xdr:col>
      <xdr:colOff>564399</xdr:colOff>
      <xdr:row>60</xdr:row>
      <xdr:rowOff>97442</xdr:rowOff>
    </xdr:from>
    <xdr:to>
      <xdr:col>14</xdr:col>
      <xdr:colOff>181054</xdr:colOff>
      <xdr:row>68</xdr:row>
      <xdr:rowOff>95097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841E04C9-D9D7-42BC-BEE6-B340DA894FF4}"/>
            </a:ext>
          </a:extLst>
        </xdr:cNvPr>
        <xdr:cNvGrpSpPr/>
      </xdr:nvGrpSpPr>
      <xdr:grpSpPr>
        <a:xfrm flipH="1">
          <a:off x="11140735196" y="10711013"/>
          <a:ext cx="3698798" cy="1412798"/>
          <a:chOff x="11224259998" y="695325"/>
          <a:chExt cx="1809751" cy="1924050"/>
        </a:xfrm>
      </xdr:grpSpPr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5CC90664-560F-00D4-AC43-FEAB19986645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8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59" name="Rectangle 58">
            <a:extLst>
              <a:ext uri="{FF2B5EF4-FFF2-40B4-BE49-F238E27FC236}">
                <a16:creationId xmlns:a16="http://schemas.microsoft.com/office/drawing/2014/main" id="{60E1E01A-EF11-DCCA-7376-A7440A443FAE}"/>
              </a:ext>
            </a:extLst>
          </xdr:cNvPr>
          <xdr:cNvSpPr/>
        </xdr:nvSpPr>
        <xdr:spPr>
          <a:xfrm>
            <a:off x="11224345724" y="820909"/>
            <a:ext cx="1619250" cy="700104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2FB1FFE2-525B-4D58-93E5-9B64CD9847D7}" type="TxLink">
              <a:rPr lang="ar-SA" sz="12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سعر متر الأرض عند البيع
(Land Price per m² at Sale)</a:t>
            </a:fld>
            <a:endParaRPr lang="ar-SA" sz="72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60" name="Rectangle 59">
            <a:extLst>
              <a:ext uri="{FF2B5EF4-FFF2-40B4-BE49-F238E27FC236}">
                <a16:creationId xmlns:a16="http://schemas.microsoft.com/office/drawing/2014/main" id="{3489C357-E39A-444A-93EE-1DD112868DAE}"/>
              </a:ext>
            </a:extLst>
          </xdr:cNvPr>
          <xdr:cNvSpPr/>
        </xdr:nvSpPr>
        <xdr:spPr>
          <a:xfrm>
            <a:off x="11224345724" y="1694843"/>
            <a:ext cx="1619250" cy="78165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6C3F42D9-8978-43E6-B643-2C973F22EC55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#DIV/0!</a:t>
            </a:fld>
            <a:endParaRPr lang="ar-SA" sz="24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2</xdr:col>
      <xdr:colOff>399771</xdr:colOff>
      <xdr:row>60</xdr:row>
      <xdr:rowOff>97442</xdr:rowOff>
    </xdr:from>
    <xdr:to>
      <xdr:col>8</xdr:col>
      <xdr:colOff>16427</xdr:colOff>
      <xdr:row>68</xdr:row>
      <xdr:rowOff>95097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68B70452-2242-4E7A-BB2E-69AA11C8DE14}"/>
            </a:ext>
          </a:extLst>
        </xdr:cNvPr>
        <xdr:cNvGrpSpPr/>
      </xdr:nvGrpSpPr>
      <xdr:grpSpPr>
        <a:xfrm flipH="1">
          <a:off x="11144981966" y="10711013"/>
          <a:ext cx="3698799" cy="1412798"/>
          <a:chOff x="11224259998" y="695325"/>
          <a:chExt cx="1809751" cy="1924050"/>
        </a:xfrm>
      </xdr:grpSpPr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BBDD9CF5-8F8F-FB2E-F623-76EBF0094331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8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63" name="Rectangle 62">
            <a:extLst>
              <a:ext uri="{FF2B5EF4-FFF2-40B4-BE49-F238E27FC236}">
                <a16:creationId xmlns:a16="http://schemas.microsoft.com/office/drawing/2014/main" id="{487C0D20-776B-FA4F-A520-DBCAA1AE6943}"/>
              </a:ext>
            </a:extLst>
          </xdr:cNvPr>
          <xdr:cNvSpPr/>
        </xdr:nvSpPr>
        <xdr:spPr>
          <a:xfrm>
            <a:off x="11224345724" y="820909"/>
            <a:ext cx="1619250" cy="700104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7D4707D4-F00A-49B7-9ABC-A28D09253258}" type="TxLink">
              <a:rPr lang="ar-SA" sz="12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قيمة ارتفاع سعر متر الأرض عند البيع
(Land Price Appreciation Value)</a:t>
            </a:fld>
            <a:endParaRPr lang="ar-SA" sz="72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64" name="Rectangle 63">
            <a:extLst>
              <a:ext uri="{FF2B5EF4-FFF2-40B4-BE49-F238E27FC236}">
                <a16:creationId xmlns:a16="http://schemas.microsoft.com/office/drawing/2014/main" id="{D44BC06B-B71E-0173-A05C-C17AC88287D8}"/>
              </a:ext>
            </a:extLst>
          </xdr:cNvPr>
          <xdr:cNvSpPr/>
        </xdr:nvSpPr>
        <xdr:spPr>
          <a:xfrm>
            <a:off x="11224345724" y="1694843"/>
            <a:ext cx="1619250" cy="78165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2B105E9D-AD01-4C6F-8366-81EC5C3BC4E4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#DIV/0!</a:t>
            </a:fld>
            <a:endParaRPr lang="ar-SA" sz="24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15</xdr:col>
      <xdr:colOff>1158</xdr:colOff>
      <xdr:row>69</xdr:row>
      <xdr:rowOff>175791</xdr:rowOff>
    </xdr:from>
    <xdr:to>
      <xdr:col>20</xdr:col>
      <xdr:colOff>269308</xdr:colOff>
      <xdr:row>77</xdr:row>
      <xdr:rowOff>173446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6545F444-57D5-42FC-A635-2774814A4D34}"/>
            </a:ext>
          </a:extLst>
        </xdr:cNvPr>
        <xdr:cNvGrpSpPr/>
      </xdr:nvGrpSpPr>
      <xdr:grpSpPr>
        <a:xfrm flipH="1">
          <a:off x="11136564799" y="12381398"/>
          <a:ext cx="3669936" cy="1412798"/>
          <a:chOff x="11224259998" y="695325"/>
          <a:chExt cx="1809751" cy="1924050"/>
        </a:xfrm>
      </xdr:grpSpPr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CCDC82E7-32BE-0A08-584C-A9595890128A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8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67" name="Rectangle 66">
            <a:extLst>
              <a:ext uri="{FF2B5EF4-FFF2-40B4-BE49-F238E27FC236}">
                <a16:creationId xmlns:a16="http://schemas.microsoft.com/office/drawing/2014/main" id="{AD2D2A1E-6BC5-C705-63A1-E66C40E08F2B}"/>
              </a:ext>
            </a:extLst>
          </xdr:cNvPr>
          <xdr:cNvSpPr/>
        </xdr:nvSpPr>
        <xdr:spPr>
          <a:xfrm>
            <a:off x="11224345724" y="820910"/>
            <a:ext cx="1619250" cy="700104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1F8C8D41-3ECF-4E15-B782-CCEC21FCB53D}" type="TxLink">
              <a:rPr lang="ar-SA" sz="12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نسبة ارتفاع سعر متر الأرض
(Land Price Appreciation Rate)</a:t>
            </a:fld>
            <a:endParaRPr lang="ar-SA" sz="72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68" name="Rectangle 67">
            <a:extLst>
              <a:ext uri="{FF2B5EF4-FFF2-40B4-BE49-F238E27FC236}">
                <a16:creationId xmlns:a16="http://schemas.microsoft.com/office/drawing/2014/main" id="{A7F701FF-EE66-CCC4-B0E0-B4CACAC72ACD}"/>
              </a:ext>
            </a:extLst>
          </xdr:cNvPr>
          <xdr:cNvSpPr/>
        </xdr:nvSpPr>
        <xdr:spPr>
          <a:xfrm>
            <a:off x="11224345724" y="1694843"/>
            <a:ext cx="1619250" cy="78165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67B506AD-C138-4350-AF0A-D5637C8D10CF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#DIV/0!</a:t>
            </a:fld>
            <a:endParaRPr lang="ar-SA" sz="24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8</xdr:col>
      <xdr:colOff>573492</xdr:colOff>
      <xdr:row>69</xdr:row>
      <xdr:rowOff>175791</xdr:rowOff>
    </xdr:from>
    <xdr:to>
      <xdr:col>14</xdr:col>
      <xdr:colOff>190147</xdr:colOff>
      <xdr:row>77</xdr:row>
      <xdr:rowOff>173446</xdr:rowOff>
    </xdr:to>
    <xdr:grpSp>
      <xdr:nvGrpSpPr>
        <xdr:cNvPr id="69" name="Group 68">
          <a:extLst>
            <a:ext uri="{FF2B5EF4-FFF2-40B4-BE49-F238E27FC236}">
              <a16:creationId xmlns:a16="http://schemas.microsoft.com/office/drawing/2014/main" id="{B46EA799-4AFC-4A31-A95C-17A6FEC15643}"/>
            </a:ext>
          </a:extLst>
        </xdr:cNvPr>
        <xdr:cNvGrpSpPr/>
      </xdr:nvGrpSpPr>
      <xdr:grpSpPr>
        <a:xfrm flipH="1">
          <a:off x="11140726103" y="12381398"/>
          <a:ext cx="3698798" cy="1412798"/>
          <a:chOff x="11224259998" y="695325"/>
          <a:chExt cx="1809751" cy="1924050"/>
        </a:xfrm>
      </xdr:grpSpPr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0722B6C2-3DFC-7EAC-7C00-90D2524416AC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8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71" name="Rectangle 70">
            <a:extLst>
              <a:ext uri="{FF2B5EF4-FFF2-40B4-BE49-F238E27FC236}">
                <a16:creationId xmlns:a16="http://schemas.microsoft.com/office/drawing/2014/main" id="{84135A8B-3AE0-3E67-F071-9A7D086B89C7}"/>
              </a:ext>
            </a:extLst>
          </xdr:cNvPr>
          <xdr:cNvSpPr/>
        </xdr:nvSpPr>
        <xdr:spPr>
          <a:xfrm>
            <a:off x="11224345724" y="820909"/>
            <a:ext cx="1619250" cy="700104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365C53D7-6A48-4233-8EEA-E767F86E02D3}" type="TxLink">
              <a:rPr lang="ar-SA" sz="12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كفاءة المساحة البيعية من المساحات المبنية فوق الأرض
 (Saleable Efficiency Ratio of Above-Ground Built-Up Area)</a:t>
            </a:fld>
            <a:endParaRPr lang="ar-SA" sz="72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72" name="Rectangle 71">
            <a:extLst>
              <a:ext uri="{FF2B5EF4-FFF2-40B4-BE49-F238E27FC236}">
                <a16:creationId xmlns:a16="http://schemas.microsoft.com/office/drawing/2014/main" id="{42FB5199-B706-5639-8853-AA4C54F6384F}"/>
              </a:ext>
            </a:extLst>
          </xdr:cNvPr>
          <xdr:cNvSpPr/>
        </xdr:nvSpPr>
        <xdr:spPr>
          <a:xfrm>
            <a:off x="11224345724" y="1694843"/>
            <a:ext cx="1619250" cy="78165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3477F1D7-0C15-4F5D-8B87-D929C712F0C3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#DIV/0!</a:t>
            </a:fld>
            <a:endParaRPr lang="ar-SA" sz="2400" b="0">
              <a:solidFill>
                <a:srgbClr val="736151"/>
              </a:solidFill>
            </a:endParaRPr>
          </a:p>
        </xdr:txBody>
      </xdr:sp>
    </xdr:grpSp>
    <xdr:clientData/>
  </xdr:twoCellAnchor>
  <xdr:twoCellAnchor>
    <xdr:from>
      <xdr:col>2</xdr:col>
      <xdr:colOff>389757</xdr:colOff>
      <xdr:row>69</xdr:row>
      <xdr:rowOff>175791</xdr:rowOff>
    </xdr:from>
    <xdr:to>
      <xdr:col>8</xdr:col>
      <xdr:colOff>6413</xdr:colOff>
      <xdr:row>77</xdr:row>
      <xdr:rowOff>173446</xdr:rowOff>
    </xdr:to>
    <xdr:grpSp>
      <xdr:nvGrpSpPr>
        <xdr:cNvPr id="73" name="Group 72">
          <a:extLst>
            <a:ext uri="{FF2B5EF4-FFF2-40B4-BE49-F238E27FC236}">
              <a16:creationId xmlns:a16="http://schemas.microsoft.com/office/drawing/2014/main" id="{D219948A-4640-4790-AAD8-42FC7BB57957}"/>
            </a:ext>
          </a:extLst>
        </xdr:cNvPr>
        <xdr:cNvGrpSpPr/>
      </xdr:nvGrpSpPr>
      <xdr:grpSpPr>
        <a:xfrm flipH="1">
          <a:off x="11144991980" y="12381398"/>
          <a:ext cx="3698799" cy="1412798"/>
          <a:chOff x="11224259998" y="695325"/>
          <a:chExt cx="1809751" cy="1924050"/>
        </a:xfrm>
      </xdr:grpSpPr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436925CC-8F48-976F-E1A8-B9955DD4F3A8}"/>
              </a:ext>
            </a:extLst>
          </xdr:cNvPr>
          <xdr:cNvSpPr/>
        </xdr:nvSpPr>
        <xdr:spPr>
          <a:xfrm>
            <a:off x="11224259998" y="695325"/>
            <a:ext cx="1809751" cy="1924050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endParaRPr lang="ar-SA" sz="18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75" name="Rectangle 74">
            <a:extLst>
              <a:ext uri="{FF2B5EF4-FFF2-40B4-BE49-F238E27FC236}">
                <a16:creationId xmlns:a16="http://schemas.microsoft.com/office/drawing/2014/main" id="{B9A05E09-D447-AEC6-4F48-07B84641E49F}"/>
              </a:ext>
            </a:extLst>
          </xdr:cNvPr>
          <xdr:cNvSpPr/>
        </xdr:nvSpPr>
        <xdr:spPr>
          <a:xfrm>
            <a:off x="11224345724" y="820909"/>
            <a:ext cx="1619250" cy="700104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772D7DF3-540E-4CE0-A318-20176E940552}" type="TxLink">
              <a:rPr lang="ar-SA" sz="12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مدة البيع - بالسنوات (غير شامل بيع الخارطة)
 (Sales Duration – Years)</a:t>
            </a:fld>
            <a:endParaRPr lang="ar-SA" sz="7200" b="0">
              <a:solidFill>
                <a:srgbClr val="736151"/>
              </a:solidFill>
            </a:endParaRPr>
          </a:p>
        </xdr:txBody>
      </xdr:sp>
      <xdr:sp macro="" textlink="#REF!">
        <xdr:nvSpPr>
          <xdr:cNvPr id="76" name="Rectangle 75">
            <a:extLst>
              <a:ext uri="{FF2B5EF4-FFF2-40B4-BE49-F238E27FC236}">
                <a16:creationId xmlns:a16="http://schemas.microsoft.com/office/drawing/2014/main" id="{2B9F555E-C809-F3E3-43B7-45F3B52FD2C4}"/>
              </a:ext>
            </a:extLst>
          </xdr:cNvPr>
          <xdr:cNvSpPr/>
        </xdr:nvSpPr>
        <xdr:spPr>
          <a:xfrm>
            <a:off x="11224345724" y="1694843"/>
            <a:ext cx="1619250" cy="781656"/>
          </a:xfrm>
          <a:prstGeom prst="rect">
            <a:avLst/>
          </a:prstGeom>
          <a:noFill/>
          <a:ln w="28575">
            <a:solidFill>
              <a:schemeClr val="bg1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0"/>
            <a:fld id="{089CD4C9-CE9C-4824-8CEF-269BF1EEAB74}" type="TxLink">
              <a:rPr lang="en-US" sz="2400" b="0" i="0" u="none" strike="noStrike">
                <a:solidFill>
                  <a:srgbClr val="736151"/>
                </a:solidFill>
                <a:latin typeface="Calibri"/>
                <a:ea typeface="Calibri"/>
                <a:cs typeface="Calibri"/>
              </a:rPr>
              <a:pPr algn="ctr" rtl="0"/>
              <a:t>0.00</a:t>
            </a:fld>
            <a:endParaRPr lang="ar-SA" sz="2400" b="0">
              <a:solidFill>
                <a:srgbClr val="736151"/>
              </a:solidFill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1-%20&#1583;&#1585;&#1575;&#1587;&#1575;&#1578;%20&#1605;&#1575;&#1604;&#1610;&#1577;%20&#1593;&#1605;&#1585;%20-%20&#1593;&#1576;&#1583;&#1575;&#1604;&#1604;&#1607;/&#1583;&#1585;&#1575;&#1587;&#1577;%20&#1605;&#1575;&#1604;&#1610;&#1577;%20-%20&#1593;&#1605;&#1585;/&#1605;&#1585;&#1581;&#1604;&#1577;%20&#1575;&#1604;&#1578;&#1606;&#1601;&#1610;&#1584;/&#1589;&#1601;&#1575;%20-%20&#1602;&#1585;&#1591;&#1576;&#1577;/New%20folder/Safa%20Rasf%20-%20Fund%20Model%20-%20QUR%20229k%20(Phase%20I%20-%20Infra%20Only)%20(1).xlsx" TargetMode="External"/><Relationship Id="rId1" Type="http://schemas.openxmlformats.org/officeDocument/2006/relationships/externalLinkPath" Target="/My%20Drive/My%20work/1-%20&#1583;&#1585;&#1575;&#1587;&#1575;&#1578;%20&#1605;&#1575;&#1604;&#1610;&#1577;%20&#1593;&#1605;&#1585;%20-%20&#1593;&#1576;&#1583;&#1575;&#1604;&#1604;&#1607;/&#1583;&#1585;&#1575;&#1587;&#1577;%20&#1605;&#1575;&#1604;&#1610;&#1577;%20-%20&#1593;&#1605;&#1585;/&#1605;&#1585;&#1581;&#1604;&#1577;%20&#1575;&#1604;&#1578;&#1606;&#1601;&#1610;&#1584;/&#1589;&#1601;&#1575;%20-%20&#1602;&#1585;&#1591;&#1576;&#1577;/New%20folder/Safa%20Rasf%20-%20Fund%20Model%20-%20QUR%20229k%20(Phase%20I%20-%20Infra%20Only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UserGuide"/>
      <sheetName val="FundSummary"/>
      <sheetName val="Dashboard_F"/>
      <sheetName val="ProjectsSummary"/>
      <sheetName val="ScenarioAnalysis"/>
      <sheetName val="Assump_Areas"/>
      <sheetName val="Assump_Global"/>
      <sheetName val="Assump_Main"/>
      <sheetName val="Assump_Overrides"/>
      <sheetName val="Calc_Projects"/>
      <sheetName val="Calc_Fund"/>
      <sheetName val="Charts"/>
      <sheetName val="Audit"/>
      <sheetName val="Temp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DC33-B640-40D5-8D09-0ED98AAC20BF}">
  <sheetPr codeName="Worksheet____1"/>
  <dimension ref="A1:CC558"/>
  <sheetViews>
    <sheetView showGridLines="0" rightToLeft="1" tabSelected="1" topLeftCell="A123" zoomScaleNormal="100" workbookViewId="0">
      <selection activeCell="C226" sqref="C226:D226"/>
    </sheetView>
  </sheetViews>
  <sheetFormatPr defaultColWidth="9.25" defaultRowHeight="11.25" x14ac:dyDescent="0.2"/>
  <cols>
    <col min="1" max="1" width="9.125" style="337" bestFit="1" customWidth="1"/>
    <col min="2" max="2" width="30.625" style="337" bestFit="1" customWidth="1"/>
    <col min="3" max="3" width="16.25" style="337" bestFit="1" customWidth="1"/>
    <col min="4" max="4" width="15.875" style="337" bestFit="1" customWidth="1"/>
    <col min="5" max="5" width="20.125" style="337" bestFit="1" customWidth="1"/>
    <col min="6" max="6" width="18.875" style="337" bestFit="1" customWidth="1"/>
    <col min="7" max="7" width="27.75" style="337" bestFit="1" customWidth="1"/>
    <col min="8" max="8" width="21.75" style="337" bestFit="1" customWidth="1"/>
    <col min="9" max="9" width="23.125" style="337" bestFit="1" customWidth="1"/>
    <col min="10" max="10" width="26.375" style="337" bestFit="1" customWidth="1"/>
    <col min="11" max="11" width="23.125" style="337" bestFit="1" customWidth="1"/>
    <col min="12" max="12" width="24.25" style="337" bestFit="1" customWidth="1"/>
    <col min="13" max="13" width="17.25" style="337" bestFit="1" customWidth="1"/>
    <col min="14" max="17" width="10.375" style="337" bestFit="1" customWidth="1"/>
    <col min="18" max="18" width="13" style="337" bestFit="1" customWidth="1"/>
    <col min="19" max="19" width="9.875" style="337" bestFit="1" customWidth="1"/>
    <col min="20" max="20" width="17.25" style="337" bestFit="1" customWidth="1"/>
    <col min="21" max="21" width="15" style="337" bestFit="1" customWidth="1"/>
    <col min="22" max="22" width="23.375" style="337" bestFit="1" customWidth="1"/>
    <col min="23" max="23" width="14.375" style="337" bestFit="1" customWidth="1"/>
    <col min="24" max="24" width="10.625" style="337" bestFit="1" customWidth="1"/>
    <col min="25" max="25" width="21.375" style="337" bestFit="1" customWidth="1"/>
    <col min="26" max="26" width="19.125" style="337" bestFit="1" customWidth="1"/>
    <col min="27" max="27" width="30.25" style="337" bestFit="1" customWidth="1"/>
    <col min="28" max="28" width="27.75" style="337" bestFit="1" customWidth="1"/>
    <col min="29" max="29" width="14.875" style="337" bestFit="1" customWidth="1"/>
    <col min="30" max="30" width="1.75" style="337" bestFit="1" customWidth="1"/>
    <col min="31" max="31" width="10" style="337" bestFit="1" customWidth="1"/>
    <col min="32" max="32" width="9.125" style="337" bestFit="1" customWidth="1"/>
    <col min="33" max="33" width="8.875" style="337" bestFit="1" customWidth="1"/>
    <col min="34" max="34" width="8.25" style="337" bestFit="1" customWidth="1"/>
    <col min="35" max="35" width="7.375" style="337" bestFit="1" customWidth="1"/>
    <col min="36" max="36" width="8.25" style="337" bestFit="1" customWidth="1"/>
    <col min="37" max="37" width="7.375" style="337" bestFit="1" customWidth="1"/>
    <col min="38" max="38" width="9" style="337" bestFit="1" customWidth="1"/>
    <col min="39" max="39" width="18.625" style="337" bestFit="1" customWidth="1"/>
    <col min="40" max="40" width="8.875" style="337" bestFit="1" customWidth="1"/>
    <col min="41" max="41" width="11.375" style="337" bestFit="1" customWidth="1"/>
    <col min="42" max="43" width="8.125" style="337" bestFit="1" customWidth="1"/>
    <col min="44" max="44" width="7.875" style="337" bestFit="1" customWidth="1"/>
    <col min="45" max="45" width="8.25" style="337" bestFit="1" customWidth="1"/>
    <col min="46" max="46" width="9" style="337" bestFit="1" customWidth="1"/>
    <col min="47" max="47" width="9.125" style="337" bestFit="1" customWidth="1"/>
    <col min="48" max="48" width="9.625" style="337" bestFit="1" customWidth="1"/>
    <col min="49" max="49" width="8.25" style="337" bestFit="1" customWidth="1"/>
    <col min="50" max="50" width="10" style="337" bestFit="1" customWidth="1"/>
    <col min="51" max="51" width="8.375" style="337" bestFit="1" customWidth="1"/>
    <col min="52" max="52" width="9.625" style="337" bestFit="1" customWidth="1"/>
    <col min="53" max="53" width="14" style="337" bestFit="1" customWidth="1"/>
    <col min="54" max="54" width="8" style="337" bestFit="1" customWidth="1"/>
    <col min="55" max="55" width="11.125" style="337" bestFit="1" customWidth="1"/>
    <col min="56" max="56" width="8.25" style="337" bestFit="1" customWidth="1"/>
    <col min="57" max="57" width="6.375" style="337" bestFit="1" customWidth="1"/>
    <col min="58" max="58" width="9.25" style="337"/>
    <col min="59" max="59" width="5.75" style="337" bestFit="1" customWidth="1"/>
    <col min="60" max="60" width="42.875" style="337" bestFit="1" customWidth="1"/>
    <col min="61" max="61" width="30.125" style="337" bestFit="1" customWidth="1"/>
    <col min="62" max="62" width="24.25" style="337" bestFit="1" customWidth="1"/>
    <col min="63" max="63" width="28.25" style="337" bestFit="1" customWidth="1"/>
    <col min="64" max="65" width="9.25" style="337"/>
    <col min="66" max="66" width="10.125" style="337" bestFit="1" customWidth="1"/>
    <col min="67" max="67" width="5.875" style="337" bestFit="1" customWidth="1"/>
    <col min="68" max="68" width="8.75" style="337" bestFit="1" customWidth="1"/>
    <col min="69" max="69" width="10.125" style="337" bestFit="1" customWidth="1"/>
    <col min="70" max="70" width="5.875" style="337" bestFit="1" customWidth="1"/>
    <col min="71" max="71" width="8.75" style="337" bestFit="1" customWidth="1"/>
    <col min="72" max="73" width="9.25" style="337"/>
    <col min="74" max="74" width="9.375" style="337" bestFit="1" customWidth="1"/>
    <col min="75" max="75" width="10" style="337" bestFit="1" customWidth="1"/>
    <col min="76" max="76" width="8.75" style="337" bestFit="1" customWidth="1"/>
    <col min="77" max="77" width="6.375" style="337" bestFit="1" customWidth="1"/>
    <col min="78" max="78" width="8.75" style="337" bestFit="1" customWidth="1"/>
    <col min="79" max="79" width="10.375" style="337" bestFit="1" customWidth="1"/>
    <col min="80" max="80" width="11.875" style="337" bestFit="1" customWidth="1"/>
    <col min="81" max="16384" width="9.25" style="337"/>
  </cols>
  <sheetData>
    <row r="1" spans="1:81" ht="12.75" x14ac:dyDescent="0.2">
      <c r="A1" s="1"/>
      <c r="B1" s="1"/>
      <c r="C1" s="1"/>
      <c r="D1" s="1"/>
      <c r="E1" s="83"/>
      <c r="AE1" s="587" t="s">
        <v>407</v>
      </c>
      <c r="AF1" s="588"/>
      <c r="AG1" s="588"/>
      <c r="AH1" s="588"/>
      <c r="AI1" s="588"/>
      <c r="AJ1" s="588"/>
      <c r="AK1" s="588"/>
      <c r="AL1" s="588"/>
      <c r="AM1" s="588"/>
      <c r="AN1" s="588"/>
      <c r="AO1" s="588"/>
      <c r="AP1" s="588"/>
      <c r="AQ1" s="588"/>
      <c r="AR1" s="588"/>
      <c r="AS1" s="588"/>
      <c r="AT1" s="588"/>
      <c r="AU1" s="588"/>
      <c r="AV1" s="588"/>
      <c r="AW1" s="588"/>
      <c r="AX1" s="588"/>
      <c r="AY1" s="588"/>
      <c r="AZ1" s="588"/>
      <c r="BA1" s="588"/>
      <c r="BB1" s="588"/>
      <c r="BC1" s="588"/>
      <c r="BD1" s="588"/>
      <c r="BH1" s="632" t="s">
        <v>371</v>
      </c>
      <c r="BI1" s="633"/>
      <c r="BJ1" s="634"/>
      <c r="BK1" s="618" t="s">
        <v>377</v>
      </c>
      <c r="BN1" s="615" t="s">
        <v>414</v>
      </c>
      <c r="BO1" s="616"/>
      <c r="BP1" s="617"/>
      <c r="BQ1" s="615" t="s">
        <v>415</v>
      </c>
      <c r="BR1" s="616"/>
      <c r="BS1" s="617"/>
      <c r="BV1" s="422" t="s">
        <v>432</v>
      </c>
      <c r="BW1" s="423">
        <f>E1</f>
        <v>0</v>
      </c>
      <c r="BX1" s="353"/>
      <c r="BY1" s="353"/>
      <c r="BZ1" s="353"/>
      <c r="CA1" s="387" t="s">
        <v>433</v>
      </c>
      <c r="CB1" s="389" t="s">
        <v>436</v>
      </c>
      <c r="CC1" s="434"/>
    </row>
    <row r="2" spans="1:81" ht="27.75" thickBot="1" x14ac:dyDescent="0.25">
      <c r="A2" s="1"/>
      <c r="B2" s="1"/>
      <c r="C2" s="583" t="s">
        <v>493</v>
      </c>
      <c r="D2" s="583"/>
      <c r="E2" s="337" t="s">
        <v>490</v>
      </c>
      <c r="AE2" s="50" t="s">
        <v>358</v>
      </c>
      <c r="AF2" s="51" t="s">
        <v>342</v>
      </c>
      <c r="AG2" s="51" t="s">
        <v>343</v>
      </c>
      <c r="AH2" s="263" t="s">
        <v>416</v>
      </c>
      <c r="AI2" s="51" t="s">
        <v>344</v>
      </c>
      <c r="AJ2" s="51" t="s">
        <v>345</v>
      </c>
      <c r="AK2" s="51" t="s">
        <v>346</v>
      </c>
      <c r="AL2" s="51" t="s">
        <v>347</v>
      </c>
      <c r="AM2" s="263" t="s">
        <v>402</v>
      </c>
      <c r="AN2" s="263" t="s">
        <v>401</v>
      </c>
      <c r="AO2" s="51" t="s">
        <v>428</v>
      </c>
      <c r="AP2" s="51" t="s">
        <v>348</v>
      </c>
      <c r="AQ2" s="51" t="s">
        <v>400</v>
      </c>
      <c r="AR2" s="51" t="s">
        <v>349</v>
      </c>
      <c r="AS2" s="51" t="s">
        <v>350</v>
      </c>
      <c r="AT2" s="51" t="s">
        <v>399</v>
      </c>
      <c r="AU2" s="51" t="s">
        <v>351</v>
      </c>
      <c r="AV2" s="51" t="s">
        <v>410</v>
      </c>
      <c r="AW2" s="51" t="s">
        <v>353</v>
      </c>
      <c r="AX2" s="51" t="s">
        <v>354</v>
      </c>
      <c r="AY2" s="51" t="s">
        <v>355</v>
      </c>
      <c r="AZ2" s="51" t="s">
        <v>356</v>
      </c>
      <c r="BA2" s="51" t="s">
        <v>418</v>
      </c>
      <c r="BB2" s="51" t="s">
        <v>406</v>
      </c>
      <c r="BC2" s="51" t="s">
        <v>417</v>
      </c>
      <c r="BD2" s="52" t="s">
        <v>357</v>
      </c>
      <c r="BE2" s="336"/>
      <c r="BH2" s="635"/>
      <c r="BI2" s="636"/>
      <c r="BJ2" s="637"/>
      <c r="BK2" s="619"/>
      <c r="BN2" s="7" t="s">
        <v>38</v>
      </c>
      <c r="BO2" s="120" t="s">
        <v>412</v>
      </c>
      <c r="BP2" s="104" t="s">
        <v>413</v>
      </c>
      <c r="BQ2" s="7" t="s">
        <v>38</v>
      </c>
      <c r="BR2" s="120" t="s">
        <v>412</v>
      </c>
      <c r="BS2" s="104" t="s">
        <v>413</v>
      </c>
      <c r="BV2" s="308" t="s">
        <v>435</v>
      </c>
      <c r="BW2" s="230" t="s">
        <v>453</v>
      </c>
      <c r="CA2" s="356" t="s">
        <v>434</v>
      </c>
      <c r="CB2" s="357" t="s">
        <v>453</v>
      </c>
    </row>
    <row r="3" spans="1:81" ht="22.5" x14ac:dyDescent="0.2">
      <c r="A3" s="1"/>
      <c r="B3" s="1"/>
      <c r="C3" s="583"/>
      <c r="D3" s="583"/>
      <c r="E3" s="337" t="s">
        <v>491</v>
      </c>
      <c r="G3"/>
      <c r="AE3" s="225" t="s">
        <v>229</v>
      </c>
      <c r="AF3" s="301">
        <f t="shared" ref="AF3:AF12" si="0">((F61/$J$59)*$I$49)*AO3</f>
        <v>126357292.99754298</v>
      </c>
      <c r="AG3" s="301">
        <f t="shared" ref="AG3:AG12" si="1">J61*AO3</f>
        <v>63987455.999999985</v>
      </c>
      <c r="AH3" s="288"/>
      <c r="AI3" s="301">
        <f t="shared" ref="AI3:AI12" si="2">($J$73*AH3)*AO3</f>
        <v>0</v>
      </c>
      <c r="AJ3" s="301">
        <f t="shared" ref="AJ3:AJ12" si="3">((K61/$L$76)*($J$74+$J$75))*AO3</f>
        <v>12710293.532242561</v>
      </c>
      <c r="AK3" s="301">
        <f t="shared" ref="AK3:AK12" si="4">((K61/$L$76)*$C$87)*AO3</f>
        <v>1286917.2201395591</v>
      </c>
      <c r="AL3" s="301">
        <f t="shared" ref="AL3:AL12" si="5">(((D61-F61)/$H$59)*$J$71)*AO3</f>
        <v>0</v>
      </c>
      <c r="AM3" s="264">
        <f t="shared" ref="AM3:AM12" si="6">SUM(AF3:AG3,AI3:AL3)/$AM$13</f>
        <v>0.40476871570692663</v>
      </c>
      <c r="AN3" s="264">
        <f t="shared" ref="AN3:AN12" si="7">SUM(AF3:AG3,AI3:AL3)/$AN$13</f>
        <v>0.31875422383502033</v>
      </c>
      <c r="AO3" s="297">
        <f t="shared" ref="AO3:AO12" si="8">D129</f>
        <v>0.6</v>
      </c>
      <c r="AP3" s="301">
        <f t="shared" ref="AP3:AP9" si="9">(AN3*SUM($C$86,$C$88:$C$90,$C$96:$C$97,$C$101))+((H147+X147)/($H$157+$X$157))*$C$99+(SUM($D$93:$D$95)*H61*AO3)</f>
        <v>12471106.308410021</v>
      </c>
      <c r="AQ3" s="265">
        <f t="shared" ref="AQ3:AQ9" si="10">(($A$92+$C$98)*AM3)</f>
        <v>2877525.7026271913</v>
      </c>
      <c r="AR3" s="303">
        <f t="shared" ref="AR3:AR12" si="11">AM3*$C$119</f>
        <v>4584973.5514530707</v>
      </c>
      <c r="AS3" s="301">
        <f t="shared" ref="AS3:AS12" si="12">AN3*$C$107</f>
        <v>15468725.930507483</v>
      </c>
      <c r="AT3" s="266">
        <f t="shared" ref="AT3:AT12" si="13">SUM(I147,Y147)</f>
        <v>0</v>
      </c>
      <c r="AU3" s="266">
        <f t="shared" ref="AU3:AU12" si="14">SUM(AF3:AG3,AI3:AL3,AP3:AT3)</f>
        <v>239744291.24292287</v>
      </c>
      <c r="AV3" s="266">
        <f t="shared" ref="AV3:AV12" si="15">IFERROR((AU3-AT3)/E129, "0")</f>
        <v>14105.370019754631</v>
      </c>
      <c r="AW3" s="260">
        <f t="shared" ref="AW3:AW12" si="16">(AU3-AT3)/($C$24)</f>
        <v>0.31430824441808192</v>
      </c>
      <c r="AX3" s="234">
        <f>SUM(J129,H147,O129,X147)</f>
        <v>212458349.99999997</v>
      </c>
      <c r="AY3" s="267">
        <f t="shared" ref="AY3:AY12" si="17">IFERROR(AZ3/E129, "0")</f>
        <v>-1605.3700197546311</v>
      </c>
      <c r="AZ3" s="267">
        <f>AX3-AU3</f>
        <v>-27285941.242922902</v>
      </c>
      <c r="BA3" s="323">
        <f>IFERROR(BD3/AW3, "0.00")</f>
        <v>-0.36210530888026887</v>
      </c>
      <c r="BB3" s="305">
        <f t="shared" ref="BB3:BB13" si="18">IFERROR(AZ3/AX3, "0.00%")</f>
        <v>-0.12842960158037048</v>
      </c>
      <c r="BC3" s="305">
        <f t="shared" ref="BC3:BC12" si="19">AZ3/$C$26</f>
        <v>-0.10119478652107668</v>
      </c>
      <c r="BD3" s="268">
        <f t="shared" ref="BD3:BD12" si="20">IFERROR(AZ3/(AU3-AT3), "0.00%")</f>
        <v>-0.11381268392862459</v>
      </c>
      <c r="BE3" s="336"/>
      <c r="BH3" s="638"/>
      <c r="BI3" s="639"/>
      <c r="BJ3" s="640"/>
      <c r="BK3" s="619"/>
      <c r="BN3" s="8" t="s">
        <v>39</v>
      </c>
      <c r="BO3" s="121">
        <f t="shared" ref="BO3:BO12" si="21">IFERROR((AU3-AT3) / (C147 * D147 * G147 * (1 - $I$158) * BP3), 0)</f>
        <v>0</v>
      </c>
      <c r="BP3" s="23"/>
      <c r="BQ3" s="8" t="s">
        <v>39</v>
      </c>
      <c r="BR3" s="121">
        <f t="shared" ref="BR3:BR12" si="22">IFERROR((AU3-AT3) / ((R147 * S147 * (1 - $Y$158) * 365 * BS3) * (1 + W147)), 0)</f>
        <v>0</v>
      </c>
      <c r="BS3" s="23"/>
      <c r="BV3" s="225" t="s">
        <v>485</v>
      </c>
      <c r="BW3" s="418">
        <f>J76</f>
        <v>286502320</v>
      </c>
      <c r="CB3" s="354"/>
    </row>
    <row r="4" spans="1:81" ht="22.5" x14ac:dyDescent="0.2">
      <c r="A4" s="1"/>
      <c r="B4" s="1"/>
      <c r="C4" s="583"/>
      <c r="D4" s="583"/>
      <c r="AE4" s="198" t="s">
        <v>230</v>
      </c>
      <c r="AF4" s="233">
        <f t="shared" si="0"/>
        <v>0</v>
      </c>
      <c r="AG4" s="233">
        <f t="shared" si="1"/>
        <v>0</v>
      </c>
      <c r="AH4" s="289"/>
      <c r="AI4" s="233">
        <f t="shared" si="2"/>
        <v>0</v>
      </c>
      <c r="AJ4" s="233">
        <f t="shared" si="3"/>
        <v>0</v>
      </c>
      <c r="AK4" s="233">
        <f t="shared" si="4"/>
        <v>0</v>
      </c>
      <c r="AL4" s="233">
        <f t="shared" si="5"/>
        <v>0</v>
      </c>
      <c r="AM4" s="269">
        <f t="shared" si="6"/>
        <v>0</v>
      </c>
      <c r="AN4" s="269">
        <f t="shared" si="7"/>
        <v>0</v>
      </c>
      <c r="AO4" s="298">
        <f t="shared" si="8"/>
        <v>1</v>
      </c>
      <c r="AP4" s="233">
        <f t="shared" si="9"/>
        <v>0</v>
      </c>
      <c r="AQ4" s="265">
        <f t="shared" si="10"/>
        <v>0</v>
      </c>
      <c r="AR4" s="304">
        <f t="shared" si="11"/>
        <v>0</v>
      </c>
      <c r="AS4" s="302">
        <f t="shared" si="12"/>
        <v>0</v>
      </c>
      <c r="AT4" s="270">
        <f t="shared" si="13"/>
        <v>0</v>
      </c>
      <c r="AU4" s="270">
        <f t="shared" si="14"/>
        <v>0</v>
      </c>
      <c r="AV4" s="270" t="str">
        <f t="shared" si="15"/>
        <v>0</v>
      </c>
      <c r="AW4" s="261">
        <f t="shared" si="16"/>
        <v>0</v>
      </c>
      <c r="AX4" s="233">
        <f t="shared" ref="AX4:AX12" si="23">SUM(J130,H148,O130,X148)</f>
        <v>0</v>
      </c>
      <c r="AY4" s="283" t="str">
        <f t="shared" si="17"/>
        <v>0</v>
      </c>
      <c r="AZ4" s="283">
        <f t="shared" ref="AZ4:AZ12" si="24">AX4-AU4</f>
        <v>0</v>
      </c>
      <c r="BA4" s="324" t="str">
        <f t="shared" ref="BA4:BA12" si="25">IFERROR(BD4/AW4, "0.00")</f>
        <v>0.00</v>
      </c>
      <c r="BB4" s="306" t="str">
        <f t="shared" si="18"/>
        <v>0.00%</v>
      </c>
      <c r="BC4" s="306">
        <f t="shared" si="19"/>
        <v>0</v>
      </c>
      <c r="BD4" s="271" t="str">
        <f t="shared" si="20"/>
        <v>0.00%</v>
      </c>
      <c r="BE4" s="336"/>
      <c r="BH4" s="641" t="s">
        <v>372</v>
      </c>
      <c r="BI4" s="642"/>
      <c r="BJ4" s="643"/>
      <c r="BK4" s="620"/>
      <c r="BN4" s="7" t="s">
        <v>40</v>
      </c>
      <c r="BO4" s="120">
        <f t="shared" si="21"/>
        <v>0</v>
      </c>
      <c r="BP4" s="23"/>
      <c r="BQ4" s="7" t="s">
        <v>40</v>
      </c>
      <c r="BR4" s="120">
        <f t="shared" si="22"/>
        <v>0</v>
      </c>
      <c r="BS4" s="23"/>
      <c r="BV4" s="198" t="s">
        <v>437</v>
      </c>
      <c r="BW4" s="417">
        <f>C24</f>
        <v>762768064.47375059</v>
      </c>
      <c r="CB4" s="354"/>
    </row>
    <row r="5" spans="1:81" ht="22.5" x14ac:dyDescent="0.2">
      <c r="A5" s="1"/>
      <c r="B5" s="1"/>
      <c r="C5" s="583"/>
      <c r="D5" s="583"/>
      <c r="AE5" s="225" t="s">
        <v>231</v>
      </c>
      <c r="AF5" s="301">
        <f t="shared" si="0"/>
        <v>0</v>
      </c>
      <c r="AG5" s="301">
        <f t="shared" si="1"/>
        <v>0</v>
      </c>
      <c r="AH5" s="288"/>
      <c r="AI5" s="301">
        <f t="shared" si="2"/>
        <v>0</v>
      </c>
      <c r="AJ5" s="301">
        <f t="shared" si="3"/>
        <v>0</v>
      </c>
      <c r="AK5" s="301">
        <f t="shared" si="4"/>
        <v>0</v>
      </c>
      <c r="AL5" s="301">
        <f t="shared" si="5"/>
        <v>0</v>
      </c>
      <c r="AM5" s="264">
        <f t="shared" si="6"/>
        <v>0</v>
      </c>
      <c r="AN5" s="264">
        <f t="shared" si="7"/>
        <v>0</v>
      </c>
      <c r="AO5" s="297">
        <f t="shared" si="8"/>
        <v>1</v>
      </c>
      <c r="AP5" s="301">
        <f t="shared" si="9"/>
        <v>0</v>
      </c>
      <c r="AQ5" s="265">
        <f t="shared" si="10"/>
        <v>0</v>
      </c>
      <c r="AR5" s="284">
        <f t="shared" si="11"/>
        <v>0</v>
      </c>
      <c r="AS5" s="234">
        <f t="shared" si="12"/>
        <v>0</v>
      </c>
      <c r="AT5" s="266">
        <f t="shared" si="13"/>
        <v>0</v>
      </c>
      <c r="AU5" s="266">
        <f t="shared" si="14"/>
        <v>0</v>
      </c>
      <c r="AV5" s="266" t="str">
        <f t="shared" si="15"/>
        <v>0</v>
      </c>
      <c r="AW5" s="260">
        <f t="shared" si="16"/>
        <v>0</v>
      </c>
      <c r="AX5" s="301">
        <f t="shared" si="23"/>
        <v>0</v>
      </c>
      <c r="AY5" s="285" t="str">
        <f t="shared" si="17"/>
        <v>0</v>
      </c>
      <c r="AZ5" s="285">
        <f t="shared" si="24"/>
        <v>0</v>
      </c>
      <c r="BA5" s="323" t="str">
        <f t="shared" si="25"/>
        <v>0.00</v>
      </c>
      <c r="BB5" s="305" t="str">
        <f t="shared" si="18"/>
        <v>0.00%</v>
      </c>
      <c r="BC5" s="305">
        <f t="shared" si="19"/>
        <v>0</v>
      </c>
      <c r="BD5" s="268" t="str">
        <f t="shared" si="20"/>
        <v>0.00%</v>
      </c>
      <c r="BE5" s="84" t="s">
        <v>231</v>
      </c>
      <c r="BH5" s="225" t="s">
        <v>469</v>
      </c>
      <c r="BI5" s="624">
        <f>C24/E59</f>
        <v>7649.8652539740306</v>
      </c>
      <c r="BJ5" s="625"/>
      <c r="BK5" s="230" t="s">
        <v>68</v>
      </c>
      <c r="BN5" s="8" t="s">
        <v>41</v>
      </c>
      <c r="BO5" s="121">
        <f t="shared" si="21"/>
        <v>0</v>
      </c>
      <c r="BP5" s="23"/>
      <c r="BQ5" s="8" t="s">
        <v>41</v>
      </c>
      <c r="BR5" s="121">
        <f t="shared" si="22"/>
        <v>0</v>
      </c>
      <c r="BS5" s="23"/>
      <c r="BV5" s="225" t="s">
        <v>477</v>
      </c>
      <c r="BW5" s="421">
        <f>SUM(J139,O139,AC139)</f>
        <v>979151763.17993951</v>
      </c>
      <c r="CB5" s="354"/>
    </row>
    <row r="6" spans="1:81" ht="23.25" thickBot="1" x14ac:dyDescent="0.25">
      <c r="A6" s="1"/>
      <c r="B6" s="1"/>
      <c r="C6" s="583"/>
      <c r="D6" s="583"/>
      <c r="AE6" s="198" t="s">
        <v>232</v>
      </c>
      <c r="AF6" s="233">
        <f t="shared" si="0"/>
        <v>0</v>
      </c>
      <c r="AG6" s="233">
        <f t="shared" si="1"/>
        <v>0</v>
      </c>
      <c r="AH6" s="289"/>
      <c r="AI6" s="233">
        <f t="shared" si="2"/>
        <v>0</v>
      </c>
      <c r="AJ6" s="233">
        <f t="shared" si="3"/>
        <v>0</v>
      </c>
      <c r="AK6" s="233">
        <f t="shared" si="4"/>
        <v>0</v>
      </c>
      <c r="AL6" s="233">
        <f t="shared" si="5"/>
        <v>0</v>
      </c>
      <c r="AM6" s="269">
        <f t="shared" si="6"/>
        <v>0</v>
      </c>
      <c r="AN6" s="269">
        <f t="shared" si="7"/>
        <v>0</v>
      </c>
      <c r="AO6" s="298">
        <f t="shared" si="8"/>
        <v>1</v>
      </c>
      <c r="AP6" s="233">
        <f t="shared" si="9"/>
        <v>0</v>
      </c>
      <c r="AQ6" s="265">
        <f t="shared" si="10"/>
        <v>0</v>
      </c>
      <c r="AR6" s="304">
        <f t="shared" si="11"/>
        <v>0</v>
      </c>
      <c r="AS6" s="302">
        <f t="shared" si="12"/>
        <v>0</v>
      </c>
      <c r="AT6" s="270">
        <f t="shared" si="13"/>
        <v>0</v>
      </c>
      <c r="AU6" s="270">
        <f t="shared" si="14"/>
        <v>0</v>
      </c>
      <c r="AV6" s="270" t="str">
        <f t="shared" si="15"/>
        <v>0</v>
      </c>
      <c r="AW6" s="261">
        <f t="shared" si="16"/>
        <v>0</v>
      </c>
      <c r="AX6" s="233">
        <f t="shared" si="23"/>
        <v>0</v>
      </c>
      <c r="AY6" s="283" t="str">
        <f t="shared" si="17"/>
        <v>0</v>
      </c>
      <c r="AZ6" s="283">
        <f t="shared" si="24"/>
        <v>0</v>
      </c>
      <c r="BA6" s="324" t="str">
        <f t="shared" si="25"/>
        <v>0.00</v>
      </c>
      <c r="BB6" s="306" t="str">
        <f t="shared" si="18"/>
        <v>0.00%</v>
      </c>
      <c r="BC6" s="306">
        <f t="shared" si="19"/>
        <v>0</v>
      </c>
      <c r="BD6" s="271" t="str">
        <f t="shared" si="20"/>
        <v>0.00%</v>
      </c>
      <c r="BE6" s="84" t="s">
        <v>232</v>
      </c>
      <c r="BH6" s="308" t="s">
        <v>468</v>
      </c>
      <c r="BI6" s="626">
        <f>C24/J59</f>
        <v>16308.06655529946</v>
      </c>
      <c r="BJ6" s="627"/>
      <c r="BK6" s="230" t="s">
        <v>68</v>
      </c>
      <c r="BN6" s="7" t="s">
        <v>42</v>
      </c>
      <c r="BO6" s="120">
        <f t="shared" si="21"/>
        <v>0</v>
      </c>
      <c r="BP6" s="23"/>
      <c r="BQ6" s="7" t="s">
        <v>42</v>
      </c>
      <c r="BR6" s="120">
        <f t="shared" si="22"/>
        <v>0</v>
      </c>
      <c r="BS6" s="23"/>
      <c r="BV6" s="360" t="s">
        <v>478</v>
      </c>
      <c r="BW6" s="420">
        <f>C32</f>
        <v>0.649432129254646</v>
      </c>
      <c r="CB6" s="354"/>
    </row>
    <row r="7" spans="1:81" ht="23.25" thickBot="1" x14ac:dyDescent="0.25">
      <c r="A7" s="1"/>
      <c r="B7" s="1"/>
      <c r="C7" s="1"/>
      <c r="D7" s="1"/>
      <c r="AE7" s="225" t="s">
        <v>233</v>
      </c>
      <c r="AF7" s="301">
        <f t="shared" si="0"/>
        <v>0</v>
      </c>
      <c r="AG7" s="301">
        <f t="shared" si="1"/>
        <v>0</v>
      </c>
      <c r="AH7" s="288"/>
      <c r="AI7" s="301">
        <f t="shared" si="2"/>
        <v>0</v>
      </c>
      <c r="AJ7" s="301">
        <f t="shared" si="3"/>
        <v>0</v>
      </c>
      <c r="AK7" s="301">
        <f t="shared" si="4"/>
        <v>0</v>
      </c>
      <c r="AL7" s="301">
        <f t="shared" si="5"/>
        <v>0</v>
      </c>
      <c r="AM7" s="264">
        <f t="shared" si="6"/>
        <v>0</v>
      </c>
      <c r="AN7" s="264">
        <f t="shared" si="7"/>
        <v>0</v>
      </c>
      <c r="AO7" s="297">
        <f t="shared" si="8"/>
        <v>1</v>
      </c>
      <c r="AP7" s="301">
        <f t="shared" si="9"/>
        <v>0</v>
      </c>
      <c r="AQ7" s="265">
        <f t="shared" si="10"/>
        <v>0</v>
      </c>
      <c r="AR7" s="284">
        <f t="shared" si="11"/>
        <v>0</v>
      </c>
      <c r="AS7" s="234">
        <f t="shared" si="12"/>
        <v>0</v>
      </c>
      <c r="AT7" s="266">
        <f t="shared" si="13"/>
        <v>0</v>
      </c>
      <c r="AU7" s="266">
        <f t="shared" si="14"/>
        <v>0</v>
      </c>
      <c r="AV7" s="266" t="str">
        <f t="shared" si="15"/>
        <v>0</v>
      </c>
      <c r="AW7" s="260">
        <f t="shared" si="16"/>
        <v>0</v>
      </c>
      <c r="AX7" s="301">
        <f t="shared" si="23"/>
        <v>0</v>
      </c>
      <c r="AY7" s="285" t="str">
        <f t="shared" si="17"/>
        <v>0</v>
      </c>
      <c r="AZ7" s="285">
        <f t="shared" si="24"/>
        <v>0</v>
      </c>
      <c r="BA7" s="323" t="str">
        <f t="shared" si="25"/>
        <v>0.00</v>
      </c>
      <c r="BB7" s="305" t="str">
        <f t="shared" si="18"/>
        <v>0.00%</v>
      </c>
      <c r="BC7" s="305">
        <f t="shared" si="19"/>
        <v>0</v>
      </c>
      <c r="BD7" s="268" t="str">
        <f t="shared" si="20"/>
        <v>0.00%</v>
      </c>
      <c r="BE7" s="84" t="s">
        <v>233</v>
      </c>
      <c r="BH7" s="225" t="s">
        <v>419</v>
      </c>
      <c r="BI7" s="318">
        <f>-SUM(C196,C194)</f>
        <v>624502320</v>
      </c>
      <c r="BJ7" s="264">
        <f>BI7/$C$24</f>
        <v>0.81873160281147461</v>
      </c>
      <c r="BK7" s="286" t="s">
        <v>378</v>
      </c>
      <c r="BN7" s="8" t="s">
        <v>66</v>
      </c>
      <c r="BO7" s="121">
        <f t="shared" si="21"/>
        <v>0</v>
      </c>
      <c r="BP7" s="23"/>
      <c r="BQ7" s="8" t="s">
        <v>66</v>
      </c>
      <c r="BR7" s="121">
        <f t="shared" si="22"/>
        <v>0</v>
      </c>
      <c r="BS7" s="23"/>
      <c r="BV7" s="355"/>
      <c r="CA7" s="411"/>
      <c r="CB7" s="354"/>
    </row>
    <row r="8" spans="1:81" ht="22.5" x14ac:dyDescent="0.2">
      <c r="AE8" s="198" t="s">
        <v>364</v>
      </c>
      <c r="AF8" s="233">
        <f t="shared" si="0"/>
        <v>50833393.73464375</v>
      </c>
      <c r="AG8" s="233">
        <f t="shared" si="1"/>
        <v>19306560</v>
      </c>
      <c r="AH8" s="289"/>
      <c r="AI8" s="233">
        <f t="shared" si="2"/>
        <v>0</v>
      </c>
      <c r="AJ8" s="233">
        <f t="shared" si="3"/>
        <v>26336267.423380684</v>
      </c>
      <c r="AK8" s="233">
        <f t="shared" si="4"/>
        <v>2666547.076617294</v>
      </c>
      <c r="AL8" s="233">
        <f t="shared" si="5"/>
        <v>0</v>
      </c>
      <c r="AM8" s="269">
        <f t="shared" si="6"/>
        <v>0.19638595528337213</v>
      </c>
      <c r="AN8" s="269">
        <f t="shared" si="7"/>
        <v>0.15465338678440527</v>
      </c>
      <c r="AO8" s="298">
        <f t="shared" si="8"/>
        <v>1</v>
      </c>
      <c r="AP8" s="233">
        <f t="shared" si="9"/>
        <v>5731009.8596241288</v>
      </c>
      <c r="AQ8" s="265">
        <f t="shared" si="10"/>
        <v>1396119.8384018964</v>
      </c>
      <c r="AR8" s="304">
        <f t="shared" si="11"/>
        <v>2224540.5237865769</v>
      </c>
      <c r="AS8" s="302">
        <f t="shared" si="12"/>
        <v>7505126.7575702034</v>
      </c>
      <c r="AT8" s="270">
        <f>SUM(I152,Y152)</f>
        <v>697449.48000000021</v>
      </c>
      <c r="AU8" s="270">
        <f t="shared" si="14"/>
        <v>116697014.69402456</v>
      </c>
      <c r="AV8" s="270">
        <f t="shared" si="15"/>
        <v>16964.606026848716</v>
      </c>
      <c r="AW8" s="261">
        <f t="shared" si="16"/>
        <v>0.15207711310522032</v>
      </c>
      <c r="AX8" s="233">
        <f t="shared" si="23"/>
        <v>179593241.10000002</v>
      </c>
      <c r="AY8" s="283">
        <f t="shared" si="17"/>
        <v>9198.3939731512837</v>
      </c>
      <c r="AZ8" s="283">
        <f>AX8-AU8</f>
        <v>62896226.405975461</v>
      </c>
      <c r="BA8" s="324">
        <f>IFERROR(BD8/AW8, "0.00")</f>
        <v>3.5653680527366891</v>
      </c>
      <c r="BB8" s="306">
        <f>IFERROR(AZ8/AX8, "0.00%")</f>
        <v>0.35021488570916742</v>
      </c>
      <c r="BC8" s="306">
        <f t="shared" si="19"/>
        <v>0.23326188924433053</v>
      </c>
      <c r="BD8" s="271">
        <f t="shared" si="20"/>
        <v>0.54221088061777656</v>
      </c>
      <c r="BE8" s="84" t="s">
        <v>320</v>
      </c>
      <c r="BH8" s="308" t="s">
        <v>373</v>
      </c>
      <c r="BI8" s="326">
        <f>-SUM(E192:E193,E195,E197:E212,E214:E216)</f>
        <v>138265744.47375065</v>
      </c>
      <c r="BJ8" s="309">
        <f>BI8/$C$24</f>
        <v>0.1812683971885255</v>
      </c>
      <c r="BK8" s="286" t="s">
        <v>430</v>
      </c>
      <c r="BN8" s="7" t="s">
        <v>303</v>
      </c>
      <c r="BO8" s="120">
        <f t="shared" si="21"/>
        <v>0</v>
      </c>
      <c r="BP8" s="23"/>
      <c r="BQ8" s="7" t="s">
        <v>303</v>
      </c>
      <c r="BR8" s="120">
        <f t="shared" si="22"/>
        <v>0</v>
      </c>
      <c r="BS8" s="23"/>
      <c r="BV8" s="387" t="s">
        <v>438</v>
      </c>
      <c r="BW8" s="388" t="s">
        <v>483</v>
      </c>
      <c r="BX8" s="388" t="s">
        <v>439</v>
      </c>
      <c r="BY8" s="388" t="s">
        <v>440</v>
      </c>
      <c r="BZ8" s="401" t="s">
        <v>441</v>
      </c>
      <c r="CA8" s="412" t="s">
        <v>362</v>
      </c>
      <c r="CB8" s="406" t="s">
        <v>442</v>
      </c>
    </row>
    <row r="9" spans="1:81" ht="22.5" x14ac:dyDescent="0.2">
      <c r="P9"/>
      <c r="AE9" s="225" t="s">
        <v>234</v>
      </c>
      <c r="AF9" s="301">
        <f t="shared" si="0"/>
        <v>36309566.953316957</v>
      </c>
      <c r="AG9" s="301">
        <f t="shared" si="1"/>
        <v>13790400</v>
      </c>
      <c r="AH9" s="288">
        <v>0.4</v>
      </c>
      <c r="AI9" s="301">
        <f t="shared" si="2"/>
        <v>2704000</v>
      </c>
      <c r="AJ9" s="301">
        <f t="shared" si="3"/>
        <v>10450899.771182809</v>
      </c>
      <c r="AK9" s="301">
        <f t="shared" si="4"/>
        <v>1058153.6018322594</v>
      </c>
      <c r="AL9" s="301">
        <f t="shared" si="5"/>
        <v>0</v>
      </c>
      <c r="AM9" s="264">
        <f t="shared" si="6"/>
        <v>0.12739379945548562</v>
      </c>
      <c r="AN9" s="264">
        <f t="shared" si="7"/>
        <v>0.10032225834426726</v>
      </c>
      <c r="AO9" s="297">
        <f t="shared" si="8"/>
        <v>1</v>
      </c>
      <c r="AP9" s="301">
        <f t="shared" si="9"/>
        <v>4040531.0831663231</v>
      </c>
      <c r="AQ9" s="265">
        <f t="shared" si="10"/>
        <v>905650.35800324986</v>
      </c>
      <c r="AR9" s="284">
        <f t="shared" si="11"/>
        <v>1443039.3912790301</v>
      </c>
      <c r="AS9" s="234">
        <f t="shared" si="12"/>
        <v>4868508.0950025078</v>
      </c>
      <c r="AT9" s="266">
        <f t="shared" si="13"/>
        <v>498178.2</v>
      </c>
      <c r="AU9" s="266">
        <f t="shared" si="14"/>
        <v>76068927.45378311</v>
      </c>
      <c r="AV9" s="266">
        <f t="shared" si="15"/>
        <v>15472.809576745585</v>
      </c>
      <c r="AW9" s="260">
        <f t="shared" si="16"/>
        <v>9.9074348774579241E-2</v>
      </c>
      <c r="AX9" s="301">
        <f t="shared" si="23"/>
        <v>128280886.5</v>
      </c>
      <c r="AY9" s="285">
        <f t="shared" si="17"/>
        <v>10690.190423254417</v>
      </c>
      <c r="AZ9" s="285">
        <f>AX9-AU9</f>
        <v>52211959.04621689</v>
      </c>
      <c r="BA9" s="323">
        <f t="shared" si="25"/>
        <v>6.973567905726239</v>
      </c>
      <c r="BB9" s="305">
        <f>IFERROR(AZ9/AX9, "0.00%")</f>
        <v>0.40701277073117897</v>
      </c>
      <c r="BC9" s="305">
        <f>AZ9/$C$26</f>
        <v>0.19363737547076582</v>
      </c>
      <c r="BD9" s="268">
        <f t="shared" si="20"/>
        <v>0.69090169889513353</v>
      </c>
      <c r="BE9" s="84" t="s">
        <v>234</v>
      </c>
      <c r="BH9" s="225" t="s">
        <v>467</v>
      </c>
      <c r="BI9" s="318">
        <f>C25</f>
        <v>10776877.68</v>
      </c>
      <c r="BJ9" s="264">
        <f>BI9/SUM(C24:C25)</f>
        <v>1.3931805500523817E-2</v>
      </c>
      <c r="BK9" s="230" t="s">
        <v>68</v>
      </c>
      <c r="BN9" s="8" t="s">
        <v>43</v>
      </c>
      <c r="BO9" s="121">
        <f t="shared" si="21"/>
        <v>0</v>
      </c>
      <c r="BP9" s="23"/>
      <c r="BQ9" s="8" t="s">
        <v>43</v>
      </c>
      <c r="BR9" s="121">
        <f t="shared" si="22"/>
        <v>0</v>
      </c>
      <c r="BS9" s="23"/>
      <c r="BV9" s="225" t="s">
        <v>443</v>
      </c>
      <c r="BW9" s="392">
        <v>1</v>
      </c>
      <c r="BX9" s="301">
        <f>H22*BW9</f>
        <v>17190139.199999999</v>
      </c>
      <c r="BY9" s="301" t="s">
        <v>444</v>
      </c>
      <c r="BZ9" s="402">
        <f>BX9*BW6</f>
        <v>11163828.702839756</v>
      </c>
      <c r="CA9" s="413">
        <f>BZ9+BX9</f>
        <v>28353967.902839758</v>
      </c>
      <c r="CB9" s="407"/>
    </row>
    <row r="10" spans="1:81" ht="22.5" x14ac:dyDescent="0.2">
      <c r="AE10" s="198" t="s">
        <v>360</v>
      </c>
      <c r="AF10" s="233">
        <f t="shared" si="0"/>
        <v>49979050.982800983</v>
      </c>
      <c r="AG10" s="233">
        <f t="shared" si="1"/>
        <v>72399600</v>
      </c>
      <c r="AH10" s="289">
        <v>0.6</v>
      </c>
      <c r="AI10" s="233">
        <f t="shared" si="2"/>
        <v>4056000</v>
      </c>
      <c r="AJ10" s="233">
        <f t="shared" si="3"/>
        <v>9629010.2516989093</v>
      </c>
      <c r="AK10" s="233">
        <f t="shared" si="4"/>
        <v>974937.28798451449</v>
      </c>
      <c r="AL10" s="233">
        <f t="shared" si="5"/>
        <v>0</v>
      </c>
      <c r="AM10" s="269">
        <f t="shared" si="6"/>
        <v>0.2714515295542157</v>
      </c>
      <c r="AN10" s="269">
        <f t="shared" si="7"/>
        <v>0.21376731514629363</v>
      </c>
      <c r="AO10" s="298">
        <f t="shared" si="8"/>
        <v>1</v>
      </c>
      <c r="AP10" s="233">
        <f>(AN10*SUM($C$86,$C$88:$C$90,$C$96:$C$97,$C$101))+((H154+X154)/($H$157+$X$157))*$C$99+((SUM($D$94:$D$95)*H68*AO10)+(D93*H68/2*AO10))</f>
        <v>10140898.620526178</v>
      </c>
      <c r="AQ10" s="265">
        <f>((($C$98)*AM10))+C91</f>
        <v>12272565.624167662</v>
      </c>
      <c r="AR10" s="304">
        <f t="shared" si="11"/>
        <v>3074837.6423654081</v>
      </c>
      <c r="AS10" s="302">
        <f t="shared" si="12"/>
        <v>10373848.450114692</v>
      </c>
      <c r="AT10" s="270">
        <f t="shared" si="13"/>
        <v>9581250</v>
      </c>
      <c r="AU10" s="270">
        <f t="shared" si="14"/>
        <v>182481998.85965833</v>
      </c>
      <c r="AV10" s="270">
        <f t="shared" si="15"/>
        <v>25718.485525368571</v>
      </c>
      <c r="AW10" s="261">
        <f t="shared" si="16"/>
        <v>0.22667539047920959</v>
      </c>
      <c r="AX10" s="233">
        <f>SUM(J136,H154,O136,X154)</f>
        <v>376486764.70588231</v>
      </c>
      <c r="AY10" s="283">
        <f t="shared" si="17"/>
        <v>28857.646916952111</v>
      </c>
      <c r="AZ10" s="283">
        <f>AX10-AU10</f>
        <v>194004765.84622398</v>
      </c>
      <c r="BA10" s="324">
        <f>IFERROR(BD10/AW10, "0.00")</f>
        <v>4.9500678518925483</v>
      </c>
      <c r="BB10" s="306">
        <f t="shared" si="18"/>
        <v>0.51530301735250561</v>
      </c>
      <c r="BC10" s="306">
        <f t="shared" si="19"/>
        <v>0.71950132447683413</v>
      </c>
      <c r="BD10" s="271">
        <f t="shared" si="20"/>
        <v>1.1220585632263256</v>
      </c>
      <c r="BE10" s="84" t="s">
        <v>235</v>
      </c>
      <c r="BH10" s="308" t="s">
        <v>466</v>
      </c>
      <c r="BI10" s="325">
        <f>I49</f>
        <v>347717500</v>
      </c>
      <c r="BJ10" s="309">
        <f>BI10/$C$24</f>
        <v>0.45586268774886041</v>
      </c>
      <c r="BK10" s="230" t="s">
        <v>379</v>
      </c>
      <c r="BN10" s="7" t="s">
        <v>44</v>
      </c>
      <c r="BO10" s="120">
        <f t="shared" si="21"/>
        <v>0</v>
      </c>
      <c r="BP10" s="23"/>
      <c r="BQ10" s="7" t="s">
        <v>44</v>
      </c>
      <c r="BR10" s="120">
        <f t="shared" si="22"/>
        <v>0</v>
      </c>
      <c r="BS10" s="23"/>
      <c r="BV10" s="198" t="s">
        <v>481</v>
      </c>
      <c r="BW10" s="392">
        <v>0</v>
      </c>
      <c r="BX10" s="233">
        <f>H22*BW10</f>
        <v>0</v>
      </c>
      <c r="BY10" s="233"/>
      <c r="BZ10" s="403">
        <f>BX10*BW7</f>
        <v>0</v>
      </c>
      <c r="CA10" s="414">
        <f>BZ10+BX10</f>
        <v>0</v>
      </c>
      <c r="CB10" s="408"/>
    </row>
    <row r="11" spans="1:81" ht="22.5" x14ac:dyDescent="0.2">
      <c r="AE11" s="225" t="s">
        <v>361</v>
      </c>
      <c r="AF11" s="301">
        <f t="shared" si="0"/>
        <v>0</v>
      </c>
      <c r="AG11" s="301">
        <f t="shared" si="1"/>
        <v>0</v>
      </c>
      <c r="AH11" s="288"/>
      <c r="AI11" s="301">
        <f t="shared" si="2"/>
        <v>0</v>
      </c>
      <c r="AJ11" s="301">
        <f t="shared" si="3"/>
        <v>0</v>
      </c>
      <c r="AK11" s="301">
        <f t="shared" si="4"/>
        <v>0</v>
      </c>
      <c r="AL11" s="301">
        <f t="shared" si="5"/>
        <v>0</v>
      </c>
      <c r="AM11" s="264">
        <f t="shared" si="6"/>
        <v>0</v>
      </c>
      <c r="AN11" s="264">
        <f t="shared" si="7"/>
        <v>0</v>
      </c>
      <c r="AO11" s="297">
        <f t="shared" si="8"/>
        <v>1</v>
      </c>
      <c r="AP11" s="301">
        <f>(AN11*SUM($C$86,$C$88:$C$90,$C$96:$C$97,$C$101))+((H155+X155)/($H$157+$X$157))*$C$99+(SUM($D$93:$D$95)*H69*AO11)</f>
        <v>0</v>
      </c>
      <c r="AQ11" s="265">
        <f>(($A$92+$C$98)*AM11)</f>
        <v>0</v>
      </c>
      <c r="AR11" s="284">
        <f t="shared" si="11"/>
        <v>0</v>
      </c>
      <c r="AS11" s="234">
        <f t="shared" si="12"/>
        <v>0</v>
      </c>
      <c r="AT11" s="266">
        <f t="shared" si="13"/>
        <v>0</v>
      </c>
      <c r="AU11" s="266">
        <f t="shared" si="14"/>
        <v>0</v>
      </c>
      <c r="AV11" s="266" t="str">
        <f t="shared" si="15"/>
        <v>0</v>
      </c>
      <c r="AW11" s="260">
        <f t="shared" si="16"/>
        <v>0</v>
      </c>
      <c r="AX11" s="301">
        <f t="shared" si="23"/>
        <v>0</v>
      </c>
      <c r="AY11" s="285" t="str">
        <f t="shared" si="17"/>
        <v>0</v>
      </c>
      <c r="AZ11" s="285">
        <f t="shared" si="24"/>
        <v>0</v>
      </c>
      <c r="BA11" s="323" t="str">
        <f t="shared" si="25"/>
        <v>0.00</v>
      </c>
      <c r="BB11" s="305" t="str">
        <f t="shared" si="18"/>
        <v>0.00%</v>
      </c>
      <c r="BC11" s="305">
        <f t="shared" si="19"/>
        <v>0</v>
      </c>
      <c r="BD11" s="268" t="str">
        <f t="shared" si="20"/>
        <v>0.00%</v>
      </c>
      <c r="BE11" s="84" t="s">
        <v>236</v>
      </c>
      <c r="BH11" s="225" t="s">
        <v>465</v>
      </c>
      <c r="BI11" s="318">
        <f>J76</f>
        <v>286502320</v>
      </c>
      <c r="BJ11" s="264">
        <f>BI11/$C$24</f>
        <v>0.37560869855984841</v>
      </c>
      <c r="BK11" s="230" t="s">
        <v>380</v>
      </c>
      <c r="BN11" s="8" t="s">
        <v>45</v>
      </c>
      <c r="BO11" s="121">
        <f t="shared" si="21"/>
        <v>0</v>
      </c>
      <c r="BP11" s="23"/>
      <c r="BQ11" s="8" t="s">
        <v>45</v>
      </c>
      <c r="BR11" s="121">
        <f t="shared" si="22"/>
        <v>0</v>
      </c>
      <c r="BS11" s="23"/>
      <c r="BV11" s="225" t="s">
        <v>445</v>
      </c>
      <c r="BW11" s="395">
        <v>1</v>
      </c>
      <c r="BX11" s="301">
        <f>E104*C196*BW11</f>
        <v>0</v>
      </c>
      <c r="BY11" s="301"/>
      <c r="BZ11" s="402">
        <f>BW6*$C$7</f>
        <v>0</v>
      </c>
      <c r="CA11" s="413">
        <f>BZ11+BX11</f>
        <v>0</v>
      </c>
      <c r="CB11" s="407"/>
    </row>
    <row r="12" spans="1:81" ht="23.25" thickBot="1" x14ac:dyDescent="0.25">
      <c r="AE12" s="198" t="s">
        <v>517</v>
      </c>
      <c r="AF12" s="233">
        <f t="shared" si="0"/>
        <v>0</v>
      </c>
      <c r="AG12" s="233">
        <f t="shared" si="1"/>
        <v>0</v>
      </c>
      <c r="AH12" s="289"/>
      <c r="AI12" s="233">
        <f t="shared" si="2"/>
        <v>0</v>
      </c>
      <c r="AJ12" s="233">
        <f t="shared" si="3"/>
        <v>0</v>
      </c>
      <c r="AK12" s="233">
        <f t="shared" si="4"/>
        <v>0</v>
      </c>
      <c r="AL12" s="233">
        <f t="shared" si="5"/>
        <v>0</v>
      </c>
      <c r="AM12" s="269">
        <f t="shared" si="6"/>
        <v>0</v>
      </c>
      <c r="AN12" s="269">
        <f t="shared" si="7"/>
        <v>0</v>
      </c>
      <c r="AO12" s="298">
        <f t="shared" si="8"/>
        <v>1</v>
      </c>
      <c r="AP12" s="233">
        <f>(AN12*SUM($C$86,$C$88:$C$90,$C$96:$C$97,$C$101))+((H156+X156)/($H$157+$X$157))*$C$99+(SUM($D$93:$D$95)*H70*AO12)</f>
        <v>26901.622800000001</v>
      </c>
      <c r="AQ12" s="265">
        <f>(($A$92+$C$98)*AM12)</f>
        <v>0</v>
      </c>
      <c r="AR12" s="304">
        <f t="shared" si="11"/>
        <v>0</v>
      </c>
      <c r="AS12" s="302">
        <f t="shared" si="12"/>
        <v>0</v>
      </c>
      <c r="AT12" s="270">
        <f t="shared" si="13"/>
        <v>0</v>
      </c>
      <c r="AU12" s="270">
        <f t="shared" si="14"/>
        <v>26901.622800000001</v>
      </c>
      <c r="AV12" s="270" t="str">
        <f t="shared" si="15"/>
        <v>0</v>
      </c>
      <c r="AW12" s="261">
        <f t="shared" si="16"/>
        <v>3.5268417823129477E-5</v>
      </c>
      <c r="AX12" s="233">
        <f t="shared" si="23"/>
        <v>27414034.662857141</v>
      </c>
      <c r="AY12" s="283" t="str">
        <f t="shared" si="17"/>
        <v>0</v>
      </c>
      <c r="AZ12" s="283">
        <f t="shared" si="24"/>
        <v>27387133.040057141</v>
      </c>
      <c r="BA12" s="324">
        <f t="shared" si="25"/>
        <v>28865701.437277697</v>
      </c>
      <c r="BB12" s="306">
        <f t="shared" si="18"/>
        <v>0.99901869158878509</v>
      </c>
      <c r="BC12" s="306">
        <f t="shared" si="19"/>
        <v>0.10157007437416986</v>
      </c>
      <c r="BD12" s="271">
        <f t="shared" si="20"/>
        <v>1018.0476190476189</v>
      </c>
      <c r="BE12" s="84" t="s">
        <v>237</v>
      </c>
      <c r="BH12" s="308" t="s">
        <v>464</v>
      </c>
      <c r="BI12" s="326">
        <f>C102</f>
        <v>68692160.177999988</v>
      </c>
      <c r="BJ12" s="309">
        <f>BI12/$C$24</f>
        <v>9.0056418690512591E-2</v>
      </c>
      <c r="BK12" s="230" t="s">
        <v>431</v>
      </c>
      <c r="BN12" s="315" t="s">
        <v>46</v>
      </c>
      <c r="BO12" s="316">
        <f t="shared" si="21"/>
        <v>0</v>
      </c>
      <c r="BP12" s="317"/>
      <c r="BQ12" s="315" t="s">
        <v>46</v>
      </c>
      <c r="BR12" s="316">
        <f t="shared" si="22"/>
        <v>0</v>
      </c>
      <c r="BS12" s="317"/>
      <c r="BV12" s="198" t="s">
        <v>482</v>
      </c>
      <c r="BW12" s="395">
        <v>0</v>
      </c>
      <c r="BX12" s="233">
        <f>E104*C196*BW12</f>
        <v>0</v>
      </c>
      <c r="BY12" s="233"/>
      <c r="BZ12" s="403">
        <f>BW7*$C$7</f>
        <v>0</v>
      </c>
      <c r="CA12" s="414">
        <f>BZ12+BX12</f>
        <v>0</v>
      </c>
      <c r="CB12" s="408"/>
    </row>
    <row r="13" spans="1:81" ht="18.75" thickBot="1" x14ac:dyDescent="0.25">
      <c r="AE13" s="199" t="s">
        <v>362</v>
      </c>
      <c r="AF13" s="237">
        <f>SUMIF(AF3:AF12, "&lt;&gt;#DIV/0!")</f>
        <v>263479304.66830468</v>
      </c>
      <c r="AG13" s="237">
        <f>SUMIF(AG3:AG12, "&lt;&gt;#DIV/0!")</f>
        <v>169484016</v>
      </c>
      <c r="AH13" s="287">
        <f>SUM(AH3:AH12)</f>
        <v>1</v>
      </c>
      <c r="AI13" s="237">
        <f>SUM(AI3:AI12)</f>
        <v>6760000</v>
      </c>
      <c r="AJ13" s="237">
        <f>SUMIF(AJ3:AJ12, "&lt;&gt;#DIV/0!")</f>
        <v>59126470.978504971</v>
      </c>
      <c r="AK13" s="237">
        <f>SUMIF(AK3:AK12, "&lt;&gt;#DIV/0!")</f>
        <v>5986555.1865736274</v>
      </c>
      <c r="AL13" s="237">
        <f>SUM(AL3:AL12)</f>
        <v>0</v>
      </c>
      <c r="AM13" s="282">
        <f>SUM(AF13:AG13,AI13:AL13)</f>
        <v>504836346.83338326</v>
      </c>
      <c r="AN13" s="237">
        <f>SUM(AF3:AG12,AI3:AL12,AF21:AG30,AI21:AL30)</f>
        <v>641064320</v>
      </c>
      <c r="AO13" s="237" t="s">
        <v>68</v>
      </c>
      <c r="AP13" s="585">
        <f>SUM(AP3:AQ12)</f>
        <v>49862309.017726652</v>
      </c>
      <c r="AQ13" s="586"/>
      <c r="AR13" s="299">
        <f>SUMIF(AR3:AR12, "&lt;&gt;#DIV/0!")</f>
        <v>11327391.108884085</v>
      </c>
      <c r="AS13" s="299">
        <f>SUMIF(AS3:AS12, "&lt;&gt;#DIV/0!")</f>
        <v>38216209.233194888</v>
      </c>
      <c r="AT13" s="273">
        <f>SUM(AT3:AT12)</f>
        <v>10776877.68</v>
      </c>
      <c r="AU13" s="273">
        <f>SUM(AU3:AU12)</f>
        <v>615019133.87318885</v>
      </c>
      <c r="AV13" s="274">
        <f>IFERROR(AU13/E139, "0")</f>
        <v>17353.162778584057</v>
      </c>
      <c r="AW13" s="275">
        <f>SUMIF(AW3:AW12, "&lt;&gt;#DIV/0!")</f>
        <v>0.79217036519491413</v>
      </c>
      <c r="AX13" s="237">
        <f>SUMIF(AX3:AX12, "&lt;&gt;#DIV/0!")</f>
        <v>924233276.96873951</v>
      </c>
      <c r="AY13" s="276">
        <f>AZ13/E139</f>
        <v>8724.6771084749016</v>
      </c>
      <c r="AZ13" s="277">
        <f>SUMIF(AZ3:AZ12, "&lt;&gt;#DIV/0!")</f>
        <v>309214143.09555054</v>
      </c>
      <c r="BA13" s="277"/>
      <c r="BB13" s="307">
        <f t="shared" si="18"/>
        <v>0.33456287584634237</v>
      </c>
      <c r="BC13" s="307" t="s">
        <v>68</v>
      </c>
      <c r="BD13" s="278">
        <f>IFERROR(AZ13/AU13, "0.00%")</f>
        <v>0.5027715823217096</v>
      </c>
      <c r="BE13" s="336"/>
      <c r="BH13" s="225" t="s">
        <v>463</v>
      </c>
      <c r="BI13" s="318">
        <f>C119</f>
        <v>11327391.108884085</v>
      </c>
      <c r="BJ13" s="264">
        <f>BI13/$C$24</f>
        <v>1.4850374099889834E-2</v>
      </c>
      <c r="BK13" s="230" t="s">
        <v>381</v>
      </c>
      <c r="BV13" s="225" t="s">
        <v>479</v>
      </c>
      <c r="BW13" s="419" t="s">
        <v>486</v>
      </c>
      <c r="BX13" s="301" t="s">
        <v>68</v>
      </c>
      <c r="BY13" s="301" t="s">
        <v>449</v>
      </c>
      <c r="BZ13" s="402">
        <f>(SUM(C184,C187,C188)*2.5%)</f>
        <v>24478794.079498488</v>
      </c>
      <c r="CA13" s="413">
        <f>BZ13</f>
        <v>24478794.079498488</v>
      </c>
      <c r="CB13" s="407"/>
    </row>
    <row r="14" spans="1:81" ht="18.75" thickBot="1" x14ac:dyDescent="0.25">
      <c r="A14" s="336"/>
      <c r="AE14" s="84" t="s">
        <v>69</v>
      </c>
      <c r="AF14" s="84" t="b">
        <f>(AF13+AF31)=I49</f>
        <v>1</v>
      </c>
      <c r="AG14" s="84" t="b">
        <f>(AG13+AG31)=SUM(J61:J71)</f>
        <v>1</v>
      </c>
      <c r="AH14" s="84" t="b">
        <f>AH13=100%</f>
        <v>1</v>
      </c>
      <c r="AI14" s="84" t="b">
        <f>(AI13+AI31)=SUM(J73)</f>
        <v>1</v>
      </c>
      <c r="AJ14" s="84" t="b">
        <f>(AJ13+AJ31)=SUM(J74:J75)</f>
        <v>1</v>
      </c>
      <c r="AK14" s="84" t="b">
        <f>(AK13+AK31)=SUM(C87)</f>
        <v>1</v>
      </c>
      <c r="AL14" s="84" t="b">
        <f>(AL13+AL31)=SUM(J71)</f>
        <v>1</v>
      </c>
      <c r="AM14" s="84" t="b">
        <f>SUM(AM3:AM12)=100%</f>
        <v>1</v>
      </c>
      <c r="AN14" s="84" t="b">
        <f>SUM(AN3:AN12,AN21:AN30)=100%</f>
        <v>0</v>
      </c>
      <c r="AO14" s="84" t="b">
        <f>SUM(AO3:AO12,AO21:AO30)=1000%</f>
        <v>1</v>
      </c>
      <c r="AP14" s="584" t="b">
        <f>(C102-C87)=(AP13+AP31)</f>
        <v>0</v>
      </c>
      <c r="AQ14" s="584"/>
      <c r="AR14" s="84" t="b">
        <f>IF(ABS(C119-AR13) &lt; MAX(0.00001, C119 * 0.00001), TRUE, FALSE)</f>
        <v>1</v>
      </c>
      <c r="AS14" s="84" t="b">
        <f>(AS13+AS31)=SUM(C107)</f>
        <v>0</v>
      </c>
      <c r="AT14" s="84" t="b">
        <f>AT13=C25</f>
        <v>1</v>
      </c>
      <c r="AU14" s="84" t="b">
        <f>IF(ABS(AU13+AU31 - C24+C25) &lt; MAX(0.0001, AU13+AU31 * 0.0001), TRUE, FALSE)</f>
        <v>1</v>
      </c>
      <c r="AV14" s="84" t="b">
        <f>AV13=AV13</f>
        <v>1</v>
      </c>
      <c r="AW14" s="84" t="b">
        <f>AW31+AW13=100%</f>
        <v>0</v>
      </c>
      <c r="AX14" s="84" t="b">
        <f>ABS((AX13 + AX31) - (C17 + AT31)) &lt; 0.1</f>
        <v>1</v>
      </c>
      <c r="AY14" s="84" t="b">
        <f>AY13=AY13</f>
        <v>1</v>
      </c>
      <c r="AZ14" s="84" t="b">
        <f>IF(ABS(AZ13+AZ31 - C26) &lt; MAX(0.0001, AZ13+AZ31 * 0.0001), TRUE, FALSE)</f>
        <v>1</v>
      </c>
      <c r="BA14" s="84" t="b">
        <f>BA13=BA13</f>
        <v>1</v>
      </c>
      <c r="BB14" s="84" t="b">
        <f>BB13=BB13</f>
        <v>1</v>
      </c>
      <c r="BC14" s="84" t="b">
        <f>BC13=BC13</f>
        <v>1</v>
      </c>
      <c r="BD14" s="84" t="b">
        <f>BD13=BD13</f>
        <v>1</v>
      </c>
      <c r="BE14" s="336"/>
      <c r="BH14" s="308" t="s">
        <v>462</v>
      </c>
      <c r="BI14" s="326">
        <f>C107</f>
        <v>48528693.186866537</v>
      </c>
      <c r="BJ14" s="309">
        <f>BI14/$C$24</f>
        <v>6.3621820900888762E-2</v>
      </c>
      <c r="BK14" s="230" t="s">
        <v>382</v>
      </c>
      <c r="BV14" s="198" t="s">
        <v>480</v>
      </c>
      <c r="BW14" s="419" t="s">
        <v>486</v>
      </c>
      <c r="BX14" s="233">
        <v>0</v>
      </c>
      <c r="BY14" s="233"/>
      <c r="BZ14" s="403">
        <f>BX18*BW6*(1-BY18)</f>
        <v>0</v>
      </c>
      <c r="CA14" s="414"/>
      <c r="CB14" s="408"/>
    </row>
    <row r="15" spans="1:81" ht="18" x14ac:dyDescent="0.2">
      <c r="A15" s="336"/>
      <c r="B15" s="577" t="s">
        <v>1</v>
      </c>
      <c r="C15" s="579"/>
      <c r="D15" s="336"/>
      <c r="E15" s="336"/>
      <c r="G15" s="577" t="s">
        <v>0</v>
      </c>
      <c r="H15" s="578"/>
      <c r="I15" s="579"/>
      <c r="J15" s="336"/>
      <c r="K15" s="336"/>
      <c r="AF15" s="336"/>
      <c r="AG15" s="336"/>
      <c r="AH15" s="336"/>
      <c r="AI15" s="336"/>
      <c r="AJ15" s="336"/>
      <c r="AK15" s="336"/>
      <c r="AL15" s="336"/>
      <c r="AO15" s="336"/>
      <c r="AQ15" s="336"/>
      <c r="AR15" s="336"/>
      <c r="AS15" s="336"/>
      <c r="AT15" s="336"/>
      <c r="AU15" s="336"/>
      <c r="AV15" s="336"/>
      <c r="AW15" s="336"/>
      <c r="AY15" s="336"/>
      <c r="AZ15" s="336"/>
      <c r="BD15" s="336"/>
      <c r="BH15" s="621" t="s">
        <v>476</v>
      </c>
      <c r="BI15" s="622"/>
      <c r="BJ15" s="623"/>
      <c r="BK15" s="230" t="s">
        <v>68</v>
      </c>
      <c r="BV15" s="225" t="s">
        <v>446</v>
      </c>
      <c r="BW15" s="392">
        <v>1</v>
      </c>
      <c r="BX15" s="301">
        <f>K23*BW15</f>
        <v>0</v>
      </c>
      <c r="BY15" s="301" t="s">
        <v>447</v>
      </c>
      <c r="BZ15" s="402">
        <f>BX15*BW6</f>
        <v>0</v>
      </c>
      <c r="CA15" s="413">
        <f>BZ15+BX15</f>
        <v>0</v>
      </c>
      <c r="CB15" s="407"/>
    </row>
    <row r="16" spans="1:81" ht="22.5" x14ac:dyDescent="0.2">
      <c r="A16" s="336"/>
      <c r="B16" s="119" t="s">
        <v>5</v>
      </c>
      <c r="C16" s="117" t="s">
        <v>6</v>
      </c>
      <c r="D16" s="336"/>
      <c r="E16" s="336"/>
      <c r="G16" s="592" t="s">
        <v>9</v>
      </c>
      <c r="H16" s="593"/>
      <c r="I16" s="594"/>
      <c r="J16" s="336"/>
      <c r="K16" s="336"/>
      <c r="AM16" s="223"/>
      <c r="BH16" s="225" t="s">
        <v>409</v>
      </c>
      <c r="BI16" s="628">
        <f>SUM(C184,C187:C188)/J59</f>
        <v>20934.374242180642</v>
      </c>
      <c r="BJ16" s="629"/>
      <c r="BK16" s="230" t="s">
        <v>68</v>
      </c>
      <c r="BV16" s="198" t="s">
        <v>448</v>
      </c>
      <c r="BW16" s="395">
        <v>1</v>
      </c>
      <c r="BX16" s="233">
        <v>0</v>
      </c>
      <c r="BY16" s="233" t="s">
        <v>447</v>
      </c>
      <c r="BZ16" s="403">
        <f>BX16*$C$7</f>
        <v>0</v>
      </c>
      <c r="CA16" s="414">
        <f>BZ16+BX16</f>
        <v>0</v>
      </c>
      <c r="CB16" s="408"/>
    </row>
    <row r="17" spans="1:80" ht="22.5" x14ac:dyDescent="0.2">
      <c r="A17" s="336"/>
      <c r="B17" s="105" t="s">
        <v>8</v>
      </c>
      <c r="C17" s="115">
        <f>SUM(C184:C188)</f>
        <v>1043182758.2999394</v>
      </c>
      <c r="D17" s="426"/>
      <c r="E17" s="336"/>
      <c r="G17" s="119" t="s">
        <v>2</v>
      </c>
      <c r="H17" s="116" t="s">
        <v>3</v>
      </c>
      <c r="I17" s="117" t="s">
        <v>4</v>
      </c>
      <c r="AI17" s="336"/>
      <c r="AJ17" s="336"/>
      <c r="AK17" s="336"/>
      <c r="AL17" s="336"/>
      <c r="AM17" s="336"/>
      <c r="AN17" s="336"/>
      <c r="AO17" s="336"/>
      <c r="AP17" s="336"/>
      <c r="AQ17" s="336"/>
      <c r="AR17" s="336"/>
      <c r="AS17" s="336"/>
      <c r="AT17" s="336"/>
      <c r="AU17" s="336"/>
      <c r="AV17" s="336"/>
      <c r="AW17" s="336"/>
      <c r="AX17" s="336"/>
      <c r="AY17" s="336"/>
      <c r="AZ17" s="336"/>
      <c r="BA17" s="336"/>
      <c r="BH17" s="308" t="s">
        <v>420</v>
      </c>
      <c r="BI17" s="300">
        <f>BI16-BI6</f>
        <v>4626.3076868811822</v>
      </c>
      <c r="BJ17" s="309">
        <f>BI17/BI6</f>
        <v>0.2836821686490984</v>
      </c>
      <c r="BK17" s="230" t="s">
        <v>68</v>
      </c>
      <c r="BV17" s="358" t="s">
        <v>450</v>
      </c>
      <c r="BW17" s="393"/>
      <c r="BX17" s="359">
        <f>SUM(BX9:BX16)</f>
        <v>17190139.199999999</v>
      </c>
      <c r="BY17" s="359"/>
      <c r="BZ17" s="404">
        <f>SUM(BZ9:BZ16)</f>
        <v>35642622.782338247</v>
      </c>
      <c r="CA17" s="415">
        <f>SUM(CA9:CA16)</f>
        <v>52832761.98233825</v>
      </c>
      <c r="CB17" s="409"/>
    </row>
    <row r="18" spans="1:80" ht="22.5" x14ac:dyDescent="0.2">
      <c r="A18" s="336"/>
      <c r="B18" s="111" t="s">
        <v>10</v>
      </c>
      <c r="C18" s="157">
        <f>I49</f>
        <v>347717500</v>
      </c>
      <c r="D18" s="427"/>
      <c r="G18" s="592" t="s">
        <v>7</v>
      </c>
      <c r="H18" s="593"/>
      <c r="I18" s="594"/>
      <c r="AI18" s="336"/>
      <c r="AJ18" s="336"/>
      <c r="AK18" s="336"/>
      <c r="AL18" s="336"/>
      <c r="AM18" s="342"/>
      <c r="AN18" s="336"/>
      <c r="AO18" s="336"/>
      <c r="AP18" s="336"/>
      <c r="AQ18" s="336"/>
      <c r="AR18" s="336"/>
      <c r="AS18" s="336"/>
      <c r="AT18" s="336"/>
      <c r="AU18" s="572"/>
      <c r="AV18" s="336"/>
      <c r="AW18" s="336"/>
      <c r="AX18" s="336"/>
      <c r="AY18" s="336"/>
      <c r="AZ18" s="336"/>
      <c r="BA18" s="336"/>
      <c r="BB18" s="336"/>
      <c r="BH18" s="225" t="s">
        <v>461</v>
      </c>
      <c r="BI18" s="285">
        <f>C26/F76</f>
        <v>5764.8866757045153</v>
      </c>
      <c r="BJ18" s="290">
        <f>BI18/BI6</f>
        <v>0.35349908930995633</v>
      </c>
      <c r="BK18" s="230" t="s">
        <v>68</v>
      </c>
      <c r="BV18" s="225" t="s">
        <v>451</v>
      </c>
      <c r="BW18" s="391"/>
      <c r="BX18" s="301">
        <v>0</v>
      </c>
      <c r="BY18" s="392">
        <v>0.7</v>
      </c>
      <c r="BZ18" s="402">
        <f>BX18*BW6*BY18</f>
        <v>0</v>
      </c>
      <c r="CA18" s="413">
        <f>BZ18+BX18</f>
        <v>0</v>
      </c>
      <c r="CB18" s="407"/>
    </row>
    <row r="19" spans="1:80" ht="23.25" thickBot="1" x14ac:dyDescent="0.25">
      <c r="A19" s="336"/>
      <c r="B19" s="105" t="s">
        <v>12</v>
      </c>
      <c r="C19" s="176">
        <f>J76</f>
        <v>286502320</v>
      </c>
      <c r="E19" s="342"/>
      <c r="G19" s="105" t="s">
        <v>11</v>
      </c>
      <c r="H19" s="114">
        <v>60000000</v>
      </c>
      <c r="I19" s="6">
        <f t="shared" ref="I19:I24" si="26">H19/$H$34</f>
        <v>7.8660870577211744E-2</v>
      </c>
      <c r="J19" s="336"/>
      <c r="K19" s="336"/>
      <c r="AE19" s="587" t="s">
        <v>388</v>
      </c>
      <c r="AF19" s="588"/>
      <c r="AG19" s="588"/>
      <c r="AH19" s="588"/>
      <c r="AI19" s="588"/>
      <c r="AJ19" s="588"/>
      <c r="AK19" s="588"/>
      <c r="AL19" s="588"/>
      <c r="AM19" s="588"/>
      <c r="AN19" s="588"/>
      <c r="AO19" s="588"/>
      <c r="AP19" s="588"/>
      <c r="AQ19" s="588"/>
      <c r="AR19" s="588"/>
      <c r="AS19" s="588"/>
      <c r="AT19" s="588"/>
      <c r="AU19" s="588"/>
      <c r="AV19" s="588"/>
      <c r="AW19" s="588"/>
      <c r="AX19" s="588"/>
      <c r="AY19" s="588"/>
      <c r="AZ19" s="588"/>
      <c r="BA19" s="588"/>
      <c r="BB19" s="588"/>
      <c r="BC19" s="588"/>
      <c r="BD19" s="588"/>
      <c r="BH19" s="308" t="s">
        <v>460</v>
      </c>
      <c r="BI19" s="630">
        <f>C26/C17</f>
        <v>0.25847610497858869</v>
      </c>
      <c r="BJ19" s="631"/>
      <c r="BK19" s="230" t="s">
        <v>384</v>
      </c>
      <c r="BV19" s="352" t="s">
        <v>452</v>
      </c>
      <c r="BW19" s="394"/>
      <c r="BX19" s="351">
        <f>SUM(BX17:BX18)</f>
        <v>17190139.199999999</v>
      </c>
      <c r="BY19" s="351"/>
      <c r="BZ19" s="405">
        <f>SUM(BZ17:BZ18)</f>
        <v>35642622.782338247</v>
      </c>
      <c r="CA19" s="416">
        <f>BZ19+BX19</f>
        <v>52832761.98233825</v>
      </c>
      <c r="CB19" s="410"/>
    </row>
    <row r="20" spans="1:80" ht="27" x14ac:dyDescent="0.2">
      <c r="A20" s="336"/>
      <c r="B20" s="111" t="s">
        <v>14</v>
      </c>
      <c r="C20" s="157">
        <f>C102</f>
        <v>68692160.177999988</v>
      </c>
      <c r="D20" s="336"/>
      <c r="E20" s="342"/>
      <c r="G20" s="111" t="s">
        <v>13</v>
      </c>
      <c r="H20" s="112"/>
      <c r="I20" s="2">
        <f t="shared" si="26"/>
        <v>0</v>
      </c>
      <c r="J20" s="336"/>
      <c r="K20" s="336"/>
      <c r="AE20" s="50" t="s">
        <v>358</v>
      </c>
      <c r="AF20" s="51" t="s">
        <v>342</v>
      </c>
      <c r="AG20" s="51" t="s">
        <v>343</v>
      </c>
      <c r="AH20" s="263" t="s">
        <v>404</v>
      </c>
      <c r="AI20" s="51" t="s">
        <v>344</v>
      </c>
      <c r="AJ20" s="51" t="s">
        <v>345</v>
      </c>
      <c r="AK20" s="51" t="s">
        <v>346</v>
      </c>
      <c r="AL20" s="51" t="s">
        <v>347</v>
      </c>
      <c r="AM20" s="263" t="s">
        <v>402</v>
      </c>
      <c r="AN20" s="263" t="s">
        <v>401</v>
      </c>
      <c r="AO20" s="51" t="s">
        <v>398</v>
      </c>
      <c r="AP20" s="51" t="s">
        <v>348</v>
      </c>
      <c r="AQ20" s="51" t="s">
        <v>400</v>
      </c>
      <c r="AR20" s="51" t="s">
        <v>349</v>
      </c>
      <c r="AS20" s="51" t="s">
        <v>350</v>
      </c>
      <c r="AT20" s="51" t="s">
        <v>403</v>
      </c>
      <c r="AU20" s="51" t="s">
        <v>351</v>
      </c>
      <c r="AV20" s="51" t="s">
        <v>410</v>
      </c>
      <c r="AW20" s="51" t="s">
        <v>353</v>
      </c>
      <c r="AX20" s="51" t="s">
        <v>354</v>
      </c>
      <c r="AY20" s="51" t="s">
        <v>355</v>
      </c>
      <c r="AZ20" s="51" t="s">
        <v>356</v>
      </c>
      <c r="BA20" s="51" t="s">
        <v>418</v>
      </c>
      <c r="BB20" s="51" t="s">
        <v>406</v>
      </c>
      <c r="BC20" s="51" t="s">
        <v>417</v>
      </c>
      <c r="BD20" s="52" t="s">
        <v>357</v>
      </c>
      <c r="BE20" s="336"/>
      <c r="BH20" s="225" t="s">
        <v>427</v>
      </c>
      <c r="BI20" s="312">
        <f>C24/BI16</f>
        <v>36436.153077690295</v>
      </c>
      <c r="BJ20" s="327">
        <f>BI20/F76</f>
        <v>0.77900902919946657</v>
      </c>
      <c r="BK20" s="230" t="s">
        <v>68</v>
      </c>
    </row>
    <row r="21" spans="1:80" ht="23.25" thickBot="1" x14ac:dyDescent="0.25">
      <c r="A21" s="336"/>
      <c r="B21" s="105" t="s">
        <v>16</v>
      </c>
      <c r="C21" s="176">
        <f>C107</f>
        <v>48528693.186866537</v>
      </c>
      <c r="D21" s="336"/>
      <c r="E21" s="342"/>
      <c r="G21" s="105" t="s">
        <v>15</v>
      </c>
      <c r="H21" s="114"/>
      <c r="I21" s="6">
        <f t="shared" si="26"/>
        <v>0</v>
      </c>
      <c r="J21" s="336"/>
      <c r="K21" s="336"/>
      <c r="AE21" s="225" t="s">
        <v>389</v>
      </c>
      <c r="AF21" s="301">
        <f t="shared" ref="AF21:AF30" si="27">((F61/$J$59)*$I$49)*AO21</f>
        <v>84238195.331695318</v>
      </c>
      <c r="AG21" s="301">
        <f t="shared" ref="AG21:AG30" si="28">J61*AO21</f>
        <v>42658304</v>
      </c>
      <c r="AH21" s="288">
        <f t="shared" ref="AH21:AH30" si="29">AH3</f>
        <v>0</v>
      </c>
      <c r="AI21" s="301">
        <f t="shared" ref="AI21:AI30" si="30">($J$73*AH21)*AO21</f>
        <v>0</v>
      </c>
      <c r="AJ21" s="301">
        <f t="shared" ref="AJ21:AJ30" si="31">((K61/$L$76)*($J$74+$J$75))*AO21</f>
        <v>8473529.0214950424</v>
      </c>
      <c r="AK21" s="301">
        <f t="shared" ref="AK21:AK30" si="32">((K61/$L$76)*$C$87)*AO21</f>
        <v>857944.81342637283</v>
      </c>
      <c r="AL21" s="301">
        <f t="shared" ref="AL21:AL30" si="33">(((D61-F61)/$H$59)*$J$71)*AO21</f>
        <v>0</v>
      </c>
      <c r="AM21" s="264">
        <f t="shared" ref="AM21:AM30" si="34">SUM(AF21:AG21,AI21:AL21)/$AM$31</f>
        <v>1</v>
      </c>
      <c r="AN21" s="264">
        <f>SUM(AF21:AG21,AI21:AL21)/$AN$31</f>
        <v>0.21250281589001355</v>
      </c>
      <c r="AO21" s="279">
        <f t="shared" ref="AO21:AO30" si="35">S129</f>
        <v>0.4</v>
      </c>
      <c r="AP21" s="301">
        <f t="shared" ref="AP21:AP27" si="36">(AN21*SUM($C$86,$C$88:$C$90,$C$96:$C$97,$C$101))+(SUM($D$93:$D$95)*H61*AO21)</f>
        <v>8314070.8722733473</v>
      </c>
      <c r="AQ21" s="265">
        <f t="shared" ref="AQ21:AQ30" si="37">(($A$92+$C$100)*AM21)</f>
        <v>3671280.2879999992</v>
      </c>
      <c r="AR21" s="127" t="s">
        <v>67</v>
      </c>
      <c r="AS21" s="301">
        <f t="shared" ref="AS21:AS30" si="38">AN21*$C$107</f>
        <v>10312483.953671655</v>
      </c>
      <c r="AT21" s="127" t="s">
        <v>67</v>
      </c>
      <c r="AU21" s="266">
        <f t="shared" ref="AU21:AU30" si="39">SUM(AF21:AG21,AI21:AL21,AP21:AS21)</f>
        <v>158525808.28056175</v>
      </c>
      <c r="AV21" s="266">
        <f>IFERROR((AU21)/T129, "0")</f>
        <v>13990.313420303475</v>
      </c>
      <c r="AW21" s="260">
        <f>(AU21)/($C$24)</f>
        <v>0.20782963480508582</v>
      </c>
      <c r="AX21" s="234">
        <f t="shared" ref="AX21:AX30" si="40">AC129</f>
        <v>118949481.33119997</v>
      </c>
      <c r="AY21" s="267">
        <f t="shared" ref="AY21:AY30" si="41">IFERROR(AZ21/T129, "0")</f>
        <v>-3492.7134203034771</v>
      </c>
      <c r="AZ21" s="267">
        <f>AX21-AU21</f>
        <v>-39576326.949361771</v>
      </c>
      <c r="BA21" s="323">
        <f>IFERROR(BD21/AW21, "0.00")</f>
        <v>-1.201235157321336</v>
      </c>
      <c r="BB21" s="305">
        <f t="shared" ref="BB21:BB31" si="42">IFERROR(AZ21/AX21, "0.00%")</f>
        <v>-0.33271542260168779</v>
      </c>
      <c r="BC21" s="305">
        <f t="shared" ref="BC21:BC30" si="43">AZ21/$C$26</f>
        <v>-0.14677587704502387</v>
      </c>
      <c r="BD21" s="272">
        <f>IFERROR(AZ21/(AU21), "0.00%")</f>
        <v>-0.24965226406112306</v>
      </c>
      <c r="BE21" s="84" t="s">
        <v>229</v>
      </c>
      <c r="BH21" s="621" t="s">
        <v>421</v>
      </c>
      <c r="BI21" s="622"/>
      <c r="BJ21" s="623">
        <v>0</v>
      </c>
      <c r="BK21" s="230" t="s">
        <v>68</v>
      </c>
    </row>
    <row r="22" spans="1:80" ht="22.5" x14ac:dyDescent="0.2">
      <c r="A22" s="336"/>
      <c r="B22" s="111" t="s">
        <v>18</v>
      </c>
      <c r="C22" s="157">
        <f>C119</f>
        <v>11327391.108884085</v>
      </c>
      <c r="D22" s="336"/>
      <c r="E22" s="342"/>
      <c r="G22" s="111" t="s">
        <v>17</v>
      </c>
      <c r="H22" s="112">
        <f>J22*((D104+E104)*-E196)</f>
        <v>17190139.199999999</v>
      </c>
      <c r="I22" s="2">
        <f t="shared" si="26"/>
        <v>2.2536521913590905E-2</v>
      </c>
      <c r="J22" s="82">
        <v>0.5</v>
      </c>
      <c r="K22" s="336"/>
      <c r="AE22" s="198" t="s">
        <v>390</v>
      </c>
      <c r="AF22" s="233">
        <f t="shared" si="27"/>
        <v>0</v>
      </c>
      <c r="AG22" s="233">
        <f t="shared" si="28"/>
        <v>0</v>
      </c>
      <c r="AH22" s="289">
        <f t="shared" si="29"/>
        <v>0</v>
      </c>
      <c r="AI22" s="233">
        <f t="shared" si="30"/>
        <v>0</v>
      </c>
      <c r="AJ22" s="233">
        <f t="shared" si="31"/>
        <v>0</v>
      </c>
      <c r="AK22" s="233">
        <f t="shared" si="32"/>
        <v>0</v>
      </c>
      <c r="AL22" s="233">
        <f t="shared" si="33"/>
        <v>0</v>
      </c>
      <c r="AM22" s="269">
        <f t="shared" si="34"/>
        <v>0</v>
      </c>
      <c r="AN22" s="269">
        <f t="shared" ref="AN22:AN30" si="44">SUM(AF22:AL22)/$AN$31</f>
        <v>0</v>
      </c>
      <c r="AO22" s="280" t="str">
        <f t="shared" si="35"/>
        <v>0.00%</v>
      </c>
      <c r="AP22" s="233">
        <f t="shared" si="36"/>
        <v>0</v>
      </c>
      <c r="AQ22" s="265">
        <f t="shared" si="37"/>
        <v>0</v>
      </c>
      <c r="AR22" s="128" t="s">
        <v>67</v>
      </c>
      <c r="AS22" s="233">
        <f t="shared" si="38"/>
        <v>0</v>
      </c>
      <c r="AT22" s="128" t="s">
        <v>67</v>
      </c>
      <c r="AU22" s="270">
        <f t="shared" si="39"/>
        <v>0</v>
      </c>
      <c r="AV22" s="270" t="str">
        <f t="shared" ref="AV22:AV30" si="45">IFERROR((AU22-AT22)/T130, "0")</f>
        <v>0</v>
      </c>
      <c r="AW22" s="261">
        <f t="shared" ref="AW22:AW30" si="46">(AU22)/($C$24)</f>
        <v>0</v>
      </c>
      <c r="AX22" s="302">
        <f t="shared" si="40"/>
        <v>0</v>
      </c>
      <c r="AY22" s="300" t="str">
        <f t="shared" si="41"/>
        <v>0</v>
      </c>
      <c r="AZ22" s="300">
        <f t="shared" ref="AZ22:AZ30" si="47">AX22-AU22</f>
        <v>0</v>
      </c>
      <c r="BA22" s="324" t="str">
        <f>IFERROR(BD22/AW22, "0.00")</f>
        <v>0.00</v>
      </c>
      <c r="BB22" s="306" t="str">
        <f t="shared" si="42"/>
        <v>0.00%</v>
      </c>
      <c r="BC22" s="306">
        <f t="shared" si="43"/>
        <v>0</v>
      </c>
      <c r="BD22" s="271" t="str">
        <f t="shared" ref="BD22:BD30" si="48">IFERROR(AZ22/(AU22), "0.00%")</f>
        <v>0.00%</v>
      </c>
      <c r="BE22" s="84" t="s">
        <v>230</v>
      </c>
      <c r="BH22" s="656" t="s">
        <v>459</v>
      </c>
      <c r="BI22" s="182">
        <f>(BJ24+BJ23)-H26</f>
        <v>287611643.50240004</v>
      </c>
      <c r="BJ22" s="291">
        <f>H26/(BJ24+BJ23)</f>
        <v>0.28206868630198217</v>
      </c>
      <c r="BK22" s="230" t="s">
        <v>68</v>
      </c>
    </row>
    <row r="23" spans="1:80" ht="23.25" thickBot="1" x14ac:dyDescent="0.25">
      <c r="A23" s="336"/>
      <c r="B23" s="105" t="s">
        <v>19</v>
      </c>
      <c r="C23" s="115">
        <f>H26</f>
        <v>113000000</v>
      </c>
      <c r="D23" s="336"/>
      <c r="E23" s="342"/>
      <c r="G23" s="105" t="s">
        <v>20</v>
      </c>
      <c r="H23" s="114">
        <f>(J23*E49)+K23</f>
        <v>338000000</v>
      </c>
      <c r="I23" s="6">
        <f t="shared" si="26"/>
        <v>0.44312290425162615</v>
      </c>
      <c r="J23" s="190">
        <v>1</v>
      </c>
      <c r="K23" s="83"/>
      <c r="AE23" s="225" t="s">
        <v>391</v>
      </c>
      <c r="AF23" s="301">
        <f t="shared" si="27"/>
        <v>0</v>
      </c>
      <c r="AG23" s="301">
        <f t="shared" si="28"/>
        <v>0</v>
      </c>
      <c r="AH23" s="288">
        <f t="shared" si="29"/>
        <v>0</v>
      </c>
      <c r="AI23" s="301">
        <f t="shared" si="30"/>
        <v>0</v>
      </c>
      <c r="AJ23" s="301">
        <f t="shared" si="31"/>
        <v>0</v>
      </c>
      <c r="AK23" s="301">
        <f t="shared" si="32"/>
        <v>0</v>
      </c>
      <c r="AL23" s="301">
        <f t="shared" si="33"/>
        <v>0</v>
      </c>
      <c r="AM23" s="264">
        <f t="shared" si="34"/>
        <v>0</v>
      </c>
      <c r="AN23" s="264">
        <f t="shared" si="44"/>
        <v>0</v>
      </c>
      <c r="AO23" s="279" t="str">
        <f t="shared" si="35"/>
        <v>0.00%</v>
      </c>
      <c r="AP23" s="301">
        <f t="shared" si="36"/>
        <v>0</v>
      </c>
      <c r="AQ23" s="265">
        <f t="shared" si="37"/>
        <v>0</v>
      </c>
      <c r="AR23" s="127" t="s">
        <v>67</v>
      </c>
      <c r="AS23" s="301">
        <f t="shared" si="38"/>
        <v>0</v>
      </c>
      <c r="AT23" s="127" t="s">
        <v>67</v>
      </c>
      <c r="AU23" s="266">
        <f t="shared" si="39"/>
        <v>0</v>
      </c>
      <c r="AV23" s="266" t="str">
        <f t="shared" si="45"/>
        <v>0</v>
      </c>
      <c r="AW23" s="260">
        <f t="shared" si="46"/>
        <v>0</v>
      </c>
      <c r="AX23" s="234">
        <f t="shared" si="40"/>
        <v>0</v>
      </c>
      <c r="AY23" s="267" t="str">
        <f t="shared" si="41"/>
        <v>0</v>
      </c>
      <c r="AZ23" s="267">
        <f t="shared" si="47"/>
        <v>0</v>
      </c>
      <c r="BA23" s="323" t="str">
        <f t="shared" ref="BA23:BA30" si="49">IFERROR(BD23/AW23, "0.00")</f>
        <v>0.00</v>
      </c>
      <c r="BB23" s="305" t="str">
        <f t="shared" si="42"/>
        <v>0.00%</v>
      </c>
      <c r="BC23" s="305">
        <f t="shared" si="43"/>
        <v>0</v>
      </c>
      <c r="BD23" s="272" t="str">
        <f t="shared" si="48"/>
        <v>0.00%</v>
      </c>
      <c r="BE23" s="84" t="s">
        <v>231</v>
      </c>
      <c r="BG23" s="437">
        <f>H26/SUM(C109:D111)</f>
        <v>0.16075981514980689</v>
      </c>
      <c r="BH23" s="657"/>
      <c r="BI23" s="246">
        <v>0.66</v>
      </c>
      <c r="BJ23" s="292">
        <f>(I49*80%)*BI23</f>
        <v>183594840</v>
      </c>
      <c r="BK23" s="230" t="s">
        <v>68</v>
      </c>
    </row>
    <row r="24" spans="1:80" ht="22.5" x14ac:dyDescent="0.2">
      <c r="A24" s="336"/>
      <c r="B24" s="111" t="s">
        <v>338</v>
      </c>
      <c r="C24" s="157">
        <f>SUM(C18:C22)</f>
        <v>762768064.47375059</v>
      </c>
      <c r="D24" s="349"/>
      <c r="G24" s="111" t="s">
        <v>21</v>
      </c>
      <c r="H24" s="112">
        <f>SUM(H19:H23)</f>
        <v>415190139.19999999</v>
      </c>
      <c r="I24" s="2">
        <f t="shared" si="26"/>
        <v>0.54432029674242877</v>
      </c>
      <c r="K24" s="336"/>
      <c r="AE24" s="198" t="s">
        <v>392</v>
      </c>
      <c r="AF24" s="233">
        <f t="shared" si="27"/>
        <v>0</v>
      </c>
      <c r="AG24" s="233">
        <f t="shared" si="28"/>
        <v>0</v>
      </c>
      <c r="AH24" s="289">
        <f t="shared" si="29"/>
        <v>0</v>
      </c>
      <c r="AI24" s="233">
        <f t="shared" si="30"/>
        <v>0</v>
      </c>
      <c r="AJ24" s="233">
        <f t="shared" si="31"/>
        <v>0</v>
      </c>
      <c r="AK24" s="233">
        <f t="shared" si="32"/>
        <v>0</v>
      </c>
      <c r="AL24" s="233">
        <f t="shared" si="33"/>
        <v>0</v>
      </c>
      <c r="AM24" s="269">
        <f t="shared" si="34"/>
        <v>0</v>
      </c>
      <c r="AN24" s="269">
        <f t="shared" si="44"/>
        <v>0</v>
      </c>
      <c r="AO24" s="280" t="str">
        <f t="shared" si="35"/>
        <v>0.00%</v>
      </c>
      <c r="AP24" s="233">
        <f t="shared" si="36"/>
        <v>0</v>
      </c>
      <c r="AQ24" s="265">
        <f t="shared" si="37"/>
        <v>0</v>
      </c>
      <c r="AR24" s="128" t="s">
        <v>67</v>
      </c>
      <c r="AS24" s="233">
        <f t="shared" si="38"/>
        <v>0</v>
      </c>
      <c r="AT24" s="128" t="s">
        <v>67</v>
      </c>
      <c r="AU24" s="270">
        <f t="shared" si="39"/>
        <v>0</v>
      </c>
      <c r="AV24" s="270" t="str">
        <f t="shared" si="45"/>
        <v>0</v>
      </c>
      <c r="AW24" s="261">
        <f t="shared" si="46"/>
        <v>0</v>
      </c>
      <c r="AX24" s="302">
        <f t="shared" si="40"/>
        <v>0</v>
      </c>
      <c r="AY24" s="300" t="str">
        <f t="shared" si="41"/>
        <v>0</v>
      </c>
      <c r="AZ24" s="300">
        <f t="shared" si="47"/>
        <v>0</v>
      </c>
      <c r="BA24" s="324" t="str">
        <f t="shared" si="49"/>
        <v>0.00</v>
      </c>
      <c r="BB24" s="306" t="str">
        <f t="shared" si="42"/>
        <v>0.00%</v>
      </c>
      <c r="BC24" s="306">
        <f t="shared" si="43"/>
        <v>0</v>
      </c>
      <c r="BD24" s="271" t="str">
        <f t="shared" si="48"/>
        <v>0.00%</v>
      </c>
      <c r="BE24" s="84" t="s">
        <v>232</v>
      </c>
      <c r="BH24" s="657"/>
      <c r="BI24" s="186">
        <v>0.66</v>
      </c>
      <c r="BJ24" s="292">
        <f>SUM(J76,C86:C90,C93:C95,C96:C96,C101)*BI24</f>
        <v>217016803.50240004</v>
      </c>
      <c r="BK24" s="230" t="s">
        <v>68</v>
      </c>
    </row>
    <row r="25" spans="1:80" ht="22.5" x14ac:dyDescent="0.2">
      <c r="A25" s="336"/>
      <c r="B25" s="105" t="s">
        <v>336</v>
      </c>
      <c r="C25" s="176">
        <f>-SUM(E213)</f>
        <v>10776877.68</v>
      </c>
      <c r="D25" s="336"/>
      <c r="G25" s="592" t="s">
        <v>211</v>
      </c>
      <c r="H25" s="593"/>
      <c r="I25" s="594"/>
      <c r="K25" s="336"/>
      <c r="AE25" s="225" t="s">
        <v>393</v>
      </c>
      <c r="AF25" s="301">
        <f t="shared" si="27"/>
        <v>0</v>
      </c>
      <c r="AG25" s="301">
        <f t="shared" si="28"/>
        <v>0</v>
      </c>
      <c r="AH25" s="288">
        <f t="shared" si="29"/>
        <v>0</v>
      </c>
      <c r="AI25" s="301">
        <f t="shared" si="30"/>
        <v>0</v>
      </c>
      <c r="AJ25" s="301">
        <f t="shared" si="31"/>
        <v>0</v>
      </c>
      <c r="AK25" s="301">
        <f t="shared" si="32"/>
        <v>0</v>
      </c>
      <c r="AL25" s="301">
        <f t="shared" si="33"/>
        <v>0</v>
      </c>
      <c r="AM25" s="264">
        <f t="shared" si="34"/>
        <v>0</v>
      </c>
      <c r="AN25" s="264">
        <f t="shared" si="44"/>
        <v>0</v>
      </c>
      <c r="AO25" s="279" t="str">
        <f t="shared" si="35"/>
        <v>0.00%</v>
      </c>
      <c r="AP25" s="301">
        <f t="shared" si="36"/>
        <v>0</v>
      </c>
      <c r="AQ25" s="265">
        <f t="shared" si="37"/>
        <v>0</v>
      </c>
      <c r="AR25" s="127" t="s">
        <v>67</v>
      </c>
      <c r="AS25" s="301">
        <f t="shared" si="38"/>
        <v>0</v>
      </c>
      <c r="AT25" s="127" t="s">
        <v>67</v>
      </c>
      <c r="AU25" s="266">
        <f t="shared" si="39"/>
        <v>0</v>
      </c>
      <c r="AV25" s="266" t="str">
        <f t="shared" si="45"/>
        <v>0</v>
      </c>
      <c r="AW25" s="260">
        <f t="shared" si="46"/>
        <v>0</v>
      </c>
      <c r="AX25" s="234">
        <f t="shared" si="40"/>
        <v>0</v>
      </c>
      <c r="AY25" s="267" t="str">
        <f t="shared" si="41"/>
        <v>0</v>
      </c>
      <c r="AZ25" s="267">
        <f t="shared" si="47"/>
        <v>0</v>
      </c>
      <c r="BA25" s="323" t="str">
        <f t="shared" si="49"/>
        <v>0.00</v>
      </c>
      <c r="BB25" s="305" t="str">
        <f t="shared" si="42"/>
        <v>0.00%</v>
      </c>
      <c r="BC25" s="305">
        <f t="shared" si="43"/>
        <v>0</v>
      </c>
      <c r="BD25" s="272" t="str">
        <f t="shared" si="48"/>
        <v>0.00%</v>
      </c>
      <c r="BE25" s="84" t="s">
        <v>233</v>
      </c>
      <c r="BH25" s="657"/>
      <c r="BI25" s="262">
        <f>BJ25/E119</f>
        <v>3.3383645716868186E-2</v>
      </c>
      <c r="BJ25" s="293">
        <f>BI26/H26</f>
        <v>0.10024239919366447</v>
      </c>
      <c r="BK25" s="230" t="s">
        <v>68</v>
      </c>
    </row>
    <row r="26" spans="1:80" ht="22.5" x14ac:dyDescent="0.2">
      <c r="A26" s="336"/>
      <c r="B26" s="111" t="s">
        <v>22</v>
      </c>
      <c r="C26" s="174">
        <f>C17-(C24+C25)</f>
        <v>269637816.14618886</v>
      </c>
      <c r="D26" s="342"/>
      <c r="E26" s="223"/>
      <c r="G26" s="596" t="s">
        <v>332</v>
      </c>
      <c r="H26" s="606">
        <f>E189</f>
        <v>113000000</v>
      </c>
      <c r="I26" s="611">
        <f>H26/$H$34</f>
        <v>0.14814463958708213</v>
      </c>
      <c r="J26" s="223"/>
      <c r="AE26" s="198" t="s">
        <v>394</v>
      </c>
      <c r="AF26" s="233">
        <f t="shared" si="27"/>
        <v>0</v>
      </c>
      <c r="AG26" s="233">
        <f t="shared" si="28"/>
        <v>0</v>
      </c>
      <c r="AH26" s="289">
        <f t="shared" si="29"/>
        <v>0</v>
      </c>
      <c r="AI26" s="233">
        <f t="shared" si="30"/>
        <v>0</v>
      </c>
      <c r="AJ26" s="233">
        <f t="shared" si="31"/>
        <v>0</v>
      </c>
      <c r="AK26" s="233">
        <f t="shared" si="32"/>
        <v>0</v>
      </c>
      <c r="AL26" s="233">
        <f t="shared" si="33"/>
        <v>0</v>
      </c>
      <c r="AM26" s="269">
        <f t="shared" si="34"/>
        <v>0</v>
      </c>
      <c r="AN26" s="269">
        <f t="shared" si="44"/>
        <v>0</v>
      </c>
      <c r="AO26" s="280">
        <f t="shared" si="35"/>
        <v>0</v>
      </c>
      <c r="AP26" s="233">
        <f t="shared" si="36"/>
        <v>0</v>
      </c>
      <c r="AQ26" s="265">
        <f t="shared" si="37"/>
        <v>0</v>
      </c>
      <c r="AR26" s="128" t="s">
        <v>67</v>
      </c>
      <c r="AS26" s="233">
        <f t="shared" si="38"/>
        <v>0</v>
      </c>
      <c r="AT26" s="128" t="s">
        <v>67</v>
      </c>
      <c r="AU26" s="270">
        <f t="shared" si="39"/>
        <v>0</v>
      </c>
      <c r="AV26" s="270" t="str">
        <f t="shared" si="45"/>
        <v>0</v>
      </c>
      <c r="AW26" s="261">
        <f t="shared" si="46"/>
        <v>0</v>
      </c>
      <c r="AX26" s="302">
        <f t="shared" si="40"/>
        <v>0</v>
      </c>
      <c r="AY26" s="300" t="str">
        <f t="shared" si="41"/>
        <v>0</v>
      </c>
      <c r="AZ26" s="300">
        <f t="shared" si="47"/>
        <v>0</v>
      </c>
      <c r="BA26" s="324" t="str">
        <f t="shared" si="49"/>
        <v>0.00</v>
      </c>
      <c r="BB26" s="306" t="str">
        <f t="shared" si="42"/>
        <v>0.00%</v>
      </c>
      <c r="BC26" s="306">
        <f t="shared" si="43"/>
        <v>0</v>
      </c>
      <c r="BD26" s="271" t="str">
        <f t="shared" si="48"/>
        <v>0.00%</v>
      </c>
      <c r="BE26" s="84" t="s">
        <v>320</v>
      </c>
      <c r="BF26" s="223"/>
      <c r="BH26" s="658"/>
      <c r="BI26" s="654">
        <f>C22</f>
        <v>11327391.108884085</v>
      </c>
      <c r="BJ26" s="655"/>
      <c r="BK26" s="230" t="s">
        <v>68</v>
      </c>
      <c r="BL26" s="223"/>
    </row>
    <row r="27" spans="1:80" ht="24.75" x14ac:dyDescent="0.2">
      <c r="A27" s="336"/>
      <c r="B27" s="105" t="s">
        <v>321</v>
      </c>
      <c r="C27" s="235">
        <f>D122</f>
        <v>3.8301369863013703</v>
      </c>
      <c r="D27" s="336"/>
      <c r="E27" s="342"/>
      <c r="G27" s="596"/>
      <c r="H27" s="606"/>
      <c r="I27" s="611"/>
      <c r="AE27" s="225" t="s">
        <v>395</v>
      </c>
      <c r="AF27" s="301">
        <f t="shared" si="27"/>
        <v>0</v>
      </c>
      <c r="AG27" s="301">
        <f t="shared" si="28"/>
        <v>0</v>
      </c>
      <c r="AH27" s="288">
        <f t="shared" si="29"/>
        <v>0.4</v>
      </c>
      <c r="AI27" s="301">
        <f t="shared" si="30"/>
        <v>0</v>
      </c>
      <c r="AJ27" s="301">
        <f t="shared" si="31"/>
        <v>0</v>
      </c>
      <c r="AK27" s="301">
        <f t="shared" si="32"/>
        <v>0</v>
      </c>
      <c r="AL27" s="301">
        <f t="shared" si="33"/>
        <v>0</v>
      </c>
      <c r="AM27" s="264">
        <f t="shared" si="34"/>
        <v>0</v>
      </c>
      <c r="AN27" s="264">
        <f t="shared" si="44"/>
        <v>6.239623506109341E-10</v>
      </c>
      <c r="AO27" s="279">
        <f t="shared" si="35"/>
        <v>0</v>
      </c>
      <c r="AP27" s="301">
        <f t="shared" si="36"/>
        <v>1.8727639335784592E-2</v>
      </c>
      <c r="AQ27" s="265">
        <f t="shared" si="37"/>
        <v>0</v>
      </c>
      <c r="AR27" s="127" t="s">
        <v>67</v>
      </c>
      <c r="AS27" s="301">
        <f t="shared" si="38"/>
        <v>3.0280077472954067E-2</v>
      </c>
      <c r="AT27" s="127" t="s">
        <v>67</v>
      </c>
      <c r="AU27" s="266">
        <f t="shared" si="39"/>
        <v>4.9007716808738659E-2</v>
      </c>
      <c r="AV27" s="266" t="str">
        <f t="shared" si="45"/>
        <v>0</v>
      </c>
      <c r="AW27" s="260">
        <f t="shared" si="46"/>
        <v>6.4249827819613934E-11</v>
      </c>
      <c r="AX27" s="234">
        <f t="shared" si="40"/>
        <v>0</v>
      </c>
      <c r="AY27" s="267" t="str">
        <f t="shared" si="41"/>
        <v>0</v>
      </c>
      <c r="AZ27" s="267">
        <f t="shared" si="47"/>
        <v>-4.9007716808738659E-2</v>
      </c>
      <c r="BA27" s="323">
        <f t="shared" si="49"/>
        <v>-15564244044.475462</v>
      </c>
      <c r="BB27" s="305" t="str">
        <f t="shared" si="42"/>
        <v>0.00%</v>
      </c>
      <c r="BC27" s="305">
        <f t="shared" si="43"/>
        <v>-1.8175387083749511E-10</v>
      </c>
      <c r="BD27" s="272">
        <f t="shared" si="48"/>
        <v>-1</v>
      </c>
      <c r="BE27" s="84" t="s">
        <v>234</v>
      </c>
      <c r="BF27" s="223"/>
      <c r="BG27" s="336"/>
      <c r="BH27" s="308" t="s">
        <v>458</v>
      </c>
      <c r="BI27" s="449">
        <f>H26/(SUM(C184:C188))</f>
        <v>0.10832234246677404</v>
      </c>
      <c r="BJ27" s="450">
        <f>1-BI27</f>
        <v>0.89167765753322592</v>
      </c>
      <c r="BK27" s="334" t="s">
        <v>429</v>
      </c>
    </row>
    <row r="28" spans="1:80" ht="18.75" thickBot="1" x14ac:dyDescent="0.25">
      <c r="A28" s="336"/>
      <c r="B28" s="598" t="s">
        <v>23</v>
      </c>
      <c r="C28" s="597">
        <f>C223</f>
        <v>0.1419998109340668</v>
      </c>
      <c r="D28" s="342"/>
      <c r="G28" s="592" t="s">
        <v>333</v>
      </c>
      <c r="H28" s="593"/>
      <c r="I28" s="594"/>
      <c r="AE28" s="198" t="s">
        <v>396</v>
      </c>
      <c r="AF28" s="233">
        <f t="shared" si="27"/>
        <v>0</v>
      </c>
      <c r="AG28" s="233">
        <f t="shared" si="28"/>
        <v>0</v>
      </c>
      <c r="AH28" s="289">
        <f t="shared" si="29"/>
        <v>0.6</v>
      </c>
      <c r="AI28" s="233">
        <f t="shared" si="30"/>
        <v>0</v>
      </c>
      <c r="AJ28" s="233">
        <f t="shared" si="31"/>
        <v>0</v>
      </c>
      <c r="AK28" s="233">
        <f t="shared" si="32"/>
        <v>0</v>
      </c>
      <c r="AL28" s="233">
        <f t="shared" si="33"/>
        <v>0</v>
      </c>
      <c r="AM28" s="269">
        <f t="shared" si="34"/>
        <v>0</v>
      </c>
      <c r="AN28" s="269">
        <f t="shared" si="44"/>
        <v>9.35943525916401E-10</v>
      </c>
      <c r="AO28" s="280">
        <f t="shared" si="35"/>
        <v>0</v>
      </c>
      <c r="AP28" s="233">
        <f>(AN28*SUM($C$86,$C$88:$C$90,$C$96:$C$97,$C$101))+((SUM($D$94:$D$95)*H68*AO28)+(D93*H68/2*AO28))</f>
        <v>2.8091459003676881E-2</v>
      </c>
      <c r="AQ28" s="265">
        <f t="shared" si="37"/>
        <v>0</v>
      </c>
      <c r="AR28" s="128" t="s">
        <v>67</v>
      </c>
      <c r="AS28" s="233">
        <f t="shared" si="38"/>
        <v>4.5420116209431094E-2</v>
      </c>
      <c r="AT28" s="128" t="s">
        <v>67</v>
      </c>
      <c r="AU28" s="270">
        <f t="shared" si="39"/>
        <v>7.3511575213107971E-2</v>
      </c>
      <c r="AV28" s="270" t="str">
        <f t="shared" si="45"/>
        <v>0</v>
      </c>
      <c r="AW28" s="261">
        <f t="shared" si="46"/>
        <v>9.6374741729420882E-11</v>
      </c>
      <c r="AX28" s="302">
        <f t="shared" si="40"/>
        <v>0</v>
      </c>
      <c r="AY28" s="300" t="str">
        <f t="shared" si="41"/>
        <v>0</v>
      </c>
      <c r="AZ28" s="300">
        <f t="shared" si="47"/>
        <v>-7.3511575213107971E-2</v>
      </c>
      <c r="BA28" s="324">
        <f t="shared" si="49"/>
        <v>-10376162696.316977</v>
      </c>
      <c r="BB28" s="306" t="str">
        <f t="shared" si="42"/>
        <v>0.00%</v>
      </c>
      <c r="BC28" s="306">
        <f t="shared" si="43"/>
        <v>-2.7263080625624259E-10</v>
      </c>
      <c r="BD28" s="271">
        <f t="shared" si="48"/>
        <v>-1</v>
      </c>
      <c r="BE28" s="84" t="s">
        <v>235</v>
      </c>
      <c r="BH28" s="225" t="s">
        <v>457</v>
      </c>
      <c r="BI28" s="652">
        <f>H26/H24</f>
        <v>0.27216445992125815</v>
      </c>
      <c r="BJ28" s="653"/>
      <c r="BK28" s="230" t="s">
        <v>385</v>
      </c>
    </row>
    <row r="29" spans="1:80" ht="27" x14ac:dyDescent="0.2">
      <c r="A29" s="336"/>
      <c r="B29" s="598"/>
      <c r="C29" s="597"/>
      <c r="E29" s="342"/>
      <c r="G29" s="105" t="s">
        <v>26</v>
      </c>
      <c r="H29" s="114">
        <f>K29*J29</f>
        <v>118949481.33119997</v>
      </c>
      <c r="I29" s="224">
        <f>H29/$H$34</f>
        <v>0.15594449593699977</v>
      </c>
      <c r="J29" s="3">
        <f>AC139</f>
        <v>118949481.33119997</v>
      </c>
      <c r="K29" s="4">
        <v>1</v>
      </c>
      <c r="L29" s="86">
        <f>-H35/J29</f>
        <v>0</v>
      </c>
      <c r="AE29" s="225" t="s">
        <v>397</v>
      </c>
      <c r="AF29" s="301">
        <f t="shared" si="27"/>
        <v>0</v>
      </c>
      <c r="AG29" s="301">
        <f t="shared" si="28"/>
        <v>0</v>
      </c>
      <c r="AH29" s="288">
        <f t="shared" si="29"/>
        <v>0</v>
      </c>
      <c r="AI29" s="301">
        <f t="shared" si="30"/>
        <v>0</v>
      </c>
      <c r="AJ29" s="301">
        <f t="shared" si="31"/>
        <v>0</v>
      </c>
      <c r="AK29" s="301">
        <f t="shared" si="32"/>
        <v>0</v>
      </c>
      <c r="AL29" s="301">
        <f t="shared" si="33"/>
        <v>0</v>
      </c>
      <c r="AM29" s="264">
        <f t="shared" si="34"/>
        <v>0</v>
      </c>
      <c r="AN29" s="264">
        <f t="shared" si="44"/>
        <v>0</v>
      </c>
      <c r="AO29" s="279" t="str">
        <f t="shared" si="35"/>
        <v>0.00%</v>
      </c>
      <c r="AP29" s="301">
        <f>(AN29*SUM($C$86,$C$88:$C$90,$C$96:$C$97,$C$101))+(SUM($D$93:$D$95)*H69*AO29)</f>
        <v>0</v>
      </c>
      <c r="AQ29" s="265">
        <f t="shared" si="37"/>
        <v>0</v>
      </c>
      <c r="AR29" s="127" t="s">
        <v>67</v>
      </c>
      <c r="AS29" s="301">
        <f t="shared" si="38"/>
        <v>0</v>
      </c>
      <c r="AT29" s="127" t="s">
        <v>67</v>
      </c>
      <c r="AU29" s="266">
        <f t="shared" si="39"/>
        <v>0</v>
      </c>
      <c r="AV29" s="266" t="str">
        <f t="shared" si="45"/>
        <v>0</v>
      </c>
      <c r="AW29" s="260">
        <f t="shared" si="46"/>
        <v>0</v>
      </c>
      <c r="AX29" s="234">
        <f t="shared" si="40"/>
        <v>0</v>
      </c>
      <c r="AY29" s="267" t="str">
        <f t="shared" si="41"/>
        <v>0</v>
      </c>
      <c r="AZ29" s="267">
        <f t="shared" si="47"/>
        <v>0</v>
      </c>
      <c r="BA29" s="323" t="str">
        <f t="shared" si="49"/>
        <v>0.00</v>
      </c>
      <c r="BB29" s="305" t="str">
        <f t="shared" si="42"/>
        <v>0.00%</v>
      </c>
      <c r="BC29" s="305">
        <f t="shared" si="43"/>
        <v>0</v>
      </c>
      <c r="BD29" s="272" t="str">
        <f t="shared" si="48"/>
        <v>0.00%</v>
      </c>
      <c r="BE29" s="84" t="s">
        <v>236</v>
      </c>
      <c r="BH29" s="330" t="s">
        <v>375</v>
      </c>
      <c r="BI29" s="331">
        <f>AX21</f>
        <v>118949481.33119997</v>
      </c>
      <c r="BJ29" s="288">
        <f>C184/-(SUM(G192:S216))</f>
        <v>0.31688042849851911</v>
      </c>
      <c r="BK29" s="332" t="s">
        <v>489</v>
      </c>
    </row>
    <row r="30" spans="1:80" ht="27.75" thickBot="1" x14ac:dyDescent="0.25">
      <c r="A30" s="336"/>
      <c r="B30" s="596" t="s">
        <v>24</v>
      </c>
      <c r="C30" s="595">
        <f>C26/C24</f>
        <v>0.35349908930995627</v>
      </c>
      <c r="D30" s="390"/>
      <c r="E30" s="342"/>
      <c r="G30" s="111" t="s">
        <v>28</v>
      </c>
      <c r="H30" s="112">
        <f>K30*J30</f>
        <v>115628443.94255066</v>
      </c>
      <c r="I30" s="2">
        <f>H30/$H$34</f>
        <v>0.15159056773348936</v>
      </c>
      <c r="J30" s="78">
        <f>SUM(J139,M157,AC157)</f>
        <v>265712467.43999997</v>
      </c>
      <c r="K30" s="5">
        <v>0.43516378834824715</v>
      </c>
      <c r="L30" s="86">
        <f>-H35/J30</f>
        <v>0</v>
      </c>
      <c r="AE30" s="198" t="s">
        <v>518</v>
      </c>
      <c r="AF30" s="233">
        <f t="shared" si="27"/>
        <v>0</v>
      </c>
      <c r="AG30" s="233">
        <f t="shared" si="28"/>
        <v>0</v>
      </c>
      <c r="AH30" s="289">
        <f t="shared" si="29"/>
        <v>0</v>
      </c>
      <c r="AI30" s="233">
        <f t="shared" si="30"/>
        <v>0</v>
      </c>
      <c r="AJ30" s="233">
        <f t="shared" si="31"/>
        <v>0</v>
      </c>
      <c r="AK30" s="233">
        <f t="shared" si="32"/>
        <v>0</v>
      </c>
      <c r="AL30" s="233">
        <f t="shared" si="33"/>
        <v>0</v>
      </c>
      <c r="AM30" s="269">
        <f t="shared" si="34"/>
        <v>0</v>
      </c>
      <c r="AN30" s="269">
        <f t="shared" si="44"/>
        <v>0</v>
      </c>
      <c r="AO30" s="280" t="str">
        <f t="shared" si="35"/>
        <v>0.00%</v>
      </c>
      <c r="AP30" s="233">
        <f>(AN30*SUM($C$86,$C$88:$C$90,$C$96:$C$97,$C$101))+(SUM($D$93:$D$95)*H70*AO30)</f>
        <v>0</v>
      </c>
      <c r="AQ30" s="265">
        <f t="shared" si="37"/>
        <v>0</v>
      </c>
      <c r="AR30" s="128" t="s">
        <v>67</v>
      </c>
      <c r="AS30" s="233">
        <f t="shared" si="38"/>
        <v>0</v>
      </c>
      <c r="AT30" s="128" t="s">
        <v>67</v>
      </c>
      <c r="AU30" s="270">
        <f t="shared" si="39"/>
        <v>0</v>
      </c>
      <c r="AV30" s="270" t="str">
        <f t="shared" si="45"/>
        <v>0</v>
      </c>
      <c r="AW30" s="261">
        <f t="shared" si="46"/>
        <v>0</v>
      </c>
      <c r="AX30" s="302">
        <f t="shared" si="40"/>
        <v>0</v>
      </c>
      <c r="AY30" s="300" t="str">
        <f t="shared" si="41"/>
        <v>0</v>
      </c>
      <c r="AZ30" s="300">
        <f t="shared" si="47"/>
        <v>0</v>
      </c>
      <c r="BA30" s="324" t="str">
        <f t="shared" si="49"/>
        <v>0.00</v>
      </c>
      <c r="BB30" s="306" t="str">
        <f t="shared" si="42"/>
        <v>0.00%</v>
      </c>
      <c r="BC30" s="306">
        <f t="shared" si="43"/>
        <v>0</v>
      </c>
      <c r="BD30" s="271" t="str">
        <f t="shared" si="48"/>
        <v>0.00%</v>
      </c>
      <c r="BE30" s="84" t="s">
        <v>237</v>
      </c>
      <c r="BF30" s="223"/>
      <c r="BG30" s="336"/>
      <c r="BH30" s="225" t="s">
        <v>456</v>
      </c>
      <c r="BI30" s="650">
        <f>(C17-C24)/C17</f>
        <v>0.26880687165801781</v>
      </c>
      <c r="BJ30" s="651"/>
      <c r="BK30" s="230" t="s">
        <v>386</v>
      </c>
    </row>
    <row r="31" spans="1:80" ht="18.75" thickBot="1" x14ac:dyDescent="0.25">
      <c r="A31" s="336"/>
      <c r="B31" s="596"/>
      <c r="C31" s="595"/>
      <c r="D31" s="342"/>
      <c r="E31" s="336"/>
      <c r="G31" s="225" t="s">
        <v>334</v>
      </c>
      <c r="H31" s="114">
        <f>SUM(H29:H30)</f>
        <v>234577925.27375063</v>
      </c>
      <c r="I31" s="6">
        <f>H31/$H$34</f>
        <v>0.30753506367048911</v>
      </c>
      <c r="J31" s="336"/>
      <c r="K31" s="576"/>
      <c r="L31" s="336"/>
      <c r="AE31" s="199" t="s">
        <v>362</v>
      </c>
      <c r="AF31" s="237">
        <f t="shared" ref="AF31:AL31" si="50">SUM(AF21:AF30)</f>
        <v>84238195.331695318</v>
      </c>
      <c r="AG31" s="237">
        <f t="shared" si="50"/>
        <v>42658304</v>
      </c>
      <c r="AH31" s="287">
        <f t="shared" si="50"/>
        <v>1</v>
      </c>
      <c r="AI31" s="237">
        <f t="shared" si="50"/>
        <v>0</v>
      </c>
      <c r="AJ31" s="237">
        <f t="shared" si="50"/>
        <v>8473529.0214950424</v>
      </c>
      <c r="AK31" s="237">
        <f t="shared" si="50"/>
        <v>857944.81342637283</v>
      </c>
      <c r="AL31" s="237">
        <f t="shared" si="50"/>
        <v>0</v>
      </c>
      <c r="AM31" s="282">
        <f>SUM(AF31:AG31,AI31:AL31)</f>
        <v>136227973.16661674</v>
      </c>
      <c r="AN31" s="237">
        <f>SUM(AF3:AG12,AI3:AL12,AF21:AG30,AI21:AL30)</f>
        <v>641064320</v>
      </c>
      <c r="AO31" s="281" t="s">
        <v>68</v>
      </c>
      <c r="AP31" s="585">
        <f>SUM(AP21:AQ30)</f>
        <v>11985351.207092445</v>
      </c>
      <c r="AQ31" s="586"/>
      <c r="AR31" s="299" t="s">
        <v>68</v>
      </c>
      <c r="AS31" s="299">
        <f>SUM(AS21:AS30)</f>
        <v>10312484.029371848</v>
      </c>
      <c r="AT31" s="273">
        <f t="shared" ref="AT31" si="51">SUM(AT21:AT30)</f>
        <v>0</v>
      </c>
      <c r="AU31" s="273">
        <f>SUM(AU21:AU30)</f>
        <v>158525808.40308103</v>
      </c>
      <c r="AV31" s="274">
        <f>IFERROR(AU31/T139, "0")</f>
        <v>13990.313431116119</v>
      </c>
      <c r="AW31" s="314">
        <f>SUM(AW21:AW30)</f>
        <v>0.20782963496571039</v>
      </c>
      <c r="AX31" s="237">
        <f>SUM(AX21:AX30)</f>
        <v>118949481.33119997</v>
      </c>
      <c r="AY31" s="276">
        <f>AZ31/T139</f>
        <v>-3492.7134311161221</v>
      </c>
      <c r="AZ31" s="277">
        <f>SUMIF(AZ21:AZ30, "&lt;&gt;#DIV/0!")</f>
        <v>-39576327.071881063</v>
      </c>
      <c r="BA31" s="277" t="s">
        <v>68</v>
      </c>
      <c r="BB31" s="307">
        <f t="shared" si="42"/>
        <v>-0.33271542363169893</v>
      </c>
      <c r="BC31" s="307" t="s">
        <v>68</v>
      </c>
      <c r="BD31" s="278">
        <f>IFERROR(AZ31/AU31, "0.00%")</f>
        <v>-0.24965226464104173</v>
      </c>
      <c r="BE31" s="336"/>
      <c r="BH31" s="621" t="s">
        <v>422</v>
      </c>
      <c r="BI31" s="622"/>
      <c r="BJ31" s="623">
        <v>0</v>
      </c>
      <c r="BK31" s="230" t="s">
        <v>68</v>
      </c>
    </row>
    <row r="32" spans="1:80" ht="18" x14ac:dyDescent="0.2">
      <c r="A32" s="336"/>
      <c r="B32" s="598" t="s">
        <v>25</v>
      </c>
      <c r="C32" s="603">
        <f>(C26/H24)</f>
        <v>0.649432129254646</v>
      </c>
      <c r="D32" s="428"/>
      <c r="E32" s="336"/>
      <c r="G32" s="592" t="s">
        <v>220</v>
      </c>
      <c r="H32" s="593"/>
      <c r="I32" s="594"/>
      <c r="K32" s="336"/>
      <c r="L32" s="336"/>
      <c r="AE32" s="84" t="s">
        <v>69</v>
      </c>
      <c r="AF32" s="84" t="b">
        <f>I49-AF13=AF31</f>
        <v>1</v>
      </c>
      <c r="AG32" s="84" t="b">
        <f>SUM(J61:J71)-AG13=AG31</f>
        <v>1</v>
      </c>
      <c r="AH32" s="84" t="b">
        <f>SUM(AH21:AH30)=AH31</f>
        <v>1</v>
      </c>
      <c r="AI32" s="84" t="b">
        <f>J73-AI13=AI31</f>
        <v>1</v>
      </c>
      <c r="AJ32" s="84" t="b">
        <f>(J74+J75)-AJ13=AJ31</f>
        <v>0</v>
      </c>
      <c r="AK32" s="84" t="b">
        <f>C87-AK13=AK31</f>
        <v>1</v>
      </c>
      <c r="AL32" s="84" t="b">
        <f>J71-AL13=AL31</f>
        <v>1</v>
      </c>
      <c r="AM32" s="84" t="b">
        <f>SUM(AF21:AG30,AI21:AL30)=AM31</f>
        <v>1</v>
      </c>
      <c r="AN32" s="84" t="b">
        <f>SUM(AI21:AL30,AF21:AG30,AF3:AG12,AI3:AL12)=AN31</f>
        <v>1</v>
      </c>
      <c r="AO32" s="84" t="b">
        <f>SUM(AO3:AO12,AO21:AO30)=1000%</f>
        <v>1</v>
      </c>
      <c r="AP32" s="584" t="b">
        <f>C102-C87=AP13+AP31</f>
        <v>0</v>
      </c>
      <c r="AQ32" s="584"/>
      <c r="AR32" s="84" t="b">
        <f>AR31=AR31</f>
        <v>1</v>
      </c>
      <c r="AS32" s="84" t="b">
        <f>C107-AS13=AS31</f>
        <v>0</v>
      </c>
      <c r="AT32" s="84" t="b">
        <f>AT31=AT31</f>
        <v>1</v>
      </c>
      <c r="AU32" s="84" t="b">
        <f>AU13+AU31=C24+C25+AT31</f>
        <v>0</v>
      </c>
      <c r="AV32" s="84" t="b">
        <f>AV31=AV31</f>
        <v>1</v>
      </c>
      <c r="AW32" s="84" t="b">
        <f>AW31+AW13=100%</f>
        <v>0</v>
      </c>
      <c r="AX32" s="84" t="b">
        <f>AX31=AC139</f>
        <v>1</v>
      </c>
      <c r="AY32" s="84" t="b">
        <f t="shared" ref="AY32:BD32" si="52">AY31=AY31</f>
        <v>1</v>
      </c>
      <c r="AZ32" s="84" t="b">
        <f t="shared" si="52"/>
        <v>1</v>
      </c>
      <c r="BA32" s="84" t="b">
        <f t="shared" si="52"/>
        <v>1</v>
      </c>
      <c r="BB32" s="84" t="b">
        <f t="shared" si="52"/>
        <v>1</v>
      </c>
      <c r="BC32" s="84" t="b">
        <f t="shared" si="52"/>
        <v>1</v>
      </c>
      <c r="BD32" s="84" t="b">
        <f t="shared" si="52"/>
        <v>1</v>
      </c>
      <c r="BE32" s="336"/>
      <c r="BH32" s="225" t="s">
        <v>376</v>
      </c>
      <c r="BI32" s="318">
        <f>I49/C49</f>
        <v>20575</v>
      </c>
      <c r="BJ32" s="333">
        <f>D49</f>
        <v>20000</v>
      </c>
      <c r="BK32" s="230" t="s">
        <v>68</v>
      </c>
    </row>
    <row r="33" spans="1:66" ht="22.5" x14ac:dyDescent="0.2">
      <c r="A33" s="336"/>
      <c r="B33" s="598"/>
      <c r="C33" s="603"/>
      <c r="D33" s="428"/>
      <c r="E33" s="346"/>
      <c r="G33" s="111" t="s">
        <v>29</v>
      </c>
      <c r="H33" s="112">
        <f>H24+H26+H31</f>
        <v>762768064.47375059</v>
      </c>
      <c r="I33" s="98" t="b">
        <f>SUM(I24,I26,I31,M35)=100%</f>
        <v>1</v>
      </c>
      <c r="J33" s="342"/>
      <c r="K33" s="336"/>
      <c r="L33" s="336"/>
      <c r="AT33" s="336"/>
      <c r="AX33" s="223"/>
      <c r="BF33" s="223"/>
      <c r="BH33" s="308" t="s">
        <v>470</v>
      </c>
      <c r="BI33" s="646">
        <f>((I49/C24)*C17)/C49</f>
        <v>28138.940592418945</v>
      </c>
      <c r="BJ33" s="647"/>
      <c r="BK33" s="230" t="s">
        <v>68</v>
      </c>
    </row>
    <row r="34" spans="1:66" ht="22.5" x14ac:dyDescent="0.2">
      <c r="A34" s="336"/>
      <c r="B34" s="596" t="s">
        <v>27</v>
      </c>
      <c r="C34" s="608">
        <f>C32/C27</f>
        <v>0.16955846007006134</v>
      </c>
      <c r="D34" s="429"/>
      <c r="E34" s="427"/>
      <c r="G34" s="105" t="s">
        <v>338</v>
      </c>
      <c r="H34" s="606">
        <f>C24</f>
        <v>762768064.47375059</v>
      </c>
      <c r="I34" s="607"/>
      <c r="J34" s="336"/>
      <c r="K34" s="336"/>
      <c r="BH34" s="225" t="s">
        <v>471</v>
      </c>
      <c r="BI34" s="628">
        <f>BI33-BI32</f>
        <v>7563.940592418945</v>
      </c>
      <c r="BJ34" s="629"/>
      <c r="BK34" s="230" t="s">
        <v>68</v>
      </c>
    </row>
    <row r="35" spans="1:66" ht="23.25" thickBot="1" x14ac:dyDescent="0.25">
      <c r="A35" s="336"/>
      <c r="B35" s="610"/>
      <c r="C35" s="609"/>
      <c r="D35" s="429"/>
      <c r="E35" s="336"/>
      <c r="G35" s="9" t="s">
        <v>30</v>
      </c>
      <c r="H35" s="604">
        <f>H33-H34</f>
        <v>0</v>
      </c>
      <c r="I35" s="605"/>
      <c r="J35" s="336"/>
      <c r="K35" s="336"/>
      <c r="AP35" s="223"/>
      <c r="AT35" s="223"/>
      <c r="AU35" s="223"/>
      <c r="AV35" s="223"/>
      <c r="BH35" s="308" t="s">
        <v>472</v>
      </c>
      <c r="BI35" s="644">
        <f>BI34/BI32</f>
        <v>0.36762773231683815</v>
      </c>
      <c r="BJ35" s="645"/>
      <c r="BK35" s="230" t="s">
        <v>387</v>
      </c>
    </row>
    <row r="36" spans="1:66" ht="18" x14ac:dyDescent="0.2">
      <c r="A36" s="336"/>
      <c r="E36" s="425"/>
      <c r="BH36" s="225" t="s">
        <v>374</v>
      </c>
      <c r="BI36" s="648">
        <f>F76/H59</f>
        <v>0.81399999999999995</v>
      </c>
      <c r="BJ36" s="649"/>
      <c r="BK36" s="230" t="s">
        <v>383</v>
      </c>
    </row>
    <row r="37" spans="1:66" ht="18" x14ac:dyDescent="0.2">
      <c r="A37" s="336"/>
      <c r="E37" s="425"/>
      <c r="I37" s="335"/>
      <c r="AE37" s="587" t="s">
        <v>408</v>
      </c>
      <c r="AF37" s="588"/>
      <c r="AG37" s="588"/>
      <c r="AH37" s="588"/>
      <c r="AI37" s="588"/>
      <c r="AJ37" s="588"/>
      <c r="AK37" s="588"/>
      <c r="AL37" s="588"/>
      <c r="AM37" s="588"/>
      <c r="AN37" s="588"/>
      <c r="AO37" s="588"/>
      <c r="AP37" s="588"/>
      <c r="AQ37" s="588"/>
      <c r="AR37" s="588"/>
      <c r="AS37" s="588"/>
      <c r="AT37" s="588"/>
      <c r="AU37" s="588"/>
      <c r="AV37" s="588"/>
      <c r="AW37" s="588"/>
      <c r="AX37" s="588"/>
      <c r="AY37" s="588"/>
      <c r="AZ37" s="588"/>
      <c r="BA37" s="588"/>
      <c r="BB37" s="588"/>
      <c r="BC37" s="588"/>
      <c r="BD37" s="588"/>
      <c r="BH37" s="308" t="s">
        <v>455</v>
      </c>
      <c r="BI37" s="362">
        <f>COUNTIFS(F187:AC187,"&gt;500")/4</f>
        <v>1</v>
      </c>
      <c r="BJ37" s="363">
        <f>BI37/D122</f>
        <v>0.26108726752503575</v>
      </c>
      <c r="BK37" s="230" t="s">
        <v>454</v>
      </c>
    </row>
    <row r="38" spans="1:66" ht="27" x14ac:dyDescent="0.2">
      <c r="A38" s="336"/>
      <c r="D38" s="424"/>
      <c r="I38" s="335"/>
      <c r="AE38" s="50" t="s">
        <v>358</v>
      </c>
      <c r="AF38" s="51" t="s">
        <v>342</v>
      </c>
      <c r="AG38" s="51" t="s">
        <v>343</v>
      </c>
      <c r="AH38" s="263" t="s">
        <v>404</v>
      </c>
      <c r="AI38" s="51" t="s">
        <v>344</v>
      </c>
      <c r="AJ38" s="51" t="s">
        <v>345</v>
      </c>
      <c r="AK38" s="51" t="s">
        <v>346</v>
      </c>
      <c r="AL38" s="51" t="s">
        <v>347</v>
      </c>
      <c r="AM38" s="263" t="s">
        <v>402</v>
      </c>
      <c r="AN38" s="263" t="s">
        <v>401</v>
      </c>
      <c r="AO38" s="51" t="s">
        <v>405</v>
      </c>
      <c r="AP38" s="51" t="s">
        <v>348</v>
      </c>
      <c r="AQ38" s="51" t="s">
        <v>400</v>
      </c>
      <c r="AR38" s="51" t="s">
        <v>349</v>
      </c>
      <c r="AS38" s="51" t="s">
        <v>350</v>
      </c>
      <c r="AT38" s="51" t="s">
        <v>399</v>
      </c>
      <c r="AU38" s="51" t="s">
        <v>351</v>
      </c>
      <c r="AV38" s="51" t="s">
        <v>352</v>
      </c>
      <c r="AW38" s="51" t="s">
        <v>353</v>
      </c>
      <c r="AX38" s="51" t="s">
        <v>354</v>
      </c>
      <c r="AY38" s="51" t="s">
        <v>355</v>
      </c>
      <c r="AZ38" s="51" t="s">
        <v>356</v>
      </c>
      <c r="BA38" s="51" t="s">
        <v>418</v>
      </c>
      <c r="BB38" s="51" t="s">
        <v>406</v>
      </c>
      <c r="BC38" s="51" t="s">
        <v>417</v>
      </c>
      <c r="BD38" s="52" t="s">
        <v>357</v>
      </c>
      <c r="BH38" s="612" t="s">
        <v>423</v>
      </c>
      <c r="BI38" s="613"/>
      <c r="BJ38" s="614"/>
      <c r="BK38" s="113" t="s">
        <v>68</v>
      </c>
    </row>
    <row r="39" spans="1:66" ht="22.5" x14ac:dyDescent="0.2">
      <c r="A39" s="336"/>
      <c r="I39" s="335"/>
      <c r="AE39" s="225" t="s">
        <v>229</v>
      </c>
      <c r="AF39" s="301">
        <f t="shared" ref="AF39:AG48" si="53">SUM(AF3,AF21)</f>
        <v>210595488.3292383</v>
      </c>
      <c r="AG39" s="301">
        <f t="shared" si="53"/>
        <v>106645759.99999999</v>
      </c>
      <c r="AH39" s="288">
        <f t="shared" ref="AH39:AH48" si="54">AH3</f>
        <v>0</v>
      </c>
      <c r="AI39" s="301">
        <f t="shared" ref="AI39:AL48" si="55">SUM(AI3,AI21)</f>
        <v>0</v>
      </c>
      <c r="AJ39" s="301">
        <f t="shared" si="55"/>
        <v>21183822.553737603</v>
      </c>
      <c r="AK39" s="301">
        <f t="shared" si="55"/>
        <v>2144862.033565932</v>
      </c>
      <c r="AL39" s="301">
        <f t="shared" si="55"/>
        <v>0</v>
      </c>
      <c r="AM39" s="264" t="s">
        <v>68</v>
      </c>
      <c r="AN39" s="264">
        <f t="shared" ref="AN39:AR48" si="56">SUM(AN3,AN21)</f>
        <v>0.53125703972503391</v>
      </c>
      <c r="AO39" s="297">
        <f t="shared" si="56"/>
        <v>1</v>
      </c>
      <c r="AP39" s="301">
        <f t="shared" si="56"/>
        <v>20785177.180683367</v>
      </c>
      <c r="AQ39" s="265">
        <f t="shared" si="56"/>
        <v>6548805.9906271901</v>
      </c>
      <c r="AR39" s="303">
        <f t="shared" si="56"/>
        <v>4584973.5514530707</v>
      </c>
      <c r="AS39" s="301">
        <f t="shared" ref="AS39" si="57">SUM(AS3,AS21)</f>
        <v>25781209.884179138</v>
      </c>
      <c r="AT39" s="266">
        <f t="shared" ref="AT39:AU48" si="58">SUM(AT3,AT21)</f>
        <v>0</v>
      </c>
      <c r="AU39" s="266">
        <f t="shared" si="58"/>
        <v>398270099.52348459</v>
      </c>
      <c r="AV39" s="266">
        <f t="shared" ref="AV39:AV48" si="59">IFERROR((AU39-AT39)/F61, "0")</f>
        <v>14059.347379974168</v>
      </c>
      <c r="AW39" s="260">
        <f>SUM(AW3,AW21)</f>
        <v>0.52213787922316768</v>
      </c>
      <c r="AX39" s="234">
        <f>SUM(AX21,AX3)</f>
        <v>331407831.33119994</v>
      </c>
      <c r="AY39" s="267">
        <f t="shared" ref="AY39:AY48" si="60">IFERROR(AZ39/F61, "0")</f>
        <v>-2360.3073799741696</v>
      </c>
      <c r="AZ39" s="267">
        <f>SUM(AZ21,AZ3)</f>
        <v>-66862268.192284673</v>
      </c>
      <c r="BA39" s="323">
        <f t="shared" ref="BA39:BA48" si="61">IFERROR(BD39/AW39, "0.00")</f>
        <v>-0.32152755779118736</v>
      </c>
      <c r="BB39" s="305">
        <f t="shared" ref="BB39:BB49" si="62">IFERROR(AZ39/AX39, "0.00%")</f>
        <v>-0.2017522275309914</v>
      </c>
      <c r="BC39" s="305">
        <f t="shared" ref="BC39:BC48" si="63">AZ39/$C$26</f>
        <v>-0.24797066356610056</v>
      </c>
      <c r="BD39" s="268">
        <f t="shared" ref="BD39:BD48" si="64">IFERROR(AZ39/(AU39-AT39), "0.00%")</f>
        <v>-0.16788171713689504</v>
      </c>
      <c r="BE39" s="84" t="s">
        <v>229</v>
      </c>
      <c r="BH39" s="119" t="s">
        <v>425</v>
      </c>
      <c r="BI39" s="116" t="s">
        <v>424</v>
      </c>
      <c r="BJ39" s="116" t="s">
        <v>426</v>
      </c>
      <c r="BK39" s="113" t="s">
        <v>68</v>
      </c>
    </row>
    <row r="40" spans="1:66" ht="22.5" x14ac:dyDescent="0.2">
      <c r="A40" s="336"/>
      <c r="I40" s="335"/>
      <c r="AE40" s="198" t="s">
        <v>230</v>
      </c>
      <c r="AF40" s="233">
        <f t="shared" si="53"/>
        <v>0</v>
      </c>
      <c r="AG40" s="233">
        <f t="shared" si="53"/>
        <v>0</v>
      </c>
      <c r="AH40" s="289">
        <f t="shared" si="54"/>
        <v>0</v>
      </c>
      <c r="AI40" s="233">
        <f t="shared" si="55"/>
        <v>0</v>
      </c>
      <c r="AJ40" s="233">
        <f t="shared" si="55"/>
        <v>0</v>
      </c>
      <c r="AK40" s="233">
        <f t="shared" si="55"/>
        <v>0</v>
      </c>
      <c r="AL40" s="233">
        <f t="shared" si="55"/>
        <v>0</v>
      </c>
      <c r="AM40" s="269" t="s">
        <v>68</v>
      </c>
      <c r="AN40" s="269">
        <f t="shared" si="56"/>
        <v>0</v>
      </c>
      <c r="AO40" s="298">
        <f t="shared" si="56"/>
        <v>1</v>
      </c>
      <c r="AP40" s="233">
        <f t="shared" si="56"/>
        <v>0</v>
      </c>
      <c r="AQ40" s="265">
        <f t="shared" si="56"/>
        <v>0</v>
      </c>
      <c r="AR40" s="304">
        <f t="shared" si="56"/>
        <v>0</v>
      </c>
      <c r="AS40" s="302">
        <f t="shared" ref="AS40:AS48" si="65">SUM(AS4,AS22)</f>
        <v>0</v>
      </c>
      <c r="AT40" s="270">
        <f t="shared" si="58"/>
        <v>0</v>
      </c>
      <c r="AU40" s="270">
        <f t="shared" si="58"/>
        <v>0</v>
      </c>
      <c r="AV40" s="270" t="str">
        <f t="shared" si="59"/>
        <v>0</v>
      </c>
      <c r="AW40" s="261">
        <f t="shared" ref="AW40:AW48" si="66">SUM(AW4,AW22)</f>
        <v>0</v>
      </c>
      <c r="AX40" s="233">
        <f t="shared" ref="AX40:AX48" si="67">SUM(AX22,AX4)</f>
        <v>0</v>
      </c>
      <c r="AY40" s="283" t="str">
        <f t="shared" si="60"/>
        <v>0</v>
      </c>
      <c r="AZ40" s="283">
        <f t="shared" ref="AZ40:AZ48" si="68">SUM(AZ22,AZ4)</f>
        <v>0</v>
      </c>
      <c r="BA40" s="324" t="str">
        <f t="shared" si="61"/>
        <v>0.00</v>
      </c>
      <c r="BB40" s="306" t="str">
        <f t="shared" si="62"/>
        <v>0.00%</v>
      </c>
      <c r="BC40" s="306">
        <f t="shared" si="63"/>
        <v>0</v>
      </c>
      <c r="BD40" s="271" t="str">
        <f t="shared" si="64"/>
        <v>0.00%</v>
      </c>
      <c r="BE40" s="84" t="s">
        <v>230</v>
      </c>
      <c r="BH40" s="105" t="s">
        <v>473</v>
      </c>
      <c r="BI40" s="294">
        <f>H19/$H$24</f>
        <v>0.14451210261305744</v>
      </c>
      <c r="BJ40" s="250">
        <f>BI40*$C$26</f>
        <v>38965927.755278759</v>
      </c>
      <c r="BK40" s="310" t="s">
        <v>68</v>
      </c>
    </row>
    <row r="41" spans="1:66" ht="23.25" thickBot="1" x14ac:dyDescent="0.25">
      <c r="A41" s="336"/>
      <c r="B41" s="336"/>
      <c r="C41" s="336"/>
      <c r="D41" s="336"/>
      <c r="E41" s="336"/>
      <c r="F41" s="336"/>
      <c r="G41" s="336"/>
      <c r="H41" s="336"/>
      <c r="I41" s="345"/>
      <c r="J41" s="336"/>
      <c r="K41" s="336"/>
      <c r="L41" s="336"/>
      <c r="AE41" s="225" t="s">
        <v>231</v>
      </c>
      <c r="AF41" s="301">
        <f t="shared" si="53"/>
        <v>0</v>
      </c>
      <c r="AG41" s="301">
        <f t="shared" si="53"/>
        <v>0</v>
      </c>
      <c r="AH41" s="288">
        <f t="shared" si="54"/>
        <v>0</v>
      </c>
      <c r="AI41" s="301">
        <f t="shared" si="55"/>
        <v>0</v>
      </c>
      <c r="AJ41" s="301">
        <f t="shared" si="55"/>
        <v>0</v>
      </c>
      <c r="AK41" s="301">
        <f t="shared" si="55"/>
        <v>0</v>
      </c>
      <c r="AL41" s="301">
        <f t="shared" si="55"/>
        <v>0</v>
      </c>
      <c r="AM41" s="264" t="s">
        <v>68</v>
      </c>
      <c r="AN41" s="264">
        <f t="shared" si="56"/>
        <v>0</v>
      </c>
      <c r="AO41" s="297">
        <f t="shared" si="56"/>
        <v>1</v>
      </c>
      <c r="AP41" s="301">
        <f t="shared" si="56"/>
        <v>0</v>
      </c>
      <c r="AQ41" s="265">
        <f t="shared" si="56"/>
        <v>0</v>
      </c>
      <c r="AR41" s="284">
        <f t="shared" si="56"/>
        <v>0</v>
      </c>
      <c r="AS41" s="234">
        <f t="shared" si="65"/>
        <v>0</v>
      </c>
      <c r="AT41" s="266">
        <f t="shared" si="58"/>
        <v>0</v>
      </c>
      <c r="AU41" s="266">
        <f t="shared" si="58"/>
        <v>0</v>
      </c>
      <c r="AV41" s="266" t="str">
        <f t="shared" si="59"/>
        <v>0</v>
      </c>
      <c r="AW41" s="260">
        <f t="shared" si="66"/>
        <v>0</v>
      </c>
      <c r="AX41" s="301">
        <f t="shared" si="67"/>
        <v>0</v>
      </c>
      <c r="AY41" s="285" t="str">
        <f t="shared" si="60"/>
        <v>0</v>
      </c>
      <c r="AZ41" s="285">
        <f t="shared" si="68"/>
        <v>0</v>
      </c>
      <c r="BA41" s="323" t="str">
        <f t="shared" si="61"/>
        <v>0.00</v>
      </c>
      <c r="BB41" s="305" t="str">
        <f t="shared" si="62"/>
        <v>0.00%</v>
      </c>
      <c r="BC41" s="305">
        <f t="shared" si="63"/>
        <v>0</v>
      </c>
      <c r="BD41" s="268" t="str">
        <f t="shared" si="64"/>
        <v>0.00%</v>
      </c>
      <c r="BE41" s="84" t="s">
        <v>231</v>
      </c>
      <c r="BH41" s="111" t="s">
        <v>474</v>
      </c>
      <c r="BI41" s="295">
        <f>H20/$H$24</f>
        <v>0</v>
      </c>
      <c r="BJ41" s="247">
        <f>BI41*$C$26</f>
        <v>0</v>
      </c>
      <c r="BK41" s="310" t="s">
        <v>68</v>
      </c>
      <c r="BN41" s="431"/>
    </row>
    <row r="42" spans="1:66" ht="22.5" x14ac:dyDescent="0.2">
      <c r="A42" s="336"/>
      <c r="B42" s="577" t="s">
        <v>31</v>
      </c>
      <c r="C42" s="578"/>
      <c r="D42" s="578"/>
      <c r="E42" s="578"/>
      <c r="F42" s="578"/>
      <c r="G42" s="578"/>
      <c r="H42" s="578"/>
      <c r="I42" s="578"/>
      <c r="J42" s="578"/>
      <c r="K42" s="578"/>
      <c r="L42" s="579"/>
      <c r="AE42" s="198" t="s">
        <v>232</v>
      </c>
      <c r="AF42" s="233">
        <f t="shared" si="53"/>
        <v>0</v>
      </c>
      <c r="AG42" s="233">
        <f t="shared" si="53"/>
        <v>0</v>
      </c>
      <c r="AH42" s="289">
        <f t="shared" si="54"/>
        <v>0</v>
      </c>
      <c r="AI42" s="233">
        <f t="shared" si="55"/>
        <v>0</v>
      </c>
      <c r="AJ42" s="233">
        <f t="shared" si="55"/>
        <v>0</v>
      </c>
      <c r="AK42" s="233">
        <f t="shared" si="55"/>
        <v>0</v>
      </c>
      <c r="AL42" s="233">
        <f t="shared" si="55"/>
        <v>0</v>
      </c>
      <c r="AM42" s="269" t="s">
        <v>68</v>
      </c>
      <c r="AN42" s="269">
        <f t="shared" si="56"/>
        <v>0</v>
      </c>
      <c r="AO42" s="298">
        <f t="shared" si="56"/>
        <v>1</v>
      </c>
      <c r="AP42" s="233">
        <f t="shared" si="56"/>
        <v>0</v>
      </c>
      <c r="AQ42" s="265">
        <f t="shared" si="56"/>
        <v>0</v>
      </c>
      <c r="AR42" s="304">
        <f t="shared" si="56"/>
        <v>0</v>
      </c>
      <c r="AS42" s="302">
        <f t="shared" si="65"/>
        <v>0</v>
      </c>
      <c r="AT42" s="270">
        <f t="shared" si="58"/>
        <v>0</v>
      </c>
      <c r="AU42" s="270">
        <f t="shared" si="58"/>
        <v>0</v>
      </c>
      <c r="AV42" s="270" t="str">
        <f t="shared" si="59"/>
        <v>0</v>
      </c>
      <c r="AW42" s="261">
        <f t="shared" si="66"/>
        <v>0</v>
      </c>
      <c r="AX42" s="233">
        <f t="shared" si="67"/>
        <v>0</v>
      </c>
      <c r="AY42" s="283" t="str">
        <f t="shared" si="60"/>
        <v>0</v>
      </c>
      <c r="AZ42" s="283">
        <f t="shared" si="68"/>
        <v>0</v>
      </c>
      <c r="BA42" s="324" t="str">
        <f t="shared" si="61"/>
        <v>0.00</v>
      </c>
      <c r="BB42" s="306" t="str">
        <f t="shared" si="62"/>
        <v>0.00%</v>
      </c>
      <c r="BC42" s="306">
        <f t="shared" si="63"/>
        <v>0</v>
      </c>
      <c r="BD42" s="271" t="str">
        <f t="shared" si="64"/>
        <v>0.00%</v>
      </c>
      <c r="BE42" s="84" t="s">
        <v>232</v>
      </c>
      <c r="BH42" s="105" t="s">
        <v>15</v>
      </c>
      <c r="BI42" s="294">
        <f>H21/$H$24</f>
        <v>0</v>
      </c>
      <c r="BJ42" s="250">
        <f>BI42*$C$26</f>
        <v>0</v>
      </c>
      <c r="BK42" s="310" t="s">
        <v>68</v>
      </c>
    </row>
    <row r="43" spans="1:66" ht="22.5" x14ac:dyDescent="0.2">
      <c r="A43" s="336"/>
      <c r="B43" s="119" t="s">
        <v>32</v>
      </c>
      <c r="C43" s="116" t="s">
        <v>33</v>
      </c>
      <c r="D43" s="116" t="s">
        <v>34</v>
      </c>
      <c r="E43" s="116" t="s">
        <v>292</v>
      </c>
      <c r="F43" s="116" t="s">
        <v>238</v>
      </c>
      <c r="G43" s="116" t="s">
        <v>239</v>
      </c>
      <c r="H43" s="116" t="s">
        <v>240</v>
      </c>
      <c r="I43" s="593" t="s">
        <v>293</v>
      </c>
      <c r="J43" s="593"/>
      <c r="K43" s="116" t="s">
        <v>35</v>
      </c>
      <c r="L43" s="117" t="s">
        <v>36</v>
      </c>
      <c r="AE43" s="225" t="s">
        <v>359</v>
      </c>
      <c r="AF43" s="301">
        <f t="shared" si="53"/>
        <v>0</v>
      </c>
      <c r="AG43" s="301">
        <f t="shared" si="53"/>
        <v>0</v>
      </c>
      <c r="AH43" s="288">
        <f t="shared" si="54"/>
        <v>0</v>
      </c>
      <c r="AI43" s="301">
        <f t="shared" si="55"/>
        <v>0</v>
      </c>
      <c r="AJ43" s="301">
        <f t="shared" si="55"/>
        <v>0</v>
      </c>
      <c r="AK43" s="301">
        <f t="shared" si="55"/>
        <v>0</v>
      </c>
      <c r="AL43" s="301">
        <f t="shared" si="55"/>
        <v>0</v>
      </c>
      <c r="AM43" s="264" t="s">
        <v>68</v>
      </c>
      <c r="AN43" s="264">
        <f t="shared" si="56"/>
        <v>0</v>
      </c>
      <c r="AO43" s="297">
        <f t="shared" si="56"/>
        <v>1</v>
      </c>
      <c r="AP43" s="301">
        <f t="shared" si="56"/>
        <v>0</v>
      </c>
      <c r="AQ43" s="265">
        <f t="shared" si="56"/>
        <v>0</v>
      </c>
      <c r="AR43" s="284">
        <f t="shared" si="56"/>
        <v>0</v>
      </c>
      <c r="AS43" s="234">
        <f t="shared" si="65"/>
        <v>0</v>
      </c>
      <c r="AT43" s="266">
        <f t="shared" si="58"/>
        <v>0</v>
      </c>
      <c r="AU43" s="266">
        <f t="shared" si="58"/>
        <v>0</v>
      </c>
      <c r="AV43" s="266" t="str">
        <f t="shared" si="59"/>
        <v>0</v>
      </c>
      <c r="AW43" s="260">
        <f t="shared" si="66"/>
        <v>0</v>
      </c>
      <c r="AX43" s="301">
        <f t="shared" si="67"/>
        <v>0</v>
      </c>
      <c r="AY43" s="285" t="str">
        <f t="shared" si="60"/>
        <v>0</v>
      </c>
      <c r="AZ43" s="285">
        <f t="shared" si="68"/>
        <v>0</v>
      </c>
      <c r="BA43" s="323" t="str">
        <f t="shared" si="61"/>
        <v>0.00</v>
      </c>
      <c r="BB43" s="305" t="str">
        <f t="shared" si="62"/>
        <v>0.00%</v>
      </c>
      <c r="BC43" s="305">
        <f t="shared" si="63"/>
        <v>0</v>
      </c>
      <c r="BD43" s="268" t="str">
        <f t="shared" si="64"/>
        <v>0.00%</v>
      </c>
      <c r="BE43" s="84" t="s">
        <v>233</v>
      </c>
      <c r="BH43" s="111" t="s">
        <v>17</v>
      </c>
      <c r="BI43" s="295">
        <f>H22/$H$24</f>
        <v>4.1403052666719016E-2</v>
      </c>
      <c r="BJ43" s="247">
        <f>BI43*$C$26</f>
        <v>11163828.702839756</v>
      </c>
      <c r="BK43" s="310" t="s">
        <v>68</v>
      </c>
    </row>
    <row r="44" spans="1:66" ht="22.5" x14ac:dyDescent="0.2">
      <c r="A44" s="336"/>
      <c r="B44" s="7">
        <v>1</v>
      </c>
      <c r="C44" s="118">
        <v>16900</v>
      </c>
      <c r="D44" s="200">
        <v>20000</v>
      </c>
      <c r="E44" s="120">
        <f>D44*C44</f>
        <v>338000000</v>
      </c>
      <c r="F44" s="120">
        <f>(E44*$F$50)*$F$51</f>
        <v>0</v>
      </c>
      <c r="G44" s="120">
        <f>(E44*$G$50)*$G$51</f>
        <v>8450000</v>
      </c>
      <c r="H44" s="120">
        <f>(G44*$H$50)*$H$51</f>
        <v>1267500</v>
      </c>
      <c r="I44" s="590">
        <f>SUM(E44:H44)</f>
        <v>347717500</v>
      </c>
      <c r="J44" s="590"/>
      <c r="K44" s="20">
        <v>3.4</v>
      </c>
      <c r="L44" s="104">
        <f>K44*C44</f>
        <v>57460</v>
      </c>
      <c r="AE44" s="198" t="s">
        <v>364</v>
      </c>
      <c r="AF44" s="233">
        <f t="shared" si="53"/>
        <v>50833393.73464375</v>
      </c>
      <c r="AG44" s="233">
        <f t="shared" si="53"/>
        <v>19306560</v>
      </c>
      <c r="AH44" s="289">
        <f t="shared" si="54"/>
        <v>0</v>
      </c>
      <c r="AI44" s="233">
        <f t="shared" si="55"/>
        <v>0</v>
      </c>
      <c r="AJ44" s="233">
        <f t="shared" si="55"/>
        <v>26336267.423380684</v>
      </c>
      <c r="AK44" s="233">
        <f t="shared" si="55"/>
        <v>2666547.076617294</v>
      </c>
      <c r="AL44" s="233">
        <f t="shared" si="55"/>
        <v>0</v>
      </c>
      <c r="AM44" s="269" t="s">
        <v>68</v>
      </c>
      <c r="AN44" s="269">
        <f t="shared" si="56"/>
        <v>0.15465338678440527</v>
      </c>
      <c r="AO44" s="298">
        <f t="shared" si="56"/>
        <v>1</v>
      </c>
      <c r="AP44" s="233">
        <f t="shared" si="56"/>
        <v>5731009.8596241288</v>
      </c>
      <c r="AQ44" s="265">
        <f t="shared" si="56"/>
        <v>1396119.8384018964</v>
      </c>
      <c r="AR44" s="304">
        <f t="shared" si="56"/>
        <v>2224540.5237865769</v>
      </c>
      <c r="AS44" s="302">
        <f t="shared" si="65"/>
        <v>7505126.7575702034</v>
      </c>
      <c r="AT44" s="270">
        <f t="shared" si="58"/>
        <v>697449.48000000021</v>
      </c>
      <c r="AU44" s="270">
        <f t="shared" si="58"/>
        <v>116697014.69402456</v>
      </c>
      <c r="AV44" s="270">
        <f t="shared" si="59"/>
        <v>16964.606026848716</v>
      </c>
      <c r="AW44" s="261">
        <f>SUM(AW8,AW26)</f>
        <v>0.15207711310522032</v>
      </c>
      <c r="AX44" s="233">
        <f>SUM(AX26,AX8)</f>
        <v>179593241.10000002</v>
      </c>
      <c r="AY44" s="283">
        <f t="shared" si="60"/>
        <v>9198.3939731512837</v>
      </c>
      <c r="AZ44" s="283">
        <f t="shared" si="68"/>
        <v>62896226.405975461</v>
      </c>
      <c r="BA44" s="324">
        <f t="shared" si="61"/>
        <v>3.5653680527366891</v>
      </c>
      <c r="BB44" s="306">
        <f t="shared" si="62"/>
        <v>0.35021488570916742</v>
      </c>
      <c r="BC44" s="306">
        <f t="shared" si="63"/>
        <v>0.23326188924433053</v>
      </c>
      <c r="BD44" s="271">
        <f t="shared" si="64"/>
        <v>0.54221088061777656</v>
      </c>
      <c r="BE44" s="84" t="s">
        <v>320</v>
      </c>
      <c r="BH44" s="105" t="s">
        <v>475</v>
      </c>
      <c r="BI44" s="294">
        <f>H23/$H$24</f>
        <v>0.81408484472022358</v>
      </c>
      <c r="BJ44" s="250">
        <f>BI44*$C$26</f>
        <v>219508059.68807036</v>
      </c>
      <c r="BK44" s="310" t="s">
        <v>68</v>
      </c>
    </row>
    <row r="45" spans="1:66" ht="12" thickBot="1" x14ac:dyDescent="0.25">
      <c r="A45" s="336"/>
      <c r="B45" s="8">
        <v>2</v>
      </c>
      <c r="C45" s="26"/>
      <c r="D45" s="201"/>
      <c r="E45" s="121">
        <f>D45*C45</f>
        <v>0</v>
      </c>
      <c r="F45" s="121">
        <f>(E45*$F$50)*$F$51</f>
        <v>0</v>
      </c>
      <c r="G45" s="121">
        <f>(E45*$G$50)*$G$51</f>
        <v>0</v>
      </c>
      <c r="H45" s="121">
        <f>(G45*$H$50)*$H$51</f>
        <v>0</v>
      </c>
      <c r="I45" s="599">
        <f>SUM(E45:H45)</f>
        <v>0</v>
      </c>
      <c r="J45" s="599"/>
      <c r="K45" s="241"/>
      <c r="L45" s="122">
        <f>K45*C45</f>
        <v>0</v>
      </c>
      <c r="AE45" s="225" t="s">
        <v>234</v>
      </c>
      <c r="AF45" s="301">
        <f t="shared" si="53"/>
        <v>36309566.953316957</v>
      </c>
      <c r="AG45" s="301">
        <f t="shared" si="53"/>
        <v>13790400</v>
      </c>
      <c r="AH45" s="288">
        <f t="shared" si="54"/>
        <v>0.4</v>
      </c>
      <c r="AI45" s="301">
        <f t="shared" si="55"/>
        <v>2704000</v>
      </c>
      <c r="AJ45" s="301">
        <f t="shared" si="55"/>
        <v>10450899.771182809</v>
      </c>
      <c r="AK45" s="301">
        <f t="shared" si="55"/>
        <v>1058153.6018322594</v>
      </c>
      <c r="AL45" s="301">
        <f t="shared" si="55"/>
        <v>0</v>
      </c>
      <c r="AM45" s="264" t="s">
        <v>68</v>
      </c>
      <c r="AN45" s="264">
        <f t="shared" si="56"/>
        <v>0.10032225896822962</v>
      </c>
      <c r="AO45" s="297">
        <f t="shared" si="56"/>
        <v>1</v>
      </c>
      <c r="AP45" s="301">
        <f t="shared" si="56"/>
        <v>4040531.1018939624</v>
      </c>
      <c r="AQ45" s="265">
        <f t="shared" si="56"/>
        <v>905650.35800324986</v>
      </c>
      <c r="AR45" s="284">
        <f t="shared" si="56"/>
        <v>1443039.3912790301</v>
      </c>
      <c r="AS45" s="234">
        <f t="shared" si="65"/>
        <v>4868508.1252825856</v>
      </c>
      <c r="AT45" s="266">
        <f t="shared" si="58"/>
        <v>498178.2</v>
      </c>
      <c r="AU45" s="266">
        <f t="shared" si="58"/>
        <v>76068927.502790824</v>
      </c>
      <c r="AV45" s="266">
        <f t="shared" si="59"/>
        <v>15472.80958677972</v>
      </c>
      <c r="AW45" s="260">
        <f t="shared" si="66"/>
        <v>9.9074348838829068E-2</v>
      </c>
      <c r="AX45" s="301">
        <f t="shared" si="67"/>
        <v>128280886.5</v>
      </c>
      <c r="AY45" s="285">
        <f t="shared" si="60"/>
        <v>10690.190413220282</v>
      </c>
      <c r="AZ45" s="285">
        <f t="shared" si="68"/>
        <v>52211958.997209176</v>
      </c>
      <c r="BA45" s="323">
        <f t="shared" si="61"/>
        <v>6.9735678901359055</v>
      </c>
      <c r="BB45" s="305">
        <f t="shared" si="62"/>
        <v>0.40701277034914451</v>
      </c>
      <c r="BC45" s="305">
        <f t="shared" si="63"/>
        <v>0.19363737528901195</v>
      </c>
      <c r="BD45" s="268">
        <f t="shared" si="64"/>
        <v>0.6909016977985819</v>
      </c>
      <c r="BE45" s="84" t="s">
        <v>234</v>
      </c>
      <c r="BH45" s="296" t="s">
        <v>68</v>
      </c>
      <c r="BI45" s="196" t="b">
        <f>SUM(BI40:BI44)=100%</f>
        <v>1</v>
      </c>
      <c r="BJ45" s="196" t="b">
        <f>SUM(BJ40:BJ44)=C26</f>
        <v>1</v>
      </c>
      <c r="BK45" s="311" t="s">
        <v>68</v>
      </c>
    </row>
    <row r="46" spans="1:66" x14ac:dyDescent="0.2">
      <c r="A46" s="336"/>
      <c r="B46" s="7">
        <v>3</v>
      </c>
      <c r="C46" s="118"/>
      <c r="D46" s="200"/>
      <c r="E46" s="120">
        <f>D46*C46</f>
        <v>0</v>
      </c>
      <c r="F46" s="120">
        <f>(E46*$F$50)*$F$51</f>
        <v>0</v>
      </c>
      <c r="G46" s="120">
        <f>(E46*$G$50)*$G$51</f>
        <v>0</v>
      </c>
      <c r="H46" s="120">
        <f>(G46*$H$50)*$H$51</f>
        <v>0</v>
      </c>
      <c r="I46" s="590">
        <f>SUM(E46:H46)</f>
        <v>0</v>
      </c>
      <c r="J46" s="590"/>
      <c r="K46" s="20"/>
      <c r="L46" s="104">
        <f>K46*C46</f>
        <v>0</v>
      </c>
      <c r="AE46" s="198" t="s">
        <v>360</v>
      </c>
      <c r="AF46" s="233">
        <f t="shared" si="53"/>
        <v>49979050.982800983</v>
      </c>
      <c r="AG46" s="233">
        <f t="shared" si="53"/>
        <v>72399600</v>
      </c>
      <c r="AH46" s="289">
        <f t="shared" si="54"/>
        <v>0.6</v>
      </c>
      <c r="AI46" s="233">
        <f t="shared" si="55"/>
        <v>4056000</v>
      </c>
      <c r="AJ46" s="233">
        <f t="shared" si="55"/>
        <v>9629010.2516989093</v>
      </c>
      <c r="AK46" s="233">
        <f t="shared" si="55"/>
        <v>974937.28798451449</v>
      </c>
      <c r="AL46" s="233">
        <f t="shared" si="55"/>
        <v>0</v>
      </c>
      <c r="AM46" s="269" t="s">
        <v>68</v>
      </c>
      <c r="AN46" s="269">
        <f t="shared" si="56"/>
        <v>0.21376731608223715</v>
      </c>
      <c r="AO46" s="298">
        <f t="shared" si="56"/>
        <v>1</v>
      </c>
      <c r="AP46" s="233">
        <f t="shared" si="56"/>
        <v>10140898.648617636</v>
      </c>
      <c r="AQ46" s="265">
        <f t="shared" si="56"/>
        <v>12272565.624167662</v>
      </c>
      <c r="AR46" s="304">
        <f t="shared" si="56"/>
        <v>3074837.6423654081</v>
      </c>
      <c r="AS46" s="302">
        <f t="shared" si="65"/>
        <v>10373848.495534807</v>
      </c>
      <c r="AT46" s="270">
        <f t="shared" si="58"/>
        <v>9581250</v>
      </c>
      <c r="AU46" s="270">
        <f t="shared" si="58"/>
        <v>182481998.9331699</v>
      </c>
      <c r="AV46" s="270">
        <f t="shared" si="59"/>
        <v>25718.485536303204</v>
      </c>
      <c r="AW46" s="261">
        <f t="shared" si="66"/>
        <v>0.22667539057558433</v>
      </c>
      <c r="AX46" s="233">
        <f t="shared" si="67"/>
        <v>376486764.70588231</v>
      </c>
      <c r="AY46" s="283">
        <f t="shared" si="60"/>
        <v>28857.646906017479</v>
      </c>
      <c r="AZ46" s="283">
        <f t="shared" si="68"/>
        <v>194004765.77271241</v>
      </c>
      <c r="BA46" s="324">
        <f t="shared" si="61"/>
        <v>4.9500678458076823</v>
      </c>
      <c r="BB46" s="306">
        <f t="shared" si="62"/>
        <v>0.51530301715724891</v>
      </c>
      <c r="BC46" s="306">
        <f t="shared" si="63"/>
        <v>0.71950132420420332</v>
      </c>
      <c r="BD46" s="271">
        <f t="shared" si="64"/>
        <v>1.1220585623240977</v>
      </c>
      <c r="BE46" s="84" t="s">
        <v>235</v>
      </c>
    </row>
    <row r="47" spans="1:66" x14ac:dyDescent="0.2">
      <c r="A47" s="336"/>
      <c r="B47" s="8">
        <v>4</v>
      </c>
      <c r="C47" s="26"/>
      <c r="D47" s="201"/>
      <c r="E47" s="121">
        <f>D47*C47</f>
        <v>0</v>
      </c>
      <c r="F47" s="121">
        <f>(E47*$F$50)*$F$51</f>
        <v>0</v>
      </c>
      <c r="G47" s="121">
        <f>(E47*$G$50)*$G$51</f>
        <v>0</v>
      </c>
      <c r="H47" s="121">
        <f>(G47*$H$50)*$H$51</f>
        <v>0</v>
      </c>
      <c r="I47" s="599">
        <f>SUM(E47:H47)</f>
        <v>0</v>
      </c>
      <c r="J47" s="599"/>
      <c r="K47" s="241"/>
      <c r="L47" s="122">
        <f>K47*C47</f>
        <v>0</v>
      </c>
      <c r="AE47" s="225" t="s">
        <v>361</v>
      </c>
      <c r="AF47" s="301">
        <f t="shared" si="53"/>
        <v>0</v>
      </c>
      <c r="AG47" s="301">
        <f t="shared" si="53"/>
        <v>0</v>
      </c>
      <c r="AH47" s="288">
        <f t="shared" si="54"/>
        <v>0</v>
      </c>
      <c r="AI47" s="301">
        <f t="shared" si="55"/>
        <v>0</v>
      </c>
      <c r="AJ47" s="301">
        <f t="shared" si="55"/>
        <v>0</v>
      </c>
      <c r="AK47" s="301">
        <f t="shared" si="55"/>
        <v>0</v>
      </c>
      <c r="AL47" s="301">
        <f t="shared" si="55"/>
        <v>0</v>
      </c>
      <c r="AM47" s="264" t="s">
        <v>68</v>
      </c>
      <c r="AN47" s="264">
        <f t="shared" si="56"/>
        <v>0</v>
      </c>
      <c r="AO47" s="297">
        <f t="shared" si="56"/>
        <v>1</v>
      </c>
      <c r="AP47" s="301">
        <f t="shared" si="56"/>
        <v>0</v>
      </c>
      <c r="AQ47" s="265">
        <f t="shared" si="56"/>
        <v>0</v>
      </c>
      <c r="AR47" s="284">
        <f t="shared" si="56"/>
        <v>0</v>
      </c>
      <c r="AS47" s="234">
        <f t="shared" si="65"/>
        <v>0</v>
      </c>
      <c r="AT47" s="266">
        <f t="shared" si="58"/>
        <v>0</v>
      </c>
      <c r="AU47" s="266">
        <f t="shared" si="58"/>
        <v>0</v>
      </c>
      <c r="AV47" s="266" t="str">
        <f t="shared" si="59"/>
        <v>0</v>
      </c>
      <c r="AW47" s="260">
        <f t="shared" si="66"/>
        <v>0</v>
      </c>
      <c r="AX47" s="301">
        <f t="shared" si="67"/>
        <v>0</v>
      </c>
      <c r="AY47" s="285" t="str">
        <f t="shared" si="60"/>
        <v>0</v>
      </c>
      <c r="AZ47" s="285">
        <f t="shared" si="68"/>
        <v>0</v>
      </c>
      <c r="BA47" s="323" t="str">
        <f t="shared" si="61"/>
        <v>0.00</v>
      </c>
      <c r="BB47" s="305" t="str">
        <f t="shared" si="62"/>
        <v>0.00%</v>
      </c>
      <c r="BC47" s="305">
        <f t="shared" si="63"/>
        <v>0</v>
      </c>
      <c r="BD47" s="268" t="str">
        <f t="shared" si="64"/>
        <v>0.00%</v>
      </c>
      <c r="BE47" s="84" t="s">
        <v>236</v>
      </c>
    </row>
    <row r="48" spans="1:66" ht="18" x14ac:dyDescent="0.2">
      <c r="A48" s="336"/>
      <c r="B48" s="7">
        <v>5</v>
      </c>
      <c r="C48" s="118"/>
      <c r="D48" s="200"/>
      <c r="E48" s="120">
        <f>D48*C48</f>
        <v>0</v>
      </c>
      <c r="F48" s="120">
        <f>(E48*$F$50)*$F$51</f>
        <v>0</v>
      </c>
      <c r="G48" s="120">
        <f>(E48*$G$50)*$G$51</f>
        <v>0</v>
      </c>
      <c r="H48" s="120">
        <f>(G48*$H$50)*$H$51</f>
        <v>0</v>
      </c>
      <c r="I48" s="590">
        <f>SUM(E48:H48)</f>
        <v>0</v>
      </c>
      <c r="J48" s="590"/>
      <c r="K48" s="20"/>
      <c r="L48" s="104">
        <f>K48*C48</f>
        <v>0</v>
      </c>
      <c r="AE48" s="198" t="s">
        <v>517</v>
      </c>
      <c r="AF48" s="233">
        <f t="shared" si="53"/>
        <v>0</v>
      </c>
      <c r="AG48" s="233">
        <f t="shared" si="53"/>
        <v>0</v>
      </c>
      <c r="AH48" s="289">
        <f t="shared" si="54"/>
        <v>0</v>
      </c>
      <c r="AI48" s="233">
        <f t="shared" si="55"/>
        <v>0</v>
      </c>
      <c r="AJ48" s="233">
        <f t="shared" si="55"/>
        <v>0</v>
      </c>
      <c r="AK48" s="233">
        <f t="shared" si="55"/>
        <v>0</v>
      </c>
      <c r="AL48" s="233">
        <f t="shared" si="55"/>
        <v>0</v>
      </c>
      <c r="AM48" s="269" t="s">
        <v>68</v>
      </c>
      <c r="AN48" s="269">
        <f t="shared" si="56"/>
        <v>0</v>
      </c>
      <c r="AO48" s="298">
        <f t="shared" si="56"/>
        <v>1</v>
      </c>
      <c r="AP48" s="233">
        <f t="shared" si="56"/>
        <v>26901.622800000001</v>
      </c>
      <c r="AQ48" s="265">
        <f t="shared" si="56"/>
        <v>0</v>
      </c>
      <c r="AR48" s="304">
        <f t="shared" si="56"/>
        <v>0</v>
      </c>
      <c r="AS48" s="302">
        <f t="shared" si="65"/>
        <v>0</v>
      </c>
      <c r="AT48" s="270">
        <f t="shared" si="58"/>
        <v>0</v>
      </c>
      <c r="AU48" s="270">
        <f t="shared" si="58"/>
        <v>26901.622800000001</v>
      </c>
      <c r="AV48" s="270" t="str">
        <f t="shared" si="59"/>
        <v>0</v>
      </c>
      <c r="AW48" s="261">
        <f t="shared" si="66"/>
        <v>3.5268417823129477E-5</v>
      </c>
      <c r="AX48" s="233">
        <f t="shared" si="67"/>
        <v>27414034.662857141</v>
      </c>
      <c r="AY48" s="283" t="str">
        <f t="shared" si="60"/>
        <v>0</v>
      </c>
      <c r="AZ48" s="283">
        <f t="shared" si="68"/>
        <v>27387133.040057141</v>
      </c>
      <c r="BA48" s="324">
        <f t="shared" si="61"/>
        <v>28865701.437277697</v>
      </c>
      <c r="BB48" s="306">
        <f t="shared" si="62"/>
        <v>0.99901869158878509</v>
      </c>
      <c r="BC48" s="306">
        <f t="shared" si="63"/>
        <v>0.10157007437416986</v>
      </c>
      <c r="BD48" s="271">
        <f t="shared" si="64"/>
        <v>1018.0476190476189</v>
      </c>
      <c r="BE48" s="84" t="s">
        <v>237</v>
      </c>
    </row>
    <row r="49" spans="1:62" ht="23.25" thickBot="1" x14ac:dyDescent="0.25">
      <c r="B49" s="9" t="s">
        <v>37</v>
      </c>
      <c r="C49" s="10">
        <f>SUM(C44:C48)</f>
        <v>16900</v>
      </c>
      <c r="D49" s="11">
        <f>E49/C49</f>
        <v>20000</v>
      </c>
      <c r="E49" s="11">
        <f>SUM(E44:E48)</f>
        <v>338000000</v>
      </c>
      <c r="F49" s="11">
        <f>SUM(F44:F48)</f>
        <v>0</v>
      </c>
      <c r="G49" s="11">
        <f>SUM(G44:G48)</f>
        <v>8450000</v>
      </c>
      <c r="H49" s="11">
        <f>SUM(H44:H48)</f>
        <v>1267500</v>
      </c>
      <c r="I49" s="589">
        <f>SUM(I44:I48)</f>
        <v>347717500</v>
      </c>
      <c r="J49" s="589"/>
      <c r="K49" s="12">
        <f>L49/C49</f>
        <v>3.4</v>
      </c>
      <c r="L49" s="13">
        <f>SUM(L44:L48)</f>
        <v>57460</v>
      </c>
      <c r="AE49" s="199" t="s">
        <v>362</v>
      </c>
      <c r="AF49" s="237">
        <f t="shared" ref="AF49:AL49" si="69">SUM(AF39:AF48)</f>
        <v>347717500</v>
      </c>
      <c r="AG49" s="237">
        <f t="shared" si="69"/>
        <v>212142320</v>
      </c>
      <c r="AH49" s="287">
        <f t="shared" si="69"/>
        <v>1</v>
      </c>
      <c r="AI49" s="237">
        <f t="shared" si="69"/>
        <v>6760000</v>
      </c>
      <c r="AJ49" s="237">
        <f t="shared" si="69"/>
        <v>67600000</v>
      </c>
      <c r="AK49" s="237">
        <f t="shared" si="69"/>
        <v>6844500</v>
      </c>
      <c r="AL49" s="237">
        <f t="shared" si="69"/>
        <v>0</v>
      </c>
      <c r="AM49" s="282" t="s">
        <v>68</v>
      </c>
      <c r="AN49" s="287">
        <f>SUM(AN39:AN48)</f>
        <v>1.000000001559906</v>
      </c>
      <c r="AO49" s="237" t="s">
        <v>68</v>
      </c>
      <c r="AP49" s="585">
        <f>SUM(AP39:AQ48)</f>
        <v>61847660.224819101</v>
      </c>
      <c r="AQ49" s="586"/>
      <c r="AR49" s="299">
        <f>SUM(AR39:AR48)</f>
        <v>11327391.108884085</v>
      </c>
      <c r="AS49" s="299">
        <f>SUM(AS39:AS48)</f>
        <v>48528693.26256673</v>
      </c>
      <c r="AT49" s="273">
        <f>SUM(AT39:AT48)</f>
        <v>10776877.68</v>
      </c>
      <c r="AU49" s="273">
        <f>SUM(AU39:AU48)</f>
        <v>773544942.27626979</v>
      </c>
      <c r="AV49" s="274">
        <f>AU49/F76</f>
        <v>16538.477408411232</v>
      </c>
      <c r="AW49" s="275">
        <f>SUM(AW39:AW48)</f>
        <v>1.0000000001606244</v>
      </c>
      <c r="AX49" s="237">
        <f>SUM(AX39:AX48)</f>
        <v>1043182758.2999395</v>
      </c>
      <c r="AY49" s="276">
        <f>AZ49/F76</f>
        <v>5764.8866730850368</v>
      </c>
      <c r="AZ49" s="277">
        <f>SUM(AZ39:AZ48)</f>
        <v>269637816.02366948</v>
      </c>
      <c r="BA49" s="277" t="s">
        <v>68</v>
      </c>
      <c r="BB49" s="307">
        <f t="shared" si="62"/>
        <v>0.25847610486114103</v>
      </c>
      <c r="BC49" s="307" t="s">
        <v>68</v>
      </c>
      <c r="BD49" s="278">
        <f>IFERROR(AZ49/AU49, "0.00%")</f>
        <v>0.34857420853948129</v>
      </c>
    </row>
    <row r="50" spans="1:62" x14ac:dyDescent="0.2">
      <c r="A50" s="336"/>
      <c r="B50" s="336"/>
      <c r="C50" s="336"/>
      <c r="D50" s="336"/>
      <c r="E50" s="336"/>
      <c r="F50" s="14">
        <v>0.05</v>
      </c>
      <c r="G50" s="15">
        <v>2.5000000000000001E-2</v>
      </c>
      <c r="H50" s="16">
        <v>0.15</v>
      </c>
      <c r="I50" s="336"/>
      <c r="J50" s="336"/>
      <c r="L50" s="336"/>
      <c r="U50" s="223"/>
      <c r="AE50" s="84"/>
      <c r="AF50" s="84" t="b">
        <f>AF49=I49</f>
        <v>1</v>
      </c>
      <c r="AG50" s="84" t="b">
        <f>AG49=SUM(J61:J71)</f>
        <v>1</v>
      </c>
      <c r="AH50" s="84" t="b">
        <f>AH49=100%</f>
        <v>1</v>
      </c>
      <c r="AI50" s="84" t="b">
        <f>AI49=J73</f>
        <v>1</v>
      </c>
      <c r="AJ50" s="84" t="b">
        <f>AJ49=SUM(J74:J75)</f>
        <v>1</v>
      </c>
      <c r="AK50" s="84" t="b">
        <f>AK49=C87</f>
        <v>1</v>
      </c>
      <c r="AL50" s="84" t="b">
        <f>AL49=J71</f>
        <v>1</v>
      </c>
      <c r="AM50" s="84" t="b">
        <f>AM49=AM49</f>
        <v>1</v>
      </c>
      <c r="AN50" s="84" t="b">
        <f>AN49=100%</f>
        <v>0</v>
      </c>
      <c r="AO50" s="84" t="b">
        <f>AO49=AO49</f>
        <v>1</v>
      </c>
      <c r="AP50" s="584" t="b">
        <f>AP49=C102-C87</f>
        <v>0</v>
      </c>
      <c r="AQ50" s="584"/>
      <c r="AR50" s="84" t="b">
        <f>AR49=C119</f>
        <v>1</v>
      </c>
      <c r="AS50" s="84" t="b">
        <f>AS49=C107</f>
        <v>0</v>
      </c>
      <c r="AT50" s="84" t="b">
        <f>AT49=C25</f>
        <v>1</v>
      </c>
      <c r="AU50" s="84" t="b">
        <f>AU49=C24+C25</f>
        <v>0</v>
      </c>
      <c r="AV50" s="84" t="b">
        <f>AV49=AV49</f>
        <v>1</v>
      </c>
      <c r="AW50" s="84" t="b">
        <f>AW49=100%</f>
        <v>0</v>
      </c>
      <c r="AX50" s="84" t="b">
        <f>AX49=C17</f>
        <v>1</v>
      </c>
      <c r="AY50" s="84" t="b">
        <f>AY49=AY49</f>
        <v>1</v>
      </c>
      <c r="AZ50" s="84" t="b">
        <f>AZ49=C26</f>
        <v>0</v>
      </c>
      <c r="BA50" s="84" t="b">
        <f>BA49=BA49</f>
        <v>1</v>
      </c>
      <c r="BB50" s="84" t="b">
        <f>BB49=BB49</f>
        <v>1</v>
      </c>
      <c r="BC50" s="84" t="b">
        <f>BC49=BC49</f>
        <v>1</v>
      </c>
      <c r="BD50" s="84" t="b">
        <f>BD49=BD49</f>
        <v>1</v>
      </c>
      <c r="BE50" s="336"/>
    </row>
    <row r="51" spans="1:62" ht="12" thickBot="1" x14ac:dyDescent="0.25">
      <c r="A51" s="336"/>
      <c r="B51" s="336"/>
      <c r="C51" s="336"/>
      <c r="D51" s="336"/>
      <c r="E51" s="336"/>
      <c r="F51" s="17">
        <v>0</v>
      </c>
      <c r="G51" s="18">
        <v>1</v>
      </c>
      <c r="H51" s="19">
        <v>1</v>
      </c>
      <c r="I51" s="336"/>
      <c r="J51" s="336"/>
      <c r="K51" s="336"/>
      <c r="L51" s="336"/>
      <c r="U51" s="223"/>
      <c r="AR51" s="435"/>
    </row>
    <row r="52" spans="1:62" x14ac:dyDescent="0.2">
      <c r="A52" s="336"/>
    </row>
    <row r="53" spans="1:62" x14ac:dyDescent="0.2">
      <c r="A53" s="336"/>
      <c r="U53" s="223"/>
    </row>
    <row r="54" spans="1:62" x14ac:dyDescent="0.2">
      <c r="A54" s="336"/>
    </row>
    <row r="55" spans="1:62" x14ac:dyDescent="0.2">
      <c r="A55" s="336"/>
      <c r="F55" s="223"/>
      <c r="H55" s="346"/>
      <c r="U55" s="223"/>
    </row>
    <row r="56" spans="1:62" ht="12" thickBot="1" x14ac:dyDescent="0.25">
      <c r="A56" s="336"/>
      <c r="F56" s="223"/>
    </row>
    <row r="57" spans="1:62" ht="12.75" x14ac:dyDescent="0.2">
      <c r="B57" s="577" t="s">
        <v>47</v>
      </c>
      <c r="C57" s="578"/>
      <c r="D57" s="578"/>
      <c r="E57" s="578"/>
      <c r="F57" s="578"/>
      <c r="G57" s="578"/>
      <c r="H57" s="578"/>
      <c r="I57" s="578"/>
      <c r="J57" s="578"/>
      <c r="K57" s="578"/>
      <c r="L57" s="579"/>
    </row>
    <row r="58" spans="1:62" ht="22.5" x14ac:dyDescent="0.2">
      <c r="B58" s="119" t="s">
        <v>48</v>
      </c>
      <c r="C58" s="116" t="s">
        <v>49</v>
      </c>
      <c r="D58" s="116" t="s">
        <v>35</v>
      </c>
      <c r="E58" s="116" t="s">
        <v>50</v>
      </c>
      <c r="F58" s="593" t="s">
        <v>51</v>
      </c>
      <c r="G58" s="601"/>
      <c r="H58" s="593" t="s">
        <v>52</v>
      </c>
      <c r="I58" s="593"/>
      <c r="J58" s="116" t="s">
        <v>53</v>
      </c>
      <c r="K58" s="593" t="s">
        <v>54</v>
      </c>
      <c r="L58" s="594" t="s">
        <v>55</v>
      </c>
      <c r="N58" s="336"/>
      <c r="O58" s="336"/>
      <c r="S58" s="336"/>
      <c r="T58" s="336"/>
    </row>
    <row r="59" spans="1:62" x14ac:dyDescent="0.2">
      <c r="B59" s="251"/>
      <c r="C59" s="252"/>
      <c r="D59" s="20">
        <f>K49</f>
        <v>3.4</v>
      </c>
      <c r="E59" s="118">
        <f>SUM(D61:D75)</f>
        <v>99710</v>
      </c>
      <c r="F59" s="602">
        <f>SUM(D61:D71,D74:D75)</f>
        <v>91260</v>
      </c>
      <c r="G59" s="602"/>
      <c r="H59" s="602">
        <f>SUM(D61:D71)</f>
        <v>57460</v>
      </c>
      <c r="I59" s="602"/>
      <c r="J59" s="118">
        <f>F76</f>
        <v>46772.439999999995</v>
      </c>
      <c r="K59" s="593"/>
      <c r="L59" s="594"/>
    </row>
    <row r="60" spans="1:62" ht="22.5" x14ac:dyDescent="0.2">
      <c r="B60" s="21" t="s">
        <v>38</v>
      </c>
      <c r="C60" s="22" t="s">
        <v>56</v>
      </c>
      <c r="D60" s="116" t="s">
        <v>57</v>
      </c>
      <c r="E60" s="22" t="s">
        <v>58</v>
      </c>
      <c r="F60" s="116" t="s">
        <v>59</v>
      </c>
      <c r="G60" s="116" t="s">
        <v>60</v>
      </c>
      <c r="H60" s="116" t="s">
        <v>61</v>
      </c>
      <c r="I60" s="116" t="s">
        <v>62</v>
      </c>
      <c r="J60" s="116" t="s">
        <v>63</v>
      </c>
      <c r="K60" s="329">
        <f>B59/L60</f>
        <v>0</v>
      </c>
      <c r="L60" s="328">
        <v>4.5999999999999996</v>
      </c>
    </row>
    <row r="61" spans="1:62" ht="22.5" x14ac:dyDescent="0.2">
      <c r="B61" s="24" t="s">
        <v>39</v>
      </c>
      <c r="C61" s="197">
        <v>0.57999999999999996</v>
      </c>
      <c r="D61" s="118">
        <f t="shared" ref="D61:D71" si="70">$L$49*C61</f>
        <v>33326.799999999996</v>
      </c>
      <c r="E61" s="197">
        <v>0.85</v>
      </c>
      <c r="F61" s="118">
        <f>E61*D61</f>
        <v>28327.779999999995</v>
      </c>
      <c r="G61" s="118">
        <f>IFERROR(F61/H61, "0")</f>
        <v>128.76263636363635</v>
      </c>
      <c r="H61" s="120">
        <v>220</v>
      </c>
      <c r="I61" s="200">
        <v>3200</v>
      </c>
      <c r="J61" s="200">
        <f>I61*D61</f>
        <v>106645759.99999999</v>
      </c>
      <c r="K61" s="120">
        <f>L61*H61</f>
        <v>220</v>
      </c>
      <c r="L61" s="23">
        <v>1</v>
      </c>
      <c r="BH61" s="364"/>
      <c r="BI61" s="364"/>
      <c r="BJ61" s="364"/>
    </row>
    <row r="62" spans="1:62" ht="22.5" x14ac:dyDescent="0.2">
      <c r="B62" s="25" t="s">
        <v>40</v>
      </c>
      <c r="C62" s="47"/>
      <c r="D62" s="26">
        <f t="shared" si="70"/>
        <v>0</v>
      </c>
      <c r="E62" s="47"/>
      <c r="F62" s="26">
        <f>E62*D62</f>
        <v>0</v>
      </c>
      <c r="G62" s="26" t="str">
        <f>IFERROR(F62/H62, "0")</f>
        <v>0</v>
      </c>
      <c r="H62" s="121"/>
      <c r="I62" s="201">
        <v>0</v>
      </c>
      <c r="J62" s="201">
        <f>I62*D62</f>
        <v>0</v>
      </c>
      <c r="K62" s="121">
        <f>L62*H62</f>
        <v>0</v>
      </c>
      <c r="L62" s="23">
        <v>0</v>
      </c>
      <c r="AP62" s="346"/>
      <c r="AV62" s="346"/>
      <c r="AW62" s="223"/>
      <c r="BH62" s="365"/>
      <c r="BI62" s="366"/>
      <c r="BJ62" s="366"/>
    </row>
    <row r="63" spans="1:62" ht="22.5" x14ac:dyDescent="0.2">
      <c r="B63" s="24" t="s">
        <v>41</v>
      </c>
      <c r="C63" s="197"/>
      <c r="D63" s="118">
        <f t="shared" si="70"/>
        <v>0</v>
      </c>
      <c r="E63" s="197"/>
      <c r="F63" s="118">
        <f t="shared" ref="F63:F69" si="71">E63*D63</f>
        <v>0</v>
      </c>
      <c r="G63" s="118" t="str">
        <f t="shared" ref="G63:G70" si="72">IFERROR(F63/H63, "0")</f>
        <v>0</v>
      </c>
      <c r="H63" s="120"/>
      <c r="I63" s="200">
        <v>0</v>
      </c>
      <c r="J63" s="200">
        <f t="shared" ref="J63:J69" si="73">I63*D63</f>
        <v>0</v>
      </c>
      <c r="K63" s="120">
        <f>L63*H63</f>
        <v>0</v>
      </c>
      <c r="L63" s="23">
        <v>0</v>
      </c>
      <c r="AV63" s="346"/>
      <c r="AW63" s="223"/>
      <c r="BH63" s="365"/>
      <c r="BI63" s="366"/>
      <c r="BJ63" s="366"/>
    </row>
    <row r="64" spans="1:62" ht="22.5" x14ac:dyDescent="0.2">
      <c r="B64" s="25" t="s">
        <v>42</v>
      </c>
      <c r="C64" s="47"/>
      <c r="D64" s="26">
        <f t="shared" si="70"/>
        <v>0</v>
      </c>
      <c r="E64" s="47"/>
      <c r="F64" s="26">
        <f t="shared" si="71"/>
        <v>0</v>
      </c>
      <c r="G64" s="26" t="str">
        <f t="shared" si="72"/>
        <v>0</v>
      </c>
      <c r="H64" s="121"/>
      <c r="I64" s="201">
        <v>0</v>
      </c>
      <c r="J64" s="201">
        <f t="shared" si="73"/>
        <v>0</v>
      </c>
      <c r="K64" s="121">
        <f>L64*H64</f>
        <v>0</v>
      </c>
      <c r="L64" s="23">
        <v>0</v>
      </c>
      <c r="AV64" s="346"/>
      <c r="AW64" s="223"/>
      <c r="BH64" s="365"/>
      <c r="BI64" s="366"/>
      <c r="BJ64" s="366"/>
    </row>
    <row r="65" spans="1:73" ht="22.5" x14ac:dyDescent="0.2">
      <c r="B65" s="24" t="s">
        <v>66</v>
      </c>
      <c r="C65" s="197"/>
      <c r="D65" s="118">
        <f t="shared" si="70"/>
        <v>0</v>
      </c>
      <c r="E65" s="197"/>
      <c r="F65" s="118">
        <f t="shared" si="71"/>
        <v>0</v>
      </c>
      <c r="G65" s="118" t="str">
        <f t="shared" si="72"/>
        <v>0</v>
      </c>
      <c r="H65" s="120"/>
      <c r="I65" s="200">
        <v>0</v>
      </c>
      <c r="J65" s="200">
        <f t="shared" si="73"/>
        <v>0</v>
      </c>
      <c r="K65" s="120">
        <f>L65*H65</f>
        <v>0</v>
      </c>
      <c r="L65" s="23">
        <v>1</v>
      </c>
      <c r="AV65" s="346"/>
      <c r="AW65" s="223"/>
      <c r="BH65" s="365"/>
      <c r="BI65" s="366"/>
      <c r="BJ65" s="366"/>
      <c r="BU65" s="223"/>
    </row>
    <row r="66" spans="1:73" ht="22.5" x14ac:dyDescent="0.2">
      <c r="B66" s="25" t="s">
        <v>303</v>
      </c>
      <c r="C66" s="47">
        <v>0.14000000000000001</v>
      </c>
      <c r="D66" s="26">
        <f t="shared" si="70"/>
        <v>8044.4000000000005</v>
      </c>
      <c r="E66" s="47">
        <v>0.85</v>
      </c>
      <c r="F66" s="26">
        <f t="shared" si="71"/>
        <v>6837.7400000000007</v>
      </c>
      <c r="G66" s="26">
        <f>IFERROR(F66/H66, "0")</f>
        <v>170.94350000000003</v>
      </c>
      <c r="H66" s="121">
        <v>40</v>
      </c>
      <c r="I66" s="201">
        <v>2400</v>
      </c>
      <c r="J66" s="201">
        <f>I66*D66</f>
        <v>19306560</v>
      </c>
      <c r="K66" s="121">
        <f>F66/L66</f>
        <v>273.50960000000003</v>
      </c>
      <c r="L66" s="23">
        <v>25</v>
      </c>
      <c r="AV66" s="346"/>
      <c r="AW66" s="223"/>
      <c r="BH66" s="365"/>
      <c r="BI66" s="366"/>
      <c r="BJ66" s="366"/>
      <c r="BU66" s="223"/>
    </row>
    <row r="67" spans="1:73" ht="22.5" x14ac:dyDescent="0.2">
      <c r="B67" s="24" t="s">
        <v>43</v>
      </c>
      <c r="C67" s="197">
        <v>0.1</v>
      </c>
      <c r="D67" s="118">
        <f t="shared" si="70"/>
        <v>5746</v>
      </c>
      <c r="E67" s="197">
        <v>0.85</v>
      </c>
      <c r="F67" s="118">
        <f t="shared" si="71"/>
        <v>4884.0999999999995</v>
      </c>
      <c r="G67" s="118">
        <f t="shared" si="72"/>
        <v>122.10249999999999</v>
      </c>
      <c r="H67" s="120">
        <v>40</v>
      </c>
      <c r="I67" s="200">
        <v>2400</v>
      </c>
      <c r="J67" s="200">
        <f>I67*D67</f>
        <v>13790400</v>
      </c>
      <c r="K67" s="120">
        <f>F67/L67</f>
        <v>108.53555555555555</v>
      </c>
      <c r="L67" s="23">
        <v>45</v>
      </c>
      <c r="AV67" s="346"/>
      <c r="AW67" s="223"/>
      <c r="BH67" s="365"/>
      <c r="BI67" s="366"/>
      <c r="BJ67" s="366"/>
      <c r="BU67" s="223"/>
    </row>
    <row r="68" spans="1:73" ht="22.5" x14ac:dyDescent="0.2">
      <c r="B68" s="25" t="s">
        <v>44</v>
      </c>
      <c r="C68" s="47">
        <v>0.18</v>
      </c>
      <c r="D68" s="26">
        <f t="shared" si="70"/>
        <v>10342.799999999999</v>
      </c>
      <c r="E68" s="47">
        <v>0.65</v>
      </c>
      <c r="F68" s="26">
        <f>E68*D68</f>
        <v>6722.82</v>
      </c>
      <c r="G68" s="26">
        <f t="shared" si="72"/>
        <v>33.614100000000001</v>
      </c>
      <c r="H68" s="121">
        <v>200</v>
      </c>
      <c r="I68" s="201">
        <v>7000</v>
      </c>
      <c r="J68" s="201">
        <f>I68*D68</f>
        <v>72399600</v>
      </c>
      <c r="K68" s="121">
        <f>H68/L68</f>
        <v>100</v>
      </c>
      <c r="L68" s="23">
        <v>2</v>
      </c>
      <c r="AV68" s="346"/>
      <c r="AW68" s="223"/>
      <c r="BH68" s="365"/>
      <c r="BI68" s="366"/>
      <c r="BJ68" s="366"/>
      <c r="BU68" s="223"/>
    </row>
    <row r="69" spans="1:73" ht="22.5" x14ac:dyDescent="0.2">
      <c r="B69" s="24" t="s">
        <v>45</v>
      </c>
      <c r="C69" s="197"/>
      <c r="D69" s="118">
        <f t="shared" si="70"/>
        <v>0</v>
      </c>
      <c r="E69" s="197"/>
      <c r="F69" s="118">
        <f t="shared" si="71"/>
        <v>0</v>
      </c>
      <c r="G69" s="118" t="str">
        <f t="shared" si="72"/>
        <v>0</v>
      </c>
      <c r="H69" s="120"/>
      <c r="I69" s="200"/>
      <c r="J69" s="200">
        <f t="shared" si="73"/>
        <v>0</v>
      </c>
      <c r="K69" s="120">
        <f>F69/L69</f>
        <v>0</v>
      </c>
      <c r="L69" s="23">
        <v>50</v>
      </c>
      <c r="AV69" s="346"/>
      <c r="AW69" s="223"/>
      <c r="BH69" s="365"/>
      <c r="BI69" s="366"/>
      <c r="BJ69" s="366"/>
      <c r="BU69" s="223"/>
    </row>
    <row r="70" spans="1:73" ht="22.5" x14ac:dyDescent="0.2">
      <c r="B70" s="25" t="s">
        <v>517</v>
      </c>
      <c r="C70" s="47"/>
      <c r="D70" s="26">
        <f t="shared" si="70"/>
        <v>0</v>
      </c>
      <c r="E70" s="47"/>
      <c r="F70" s="26">
        <f>E70*D70</f>
        <v>0</v>
      </c>
      <c r="G70" s="26" t="str">
        <f t="shared" si="72"/>
        <v>0</v>
      </c>
      <c r="H70" s="121"/>
      <c r="I70" s="201"/>
      <c r="J70" s="201">
        <f>I70*D70</f>
        <v>0</v>
      </c>
      <c r="K70" s="129">
        <v>0</v>
      </c>
      <c r="L70" s="130" t="s">
        <v>67</v>
      </c>
      <c r="AV70" s="346"/>
      <c r="AW70" s="223"/>
      <c r="BH70" s="365"/>
      <c r="BI70" s="366"/>
      <c r="BJ70" s="366"/>
      <c r="BU70" s="223"/>
    </row>
    <row r="71" spans="1:73" ht="23.25" thickBot="1" x14ac:dyDescent="0.25">
      <c r="B71" s="367" t="s">
        <v>243</v>
      </c>
      <c r="C71" s="368">
        <f>100%-SUM(C61:C70)</f>
        <v>0</v>
      </c>
      <c r="D71" s="369">
        <f t="shared" si="70"/>
        <v>0</v>
      </c>
      <c r="E71" s="370" t="s">
        <v>67</v>
      </c>
      <c r="F71" s="371" t="s">
        <v>67</v>
      </c>
      <c r="G71" s="371" t="s">
        <v>67</v>
      </c>
      <c r="H71" s="372" t="s">
        <v>67</v>
      </c>
      <c r="I71" s="373"/>
      <c r="J71" s="373">
        <f>I71*D71</f>
        <v>0</v>
      </c>
      <c r="K71" s="372" t="s">
        <v>67</v>
      </c>
      <c r="L71" s="374" t="s">
        <v>67</v>
      </c>
      <c r="AV71" s="346"/>
      <c r="AW71" s="223"/>
      <c r="BH71" s="365"/>
      <c r="BI71" s="366"/>
      <c r="BJ71" s="366"/>
      <c r="BU71" s="223"/>
    </row>
    <row r="72" spans="1:73" ht="15.75" thickBot="1" x14ac:dyDescent="0.25">
      <c r="B72" s="382" t="s">
        <v>68</v>
      </c>
      <c r="C72" s="383" t="s">
        <v>68</v>
      </c>
      <c r="D72" s="384" t="s">
        <v>68</v>
      </c>
      <c r="E72" s="383" t="s">
        <v>68</v>
      </c>
      <c r="F72" s="384" t="s">
        <v>68</v>
      </c>
      <c r="G72" s="384" t="s">
        <v>68</v>
      </c>
      <c r="H72" s="385" t="s">
        <v>68</v>
      </c>
      <c r="I72" s="385" t="s">
        <v>68</v>
      </c>
      <c r="J72" s="385" t="s">
        <v>68</v>
      </c>
      <c r="K72" s="385" t="s">
        <v>68</v>
      </c>
      <c r="L72" s="386" t="s">
        <v>68</v>
      </c>
      <c r="AV72" s="223"/>
      <c r="BH72" s="365"/>
      <c r="BI72" s="366"/>
      <c r="BJ72" s="366"/>
      <c r="BU72" s="223"/>
    </row>
    <row r="73" spans="1:73" ht="22.5" x14ac:dyDescent="0.2">
      <c r="B73" s="375" t="s">
        <v>70</v>
      </c>
      <c r="C73" s="376">
        <v>0.5</v>
      </c>
      <c r="D73" s="377">
        <f>$C$49*C73</f>
        <v>8450</v>
      </c>
      <c r="E73" s="378" t="s">
        <v>67</v>
      </c>
      <c r="F73" s="378" t="s">
        <v>67</v>
      </c>
      <c r="G73" s="378" t="s">
        <v>67</v>
      </c>
      <c r="H73" s="378" t="s">
        <v>67</v>
      </c>
      <c r="I73" s="379">
        <v>800</v>
      </c>
      <c r="J73" s="379">
        <f>I73*D73</f>
        <v>6760000</v>
      </c>
      <c r="K73" s="380" t="s">
        <v>67</v>
      </c>
      <c r="L73" s="381" t="s">
        <v>67</v>
      </c>
      <c r="AC73" s="223"/>
      <c r="AV73" s="223"/>
      <c r="BH73" s="365"/>
      <c r="BI73" s="366"/>
      <c r="BJ73" s="366"/>
    </row>
    <row r="74" spans="1:73" ht="22.5" x14ac:dyDescent="0.2">
      <c r="B74" s="25" t="s">
        <v>71</v>
      </c>
      <c r="C74" s="47">
        <v>2</v>
      </c>
      <c r="D74" s="26">
        <f>$C$49*C74</f>
        <v>33800</v>
      </c>
      <c r="E74" s="128" t="s">
        <v>67</v>
      </c>
      <c r="F74" s="128" t="s">
        <v>67</v>
      </c>
      <c r="G74" s="128" t="s">
        <v>67</v>
      </c>
      <c r="H74" s="128" t="s">
        <v>67</v>
      </c>
      <c r="I74" s="201">
        <v>2000</v>
      </c>
      <c r="J74" s="201">
        <f>I74*D74</f>
        <v>67600000</v>
      </c>
      <c r="K74" s="121">
        <f>D74/L74</f>
        <v>751.11111111111109</v>
      </c>
      <c r="L74" s="23">
        <v>45</v>
      </c>
      <c r="AV74" s="223"/>
      <c r="BH74" s="365"/>
      <c r="BI74" s="366"/>
      <c r="BJ74" s="366"/>
    </row>
    <row r="75" spans="1:73" ht="22.5" x14ac:dyDescent="0.2">
      <c r="B75" s="24" t="s">
        <v>72</v>
      </c>
      <c r="C75" s="197"/>
      <c r="D75" s="118">
        <f>$C$49*C75</f>
        <v>0</v>
      </c>
      <c r="E75" s="127" t="s">
        <v>67</v>
      </c>
      <c r="F75" s="127" t="s">
        <v>67</v>
      </c>
      <c r="G75" s="127" t="s">
        <v>67</v>
      </c>
      <c r="H75" s="127" t="s">
        <v>67</v>
      </c>
      <c r="I75" s="200"/>
      <c r="J75" s="200">
        <f>I75*D75</f>
        <v>0</v>
      </c>
      <c r="K75" s="120">
        <f>D75/L75</f>
        <v>0</v>
      </c>
      <c r="L75" s="23">
        <v>45</v>
      </c>
      <c r="Q75" s="223"/>
    </row>
    <row r="76" spans="1:73" ht="23.25" thickBot="1" x14ac:dyDescent="0.25">
      <c r="B76" s="29" t="s">
        <v>37</v>
      </c>
      <c r="C76" s="30">
        <f>SUM(C61:C71)</f>
        <v>1</v>
      </c>
      <c r="D76" s="10">
        <f>SUM(D61:D75)</f>
        <v>99710</v>
      </c>
      <c r="E76" s="77">
        <f>SUMPRODUCT(E61:E70, C61:C70) / SUM(C61:C70)</f>
        <v>0.81399999999999995</v>
      </c>
      <c r="F76" s="10">
        <f>SUMIF(F61:F70, "&lt;&gt;#DIV/0!")</f>
        <v>46772.439999999995</v>
      </c>
      <c r="G76" s="73">
        <f>IFERROR(F76/H76, "0")</f>
        <v>93.544879999999992</v>
      </c>
      <c r="H76" s="11">
        <f>SUMIF(H61:H75, "&lt;&gt;#DIV/0!")</f>
        <v>500</v>
      </c>
      <c r="I76" s="11">
        <f>J76/D76</f>
        <v>2873.3559322033898</v>
      </c>
      <c r="J76" s="177">
        <f>SUM(J61:J75)</f>
        <v>286502320</v>
      </c>
      <c r="K76" s="237" t="s">
        <v>76</v>
      </c>
      <c r="L76" s="178">
        <f>SUMIF(K61:K69, "&lt;&gt;#DIV/0!")</f>
        <v>702.04515555555554</v>
      </c>
      <c r="Q76" s="223"/>
    </row>
    <row r="77" spans="1:73" ht="18.75" thickBot="1" x14ac:dyDescent="0.25">
      <c r="B77" s="126" t="s">
        <v>74</v>
      </c>
      <c r="C77" s="350"/>
      <c r="F77" s="336"/>
      <c r="G77" s="336"/>
      <c r="H77" s="31" t="s">
        <v>75</v>
      </c>
      <c r="I77" s="336"/>
      <c r="J77" s="336"/>
      <c r="K77" s="32" t="s">
        <v>73</v>
      </c>
      <c r="L77" s="141">
        <f>SUM(K60,K74:K75)</f>
        <v>751.11111111111109</v>
      </c>
      <c r="Q77" s="223"/>
    </row>
    <row r="78" spans="1:73" ht="18.75" thickBot="1" x14ac:dyDescent="0.25">
      <c r="C78" s="336"/>
      <c r="D78" s="336"/>
      <c r="E78" s="349"/>
      <c r="F78" s="336"/>
      <c r="G78" s="336"/>
      <c r="H78" s="336"/>
      <c r="I78" s="336"/>
      <c r="J78" s="336"/>
      <c r="K78" s="33" t="s">
        <v>77</v>
      </c>
      <c r="L78" s="34">
        <f>L77-L76</f>
        <v>49.065955555555547</v>
      </c>
    </row>
    <row r="79" spans="1:73" ht="22.5" x14ac:dyDescent="0.2">
      <c r="A79" s="336"/>
      <c r="B79" s="337" t="s">
        <v>523</v>
      </c>
    </row>
    <row r="80" spans="1:73" x14ac:dyDescent="0.2">
      <c r="A80" s="336"/>
    </row>
    <row r="81" spans="1:24" x14ac:dyDescent="0.2">
      <c r="A81" s="336"/>
    </row>
    <row r="82" spans="1:24" x14ac:dyDescent="0.2">
      <c r="A82" s="336"/>
    </row>
    <row r="83" spans="1:24" ht="12" thickBot="1" x14ac:dyDescent="0.25">
      <c r="A83" s="336"/>
    </row>
    <row r="84" spans="1:24" ht="18" x14ac:dyDescent="0.2">
      <c r="A84" s="336"/>
      <c r="B84" s="577" t="s">
        <v>78</v>
      </c>
      <c r="C84" s="578"/>
      <c r="D84" s="579"/>
      <c r="E84" s="71" t="s">
        <v>329</v>
      </c>
      <c r="G84" s="336"/>
    </row>
    <row r="85" spans="1:24" ht="22.5" x14ac:dyDescent="0.2">
      <c r="A85" s="336"/>
      <c r="B85" s="119" t="s">
        <v>5</v>
      </c>
      <c r="C85" s="116" t="s">
        <v>6</v>
      </c>
      <c r="D85" s="117" t="s">
        <v>79</v>
      </c>
      <c r="E85" s="143" t="s">
        <v>4</v>
      </c>
      <c r="G85" s="336"/>
    </row>
    <row r="86" spans="1:24" ht="22.5" x14ac:dyDescent="0.2">
      <c r="B86" s="35" t="s">
        <v>80</v>
      </c>
      <c r="C86" s="120">
        <f>D86*C44</f>
        <v>676000</v>
      </c>
      <c r="D86" s="120">
        <v>40</v>
      </c>
      <c r="E86" s="144">
        <f t="shared" ref="E86:E101" si="74">C86/$C$102</f>
        <v>9.8410065755437145E-3</v>
      </c>
      <c r="G86" s="336"/>
    </row>
    <row r="87" spans="1:24" ht="22.5" x14ac:dyDescent="0.2">
      <c r="B87" s="36" t="s">
        <v>81</v>
      </c>
      <c r="C87" s="121">
        <f>(D74)*4.5*D87</f>
        <v>6844500</v>
      </c>
      <c r="D87" s="121">
        <v>45</v>
      </c>
      <c r="E87" s="144">
        <f t="shared" si="74"/>
        <v>9.9640191577380119E-2</v>
      </c>
      <c r="G87" s="336"/>
    </row>
    <row r="88" spans="1:24" ht="22.5" x14ac:dyDescent="0.2">
      <c r="B88" s="35" t="s">
        <v>82</v>
      </c>
      <c r="C88" s="120">
        <f>D88*C110</f>
        <v>4870539.4400000004</v>
      </c>
      <c r="D88" s="257">
        <v>1.7000000000000001E-2</v>
      </c>
      <c r="E88" s="144">
        <f t="shared" si="74"/>
        <v>7.0903861916397942E-2</v>
      </c>
      <c r="G88" s="336"/>
      <c r="X88" s="336"/>
    </row>
    <row r="89" spans="1:24" ht="22.5" x14ac:dyDescent="0.2">
      <c r="B89" s="36" t="s">
        <v>83</v>
      </c>
      <c r="C89" s="121">
        <f>D89*H59</f>
        <v>229840</v>
      </c>
      <c r="D89" s="122">
        <v>4</v>
      </c>
      <c r="E89" s="144">
        <f t="shared" si="74"/>
        <v>3.3459422356848629E-3</v>
      </c>
      <c r="G89" s="336"/>
    </row>
    <row r="90" spans="1:24" ht="22.5" x14ac:dyDescent="0.2">
      <c r="B90" s="35" t="s">
        <v>84</v>
      </c>
      <c r="C90" s="120">
        <f>D90*C110</f>
        <v>8595069.5999999996</v>
      </c>
      <c r="D90" s="257">
        <v>0.03</v>
      </c>
      <c r="E90" s="144">
        <f t="shared" si="74"/>
        <v>0.1251244622054081</v>
      </c>
      <c r="G90" s="336"/>
    </row>
    <row r="91" spans="1:24" ht="22.5" x14ac:dyDescent="0.2">
      <c r="A91" s="336"/>
      <c r="B91" s="36" t="s">
        <v>85</v>
      </c>
      <c r="C91" s="121">
        <f>D91*D68</f>
        <v>10342800</v>
      </c>
      <c r="D91" s="122">
        <v>1000</v>
      </c>
      <c r="E91" s="144">
        <f t="shared" si="74"/>
        <v>0.15056740060581883</v>
      </c>
      <c r="G91" s="336"/>
      <c r="H91" s="223"/>
    </row>
    <row r="92" spans="1:24" ht="22.5" x14ac:dyDescent="0.2">
      <c r="A92" s="336"/>
      <c r="B92" s="142" t="s">
        <v>86</v>
      </c>
      <c r="C92" s="109">
        <f>D92*SUM(G61,G65,G66)</f>
        <v>0</v>
      </c>
      <c r="D92" s="110">
        <v>0</v>
      </c>
      <c r="E92" s="144">
        <f t="shared" si="74"/>
        <v>0</v>
      </c>
      <c r="G92" s="336"/>
    </row>
    <row r="93" spans="1:24" ht="22.5" x14ac:dyDescent="0.2">
      <c r="A93" s="336"/>
      <c r="B93" s="432" t="s">
        <v>87</v>
      </c>
      <c r="C93" s="121">
        <f>D93*SUM(H61:H67,H69:H70)+(D93*(H68/2))</f>
        <v>5000000</v>
      </c>
      <c r="D93" s="122">
        <v>12500</v>
      </c>
      <c r="E93" s="144">
        <f t="shared" si="74"/>
        <v>7.2788510174139898E-2</v>
      </c>
      <c r="G93" s="336"/>
    </row>
    <row r="94" spans="1:24" ht="22.5" x14ac:dyDescent="0.2">
      <c r="A94" s="336"/>
      <c r="B94" s="433" t="s">
        <v>88</v>
      </c>
      <c r="C94" s="120">
        <f>D94*$H$76</f>
        <v>4000000</v>
      </c>
      <c r="D94" s="104">
        <v>8000</v>
      </c>
      <c r="E94" s="144">
        <f t="shared" si="74"/>
        <v>5.8230808139311925E-2</v>
      </c>
      <c r="G94" s="349"/>
      <c r="H94" s="399"/>
    </row>
    <row r="95" spans="1:24" ht="22.5" x14ac:dyDescent="0.2">
      <c r="A95" s="336"/>
      <c r="B95" s="432" t="s">
        <v>89</v>
      </c>
      <c r="C95" s="121">
        <f>D95*$H$76</f>
        <v>750000</v>
      </c>
      <c r="D95" s="122">
        <v>1500</v>
      </c>
      <c r="E95" s="144">
        <f t="shared" si="74"/>
        <v>1.0918276526120985E-2</v>
      </c>
      <c r="G95" s="336"/>
      <c r="H95" s="399"/>
    </row>
    <row r="96" spans="1:24" ht="22.5" x14ac:dyDescent="0.2">
      <c r="A96" s="336"/>
      <c r="B96" s="35" t="s">
        <v>90</v>
      </c>
      <c r="C96" s="120">
        <f>D96*H61</f>
        <v>2750000</v>
      </c>
      <c r="D96" s="104">
        <v>12500</v>
      </c>
      <c r="E96" s="144">
        <f t="shared" si="74"/>
        <v>4.0033680595776944E-2</v>
      </c>
      <c r="G96" s="336"/>
      <c r="H96" s="399"/>
    </row>
    <row r="97" spans="1:17" ht="22.5" x14ac:dyDescent="0.2">
      <c r="B97" s="36" t="s">
        <v>91</v>
      </c>
      <c r="C97" s="121">
        <f>D97*C110</f>
        <v>4297534.8</v>
      </c>
      <c r="D97" s="258">
        <v>1.4999999999999999E-2</v>
      </c>
      <c r="E97" s="144">
        <f t="shared" si="74"/>
        <v>6.256223110270405E-2</v>
      </c>
      <c r="G97" s="336"/>
      <c r="H97" s="399"/>
    </row>
    <row r="98" spans="1:17" ht="22.5" x14ac:dyDescent="0.2">
      <c r="B98" s="35" t="s">
        <v>484</v>
      </c>
      <c r="C98" s="120">
        <f>D98*(J139+M157)</f>
        <v>7109061.5231999988</v>
      </c>
      <c r="D98" s="257">
        <v>0.03</v>
      </c>
      <c r="E98" s="144">
        <f t="shared" si="74"/>
        <v>0.10349159940200592</v>
      </c>
      <c r="G98" s="336"/>
      <c r="H98" s="399"/>
    </row>
    <row r="99" spans="1:17" ht="22.5" x14ac:dyDescent="0.2">
      <c r="B99" s="396" t="s">
        <v>487</v>
      </c>
      <c r="C99" s="109">
        <f>D99*(SUM(C185:C186))</f>
        <v>960464.92680000002</v>
      </c>
      <c r="D99" s="397">
        <v>1.4999999999999999E-2</v>
      </c>
      <c r="E99" s="144">
        <f t="shared" si="74"/>
        <v>1.3982162219257268E-2</v>
      </c>
      <c r="G99" s="336"/>
      <c r="H99" s="399"/>
    </row>
    <row r="100" spans="1:17" ht="22.5" x14ac:dyDescent="0.2">
      <c r="A100" s="336"/>
      <c r="B100" s="35" t="s">
        <v>314</v>
      </c>
      <c r="C100" s="120">
        <f>D100*Y139</f>
        <v>3671280.2879999992</v>
      </c>
      <c r="D100" s="257">
        <v>0.03</v>
      </c>
      <c r="E100" s="144">
        <f t="shared" si="74"/>
        <v>5.3445404519041444E-2</v>
      </c>
      <c r="G100" s="336"/>
      <c r="H100" s="399"/>
    </row>
    <row r="101" spans="1:17" ht="23.25" thickBot="1" x14ac:dyDescent="0.25">
      <c r="A101" s="336"/>
      <c r="B101" s="36" t="s">
        <v>92</v>
      </c>
      <c r="C101" s="121">
        <f>D101*C110</f>
        <v>8595069.5999999996</v>
      </c>
      <c r="D101" s="258">
        <v>0.03</v>
      </c>
      <c r="E101" s="145">
        <f t="shared" si="74"/>
        <v>0.1251244622054081</v>
      </c>
      <c r="G101" s="336"/>
      <c r="H101" s="399"/>
    </row>
    <row r="102" spans="1:17" ht="22.5" x14ac:dyDescent="0.2">
      <c r="A102" s="336"/>
      <c r="B102" s="35" t="s">
        <v>93</v>
      </c>
      <c r="C102" s="590">
        <f>SUMIF(C86:C101, "&lt;&gt;#DIV/0!")</f>
        <v>68692160.177999988</v>
      </c>
      <c r="D102" s="591"/>
      <c r="H102" s="399"/>
    </row>
    <row r="103" spans="1:17" ht="12" thickBot="1" x14ac:dyDescent="0.25">
      <c r="A103" s="336"/>
      <c r="B103" s="592" t="s">
        <v>94</v>
      </c>
      <c r="C103" s="593"/>
      <c r="D103" s="594"/>
      <c r="H103" s="399"/>
    </row>
    <row r="104" spans="1:17" ht="23.25" thickBot="1" x14ac:dyDescent="0.25">
      <c r="A104" s="336"/>
      <c r="B104" s="37" t="s">
        <v>95</v>
      </c>
      <c r="C104" s="120">
        <f>D104*C110</f>
        <v>34380278.399999999</v>
      </c>
      <c r="D104" s="38">
        <v>0.12</v>
      </c>
      <c r="E104" s="465">
        <v>0</v>
      </c>
      <c r="H104" s="398"/>
    </row>
    <row r="105" spans="1:17" ht="22.5" x14ac:dyDescent="0.2">
      <c r="A105" s="336"/>
      <c r="B105" s="39" t="s">
        <v>96</v>
      </c>
      <c r="C105" s="743">
        <f>-E325</f>
        <v>13055414.786866536</v>
      </c>
      <c r="D105" s="744"/>
      <c r="E105" s="336"/>
      <c r="H105" s="398"/>
    </row>
    <row r="106" spans="1:17" ht="22.5" x14ac:dyDescent="0.2">
      <c r="A106" s="336"/>
      <c r="B106" s="35" t="s">
        <v>97</v>
      </c>
      <c r="C106" s="590">
        <f>-E215</f>
        <v>1093000</v>
      </c>
      <c r="D106" s="591"/>
      <c r="E106" s="336"/>
      <c r="H106" s="398"/>
    </row>
    <row r="107" spans="1:17" ht="22.5" x14ac:dyDescent="0.2">
      <c r="A107" s="336"/>
      <c r="B107" s="36" t="s">
        <v>98</v>
      </c>
      <c r="C107" s="659">
        <f>SUM(C104:C106)</f>
        <v>48528693.186866537</v>
      </c>
      <c r="D107" s="660"/>
      <c r="E107" s="341"/>
      <c r="G107" s="341"/>
      <c r="H107" s="400"/>
      <c r="I107" s="336"/>
      <c r="K107" s="336"/>
      <c r="L107" s="336"/>
      <c r="M107" s="336"/>
      <c r="N107" s="336"/>
      <c r="O107" s="336"/>
      <c r="P107" s="336"/>
      <c r="Q107" s="336"/>
    </row>
    <row r="108" spans="1:17" x14ac:dyDescent="0.2">
      <c r="A108" s="336"/>
      <c r="B108" s="592" t="s">
        <v>99</v>
      </c>
      <c r="C108" s="593"/>
      <c r="D108" s="594"/>
      <c r="E108" s="341"/>
      <c r="G108" s="341"/>
      <c r="H108" s="398"/>
      <c r="I108" s="336"/>
      <c r="Q108" s="336"/>
    </row>
    <row r="109" spans="1:17" ht="22.5" x14ac:dyDescent="0.2">
      <c r="A109" s="336"/>
      <c r="B109" s="35" t="s">
        <v>100</v>
      </c>
      <c r="C109" s="590">
        <f>I49</f>
        <v>347717500</v>
      </c>
      <c r="D109" s="591"/>
      <c r="E109" s="347"/>
      <c r="G109" s="348"/>
      <c r="H109" s="398"/>
      <c r="Q109" s="336"/>
    </row>
    <row r="110" spans="1:17" ht="22.5" x14ac:dyDescent="0.2">
      <c r="A110" s="336"/>
      <c r="B110" s="36" t="s">
        <v>101</v>
      </c>
      <c r="C110" s="599">
        <f>J76</f>
        <v>286502320</v>
      </c>
      <c r="D110" s="600"/>
      <c r="E110" s="336"/>
    </row>
    <row r="111" spans="1:17" ht="22.5" x14ac:dyDescent="0.2">
      <c r="A111" s="336"/>
      <c r="B111" s="35" t="s">
        <v>103</v>
      </c>
      <c r="C111" s="590">
        <f>C102</f>
        <v>68692160.177999988</v>
      </c>
      <c r="D111" s="591"/>
      <c r="E111" s="336"/>
    </row>
    <row r="112" spans="1:17" ht="22.5" x14ac:dyDescent="0.2">
      <c r="A112" s="336"/>
      <c r="B112" s="36" t="s">
        <v>105</v>
      </c>
      <c r="C112" s="599">
        <f>C110+C111</f>
        <v>355194480.17799997</v>
      </c>
      <c r="D112" s="600"/>
      <c r="E112" s="336"/>
    </row>
    <row r="113" spans="1:29" ht="22.5" x14ac:dyDescent="0.2">
      <c r="A113" s="336"/>
      <c r="B113" s="35" t="s">
        <v>107</v>
      </c>
      <c r="C113" s="590">
        <f>C107</f>
        <v>48528693.186866537</v>
      </c>
      <c r="D113" s="591"/>
      <c r="E113" s="336"/>
    </row>
    <row r="114" spans="1:29" ht="22.5" x14ac:dyDescent="0.2">
      <c r="A114" s="336"/>
      <c r="B114" s="36" t="s">
        <v>336</v>
      </c>
      <c r="C114" s="599">
        <f>-E213</f>
        <v>10776877.68</v>
      </c>
      <c r="D114" s="600"/>
      <c r="E114" s="336"/>
    </row>
    <row r="115" spans="1:29" ht="22.5" x14ac:dyDescent="0.2">
      <c r="A115" s="336"/>
      <c r="B115" s="35" t="s">
        <v>335</v>
      </c>
      <c r="C115" s="679">
        <f>SUM(C109:D111,C113,C119,C114)</f>
        <v>773544942.15375054</v>
      </c>
      <c r="D115" s="680"/>
      <c r="E115" s="336"/>
      <c r="F115" s="430"/>
      <c r="I115" s="336"/>
      <c r="K115" s="223"/>
    </row>
    <row r="116" spans="1:29" ht="22.5" x14ac:dyDescent="0.2">
      <c r="A116" s="336"/>
      <c r="B116" s="36" t="s">
        <v>110</v>
      </c>
      <c r="C116" s="599">
        <f>H24</f>
        <v>415190139.19999999</v>
      </c>
      <c r="D116" s="600"/>
      <c r="E116" s="336"/>
      <c r="G116" s="223"/>
      <c r="K116" s="223"/>
    </row>
    <row r="117" spans="1:29" x14ac:dyDescent="0.2">
      <c r="A117" s="336"/>
      <c r="B117" s="666" t="s">
        <v>112</v>
      </c>
      <c r="C117" s="601"/>
      <c r="D117" s="667"/>
      <c r="E117" s="336"/>
      <c r="G117" s="223"/>
      <c r="K117" s="223"/>
    </row>
    <row r="118" spans="1:29" ht="23.25" thickBot="1" x14ac:dyDescent="0.25">
      <c r="A118" s="336"/>
      <c r="B118" s="35" t="s">
        <v>113</v>
      </c>
      <c r="C118" s="590">
        <f>E189</f>
        <v>113000000</v>
      </c>
      <c r="D118" s="591"/>
      <c r="E118" s="336"/>
      <c r="G118" s="223"/>
      <c r="H118" s="223"/>
      <c r="J118" s="361"/>
      <c r="K118" s="223"/>
    </row>
    <row r="119" spans="1:29" ht="23.25" thickBot="1" x14ac:dyDescent="0.25">
      <c r="A119" s="336"/>
      <c r="B119" s="36" t="s">
        <v>18</v>
      </c>
      <c r="C119" s="668">
        <f>-SUM(E192:E193)</f>
        <v>11327391.108884085</v>
      </c>
      <c r="D119" s="669"/>
      <c r="E119" s="146">
        <f>(S177-G177)/365</f>
        <v>3.0027397260273974</v>
      </c>
      <c r="G119" s="438"/>
      <c r="K119" s="223"/>
    </row>
    <row r="120" spans="1:29" ht="12" thickBot="1" x14ac:dyDescent="0.25">
      <c r="A120" s="336"/>
      <c r="B120" s="592" t="s">
        <v>114</v>
      </c>
      <c r="C120" s="593"/>
      <c r="D120" s="594"/>
      <c r="E120" s="336"/>
      <c r="K120" s="223"/>
    </row>
    <row r="121" spans="1:29" x14ac:dyDescent="0.2">
      <c r="A121" s="336"/>
      <c r="B121" s="674" t="s">
        <v>242</v>
      </c>
      <c r="C121" s="112" t="s">
        <v>115</v>
      </c>
      <c r="D121" s="113" t="s">
        <v>116</v>
      </c>
      <c r="E121" s="40" t="s">
        <v>117</v>
      </c>
      <c r="H121" s="361"/>
      <c r="K121" s="223"/>
    </row>
    <row r="122" spans="1:29" ht="12" thickBot="1" x14ac:dyDescent="0.25">
      <c r="A122" s="336"/>
      <c r="B122" s="675"/>
      <c r="C122" s="41">
        <f>((U177-F177)/365)*12</f>
        <v>45.961643835616442</v>
      </c>
      <c r="D122" s="80">
        <f>C122/12</f>
        <v>3.8301369863013703</v>
      </c>
      <c r="E122" s="79">
        <f>C122/3</f>
        <v>15.320547945205481</v>
      </c>
      <c r="I122" s="223"/>
      <c r="K122" s="336"/>
    </row>
    <row r="123" spans="1:29" x14ac:dyDescent="0.2">
      <c r="A123" s="336"/>
      <c r="K123" s="336"/>
    </row>
    <row r="124" spans="1:29" x14ac:dyDescent="0.2">
      <c r="A124" s="336"/>
      <c r="K124" s="336"/>
    </row>
    <row r="125" spans="1:29" x14ac:dyDescent="0.2">
      <c r="A125" s="336"/>
      <c r="K125" s="336"/>
    </row>
    <row r="126" spans="1:29" ht="12" thickBot="1" x14ac:dyDescent="0.25">
      <c r="A126" s="336"/>
      <c r="G126" s="223"/>
      <c r="K126" s="336"/>
    </row>
    <row r="127" spans="1:29" ht="12.75" x14ac:dyDescent="0.2">
      <c r="A127" s="336"/>
      <c r="B127" s="577" t="s">
        <v>118</v>
      </c>
      <c r="C127" s="578"/>
      <c r="D127" s="578"/>
      <c r="E127" s="578"/>
      <c r="F127" s="578"/>
      <c r="G127" s="578"/>
      <c r="H127" s="578"/>
      <c r="I127" s="578"/>
      <c r="J127" s="579"/>
      <c r="L127" s="686" t="s">
        <v>124</v>
      </c>
      <c r="M127" s="687"/>
      <c r="N127" s="687"/>
      <c r="O127" s="688"/>
      <c r="Q127" s="577" t="s">
        <v>119</v>
      </c>
      <c r="R127" s="578"/>
      <c r="S127" s="578"/>
      <c r="T127" s="578"/>
      <c r="U127" s="578"/>
      <c r="V127" s="712"/>
      <c r="W127" s="578"/>
      <c r="X127" s="578"/>
      <c r="Y127" s="578"/>
      <c r="Z127" s="578"/>
      <c r="AA127" s="578"/>
      <c r="AB127" s="578"/>
      <c r="AC127" s="579"/>
    </row>
    <row r="128" spans="1:29" ht="22.5" x14ac:dyDescent="0.2">
      <c r="A128" s="336"/>
      <c r="B128" s="42" t="s">
        <v>38</v>
      </c>
      <c r="C128" s="44" t="s">
        <v>120</v>
      </c>
      <c r="D128" s="44" t="s">
        <v>121</v>
      </c>
      <c r="E128" s="43" t="str">
        <f>F60</f>
        <v>المساحات الصافية القابلة للبيع
(NSA)</v>
      </c>
      <c r="F128" s="43" t="str">
        <f>G60</f>
        <v>مساحة الوحدة
(Unit Area)</v>
      </c>
      <c r="G128" s="43" t="s">
        <v>366</v>
      </c>
      <c r="H128" s="43" t="s">
        <v>122</v>
      </c>
      <c r="I128" s="43" t="s">
        <v>123</v>
      </c>
      <c r="J128" s="45" t="s">
        <v>319</v>
      </c>
      <c r="L128" s="123" t="s">
        <v>38</v>
      </c>
      <c r="M128" s="124" t="s">
        <v>4</v>
      </c>
      <c r="N128" s="124" t="s">
        <v>368</v>
      </c>
      <c r="O128" s="49" t="s">
        <v>98</v>
      </c>
      <c r="Q128" s="42" t="s">
        <v>38</v>
      </c>
      <c r="R128" s="43" t="s">
        <v>120</v>
      </c>
      <c r="S128" s="44" t="s">
        <v>121</v>
      </c>
      <c r="T128" s="43" t="s">
        <v>59</v>
      </c>
      <c r="U128" s="43" t="s">
        <v>60</v>
      </c>
      <c r="V128" s="43" t="s">
        <v>366</v>
      </c>
      <c r="W128" s="43" t="s">
        <v>122</v>
      </c>
      <c r="X128" s="43" t="s">
        <v>123</v>
      </c>
      <c r="Y128" s="43" t="s">
        <v>319</v>
      </c>
      <c r="Z128" s="168" t="s">
        <v>313</v>
      </c>
      <c r="AA128" s="203" t="s">
        <v>327</v>
      </c>
      <c r="AB128" s="168" t="s">
        <v>318</v>
      </c>
      <c r="AC128" s="152" t="s">
        <v>330</v>
      </c>
    </row>
    <row r="129" spans="1:30" ht="22.5" x14ac:dyDescent="0.2">
      <c r="A129" s="336"/>
      <c r="B129" s="7" t="s">
        <v>39</v>
      </c>
      <c r="C129" s="120">
        <f>H61-R129</f>
        <v>132</v>
      </c>
      <c r="D129" s="319">
        <f>100%-S129</f>
        <v>0.6</v>
      </c>
      <c r="E129" s="118">
        <f t="shared" ref="E129:E138" si="75">E61*D129*D61</f>
        <v>16996.667999999998</v>
      </c>
      <c r="F129" s="118">
        <f>IFERROR(E129/C129, "0")</f>
        <v>128.76263636363635</v>
      </c>
      <c r="G129" s="197">
        <f t="shared" ref="G129:G138" si="76">IFERROR(MAX((H129/AV3)-1, 0), 0)</f>
        <v>0</v>
      </c>
      <c r="H129" s="200">
        <v>12500</v>
      </c>
      <c r="I129" s="120">
        <f>H129*F129</f>
        <v>1609532.9545454544</v>
      </c>
      <c r="J129" s="173">
        <f>I129*C129</f>
        <v>212458349.99999997</v>
      </c>
      <c r="L129" s="7" t="s">
        <v>39</v>
      </c>
      <c r="M129" s="197">
        <v>0.08</v>
      </c>
      <c r="N129" s="120">
        <f t="shared" ref="N129:N138" si="77">SUM(F147+V147)/M129</f>
        <v>0</v>
      </c>
      <c r="O129" s="104">
        <f t="shared" ref="O129:O138" si="78">(M147+AC147)/M129</f>
        <v>0</v>
      </c>
      <c r="Q129" s="7" t="s">
        <v>39</v>
      </c>
      <c r="R129" s="109">
        <v>88</v>
      </c>
      <c r="S129" s="321">
        <f>IFERROR(R129/H61, "0.00%")</f>
        <v>0.4</v>
      </c>
      <c r="T129" s="118">
        <f t="shared" ref="T129:T138" si="79">E61*S129*D61</f>
        <v>11331.111999999999</v>
      </c>
      <c r="U129" s="118">
        <f t="shared" ref="U129:U138" si="80">IFERROR(T129/R129, "0")</f>
        <v>128.76263636363635</v>
      </c>
      <c r="V129" s="197">
        <f t="shared" ref="V129:V138" si="81">IFERROR(MAX(((AC129/T129)/AV21)-1, 0), 0)</f>
        <v>0</v>
      </c>
      <c r="W129" s="200">
        <v>10800</v>
      </c>
      <c r="X129" s="120">
        <f t="shared" ref="X129:X138" si="82">W129*U129</f>
        <v>1390636.4727272724</v>
      </c>
      <c r="Y129" s="120">
        <f t="shared" ref="Y129:Y138" si="83">(X129*R129)</f>
        <v>122376009.59999998</v>
      </c>
      <c r="Z129" s="171">
        <f t="shared" ref="Z129:Z138" si="84">Y129*$D$308</f>
        <v>1835640.1439999996</v>
      </c>
      <c r="AA129" s="171">
        <f t="shared" ref="AA129:AA138" si="85">(Y129*$D$309)+(Y129*$D$310)</f>
        <v>1590888.1247999999</v>
      </c>
      <c r="AB129" s="171">
        <f t="shared" ref="AB129:AB138" si="86">Y129*$D$311</f>
        <v>0</v>
      </c>
      <c r="AC129" s="173">
        <f>SUM(Y129)-SUM(Z129:AA129)</f>
        <v>118949481.33119997</v>
      </c>
    </row>
    <row r="130" spans="1:30" ht="22.5" x14ac:dyDescent="0.2">
      <c r="A130" s="336"/>
      <c r="B130" s="8" t="s">
        <v>40</v>
      </c>
      <c r="C130" s="121">
        <f t="shared" ref="C130:C138" si="87">H62-R130</f>
        <v>0</v>
      </c>
      <c r="D130" s="320">
        <f>100%-S130</f>
        <v>1</v>
      </c>
      <c r="E130" s="26">
        <f t="shared" si="75"/>
        <v>0</v>
      </c>
      <c r="F130" s="26" t="str">
        <f t="shared" ref="F130:F138" si="88">IFERROR(E130/C130, "0")</f>
        <v>0</v>
      </c>
      <c r="G130" s="47">
        <f t="shared" si="76"/>
        <v>0</v>
      </c>
      <c r="H130" s="201"/>
      <c r="I130" s="121">
        <f t="shared" ref="I130:I138" si="89">H130*F130</f>
        <v>0</v>
      </c>
      <c r="J130" s="174">
        <f t="shared" ref="J130:J138" si="90">I130*C130</f>
        <v>0</v>
      </c>
      <c r="L130" s="8" t="s">
        <v>40</v>
      </c>
      <c r="M130" s="47">
        <v>0.08</v>
      </c>
      <c r="N130" s="121">
        <f t="shared" si="77"/>
        <v>0</v>
      </c>
      <c r="O130" s="122">
        <f t="shared" si="78"/>
        <v>0</v>
      </c>
      <c r="Q130" s="8" t="s">
        <v>40</v>
      </c>
      <c r="R130" s="109"/>
      <c r="S130" s="320" t="str">
        <f t="shared" ref="S130:S138" si="91">IFERROR(R130/H62, "0.00%")</f>
        <v>0.00%</v>
      </c>
      <c r="T130" s="26">
        <f t="shared" si="79"/>
        <v>0</v>
      </c>
      <c r="U130" s="26" t="str">
        <f t="shared" si="80"/>
        <v>0</v>
      </c>
      <c r="V130" s="47">
        <f t="shared" si="81"/>
        <v>0</v>
      </c>
      <c r="W130" s="201"/>
      <c r="X130" s="121">
        <f t="shared" si="82"/>
        <v>0</v>
      </c>
      <c r="Y130" s="121">
        <f t="shared" si="83"/>
        <v>0</v>
      </c>
      <c r="Z130" s="27">
        <f t="shared" si="84"/>
        <v>0</v>
      </c>
      <c r="AA130" s="27">
        <f t="shared" si="85"/>
        <v>0</v>
      </c>
      <c r="AB130" s="27">
        <f t="shared" si="86"/>
        <v>0</v>
      </c>
      <c r="AC130" s="174">
        <f t="shared" ref="AC130:AC137" si="92">SUM(Y130)-SUM(Z130:AA130)</f>
        <v>0</v>
      </c>
    </row>
    <row r="131" spans="1:30" ht="22.5" x14ac:dyDescent="0.2">
      <c r="A131" s="336"/>
      <c r="B131" s="7" t="s">
        <v>41</v>
      </c>
      <c r="C131" s="120">
        <f t="shared" si="87"/>
        <v>0</v>
      </c>
      <c r="D131" s="321">
        <f t="shared" ref="D131:D138" si="93">100%-S131</f>
        <v>1</v>
      </c>
      <c r="E131" s="118">
        <f t="shared" si="75"/>
        <v>0</v>
      </c>
      <c r="F131" s="118" t="str">
        <f t="shared" si="88"/>
        <v>0</v>
      </c>
      <c r="G131" s="46">
        <f t="shared" si="76"/>
        <v>0</v>
      </c>
      <c r="H131" s="200"/>
      <c r="I131" s="120">
        <f t="shared" si="89"/>
        <v>0</v>
      </c>
      <c r="J131" s="173">
        <f t="shared" si="90"/>
        <v>0</v>
      </c>
      <c r="L131" s="7" t="s">
        <v>41</v>
      </c>
      <c r="M131" s="46">
        <v>0.08</v>
      </c>
      <c r="N131" s="120">
        <f t="shared" si="77"/>
        <v>0</v>
      </c>
      <c r="O131" s="104">
        <f t="shared" si="78"/>
        <v>0</v>
      </c>
      <c r="Q131" s="7" t="s">
        <v>41</v>
      </c>
      <c r="R131" s="109"/>
      <c r="S131" s="321" t="str">
        <f t="shared" si="91"/>
        <v>0.00%</v>
      </c>
      <c r="T131" s="118">
        <f t="shared" si="79"/>
        <v>0</v>
      </c>
      <c r="U131" s="118" t="str">
        <f t="shared" si="80"/>
        <v>0</v>
      </c>
      <c r="V131" s="46">
        <f t="shared" si="81"/>
        <v>0</v>
      </c>
      <c r="W131" s="200"/>
      <c r="X131" s="120">
        <f t="shared" si="82"/>
        <v>0</v>
      </c>
      <c r="Y131" s="120">
        <f t="shared" si="83"/>
        <v>0</v>
      </c>
      <c r="Z131" s="171">
        <f t="shared" si="84"/>
        <v>0</v>
      </c>
      <c r="AA131" s="171">
        <f t="shared" si="85"/>
        <v>0</v>
      </c>
      <c r="AB131" s="171">
        <f t="shared" si="86"/>
        <v>0</v>
      </c>
      <c r="AC131" s="173">
        <f t="shared" si="92"/>
        <v>0</v>
      </c>
    </row>
    <row r="132" spans="1:30" ht="22.5" x14ac:dyDescent="0.2">
      <c r="A132" s="336"/>
      <c r="B132" s="8" t="s">
        <v>42</v>
      </c>
      <c r="C132" s="121">
        <f t="shared" si="87"/>
        <v>0</v>
      </c>
      <c r="D132" s="320">
        <f t="shared" si="93"/>
        <v>1</v>
      </c>
      <c r="E132" s="26">
        <f t="shared" si="75"/>
        <v>0</v>
      </c>
      <c r="F132" s="26" t="str">
        <f t="shared" si="88"/>
        <v>0</v>
      </c>
      <c r="G132" s="47">
        <f t="shared" si="76"/>
        <v>0</v>
      </c>
      <c r="H132" s="201"/>
      <c r="I132" s="121">
        <f t="shared" si="89"/>
        <v>0</v>
      </c>
      <c r="J132" s="174">
        <f t="shared" si="90"/>
        <v>0</v>
      </c>
      <c r="L132" s="8" t="s">
        <v>42</v>
      </c>
      <c r="M132" s="47">
        <v>0.08</v>
      </c>
      <c r="N132" s="121">
        <f t="shared" si="77"/>
        <v>0</v>
      </c>
      <c r="O132" s="122">
        <f t="shared" si="78"/>
        <v>0</v>
      </c>
      <c r="Q132" s="8" t="s">
        <v>42</v>
      </c>
      <c r="R132" s="109"/>
      <c r="S132" s="320" t="str">
        <f t="shared" si="91"/>
        <v>0.00%</v>
      </c>
      <c r="T132" s="26">
        <f t="shared" si="79"/>
        <v>0</v>
      </c>
      <c r="U132" s="26" t="str">
        <f t="shared" si="80"/>
        <v>0</v>
      </c>
      <c r="V132" s="47">
        <f t="shared" si="81"/>
        <v>0</v>
      </c>
      <c r="W132" s="201"/>
      <c r="X132" s="121">
        <f t="shared" si="82"/>
        <v>0</v>
      </c>
      <c r="Y132" s="121">
        <f t="shared" si="83"/>
        <v>0</v>
      </c>
      <c r="Z132" s="27">
        <f t="shared" si="84"/>
        <v>0</v>
      </c>
      <c r="AA132" s="27">
        <f t="shared" si="85"/>
        <v>0</v>
      </c>
      <c r="AB132" s="27">
        <f t="shared" si="86"/>
        <v>0</v>
      </c>
      <c r="AC132" s="174">
        <f t="shared" si="92"/>
        <v>0</v>
      </c>
    </row>
    <row r="133" spans="1:30" ht="22.5" x14ac:dyDescent="0.2">
      <c r="A133" s="336"/>
      <c r="B133" s="7" t="s">
        <v>66</v>
      </c>
      <c r="C133" s="120">
        <f t="shared" si="87"/>
        <v>0</v>
      </c>
      <c r="D133" s="321">
        <f t="shared" si="93"/>
        <v>1</v>
      </c>
      <c r="E133" s="118">
        <f t="shared" si="75"/>
        <v>0</v>
      </c>
      <c r="F133" s="118" t="str">
        <f t="shared" si="88"/>
        <v>0</v>
      </c>
      <c r="G133" s="46">
        <f t="shared" si="76"/>
        <v>0</v>
      </c>
      <c r="H133" s="200"/>
      <c r="I133" s="120">
        <f t="shared" si="89"/>
        <v>0</v>
      </c>
      <c r="J133" s="173">
        <f t="shared" si="90"/>
        <v>0</v>
      </c>
      <c r="L133" s="7" t="s">
        <v>66</v>
      </c>
      <c r="M133" s="46">
        <v>7.0000000000000007E-2</v>
      </c>
      <c r="N133" s="120">
        <f t="shared" si="77"/>
        <v>0</v>
      </c>
      <c r="O133" s="104">
        <f t="shared" si="78"/>
        <v>0</v>
      </c>
      <c r="Q133" s="7" t="s">
        <v>66</v>
      </c>
      <c r="R133" s="109"/>
      <c r="S133" s="321" t="str">
        <f t="shared" si="91"/>
        <v>0.00%</v>
      </c>
      <c r="T133" s="118">
        <f t="shared" si="79"/>
        <v>0</v>
      </c>
      <c r="U133" s="118" t="str">
        <f t="shared" si="80"/>
        <v>0</v>
      </c>
      <c r="V133" s="46">
        <f t="shared" si="81"/>
        <v>0</v>
      </c>
      <c r="W133" s="200"/>
      <c r="X133" s="120">
        <f t="shared" si="82"/>
        <v>0</v>
      </c>
      <c r="Y133" s="120">
        <f t="shared" si="83"/>
        <v>0</v>
      </c>
      <c r="Z133" s="171">
        <f t="shared" si="84"/>
        <v>0</v>
      </c>
      <c r="AA133" s="171">
        <f t="shared" si="85"/>
        <v>0</v>
      </c>
      <c r="AB133" s="171">
        <f t="shared" si="86"/>
        <v>0</v>
      </c>
      <c r="AC133" s="173">
        <f t="shared" si="92"/>
        <v>0</v>
      </c>
    </row>
    <row r="134" spans="1:30" ht="22.5" x14ac:dyDescent="0.2">
      <c r="A134" s="336"/>
      <c r="B134" s="8" t="s">
        <v>303</v>
      </c>
      <c r="C134" s="121">
        <f t="shared" si="87"/>
        <v>40</v>
      </c>
      <c r="D134" s="320">
        <f t="shared" si="93"/>
        <v>1</v>
      </c>
      <c r="E134" s="26">
        <f t="shared" si="75"/>
        <v>6837.7400000000007</v>
      </c>
      <c r="F134" s="26">
        <f>IFERROR(E134/C134, "0")</f>
        <v>170.94350000000003</v>
      </c>
      <c r="G134" s="47">
        <f t="shared" si="76"/>
        <v>0</v>
      </c>
      <c r="H134" s="201"/>
      <c r="I134" s="121">
        <f>H134*F134</f>
        <v>0</v>
      </c>
      <c r="J134" s="174">
        <f t="shared" si="90"/>
        <v>0</v>
      </c>
      <c r="L134" s="8" t="s">
        <v>303</v>
      </c>
      <c r="M134" s="47">
        <v>0.08</v>
      </c>
      <c r="N134" s="121">
        <f>SUM(F152+V152)/M134</f>
        <v>5128305.0000000009</v>
      </c>
      <c r="O134" s="122">
        <f t="shared" si="78"/>
        <v>165644251.50000003</v>
      </c>
      <c r="Q134" s="8" t="s">
        <v>303</v>
      </c>
      <c r="R134" s="109"/>
      <c r="S134" s="320">
        <f t="shared" si="91"/>
        <v>0</v>
      </c>
      <c r="T134" s="26">
        <f t="shared" si="79"/>
        <v>0</v>
      </c>
      <c r="U134" s="26" t="str">
        <f t="shared" si="80"/>
        <v>0</v>
      </c>
      <c r="V134" s="47">
        <f t="shared" si="81"/>
        <v>0</v>
      </c>
      <c r="W134" s="201"/>
      <c r="X134" s="121">
        <f t="shared" si="82"/>
        <v>0</v>
      </c>
      <c r="Y134" s="121">
        <f t="shared" si="83"/>
        <v>0</v>
      </c>
      <c r="Z134" s="27">
        <f t="shared" si="84"/>
        <v>0</v>
      </c>
      <c r="AA134" s="27">
        <f t="shared" si="85"/>
        <v>0</v>
      </c>
      <c r="AB134" s="27">
        <f t="shared" si="86"/>
        <v>0</v>
      </c>
      <c r="AC134" s="174">
        <f t="shared" si="92"/>
        <v>0</v>
      </c>
    </row>
    <row r="135" spans="1:30" ht="22.5" x14ac:dyDescent="0.2">
      <c r="A135" s="336"/>
      <c r="B135" s="7" t="s">
        <v>43</v>
      </c>
      <c r="C135" s="120">
        <f t="shared" si="87"/>
        <v>40</v>
      </c>
      <c r="D135" s="321">
        <f t="shared" si="93"/>
        <v>1</v>
      </c>
      <c r="E135" s="118">
        <f t="shared" si="75"/>
        <v>4884.0999999999995</v>
      </c>
      <c r="F135" s="118">
        <f t="shared" si="88"/>
        <v>122.10249999999999</v>
      </c>
      <c r="G135" s="46">
        <f t="shared" si="76"/>
        <v>0</v>
      </c>
      <c r="H135" s="200"/>
      <c r="I135" s="120">
        <f t="shared" si="89"/>
        <v>0</v>
      </c>
      <c r="J135" s="173">
        <f t="shared" si="90"/>
        <v>0</v>
      </c>
      <c r="L135" s="7" t="s">
        <v>43</v>
      </c>
      <c r="M135" s="46">
        <v>0.08</v>
      </c>
      <c r="N135" s="120">
        <f t="shared" si="77"/>
        <v>3663075</v>
      </c>
      <c r="O135" s="104">
        <f t="shared" si="78"/>
        <v>118317322.5</v>
      </c>
      <c r="Q135" s="7" t="s">
        <v>43</v>
      </c>
      <c r="R135" s="109"/>
      <c r="S135" s="321">
        <f t="shared" si="91"/>
        <v>0</v>
      </c>
      <c r="T135" s="118">
        <f t="shared" si="79"/>
        <v>0</v>
      </c>
      <c r="U135" s="118" t="str">
        <f t="shared" si="80"/>
        <v>0</v>
      </c>
      <c r="V135" s="46">
        <f t="shared" si="81"/>
        <v>0</v>
      </c>
      <c r="W135" s="200"/>
      <c r="X135" s="120">
        <f t="shared" si="82"/>
        <v>0</v>
      </c>
      <c r="Y135" s="120">
        <f t="shared" si="83"/>
        <v>0</v>
      </c>
      <c r="Z135" s="171">
        <f t="shared" si="84"/>
        <v>0</v>
      </c>
      <c r="AA135" s="171">
        <f t="shared" si="85"/>
        <v>0</v>
      </c>
      <c r="AB135" s="171">
        <f t="shared" si="86"/>
        <v>0</v>
      </c>
      <c r="AC135" s="173">
        <f t="shared" si="92"/>
        <v>0</v>
      </c>
    </row>
    <row r="136" spans="1:30" ht="22.5" x14ac:dyDescent="0.2">
      <c r="A136" s="336"/>
      <c r="B136" s="8" t="s">
        <v>44</v>
      </c>
      <c r="C136" s="121">
        <f t="shared" si="87"/>
        <v>200</v>
      </c>
      <c r="D136" s="320">
        <f t="shared" si="93"/>
        <v>1</v>
      </c>
      <c r="E136" s="26">
        <f t="shared" si="75"/>
        <v>6722.82</v>
      </c>
      <c r="F136" s="26">
        <f>IFERROR(E136/C136, "0")</f>
        <v>33.614100000000001</v>
      </c>
      <c r="G136" s="47">
        <f t="shared" si="76"/>
        <v>0</v>
      </c>
      <c r="H136" s="201"/>
      <c r="I136" s="121">
        <f t="shared" si="89"/>
        <v>0</v>
      </c>
      <c r="J136" s="174">
        <f t="shared" si="90"/>
        <v>0</v>
      </c>
      <c r="L136" s="8" t="s">
        <v>44</v>
      </c>
      <c r="M136" s="47">
        <v>8.5000000000000006E-2</v>
      </c>
      <c r="N136" s="121">
        <f t="shared" si="77"/>
        <v>1803529.4117647058</v>
      </c>
      <c r="O136" s="122">
        <f t="shared" si="78"/>
        <v>338161764.70588231</v>
      </c>
      <c r="Q136" s="8" t="s">
        <v>44</v>
      </c>
      <c r="R136" s="109"/>
      <c r="S136" s="320">
        <f t="shared" si="91"/>
        <v>0</v>
      </c>
      <c r="T136" s="26">
        <f t="shared" si="79"/>
        <v>0</v>
      </c>
      <c r="U136" s="26" t="str">
        <f t="shared" si="80"/>
        <v>0</v>
      </c>
      <c r="V136" s="47">
        <f t="shared" si="81"/>
        <v>0</v>
      </c>
      <c r="W136" s="201"/>
      <c r="X136" s="121">
        <f t="shared" si="82"/>
        <v>0</v>
      </c>
      <c r="Y136" s="121">
        <f t="shared" si="83"/>
        <v>0</v>
      </c>
      <c r="Z136" s="27">
        <f t="shared" si="84"/>
        <v>0</v>
      </c>
      <c r="AA136" s="27">
        <f t="shared" si="85"/>
        <v>0</v>
      </c>
      <c r="AB136" s="27">
        <f t="shared" si="86"/>
        <v>0</v>
      </c>
      <c r="AC136" s="174">
        <f t="shared" si="92"/>
        <v>0</v>
      </c>
    </row>
    <row r="137" spans="1:30" ht="22.5" x14ac:dyDescent="0.2">
      <c r="A137" s="336"/>
      <c r="B137" s="7" t="s">
        <v>45</v>
      </c>
      <c r="C137" s="120">
        <f t="shared" si="87"/>
        <v>0</v>
      </c>
      <c r="D137" s="321">
        <f t="shared" si="93"/>
        <v>1</v>
      </c>
      <c r="E137" s="118">
        <f t="shared" si="75"/>
        <v>0</v>
      </c>
      <c r="F137" s="118" t="str">
        <f t="shared" si="88"/>
        <v>0</v>
      </c>
      <c r="G137" s="46">
        <f t="shared" si="76"/>
        <v>0</v>
      </c>
      <c r="H137" s="200"/>
      <c r="I137" s="120">
        <f t="shared" si="89"/>
        <v>0</v>
      </c>
      <c r="J137" s="173">
        <f t="shared" si="90"/>
        <v>0</v>
      </c>
      <c r="L137" s="7" t="s">
        <v>45</v>
      </c>
      <c r="M137" s="46">
        <v>7.0000000000000007E-2</v>
      </c>
      <c r="N137" s="120">
        <f t="shared" si="77"/>
        <v>0</v>
      </c>
      <c r="O137" s="104">
        <f t="shared" si="78"/>
        <v>0</v>
      </c>
      <c r="Q137" s="7" t="s">
        <v>45</v>
      </c>
      <c r="R137" s="109"/>
      <c r="S137" s="321" t="str">
        <f t="shared" si="91"/>
        <v>0.00%</v>
      </c>
      <c r="T137" s="118">
        <f t="shared" si="79"/>
        <v>0</v>
      </c>
      <c r="U137" s="118" t="str">
        <f t="shared" si="80"/>
        <v>0</v>
      </c>
      <c r="V137" s="46">
        <f t="shared" si="81"/>
        <v>0</v>
      </c>
      <c r="W137" s="200"/>
      <c r="X137" s="120">
        <f t="shared" si="82"/>
        <v>0</v>
      </c>
      <c r="Y137" s="120">
        <f t="shared" si="83"/>
        <v>0</v>
      </c>
      <c r="Z137" s="171">
        <f t="shared" si="84"/>
        <v>0</v>
      </c>
      <c r="AA137" s="171">
        <f t="shared" si="85"/>
        <v>0</v>
      </c>
      <c r="AB137" s="171">
        <f t="shared" si="86"/>
        <v>0</v>
      </c>
      <c r="AC137" s="173">
        <f t="shared" si="92"/>
        <v>0</v>
      </c>
    </row>
    <row r="138" spans="1:30" ht="33.75" x14ac:dyDescent="0.2">
      <c r="A138" s="336"/>
      <c r="B138" s="8" t="s">
        <v>523</v>
      </c>
      <c r="C138" s="121">
        <f t="shared" si="87"/>
        <v>0</v>
      </c>
      <c r="D138" s="320">
        <f t="shared" si="93"/>
        <v>1</v>
      </c>
      <c r="E138" s="26">
        <f t="shared" si="75"/>
        <v>0</v>
      </c>
      <c r="F138" s="26" t="str">
        <f t="shared" si="88"/>
        <v>0</v>
      </c>
      <c r="G138" s="47">
        <f t="shared" si="76"/>
        <v>0</v>
      </c>
      <c r="H138" s="201"/>
      <c r="I138" s="121">
        <f t="shared" si="89"/>
        <v>0</v>
      </c>
      <c r="J138" s="174">
        <f t="shared" si="90"/>
        <v>0</v>
      </c>
      <c r="L138" s="8" t="s">
        <v>523</v>
      </c>
      <c r="M138" s="47">
        <v>7.0000000000000007E-2</v>
      </c>
      <c r="N138" s="121">
        <f t="shared" si="77"/>
        <v>753546.85714285704</v>
      </c>
      <c r="O138" s="122">
        <f t="shared" si="78"/>
        <v>25620593.142857142</v>
      </c>
      <c r="Q138" s="8" t="s">
        <v>523</v>
      </c>
      <c r="R138" s="109"/>
      <c r="S138" s="320" t="str">
        <f t="shared" si="91"/>
        <v>0.00%</v>
      </c>
      <c r="T138" s="26">
        <f t="shared" si="79"/>
        <v>0</v>
      </c>
      <c r="U138" s="26" t="str">
        <f t="shared" si="80"/>
        <v>0</v>
      </c>
      <c r="V138" s="47">
        <f t="shared" si="81"/>
        <v>0</v>
      </c>
      <c r="W138" s="201"/>
      <c r="X138" s="121">
        <f t="shared" si="82"/>
        <v>0</v>
      </c>
      <c r="Y138" s="121">
        <f t="shared" si="83"/>
        <v>0</v>
      </c>
      <c r="Z138" s="27">
        <f t="shared" si="84"/>
        <v>0</v>
      </c>
      <c r="AA138" s="27">
        <f t="shared" si="85"/>
        <v>0</v>
      </c>
      <c r="AB138" s="27">
        <f t="shared" si="86"/>
        <v>0</v>
      </c>
      <c r="AC138" s="174">
        <f>SUM(Y138)-SUM(Z138:AA138)</f>
        <v>0</v>
      </c>
    </row>
    <row r="139" spans="1:30" ht="23.25" thickBot="1" x14ac:dyDescent="0.25">
      <c r="A139" s="336"/>
      <c r="B139" s="9" t="s">
        <v>98</v>
      </c>
      <c r="C139" s="11">
        <f>SUM(C129:C138)</f>
        <v>412</v>
      </c>
      <c r="D139" s="48" t="s">
        <v>68</v>
      </c>
      <c r="E139" s="10">
        <f>SUM(E129:E138)</f>
        <v>35441.327999999994</v>
      </c>
      <c r="F139" s="74">
        <f>IFERROR(E139/C139, "0")</f>
        <v>86.022640776699021</v>
      </c>
      <c r="G139" s="259">
        <f>SUMPRODUCT(G129:G138, E129:E138) / SUM(E129:E138)</f>
        <v>0</v>
      </c>
      <c r="H139" s="75">
        <f>SUMPRODUCT(H129:H138, E129:E138) / SUM(E129:E138)</f>
        <v>5994.6498054474714</v>
      </c>
      <c r="I139" s="75" cm="1">
        <f t="array" ref="I139">SUMPRODUCT((I129:I138&lt;&gt;0)*(I129:I138&lt;&gt;""), I129:I138, C129:C138) / SUMIFS(C129:C138, I129:I138, "&lt;&gt;0", I129:I138, "&lt;&gt;")</f>
        <v>1609532.9545454544</v>
      </c>
      <c r="J139" s="222">
        <f>SUMIF(J129:J138, "&lt;&gt;#DIV/0!")</f>
        <v>212458349.99999997</v>
      </c>
      <c r="L139" s="9" t="s">
        <v>98</v>
      </c>
      <c r="M139" s="54" t="s">
        <v>68</v>
      </c>
      <c r="N139" s="11" t="s">
        <v>68</v>
      </c>
      <c r="O139" s="13">
        <f>SUMIF(O129:O138, "&lt;&gt;#DIV/0!")</f>
        <v>647743931.8487395</v>
      </c>
      <c r="Q139" s="9" t="s">
        <v>98</v>
      </c>
      <c r="R139" s="11">
        <f>SUM(R129:R138)</f>
        <v>88</v>
      </c>
      <c r="S139" s="48" t="s">
        <v>68</v>
      </c>
      <c r="T139" s="10">
        <f>SUMIF(T129:T138, "&lt;&gt;#DIV/0!")</f>
        <v>11331.111999999999</v>
      </c>
      <c r="U139" s="74">
        <f>IFERROR(T139/R139, "0")</f>
        <v>128.76263636363635</v>
      </c>
      <c r="V139" s="259">
        <f>SUMPRODUCT(V129:V138, T129:T138) / SUM(T129:T138)</f>
        <v>0</v>
      </c>
      <c r="W139" s="75">
        <f>SUMPRODUCT(W129:W138, T129:T138) / SUM(T129:T138)</f>
        <v>10800</v>
      </c>
      <c r="X139" s="75" cm="1">
        <f t="array" ref="X139">SUMPRODUCT((X129:X138&lt;&gt;0)*(X129:X138&lt;&gt;""), X129:X138, R129:R138) / SUMIFS(R129:R138, X129:X138, "&lt;&gt;0", X129:X138, "&lt;&gt;")</f>
        <v>1390636.4727272724</v>
      </c>
      <c r="Y139" s="11">
        <f>SUMIF(Y129:Y138, "&lt;&gt;#DIV/0!")</f>
        <v>122376009.59999998</v>
      </c>
      <c r="Z139" s="172">
        <f>SUMIF(Z129:Z138, "&lt;&gt;#DIV/0!")</f>
        <v>1835640.1439999996</v>
      </c>
      <c r="AA139" s="172">
        <f>SUMIF(AA129:AA138, "&lt;&gt;#DIV/0!")</f>
        <v>1590888.1247999999</v>
      </c>
      <c r="AB139" s="172">
        <f>SUMIF(AB129:AB138, "&lt;&gt;#DIV/0!")</f>
        <v>0</v>
      </c>
      <c r="AC139" s="175">
        <f>SUMIF(AC129:AC138, "&lt;&gt;#DIV/0!")</f>
        <v>118949481.33119997</v>
      </c>
    </row>
    <row r="140" spans="1:30" x14ac:dyDescent="0.2">
      <c r="AC140" s="336"/>
    </row>
    <row r="141" spans="1:30" x14ac:dyDescent="0.2">
      <c r="A141" s="223"/>
    </row>
    <row r="142" spans="1:30" x14ac:dyDescent="0.2">
      <c r="G142" s="223"/>
    </row>
    <row r="143" spans="1:30" x14ac:dyDescent="0.2">
      <c r="C143" s="336"/>
      <c r="D143" s="336"/>
      <c r="E143" s="336"/>
      <c r="F143" s="336"/>
      <c r="G143" s="336"/>
      <c r="J143" s="342"/>
      <c r="L143" s="336"/>
      <c r="M143" s="336"/>
      <c r="N143" s="336"/>
      <c r="P143" s="336"/>
      <c r="Q143" s="336"/>
      <c r="R143" s="336"/>
      <c r="S143" s="336"/>
      <c r="T143" s="336"/>
      <c r="U143" s="336"/>
      <c r="V143" s="336"/>
      <c r="W143" s="336"/>
      <c r="X143" s="336"/>
      <c r="Z143" s="336"/>
      <c r="AA143" s="336"/>
      <c r="AB143" s="336"/>
      <c r="AC143" s="336"/>
      <c r="AD143" s="336"/>
    </row>
    <row r="144" spans="1:30" ht="12" thickBot="1" x14ac:dyDescent="0.25">
      <c r="C144" s="336"/>
      <c r="D144" s="336"/>
      <c r="E144" s="336"/>
      <c r="F144" s="336"/>
      <c r="G144" s="336"/>
      <c r="J144" s="336"/>
      <c r="AD144" s="336"/>
    </row>
    <row r="145" spans="1:31" ht="12.75" x14ac:dyDescent="0.2">
      <c r="A145" s="223"/>
      <c r="B145" s="690" t="s">
        <v>224</v>
      </c>
      <c r="C145" s="691"/>
      <c r="D145" s="691"/>
      <c r="E145" s="691"/>
      <c r="F145" s="691"/>
      <c r="G145" s="691"/>
      <c r="H145" s="691"/>
      <c r="I145" s="691"/>
      <c r="J145" s="691"/>
      <c r="K145" s="691"/>
      <c r="L145" s="691"/>
      <c r="M145" s="692"/>
      <c r="Q145" s="577" t="s">
        <v>125</v>
      </c>
      <c r="R145" s="578"/>
      <c r="S145" s="578"/>
      <c r="T145" s="578"/>
      <c r="U145" s="578"/>
      <c r="V145" s="578"/>
      <c r="W145" s="578"/>
      <c r="X145" s="578"/>
      <c r="Y145" s="578"/>
      <c r="Z145" s="578"/>
      <c r="AA145" s="578"/>
      <c r="AB145" s="578"/>
      <c r="AC145" s="579"/>
    </row>
    <row r="146" spans="1:31" ht="27" x14ac:dyDescent="0.2">
      <c r="A146" s="223"/>
      <c r="B146" s="119" t="s">
        <v>38</v>
      </c>
      <c r="C146" s="116" t="s">
        <v>126</v>
      </c>
      <c r="D146" s="116" t="s">
        <v>127</v>
      </c>
      <c r="E146" s="116" t="s">
        <v>128</v>
      </c>
      <c r="F146" s="116" t="s">
        <v>370</v>
      </c>
      <c r="G146" s="116" t="s">
        <v>129</v>
      </c>
      <c r="H146" s="116" t="s">
        <v>130</v>
      </c>
      <c r="I146" s="116" t="s">
        <v>331</v>
      </c>
      <c r="J146" s="116" t="s">
        <v>369</v>
      </c>
      <c r="K146" s="116" t="s">
        <v>363</v>
      </c>
      <c r="L146" s="116" t="s">
        <v>367</v>
      </c>
      <c r="M146" s="117" t="s">
        <v>221</v>
      </c>
      <c r="Q146" s="50" t="s">
        <v>38</v>
      </c>
      <c r="R146" s="51" t="s">
        <v>126</v>
      </c>
      <c r="S146" s="51" t="s">
        <v>129</v>
      </c>
      <c r="T146" s="51" t="s">
        <v>365</v>
      </c>
      <c r="U146" s="51" t="s">
        <v>131</v>
      </c>
      <c r="V146" s="51" t="s">
        <v>132</v>
      </c>
      <c r="W146" s="51" t="s">
        <v>488</v>
      </c>
      <c r="X146" s="51" t="s">
        <v>8</v>
      </c>
      <c r="Y146" s="51" t="s">
        <v>341</v>
      </c>
      <c r="Z146" s="116" t="s">
        <v>363</v>
      </c>
      <c r="AA146" s="43" t="s">
        <v>367</v>
      </c>
      <c r="AB146" s="116" t="s">
        <v>411</v>
      </c>
      <c r="AC146" s="52" t="s">
        <v>222</v>
      </c>
    </row>
    <row r="147" spans="1:31" ht="22.5" x14ac:dyDescent="0.2">
      <c r="A147" s="223"/>
      <c r="B147" s="7" t="s">
        <v>39</v>
      </c>
      <c r="C147" s="120">
        <f>H61</f>
        <v>220</v>
      </c>
      <c r="D147" s="118">
        <f t="shared" ref="D147:D156" si="94">G61</f>
        <v>128.76263636363635</v>
      </c>
      <c r="E147" s="250"/>
      <c r="F147" s="120">
        <f>E147*D147</f>
        <v>0</v>
      </c>
      <c r="G147" s="197"/>
      <c r="H147" s="120">
        <f t="shared" ref="H147:H156" si="95">(F147*C147)*G147</f>
        <v>0</v>
      </c>
      <c r="I147" s="200">
        <f t="shared" ref="I147:I156" si="96">$I$158*H147</f>
        <v>0</v>
      </c>
      <c r="J147" s="120">
        <f t="shared" ref="J147:J156" si="97">IFERROR((AU3 * (M129/100)) / (F61 * (G147/100) * (1 - ($I$158/100))), 0)</f>
        <v>0</v>
      </c>
      <c r="K147" s="20" t="str">
        <f>IFERROR(100%/L147, "0")</f>
        <v>0</v>
      </c>
      <c r="L147" s="197">
        <f t="shared" ref="L147:L156" si="98">IFERROR(M147/(AU3-AT3), "0.00%")</f>
        <v>0</v>
      </c>
      <c r="M147" s="173">
        <f t="shared" ref="M147:M156" si="99">H147-I147</f>
        <v>0</v>
      </c>
      <c r="Q147" s="7" t="s">
        <v>39</v>
      </c>
      <c r="R147" s="120">
        <f>H61</f>
        <v>220</v>
      </c>
      <c r="S147" s="197"/>
      <c r="T147" s="120">
        <f t="shared" ref="T147:T155" si="100">R147*S147*365</f>
        <v>0</v>
      </c>
      <c r="U147" s="250"/>
      <c r="V147" s="120">
        <f t="shared" ref="V147:V156" si="101">IFERROR((U147*T147)/R147, "0")</f>
        <v>0</v>
      </c>
      <c r="W147" s="197"/>
      <c r="X147" s="120">
        <f t="shared" ref="X147:X156" si="102">(U147*T147)+((T147*U147)*W147)</f>
        <v>0</v>
      </c>
      <c r="Y147" s="171">
        <f t="shared" ref="Y147:Y156" si="103">X147*$Y$158</f>
        <v>0</v>
      </c>
      <c r="Z147" s="20">
        <f t="shared" ref="Z147:Z156" si="104">IFERROR((AU3-AT3) / ((U147 * R147 * (1 - $Y$158) * S147 * 365) * (1 + W147)), 0)</f>
        <v>0</v>
      </c>
      <c r="AA147" s="197">
        <f t="shared" ref="AA147:AA156" si="105">IFERROR(AC147/(AU3-AT3), "0.00%")</f>
        <v>0</v>
      </c>
      <c r="AB147" s="120">
        <f t="shared" ref="AB147:AB156" si="106">IFERROR(((AU3-AT3) * (M129/100)) / (R147 * (S147/100) * (1 - ($Y$158/100)) * 365), 0)*(1+W147)</f>
        <v>0</v>
      </c>
      <c r="AC147" s="173">
        <f t="shared" ref="AC147:AC156" si="107">X147-Y147</f>
        <v>0</v>
      </c>
    </row>
    <row r="148" spans="1:31" ht="22.5" x14ac:dyDescent="0.2">
      <c r="A148" s="223"/>
      <c r="B148" s="8" t="s">
        <v>40</v>
      </c>
      <c r="C148" s="121">
        <f t="shared" ref="C148:C156" si="108">H62</f>
        <v>0</v>
      </c>
      <c r="D148" s="26" t="str">
        <f t="shared" si="94"/>
        <v>0</v>
      </c>
      <c r="E148" s="247"/>
      <c r="F148" s="121">
        <f t="shared" ref="F148:F156" si="109">E148*D148</f>
        <v>0</v>
      </c>
      <c r="G148" s="47"/>
      <c r="H148" s="121">
        <f t="shared" si="95"/>
        <v>0</v>
      </c>
      <c r="I148" s="201">
        <f t="shared" si="96"/>
        <v>0</v>
      </c>
      <c r="J148" s="121">
        <f t="shared" si="97"/>
        <v>0</v>
      </c>
      <c r="K148" s="241" t="str">
        <f t="shared" ref="K148:K151" si="110">IFERROR(100%/L148, "0")</f>
        <v>0</v>
      </c>
      <c r="L148" s="248" t="str">
        <f t="shared" si="98"/>
        <v>0.00%</v>
      </c>
      <c r="M148" s="174">
        <f t="shared" si="99"/>
        <v>0</v>
      </c>
      <c r="Q148" s="8" t="s">
        <v>40</v>
      </c>
      <c r="R148" s="121">
        <f t="shared" ref="R148:R156" si="111">H62</f>
        <v>0</v>
      </c>
      <c r="S148" s="47"/>
      <c r="T148" s="121">
        <f t="shared" si="100"/>
        <v>0</v>
      </c>
      <c r="U148" s="247"/>
      <c r="V148" s="121" t="str">
        <f t="shared" si="101"/>
        <v>0</v>
      </c>
      <c r="W148" s="47"/>
      <c r="X148" s="121">
        <f t="shared" si="102"/>
        <v>0</v>
      </c>
      <c r="Y148" s="27">
        <f t="shared" si="103"/>
        <v>0</v>
      </c>
      <c r="Z148" s="241">
        <f t="shared" si="104"/>
        <v>0</v>
      </c>
      <c r="AA148" s="244" t="str">
        <f t="shared" si="105"/>
        <v>0.00%</v>
      </c>
      <c r="AB148" s="121">
        <f t="shared" si="106"/>
        <v>0</v>
      </c>
      <c r="AC148" s="174">
        <f t="shared" si="107"/>
        <v>0</v>
      </c>
    </row>
    <row r="149" spans="1:31" ht="22.5" x14ac:dyDescent="0.2">
      <c r="A149" s="223"/>
      <c r="B149" s="7" t="s">
        <v>41</v>
      </c>
      <c r="C149" s="120">
        <f t="shared" si="108"/>
        <v>0</v>
      </c>
      <c r="D149" s="118" t="str">
        <f t="shared" si="94"/>
        <v>0</v>
      </c>
      <c r="E149" s="250"/>
      <c r="F149" s="120">
        <f t="shared" si="109"/>
        <v>0</v>
      </c>
      <c r="G149" s="197"/>
      <c r="H149" s="120">
        <f t="shared" si="95"/>
        <v>0</v>
      </c>
      <c r="I149" s="200">
        <f t="shared" si="96"/>
        <v>0</v>
      </c>
      <c r="J149" s="120">
        <f t="shared" si="97"/>
        <v>0</v>
      </c>
      <c r="K149" s="20" t="str">
        <f t="shared" si="110"/>
        <v>0</v>
      </c>
      <c r="L149" s="46" t="str">
        <f t="shared" si="98"/>
        <v>0.00%</v>
      </c>
      <c r="M149" s="173">
        <f t="shared" si="99"/>
        <v>0</v>
      </c>
      <c r="Q149" s="7" t="s">
        <v>41</v>
      </c>
      <c r="R149" s="120">
        <f t="shared" si="111"/>
        <v>0</v>
      </c>
      <c r="S149" s="197"/>
      <c r="T149" s="120">
        <f t="shared" si="100"/>
        <v>0</v>
      </c>
      <c r="U149" s="250"/>
      <c r="V149" s="120" t="str">
        <f t="shared" si="101"/>
        <v>0</v>
      </c>
      <c r="W149" s="197"/>
      <c r="X149" s="120">
        <f t="shared" si="102"/>
        <v>0</v>
      </c>
      <c r="Y149" s="171">
        <f t="shared" si="103"/>
        <v>0</v>
      </c>
      <c r="Z149" s="20">
        <f t="shared" si="104"/>
        <v>0</v>
      </c>
      <c r="AA149" s="46" t="str">
        <f t="shared" si="105"/>
        <v>0.00%</v>
      </c>
      <c r="AB149" s="120">
        <f t="shared" si="106"/>
        <v>0</v>
      </c>
      <c r="AC149" s="173">
        <f t="shared" si="107"/>
        <v>0</v>
      </c>
    </row>
    <row r="150" spans="1:31" ht="22.5" x14ac:dyDescent="0.2">
      <c r="A150" s="223"/>
      <c r="B150" s="8" t="s">
        <v>42</v>
      </c>
      <c r="C150" s="121">
        <f t="shared" si="108"/>
        <v>0</v>
      </c>
      <c r="D150" s="26" t="str">
        <f t="shared" si="94"/>
        <v>0</v>
      </c>
      <c r="E150" s="247"/>
      <c r="F150" s="121">
        <f t="shared" si="109"/>
        <v>0</v>
      </c>
      <c r="G150" s="47"/>
      <c r="H150" s="121">
        <f t="shared" si="95"/>
        <v>0</v>
      </c>
      <c r="I150" s="201">
        <f t="shared" si="96"/>
        <v>0</v>
      </c>
      <c r="J150" s="121">
        <f t="shared" si="97"/>
        <v>0</v>
      </c>
      <c r="K150" s="241" t="str">
        <f t="shared" si="110"/>
        <v>0</v>
      </c>
      <c r="L150" s="47" t="str">
        <f t="shared" si="98"/>
        <v>0.00%</v>
      </c>
      <c r="M150" s="174">
        <f t="shared" si="99"/>
        <v>0</v>
      </c>
      <c r="Q150" s="8" t="s">
        <v>42</v>
      </c>
      <c r="R150" s="121">
        <f t="shared" si="111"/>
        <v>0</v>
      </c>
      <c r="S150" s="47"/>
      <c r="T150" s="121">
        <f t="shared" si="100"/>
        <v>0</v>
      </c>
      <c r="U150" s="247"/>
      <c r="V150" s="121" t="str">
        <f t="shared" si="101"/>
        <v>0</v>
      </c>
      <c r="W150" s="47"/>
      <c r="X150" s="121">
        <f t="shared" si="102"/>
        <v>0</v>
      </c>
      <c r="Y150" s="27">
        <f t="shared" si="103"/>
        <v>0</v>
      </c>
      <c r="Z150" s="241">
        <f t="shared" si="104"/>
        <v>0</v>
      </c>
      <c r="AA150" s="47" t="str">
        <f t="shared" si="105"/>
        <v>0.00%</v>
      </c>
      <c r="AB150" s="121">
        <f t="shared" si="106"/>
        <v>0</v>
      </c>
      <c r="AC150" s="174">
        <f t="shared" si="107"/>
        <v>0</v>
      </c>
    </row>
    <row r="151" spans="1:31" ht="22.5" x14ac:dyDescent="0.2">
      <c r="A151" s="223"/>
      <c r="B151" s="7" t="s">
        <v>66</v>
      </c>
      <c r="C151" s="120">
        <f t="shared" si="108"/>
        <v>0</v>
      </c>
      <c r="D151" s="118" t="str">
        <f t="shared" si="94"/>
        <v>0</v>
      </c>
      <c r="E151" s="250"/>
      <c r="F151" s="120">
        <f t="shared" si="109"/>
        <v>0</v>
      </c>
      <c r="G151" s="197"/>
      <c r="H151" s="120">
        <f t="shared" si="95"/>
        <v>0</v>
      </c>
      <c r="I151" s="200">
        <f t="shared" si="96"/>
        <v>0</v>
      </c>
      <c r="J151" s="120">
        <f t="shared" si="97"/>
        <v>0</v>
      </c>
      <c r="K151" s="20" t="str">
        <f t="shared" si="110"/>
        <v>0</v>
      </c>
      <c r="L151" s="46" t="str">
        <f t="shared" si="98"/>
        <v>0.00%</v>
      </c>
      <c r="M151" s="173">
        <f t="shared" si="99"/>
        <v>0</v>
      </c>
      <c r="Q151" s="7" t="s">
        <v>66</v>
      </c>
      <c r="R151" s="120">
        <f t="shared" si="111"/>
        <v>0</v>
      </c>
      <c r="S151" s="197"/>
      <c r="T151" s="120">
        <f>R151*S151*365</f>
        <v>0</v>
      </c>
      <c r="U151" s="250"/>
      <c r="V151" s="120" t="str">
        <f t="shared" si="101"/>
        <v>0</v>
      </c>
      <c r="W151" s="197"/>
      <c r="X151" s="120">
        <f t="shared" si="102"/>
        <v>0</v>
      </c>
      <c r="Y151" s="171">
        <f t="shared" si="103"/>
        <v>0</v>
      </c>
      <c r="Z151" s="20">
        <f t="shared" si="104"/>
        <v>0</v>
      </c>
      <c r="AA151" s="46" t="str">
        <f t="shared" si="105"/>
        <v>0.00%</v>
      </c>
      <c r="AB151" s="120">
        <f t="shared" si="106"/>
        <v>0</v>
      </c>
      <c r="AC151" s="173">
        <f t="shared" si="107"/>
        <v>0</v>
      </c>
    </row>
    <row r="152" spans="1:31" ht="22.5" x14ac:dyDescent="0.2">
      <c r="A152" s="223"/>
      <c r="B152" s="8" t="s">
        <v>303</v>
      </c>
      <c r="C152" s="121">
        <f t="shared" si="108"/>
        <v>40</v>
      </c>
      <c r="D152" s="26">
        <f t="shared" si="94"/>
        <v>170.94350000000003</v>
      </c>
      <c r="E152" s="247">
        <v>2400</v>
      </c>
      <c r="F152" s="121">
        <f>E152*D152</f>
        <v>410264.40000000008</v>
      </c>
      <c r="G152" s="47">
        <v>0.85</v>
      </c>
      <c r="H152" s="121">
        <f>(F152*C152)*G152</f>
        <v>13948989.600000003</v>
      </c>
      <c r="I152" s="201">
        <f>$I$158*H152</f>
        <v>697449.48000000021</v>
      </c>
      <c r="J152" s="121">
        <f t="shared" si="97"/>
        <v>1607.0723386962861</v>
      </c>
      <c r="K152" s="241">
        <f>IFERROR(100%/L152, "0")</f>
        <v>8.7536666805204923</v>
      </c>
      <c r="L152" s="47">
        <f t="shared" si="98"/>
        <v>0.11423784300872421</v>
      </c>
      <c r="M152" s="174">
        <f>H152-I152</f>
        <v>13251540.120000003</v>
      </c>
      <c r="Q152" s="8" t="s">
        <v>303</v>
      </c>
      <c r="R152" s="121">
        <f t="shared" si="111"/>
        <v>40</v>
      </c>
      <c r="S152" s="47"/>
      <c r="T152" s="121">
        <f t="shared" si="100"/>
        <v>0</v>
      </c>
      <c r="U152" s="247"/>
      <c r="V152" s="121">
        <f t="shared" si="101"/>
        <v>0</v>
      </c>
      <c r="W152" s="47"/>
      <c r="X152" s="121">
        <f t="shared" si="102"/>
        <v>0</v>
      </c>
      <c r="Y152" s="27">
        <f t="shared" si="103"/>
        <v>0</v>
      </c>
      <c r="Z152" s="241">
        <f t="shared" si="104"/>
        <v>0</v>
      </c>
      <c r="AA152" s="47">
        <f t="shared" si="105"/>
        <v>0</v>
      </c>
      <c r="AB152" s="121">
        <f t="shared" si="106"/>
        <v>0</v>
      </c>
      <c r="AC152" s="174">
        <f t="shared" si="107"/>
        <v>0</v>
      </c>
    </row>
    <row r="153" spans="1:31" ht="22.5" x14ac:dyDescent="0.2">
      <c r="A153" s="223"/>
      <c r="B153" s="7" t="s">
        <v>43</v>
      </c>
      <c r="C153" s="120">
        <f t="shared" si="108"/>
        <v>40</v>
      </c>
      <c r="D153" s="118">
        <f t="shared" si="94"/>
        <v>122.10249999999999</v>
      </c>
      <c r="E153" s="250">
        <v>2400</v>
      </c>
      <c r="F153" s="120">
        <f>E153*D153</f>
        <v>293046</v>
      </c>
      <c r="G153" s="197">
        <v>0.85</v>
      </c>
      <c r="H153" s="120">
        <f t="shared" si="95"/>
        <v>9963564</v>
      </c>
      <c r="I153" s="200">
        <f>$I$158*H153</f>
        <v>498178.2</v>
      </c>
      <c r="J153" s="120">
        <f t="shared" si="97"/>
        <v>1466.5977296173346</v>
      </c>
      <c r="K153" s="20">
        <f>IFERROR(100%/L153, "0")</f>
        <v>7.983905870353758</v>
      </c>
      <c r="L153" s="46">
        <f t="shared" si="98"/>
        <v>0.12525197769593582</v>
      </c>
      <c r="M153" s="173">
        <f t="shared" si="99"/>
        <v>9465385.8000000007</v>
      </c>
      <c r="Q153" s="7" t="s">
        <v>43</v>
      </c>
      <c r="R153" s="120">
        <f t="shared" si="111"/>
        <v>40</v>
      </c>
      <c r="S153" s="197"/>
      <c r="T153" s="120">
        <f t="shared" si="100"/>
        <v>0</v>
      </c>
      <c r="U153" s="250"/>
      <c r="V153" s="120">
        <f t="shared" si="101"/>
        <v>0</v>
      </c>
      <c r="W153" s="197"/>
      <c r="X153" s="120">
        <f t="shared" si="102"/>
        <v>0</v>
      </c>
      <c r="Y153" s="171">
        <f t="shared" si="103"/>
        <v>0</v>
      </c>
      <c r="Z153" s="20">
        <f t="shared" si="104"/>
        <v>0</v>
      </c>
      <c r="AA153" s="46">
        <f t="shared" si="105"/>
        <v>0</v>
      </c>
      <c r="AB153" s="120">
        <f t="shared" si="106"/>
        <v>0</v>
      </c>
      <c r="AC153" s="173">
        <f t="shared" si="107"/>
        <v>0</v>
      </c>
    </row>
    <row r="154" spans="1:31" ht="22.5" x14ac:dyDescent="0.2">
      <c r="A154" s="223"/>
      <c r="B154" s="8" t="s">
        <v>44</v>
      </c>
      <c r="C154" s="121">
        <f t="shared" si="108"/>
        <v>200</v>
      </c>
      <c r="D154" s="26">
        <f t="shared" si="94"/>
        <v>33.614100000000001</v>
      </c>
      <c r="E154" s="247"/>
      <c r="F154" s="121">
        <f t="shared" si="109"/>
        <v>0</v>
      </c>
      <c r="G154" s="47"/>
      <c r="H154" s="121">
        <f t="shared" si="95"/>
        <v>0</v>
      </c>
      <c r="I154" s="201">
        <f t="shared" si="96"/>
        <v>0</v>
      </c>
      <c r="J154" s="121">
        <f t="shared" si="97"/>
        <v>0</v>
      </c>
      <c r="K154" s="241" t="str">
        <f t="shared" ref="K154:K156" si="112">IFERROR(100%/L154, "0")</f>
        <v>0</v>
      </c>
      <c r="L154" s="47">
        <f t="shared" si="98"/>
        <v>0</v>
      </c>
      <c r="M154" s="174">
        <f t="shared" si="99"/>
        <v>0</v>
      </c>
      <c r="Q154" s="8" t="s">
        <v>44</v>
      </c>
      <c r="R154" s="121">
        <f t="shared" si="111"/>
        <v>200</v>
      </c>
      <c r="S154" s="47">
        <v>0.6</v>
      </c>
      <c r="T154" s="121">
        <f t="shared" si="100"/>
        <v>43800</v>
      </c>
      <c r="U154" s="247">
        <v>700</v>
      </c>
      <c r="V154" s="121">
        <f>IFERROR((U154*T154)/R154, "0")</f>
        <v>153300</v>
      </c>
      <c r="W154" s="47">
        <v>0.25</v>
      </c>
      <c r="X154" s="121">
        <f>(U154*T154)+((T154*U154)*W154)</f>
        <v>38325000</v>
      </c>
      <c r="Y154" s="27">
        <f>X154*$Y$158</f>
        <v>9581250</v>
      </c>
      <c r="Z154" s="241">
        <f t="shared" si="104"/>
        <v>6.0152467531083564</v>
      </c>
      <c r="AA154" s="47">
        <f t="shared" si="105"/>
        <v>0.16624421923892876</v>
      </c>
      <c r="AB154" s="121">
        <f t="shared" si="106"/>
        <v>420.47366284063349</v>
      </c>
      <c r="AC154" s="174">
        <f>X154-Y154</f>
        <v>28743750</v>
      </c>
    </row>
    <row r="155" spans="1:31" ht="22.5" x14ac:dyDescent="0.2">
      <c r="A155" s="223"/>
      <c r="B155" s="7" t="s">
        <v>45</v>
      </c>
      <c r="C155" s="120">
        <f t="shared" si="108"/>
        <v>0</v>
      </c>
      <c r="D155" s="118" t="str">
        <f t="shared" si="94"/>
        <v>0</v>
      </c>
      <c r="E155" s="250"/>
      <c r="F155" s="120">
        <f t="shared" si="109"/>
        <v>0</v>
      </c>
      <c r="G155" s="197"/>
      <c r="H155" s="120">
        <f t="shared" si="95"/>
        <v>0</v>
      </c>
      <c r="I155" s="200">
        <f t="shared" si="96"/>
        <v>0</v>
      </c>
      <c r="J155" s="120">
        <f t="shared" si="97"/>
        <v>0</v>
      </c>
      <c r="K155" s="20" t="str">
        <f t="shared" si="112"/>
        <v>0</v>
      </c>
      <c r="L155" s="46" t="str">
        <f t="shared" si="98"/>
        <v>0.00%</v>
      </c>
      <c r="M155" s="173">
        <f t="shared" si="99"/>
        <v>0</v>
      </c>
      <c r="Q155" s="7" t="s">
        <v>45</v>
      </c>
      <c r="R155" s="120">
        <f t="shared" si="111"/>
        <v>0</v>
      </c>
      <c r="S155" s="197"/>
      <c r="T155" s="120">
        <f t="shared" si="100"/>
        <v>0</v>
      </c>
      <c r="U155" s="250"/>
      <c r="V155" s="120" t="str">
        <f t="shared" si="101"/>
        <v>0</v>
      </c>
      <c r="W155" s="197"/>
      <c r="X155" s="120">
        <f t="shared" si="102"/>
        <v>0</v>
      </c>
      <c r="Y155" s="171">
        <f t="shared" si="103"/>
        <v>0</v>
      </c>
      <c r="Z155" s="20">
        <f t="shared" si="104"/>
        <v>0</v>
      </c>
      <c r="AA155" s="46" t="str">
        <f t="shared" si="105"/>
        <v>0.00%</v>
      </c>
      <c r="AB155" s="120">
        <f t="shared" si="106"/>
        <v>0</v>
      </c>
      <c r="AC155" s="173">
        <f t="shared" si="107"/>
        <v>0</v>
      </c>
    </row>
    <row r="156" spans="1:31" ht="33.75" x14ac:dyDescent="0.2">
      <c r="A156" s="223"/>
      <c r="B156" s="8" t="s">
        <v>523</v>
      </c>
      <c r="C156" s="121">
        <f>C153</f>
        <v>40</v>
      </c>
      <c r="D156" s="26">
        <f>D153*0.3</f>
        <v>36.630749999999999</v>
      </c>
      <c r="E156" s="247">
        <f>E153*0.6</f>
        <v>1440</v>
      </c>
      <c r="F156" s="121">
        <f t="shared" si="109"/>
        <v>52748.28</v>
      </c>
      <c r="G156" s="47">
        <f>G153</f>
        <v>0.85</v>
      </c>
      <c r="H156" s="121">
        <f t="shared" si="95"/>
        <v>1793441.52</v>
      </c>
      <c r="I156" s="201">
        <v>0</v>
      </c>
      <c r="J156" s="121">
        <f t="shared" si="97"/>
        <v>0</v>
      </c>
      <c r="K156" s="241">
        <f t="shared" si="112"/>
        <v>1.4999999999999999E-2</v>
      </c>
      <c r="L156" s="47">
        <f t="shared" si="98"/>
        <v>66.666666666666671</v>
      </c>
      <c r="M156" s="174">
        <f t="shared" si="99"/>
        <v>1793441.52</v>
      </c>
      <c r="Q156" s="8" t="s">
        <v>523</v>
      </c>
      <c r="R156" s="121">
        <f t="shared" si="111"/>
        <v>0</v>
      </c>
      <c r="S156" s="47"/>
      <c r="T156" s="121">
        <f>R156*S156*365</f>
        <v>0</v>
      </c>
      <c r="U156" s="247"/>
      <c r="V156" s="121" t="str">
        <f t="shared" si="101"/>
        <v>0</v>
      </c>
      <c r="W156" s="47"/>
      <c r="X156" s="121">
        <f t="shared" si="102"/>
        <v>0</v>
      </c>
      <c r="Y156" s="27">
        <f t="shared" si="103"/>
        <v>0</v>
      </c>
      <c r="Z156" s="241">
        <f t="shared" si="104"/>
        <v>0</v>
      </c>
      <c r="AA156" s="47">
        <f t="shared" si="105"/>
        <v>0</v>
      </c>
      <c r="AB156" s="121">
        <f t="shared" si="106"/>
        <v>0</v>
      </c>
      <c r="AC156" s="174">
        <f t="shared" si="107"/>
        <v>0</v>
      </c>
    </row>
    <row r="157" spans="1:31" ht="23.25" thickBot="1" x14ac:dyDescent="0.25">
      <c r="A157" s="223"/>
      <c r="B157" s="9" t="s">
        <v>98</v>
      </c>
      <c r="C157" s="11">
        <f>SUM(C147:C156)</f>
        <v>540</v>
      </c>
      <c r="D157" s="73" t="s">
        <v>68</v>
      </c>
      <c r="E157" s="72" t="s">
        <v>68</v>
      </c>
      <c r="F157" s="72" cm="1">
        <f t="array" ref="F157">SUMPRODUCT((F147:F156&lt;&gt;0)*(F147:F156&lt;&gt;""), F147:F156, C147:C156) / SUMIFS(C147:C156, F147:F156, "&lt;&gt;0", F147:F156, "&lt;&gt;")</f>
        <v>252019.56000000003</v>
      </c>
      <c r="G157" s="76" cm="1">
        <f t="array" ref="G157">SUMPRODUCT((C147:C156&gt;0)*(D147:D156&gt;0), G147:G156, C147:C156, D147:D156) / SUMPRODUCT((C147:C156&gt;0)*(D147:D156&gt;0), C147:C156, D147:D156)</f>
        <v>0.23237045860631328</v>
      </c>
      <c r="H157" s="196">
        <f>SUMIF(H147:H156, "&lt;&gt;#DIV/0!")</f>
        <v>25705995.120000001</v>
      </c>
      <c r="I157" s="202">
        <f>SUM(I147:I156)</f>
        <v>1195627.6800000002</v>
      </c>
      <c r="J157" s="72" cm="1">
        <f t="array" ref="J157">SUMPRODUCT((C147:C156&gt;0)*(D147:D156&gt;0), J147:J156, C147:C156, D147:D156) /
 SUMPRODUCT((C147:C156&gt;0)*(D147:D156&gt;0), C147:C156, D147:D156)</f>
        <v>376.29829103315251</v>
      </c>
      <c r="K157" s="243" t="s">
        <v>68</v>
      </c>
      <c r="L157" s="242" t="s">
        <v>68</v>
      </c>
      <c r="M157" s="175">
        <f>SUMIF(M147:M156, "&lt;&gt;#DIV/0!")</f>
        <v>24510367.440000001</v>
      </c>
      <c r="Q157" s="9" t="s">
        <v>98</v>
      </c>
      <c r="R157" s="11">
        <f>SUM(R147:R156)</f>
        <v>500</v>
      </c>
      <c r="S157" s="249" t="s">
        <v>68</v>
      </c>
      <c r="T157" s="11">
        <f>SUM(T147:T156)</f>
        <v>43800</v>
      </c>
      <c r="U157" s="11" t="s">
        <v>68</v>
      </c>
      <c r="V157" s="11" t="s">
        <v>68</v>
      </c>
      <c r="W157" s="30" t="s">
        <v>68</v>
      </c>
      <c r="X157" s="11">
        <f>SUM(X147:X156)</f>
        <v>38325000</v>
      </c>
      <c r="Y157" s="172">
        <f>SUM(Y147:Y156)</f>
        <v>9581250</v>
      </c>
      <c r="Z157" s="243" t="s">
        <v>68</v>
      </c>
      <c r="AA157" s="242" t="s">
        <v>68</v>
      </c>
      <c r="AB157" s="196" t="s">
        <v>68</v>
      </c>
      <c r="AC157" s="175">
        <f>SUM(AC147:AC156)</f>
        <v>28743750</v>
      </c>
    </row>
    <row r="158" spans="1:31" ht="12" thickBot="1" x14ac:dyDescent="0.25">
      <c r="C158" s="336"/>
      <c r="D158" s="336"/>
      <c r="E158" s="336"/>
      <c r="F158" s="336"/>
      <c r="G158" s="336"/>
      <c r="I158" s="571">
        <v>0.05</v>
      </c>
      <c r="J158" s="336"/>
      <c r="L158" s="223"/>
      <c r="P158" s="336"/>
      <c r="Q158" s="336"/>
      <c r="R158" s="336"/>
      <c r="S158" s="336"/>
      <c r="T158" s="336"/>
      <c r="U158" s="336"/>
      <c r="V158" s="336"/>
      <c r="W158" s="336"/>
      <c r="X158" s="336"/>
      <c r="Y158" s="236">
        <v>0.25</v>
      </c>
    </row>
    <row r="159" spans="1:31" x14ac:dyDescent="0.2">
      <c r="C159" s="336"/>
      <c r="D159" s="336">
        <f>D153*0.25</f>
        <v>30.525624999999998</v>
      </c>
      <c r="E159" s="336">
        <f>E153/2</f>
        <v>1200</v>
      </c>
      <c r="F159" s="336">
        <f>E159*D159</f>
        <v>36630.75</v>
      </c>
      <c r="G159" s="336"/>
      <c r="H159" s="336"/>
      <c r="I159" s="336"/>
      <c r="J159" s="336"/>
      <c r="K159" s="223"/>
      <c r="L159" s="342"/>
      <c r="M159" s="336"/>
      <c r="O159" s="336"/>
      <c r="P159" s="336"/>
      <c r="Q159" s="336"/>
      <c r="R159" s="336"/>
      <c r="S159" s="336"/>
      <c r="T159" s="336"/>
      <c r="U159" s="336"/>
      <c r="V159" s="336"/>
      <c r="W159" s="336"/>
      <c r="X159" s="336"/>
      <c r="AB159" s="336"/>
      <c r="AC159" s="336"/>
      <c r="AD159" s="336"/>
      <c r="AE159" s="336"/>
    </row>
    <row r="160" spans="1:31" x14ac:dyDescent="0.2">
      <c r="F160" s="337">
        <f>E153*D153</f>
        <v>293046</v>
      </c>
      <c r="X160" s="223"/>
      <c r="AA160" s="346"/>
      <c r="AB160" s="223"/>
    </row>
    <row r="161" spans="1:30" x14ac:dyDescent="0.2">
      <c r="D161" s="337">
        <f>D159+D153</f>
        <v>152.62812499999998</v>
      </c>
      <c r="E161" s="223"/>
      <c r="F161" s="337">
        <f>F160+F159</f>
        <v>329676.75</v>
      </c>
    </row>
    <row r="162" spans="1:30" ht="12" thickBot="1" x14ac:dyDescent="0.25">
      <c r="A162" s="336"/>
      <c r="B162" s="336"/>
      <c r="C162" s="336"/>
      <c r="D162" s="336"/>
      <c r="E162" s="336"/>
      <c r="F162" s="336"/>
      <c r="G162" s="336"/>
      <c r="H162" s="336"/>
      <c r="I162" s="336"/>
      <c r="J162" s="336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  <c r="W162" s="336"/>
      <c r="X162" s="336"/>
      <c r="Y162" s="336"/>
      <c r="Z162" s="336"/>
      <c r="AA162" s="336"/>
      <c r="AB162" s="336"/>
      <c r="AC162" s="336"/>
    </row>
    <row r="163" spans="1:30" x14ac:dyDescent="0.2">
      <c r="A163" s="336"/>
      <c r="B163" s="695" t="s">
        <v>323</v>
      </c>
      <c r="C163" s="696"/>
      <c r="D163" s="696"/>
      <c r="E163" s="696"/>
      <c r="F163" s="696"/>
      <c r="G163" s="696"/>
      <c r="H163" s="696"/>
      <c r="I163" s="696"/>
      <c r="J163" s="696"/>
      <c r="K163" s="696"/>
      <c r="L163" s="696"/>
      <c r="M163" s="696"/>
      <c r="N163" s="696"/>
      <c r="O163" s="696"/>
      <c r="P163" s="696"/>
      <c r="Q163" s="696"/>
      <c r="R163" s="696"/>
      <c r="S163" s="696"/>
      <c r="T163" s="696"/>
      <c r="U163" s="696"/>
      <c r="V163" s="696"/>
      <c r="W163" s="696"/>
      <c r="X163" s="696"/>
      <c r="Y163" s="696"/>
      <c r="Z163" s="696"/>
      <c r="AA163" s="696"/>
      <c r="AB163" s="696"/>
      <c r="AC163" s="697"/>
      <c r="AD163" s="336"/>
    </row>
    <row r="164" spans="1:30" x14ac:dyDescent="0.2">
      <c r="A164" s="336"/>
      <c r="B164" s="698"/>
      <c r="C164" s="699"/>
      <c r="D164" s="699"/>
      <c r="E164" s="699"/>
      <c r="F164" s="699"/>
      <c r="G164" s="699"/>
      <c r="H164" s="699"/>
      <c r="I164" s="699"/>
      <c r="J164" s="699"/>
      <c r="K164" s="699"/>
      <c r="L164" s="699"/>
      <c r="M164" s="699"/>
      <c r="N164" s="699"/>
      <c r="O164" s="699"/>
      <c r="P164" s="699"/>
      <c r="Q164" s="699"/>
      <c r="R164" s="699"/>
      <c r="S164" s="699"/>
      <c r="T164" s="699"/>
      <c r="U164" s="699"/>
      <c r="V164" s="699"/>
      <c r="W164" s="699"/>
      <c r="X164" s="699"/>
      <c r="Y164" s="699"/>
      <c r="Z164" s="699"/>
      <c r="AA164" s="699"/>
      <c r="AB164" s="699"/>
      <c r="AC164" s="700"/>
      <c r="AD164" s="342"/>
    </row>
    <row r="165" spans="1:30" ht="15" x14ac:dyDescent="0.2">
      <c r="A165" s="336"/>
      <c r="B165" s="592" t="s">
        <v>322</v>
      </c>
      <c r="C165" s="590" t="s">
        <v>133</v>
      </c>
      <c r="D165" s="590"/>
      <c r="E165" s="590"/>
      <c r="F165" s="685" t="s">
        <v>102</v>
      </c>
      <c r="G165" s="685"/>
      <c r="H165" s="685"/>
      <c r="I165" s="685"/>
      <c r="J165" s="685" t="s">
        <v>104</v>
      </c>
      <c r="K165" s="685"/>
      <c r="L165" s="685"/>
      <c r="M165" s="685"/>
      <c r="N165" s="685" t="s">
        <v>106</v>
      </c>
      <c r="O165" s="685"/>
      <c r="P165" s="685"/>
      <c r="Q165" s="685"/>
      <c r="R165" s="685" t="s">
        <v>108</v>
      </c>
      <c r="S165" s="685"/>
      <c r="T165" s="685"/>
      <c r="U165" s="685"/>
      <c r="V165" s="685" t="s">
        <v>109</v>
      </c>
      <c r="W165" s="685"/>
      <c r="X165" s="685"/>
      <c r="Y165" s="685"/>
      <c r="Z165" s="685" t="s">
        <v>111</v>
      </c>
      <c r="AA165" s="685"/>
      <c r="AB165" s="685"/>
      <c r="AC165" s="714"/>
      <c r="AD165" s="336"/>
    </row>
    <row r="166" spans="1:30" ht="15" x14ac:dyDescent="0.2">
      <c r="A166" s="336"/>
      <c r="B166" s="592"/>
      <c r="C166" s="28" t="s">
        <v>68</v>
      </c>
      <c r="D166" s="55" t="s">
        <v>68</v>
      </c>
      <c r="E166" s="121" t="s">
        <v>134</v>
      </c>
      <c r="F166" s="56" t="s">
        <v>135</v>
      </c>
      <c r="G166" s="56" t="s">
        <v>136</v>
      </c>
      <c r="H166" s="56" t="s">
        <v>137</v>
      </c>
      <c r="I166" s="56" t="s">
        <v>138</v>
      </c>
      <c r="J166" s="56" t="s">
        <v>139</v>
      </c>
      <c r="K166" s="56" t="s">
        <v>140</v>
      </c>
      <c r="L166" s="56" t="s">
        <v>141</v>
      </c>
      <c r="M166" s="56" t="s">
        <v>142</v>
      </c>
      <c r="N166" s="56" t="s">
        <v>143</v>
      </c>
      <c r="O166" s="56" t="s">
        <v>144</v>
      </c>
      <c r="P166" s="56" t="s">
        <v>145</v>
      </c>
      <c r="Q166" s="56" t="s">
        <v>146</v>
      </c>
      <c r="R166" s="56" t="s">
        <v>147</v>
      </c>
      <c r="S166" s="56" t="s">
        <v>148</v>
      </c>
      <c r="T166" s="56" t="s">
        <v>149</v>
      </c>
      <c r="U166" s="56" t="s">
        <v>150</v>
      </c>
      <c r="V166" s="56" t="s">
        <v>151</v>
      </c>
      <c r="W166" s="56" t="s">
        <v>152</v>
      </c>
      <c r="X166" s="56" t="s">
        <v>153</v>
      </c>
      <c r="Y166" s="56" t="s">
        <v>154</v>
      </c>
      <c r="Z166" s="56" t="s">
        <v>155</v>
      </c>
      <c r="AA166" s="56" t="s">
        <v>156</v>
      </c>
      <c r="AB166" s="56" t="s">
        <v>157</v>
      </c>
      <c r="AC166" s="57" t="s">
        <v>158</v>
      </c>
      <c r="AD166" s="336"/>
    </row>
    <row r="167" spans="1:30" ht="22.5" x14ac:dyDescent="0.2">
      <c r="A167" s="336"/>
      <c r="B167" s="119" t="s">
        <v>223</v>
      </c>
      <c r="C167" s="28" t="s">
        <v>68</v>
      </c>
      <c r="D167" s="102" t="b">
        <f>E167=100%</f>
        <v>1</v>
      </c>
      <c r="E167" s="108">
        <f>SUM(F167:AC167)</f>
        <v>1</v>
      </c>
      <c r="F167" s="106">
        <f>F184/$C$184</f>
        <v>0</v>
      </c>
      <c r="G167" s="106">
        <f t="shared" ref="G167:AC167" si="113">G184/$C$184</f>
        <v>0</v>
      </c>
      <c r="H167" s="106">
        <f t="shared" si="113"/>
        <v>0</v>
      </c>
      <c r="I167" s="106">
        <f t="shared" si="113"/>
        <v>7.0145903479236814E-3</v>
      </c>
      <c r="J167" s="106">
        <f t="shared" si="113"/>
        <v>2.013187429854096E-2</v>
      </c>
      <c r="K167" s="106">
        <f t="shared" si="113"/>
        <v>4.5189393939393932E-2</v>
      </c>
      <c r="L167" s="106">
        <f t="shared" si="113"/>
        <v>7.0997979797979796E-2</v>
      </c>
      <c r="M167" s="106">
        <f t="shared" si="113"/>
        <v>0.12046129124579125</v>
      </c>
      <c r="N167" s="106">
        <f t="shared" si="113"/>
        <v>0.1836607826936027</v>
      </c>
      <c r="O167" s="106">
        <f t="shared" si="113"/>
        <v>0.22262479327542087</v>
      </c>
      <c r="P167" s="106">
        <f t="shared" si="113"/>
        <v>0.23936101449845121</v>
      </c>
      <c r="Q167" s="106">
        <f t="shared" si="113"/>
        <v>7.2446623922316461E-2</v>
      </c>
      <c r="R167" s="106">
        <f t="shared" si="113"/>
        <v>1.5757140703103835E-2</v>
      </c>
      <c r="S167" s="106">
        <f t="shared" si="113"/>
        <v>2.213244360826767E-3</v>
      </c>
      <c r="T167" s="106">
        <f t="shared" si="113"/>
        <v>1.4127091664851676E-4</v>
      </c>
      <c r="U167" s="106">
        <f t="shared" si="113"/>
        <v>0</v>
      </c>
      <c r="V167" s="106">
        <f t="shared" si="113"/>
        <v>0</v>
      </c>
      <c r="W167" s="106">
        <f t="shared" si="113"/>
        <v>0</v>
      </c>
      <c r="X167" s="106">
        <f t="shared" si="113"/>
        <v>0</v>
      </c>
      <c r="Y167" s="106">
        <f t="shared" si="113"/>
        <v>0</v>
      </c>
      <c r="Z167" s="106">
        <f t="shared" si="113"/>
        <v>0</v>
      </c>
      <c r="AA167" s="106">
        <f t="shared" si="113"/>
        <v>0</v>
      </c>
      <c r="AB167" s="106">
        <f t="shared" si="113"/>
        <v>0</v>
      </c>
      <c r="AC167" s="107">
        <f t="shared" si="113"/>
        <v>0</v>
      </c>
      <c r="AD167" s="341"/>
    </row>
    <row r="168" spans="1:30" ht="22.5" x14ac:dyDescent="0.2">
      <c r="A168" s="336"/>
      <c r="B168" s="119" t="s">
        <v>159</v>
      </c>
      <c r="C168" s="28" t="s">
        <v>68</v>
      </c>
      <c r="D168" s="102" t="b">
        <f t="shared" ref="D168:D172" si="114">E168=100%</f>
        <v>1</v>
      </c>
      <c r="E168" s="108">
        <f t="shared" ref="E168:E174" si="115">SUM(F168:AC168)</f>
        <v>1.0000000000000002</v>
      </c>
      <c r="F168" s="106">
        <f t="shared" ref="F168:AC168" si="116">F189/$E$189</f>
        <v>0</v>
      </c>
      <c r="G168" s="106">
        <f t="shared" si="116"/>
        <v>0</v>
      </c>
      <c r="H168" s="106">
        <f t="shared" si="116"/>
        <v>0</v>
      </c>
      <c r="I168" s="106">
        <f t="shared" si="116"/>
        <v>0</v>
      </c>
      <c r="J168" s="106">
        <f t="shared" si="116"/>
        <v>7.9646017699115043E-2</v>
      </c>
      <c r="K168" s="106">
        <f t="shared" si="116"/>
        <v>0.15929203539823009</v>
      </c>
      <c r="L168" s="106">
        <f t="shared" si="116"/>
        <v>0.13274336283185842</v>
      </c>
      <c r="M168" s="106">
        <f t="shared" si="116"/>
        <v>8.8495575221238937E-2</v>
      </c>
      <c r="N168" s="106">
        <f t="shared" si="116"/>
        <v>0.18584070796460178</v>
      </c>
      <c r="O168" s="106">
        <f t="shared" si="116"/>
        <v>0.17699115044247787</v>
      </c>
      <c r="P168" s="106">
        <f t="shared" si="116"/>
        <v>0.17699115044247787</v>
      </c>
      <c r="Q168" s="106">
        <f t="shared" si="116"/>
        <v>0</v>
      </c>
      <c r="R168" s="106">
        <f t="shared" si="116"/>
        <v>0</v>
      </c>
      <c r="S168" s="106">
        <f t="shared" si="116"/>
        <v>0</v>
      </c>
      <c r="T168" s="106">
        <f t="shared" si="116"/>
        <v>0</v>
      </c>
      <c r="U168" s="106">
        <f t="shared" si="116"/>
        <v>0</v>
      </c>
      <c r="V168" s="106">
        <f t="shared" si="116"/>
        <v>0</v>
      </c>
      <c r="W168" s="106">
        <f t="shared" si="116"/>
        <v>0</v>
      </c>
      <c r="X168" s="106">
        <f t="shared" si="116"/>
        <v>0</v>
      </c>
      <c r="Y168" s="106">
        <f t="shared" si="116"/>
        <v>0</v>
      </c>
      <c r="Z168" s="106">
        <f t="shared" si="116"/>
        <v>0</v>
      </c>
      <c r="AA168" s="106">
        <f t="shared" si="116"/>
        <v>0</v>
      </c>
      <c r="AB168" s="106">
        <f t="shared" si="116"/>
        <v>0</v>
      </c>
      <c r="AC168" s="107">
        <f t="shared" si="116"/>
        <v>0</v>
      </c>
      <c r="AD168" s="341"/>
    </row>
    <row r="169" spans="1:30" ht="22.5" x14ac:dyDescent="0.2">
      <c r="A169" s="336"/>
      <c r="B169" s="119" t="s">
        <v>160</v>
      </c>
      <c r="C169" s="28" t="s">
        <v>68</v>
      </c>
      <c r="D169" s="102" t="b">
        <f t="shared" si="114"/>
        <v>1</v>
      </c>
      <c r="E169" s="108">
        <f t="shared" si="115"/>
        <v>1</v>
      </c>
      <c r="F169" s="106">
        <f>F191/$E$191</f>
        <v>0</v>
      </c>
      <c r="G169" s="106">
        <f t="shared" ref="G169:AC169" si="117">G191/$E$191</f>
        <v>0</v>
      </c>
      <c r="H169" s="106">
        <f t="shared" si="117"/>
        <v>0</v>
      </c>
      <c r="I169" s="106">
        <f t="shared" si="117"/>
        <v>0</v>
      </c>
      <c r="J169" s="106">
        <f t="shared" si="117"/>
        <v>0</v>
      </c>
      <c r="K169" s="106">
        <f t="shared" si="117"/>
        <v>0</v>
      </c>
      <c r="L169" s="106">
        <f t="shared" si="117"/>
        <v>0</v>
      </c>
      <c r="M169" s="106">
        <f t="shared" si="117"/>
        <v>0</v>
      </c>
      <c r="N169" s="106">
        <f t="shared" si="117"/>
        <v>0</v>
      </c>
      <c r="O169" s="106">
        <f t="shared" si="117"/>
        <v>0</v>
      </c>
      <c r="P169" s="106">
        <f t="shared" si="117"/>
        <v>0</v>
      </c>
      <c r="Q169" s="106">
        <f t="shared" si="117"/>
        <v>0</v>
      </c>
      <c r="R169" s="106">
        <f t="shared" si="117"/>
        <v>0.40070742689582473</v>
      </c>
      <c r="S169" s="106">
        <f t="shared" si="117"/>
        <v>0.59929257310417527</v>
      </c>
      <c r="T169" s="106">
        <f>T191/$E$191</f>
        <v>0</v>
      </c>
      <c r="U169" s="106">
        <f>U191/$E$191</f>
        <v>0</v>
      </c>
      <c r="V169" s="106">
        <f>V191/$E$191</f>
        <v>0</v>
      </c>
      <c r="W169" s="106">
        <f>W191/$E$191</f>
        <v>0</v>
      </c>
      <c r="X169" s="106">
        <f t="shared" si="117"/>
        <v>0</v>
      </c>
      <c r="Y169" s="106">
        <f t="shared" si="117"/>
        <v>0</v>
      </c>
      <c r="Z169" s="106">
        <f t="shared" si="117"/>
        <v>0</v>
      </c>
      <c r="AA169" s="106">
        <f t="shared" si="117"/>
        <v>0</v>
      </c>
      <c r="AB169" s="106">
        <f t="shared" si="117"/>
        <v>0</v>
      </c>
      <c r="AC169" s="107">
        <f t="shared" si="117"/>
        <v>0</v>
      </c>
      <c r="AD169" s="341"/>
    </row>
    <row r="170" spans="1:30" ht="22.5" x14ac:dyDescent="0.2">
      <c r="A170" s="336"/>
      <c r="B170" s="119" t="s">
        <v>161</v>
      </c>
      <c r="C170" s="28" t="s">
        <v>68</v>
      </c>
      <c r="D170" s="102" t="b">
        <f t="shared" si="114"/>
        <v>1</v>
      </c>
      <c r="E170" s="108">
        <f t="shared" si="115"/>
        <v>1</v>
      </c>
      <c r="F170" s="106">
        <f t="shared" ref="F170:AC170" si="118">F214/$C$214</f>
        <v>0.33545760647955214</v>
      </c>
      <c r="G170" s="106">
        <f t="shared" si="118"/>
        <v>6.4724102128876956E-2</v>
      </c>
      <c r="H170" s="106">
        <f t="shared" si="118"/>
        <v>0</v>
      </c>
      <c r="I170" s="106">
        <f t="shared" si="118"/>
        <v>6.4883879105950809E-2</v>
      </c>
      <c r="J170" s="106">
        <f t="shared" si="118"/>
        <v>0</v>
      </c>
      <c r="K170" s="106">
        <f t="shared" si="118"/>
        <v>6.6931354198728921E-2</v>
      </c>
      <c r="L170" s="106">
        <f t="shared" si="118"/>
        <v>0</v>
      </c>
      <c r="M170" s="106">
        <f t="shared" si="118"/>
        <v>7.1753223301661853E-2</v>
      </c>
      <c r="N170" s="106">
        <f t="shared" si="118"/>
        <v>0</v>
      </c>
      <c r="O170" s="106">
        <f t="shared" si="118"/>
        <v>8.1863375983094802E-2</v>
      </c>
      <c r="P170" s="106">
        <f t="shared" si="118"/>
        <v>0</v>
      </c>
      <c r="Q170" s="106">
        <f t="shared" si="118"/>
        <v>8.9722775617517986E-2</v>
      </c>
      <c r="R170" s="106">
        <f t="shared" si="118"/>
        <v>0</v>
      </c>
      <c r="S170" s="106">
        <f t="shared" si="118"/>
        <v>9.0592948558183131E-2</v>
      </c>
      <c r="T170" s="106">
        <f t="shared" si="118"/>
        <v>0</v>
      </c>
      <c r="U170" s="106">
        <f t="shared" si="118"/>
        <v>0.13407073462643354</v>
      </c>
      <c r="V170" s="106">
        <f t="shared" si="118"/>
        <v>0</v>
      </c>
      <c r="W170" s="106">
        <f t="shared" si="118"/>
        <v>0</v>
      </c>
      <c r="X170" s="106">
        <f t="shared" si="118"/>
        <v>0</v>
      </c>
      <c r="Y170" s="106">
        <f t="shared" si="118"/>
        <v>0</v>
      </c>
      <c r="Z170" s="106">
        <f t="shared" si="118"/>
        <v>0</v>
      </c>
      <c r="AA170" s="106">
        <f t="shared" si="118"/>
        <v>0</v>
      </c>
      <c r="AB170" s="106">
        <f t="shared" si="118"/>
        <v>0</v>
      </c>
      <c r="AC170" s="107">
        <f t="shared" si="118"/>
        <v>0</v>
      </c>
      <c r="AD170" s="341"/>
    </row>
    <row r="171" spans="1:30" ht="22.5" x14ac:dyDescent="0.2">
      <c r="A171" s="336"/>
      <c r="B171" s="119" t="s">
        <v>225</v>
      </c>
      <c r="C171" s="28" t="s">
        <v>68</v>
      </c>
      <c r="D171" s="102" t="b">
        <f>E171=100%</f>
        <v>1</v>
      </c>
      <c r="E171" s="108">
        <f t="shared" si="115"/>
        <v>1</v>
      </c>
      <c r="F171" s="58">
        <v>0</v>
      </c>
      <c r="G171" s="58">
        <v>0</v>
      </c>
      <c r="H171" s="58">
        <v>0</v>
      </c>
      <c r="I171" s="58">
        <v>0</v>
      </c>
      <c r="J171" s="58"/>
      <c r="K171" s="58"/>
      <c r="L171" s="58"/>
      <c r="M171" s="58"/>
      <c r="N171" s="58"/>
      <c r="O171" s="58"/>
      <c r="P171" s="58">
        <v>0.2</v>
      </c>
      <c r="Q171" s="58">
        <v>0.25</v>
      </c>
      <c r="R171" s="58">
        <v>0.25</v>
      </c>
      <c r="S171" s="58">
        <v>0.3</v>
      </c>
      <c r="T171" s="58"/>
      <c r="U171" s="58">
        <v>0</v>
      </c>
      <c r="V171" s="58">
        <v>0</v>
      </c>
      <c r="W171" s="58">
        <v>0</v>
      </c>
      <c r="X171" s="58">
        <v>0</v>
      </c>
      <c r="Y171" s="58">
        <v>0</v>
      </c>
      <c r="Z171" s="58">
        <v>0</v>
      </c>
      <c r="AA171" s="58">
        <v>0</v>
      </c>
      <c r="AB171" s="58">
        <v>0</v>
      </c>
      <c r="AC171" s="59">
        <v>0</v>
      </c>
      <c r="AD171" s="341"/>
    </row>
    <row r="172" spans="1:30" ht="22.5" x14ac:dyDescent="0.2">
      <c r="A172" s="336"/>
      <c r="B172" s="119" t="s">
        <v>226</v>
      </c>
      <c r="C172" s="28" t="s">
        <v>68</v>
      </c>
      <c r="D172" s="102" t="b">
        <f t="shared" si="114"/>
        <v>1</v>
      </c>
      <c r="E172" s="108">
        <f t="shared" si="115"/>
        <v>1</v>
      </c>
      <c r="F172" s="58">
        <v>0</v>
      </c>
      <c r="G172" s="58">
        <v>0</v>
      </c>
      <c r="H172" s="58">
        <v>0</v>
      </c>
      <c r="I172" s="58">
        <v>0</v>
      </c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>
        <v>0.2</v>
      </c>
      <c r="V172" s="58">
        <v>0.25</v>
      </c>
      <c r="W172" s="58">
        <v>0.25</v>
      </c>
      <c r="X172" s="58">
        <v>0.3</v>
      </c>
      <c r="Y172" s="58">
        <v>0</v>
      </c>
      <c r="Z172" s="58">
        <v>0</v>
      </c>
      <c r="AA172" s="58">
        <v>0</v>
      </c>
      <c r="AB172" s="58">
        <v>0</v>
      </c>
      <c r="AC172" s="59">
        <v>0</v>
      </c>
      <c r="AD172" s="341"/>
    </row>
    <row r="173" spans="1:30" ht="22.5" x14ac:dyDescent="0.2">
      <c r="A173" s="336"/>
      <c r="B173" s="119" t="s">
        <v>162</v>
      </c>
      <c r="C173" s="28" t="s">
        <v>68</v>
      </c>
      <c r="D173" s="102" t="b">
        <f>E173=100%</f>
        <v>1</v>
      </c>
      <c r="E173" s="108">
        <f t="shared" si="115"/>
        <v>1</v>
      </c>
      <c r="F173" s="58">
        <v>0</v>
      </c>
      <c r="G173" s="58">
        <v>0</v>
      </c>
      <c r="H173" s="58">
        <v>0</v>
      </c>
      <c r="I173" s="58">
        <v>0</v>
      </c>
      <c r="J173" s="58"/>
      <c r="K173" s="58"/>
      <c r="L173" s="58"/>
      <c r="M173" s="58"/>
      <c r="N173" s="58"/>
      <c r="O173" s="58"/>
      <c r="P173" s="58"/>
      <c r="Q173" s="58">
        <v>0.2</v>
      </c>
      <c r="R173" s="58">
        <v>0.25</v>
      </c>
      <c r="S173" s="58">
        <v>0.25</v>
      </c>
      <c r="T173" s="58">
        <v>0.3</v>
      </c>
      <c r="U173" s="58">
        <v>0</v>
      </c>
      <c r="V173" s="58">
        <v>0</v>
      </c>
      <c r="W173" s="58">
        <v>0</v>
      </c>
      <c r="X173" s="58">
        <v>0</v>
      </c>
      <c r="Y173" s="58">
        <v>0</v>
      </c>
      <c r="Z173" s="58">
        <v>0</v>
      </c>
      <c r="AA173" s="58">
        <v>0</v>
      </c>
      <c r="AB173" s="58">
        <v>0</v>
      </c>
      <c r="AC173" s="59">
        <v>0</v>
      </c>
      <c r="AD173" s="341"/>
    </row>
    <row r="174" spans="1:30" ht="22.5" x14ac:dyDescent="0.2">
      <c r="A174" s="336"/>
      <c r="B174" s="119" t="s">
        <v>163</v>
      </c>
      <c r="C174" s="28" t="s">
        <v>68</v>
      </c>
      <c r="D174" s="102" t="b">
        <f>E174=100%</f>
        <v>1</v>
      </c>
      <c r="E174" s="108">
        <f t="shared" si="115"/>
        <v>1</v>
      </c>
      <c r="F174" s="58">
        <v>0</v>
      </c>
      <c r="G174" s="58">
        <v>0</v>
      </c>
      <c r="H174" s="58">
        <v>0</v>
      </c>
      <c r="I174" s="58">
        <v>0</v>
      </c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>
        <v>1</v>
      </c>
      <c r="U174" s="58">
        <v>0</v>
      </c>
      <c r="V174" s="58">
        <v>0</v>
      </c>
      <c r="W174" s="58">
        <v>0</v>
      </c>
      <c r="X174" s="58">
        <v>0</v>
      </c>
      <c r="Y174" s="58">
        <v>0</v>
      </c>
      <c r="Z174" s="58">
        <v>0</v>
      </c>
      <c r="AA174" s="58">
        <v>0</v>
      </c>
      <c r="AB174" s="58">
        <v>0</v>
      </c>
      <c r="AC174" s="59">
        <v>0</v>
      </c>
      <c r="AD174" s="341"/>
    </row>
    <row r="175" spans="1:30" ht="23.25" thickBot="1" x14ac:dyDescent="0.25">
      <c r="A175" s="336"/>
      <c r="B175" s="60" t="s">
        <v>164</v>
      </c>
      <c r="C175" s="61" t="s">
        <v>68</v>
      </c>
      <c r="D175" s="103" t="b">
        <f>E175=100%</f>
        <v>1</v>
      </c>
      <c r="E175" s="62">
        <f>SUM(F175:AC175)</f>
        <v>1.0000000000000002</v>
      </c>
      <c r="F175" s="63">
        <v>0</v>
      </c>
      <c r="G175" s="63">
        <v>0</v>
      </c>
      <c r="H175" s="63">
        <v>0</v>
      </c>
      <c r="I175" s="63">
        <v>0</v>
      </c>
      <c r="J175" s="63">
        <v>0.1</v>
      </c>
      <c r="K175" s="63">
        <v>7.0000000000000007E-2</v>
      </c>
      <c r="L175" s="63">
        <v>7.0000000000000007E-2</v>
      </c>
      <c r="M175" s="63">
        <v>7.0000000000000007E-2</v>
      </c>
      <c r="N175" s="63">
        <v>0.13</v>
      </c>
      <c r="O175" s="63">
        <v>0.13</v>
      </c>
      <c r="P175" s="63">
        <v>0.13</v>
      </c>
      <c r="Q175" s="63">
        <v>0.1</v>
      </c>
      <c r="R175" s="63">
        <v>7.0000000000000007E-2</v>
      </c>
      <c r="S175" s="63">
        <v>7.0000000000000007E-2</v>
      </c>
      <c r="T175" s="63">
        <v>0.06</v>
      </c>
      <c r="U175" s="63">
        <v>0</v>
      </c>
      <c r="V175" s="63">
        <v>0</v>
      </c>
      <c r="W175" s="63">
        <v>0</v>
      </c>
      <c r="X175" s="63">
        <v>0</v>
      </c>
      <c r="Y175" s="63">
        <v>0</v>
      </c>
      <c r="Z175" s="63">
        <v>0</v>
      </c>
      <c r="AA175" s="63">
        <v>0</v>
      </c>
      <c r="AB175" s="63">
        <v>0</v>
      </c>
      <c r="AC175" s="64">
        <v>0</v>
      </c>
      <c r="AD175" s="341"/>
    </row>
    <row r="176" spans="1:30" ht="12" thickBot="1" x14ac:dyDescent="0.25">
      <c r="A176" s="336"/>
      <c r="AD176" s="341"/>
    </row>
    <row r="177" spans="1:30" x14ac:dyDescent="0.2">
      <c r="A177" s="336"/>
      <c r="B177" s="693" t="s">
        <v>165</v>
      </c>
      <c r="C177" s="694"/>
      <c r="D177" s="694"/>
      <c r="E177" s="65" t="s">
        <v>166</v>
      </c>
      <c r="F177" s="66">
        <v>45993</v>
      </c>
      <c r="G177" s="66">
        <f>EOMONTH(F177,3)</f>
        <v>46112</v>
      </c>
      <c r="H177" s="66">
        <f t="shared" ref="H177:AC177" si="119">EOMONTH(G177,3)</f>
        <v>46203</v>
      </c>
      <c r="I177" s="66">
        <f t="shared" si="119"/>
        <v>46295</v>
      </c>
      <c r="J177" s="66">
        <f t="shared" si="119"/>
        <v>46387</v>
      </c>
      <c r="K177" s="66">
        <f t="shared" si="119"/>
        <v>46477</v>
      </c>
      <c r="L177" s="66">
        <f t="shared" si="119"/>
        <v>46568</v>
      </c>
      <c r="M177" s="66">
        <f t="shared" si="119"/>
        <v>46660</v>
      </c>
      <c r="N177" s="66">
        <f t="shared" si="119"/>
        <v>46752</v>
      </c>
      <c r="O177" s="66">
        <f t="shared" si="119"/>
        <v>46843</v>
      </c>
      <c r="P177" s="66">
        <f t="shared" si="119"/>
        <v>46934</v>
      </c>
      <c r="Q177" s="66">
        <f t="shared" si="119"/>
        <v>47026</v>
      </c>
      <c r="R177" s="66">
        <f t="shared" si="119"/>
        <v>47118</v>
      </c>
      <c r="S177" s="66">
        <f t="shared" si="119"/>
        <v>47208</v>
      </c>
      <c r="T177" s="66">
        <f t="shared" si="119"/>
        <v>47299</v>
      </c>
      <c r="U177" s="66">
        <f t="shared" si="119"/>
        <v>47391</v>
      </c>
      <c r="V177" s="66">
        <f t="shared" si="119"/>
        <v>47483</v>
      </c>
      <c r="W177" s="66">
        <f t="shared" si="119"/>
        <v>47573</v>
      </c>
      <c r="X177" s="66">
        <f t="shared" si="119"/>
        <v>47664</v>
      </c>
      <c r="Y177" s="66">
        <f t="shared" si="119"/>
        <v>47756</v>
      </c>
      <c r="Z177" s="66">
        <f t="shared" si="119"/>
        <v>47848</v>
      </c>
      <c r="AA177" s="66">
        <f t="shared" si="119"/>
        <v>47938</v>
      </c>
      <c r="AB177" s="66">
        <f t="shared" si="119"/>
        <v>48029</v>
      </c>
      <c r="AC177" s="67">
        <f t="shared" si="119"/>
        <v>48121</v>
      </c>
      <c r="AD177" s="341"/>
    </row>
    <row r="178" spans="1:30" x14ac:dyDescent="0.2">
      <c r="A178" s="336"/>
      <c r="B178" s="681" t="s">
        <v>228</v>
      </c>
      <c r="C178" s="682"/>
      <c r="D178" s="682"/>
      <c r="E178" s="682"/>
      <c r="F178" s="121">
        <f>F189</f>
        <v>0</v>
      </c>
      <c r="G178" s="121">
        <f t="shared" ref="G178:AC178" si="120">F178+G189+G191</f>
        <v>0</v>
      </c>
      <c r="H178" s="121">
        <f t="shared" si="120"/>
        <v>0</v>
      </c>
      <c r="I178" s="121">
        <f t="shared" si="120"/>
        <v>0</v>
      </c>
      <c r="J178" s="121">
        <f t="shared" si="120"/>
        <v>9000000</v>
      </c>
      <c r="K178" s="121">
        <f t="shared" si="120"/>
        <v>27000000</v>
      </c>
      <c r="L178" s="121">
        <f t="shared" si="120"/>
        <v>42000000</v>
      </c>
      <c r="M178" s="121">
        <f t="shared" si="120"/>
        <v>52000000</v>
      </c>
      <c r="N178" s="121">
        <f t="shared" si="120"/>
        <v>73000000</v>
      </c>
      <c r="O178" s="121">
        <f t="shared" si="120"/>
        <v>93000000</v>
      </c>
      <c r="P178" s="121">
        <f t="shared" si="120"/>
        <v>113000000</v>
      </c>
      <c r="Q178" s="121">
        <f t="shared" si="120"/>
        <v>113000000</v>
      </c>
      <c r="R178" s="121">
        <f t="shared" si="120"/>
        <v>67720060.760771811</v>
      </c>
      <c r="S178" s="121">
        <f t="shared" si="120"/>
        <v>0</v>
      </c>
      <c r="T178" s="121">
        <f t="shared" si="120"/>
        <v>0</v>
      </c>
      <c r="U178" s="121">
        <f t="shared" si="120"/>
        <v>0</v>
      </c>
      <c r="V178" s="121">
        <f t="shared" si="120"/>
        <v>0</v>
      </c>
      <c r="W178" s="121">
        <f t="shared" si="120"/>
        <v>0</v>
      </c>
      <c r="X178" s="121">
        <f t="shared" si="120"/>
        <v>0</v>
      </c>
      <c r="Y178" s="121">
        <f t="shared" si="120"/>
        <v>0</v>
      </c>
      <c r="Z178" s="121">
        <f t="shared" si="120"/>
        <v>0</v>
      </c>
      <c r="AA178" s="121">
        <f t="shared" si="120"/>
        <v>0</v>
      </c>
      <c r="AB178" s="121">
        <f t="shared" si="120"/>
        <v>0</v>
      </c>
      <c r="AC178" s="122">
        <f t="shared" si="120"/>
        <v>0</v>
      </c>
      <c r="AD178" s="341"/>
    </row>
    <row r="179" spans="1:30" ht="22.5" x14ac:dyDescent="0.2">
      <c r="A179" s="336"/>
      <c r="B179" s="119" t="s">
        <v>5</v>
      </c>
      <c r="C179" s="121" t="s">
        <v>167</v>
      </c>
      <c r="D179" s="55" t="s">
        <v>68</v>
      </c>
      <c r="E179" s="121" t="s">
        <v>316</v>
      </c>
      <c r="F179" s="56" t="s">
        <v>135</v>
      </c>
      <c r="G179" s="56" t="s">
        <v>136</v>
      </c>
      <c r="H179" s="56" t="s">
        <v>137</v>
      </c>
      <c r="I179" s="56" t="s">
        <v>138</v>
      </c>
      <c r="J179" s="56" t="s">
        <v>139</v>
      </c>
      <c r="K179" s="56" t="s">
        <v>140</v>
      </c>
      <c r="L179" s="56" t="s">
        <v>141</v>
      </c>
      <c r="M179" s="56" t="s">
        <v>142</v>
      </c>
      <c r="N179" s="56" t="s">
        <v>143</v>
      </c>
      <c r="O179" s="56" t="s">
        <v>144</v>
      </c>
      <c r="P179" s="56" t="s">
        <v>145</v>
      </c>
      <c r="Q179" s="56" t="s">
        <v>146</v>
      </c>
      <c r="R179" s="56" t="s">
        <v>147</v>
      </c>
      <c r="S179" s="56" t="s">
        <v>148</v>
      </c>
      <c r="T179" s="56" t="s">
        <v>149</v>
      </c>
      <c r="U179" s="56" t="s">
        <v>150</v>
      </c>
      <c r="V179" s="56" t="s">
        <v>151</v>
      </c>
      <c r="W179" s="56" t="s">
        <v>152</v>
      </c>
      <c r="X179" s="56" t="s">
        <v>153</v>
      </c>
      <c r="Y179" s="56" t="s">
        <v>154</v>
      </c>
      <c r="Z179" s="56" t="s">
        <v>155</v>
      </c>
      <c r="AA179" s="56" t="s">
        <v>156</v>
      </c>
      <c r="AB179" s="56" t="s">
        <v>157</v>
      </c>
      <c r="AC179" s="57" t="s">
        <v>158</v>
      </c>
      <c r="AD179" s="341"/>
    </row>
    <row r="180" spans="1:30" ht="22.5" x14ac:dyDescent="0.2">
      <c r="A180" s="336"/>
      <c r="B180" s="68" t="s">
        <v>11</v>
      </c>
      <c r="C180" s="166">
        <f>H19</f>
        <v>60000000</v>
      </c>
      <c r="D180" s="102" t="b">
        <f>IF(ABS(E180 - C180) &lt; MAX(0.00001, E180 * 0.00001), TRUE, FALSE)</f>
        <v>1</v>
      </c>
      <c r="E180" s="166">
        <f>SUM(F180:AC180)</f>
        <v>60000000</v>
      </c>
      <c r="F180" s="120">
        <f>C180</f>
        <v>60000000</v>
      </c>
      <c r="G180" s="120">
        <v>0</v>
      </c>
      <c r="H180" s="120">
        <v>0</v>
      </c>
      <c r="I180" s="120">
        <v>0</v>
      </c>
      <c r="J180" s="120">
        <v>0</v>
      </c>
      <c r="K180" s="120">
        <v>0</v>
      </c>
      <c r="L180" s="120">
        <v>0</v>
      </c>
      <c r="M180" s="120">
        <v>0</v>
      </c>
      <c r="N180" s="120">
        <v>0</v>
      </c>
      <c r="O180" s="120">
        <v>0</v>
      </c>
      <c r="P180" s="120">
        <v>0</v>
      </c>
      <c r="Q180" s="120">
        <v>0</v>
      </c>
      <c r="R180" s="120">
        <v>0</v>
      </c>
      <c r="S180" s="120">
        <v>0</v>
      </c>
      <c r="T180" s="120">
        <v>0</v>
      </c>
      <c r="U180" s="120">
        <v>0</v>
      </c>
      <c r="V180" s="120">
        <v>0</v>
      </c>
      <c r="W180" s="120">
        <v>0</v>
      </c>
      <c r="X180" s="120">
        <v>0</v>
      </c>
      <c r="Y180" s="120">
        <v>0</v>
      </c>
      <c r="Z180" s="120">
        <v>0</v>
      </c>
      <c r="AA180" s="120">
        <v>0</v>
      </c>
      <c r="AB180" s="120">
        <v>0</v>
      </c>
      <c r="AC180" s="104">
        <v>0</v>
      </c>
      <c r="AD180" s="341"/>
    </row>
    <row r="181" spans="1:30" ht="22.5" x14ac:dyDescent="0.2">
      <c r="A181" s="336"/>
      <c r="B181" s="68" t="s">
        <v>15</v>
      </c>
      <c r="C181" s="166">
        <f>H21</f>
        <v>0</v>
      </c>
      <c r="D181" s="102" t="b">
        <f t="shared" ref="D181:D187" si="121">IF(ABS(E181 - C181) &lt; MAX(0.00001, E181 * 0.00001), TRUE, FALSE)</f>
        <v>1</v>
      </c>
      <c r="E181" s="166">
        <f t="shared" ref="E181:E187" si="122">SUM(F181:AC181)</f>
        <v>0</v>
      </c>
      <c r="F181" s="120">
        <f>C181</f>
        <v>0</v>
      </c>
      <c r="G181" s="158">
        <v>0</v>
      </c>
      <c r="H181" s="158">
        <v>0</v>
      </c>
      <c r="I181" s="158">
        <v>0</v>
      </c>
      <c r="J181" s="158">
        <v>0</v>
      </c>
      <c r="K181" s="158">
        <v>0</v>
      </c>
      <c r="L181" s="158">
        <v>0</v>
      </c>
      <c r="M181" s="158">
        <v>0</v>
      </c>
      <c r="N181" s="158">
        <v>0</v>
      </c>
      <c r="O181" s="158">
        <v>0</v>
      </c>
      <c r="P181" s="158">
        <v>0</v>
      </c>
      <c r="Q181" s="158">
        <v>0</v>
      </c>
      <c r="R181" s="158">
        <v>0</v>
      </c>
      <c r="S181" s="158">
        <v>0</v>
      </c>
      <c r="T181" s="158">
        <v>0</v>
      </c>
      <c r="U181" s="158">
        <v>0</v>
      </c>
      <c r="V181" s="158">
        <v>0</v>
      </c>
      <c r="W181" s="158">
        <v>0</v>
      </c>
      <c r="X181" s="158">
        <v>0</v>
      </c>
      <c r="Y181" s="158">
        <v>0</v>
      </c>
      <c r="Z181" s="158">
        <v>0</v>
      </c>
      <c r="AA181" s="158">
        <v>0</v>
      </c>
      <c r="AB181" s="158">
        <v>0</v>
      </c>
      <c r="AC181" s="159">
        <v>0</v>
      </c>
      <c r="AD181" s="341"/>
    </row>
    <row r="182" spans="1:30" ht="22.5" x14ac:dyDescent="0.2">
      <c r="A182" s="336"/>
      <c r="B182" s="68" t="s">
        <v>17</v>
      </c>
      <c r="C182" s="166">
        <f>H22</f>
        <v>17190139.199999999</v>
      </c>
      <c r="D182" s="102" t="b">
        <f t="shared" si="121"/>
        <v>1</v>
      </c>
      <c r="E182" s="166">
        <f>SUM(F182:AC182)</f>
        <v>17190139.200000003</v>
      </c>
      <c r="F182" s="120">
        <f>((-$D$104*F196)+(-$E$104*F196))*$J$22</f>
        <v>0</v>
      </c>
      <c r="G182" s="120">
        <f>((-$D$104*G196)+(-$E$104*G196))*$J$22</f>
        <v>0</v>
      </c>
      <c r="H182" s="120">
        <f>((-$D$104*H196)+(-$E$104*H196))*$J$22</f>
        <v>0</v>
      </c>
      <c r="I182" s="120">
        <f t="shared" ref="I182:AC182" si="123">((-$D$104*I196)+(-$E$104*I196))*$J$22</f>
        <v>0</v>
      </c>
      <c r="J182" s="120">
        <f t="shared" si="123"/>
        <v>1719013.92</v>
      </c>
      <c r="K182" s="120">
        <f t="shared" si="123"/>
        <v>1203309.7440000002</v>
      </c>
      <c r="L182" s="120">
        <f t="shared" si="123"/>
        <v>1203309.7440000002</v>
      </c>
      <c r="M182" s="120">
        <f t="shared" si="123"/>
        <v>1203309.7440000002</v>
      </c>
      <c r="N182" s="120">
        <f t="shared" si="123"/>
        <v>2234718.0959999999</v>
      </c>
      <c r="O182" s="120">
        <f t="shared" si="123"/>
        <v>2234718.0959999999</v>
      </c>
      <c r="P182" s="120">
        <f t="shared" si="123"/>
        <v>2234718.0959999999</v>
      </c>
      <c r="Q182" s="120">
        <f t="shared" si="123"/>
        <v>1719013.92</v>
      </c>
      <c r="R182" s="120">
        <f t="shared" si="123"/>
        <v>1203309.7440000002</v>
      </c>
      <c r="S182" s="120">
        <f t="shared" si="123"/>
        <v>1203309.7440000002</v>
      </c>
      <c r="T182" s="120">
        <f t="shared" si="123"/>
        <v>1031408.352</v>
      </c>
      <c r="U182" s="120">
        <f t="shared" si="123"/>
        <v>0</v>
      </c>
      <c r="V182" s="120">
        <f t="shared" si="123"/>
        <v>0</v>
      </c>
      <c r="W182" s="120">
        <f t="shared" si="123"/>
        <v>0</v>
      </c>
      <c r="X182" s="120">
        <f t="shared" si="123"/>
        <v>0</v>
      </c>
      <c r="Y182" s="120">
        <f t="shared" si="123"/>
        <v>0</v>
      </c>
      <c r="Z182" s="120">
        <f t="shared" si="123"/>
        <v>0</v>
      </c>
      <c r="AA182" s="120">
        <f t="shared" si="123"/>
        <v>0</v>
      </c>
      <c r="AB182" s="120">
        <f t="shared" si="123"/>
        <v>0</v>
      </c>
      <c r="AC182" s="159">
        <f t="shared" si="123"/>
        <v>0</v>
      </c>
      <c r="AD182" s="341"/>
    </row>
    <row r="183" spans="1:30" ht="22.5" x14ac:dyDescent="0.2">
      <c r="A183" s="336"/>
      <c r="B183" s="68" t="s">
        <v>20</v>
      </c>
      <c r="C183" s="166">
        <f>H23</f>
        <v>338000000</v>
      </c>
      <c r="D183" s="102" t="b">
        <f t="shared" si="121"/>
        <v>1</v>
      </c>
      <c r="E183" s="166">
        <f>SUM(F183:AC183)</f>
        <v>338000000</v>
      </c>
      <c r="F183" s="120">
        <f>C183</f>
        <v>338000000</v>
      </c>
      <c r="G183" s="158">
        <v>0</v>
      </c>
      <c r="H183" s="158">
        <v>0</v>
      </c>
      <c r="I183" s="158">
        <v>0</v>
      </c>
      <c r="J183" s="158">
        <v>0</v>
      </c>
      <c r="K183" s="158">
        <v>0</v>
      </c>
      <c r="L183" s="158">
        <v>0</v>
      </c>
      <c r="M183" s="158">
        <v>0</v>
      </c>
      <c r="N183" s="158">
        <v>0</v>
      </c>
      <c r="O183" s="158">
        <v>0</v>
      </c>
      <c r="P183" s="158">
        <v>0</v>
      </c>
      <c r="Q183" s="158">
        <v>0</v>
      </c>
      <c r="R183" s="158">
        <v>0</v>
      </c>
      <c r="S183" s="158">
        <v>0</v>
      </c>
      <c r="T183" s="158">
        <v>0</v>
      </c>
      <c r="U183" s="158">
        <v>0</v>
      </c>
      <c r="V183" s="158">
        <v>0</v>
      </c>
      <c r="W183" s="158">
        <v>0</v>
      </c>
      <c r="X183" s="158">
        <v>0</v>
      </c>
      <c r="Y183" s="158">
        <v>0</v>
      </c>
      <c r="Z183" s="158">
        <v>0</v>
      </c>
      <c r="AA183" s="158">
        <v>0</v>
      </c>
      <c r="AB183" s="158">
        <v>0</v>
      </c>
      <c r="AC183" s="159">
        <v>0</v>
      </c>
      <c r="AD183" s="341"/>
    </row>
    <row r="184" spans="1:30" ht="22.5" x14ac:dyDescent="0.2">
      <c r="A184" s="341"/>
      <c r="B184" s="119" t="s">
        <v>223</v>
      </c>
      <c r="C184" s="166">
        <f>AC139</f>
        <v>118949481.33119997</v>
      </c>
      <c r="D184" s="102" t="b">
        <f t="shared" si="121"/>
        <v>1</v>
      </c>
      <c r="E184" s="166">
        <f>SUM(F184:AC184)</f>
        <v>118949481.33119997</v>
      </c>
      <c r="F184" s="70">
        <f>F296</f>
        <v>0</v>
      </c>
      <c r="G184" s="158">
        <f t="shared" ref="G184:AC184" si="124">G296</f>
        <v>0</v>
      </c>
      <c r="H184" s="158">
        <f t="shared" si="124"/>
        <v>0</v>
      </c>
      <c r="I184" s="158">
        <f t="shared" si="124"/>
        <v>834381.88363636343</v>
      </c>
      <c r="J184" s="158">
        <f t="shared" si="124"/>
        <v>2394676.0060363626</v>
      </c>
      <c r="K184" s="158">
        <f t="shared" si="124"/>
        <v>5375254.9707621802</v>
      </c>
      <c r="L184" s="158">
        <f t="shared" si="124"/>
        <v>8445172.8725327104</v>
      </c>
      <c r="M184" s="158">
        <f t="shared" si="124"/>
        <v>14328808.114173489</v>
      </c>
      <c r="N184" s="158">
        <f t="shared" si="124"/>
        <v>21846354.84228627</v>
      </c>
      <c r="O184" s="158">
        <f t="shared" si="124"/>
        <v>26481103.691576928</v>
      </c>
      <c r="P184" s="158">
        <f t="shared" si="124"/>
        <v>28471868.525500607</v>
      </c>
      <c r="Q184" s="158">
        <f t="shared" si="124"/>
        <v>8617488.3397560474</v>
      </c>
      <c r="R184" s="158">
        <f t="shared" si="124"/>
        <v>1874303.7138969409</v>
      </c>
      <c r="S184" s="158">
        <f t="shared" si="124"/>
        <v>263264.26877954713</v>
      </c>
      <c r="T184" s="158">
        <f t="shared" si="124"/>
        <v>16804.102262524251</v>
      </c>
      <c r="U184" s="158">
        <f t="shared" si="124"/>
        <v>0</v>
      </c>
      <c r="V184" s="158">
        <f t="shared" si="124"/>
        <v>0</v>
      </c>
      <c r="W184" s="158">
        <f t="shared" si="124"/>
        <v>0</v>
      </c>
      <c r="X184" s="158">
        <f t="shared" si="124"/>
        <v>0</v>
      </c>
      <c r="Y184" s="158">
        <f t="shared" si="124"/>
        <v>0</v>
      </c>
      <c r="Z184" s="158">
        <f t="shared" si="124"/>
        <v>0</v>
      </c>
      <c r="AA184" s="158">
        <f t="shared" si="124"/>
        <v>0</v>
      </c>
      <c r="AB184" s="158">
        <f>AB296</f>
        <v>0</v>
      </c>
      <c r="AC184" s="159">
        <f t="shared" si="124"/>
        <v>0</v>
      </c>
      <c r="AD184" s="341"/>
    </row>
    <row r="185" spans="1:30" ht="22.5" x14ac:dyDescent="0.2">
      <c r="A185" s="341"/>
      <c r="B185" s="119" t="s">
        <v>130</v>
      </c>
      <c r="C185" s="166">
        <f>H157</f>
        <v>25705995.120000001</v>
      </c>
      <c r="D185" s="102" t="b">
        <f t="shared" si="121"/>
        <v>1</v>
      </c>
      <c r="E185" s="166">
        <f t="shared" si="122"/>
        <v>25705995.120000005</v>
      </c>
      <c r="F185" s="160">
        <f t="shared" ref="F185:AC185" si="125">$C$185*F171</f>
        <v>0</v>
      </c>
      <c r="G185" s="160">
        <f t="shared" si="125"/>
        <v>0</v>
      </c>
      <c r="H185" s="160">
        <f t="shared" si="125"/>
        <v>0</v>
      </c>
      <c r="I185" s="160">
        <f t="shared" si="125"/>
        <v>0</v>
      </c>
      <c r="J185" s="160">
        <f t="shared" si="125"/>
        <v>0</v>
      </c>
      <c r="K185" s="160">
        <f t="shared" si="125"/>
        <v>0</v>
      </c>
      <c r="L185" s="160">
        <f t="shared" si="125"/>
        <v>0</v>
      </c>
      <c r="M185" s="160">
        <f t="shared" si="125"/>
        <v>0</v>
      </c>
      <c r="N185" s="160">
        <f t="shared" si="125"/>
        <v>0</v>
      </c>
      <c r="O185" s="160">
        <f t="shared" si="125"/>
        <v>0</v>
      </c>
      <c r="P185" s="160">
        <f t="shared" si="125"/>
        <v>5141199.0240000002</v>
      </c>
      <c r="Q185" s="160">
        <f t="shared" si="125"/>
        <v>6426498.7800000003</v>
      </c>
      <c r="R185" s="160">
        <f t="shared" si="125"/>
        <v>6426498.7800000003</v>
      </c>
      <c r="S185" s="160">
        <f>$C$185*S171</f>
        <v>7711798.5360000003</v>
      </c>
      <c r="T185" s="160">
        <f t="shared" si="125"/>
        <v>0</v>
      </c>
      <c r="U185" s="160">
        <f t="shared" si="125"/>
        <v>0</v>
      </c>
      <c r="V185" s="160">
        <f t="shared" si="125"/>
        <v>0</v>
      </c>
      <c r="W185" s="160">
        <f t="shared" si="125"/>
        <v>0</v>
      </c>
      <c r="X185" s="160">
        <f t="shared" si="125"/>
        <v>0</v>
      </c>
      <c r="Y185" s="160">
        <f t="shared" si="125"/>
        <v>0</v>
      </c>
      <c r="Z185" s="160">
        <f t="shared" si="125"/>
        <v>0</v>
      </c>
      <c r="AA185" s="160">
        <f t="shared" si="125"/>
        <v>0</v>
      </c>
      <c r="AB185" s="160">
        <f t="shared" si="125"/>
        <v>0</v>
      </c>
      <c r="AC185" s="161">
        <f t="shared" si="125"/>
        <v>0</v>
      </c>
      <c r="AD185" s="341"/>
    </row>
    <row r="186" spans="1:30" ht="22.5" x14ac:dyDescent="0.2">
      <c r="A186" s="341"/>
      <c r="B186" s="119" t="s">
        <v>168</v>
      </c>
      <c r="C186" s="166">
        <f>X157</f>
        <v>38325000</v>
      </c>
      <c r="D186" s="102" t="b">
        <f t="shared" si="121"/>
        <v>1</v>
      </c>
      <c r="E186" s="166">
        <f>SUM(F186:AC186)</f>
        <v>38325000</v>
      </c>
      <c r="F186" s="121">
        <f t="shared" ref="F186:AC186" si="126">F172*$C$186</f>
        <v>0</v>
      </c>
      <c r="G186" s="121">
        <f t="shared" si="126"/>
        <v>0</v>
      </c>
      <c r="H186" s="121">
        <f t="shared" si="126"/>
        <v>0</v>
      </c>
      <c r="I186" s="121">
        <f t="shared" si="126"/>
        <v>0</v>
      </c>
      <c r="J186" s="121">
        <f t="shared" si="126"/>
        <v>0</v>
      </c>
      <c r="K186" s="121">
        <f t="shared" si="126"/>
        <v>0</v>
      </c>
      <c r="L186" s="121">
        <f t="shared" si="126"/>
        <v>0</v>
      </c>
      <c r="M186" s="121">
        <f t="shared" si="126"/>
        <v>0</v>
      </c>
      <c r="N186" s="121">
        <f t="shared" si="126"/>
        <v>0</v>
      </c>
      <c r="O186" s="121">
        <f t="shared" si="126"/>
        <v>0</v>
      </c>
      <c r="P186" s="121">
        <f t="shared" si="126"/>
        <v>0</v>
      </c>
      <c r="Q186" s="121">
        <f t="shared" si="126"/>
        <v>0</v>
      </c>
      <c r="R186" s="121">
        <f t="shared" si="126"/>
        <v>0</v>
      </c>
      <c r="S186" s="121">
        <f t="shared" si="126"/>
        <v>0</v>
      </c>
      <c r="T186" s="121">
        <f t="shared" si="126"/>
        <v>0</v>
      </c>
      <c r="U186" s="121">
        <f t="shared" si="126"/>
        <v>7665000</v>
      </c>
      <c r="V186" s="121">
        <f t="shared" si="126"/>
        <v>9581250</v>
      </c>
      <c r="W186" s="121">
        <f t="shared" si="126"/>
        <v>9581250</v>
      </c>
      <c r="X186" s="121">
        <f t="shared" si="126"/>
        <v>11497500</v>
      </c>
      <c r="Y186" s="121">
        <f t="shared" si="126"/>
        <v>0</v>
      </c>
      <c r="Z186" s="121">
        <f t="shared" si="126"/>
        <v>0</v>
      </c>
      <c r="AA186" s="121">
        <f t="shared" si="126"/>
        <v>0</v>
      </c>
      <c r="AB186" s="121">
        <f t="shared" si="126"/>
        <v>0</v>
      </c>
      <c r="AC186" s="122">
        <f t="shared" si="126"/>
        <v>0</v>
      </c>
      <c r="AD186" s="341"/>
    </row>
    <row r="187" spans="1:30" ht="22.5" x14ac:dyDescent="0.2">
      <c r="A187" s="341"/>
      <c r="B187" s="119" t="s">
        <v>162</v>
      </c>
      <c r="C187" s="166">
        <f>J139</f>
        <v>212458349.99999997</v>
      </c>
      <c r="D187" s="102" t="b">
        <f t="shared" si="121"/>
        <v>1</v>
      </c>
      <c r="E187" s="166">
        <f t="shared" si="122"/>
        <v>212458350</v>
      </c>
      <c r="F187" s="121">
        <f t="shared" ref="F187:AC187" si="127">F173*$C$187</f>
        <v>0</v>
      </c>
      <c r="G187" s="121">
        <f t="shared" si="127"/>
        <v>0</v>
      </c>
      <c r="H187" s="121">
        <f t="shared" si="127"/>
        <v>0</v>
      </c>
      <c r="I187" s="121">
        <f t="shared" si="127"/>
        <v>0</v>
      </c>
      <c r="J187" s="121">
        <f t="shared" si="127"/>
        <v>0</v>
      </c>
      <c r="K187" s="121">
        <f t="shared" si="127"/>
        <v>0</v>
      </c>
      <c r="L187" s="121">
        <f t="shared" si="127"/>
        <v>0</v>
      </c>
      <c r="M187" s="121">
        <f t="shared" si="127"/>
        <v>0</v>
      </c>
      <c r="N187" s="121">
        <f t="shared" si="127"/>
        <v>0</v>
      </c>
      <c r="O187" s="121">
        <f t="shared" si="127"/>
        <v>0</v>
      </c>
      <c r="P187" s="121">
        <f t="shared" si="127"/>
        <v>0</v>
      </c>
      <c r="Q187" s="121">
        <f t="shared" si="127"/>
        <v>42491670</v>
      </c>
      <c r="R187" s="121">
        <f t="shared" si="127"/>
        <v>53114587.499999993</v>
      </c>
      <c r="S187" s="121">
        <f t="shared" si="127"/>
        <v>53114587.499999993</v>
      </c>
      <c r="T187" s="121">
        <f t="shared" si="127"/>
        <v>63737504.999999985</v>
      </c>
      <c r="U187" s="121">
        <f t="shared" si="127"/>
        <v>0</v>
      </c>
      <c r="V187" s="121">
        <f t="shared" si="127"/>
        <v>0</v>
      </c>
      <c r="W187" s="121">
        <f t="shared" si="127"/>
        <v>0</v>
      </c>
      <c r="X187" s="121">
        <f t="shared" si="127"/>
        <v>0</v>
      </c>
      <c r="Y187" s="121">
        <f t="shared" si="127"/>
        <v>0</v>
      </c>
      <c r="Z187" s="121">
        <f t="shared" si="127"/>
        <v>0</v>
      </c>
      <c r="AA187" s="121">
        <f t="shared" si="127"/>
        <v>0</v>
      </c>
      <c r="AB187" s="121">
        <f t="shared" si="127"/>
        <v>0</v>
      </c>
      <c r="AC187" s="122">
        <f t="shared" si="127"/>
        <v>0</v>
      </c>
      <c r="AD187" s="341"/>
    </row>
    <row r="188" spans="1:30" ht="23.25" thickBot="1" x14ac:dyDescent="0.25">
      <c r="A188" s="341"/>
      <c r="B188" s="119" t="s">
        <v>169</v>
      </c>
      <c r="C188" s="166">
        <f>O139</f>
        <v>647743931.8487395</v>
      </c>
      <c r="D188" s="102" t="b">
        <f>IF(ABS(E188 - C188) &lt; MAX(0.00001, E188 * 0.00001), TRUE, FALSE)</f>
        <v>1</v>
      </c>
      <c r="E188" s="166">
        <f>SUM(F188:AC188)</f>
        <v>647743931.84873939</v>
      </c>
      <c r="F188" s="160">
        <f t="shared" ref="F188:AC188" si="128">F174*$C$188</f>
        <v>0</v>
      </c>
      <c r="G188" s="160">
        <f t="shared" si="128"/>
        <v>0</v>
      </c>
      <c r="H188" s="160">
        <f t="shared" si="128"/>
        <v>0</v>
      </c>
      <c r="I188" s="160">
        <f t="shared" si="128"/>
        <v>0</v>
      </c>
      <c r="J188" s="160">
        <f>J174*$C$188</f>
        <v>0</v>
      </c>
      <c r="K188" s="160">
        <f t="shared" si="128"/>
        <v>0</v>
      </c>
      <c r="L188" s="160">
        <f t="shared" si="128"/>
        <v>0</v>
      </c>
      <c r="M188" s="160">
        <f t="shared" si="128"/>
        <v>0</v>
      </c>
      <c r="N188" s="160">
        <f t="shared" si="128"/>
        <v>0</v>
      </c>
      <c r="O188" s="160">
        <f t="shared" si="128"/>
        <v>0</v>
      </c>
      <c r="P188" s="160">
        <f t="shared" si="128"/>
        <v>0</v>
      </c>
      <c r="Q188" s="160">
        <f t="shared" si="128"/>
        <v>0</v>
      </c>
      <c r="R188" s="160">
        <f t="shared" si="128"/>
        <v>0</v>
      </c>
      <c r="S188" s="160">
        <f>SUM(O134:O135,O138)</f>
        <v>309582167.14285713</v>
      </c>
      <c r="T188" s="160"/>
      <c r="U188" s="160">
        <f t="shared" si="128"/>
        <v>0</v>
      </c>
      <c r="V188" s="160">
        <f t="shared" si="128"/>
        <v>0</v>
      </c>
      <c r="W188" s="160">
        <f t="shared" si="128"/>
        <v>0</v>
      </c>
      <c r="X188" s="160">
        <f>O136</f>
        <v>338161764.70588231</v>
      </c>
      <c r="Y188" s="160">
        <f t="shared" si="128"/>
        <v>0</v>
      </c>
      <c r="Z188" s="160">
        <f t="shared" si="128"/>
        <v>0</v>
      </c>
      <c r="AA188" s="160">
        <f t="shared" si="128"/>
        <v>0</v>
      </c>
      <c r="AB188" s="160">
        <f t="shared" si="128"/>
        <v>0</v>
      </c>
      <c r="AC188" s="161">
        <f t="shared" si="128"/>
        <v>0</v>
      </c>
      <c r="AD188" s="341"/>
    </row>
    <row r="189" spans="1:30" ht="23.25" thickBot="1" x14ac:dyDescent="0.25">
      <c r="A189" s="245">
        <v>0.02</v>
      </c>
      <c r="B189" s="60" t="s">
        <v>227</v>
      </c>
      <c r="C189" s="167">
        <f>E189</f>
        <v>113000000</v>
      </c>
      <c r="D189" s="103" t="b">
        <f>IF(ABS(E189 - C189) &lt; MAX(0.00001, E189 * 0.00001), TRUE, FALSE)</f>
        <v>1</v>
      </c>
      <c r="E189" s="167">
        <f>SUM(F189:AC189)</f>
        <v>113000000</v>
      </c>
      <c r="F189" s="205"/>
      <c r="G189" s="205"/>
      <c r="H189" s="205"/>
      <c r="I189" s="205"/>
      <c r="J189" s="205">
        <v>9000000</v>
      </c>
      <c r="K189" s="205">
        <v>18000000</v>
      </c>
      <c r="L189" s="205">
        <v>15000000</v>
      </c>
      <c r="M189" s="205">
        <v>10000000</v>
      </c>
      <c r="N189" s="205">
        <v>21000000</v>
      </c>
      <c r="O189" s="205">
        <v>20000000</v>
      </c>
      <c r="P189" s="205">
        <v>20000000</v>
      </c>
      <c r="Q189" s="205"/>
      <c r="R189" s="205"/>
      <c r="S189" s="205"/>
      <c r="T189" s="205">
        <v>0</v>
      </c>
      <c r="U189" s="205"/>
      <c r="V189" s="205"/>
      <c r="W189" s="205"/>
      <c r="X189" s="205"/>
      <c r="Y189" s="205"/>
      <c r="Z189" s="205"/>
      <c r="AA189" s="205"/>
      <c r="AB189" s="205"/>
      <c r="AC189" s="205"/>
      <c r="AD189" s="341">
        <f>IF(AB225 + SUM(AC180:AC188) + SUM(AC192:AC216) &gt;= 0, 0, ABS(AB225 + SUM(AC180:AC188) + SUM(AC192:AC216)) * (1 + $A$189))</f>
        <v>0</v>
      </c>
    </row>
    <row r="190" spans="1:30" ht="12" thickBot="1" x14ac:dyDescent="0.25">
      <c r="A190" s="336"/>
      <c r="B190" s="217" t="s">
        <v>170</v>
      </c>
      <c r="C190" s="218"/>
      <c r="D190" s="219"/>
      <c r="E190" s="240">
        <f>BI22</f>
        <v>287611643.50240004</v>
      </c>
      <c r="Y190" s="218"/>
      <c r="Z190" s="218"/>
      <c r="AA190" s="218"/>
      <c r="AB190" s="218"/>
      <c r="AC190" s="220"/>
      <c r="AD190" s="341"/>
    </row>
    <row r="191" spans="1:30" ht="22.5" x14ac:dyDescent="0.2">
      <c r="A191" s="336"/>
      <c r="B191" s="206" t="s">
        <v>160</v>
      </c>
      <c r="C191" s="207">
        <f>-E189</f>
        <v>-113000000</v>
      </c>
      <c r="D191" s="239">
        <f>C191-E191</f>
        <v>0</v>
      </c>
      <c r="E191" s="69">
        <f>SUM(F191:AC191)</f>
        <v>-112999999.99999999</v>
      </c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08">
        <v>-45279939.239228189</v>
      </c>
      <c r="S191" s="208">
        <v>-67720060.760771796</v>
      </c>
      <c r="T191" s="208"/>
      <c r="U191" s="208"/>
      <c r="V191" s="208"/>
      <c r="W191" s="208"/>
      <c r="X191" s="208"/>
      <c r="Y191" s="208"/>
      <c r="Z191" s="208"/>
      <c r="AA191" s="208"/>
      <c r="AB191" s="208"/>
      <c r="AC191" s="209"/>
      <c r="AD191" s="341"/>
    </row>
    <row r="192" spans="1:30" ht="22.5" x14ac:dyDescent="0.2">
      <c r="A192" s="345"/>
      <c r="B192" s="119" t="s">
        <v>18</v>
      </c>
      <c r="C192" s="53">
        <v>7.2999999999999995E-2</v>
      </c>
      <c r="D192" s="102" t="b">
        <f>IF(ABS(E192+E193 - AC259) &lt; MAX(0.00001, E192+E193 * 0.00001), TRUE, FALSE)</f>
        <v>1</v>
      </c>
      <c r="E192" s="166">
        <f>SUM(F192:AC192)</f>
        <v>-10762391.108884085</v>
      </c>
      <c r="F192" s="158">
        <v>0</v>
      </c>
      <c r="G192" s="158">
        <f>-(F178*$C$192)/4</f>
        <v>0</v>
      </c>
      <c r="H192" s="158">
        <f>-(G178*$C$192)/4</f>
        <v>0</v>
      </c>
      <c r="I192" s="158">
        <f>-(H178*$C$192)/4</f>
        <v>0</v>
      </c>
      <c r="J192" s="158">
        <f>-(I178*$C$192)/4</f>
        <v>0</v>
      </c>
      <c r="K192" s="158">
        <f t="shared" ref="K192:AC192" si="129">-(J178*$C$192)/4</f>
        <v>-164250</v>
      </c>
      <c r="L192" s="158">
        <f t="shared" si="129"/>
        <v>-492749.99999999994</v>
      </c>
      <c r="M192" s="158">
        <f t="shared" si="129"/>
        <v>-766500</v>
      </c>
      <c r="N192" s="158">
        <f t="shared" si="129"/>
        <v>-948999.99999999988</v>
      </c>
      <c r="O192" s="158">
        <f t="shared" si="129"/>
        <v>-1332250</v>
      </c>
      <c r="P192" s="158">
        <f t="shared" si="129"/>
        <v>-1697250</v>
      </c>
      <c r="Q192" s="158">
        <f>-(P178*$C$192)/4</f>
        <v>-2062249.9999999998</v>
      </c>
      <c r="R192" s="158">
        <f t="shared" si="129"/>
        <v>-2062249.9999999998</v>
      </c>
      <c r="S192" s="158">
        <f t="shared" si="129"/>
        <v>-1235891.1088840854</v>
      </c>
      <c r="T192" s="158">
        <f t="shared" si="129"/>
        <v>0</v>
      </c>
      <c r="U192" s="158">
        <f t="shared" si="129"/>
        <v>0</v>
      </c>
      <c r="V192" s="158">
        <f t="shared" si="129"/>
        <v>0</v>
      </c>
      <c r="W192" s="158">
        <f t="shared" si="129"/>
        <v>0</v>
      </c>
      <c r="X192" s="158">
        <f t="shared" si="129"/>
        <v>0</v>
      </c>
      <c r="Y192" s="158">
        <f t="shared" si="129"/>
        <v>0</v>
      </c>
      <c r="Z192" s="158">
        <f t="shared" si="129"/>
        <v>0</v>
      </c>
      <c r="AA192" s="158">
        <f t="shared" si="129"/>
        <v>0</v>
      </c>
      <c r="AB192" s="158">
        <f t="shared" si="129"/>
        <v>0</v>
      </c>
      <c r="AC192" s="159">
        <f t="shared" si="129"/>
        <v>0</v>
      </c>
      <c r="AD192" s="341"/>
    </row>
    <row r="193" spans="1:30" ht="22.5" x14ac:dyDescent="0.2">
      <c r="A193" s="336"/>
      <c r="B193" s="119" t="s">
        <v>171</v>
      </c>
      <c r="C193" s="53">
        <v>5.0000000000000001E-3</v>
      </c>
      <c r="D193" s="102" t="b">
        <f>-C193*C189=E193</f>
        <v>1</v>
      </c>
      <c r="E193" s="166">
        <f>SUM(F193:AC193)</f>
        <v>-565000</v>
      </c>
      <c r="F193" s="160">
        <f>-C193*C189</f>
        <v>-565000</v>
      </c>
      <c r="G193" s="160">
        <v>0</v>
      </c>
      <c r="H193" s="160">
        <v>0</v>
      </c>
      <c r="I193" s="160">
        <v>0</v>
      </c>
      <c r="J193" s="160">
        <v>0</v>
      </c>
      <c r="K193" s="160">
        <v>0</v>
      </c>
      <c r="L193" s="160">
        <v>0</v>
      </c>
      <c r="M193" s="160">
        <v>0</v>
      </c>
      <c r="N193" s="160">
        <v>0</v>
      </c>
      <c r="O193" s="160">
        <v>0</v>
      </c>
      <c r="P193" s="160">
        <v>0</v>
      </c>
      <c r="Q193" s="160">
        <v>0</v>
      </c>
      <c r="R193" s="160">
        <v>0</v>
      </c>
      <c r="S193" s="160">
        <v>0</v>
      </c>
      <c r="T193" s="160">
        <v>0</v>
      </c>
      <c r="U193" s="160">
        <v>0</v>
      </c>
      <c r="V193" s="160">
        <v>0</v>
      </c>
      <c r="W193" s="160">
        <v>0</v>
      </c>
      <c r="X193" s="160">
        <v>0</v>
      </c>
      <c r="Y193" s="160">
        <v>0</v>
      </c>
      <c r="Z193" s="160">
        <v>0</v>
      </c>
      <c r="AA193" s="160">
        <v>0</v>
      </c>
      <c r="AB193" s="160">
        <v>0</v>
      </c>
      <c r="AC193" s="161">
        <v>0</v>
      </c>
      <c r="AD193" s="341"/>
    </row>
    <row r="194" spans="1:30" ht="22.5" x14ac:dyDescent="0.2">
      <c r="A194" s="336"/>
      <c r="B194" s="119" t="s">
        <v>172</v>
      </c>
      <c r="C194" s="166">
        <f>-E49</f>
        <v>-338000000</v>
      </c>
      <c r="D194" s="102" t="b">
        <f>IF(ABS(E194 - C194) &lt; MAX(0.00001, E194 * 0.00001), TRUE, FALSE)</f>
        <v>1</v>
      </c>
      <c r="E194" s="166">
        <f t="shared" ref="E194:E195" si="130">SUM(F194:AC194)</f>
        <v>-338000000</v>
      </c>
      <c r="F194" s="158">
        <f>-E49</f>
        <v>-338000000</v>
      </c>
      <c r="G194" s="158">
        <v>0</v>
      </c>
      <c r="H194" s="158">
        <v>0</v>
      </c>
      <c r="I194" s="158">
        <v>0</v>
      </c>
      <c r="J194" s="158">
        <v>0</v>
      </c>
      <c r="K194" s="158">
        <v>0</v>
      </c>
      <c r="L194" s="158">
        <v>0</v>
      </c>
      <c r="M194" s="158">
        <v>0</v>
      </c>
      <c r="N194" s="158">
        <v>0</v>
      </c>
      <c r="O194" s="158">
        <v>0</v>
      </c>
      <c r="P194" s="158">
        <v>0</v>
      </c>
      <c r="Q194" s="158">
        <v>0</v>
      </c>
      <c r="R194" s="158">
        <v>0</v>
      </c>
      <c r="S194" s="158">
        <v>0</v>
      </c>
      <c r="T194" s="158">
        <v>0</v>
      </c>
      <c r="U194" s="158">
        <v>0</v>
      </c>
      <c r="V194" s="158">
        <v>0</v>
      </c>
      <c r="W194" s="158">
        <v>0</v>
      </c>
      <c r="X194" s="158">
        <v>0</v>
      </c>
      <c r="Y194" s="158">
        <v>0</v>
      </c>
      <c r="Z194" s="158">
        <v>0</v>
      </c>
      <c r="AA194" s="158">
        <v>0</v>
      </c>
      <c r="AB194" s="158">
        <v>0</v>
      </c>
      <c r="AC194" s="159">
        <v>0</v>
      </c>
      <c r="AD194" s="341"/>
    </row>
    <row r="195" spans="1:30" ht="27.75" thickBot="1" x14ac:dyDescent="0.25">
      <c r="A195" s="336"/>
      <c r="B195" s="133" t="s">
        <v>315</v>
      </c>
      <c r="C195" s="134">
        <f>-SUM(F49:H49)</f>
        <v>-9717500</v>
      </c>
      <c r="D195" s="135" t="b">
        <f t="shared" ref="D195:D216" si="131">IF(ABS(E195 - C195) &lt; MAX(0.00001, E195 * 0.00001), TRUE, FALSE)</f>
        <v>1</v>
      </c>
      <c r="E195" s="134">
        <f t="shared" si="130"/>
        <v>-9717500</v>
      </c>
      <c r="F195" s="162">
        <f>-SUM(F49:H49)</f>
        <v>-9717500</v>
      </c>
      <c r="G195" s="162">
        <v>0</v>
      </c>
      <c r="H195" s="162">
        <v>0</v>
      </c>
      <c r="I195" s="162">
        <v>0</v>
      </c>
      <c r="J195" s="162">
        <v>0</v>
      </c>
      <c r="K195" s="162">
        <v>0</v>
      </c>
      <c r="L195" s="162">
        <v>0</v>
      </c>
      <c r="M195" s="162">
        <v>0</v>
      </c>
      <c r="N195" s="162">
        <v>0</v>
      </c>
      <c r="O195" s="162">
        <v>0</v>
      </c>
      <c r="P195" s="162">
        <v>0</v>
      </c>
      <c r="Q195" s="162">
        <v>0</v>
      </c>
      <c r="R195" s="162">
        <v>0</v>
      </c>
      <c r="S195" s="162">
        <v>0</v>
      </c>
      <c r="T195" s="162">
        <v>0</v>
      </c>
      <c r="U195" s="162">
        <v>0</v>
      </c>
      <c r="V195" s="162">
        <v>0</v>
      </c>
      <c r="W195" s="162">
        <v>0</v>
      </c>
      <c r="X195" s="162">
        <v>0</v>
      </c>
      <c r="Y195" s="162">
        <v>0</v>
      </c>
      <c r="Z195" s="162">
        <v>0</v>
      </c>
      <c r="AA195" s="162">
        <v>0</v>
      </c>
      <c r="AB195" s="162">
        <v>0</v>
      </c>
      <c r="AC195" s="164">
        <v>0</v>
      </c>
      <c r="AD195" s="341"/>
    </row>
    <row r="196" spans="1:30" ht="23.25" thickBot="1" x14ac:dyDescent="0.25">
      <c r="A196" s="336"/>
      <c r="B196" s="139" t="s">
        <v>173</v>
      </c>
      <c r="C196" s="147">
        <f>-J76</f>
        <v>-286502320</v>
      </c>
      <c r="D196" s="140" t="b">
        <f t="shared" si="131"/>
        <v>1</v>
      </c>
      <c r="E196" s="156">
        <f>SUM(F196:AC196)</f>
        <v>-286502320</v>
      </c>
      <c r="F196" s="153">
        <f t="shared" ref="F196:AC196" si="132">F175*$C$196</f>
        <v>0</v>
      </c>
      <c r="G196" s="153">
        <f t="shared" si="132"/>
        <v>0</v>
      </c>
      <c r="H196" s="153">
        <f t="shared" si="132"/>
        <v>0</v>
      </c>
      <c r="I196" s="153">
        <f t="shared" si="132"/>
        <v>0</v>
      </c>
      <c r="J196" s="153">
        <f t="shared" si="132"/>
        <v>-28650232</v>
      </c>
      <c r="K196" s="153">
        <f t="shared" si="132"/>
        <v>-20055162.400000002</v>
      </c>
      <c r="L196" s="153">
        <f t="shared" si="132"/>
        <v>-20055162.400000002</v>
      </c>
      <c r="M196" s="153">
        <f t="shared" si="132"/>
        <v>-20055162.400000002</v>
      </c>
      <c r="N196" s="153">
        <f t="shared" si="132"/>
        <v>-37245301.600000001</v>
      </c>
      <c r="O196" s="153">
        <f t="shared" si="132"/>
        <v>-37245301.600000001</v>
      </c>
      <c r="P196" s="153">
        <f t="shared" si="132"/>
        <v>-37245301.600000001</v>
      </c>
      <c r="Q196" s="153">
        <f t="shared" si="132"/>
        <v>-28650232</v>
      </c>
      <c r="R196" s="153">
        <f t="shared" si="132"/>
        <v>-20055162.400000002</v>
      </c>
      <c r="S196" s="153">
        <f t="shared" si="132"/>
        <v>-20055162.400000002</v>
      </c>
      <c r="T196" s="153">
        <f t="shared" si="132"/>
        <v>-17190139.199999999</v>
      </c>
      <c r="U196" s="153">
        <f t="shared" si="132"/>
        <v>0</v>
      </c>
      <c r="V196" s="153">
        <f t="shared" si="132"/>
        <v>0</v>
      </c>
      <c r="W196" s="153">
        <f t="shared" si="132"/>
        <v>0</v>
      </c>
      <c r="X196" s="153">
        <f t="shared" si="132"/>
        <v>0</v>
      </c>
      <c r="Y196" s="153">
        <f t="shared" si="132"/>
        <v>0</v>
      </c>
      <c r="Z196" s="153">
        <f t="shared" si="132"/>
        <v>0</v>
      </c>
      <c r="AA196" s="153">
        <f t="shared" si="132"/>
        <v>0</v>
      </c>
      <c r="AB196" s="153">
        <f t="shared" si="132"/>
        <v>0</v>
      </c>
      <c r="AC196" s="154">
        <f t="shared" si="132"/>
        <v>0</v>
      </c>
      <c r="AD196" s="341"/>
    </row>
    <row r="197" spans="1:30" ht="22.5" x14ac:dyDescent="0.2">
      <c r="A197" s="336"/>
      <c r="B197" s="136" t="s">
        <v>174</v>
      </c>
      <c r="C197" s="137">
        <f t="shared" ref="C197:C212" si="133">-C86</f>
        <v>-676000</v>
      </c>
      <c r="D197" s="138" t="b">
        <f t="shared" si="131"/>
        <v>1</v>
      </c>
      <c r="E197" s="137">
        <f>SUM(F197:AC197)</f>
        <v>-676000</v>
      </c>
      <c r="F197" s="163">
        <f>C197</f>
        <v>-676000</v>
      </c>
      <c r="G197" s="163">
        <v>0</v>
      </c>
      <c r="H197" s="163">
        <v>0</v>
      </c>
      <c r="I197" s="163">
        <v>0</v>
      </c>
      <c r="J197" s="163">
        <v>0</v>
      </c>
      <c r="K197" s="163">
        <v>0</v>
      </c>
      <c r="L197" s="163">
        <v>0</v>
      </c>
      <c r="M197" s="163">
        <v>0</v>
      </c>
      <c r="N197" s="163">
        <v>0</v>
      </c>
      <c r="O197" s="163">
        <v>0</v>
      </c>
      <c r="P197" s="163">
        <v>0</v>
      </c>
      <c r="Q197" s="163">
        <v>0</v>
      </c>
      <c r="R197" s="163">
        <v>0</v>
      </c>
      <c r="S197" s="163">
        <v>0</v>
      </c>
      <c r="T197" s="163">
        <v>0</v>
      </c>
      <c r="U197" s="163">
        <v>0</v>
      </c>
      <c r="V197" s="163">
        <v>0</v>
      </c>
      <c r="W197" s="163">
        <v>0</v>
      </c>
      <c r="X197" s="163">
        <v>0</v>
      </c>
      <c r="Y197" s="163">
        <v>0</v>
      </c>
      <c r="Z197" s="163">
        <v>0</v>
      </c>
      <c r="AA197" s="163">
        <v>0</v>
      </c>
      <c r="AB197" s="163">
        <v>0</v>
      </c>
      <c r="AC197" s="165">
        <v>0</v>
      </c>
      <c r="AD197" s="341"/>
    </row>
    <row r="198" spans="1:30" ht="22.5" x14ac:dyDescent="0.2">
      <c r="A198" s="336"/>
      <c r="B198" s="21" t="s">
        <v>81</v>
      </c>
      <c r="C198" s="166">
        <f t="shared" si="133"/>
        <v>-6844500</v>
      </c>
      <c r="D198" s="102" t="b">
        <f t="shared" si="131"/>
        <v>1</v>
      </c>
      <c r="E198" s="166">
        <f>SUM(F198:AC198)</f>
        <v>-6844500</v>
      </c>
      <c r="F198" s="158">
        <v>0</v>
      </c>
      <c r="G198" s="158"/>
      <c r="H198" s="158">
        <f>$C$198/2</f>
        <v>-3422250</v>
      </c>
      <c r="I198" s="158">
        <f>$C$198/2</f>
        <v>-3422250</v>
      </c>
      <c r="J198" s="158">
        <v>0</v>
      </c>
      <c r="K198" s="158">
        <v>0</v>
      </c>
      <c r="L198" s="158">
        <v>0</v>
      </c>
      <c r="M198" s="158">
        <v>0</v>
      </c>
      <c r="N198" s="158">
        <v>0</v>
      </c>
      <c r="O198" s="158">
        <v>0</v>
      </c>
      <c r="P198" s="158">
        <v>0</v>
      </c>
      <c r="Q198" s="158">
        <v>0</v>
      </c>
      <c r="R198" s="158">
        <v>0</v>
      </c>
      <c r="S198" s="158">
        <v>0</v>
      </c>
      <c r="T198" s="158">
        <v>0</v>
      </c>
      <c r="U198" s="158">
        <v>0</v>
      </c>
      <c r="V198" s="158">
        <v>0</v>
      </c>
      <c r="W198" s="158">
        <v>0</v>
      </c>
      <c r="X198" s="158">
        <v>0</v>
      </c>
      <c r="Y198" s="158">
        <v>0</v>
      </c>
      <c r="Z198" s="158">
        <v>0</v>
      </c>
      <c r="AA198" s="158">
        <v>0</v>
      </c>
      <c r="AB198" s="158">
        <v>0</v>
      </c>
      <c r="AC198" s="159">
        <v>0</v>
      </c>
      <c r="AD198" s="341"/>
    </row>
    <row r="199" spans="1:30" ht="22.5" x14ac:dyDescent="0.2">
      <c r="A199" s="336"/>
      <c r="B199" s="21" t="s">
        <v>82</v>
      </c>
      <c r="C199" s="166">
        <f t="shared" si="133"/>
        <v>-4870539.4400000004</v>
      </c>
      <c r="D199" s="102" t="b">
        <f t="shared" si="131"/>
        <v>1</v>
      </c>
      <c r="E199" s="166">
        <f>SUM(F199:AC199)</f>
        <v>-4870539.4400000004</v>
      </c>
      <c r="F199" s="160">
        <f>IF(F200&lt;0,$C$199,0)</f>
        <v>0</v>
      </c>
      <c r="G199" s="160">
        <f>IF(G200&lt;0,$C$199,0)</f>
        <v>0</v>
      </c>
      <c r="H199" s="160">
        <f>IF(H200&lt;0,$C$199,0)</f>
        <v>0</v>
      </c>
      <c r="I199" s="160">
        <f>IF(I200&lt;0,$C$199,0)</f>
        <v>-4870539.4400000004</v>
      </c>
      <c r="J199" s="160">
        <f>IF(J200&lt;0,$C$199,0)</f>
        <v>0</v>
      </c>
      <c r="K199" s="160">
        <f t="shared" ref="K199:AC199" si="134">IF(K200&lt;0,$C$199,0)</f>
        <v>0</v>
      </c>
      <c r="L199" s="160">
        <f t="shared" si="134"/>
        <v>0</v>
      </c>
      <c r="M199" s="160">
        <f t="shared" si="134"/>
        <v>0</v>
      </c>
      <c r="N199" s="160">
        <f t="shared" si="134"/>
        <v>0</v>
      </c>
      <c r="O199" s="160">
        <f t="shared" si="134"/>
        <v>0</v>
      </c>
      <c r="P199" s="160">
        <f t="shared" si="134"/>
        <v>0</v>
      </c>
      <c r="Q199" s="160">
        <f t="shared" si="134"/>
        <v>0</v>
      </c>
      <c r="R199" s="160">
        <f t="shared" si="134"/>
        <v>0</v>
      </c>
      <c r="S199" s="160">
        <f t="shared" si="134"/>
        <v>0</v>
      </c>
      <c r="T199" s="160">
        <f t="shared" si="134"/>
        <v>0</v>
      </c>
      <c r="U199" s="160">
        <f t="shared" si="134"/>
        <v>0</v>
      </c>
      <c r="V199" s="160">
        <f t="shared" si="134"/>
        <v>0</v>
      </c>
      <c r="W199" s="160">
        <f t="shared" si="134"/>
        <v>0</v>
      </c>
      <c r="X199" s="160">
        <f t="shared" si="134"/>
        <v>0</v>
      </c>
      <c r="Y199" s="160">
        <f t="shared" si="134"/>
        <v>0</v>
      </c>
      <c r="Z199" s="160">
        <f t="shared" si="134"/>
        <v>0</v>
      </c>
      <c r="AA199" s="160">
        <f t="shared" si="134"/>
        <v>0</v>
      </c>
      <c r="AB199" s="160">
        <f t="shared" si="134"/>
        <v>0</v>
      </c>
      <c r="AC199" s="161">
        <f t="shared" si="134"/>
        <v>0</v>
      </c>
      <c r="AD199" s="341"/>
    </row>
    <row r="200" spans="1:30" ht="22.5" x14ac:dyDescent="0.2">
      <c r="A200" s="336"/>
      <c r="B200" s="21" t="s">
        <v>175</v>
      </c>
      <c r="C200" s="166">
        <f t="shared" si="133"/>
        <v>-229840</v>
      </c>
      <c r="D200" s="102" t="b">
        <f t="shared" si="131"/>
        <v>1</v>
      </c>
      <c r="E200" s="166">
        <f>SUM(F200:AC200)</f>
        <v>-229840</v>
      </c>
      <c r="F200" s="70">
        <v>0</v>
      </c>
      <c r="G200" s="158">
        <v>0</v>
      </c>
      <c r="H200" s="158">
        <v>0</v>
      </c>
      <c r="I200" s="158">
        <f>C200</f>
        <v>-229840</v>
      </c>
      <c r="J200" s="158">
        <v>0</v>
      </c>
      <c r="K200" s="158">
        <v>0</v>
      </c>
      <c r="L200" s="158">
        <v>0</v>
      </c>
      <c r="M200" s="158">
        <v>0</v>
      </c>
      <c r="N200" s="158">
        <v>0</v>
      </c>
      <c r="O200" s="158">
        <v>0</v>
      </c>
      <c r="P200" s="158">
        <v>0</v>
      </c>
      <c r="Q200" s="158">
        <v>0</v>
      </c>
      <c r="R200" s="158">
        <v>0</v>
      </c>
      <c r="S200" s="158">
        <v>0</v>
      </c>
      <c r="T200" s="158">
        <v>0</v>
      </c>
      <c r="U200" s="158">
        <v>0</v>
      </c>
      <c r="V200" s="158">
        <v>0</v>
      </c>
      <c r="W200" s="158">
        <v>0</v>
      </c>
      <c r="X200" s="158">
        <v>0</v>
      </c>
      <c r="Y200" s="158">
        <v>0</v>
      </c>
      <c r="Z200" s="158">
        <v>0</v>
      </c>
      <c r="AA200" s="158">
        <v>0</v>
      </c>
      <c r="AB200" s="158">
        <v>0</v>
      </c>
      <c r="AC200" s="159">
        <v>0</v>
      </c>
      <c r="AD200" s="341"/>
    </row>
    <row r="201" spans="1:30" ht="22.5" x14ac:dyDescent="0.2">
      <c r="A201" s="336"/>
      <c r="B201" s="21" t="s">
        <v>176</v>
      </c>
      <c r="C201" s="166">
        <f t="shared" si="133"/>
        <v>-8595069.5999999996</v>
      </c>
      <c r="D201" s="102" t="b">
        <f t="shared" si="131"/>
        <v>1</v>
      </c>
      <c r="E201" s="166">
        <f t="shared" ref="E201:E214" si="135">SUM(F201:AC201)</f>
        <v>-8595069.5999999996</v>
      </c>
      <c r="F201" s="70">
        <f>$C$201/4</f>
        <v>-2148767.4</v>
      </c>
      <c r="G201" s="160">
        <f t="shared" ref="G201:I201" si="136">$C$201/4</f>
        <v>-2148767.4</v>
      </c>
      <c r="H201" s="160">
        <f t="shared" si="136"/>
        <v>-2148767.4</v>
      </c>
      <c r="I201" s="160">
        <f t="shared" si="136"/>
        <v>-2148767.4</v>
      </c>
      <c r="J201" s="160">
        <v>0</v>
      </c>
      <c r="K201" s="160">
        <v>0</v>
      </c>
      <c r="L201" s="160">
        <v>0</v>
      </c>
      <c r="M201" s="160">
        <v>0</v>
      </c>
      <c r="N201" s="160">
        <v>0</v>
      </c>
      <c r="O201" s="160">
        <v>0</v>
      </c>
      <c r="P201" s="160">
        <v>0</v>
      </c>
      <c r="Q201" s="160">
        <v>0</v>
      </c>
      <c r="R201" s="160">
        <v>0</v>
      </c>
      <c r="S201" s="160">
        <v>0</v>
      </c>
      <c r="T201" s="160">
        <v>0</v>
      </c>
      <c r="U201" s="160">
        <v>0</v>
      </c>
      <c r="V201" s="160">
        <v>0</v>
      </c>
      <c r="W201" s="160">
        <v>0</v>
      </c>
      <c r="X201" s="160">
        <v>0</v>
      </c>
      <c r="Y201" s="160">
        <v>0</v>
      </c>
      <c r="Z201" s="160">
        <v>0</v>
      </c>
      <c r="AA201" s="160">
        <v>0</v>
      </c>
      <c r="AB201" s="160">
        <v>0</v>
      </c>
      <c r="AC201" s="161">
        <v>0</v>
      </c>
      <c r="AD201" s="341"/>
    </row>
    <row r="202" spans="1:30" ht="22.5" x14ac:dyDescent="0.2">
      <c r="A202" s="336"/>
      <c r="B202" s="21" t="s">
        <v>177</v>
      </c>
      <c r="C202" s="166">
        <f t="shared" si="133"/>
        <v>-10342800</v>
      </c>
      <c r="D202" s="102" t="b">
        <f t="shared" si="131"/>
        <v>1</v>
      </c>
      <c r="E202" s="166">
        <f t="shared" si="135"/>
        <v>-10342800</v>
      </c>
      <c r="F202" s="70">
        <v>0</v>
      </c>
      <c r="G202" s="158">
        <v>0</v>
      </c>
      <c r="H202" s="158">
        <v>0</v>
      </c>
      <c r="I202" s="158">
        <v>0</v>
      </c>
      <c r="J202" s="158">
        <v>0</v>
      </c>
      <c r="K202" s="158">
        <v>0</v>
      </c>
      <c r="L202" s="158">
        <v>0</v>
      </c>
      <c r="M202" s="158">
        <v>0</v>
      </c>
      <c r="N202" s="158">
        <v>0</v>
      </c>
      <c r="O202" s="158"/>
      <c r="P202" s="158">
        <v>0</v>
      </c>
      <c r="Q202" s="158">
        <v>0</v>
      </c>
      <c r="R202" s="158">
        <v>0</v>
      </c>
      <c r="S202" s="158">
        <f>$C$202/2</f>
        <v>-5171400</v>
      </c>
      <c r="T202" s="158">
        <f>$C$202/2</f>
        <v>-5171400</v>
      </c>
      <c r="U202" s="158">
        <v>0</v>
      </c>
      <c r="V202" s="158">
        <v>0</v>
      </c>
      <c r="W202" s="158">
        <v>0</v>
      </c>
      <c r="X202" s="158">
        <v>0</v>
      </c>
      <c r="Y202" s="158">
        <v>0</v>
      </c>
      <c r="Z202" s="158">
        <v>0</v>
      </c>
      <c r="AA202" s="158">
        <v>0</v>
      </c>
      <c r="AB202" s="158">
        <v>0</v>
      </c>
      <c r="AC202" s="159">
        <v>0</v>
      </c>
      <c r="AD202" s="341"/>
    </row>
    <row r="203" spans="1:30" ht="22.5" x14ac:dyDescent="0.2">
      <c r="A203" s="336"/>
      <c r="B203" s="21" t="s">
        <v>178</v>
      </c>
      <c r="C203" s="166">
        <f t="shared" si="133"/>
        <v>0</v>
      </c>
      <c r="D203" s="102" t="b">
        <f t="shared" si="131"/>
        <v>1</v>
      </c>
      <c r="E203" s="166">
        <f t="shared" si="135"/>
        <v>0</v>
      </c>
      <c r="F203" s="70">
        <v>0</v>
      </c>
      <c r="G203" s="160">
        <v>0</v>
      </c>
      <c r="H203" s="160">
        <v>0</v>
      </c>
      <c r="I203" s="160">
        <v>0</v>
      </c>
      <c r="J203" s="160">
        <v>0</v>
      </c>
      <c r="K203" s="160">
        <v>0</v>
      </c>
      <c r="L203" s="160">
        <v>0</v>
      </c>
      <c r="M203" s="160">
        <v>0</v>
      </c>
      <c r="N203" s="160">
        <v>0</v>
      </c>
      <c r="O203" s="160">
        <v>0</v>
      </c>
      <c r="P203" s="160">
        <v>0</v>
      </c>
      <c r="Q203" s="160">
        <v>0</v>
      </c>
      <c r="R203" s="160">
        <v>0</v>
      </c>
      <c r="S203" s="160">
        <v>0</v>
      </c>
      <c r="T203" s="160">
        <v>0</v>
      </c>
      <c r="U203" s="160">
        <v>0</v>
      </c>
      <c r="V203" s="160">
        <v>0</v>
      </c>
      <c r="W203" s="160">
        <v>0</v>
      </c>
      <c r="X203" s="160">
        <v>0</v>
      </c>
      <c r="Y203" s="160">
        <v>0</v>
      </c>
      <c r="Z203" s="160">
        <v>0</v>
      </c>
      <c r="AA203" s="160">
        <v>0</v>
      </c>
      <c r="AB203" s="160">
        <v>0</v>
      </c>
      <c r="AC203" s="161">
        <v>0</v>
      </c>
      <c r="AD203" s="341"/>
    </row>
    <row r="204" spans="1:30" ht="22.5" x14ac:dyDescent="0.2">
      <c r="A204" s="336"/>
      <c r="B204" s="21" t="s">
        <v>179</v>
      </c>
      <c r="C204" s="166">
        <f t="shared" si="133"/>
        <v>-5000000</v>
      </c>
      <c r="D204" s="102" t="b">
        <f t="shared" si="131"/>
        <v>1</v>
      </c>
      <c r="E204" s="166">
        <f t="shared" si="135"/>
        <v>-5000000</v>
      </c>
      <c r="F204" s="70">
        <v>0</v>
      </c>
      <c r="G204" s="158">
        <v>0</v>
      </c>
      <c r="H204" s="158">
        <v>0</v>
      </c>
      <c r="I204" s="158">
        <v>0</v>
      </c>
      <c r="J204" s="158">
        <v>0</v>
      </c>
      <c r="K204" s="158">
        <v>0</v>
      </c>
      <c r="L204" s="158">
        <v>0</v>
      </c>
      <c r="M204" s="158">
        <v>0</v>
      </c>
      <c r="N204" s="158">
        <v>0</v>
      </c>
      <c r="O204" s="158">
        <v>0</v>
      </c>
      <c r="P204" s="158"/>
      <c r="Q204" s="158">
        <v>0</v>
      </c>
      <c r="R204" s="158">
        <v>0</v>
      </c>
      <c r="S204" s="158">
        <f>$C$204/2</f>
        <v>-2500000</v>
      </c>
      <c r="T204" s="158">
        <f>$C$204/2</f>
        <v>-2500000</v>
      </c>
      <c r="U204" s="158">
        <v>0</v>
      </c>
      <c r="V204" s="158">
        <v>0</v>
      </c>
      <c r="W204" s="158">
        <v>0</v>
      </c>
      <c r="X204" s="158">
        <v>0</v>
      </c>
      <c r="Y204" s="158">
        <v>0</v>
      </c>
      <c r="Z204" s="158">
        <v>0</v>
      </c>
      <c r="AA204" s="158">
        <v>0</v>
      </c>
      <c r="AB204" s="158">
        <v>0</v>
      </c>
      <c r="AC204" s="159">
        <v>0</v>
      </c>
      <c r="AD204" s="341"/>
    </row>
    <row r="205" spans="1:30" ht="22.5" x14ac:dyDescent="0.2">
      <c r="A205" s="336"/>
      <c r="B205" s="21" t="s">
        <v>88</v>
      </c>
      <c r="C205" s="166">
        <f t="shared" si="133"/>
        <v>-4000000</v>
      </c>
      <c r="D205" s="102" t="b">
        <f t="shared" si="131"/>
        <v>1</v>
      </c>
      <c r="E205" s="166">
        <f t="shared" si="135"/>
        <v>-4000000</v>
      </c>
      <c r="F205" s="70">
        <v>0</v>
      </c>
      <c r="G205" s="160">
        <v>0</v>
      </c>
      <c r="H205" s="160">
        <v>0</v>
      </c>
      <c r="I205" s="160">
        <v>0</v>
      </c>
      <c r="J205" s="160">
        <v>0</v>
      </c>
      <c r="K205" s="160">
        <v>0</v>
      </c>
      <c r="L205" s="160">
        <v>0</v>
      </c>
      <c r="M205" s="160">
        <v>0</v>
      </c>
      <c r="N205" s="160">
        <v>0</v>
      </c>
      <c r="O205" s="160">
        <v>0</v>
      </c>
      <c r="P205" s="160"/>
      <c r="Q205" s="160">
        <v>0</v>
      </c>
      <c r="R205" s="160">
        <v>0</v>
      </c>
      <c r="S205" s="160">
        <f>$C$205/2</f>
        <v>-2000000</v>
      </c>
      <c r="T205" s="160">
        <f>$C$205/2</f>
        <v>-2000000</v>
      </c>
      <c r="U205" s="160">
        <v>0</v>
      </c>
      <c r="V205" s="160">
        <v>0</v>
      </c>
      <c r="W205" s="160">
        <v>0</v>
      </c>
      <c r="X205" s="160">
        <v>0</v>
      </c>
      <c r="Y205" s="160">
        <v>0</v>
      </c>
      <c r="Z205" s="160">
        <v>0</v>
      </c>
      <c r="AA205" s="160">
        <v>0</v>
      </c>
      <c r="AB205" s="160">
        <v>0</v>
      </c>
      <c r="AC205" s="161">
        <v>0</v>
      </c>
      <c r="AD205" s="341"/>
    </row>
    <row r="206" spans="1:30" ht="22.5" x14ac:dyDescent="0.2">
      <c r="A206" s="336"/>
      <c r="B206" s="21" t="s">
        <v>89</v>
      </c>
      <c r="C206" s="166">
        <f t="shared" si="133"/>
        <v>-750000</v>
      </c>
      <c r="D206" s="102" t="b">
        <f t="shared" si="131"/>
        <v>1</v>
      </c>
      <c r="E206" s="166">
        <f t="shared" si="135"/>
        <v>-750000</v>
      </c>
      <c r="F206" s="70">
        <v>0</v>
      </c>
      <c r="G206" s="158">
        <v>0</v>
      </c>
      <c r="H206" s="158">
        <v>0</v>
      </c>
      <c r="I206" s="158">
        <v>0</v>
      </c>
      <c r="J206" s="158">
        <v>0</v>
      </c>
      <c r="K206" s="158">
        <v>0</v>
      </c>
      <c r="L206" s="158">
        <v>0</v>
      </c>
      <c r="M206" s="158">
        <v>0</v>
      </c>
      <c r="N206" s="158">
        <v>0</v>
      </c>
      <c r="O206" s="158">
        <v>0</v>
      </c>
      <c r="P206" s="158"/>
      <c r="Q206" s="158">
        <v>0</v>
      </c>
      <c r="R206" s="158">
        <v>0</v>
      </c>
      <c r="S206" s="158">
        <f>$C$206/2</f>
        <v>-375000</v>
      </c>
      <c r="T206" s="158">
        <f>$C$206/2</f>
        <v>-375000</v>
      </c>
      <c r="U206" s="158">
        <v>0</v>
      </c>
      <c r="V206" s="158">
        <v>0</v>
      </c>
      <c r="W206" s="158">
        <v>0</v>
      </c>
      <c r="X206" s="158">
        <v>0</v>
      </c>
      <c r="Y206" s="158">
        <v>0</v>
      </c>
      <c r="Z206" s="158">
        <v>0</v>
      </c>
      <c r="AA206" s="158">
        <v>0</v>
      </c>
      <c r="AB206" s="158">
        <v>0</v>
      </c>
      <c r="AC206" s="159">
        <v>0</v>
      </c>
      <c r="AD206" s="341"/>
    </row>
    <row r="207" spans="1:30" ht="22.5" x14ac:dyDescent="0.2">
      <c r="A207" s="336"/>
      <c r="B207" s="21" t="s">
        <v>90</v>
      </c>
      <c r="C207" s="166">
        <f t="shared" si="133"/>
        <v>-2750000</v>
      </c>
      <c r="D207" s="102" t="b">
        <f t="shared" si="131"/>
        <v>1</v>
      </c>
      <c r="E207" s="166">
        <f t="shared" si="135"/>
        <v>-2750000</v>
      </c>
      <c r="F207" s="70">
        <f t="shared" ref="F207:L207" si="137">$C$207*F173</f>
        <v>0</v>
      </c>
      <c r="G207" s="160">
        <f t="shared" si="137"/>
        <v>0</v>
      </c>
      <c r="H207" s="160">
        <f t="shared" si="137"/>
        <v>0</v>
      </c>
      <c r="I207" s="160">
        <f t="shared" si="137"/>
        <v>0</v>
      </c>
      <c r="J207" s="160">
        <f t="shared" si="137"/>
        <v>0</v>
      </c>
      <c r="K207" s="160">
        <f t="shared" si="137"/>
        <v>0</v>
      </c>
      <c r="L207" s="160">
        <f t="shared" si="137"/>
        <v>0</v>
      </c>
      <c r="M207" s="160">
        <f>$C$207*M173</f>
        <v>0</v>
      </c>
      <c r="N207" s="160">
        <f t="shared" ref="N207:AC207" si="138">$C$207*N173</f>
        <v>0</v>
      </c>
      <c r="O207" s="160">
        <f t="shared" si="138"/>
        <v>0</v>
      </c>
      <c r="P207" s="160">
        <f t="shared" si="138"/>
        <v>0</v>
      </c>
      <c r="Q207" s="160">
        <f t="shared" si="138"/>
        <v>-550000</v>
      </c>
      <c r="R207" s="160">
        <f t="shared" si="138"/>
        <v>-687500</v>
      </c>
      <c r="S207" s="160">
        <f t="shared" si="138"/>
        <v>-687500</v>
      </c>
      <c r="T207" s="160">
        <f t="shared" si="138"/>
        <v>-825000</v>
      </c>
      <c r="U207" s="160">
        <f t="shared" si="138"/>
        <v>0</v>
      </c>
      <c r="V207" s="160">
        <f t="shared" si="138"/>
        <v>0</v>
      </c>
      <c r="W207" s="160">
        <f t="shared" si="138"/>
        <v>0</v>
      </c>
      <c r="X207" s="160">
        <f t="shared" si="138"/>
        <v>0</v>
      </c>
      <c r="Y207" s="160">
        <f t="shared" si="138"/>
        <v>0</v>
      </c>
      <c r="Z207" s="160">
        <f t="shared" si="138"/>
        <v>0</v>
      </c>
      <c r="AA207" s="160">
        <f t="shared" si="138"/>
        <v>0</v>
      </c>
      <c r="AB207" s="160">
        <f t="shared" si="138"/>
        <v>0</v>
      </c>
      <c r="AC207" s="161">
        <f t="shared" si="138"/>
        <v>0</v>
      </c>
      <c r="AD207" s="341"/>
    </row>
    <row r="208" spans="1:30" ht="22.5" x14ac:dyDescent="0.2">
      <c r="A208" s="336"/>
      <c r="B208" s="21" t="s">
        <v>91</v>
      </c>
      <c r="C208" s="166">
        <f t="shared" si="133"/>
        <v>-4297534.8</v>
      </c>
      <c r="D208" s="102" t="b">
        <f t="shared" si="131"/>
        <v>1</v>
      </c>
      <c r="E208" s="166">
        <f t="shared" ref="E208:E212" si="139">SUM(F208:AC208)</f>
        <v>-4297534.8000000007</v>
      </c>
      <c r="F208" s="70">
        <f>$C$208*F175</f>
        <v>0</v>
      </c>
      <c r="G208" s="158">
        <f t="shared" ref="G208:AC208" si="140">$C$208*G175</f>
        <v>0</v>
      </c>
      <c r="H208" s="158">
        <f t="shared" si="140"/>
        <v>0</v>
      </c>
      <c r="I208" s="158">
        <f t="shared" si="140"/>
        <v>0</v>
      </c>
      <c r="J208" s="158">
        <f t="shared" si="140"/>
        <v>-429753.48</v>
      </c>
      <c r="K208" s="158">
        <f t="shared" si="140"/>
        <v>-300827.43599999999</v>
      </c>
      <c r="L208" s="158">
        <f t="shared" si="140"/>
        <v>-300827.43599999999</v>
      </c>
      <c r="M208" s="158">
        <f t="shared" si="140"/>
        <v>-300827.43599999999</v>
      </c>
      <c r="N208" s="158">
        <f t="shared" si="140"/>
        <v>-558679.52399999998</v>
      </c>
      <c r="O208" s="158">
        <f t="shared" si="140"/>
        <v>-558679.52399999998</v>
      </c>
      <c r="P208" s="158">
        <f t="shared" si="140"/>
        <v>-558679.52399999998</v>
      </c>
      <c r="Q208" s="158">
        <f t="shared" si="140"/>
        <v>-429753.48</v>
      </c>
      <c r="R208" s="158">
        <f t="shared" si="140"/>
        <v>-300827.43599999999</v>
      </c>
      <c r="S208" s="158">
        <f t="shared" si="140"/>
        <v>-300827.43599999999</v>
      </c>
      <c r="T208" s="158">
        <f t="shared" si="140"/>
        <v>-257852.08799999999</v>
      </c>
      <c r="U208" s="158">
        <f t="shared" si="140"/>
        <v>0</v>
      </c>
      <c r="V208" s="158">
        <f t="shared" si="140"/>
        <v>0</v>
      </c>
      <c r="W208" s="158">
        <f t="shared" si="140"/>
        <v>0</v>
      </c>
      <c r="X208" s="158">
        <f t="shared" si="140"/>
        <v>0</v>
      </c>
      <c r="Y208" s="158">
        <f t="shared" si="140"/>
        <v>0</v>
      </c>
      <c r="Z208" s="158">
        <f t="shared" si="140"/>
        <v>0</v>
      </c>
      <c r="AA208" s="158">
        <f t="shared" si="140"/>
        <v>0</v>
      </c>
      <c r="AB208" s="158">
        <f t="shared" si="140"/>
        <v>0</v>
      </c>
      <c r="AC208" s="159">
        <f t="shared" si="140"/>
        <v>0</v>
      </c>
      <c r="AD208" s="341"/>
    </row>
    <row r="209" spans="1:30" ht="22.5" x14ac:dyDescent="0.2">
      <c r="A209" s="336"/>
      <c r="B209" s="21" t="s">
        <v>484</v>
      </c>
      <c r="C209" s="166">
        <f t="shared" si="133"/>
        <v>-7109061.5231999988</v>
      </c>
      <c r="D209" s="102" t="b">
        <f t="shared" si="131"/>
        <v>1</v>
      </c>
      <c r="E209" s="166">
        <f>SUM(F209:AC209)</f>
        <v>-7109061.5231999988</v>
      </c>
      <c r="F209" s="70">
        <v>0</v>
      </c>
      <c r="G209" s="160">
        <v>0</v>
      </c>
      <c r="H209" s="160">
        <v>0</v>
      </c>
      <c r="I209" s="160">
        <v>0</v>
      </c>
      <c r="J209" s="160">
        <v>0</v>
      </c>
      <c r="K209" s="160">
        <v>0</v>
      </c>
      <c r="L209" s="160">
        <v>0</v>
      </c>
      <c r="M209" s="160">
        <v>0</v>
      </c>
      <c r="N209" s="160">
        <v>0</v>
      </c>
      <c r="O209" s="160">
        <v>0</v>
      </c>
      <c r="P209" s="160">
        <f>$C$209/4</f>
        <v>-1777265.3807999997</v>
      </c>
      <c r="Q209" s="160">
        <f t="shared" ref="Q209:S209" si="141">$C$209/4</f>
        <v>-1777265.3807999997</v>
      </c>
      <c r="R209" s="160">
        <f t="shared" si="141"/>
        <v>-1777265.3807999997</v>
      </c>
      <c r="S209" s="160">
        <f t="shared" si="141"/>
        <v>-1777265.3807999997</v>
      </c>
      <c r="T209" s="160"/>
      <c r="U209" s="160">
        <v>0</v>
      </c>
      <c r="V209" s="160">
        <v>0</v>
      </c>
      <c r="W209" s="160">
        <v>0</v>
      </c>
      <c r="X209" s="160">
        <v>0</v>
      </c>
      <c r="Y209" s="160">
        <v>0</v>
      </c>
      <c r="Z209" s="160">
        <v>0</v>
      </c>
      <c r="AA209" s="160">
        <v>0</v>
      </c>
      <c r="AB209" s="160">
        <v>0</v>
      </c>
      <c r="AC209" s="161">
        <v>0</v>
      </c>
      <c r="AD209" s="341"/>
    </row>
    <row r="210" spans="1:30" ht="22.5" x14ac:dyDescent="0.2">
      <c r="A210" s="336"/>
      <c r="B210" s="21" t="s">
        <v>487</v>
      </c>
      <c r="C210" s="166">
        <f t="shared" si="133"/>
        <v>-960464.92680000002</v>
      </c>
      <c r="D210" s="102" t="b">
        <f>IF(ABS(E210 - C210) &lt; MAX(0.00001, E210 * 0.00001), TRUE, FALSE)</f>
        <v>1</v>
      </c>
      <c r="E210" s="166">
        <f t="shared" si="139"/>
        <v>-960464.92680000002</v>
      </c>
      <c r="F210" s="70">
        <v>0</v>
      </c>
      <c r="G210" s="160">
        <v>0</v>
      </c>
      <c r="H210" s="160">
        <v>0</v>
      </c>
      <c r="I210" s="160">
        <v>0</v>
      </c>
      <c r="J210" s="160">
        <v>0</v>
      </c>
      <c r="K210" s="160">
        <v>0</v>
      </c>
      <c r="L210" s="160">
        <v>0</v>
      </c>
      <c r="M210" s="160">
        <v>0</v>
      </c>
      <c r="N210" s="160">
        <v>0</v>
      </c>
      <c r="O210" s="160">
        <f>$C$210/6</f>
        <v>-160077.4878</v>
      </c>
      <c r="P210" s="160">
        <f t="shared" ref="P210:T210" si="142">$C$210/6</f>
        <v>-160077.4878</v>
      </c>
      <c r="Q210" s="160">
        <f t="shared" si="142"/>
        <v>-160077.4878</v>
      </c>
      <c r="R210" s="160">
        <f t="shared" si="142"/>
        <v>-160077.4878</v>
      </c>
      <c r="S210" s="160">
        <f t="shared" si="142"/>
        <v>-160077.4878</v>
      </c>
      <c r="T210" s="160">
        <f t="shared" si="142"/>
        <v>-160077.4878</v>
      </c>
      <c r="U210" s="160">
        <v>0</v>
      </c>
      <c r="V210" s="160">
        <v>0</v>
      </c>
      <c r="W210" s="160">
        <v>0</v>
      </c>
      <c r="X210" s="160">
        <v>0</v>
      </c>
      <c r="Y210" s="160">
        <v>0</v>
      </c>
      <c r="Z210" s="160">
        <v>0</v>
      </c>
      <c r="AA210" s="160">
        <v>0</v>
      </c>
      <c r="AB210" s="160">
        <v>0</v>
      </c>
      <c r="AC210" s="161">
        <v>0</v>
      </c>
      <c r="AD210" s="341"/>
    </row>
    <row r="211" spans="1:30" ht="22.5" x14ac:dyDescent="0.2">
      <c r="A211" s="336"/>
      <c r="B211" s="21" t="s">
        <v>314</v>
      </c>
      <c r="C211" s="166">
        <f t="shared" si="133"/>
        <v>-3671280.2879999992</v>
      </c>
      <c r="D211" s="102" t="b">
        <f t="shared" si="131"/>
        <v>1</v>
      </c>
      <c r="E211" s="166">
        <f t="shared" si="139"/>
        <v>-3671280.2879999988</v>
      </c>
      <c r="F211" s="158">
        <f>$D$100*-F278</f>
        <v>0</v>
      </c>
      <c r="G211" s="158">
        <f t="shared" ref="G211:AC211" si="143">$D$100*-G278</f>
        <v>0</v>
      </c>
      <c r="H211" s="158">
        <f t="shared" si="143"/>
        <v>0</v>
      </c>
      <c r="I211" s="158">
        <f t="shared" si="143"/>
        <v>-166876.3767272727</v>
      </c>
      <c r="J211" s="158">
        <f t="shared" si="143"/>
        <v>-250314.56509090902</v>
      </c>
      <c r="K211" s="158">
        <f t="shared" si="143"/>
        <v>-375471.84763636353</v>
      </c>
      <c r="L211" s="158">
        <f t="shared" si="143"/>
        <v>-375471.84763636353</v>
      </c>
      <c r="M211" s="158">
        <f t="shared" si="143"/>
        <v>-584067.31854545441</v>
      </c>
      <c r="N211" s="158">
        <f t="shared" si="143"/>
        <v>-625786.4127272726</v>
      </c>
      <c r="O211" s="158">
        <f t="shared" si="143"/>
        <v>-625786.4127272726</v>
      </c>
      <c r="P211" s="158">
        <f t="shared" si="143"/>
        <v>-667505.50690909079</v>
      </c>
      <c r="Q211" s="158">
        <f t="shared" si="143"/>
        <v>0</v>
      </c>
      <c r="R211" s="158">
        <f t="shared" si="143"/>
        <v>0</v>
      </c>
      <c r="S211" s="158">
        <f t="shared" si="143"/>
        <v>0</v>
      </c>
      <c r="T211" s="158">
        <f t="shared" si="143"/>
        <v>0</v>
      </c>
      <c r="U211" s="158">
        <f t="shared" si="143"/>
        <v>0</v>
      </c>
      <c r="V211" s="158">
        <f t="shared" si="143"/>
        <v>0</v>
      </c>
      <c r="W211" s="158">
        <f t="shared" si="143"/>
        <v>0</v>
      </c>
      <c r="X211" s="158">
        <f t="shared" si="143"/>
        <v>0</v>
      </c>
      <c r="Y211" s="158">
        <f t="shared" si="143"/>
        <v>0</v>
      </c>
      <c r="Z211" s="158">
        <f t="shared" si="143"/>
        <v>0</v>
      </c>
      <c r="AA211" s="158">
        <f t="shared" si="143"/>
        <v>0</v>
      </c>
      <c r="AB211" s="158">
        <f>$D$100*-AB278</f>
        <v>0</v>
      </c>
      <c r="AC211" s="159">
        <f t="shared" si="143"/>
        <v>0</v>
      </c>
      <c r="AD211" s="341"/>
    </row>
    <row r="212" spans="1:30" ht="23.25" thickBot="1" x14ac:dyDescent="0.25">
      <c r="A212" s="336"/>
      <c r="B212" s="148" t="s">
        <v>92</v>
      </c>
      <c r="C212" s="134">
        <f t="shared" si="133"/>
        <v>-8595069.5999999996</v>
      </c>
      <c r="D212" s="135" t="b">
        <f t="shared" si="131"/>
        <v>1</v>
      </c>
      <c r="E212" s="134">
        <f t="shared" si="139"/>
        <v>-8595069.6000000015</v>
      </c>
      <c r="F212" s="162">
        <f>$C$212*F175</f>
        <v>0</v>
      </c>
      <c r="G212" s="162">
        <f t="shared" ref="G212:AC212" si="144">$C$212*G175</f>
        <v>0</v>
      </c>
      <c r="H212" s="162">
        <f t="shared" si="144"/>
        <v>0</v>
      </c>
      <c r="I212" s="162">
        <f t="shared" si="144"/>
        <v>0</v>
      </c>
      <c r="J212" s="162">
        <f t="shared" si="144"/>
        <v>-859506.96</v>
      </c>
      <c r="K212" s="162">
        <f t="shared" si="144"/>
        <v>-601654.87199999997</v>
      </c>
      <c r="L212" s="162">
        <f t="shared" si="144"/>
        <v>-601654.87199999997</v>
      </c>
      <c r="M212" s="162">
        <f t="shared" si="144"/>
        <v>-601654.87199999997</v>
      </c>
      <c r="N212" s="162">
        <f t="shared" si="144"/>
        <v>-1117359.048</v>
      </c>
      <c r="O212" s="162">
        <f t="shared" si="144"/>
        <v>-1117359.048</v>
      </c>
      <c r="P212" s="162">
        <f t="shared" si="144"/>
        <v>-1117359.048</v>
      </c>
      <c r="Q212" s="162">
        <f t="shared" si="144"/>
        <v>-859506.96</v>
      </c>
      <c r="R212" s="162">
        <f t="shared" si="144"/>
        <v>-601654.87199999997</v>
      </c>
      <c r="S212" s="162">
        <f t="shared" si="144"/>
        <v>-601654.87199999997</v>
      </c>
      <c r="T212" s="162">
        <f t="shared" si="144"/>
        <v>-515704.17599999998</v>
      </c>
      <c r="U212" s="162">
        <f t="shared" si="144"/>
        <v>0</v>
      </c>
      <c r="V212" s="162">
        <f t="shared" si="144"/>
        <v>0</v>
      </c>
      <c r="W212" s="162">
        <f t="shared" si="144"/>
        <v>0</v>
      </c>
      <c r="X212" s="162">
        <f t="shared" si="144"/>
        <v>0</v>
      </c>
      <c r="Y212" s="162">
        <f t="shared" si="144"/>
        <v>0</v>
      </c>
      <c r="Z212" s="162">
        <f t="shared" si="144"/>
        <v>0</v>
      </c>
      <c r="AA212" s="162">
        <f t="shared" si="144"/>
        <v>0</v>
      </c>
      <c r="AB212" s="162">
        <f t="shared" si="144"/>
        <v>0</v>
      </c>
      <c r="AC212" s="164">
        <f t="shared" si="144"/>
        <v>0</v>
      </c>
      <c r="AD212" s="341"/>
    </row>
    <row r="213" spans="1:30" ht="22.5" x14ac:dyDescent="0.2">
      <c r="A213" s="336"/>
      <c r="B213" s="149" t="s">
        <v>181</v>
      </c>
      <c r="C213" s="69">
        <f>-SUM(I157,Y157)</f>
        <v>-10776877.68</v>
      </c>
      <c r="D213" s="101" t="b">
        <f>IF(ABS(E213 - C213) &lt; MAX(0.00001, E213 * 0.00001), TRUE, FALSE)</f>
        <v>1</v>
      </c>
      <c r="E213" s="69">
        <f>SUM(F213:AC213)</f>
        <v>-10776877.68</v>
      </c>
      <c r="F213" s="150">
        <f>-($I$158*F185)+-($Y$158*F186)</f>
        <v>0</v>
      </c>
      <c r="G213" s="150">
        <f>-($I$158*G185)+-($Y$158*G186)</f>
        <v>0</v>
      </c>
      <c r="H213" s="150">
        <f t="shared" ref="H213:AC213" si="145">-($I$158*H185)+-($Y$158*H186)</f>
        <v>0</v>
      </c>
      <c r="I213" s="150">
        <f t="shared" si="145"/>
        <v>0</v>
      </c>
      <c r="J213" s="150">
        <f t="shared" si="145"/>
        <v>0</v>
      </c>
      <c r="K213" s="150">
        <f t="shared" si="145"/>
        <v>0</v>
      </c>
      <c r="L213" s="150">
        <f t="shared" si="145"/>
        <v>0</v>
      </c>
      <c r="M213" s="150">
        <f t="shared" si="145"/>
        <v>0</v>
      </c>
      <c r="N213" s="150">
        <f t="shared" si="145"/>
        <v>0</v>
      </c>
      <c r="O213" s="150">
        <f t="shared" si="145"/>
        <v>0</v>
      </c>
      <c r="P213" s="150">
        <f>-($I$158*P185)+-($Y$158*P186)</f>
        <v>-257059.95120000001</v>
      </c>
      <c r="Q213" s="150">
        <f t="shared" si="145"/>
        <v>-321324.93900000001</v>
      </c>
      <c r="R213" s="150">
        <f t="shared" si="145"/>
        <v>-321324.93900000001</v>
      </c>
      <c r="S213" s="150">
        <f>-($I$158*(S185-M156))+-($Y$158*S186)</f>
        <v>-295917.85080000007</v>
      </c>
      <c r="T213" s="150">
        <f t="shared" si="145"/>
        <v>0</v>
      </c>
      <c r="U213" s="150">
        <f t="shared" si="145"/>
        <v>-1916250</v>
      </c>
      <c r="V213" s="150">
        <f t="shared" si="145"/>
        <v>-2395312.5</v>
      </c>
      <c r="W213" s="150">
        <f t="shared" si="145"/>
        <v>-2395312.5</v>
      </c>
      <c r="X213" s="150">
        <f t="shared" si="145"/>
        <v>-2874375</v>
      </c>
      <c r="Y213" s="150">
        <f t="shared" si="145"/>
        <v>0</v>
      </c>
      <c r="Z213" s="150">
        <f t="shared" si="145"/>
        <v>0</v>
      </c>
      <c r="AA213" s="150">
        <f t="shared" si="145"/>
        <v>0</v>
      </c>
      <c r="AB213" s="150">
        <f t="shared" si="145"/>
        <v>0</v>
      </c>
      <c r="AC213" s="151">
        <f t="shared" si="145"/>
        <v>0</v>
      </c>
      <c r="AD213" s="341"/>
    </row>
    <row r="214" spans="1:30" ht="22.5" x14ac:dyDescent="0.2">
      <c r="A214" s="336"/>
      <c r="B214" s="21" t="s">
        <v>182</v>
      </c>
      <c r="C214" s="166">
        <f>-C105</f>
        <v>-13055414.786866536</v>
      </c>
      <c r="D214" s="102" t="b">
        <f t="shared" si="131"/>
        <v>1</v>
      </c>
      <c r="E214" s="166">
        <f t="shared" si="135"/>
        <v>-13055414.786866536</v>
      </c>
      <c r="F214" s="160">
        <f>F325</f>
        <v>-4379538.1960000005</v>
      </c>
      <c r="G214" s="160">
        <f t="shared" ref="G214:Y214" si="146">G325</f>
        <v>-845000</v>
      </c>
      <c r="H214" s="160">
        <f t="shared" si="146"/>
        <v>0</v>
      </c>
      <c r="I214" s="160">
        <f t="shared" si="146"/>
        <v>-847085.95470909087</v>
      </c>
      <c r="J214" s="160">
        <f t="shared" si="146"/>
        <v>0</v>
      </c>
      <c r="K214" s="160">
        <f t="shared" si="146"/>
        <v>-873816.59131108713</v>
      </c>
      <c r="L214" s="160">
        <f t="shared" si="146"/>
        <v>0</v>
      </c>
      <c r="M214" s="160">
        <f t="shared" si="146"/>
        <v>-936768.09249785275</v>
      </c>
      <c r="N214" s="160">
        <f t="shared" si="146"/>
        <v>0</v>
      </c>
      <c r="O214" s="160">
        <f t="shared" si="146"/>
        <v>-1068760.3293125108</v>
      </c>
      <c r="P214" s="160">
        <f t="shared" si="146"/>
        <v>0</v>
      </c>
      <c r="Q214" s="160">
        <f t="shared" si="146"/>
        <v>-1171368.0515156526</v>
      </c>
      <c r="R214" s="160">
        <f t="shared" si="146"/>
        <v>0</v>
      </c>
      <c r="S214" s="160">
        <f t="shared" si="146"/>
        <v>-1182728.5201923435</v>
      </c>
      <c r="T214" s="160">
        <f t="shared" si="146"/>
        <v>0</v>
      </c>
      <c r="U214" s="160">
        <f t="shared" si="146"/>
        <v>-1750349.0513279999</v>
      </c>
      <c r="V214" s="160">
        <f t="shared" si="146"/>
        <v>0</v>
      </c>
      <c r="W214" s="160">
        <f t="shared" si="146"/>
        <v>0</v>
      </c>
      <c r="X214" s="160">
        <f t="shared" si="146"/>
        <v>0</v>
      </c>
      <c r="Y214" s="160">
        <f t="shared" si="146"/>
        <v>0</v>
      </c>
      <c r="Z214" s="160">
        <v>0</v>
      </c>
      <c r="AA214" s="160">
        <v>0</v>
      </c>
      <c r="AB214" s="160">
        <v>0</v>
      </c>
      <c r="AC214" s="161">
        <v>0</v>
      </c>
      <c r="AD214" s="341"/>
    </row>
    <row r="215" spans="1:30" ht="22.5" x14ac:dyDescent="0.2">
      <c r="A215" s="336"/>
      <c r="B215" s="119" t="s">
        <v>183</v>
      </c>
      <c r="C215" s="166">
        <f>(((TRUNC(D122))*267000)+292000)*-1</f>
        <v>-1093000</v>
      </c>
      <c r="D215" s="102" t="b">
        <f t="shared" si="131"/>
        <v>1</v>
      </c>
      <c r="E215" s="166">
        <f>SUM(F215:AC215)</f>
        <v>-1093000</v>
      </c>
      <c r="F215" s="70">
        <v>-292000</v>
      </c>
      <c r="G215" s="158">
        <v>0</v>
      </c>
      <c r="H215" s="158">
        <v>0</v>
      </c>
      <c r="I215" s="158">
        <v>0</v>
      </c>
      <c r="J215" s="70">
        <v>-267000</v>
      </c>
      <c r="K215" s="158">
        <v>0</v>
      </c>
      <c r="L215" s="158">
        <v>0</v>
      </c>
      <c r="M215" s="158">
        <v>0</v>
      </c>
      <c r="N215" s="70">
        <v>-267000</v>
      </c>
      <c r="O215" s="158">
        <v>0</v>
      </c>
      <c r="P215" s="158">
        <v>0</v>
      </c>
      <c r="Q215" s="158">
        <v>0</v>
      </c>
      <c r="R215" s="70">
        <v>-267000</v>
      </c>
      <c r="S215" s="158">
        <v>0</v>
      </c>
      <c r="T215" s="158">
        <v>0</v>
      </c>
      <c r="U215" s="158">
        <v>0</v>
      </c>
      <c r="V215" s="70"/>
      <c r="W215" s="158">
        <v>0</v>
      </c>
      <c r="X215" s="158">
        <v>0</v>
      </c>
      <c r="Y215" s="158">
        <v>0</v>
      </c>
      <c r="Z215" s="70">
        <v>0</v>
      </c>
      <c r="AA215" s="158">
        <v>0</v>
      </c>
      <c r="AB215" s="158">
        <v>0</v>
      </c>
      <c r="AC215" s="159">
        <v>0</v>
      </c>
      <c r="AD215" s="341"/>
    </row>
    <row r="216" spans="1:30" ht="22.5" x14ac:dyDescent="0.2">
      <c r="A216" s="336"/>
      <c r="B216" s="119" t="s">
        <v>184</v>
      </c>
      <c r="C216" s="166">
        <f>-C104</f>
        <v>-34380278.399999999</v>
      </c>
      <c r="D216" s="102" t="b">
        <f t="shared" si="131"/>
        <v>1</v>
      </c>
      <c r="E216" s="166">
        <f>SUM(F216:AC216)</f>
        <v>-34380278.400000006</v>
      </c>
      <c r="F216" s="160">
        <f>F196*$D$104</f>
        <v>0</v>
      </c>
      <c r="G216" s="160">
        <f>G196*$D$104</f>
        <v>0</v>
      </c>
      <c r="H216" s="160">
        <f t="shared" ref="H216:AC216" si="147">H196*$D$104</f>
        <v>0</v>
      </c>
      <c r="I216" s="160">
        <f t="shared" si="147"/>
        <v>0</v>
      </c>
      <c r="J216" s="160">
        <f>J196*$D$104</f>
        <v>-3438027.84</v>
      </c>
      <c r="K216" s="160">
        <f t="shared" si="147"/>
        <v>-2406619.4880000004</v>
      </c>
      <c r="L216" s="160">
        <f t="shared" si="147"/>
        <v>-2406619.4880000004</v>
      </c>
      <c r="M216" s="160">
        <f t="shared" si="147"/>
        <v>-2406619.4880000004</v>
      </c>
      <c r="N216" s="160">
        <f t="shared" si="147"/>
        <v>-4469436.1919999998</v>
      </c>
      <c r="O216" s="160">
        <f t="shared" si="147"/>
        <v>-4469436.1919999998</v>
      </c>
      <c r="P216" s="160">
        <f t="shared" si="147"/>
        <v>-4469436.1919999998</v>
      </c>
      <c r="Q216" s="160">
        <f t="shared" si="147"/>
        <v>-3438027.84</v>
      </c>
      <c r="R216" s="160">
        <f t="shared" si="147"/>
        <v>-2406619.4880000004</v>
      </c>
      <c r="S216" s="160">
        <f t="shared" si="147"/>
        <v>-2406619.4880000004</v>
      </c>
      <c r="T216" s="160">
        <f t="shared" si="147"/>
        <v>-2062816.7039999999</v>
      </c>
      <c r="U216" s="160">
        <f t="shared" si="147"/>
        <v>0</v>
      </c>
      <c r="V216" s="160">
        <f t="shared" si="147"/>
        <v>0</v>
      </c>
      <c r="W216" s="160">
        <f t="shared" si="147"/>
        <v>0</v>
      </c>
      <c r="X216" s="160">
        <f t="shared" si="147"/>
        <v>0</v>
      </c>
      <c r="Y216" s="160">
        <f t="shared" si="147"/>
        <v>0</v>
      </c>
      <c r="Z216" s="160">
        <f t="shared" si="147"/>
        <v>0</v>
      </c>
      <c r="AA216" s="160">
        <f t="shared" si="147"/>
        <v>0</v>
      </c>
      <c r="AB216" s="160">
        <f t="shared" si="147"/>
        <v>0</v>
      </c>
      <c r="AC216" s="161">
        <f t="shared" si="147"/>
        <v>0</v>
      </c>
      <c r="AD216" s="341"/>
    </row>
    <row r="217" spans="1:30" x14ac:dyDescent="0.2">
      <c r="A217" s="336"/>
      <c r="B217" s="210"/>
      <c r="C217" s="131"/>
      <c r="D217" s="221">
        <f>E218-C218</f>
        <v>0</v>
      </c>
      <c r="E217" s="132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55"/>
      <c r="AD217" s="336"/>
    </row>
    <row r="218" spans="1:30" ht="22.5" x14ac:dyDescent="0.2">
      <c r="A218" s="336"/>
      <c r="B218" s="8" t="s">
        <v>185</v>
      </c>
      <c r="C218" s="166">
        <f>SUM(E184:E189,E191:E216)</f>
        <v>269637816.14618874</v>
      </c>
      <c r="D218" s="102" t="b">
        <f>IF(ABS(E218 - C218) &lt; MAX(0.00001, E218 * 0.00001), TRUE, FALSE)</f>
        <v>1</v>
      </c>
      <c r="E218" s="166">
        <f>SUM(F218:AC218)</f>
        <v>269637816.14618886</v>
      </c>
      <c r="F218" s="158">
        <f>SUM(F184:F189,F191:F216)</f>
        <v>-355778805.59599996</v>
      </c>
      <c r="G218" s="158">
        <f t="shared" ref="G218:AC218" si="148">SUM(G184:G189,G191:G216)</f>
        <v>-2993767.4</v>
      </c>
      <c r="H218" s="158">
        <f t="shared" si="148"/>
        <v>-5571017.4000000004</v>
      </c>
      <c r="I218" s="158">
        <f t="shared" si="148"/>
        <v>-10850977.287799999</v>
      </c>
      <c r="J218" s="158">
        <f>SUM(J184:J189,J191:J216)</f>
        <v>-22500158.839054547</v>
      </c>
      <c r="K218" s="158">
        <f t="shared" si="148"/>
        <v>-1402547.6641852746</v>
      </c>
      <c r="L218" s="158">
        <f t="shared" si="148"/>
        <v>-787313.17110365536</v>
      </c>
      <c r="M218" s="158">
        <f t="shared" si="148"/>
        <v>-1322791.4928698223</v>
      </c>
      <c r="N218" s="158">
        <f t="shared" si="148"/>
        <v>-2386207.9344410002</v>
      </c>
      <c r="O218" s="158">
        <f t="shared" si="148"/>
        <v>-96546.902262857184</v>
      </c>
      <c r="P218" s="158">
        <f t="shared" si="148"/>
        <v>5663132.8587915134</v>
      </c>
      <c r="Q218" s="158">
        <f t="shared" si="148"/>
        <v>18115850.980640389</v>
      </c>
      <c r="R218" s="158">
        <f t="shared" si="148"/>
        <v>-12504231.248931259</v>
      </c>
      <c r="S218" s="158">
        <f t="shared" si="148"/>
        <v>264201712.1423884</v>
      </c>
      <c r="T218" s="158">
        <f t="shared" si="148"/>
        <v>32696319.446462508</v>
      </c>
      <c r="U218" s="158">
        <f t="shared" si="148"/>
        <v>3998400.9486720003</v>
      </c>
      <c r="V218" s="158">
        <f t="shared" si="148"/>
        <v>7185937.5</v>
      </c>
      <c r="W218" s="158">
        <f t="shared" si="148"/>
        <v>7185937.5</v>
      </c>
      <c r="X218" s="158">
        <f t="shared" si="148"/>
        <v>346784889.70588231</v>
      </c>
      <c r="Y218" s="158">
        <f t="shared" si="148"/>
        <v>0</v>
      </c>
      <c r="Z218" s="158">
        <f t="shared" si="148"/>
        <v>0</v>
      </c>
      <c r="AA218" s="158">
        <f t="shared" si="148"/>
        <v>0</v>
      </c>
      <c r="AB218" s="158">
        <f t="shared" si="148"/>
        <v>0</v>
      </c>
      <c r="AC218" s="159">
        <f t="shared" si="148"/>
        <v>0</v>
      </c>
      <c r="AD218" s="336"/>
    </row>
    <row r="219" spans="1:30" ht="27" x14ac:dyDescent="0.2">
      <c r="A219" s="336"/>
      <c r="B219" s="198" t="s">
        <v>340</v>
      </c>
      <c r="C219" s="232">
        <f>-SUM(E192:E216)</f>
        <v>773544942.15375066</v>
      </c>
      <c r="D219" s="102" t="b">
        <f>IF(ABS(C219 - C115) &lt; MAX(0.0001, C219 * 0.0001), TRUE, FALSE)</f>
        <v>1</v>
      </c>
      <c r="E219" s="676"/>
      <c r="F219" s="162">
        <f>F218</f>
        <v>-355778805.59599996</v>
      </c>
      <c r="G219" s="162">
        <f>F219+G218</f>
        <v>-358772572.99599993</v>
      </c>
      <c r="H219" s="162">
        <f>G219+H218</f>
        <v>-364343590.39599991</v>
      </c>
      <c r="I219" s="162">
        <f>H219+I218</f>
        <v>-375194567.68379992</v>
      </c>
      <c r="J219" s="162">
        <f t="shared" ref="J219:AC219" si="149">I219+J218</f>
        <v>-397694726.52285445</v>
      </c>
      <c r="K219" s="162">
        <f t="shared" si="149"/>
        <v>-399097274.18703973</v>
      </c>
      <c r="L219" s="162">
        <f t="shared" si="149"/>
        <v>-399884587.35814339</v>
      </c>
      <c r="M219" s="162">
        <f t="shared" si="149"/>
        <v>-401207378.85101318</v>
      </c>
      <c r="N219" s="162">
        <f t="shared" si="149"/>
        <v>-403593586.78545415</v>
      </c>
      <c r="O219" s="162">
        <f t="shared" si="149"/>
        <v>-403690133.68771702</v>
      </c>
      <c r="P219" s="162">
        <f t="shared" si="149"/>
        <v>-398027000.82892549</v>
      </c>
      <c r="Q219" s="162">
        <f t="shared" si="149"/>
        <v>-379911149.84828508</v>
      </c>
      <c r="R219" s="162">
        <f t="shared" si="149"/>
        <v>-392415381.09721637</v>
      </c>
      <c r="S219" s="162">
        <f t="shared" si="149"/>
        <v>-128213668.95482796</v>
      </c>
      <c r="T219" s="162">
        <f>S219+T218</f>
        <v>-95517349.508365452</v>
      </c>
      <c r="U219" s="162">
        <f t="shared" si="149"/>
        <v>-91518948.559693456</v>
      </c>
      <c r="V219" s="162">
        <f t="shared" si="149"/>
        <v>-84333011.059693456</v>
      </c>
      <c r="W219" s="162">
        <f t="shared" si="149"/>
        <v>-77147073.559693456</v>
      </c>
      <c r="X219" s="162">
        <f t="shared" si="149"/>
        <v>269637816.14618886</v>
      </c>
      <c r="Y219" s="162">
        <f t="shared" si="149"/>
        <v>269637816.14618886</v>
      </c>
      <c r="Z219" s="162">
        <f t="shared" si="149"/>
        <v>269637816.14618886</v>
      </c>
      <c r="AA219" s="162">
        <f t="shared" si="149"/>
        <v>269637816.14618886</v>
      </c>
      <c r="AB219" s="162">
        <f t="shared" si="149"/>
        <v>269637816.14618886</v>
      </c>
      <c r="AC219" s="164">
        <f t="shared" si="149"/>
        <v>269637816.14618886</v>
      </c>
      <c r="AD219" s="336"/>
    </row>
    <row r="220" spans="1:30" ht="22.5" x14ac:dyDescent="0.2">
      <c r="A220" s="336"/>
      <c r="B220" s="8" t="s">
        <v>186</v>
      </c>
      <c r="C220" s="185">
        <f>SUM(C184:C188)</f>
        <v>1043182758.2999394</v>
      </c>
      <c r="D220" s="102" t="b">
        <f>IF(ABS(C220 - C17) &lt; MAX(0.00001, C220 * 0.00001), TRUE, FALSE)</f>
        <v>1</v>
      </c>
      <c r="E220" s="677"/>
      <c r="F220" s="238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1"/>
      <c r="AC220" s="212"/>
      <c r="AD220" s="336"/>
    </row>
    <row r="221" spans="1:30" ht="22.5" x14ac:dyDescent="0.2">
      <c r="A221" s="336"/>
      <c r="B221" s="204" t="s">
        <v>22</v>
      </c>
      <c r="C221" s="166">
        <f>SUM(C184:C188)+SUM(E192:E216)</f>
        <v>269637816.14618874</v>
      </c>
      <c r="D221" s="102" t="b">
        <f>IF(ABS(E218 - C221) &lt; MAX(0.00001, E218 * 0.00001), TRUE, FALSE)</f>
        <v>1</v>
      </c>
      <c r="E221" s="677"/>
      <c r="F221" s="213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  <c r="AB221" s="169"/>
      <c r="AC221" s="170"/>
      <c r="AD221" s="336"/>
    </row>
    <row r="222" spans="1:30" x14ac:dyDescent="0.2">
      <c r="A222" s="336"/>
      <c r="B222" s="683" t="s">
        <v>187</v>
      </c>
      <c r="C222" s="684"/>
      <c r="D222" s="684"/>
      <c r="E222" s="677"/>
      <c r="F222" s="214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215"/>
      <c r="Z222" s="215"/>
      <c r="AA222" s="215"/>
      <c r="AB222" s="215"/>
      <c r="AC222" s="216"/>
      <c r="AD222" s="336"/>
    </row>
    <row r="223" spans="1:30" ht="22.5" x14ac:dyDescent="0.2">
      <c r="A223" s="336"/>
      <c r="B223" s="105" t="s">
        <v>23</v>
      </c>
      <c r="C223" s="661">
        <f>XIRR(F218:AC218,F177:AC177)</f>
        <v>0.1419998109340668</v>
      </c>
      <c r="D223" s="661"/>
      <c r="E223" s="676"/>
      <c r="F223" s="672">
        <f>SUM(F180:F189,F191:F216)</f>
        <v>42221194.403999999</v>
      </c>
      <c r="G223" s="672">
        <f t="shared" ref="G223:AC223" si="150">SUM(G180:G189,G191:G216)</f>
        <v>-2993767.4</v>
      </c>
      <c r="H223" s="672">
        <f t="shared" si="150"/>
        <v>-5571017.4000000004</v>
      </c>
      <c r="I223" s="672">
        <f t="shared" si="150"/>
        <v>-10850977.287799999</v>
      </c>
      <c r="J223" s="672">
        <f>SUM(J180:J189,J191:J216)</f>
        <v>-20781144.919054549</v>
      </c>
      <c r="K223" s="672">
        <f t="shared" si="150"/>
        <v>-199237.92018527212</v>
      </c>
      <c r="L223" s="672">
        <f t="shared" si="150"/>
        <v>415996.57289634738</v>
      </c>
      <c r="M223" s="672">
        <f t="shared" si="150"/>
        <v>-119481.74886981957</v>
      </c>
      <c r="N223" s="672">
        <f t="shared" si="150"/>
        <v>-151489.83844099939</v>
      </c>
      <c r="O223" s="672">
        <f t="shared" si="150"/>
        <v>2138171.1937371437</v>
      </c>
      <c r="P223" s="672">
        <f t="shared" si="150"/>
        <v>7897850.9547915142</v>
      </c>
      <c r="Q223" s="672">
        <f t="shared" si="150"/>
        <v>19834864.900640391</v>
      </c>
      <c r="R223" s="672">
        <f t="shared" si="150"/>
        <v>-11300921.504931256</v>
      </c>
      <c r="S223" s="672">
        <f t="shared" si="150"/>
        <v>265405021.88638848</v>
      </c>
      <c r="T223" s="672">
        <f t="shared" si="150"/>
        <v>33727727.79846251</v>
      </c>
      <c r="U223" s="672">
        <f t="shared" si="150"/>
        <v>3998400.9486720003</v>
      </c>
      <c r="V223" s="672">
        <f t="shared" si="150"/>
        <v>7185937.5</v>
      </c>
      <c r="W223" s="672">
        <f t="shared" si="150"/>
        <v>7185937.5</v>
      </c>
      <c r="X223" s="672">
        <f t="shared" si="150"/>
        <v>346784889.70588231</v>
      </c>
      <c r="Y223" s="672">
        <f t="shared" si="150"/>
        <v>0</v>
      </c>
      <c r="Z223" s="672">
        <f t="shared" si="150"/>
        <v>0</v>
      </c>
      <c r="AA223" s="672">
        <f t="shared" si="150"/>
        <v>0</v>
      </c>
      <c r="AB223" s="672">
        <f t="shared" si="150"/>
        <v>0</v>
      </c>
      <c r="AC223" s="718">
        <f t="shared" si="150"/>
        <v>0</v>
      </c>
      <c r="AD223" s="336"/>
    </row>
    <row r="224" spans="1:30" ht="22.5" x14ac:dyDescent="0.2">
      <c r="A224" s="336"/>
      <c r="B224" s="111" t="s">
        <v>24</v>
      </c>
      <c r="C224" s="689">
        <f>C218/(C219+E213)</f>
        <v>0.35349908930995605</v>
      </c>
      <c r="D224" s="689"/>
      <c r="E224" s="676"/>
      <c r="F224" s="673"/>
      <c r="G224" s="673"/>
      <c r="H224" s="673"/>
      <c r="I224" s="673"/>
      <c r="J224" s="673"/>
      <c r="K224" s="673"/>
      <c r="L224" s="673"/>
      <c r="M224" s="673"/>
      <c r="N224" s="673"/>
      <c r="O224" s="673"/>
      <c r="P224" s="673"/>
      <c r="Q224" s="673"/>
      <c r="R224" s="673"/>
      <c r="S224" s="673"/>
      <c r="T224" s="673"/>
      <c r="U224" s="673"/>
      <c r="V224" s="673"/>
      <c r="W224" s="673"/>
      <c r="X224" s="673"/>
      <c r="Y224" s="673"/>
      <c r="Z224" s="673"/>
      <c r="AA224" s="673"/>
      <c r="AB224" s="673"/>
      <c r="AC224" s="705"/>
      <c r="AD224" s="336"/>
    </row>
    <row r="225" spans="1:30" ht="22.5" x14ac:dyDescent="0.2">
      <c r="A225" s="336"/>
      <c r="B225" s="105" t="s">
        <v>25</v>
      </c>
      <c r="C225" s="661">
        <f>C221/H24</f>
        <v>0.64943212925464566</v>
      </c>
      <c r="D225" s="661"/>
      <c r="E225" s="676"/>
      <c r="F225" s="670">
        <f>F223</f>
        <v>42221194.403999999</v>
      </c>
      <c r="G225" s="670">
        <f>F225+G223</f>
        <v>39227427.004000001</v>
      </c>
      <c r="H225" s="670">
        <f t="shared" ref="H225:AC225" si="151">G225+H223</f>
        <v>33656409.604000002</v>
      </c>
      <c r="I225" s="670">
        <f>H225+I223</f>
        <v>22805432.316200003</v>
      </c>
      <c r="J225" s="670">
        <f>I225+J223</f>
        <v>2024287.3971454538</v>
      </c>
      <c r="K225" s="670">
        <f t="shared" si="151"/>
        <v>1825049.4769601817</v>
      </c>
      <c r="L225" s="670">
        <f t="shared" si="151"/>
        <v>2241046.0498565291</v>
      </c>
      <c r="M225" s="670">
        <f t="shared" si="151"/>
        <v>2121564.3009867095</v>
      </c>
      <c r="N225" s="670">
        <f t="shared" si="151"/>
        <v>1970074.4625457102</v>
      </c>
      <c r="O225" s="670">
        <f t="shared" si="151"/>
        <v>4108245.6562828538</v>
      </c>
      <c r="P225" s="670">
        <f t="shared" si="151"/>
        <v>12006096.611074368</v>
      </c>
      <c r="Q225" s="670">
        <f t="shared" si="151"/>
        <v>31840961.511714756</v>
      </c>
      <c r="R225" s="670">
        <f t="shared" si="151"/>
        <v>20540040.0067835</v>
      </c>
      <c r="S225" s="670">
        <f t="shared" si="151"/>
        <v>285945061.89317197</v>
      </c>
      <c r="T225" s="670">
        <f>S225+T223</f>
        <v>319672789.69163448</v>
      </c>
      <c r="U225" s="670">
        <f t="shared" si="151"/>
        <v>323671190.64030647</v>
      </c>
      <c r="V225" s="670">
        <f t="shared" si="151"/>
        <v>330857128.14030647</v>
      </c>
      <c r="W225" s="670">
        <f t="shared" si="151"/>
        <v>338043065.64030647</v>
      </c>
      <c r="X225" s="670">
        <f t="shared" si="151"/>
        <v>684827955.34618878</v>
      </c>
      <c r="Y225" s="670">
        <f t="shared" si="151"/>
        <v>684827955.34618878</v>
      </c>
      <c r="Z225" s="670">
        <f t="shared" si="151"/>
        <v>684827955.34618878</v>
      </c>
      <c r="AA225" s="670">
        <f t="shared" si="151"/>
        <v>684827955.34618878</v>
      </c>
      <c r="AB225" s="670">
        <f t="shared" si="151"/>
        <v>684827955.34618878</v>
      </c>
      <c r="AC225" s="708">
        <f t="shared" si="151"/>
        <v>684827955.34618878</v>
      </c>
      <c r="AD225" s="336"/>
    </row>
    <row r="226" spans="1:30" ht="23.25" thickBot="1" x14ac:dyDescent="0.25">
      <c r="A226" s="336"/>
      <c r="B226" s="125" t="s">
        <v>188</v>
      </c>
      <c r="C226" s="662">
        <f>C225/D122</f>
        <v>0.16955846007006126</v>
      </c>
      <c r="D226" s="662"/>
      <c r="E226" s="678"/>
      <c r="F226" s="671"/>
      <c r="G226" s="671"/>
      <c r="H226" s="671"/>
      <c r="I226" s="671"/>
      <c r="J226" s="671"/>
      <c r="K226" s="671"/>
      <c r="L226" s="671"/>
      <c r="M226" s="671"/>
      <c r="N226" s="671"/>
      <c r="O226" s="671"/>
      <c r="P226" s="671"/>
      <c r="Q226" s="671"/>
      <c r="R226" s="671"/>
      <c r="S226" s="671"/>
      <c r="T226" s="671"/>
      <c r="U226" s="671"/>
      <c r="V226" s="671"/>
      <c r="W226" s="671"/>
      <c r="X226" s="671"/>
      <c r="Y226" s="671"/>
      <c r="Z226" s="671"/>
      <c r="AA226" s="671"/>
      <c r="AB226" s="671"/>
      <c r="AC226" s="715"/>
      <c r="AD226" s="336"/>
    </row>
    <row r="227" spans="1:30" x14ac:dyDescent="0.2">
      <c r="A227" s="336"/>
      <c r="B227" s="665" t="b">
        <f>SUM(C223:D226)=SUM(C28:C34)</f>
        <v>1</v>
      </c>
      <c r="C227" s="665"/>
      <c r="D227" s="665"/>
      <c r="E227" s="181"/>
      <c r="F227" s="85"/>
      <c r="G227" s="85"/>
      <c r="H227" s="85"/>
      <c r="I227" s="85"/>
      <c r="J227" s="85"/>
      <c r="K227" s="85"/>
      <c r="L227" s="85"/>
      <c r="M227" s="85"/>
      <c r="N227" s="85">
        <f>-N225*70%</f>
        <v>-1379052.123781997</v>
      </c>
      <c r="O227" s="85">
        <f t="shared" ref="O227:AC227" si="152">-O225*70%</f>
        <v>-2875771.9593979977</v>
      </c>
      <c r="P227" s="85">
        <f t="shared" si="152"/>
        <v>-8404267.6277520563</v>
      </c>
      <c r="Q227" s="85">
        <f t="shared" si="152"/>
        <v>-22288673.05820033</v>
      </c>
      <c r="R227" s="85">
        <f t="shared" si="152"/>
        <v>-14378028.004748449</v>
      </c>
      <c r="S227" s="85">
        <f t="shared" si="152"/>
        <v>-200161543.32522038</v>
      </c>
      <c r="T227" s="85">
        <f t="shared" si="152"/>
        <v>-223770952.78414413</v>
      </c>
      <c r="U227" s="85">
        <f t="shared" si="152"/>
        <v>-226569833.44821453</v>
      </c>
      <c r="V227" s="85">
        <f t="shared" si="152"/>
        <v>-231599989.69821453</v>
      </c>
      <c r="W227" s="85">
        <f t="shared" si="152"/>
        <v>-236630145.9482145</v>
      </c>
      <c r="X227" s="85">
        <f t="shared" si="152"/>
        <v>-479379568.7423321</v>
      </c>
      <c r="Y227" s="85">
        <f t="shared" si="152"/>
        <v>-479379568.7423321</v>
      </c>
      <c r="Z227" s="85">
        <f t="shared" si="152"/>
        <v>-479379568.7423321</v>
      </c>
      <c r="AA227" s="85">
        <f t="shared" si="152"/>
        <v>-479379568.7423321</v>
      </c>
      <c r="AB227" s="85">
        <f t="shared" si="152"/>
        <v>-479379568.7423321</v>
      </c>
      <c r="AC227" s="85">
        <f t="shared" si="152"/>
        <v>-479379568.7423321</v>
      </c>
      <c r="AD227" s="336"/>
    </row>
    <row r="228" spans="1:30" x14ac:dyDescent="0.2">
      <c r="A228" s="336"/>
      <c r="F228" s="436"/>
      <c r="G228" s="436"/>
      <c r="H228" s="436"/>
      <c r="I228" s="436"/>
      <c r="J228" s="436"/>
      <c r="K228" s="436"/>
      <c r="L228" s="436"/>
      <c r="M228" s="436"/>
      <c r="N228" s="436"/>
      <c r="O228" s="436"/>
      <c r="P228" s="436"/>
      <c r="Q228" s="436"/>
      <c r="R228" s="436"/>
      <c r="S228" s="436"/>
      <c r="T228" s="436"/>
      <c r="U228" s="436"/>
      <c r="V228" s="436"/>
      <c r="W228" s="436"/>
      <c r="X228" s="437"/>
    </row>
    <row r="229" spans="1:30" x14ac:dyDescent="0.2">
      <c r="A229" s="336"/>
      <c r="F229" s="575"/>
      <c r="G229" s="575"/>
      <c r="H229" s="575"/>
      <c r="I229" s="575"/>
      <c r="J229" s="575"/>
      <c r="K229" s="575"/>
      <c r="L229" s="575"/>
      <c r="M229" s="575"/>
      <c r="N229" s="575"/>
      <c r="O229" s="575"/>
      <c r="P229" s="575"/>
      <c r="Q229" s="575"/>
      <c r="R229" s="575"/>
      <c r="S229" s="575"/>
      <c r="T229" s="575"/>
      <c r="U229" s="575"/>
      <c r="V229" s="575"/>
      <c r="W229" s="575"/>
      <c r="X229" s="575"/>
    </row>
    <row r="230" spans="1:30" x14ac:dyDescent="0.2">
      <c r="A230" s="336"/>
      <c r="G230" s="575"/>
      <c r="H230" s="575"/>
      <c r="I230" s="575"/>
      <c r="J230" s="575"/>
      <c r="K230" s="575"/>
      <c r="L230" s="575"/>
      <c r="M230" s="575"/>
      <c r="N230" s="575"/>
      <c r="O230" s="575"/>
      <c r="P230" s="575"/>
      <c r="Q230" s="575"/>
      <c r="R230" s="575"/>
      <c r="S230" s="575"/>
      <c r="T230" s="575"/>
      <c r="U230" s="575"/>
      <c r="V230" s="575"/>
      <c r="W230" s="575"/>
      <c r="X230" s="575"/>
    </row>
    <row r="231" spans="1:30" x14ac:dyDescent="0.2">
      <c r="A231" s="336"/>
      <c r="G231" s="575"/>
      <c r="I231" s="342"/>
    </row>
    <row r="232" spans="1:30" x14ac:dyDescent="0.2">
      <c r="A232" s="336"/>
    </row>
    <row r="233" spans="1:30" x14ac:dyDescent="0.2">
      <c r="A233" s="336"/>
      <c r="I233" s="336"/>
    </row>
    <row r="234" spans="1:30" x14ac:dyDescent="0.2">
      <c r="A234" s="336"/>
      <c r="B234" s="336"/>
      <c r="D234" s="336"/>
      <c r="E234" s="336"/>
      <c r="F234" s="336"/>
      <c r="G234" s="336"/>
      <c r="H234" s="336"/>
      <c r="I234" s="336"/>
    </row>
    <row r="235" spans="1:30" x14ac:dyDescent="0.2">
      <c r="A235" s="336"/>
      <c r="B235" s="336"/>
      <c r="D235" s="342"/>
      <c r="E235" s="336"/>
      <c r="F235" s="336"/>
      <c r="G235" s="336"/>
      <c r="H235" s="336"/>
      <c r="I235" s="336"/>
    </row>
    <row r="236" spans="1:30" x14ac:dyDescent="0.2">
      <c r="A236" s="336"/>
      <c r="B236" s="336"/>
      <c r="C236" s="336"/>
      <c r="D236" s="336"/>
      <c r="E236" s="336"/>
      <c r="F236" s="336"/>
      <c r="G236" s="336"/>
      <c r="H236" s="336"/>
      <c r="I236" s="336"/>
    </row>
    <row r="237" spans="1:30" ht="12" thickBot="1" x14ac:dyDescent="0.25">
      <c r="A237" s="336"/>
    </row>
    <row r="238" spans="1:30" ht="12.75" x14ac:dyDescent="0.2">
      <c r="A238" s="336"/>
      <c r="B238" s="577" t="s">
        <v>194</v>
      </c>
      <c r="C238" s="578"/>
      <c r="D238" s="578"/>
      <c r="E238" s="578"/>
      <c r="F238" s="578"/>
      <c r="G238" s="578"/>
      <c r="H238" s="578"/>
      <c r="I238" s="578"/>
      <c r="J238" s="578"/>
      <c r="K238" s="578"/>
      <c r="L238" s="578"/>
      <c r="M238" s="578"/>
      <c r="N238" s="578"/>
      <c r="O238" s="578"/>
      <c r="P238" s="578"/>
      <c r="Q238" s="578"/>
      <c r="R238" s="578"/>
      <c r="S238" s="578"/>
      <c r="T238" s="578"/>
      <c r="U238" s="578"/>
      <c r="V238" s="578"/>
      <c r="W238" s="578"/>
      <c r="X238" s="578"/>
      <c r="Y238" s="578"/>
      <c r="Z238" s="578"/>
      <c r="AA238" s="578"/>
      <c r="AB238" s="578"/>
      <c r="AC238" s="579"/>
    </row>
    <row r="239" spans="1:30" x14ac:dyDescent="0.2">
      <c r="A239" s="336"/>
      <c r="B239" s="663" t="s">
        <v>195</v>
      </c>
      <c r="C239" s="664"/>
      <c r="D239" s="664"/>
      <c r="E239" s="664"/>
      <c r="F239" s="606" t="s">
        <v>102</v>
      </c>
      <c r="G239" s="606"/>
      <c r="H239" s="606"/>
      <c r="I239" s="606"/>
      <c r="J239" s="606" t="s">
        <v>104</v>
      </c>
      <c r="K239" s="606"/>
      <c r="L239" s="606"/>
      <c r="M239" s="606"/>
      <c r="N239" s="606" t="s">
        <v>106</v>
      </c>
      <c r="O239" s="606"/>
      <c r="P239" s="606"/>
      <c r="Q239" s="606"/>
      <c r="R239" s="606" t="s">
        <v>108</v>
      </c>
      <c r="S239" s="606"/>
      <c r="T239" s="606"/>
      <c r="U239" s="606"/>
      <c r="V239" s="606" t="s">
        <v>109</v>
      </c>
      <c r="W239" s="606"/>
      <c r="X239" s="606"/>
      <c r="Y239" s="606"/>
      <c r="Z239" s="606" t="s">
        <v>111</v>
      </c>
      <c r="AA239" s="606"/>
      <c r="AB239" s="606"/>
      <c r="AC239" s="607"/>
    </row>
    <row r="240" spans="1:30" x14ac:dyDescent="0.2">
      <c r="A240" s="336"/>
      <c r="B240" s="663"/>
      <c r="C240" s="664"/>
      <c r="D240" s="664"/>
      <c r="E240" s="664"/>
      <c r="F240" s="99">
        <f t="shared" ref="F240:AC240" si="153">F177</f>
        <v>45993</v>
      </c>
      <c r="G240" s="99">
        <f t="shared" si="153"/>
        <v>46112</v>
      </c>
      <c r="H240" s="99">
        <f t="shared" si="153"/>
        <v>46203</v>
      </c>
      <c r="I240" s="99">
        <f t="shared" si="153"/>
        <v>46295</v>
      </c>
      <c r="J240" s="99">
        <f t="shared" si="153"/>
        <v>46387</v>
      </c>
      <c r="K240" s="99">
        <f t="shared" si="153"/>
        <v>46477</v>
      </c>
      <c r="L240" s="99">
        <f t="shared" si="153"/>
        <v>46568</v>
      </c>
      <c r="M240" s="99">
        <f t="shared" si="153"/>
        <v>46660</v>
      </c>
      <c r="N240" s="99">
        <f t="shared" si="153"/>
        <v>46752</v>
      </c>
      <c r="O240" s="99">
        <f t="shared" si="153"/>
        <v>46843</v>
      </c>
      <c r="P240" s="99">
        <f t="shared" si="153"/>
        <v>46934</v>
      </c>
      <c r="Q240" s="99">
        <f t="shared" si="153"/>
        <v>47026</v>
      </c>
      <c r="R240" s="99">
        <f t="shared" si="153"/>
        <v>47118</v>
      </c>
      <c r="S240" s="99">
        <f t="shared" si="153"/>
        <v>47208</v>
      </c>
      <c r="T240" s="99">
        <f t="shared" si="153"/>
        <v>47299</v>
      </c>
      <c r="U240" s="99">
        <f t="shared" si="153"/>
        <v>47391</v>
      </c>
      <c r="V240" s="99">
        <f t="shared" si="153"/>
        <v>47483</v>
      </c>
      <c r="W240" s="99">
        <f t="shared" si="153"/>
        <v>47573</v>
      </c>
      <c r="X240" s="99">
        <f t="shared" si="153"/>
        <v>47664</v>
      </c>
      <c r="Y240" s="99">
        <f t="shared" si="153"/>
        <v>47756</v>
      </c>
      <c r="Z240" s="99">
        <f t="shared" si="153"/>
        <v>47848</v>
      </c>
      <c r="AA240" s="99">
        <f t="shared" si="153"/>
        <v>47938</v>
      </c>
      <c r="AB240" s="99">
        <f t="shared" si="153"/>
        <v>48029</v>
      </c>
      <c r="AC240" s="100">
        <f t="shared" si="153"/>
        <v>48121</v>
      </c>
    </row>
    <row r="241" spans="1:29" x14ac:dyDescent="0.2">
      <c r="A241" s="336"/>
      <c r="B241" s="663"/>
      <c r="C241" s="664"/>
      <c r="D241" s="664"/>
      <c r="E241" s="664"/>
      <c r="F241" s="114" t="s">
        <v>135</v>
      </c>
      <c r="G241" s="114" t="s">
        <v>136</v>
      </c>
      <c r="H241" s="114" t="s">
        <v>137</v>
      </c>
      <c r="I241" s="114" t="s">
        <v>138</v>
      </c>
      <c r="J241" s="114" t="s">
        <v>139</v>
      </c>
      <c r="K241" s="114" t="s">
        <v>140</v>
      </c>
      <c r="L241" s="114" t="s">
        <v>141</v>
      </c>
      <c r="M241" s="114" t="s">
        <v>142</v>
      </c>
      <c r="N241" s="114" t="s">
        <v>143</v>
      </c>
      <c r="O241" s="114" t="s">
        <v>144</v>
      </c>
      <c r="P241" s="114" t="s">
        <v>145</v>
      </c>
      <c r="Q241" s="114" t="s">
        <v>146</v>
      </c>
      <c r="R241" s="114" t="s">
        <v>147</v>
      </c>
      <c r="S241" s="114" t="s">
        <v>148</v>
      </c>
      <c r="T241" s="114" t="s">
        <v>149</v>
      </c>
      <c r="U241" s="114" t="s">
        <v>150</v>
      </c>
      <c r="V241" s="114" t="s">
        <v>151</v>
      </c>
      <c r="W241" s="114" t="s">
        <v>152</v>
      </c>
      <c r="X241" s="114" t="s">
        <v>153</v>
      </c>
      <c r="Y241" s="114" t="s">
        <v>154</v>
      </c>
      <c r="Z241" s="114" t="s">
        <v>155</v>
      </c>
      <c r="AA241" s="114" t="s">
        <v>156</v>
      </c>
      <c r="AB241" s="114" t="s">
        <v>157</v>
      </c>
      <c r="AC241" s="115" t="s">
        <v>158</v>
      </c>
    </row>
    <row r="242" spans="1:29" x14ac:dyDescent="0.2">
      <c r="A242" s="336"/>
      <c r="B242" s="725" t="s">
        <v>307</v>
      </c>
      <c r="C242" s="726"/>
      <c r="D242" s="726"/>
      <c r="E242" s="726"/>
      <c r="F242" s="702">
        <f>$C$192</f>
        <v>7.2999999999999995E-2</v>
      </c>
      <c r="G242" s="702"/>
      <c r="H242" s="702"/>
      <c r="I242" s="702"/>
      <c r="J242" s="702">
        <f>$C$192</f>
        <v>7.2999999999999995E-2</v>
      </c>
      <c r="K242" s="702"/>
      <c r="L242" s="702"/>
      <c r="M242" s="702"/>
      <c r="N242" s="702">
        <f>$C$192</f>
        <v>7.2999999999999995E-2</v>
      </c>
      <c r="O242" s="702"/>
      <c r="P242" s="702"/>
      <c r="Q242" s="702"/>
      <c r="R242" s="702">
        <f>$C$192</f>
        <v>7.2999999999999995E-2</v>
      </c>
      <c r="S242" s="702"/>
      <c r="T242" s="702"/>
      <c r="U242" s="702"/>
      <c r="V242" s="702">
        <f>$C$192</f>
        <v>7.2999999999999995E-2</v>
      </c>
      <c r="W242" s="702"/>
      <c r="X242" s="702"/>
      <c r="Y242" s="702"/>
      <c r="Z242" s="702">
        <f>$C$192</f>
        <v>7.2999999999999995E-2</v>
      </c>
      <c r="AA242" s="702"/>
      <c r="AB242" s="702"/>
      <c r="AC242" s="717"/>
    </row>
    <row r="243" spans="1:29" x14ac:dyDescent="0.2">
      <c r="A243" s="336"/>
      <c r="B243" s="725"/>
      <c r="C243" s="726"/>
      <c r="D243" s="726"/>
      <c r="E243" s="726"/>
      <c r="F243" s="702"/>
      <c r="G243" s="702"/>
      <c r="H243" s="702"/>
      <c r="I243" s="702"/>
      <c r="J243" s="702"/>
      <c r="K243" s="702"/>
      <c r="L243" s="702"/>
      <c r="M243" s="702"/>
      <c r="N243" s="702"/>
      <c r="O243" s="702"/>
      <c r="P243" s="702"/>
      <c r="Q243" s="702"/>
      <c r="R243" s="702"/>
      <c r="S243" s="702"/>
      <c r="T243" s="702"/>
      <c r="U243" s="702"/>
      <c r="V243" s="702"/>
      <c r="W243" s="702"/>
      <c r="X243" s="702"/>
      <c r="Y243" s="702"/>
      <c r="Z243" s="702"/>
      <c r="AA243" s="702"/>
      <c r="AB243" s="702"/>
      <c r="AC243" s="717"/>
    </row>
    <row r="244" spans="1:29" x14ac:dyDescent="0.2">
      <c r="A244" s="336"/>
      <c r="B244" s="663" t="s">
        <v>308</v>
      </c>
      <c r="C244" s="664"/>
      <c r="D244" s="664"/>
      <c r="E244" s="664"/>
      <c r="F244" s="713">
        <f>$C$192/4</f>
        <v>1.8249999999999999E-2</v>
      </c>
      <c r="G244" s="713">
        <f>$C$192/4</f>
        <v>1.8249999999999999E-2</v>
      </c>
      <c r="H244" s="713">
        <f t="shared" ref="H244:X244" si="154">$C$192/4</f>
        <v>1.8249999999999999E-2</v>
      </c>
      <c r="I244" s="713">
        <f t="shared" si="154"/>
        <v>1.8249999999999999E-2</v>
      </c>
      <c r="J244" s="713">
        <f t="shared" si="154"/>
        <v>1.8249999999999999E-2</v>
      </c>
      <c r="K244" s="713">
        <f t="shared" si="154"/>
        <v>1.8249999999999999E-2</v>
      </c>
      <c r="L244" s="713">
        <f t="shared" si="154"/>
        <v>1.8249999999999999E-2</v>
      </c>
      <c r="M244" s="713">
        <f t="shared" si="154"/>
        <v>1.8249999999999999E-2</v>
      </c>
      <c r="N244" s="713">
        <f t="shared" si="154"/>
        <v>1.8249999999999999E-2</v>
      </c>
      <c r="O244" s="713">
        <f t="shared" si="154"/>
        <v>1.8249999999999999E-2</v>
      </c>
      <c r="P244" s="713">
        <f t="shared" si="154"/>
        <v>1.8249999999999999E-2</v>
      </c>
      <c r="Q244" s="713">
        <f t="shared" si="154"/>
        <v>1.8249999999999999E-2</v>
      </c>
      <c r="R244" s="713">
        <f t="shared" si="154"/>
        <v>1.8249999999999999E-2</v>
      </c>
      <c r="S244" s="713">
        <f t="shared" si="154"/>
        <v>1.8249999999999999E-2</v>
      </c>
      <c r="T244" s="713">
        <f t="shared" si="154"/>
        <v>1.8249999999999999E-2</v>
      </c>
      <c r="U244" s="713">
        <f t="shared" si="154"/>
        <v>1.8249999999999999E-2</v>
      </c>
      <c r="V244" s="713">
        <f t="shared" si="154"/>
        <v>1.8249999999999999E-2</v>
      </c>
      <c r="W244" s="713">
        <f t="shared" si="154"/>
        <v>1.8249999999999999E-2</v>
      </c>
      <c r="X244" s="713">
        <f t="shared" si="154"/>
        <v>1.8249999999999999E-2</v>
      </c>
      <c r="Y244" s="713">
        <f>$C$192/4</f>
        <v>1.8249999999999999E-2</v>
      </c>
      <c r="Z244" s="713">
        <f t="shared" ref="Z244:AC244" si="155">$C$192/4</f>
        <v>1.8249999999999999E-2</v>
      </c>
      <c r="AA244" s="713">
        <f t="shared" si="155"/>
        <v>1.8249999999999999E-2</v>
      </c>
      <c r="AB244" s="713">
        <f t="shared" si="155"/>
        <v>1.8249999999999999E-2</v>
      </c>
      <c r="AC244" s="716">
        <f t="shared" si="155"/>
        <v>1.8249999999999999E-2</v>
      </c>
    </row>
    <row r="245" spans="1:29" x14ac:dyDescent="0.2">
      <c r="A245" s="336"/>
      <c r="B245" s="663"/>
      <c r="C245" s="664"/>
      <c r="D245" s="664"/>
      <c r="E245" s="664"/>
      <c r="F245" s="713"/>
      <c r="G245" s="713"/>
      <c r="H245" s="713"/>
      <c r="I245" s="713"/>
      <c r="J245" s="713"/>
      <c r="K245" s="713"/>
      <c r="L245" s="713"/>
      <c r="M245" s="713"/>
      <c r="N245" s="713"/>
      <c r="O245" s="713"/>
      <c r="P245" s="713"/>
      <c r="Q245" s="713"/>
      <c r="R245" s="713"/>
      <c r="S245" s="713"/>
      <c r="T245" s="713"/>
      <c r="U245" s="713"/>
      <c r="V245" s="713"/>
      <c r="W245" s="713"/>
      <c r="X245" s="713"/>
      <c r="Y245" s="713"/>
      <c r="Z245" s="713"/>
      <c r="AA245" s="713"/>
      <c r="AB245" s="713"/>
      <c r="AC245" s="716"/>
    </row>
    <row r="246" spans="1:29" x14ac:dyDescent="0.2">
      <c r="A246" s="336"/>
      <c r="B246" s="721" t="s">
        <v>309</v>
      </c>
      <c r="C246" s="722"/>
      <c r="D246" s="722"/>
      <c r="E246" s="722"/>
      <c r="F246" s="670">
        <f>F248</f>
        <v>0</v>
      </c>
      <c r="G246" s="670">
        <f t="shared" ref="G246:X246" si="156">F246+G248+G256</f>
        <v>0</v>
      </c>
      <c r="H246" s="670">
        <f t="shared" si="156"/>
        <v>0</v>
      </c>
      <c r="I246" s="670">
        <f t="shared" si="156"/>
        <v>0</v>
      </c>
      <c r="J246" s="670">
        <f t="shared" si="156"/>
        <v>9000000</v>
      </c>
      <c r="K246" s="670">
        <f t="shared" si="156"/>
        <v>27000000</v>
      </c>
      <c r="L246" s="670">
        <f t="shared" si="156"/>
        <v>42000000</v>
      </c>
      <c r="M246" s="670">
        <f t="shared" si="156"/>
        <v>52000000</v>
      </c>
      <c r="N246" s="670">
        <f t="shared" si="156"/>
        <v>73000000</v>
      </c>
      <c r="O246" s="670">
        <f t="shared" si="156"/>
        <v>93000000</v>
      </c>
      <c r="P246" s="670">
        <f t="shared" si="156"/>
        <v>113000000</v>
      </c>
      <c r="Q246" s="670">
        <f t="shared" si="156"/>
        <v>113000000</v>
      </c>
      <c r="R246" s="670">
        <f t="shared" si="156"/>
        <v>67720060.760771811</v>
      </c>
      <c r="S246" s="670">
        <f t="shared" si="156"/>
        <v>0</v>
      </c>
      <c r="T246" s="670">
        <f t="shared" si="156"/>
        <v>0</v>
      </c>
      <c r="U246" s="670">
        <f t="shared" si="156"/>
        <v>0</v>
      </c>
      <c r="V246" s="670">
        <f t="shared" si="156"/>
        <v>0</v>
      </c>
      <c r="W246" s="670">
        <f t="shared" si="156"/>
        <v>0</v>
      </c>
      <c r="X246" s="670">
        <f t="shared" si="156"/>
        <v>0</v>
      </c>
      <c r="Y246" s="670">
        <f>X246+Y248+Y256</f>
        <v>0</v>
      </c>
      <c r="Z246" s="670">
        <f>Y246+Z248+Z256</f>
        <v>0</v>
      </c>
      <c r="AA246" s="670">
        <f t="shared" ref="AA246:AC246" si="157">Z246+AA248+AA256</f>
        <v>0</v>
      </c>
      <c r="AB246" s="670">
        <f t="shared" si="157"/>
        <v>0</v>
      </c>
      <c r="AC246" s="708">
        <f t="shared" si="157"/>
        <v>0</v>
      </c>
    </row>
    <row r="247" spans="1:29" x14ac:dyDescent="0.2">
      <c r="A247" s="342"/>
      <c r="B247" s="721"/>
      <c r="C247" s="722"/>
      <c r="D247" s="722"/>
      <c r="E247" s="722"/>
      <c r="F247" s="670"/>
      <c r="G247" s="670"/>
      <c r="H247" s="670"/>
      <c r="I247" s="670"/>
      <c r="J247" s="670"/>
      <c r="K247" s="670"/>
      <c r="L247" s="670"/>
      <c r="M247" s="670"/>
      <c r="N247" s="670"/>
      <c r="O247" s="670"/>
      <c r="P247" s="670"/>
      <c r="Q247" s="670"/>
      <c r="R247" s="670"/>
      <c r="S247" s="670"/>
      <c r="T247" s="670"/>
      <c r="U247" s="670"/>
      <c r="V247" s="670"/>
      <c r="W247" s="670"/>
      <c r="X247" s="670"/>
      <c r="Y247" s="670"/>
      <c r="Z247" s="670"/>
      <c r="AA247" s="670"/>
      <c r="AB247" s="670"/>
      <c r="AC247" s="708"/>
    </row>
    <row r="248" spans="1:29" x14ac:dyDescent="0.2">
      <c r="A248" s="342"/>
      <c r="B248" s="663" t="s">
        <v>310</v>
      </c>
      <c r="C248" s="664"/>
      <c r="D248" s="664"/>
      <c r="E248" s="664"/>
      <c r="F248" s="673">
        <f t="shared" ref="F248:AC248" si="158">F189</f>
        <v>0</v>
      </c>
      <c r="G248" s="673">
        <f t="shared" si="158"/>
        <v>0</v>
      </c>
      <c r="H248" s="673">
        <f t="shared" si="158"/>
        <v>0</v>
      </c>
      <c r="I248" s="673">
        <f t="shared" si="158"/>
        <v>0</v>
      </c>
      <c r="J248" s="673">
        <f t="shared" si="158"/>
        <v>9000000</v>
      </c>
      <c r="K248" s="673">
        <f t="shared" si="158"/>
        <v>18000000</v>
      </c>
      <c r="L248" s="673">
        <f t="shared" si="158"/>
        <v>15000000</v>
      </c>
      <c r="M248" s="673">
        <f t="shared" si="158"/>
        <v>10000000</v>
      </c>
      <c r="N248" s="673">
        <f t="shared" si="158"/>
        <v>21000000</v>
      </c>
      <c r="O248" s="673">
        <f t="shared" si="158"/>
        <v>20000000</v>
      </c>
      <c r="P248" s="673">
        <f t="shared" si="158"/>
        <v>20000000</v>
      </c>
      <c r="Q248" s="673">
        <f t="shared" si="158"/>
        <v>0</v>
      </c>
      <c r="R248" s="673">
        <f t="shared" si="158"/>
        <v>0</v>
      </c>
      <c r="S248" s="673">
        <f t="shared" si="158"/>
        <v>0</v>
      </c>
      <c r="T248" s="673">
        <f t="shared" si="158"/>
        <v>0</v>
      </c>
      <c r="U248" s="673">
        <f t="shared" si="158"/>
        <v>0</v>
      </c>
      <c r="V248" s="673">
        <f t="shared" si="158"/>
        <v>0</v>
      </c>
      <c r="W248" s="673">
        <f t="shared" si="158"/>
        <v>0</v>
      </c>
      <c r="X248" s="673">
        <f t="shared" si="158"/>
        <v>0</v>
      </c>
      <c r="Y248" s="673">
        <f t="shared" si="158"/>
        <v>0</v>
      </c>
      <c r="Z248" s="673">
        <f t="shared" si="158"/>
        <v>0</v>
      </c>
      <c r="AA248" s="673">
        <f t="shared" si="158"/>
        <v>0</v>
      </c>
      <c r="AB248" s="673">
        <f t="shared" si="158"/>
        <v>0</v>
      </c>
      <c r="AC248" s="705">
        <f t="shared" si="158"/>
        <v>0</v>
      </c>
    </row>
    <row r="249" spans="1:29" x14ac:dyDescent="0.2">
      <c r="A249" s="342"/>
      <c r="B249" s="663"/>
      <c r="C249" s="664"/>
      <c r="D249" s="664"/>
      <c r="E249" s="664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73"/>
      <c r="AB249" s="673"/>
      <c r="AC249" s="705"/>
    </row>
    <row r="250" spans="1:29" x14ac:dyDescent="0.2">
      <c r="A250" s="342"/>
      <c r="B250" s="721" t="s">
        <v>311</v>
      </c>
      <c r="C250" s="722"/>
      <c r="D250" s="722"/>
      <c r="E250" s="722"/>
      <c r="F250" s="670">
        <f t="shared" ref="F250:AC250" si="159">F192</f>
        <v>0</v>
      </c>
      <c r="G250" s="670">
        <f t="shared" si="159"/>
        <v>0</v>
      </c>
      <c r="H250" s="670">
        <f t="shared" si="159"/>
        <v>0</v>
      </c>
      <c r="I250" s="670">
        <f t="shared" si="159"/>
        <v>0</v>
      </c>
      <c r="J250" s="670">
        <f t="shared" si="159"/>
        <v>0</v>
      </c>
      <c r="K250" s="670">
        <f t="shared" si="159"/>
        <v>-164250</v>
      </c>
      <c r="L250" s="670">
        <f t="shared" si="159"/>
        <v>-492749.99999999994</v>
      </c>
      <c r="M250" s="670">
        <f t="shared" si="159"/>
        <v>-766500</v>
      </c>
      <c r="N250" s="670">
        <f t="shared" si="159"/>
        <v>-948999.99999999988</v>
      </c>
      <c r="O250" s="670">
        <f t="shared" si="159"/>
        <v>-1332250</v>
      </c>
      <c r="P250" s="670">
        <f t="shared" si="159"/>
        <v>-1697250</v>
      </c>
      <c r="Q250" s="670">
        <f t="shared" si="159"/>
        <v>-2062249.9999999998</v>
      </c>
      <c r="R250" s="670">
        <f t="shared" si="159"/>
        <v>-2062249.9999999998</v>
      </c>
      <c r="S250" s="670">
        <f t="shared" si="159"/>
        <v>-1235891.1088840854</v>
      </c>
      <c r="T250" s="670">
        <f t="shared" si="159"/>
        <v>0</v>
      </c>
      <c r="U250" s="670">
        <f t="shared" si="159"/>
        <v>0</v>
      </c>
      <c r="V250" s="670">
        <f t="shared" si="159"/>
        <v>0</v>
      </c>
      <c r="W250" s="670">
        <f t="shared" si="159"/>
        <v>0</v>
      </c>
      <c r="X250" s="670">
        <f t="shared" si="159"/>
        <v>0</v>
      </c>
      <c r="Y250" s="670">
        <f t="shared" si="159"/>
        <v>0</v>
      </c>
      <c r="Z250" s="670">
        <f t="shared" si="159"/>
        <v>0</v>
      </c>
      <c r="AA250" s="670">
        <f t="shared" si="159"/>
        <v>0</v>
      </c>
      <c r="AB250" s="670">
        <f t="shared" si="159"/>
        <v>0</v>
      </c>
      <c r="AC250" s="708">
        <f t="shared" si="159"/>
        <v>0</v>
      </c>
    </row>
    <row r="251" spans="1:29" x14ac:dyDescent="0.2">
      <c r="B251" s="721"/>
      <c r="C251" s="722"/>
      <c r="D251" s="722"/>
      <c r="E251" s="722"/>
      <c r="F251" s="670"/>
      <c r="G251" s="670"/>
      <c r="H251" s="670"/>
      <c r="I251" s="670"/>
      <c r="J251" s="670"/>
      <c r="K251" s="670"/>
      <c r="L251" s="670"/>
      <c r="M251" s="670"/>
      <c r="N251" s="670"/>
      <c r="O251" s="670"/>
      <c r="P251" s="670"/>
      <c r="Q251" s="670"/>
      <c r="R251" s="670"/>
      <c r="S251" s="670"/>
      <c r="T251" s="670"/>
      <c r="U251" s="670"/>
      <c r="V251" s="670"/>
      <c r="W251" s="670"/>
      <c r="X251" s="670"/>
      <c r="Y251" s="670"/>
      <c r="Z251" s="670"/>
      <c r="AA251" s="670"/>
      <c r="AB251" s="670"/>
      <c r="AC251" s="708"/>
    </row>
    <row r="252" spans="1:29" x14ac:dyDescent="0.2">
      <c r="A252" s="344"/>
      <c r="B252" s="719" t="s">
        <v>171</v>
      </c>
      <c r="C252" s="720"/>
      <c r="D252" s="720"/>
      <c r="E252" s="720"/>
      <c r="F252" s="673">
        <f t="shared" ref="F252:AC252" si="160">F193</f>
        <v>-565000</v>
      </c>
      <c r="G252" s="673">
        <f t="shared" si="160"/>
        <v>0</v>
      </c>
      <c r="H252" s="673">
        <f t="shared" si="160"/>
        <v>0</v>
      </c>
      <c r="I252" s="673">
        <f t="shared" si="160"/>
        <v>0</v>
      </c>
      <c r="J252" s="673">
        <f t="shared" si="160"/>
        <v>0</v>
      </c>
      <c r="K252" s="673">
        <f t="shared" si="160"/>
        <v>0</v>
      </c>
      <c r="L252" s="673">
        <f t="shared" si="160"/>
        <v>0</v>
      </c>
      <c r="M252" s="673">
        <f t="shared" si="160"/>
        <v>0</v>
      </c>
      <c r="N252" s="673">
        <f t="shared" si="160"/>
        <v>0</v>
      </c>
      <c r="O252" s="673">
        <f t="shared" si="160"/>
        <v>0</v>
      </c>
      <c r="P252" s="673">
        <f t="shared" si="160"/>
        <v>0</v>
      </c>
      <c r="Q252" s="673">
        <f t="shared" si="160"/>
        <v>0</v>
      </c>
      <c r="R252" s="673">
        <f t="shared" si="160"/>
        <v>0</v>
      </c>
      <c r="S252" s="673">
        <f t="shared" si="160"/>
        <v>0</v>
      </c>
      <c r="T252" s="673">
        <f t="shared" si="160"/>
        <v>0</v>
      </c>
      <c r="U252" s="673">
        <f t="shared" si="160"/>
        <v>0</v>
      </c>
      <c r="V252" s="673">
        <f t="shared" si="160"/>
        <v>0</v>
      </c>
      <c r="W252" s="673">
        <f t="shared" si="160"/>
        <v>0</v>
      </c>
      <c r="X252" s="673">
        <f t="shared" si="160"/>
        <v>0</v>
      </c>
      <c r="Y252" s="673">
        <f t="shared" si="160"/>
        <v>0</v>
      </c>
      <c r="Z252" s="673">
        <f t="shared" si="160"/>
        <v>0</v>
      </c>
      <c r="AA252" s="673">
        <f t="shared" si="160"/>
        <v>0</v>
      </c>
      <c r="AB252" s="673">
        <f t="shared" si="160"/>
        <v>0</v>
      </c>
      <c r="AC252" s="705">
        <f t="shared" si="160"/>
        <v>0</v>
      </c>
    </row>
    <row r="253" spans="1:29" x14ac:dyDescent="0.2">
      <c r="A253" s="344"/>
      <c r="B253" s="719"/>
      <c r="C253" s="720"/>
      <c r="D253" s="720"/>
      <c r="E253" s="720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73"/>
      <c r="AB253" s="673"/>
      <c r="AC253" s="705"/>
    </row>
    <row r="254" spans="1:29" x14ac:dyDescent="0.2">
      <c r="A254" s="336"/>
      <c r="B254" s="721" t="s">
        <v>312</v>
      </c>
      <c r="C254" s="722"/>
      <c r="D254" s="722"/>
      <c r="E254" s="722"/>
      <c r="F254" s="670">
        <f>F250+F252</f>
        <v>-565000</v>
      </c>
      <c r="G254" s="670">
        <f>G250+G252</f>
        <v>0</v>
      </c>
      <c r="H254" s="670">
        <f>H250+H252</f>
        <v>0</v>
      </c>
      <c r="I254" s="670">
        <f t="shared" ref="I254:W254" si="161">I250+I252</f>
        <v>0</v>
      </c>
      <c r="J254" s="670">
        <f t="shared" si="161"/>
        <v>0</v>
      </c>
      <c r="K254" s="670">
        <f t="shared" si="161"/>
        <v>-164250</v>
      </c>
      <c r="L254" s="670">
        <f t="shared" si="161"/>
        <v>-492749.99999999994</v>
      </c>
      <c r="M254" s="670">
        <f t="shared" si="161"/>
        <v>-766500</v>
      </c>
      <c r="N254" s="670">
        <f t="shared" si="161"/>
        <v>-948999.99999999988</v>
      </c>
      <c r="O254" s="670">
        <f t="shared" si="161"/>
        <v>-1332250</v>
      </c>
      <c r="P254" s="670">
        <f t="shared" si="161"/>
        <v>-1697250</v>
      </c>
      <c r="Q254" s="670">
        <f t="shared" si="161"/>
        <v>-2062249.9999999998</v>
      </c>
      <c r="R254" s="670">
        <f t="shared" si="161"/>
        <v>-2062249.9999999998</v>
      </c>
      <c r="S254" s="670">
        <f t="shared" si="161"/>
        <v>-1235891.1088840854</v>
      </c>
      <c r="T254" s="670">
        <f t="shared" si="161"/>
        <v>0</v>
      </c>
      <c r="U254" s="670">
        <f t="shared" si="161"/>
        <v>0</v>
      </c>
      <c r="V254" s="670">
        <f t="shared" si="161"/>
        <v>0</v>
      </c>
      <c r="W254" s="670">
        <f t="shared" si="161"/>
        <v>0</v>
      </c>
      <c r="X254" s="670">
        <f>X250+X252</f>
        <v>0</v>
      </c>
      <c r="Y254" s="670">
        <f>Y250+Y252</f>
        <v>0</v>
      </c>
      <c r="Z254" s="670">
        <f>Z250+Z252</f>
        <v>0</v>
      </c>
      <c r="AA254" s="670">
        <f t="shared" ref="AA254:AC254" si="162">AA250+AA252</f>
        <v>0</v>
      </c>
      <c r="AB254" s="670">
        <f t="shared" si="162"/>
        <v>0</v>
      </c>
      <c r="AC254" s="708">
        <f t="shared" si="162"/>
        <v>0</v>
      </c>
    </row>
    <row r="255" spans="1:29" x14ac:dyDescent="0.2">
      <c r="A255" s="336"/>
      <c r="B255" s="721"/>
      <c r="C255" s="722"/>
      <c r="D255" s="722"/>
      <c r="E255" s="722"/>
      <c r="F255" s="670"/>
      <c r="G255" s="670"/>
      <c r="H255" s="670"/>
      <c r="I255" s="670"/>
      <c r="J255" s="670"/>
      <c r="K255" s="670"/>
      <c r="L255" s="670"/>
      <c r="M255" s="670"/>
      <c r="N255" s="670"/>
      <c r="O255" s="670"/>
      <c r="P255" s="670"/>
      <c r="Q255" s="670"/>
      <c r="R255" s="670"/>
      <c r="S255" s="670"/>
      <c r="T255" s="670"/>
      <c r="U255" s="670"/>
      <c r="V255" s="670"/>
      <c r="W255" s="670"/>
      <c r="X255" s="670"/>
      <c r="Y255" s="670"/>
      <c r="Z255" s="670"/>
      <c r="AA255" s="670"/>
      <c r="AB255" s="670"/>
      <c r="AC255" s="708"/>
    </row>
    <row r="256" spans="1:29" x14ac:dyDescent="0.2">
      <c r="A256" s="336"/>
      <c r="B256" s="663" t="s">
        <v>160</v>
      </c>
      <c r="C256" s="664"/>
      <c r="D256" s="664"/>
      <c r="E256" s="664"/>
      <c r="F256" s="673">
        <f t="shared" ref="F256:AC256" si="163">F191</f>
        <v>0</v>
      </c>
      <c r="G256" s="673">
        <f t="shared" si="163"/>
        <v>0</v>
      </c>
      <c r="H256" s="673">
        <f t="shared" si="163"/>
        <v>0</v>
      </c>
      <c r="I256" s="673">
        <f t="shared" si="163"/>
        <v>0</v>
      </c>
      <c r="J256" s="673">
        <f t="shared" si="163"/>
        <v>0</v>
      </c>
      <c r="K256" s="673">
        <f t="shared" si="163"/>
        <v>0</v>
      </c>
      <c r="L256" s="673">
        <f t="shared" si="163"/>
        <v>0</v>
      </c>
      <c r="M256" s="673">
        <f t="shared" si="163"/>
        <v>0</v>
      </c>
      <c r="N256" s="673">
        <f t="shared" si="163"/>
        <v>0</v>
      </c>
      <c r="O256" s="673">
        <f t="shared" si="163"/>
        <v>0</v>
      </c>
      <c r="P256" s="673">
        <f t="shared" si="163"/>
        <v>0</v>
      </c>
      <c r="Q256" s="673">
        <f t="shared" si="163"/>
        <v>0</v>
      </c>
      <c r="R256" s="673">
        <f t="shared" si="163"/>
        <v>-45279939.239228189</v>
      </c>
      <c r="S256" s="673">
        <f t="shared" si="163"/>
        <v>-67720060.760771796</v>
      </c>
      <c r="T256" s="673">
        <f t="shared" si="163"/>
        <v>0</v>
      </c>
      <c r="U256" s="673">
        <f t="shared" si="163"/>
        <v>0</v>
      </c>
      <c r="V256" s="673">
        <f t="shared" si="163"/>
        <v>0</v>
      </c>
      <c r="W256" s="673">
        <f t="shared" si="163"/>
        <v>0</v>
      </c>
      <c r="X256" s="673">
        <f t="shared" si="163"/>
        <v>0</v>
      </c>
      <c r="Y256" s="673">
        <f t="shared" si="163"/>
        <v>0</v>
      </c>
      <c r="Z256" s="673">
        <f t="shared" si="163"/>
        <v>0</v>
      </c>
      <c r="AA256" s="673">
        <f t="shared" si="163"/>
        <v>0</v>
      </c>
      <c r="AB256" s="673">
        <f t="shared" si="163"/>
        <v>0</v>
      </c>
      <c r="AC256" s="705">
        <f t="shared" si="163"/>
        <v>0</v>
      </c>
    </row>
    <row r="257" spans="1:29" ht="12" thickBot="1" x14ac:dyDescent="0.25">
      <c r="B257" s="723"/>
      <c r="C257" s="724"/>
      <c r="D257" s="724"/>
      <c r="E257" s="724"/>
      <c r="F257" s="701"/>
      <c r="G257" s="701"/>
      <c r="H257" s="701"/>
      <c r="I257" s="701"/>
      <c r="J257" s="701"/>
      <c r="K257" s="701"/>
      <c r="L257" s="701"/>
      <c r="M257" s="701"/>
      <c r="N257" s="701"/>
      <c r="O257" s="701"/>
      <c r="P257" s="701"/>
      <c r="Q257" s="701"/>
      <c r="R257" s="701"/>
      <c r="S257" s="701"/>
      <c r="T257" s="701"/>
      <c r="U257" s="701"/>
      <c r="V257" s="701"/>
      <c r="W257" s="701"/>
      <c r="X257" s="701"/>
      <c r="Y257" s="701"/>
      <c r="Z257" s="701"/>
      <c r="AA257" s="701"/>
      <c r="AB257" s="701"/>
      <c r="AC257" s="706"/>
    </row>
    <row r="258" spans="1:29" x14ac:dyDescent="0.2">
      <c r="A258" s="336"/>
      <c r="E258" s="336"/>
      <c r="F258" s="336"/>
      <c r="G258" s="336"/>
      <c r="H258" s="336"/>
      <c r="I258" s="336"/>
      <c r="J258" s="336"/>
      <c r="K258" s="336"/>
      <c r="L258" s="336"/>
      <c r="M258" s="336"/>
      <c r="N258" s="336"/>
      <c r="O258" s="336"/>
      <c r="P258" s="336"/>
      <c r="Q258" s="336"/>
      <c r="R258" s="336"/>
      <c r="S258" s="336"/>
      <c r="T258" s="336"/>
      <c r="U258" s="336"/>
      <c r="V258" s="336"/>
      <c r="W258" s="336"/>
      <c r="AB258" s="183" t="s">
        <v>196</v>
      </c>
      <c r="AC258" s="179" t="s">
        <v>197</v>
      </c>
    </row>
    <row r="259" spans="1:29" ht="12" thickBot="1" x14ac:dyDescent="0.25">
      <c r="A259" s="336"/>
      <c r="E259" s="336"/>
      <c r="F259" s="336"/>
      <c r="G259" s="336"/>
      <c r="H259" s="336"/>
      <c r="I259" s="336"/>
      <c r="J259" s="336"/>
      <c r="K259" s="336"/>
      <c r="L259" s="336"/>
      <c r="M259" s="336"/>
      <c r="N259" s="336"/>
      <c r="O259" s="336"/>
      <c r="P259" s="336"/>
      <c r="Q259" s="336"/>
      <c r="R259" s="336"/>
      <c r="S259" s="336"/>
      <c r="T259" s="336"/>
      <c r="U259" s="336"/>
      <c r="V259" s="336"/>
      <c r="W259" s="336"/>
      <c r="AB259" s="184">
        <f>SUM(F248:AC249)</f>
        <v>113000000</v>
      </c>
      <c r="AC259" s="180">
        <f>SUM(F254:AC255)</f>
        <v>-11327391.108884085</v>
      </c>
    </row>
    <row r="260" spans="1:29" x14ac:dyDescent="0.2">
      <c r="A260" s="336"/>
      <c r="AB260" s="84" t="b">
        <f>AB259=E189</f>
        <v>1</v>
      </c>
      <c r="AC260" s="84" t="b">
        <f>AC259=SUM(E192:E193)</f>
        <v>1</v>
      </c>
    </row>
    <row r="261" spans="1:29" x14ac:dyDescent="0.2">
      <c r="A261" s="336"/>
      <c r="W261" s="336"/>
    </row>
    <row r="262" spans="1:29" x14ac:dyDescent="0.2">
      <c r="A262" s="336"/>
      <c r="H262" s="223"/>
      <c r="W262" s="336"/>
    </row>
    <row r="263" spans="1:29" x14ac:dyDescent="0.2">
      <c r="A263" s="336"/>
      <c r="W263" s="336"/>
    </row>
    <row r="264" spans="1:29" x14ac:dyDescent="0.2">
      <c r="A264" s="336"/>
      <c r="W264" s="336"/>
    </row>
    <row r="265" spans="1:29" x14ac:dyDescent="0.2">
      <c r="A265" s="336"/>
      <c r="B265" s="336"/>
      <c r="C265" s="336"/>
      <c r="D265" s="336"/>
      <c r="E265" s="336"/>
      <c r="F265" s="336"/>
      <c r="G265" s="336"/>
      <c r="H265" s="336"/>
      <c r="I265" s="336"/>
      <c r="J265" s="336"/>
      <c r="K265" s="336"/>
      <c r="L265" s="336"/>
      <c r="M265" s="336"/>
      <c r="N265" s="336"/>
      <c r="O265" s="336"/>
      <c r="P265" s="336"/>
      <c r="Q265" s="336"/>
      <c r="R265" s="336"/>
      <c r="S265" s="336"/>
      <c r="T265" s="336"/>
      <c r="U265" s="336"/>
      <c r="V265" s="336"/>
      <c r="W265" s="336"/>
      <c r="X265" s="336"/>
    </row>
    <row r="266" spans="1:29" ht="12" thickBot="1" x14ac:dyDescent="0.25">
      <c r="B266" s="313"/>
      <c r="C266" s="313"/>
      <c r="D266" s="313"/>
      <c r="E266" s="313"/>
      <c r="F266" s="313" t="str">
        <f t="shared" ref="F266:K266" si="164">IF(AND(F200&lt;&gt;"", F200&lt;&gt;0), 1, "")</f>
        <v/>
      </c>
      <c r="G266" s="313" t="str">
        <f t="shared" si="164"/>
        <v/>
      </c>
      <c r="H266" s="313" t="str">
        <f t="shared" si="164"/>
        <v/>
      </c>
      <c r="I266" s="313">
        <f t="shared" si="164"/>
        <v>1</v>
      </c>
      <c r="J266" s="313" t="str">
        <f t="shared" si="164"/>
        <v/>
      </c>
      <c r="K266" s="313" t="str">
        <f t="shared" si="164"/>
        <v/>
      </c>
      <c r="L266" s="313">
        <f t="shared" ref="L266:Y266" si="165">IF(AND(L196&lt;&gt;"", L196&lt;&gt;0), 1, "")</f>
        <v>1</v>
      </c>
      <c r="M266" s="313">
        <f t="shared" si="165"/>
        <v>1</v>
      </c>
      <c r="N266" s="313">
        <f t="shared" si="165"/>
        <v>1</v>
      </c>
      <c r="O266" s="313">
        <f t="shared" si="165"/>
        <v>1</v>
      </c>
      <c r="P266" s="313">
        <f t="shared" si="165"/>
        <v>1</v>
      </c>
      <c r="Q266" s="313">
        <f t="shared" si="165"/>
        <v>1</v>
      </c>
      <c r="R266" s="313">
        <f t="shared" si="165"/>
        <v>1</v>
      </c>
      <c r="S266" s="313">
        <f t="shared" si="165"/>
        <v>1</v>
      </c>
      <c r="T266" s="313">
        <f t="shared" si="165"/>
        <v>1</v>
      </c>
      <c r="U266" s="313" t="str">
        <f t="shared" si="165"/>
        <v/>
      </c>
      <c r="V266" s="313" t="str">
        <f t="shared" si="165"/>
        <v/>
      </c>
      <c r="W266" s="313" t="str">
        <f t="shared" si="165"/>
        <v/>
      </c>
      <c r="X266" s="313" t="str">
        <f t="shared" si="165"/>
        <v/>
      </c>
      <c r="Y266" s="313" t="str">
        <f t="shared" si="165"/>
        <v/>
      </c>
      <c r="Z266" s="313"/>
      <c r="AA266" s="313"/>
      <c r="AB266" s="313"/>
      <c r="AC266" s="313"/>
    </row>
    <row r="267" spans="1:29" ht="12.75" x14ac:dyDescent="0.2">
      <c r="B267" s="226" t="s">
        <v>198</v>
      </c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  <c r="AA267" s="227"/>
      <c r="AB267" s="227"/>
      <c r="AC267" s="228"/>
    </row>
    <row r="268" spans="1:29" x14ac:dyDescent="0.2">
      <c r="B268" s="730">
        <f>R139-SUM(F270:Y271)</f>
        <v>0</v>
      </c>
      <c r="C268" s="731"/>
      <c r="D268" s="729" t="b">
        <f>B268=0</f>
        <v>1</v>
      </c>
      <c r="E268" s="606" t="s">
        <v>195</v>
      </c>
      <c r="F268" s="187" t="s">
        <v>102</v>
      </c>
      <c r="G268" s="187"/>
      <c r="H268" s="187"/>
      <c r="I268" s="187"/>
      <c r="J268" s="187" t="s">
        <v>104</v>
      </c>
      <c r="K268" s="187"/>
      <c r="L268" s="187"/>
      <c r="M268" s="187"/>
      <c r="N268" s="187" t="s">
        <v>106</v>
      </c>
      <c r="O268" s="187"/>
      <c r="P268" s="187"/>
      <c r="Q268" s="187"/>
      <c r="R268" s="187" t="s">
        <v>108</v>
      </c>
      <c r="S268" s="187"/>
      <c r="T268" s="187"/>
      <c r="U268" s="187"/>
      <c r="V268" s="187" t="s">
        <v>109</v>
      </c>
      <c r="W268" s="187"/>
      <c r="X268" s="187"/>
      <c r="Y268" s="187"/>
      <c r="Z268" s="188" t="s">
        <v>111</v>
      </c>
      <c r="AA268" s="188"/>
      <c r="AB268" s="188"/>
      <c r="AC268" s="189"/>
    </row>
    <row r="269" spans="1:29" x14ac:dyDescent="0.2">
      <c r="B269" s="730"/>
      <c r="C269" s="731"/>
      <c r="D269" s="729"/>
      <c r="E269" s="606"/>
      <c r="F269" s="120" t="s">
        <v>135</v>
      </c>
      <c r="G269" s="120" t="s">
        <v>136</v>
      </c>
      <c r="H269" s="120" t="s">
        <v>137</v>
      </c>
      <c r="I269" s="120" t="s">
        <v>138</v>
      </c>
      <c r="J269" s="120" t="s">
        <v>139</v>
      </c>
      <c r="K269" s="120" t="s">
        <v>140</v>
      </c>
      <c r="L269" s="120" t="s">
        <v>141</v>
      </c>
      <c r="M269" s="120" t="s">
        <v>142</v>
      </c>
      <c r="N269" s="120" t="s">
        <v>143</v>
      </c>
      <c r="O269" s="120" t="s">
        <v>144</v>
      </c>
      <c r="P269" s="120" t="s">
        <v>145</v>
      </c>
      <c r="Q269" s="120" t="s">
        <v>146</v>
      </c>
      <c r="R269" s="120" t="s">
        <v>147</v>
      </c>
      <c r="S269" s="120" t="s">
        <v>148</v>
      </c>
      <c r="T269" s="120" t="s">
        <v>149</v>
      </c>
      <c r="U269" s="120" t="s">
        <v>150</v>
      </c>
      <c r="V269" s="120" t="s">
        <v>151</v>
      </c>
      <c r="W269" s="120" t="s">
        <v>152</v>
      </c>
      <c r="X269" s="120" t="s">
        <v>153</v>
      </c>
      <c r="Y269" s="120" t="s">
        <v>154</v>
      </c>
      <c r="Z269" s="120" t="s">
        <v>155</v>
      </c>
      <c r="AA269" s="120" t="s">
        <v>156</v>
      </c>
      <c r="AB269" s="120" t="s">
        <v>157</v>
      </c>
      <c r="AC269" s="104" t="s">
        <v>158</v>
      </c>
    </row>
    <row r="270" spans="1:29" x14ac:dyDescent="0.2">
      <c r="B270" s="725" t="s">
        <v>199</v>
      </c>
      <c r="C270" s="726"/>
      <c r="D270" s="727" t="b">
        <f>IF(ABS(E270 - R139) &lt; MAX(0.00001, E270 * 0.00001), TRUE, FALSE)</f>
        <v>1</v>
      </c>
      <c r="E270" s="670">
        <f>SUM(F270:Y271)</f>
        <v>88</v>
      </c>
      <c r="F270" s="599"/>
      <c r="G270" s="599"/>
      <c r="H270" s="599"/>
      <c r="I270" s="599">
        <v>4</v>
      </c>
      <c r="J270" s="599">
        <v>6</v>
      </c>
      <c r="K270" s="599">
        <v>9</v>
      </c>
      <c r="L270" s="599">
        <v>9</v>
      </c>
      <c r="M270" s="599">
        <v>14</v>
      </c>
      <c r="N270" s="599">
        <v>15</v>
      </c>
      <c r="O270" s="599">
        <v>15</v>
      </c>
      <c r="P270" s="599">
        <v>16</v>
      </c>
      <c r="Q270" s="599"/>
      <c r="R270" s="599"/>
      <c r="S270" s="599"/>
      <c r="T270" s="599"/>
      <c r="U270" s="599"/>
      <c r="V270" s="599"/>
      <c r="W270" s="599"/>
      <c r="X270" s="599"/>
      <c r="Y270" s="599"/>
      <c r="Z270" s="599"/>
      <c r="AA270" s="599"/>
      <c r="AB270" s="599"/>
      <c r="AC270" s="600"/>
    </row>
    <row r="271" spans="1:29" x14ac:dyDescent="0.2">
      <c r="B271" s="725"/>
      <c r="C271" s="726"/>
      <c r="D271" s="727"/>
      <c r="E271" s="670"/>
      <c r="F271" s="599"/>
      <c r="G271" s="599"/>
      <c r="H271" s="599"/>
      <c r="I271" s="599"/>
      <c r="J271" s="599"/>
      <c r="K271" s="599"/>
      <c r="L271" s="599"/>
      <c r="M271" s="599"/>
      <c r="N271" s="599"/>
      <c r="O271" s="599"/>
      <c r="P271" s="599"/>
      <c r="Q271" s="599"/>
      <c r="R271" s="599"/>
      <c r="S271" s="599"/>
      <c r="T271" s="599"/>
      <c r="U271" s="599"/>
      <c r="V271" s="599"/>
      <c r="W271" s="599"/>
      <c r="X271" s="599"/>
      <c r="Y271" s="599"/>
      <c r="Z271" s="599"/>
      <c r="AA271" s="599"/>
      <c r="AB271" s="599"/>
      <c r="AC271" s="600"/>
    </row>
    <row r="272" spans="1:29" x14ac:dyDescent="0.2">
      <c r="B272" s="663" t="s">
        <v>200</v>
      </c>
      <c r="C272" s="664"/>
      <c r="D272" s="729" t="b">
        <f>IF(ABS(E272 - C196) &lt; MAX(0.00001, E272 * 0.00001), TRUE, FALSE)</f>
        <v>1</v>
      </c>
      <c r="E272" s="728">
        <f>SUM(F272:AC273)</f>
        <v>-286502320</v>
      </c>
      <c r="F272" s="673">
        <f t="shared" ref="F272:AC272" si="166">F196</f>
        <v>0</v>
      </c>
      <c r="G272" s="673">
        <f t="shared" si="166"/>
        <v>0</v>
      </c>
      <c r="H272" s="673">
        <f t="shared" si="166"/>
        <v>0</v>
      </c>
      <c r="I272" s="673">
        <f t="shared" si="166"/>
        <v>0</v>
      </c>
      <c r="J272" s="673">
        <f t="shared" si="166"/>
        <v>-28650232</v>
      </c>
      <c r="K272" s="673">
        <f t="shared" si="166"/>
        <v>-20055162.400000002</v>
      </c>
      <c r="L272" s="673">
        <f t="shared" si="166"/>
        <v>-20055162.400000002</v>
      </c>
      <c r="M272" s="673">
        <f t="shared" si="166"/>
        <v>-20055162.400000002</v>
      </c>
      <c r="N272" s="673">
        <f t="shared" si="166"/>
        <v>-37245301.600000001</v>
      </c>
      <c r="O272" s="673">
        <f t="shared" si="166"/>
        <v>-37245301.600000001</v>
      </c>
      <c r="P272" s="673">
        <f t="shared" si="166"/>
        <v>-37245301.600000001</v>
      </c>
      <c r="Q272" s="673">
        <f t="shared" si="166"/>
        <v>-28650232</v>
      </c>
      <c r="R272" s="673">
        <f t="shared" si="166"/>
        <v>-20055162.400000002</v>
      </c>
      <c r="S272" s="673">
        <f t="shared" si="166"/>
        <v>-20055162.400000002</v>
      </c>
      <c r="T272" s="673">
        <f t="shared" si="166"/>
        <v>-17190139.199999999</v>
      </c>
      <c r="U272" s="673">
        <f t="shared" si="166"/>
        <v>0</v>
      </c>
      <c r="V272" s="673">
        <f t="shared" si="166"/>
        <v>0</v>
      </c>
      <c r="W272" s="673">
        <f t="shared" si="166"/>
        <v>0</v>
      </c>
      <c r="X272" s="673">
        <f t="shared" si="166"/>
        <v>0</v>
      </c>
      <c r="Y272" s="673">
        <f t="shared" si="166"/>
        <v>0</v>
      </c>
      <c r="Z272" s="673">
        <f t="shared" si="166"/>
        <v>0</v>
      </c>
      <c r="AA272" s="673">
        <f t="shared" si="166"/>
        <v>0</v>
      </c>
      <c r="AB272" s="673">
        <f t="shared" si="166"/>
        <v>0</v>
      </c>
      <c r="AC272" s="705">
        <f t="shared" si="166"/>
        <v>0</v>
      </c>
    </row>
    <row r="273" spans="2:29" x14ac:dyDescent="0.2">
      <c r="B273" s="663"/>
      <c r="C273" s="664"/>
      <c r="D273" s="729"/>
      <c r="E273" s="728"/>
      <c r="F273" s="673"/>
      <c r="G273" s="673"/>
      <c r="H273" s="673"/>
      <c r="I273" s="673"/>
      <c r="J273" s="673"/>
      <c r="K273" s="673"/>
      <c r="L273" s="673"/>
      <c r="M273" s="673"/>
      <c r="N273" s="673"/>
      <c r="O273" s="673"/>
      <c r="P273" s="673"/>
      <c r="Q273" s="673"/>
      <c r="R273" s="673"/>
      <c r="S273" s="673"/>
      <c r="T273" s="673"/>
      <c r="U273" s="673"/>
      <c r="V273" s="673"/>
      <c r="W273" s="673"/>
      <c r="X273" s="673"/>
      <c r="Y273" s="673"/>
      <c r="Z273" s="673"/>
      <c r="AA273" s="673"/>
      <c r="AB273" s="673"/>
      <c r="AC273" s="705"/>
    </row>
    <row r="274" spans="2:29" x14ac:dyDescent="0.2">
      <c r="B274" s="725" t="s">
        <v>201</v>
      </c>
      <c r="C274" s="726"/>
      <c r="D274" s="727" t="b">
        <f>E274=100%</f>
        <v>1</v>
      </c>
      <c r="E274" s="703">
        <f>SUM(F274:AC275)</f>
        <v>1.0000000000000002</v>
      </c>
      <c r="F274" s="703">
        <f>F272/$C$196</f>
        <v>0</v>
      </c>
      <c r="G274" s="703">
        <f t="shared" ref="G274:K274" si="167">G272/$C$196</f>
        <v>0</v>
      </c>
      <c r="H274" s="703">
        <f t="shared" si="167"/>
        <v>0</v>
      </c>
      <c r="I274" s="703">
        <f t="shared" si="167"/>
        <v>0</v>
      </c>
      <c r="J274" s="703">
        <f>J272/$C$196</f>
        <v>0.1</v>
      </c>
      <c r="K274" s="703">
        <f t="shared" si="167"/>
        <v>7.0000000000000007E-2</v>
      </c>
      <c r="L274" s="703">
        <f t="shared" ref="L274:X274" si="168">L272/$C$196</f>
        <v>7.0000000000000007E-2</v>
      </c>
      <c r="M274" s="703">
        <f t="shared" si="168"/>
        <v>7.0000000000000007E-2</v>
      </c>
      <c r="N274" s="703">
        <f t="shared" si="168"/>
        <v>0.13</v>
      </c>
      <c r="O274" s="703">
        <f t="shared" si="168"/>
        <v>0.13</v>
      </c>
      <c r="P274" s="703">
        <f t="shared" si="168"/>
        <v>0.13</v>
      </c>
      <c r="Q274" s="703">
        <f t="shared" si="168"/>
        <v>0.1</v>
      </c>
      <c r="R274" s="703">
        <f t="shared" si="168"/>
        <v>7.0000000000000007E-2</v>
      </c>
      <c r="S274" s="703">
        <f t="shared" si="168"/>
        <v>7.0000000000000007E-2</v>
      </c>
      <c r="T274" s="703">
        <f t="shared" si="168"/>
        <v>0.06</v>
      </c>
      <c r="U274" s="703">
        <f t="shared" si="168"/>
        <v>0</v>
      </c>
      <c r="V274" s="703">
        <f t="shared" si="168"/>
        <v>0</v>
      </c>
      <c r="W274" s="703">
        <f t="shared" si="168"/>
        <v>0</v>
      </c>
      <c r="X274" s="703">
        <f t="shared" si="168"/>
        <v>0</v>
      </c>
      <c r="Y274" s="703">
        <f>Y272/$C$196</f>
        <v>0</v>
      </c>
      <c r="Z274" s="703">
        <f t="shared" ref="Z274:AC274" si="169">Z272/$C$196</f>
        <v>0</v>
      </c>
      <c r="AA274" s="703">
        <f t="shared" si="169"/>
        <v>0</v>
      </c>
      <c r="AB274" s="703">
        <f t="shared" si="169"/>
        <v>0</v>
      </c>
      <c r="AC274" s="709">
        <f t="shared" si="169"/>
        <v>0</v>
      </c>
    </row>
    <row r="275" spans="2:29" x14ac:dyDescent="0.2">
      <c r="B275" s="725"/>
      <c r="C275" s="726"/>
      <c r="D275" s="727"/>
      <c r="E275" s="703"/>
      <c r="F275" s="703"/>
      <c r="G275" s="703"/>
      <c r="H275" s="703"/>
      <c r="I275" s="703"/>
      <c r="J275" s="703"/>
      <c r="K275" s="703"/>
      <c r="L275" s="703"/>
      <c r="M275" s="703"/>
      <c r="N275" s="703"/>
      <c r="O275" s="703"/>
      <c r="P275" s="703"/>
      <c r="Q275" s="703"/>
      <c r="R275" s="703"/>
      <c r="S275" s="703"/>
      <c r="T275" s="703"/>
      <c r="U275" s="703"/>
      <c r="V275" s="703"/>
      <c r="W275" s="703"/>
      <c r="X275" s="703"/>
      <c r="Y275" s="703"/>
      <c r="Z275" s="703"/>
      <c r="AA275" s="703"/>
      <c r="AB275" s="703"/>
      <c r="AC275" s="709"/>
    </row>
    <row r="276" spans="2:29" x14ac:dyDescent="0.2">
      <c r="B276" s="663" t="s">
        <v>202</v>
      </c>
      <c r="C276" s="664"/>
      <c r="D276" s="729" t="b">
        <f>B266=B266</f>
        <v>1</v>
      </c>
      <c r="E276" s="670" t="s">
        <v>68</v>
      </c>
      <c r="F276" s="704">
        <f>F274</f>
        <v>0</v>
      </c>
      <c r="G276" s="704">
        <f>G274+F276</f>
        <v>0</v>
      </c>
      <c r="H276" s="704">
        <f>H274+G276</f>
        <v>0</v>
      </c>
      <c r="I276" s="704">
        <f t="shared" ref="I276:U276" si="170">I274+H276</f>
        <v>0</v>
      </c>
      <c r="J276" s="704">
        <f>J274+I276</f>
        <v>0.1</v>
      </c>
      <c r="K276" s="704">
        <f t="shared" si="170"/>
        <v>0.17</v>
      </c>
      <c r="L276" s="704">
        <f t="shared" si="170"/>
        <v>0.24000000000000002</v>
      </c>
      <c r="M276" s="704">
        <f t="shared" si="170"/>
        <v>0.31000000000000005</v>
      </c>
      <c r="N276" s="704">
        <f>N274+M276</f>
        <v>0.44000000000000006</v>
      </c>
      <c r="O276" s="704">
        <f t="shared" si="170"/>
        <v>0.57000000000000006</v>
      </c>
      <c r="P276" s="704">
        <f t="shared" si="170"/>
        <v>0.70000000000000007</v>
      </c>
      <c r="Q276" s="704">
        <f>Q274+P276</f>
        <v>0.8</v>
      </c>
      <c r="R276" s="704">
        <f t="shared" si="170"/>
        <v>0.87000000000000011</v>
      </c>
      <c r="S276" s="704">
        <f>S274+R276</f>
        <v>0.94000000000000017</v>
      </c>
      <c r="T276" s="704">
        <f>T274+S276</f>
        <v>1.0000000000000002</v>
      </c>
      <c r="U276" s="704">
        <f t="shared" si="170"/>
        <v>1.0000000000000002</v>
      </c>
      <c r="V276" s="704">
        <f>V274+U276</f>
        <v>1.0000000000000002</v>
      </c>
      <c r="W276" s="704">
        <f>W274+V276</f>
        <v>1.0000000000000002</v>
      </c>
      <c r="X276" s="704">
        <f>X274+W276</f>
        <v>1.0000000000000002</v>
      </c>
      <c r="Y276" s="704">
        <f>Y274+X276</f>
        <v>1.0000000000000002</v>
      </c>
      <c r="Z276" s="704">
        <f t="shared" ref="Z276:AC276" si="171">Z274+Y276</f>
        <v>1.0000000000000002</v>
      </c>
      <c r="AA276" s="704">
        <f t="shared" si="171"/>
        <v>1.0000000000000002</v>
      </c>
      <c r="AB276" s="704">
        <f t="shared" si="171"/>
        <v>1.0000000000000002</v>
      </c>
      <c r="AC276" s="707">
        <f t="shared" si="171"/>
        <v>1.0000000000000002</v>
      </c>
    </row>
    <row r="277" spans="2:29" x14ac:dyDescent="0.2">
      <c r="B277" s="663"/>
      <c r="C277" s="664"/>
      <c r="D277" s="729"/>
      <c r="E277" s="670"/>
      <c r="F277" s="704"/>
      <c r="G277" s="704"/>
      <c r="H277" s="704"/>
      <c r="I277" s="704"/>
      <c r="J277" s="704"/>
      <c r="K277" s="704"/>
      <c r="L277" s="704"/>
      <c r="M277" s="704"/>
      <c r="N277" s="704"/>
      <c r="O277" s="704"/>
      <c r="P277" s="704"/>
      <c r="Q277" s="704"/>
      <c r="R277" s="704"/>
      <c r="S277" s="704"/>
      <c r="T277" s="704"/>
      <c r="U277" s="704"/>
      <c r="V277" s="704"/>
      <c r="W277" s="704"/>
      <c r="X277" s="704"/>
      <c r="Y277" s="704"/>
      <c r="Z277" s="704"/>
      <c r="AA277" s="704"/>
      <c r="AB277" s="704"/>
      <c r="AC277" s="707"/>
    </row>
    <row r="278" spans="2:29" x14ac:dyDescent="0.2">
      <c r="B278" s="725" t="s">
        <v>241</v>
      </c>
      <c r="C278" s="726"/>
      <c r="D278" s="727" t="b">
        <f>IF(ABS(E278 - C303) &lt; MAX(0.00001, E278 * 0.00001), TRUE, FALSE)</f>
        <v>1</v>
      </c>
      <c r="E278" s="670">
        <f>SUM(F278:AC279)</f>
        <v>122376009.59999999</v>
      </c>
      <c r="F278" s="670">
        <f t="shared" ref="F278:AC278" si="172">F270*$C$307</f>
        <v>0</v>
      </c>
      <c r="G278" s="670">
        <f t="shared" si="172"/>
        <v>0</v>
      </c>
      <c r="H278" s="670">
        <f t="shared" si="172"/>
        <v>0</v>
      </c>
      <c r="I278" s="670">
        <f t="shared" si="172"/>
        <v>5562545.8909090897</v>
      </c>
      <c r="J278" s="670">
        <f t="shared" si="172"/>
        <v>8343818.8363636341</v>
      </c>
      <c r="K278" s="670">
        <f t="shared" si="172"/>
        <v>12515728.254545452</v>
      </c>
      <c r="L278" s="670">
        <f t="shared" si="172"/>
        <v>12515728.254545452</v>
      </c>
      <c r="M278" s="670">
        <f t="shared" si="172"/>
        <v>19468910.618181814</v>
      </c>
      <c r="N278" s="670">
        <f t="shared" si="172"/>
        <v>20859547.090909086</v>
      </c>
      <c r="O278" s="670">
        <f t="shared" si="172"/>
        <v>20859547.090909086</v>
      </c>
      <c r="P278" s="670">
        <f t="shared" si="172"/>
        <v>22250183.563636359</v>
      </c>
      <c r="Q278" s="670">
        <f t="shared" si="172"/>
        <v>0</v>
      </c>
      <c r="R278" s="670">
        <f t="shared" si="172"/>
        <v>0</v>
      </c>
      <c r="S278" s="670">
        <f t="shared" si="172"/>
        <v>0</v>
      </c>
      <c r="T278" s="670">
        <f t="shared" si="172"/>
        <v>0</v>
      </c>
      <c r="U278" s="670">
        <f t="shared" si="172"/>
        <v>0</v>
      </c>
      <c r="V278" s="670">
        <f t="shared" si="172"/>
        <v>0</v>
      </c>
      <c r="W278" s="670">
        <f t="shared" si="172"/>
        <v>0</v>
      </c>
      <c r="X278" s="670">
        <f t="shared" si="172"/>
        <v>0</v>
      </c>
      <c r="Y278" s="670">
        <f t="shared" si="172"/>
        <v>0</v>
      </c>
      <c r="Z278" s="670">
        <f t="shared" si="172"/>
        <v>0</v>
      </c>
      <c r="AA278" s="670">
        <f t="shared" si="172"/>
        <v>0</v>
      </c>
      <c r="AB278" s="670">
        <f t="shared" si="172"/>
        <v>0</v>
      </c>
      <c r="AC278" s="708">
        <f t="shared" si="172"/>
        <v>0</v>
      </c>
    </row>
    <row r="279" spans="2:29" x14ac:dyDescent="0.2">
      <c r="B279" s="725"/>
      <c r="C279" s="726"/>
      <c r="D279" s="727"/>
      <c r="E279" s="670"/>
      <c r="F279" s="670"/>
      <c r="G279" s="670"/>
      <c r="H279" s="670"/>
      <c r="I279" s="670"/>
      <c r="J279" s="670"/>
      <c r="K279" s="670"/>
      <c r="L279" s="670"/>
      <c r="M279" s="670"/>
      <c r="N279" s="670"/>
      <c r="O279" s="670"/>
      <c r="P279" s="670"/>
      <c r="Q279" s="670"/>
      <c r="R279" s="670"/>
      <c r="S279" s="670"/>
      <c r="T279" s="670"/>
      <c r="U279" s="670"/>
      <c r="V279" s="670"/>
      <c r="W279" s="670"/>
      <c r="X279" s="670"/>
      <c r="Y279" s="670"/>
      <c r="Z279" s="670"/>
      <c r="AA279" s="670"/>
      <c r="AB279" s="670"/>
      <c r="AC279" s="708"/>
    </row>
    <row r="280" spans="2:29" x14ac:dyDescent="0.2">
      <c r="B280" s="663" t="s">
        <v>180</v>
      </c>
      <c r="C280" s="664"/>
      <c r="D280" s="729" t="b">
        <f>IF(ABS(E280 - C308) &lt; MAX(0.00001, E280 * 0.00001), TRUE, FALSE)</f>
        <v>1</v>
      </c>
      <c r="E280" s="728">
        <f>-SUM(F280:AC281)</f>
        <v>1835640.1439999994</v>
      </c>
      <c r="F280" s="673">
        <f t="shared" ref="F280:AC280" si="173">$D$308*-F278</f>
        <v>0</v>
      </c>
      <c r="G280" s="673">
        <f t="shared" si="173"/>
        <v>0</v>
      </c>
      <c r="H280" s="673">
        <f t="shared" si="173"/>
        <v>0</v>
      </c>
      <c r="I280" s="673">
        <f t="shared" si="173"/>
        <v>-83438.188363636349</v>
      </c>
      <c r="J280" s="673">
        <f t="shared" si="173"/>
        <v>-125157.28254545451</v>
      </c>
      <c r="K280" s="673">
        <f t="shared" si="173"/>
        <v>-187735.92381818176</v>
      </c>
      <c r="L280" s="673">
        <f t="shared" si="173"/>
        <v>-187735.92381818176</v>
      </c>
      <c r="M280" s="673">
        <f t="shared" si="173"/>
        <v>-292033.65927272721</v>
      </c>
      <c r="N280" s="673">
        <f t="shared" si="173"/>
        <v>-312893.2063636363</v>
      </c>
      <c r="O280" s="673">
        <f t="shared" si="173"/>
        <v>-312893.2063636363</v>
      </c>
      <c r="P280" s="673">
        <f t="shared" si="173"/>
        <v>-333752.7534545454</v>
      </c>
      <c r="Q280" s="673">
        <f t="shared" si="173"/>
        <v>0</v>
      </c>
      <c r="R280" s="673">
        <f t="shared" si="173"/>
        <v>0</v>
      </c>
      <c r="S280" s="673">
        <f t="shared" si="173"/>
        <v>0</v>
      </c>
      <c r="T280" s="673">
        <f t="shared" si="173"/>
        <v>0</v>
      </c>
      <c r="U280" s="673">
        <f t="shared" si="173"/>
        <v>0</v>
      </c>
      <c r="V280" s="673">
        <f t="shared" si="173"/>
        <v>0</v>
      </c>
      <c r="W280" s="673">
        <f t="shared" si="173"/>
        <v>0</v>
      </c>
      <c r="X280" s="673">
        <f t="shared" si="173"/>
        <v>0</v>
      </c>
      <c r="Y280" s="673">
        <f t="shared" si="173"/>
        <v>0</v>
      </c>
      <c r="Z280" s="673">
        <f t="shared" si="173"/>
        <v>0</v>
      </c>
      <c r="AA280" s="673">
        <f t="shared" si="173"/>
        <v>0</v>
      </c>
      <c r="AB280" s="673">
        <f t="shared" si="173"/>
        <v>0</v>
      </c>
      <c r="AC280" s="705">
        <f t="shared" si="173"/>
        <v>0</v>
      </c>
    </row>
    <row r="281" spans="2:29" x14ac:dyDescent="0.2">
      <c r="B281" s="663"/>
      <c r="C281" s="664"/>
      <c r="D281" s="729"/>
      <c r="E281" s="728"/>
      <c r="F281" s="673"/>
      <c r="G281" s="673"/>
      <c r="H281" s="673"/>
      <c r="I281" s="673"/>
      <c r="J281" s="673"/>
      <c r="K281" s="673"/>
      <c r="L281" s="673"/>
      <c r="M281" s="673"/>
      <c r="N281" s="673"/>
      <c r="O281" s="673"/>
      <c r="P281" s="673"/>
      <c r="Q281" s="673"/>
      <c r="R281" s="673"/>
      <c r="S281" s="673"/>
      <c r="T281" s="673"/>
      <c r="U281" s="673"/>
      <c r="V281" s="673"/>
      <c r="W281" s="673"/>
      <c r="X281" s="673"/>
      <c r="Y281" s="673"/>
      <c r="Z281" s="673"/>
      <c r="AA281" s="673"/>
      <c r="AB281" s="673"/>
      <c r="AC281" s="705"/>
    </row>
    <row r="282" spans="2:29" x14ac:dyDescent="0.2">
      <c r="B282" s="725" t="s">
        <v>326</v>
      </c>
      <c r="C282" s="726"/>
      <c r="D282" s="727" t="b">
        <f>IF(ABS(E282 - C309) &lt; MAX(0.00001, E282 * 0.00001), TRUE, FALSE)</f>
        <v>1</v>
      </c>
      <c r="E282" s="728">
        <f>-SUM(F282:AC283)</f>
        <v>1223760.0959999997</v>
      </c>
      <c r="F282" s="670">
        <f t="shared" ref="F282:AC282" si="174">F278*-$D$309</f>
        <v>0</v>
      </c>
      <c r="G282" s="670">
        <f t="shared" si="174"/>
        <v>0</v>
      </c>
      <c r="H282" s="670">
        <f t="shared" si="174"/>
        <v>0</v>
      </c>
      <c r="I282" s="670">
        <f t="shared" si="174"/>
        <v>-55625.458909090899</v>
      </c>
      <c r="J282" s="670">
        <f t="shared" si="174"/>
        <v>-83438.188363636349</v>
      </c>
      <c r="K282" s="670">
        <f t="shared" si="174"/>
        <v>-125157.28254545452</v>
      </c>
      <c r="L282" s="670">
        <f t="shared" si="174"/>
        <v>-125157.28254545452</v>
      </c>
      <c r="M282" s="670">
        <f t="shared" si="174"/>
        <v>-194689.10618181815</v>
      </c>
      <c r="N282" s="670">
        <f t="shared" si="174"/>
        <v>-208595.47090909086</v>
      </c>
      <c r="O282" s="670">
        <f t="shared" si="174"/>
        <v>-208595.47090909086</v>
      </c>
      <c r="P282" s="670">
        <f t="shared" si="174"/>
        <v>-222501.8356363636</v>
      </c>
      <c r="Q282" s="670">
        <f t="shared" si="174"/>
        <v>0</v>
      </c>
      <c r="R282" s="670">
        <f t="shared" si="174"/>
        <v>0</v>
      </c>
      <c r="S282" s="670">
        <f t="shared" si="174"/>
        <v>0</v>
      </c>
      <c r="T282" s="670">
        <f t="shared" si="174"/>
        <v>0</v>
      </c>
      <c r="U282" s="670">
        <f t="shared" si="174"/>
        <v>0</v>
      </c>
      <c r="V282" s="670">
        <f t="shared" si="174"/>
        <v>0</v>
      </c>
      <c r="W282" s="670">
        <f t="shared" si="174"/>
        <v>0</v>
      </c>
      <c r="X282" s="670">
        <f t="shared" si="174"/>
        <v>0</v>
      </c>
      <c r="Y282" s="670">
        <f t="shared" si="174"/>
        <v>0</v>
      </c>
      <c r="Z282" s="670">
        <f t="shared" si="174"/>
        <v>0</v>
      </c>
      <c r="AA282" s="670">
        <f t="shared" si="174"/>
        <v>0</v>
      </c>
      <c r="AB282" s="670">
        <f t="shared" si="174"/>
        <v>0</v>
      </c>
      <c r="AC282" s="708">
        <f t="shared" si="174"/>
        <v>0</v>
      </c>
    </row>
    <row r="283" spans="2:29" x14ac:dyDescent="0.2">
      <c r="B283" s="725"/>
      <c r="C283" s="726"/>
      <c r="D283" s="727"/>
      <c r="E283" s="728"/>
      <c r="F283" s="670"/>
      <c r="G283" s="670"/>
      <c r="H283" s="670"/>
      <c r="I283" s="670"/>
      <c r="J283" s="670"/>
      <c r="K283" s="670"/>
      <c r="L283" s="670"/>
      <c r="M283" s="670"/>
      <c r="N283" s="670"/>
      <c r="O283" s="670"/>
      <c r="P283" s="670"/>
      <c r="Q283" s="670"/>
      <c r="R283" s="670"/>
      <c r="S283" s="670"/>
      <c r="T283" s="670"/>
      <c r="U283" s="670"/>
      <c r="V283" s="670"/>
      <c r="W283" s="670"/>
      <c r="X283" s="670"/>
      <c r="Y283" s="670"/>
      <c r="Z283" s="670"/>
      <c r="AA283" s="670"/>
      <c r="AB283" s="670"/>
      <c r="AC283" s="708"/>
    </row>
    <row r="284" spans="2:29" x14ac:dyDescent="0.2">
      <c r="B284" s="663" t="s">
        <v>325</v>
      </c>
      <c r="C284" s="664"/>
      <c r="D284" s="729" t="b">
        <f>IF(ABS(E284 - C310) &lt; MAX(0.00001, E284 * 0.00001), TRUE, FALSE)</f>
        <v>1</v>
      </c>
      <c r="E284" s="728">
        <f>-SUM(F284:AC285)</f>
        <v>367128.02879999997</v>
      </c>
      <c r="F284" s="673">
        <f t="shared" ref="F284:AC284" si="175">F278*-$D$310</f>
        <v>0</v>
      </c>
      <c r="G284" s="673">
        <f t="shared" si="175"/>
        <v>0</v>
      </c>
      <c r="H284" s="673">
        <f t="shared" si="175"/>
        <v>0</v>
      </c>
      <c r="I284" s="673">
        <f t="shared" si="175"/>
        <v>-16687.637672727269</v>
      </c>
      <c r="J284" s="673">
        <f t="shared" si="175"/>
        <v>-25031.456509090902</v>
      </c>
      <c r="K284" s="673">
        <f t="shared" si="175"/>
        <v>-37547.18476363636</v>
      </c>
      <c r="L284" s="673">
        <f t="shared" si="175"/>
        <v>-37547.18476363636</v>
      </c>
      <c r="M284" s="673">
        <f t="shared" si="175"/>
        <v>-58406.73185454544</v>
      </c>
      <c r="N284" s="673">
        <f t="shared" si="175"/>
        <v>-62578.641272727262</v>
      </c>
      <c r="O284" s="673">
        <f t="shared" si="175"/>
        <v>-62578.641272727262</v>
      </c>
      <c r="P284" s="673">
        <f t="shared" si="175"/>
        <v>-66750.550690909076</v>
      </c>
      <c r="Q284" s="673">
        <f t="shared" si="175"/>
        <v>0</v>
      </c>
      <c r="R284" s="673">
        <f t="shared" si="175"/>
        <v>0</v>
      </c>
      <c r="S284" s="673">
        <f t="shared" si="175"/>
        <v>0</v>
      </c>
      <c r="T284" s="673">
        <f t="shared" si="175"/>
        <v>0</v>
      </c>
      <c r="U284" s="673">
        <f t="shared" si="175"/>
        <v>0</v>
      </c>
      <c r="V284" s="673">
        <f t="shared" si="175"/>
        <v>0</v>
      </c>
      <c r="W284" s="673">
        <f t="shared" si="175"/>
        <v>0</v>
      </c>
      <c r="X284" s="673">
        <f t="shared" si="175"/>
        <v>0</v>
      </c>
      <c r="Y284" s="673">
        <f t="shared" si="175"/>
        <v>0</v>
      </c>
      <c r="Z284" s="673">
        <f t="shared" si="175"/>
        <v>0</v>
      </c>
      <c r="AA284" s="673">
        <f t="shared" si="175"/>
        <v>0</v>
      </c>
      <c r="AB284" s="673">
        <f t="shared" si="175"/>
        <v>0</v>
      </c>
      <c r="AC284" s="705">
        <f t="shared" si="175"/>
        <v>0</v>
      </c>
    </row>
    <row r="285" spans="2:29" x14ac:dyDescent="0.2">
      <c r="B285" s="663"/>
      <c r="C285" s="664"/>
      <c r="D285" s="729"/>
      <c r="E285" s="728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73"/>
      <c r="AB285" s="673"/>
      <c r="AC285" s="705"/>
    </row>
    <row r="286" spans="2:29" x14ac:dyDescent="0.2">
      <c r="B286" s="725" t="s">
        <v>203</v>
      </c>
      <c r="C286" s="726"/>
      <c r="D286" s="727" t="b">
        <f>IF(ABS(E286 - C311) &lt; MAX(0.00001, E286 * 0.00001), TRUE, FALSE)</f>
        <v>1</v>
      </c>
      <c r="E286" s="734">
        <f>-SUM(F286:AC287)</f>
        <v>0</v>
      </c>
      <c r="F286" s="670">
        <f t="shared" ref="F286:AC286" si="176">$D$311*-F278</f>
        <v>0</v>
      </c>
      <c r="G286" s="670">
        <f t="shared" si="176"/>
        <v>0</v>
      </c>
      <c r="H286" s="670">
        <f t="shared" si="176"/>
        <v>0</v>
      </c>
      <c r="I286" s="670">
        <f t="shared" si="176"/>
        <v>0</v>
      </c>
      <c r="J286" s="670">
        <f t="shared" si="176"/>
        <v>0</v>
      </c>
      <c r="K286" s="670">
        <f t="shared" si="176"/>
        <v>0</v>
      </c>
      <c r="L286" s="670">
        <f t="shared" si="176"/>
        <v>0</v>
      </c>
      <c r="M286" s="670">
        <f t="shared" si="176"/>
        <v>0</v>
      </c>
      <c r="N286" s="670">
        <f t="shared" si="176"/>
        <v>0</v>
      </c>
      <c r="O286" s="670">
        <f t="shared" si="176"/>
        <v>0</v>
      </c>
      <c r="P286" s="670">
        <f t="shared" si="176"/>
        <v>0</v>
      </c>
      <c r="Q286" s="670">
        <f t="shared" si="176"/>
        <v>0</v>
      </c>
      <c r="R286" s="670">
        <f t="shared" si="176"/>
        <v>0</v>
      </c>
      <c r="S286" s="670">
        <f t="shared" si="176"/>
        <v>0</v>
      </c>
      <c r="T286" s="670">
        <f t="shared" si="176"/>
        <v>0</v>
      </c>
      <c r="U286" s="670">
        <f t="shared" si="176"/>
        <v>0</v>
      </c>
      <c r="V286" s="670">
        <f t="shared" si="176"/>
        <v>0</v>
      </c>
      <c r="W286" s="670">
        <f t="shared" si="176"/>
        <v>0</v>
      </c>
      <c r="X286" s="670">
        <f t="shared" si="176"/>
        <v>0</v>
      </c>
      <c r="Y286" s="670">
        <f t="shared" si="176"/>
        <v>0</v>
      </c>
      <c r="Z286" s="670">
        <f t="shared" si="176"/>
        <v>0</v>
      </c>
      <c r="AA286" s="670">
        <f t="shared" si="176"/>
        <v>0</v>
      </c>
      <c r="AB286" s="670">
        <f t="shared" si="176"/>
        <v>0</v>
      </c>
      <c r="AC286" s="708">
        <f t="shared" si="176"/>
        <v>0</v>
      </c>
    </row>
    <row r="287" spans="2:29" x14ac:dyDescent="0.2">
      <c r="B287" s="725"/>
      <c r="C287" s="726"/>
      <c r="D287" s="727"/>
      <c r="E287" s="734"/>
      <c r="F287" s="670"/>
      <c r="G287" s="670"/>
      <c r="H287" s="670"/>
      <c r="I287" s="670"/>
      <c r="J287" s="670"/>
      <c r="K287" s="670"/>
      <c r="L287" s="670"/>
      <c r="M287" s="670"/>
      <c r="N287" s="670"/>
      <c r="O287" s="670"/>
      <c r="P287" s="670"/>
      <c r="Q287" s="670"/>
      <c r="R287" s="670"/>
      <c r="S287" s="670"/>
      <c r="T287" s="670"/>
      <c r="U287" s="670"/>
      <c r="V287" s="670"/>
      <c r="W287" s="670"/>
      <c r="X287" s="670"/>
      <c r="Y287" s="670"/>
      <c r="Z287" s="670"/>
      <c r="AA287" s="670"/>
      <c r="AB287" s="670"/>
      <c r="AC287" s="708"/>
    </row>
    <row r="288" spans="2:29" x14ac:dyDescent="0.2">
      <c r="B288" s="732" t="s">
        <v>337</v>
      </c>
      <c r="C288" s="733"/>
      <c r="D288" s="729" t="b">
        <f>IF(ABS(C312 - -E288) &lt; MAX(0.00001, C312 * 0.00001), TRUE, FALSE)</f>
        <v>1</v>
      </c>
      <c r="E288" s="738">
        <f>SUM(F288:AC289)</f>
        <v>-18356401.439999994</v>
      </c>
      <c r="F288" s="711">
        <f t="shared" ref="F288:AC288" si="177">-F278*$D$312</f>
        <v>0</v>
      </c>
      <c r="G288" s="711">
        <f t="shared" si="177"/>
        <v>0</v>
      </c>
      <c r="H288" s="711">
        <f t="shared" si="177"/>
        <v>0</v>
      </c>
      <c r="I288" s="711">
        <f t="shared" si="177"/>
        <v>-834381.88363636343</v>
      </c>
      <c r="J288" s="711">
        <f t="shared" si="177"/>
        <v>-1251572.825454545</v>
      </c>
      <c r="K288" s="711">
        <f t="shared" si="177"/>
        <v>-1877359.2381818178</v>
      </c>
      <c r="L288" s="711">
        <f t="shared" si="177"/>
        <v>-1877359.2381818178</v>
      </c>
      <c r="M288" s="711">
        <f t="shared" si="177"/>
        <v>-2920336.5927272718</v>
      </c>
      <c r="N288" s="711">
        <f t="shared" si="177"/>
        <v>-3128932.063636363</v>
      </c>
      <c r="O288" s="711">
        <f t="shared" si="177"/>
        <v>-3128932.063636363</v>
      </c>
      <c r="P288" s="711">
        <f t="shared" si="177"/>
        <v>-3337527.5345454537</v>
      </c>
      <c r="Q288" s="711">
        <f t="shared" si="177"/>
        <v>0</v>
      </c>
      <c r="R288" s="711">
        <f t="shared" si="177"/>
        <v>0</v>
      </c>
      <c r="S288" s="711">
        <f t="shared" si="177"/>
        <v>0</v>
      </c>
      <c r="T288" s="711">
        <f t="shared" si="177"/>
        <v>0</v>
      </c>
      <c r="U288" s="711">
        <f t="shared" si="177"/>
        <v>0</v>
      </c>
      <c r="V288" s="711">
        <f t="shared" si="177"/>
        <v>0</v>
      </c>
      <c r="W288" s="711">
        <f t="shared" si="177"/>
        <v>0</v>
      </c>
      <c r="X288" s="711">
        <f t="shared" si="177"/>
        <v>0</v>
      </c>
      <c r="Y288" s="711">
        <f t="shared" si="177"/>
        <v>0</v>
      </c>
      <c r="Z288" s="711">
        <f t="shared" si="177"/>
        <v>0</v>
      </c>
      <c r="AA288" s="711">
        <f t="shared" si="177"/>
        <v>0</v>
      </c>
      <c r="AB288" s="711">
        <f t="shared" si="177"/>
        <v>0</v>
      </c>
      <c r="AC288" s="710">
        <f t="shared" si="177"/>
        <v>0</v>
      </c>
    </row>
    <row r="289" spans="2:29" x14ac:dyDescent="0.2">
      <c r="B289" s="732"/>
      <c r="C289" s="733"/>
      <c r="D289" s="729"/>
      <c r="E289" s="738"/>
      <c r="F289" s="711"/>
      <c r="G289" s="711"/>
      <c r="H289" s="711"/>
      <c r="I289" s="711"/>
      <c r="J289" s="711"/>
      <c r="K289" s="711"/>
      <c r="L289" s="711"/>
      <c r="M289" s="711"/>
      <c r="N289" s="711"/>
      <c r="O289" s="711"/>
      <c r="P289" s="711"/>
      <c r="Q289" s="711"/>
      <c r="R289" s="711"/>
      <c r="S289" s="711"/>
      <c r="T289" s="711"/>
      <c r="U289" s="711"/>
      <c r="V289" s="711"/>
      <c r="W289" s="711"/>
      <c r="X289" s="711"/>
      <c r="Y289" s="711"/>
      <c r="Z289" s="711"/>
      <c r="AA289" s="711"/>
      <c r="AB289" s="711"/>
      <c r="AC289" s="710"/>
    </row>
    <row r="290" spans="2:29" x14ac:dyDescent="0.2">
      <c r="B290" s="721" t="s">
        <v>204</v>
      </c>
      <c r="C290" s="722"/>
      <c r="D290" s="727" t="b">
        <f>IF(ABS(E290 - (C305-C312)) &lt; MAX(0.00001, E290 * 0.00001), TRUE, FALSE)</f>
        <v>1</v>
      </c>
      <c r="E290" s="670">
        <f>SUM(F290:AC291)</f>
        <v>100593079.89119998</v>
      </c>
      <c r="F290" s="670">
        <f>F278+SUM(F280:F289)</f>
        <v>0</v>
      </c>
      <c r="G290" s="670">
        <f>G278+SUM(G280:G289)</f>
        <v>0</v>
      </c>
      <c r="H290" s="670">
        <f t="shared" ref="H290:AC290" si="178">H278+SUM(H280:H289)</f>
        <v>0</v>
      </c>
      <c r="I290" s="670">
        <f t="shared" si="178"/>
        <v>4572412.7223272715</v>
      </c>
      <c r="J290" s="670">
        <f t="shared" si="178"/>
        <v>6858619.0834909072</v>
      </c>
      <c r="K290" s="670">
        <f t="shared" si="178"/>
        <v>10287928.625236362</v>
      </c>
      <c r="L290" s="670">
        <f t="shared" si="178"/>
        <v>10287928.625236362</v>
      </c>
      <c r="M290" s="670">
        <f t="shared" si="178"/>
        <v>16003444.528145451</v>
      </c>
      <c r="N290" s="670">
        <f t="shared" si="178"/>
        <v>17146547.70872727</v>
      </c>
      <c r="O290" s="670">
        <f t="shared" si="178"/>
        <v>17146547.70872727</v>
      </c>
      <c r="P290" s="670">
        <f t="shared" si="178"/>
        <v>18289650.889309086</v>
      </c>
      <c r="Q290" s="670">
        <f t="shared" si="178"/>
        <v>0</v>
      </c>
      <c r="R290" s="670">
        <f t="shared" si="178"/>
        <v>0</v>
      </c>
      <c r="S290" s="670">
        <f t="shared" si="178"/>
        <v>0</v>
      </c>
      <c r="T290" s="670">
        <f t="shared" si="178"/>
        <v>0</v>
      </c>
      <c r="U290" s="670">
        <f t="shared" si="178"/>
        <v>0</v>
      </c>
      <c r="V290" s="670">
        <f t="shared" si="178"/>
        <v>0</v>
      </c>
      <c r="W290" s="670">
        <f t="shared" si="178"/>
        <v>0</v>
      </c>
      <c r="X290" s="670">
        <f t="shared" si="178"/>
        <v>0</v>
      </c>
      <c r="Y290" s="670">
        <f t="shared" si="178"/>
        <v>0</v>
      </c>
      <c r="Z290" s="670">
        <f t="shared" si="178"/>
        <v>0</v>
      </c>
      <c r="AA290" s="670">
        <f t="shared" si="178"/>
        <v>0</v>
      </c>
      <c r="AB290" s="670">
        <f t="shared" si="178"/>
        <v>0</v>
      </c>
      <c r="AC290" s="708">
        <f t="shared" si="178"/>
        <v>0</v>
      </c>
    </row>
    <row r="291" spans="2:29" x14ac:dyDescent="0.2">
      <c r="B291" s="721"/>
      <c r="C291" s="722"/>
      <c r="D291" s="727"/>
      <c r="E291" s="670"/>
      <c r="F291" s="670"/>
      <c r="G291" s="670"/>
      <c r="H291" s="670"/>
      <c r="I291" s="670"/>
      <c r="J291" s="670"/>
      <c r="K291" s="670"/>
      <c r="L291" s="670"/>
      <c r="M291" s="670"/>
      <c r="N291" s="670"/>
      <c r="O291" s="670"/>
      <c r="P291" s="670"/>
      <c r="Q291" s="670"/>
      <c r="R291" s="670"/>
      <c r="S291" s="670"/>
      <c r="T291" s="670"/>
      <c r="U291" s="670"/>
      <c r="V291" s="670"/>
      <c r="W291" s="670"/>
      <c r="X291" s="670"/>
      <c r="Y291" s="670"/>
      <c r="Z291" s="670"/>
      <c r="AA291" s="670"/>
      <c r="AB291" s="670"/>
      <c r="AC291" s="708"/>
    </row>
    <row r="292" spans="2:29" x14ac:dyDescent="0.2">
      <c r="B292" s="663" t="s">
        <v>205</v>
      </c>
      <c r="C292" s="664"/>
      <c r="D292" s="729" t="b">
        <f>B266=B266</f>
        <v>1</v>
      </c>
      <c r="E292" s="670" t="s">
        <v>68</v>
      </c>
      <c r="F292" s="673">
        <f>F290</f>
        <v>0</v>
      </c>
      <c r="G292" s="673">
        <f t="shared" ref="G292:AC292" si="179">MAX((G290+F292)-F294, 0)</f>
        <v>0</v>
      </c>
      <c r="H292" s="673">
        <f t="shared" si="179"/>
        <v>0</v>
      </c>
      <c r="I292" s="673">
        <f t="shared" si="179"/>
        <v>4572412.7223272715</v>
      </c>
      <c r="J292" s="673">
        <f t="shared" si="179"/>
        <v>11431031.805818178</v>
      </c>
      <c r="K292" s="673">
        <f t="shared" si="179"/>
        <v>20575857.250472721</v>
      </c>
      <c r="L292" s="673">
        <f t="shared" si="179"/>
        <v>27365890.143128719</v>
      </c>
      <c r="M292" s="673">
        <f t="shared" si="179"/>
        <v>36801521.036923274</v>
      </c>
      <c r="N292" s="673">
        <f t="shared" si="179"/>
        <v>42539597.224204332</v>
      </c>
      <c r="O292" s="673">
        <f t="shared" si="179"/>
        <v>40968722.154281691</v>
      </c>
      <c r="P292" s="673">
        <f t="shared" si="179"/>
        <v>35906201.415650211</v>
      </c>
      <c r="Q292" s="673">
        <f t="shared" si="179"/>
        <v>10771860.42469506</v>
      </c>
      <c r="R292" s="673">
        <f t="shared" si="179"/>
        <v>2154372.0849390123</v>
      </c>
      <c r="S292" s="673">
        <f t="shared" si="179"/>
        <v>280068.37104207138</v>
      </c>
      <c r="T292" s="673">
        <f t="shared" si="179"/>
        <v>16804.102262524248</v>
      </c>
      <c r="U292" s="673">
        <f t="shared" si="179"/>
        <v>0</v>
      </c>
      <c r="V292" s="673">
        <f t="shared" si="179"/>
        <v>0</v>
      </c>
      <c r="W292" s="673">
        <f t="shared" si="179"/>
        <v>0</v>
      </c>
      <c r="X292" s="673">
        <f t="shared" si="179"/>
        <v>0</v>
      </c>
      <c r="Y292" s="673">
        <f t="shared" si="179"/>
        <v>0</v>
      </c>
      <c r="Z292" s="673">
        <f t="shared" si="179"/>
        <v>0</v>
      </c>
      <c r="AA292" s="673">
        <f t="shared" si="179"/>
        <v>0</v>
      </c>
      <c r="AB292" s="673">
        <f t="shared" si="179"/>
        <v>0</v>
      </c>
      <c r="AC292" s="705">
        <f t="shared" si="179"/>
        <v>0</v>
      </c>
    </row>
    <row r="293" spans="2:29" x14ac:dyDescent="0.2">
      <c r="B293" s="663"/>
      <c r="C293" s="664"/>
      <c r="D293" s="729"/>
      <c r="E293" s="670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73"/>
      <c r="AB293" s="673"/>
      <c r="AC293" s="705"/>
    </row>
    <row r="294" spans="2:29" x14ac:dyDescent="0.2">
      <c r="B294" s="725" t="s">
        <v>206</v>
      </c>
      <c r="C294" s="726"/>
      <c r="D294" s="727" t="b">
        <f>IF(ABS(E294 - C304) &lt; MAX(0.00001, E294 * 0.00001), TRUE, FALSE)</f>
        <v>1</v>
      </c>
      <c r="E294" s="670">
        <f>SUM(F294:AC295)</f>
        <v>100593079.89119998</v>
      </c>
      <c r="F294" s="670">
        <f>MAX(((F292*F276)), 0)</f>
        <v>0</v>
      </c>
      <c r="G294" s="670">
        <f>MAX(((G292*G276)), 0)</f>
        <v>0</v>
      </c>
      <c r="H294" s="670">
        <f>MAX(((H292*H276)), 0)</f>
        <v>0</v>
      </c>
      <c r="I294" s="670">
        <f t="shared" ref="I294" si="180">MAX(((I292*I276)), 0)</f>
        <v>0</v>
      </c>
      <c r="J294" s="670">
        <f>MAX(((J292*J276)), 0)</f>
        <v>1143103.1805818179</v>
      </c>
      <c r="K294" s="670">
        <f t="shared" ref="K294:AC294" si="181">MAX(((K292*K276)), 0)</f>
        <v>3497895.7325803628</v>
      </c>
      <c r="L294" s="670">
        <f t="shared" si="181"/>
        <v>6567813.6343508931</v>
      </c>
      <c r="M294" s="670">
        <f t="shared" si="181"/>
        <v>11408471.521446217</v>
      </c>
      <c r="N294" s="670">
        <f t="shared" si="181"/>
        <v>18717422.778649908</v>
      </c>
      <c r="O294" s="670">
        <f t="shared" si="181"/>
        <v>23352171.627940565</v>
      </c>
      <c r="P294" s="670">
        <f t="shared" si="181"/>
        <v>25134340.990955152</v>
      </c>
      <c r="Q294" s="670">
        <f t="shared" si="181"/>
        <v>8617488.3397560474</v>
      </c>
      <c r="R294" s="670">
        <f t="shared" si="181"/>
        <v>1874303.7138969409</v>
      </c>
      <c r="S294" s="670">
        <f t="shared" si="181"/>
        <v>263264.26877954713</v>
      </c>
      <c r="T294" s="670">
        <f t="shared" si="181"/>
        <v>16804.102262524251</v>
      </c>
      <c r="U294" s="670">
        <f>MAX(((U292*U276)), 0)</f>
        <v>0</v>
      </c>
      <c r="V294" s="670">
        <f t="shared" si="181"/>
        <v>0</v>
      </c>
      <c r="W294" s="670">
        <f t="shared" si="181"/>
        <v>0</v>
      </c>
      <c r="X294" s="670">
        <f t="shared" si="181"/>
        <v>0</v>
      </c>
      <c r="Y294" s="670">
        <f t="shared" si="181"/>
        <v>0</v>
      </c>
      <c r="Z294" s="670">
        <f t="shared" si="181"/>
        <v>0</v>
      </c>
      <c r="AA294" s="670">
        <f t="shared" si="181"/>
        <v>0</v>
      </c>
      <c r="AB294" s="670">
        <f t="shared" si="181"/>
        <v>0</v>
      </c>
      <c r="AC294" s="708">
        <f t="shared" si="181"/>
        <v>0</v>
      </c>
    </row>
    <row r="295" spans="2:29" x14ac:dyDescent="0.2">
      <c r="B295" s="725"/>
      <c r="C295" s="726"/>
      <c r="D295" s="727"/>
      <c r="E295" s="670"/>
      <c r="F295" s="670"/>
      <c r="G295" s="670"/>
      <c r="H295" s="670"/>
      <c r="I295" s="670"/>
      <c r="J295" s="670"/>
      <c r="K295" s="670"/>
      <c r="L295" s="670"/>
      <c r="M295" s="670"/>
      <c r="N295" s="670"/>
      <c r="O295" s="670"/>
      <c r="P295" s="670"/>
      <c r="Q295" s="670"/>
      <c r="R295" s="670"/>
      <c r="S295" s="670"/>
      <c r="T295" s="670"/>
      <c r="U295" s="670"/>
      <c r="V295" s="670"/>
      <c r="W295" s="670"/>
      <c r="X295" s="670"/>
      <c r="Y295" s="670"/>
      <c r="Z295" s="670"/>
      <c r="AA295" s="670"/>
      <c r="AB295" s="670"/>
      <c r="AC295" s="708"/>
    </row>
    <row r="296" spans="2:29" x14ac:dyDescent="0.2">
      <c r="B296" s="663" t="s">
        <v>339</v>
      </c>
      <c r="C296" s="664"/>
      <c r="D296" s="729" t="b">
        <f>IF(ABS(E296 - C305) &lt; MAX(0.00001, E296 * 0.00001), TRUE, FALSE)</f>
        <v>1</v>
      </c>
      <c r="E296" s="670">
        <f>SUM(F296:AC297)</f>
        <v>118949481.33119997</v>
      </c>
      <c r="F296" s="735">
        <f>-F288+F294</f>
        <v>0</v>
      </c>
      <c r="G296" s="735">
        <f>-G288+G294</f>
        <v>0</v>
      </c>
      <c r="H296" s="735">
        <f t="shared" ref="H296:K296" si="182">-H288+H294</f>
        <v>0</v>
      </c>
      <c r="I296" s="735">
        <f>-I288+I294</f>
        <v>834381.88363636343</v>
      </c>
      <c r="J296" s="735">
        <f t="shared" si="182"/>
        <v>2394676.0060363626</v>
      </c>
      <c r="K296" s="735">
        <f t="shared" si="182"/>
        <v>5375254.9707621802</v>
      </c>
      <c r="L296" s="735">
        <f t="shared" ref="L296:AC296" si="183">-L288+L294</f>
        <v>8445172.8725327104</v>
      </c>
      <c r="M296" s="735">
        <f t="shared" si="183"/>
        <v>14328808.114173489</v>
      </c>
      <c r="N296" s="735">
        <f t="shared" si="183"/>
        <v>21846354.84228627</v>
      </c>
      <c r="O296" s="735">
        <f t="shared" si="183"/>
        <v>26481103.691576928</v>
      </c>
      <c r="P296" s="735">
        <f t="shared" si="183"/>
        <v>28471868.525500607</v>
      </c>
      <c r="Q296" s="735">
        <f t="shared" si="183"/>
        <v>8617488.3397560474</v>
      </c>
      <c r="R296" s="735">
        <f t="shared" si="183"/>
        <v>1874303.7138969409</v>
      </c>
      <c r="S296" s="735">
        <f t="shared" si="183"/>
        <v>263264.26877954713</v>
      </c>
      <c r="T296" s="735">
        <f t="shared" si="183"/>
        <v>16804.102262524251</v>
      </c>
      <c r="U296" s="735">
        <f>-U288+U294</f>
        <v>0</v>
      </c>
      <c r="V296" s="735">
        <f t="shared" si="183"/>
        <v>0</v>
      </c>
      <c r="W296" s="735">
        <f t="shared" si="183"/>
        <v>0</v>
      </c>
      <c r="X296" s="735">
        <f t="shared" si="183"/>
        <v>0</v>
      </c>
      <c r="Y296" s="735">
        <f t="shared" si="183"/>
        <v>0</v>
      </c>
      <c r="Z296" s="735">
        <f t="shared" si="183"/>
        <v>0</v>
      </c>
      <c r="AA296" s="735">
        <f t="shared" si="183"/>
        <v>0</v>
      </c>
      <c r="AB296" s="735">
        <f t="shared" si="183"/>
        <v>0</v>
      </c>
      <c r="AC296" s="741">
        <f t="shared" si="183"/>
        <v>0</v>
      </c>
    </row>
    <row r="297" spans="2:29" ht="12" thickBot="1" x14ac:dyDescent="0.25">
      <c r="B297" s="723"/>
      <c r="C297" s="724"/>
      <c r="D297" s="737"/>
      <c r="E297" s="671"/>
      <c r="F297" s="736"/>
      <c r="G297" s="736"/>
      <c r="H297" s="736"/>
      <c r="I297" s="736"/>
      <c r="J297" s="736"/>
      <c r="K297" s="736"/>
      <c r="L297" s="736"/>
      <c r="M297" s="736"/>
      <c r="N297" s="736"/>
      <c r="O297" s="736"/>
      <c r="P297" s="736"/>
      <c r="Q297" s="736"/>
      <c r="R297" s="736"/>
      <c r="S297" s="736"/>
      <c r="T297" s="736"/>
      <c r="U297" s="736"/>
      <c r="V297" s="736"/>
      <c r="W297" s="736"/>
      <c r="X297" s="736"/>
      <c r="Y297" s="736"/>
      <c r="Z297" s="736"/>
      <c r="AA297" s="736"/>
      <c r="AB297" s="736"/>
      <c r="AC297" s="742"/>
    </row>
    <row r="298" spans="2:29" x14ac:dyDescent="0.2">
      <c r="B298" s="336"/>
      <c r="C298" s="336"/>
      <c r="D298" s="336"/>
      <c r="E298" s="336"/>
      <c r="F298" s="336"/>
      <c r="G298" s="336"/>
      <c r="H298" s="336"/>
      <c r="I298" s="336"/>
      <c r="J298" s="336"/>
      <c r="K298" s="336"/>
      <c r="L298" s="336"/>
      <c r="M298" s="336"/>
      <c r="N298" s="336"/>
      <c r="O298" s="336"/>
      <c r="P298" s="336"/>
      <c r="Q298" s="336"/>
      <c r="R298" s="336"/>
      <c r="S298" s="336"/>
      <c r="T298" s="336"/>
      <c r="U298" s="336"/>
      <c r="V298" s="336"/>
      <c r="W298" s="336"/>
      <c r="X298" s="336"/>
    </row>
    <row r="299" spans="2:29" x14ac:dyDescent="0.2">
      <c r="B299" s="336"/>
      <c r="C299" s="336"/>
      <c r="D299" s="336"/>
      <c r="E299" s="336"/>
      <c r="F299" s="336"/>
      <c r="G299" s="336"/>
      <c r="H299" s="336"/>
      <c r="I299" s="336"/>
      <c r="J299" s="336"/>
      <c r="K299" s="336"/>
      <c r="L299" s="336"/>
      <c r="M299" s="336"/>
      <c r="N299" s="336"/>
      <c r="O299" s="336"/>
      <c r="P299" s="336"/>
      <c r="Q299" s="336"/>
      <c r="R299" s="336"/>
      <c r="S299" s="336"/>
      <c r="T299" s="336"/>
      <c r="U299" s="336"/>
      <c r="V299" s="336"/>
      <c r="W299" s="336"/>
      <c r="X299" s="336"/>
    </row>
    <row r="300" spans="2:29" x14ac:dyDescent="0.2">
      <c r="B300" s="336"/>
      <c r="C300" s="336"/>
      <c r="D300" s="336"/>
      <c r="E300" s="336"/>
      <c r="F300" s="336"/>
      <c r="G300" s="336"/>
      <c r="H300" s="336"/>
      <c r="I300" s="336"/>
      <c r="J300" s="336"/>
      <c r="K300" s="336"/>
      <c r="L300" s="336"/>
      <c r="M300" s="336"/>
      <c r="N300" s="336"/>
      <c r="O300" s="336"/>
      <c r="P300" s="336"/>
      <c r="Q300" s="336"/>
      <c r="R300" s="336"/>
      <c r="S300" s="336"/>
      <c r="T300" s="336"/>
      <c r="U300" s="336"/>
      <c r="V300" s="336"/>
      <c r="W300" s="336"/>
      <c r="X300" s="336"/>
    </row>
    <row r="301" spans="2:29" ht="12" thickBot="1" x14ac:dyDescent="0.25">
      <c r="E301" s="336"/>
      <c r="F301" s="336"/>
      <c r="G301" s="336"/>
      <c r="H301" s="336"/>
      <c r="L301" s="336"/>
      <c r="M301" s="336"/>
      <c r="N301" s="336"/>
      <c r="O301" s="336"/>
      <c r="P301" s="336"/>
      <c r="Q301" s="336"/>
      <c r="R301" s="336"/>
      <c r="S301" s="336"/>
      <c r="T301" s="336"/>
      <c r="U301" s="336"/>
      <c r="V301" s="336"/>
      <c r="W301" s="336"/>
      <c r="X301" s="336"/>
    </row>
    <row r="302" spans="2:29" ht="12.75" x14ac:dyDescent="0.2">
      <c r="B302" s="739" t="s">
        <v>207</v>
      </c>
      <c r="C302" s="740"/>
      <c r="D302" s="336"/>
    </row>
    <row r="303" spans="2:29" ht="22.5" x14ac:dyDescent="0.2">
      <c r="B303" s="105" t="s">
        <v>324</v>
      </c>
      <c r="C303" s="115">
        <f>C306*C307</f>
        <v>122376009.59999998</v>
      </c>
    </row>
    <row r="304" spans="2:29" ht="22.5" x14ac:dyDescent="0.2">
      <c r="B304" s="111" t="s">
        <v>206</v>
      </c>
      <c r="C304" s="113">
        <f>C303-C308-C309-C310-C311-C312</f>
        <v>100593079.89119999</v>
      </c>
    </row>
    <row r="305" spans="1:29" ht="22.5" x14ac:dyDescent="0.2">
      <c r="B305" s="105" t="s">
        <v>339</v>
      </c>
      <c r="C305" s="115">
        <f>C303-(SUM(C308:C311))</f>
        <v>118949481.33119997</v>
      </c>
      <c r="G305" s="335"/>
    </row>
    <row r="306" spans="1:29" ht="22.5" x14ac:dyDescent="0.2">
      <c r="B306" s="111" t="s">
        <v>208</v>
      </c>
      <c r="C306" s="113">
        <f>R139</f>
        <v>88</v>
      </c>
    </row>
    <row r="307" spans="1:29" ht="23.25" thickBot="1" x14ac:dyDescent="0.25">
      <c r="B307" s="105" t="s">
        <v>209</v>
      </c>
      <c r="C307" s="115">
        <f>Y139/R139</f>
        <v>1390636.4727272724</v>
      </c>
      <c r="D307" s="335"/>
    </row>
    <row r="308" spans="1:29" ht="22.5" x14ac:dyDescent="0.2">
      <c r="B308" s="111" t="s">
        <v>210</v>
      </c>
      <c r="C308" s="157">
        <f>C303*D308</f>
        <v>1835640.1439999996</v>
      </c>
      <c r="D308" s="254">
        <v>1.4999999999999999E-2</v>
      </c>
      <c r="N308" s="223"/>
    </row>
    <row r="309" spans="1:29" ht="22.5" x14ac:dyDescent="0.2">
      <c r="B309" s="105" t="s">
        <v>326</v>
      </c>
      <c r="C309" s="176">
        <f>D309*C303</f>
        <v>1223760.0959999999</v>
      </c>
      <c r="D309" s="253">
        <v>0.01</v>
      </c>
      <c r="N309" s="223"/>
    </row>
    <row r="310" spans="1:29" ht="22.5" x14ac:dyDescent="0.2">
      <c r="B310" s="111" t="s">
        <v>325</v>
      </c>
      <c r="C310" s="157">
        <f>D310*C303</f>
        <v>367128.02879999997</v>
      </c>
      <c r="D310" s="255">
        <v>3.0000000000000001E-3</v>
      </c>
    </row>
    <row r="311" spans="1:29" ht="22.5" x14ac:dyDescent="0.2">
      <c r="A311" s="336"/>
      <c r="B311" s="105" t="s">
        <v>203</v>
      </c>
      <c r="C311" s="176">
        <f>C303*D311</f>
        <v>0</v>
      </c>
      <c r="D311" s="253">
        <v>0</v>
      </c>
    </row>
    <row r="312" spans="1:29" ht="22.5" x14ac:dyDescent="0.2">
      <c r="A312" s="336"/>
      <c r="B312" s="111" t="s">
        <v>337</v>
      </c>
      <c r="C312" s="230">
        <f>D312*C303</f>
        <v>18356401.439999998</v>
      </c>
      <c r="D312" s="256">
        <v>0.15</v>
      </c>
    </row>
    <row r="313" spans="1:29" ht="23.25" thickBot="1" x14ac:dyDescent="0.25">
      <c r="A313" s="336"/>
      <c r="B313" s="231" t="s">
        <v>317</v>
      </c>
      <c r="C313" s="229">
        <f>C303-(SUM(C308:C310))</f>
        <v>118949481.33119997</v>
      </c>
      <c r="D313" s="322" t="b">
        <f>C313=E278-SUM(E280:E285)</f>
        <v>1</v>
      </c>
    </row>
    <row r="314" spans="1:29" x14ac:dyDescent="0.2">
      <c r="A314" s="336"/>
    </row>
    <row r="315" spans="1:29" x14ac:dyDescent="0.2">
      <c r="A315" s="336"/>
    </row>
    <row r="316" spans="1:29" x14ac:dyDescent="0.2">
      <c r="A316" s="336"/>
    </row>
    <row r="317" spans="1:29" x14ac:dyDescent="0.2">
      <c r="A317" s="336"/>
    </row>
    <row r="318" spans="1:29" x14ac:dyDescent="0.2">
      <c r="A318" s="336"/>
    </row>
    <row r="319" spans="1:29" ht="12" thickBot="1" x14ac:dyDescent="0.25">
      <c r="A319" s="336"/>
    </row>
    <row r="320" spans="1:29" ht="12.75" x14ac:dyDescent="0.2">
      <c r="A320" s="336"/>
      <c r="B320" s="577" t="s">
        <v>497</v>
      </c>
      <c r="C320" s="578"/>
      <c r="D320" s="578"/>
      <c r="E320" s="578"/>
      <c r="F320" s="578"/>
      <c r="G320" s="578"/>
      <c r="H320" s="578"/>
      <c r="I320" s="578"/>
      <c r="J320" s="578"/>
      <c r="K320" s="578"/>
      <c r="L320" s="578"/>
      <c r="M320" s="578"/>
      <c r="N320" s="578"/>
      <c r="O320" s="578"/>
      <c r="P320" s="578"/>
      <c r="Q320" s="578"/>
      <c r="R320" s="578"/>
      <c r="S320" s="578"/>
      <c r="T320" s="578"/>
      <c r="U320" s="578"/>
      <c r="V320" s="578"/>
      <c r="W320" s="578"/>
      <c r="X320" s="578"/>
      <c r="Y320" s="578"/>
      <c r="Z320" s="578"/>
      <c r="AA320" s="578"/>
      <c r="AB320" s="578"/>
      <c r="AC320" s="579"/>
    </row>
    <row r="321" spans="1:29" ht="22.5" x14ac:dyDescent="0.2">
      <c r="A321" s="336"/>
      <c r="B321" s="21" t="s">
        <v>498</v>
      </c>
      <c r="C321" s="53">
        <v>5.0000000000000001E-3</v>
      </c>
      <c r="D321" s="102" t="s">
        <v>499</v>
      </c>
      <c r="E321" s="166">
        <f>SUM(F321:AC321)</f>
        <v>565000</v>
      </c>
      <c r="F321" s="158">
        <f>C321*H26</f>
        <v>565000</v>
      </c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9"/>
    </row>
    <row r="322" spans="1:29" ht="22.5" x14ac:dyDescent="0.2">
      <c r="A322" s="336"/>
      <c r="B322" s="21" t="s">
        <v>500</v>
      </c>
      <c r="C322" s="53">
        <v>5.0000000000000001E-3</v>
      </c>
      <c r="D322" s="102" t="s">
        <v>499</v>
      </c>
      <c r="E322" s="166">
        <f t="shared" ref="E322:E324" si="184">SUM(F322:AC322)</f>
        <v>2075950.696</v>
      </c>
      <c r="F322" s="160">
        <f>C322*H24</f>
        <v>2075950.696</v>
      </c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  <c r="AA322" s="160"/>
      <c r="AB322" s="160"/>
      <c r="AC322" s="161"/>
    </row>
    <row r="323" spans="1:29" ht="22.5" x14ac:dyDescent="0.2">
      <c r="A323" s="336"/>
      <c r="B323" s="21" t="s">
        <v>501</v>
      </c>
      <c r="C323" s="53">
        <v>5.0000000000000001E-3</v>
      </c>
      <c r="D323" s="102" t="s">
        <v>502</v>
      </c>
      <c r="E323" s="166">
        <f>SUM(F323:AC323)</f>
        <v>8110876.5908665378</v>
      </c>
      <c r="F323" s="158">
        <v>0</v>
      </c>
      <c r="G323" s="158">
        <f>SUM($F$181:G184)*C323/2</f>
        <v>845000</v>
      </c>
      <c r="H323" s="158">
        <v>0</v>
      </c>
      <c r="I323" s="158">
        <f>SUM($F$181:I184)*$C$323/2</f>
        <v>847085.95470909087</v>
      </c>
      <c r="J323" s="158">
        <v>0</v>
      </c>
      <c r="K323" s="158">
        <f>SUM($F$181:K184)*$C$323/2</f>
        <v>873816.59131108713</v>
      </c>
      <c r="L323" s="158">
        <v>0</v>
      </c>
      <c r="M323" s="158">
        <f>SUM($F$181:M184)*$C$323/2</f>
        <v>936768.09249785275</v>
      </c>
      <c r="N323" s="158">
        <v>0</v>
      </c>
      <c r="O323" s="158">
        <f>SUM($F$181:O184)*$C$323/2</f>
        <v>1068760.3293125108</v>
      </c>
      <c r="P323" s="158">
        <v>0</v>
      </c>
      <c r="Q323" s="158">
        <f>SUM($F$181:Q184)*$C$323/2</f>
        <v>1171368.0515156526</v>
      </c>
      <c r="R323" s="158">
        <v>0</v>
      </c>
      <c r="S323" s="158">
        <f>SUM($F$181:S184)*$C$323/2</f>
        <v>1182728.5201923435</v>
      </c>
      <c r="T323" s="158">
        <v>0</v>
      </c>
      <c r="U323" s="158">
        <f>SUM($F$181:U184)*$C$323/2</f>
        <v>1185349.0513279999</v>
      </c>
      <c r="V323" s="158">
        <v>0</v>
      </c>
      <c r="W323" s="158"/>
      <c r="X323" s="158"/>
      <c r="Y323" s="158"/>
      <c r="Z323" s="158"/>
      <c r="AA323" s="158"/>
      <c r="AB323" s="158"/>
      <c r="AC323" s="159"/>
    </row>
    <row r="324" spans="1:29" ht="23.25" thickBot="1" x14ac:dyDescent="0.25">
      <c r="A324" s="336"/>
      <c r="B324" s="21" t="s">
        <v>503</v>
      </c>
      <c r="C324" s="53">
        <v>5.0000000000000001E-3</v>
      </c>
      <c r="D324" s="135" t="s">
        <v>502</v>
      </c>
      <c r="E324" s="134">
        <f t="shared" si="184"/>
        <v>2303587.5</v>
      </c>
      <c r="F324" s="162">
        <f>C324*(C18)</f>
        <v>1738587.5</v>
      </c>
      <c r="G324" s="162"/>
      <c r="H324" s="162"/>
      <c r="I324" s="162"/>
      <c r="J324" s="162"/>
      <c r="K324" s="162"/>
      <c r="L324" s="162"/>
      <c r="M324" s="162"/>
      <c r="N324" s="162"/>
      <c r="O324" s="162"/>
      <c r="P324" s="162"/>
      <c r="Q324" s="162"/>
      <c r="R324" s="162"/>
      <c r="S324" s="162"/>
      <c r="T324" s="162"/>
      <c r="U324" s="162">
        <f>C324*C189</f>
        <v>565000</v>
      </c>
      <c r="V324" s="162"/>
      <c r="W324" s="162"/>
      <c r="X324" s="162"/>
      <c r="Y324" s="162"/>
      <c r="Z324" s="162"/>
      <c r="AA324" s="162"/>
      <c r="AB324" s="162"/>
      <c r="AC324" s="164"/>
    </row>
    <row r="325" spans="1:29" ht="12" thickBot="1" x14ac:dyDescent="0.25">
      <c r="A325" s="336"/>
      <c r="B325" s="580" t="s">
        <v>98</v>
      </c>
      <c r="C325" s="581"/>
      <c r="D325" s="582"/>
      <c r="E325" s="156">
        <f>SUM(F325:AC325)</f>
        <v>-13055414.786866536</v>
      </c>
      <c r="F325" s="153">
        <f>-SUM(F321:F324)</f>
        <v>-4379538.1960000005</v>
      </c>
      <c r="G325" s="153">
        <f t="shared" ref="G325:AC325" si="185">-SUM(G321:G324)</f>
        <v>-845000</v>
      </c>
      <c r="H325" s="153">
        <f t="shared" si="185"/>
        <v>0</v>
      </c>
      <c r="I325" s="153">
        <f t="shared" si="185"/>
        <v>-847085.95470909087</v>
      </c>
      <c r="J325" s="153">
        <f t="shared" si="185"/>
        <v>0</v>
      </c>
      <c r="K325" s="153">
        <f t="shared" si="185"/>
        <v>-873816.59131108713</v>
      </c>
      <c r="L325" s="153">
        <f t="shared" si="185"/>
        <v>0</v>
      </c>
      <c r="M325" s="153">
        <f t="shared" si="185"/>
        <v>-936768.09249785275</v>
      </c>
      <c r="N325" s="153">
        <f t="shared" si="185"/>
        <v>0</v>
      </c>
      <c r="O325" s="153">
        <f t="shared" si="185"/>
        <v>-1068760.3293125108</v>
      </c>
      <c r="P325" s="153">
        <f t="shared" si="185"/>
        <v>0</v>
      </c>
      <c r="Q325" s="153">
        <f t="shared" si="185"/>
        <v>-1171368.0515156526</v>
      </c>
      <c r="R325" s="153">
        <f t="shared" si="185"/>
        <v>0</v>
      </c>
      <c r="S325" s="153">
        <f t="shared" si="185"/>
        <v>-1182728.5201923435</v>
      </c>
      <c r="T325" s="153">
        <f t="shared" si="185"/>
        <v>0</v>
      </c>
      <c r="U325" s="153">
        <f t="shared" si="185"/>
        <v>-1750349.0513279999</v>
      </c>
      <c r="V325" s="153">
        <f t="shared" si="185"/>
        <v>0</v>
      </c>
      <c r="W325" s="153">
        <f t="shared" si="185"/>
        <v>0</v>
      </c>
      <c r="X325" s="153">
        <f t="shared" si="185"/>
        <v>0</v>
      </c>
      <c r="Y325" s="153">
        <f t="shared" si="185"/>
        <v>0</v>
      </c>
      <c r="Z325" s="153">
        <f t="shared" si="185"/>
        <v>0</v>
      </c>
      <c r="AA325" s="153">
        <f t="shared" si="185"/>
        <v>0</v>
      </c>
      <c r="AB325" s="153">
        <f t="shared" si="185"/>
        <v>0</v>
      </c>
      <c r="AC325" s="154">
        <f t="shared" si="185"/>
        <v>0</v>
      </c>
    </row>
    <row r="326" spans="1:29" x14ac:dyDescent="0.2">
      <c r="A326" s="336"/>
      <c r="G326" s="223"/>
    </row>
    <row r="327" spans="1:29" x14ac:dyDescent="0.2">
      <c r="A327" s="336"/>
    </row>
    <row r="328" spans="1:29" x14ac:dyDescent="0.2">
      <c r="A328" s="336"/>
    </row>
    <row r="329" spans="1:29" x14ac:dyDescent="0.2">
      <c r="A329" s="336"/>
    </row>
    <row r="330" spans="1:29" x14ac:dyDescent="0.2">
      <c r="A330" s="336"/>
    </row>
    <row r="331" spans="1:29" x14ac:dyDescent="0.2">
      <c r="A331" s="336"/>
    </row>
    <row r="343" spans="1:1" x14ac:dyDescent="0.2">
      <c r="A343" s="336"/>
    </row>
    <row r="344" spans="1:1" x14ac:dyDescent="0.2">
      <c r="A344" s="336"/>
    </row>
    <row r="345" spans="1:1" x14ac:dyDescent="0.2">
      <c r="A345" s="336"/>
    </row>
    <row r="346" spans="1:1" x14ac:dyDescent="0.2">
      <c r="A346" s="336"/>
    </row>
    <row r="347" spans="1:1" x14ac:dyDescent="0.2">
      <c r="A347" s="336"/>
    </row>
    <row r="348" spans="1:1" x14ac:dyDescent="0.2">
      <c r="A348" s="336"/>
    </row>
    <row r="349" spans="1:1" x14ac:dyDescent="0.2">
      <c r="A349" s="336"/>
    </row>
    <row r="350" spans="1:1" x14ac:dyDescent="0.2">
      <c r="A350" s="336"/>
    </row>
    <row r="351" spans="1:1" x14ac:dyDescent="0.2">
      <c r="A351" s="336"/>
    </row>
    <row r="352" spans="1:1" x14ac:dyDescent="0.2">
      <c r="A352" s="336"/>
    </row>
    <row r="353" spans="1:1" x14ac:dyDescent="0.2">
      <c r="A353" s="336"/>
    </row>
    <row r="354" spans="1:1" x14ac:dyDescent="0.2">
      <c r="A354" s="336"/>
    </row>
    <row r="355" spans="1:1" x14ac:dyDescent="0.2">
      <c r="A355" s="336"/>
    </row>
    <row r="356" spans="1:1" x14ac:dyDescent="0.2">
      <c r="A356" s="336"/>
    </row>
    <row r="357" spans="1:1" x14ac:dyDescent="0.2">
      <c r="A357" s="336"/>
    </row>
    <row r="358" spans="1:1" x14ac:dyDescent="0.2">
      <c r="A358" s="336"/>
    </row>
    <row r="359" spans="1:1" x14ac:dyDescent="0.2">
      <c r="A359" s="336"/>
    </row>
    <row r="360" spans="1:1" x14ac:dyDescent="0.2">
      <c r="A360" s="336"/>
    </row>
    <row r="361" spans="1:1" x14ac:dyDescent="0.2">
      <c r="A361" s="336"/>
    </row>
    <row r="362" spans="1:1" x14ac:dyDescent="0.2">
      <c r="A362" s="336"/>
    </row>
    <row r="363" spans="1:1" x14ac:dyDescent="0.2">
      <c r="A363" s="336"/>
    </row>
    <row r="469" spans="2:3" x14ac:dyDescent="0.2">
      <c r="B469" s="338"/>
      <c r="C469" s="338"/>
    </row>
    <row r="470" spans="2:3" x14ac:dyDescent="0.2">
      <c r="B470" s="339"/>
      <c r="C470" s="339"/>
    </row>
    <row r="471" spans="2:3" x14ac:dyDescent="0.2">
      <c r="B471" s="340"/>
      <c r="C471" s="339"/>
    </row>
    <row r="472" spans="2:3" x14ac:dyDescent="0.2">
      <c r="B472" s="340"/>
      <c r="C472" s="339"/>
    </row>
    <row r="473" spans="2:3" x14ac:dyDescent="0.2">
      <c r="B473" s="339"/>
      <c r="C473" s="339"/>
    </row>
    <row r="474" spans="2:3" x14ac:dyDescent="0.2">
      <c r="B474" s="339"/>
      <c r="C474" s="339"/>
    </row>
    <row r="475" spans="2:3" x14ac:dyDescent="0.2">
      <c r="B475" s="339"/>
      <c r="C475" s="339"/>
    </row>
    <row r="476" spans="2:3" x14ac:dyDescent="0.2">
      <c r="B476" s="339"/>
      <c r="C476" s="339"/>
    </row>
    <row r="477" spans="2:3" x14ac:dyDescent="0.2">
      <c r="B477" s="339"/>
      <c r="C477" s="339"/>
    </row>
    <row r="478" spans="2:3" x14ac:dyDescent="0.2">
      <c r="B478" s="339"/>
      <c r="C478" s="339"/>
    </row>
    <row r="479" spans="2:3" x14ac:dyDescent="0.2">
      <c r="B479" s="339"/>
      <c r="C479" s="339"/>
    </row>
    <row r="480" spans="2:3" x14ac:dyDescent="0.2">
      <c r="B480" s="339"/>
      <c r="C480" s="339"/>
    </row>
    <row r="481" spans="2:4" x14ac:dyDescent="0.2">
      <c r="B481" s="339"/>
      <c r="C481" s="339"/>
    </row>
    <row r="482" spans="2:4" x14ac:dyDescent="0.2">
      <c r="B482" s="339"/>
      <c r="C482" s="339"/>
    </row>
    <row r="483" spans="2:4" x14ac:dyDescent="0.2">
      <c r="B483" s="339"/>
      <c r="C483" s="339"/>
    </row>
    <row r="484" spans="2:4" x14ac:dyDescent="0.2">
      <c r="B484" s="339"/>
      <c r="C484" s="339"/>
    </row>
    <row r="485" spans="2:4" x14ac:dyDescent="0.2">
      <c r="B485" s="339"/>
      <c r="C485" s="339"/>
    </row>
    <row r="486" spans="2:4" x14ac:dyDescent="0.2">
      <c r="B486" s="339"/>
      <c r="C486" s="343"/>
    </row>
    <row r="487" spans="2:4" x14ac:dyDescent="0.2">
      <c r="B487" s="339"/>
      <c r="C487" s="343"/>
    </row>
    <row r="488" spans="2:4" x14ac:dyDescent="0.2">
      <c r="B488" s="339"/>
      <c r="C488" s="343"/>
    </row>
    <row r="489" spans="2:4" x14ac:dyDescent="0.2">
      <c r="B489" s="339"/>
      <c r="C489" s="343"/>
    </row>
    <row r="490" spans="2:4" x14ac:dyDescent="0.2">
      <c r="B490" s="339"/>
      <c r="C490" s="339"/>
    </row>
    <row r="491" spans="2:4" x14ac:dyDescent="0.2">
      <c r="B491" s="339"/>
      <c r="C491" s="339"/>
    </row>
    <row r="492" spans="2:4" x14ac:dyDescent="0.2">
      <c r="B492" s="339"/>
      <c r="C492" s="339"/>
    </row>
    <row r="493" spans="2:4" x14ac:dyDescent="0.2">
      <c r="B493" s="339"/>
      <c r="C493" s="339"/>
    </row>
    <row r="496" spans="2:4" x14ac:dyDescent="0.2">
      <c r="D496" s="223"/>
    </row>
    <row r="497" spans="2:4" x14ac:dyDescent="0.2">
      <c r="D497" s="223"/>
    </row>
    <row r="498" spans="2:4" x14ac:dyDescent="0.2">
      <c r="D498" s="223"/>
    </row>
    <row r="499" spans="2:4" x14ac:dyDescent="0.2">
      <c r="D499" s="223"/>
    </row>
    <row r="500" spans="2:4" x14ac:dyDescent="0.2">
      <c r="D500" s="223"/>
    </row>
    <row r="501" spans="2:4" x14ac:dyDescent="0.2">
      <c r="D501" s="223"/>
    </row>
    <row r="502" spans="2:4" x14ac:dyDescent="0.2">
      <c r="D502" s="223"/>
    </row>
    <row r="504" spans="2:4" x14ac:dyDescent="0.2">
      <c r="D504" s="223"/>
    </row>
    <row r="506" spans="2:4" x14ac:dyDescent="0.2">
      <c r="D506" s="223"/>
    </row>
    <row r="507" spans="2:4" x14ac:dyDescent="0.2">
      <c r="D507" s="223"/>
    </row>
    <row r="508" spans="2:4" x14ac:dyDescent="0.2">
      <c r="D508" s="223"/>
    </row>
    <row r="509" spans="2:4" x14ac:dyDescent="0.2">
      <c r="D509" s="223"/>
    </row>
    <row r="510" spans="2:4" x14ac:dyDescent="0.2">
      <c r="B510" s="339"/>
      <c r="C510" s="339"/>
      <c r="D510" s="223"/>
    </row>
    <row r="511" spans="2:4" x14ac:dyDescent="0.2">
      <c r="B511" s="339"/>
      <c r="C511" s="339"/>
      <c r="D511" s="223"/>
    </row>
    <row r="512" spans="2:4" x14ac:dyDescent="0.2">
      <c r="B512" s="339"/>
      <c r="C512" s="339"/>
      <c r="D512" s="223"/>
    </row>
    <row r="513" spans="2:4" x14ac:dyDescent="0.2">
      <c r="B513" s="339"/>
      <c r="C513" s="339"/>
      <c r="D513" s="223"/>
    </row>
    <row r="514" spans="2:4" x14ac:dyDescent="0.2">
      <c r="B514" s="339"/>
      <c r="C514" s="339"/>
      <c r="D514" s="223"/>
    </row>
    <row r="515" spans="2:4" x14ac:dyDescent="0.2">
      <c r="B515" s="339"/>
      <c r="C515" s="339"/>
      <c r="D515" s="223"/>
    </row>
    <row r="516" spans="2:4" x14ac:dyDescent="0.2">
      <c r="B516" s="339"/>
      <c r="C516" s="339"/>
      <c r="D516" s="223"/>
    </row>
    <row r="517" spans="2:4" x14ac:dyDescent="0.2">
      <c r="B517" s="339"/>
      <c r="C517" s="339"/>
      <c r="D517" s="223"/>
    </row>
    <row r="518" spans="2:4" x14ac:dyDescent="0.2">
      <c r="B518" s="339"/>
      <c r="C518" s="339"/>
      <c r="D518" s="223"/>
    </row>
    <row r="531" spans="2:3" x14ac:dyDescent="0.2">
      <c r="B531" s="339"/>
      <c r="C531" s="339"/>
    </row>
    <row r="532" spans="2:3" x14ac:dyDescent="0.2">
      <c r="B532" s="338"/>
      <c r="C532" s="338"/>
    </row>
    <row r="533" spans="2:3" x14ac:dyDescent="0.2">
      <c r="B533" s="339"/>
      <c r="C533" s="339"/>
    </row>
    <row r="534" spans="2:3" x14ac:dyDescent="0.2">
      <c r="B534" s="339"/>
      <c r="C534" s="339"/>
    </row>
    <row r="535" spans="2:3" x14ac:dyDescent="0.2">
      <c r="B535" s="339"/>
      <c r="C535" s="339"/>
    </row>
    <row r="536" spans="2:3" x14ac:dyDescent="0.2">
      <c r="B536" s="339"/>
      <c r="C536" s="339"/>
    </row>
    <row r="537" spans="2:3" x14ac:dyDescent="0.2">
      <c r="B537" s="339"/>
      <c r="C537" s="339"/>
    </row>
    <row r="538" spans="2:3" x14ac:dyDescent="0.2">
      <c r="B538" s="339"/>
      <c r="C538" s="339"/>
    </row>
    <row r="539" spans="2:3" x14ac:dyDescent="0.2">
      <c r="B539" s="339"/>
      <c r="C539" s="339"/>
    </row>
    <row r="540" spans="2:3" x14ac:dyDescent="0.2">
      <c r="B540" s="339"/>
      <c r="C540" s="339"/>
    </row>
    <row r="541" spans="2:3" x14ac:dyDescent="0.2">
      <c r="B541" s="339"/>
      <c r="C541" s="339"/>
    </row>
    <row r="542" spans="2:3" x14ac:dyDescent="0.2">
      <c r="B542" s="339"/>
      <c r="C542" s="339"/>
    </row>
    <row r="543" spans="2:3" x14ac:dyDescent="0.2">
      <c r="B543" s="339"/>
      <c r="C543" s="339"/>
    </row>
    <row r="544" spans="2:3" x14ac:dyDescent="0.2">
      <c r="B544" s="339"/>
      <c r="C544" s="339"/>
    </row>
    <row r="545" spans="2:3" x14ac:dyDescent="0.2">
      <c r="B545" s="339"/>
      <c r="C545" s="339"/>
    </row>
    <row r="547" spans="2:3" x14ac:dyDescent="0.2">
      <c r="B547" s="339"/>
      <c r="C547" s="339"/>
    </row>
    <row r="548" spans="2:3" x14ac:dyDescent="0.2">
      <c r="B548" s="339"/>
      <c r="C548" s="339"/>
    </row>
    <row r="549" spans="2:3" x14ac:dyDescent="0.2">
      <c r="B549" s="339"/>
      <c r="C549" s="339"/>
    </row>
    <row r="550" spans="2:3" x14ac:dyDescent="0.2">
      <c r="B550" s="339"/>
      <c r="C550" s="339"/>
    </row>
    <row r="552" spans="2:3" x14ac:dyDescent="0.2">
      <c r="B552" s="339"/>
      <c r="C552" s="339"/>
    </row>
    <row r="553" spans="2:3" x14ac:dyDescent="0.2">
      <c r="B553" s="339"/>
      <c r="C553" s="339"/>
    </row>
    <row r="554" spans="2:3" x14ac:dyDescent="0.2">
      <c r="B554" s="338"/>
      <c r="C554" s="338"/>
    </row>
    <row r="558" spans="2:3" x14ac:dyDescent="0.2">
      <c r="B558" s="339"/>
      <c r="C558" s="339"/>
    </row>
  </sheetData>
  <sheetProtection formatCells="0" selectLockedCells="1"/>
  <mergeCells count="731">
    <mergeCell ref="C105:D105"/>
    <mergeCell ref="B242:E243"/>
    <mergeCell ref="F242:I243"/>
    <mergeCell ref="K250:K251"/>
    <mergeCell ref="J250:J251"/>
    <mergeCell ref="I250:I251"/>
    <mergeCell ref="X250:X251"/>
    <mergeCell ref="X246:X247"/>
    <mergeCell ref="Y248:Y249"/>
    <mergeCell ref="X248:X249"/>
    <mergeCell ref="U246:U247"/>
    <mergeCell ref="V246:V247"/>
    <mergeCell ref="S248:S249"/>
    <mergeCell ref="V248:V249"/>
    <mergeCell ref="U248:U249"/>
    <mergeCell ref="N250:N251"/>
    <mergeCell ref="M250:M251"/>
    <mergeCell ref="O250:O251"/>
    <mergeCell ref="V250:V251"/>
    <mergeCell ref="I248:I249"/>
    <mergeCell ref="J242:M243"/>
    <mergeCell ref="Q248:Q249"/>
    <mergeCell ref="Q244:Q245"/>
    <mergeCell ref="W250:W251"/>
    <mergeCell ref="T248:T249"/>
    <mergeCell ref="L250:L251"/>
    <mergeCell ref="P250:P251"/>
    <mergeCell ref="J246:J247"/>
    <mergeCell ref="K246:K247"/>
    <mergeCell ref="L246:L247"/>
    <mergeCell ref="M246:M247"/>
    <mergeCell ref="N246:N247"/>
    <mergeCell ref="M248:M249"/>
    <mergeCell ref="L248:L249"/>
    <mergeCell ref="O246:O247"/>
    <mergeCell ref="P246:P247"/>
    <mergeCell ref="Q246:Q247"/>
    <mergeCell ref="M225:M226"/>
    <mergeCell ref="N252:N253"/>
    <mergeCell ref="Q254:Q255"/>
    <mergeCell ref="Q256:Q257"/>
    <mergeCell ref="N256:N257"/>
    <mergeCell ref="M254:M255"/>
    <mergeCell ref="Q250:Q251"/>
    <mergeCell ref="R252:R253"/>
    <mergeCell ref="N244:N245"/>
    <mergeCell ref="N242:Q243"/>
    <mergeCell ref="O248:O249"/>
    <mergeCell ref="O244:O245"/>
    <mergeCell ref="P244:P245"/>
    <mergeCell ref="P248:P249"/>
    <mergeCell ref="M244:M245"/>
    <mergeCell ref="O225:O226"/>
    <mergeCell ref="N225:N226"/>
    <mergeCell ref="R248:R249"/>
    <mergeCell ref="P256:P257"/>
    <mergeCell ref="O270:O271"/>
    <mergeCell ref="O256:O257"/>
    <mergeCell ref="P252:P253"/>
    <mergeCell ref="O252:O253"/>
    <mergeCell ref="Q270:Q271"/>
    <mergeCell ref="Q274:Q275"/>
    <mergeCell ref="Q252:Q253"/>
    <mergeCell ref="R278:R279"/>
    <mergeCell ref="Y252:Y253"/>
    <mergeCell ref="X252:X253"/>
    <mergeCell ref="T270:T271"/>
    <mergeCell ref="U270:U271"/>
    <mergeCell ref="R270:R271"/>
    <mergeCell ref="S270:S271"/>
    <mergeCell ref="P254:P255"/>
    <mergeCell ref="O254:O255"/>
    <mergeCell ref="P270:P271"/>
    <mergeCell ref="P276:P277"/>
    <mergeCell ref="U256:U257"/>
    <mergeCell ref="W270:W271"/>
    <mergeCell ref="P274:P275"/>
    <mergeCell ref="O274:O275"/>
    <mergeCell ref="O278:O279"/>
    <mergeCell ref="R284:R285"/>
    <mergeCell ref="W276:W277"/>
    <mergeCell ref="V284:V285"/>
    <mergeCell ref="U280:U281"/>
    <mergeCell ref="R276:R277"/>
    <mergeCell ref="X280:X281"/>
    <mergeCell ref="Y284:Y285"/>
    <mergeCell ref="Y282:Y283"/>
    <mergeCell ref="U284:U285"/>
    <mergeCell ref="T284:T285"/>
    <mergeCell ref="X284:X285"/>
    <mergeCell ref="X282:X283"/>
    <mergeCell ref="W284:W285"/>
    <mergeCell ref="Y276:Y277"/>
    <mergeCell ref="X278:X279"/>
    <mergeCell ref="Y278:Y279"/>
    <mergeCell ref="U276:U277"/>
    <mergeCell ref="W282:W283"/>
    <mergeCell ref="Y280:Y281"/>
    <mergeCell ref="W280:W281"/>
    <mergeCell ref="V280:V281"/>
    <mergeCell ref="P292:P293"/>
    <mergeCell ref="T292:T293"/>
    <mergeCell ref="Q292:Q293"/>
    <mergeCell ref="P290:P291"/>
    <mergeCell ref="V276:V277"/>
    <mergeCell ref="Q294:Q295"/>
    <mergeCell ref="R294:R295"/>
    <mergeCell ref="P294:P295"/>
    <mergeCell ref="S290:S291"/>
    <mergeCell ref="T290:T291"/>
    <mergeCell ref="U282:U283"/>
    <mergeCell ref="T282:T283"/>
    <mergeCell ref="S282:S283"/>
    <mergeCell ref="P280:P281"/>
    <mergeCell ref="P278:P279"/>
    <mergeCell ref="P282:P283"/>
    <mergeCell ref="P284:P285"/>
    <mergeCell ref="R288:R289"/>
    <mergeCell ref="P288:P289"/>
    <mergeCell ref="P286:P287"/>
    <mergeCell ref="S286:S287"/>
    <mergeCell ref="Q290:Q291"/>
    <mergeCell ref="Q280:Q281"/>
    <mergeCell ref="R280:R281"/>
    <mergeCell ref="AA288:AA289"/>
    <mergeCell ref="AB288:AB289"/>
    <mergeCell ref="S288:S289"/>
    <mergeCell ref="T288:T289"/>
    <mergeCell ref="U288:U289"/>
    <mergeCell ref="X292:X293"/>
    <mergeCell ref="Z292:Z293"/>
    <mergeCell ref="AA292:AA293"/>
    <mergeCell ref="AB292:AB293"/>
    <mergeCell ref="AC296:AC297"/>
    <mergeCell ref="L296:L297"/>
    <mergeCell ref="M296:M297"/>
    <mergeCell ref="N296:N297"/>
    <mergeCell ref="O296:O297"/>
    <mergeCell ref="P296:P297"/>
    <mergeCell ref="Q296:Q297"/>
    <mergeCell ref="R296:R297"/>
    <mergeCell ref="S296:S297"/>
    <mergeCell ref="T296:T297"/>
    <mergeCell ref="Z296:Z297"/>
    <mergeCell ref="AA296:AA297"/>
    <mergeCell ref="AB296:AB297"/>
    <mergeCell ref="U296:U297"/>
    <mergeCell ref="V296:V297"/>
    <mergeCell ref="W296:W297"/>
    <mergeCell ref="X296:X297"/>
    <mergeCell ref="Y296:Y297"/>
    <mergeCell ref="S294:S295"/>
    <mergeCell ref="T294:T295"/>
    <mergeCell ref="Y286:Y287"/>
    <mergeCell ref="S292:S293"/>
    <mergeCell ref="Y290:Y291"/>
    <mergeCell ref="W286:W287"/>
    <mergeCell ref="Y292:Y293"/>
    <mergeCell ref="X290:X291"/>
    <mergeCell ref="U286:U287"/>
    <mergeCell ref="W288:W289"/>
    <mergeCell ref="X288:X289"/>
    <mergeCell ref="Y288:Y289"/>
    <mergeCell ref="W292:W293"/>
    <mergeCell ref="W290:W291"/>
    <mergeCell ref="U290:U291"/>
    <mergeCell ref="V290:V291"/>
    <mergeCell ref="V288:V289"/>
    <mergeCell ref="Y294:Y295"/>
    <mergeCell ref="U294:U295"/>
    <mergeCell ref="X294:X295"/>
    <mergeCell ref="V294:V295"/>
    <mergeCell ref="W294:W295"/>
    <mergeCell ref="X286:X287"/>
    <mergeCell ref="Q288:Q289"/>
    <mergeCell ref="W252:W253"/>
    <mergeCell ref="T272:T273"/>
    <mergeCell ref="T274:T275"/>
    <mergeCell ref="S274:S275"/>
    <mergeCell ref="V252:V253"/>
    <mergeCell ref="U252:U253"/>
    <mergeCell ref="T252:T253"/>
    <mergeCell ref="S252:S253"/>
    <mergeCell ref="W254:W255"/>
    <mergeCell ref="V254:V255"/>
    <mergeCell ref="U254:U255"/>
    <mergeCell ref="T254:T255"/>
    <mergeCell ref="S254:S255"/>
    <mergeCell ref="T256:T257"/>
    <mergeCell ref="S256:S257"/>
    <mergeCell ref="R254:R255"/>
    <mergeCell ref="V282:V283"/>
    <mergeCell ref="V286:V287"/>
    <mergeCell ref="Q284:Q285"/>
    <mergeCell ref="Q282:Q283"/>
    <mergeCell ref="Q276:Q277"/>
    <mergeCell ref="S276:S277"/>
    <mergeCell ref="Q278:Q279"/>
    <mergeCell ref="R292:R293"/>
    <mergeCell ref="R290:R291"/>
    <mergeCell ref="U292:U293"/>
    <mergeCell ref="V292:V293"/>
    <mergeCell ref="B302:C302"/>
    <mergeCell ref="K294:K295"/>
    <mergeCell ref="L294:L295"/>
    <mergeCell ref="N288:N289"/>
    <mergeCell ref="I272:I273"/>
    <mergeCell ref="J272:J273"/>
    <mergeCell ref="S284:S285"/>
    <mergeCell ref="T286:T287"/>
    <mergeCell ref="R282:R283"/>
    <mergeCell ref="S278:S279"/>
    <mergeCell ref="O280:O281"/>
    <mergeCell ref="R286:R287"/>
    <mergeCell ref="Q286:Q287"/>
    <mergeCell ref="R272:R273"/>
    <mergeCell ref="S272:S273"/>
    <mergeCell ref="T276:T277"/>
    <mergeCell ref="R274:R275"/>
    <mergeCell ref="O288:O289"/>
    <mergeCell ref="O284:O285"/>
    <mergeCell ref="O282:O283"/>
    <mergeCell ref="N280:N281"/>
    <mergeCell ref="M252:M253"/>
    <mergeCell ref="L252:L253"/>
    <mergeCell ref="K252:K253"/>
    <mergeCell ref="J254:J255"/>
    <mergeCell ref="L254:L255"/>
    <mergeCell ref="K254:K255"/>
    <mergeCell ref="J270:J271"/>
    <mergeCell ref="N254:N255"/>
    <mergeCell ref="J256:J257"/>
    <mergeCell ref="K276:K277"/>
    <mergeCell ref="N272:N273"/>
    <mergeCell ref="N270:N271"/>
    <mergeCell ref="L256:L257"/>
    <mergeCell ref="L270:L271"/>
    <mergeCell ref="K256:K257"/>
    <mergeCell ref="M280:M281"/>
    <mergeCell ref="L278:L279"/>
    <mergeCell ref="N278:N279"/>
    <mergeCell ref="N274:N275"/>
    <mergeCell ref="N276:N277"/>
    <mergeCell ref="M278:M279"/>
    <mergeCell ref="J276:J277"/>
    <mergeCell ref="L274:L275"/>
    <mergeCell ref="O294:O295"/>
    <mergeCell ref="L292:L293"/>
    <mergeCell ref="O290:O291"/>
    <mergeCell ref="L290:L291"/>
    <mergeCell ref="M290:M291"/>
    <mergeCell ref="M284:M285"/>
    <mergeCell ref="O286:O287"/>
    <mergeCell ref="L288:L289"/>
    <mergeCell ref="J282:J283"/>
    <mergeCell ref="M292:M293"/>
    <mergeCell ref="N286:N287"/>
    <mergeCell ref="K284:K285"/>
    <mergeCell ref="M288:M289"/>
    <mergeCell ref="L284:L285"/>
    <mergeCell ref="M282:M283"/>
    <mergeCell ref="L286:L287"/>
    <mergeCell ref="N294:N295"/>
    <mergeCell ref="N284:N285"/>
    <mergeCell ref="N282:N283"/>
    <mergeCell ref="M294:M295"/>
    <mergeCell ref="N292:N293"/>
    <mergeCell ref="N290:N291"/>
    <mergeCell ref="J286:J287"/>
    <mergeCell ref="O292:O293"/>
    <mergeCell ref="H296:H297"/>
    <mergeCell ref="I296:I297"/>
    <mergeCell ref="J296:J297"/>
    <mergeCell ref="F292:F293"/>
    <mergeCell ref="K288:K289"/>
    <mergeCell ref="K296:K297"/>
    <mergeCell ref="F294:F295"/>
    <mergeCell ref="G294:G295"/>
    <mergeCell ref="H294:H295"/>
    <mergeCell ref="I294:I295"/>
    <mergeCell ref="J294:J295"/>
    <mergeCell ref="K292:K293"/>
    <mergeCell ref="J290:J291"/>
    <mergeCell ref="J288:J289"/>
    <mergeCell ref="I290:I291"/>
    <mergeCell ref="F296:F297"/>
    <mergeCell ref="F290:F291"/>
    <mergeCell ref="G290:G291"/>
    <mergeCell ref="H290:H291"/>
    <mergeCell ref="I292:I293"/>
    <mergeCell ref="H292:H293"/>
    <mergeCell ref="K290:K291"/>
    <mergeCell ref="J292:J293"/>
    <mergeCell ref="D294:D295"/>
    <mergeCell ref="E294:E295"/>
    <mergeCell ref="B286:C287"/>
    <mergeCell ref="G296:G297"/>
    <mergeCell ref="B290:C291"/>
    <mergeCell ref="E290:E291"/>
    <mergeCell ref="B296:C297"/>
    <mergeCell ref="E292:E293"/>
    <mergeCell ref="D290:D291"/>
    <mergeCell ref="D292:D293"/>
    <mergeCell ref="B292:C293"/>
    <mergeCell ref="D296:D297"/>
    <mergeCell ref="E296:E297"/>
    <mergeCell ref="B294:C295"/>
    <mergeCell ref="E288:E289"/>
    <mergeCell ref="G292:G293"/>
    <mergeCell ref="B282:C283"/>
    <mergeCell ref="B288:C289"/>
    <mergeCell ref="G288:G289"/>
    <mergeCell ref="H288:H289"/>
    <mergeCell ref="I288:I289"/>
    <mergeCell ref="F288:F289"/>
    <mergeCell ref="F286:F287"/>
    <mergeCell ref="I286:I287"/>
    <mergeCell ref="G286:G287"/>
    <mergeCell ref="B284:C285"/>
    <mergeCell ref="H286:H287"/>
    <mergeCell ref="D288:D289"/>
    <mergeCell ref="D286:D287"/>
    <mergeCell ref="D282:D283"/>
    <mergeCell ref="D284:D285"/>
    <mergeCell ref="H284:H285"/>
    <mergeCell ref="E286:E287"/>
    <mergeCell ref="E284:E285"/>
    <mergeCell ref="E282:E283"/>
    <mergeCell ref="F284:F285"/>
    <mergeCell ref="F282:F283"/>
    <mergeCell ref="M286:M287"/>
    <mergeCell ref="I280:I281"/>
    <mergeCell ref="J280:J281"/>
    <mergeCell ref="I278:I279"/>
    <mergeCell ref="G284:G285"/>
    <mergeCell ref="G282:G283"/>
    <mergeCell ref="G280:G281"/>
    <mergeCell ref="H282:H283"/>
    <mergeCell ref="K280:K281"/>
    <mergeCell ref="L280:L281"/>
    <mergeCell ref="G278:G279"/>
    <mergeCell ref="H278:H279"/>
    <mergeCell ref="K282:K283"/>
    <mergeCell ref="L282:L283"/>
    <mergeCell ref="J284:J285"/>
    <mergeCell ref="K286:K287"/>
    <mergeCell ref="I282:I283"/>
    <mergeCell ref="I284:I285"/>
    <mergeCell ref="K274:K275"/>
    <mergeCell ref="M274:M275"/>
    <mergeCell ref="F276:F277"/>
    <mergeCell ref="H276:H277"/>
    <mergeCell ref="I276:I277"/>
    <mergeCell ref="H274:H275"/>
    <mergeCell ref="F274:F275"/>
    <mergeCell ref="L276:L277"/>
    <mergeCell ref="E280:E281"/>
    <mergeCell ref="K278:K279"/>
    <mergeCell ref="H280:H281"/>
    <mergeCell ref="J278:J279"/>
    <mergeCell ref="F280:F281"/>
    <mergeCell ref="E278:E279"/>
    <mergeCell ref="B274:C275"/>
    <mergeCell ref="I274:I275"/>
    <mergeCell ref="M276:M277"/>
    <mergeCell ref="I256:I257"/>
    <mergeCell ref="B268:C269"/>
    <mergeCell ref="H270:H271"/>
    <mergeCell ref="G256:G257"/>
    <mergeCell ref="I270:I271"/>
    <mergeCell ref="B278:C279"/>
    <mergeCell ref="B276:C277"/>
    <mergeCell ref="E274:E275"/>
    <mergeCell ref="L272:L273"/>
    <mergeCell ref="M272:M273"/>
    <mergeCell ref="K272:K273"/>
    <mergeCell ref="K270:K271"/>
    <mergeCell ref="M256:M257"/>
    <mergeCell ref="M270:M271"/>
    <mergeCell ref="D268:D269"/>
    <mergeCell ref="H256:H257"/>
    <mergeCell ref="H272:H273"/>
    <mergeCell ref="D278:D279"/>
    <mergeCell ref="E276:E277"/>
    <mergeCell ref="D274:D275"/>
    <mergeCell ref="J274:J275"/>
    <mergeCell ref="B280:C281"/>
    <mergeCell ref="E270:E271"/>
    <mergeCell ref="G272:G273"/>
    <mergeCell ref="G274:G275"/>
    <mergeCell ref="B246:E247"/>
    <mergeCell ref="B248:E249"/>
    <mergeCell ref="F270:F271"/>
    <mergeCell ref="G270:G271"/>
    <mergeCell ref="F256:F257"/>
    <mergeCell ref="B256:E257"/>
    <mergeCell ref="G276:G277"/>
    <mergeCell ref="E268:E269"/>
    <mergeCell ref="B270:C271"/>
    <mergeCell ref="D270:D271"/>
    <mergeCell ref="E272:E273"/>
    <mergeCell ref="B272:C273"/>
    <mergeCell ref="D272:D273"/>
    <mergeCell ref="F272:F273"/>
    <mergeCell ref="D280:D281"/>
    <mergeCell ref="D276:D277"/>
    <mergeCell ref="F278:F279"/>
    <mergeCell ref="B254:E255"/>
    <mergeCell ref="B250:E251"/>
    <mergeCell ref="G250:G251"/>
    <mergeCell ref="H250:H251"/>
    <mergeCell ref="F244:F245"/>
    <mergeCell ref="I252:I253"/>
    <mergeCell ref="H252:H253"/>
    <mergeCell ref="B252:E253"/>
    <mergeCell ref="F250:F251"/>
    <mergeCell ref="F246:F247"/>
    <mergeCell ref="G246:G247"/>
    <mergeCell ref="H246:H247"/>
    <mergeCell ref="I246:I247"/>
    <mergeCell ref="B244:E245"/>
    <mergeCell ref="G248:G249"/>
    <mergeCell ref="G252:G253"/>
    <mergeCell ref="F252:F253"/>
    <mergeCell ref="H254:H255"/>
    <mergeCell ref="G254:G255"/>
    <mergeCell ref="F254:F255"/>
    <mergeCell ref="I254:I255"/>
    <mergeCell ref="F225:F226"/>
    <mergeCell ref="J248:J249"/>
    <mergeCell ref="G244:G245"/>
    <mergeCell ref="H244:H245"/>
    <mergeCell ref="I244:I245"/>
    <mergeCell ref="J244:J245"/>
    <mergeCell ref="H248:H249"/>
    <mergeCell ref="F248:F249"/>
    <mergeCell ref="J239:M239"/>
    <mergeCell ref="F239:I239"/>
    <mergeCell ref="I225:I226"/>
    <mergeCell ref="H225:H226"/>
    <mergeCell ref="G225:G226"/>
    <mergeCell ref="J252:J253"/>
    <mergeCell ref="L225:L226"/>
    <mergeCell ref="K225:K226"/>
    <mergeCell ref="J225:J226"/>
    <mergeCell ref="K248:K249"/>
    <mergeCell ref="K244:K245"/>
    <mergeCell ref="L244:L245"/>
    <mergeCell ref="T223:T224"/>
    <mergeCell ref="P225:P226"/>
    <mergeCell ref="AA225:AA226"/>
    <mergeCell ref="Z225:Z226"/>
    <mergeCell ref="Y225:Y226"/>
    <mergeCell ref="Z242:AC243"/>
    <mergeCell ref="R225:R226"/>
    <mergeCell ref="AC223:AC224"/>
    <mergeCell ref="AA223:AA224"/>
    <mergeCell ref="Z165:AC165"/>
    <mergeCell ref="AB225:AB226"/>
    <mergeCell ref="V223:V224"/>
    <mergeCell ref="Q145:AC145"/>
    <mergeCell ref="AB248:AB249"/>
    <mergeCell ref="Z223:Z224"/>
    <mergeCell ref="W223:W224"/>
    <mergeCell ref="X223:X224"/>
    <mergeCell ref="Y223:Y224"/>
    <mergeCell ref="X225:X226"/>
    <mergeCell ref="Z246:Z247"/>
    <mergeCell ref="Y244:Y245"/>
    <mergeCell ref="V242:Y243"/>
    <mergeCell ref="Y246:Y247"/>
    <mergeCell ref="W246:W247"/>
    <mergeCell ref="V239:Y239"/>
    <mergeCell ref="AB223:AB224"/>
    <mergeCell ref="AC225:AC226"/>
    <mergeCell ref="T246:T247"/>
    <mergeCell ref="W244:W245"/>
    <mergeCell ref="Z244:Z245"/>
    <mergeCell ref="AA244:AA245"/>
    <mergeCell ref="AB244:AB245"/>
    <mergeCell ref="AC244:AC245"/>
    <mergeCell ref="Z250:Z251"/>
    <mergeCell ref="AA250:AA251"/>
    <mergeCell ref="R239:U239"/>
    <mergeCell ref="N239:Q239"/>
    <mergeCell ref="AB250:AB251"/>
    <mergeCell ref="AC250:AC251"/>
    <mergeCell ref="AC248:AC249"/>
    <mergeCell ref="Y250:Y251"/>
    <mergeCell ref="W248:W249"/>
    <mergeCell ref="AB246:AB247"/>
    <mergeCell ref="AC246:AC247"/>
    <mergeCell ref="X244:X245"/>
    <mergeCell ref="R244:R245"/>
    <mergeCell ref="S244:S245"/>
    <mergeCell ref="T244:T245"/>
    <mergeCell ref="U244:U245"/>
    <mergeCell ref="V244:V245"/>
    <mergeCell ref="R250:R251"/>
    <mergeCell ref="Z248:Z249"/>
    <mergeCell ref="AA248:AA249"/>
    <mergeCell ref="AA246:AA247"/>
    <mergeCell ref="N248:N249"/>
    <mergeCell ref="R246:R247"/>
    <mergeCell ref="S246:S247"/>
    <mergeCell ref="AC286:AC287"/>
    <mergeCell ref="Z290:Z291"/>
    <mergeCell ref="AA290:AA291"/>
    <mergeCell ref="AB290:AB291"/>
    <mergeCell ref="AC290:AC291"/>
    <mergeCell ref="AC292:AC293"/>
    <mergeCell ref="Z288:Z289"/>
    <mergeCell ref="Q127:AC127"/>
    <mergeCell ref="N165:Q165"/>
    <mergeCell ref="U250:U251"/>
    <mergeCell ref="T250:T251"/>
    <mergeCell ref="S250:S251"/>
    <mergeCell ref="Q223:Q224"/>
    <mergeCell ref="R165:U165"/>
    <mergeCell ref="U223:U224"/>
    <mergeCell ref="O276:O277"/>
    <mergeCell ref="O272:O273"/>
    <mergeCell ref="S280:S281"/>
    <mergeCell ref="T280:T281"/>
    <mergeCell ref="R256:R257"/>
    <mergeCell ref="P272:P273"/>
    <mergeCell ref="Q272:Q273"/>
    <mergeCell ref="T278:T279"/>
    <mergeCell ref="U278:U279"/>
    <mergeCell ref="AB278:AB279"/>
    <mergeCell ref="AC278:AC279"/>
    <mergeCell ref="AA274:AA275"/>
    <mergeCell ref="AB274:AB275"/>
    <mergeCell ref="AC274:AC275"/>
    <mergeCell ref="AB254:AB255"/>
    <mergeCell ref="AC254:AC255"/>
    <mergeCell ref="Z252:Z253"/>
    <mergeCell ref="AA294:AA295"/>
    <mergeCell ref="AB294:AB295"/>
    <mergeCell ref="AC294:AC295"/>
    <mergeCell ref="Z294:Z295"/>
    <mergeCell ref="AC284:AC285"/>
    <mergeCell ref="AC282:AC283"/>
    <mergeCell ref="AB284:AB285"/>
    <mergeCell ref="AB282:AB283"/>
    <mergeCell ref="AA284:AA285"/>
    <mergeCell ref="AA282:AA283"/>
    <mergeCell ref="Z284:Z285"/>
    <mergeCell ref="Z282:Z283"/>
    <mergeCell ref="AC288:AC289"/>
    <mergeCell ref="Z286:Z287"/>
    <mergeCell ref="AA286:AA287"/>
    <mergeCell ref="AB286:AB287"/>
    <mergeCell ref="Z256:Z257"/>
    <mergeCell ref="AA256:AA257"/>
    <mergeCell ref="AA252:AA253"/>
    <mergeCell ref="AB280:AB281"/>
    <mergeCell ref="AC280:AC281"/>
    <mergeCell ref="Z276:Z277"/>
    <mergeCell ref="AA276:AA277"/>
    <mergeCell ref="Z274:Z275"/>
    <mergeCell ref="AB270:AB271"/>
    <mergeCell ref="AC270:AC271"/>
    <mergeCell ref="AB272:AB273"/>
    <mergeCell ref="AC272:AC273"/>
    <mergeCell ref="Z270:Z271"/>
    <mergeCell ref="AA270:AA271"/>
    <mergeCell ref="Z280:Z281"/>
    <mergeCell ref="AA280:AA281"/>
    <mergeCell ref="AB252:AB253"/>
    <mergeCell ref="AC252:AC253"/>
    <mergeCell ref="Z254:Z255"/>
    <mergeCell ref="AA254:AA255"/>
    <mergeCell ref="AB256:AB257"/>
    <mergeCell ref="AC256:AC257"/>
    <mergeCell ref="AB276:AB277"/>
    <mergeCell ref="AC276:AC277"/>
    <mergeCell ref="Z272:Z273"/>
    <mergeCell ref="AA272:AA273"/>
    <mergeCell ref="Y274:Y275"/>
    <mergeCell ref="X274:X275"/>
    <mergeCell ref="W274:W275"/>
    <mergeCell ref="U274:U275"/>
    <mergeCell ref="V278:V279"/>
    <mergeCell ref="X276:X277"/>
    <mergeCell ref="U272:U273"/>
    <mergeCell ref="W278:W279"/>
    <mergeCell ref="V274:V275"/>
    <mergeCell ref="Z278:Z279"/>
    <mergeCell ref="AA278:AA279"/>
    <mergeCell ref="C114:D114"/>
    <mergeCell ref="Y256:Y257"/>
    <mergeCell ref="X256:X257"/>
    <mergeCell ref="X270:X271"/>
    <mergeCell ref="Y270:Y271"/>
    <mergeCell ref="V270:V271"/>
    <mergeCell ref="W272:W273"/>
    <mergeCell ref="W256:W257"/>
    <mergeCell ref="X254:X255"/>
    <mergeCell ref="Y272:Y273"/>
    <mergeCell ref="V256:V257"/>
    <mergeCell ref="X272:X273"/>
    <mergeCell ref="V272:V273"/>
    <mergeCell ref="Y254:Y255"/>
    <mergeCell ref="V165:Y165"/>
    <mergeCell ref="W225:W226"/>
    <mergeCell ref="V225:V226"/>
    <mergeCell ref="U225:U226"/>
    <mergeCell ref="T225:T226"/>
    <mergeCell ref="S225:S226"/>
    <mergeCell ref="R242:U243"/>
    <mergeCell ref="P223:P224"/>
    <mergeCell ref="R223:R224"/>
    <mergeCell ref="S223:S224"/>
    <mergeCell ref="E219:E226"/>
    <mergeCell ref="K223:K224"/>
    <mergeCell ref="C115:D115"/>
    <mergeCell ref="B165:B166"/>
    <mergeCell ref="B178:E178"/>
    <mergeCell ref="B222:D222"/>
    <mergeCell ref="C112:D112"/>
    <mergeCell ref="C113:D113"/>
    <mergeCell ref="C116:D116"/>
    <mergeCell ref="J165:M165"/>
    <mergeCell ref="L127:O127"/>
    <mergeCell ref="M223:M224"/>
    <mergeCell ref="N223:N224"/>
    <mergeCell ref="O223:O224"/>
    <mergeCell ref="F165:I165"/>
    <mergeCell ref="C223:D223"/>
    <mergeCell ref="C224:D224"/>
    <mergeCell ref="G223:G224"/>
    <mergeCell ref="I223:I224"/>
    <mergeCell ref="J223:J224"/>
    <mergeCell ref="B145:M145"/>
    <mergeCell ref="B177:D177"/>
    <mergeCell ref="H223:H224"/>
    <mergeCell ref="B163:AC164"/>
    <mergeCell ref="H59:I59"/>
    <mergeCell ref="B84:D84"/>
    <mergeCell ref="C102:D102"/>
    <mergeCell ref="B103:D103"/>
    <mergeCell ref="C107:D107"/>
    <mergeCell ref="C225:D225"/>
    <mergeCell ref="C226:D226"/>
    <mergeCell ref="B239:E241"/>
    <mergeCell ref="B227:D227"/>
    <mergeCell ref="B120:D120"/>
    <mergeCell ref="C106:D106"/>
    <mergeCell ref="B117:D117"/>
    <mergeCell ref="C119:D119"/>
    <mergeCell ref="C165:E165"/>
    <mergeCell ref="B238:AC238"/>
    <mergeCell ref="Z239:AC239"/>
    <mergeCell ref="Q225:Q226"/>
    <mergeCell ref="L223:L224"/>
    <mergeCell ref="F223:F224"/>
    <mergeCell ref="B108:D108"/>
    <mergeCell ref="C109:D109"/>
    <mergeCell ref="B127:J127"/>
    <mergeCell ref="C118:D118"/>
    <mergeCell ref="B121:B122"/>
    <mergeCell ref="BH38:BJ38"/>
    <mergeCell ref="BN1:BP1"/>
    <mergeCell ref="BQ1:BS1"/>
    <mergeCell ref="BK1:BK4"/>
    <mergeCell ref="BH15:BJ15"/>
    <mergeCell ref="BH21:BJ21"/>
    <mergeCell ref="BI5:BJ5"/>
    <mergeCell ref="BI6:BJ6"/>
    <mergeCell ref="BI16:BJ16"/>
    <mergeCell ref="BI19:BJ19"/>
    <mergeCell ref="BH1:BJ3"/>
    <mergeCell ref="BH4:BJ4"/>
    <mergeCell ref="BI35:BJ35"/>
    <mergeCell ref="BI34:BJ34"/>
    <mergeCell ref="BI33:BJ33"/>
    <mergeCell ref="BI36:BJ36"/>
    <mergeCell ref="BH31:BJ31"/>
    <mergeCell ref="BI30:BJ30"/>
    <mergeCell ref="BI28:BJ28"/>
    <mergeCell ref="BI26:BJ26"/>
    <mergeCell ref="BH22:BH26"/>
    <mergeCell ref="AE1:BD1"/>
    <mergeCell ref="AE19:BD19"/>
    <mergeCell ref="C32:C33"/>
    <mergeCell ref="I45:J45"/>
    <mergeCell ref="I46:J46"/>
    <mergeCell ref="I47:J47"/>
    <mergeCell ref="I48:J48"/>
    <mergeCell ref="B42:L42"/>
    <mergeCell ref="I43:J43"/>
    <mergeCell ref="I44:J44"/>
    <mergeCell ref="H35:I35"/>
    <mergeCell ref="H34:I34"/>
    <mergeCell ref="C34:C35"/>
    <mergeCell ref="B34:B35"/>
    <mergeCell ref="B32:B33"/>
    <mergeCell ref="G15:I15"/>
    <mergeCell ref="B15:C15"/>
    <mergeCell ref="G18:I18"/>
    <mergeCell ref="G16:I16"/>
    <mergeCell ref="G25:I25"/>
    <mergeCell ref="G26:G27"/>
    <mergeCell ref="H26:H27"/>
    <mergeCell ref="I26:I27"/>
    <mergeCell ref="G32:I32"/>
    <mergeCell ref="B320:AC320"/>
    <mergeCell ref="B325:D325"/>
    <mergeCell ref="C2:D6"/>
    <mergeCell ref="AP50:AQ50"/>
    <mergeCell ref="AP49:AQ49"/>
    <mergeCell ref="AP32:AQ32"/>
    <mergeCell ref="AP31:AQ31"/>
    <mergeCell ref="AP14:AQ14"/>
    <mergeCell ref="AP13:AQ13"/>
    <mergeCell ref="AE37:BD37"/>
    <mergeCell ref="I49:J49"/>
    <mergeCell ref="C111:D111"/>
    <mergeCell ref="G28:I28"/>
    <mergeCell ref="C30:C31"/>
    <mergeCell ref="B30:B31"/>
    <mergeCell ref="C28:C29"/>
    <mergeCell ref="B28:B29"/>
    <mergeCell ref="C110:D110"/>
    <mergeCell ref="F58:G58"/>
    <mergeCell ref="H58:I58"/>
    <mergeCell ref="B57:L57"/>
    <mergeCell ref="K58:K59"/>
    <mergeCell ref="L58:L59"/>
    <mergeCell ref="F59:G59"/>
  </mergeCells>
  <phoneticPr fontId="51" type="noConversion"/>
  <conditionalFormatting sqref="B268:C269">
    <cfRule type="dataBar" priority="17">
      <dataBar>
        <cfvo type="formula" val="$R$139"/>
        <cfvo type="num" val="0"/>
        <color rgb="FFF0EAE4"/>
      </dataBar>
      <extLst>
        <ext xmlns:x14="http://schemas.microsoft.com/office/spreadsheetml/2009/9/main" uri="{B025F937-C7B1-47D3-B67F-A62EFF666E3E}">
          <x14:id>{52D739D3-4CB8-48B3-B24F-96557B44A07A}</x14:id>
        </ext>
      </extLst>
    </cfRule>
  </conditionalFormatting>
  <conditionalFormatting sqref="D321:D324">
    <cfRule type="containsText" dxfId="27" priority="2" operator="containsText" text="FALSE">
      <formula>NOT(ISERROR(SEARCH("FALSE",D321)))</formula>
    </cfRule>
    <cfRule type="containsText" dxfId="26" priority="3" operator="containsText" text="TRUE">
      <formula>NOT(ISERROR(SEARCH("TRUE",D321)))</formula>
    </cfRule>
  </conditionalFormatting>
  <conditionalFormatting sqref="F321:AC325">
    <cfRule type="expression" dxfId="25" priority="1">
      <formula>OR(AND(ISNUMBER(F321), ABS(F321) &lt; 0.0000001), F321="0", F321="0.00%")</formula>
    </cfRule>
  </conditionalFormatting>
  <conditionalFormatting sqref="AE3:AQ12">
    <cfRule type="expression" dxfId="24" priority="4">
      <formula>OR(AND(ISNUMBER(AE3), ABS(AE3) &lt; 0.0000001), AE3="0", AE3="0.00%")</formula>
    </cfRule>
  </conditionalFormatting>
  <conditionalFormatting sqref="AE39:AZ48">
    <cfRule type="expression" dxfId="23" priority="51">
      <formula>OR(AND(ISNUMBER(AE39), ABS(AE39) &lt; 0.0000001), AE39="0", AE39="0.00%")</formula>
    </cfRule>
  </conditionalFormatting>
  <conditionalFormatting sqref="AF14:AP14">
    <cfRule type="containsText" dxfId="22" priority="68" operator="containsText" text="TRUE">
      <formula>NOT(ISERROR(SEARCH("TRUE",AF14)))</formula>
    </cfRule>
    <cfRule type="containsText" dxfId="21" priority="67" operator="containsText" text="FALSE">
      <formula>NOT(ISERROR(SEARCH("FALSE",AF14)))</formula>
    </cfRule>
  </conditionalFormatting>
  <conditionalFormatting sqref="AF50:AP50">
    <cfRule type="containsText" dxfId="20" priority="53" operator="containsText" text="TRUE">
      <formula>NOT(ISERROR(SEARCH("TRUE",AF50)))</formula>
    </cfRule>
    <cfRule type="containsText" dxfId="19" priority="52" operator="containsText" text="FALSE">
      <formula>NOT(ISERROR(SEARCH("FALSE",AF50)))</formula>
    </cfRule>
  </conditionalFormatting>
  <conditionalFormatting sqref="AF21:AQ30">
    <cfRule type="expression" dxfId="18" priority="8">
      <formula>OR(AND(ISNUMBER(AF21), ABS(AF21) &lt; 0.0000001), AF21="0", AF21="0.00%")</formula>
    </cfRule>
  </conditionalFormatting>
  <conditionalFormatting sqref="AG32:AP32">
    <cfRule type="containsText" dxfId="17" priority="65" operator="containsText" text="TRUE">
      <formula>NOT(ISERROR(SEARCH("TRUE",AG32)))</formula>
    </cfRule>
    <cfRule type="containsText" dxfId="16" priority="64" operator="containsText" text="FALSE">
      <formula>NOT(ISERROR(SEARCH("FALSE",AG32)))</formula>
    </cfRule>
  </conditionalFormatting>
  <conditionalFormatting sqref="AO13:AP14 BD3:BD15 AP17:BA17 AP18:BB18 BD20:BD30 L60">
    <cfRule type="expression" dxfId="15" priority="99">
      <formula>OR(AND(ISNUMBER(L3), ABS(L3) &lt; 0.0000001), L3="0", L3="0.00%")</formula>
    </cfRule>
  </conditionalFormatting>
  <conditionalFormatting sqref="AO49:AP50 AR49:AZ50">
    <cfRule type="expression" dxfId="14" priority="55">
      <formula>OR(AND(ISNUMBER(AO49), ABS(AO49) &lt; 0.0000001), AO49="0", AO49="0.00%")</formula>
    </cfRule>
  </conditionalFormatting>
  <conditionalFormatting sqref="AR21:BA30 AO20:BA20">
    <cfRule type="expression" dxfId="13" priority="25">
      <formula>OR(AND(ISNUMBER(AO20), ABS(AO20) &lt; 0.0000001), AO20="0", AO20="0.00%")</formula>
    </cfRule>
  </conditionalFormatting>
  <conditionalFormatting sqref="AR3:BC14">
    <cfRule type="expression" dxfId="12" priority="26">
      <formula>OR(AND(ISNUMBER(AR3), ABS(AR3) &lt; 0.0000001), AR3="0", AR3="0.00%")</formula>
    </cfRule>
  </conditionalFormatting>
  <conditionalFormatting sqref="AR14:BD14 AR32:BD32 I33 AR50:BD50 D167:D175 D180:D189 D192:D216 D218:D221 B227:D227 AB260:AC260 D268:D275 D278:D291 D294:D297 D313">
    <cfRule type="containsText" dxfId="11" priority="111" operator="containsText" text="TRUE">
      <formula>NOT(ISERROR(SEARCH("TRUE",B14)))</formula>
    </cfRule>
  </conditionalFormatting>
  <conditionalFormatting sqref="AR14:BD14 AR50:BD50 AR32:BD32 I33 D167:D175 D180:D189 D192:D216 D218:D221 B227:D227 AB260:AC260 D268:D275 D278:D291 D294:D297 D313">
    <cfRule type="containsText" dxfId="10" priority="110" operator="containsText" text="FALSE">
      <formula>NOT(ISERROR(SEARCH("FALSE",B14)))</formula>
    </cfRule>
  </conditionalFormatting>
  <conditionalFormatting sqref="BA3:BA12 BA21:BA30 BA39:BA48">
    <cfRule type="cellIs" dxfId="9" priority="24" operator="greaterThan">
      <formula>1</formula>
    </cfRule>
    <cfRule type="cellIs" dxfId="8" priority="23" operator="lessThan">
      <formula>1</formula>
    </cfRule>
    <cfRule type="cellIs" dxfId="7" priority="22" operator="equal">
      <formula>0</formula>
    </cfRule>
    <cfRule type="containsText" dxfId="6" priority="21" operator="containsText" text="0.00">
      <formula>NOT(ISERROR(SEARCH("0.00",BA3)))</formula>
    </cfRule>
  </conditionalFormatting>
  <conditionalFormatting sqref="BA39:BD50">
    <cfRule type="expression" dxfId="5" priority="28">
      <formula>OR(AND(ISNUMBER(BA39), ABS(BA39) &lt; 0.0000001), BA39="0", BA39="0.00%")</formula>
    </cfRule>
  </conditionalFormatting>
  <conditionalFormatting sqref="BB21:BC32">
    <cfRule type="expression" dxfId="4" priority="37">
      <formula>OR(AND(ISNUMBER(BB21), ABS(BB21) &lt; 0.0000001), BB21="0", BB21="0.00%")</formula>
    </cfRule>
  </conditionalFormatting>
  <conditionalFormatting sqref="BN2:BS12">
    <cfRule type="expression" dxfId="3" priority="40">
      <formula>OR(AND(ISNUMBER(BN2), ABS(BN2) &lt; 0.0000001), BN2="0", BN2="0.00%")</formula>
    </cfRule>
  </conditionalFormatting>
  <conditionalFormatting sqref="BV9:BV16">
    <cfRule type="expression" dxfId="2" priority="7">
      <formula>OR(AND(ISNUMBER(BV9), ABS(BV9) &lt; 0.0000001), BV9="0", BV9="0.00%")</formula>
    </cfRule>
  </conditionalFormatting>
  <conditionalFormatting sqref="BV2:BW6 AO15:AZ15 AO16:AW16 AY16:AZ16 H19:I24 H29:I31 B44:L48 B59:J59 C61:L75 C86:E101 C104:E104 C105 C106:D107 C109:D116 C118:E119 C129:J138 M129:O138 R129:AC138 C147:M156 R147:AC156 F167:AC175 F192:AC216 F246:AC257 F272:AC297 F180:AC189">
    <cfRule type="expression" dxfId="1" priority="100">
      <formula>OR(AND(ISNUMBER(B2), ABS(B2) &lt; 0.0000001), B2="0", B2="0.00%")</formula>
    </cfRule>
  </conditionalFormatting>
  <conditionalFormatting sqref="BW9:CB18">
    <cfRule type="expression" dxfId="0" priority="6">
      <formula>OR(AND(ISNUMBER(BW9), ABS(BW9) &lt; 0.0000001), BW9="0", BW9="0.00%")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D739D3-4CB8-48B3-B24F-96557B44A07A}">
            <x14:dataBar minLength="0" maxLength="100">
              <x14:cfvo type="formula">
                <xm:f>$R$139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B268:C269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323B-D381-4623-80ED-3A7EF9817747}">
  <sheetPr codeName="Worksheet____2">
    <pageSetUpPr fitToPage="1"/>
  </sheetPr>
  <dimension ref="A1:BP168"/>
  <sheetViews>
    <sheetView rightToLeft="1" view="pageBreakPreview" zoomScale="70" zoomScaleNormal="70" zoomScaleSheetLayoutView="70" workbookViewId="0">
      <selection activeCell="J84" sqref="J84"/>
    </sheetView>
  </sheetViews>
  <sheetFormatPr defaultColWidth="9" defaultRowHeight="18.75" x14ac:dyDescent="0.2"/>
  <cols>
    <col min="1" max="1" width="6.375" style="89" customWidth="1"/>
    <col min="2" max="2" width="148.75" style="88" bestFit="1" customWidth="1"/>
    <col min="3" max="3" width="16" style="89" bestFit="1" customWidth="1"/>
    <col min="4" max="5" width="17.625" style="89" bestFit="1" customWidth="1"/>
    <col min="6" max="6" width="16.625" style="89" bestFit="1" customWidth="1"/>
    <col min="7" max="7" width="19.625" style="89" bestFit="1" customWidth="1"/>
    <col min="8" max="8" width="19.75" style="89" bestFit="1" customWidth="1"/>
    <col min="9" max="9" width="20.375" style="89" bestFit="1" customWidth="1"/>
    <col min="10" max="10" width="34" style="89" bestFit="1" customWidth="1"/>
    <col min="11" max="16" width="9" style="89"/>
    <col min="17" max="26" width="10.625" style="89" customWidth="1"/>
    <col min="27" max="27" width="14" style="89" bestFit="1" customWidth="1"/>
    <col min="28" max="29" width="9.25" style="89" bestFit="1" customWidth="1"/>
    <col min="30" max="30" width="57.625" style="89" bestFit="1" customWidth="1"/>
    <col min="31" max="32" width="10.625" style="89" customWidth="1"/>
    <col min="33" max="33" width="10.375" style="89" bestFit="1" customWidth="1"/>
    <col min="34" max="34" width="8.75" style="89" bestFit="1" customWidth="1"/>
    <col min="35" max="35" width="15.625" style="89" bestFit="1" customWidth="1"/>
    <col min="36" max="36" width="10.375" style="89" bestFit="1" customWidth="1"/>
    <col min="37" max="37" width="36.875" style="89" bestFit="1" customWidth="1"/>
    <col min="38" max="38" width="12" style="89" bestFit="1" customWidth="1"/>
    <col min="39" max="39" width="12.875" style="89" bestFit="1" customWidth="1"/>
    <col min="40" max="40" width="11.625" style="89" bestFit="1" customWidth="1"/>
    <col min="41" max="41" width="12.375" style="89" bestFit="1" customWidth="1"/>
    <col min="42" max="42" width="12" style="89" bestFit="1" customWidth="1"/>
    <col min="43" max="43" width="12.875" style="89" bestFit="1" customWidth="1"/>
    <col min="44" max="44" width="11.625" style="89" bestFit="1" customWidth="1"/>
    <col min="45" max="45" width="12.375" style="89" bestFit="1" customWidth="1"/>
    <col min="46" max="46" width="12" style="89" bestFit="1" customWidth="1"/>
    <col min="47" max="47" width="12.875" style="89" bestFit="1" customWidth="1"/>
    <col min="48" max="48" width="11.625" style="89" bestFit="1" customWidth="1"/>
    <col min="49" max="49" width="12.375" style="89" bestFit="1" customWidth="1"/>
    <col min="50" max="50" width="12" style="89" bestFit="1" customWidth="1"/>
    <col min="51" max="51" width="12.875" style="89" bestFit="1" customWidth="1"/>
    <col min="52" max="52" width="11.625" style="89" bestFit="1" customWidth="1"/>
    <col min="53" max="53" width="12.375" style="89" bestFit="1" customWidth="1"/>
    <col min="54" max="54" width="12" style="89" bestFit="1" customWidth="1"/>
    <col min="55" max="55" width="12.875" style="89" bestFit="1" customWidth="1"/>
    <col min="56" max="56" width="11.625" style="89" bestFit="1" customWidth="1"/>
    <col min="57" max="57" width="12.375" style="89" bestFit="1" customWidth="1"/>
    <col min="58" max="58" width="12" style="89" bestFit="1" customWidth="1"/>
    <col min="59" max="59" width="12.875" style="89" bestFit="1" customWidth="1"/>
    <col min="60" max="60" width="11.625" style="89" bestFit="1" customWidth="1"/>
    <col min="61" max="66" width="9" style="89"/>
    <col min="67" max="67" width="18.25" style="89" bestFit="1" customWidth="1"/>
    <col min="68" max="68" width="15.125" style="89" bestFit="1" customWidth="1"/>
    <col min="69" max="108" width="9" style="89"/>
    <col min="109" max="109" width="9.125" style="89" bestFit="1" customWidth="1"/>
    <col min="110" max="111" width="12.875" style="89" bestFit="1" customWidth="1"/>
    <col min="112" max="16384" width="9" style="89"/>
  </cols>
  <sheetData>
    <row r="1" spans="1:40" x14ac:dyDescent="0.2">
      <c r="A1" s="493"/>
      <c r="B1" s="494"/>
      <c r="C1" s="493"/>
      <c r="D1" s="493"/>
      <c r="E1" s="493"/>
      <c r="F1" s="493"/>
      <c r="G1" s="493"/>
      <c r="H1" s="493"/>
      <c r="I1" s="493"/>
      <c r="J1" s="493"/>
      <c r="K1" s="493"/>
    </row>
    <row r="2" spans="1:40" ht="21" x14ac:dyDescent="0.2">
      <c r="A2" s="493"/>
      <c r="B2" s="91" t="s">
        <v>248</v>
      </c>
      <c r="C2" s="87"/>
      <c r="D2" s="90"/>
      <c r="E2" s="90"/>
      <c r="F2" s="90"/>
      <c r="G2" s="90"/>
      <c r="H2" s="90"/>
      <c r="I2" s="90"/>
      <c r="J2" s="92" t="s">
        <v>247</v>
      </c>
      <c r="K2" s="496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</row>
    <row r="3" spans="1:40" ht="21" x14ac:dyDescent="0.2">
      <c r="A3" s="493"/>
      <c r="B3" s="93">
        <f>Study!F2</f>
        <v>0</v>
      </c>
      <c r="C3" s="94"/>
      <c r="D3" s="95"/>
      <c r="E3" s="95"/>
      <c r="F3" s="95"/>
      <c r="G3" s="95"/>
      <c r="H3" s="95"/>
      <c r="I3" s="745">
        <f>Study!F2</f>
        <v>0</v>
      </c>
      <c r="J3" s="746"/>
      <c r="K3" s="496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191"/>
      <c r="AJ3" s="191"/>
      <c r="AK3" s="191"/>
      <c r="AL3" s="191"/>
      <c r="AM3" s="191"/>
      <c r="AN3" s="191"/>
    </row>
    <row r="4" spans="1:40" x14ac:dyDescent="0.2">
      <c r="A4" s="493"/>
      <c r="B4" s="759" t="s">
        <v>291</v>
      </c>
      <c r="C4" s="96"/>
      <c r="D4" s="749" t="s">
        <v>520</v>
      </c>
      <c r="E4" s="749"/>
      <c r="F4" s="749"/>
      <c r="G4" s="749"/>
      <c r="H4" s="749"/>
      <c r="I4" s="749"/>
      <c r="J4" s="749"/>
      <c r="K4" s="496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</row>
    <row r="5" spans="1:40" x14ac:dyDescent="0.2">
      <c r="A5" s="493"/>
      <c r="B5" s="759"/>
      <c r="C5" s="96"/>
      <c r="D5" s="749"/>
      <c r="E5" s="749"/>
      <c r="F5" s="749"/>
      <c r="G5" s="749"/>
      <c r="H5" s="749"/>
      <c r="I5" s="749"/>
      <c r="J5" s="749"/>
      <c r="K5" s="496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</row>
    <row r="6" spans="1:40" x14ac:dyDescent="0.2">
      <c r="A6" s="493"/>
      <c r="B6" s="759"/>
      <c r="C6" s="96"/>
      <c r="D6" s="749"/>
      <c r="E6" s="749"/>
      <c r="F6" s="749"/>
      <c r="G6" s="749"/>
      <c r="H6" s="749"/>
      <c r="I6" s="749"/>
      <c r="J6" s="749"/>
      <c r="K6" s="496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</row>
    <row r="7" spans="1:40" x14ac:dyDescent="0.2">
      <c r="A7" s="493"/>
      <c r="B7" s="494"/>
      <c r="C7" s="493"/>
      <c r="D7" s="493"/>
      <c r="E7" s="493"/>
      <c r="F7" s="493"/>
      <c r="G7" s="493"/>
      <c r="H7" s="493"/>
      <c r="I7" s="493"/>
      <c r="J7" s="493"/>
      <c r="K7" s="496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</row>
    <row r="8" spans="1:40" ht="19.5" thickBot="1" x14ac:dyDescent="0.25">
      <c r="A8" s="493"/>
      <c r="B8" s="497" t="s">
        <v>252</v>
      </c>
      <c r="C8" s="498"/>
      <c r="D8" s="498"/>
      <c r="E8" s="498"/>
      <c r="F8" s="498"/>
      <c r="G8" s="499"/>
      <c r="H8" s="499"/>
      <c r="I8" s="499"/>
      <c r="J8" s="499"/>
      <c r="K8" s="496"/>
      <c r="L8" s="191"/>
      <c r="M8" s="191"/>
      <c r="N8" s="191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  <c r="AG8" s="191"/>
      <c r="AH8" s="191"/>
      <c r="AI8" s="191"/>
      <c r="AJ8" s="191"/>
      <c r="AK8" s="191"/>
      <c r="AL8" s="191"/>
      <c r="AM8" s="191"/>
    </row>
    <row r="9" spans="1:40" x14ac:dyDescent="0.2">
      <c r="A9" s="493"/>
      <c r="B9" s="500"/>
      <c r="C9" s="501"/>
      <c r="D9" s="501"/>
      <c r="E9" s="501"/>
      <c r="F9" s="501"/>
      <c r="G9" s="501"/>
      <c r="H9" s="501" t="s">
        <v>295</v>
      </c>
      <c r="I9" s="501" t="s">
        <v>296</v>
      </c>
      <c r="J9" s="501" t="s">
        <v>220</v>
      </c>
      <c r="K9" s="496"/>
      <c r="L9" s="191"/>
      <c r="M9" s="191"/>
      <c r="N9" s="191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L9" s="191"/>
      <c r="AM9" s="191"/>
      <c r="AN9" s="191"/>
    </row>
    <row r="10" spans="1:40" x14ac:dyDescent="0.2">
      <c r="A10" s="493"/>
      <c r="B10" s="502" t="s">
        <v>289</v>
      </c>
      <c r="C10" s="498"/>
      <c r="D10" s="498"/>
      <c r="E10" s="498"/>
      <c r="F10" s="498"/>
      <c r="G10" s="498"/>
      <c r="H10" s="503">
        <f>Study!C49</f>
        <v>16900</v>
      </c>
      <c r="I10" s="504">
        <f>Study!D49</f>
        <v>20000</v>
      </c>
      <c r="J10" s="505">
        <f>Study!E49</f>
        <v>338000000</v>
      </c>
      <c r="K10" s="496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L10" s="191"/>
      <c r="AM10" s="191"/>
      <c r="AN10" s="191"/>
    </row>
    <row r="11" spans="1:40" x14ac:dyDescent="0.2">
      <c r="A11" s="493"/>
      <c r="B11" s="502" t="s">
        <v>294</v>
      </c>
      <c r="C11" s="498"/>
      <c r="D11" s="498"/>
      <c r="E11" s="498"/>
      <c r="F11" s="498"/>
      <c r="G11" s="498"/>
      <c r="H11" s="506">
        <f>Study!E59</f>
        <v>99710</v>
      </c>
      <c r="I11" s="507">
        <f>J11/H11</f>
        <v>7649.8652539740306</v>
      </c>
      <c r="J11" s="505">
        <f>Study!C24</f>
        <v>762768064.47375059</v>
      </c>
      <c r="K11" s="496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</row>
    <row r="12" spans="1:40" x14ac:dyDescent="0.2">
      <c r="A12" s="493"/>
      <c r="B12" s="502" t="s">
        <v>275</v>
      </c>
      <c r="C12" s="498"/>
      <c r="D12" s="498"/>
      <c r="E12" s="498"/>
      <c r="F12" s="498"/>
      <c r="G12" s="498"/>
      <c r="H12" s="508">
        <f>Study!J59</f>
        <v>46772.439999999995</v>
      </c>
      <c r="I12" s="509">
        <f>J12/H12</f>
        <v>22303.364081496271</v>
      </c>
      <c r="J12" s="510">
        <f>Study!C17</f>
        <v>1043182758.2999394</v>
      </c>
      <c r="K12" s="496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</row>
    <row r="13" spans="1:40" ht="19.5" thickBot="1" x14ac:dyDescent="0.25">
      <c r="A13" s="493"/>
      <c r="B13" s="502"/>
      <c r="C13" s="498"/>
      <c r="D13" s="498"/>
      <c r="E13" s="498"/>
      <c r="F13" s="498"/>
      <c r="G13" s="498"/>
      <c r="H13" s="511"/>
      <c r="I13" s="512"/>
      <c r="J13" s="505"/>
      <c r="K13" s="496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</row>
    <row r="14" spans="1:40" x14ac:dyDescent="0.2">
      <c r="A14" s="493"/>
      <c r="B14" s="750" t="s">
        <v>305</v>
      </c>
      <c r="C14" s="750"/>
      <c r="D14" s="750"/>
      <c r="E14" s="750"/>
      <c r="F14" s="750"/>
      <c r="G14" s="750"/>
      <c r="H14" s="755" t="s">
        <v>300</v>
      </c>
      <c r="I14" s="755" t="s">
        <v>298</v>
      </c>
      <c r="J14" s="755" t="s">
        <v>299</v>
      </c>
      <c r="K14" s="496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</row>
    <row r="15" spans="1:40" x14ac:dyDescent="0.2">
      <c r="A15" s="493"/>
      <c r="B15" s="751"/>
      <c r="C15" s="751"/>
      <c r="D15" s="751"/>
      <c r="E15" s="751"/>
      <c r="F15" s="751"/>
      <c r="G15" s="751"/>
      <c r="H15" s="756"/>
      <c r="I15" s="756"/>
      <c r="J15" s="756"/>
      <c r="K15" s="496"/>
      <c r="L15" s="191"/>
      <c r="M15" s="191"/>
      <c r="N15" s="191"/>
      <c r="O15" s="191"/>
      <c r="P15" s="191"/>
      <c r="Q15" s="8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</row>
    <row r="16" spans="1:40" x14ac:dyDescent="0.2">
      <c r="A16" s="493"/>
      <c r="B16" s="751"/>
      <c r="C16" s="751"/>
      <c r="D16" s="751"/>
      <c r="E16" s="751"/>
      <c r="F16" s="751"/>
      <c r="G16" s="751"/>
      <c r="H16" s="753">
        <f>J82/H10</f>
        <v>20575</v>
      </c>
      <c r="I16" s="757">
        <f>((J82/J129)*J12)/H10</f>
        <v>28138.940592418945</v>
      </c>
      <c r="J16" s="757">
        <f>I16-H16</f>
        <v>7563.940592418945</v>
      </c>
      <c r="K16" s="496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</row>
    <row r="17" spans="1:62" ht="19.5" thickBot="1" x14ac:dyDescent="0.25">
      <c r="A17" s="493"/>
      <c r="B17" s="752"/>
      <c r="C17" s="752"/>
      <c r="D17" s="752"/>
      <c r="E17" s="752"/>
      <c r="F17" s="752"/>
      <c r="G17" s="752"/>
      <c r="H17" s="754"/>
      <c r="I17" s="758"/>
      <c r="J17" s="758"/>
      <c r="K17" s="496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191"/>
      <c r="AW17" s="191"/>
      <c r="AX17" s="191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191"/>
      <c r="BJ17" s="191"/>
    </row>
    <row r="18" spans="1:62" x14ac:dyDescent="0.2">
      <c r="A18" s="493"/>
      <c r="B18" s="764" t="s">
        <v>187</v>
      </c>
      <c r="C18" s="767" t="s">
        <v>288</v>
      </c>
      <c r="D18" s="767"/>
      <c r="E18" s="747" t="s">
        <v>258</v>
      </c>
      <c r="F18" s="747"/>
      <c r="G18" s="747" t="s">
        <v>259</v>
      </c>
      <c r="H18" s="747"/>
      <c r="I18" s="747" t="s">
        <v>260</v>
      </c>
      <c r="J18" s="747"/>
      <c r="K18" s="496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91"/>
      <c r="AV18" s="191"/>
      <c r="AW18" s="191"/>
      <c r="AX18" s="191"/>
      <c r="AY18" s="191"/>
      <c r="AZ18" s="191"/>
      <c r="BA18" s="191"/>
      <c r="BB18" s="191"/>
      <c r="BC18" s="191"/>
      <c r="BD18" s="191"/>
      <c r="BE18" s="191"/>
      <c r="BF18" s="191"/>
      <c r="BG18" s="191"/>
      <c r="BH18" s="191"/>
      <c r="BI18" s="191"/>
      <c r="BJ18" s="191"/>
    </row>
    <row r="19" spans="1:62" x14ac:dyDescent="0.2">
      <c r="A19" s="493"/>
      <c r="B19" s="765"/>
      <c r="C19" s="768"/>
      <c r="D19" s="768"/>
      <c r="E19" s="748"/>
      <c r="F19" s="748"/>
      <c r="G19" s="748"/>
      <c r="H19" s="748"/>
      <c r="I19" s="748"/>
      <c r="J19" s="748"/>
      <c r="K19" s="496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91"/>
      <c r="AV19" s="191"/>
      <c r="AW19" s="191"/>
      <c r="AX19" s="191"/>
      <c r="AY19" s="191"/>
      <c r="AZ19" s="191"/>
      <c r="BA19" s="191"/>
      <c r="BB19" s="191"/>
      <c r="BC19" s="191"/>
      <c r="BD19" s="191"/>
      <c r="BE19" s="191"/>
      <c r="BF19" s="191"/>
      <c r="BG19" s="191"/>
      <c r="BH19" s="191"/>
      <c r="BI19" s="191"/>
      <c r="BJ19" s="191"/>
    </row>
    <row r="20" spans="1:62" x14ac:dyDescent="0.2">
      <c r="A20" s="493"/>
      <c r="B20" s="765"/>
      <c r="C20" s="768"/>
      <c r="D20" s="768"/>
      <c r="E20" s="748"/>
      <c r="F20" s="748"/>
      <c r="G20" s="748"/>
      <c r="H20" s="748"/>
      <c r="I20" s="748"/>
      <c r="J20" s="748"/>
      <c r="K20" s="496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1"/>
      <c r="BD20" s="191"/>
      <c r="BE20" s="191"/>
      <c r="BF20" s="191"/>
      <c r="BG20" s="191"/>
      <c r="BH20" s="191"/>
      <c r="BI20" s="191"/>
      <c r="BJ20" s="191"/>
    </row>
    <row r="21" spans="1:62" x14ac:dyDescent="0.2">
      <c r="A21" s="493"/>
      <c r="B21" s="765"/>
      <c r="C21" s="769">
        <f>Study!C28</f>
        <v>0.1419998109340668</v>
      </c>
      <c r="D21" s="769"/>
      <c r="E21" s="769">
        <f>Study!C30</f>
        <v>0.35349908930995627</v>
      </c>
      <c r="F21" s="769"/>
      <c r="G21" s="769">
        <f>Study!C32</f>
        <v>0.649432129254646</v>
      </c>
      <c r="H21" s="769"/>
      <c r="I21" s="769">
        <f>Study!C34</f>
        <v>0.16955846007006134</v>
      </c>
      <c r="J21" s="769"/>
      <c r="K21" s="496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1"/>
      <c r="AW21" s="191"/>
      <c r="AX21" s="191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</row>
    <row r="22" spans="1:62" x14ac:dyDescent="0.2">
      <c r="A22" s="493"/>
      <c r="B22" s="765"/>
      <c r="C22" s="769"/>
      <c r="D22" s="769"/>
      <c r="E22" s="769"/>
      <c r="F22" s="769"/>
      <c r="G22" s="769"/>
      <c r="H22" s="769"/>
      <c r="I22" s="769"/>
      <c r="J22" s="769"/>
      <c r="K22" s="496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</row>
    <row r="23" spans="1:62" ht="19.5" thickBot="1" x14ac:dyDescent="0.25">
      <c r="A23" s="493"/>
      <c r="B23" s="766"/>
      <c r="C23" s="770"/>
      <c r="D23" s="770"/>
      <c r="E23" s="770"/>
      <c r="F23" s="770"/>
      <c r="G23" s="770"/>
      <c r="H23" s="770"/>
      <c r="I23" s="770"/>
      <c r="J23" s="770"/>
      <c r="K23" s="496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</row>
    <row r="24" spans="1:62" ht="26.25" x14ac:dyDescent="0.2">
      <c r="A24" s="493"/>
      <c r="B24" s="513"/>
      <c r="C24" s="762" t="s">
        <v>61</v>
      </c>
      <c r="D24" s="762" t="s">
        <v>60</v>
      </c>
      <c r="E24" s="514"/>
      <c r="F24" s="514"/>
      <c r="G24" s="762" t="str">
        <f>Study!AU2</f>
        <v>إجمالي تكاليف كل مكون</v>
      </c>
      <c r="H24" s="762" t="str">
        <f>Study!AY2</f>
        <v>صافي العائد لكل م² بيعي</v>
      </c>
      <c r="I24" s="762" t="s">
        <v>64</v>
      </c>
      <c r="J24" s="760" t="s">
        <v>65</v>
      </c>
      <c r="K24" s="496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</row>
    <row r="25" spans="1:62" ht="19.5" thickBot="1" x14ac:dyDescent="0.25">
      <c r="A25" s="493"/>
      <c r="B25" s="515" t="s">
        <v>306</v>
      </c>
      <c r="C25" s="763"/>
      <c r="D25" s="763"/>
      <c r="E25" s="497"/>
      <c r="F25" s="497"/>
      <c r="G25" s="763"/>
      <c r="H25" s="763"/>
      <c r="I25" s="763"/>
      <c r="J25" s="761"/>
      <c r="K25" s="496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</row>
    <row r="26" spans="1:62" x14ac:dyDescent="0.2">
      <c r="A26" s="493"/>
      <c r="B26" s="516" t="s">
        <v>290</v>
      </c>
      <c r="C26" s="517">
        <f>Study!H61</f>
        <v>220</v>
      </c>
      <c r="D26" s="517">
        <f>Study!G61</f>
        <v>128.76263636363635</v>
      </c>
      <c r="E26" s="514"/>
      <c r="F26" s="514"/>
      <c r="G26" s="518">
        <f>Study!AU39</f>
        <v>398270099.52348459</v>
      </c>
      <c r="H26" s="519">
        <f>Study!AY3</f>
        <v>-1605.3700197546311</v>
      </c>
      <c r="I26" s="519">
        <f>Study!AZ3</f>
        <v>-27285941.242922902</v>
      </c>
      <c r="J26" s="520">
        <f>Study!BD3</f>
        <v>-0.11381268392862459</v>
      </c>
      <c r="K26" s="496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</row>
    <row r="27" spans="1:62" x14ac:dyDescent="0.2">
      <c r="A27" s="493"/>
      <c r="B27" s="521" t="s">
        <v>276</v>
      </c>
      <c r="C27" s="517">
        <f>Study!H62</f>
        <v>0</v>
      </c>
      <c r="D27" s="517" t="str">
        <f>Study!G62</f>
        <v>0</v>
      </c>
      <c r="E27" s="514"/>
      <c r="F27" s="514"/>
      <c r="G27" s="518">
        <f>Study!AU40</f>
        <v>0</v>
      </c>
      <c r="H27" s="519" t="str">
        <f>Study!AY4</f>
        <v>0</v>
      </c>
      <c r="I27" s="519">
        <f>Study!AZ4</f>
        <v>0</v>
      </c>
      <c r="J27" s="520" t="str">
        <f>Study!BD4</f>
        <v>0.00%</v>
      </c>
      <c r="K27" s="496"/>
      <c r="L27" s="191"/>
      <c r="M27" s="191"/>
      <c r="N27" s="191"/>
      <c r="O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1"/>
      <c r="BD27" s="191"/>
      <c r="BE27" s="191"/>
      <c r="BF27" s="191"/>
      <c r="BG27" s="191"/>
      <c r="BH27" s="191"/>
      <c r="BI27" s="191"/>
      <c r="BJ27" s="191"/>
    </row>
    <row r="28" spans="1:62" x14ac:dyDescent="0.2">
      <c r="A28" s="493"/>
      <c r="B28" s="522" t="s">
        <v>277</v>
      </c>
      <c r="C28" s="517">
        <f>Study!H63</f>
        <v>0</v>
      </c>
      <c r="D28" s="517" t="str">
        <f>Study!G63</f>
        <v>0</v>
      </c>
      <c r="E28" s="514"/>
      <c r="F28" s="514"/>
      <c r="G28" s="518">
        <f>Study!AU41</f>
        <v>0</v>
      </c>
      <c r="H28" s="519" t="str">
        <f>Study!AY5</f>
        <v>0</v>
      </c>
      <c r="I28" s="519">
        <f>Study!AZ5</f>
        <v>0</v>
      </c>
      <c r="J28" s="520" t="str">
        <f>Study!BD5</f>
        <v>0.00%</v>
      </c>
      <c r="K28" s="496"/>
      <c r="L28" s="191"/>
      <c r="M28" s="191"/>
      <c r="N28" s="191"/>
      <c r="O28" s="191"/>
      <c r="AO28" s="439"/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  <c r="BD28" s="191"/>
      <c r="BE28" s="191"/>
      <c r="BF28" s="191"/>
      <c r="BG28" s="191"/>
      <c r="BH28" s="191"/>
      <c r="BI28" s="191"/>
      <c r="BJ28" s="191"/>
    </row>
    <row r="29" spans="1:62" x14ac:dyDescent="0.2">
      <c r="A29" s="493"/>
      <c r="B29" s="502" t="s">
        <v>278</v>
      </c>
      <c r="C29" s="517">
        <f>Study!H64</f>
        <v>0</v>
      </c>
      <c r="D29" s="517" t="str">
        <f>Study!G64</f>
        <v>0</v>
      </c>
      <c r="E29" s="514"/>
      <c r="F29" s="514"/>
      <c r="G29" s="518">
        <f>Study!AU42</f>
        <v>0</v>
      </c>
      <c r="H29" s="519" t="str">
        <f>Study!AY6</f>
        <v>0</v>
      </c>
      <c r="I29" s="519">
        <f>Study!AZ6</f>
        <v>0</v>
      </c>
      <c r="J29" s="520" t="str">
        <f>Study!BD6</f>
        <v>0.00%</v>
      </c>
      <c r="K29" s="496"/>
      <c r="L29" s="191"/>
      <c r="M29" s="191"/>
      <c r="N29" s="191"/>
      <c r="O29" s="191"/>
      <c r="AO29" s="192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</row>
    <row r="30" spans="1:62" x14ac:dyDescent="0.2">
      <c r="A30" s="493"/>
      <c r="B30" s="502" t="s">
        <v>279</v>
      </c>
      <c r="C30" s="517">
        <f>Study!H65</f>
        <v>0</v>
      </c>
      <c r="D30" s="517" t="str">
        <f>Study!G65</f>
        <v>0</v>
      </c>
      <c r="E30" s="514"/>
      <c r="F30" s="514"/>
      <c r="G30" s="518">
        <f>Study!AU43</f>
        <v>0</v>
      </c>
      <c r="H30" s="519" t="str">
        <f>Study!AY7</f>
        <v>0</v>
      </c>
      <c r="I30" s="519">
        <f>Study!AZ7</f>
        <v>0</v>
      </c>
      <c r="J30" s="520" t="str">
        <f>Study!BD7</f>
        <v>0.00%</v>
      </c>
      <c r="K30" s="496"/>
      <c r="L30" s="191"/>
      <c r="M30" s="191"/>
      <c r="N30" s="191"/>
      <c r="O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</row>
    <row r="31" spans="1:62" x14ac:dyDescent="0.2">
      <c r="A31" s="493"/>
      <c r="B31" s="522" t="s">
        <v>304</v>
      </c>
      <c r="C31" s="517">
        <f>Study!H66</f>
        <v>40</v>
      </c>
      <c r="D31" s="517">
        <f>Study!G66</f>
        <v>170.94350000000003</v>
      </c>
      <c r="E31" s="514"/>
      <c r="F31" s="514"/>
      <c r="G31" s="518">
        <f>Study!AU44</f>
        <v>116697014.69402456</v>
      </c>
      <c r="H31" s="519">
        <f>Study!AY8</f>
        <v>9198.3939731512837</v>
      </c>
      <c r="I31" s="519">
        <f>Study!AZ8</f>
        <v>62896226.405975461</v>
      </c>
      <c r="J31" s="520">
        <f>Study!BD8</f>
        <v>0.54221088061777656</v>
      </c>
      <c r="K31" s="496"/>
      <c r="L31" s="191"/>
      <c r="M31" s="191"/>
      <c r="N31" s="191"/>
      <c r="O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</row>
    <row r="32" spans="1:62" x14ac:dyDescent="0.2">
      <c r="A32" s="493"/>
      <c r="B32" s="502" t="s">
        <v>280</v>
      </c>
      <c r="C32" s="517">
        <f>Study!H67</f>
        <v>40</v>
      </c>
      <c r="D32" s="517">
        <f>Study!G67</f>
        <v>122.10249999999999</v>
      </c>
      <c r="E32" s="514"/>
      <c r="F32" s="514"/>
      <c r="G32" s="518">
        <f>Study!AU9</f>
        <v>76068927.45378311</v>
      </c>
      <c r="H32" s="519">
        <f>Study!AY9</f>
        <v>10690.190423254417</v>
      </c>
      <c r="I32" s="519">
        <f>Study!AZ9</f>
        <v>52211959.04621689</v>
      </c>
      <c r="J32" s="520">
        <f>Study!BD9</f>
        <v>0.69090169889513353</v>
      </c>
      <c r="K32" s="496"/>
      <c r="L32" s="191"/>
      <c r="M32" s="191"/>
      <c r="N32" s="191"/>
      <c r="O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</row>
    <row r="33" spans="1:62" x14ac:dyDescent="0.2">
      <c r="A33" s="493"/>
      <c r="B33" s="502" t="s">
        <v>281</v>
      </c>
      <c r="C33" s="517">
        <f>Study!H68</f>
        <v>200</v>
      </c>
      <c r="D33" s="517">
        <f>Study!G68</f>
        <v>33.614100000000001</v>
      </c>
      <c r="E33" s="514"/>
      <c r="F33" s="514"/>
      <c r="G33" s="518">
        <f>Study!AU10</f>
        <v>182481998.85965833</v>
      </c>
      <c r="H33" s="519">
        <f>Study!AY10</f>
        <v>28857.646916952111</v>
      </c>
      <c r="I33" s="519">
        <f>Study!AZ10</f>
        <v>194004765.84622398</v>
      </c>
      <c r="J33" s="520">
        <f>Study!BD10</f>
        <v>1.1220585632263256</v>
      </c>
      <c r="K33" s="496"/>
      <c r="L33" s="191"/>
      <c r="M33" s="191"/>
      <c r="N33" s="191"/>
      <c r="O33" s="191"/>
      <c r="AO33" s="191"/>
      <c r="AP33" s="191"/>
      <c r="AQ33" s="191"/>
      <c r="AR33" s="191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1"/>
      <c r="BD33" s="191"/>
      <c r="BE33" s="191"/>
      <c r="BF33" s="191"/>
      <c r="BG33" s="191"/>
      <c r="BH33" s="191"/>
      <c r="BI33" s="191"/>
      <c r="BJ33" s="191"/>
    </row>
    <row r="34" spans="1:62" x14ac:dyDescent="0.2">
      <c r="A34" s="493"/>
      <c r="B34" s="502" t="s">
        <v>282</v>
      </c>
      <c r="C34" s="517">
        <f>Study!H69</f>
        <v>0</v>
      </c>
      <c r="D34" s="517" t="str">
        <f>Study!G69</f>
        <v>0</v>
      </c>
      <c r="E34" s="514"/>
      <c r="F34" s="514"/>
      <c r="G34" s="518">
        <f>Study!AU47</f>
        <v>0</v>
      </c>
      <c r="H34" s="519" t="str">
        <f>Study!AY11</f>
        <v>0</v>
      </c>
      <c r="I34" s="519">
        <f>Study!AZ11</f>
        <v>0</v>
      </c>
      <c r="J34" s="520" t="str">
        <f>Study!BD11</f>
        <v>0.00%</v>
      </c>
      <c r="K34" s="496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</row>
    <row r="35" spans="1:62" x14ac:dyDescent="0.2">
      <c r="A35" s="493"/>
      <c r="B35" s="522" t="s">
        <v>519</v>
      </c>
      <c r="C35" s="517">
        <f>Study!H70</f>
        <v>0</v>
      </c>
      <c r="D35" s="517" t="str">
        <f>Study!G70</f>
        <v>0</v>
      </c>
      <c r="E35" s="514"/>
      <c r="F35" s="514"/>
      <c r="G35" s="518">
        <f>Study!AU48</f>
        <v>26901.622800000001</v>
      </c>
      <c r="H35" s="519" t="str">
        <f>Study!AY12</f>
        <v>0</v>
      </c>
      <c r="I35" s="519">
        <f>Study!AZ12</f>
        <v>27387133.040057141</v>
      </c>
      <c r="J35" s="520">
        <f>Study!BD12</f>
        <v>1018.0476190476189</v>
      </c>
      <c r="K35" s="496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91"/>
      <c r="AV35" s="191"/>
      <c r="AW35" s="191"/>
      <c r="AX35" s="191"/>
      <c r="AY35" s="191"/>
      <c r="AZ35" s="191"/>
      <c r="BA35" s="191"/>
      <c r="BB35" s="191"/>
      <c r="BC35" s="191"/>
      <c r="BD35" s="191"/>
      <c r="BE35" s="191"/>
      <c r="BF35" s="191"/>
      <c r="BG35" s="191"/>
      <c r="BH35" s="191"/>
      <c r="BI35" s="191"/>
      <c r="BJ35" s="191"/>
    </row>
    <row r="36" spans="1:62" ht="26.25" x14ac:dyDescent="0.2">
      <c r="A36" s="493"/>
      <c r="B36" s="513"/>
      <c r="C36" s="517"/>
      <c r="D36" s="517"/>
      <c r="E36" s="514"/>
      <c r="F36" s="514"/>
      <c r="G36" s="514"/>
      <c r="H36" s="517"/>
      <c r="I36" s="514"/>
      <c r="J36" s="514"/>
      <c r="K36" s="496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  <c r="BC36" s="191"/>
      <c r="BD36" s="191"/>
      <c r="BE36" s="191"/>
      <c r="BF36" s="191"/>
      <c r="BG36" s="191"/>
      <c r="BH36" s="191"/>
      <c r="BI36" s="191"/>
      <c r="BJ36" s="191"/>
    </row>
    <row r="37" spans="1:62" ht="19.5" thickBot="1" x14ac:dyDescent="0.25">
      <c r="A37" s="493"/>
      <c r="B37" s="497"/>
      <c r="C37" s="517"/>
      <c r="D37" s="517"/>
      <c r="E37" s="497"/>
      <c r="F37" s="497"/>
      <c r="G37" s="497"/>
      <c r="H37" s="497"/>
      <c r="I37" s="497"/>
      <c r="J37" s="497"/>
      <c r="K37" s="496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  <c r="BC37" s="191"/>
      <c r="BD37" s="191"/>
      <c r="BE37" s="191"/>
      <c r="BF37" s="191"/>
      <c r="BG37" s="191"/>
      <c r="BH37" s="191"/>
      <c r="BI37" s="191"/>
      <c r="BJ37" s="191"/>
    </row>
    <row r="38" spans="1:62" x14ac:dyDescent="0.2">
      <c r="A38" s="493"/>
      <c r="B38" s="523" t="s">
        <v>133</v>
      </c>
      <c r="C38" s="523"/>
      <c r="D38" s="524"/>
      <c r="E38" s="524"/>
      <c r="F38" s="524"/>
      <c r="G38" s="524"/>
      <c r="H38" s="524"/>
      <c r="I38" s="524"/>
      <c r="J38" s="525">
        <f>Study!D122</f>
        <v>3.8301369863013703</v>
      </c>
      <c r="K38" s="496"/>
      <c r="L38" s="191"/>
      <c r="M38" s="191"/>
      <c r="N38" s="191"/>
      <c r="O38" s="191"/>
      <c r="P38" s="191"/>
      <c r="Q38" s="191"/>
      <c r="R38" s="191"/>
      <c r="S38" s="191"/>
      <c r="T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1"/>
      <c r="AW38" s="191"/>
      <c r="AX38" s="191"/>
      <c r="AY38" s="191"/>
      <c r="AZ38" s="191"/>
      <c r="BA38" s="191"/>
      <c r="BB38" s="191"/>
      <c r="BC38" s="191"/>
      <c r="BD38" s="191"/>
      <c r="BE38" s="191"/>
      <c r="BF38" s="191"/>
      <c r="BG38" s="191"/>
      <c r="BH38" s="191"/>
      <c r="BI38" s="191"/>
      <c r="BJ38" s="191"/>
    </row>
    <row r="39" spans="1:62" ht="14.25" customHeight="1" x14ac:dyDescent="0.2">
      <c r="A39" s="493"/>
      <c r="B39" s="521"/>
      <c r="C39" s="526"/>
      <c r="D39" s="521"/>
      <c r="E39" s="521"/>
      <c r="F39" s="521"/>
      <c r="G39" s="521"/>
      <c r="H39" s="521"/>
      <c r="I39" s="521"/>
      <c r="J39" s="526"/>
      <c r="K39" s="493"/>
      <c r="L39" s="191"/>
      <c r="M39" s="191"/>
      <c r="N39" s="191"/>
      <c r="O39" s="191"/>
      <c r="R39" s="191"/>
      <c r="S39" s="191"/>
      <c r="T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91"/>
      <c r="AV39" s="191"/>
      <c r="AW39" s="191"/>
      <c r="AX39" s="191"/>
      <c r="AY39" s="191"/>
      <c r="AZ39" s="191"/>
      <c r="BA39" s="191"/>
      <c r="BB39" s="191"/>
      <c r="BC39" s="191"/>
      <c r="BD39" s="191"/>
      <c r="BE39" s="191"/>
      <c r="BF39" s="191"/>
      <c r="BG39" s="191"/>
      <c r="BH39" s="191"/>
      <c r="BI39" s="191"/>
      <c r="BJ39" s="191"/>
    </row>
    <row r="40" spans="1:62" x14ac:dyDescent="0.2">
      <c r="A40" s="493"/>
      <c r="B40" s="521"/>
      <c r="C40" s="521"/>
      <c r="D40" s="521"/>
      <c r="E40" s="521"/>
      <c r="F40" s="521"/>
      <c r="G40" s="521"/>
      <c r="H40" s="521"/>
      <c r="I40" s="521"/>
      <c r="J40" s="521"/>
      <c r="K40" s="493"/>
      <c r="L40" s="191"/>
      <c r="M40" s="191"/>
      <c r="N40" s="191"/>
      <c r="O40" s="191"/>
      <c r="R40" s="191"/>
      <c r="S40" s="191"/>
      <c r="T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</row>
    <row r="41" spans="1:62" x14ac:dyDescent="0.2">
      <c r="A41" s="493"/>
      <c r="B41" s="521"/>
      <c r="C41" s="521"/>
      <c r="D41" s="521"/>
      <c r="E41" s="521"/>
      <c r="F41" s="521"/>
      <c r="G41" s="521"/>
      <c r="H41" s="521"/>
      <c r="I41" s="521"/>
      <c r="J41" s="521"/>
      <c r="K41" s="493"/>
      <c r="L41" s="191"/>
      <c r="M41" s="191"/>
      <c r="N41" s="191"/>
      <c r="O41" s="191"/>
      <c r="R41" s="191"/>
      <c r="S41" s="191"/>
      <c r="T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</row>
    <row r="42" spans="1:62" x14ac:dyDescent="0.2">
      <c r="A42" s="493"/>
      <c r="B42" s="502"/>
      <c r="C42" s="502"/>
      <c r="D42" s="502"/>
      <c r="E42" s="502"/>
      <c r="F42" s="502"/>
      <c r="G42" s="502"/>
      <c r="H42" s="502"/>
      <c r="I42" s="502"/>
      <c r="J42" s="502"/>
      <c r="K42" s="493"/>
      <c r="L42" s="191"/>
      <c r="M42" s="191"/>
      <c r="N42" s="191"/>
      <c r="O42" s="191"/>
      <c r="R42" s="191"/>
      <c r="S42" s="191"/>
      <c r="T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</row>
    <row r="43" spans="1:62" x14ac:dyDescent="0.2">
      <c r="A43" s="493"/>
      <c r="B43" s="521"/>
      <c r="C43" s="521"/>
      <c r="D43" s="521"/>
      <c r="E43" s="521"/>
      <c r="F43" s="521"/>
      <c r="G43" s="521"/>
      <c r="H43" s="521"/>
      <c r="I43" s="521"/>
      <c r="J43" s="521"/>
      <c r="K43" s="493"/>
      <c r="L43" s="191"/>
      <c r="M43" s="191"/>
      <c r="N43" s="191"/>
      <c r="O43" s="191"/>
      <c r="R43" s="191"/>
      <c r="S43" s="191"/>
      <c r="T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</row>
    <row r="44" spans="1:62" x14ac:dyDescent="0.2">
      <c r="A44" s="493"/>
      <c r="B44" s="502"/>
      <c r="C44" s="502"/>
      <c r="D44" s="502"/>
      <c r="E44" s="502"/>
      <c r="F44" s="502"/>
      <c r="G44" s="502"/>
      <c r="H44" s="502"/>
      <c r="I44" s="502"/>
      <c r="J44" s="502"/>
      <c r="K44" s="493"/>
      <c r="L44" s="191"/>
      <c r="M44" s="191"/>
      <c r="N44" s="191"/>
      <c r="O44" s="191"/>
      <c r="R44" s="191"/>
      <c r="S44" s="191"/>
      <c r="T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1"/>
      <c r="AP44" s="191"/>
      <c r="AQ44" s="191"/>
      <c r="AR44" s="191"/>
      <c r="AS44" s="191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</row>
    <row r="45" spans="1:62" x14ac:dyDescent="0.2">
      <c r="A45" s="493"/>
      <c r="B45" s="521"/>
      <c r="C45" s="521"/>
      <c r="D45" s="521"/>
      <c r="E45" s="521"/>
      <c r="F45" s="521"/>
      <c r="G45" s="521"/>
      <c r="H45" s="521"/>
      <c r="I45" s="521"/>
      <c r="J45" s="521"/>
      <c r="K45" s="493"/>
      <c r="L45" s="191"/>
      <c r="M45" s="191"/>
      <c r="N45" s="191"/>
      <c r="O45" s="191"/>
      <c r="R45" s="191"/>
      <c r="S45" s="191"/>
      <c r="T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</row>
    <row r="46" spans="1:62" x14ac:dyDescent="0.2">
      <c r="A46" s="493"/>
      <c r="B46" s="502"/>
      <c r="C46" s="502"/>
      <c r="D46" s="502"/>
      <c r="E46" s="502"/>
      <c r="F46" s="502"/>
      <c r="G46" s="502"/>
      <c r="H46" s="502"/>
      <c r="I46" s="502"/>
      <c r="J46" s="502"/>
      <c r="K46" s="493"/>
      <c r="L46" s="191"/>
      <c r="M46" s="191"/>
      <c r="N46" s="191"/>
      <c r="O46" s="191"/>
      <c r="P46" s="191"/>
      <c r="Q46" s="191"/>
      <c r="R46" s="191"/>
      <c r="S46" s="191"/>
      <c r="T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1"/>
      <c r="AP46" s="191"/>
      <c r="AQ46" s="191"/>
      <c r="AR46" s="191"/>
      <c r="AS46" s="191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</row>
    <row r="47" spans="1:62" x14ac:dyDescent="0.2">
      <c r="A47" s="493"/>
      <c r="B47" s="521"/>
      <c r="C47" s="521"/>
      <c r="D47" s="521"/>
      <c r="E47" s="521"/>
      <c r="F47" s="521"/>
      <c r="G47" s="521"/>
      <c r="H47" s="521"/>
      <c r="I47" s="521"/>
      <c r="J47" s="521"/>
      <c r="K47" s="493"/>
      <c r="L47" s="191"/>
      <c r="M47" s="191"/>
      <c r="N47" s="191"/>
      <c r="O47" s="191"/>
      <c r="P47" s="191"/>
      <c r="Q47" s="191"/>
      <c r="R47" s="191"/>
      <c r="S47" s="191"/>
      <c r="T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1"/>
      <c r="AP47" s="191"/>
      <c r="AQ47" s="191"/>
      <c r="AR47" s="191"/>
      <c r="AS47" s="191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</row>
    <row r="48" spans="1:62" x14ac:dyDescent="0.2">
      <c r="A48" s="493"/>
      <c r="B48" s="502"/>
      <c r="C48" s="502"/>
      <c r="D48" s="502"/>
      <c r="E48" s="502"/>
      <c r="F48" s="502"/>
      <c r="G48" s="502"/>
      <c r="H48" s="502"/>
      <c r="I48" s="502"/>
      <c r="J48" s="502"/>
      <c r="K48" s="493"/>
      <c r="L48" s="191"/>
      <c r="M48" s="191"/>
      <c r="N48" s="191"/>
      <c r="O48" s="191"/>
      <c r="P48" s="191"/>
      <c r="Q48" s="191"/>
      <c r="R48" s="191"/>
      <c r="S48" s="191"/>
      <c r="T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191"/>
      <c r="AL48" s="191"/>
      <c r="AM48" s="191"/>
      <c r="AN48" s="191"/>
      <c r="AO48" s="191"/>
      <c r="AQ48" s="191"/>
      <c r="AR48" s="191"/>
      <c r="AS48" s="191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</row>
    <row r="49" spans="1:62" x14ac:dyDescent="0.2">
      <c r="A49" s="493"/>
      <c r="B49" s="502"/>
      <c r="C49" s="502"/>
      <c r="D49" s="502"/>
      <c r="E49" s="502"/>
      <c r="F49" s="502"/>
      <c r="G49" s="502"/>
      <c r="H49" s="502"/>
      <c r="I49" s="493"/>
      <c r="J49" s="493"/>
      <c r="K49" s="496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</row>
    <row r="50" spans="1:62" x14ac:dyDescent="0.2">
      <c r="A50" s="493"/>
      <c r="B50" s="502"/>
      <c r="C50" s="493"/>
      <c r="D50" s="493"/>
      <c r="E50" s="493"/>
      <c r="F50" s="493"/>
      <c r="G50" s="493"/>
      <c r="H50" s="493"/>
      <c r="I50" s="493"/>
      <c r="J50" s="493"/>
      <c r="K50" s="496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191"/>
      <c r="AK50" s="191"/>
      <c r="AL50" s="191"/>
      <c r="AM50" s="191"/>
      <c r="AN50" s="191"/>
      <c r="AO50" s="191"/>
      <c r="AQ50" s="191"/>
      <c r="AR50" s="191"/>
      <c r="AS50" s="191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</row>
    <row r="51" spans="1:62" ht="19.5" thickBot="1" x14ac:dyDescent="0.25">
      <c r="A51" s="493"/>
      <c r="B51" s="497" t="s">
        <v>253</v>
      </c>
      <c r="C51" s="527"/>
      <c r="D51" s="527"/>
      <c r="E51" s="527"/>
      <c r="F51" s="527"/>
      <c r="G51" s="528"/>
      <c r="H51" s="527"/>
      <c r="I51" s="527" t="s">
        <v>4</v>
      </c>
      <c r="J51" s="527" t="s">
        <v>244</v>
      </c>
      <c r="K51" s="496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  <c r="AL51" s="191"/>
      <c r="AM51" s="191"/>
      <c r="AN51" s="191"/>
      <c r="AO51" s="191"/>
      <c r="AQ51" s="191"/>
      <c r="AR51" s="191"/>
      <c r="AS51" s="191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</row>
    <row r="52" spans="1:62" x14ac:dyDescent="0.2">
      <c r="A52" s="493"/>
      <c r="B52" s="529" t="s">
        <v>214</v>
      </c>
      <c r="C52" s="524"/>
      <c r="D52" s="493"/>
      <c r="E52" s="493"/>
      <c r="F52" s="493"/>
      <c r="G52" s="530"/>
      <c r="H52" s="531"/>
      <c r="I52" s="532">
        <f t="shared" ref="I52:I59" si="0">J52/$J$60</f>
        <v>7.8660870577211744E-2</v>
      </c>
      <c r="J52" s="517">
        <f>Study!H19</f>
        <v>60000000</v>
      </c>
      <c r="K52" s="496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  <c r="AG52" s="191"/>
      <c r="AH52" s="191"/>
      <c r="AI52" s="191"/>
      <c r="AJ52" s="191"/>
      <c r="AK52" s="191"/>
      <c r="AL52" s="191"/>
      <c r="AM52" s="191"/>
      <c r="AN52" s="191"/>
      <c r="AO52" s="191"/>
      <c r="AP52" s="191"/>
      <c r="AQ52" s="191"/>
      <c r="AR52" s="191"/>
      <c r="AS52" s="191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</row>
    <row r="53" spans="1:62" x14ac:dyDescent="0.2">
      <c r="A53" s="493"/>
      <c r="B53" s="533" t="s">
        <v>251</v>
      </c>
      <c r="C53" s="498"/>
      <c r="D53" s="534"/>
      <c r="E53" s="534"/>
      <c r="F53" s="534"/>
      <c r="G53" s="499"/>
      <c r="H53" s="499"/>
      <c r="I53" s="532">
        <f t="shared" si="0"/>
        <v>0</v>
      </c>
      <c r="J53" s="517">
        <f>Study!H20</f>
        <v>0</v>
      </c>
      <c r="K53" s="496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3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2"/>
      <c r="BA53" s="192"/>
      <c r="BB53" s="192"/>
      <c r="BC53" s="192"/>
      <c r="BD53" s="192"/>
      <c r="BE53" s="192"/>
      <c r="BF53" s="192"/>
      <c r="BG53" s="192"/>
      <c r="BH53" s="192"/>
      <c r="BI53" s="191"/>
      <c r="BJ53" s="191"/>
    </row>
    <row r="54" spans="1:62" x14ac:dyDescent="0.2">
      <c r="A54" s="493"/>
      <c r="B54" s="533" t="s">
        <v>215</v>
      </c>
      <c r="C54" s="493"/>
      <c r="D54" s="493"/>
      <c r="E54" s="493"/>
      <c r="F54" s="493"/>
      <c r="G54" s="499"/>
      <c r="H54" s="493"/>
      <c r="I54" s="532">
        <f t="shared" si="0"/>
        <v>0</v>
      </c>
      <c r="J54" s="517">
        <f>Study!H21</f>
        <v>0</v>
      </c>
      <c r="K54" s="496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3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2"/>
      <c r="BA54" s="192"/>
      <c r="BB54" s="192"/>
      <c r="BC54" s="192"/>
      <c r="BD54" s="192"/>
      <c r="BE54" s="192"/>
      <c r="BF54" s="192"/>
      <c r="BG54" s="192"/>
      <c r="BH54" s="192"/>
      <c r="BI54" s="191"/>
      <c r="BJ54" s="191"/>
    </row>
    <row r="55" spans="1:62" x14ac:dyDescent="0.2">
      <c r="A55" s="493"/>
      <c r="B55" s="533" t="s">
        <v>216</v>
      </c>
      <c r="C55" s="493"/>
      <c r="D55" s="493"/>
      <c r="E55" s="493"/>
      <c r="F55" s="493"/>
      <c r="G55" s="499"/>
      <c r="H55" s="493"/>
      <c r="I55" s="532">
        <f t="shared" si="0"/>
        <v>2.2536521913590905E-2</v>
      </c>
      <c r="J55" s="517">
        <f>Study!H22</f>
        <v>17190139.199999999</v>
      </c>
      <c r="K55" s="496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3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195"/>
      <c r="AY55" s="195"/>
      <c r="AZ55" s="195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</row>
    <row r="56" spans="1:62" x14ac:dyDescent="0.2">
      <c r="A56" s="493"/>
      <c r="B56" s="533" t="s">
        <v>217</v>
      </c>
      <c r="C56" s="493"/>
      <c r="D56" s="493"/>
      <c r="E56" s="493"/>
      <c r="F56" s="535"/>
      <c r="G56" s="499"/>
      <c r="H56" s="493"/>
      <c r="I56" s="532">
        <f t="shared" si="0"/>
        <v>0.44312290425162615</v>
      </c>
      <c r="J56" s="517">
        <f>Study!H23</f>
        <v>338000000</v>
      </c>
      <c r="K56" s="496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1"/>
      <c r="BA56" s="191"/>
      <c r="BB56" s="191"/>
      <c r="BC56" s="191"/>
      <c r="BD56" s="191"/>
      <c r="BE56" s="191"/>
      <c r="BF56" s="191"/>
      <c r="BG56" s="191"/>
      <c r="BH56" s="191"/>
      <c r="BI56" s="191"/>
      <c r="BJ56" s="191"/>
    </row>
    <row r="57" spans="1:62" x14ac:dyDescent="0.2">
      <c r="A57" s="493"/>
      <c r="B57" s="502" t="s">
        <v>211</v>
      </c>
      <c r="C57" s="493"/>
      <c r="D57" s="493"/>
      <c r="E57" s="493"/>
      <c r="F57" s="535"/>
      <c r="G57" s="499"/>
      <c r="H57" s="498"/>
      <c r="I57" s="532">
        <f t="shared" si="0"/>
        <v>0.14814463958708213</v>
      </c>
      <c r="J57" s="517">
        <f>Study!H26</f>
        <v>113000000</v>
      </c>
      <c r="K57" s="496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  <c r="AL57" s="191"/>
      <c r="AM57" s="191"/>
      <c r="AN57" s="191"/>
      <c r="AO57" s="191"/>
      <c r="AP57" s="191"/>
      <c r="AQ57" s="191"/>
      <c r="AR57" s="191"/>
      <c r="AS57" s="191"/>
      <c r="AT57" s="191"/>
      <c r="AU57" s="191"/>
      <c r="AV57" s="191"/>
      <c r="AW57" s="191"/>
      <c r="AX57" s="191"/>
      <c r="AY57" s="191"/>
      <c r="AZ57" s="191"/>
      <c r="BA57" s="191"/>
      <c r="BB57" s="191"/>
      <c r="BC57" s="191"/>
      <c r="BD57" s="191"/>
      <c r="BE57" s="191"/>
      <c r="BF57" s="191"/>
      <c r="BG57" s="191"/>
      <c r="BH57" s="191"/>
      <c r="BI57" s="191"/>
      <c r="BJ57" s="191"/>
    </row>
    <row r="58" spans="1:62" x14ac:dyDescent="0.2">
      <c r="A58" s="493"/>
      <c r="B58" s="502" t="s">
        <v>218</v>
      </c>
      <c r="C58" s="498"/>
      <c r="D58" s="498"/>
      <c r="E58" s="498"/>
      <c r="F58" s="498"/>
      <c r="G58" s="536"/>
      <c r="H58" s="498"/>
      <c r="I58" s="532">
        <f t="shared" si="0"/>
        <v>0.15594449593699977</v>
      </c>
      <c r="J58" s="517">
        <f>Study!H29</f>
        <v>118949481.33119997</v>
      </c>
      <c r="K58" s="496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  <c r="AF58" s="191"/>
      <c r="AG58" s="191"/>
      <c r="AH58" s="191"/>
      <c r="AI58" s="191"/>
      <c r="AJ58" s="191"/>
      <c r="AK58" s="191"/>
      <c r="AL58" s="191"/>
      <c r="AM58" s="191"/>
      <c r="AN58" s="191"/>
      <c r="AO58" s="191"/>
      <c r="AP58" s="191"/>
      <c r="AQ58" s="191"/>
      <c r="AR58" s="191"/>
      <c r="AS58" s="191"/>
      <c r="AT58" s="191"/>
      <c r="AU58" s="191"/>
      <c r="AV58" s="191"/>
      <c r="AW58" s="191"/>
      <c r="AX58" s="191"/>
      <c r="AY58" s="191"/>
      <c r="AZ58" s="191"/>
      <c r="BA58" s="191"/>
      <c r="BB58" s="191"/>
      <c r="BC58" s="191"/>
      <c r="BD58" s="191"/>
      <c r="BE58" s="191"/>
      <c r="BF58" s="191"/>
      <c r="BG58" s="191"/>
      <c r="BH58" s="191"/>
      <c r="BI58" s="191"/>
      <c r="BJ58" s="191"/>
    </row>
    <row r="59" spans="1:62" ht="19.5" thickBot="1" x14ac:dyDescent="0.25">
      <c r="A59" s="493"/>
      <c r="B59" s="502" t="s">
        <v>219</v>
      </c>
      <c r="C59" s="498"/>
      <c r="D59" s="498"/>
      <c r="E59" s="498"/>
      <c r="F59" s="498"/>
      <c r="G59" s="536"/>
      <c r="H59" s="536"/>
      <c r="I59" s="532">
        <f t="shared" si="0"/>
        <v>0.15159056773348936</v>
      </c>
      <c r="J59" s="517">
        <f>Study!H30</f>
        <v>115628443.94255066</v>
      </c>
      <c r="K59" s="496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  <c r="AL59" s="191"/>
      <c r="AM59" s="191"/>
      <c r="AN59" s="191"/>
      <c r="AO59" s="191"/>
      <c r="AP59" s="191"/>
      <c r="AQ59" s="191"/>
      <c r="AR59" s="191"/>
      <c r="AS59" s="191"/>
      <c r="AT59" s="191"/>
      <c r="AU59" s="191"/>
      <c r="AV59" s="191"/>
      <c r="AW59" s="191"/>
      <c r="AX59" s="191"/>
      <c r="AY59" s="191"/>
      <c r="AZ59" s="191"/>
      <c r="BA59" s="191"/>
      <c r="BB59" s="191"/>
      <c r="BC59" s="191"/>
      <c r="BD59" s="191"/>
      <c r="BE59" s="191"/>
      <c r="BF59" s="191"/>
      <c r="BG59" s="191"/>
      <c r="BH59" s="191"/>
      <c r="BI59" s="191"/>
      <c r="BJ59" s="191"/>
    </row>
    <row r="60" spans="1:62" x14ac:dyDescent="0.2">
      <c r="A60" s="493"/>
      <c r="B60" s="537" t="s">
        <v>245</v>
      </c>
      <c r="C60" s="538"/>
      <c r="D60" s="538"/>
      <c r="E60" s="538"/>
      <c r="F60" s="538"/>
      <c r="G60" s="539"/>
      <c r="H60" s="539"/>
      <c r="I60" s="540">
        <f>SUM(I52:I59)</f>
        <v>1</v>
      </c>
      <c r="J60" s="541">
        <f>SUM(J52:J59)</f>
        <v>762768064.47375059</v>
      </c>
      <c r="K60" s="496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191"/>
      <c r="AK60" s="191"/>
      <c r="AL60" s="191"/>
      <c r="AM60" s="191"/>
      <c r="AN60" s="191"/>
      <c r="AO60" s="191"/>
      <c r="AP60" s="191"/>
      <c r="AQ60" s="191"/>
      <c r="AR60" s="191"/>
      <c r="AS60" s="191"/>
      <c r="AT60" s="191"/>
      <c r="AU60" s="191"/>
      <c r="AV60" s="191"/>
      <c r="AW60" s="191"/>
      <c r="AX60" s="191"/>
      <c r="AY60" s="191"/>
      <c r="AZ60" s="191"/>
      <c r="BA60" s="191"/>
      <c r="BB60" s="191"/>
      <c r="BC60" s="191"/>
      <c r="BD60" s="191"/>
      <c r="BE60" s="191"/>
      <c r="BF60" s="191"/>
      <c r="BG60" s="191"/>
      <c r="BH60" s="191"/>
      <c r="BI60" s="191"/>
      <c r="BJ60" s="191"/>
    </row>
    <row r="61" spans="1:62" x14ac:dyDescent="0.2">
      <c r="A61" s="493"/>
      <c r="B61" s="542"/>
      <c r="C61" s="543"/>
      <c r="D61" s="544"/>
      <c r="E61" s="545"/>
      <c r="F61" s="543"/>
      <c r="G61" s="546"/>
      <c r="H61" s="546"/>
      <c r="I61" s="546"/>
      <c r="J61" s="546"/>
      <c r="K61" s="496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</row>
    <row r="62" spans="1:62" x14ac:dyDescent="0.2">
      <c r="A62" s="493"/>
      <c r="B62" s="542"/>
      <c r="C62" s="543"/>
      <c r="D62" s="544"/>
      <c r="E62" s="545"/>
      <c r="F62" s="543"/>
      <c r="G62" s="546"/>
      <c r="H62" s="546"/>
      <c r="I62" s="546"/>
      <c r="J62" s="546"/>
      <c r="K62" s="496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91"/>
      <c r="AV62" s="191"/>
      <c r="AW62" s="191"/>
      <c r="AX62" s="191"/>
      <c r="AY62" s="191"/>
      <c r="AZ62" s="191"/>
      <c r="BA62" s="191"/>
      <c r="BB62" s="191"/>
      <c r="BC62" s="191"/>
      <c r="BD62" s="191"/>
      <c r="BE62" s="191"/>
      <c r="BF62" s="191"/>
      <c r="BG62" s="191"/>
      <c r="BH62" s="191"/>
      <c r="BI62" s="191"/>
      <c r="BJ62" s="191"/>
    </row>
    <row r="63" spans="1:62" x14ac:dyDescent="0.2">
      <c r="A63" s="493"/>
      <c r="B63" s="542"/>
      <c r="C63" s="543"/>
      <c r="D63" s="544"/>
      <c r="E63" s="545"/>
      <c r="F63" s="543"/>
      <c r="G63" s="546"/>
      <c r="H63" s="546"/>
      <c r="I63" s="546"/>
      <c r="J63" s="546"/>
      <c r="K63" s="496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  <c r="BC63" s="191"/>
      <c r="BD63" s="191"/>
      <c r="BE63" s="191"/>
      <c r="BF63" s="191"/>
      <c r="BG63" s="191"/>
      <c r="BH63" s="191"/>
      <c r="BI63" s="191"/>
      <c r="BJ63" s="191"/>
    </row>
    <row r="64" spans="1:62" x14ac:dyDescent="0.2">
      <c r="A64" s="493"/>
      <c r="B64" s="542"/>
      <c r="C64" s="543"/>
      <c r="D64" s="544"/>
      <c r="E64" s="545"/>
      <c r="F64" s="543"/>
      <c r="G64" s="546"/>
      <c r="H64" s="546"/>
      <c r="I64" s="546"/>
      <c r="J64" s="546"/>
      <c r="K64" s="496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91"/>
      <c r="AV64" s="191"/>
      <c r="AW64" s="191"/>
      <c r="AX64" s="191"/>
      <c r="AY64" s="191"/>
      <c r="AZ64" s="191"/>
      <c r="BA64" s="191"/>
      <c r="BB64" s="191"/>
      <c r="BC64" s="191"/>
      <c r="BD64" s="191"/>
      <c r="BE64" s="191"/>
      <c r="BF64" s="191"/>
      <c r="BG64" s="191"/>
      <c r="BH64" s="191"/>
      <c r="BI64" s="191"/>
      <c r="BJ64" s="191"/>
    </row>
    <row r="65" spans="1:68" x14ac:dyDescent="0.2">
      <c r="A65" s="493"/>
      <c r="B65" s="542"/>
      <c r="C65" s="543"/>
      <c r="D65" s="544"/>
      <c r="E65" s="545"/>
      <c r="F65" s="543"/>
      <c r="G65" s="546"/>
      <c r="H65" s="546"/>
      <c r="I65" s="546"/>
      <c r="J65" s="546"/>
      <c r="K65" s="496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  <c r="AL65" s="191"/>
      <c r="AM65" s="191"/>
      <c r="AN65" s="191"/>
      <c r="AO65" s="191"/>
      <c r="AP65" s="191"/>
      <c r="AQ65" s="191"/>
      <c r="AR65" s="191"/>
      <c r="AS65" s="191"/>
      <c r="AT65" s="191"/>
      <c r="AU65" s="191"/>
      <c r="AV65" s="191"/>
      <c r="AW65" s="191"/>
      <c r="AX65" s="191"/>
      <c r="AY65" s="191"/>
      <c r="AZ65" s="191"/>
      <c r="BA65" s="191"/>
      <c r="BB65" s="191"/>
      <c r="BC65" s="191"/>
      <c r="BD65" s="191"/>
      <c r="BE65" s="191"/>
      <c r="BF65" s="191"/>
      <c r="BG65" s="191"/>
      <c r="BH65" s="191"/>
      <c r="BI65" s="191"/>
      <c r="BJ65" s="191"/>
    </row>
    <row r="66" spans="1:68" x14ac:dyDescent="0.2">
      <c r="A66" s="493"/>
      <c r="B66" s="542"/>
      <c r="C66" s="543"/>
      <c r="D66" s="544"/>
      <c r="E66" s="545"/>
      <c r="F66" s="543"/>
      <c r="G66" s="546"/>
      <c r="H66" s="546"/>
      <c r="I66" s="546"/>
      <c r="J66" s="546"/>
      <c r="K66" s="496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91"/>
      <c r="AV66" s="191"/>
      <c r="AW66" s="191"/>
      <c r="AX66" s="191"/>
      <c r="AY66" s="191"/>
      <c r="AZ66" s="191"/>
      <c r="BA66" s="191"/>
      <c r="BB66" s="191"/>
      <c r="BC66" s="191"/>
      <c r="BD66" s="191"/>
      <c r="BE66" s="191"/>
      <c r="BF66" s="191"/>
      <c r="BG66" s="191"/>
      <c r="BH66" s="191"/>
      <c r="BI66" s="191"/>
      <c r="BJ66" s="191"/>
    </row>
    <row r="67" spans="1:68" x14ac:dyDescent="0.2">
      <c r="A67" s="493"/>
      <c r="B67" s="542"/>
      <c r="C67" s="543"/>
      <c r="D67" s="544"/>
      <c r="E67" s="545"/>
      <c r="F67" s="543"/>
      <c r="G67" s="546"/>
      <c r="H67" s="546"/>
      <c r="I67" s="546"/>
      <c r="J67" s="546"/>
      <c r="K67" s="496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191"/>
      <c r="BD67" s="191"/>
      <c r="BE67" s="191"/>
      <c r="BF67" s="191"/>
      <c r="BG67" s="191"/>
      <c r="BH67" s="191"/>
      <c r="BI67" s="191"/>
      <c r="BJ67" s="191"/>
    </row>
    <row r="68" spans="1:68" x14ac:dyDescent="0.2">
      <c r="A68" s="493"/>
      <c r="B68" s="542"/>
      <c r="C68" s="543"/>
      <c r="D68" s="544"/>
      <c r="E68" s="545"/>
      <c r="F68" s="543"/>
      <c r="G68" s="546"/>
      <c r="H68" s="546"/>
      <c r="I68" s="546"/>
      <c r="J68" s="546"/>
      <c r="K68" s="496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</row>
    <row r="69" spans="1:68" x14ac:dyDescent="0.2">
      <c r="A69" s="493"/>
      <c r="B69" s="542"/>
      <c r="C69" s="543"/>
      <c r="D69" s="544"/>
      <c r="E69" s="545"/>
      <c r="F69" s="543"/>
      <c r="G69" s="546"/>
      <c r="H69" s="546"/>
      <c r="I69" s="546"/>
      <c r="J69" s="546"/>
      <c r="K69" s="496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191"/>
      <c r="AR69" s="191"/>
      <c r="AS69" s="191"/>
      <c r="AT69" s="191"/>
      <c r="AU69" s="191"/>
      <c r="AV69" s="191"/>
      <c r="AW69" s="191"/>
      <c r="AX69" s="191"/>
      <c r="AY69" s="191"/>
      <c r="AZ69" s="191"/>
      <c r="BA69" s="191"/>
      <c r="BB69" s="191"/>
      <c r="BC69" s="191"/>
      <c r="BD69" s="191"/>
      <c r="BE69" s="191"/>
      <c r="BF69" s="191"/>
      <c r="BG69" s="191"/>
      <c r="BH69" s="191"/>
      <c r="BI69" s="191"/>
      <c r="BJ69" s="191"/>
    </row>
    <row r="70" spans="1:68" x14ac:dyDescent="0.2">
      <c r="A70" s="493"/>
      <c r="B70" s="542"/>
      <c r="C70" s="543"/>
      <c r="D70" s="544"/>
      <c r="E70" s="545"/>
      <c r="F70" s="543"/>
      <c r="G70" s="546"/>
      <c r="H70" s="546"/>
      <c r="I70" s="546"/>
      <c r="J70" s="546"/>
      <c r="K70" s="496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  <c r="BI70" s="191"/>
      <c r="BJ70" s="191"/>
    </row>
    <row r="71" spans="1:68" x14ac:dyDescent="0.2">
      <c r="A71" s="493"/>
      <c r="B71" s="542"/>
      <c r="C71" s="543"/>
      <c r="D71" s="544"/>
      <c r="E71" s="545"/>
      <c r="F71" s="543"/>
      <c r="G71" s="546"/>
      <c r="H71" s="546"/>
      <c r="I71" s="546"/>
      <c r="J71" s="546"/>
      <c r="K71" s="496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191"/>
      <c r="AG71" s="191"/>
      <c r="AH71" s="191"/>
      <c r="AI71" s="191"/>
      <c r="AJ71" s="191"/>
      <c r="AK71" s="191"/>
      <c r="AL71" s="191"/>
      <c r="AM71" s="191"/>
      <c r="AN71" s="191"/>
      <c r="AO71" s="191"/>
      <c r="AP71" s="191"/>
      <c r="AQ71" s="191"/>
      <c r="AR71" s="191"/>
      <c r="AS71" s="191"/>
      <c r="AT71" s="191"/>
      <c r="AU71" s="191"/>
      <c r="AV71" s="191"/>
      <c r="AW71" s="191"/>
      <c r="AX71" s="191"/>
      <c r="AY71" s="191"/>
      <c r="AZ71" s="191"/>
      <c r="BA71" s="191"/>
      <c r="BB71" s="191"/>
      <c r="BC71" s="191"/>
      <c r="BD71" s="191"/>
      <c r="BE71" s="191"/>
      <c r="BF71" s="191"/>
      <c r="BG71" s="191"/>
      <c r="BH71" s="191"/>
      <c r="BI71" s="191"/>
      <c r="BJ71" s="191"/>
    </row>
    <row r="72" spans="1:68" x14ac:dyDescent="0.2">
      <c r="A72" s="493"/>
      <c r="B72" s="542"/>
      <c r="C72" s="543"/>
      <c r="D72" s="544"/>
      <c r="E72" s="545"/>
      <c r="F72" s="543"/>
      <c r="G72" s="546"/>
      <c r="H72" s="546"/>
      <c r="I72" s="546"/>
      <c r="J72" s="546"/>
      <c r="K72" s="496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191"/>
      <c r="AG72" s="191"/>
      <c r="AH72" s="191"/>
      <c r="AI72" s="191"/>
      <c r="AJ72" s="191"/>
      <c r="AK72" s="191"/>
      <c r="AL72" s="191"/>
      <c r="AM72" s="191"/>
      <c r="AN72" s="191"/>
      <c r="AO72" s="191"/>
      <c r="AP72" s="191"/>
      <c r="AQ72" s="191"/>
      <c r="AR72" s="191"/>
      <c r="AS72" s="191"/>
      <c r="AT72" s="191"/>
      <c r="AU72" s="191"/>
      <c r="AV72" s="191"/>
      <c r="AW72" s="191"/>
      <c r="AX72" s="191"/>
      <c r="AY72" s="191"/>
      <c r="AZ72" s="191"/>
      <c r="BA72" s="191"/>
      <c r="BB72" s="191"/>
      <c r="BC72" s="191"/>
      <c r="BD72" s="191"/>
      <c r="BE72" s="191"/>
      <c r="BF72" s="191"/>
      <c r="BG72" s="191"/>
      <c r="BH72" s="191"/>
      <c r="BI72" s="191"/>
      <c r="BJ72" s="191"/>
      <c r="BO72" s="97"/>
      <c r="BP72" s="97"/>
    </row>
    <row r="73" spans="1:68" x14ac:dyDescent="0.2">
      <c r="A73" s="493"/>
      <c r="B73" s="542"/>
      <c r="C73" s="543"/>
      <c r="D73" s="544"/>
      <c r="E73" s="545"/>
      <c r="F73" s="543"/>
      <c r="G73" s="546"/>
      <c r="H73" s="546"/>
      <c r="I73" s="546"/>
      <c r="J73" s="546"/>
      <c r="K73" s="496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191"/>
      <c r="AG73" s="191"/>
      <c r="AH73" s="191"/>
      <c r="AI73" s="191"/>
      <c r="AJ73" s="191"/>
      <c r="AK73" s="191"/>
      <c r="AL73" s="191"/>
      <c r="AM73" s="191"/>
      <c r="AN73" s="191"/>
      <c r="AO73" s="191"/>
      <c r="AP73" s="191"/>
      <c r="AQ73" s="191"/>
      <c r="AR73" s="191"/>
      <c r="AS73" s="191"/>
      <c r="AT73" s="191"/>
      <c r="AU73" s="191"/>
      <c r="AV73" s="191"/>
      <c r="AW73" s="191"/>
      <c r="AX73" s="191"/>
      <c r="AY73" s="191"/>
      <c r="AZ73" s="191"/>
      <c r="BA73" s="191"/>
      <c r="BB73" s="191"/>
      <c r="BC73" s="191"/>
      <c r="BD73" s="191"/>
      <c r="BE73" s="191"/>
      <c r="BF73" s="191"/>
      <c r="BG73" s="191"/>
      <c r="BH73" s="191"/>
      <c r="BI73" s="191"/>
      <c r="BJ73" s="191"/>
      <c r="BO73" s="97"/>
      <c r="BP73" s="97"/>
    </row>
    <row r="74" spans="1:68" x14ac:dyDescent="0.2">
      <c r="A74" s="493"/>
      <c r="B74" s="542"/>
      <c r="C74" s="543"/>
      <c r="D74" s="544"/>
      <c r="E74" s="545"/>
      <c r="F74" s="543"/>
      <c r="G74" s="546"/>
      <c r="H74" s="546"/>
      <c r="I74" s="546"/>
      <c r="J74" s="546"/>
      <c r="K74" s="496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191"/>
      <c r="AG74" s="191"/>
      <c r="AH74" s="191"/>
      <c r="AI74" s="191"/>
      <c r="AJ74" s="191"/>
      <c r="AK74" s="191"/>
      <c r="AL74" s="191"/>
      <c r="AM74" s="191"/>
      <c r="AN74" s="191"/>
      <c r="AO74" s="191"/>
      <c r="AP74" s="191"/>
      <c r="AQ74" s="191"/>
      <c r="AR74" s="191"/>
      <c r="AS74" s="191"/>
      <c r="AT74" s="191"/>
      <c r="AU74" s="191"/>
      <c r="AV74" s="191"/>
      <c r="AW74" s="191"/>
      <c r="AX74" s="191"/>
      <c r="AY74" s="191"/>
      <c r="AZ74" s="191"/>
      <c r="BA74" s="191"/>
      <c r="BB74" s="191"/>
      <c r="BC74" s="191"/>
      <c r="BD74" s="191"/>
      <c r="BE74" s="191"/>
      <c r="BF74" s="191"/>
      <c r="BG74" s="191"/>
      <c r="BH74" s="191"/>
      <c r="BI74" s="191"/>
      <c r="BJ74" s="191"/>
      <c r="BO74" s="97"/>
      <c r="BP74" s="97"/>
    </row>
    <row r="75" spans="1:68" x14ac:dyDescent="0.2">
      <c r="A75" s="493"/>
      <c r="B75" s="542"/>
      <c r="C75" s="543"/>
      <c r="D75" s="544"/>
      <c r="E75" s="545"/>
      <c r="F75" s="543"/>
      <c r="G75" s="546"/>
      <c r="H75" s="546"/>
      <c r="I75" s="546"/>
      <c r="J75" s="546"/>
      <c r="K75" s="496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BI75" s="191"/>
      <c r="BJ75" s="191"/>
      <c r="BO75" s="97"/>
      <c r="BP75" s="97"/>
    </row>
    <row r="76" spans="1:68" x14ac:dyDescent="0.2">
      <c r="A76" s="493"/>
      <c r="B76" s="542"/>
      <c r="C76" s="543"/>
      <c r="D76" s="544"/>
      <c r="E76" s="545"/>
      <c r="F76" s="543"/>
      <c r="G76" s="546"/>
      <c r="H76" s="546"/>
      <c r="I76" s="546"/>
      <c r="J76" s="546"/>
      <c r="K76" s="496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BI76" s="191"/>
      <c r="BJ76" s="191"/>
      <c r="BO76" s="97"/>
      <c r="BP76" s="97"/>
    </row>
    <row r="77" spans="1:68" x14ac:dyDescent="0.2">
      <c r="A77" s="493"/>
      <c r="B77" s="542"/>
      <c r="C77" s="543"/>
      <c r="D77" s="544"/>
      <c r="E77" s="545"/>
      <c r="F77" s="543"/>
      <c r="G77" s="546"/>
      <c r="H77" s="546"/>
      <c r="I77" s="546"/>
      <c r="J77" s="546"/>
      <c r="K77" s="496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BI77" s="191"/>
      <c r="BJ77" s="191"/>
      <c r="BO77" s="97"/>
      <c r="BP77" s="97"/>
    </row>
    <row r="78" spans="1:68" x14ac:dyDescent="0.2">
      <c r="A78" s="493"/>
      <c r="B78" s="542"/>
      <c r="C78" s="543"/>
      <c r="D78" s="544"/>
      <c r="E78" s="545"/>
      <c r="F78" s="543"/>
      <c r="G78" s="546"/>
      <c r="H78" s="546"/>
      <c r="I78" s="546"/>
      <c r="J78" s="546"/>
      <c r="K78" s="496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BI78" s="191"/>
      <c r="BJ78" s="191"/>
      <c r="BO78" s="97"/>
      <c r="BP78" s="97"/>
    </row>
    <row r="79" spans="1:68" x14ac:dyDescent="0.2">
      <c r="A79" s="493"/>
      <c r="B79" s="494"/>
      <c r="C79" s="493"/>
      <c r="D79" s="493"/>
      <c r="E79" s="493"/>
      <c r="F79" s="493"/>
      <c r="G79" s="493"/>
      <c r="H79" s="495"/>
      <c r="I79" s="495"/>
      <c r="J79" s="495"/>
      <c r="K79" s="496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AC79" s="191"/>
      <c r="AD79" s="191"/>
      <c r="AE79" s="191"/>
      <c r="BI79" s="191"/>
      <c r="BJ79" s="191"/>
      <c r="BO79" s="97"/>
      <c r="BP79" s="97"/>
    </row>
    <row r="80" spans="1:68" x14ac:dyDescent="0.2">
      <c r="A80" s="493"/>
      <c r="B80" s="494"/>
      <c r="C80" s="493"/>
      <c r="D80" s="493"/>
      <c r="E80" s="493"/>
      <c r="F80" s="493"/>
      <c r="G80" s="493"/>
      <c r="H80" s="495"/>
      <c r="I80" s="495"/>
      <c r="J80" s="495"/>
      <c r="K80" s="496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BI80" s="191"/>
      <c r="BJ80" s="191"/>
      <c r="BO80" s="97"/>
      <c r="BP80" s="97"/>
    </row>
    <row r="81" spans="1:68" ht="19.5" thickBot="1" x14ac:dyDescent="0.25">
      <c r="A81" s="493"/>
      <c r="B81" s="497" t="s">
        <v>254</v>
      </c>
      <c r="C81" s="527"/>
      <c r="D81" s="527"/>
      <c r="E81" s="527"/>
      <c r="F81" s="527"/>
      <c r="G81" s="528"/>
      <c r="H81" s="527"/>
      <c r="I81" s="527" t="s">
        <v>246</v>
      </c>
      <c r="J81" s="527" t="s">
        <v>244</v>
      </c>
      <c r="K81" s="496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BI81" s="191"/>
      <c r="BJ81" s="191"/>
      <c r="BO81" s="97"/>
      <c r="BP81" s="97"/>
    </row>
    <row r="82" spans="1:68" x14ac:dyDescent="0.2">
      <c r="A82" s="493"/>
      <c r="B82" s="542" t="s">
        <v>263</v>
      </c>
      <c r="C82" s="498"/>
      <c r="D82" s="498"/>
      <c r="E82" s="498"/>
      <c r="F82" s="498"/>
      <c r="G82" s="499"/>
      <c r="H82" s="498"/>
      <c r="I82" s="547">
        <f>I83+I84+I85+I86</f>
        <v>6051.4705882352937</v>
      </c>
      <c r="J82" s="547">
        <f>J83+J84+J85+J86</f>
        <v>347717500</v>
      </c>
      <c r="K82" s="496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BI82" s="191"/>
      <c r="BJ82" s="191"/>
      <c r="BO82" s="97"/>
      <c r="BP82" s="97"/>
    </row>
    <row r="83" spans="1:68" x14ac:dyDescent="0.2">
      <c r="A83" s="493"/>
      <c r="B83" s="548" t="s">
        <v>283</v>
      </c>
      <c r="C83" s="498"/>
      <c r="D83" s="498"/>
      <c r="E83" s="498"/>
      <c r="F83" s="498"/>
      <c r="G83" s="499"/>
      <c r="H83" s="498"/>
      <c r="I83" s="549">
        <f>J83/Study!$H$59</f>
        <v>5882.3529411764703</v>
      </c>
      <c r="J83" s="549">
        <f>Study!E44</f>
        <v>338000000</v>
      </c>
      <c r="K83" s="496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BI83" s="191"/>
      <c r="BJ83" s="191"/>
      <c r="BO83" s="97"/>
      <c r="BP83" s="97"/>
    </row>
    <row r="84" spans="1:68" x14ac:dyDescent="0.2">
      <c r="A84" s="493"/>
      <c r="B84" s="548" t="s">
        <v>264</v>
      </c>
      <c r="C84" s="498"/>
      <c r="D84" s="498"/>
      <c r="E84" s="498"/>
      <c r="F84" s="498"/>
      <c r="G84" s="499"/>
      <c r="H84" s="498"/>
      <c r="I84" s="549">
        <f>J84/Study!$H$59</f>
        <v>147.05882352941177</v>
      </c>
      <c r="J84" s="549">
        <f>Study!G44</f>
        <v>8450000</v>
      </c>
      <c r="K84" s="496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BI84" s="191"/>
      <c r="BJ84" s="191"/>
      <c r="BO84" s="97"/>
      <c r="BP84" s="97"/>
    </row>
    <row r="85" spans="1:68" x14ac:dyDescent="0.2">
      <c r="A85" s="493"/>
      <c r="B85" s="548" t="s">
        <v>265</v>
      </c>
      <c r="C85" s="498"/>
      <c r="D85" s="498"/>
      <c r="E85" s="498"/>
      <c r="F85" s="498"/>
      <c r="G85" s="499"/>
      <c r="H85" s="498"/>
      <c r="I85" s="549">
        <f>J85/Study!$H$59</f>
        <v>22.058823529411764</v>
      </c>
      <c r="J85" s="549">
        <f>Study!H44</f>
        <v>1267500</v>
      </c>
      <c r="K85" s="496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BI85" s="191"/>
      <c r="BJ85" s="191"/>
      <c r="BO85" s="97"/>
      <c r="BP85" s="97"/>
    </row>
    <row r="86" spans="1:68" x14ac:dyDescent="0.2">
      <c r="A86" s="493"/>
      <c r="B86" s="548" t="s">
        <v>266</v>
      </c>
      <c r="C86" s="498"/>
      <c r="D86" s="498"/>
      <c r="E86" s="498"/>
      <c r="F86" s="498"/>
      <c r="G86" s="499"/>
      <c r="H86" s="498"/>
      <c r="I86" s="549">
        <f>J86/Study!$H$59</f>
        <v>0</v>
      </c>
      <c r="J86" s="549">
        <f>Study!F44</f>
        <v>0</v>
      </c>
      <c r="K86" s="496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BI86" s="191"/>
      <c r="BJ86" s="191"/>
      <c r="BO86" s="97"/>
      <c r="BP86" s="97"/>
    </row>
    <row r="87" spans="1:68" x14ac:dyDescent="0.2">
      <c r="A87" s="493"/>
      <c r="B87" s="548"/>
      <c r="C87" s="498"/>
      <c r="D87" s="498"/>
      <c r="E87" s="498"/>
      <c r="F87" s="498"/>
      <c r="G87" s="499"/>
      <c r="H87" s="498"/>
      <c r="I87" s="549"/>
      <c r="J87" s="549"/>
      <c r="K87" s="496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BI87" s="191"/>
      <c r="BJ87" s="191"/>
      <c r="BO87" s="97"/>
      <c r="BP87" s="97"/>
    </row>
    <row r="88" spans="1:68" x14ac:dyDescent="0.2">
      <c r="A88" s="493"/>
      <c r="B88" s="542" t="s">
        <v>267</v>
      </c>
      <c r="C88" s="498"/>
      <c r="D88" s="498"/>
      <c r="E88" s="498"/>
      <c r="F88" s="498"/>
      <c r="G88" s="499"/>
      <c r="H88" s="498"/>
      <c r="I88" s="547">
        <f>I89+I90+I91</f>
        <v>3798.9611550175505</v>
      </c>
      <c r="J88" s="547">
        <f>J89+J90+J91</f>
        <v>378794416.76679999</v>
      </c>
      <c r="K88" s="496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BI88" s="191"/>
      <c r="BJ88" s="191"/>
      <c r="BO88" s="97"/>
      <c r="BP88" s="97"/>
    </row>
    <row r="89" spans="1:68" x14ac:dyDescent="0.2">
      <c r="A89" s="493"/>
      <c r="B89" s="548" t="s">
        <v>284</v>
      </c>
      <c r="C89" s="498"/>
      <c r="D89" s="498"/>
      <c r="E89" s="498"/>
      <c r="F89" s="498"/>
      <c r="G89" s="499"/>
      <c r="H89" s="498"/>
      <c r="I89" s="549">
        <f>J89/$H$11</f>
        <v>2873.3559322033898</v>
      </c>
      <c r="J89" s="549">
        <f>Study!C19</f>
        <v>286502320</v>
      </c>
      <c r="K89" s="496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BI89" s="191"/>
      <c r="BJ89" s="191"/>
      <c r="BO89" s="97"/>
      <c r="BP89" s="97"/>
    </row>
    <row r="90" spans="1:68" x14ac:dyDescent="0.2">
      <c r="A90" s="493"/>
      <c r="B90" s="548" t="s">
        <v>285</v>
      </c>
      <c r="C90" s="498"/>
      <c r="D90" s="498"/>
      <c r="E90" s="498"/>
      <c r="F90" s="498"/>
      <c r="G90" s="499"/>
      <c r="H90" s="498"/>
      <c r="I90" s="549">
        <f>J90/$H$11</f>
        <v>580.80251094975415</v>
      </c>
      <c r="J90" s="549">
        <f>Study!C102-Study!C98-Study!C100</f>
        <v>57911818.366799988</v>
      </c>
      <c r="K90" s="496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AF90" s="191"/>
      <c r="AG90" s="191"/>
      <c r="AH90" s="191"/>
      <c r="AI90" s="191"/>
      <c r="AJ90" s="191"/>
      <c r="AK90" s="191"/>
      <c r="AL90" s="191"/>
      <c r="AM90" s="191"/>
      <c r="AN90" s="191"/>
      <c r="AO90" s="191"/>
      <c r="AP90" s="191"/>
      <c r="AQ90" s="191"/>
      <c r="AR90" s="191"/>
      <c r="AS90" s="191"/>
      <c r="AT90" s="191"/>
      <c r="AU90" s="191"/>
      <c r="AV90" s="191"/>
      <c r="AW90" s="191"/>
      <c r="AX90" s="191"/>
      <c r="AY90" s="191"/>
      <c r="AZ90" s="191"/>
      <c r="BA90" s="191"/>
      <c r="BB90" s="191"/>
      <c r="BC90" s="191"/>
      <c r="BD90" s="191"/>
      <c r="BE90" s="191"/>
      <c r="BF90" s="191"/>
      <c r="BG90" s="191"/>
      <c r="BH90" s="191"/>
      <c r="BI90" s="191"/>
      <c r="BJ90" s="191"/>
      <c r="BO90" s="97"/>
      <c r="BP90" s="97"/>
    </row>
    <row r="91" spans="1:68" x14ac:dyDescent="0.2">
      <c r="A91" s="493"/>
      <c r="B91" s="550">
        <v>0.12</v>
      </c>
      <c r="C91" s="498"/>
      <c r="D91" s="498"/>
      <c r="E91" s="498"/>
      <c r="F91" s="498"/>
      <c r="G91" s="499"/>
      <c r="H91" s="498"/>
      <c r="I91" s="549">
        <f>J91/$H$11</f>
        <v>344.80271186440677</v>
      </c>
      <c r="J91" s="549">
        <f>Study!C104</f>
        <v>34380278.399999999</v>
      </c>
      <c r="K91" s="496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AF91" s="191"/>
      <c r="AG91" s="191"/>
      <c r="AH91" s="191"/>
      <c r="AI91" s="191"/>
      <c r="AJ91" s="191"/>
      <c r="AK91" s="191"/>
      <c r="AL91" s="191"/>
      <c r="AM91" s="191"/>
      <c r="AN91" s="191"/>
      <c r="AO91" s="191"/>
      <c r="AP91" s="191"/>
      <c r="AQ91" s="191"/>
      <c r="AR91" s="191"/>
      <c r="AS91" s="191"/>
      <c r="AT91" s="191"/>
      <c r="AU91" s="191"/>
      <c r="AV91" s="191"/>
      <c r="AW91" s="191"/>
      <c r="AX91" s="191"/>
      <c r="AY91" s="191"/>
      <c r="AZ91" s="191"/>
      <c r="BA91" s="191"/>
      <c r="BB91" s="191"/>
      <c r="BC91" s="191"/>
      <c r="BD91" s="191"/>
      <c r="BE91" s="191"/>
      <c r="BF91" s="191"/>
      <c r="BG91" s="191"/>
      <c r="BH91" s="191"/>
      <c r="BI91" s="191"/>
      <c r="BJ91" s="191"/>
      <c r="BO91" s="97"/>
      <c r="BP91" s="97"/>
    </row>
    <row r="92" spans="1:68" x14ac:dyDescent="0.2">
      <c r="A92" s="493"/>
      <c r="B92" s="550"/>
      <c r="C92" s="498"/>
      <c r="D92" s="498"/>
      <c r="E92" s="498"/>
      <c r="F92" s="498"/>
      <c r="G92" s="499"/>
      <c r="H92" s="498"/>
      <c r="I92" s="549"/>
      <c r="J92" s="549"/>
      <c r="K92" s="496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AF92" s="191"/>
      <c r="AG92" s="191"/>
      <c r="AH92" s="191"/>
      <c r="AI92" s="191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1"/>
      <c r="AU92" s="191"/>
      <c r="AV92" s="191"/>
      <c r="AW92" s="191"/>
      <c r="AX92" s="191"/>
      <c r="AY92" s="191"/>
      <c r="AZ92" s="191"/>
      <c r="BA92" s="191"/>
      <c r="BB92" s="191"/>
      <c r="BC92" s="191"/>
      <c r="BD92" s="191"/>
      <c r="BE92" s="191"/>
      <c r="BF92" s="191"/>
      <c r="BG92" s="191"/>
      <c r="BH92" s="191"/>
      <c r="BI92" s="191"/>
      <c r="BJ92" s="191"/>
      <c r="BO92" s="97"/>
      <c r="BP92" s="97"/>
    </row>
    <row r="93" spans="1:68" x14ac:dyDescent="0.2">
      <c r="A93" s="493"/>
      <c r="B93" s="542" t="s">
        <v>268</v>
      </c>
      <c r="C93" s="498"/>
      <c r="D93" s="498"/>
      <c r="E93" s="498"/>
      <c r="F93" s="498"/>
      <c r="G93" s="499"/>
      <c r="H93" s="498"/>
      <c r="I93" s="547">
        <f>J93/H11</f>
        <v>108.11695728813558</v>
      </c>
      <c r="J93" s="547">
        <f>Study!C98+Study!C100</f>
        <v>10780341.811199998</v>
      </c>
      <c r="K93" s="496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AF93" s="191"/>
      <c r="AG93" s="191"/>
      <c r="AH93" s="191"/>
      <c r="AI93" s="191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/>
      <c r="AT93" s="191"/>
      <c r="AU93" s="191"/>
      <c r="AV93" s="191"/>
      <c r="AW93" s="191"/>
      <c r="AX93" s="191"/>
      <c r="AY93" s="191"/>
      <c r="AZ93" s="191"/>
      <c r="BA93" s="191"/>
      <c r="BB93" s="191"/>
      <c r="BC93" s="191"/>
      <c r="BD93" s="191"/>
      <c r="BE93" s="191"/>
      <c r="BF93" s="191"/>
      <c r="BG93" s="191"/>
      <c r="BH93" s="191"/>
      <c r="BI93" s="191"/>
      <c r="BJ93" s="191"/>
      <c r="BO93" s="97"/>
      <c r="BP93" s="97"/>
    </row>
    <row r="94" spans="1:68" x14ac:dyDescent="0.2">
      <c r="A94" s="493"/>
      <c r="B94" s="542"/>
      <c r="C94" s="498"/>
      <c r="D94" s="498"/>
      <c r="E94" s="498"/>
      <c r="F94" s="498"/>
      <c r="G94" s="499"/>
      <c r="H94" s="498"/>
      <c r="I94" s="547"/>
      <c r="J94" s="547"/>
      <c r="K94" s="496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AF94" s="191"/>
      <c r="AG94" s="191"/>
      <c r="AH94" s="191"/>
      <c r="AI94" s="191"/>
      <c r="AJ94" s="191"/>
      <c r="AK94" s="191"/>
      <c r="AL94" s="191"/>
      <c r="AM94" s="191"/>
      <c r="AN94" s="191"/>
      <c r="AO94" s="191"/>
      <c r="AP94" s="191"/>
      <c r="AQ94" s="191"/>
      <c r="AR94" s="191"/>
      <c r="AS94" s="191"/>
      <c r="AT94" s="191"/>
      <c r="AU94" s="191"/>
      <c r="AV94" s="191"/>
      <c r="AW94" s="191"/>
      <c r="AX94" s="191"/>
      <c r="AY94" s="191"/>
      <c r="AZ94" s="191"/>
      <c r="BA94" s="191"/>
      <c r="BB94" s="191"/>
      <c r="BC94" s="191"/>
      <c r="BD94" s="191"/>
      <c r="BE94" s="191"/>
      <c r="BF94" s="191"/>
      <c r="BG94" s="191"/>
      <c r="BH94" s="191"/>
      <c r="BI94" s="191"/>
      <c r="BJ94" s="191"/>
      <c r="BO94" s="97"/>
      <c r="BP94" s="97"/>
    </row>
    <row r="95" spans="1:68" x14ac:dyDescent="0.2">
      <c r="A95" s="493"/>
      <c r="B95" s="542" t="s">
        <v>286</v>
      </c>
      <c r="C95" s="498"/>
      <c r="D95" s="498"/>
      <c r="E95" s="498"/>
      <c r="F95" s="498"/>
      <c r="G95" s="499"/>
      <c r="H95" s="498"/>
      <c r="I95" s="547">
        <f>I97+I96</f>
        <v>113.60336083526312</v>
      </c>
      <c r="J95" s="547">
        <f>J97+J96</f>
        <v>11327391.108884085</v>
      </c>
      <c r="K95" s="496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AF95" s="191"/>
      <c r="AG95" s="191"/>
      <c r="AH95" s="191"/>
      <c r="AI95" s="191"/>
      <c r="AJ95" s="191"/>
      <c r="AK95" s="191"/>
      <c r="AL95" s="191"/>
      <c r="AM95" s="191"/>
      <c r="AN95" s="191"/>
      <c r="AO95" s="191"/>
      <c r="AP95" s="191"/>
      <c r="AQ95" s="191"/>
      <c r="AR95" s="191"/>
      <c r="AS95" s="191"/>
      <c r="AT95" s="191"/>
      <c r="AU95" s="191"/>
      <c r="AV95" s="191"/>
      <c r="AW95" s="191"/>
      <c r="AX95" s="191"/>
      <c r="AY95" s="191"/>
      <c r="AZ95" s="191"/>
      <c r="BA95" s="191"/>
      <c r="BB95" s="191"/>
      <c r="BC95" s="191"/>
      <c r="BD95" s="191"/>
      <c r="BE95" s="191"/>
      <c r="BF95" s="191"/>
      <c r="BG95" s="191"/>
      <c r="BH95" s="191"/>
      <c r="BI95" s="191"/>
      <c r="BJ95" s="191"/>
      <c r="BO95" s="97"/>
      <c r="BP95" s="97"/>
    </row>
    <row r="96" spans="1:68" x14ac:dyDescent="0.2">
      <c r="A96" s="493"/>
      <c r="B96" s="551">
        <f>Study!C192</f>
        <v>7.2999999999999995E-2</v>
      </c>
      <c r="C96" s="498"/>
      <c r="D96" s="498"/>
      <c r="E96" s="498"/>
      <c r="F96" s="498"/>
      <c r="G96" s="499"/>
      <c r="H96" s="498"/>
      <c r="I96" s="549">
        <f>J96/$H$11</f>
        <v>107.93692818056449</v>
      </c>
      <c r="J96" s="549">
        <f>-Study!E192</f>
        <v>10762391.108884085</v>
      </c>
      <c r="K96" s="496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AF96" s="191"/>
      <c r="AG96" s="191"/>
      <c r="AH96" s="191"/>
      <c r="AI96" s="191"/>
      <c r="AJ96" s="191"/>
      <c r="AK96" s="191"/>
      <c r="AL96" s="191"/>
      <c r="AM96" s="191"/>
      <c r="AN96" s="191"/>
      <c r="AO96" s="191"/>
      <c r="AP96" s="191"/>
      <c r="AQ96" s="191"/>
      <c r="AR96" s="191"/>
      <c r="AS96" s="191"/>
      <c r="AT96" s="191"/>
      <c r="AU96" s="191"/>
      <c r="AV96" s="191"/>
      <c r="AW96" s="191"/>
      <c r="AX96" s="191"/>
      <c r="AY96" s="191"/>
      <c r="AZ96" s="191"/>
      <c r="BA96" s="191"/>
      <c r="BB96" s="191"/>
      <c r="BC96" s="191"/>
      <c r="BD96" s="191"/>
      <c r="BE96" s="191"/>
      <c r="BF96" s="191"/>
      <c r="BG96" s="191"/>
      <c r="BH96" s="191"/>
      <c r="BI96" s="191"/>
      <c r="BJ96" s="191"/>
      <c r="BO96" s="97"/>
      <c r="BP96" s="97"/>
    </row>
    <row r="97" spans="1:68" x14ac:dyDescent="0.2">
      <c r="A97" s="493"/>
      <c r="B97" s="552">
        <f>Study!C193</f>
        <v>5.0000000000000001E-3</v>
      </c>
      <c r="C97" s="498"/>
      <c r="D97" s="498"/>
      <c r="E97" s="498"/>
      <c r="F97" s="498"/>
      <c r="G97" s="499"/>
      <c r="H97" s="498"/>
      <c r="I97" s="549">
        <f>J97/$H$11</f>
        <v>5.6664326546986263</v>
      </c>
      <c r="J97" s="549">
        <f>-Study!F252</f>
        <v>565000</v>
      </c>
      <c r="K97" s="496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AC97" s="191"/>
      <c r="AD97" s="191"/>
      <c r="AE97" s="191"/>
      <c r="AF97" s="191"/>
      <c r="AG97" s="191"/>
      <c r="AH97" s="191"/>
      <c r="AI97" s="191"/>
      <c r="AJ97" s="191"/>
      <c r="AK97" s="191"/>
      <c r="AL97" s="191"/>
      <c r="AM97" s="191"/>
      <c r="AN97" s="191"/>
      <c r="AO97" s="191"/>
      <c r="AP97" s="191"/>
      <c r="AQ97" s="191"/>
      <c r="AR97" s="191"/>
      <c r="AS97" s="191"/>
      <c r="AT97" s="191"/>
      <c r="AU97" s="191"/>
      <c r="AV97" s="191"/>
      <c r="AW97" s="191"/>
      <c r="AX97" s="191"/>
      <c r="AY97" s="191"/>
      <c r="AZ97" s="191"/>
      <c r="BA97" s="191"/>
      <c r="BB97" s="191"/>
      <c r="BC97" s="191"/>
      <c r="BD97" s="191"/>
      <c r="BE97" s="191"/>
      <c r="BF97" s="191"/>
      <c r="BG97" s="191"/>
      <c r="BH97" s="191"/>
      <c r="BI97" s="191"/>
      <c r="BJ97" s="191"/>
      <c r="BO97" s="97"/>
      <c r="BP97" s="97"/>
    </row>
    <row r="98" spans="1:68" x14ac:dyDescent="0.2">
      <c r="A98" s="493"/>
      <c r="B98" s="552"/>
      <c r="C98" s="498"/>
      <c r="D98" s="498"/>
      <c r="E98" s="498"/>
      <c r="F98" s="498"/>
      <c r="G98" s="499"/>
      <c r="H98" s="498"/>
      <c r="I98" s="549"/>
      <c r="J98" s="549"/>
      <c r="K98" s="496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  <c r="AF98" s="191"/>
      <c r="BJ98" s="191"/>
      <c r="BO98" s="97"/>
      <c r="BP98" s="97"/>
    </row>
    <row r="99" spans="1:68" x14ac:dyDescent="0.2">
      <c r="A99" s="493"/>
      <c r="B99" s="542" t="s">
        <v>269</v>
      </c>
      <c r="C99" s="498"/>
      <c r="D99" s="498"/>
      <c r="E99" s="498"/>
      <c r="F99" s="498"/>
      <c r="G99" s="499"/>
      <c r="H99" s="498"/>
      <c r="I99" s="547">
        <f>I100+I101</f>
        <v>141.89564523986098</v>
      </c>
      <c r="J99" s="547">
        <f>J100+J101</f>
        <v>14148414.786866536</v>
      </c>
      <c r="K99" s="496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191"/>
      <c r="BJ99" s="191"/>
      <c r="BO99" s="97"/>
      <c r="BP99" s="97"/>
    </row>
    <row r="100" spans="1:68" x14ac:dyDescent="0.2">
      <c r="A100" s="493"/>
      <c r="B100" s="553">
        <f>Study!D105</f>
        <v>0</v>
      </c>
      <c r="C100" s="498"/>
      <c r="D100" s="498"/>
      <c r="E100" s="498"/>
      <c r="F100" s="498"/>
      <c r="G100" s="499"/>
      <c r="H100" s="498"/>
      <c r="I100" s="549">
        <f>J100/$H$11</f>
        <v>130.93385605121389</v>
      </c>
      <c r="J100" s="549">
        <f>Study!C105</f>
        <v>13055414.786866536</v>
      </c>
      <c r="K100" s="496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191"/>
      <c r="BJ100" s="191"/>
      <c r="BO100" s="97"/>
      <c r="BP100" s="97"/>
    </row>
    <row r="101" spans="1:68" x14ac:dyDescent="0.2">
      <c r="A101" s="493"/>
      <c r="B101" s="548" t="s">
        <v>270</v>
      </c>
      <c r="C101" s="498"/>
      <c r="D101" s="498"/>
      <c r="E101" s="498"/>
      <c r="F101" s="498"/>
      <c r="G101" s="499"/>
      <c r="H101" s="498"/>
      <c r="I101" s="549">
        <f>J101/$H$11</f>
        <v>10.961789188647076</v>
      </c>
      <c r="J101" s="549">
        <f>Study!C106</f>
        <v>1093000</v>
      </c>
      <c r="K101" s="496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F101" s="191"/>
      <c r="BJ101" s="191"/>
      <c r="BO101" s="97"/>
      <c r="BP101" s="97"/>
    </row>
    <row r="102" spans="1:68" x14ac:dyDescent="0.2">
      <c r="A102" s="493"/>
      <c r="B102" s="494"/>
      <c r="C102" s="493"/>
      <c r="D102" s="493"/>
      <c r="E102" s="493"/>
      <c r="F102" s="493"/>
      <c r="G102" s="493"/>
      <c r="H102" s="493"/>
      <c r="I102" s="493"/>
      <c r="J102" s="493"/>
      <c r="K102" s="496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  <c r="AF102" s="191"/>
      <c r="BJ102" s="191"/>
      <c r="BO102" s="97"/>
      <c r="BP102" s="97"/>
    </row>
    <row r="103" spans="1:68" x14ac:dyDescent="0.2">
      <c r="A103" s="493"/>
      <c r="B103" s="494"/>
      <c r="C103" s="493"/>
      <c r="D103" s="493"/>
      <c r="E103" s="493"/>
      <c r="F103" s="493"/>
      <c r="G103" s="493"/>
      <c r="H103" s="493"/>
      <c r="I103" s="493"/>
      <c r="J103" s="493"/>
      <c r="K103" s="496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BJ103" s="191"/>
      <c r="BO103" s="97"/>
      <c r="BP103" s="97"/>
    </row>
    <row r="104" spans="1:68" x14ac:dyDescent="0.2">
      <c r="A104" s="493"/>
      <c r="B104" s="494"/>
      <c r="C104" s="493"/>
      <c r="D104" s="493"/>
      <c r="E104" s="493"/>
      <c r="F104" s="493"/>
      <c r="G104" s="493"/>
      <c r="H104" s="493"/>
      <c r="I104" s="493"/>
      <c r="J104" s="493"/>
      <c r="K104" s="496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BJ104" s="191"/>
      <c r="BO104" s="97"/>
      <c r="BP104" s="97"/>
    </row>
    <row r="105" spans="1:68" x14ac:dyDescent="0.2">
      <c r="A105" s="493"/>
      <c r="B105" s="494"/>
      <c r="C105" s="493"/>
      <c r="D105" s="493"/>
      <c r="E105" s="493"/>
      <c r="F105" s="493"/>
      <c r="G105" s="493"/>
      <c r="H105" s="493"/>
      <c r="I105" s="493"/>
      <c r="J105" s="493"/>
      <c r="K105" s="496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BJ105" s="191"/>
      <c r="BO105" s="97"/>
      <c r="BP105" s="97"/>
    </row>
    <row r="106" spans="1:68" x14ac:dyDescent="0.2">
      <c r="A106" s="493"/>
      <c r="B106" s="494"/>
      <c r="C106" s="493"/>
      <c r="D106" s="493"/>
      <c r="E106" s="493"/>
      <c r="F106" s="493"/>
      <c r="G106" s="493"/>
      <c r="H106" s="493"/>
      <c r="I106" s="493"/>
      <c r="J106" s="493"/>
      <c r="K106" s="496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BJ106" s="191"/>
      <c r="BO106" s="97"/>
      <c r="BP106" s="97"/>
    </row>
    <row r="107" spans="1:68" x14ac:dyDescent="0.2">
      <c r="A107" s="493"/>
      <c r="B107" s="494"/>
      <c r="C107" s="493"/>
      <c r="D107" s="493"/>
      <c r="E107" s="493"/>
      <c r="F107" s="493"/>
      <c r="G107" s="493"/>
      <c r="H107" s="493"/>
      <c r="I107" s="493"/>
      <c r="J107" s="493"/>
      <c r="K107" s="496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BJ107" s="191"/>
      <c r="BO107" s="97"/>
      <c r="BP107" s="97"/>
    </row>
    <row r="108" spans="1:68" x14ac:dyDescent="0.2">
      <c r="A108" s="493"/>
      <c r="B108" s="494"/>
      <c r="C108" s="493"/>
      <c r="D108" s="493"/>
      <c r="E108" s="493"/>
      <c r="F108" s="493"/>
      <c r="G108" s="493"/>
      <c r="H108" s="493"/>
      <c r="I108" s="493"/>
      <c r="J108" s="493"/>
      <c r="K108" s="496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1"/>
      <c r="BJ108" s="191"/>
      <c r="BO108" s="97"/>
      <c r="BP108" s="97"/>
    </row>
    <row r="109" spans="1:68" x14ac:dyDescent="0.2">
      <c r="A109" s="493"/>
      <c r="B109" s="494"/>
      <c r="C109" s="493"/>
      <c r="D109" s="493"/>
      <c r="E109" s="493"/>
      <c r="F109" s="493"/>
      <c r="G109" s="493"/>
      <c r="H109" s="493"/>
      <c r="I109" s="493"/>
      <c r="J109" s="493"/>
      <c r="K109" s="496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  <c r="BJ109" s="191"/>
      <c r="BO109" s="97"/>
      <c r="BP109" s="97"/>
    </row>
    <row r="110" spans="1:68" x14ac:dyDescent="0.2">
      <c r="A110" s="493"/>
      <c r="B110" s="494"/>
      <c r="C110" s="493"/>
      <c r="D110" s="493"/>
      <c r="E110" s="493"/>
      <c r="F110" s="493"/>
      <c r="G110" s="493"/>
      <c r="H110" s="493"/>
      <c r="I110" s="493"/>
      <c r="J110" s="493"/>
      <c r="K110" s="496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BJ110" s="191"/>
      <c r="BO110" s="97"/>
      <c r="BP110" s="97"/>
    </row>
    <row r="111" spans="1:68" x14ac:dyDescent="0.2">
      <c r="A111" s="493"/>
      <c r="B111" s="494"/>
      <c r="C111" s="493"/>
      <c r="D111" s="493"/>
      <c r="E111" s="493"/>
      <c r="F111" s="493"/>
      <c r="G111" s="493"/>
      <c r="H111" s="493"/>
      <c r="I111" s="493"/>
      <c r="J111" s="493"/>
      <c r="K111" s="496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  <c r="BJ111" s="191"/>
      <c r="BO111" s="97"/>
      <c r="BP111" s="97"/>
    </row>
    <row r="112" spans="1:68" x14ac:dyDescent="0.2">
      <c r="A112" s="493"/>
      <c r="B112" s="494"/>
      <c r="C112" s="493"/>
      <c r="D112" s="493"/>
      <c r="E112" s="493"/>
      <c r="F112" s="493"/>
      <c r="G112" s="493"/>
      <c r="H112" s="493"/>
      <c r="I112" s="493"/>
      <c r="J112" s="493"/>
      <c r="K112" s="496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191"/>
      <c r="BJ112" s="191"/>
      <c r="BO112" s="97"/>
      <c r="BP112" s="97"/>
    </row>
    <row r="113" spans="1:68" x14ac:dyDescent="0.2">
      <c r="A113" s="493"/>
      <c r="B113" s="494"/>
      <c r="C113" s="493"/>
      <c r="D113" s="493"/>
      <c r="E113" s="493"/>
      <c r="F113" s="493"/>
      <c r="G113" s="493"/>
      <c r="H113" s="493"/>
      <c r="I113" s="493"/>
      <c r="J113" s="493"/>
      <c r="K113" s="496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191"/>
      <c r="AK113" s="191"/>
      <c r="AL113" s="191"/>
      <c r="AM113" s="191"/>
      <c r="AN113" s="191"/>
      <c r="AO113" s="191"/>
      <c r="AP113" s="191"/>
      <c r="AQ113" s="191"/>
      <c r="AR113" s="191"/>
      <c r="AS113" s="191"/>
      <c r="AT113" s="191"/>
      <c r="AU113" s="191"/>
      <c r="AV113" s="191"/>
      <c r="AW113" s="191"/>
      <c r="AX113" s="191"/>
      <c r="AY113" s="191"/>
      <c r="AZ113" s="191"/>
      <c r="BA113" s="191"/>
      <c r="BB113" s="191"/>
      <c r="BC113" s="191"/>
      <c r="BD113" s="191"/>
      <c r="BE113" s="191"/>
      <c r="BF113" s="191"/>
      <c r="BG113" s="191"/>
      <c r="BH113" s="191"/>
      <c r="BI113" s="191"/>
      <c r="BJ113" s="191"/>
      <c r="BO113" s="97"/>
      <c r="BP113" s="97"/>
    </row>
    <row r="114" spans="1:68" x14ac:dyDescent="0.2">
      <c r="A114" s="493"/>
      <c r="B114" s="494"/>
      <c r="C114" s="493"/>
      <c r="D114" s="493"/>
      <c r="E114" s="493"/>
      <c r="F114" s="493"/>
      <c r="G114" s="493"/>
      <c r="H114" s="493"/>
      <c r="I114" s="493"/>
      <c r="J114" s="493"/>
      <c r="K114" s="496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191"/>
      <c r="AG114" s="191"/>
      <c r="AH114" s="191"/>
      <c r="AI114" s="191"/>
      <c r="AJ114" s="191"/>
      <c r="AK114" s="191"/>
      <c r="AL114" s="191"/>
      <c r="AM114" s="191"/>
      <c r="AN114" s="191"/>
      <c r="AO114" s="191"/>
      <c r="AP114" s="191"/>
      <c r="AQ114" s="191"/>
      <c r="AR114" s="191"/>
      <c r="AS114" s="191"/>
      <c r="AT114" s="191"/>
      <c r="AU114" s="191"/>
      <c r="AV114" s="191"/>
      <c r="AW114" s="191"/>
      <c r="AX114" s="191"/>
      <c r="AY114" s="191"/>
      <c r="AZ114" s="191"/>
      <c r="BA114" s="191"/>
      <c r="BB114" s="191"/>
      <c r="BC114" s="191"/>
      <c r="BD114" s="191"/>
      <c r="BE114" s="191"/>
      <c r="BF114" s="191"/>
      <c r="BG114" s="191"/>
      <c r="BH114" s="191"/>
      <c r="BI114" s="191"/>
      <c r="BJ114" s="191"/>
      <c r="BO114" s="97"/>
      <c r="BP114" s="97"/>
    </row>
    <row r="115" spans="1:68" x14ac:dyDescent="0.2">
      <c r="A115" s="493"/>
      <c r="B115" s="494"/>
      <c r="C115" s="493"/>
      <c r="D115" s="493"/>
      <c r="E115" s="493"/>
      <c r="F115" s="493"/>
      <c r="G115" s="493"/>
      <c r="H115" s="493"/>
      <c r="I115" s="493"/>
      <c r="J115" s="493"/>
      <c r="K115" s="496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O115" s="97"/>
      <c r="BP115" s="97"/>
    </row>
    <row r="116" spans="1:68" x14ac:dyDescent="0.2">
      <c r="A116" s="493"/>
      <c r="B116" s="494"/>
      <c r="C116" s="493"/>
      <c r="D116" s="493"/>
      <c r="E116" s="493"/>
      <c r="F116" s="493"/>
      <c r="G116" s="493"/>
      <c r="H116" s="493"/>
      <c r="I116" s="493"/>
      <c r="J116" s="493"/>
      <c r="K116" s="496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O116" s="97"/>
      <c r="BP116" s="97"/>
    </row>
    <row r="117" spans="1:68" x14ac:dyDescent="0.2">
      <c r="A117" s="493"/>
      <c r="B117" s="494"/>
      <c r="C117" s="493"/>
      <c r="D117" s="493"/>
      <c r="E117" s="493"/>
      <c r="F117" s="493"/>
      <c r="G117" s="493"/>
      <c r="H117" s="493"/>
      <c r="I117" s="493"/>
      <c r="J117" s="493"/>
      <c r="K117" s="496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/>
      <c r="AX117" s="191"/>
      <c r="AY117" s="191"/>
      <c r="AZ117" s="191"/>
      <c r="BA117" s="191"/>
      <c r="BB117" s="191"/>
      <c r="BC117" s="191"/>
      <c r="BD117" s="191"/>
      <c r="BE117" s="191"/>
      <c r="BF117" s="191"/>
      <c r="BG117" s="191"/>
      <c r="BH117" s="191"/>
      <c r="BI117" s="191"/>
      <c r="BJ117" s="191"/>
      <c r="BO117" s="97"/>
      <c r="BP117" s="97"/>
    </row>
    <row r="118" spans="1:68" x14ac:dyDescent="0.2">
      <c r="A118" s="493"/>
      <c r="B118" s="494"/>
      <c r="C118" s="493"/>
      <c r="D118" s="493"/>
      <c r="E118" s="493"/>
      <c r="F118" s="493"/>
      <c r="G118" s="493"/>
      <c r="H118" s="493"/>
      <c r="I118" s="493"/>
      <c r="J118" s="493"/>
      <c r="K118" s="496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  <c r="BC118" s="191"/>
      <c r="BD118" s="191"/>
      <c r="BE118" s="191"/>
      <c r="BF118" s="191"/>
      <c r="BG118" s="191"/>
      <c r="BH118" s="191"/>
      <c r="BI118" s="191"/>
      <c r="BJ118" s="191"/>
      <c r="BO118" s="97"/>
      <c r="BP118" s="97"/>
    </row>
    <row r="119" spans="1:68" x14ac:dyDescent="0.2">
      <c r="A119" s="493"/>
      <c r="B119" s="494"/>
      <c r="C119" s="493"/>
      <c r="D119" s="493"/>
      <c r="E119" s="493"/>
      <c r="F119" s="493"/>
      <c r="G119" s="493"/>
      <c r="H119" s="493"/>
      <c r="I119" s="493"/>
      <c r="J119" s="493"/>
      <c r="K119" s="496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  <c r="BD119" s="191"/>
      <c r="BE119" s="191"/>
      <c r="BF119" s="191"/>
      <c r="BG119" s="191"/>
      <c r="BH119" s="191"/>
      <c r="BI119" s="191"/>
      <c r="BJ119" s="191"/>
      <c r="BO119" s="97"/>
      <c r="BP119" s="97"/>
    </row>
    <row r="120" spans="1:68" x14ac:dyDescent="0.2">
      <c r="A120" s="493"/>
      <c r="B120" s="494"/>
      <c r="C120" s="493"/>
      <c r="D120" s="493"/>
      <c r="E120" s="493"/>
      <c r="F120" s="493"/>
      <c r="G120" s="493"/>
      <c r="H120" s="493"/>
      <c r="I120" s="493"/>
      <c r="J120" s="493"/>
      <c r="K120" s="496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91"/>
      <c r="AV120" s="191"/>
      <c r="AW120" s="191"/>
      <c r="AX120" s="191"/>
      <c r="AY120" s="191"/>
      <c r="AZ120" s="191"/>
      <c r="BA120" s="191"/>
      <c r="BB120" s="191"/>
      <c r="BC120" s="191"/>
      <c r="BD120" s="191"/>
      <c r="BE120" s="191"/>
      <c r="BF120" s="191"/>
      <c r="BG120" s="191"/>
      <c r="BH120" s="191"/>
      <c r="BI120" s="191"/>
      <c r="BJ120" s="191"/>
      <c r="BO120" s="97"/>
      <c r="BP120" s="97"/>
    </row>
    <row r="121" spans="1:68" x14ac:dyDescent="0.2">
      <c r="A121" s="493"/>
      <c r="B121" s="494"/>
      <c r="C121" s="493"/>
      <c r="D121" s="493"/>
      <c r="E121" s="493"/>
      <c r="F121" s="493"/>
      <c r="G121" s="493"/>
      <c r="H121" s="493"/>
      <c r="I121" s="493"/>
      <c r="J121" s="493"/>
      <c r="K121" s="496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191"/>
      <c r="AG121" s="191"/>
      <c r="AH121" s="191"/>
      <c r="AI121" s="191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91"/>
      <c r="AV121" s="191"/>
      <c r="AW121" s="191"/>
      <c r="AX121" s="191"/>
      <c r="AY121" s="191"/>
      <c r="AZ121" s="191"/>
      <c r="BA121" s="191"/>
      <c r="BB121" s="191"/>
      <c r="BC121" s="191"/>
      <c r="BD121" s="191"/>
      <c r="BE121" s="191"/>
      <c r="BF121" s="191"/>
      <c r="BG121" s="191"/>
      <c r="BH121" s="191"/>
      <c r="BI121" s="191"/>
      <c r="BJ121" s="191"/>
      <c r="BO121" s="97"/>
    </row>
    <row r="122" spans="1:68" x14ac:dyDescent="0.2">
      <c r="A122" s="493"/>
      <c r="B122" s="494"/>
      <c r="C122" s="493"/>
      <c r="D122" s="493"/>
      <c r="E122" s="493"/>
      <c r="F122" s="493"/>
      <c r="G122" s="493"/>
      <c r="H122" s="493"/>
      <c r="I122" s="493"/>
      <c r="J122" s="493"/>
      <c r="K122" s="496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O122" s="97"/>
    </row>
    <row r="123" spans="1:68" x14ac:dyDescent="0.2">
      <c r="A123" s="493"/>
      <c r="B123" s="494"/>
      <c r="C123" s="493"/>
      <c r="D123" s="493"/>
      <c r="E123" s="493"/>
      <c r="F123" s="493"/>
      <c r="G123" s="493"/>
      <c r="H123" s="493"/>
      <c r="I123" s="493"/>
      <c r="J123" s="493"/>
      <c r="K123" s="496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O123" s="97"/>
    </row>
    <row r="124" spans="1:68" x14ac:dyDescent="0.2">
      <c r="A124" s="493"/>
      <c r="B124" s="494"/>
      <c r="C124" s="493"/>
      <c r="D124" s="493"/>
      <c r="E124" s="493"/>
      <c r="F124" s="493"/>
      <c r="G124" s="493"/>
      <c r="H124" s="493"/>
      <c r="I124" s="493"/>
      <c r="J124" s="493"/>
      <c r="K124" s="496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1"/>
      <c r="AK124" s="191"/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/>
      <c r="AX124" s="191"/>
      <c r="AY124" s="191"/>
      <c r="AZ124" s="191"/>
      <c r="BA124" s="191"/>
      <c r="BB124" s="191"/>
      <c r="BC124" s="191"/>
      <c r="BD124" s="191"/>
      <c r="BE124" s="191"/>
      <c r="BF124" s="191"/>
      <c r="BG124" s="191"/>
      <c r="BH124" s="191"/>
      <c r="BI124" s="191"/>
      <c r="BJ124" s="191"/>
      <c r="BO124" s="97"/>
    </row>
    <row r="125" spans="1:68" x14ac:dyDescent="0.2">
      <c r="A125" s="493"/>
      <c r="B125" s="494"/>
      <c r="C125" s="493"/>
      <c r="D125" s="493"/>
      <c r="E125" s="493"/>
      <c r="F125" s="493"/>
      <c r="G125" s="493"/>
      <c r="H125" s="493"/>
      <c r="I125" s="493"/>
      <c r="J125" s="493"/>
      <c r="K125" s="554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191"/>
      <c r="AK125" s="191"/>
      <c r="AL125" s="191"/>
      <c r="AM125" s="191"/>
      <c r="AN125" s="191"/>
      <c r="AO125" s="191"/>
      <c r="AP125" s="191"/>
      <c r="AQ125" s="191"/>
      <c r="AR125" s="191"/>
      <c r="AS125" s="191"/>
      <c r="AT125" s="191"/>
      <c r="AU125" s="191"/>
      <c r="AV125" s="191"/>
      <c r="AW125" s="191"/>
      <c r="AX125" s="191"/>
      <c r="AY125" s="191"/>
      <c r="AZ125" s="191"/>
      <c r="BA125" s="191"/>
      <c r="BB125" s="191"/>
      <c r="BC125" s="191"/>
      <c r="BD125" s="191"/>
      <c r="BE125" s="191"/>
      <c r="BF125" s="191"/>
      <c r="BG125" s="191"/>
      <c r="BH125" s="191"/>
      <c r="BI125" s="191"/>
      <c r="BJ125" s="191"/>
      <c r="BO125" s="97"/>
    </row>
    <row r="126" spans="1:68" x14ac:dyDescent="0.2">
      <c r="A126" s="493"/>
      <c r="B126" s="494"/>
      <c r="C126" s="493"/>
      <c r="D126" s="493"/>
      <c r="E126" s="493"/>
      <c r="F126" s="493"/>
      <c r="G126" s="493"/>
      <c r="H126" s="493"/>
      <c r="I126" s="493"/>
      <c r="J126" s="493"/>
      <c r="K126" s="496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191"/>
      <c r="AG126" s="191"/>
      <c r="AH126" s="191"/>
      <c r="AI126" s="191"/>
      <c r="AJ126" s="191"/>
      <c r="AK126" s="191"/>
      <c r="AL126" s="191"/>
      <c r="AM126" s="191"/>
      <c r="AN126" s="191"/>
      <c r="AO126" s="191"/>
      <c r="AP126" s="191"/>
      <c r="AQ126" s="191"/>
      <c r="AR126" s="191"/>
      <c r="AS126" s="191"/>
      <c r="AT126" s="191"/>
      <c r="AU126" s="191"/>
      <c r="AV126" s="191"/>
      <c r="AW126" s="191"/>
      <c r="AX126" s="191"/>
      <c r="AY126" s="191"/>
      <c r="AZ126" s="191"/>
      <c r="BA126" s="191"/>
      <c r="BB126" s="191"/>
      <c r="BC126" s="191"/>
      <c r="BD126" s="191"/>
      <c r="BE126" s="191"/>
      <c r="BF126" s="191"/>
      <c r="BG126" s="191"/>
      <c r="BH126" s="191"/>
      <c r="BI126" s="191"/>
      <c r="BJ126" s="191"/>
      <c r="BO126" s="97"/>
    </row>
    <row r="127" spans="1:68" x14ac:dyDescent="0.2">
      <c r="A127" s="493"/>
      <c r="B127" s="494"/>
      <c r="C127" s="493"/>
      <c r="D127" s="493"/>
      <c r="E127" s="493"/>
      <c r="F127" s="493"/>
      <c r="G127" s="493"/>
      <c r="H127" s="493"/>
      <c r="I127" s="493"/>
      <c r="J127" s="493"/>
      <c r="K127" s="496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</row>
    <row r="128" spans="1:68" ht="19.5" thickBot="1" x14ac:dyDescent="0.25">
      <c r="A128" s="493"/>
      <c r="B128" s="548"/>
      <c r="C128" s="498"/>
      <c r="D128" s="498"/>
      <c r="E128" s="498"/>
      <c r="F128" s="498"/>
      <c r="G128" s="499"/>
      <c r="H128" s="498"/>
      <c r="I128" s="549"/>
      <c r="J128" s="549"/>
      <c r="K128" s="496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</row>
    <row r="129" spans="1:62" x14ac:dyDescent="0.2">
      <c r="A129" s="493"/>
      <c r="B129" s="537" t="s">
        <v>271</v>
      </c>
      <c r="C129" s="538"/>
      <c r="D129" s="538"/>
      <c r="E129" s="538"/>
      <c r="F129" s="538"/>
      <c r="G129" s="539"/>
      <c r="H129" s="538"/>
      <c r="I129" s="555">
        <f>J129/H11</f>
        <v>7649.8652539740315</v>
      </c>
      <c r="J129" s="555">
        <f>J99+J95+J88+J82+J93</f>
        <v>762768064.47375071</v>
      </c>
      <c r="K129" s="496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</row>
    <row r="130" spans="1:62" x14ac:dyDescent="0.2">
      <c r="A130" s="493"/>
      <c r="B130" s="542"/>
      <c r="C130" s="498"/>
      <c r="D130" s="498"/>
      <c r="E130" s="498"/>
      <c r="F130" s="498"/>
      <c r="G130" s="499"/>
      <c r="H130" s="498"/>
      <c r="I130" s="547"/>
      <c r="J130" s="547"/>
      <c r="K130" s="496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</row>
    <row r="131" spans="1:62" x14ac:dyDescent="0.2">
      <c r="A131" s="493"/>
      <c r="B131" s="542"/>
      <c r="C131" s="498"/>
      <c r="D131" s="498"/>
      <c r="E131" s="498"/>
      <c r="F131" s="498"/>
      <c r="G131" s="499"/>
      <c r="H131" s="498"/>
      <c r="I131" s="547"/>
      <c r="J131" s="547"/>
      <c r="K131" s="496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191"/>
      <c r="AK131" s="191"/>
      <c r="AL131" s="191"/>
      <c r="AM131" s="191"/>
      <c r="AN131" s="191"/>
      <c r="AO131" s="191"/>
      <c r="AP131" s="191"/>
      <c r="AQ131" s="191"/>
      <c r="AR131" s="191"/>
      <c r="AS131" s="191"/>
      <c r="AT131" s="191"/>
      <c r="AU131" s="191"/>
      <c r="AV131" s="191"/>
      <c r="AW131" s="191"/>
      <c r="AX131" s="191"/>
      <c r="AY131" s="191"/>
      <c r="AZ131" s="191"/>
      <c r="BA131" s="191"/>
      <c r="BB131" s="191"/>
      <c r="BC131" s="191"/>
      <c r="BD131" s="191"/>
      <c r="BE131" s="191"/>
      <c r="BF131" s="191"/>
      <c r="BG131" s="191"/>
      <c r="BH131" s="191"/>
      <c r="BI131" s="191"/>
      <c r="BJ131" s="191"/>
    </row>
    <row r="132" spans="1:62" x14ac:dyDescent="0.2">
      <c r="A132" s="493"/>
      <c r="B132" s="542"/>
      <c r="C132" s="498"/>
      <c r="D132" s="498"/>
      <c r="E132" s="498"/>
      <c r="F132" s="498"/>
      <c r="G132" s="499"/>
      <c r="H132" s="498"/>
      <c r="I132" s="547"/>
      <c r="J132" s="547"/>
      <c r="K132" s="496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191"/>
      <c r="AK132" s="191"/>
      <c r="AL132" s="191"/>
      <c r="AM132" s="191"/>
      <c r="AN132" s="191"/>
      <c r="AO132" s="191"/>
      <c r="AP132" s="191"/>
      <c r="AQ132" s="191"/>
      <c r="AR132" s="191"/>
      <c r="AS132" s="191"/>
      <c r="AT132" s="191"/>
      <c r="AU132" s="191"/>
      <c r="AV132" s="191"/>
      <c r="AW132" s="191"/>
      <c r="AX132" s="191"/>
      <c r="AY132" s="191"/>
      <c r="AZ132" s="191"/>
      <c r="BA132" s="191"/>
      <c r="BB132" s="191"/>
      <c r="BC132" s="191"/>
      <c r="BD132" s="191"/>
      <c r="BE132" s="191"/>
      <c r="BF132" s="191"/>
      <c r="BG132" s="191"/>
      <c r="BH132" s="191"/>
      <c r="BI132" s="191"/>
      <c r="BJ132" s="191"/>
    </row>
    <row r="133" spans="1:62" x14ac:dyDescent="0.2">
      <c r="A133" s="493"/>
      <c r="B133" s="542"/>
      <c r="C133" s="498"/>
      <c r="D133" s="498"/>
      <c r="E133" s="498"/>
      <c r="F133" s="498"/>
      <c r="G133" s="499"/>
      <c r="H133" s="498"/>
      <c r="I133" s="547"/>
      <c r="J133" s="547"/>
      <c r="K133" s="496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</row>
    <row r="134" spans="1:62" x14ac:dyDescent="0.2">
      <c r="A134" s="493"/>
      <c r="B134" s="542"/>
      <c r="C134" s="498"/>
      <c r="D134" s="498"/>
      <c r="E134" s="498"/>
      <c r="F134" s="498"/>
      <c r="G134" s="499"/>
      <c r="H134" s="498"/>
      <c r="I134" s="547"/>
      <c r="J134" s="547"/>
      <c r="K134" s="496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191"/>
      <c r="BD134" s="191"/>
      <c r="BE134" s="191"/>
      <c r="BF134" s="191"/>
      <c r="BG134" s="191"/>
      <c r="BH134" s="191"/>
      <c r="BI134" s="191"/>
      <c r="BJ134" s="191"/>
    </row>
    <row r="135" spans="1:62" x14ac:dyDescent="0.2">
      <c r="A135" s="493"/>
      <c r="B135" s="542"/>
      <c r="C135" s="498"/>
      <c r="D135" s="498"/>
      <c r="E135" s="498"/>
      <c r="F135" s="498"/>
      <c r="G135" s="499"/>
      <c r="H135" s="498"/>
      <c r="I135" s="547"/>
      <c r="J135" s="547"/>
      <c r="K135" s="496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191"/>
      <c r="BD135" s="191"/>
      <c r="BE135" s="191"/>
      <c r="BF135" s="191"/>
      <c r="BG135" s="191"/>
      <c r="BH135" s="191"/>
      <c r="BI135" s="191"/>
      <c r="BJ135" s="191"/>
    </row>
    <row r="136" spans="1:62" x14ac:dyDescent="0.2">
      <c r="A136" s="493"/>
      <c r="B136" s="542"/>
      <c r="C136" s="498"/>
      <c r="D136" s="498"/>
      <c r="E136" s="498"/>
      <c r="F136" s="498"/>
      <c r="G136" s="499"/>
      <c r="H136" s="498"/>
      <c r="I136" s="547"/>
      <c r="J136" s="547"/>
      <c r="K136" s="496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1"/>
      <c r="AK136" s="191"/>
      <c r="AL136" s="191"/>
      <c r="AM136" s="191"/>
      <c r="AN136" s="191"/>
      <c r="AO136" s="191"/>
      <c r="AP136" s="191"/>
      <c r="AQ136" s="191"/>
      <c r="AR136" s="191"/>
      <c r="AS136" s="191"/>
      <c r="AT136" s="191"/>
      <c r="AU136" s="191"/>
      <c r="AV136" s="191"/>
      <c r="AW136" s="191"/>
      <c r="AX136" s="191"/>
      <c r="AY136" s="191"/>
      <c r="AZ136" s="191"/>
      <c r="BA136" s="191"/>
      <c r="BB136" s="191"/>
      <c r="BC136" s="191"/>
      <c r="BD136" s="191"/>
      <c r="BE136" s="191"/>
      <c r="BF136" s="191"/>
      <c r="BG136" s="191"/>
      <c r="BH136" s="191"/>
      <c r="BI136" s="191"/>
      <c r="BJ136" s="191"/>
    </row>
    <row r="137" spans="1:62" x14ac:dyDescent="0.2">
      <c r="A137" s="493"/>
      <c r="B137" s="542"/>
      <c r="C137" s="498"/>
      <c r="D137" s="498"/>
      <c r="E137" s="498"/>
      <c r="F137" s="498"/>
      <c r="G137" s="499"/>
      <c r="H137" s="498"/>
      <c r="I137" s="547"/>
      <c r="J137" s="547"/>
      <c r="K137" s="496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191"/>
      <c r="AK137" s="191"/>
      <c r="AL137" s="191"/>
      <c r="AM137" s="191"/>
      <c r="AN137" s="191"/>
      <c r="AO137" s="191"/>
      <c r="AP137" s="191"/>
      <c r="AQ137" s="191"/>
      <c r="AR137" s="191"/>
      <c r="AS137" s="191"/>
      <c r="AT137" s="191"/>
      <c r="AU137" s="191"/>
      <c r="AV137" s="191"/>
      <c r="AW137" s="191"/>
      <c r="AX137" s="191"/>
      <c r="AY137" s="191"/>
      <c r="AZ137" s="191"/>
      <c r="BA137" s="191"/>
      <c r="BB137" s="191"/>
      <c r="BC137" s="191"/>
      <c r="BD137" s="191"/>
      <c r="BE137" s="191"/>
      <c r="BF137" s="191"/>
      <c r="BG137" s="191"/>
      <c r="BH137" s="191"/>
      <c r="BI137" s="191"/>
      <c r="BJ137" s="191"/>
    </row>
    <row r="138" spans="1:62" x14ac:dyDescent="0.2">
      <c r="A138" s="493"/>
      <c r="B138" s="542"/>
      <c r="C138" s="498"/>
      <c r="D138" s="498"/>
      <c r="E138" s="498"/>
      <c r="F138" s="498"/>
      <c r="G138" s="499"/>
      <c r="H138" s="498"/>
      <c r="I138" s="547"/>
      <c r="J138" s="547"/>
      <c r="K138" s="496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</row>
    <row r="139" spans="1:62" x14ac:dyDescent="0.2">
      <c r="A139" s="493"/>
      <c r="B139" s="542"/>
      <c r="C139" s="498"/>
      <c r="D139" s="498"/>
      <c r="E139" s="498"/>
      <c r="F139" s="498"/>
      <c r="G139" s="499"/>
      <c r="H139" s="498"/>
      <c r="I139" s="547"/>
      <c r="J139" s="547"/>
      <c r="K139" s="496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</row>
    <row r="140" spans="1:62" x14ac:dyDescent="0.2">
      <c r="A140" s="493"/>
      <c r="B140" s="542"/>
      <c r="C140" s="498"/>
      <c r="D140" s="498"/>
      <c r="E140" s="498"/>
      <c r="F140" s="498"/>
      <c r="G140" s="499"/>
      <c r="H140" s="498"/>
      <c r="I140" s="547"/>
      <c r="J140" s="547"/>
      <c r="K140" s="496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  <c r="AD140" s="191"/>
      <c r="AE140" s="191"/>
      <c r="AF140" s="191"/>
      <c r="AG140" s="191"/>
      <c r="AH140" s="191"/>
      <c r="AI140" s="191"/>
      <c r="AJ140" s="191"/>
      <c r="AK140" s="191"/>
      <c r="AL140" s="191"/>
      <c r="AM140" s="191"/>
      <c r="AN140" s="191"/>
      <c r="AO140" s="191"/>
      <c r="AP140" s="191"/>
      <c r="AQ140" s="191"/>
      <c r="AR140" s="191"/>
      <c r="AS140" s="191"/>
      <c r="AT140" s="191"/>
      <c r="AU140" s="191"/>
      <c r="AV140" s="191"/>
      <c r="AW140" s="191"/>
      <c r="AX140" s="191"/>
      <c r="AY140" s="191"/>
      <c r="AZ140" s="191"/>
      <c r="BA140" s="191"/>
      <c r="BB140" s="191"/>
      <c r="BC140" s="191"/>
      <c r="BD140" s="191"/>
      <c r="BE140" s="191"/>
      <c r="BF140" s="191"/>
      <c r="BG140" s="191"/>
      <c r="BH140" s="191"/>
      <c r="BI140" s="191"/>
      <c r="BJ140" s="191"/>
    </row>
    <row r="141" spans="1:62" x14ac:dyDescent="0.2">
      <c r="A141" s="493"/>
      <c r="B141" s="542"/>
      <c r="C141" s="498"/>
      <c r="D141" s="498"/>
      <c r="E141" s="498"/>
      <c r="F141" s="498"/>
      <c r="G141" s="499"/>
      <c r="H141" s="498"/>
      <c r="I141" s="547"/>
      <c r="J141" s="547"/>
      <c r="K141" s="496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  <c r="AF141" s="191"/>
      <c r="AG141" s="191"/>
      <c r="AH141" s="191"/>
      <c r="AI141" s="191"/>
      <c r="AJ141" s="191"/>
      <c r="AK141" s="191"/>
      <c r="AL141" s="191"/>
      <c r="AM141" s="191"/>
      <c r="AN141" s="191"/>
      <c r="AO141" s="191"/>
      <c r="AP141" s="191"/>
      <c r="AQ141" s="191"/>
      <c r="AR141" s="191"/>
      <c r="AS141" s="191"/>
      <c r="AT141" s="191"/>
      <c r="AU141" s="191"/>
      <c r="AV141" s="191"/>
      <c r="AW141" s="191"/>
      <c r="AX141" s="191"/>
      <c r="AY141" s="191"/>
      <c r="AZ141" s="191"/>
      <c r="BA141" s="191"/>
      <c r="BB141" s="191"/>
      <c r="BC141" s="191"/>
      <c r="BD141" s="191"/>
      <c r="BE141" s="191"/>
      <c r="BF141" s="191"/>
      <c r="BG141" s="191"/>
      <c r="BH141" s="191"/>
      <c r="BI141" s="191"/>
      <c r="BJ141" s="191"/>
    </row>
    <row r="142" spans="1:62" x14ac:dyDescent="0.2">
      <c r="A142" s="493"/>
      <c r="B142" s="542"/>
      <c r="C142" s="498"/>
      <c r="D142" s="498"/>
      <c r="E142" s="498"/>
      <c r="F142" s="498"/>
      <c r="G142" s="499"/>
      <c r="H142" s="498"/>
      <c r="I142" s="547"/>
      <c r="J142" s="547"/>
      <c r="K142" s="496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  <c r="AF142" s="191"/>
      <c r="AG142" s="191"/>
      <c r="AH142" s="191"/>
      <c r="AI142" s="191"/>
      <c r="AJ142" s="191"/>
      <c r="AK142" s="191"/>
      <c r="AL142" s="191"/>
      <c r="AM142" s="191"/>
      <c r="AN142" s="191"/>
      <c r="AO142" s="191"/>
      <c r="AP142" s="191"/>
      <c r="AQ142" s="191"/>
      <c r="AR142" s="191"/>
      <c r="AS142" s="191"/>
      <c r="AT142" s="191"/>
      <c r="AU142" s="191"/>
      <c r="AV142" s="191"/>
      <c r="AW142" s="191"/>
      <c r="AX142" s="191"/>
      <c r="AY142" s="191"/>
      <c r="AZ142" s="191"/>
      <c r="BA142" s="191"/>
      <c r="BB142" s="191"/>
      <c r="BC142" s="191"/>
      <c r="BD142" s="191"/>
      <c r="BE142" s="191"/>
      <c r="BF142" s="191"/>
      <c r="BG142" s="191"/>
      <c r="BH142" s="191"/>
      <c r="BI142" s="191"/>
      <c r="BJ142" s="191"/>
    </row>
    <row r="143" spans="1:62" x14ac:dyDescent="0.2">
      <c r="A143" s="493"/>
      <c r="B143" s="542"/>
      <c r="C143" s="498"/>
      <c r="D143" s="498"/>
      <c r="E143" s="498"/>
      <c r="F143" s="498"/>
      <c r="G143" s="499"/>
      <c r="H143" s="498"/>
      <c r="I143" s="547"/>
      <c r="J143" s="547"/>
      <c r="K143" s="496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  <c r="AF143" s="191"/>
      <c r="AG143" s="191"/>
      <c r="AH143" s="191"/>
      <c r="AI143" s="191"/>
      <c r="AJ143" s="191"/>
      <c r="AK143" s="191"/>
      <c r="AL143" s="191"/>
      <c r="AM143" s="191"/>
      <c r="AN143" s="191"/>
      <c r="AO143" s="191"/>
      <c r="AP143" s="191"/>
      <c r="AQ143" s="191"/>
      <c r="AR143" s="191"/>
      <c r="AS143" s="191"/>
      <c r="AT143" s="191"/>
      <c r="AU143" s="191"/>
      <c r="AV143" s="191"/>
      <c r="AW143" s="191"/>
      <c r="AX143" s="191"/>
      <c r="AY143" s="191"/>
      <c r="AZ143" s="191"/>
      <c r="BA143" s="191"/>
      <c r="BB143" s="191"/>
      <c r="BC143" s="191"/>
      <c r="BD143" s="191"/>
      <c r="BE143" s="191"/>
      <c r="BF143" s="191"/>
      <c r="BG143" s="191"/>
      <c r="BH143" s="191"/>
      <c r="BI143" s="191"/>
      <c r="BJ143" s="191"/>
    </row>
    <row r="144" spans="1:62" x14ac:dyDescent="0.2">
      <c r="A144" s="493"/>
      <c r="B144" s="542"/>
      <c r="C144" s="498"/>
      <c r="D144" s="498"/>
      <c r="E144" s="498"/>
      <c r="F144" s="498"/>
      <c r="G144" s="499"/>
      <c r="H144" s="498"/>
      <c r="I144" s="547"/>
      <c r="J144" s="547"/>
      <c r="K144" s="496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  <c r="AF144" s="191"/>
      <c r="AG144" s="191"/>
      <c r="AH144" s="191"/>
      <c r="AI144" s="191"/>
      <c r="AJ144" s="191"/>
      <c r="AK144" s="191"/>
      <c r="AL144" s="191"/>
      <c r="AM144" s="191"/>
      <c r="AN144" s="191"/>
      <c r="AO144" s="191"/>
      <c r="AP144" s="191"/>
      <c r="AQ144" s="191"/>
      <c r="AR144" s="191"/>
      <c r="AS144" s="191"/>
      <c r="AT144" s="191"/>
      <c r="AU144" s="191"/>
      <c r="AV144" s="191"/>
      <c r="AW144" s="191"/>
      <c r="AX144" s="191"/>
      <c r="AY144" s="191"/>
      <c r="AZ144" s="191"/>
      <c r="BA144" s="191"/>
      <c r="BB144" s="191"/>
      <c r="BC144" s="191"/>
      <c r="BD144" s="191"/>
      <c r="BE144" s="191"/>
      <c r="BF144" s="191"/>
      <c r="BG144" s="191"/>
      <c r="BH144" s="191"/>
      <c r="BI144" s="191"/>
      <c r="BJ144" s="191"/>
    </row>
    <row r="145" spans="1:62" x14ac:dyDescent="0.2">
      <c r="A145" s="493"/>
      <c r="B145" s="542"/>
      <c r="C145" s="498"/>
      <c r="D145" s="498"/>
      <c r="E145" s="498"/>
      <c r="F145" s="498"/>
      <c r="G145" s="499"/>
      <c r="H145" s="498"/>
      <c r="I145" s="547"/>
      <c r="J145" s="547"/>
      <c r="K145" s="496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</row>
    <row r="146" spans="1:62" x14ac:dyDescent="0.2">
      <c r="A146" s="493"/>
      <c r="B146" s="542"/>
      <c r="C146" s="498"/>
      <c r="D146" s="498"/>
      <c r="E146" s="498"/>
      <c r="F146" s="498"/>
      <c r="G146" s="499"/>
      <c r="H146" s="498"/>
      <c r="I146" s="547"/>
      <c r="J146" s="547"/>
      <c r="K146" s="496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</row>
    <row r="147" spans="1:62" x14ac:dyDescent="0.2">
      <c r="A147" s="493"/>
      <c r="B147" s="542"/>
      <c r="C147" s="498"/>
      <c r="D147" s="498"/>
      <c r="E147" s="498"/>
      <c r="F147" s="498"/>
      <c r="G147" s="499"/>
      <c r="H147" s="498"/>
      <c r="I147" s="547"/>
      <c r="J147" s="547"/>
      <c r="K147" s="496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  <c r="AF147" s="191"/>
      <c r="AG147" s="191"/>
      <c r="AH147" s="191"/>
      <c r="AI147" s="191"/>
      <c r="AJ147" s="191"/>
      <c r="AK147" s="191"/>
      <c r="AL147" s="191"/>
      <c r="AM147" s="191"/>
      <c r="AN147" s="191"/>
      <c r="AO147" s="191"/>
      <c r="AP147" s="191"/>
      <c r="AQ147" s="191"/>
      <c r="AR147" s="191"/>
      <c r="AS147" s="191"/>
      <c r="AT147" s="191"/>
      <c r="AU147" s="191"/>
      <c r="AV147" s="191"/>
      <c r="AW147" s="191"/>
      <c r="AX147" s="191"/>
      <c r="AY147" s="191"/>
      <c r="AZ147" s="191"/>
      <c r="BA147" s="191"/>
      <c r="BB147" s="191"/>
      <c r="BC147" s="191"/>
      <c r="BD147" s="191"/>
      <c r="BE147" s="191"/>
      <c r="BF147" s="191"/>
      <c r="BG147" s="191"/>
      <c r="BH147" s="191"/>
      <c r="BI147" s="191"/>
      <c r="BJ147" s="191"/>
    </row>
    <row r="148" spans="1:62" x14ac:dyDescent="0.2">
      <c r="A148" s="493"/>
      <c r="B148" s="542"/>
      <c r="C148" s="498"/>
      <c r="D148" s="498"/>
      <c r="E148" s="498"/>
      <c r="F148" s="498"/>
      <c r="G148" s="499"/>
      <c r="H148" s="498"/>
      <c r="I148" s="547"/>
      <c r="J148" s="547"/>
      <c r="K148" s="496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  <c r="AF148" s="191"/>
      <c r="AG148" s="191"/>
      <c r="AH148" s="191"/>
      <c r="AI148" s="191"/>
      <c r="AJ148" s="191"/>
      <c r="AK148" s="191"/>
      <c r="AL148" s="191"/>
      <c r="AM148" s="191"/>
      <c r="AN148" s="191"/>
      <c r="AO148" s="191"/>
      <c r="AP148" s="191"/>
      <c r="AQ148" s="191"/>
      <c r="AR148" s="191"/>
      <c r="AS148" s="191"/>
      <c r="AT148" s="191"/>
      <c r="AU148" s="191"/>
      <c r="AV148" s="191"/>
      <c r="AW148" s="191"/>
      <c r="AX148" s="191"/>
      <c r="AY148" s="191"/>
      <c r="AZ148" s="191"/>
      <c r="BA148" s="191"/>
      <c r="BB148" s="191"/>
      <c r="BC148" s="191"/>
      <c r="BD148" s="191"/>
      <c r="BE148" s="191"/>
      <c r="BF148" s="191"/>
      <c r="BG148" s="191"/>
      <c r="BH148" s="191"/>
      <c r="BI148" s="191"/>
      <c r="BJ148" s="191"/>
    </row>
    <row r="149" spans="1:62" x14ac:dyDescent="0.2">
      <c r="A149" s="493"/>
      <c r="B149" s="542"/>
      <c r="C149" s="498"/>
      <c r="D149" s="498"/>
      <c r="E149" s="498"/>
      <c r="F149" s="498"/>
      <c r="G149" s="499"/>
      <c r="H149" s="498"/>
      <c r="I149" s="547"/>
      <c r="J149" s="547"/>
      <c r="K149" s="496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  <c r="AB149" s="191"/>
      <c r="AC149" s="191"/>
      <c r="AD149" s="191"/>
      <c r="AE149" s="191"/>
      <c r="AF149" s="191"/>
      <c r="AG149" s="191"/>
      <c r="AH149" s="191"/>
      <c r="AI149" s="191"/>
      <c r="AJ149" s="191"/>
      <c r="AK149" s="191"/>
      <c r="AL149" s="191"/>
      <c r="AM149" s="191"/>
      <c r="AN149" s="191"/>
      <c r="AO149" s="191"/>
      <c r="AP149" s="191"/>
      <c r="AQ149" s="191"/>
      <c r="AR149" s="191"/>
      <c r="AS149" s="191"/>
      <c r="AT149" s="191"/>
      <c r="AU149" s="191"/>
      <c r="AV149" s="191"/>
      <c r="AW149" s="191"/>
      <c r="AX149" s="191"/>
      <c r="AY149" s="191"/>
      <c r="AZ149" s="191"/>
      <c r="BA149" s="191"/>
      <c r="BB149" s="191"/>
      <c r="BC149" s="191"/>
      <c r="BD149" s="191"/>
      <c r="BE149" s="191"/>
      <c r="BF149" s="191"/>
      <c r="BG149" s="191"/>
      <c r="BH149" s="191"/>
      <c r="BI149" s="191"/>
      <c r="BJ149" s="191"/>
    </row>
    <row r="150" spans="1:62" x14ac:dyDescent="0.2">
      <c r="A150" s="493"/>
      <c r="B150" s="542"/>
      <c r="C150" s="498"/>
      <c r="D150" s="498"/>
      <c r="E150" s="498"/>
      <c r="F150" s="498"/>
      <c r="G150" s="499"/>
      <c r="H150" s="498"/>
      <c r="I150" s="547"/>
      <c r="J150" s="547"/>
      <c r="K150" s="496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1"/>
      <c r="AK150" s="191"/>
      <c r="AL150" s="191"/>
      <c r="AM150" s="191"/>
      <c r="AN150" s="191"/>
      <c r="AO150" s="191"/>
      <c r="AP150" s="191"/>
      <c r="AQ150" s="191"/>
      <c r="AR150" s="191"/>
      <c r="AS150" s="191"/>
      <c r="AT150" s="191"/>
      <c r="AU150" s="191"/>
      <c r="AV150" s="191"/>
      <c r="AW150" s="191"/>
      <c r="AX150" s="191"/>
      <c r="AY150" s="191"/>
      <c r="AZ150" s="191"/>
      <c r="BA150" s="191"/>
      <c r="BB150" s="191"/>
      <c r="BC150" s="191"/>
      <c r="BD150" s="191"/>
      <c r="BE150" s="191"/>
      <c r="BF150" s="191"/>
      <c r="BG150" s="191"/>
      <c r="BH150" s="191"/>
      <c r="BI150" s="191"/>
      <c r="BJ150" s="191"/>
    </row>
    <row r="151" spans="1:62" ht="19.5" thickBot="1" x14ac:dyDescent="0.25">
      <c r="A151" s="493"/>
      <c r="B151" s="497" t="s">
        <v>257</v>
      </c>
      <c r="C151" s="527"/>
      <c r="D151" s="527"/>
      <c r="E151" s="527"/>
      <c r="F151" s="527"/>
      <c r="G151" s="528"/>
      <c r="H151" s="527"/>
      <c r="I151" s="527"/>
      <c r="J151" s="527" t="s">
        <v>244</v>
      </c>
      <c r="K151" s="496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  <c r="AF151" s="191"/>
      <c r="AG151" s="191"/>
      <c r="AH151" s="191"/>
      <c r="AI151" s="191"/>
      <c r="AJ151" s="191"/>
      <c r="AK151" s="191"/>
      <c r="AL151" s="191"/>
      <c r="AM151" s="191"/>
      <c r="AN151" s="191"/>
      <c r="AO151" s="191"/>
      <c r="AP151" s="191"/>
      <c r="AQ151" s="191"/>
      <c r="AR151" s="191"/>
      <c r="AS151" s="191"/>
      <c r="AT151" s="191"/>
      <c r="AU151" s="191"/>
      <c r="AV151" s="191"/>
      <c r="AW151" s="191"/>
      <c r="AX151" s="191"/>
      <c r="AY151" s="191"/>
      <c r="AZ151" s="191"/>
      <c r="BA151" s="191"/>
      <c r="BB151" s="191"/>
      <c r="BC151" s="191"/>
      <c r="BD151" s="191"/>
      <c r="BE151" s="191"/>
      <c r="BF151" s="191"/>
      <c r="BG151" s="191"/>
      <c r="BH151" s="191"/>
      <c r="BI151" s="191"/>
      <c r="BJ151" s="191"/>
    </row>
    <row r="152" spans="1:62" x14ac:dyDescent="0.2">
      <c r="A152" s="493"/>
      <c r="B152" s="548" t="s">
        <v>272</v>
      </c>
      <c r="C152" s="498"/>
      <c r="D152" s="498"/>
      <c r="E152" s="498"/>
      <c r="F152" s="498"/>
      <c r="G152" s="499"/>
      <c r="H152" s="498"/>
      <c r="I152" s="547"/>
      <c r="J152" s="547">
        <f>Study!C187</f>
        <v>212458349.99999997</v>
      </c>
      <c r="K152" s="496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  <c r="AD152" s="191"/>
      <c r="AE152" s="191"/>
      <c r="AF152" s="191"/>
      <c r="AG152" s="191"/>
      <c r="AH152" s="191"/>
      <c r="AI152" s="191"/>
      <c r="AJ152" s="191"/>
      <c r="AK152" s="191"/>
      <c r="AL152" s="191"/>
      <c r="AM152" s="191"/>
      <c r="AN152" s="191"/>
      <c r="AO152" s="191"/>
      <c r="AP152" s="191"/>
      <c r="AQ152" s="191"/>
      <c r="AR152" s="191"/>
      <c r="AS152" s="191"/>
      <c r="AT152" s="191"/>
      <c r="AU152" s="191"/>
      <c r="AV152" s="191"/>
      <c r="AW152" s="191"/>
      <c r="AX152" s="191"/>
      <c r="AY152" s="191"/>
      <c r="AZ152" s="191"/>
      <c r="BA152" s="191"/>
      <c r="BB152" s="191"/>
      <c r="BC152" s="191"/>
      <c r="BD152" s="191"/>
      <c r="BE152" s="191"/>
      <c r="BF152" s="191"/>
      <c r="BG152" s="191"/>
      <c r="BH152" s="191"/>
      <c r="BI152" s="191"/>
      <c r="BJ152" s="191"/>
    </row>
    <row r="153" spans="1:62" x14ac:dyDescent="0.2">
      <c r="A153" s="493"/>
      <c r="B153" s="556" t="s">
        <v>262</v>
      </c>
      <c r="C153" s="498"/>
      <c r="D153" s="498"/>
      <c r="E153" s="498"/>
      <c r="F153" s="498"/>
      <c r="G153" s="499"/>
      <c r="H153" s="498"/>
      <c r="I153" s="547"/>
      <c r="J153" s="547">
        <f>Study!C184</f>
        <v>118949481.33119997</v>
      </c>
      <c r="K153" s="496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  <c r="AC153" s="191"/>
      <c r="AD153" s="191"/>
      <c r="AE153" s="191"/>
      <c r="AF153" s="191"/>
      <c r="AG153" s="191"/>
      <c r="AH153" s="191"/>
      <c r="AI153" s="191"/>
      <c r="AJ153" s="191"/>
      <c r="AK153" s="191"/>
      <c r="AL153" s="191"/>
      <c r="AM153" s="191"/>
      <c r="AN153" s="191"/>
      <c r="AO153" s="191"/>
      <c r="AP153" s="191"/>
      <c r="AQ153" s="191"/>
      <c r="AR153" s="191"/>
      <c r="AS153" s="191"/>
      <c r="AT153" s="191"/>
      <c r="AU153" s="191"/>
      <c r="AV153" s="191"/>
      <c r="AW153" s="191"/>
      <c r="AX153" s="191"/>
      <c r="AY153" s="191"/>
      <c r="AZ153" s="191"/>
      <c r="BA153" s="191"/>
      <c r="BB153" s="191"/>
      <c r="BC153" s="191"/>
      <c r="BD153" s="191"/>
      <c r="BE153" s="191"/>
      <c r="BF153" s="191"/>
      <c r="BG153" s="191"/>
      <c r="BH153" s="191"/>
      <c r="BI153" s="191"/>
      <c r="BJ153" s="191"/>
    </row>
    <row r="154" spans="1:62" x14ac:dyDescent="0.2">
      <c r="A154" s="493"/>
      <c r="B154" s="548" t="s">
        <v>273</v>
      </c>
      <c r="C154" s="498"/>
      <c r="D154" s="498"/>
      <c r="E154" s="498"/>
      <c r="F154" s="498"/>
      <c r="G154" s="499"/>
      <c r="H154" s="498"/>
      <c r="I154" s="547"/>
      <c r="J154" s="547">
        <f>Study!C185</f>
        <v>25705995.120000001</v>
      </c>
      <c r="K154" s="496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  <c r="AF154" s="191"/>
      <c r="AG154" s="191"/>
      <c r="AH154" s="191"/>
      <c r="AI154" s="191"/>
      <c r="AJ154" s="191"/>
      <c r="AK154" s="191"/>
      <c r="AL154" s="191"/>
      <c r="AM154" s="191"/>
      <c r="AN154" s="191"/>
      <c r="AO154" s="191"/>
      <c r="AP154" s="191"/>
      <c r="AQ154" s="191"/>
      <c r="AR154" s="191"/>
      <c r="AS154" s="191"/>
      <c r="AT154" s="191"/>
      <c r="AU154" s="191"/>
      <c r="AV154" s="191"/>
      <c r="AW154" s="191"/>
      <c r="AX154" s="191"/>
      <c r="AY154" s="191"/>
      <c r="AZ154" s="191"/>
      <c r="BA154" s="191"/>
      <c r="BB154" s="191"/>
      <c r="BC154" s="191"/>
      <c r="BD154" s="191"/>
      <c r="BE154" s="191"/>
      <c r="BF154" s="191"/>
      <c r="BG154" s="191"/>
      <c r="BH154" s="191"/>
      <c r="BI154" s="191"/>
      <c r="BJ154" s="191"/>
    </row>
    <row r="155" spans="1:62" x14ac:dyDescent="0.2">
      <c r="A155" s="493"/>
      <c r="B155" s="548" t="s">
        <v>274</v>
      </c>
      <c r="C155" s="498"/>
      <c r="D155" s="498"/>
      <c r="E155" s="498"/>
      <c r="F155" s="498"/>
      <c r="G155" s="499"/>
      <c r="H155" s="498"/>
      <c r="I155" s="547"/>
      <c r="J155" s="547">
        <f>Study!C186</f>
        <v>38325000</v>
      </c>
      <c r="K155" s="496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  <c r="AF155" s="191"/>
      <c r="AG155" s="191"/>
      <c r="AH155" s="191"/>
      <c r="AI155" s="191"/>
      <c r="AJ155" s="191"/>
      <c r="AK155" s="191"/>
      <c r="AL155" s="191"/>
      <c r="AM155" s="191"/>
      <c r="AN155" s="191"/>
      <c r="AO155" s="191"/>
      <c r="AP155" s="191"/>
      <c r="AQ155" s="191"/>
      <c r="AR155" s="191"/>
      <c r="AS155" s="191"/>
      <c r="AT155" s="191"/>
      <c r="AU155" s="191"/>
      <c r="AV155" s="191"/>
      <c r="AW155" s="191"/>
      <c r="AX155" s="191"/>
      <c r="AY155" s="191"/>
      <c r="AZ155" s="191"/>
      <c r="BA155" s="191"/>
      <c r="BB155" s="191"/>
      <c r="BC155" s="191"/>
      <c r="BD155" s="191"/>
      <c r="BE155" s="191"/>
      <c r="BF155" s="191"/>
      <c r="BG155" s="191"/>
      <c r="BH155" s="191"/>
      <c r="BI155" s="191"/>
      <c r="BJ155" s="191"/>
    </row>
    <row r="156" spans="1:62" ht="19.5" thickBot="1" x14ac:dyDescent="0.25">
      <c r="A156" s="493"/>
      <c r="B156" s="556" t="s">
        <v>287</v>
      </c>
      <c r="C156" s="493"/>
      <c r="D156" s="493"/>
      <c r="E156" s="493"/>
      <c r="F156" s="493"/>
      <c r="G156" s="493"/>
      <c r="H156" s="493"/>
      <c r="I156" s="547"/>
      <c r="J156" s="557">
        <f>Study!C188</f>
        <v>647743931.8487395</v>
      </c>
      <c r="K156" s="496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  <c r="AD156" s="191"/>
      <c r="AE156" s="191"/>
      <c r="AF156" s="191"/>
      <c r="AG156" s="191"/>
      <c r="AH156" s="191"/>
      <c r="AI156" s="191"/>
      <c r="AJ156" s="191"/>
      <c r="AK156" s="191"/>
      <c r="AL156" s="191"/>
      <c r="AM156" s="191"/>
      <c r="AN156" s="191"/>
      <c r="AO156" s="191"/>
      <c r="AP156" s="191"/>
      <c r="AQ156" s="191"/>
      <c r="AR156" s="191"/>
      <c r="AS156" s="191"/>
      <c r="AT156" s="191"/>
      <c r="AU156" s="191"/>
      <c r="AV156" s="191"/>
      <c r="AW156" s="191"/>
      <c r="AX156" s="191"/>
      <c r="AY156" s="191"/>
      <c r="AZ156" s="191"/>
      <c r="BA156" s="191"/>
      <c r="BB156" s="191"/>
      <c r="BC156" s="191"/>
      <c r="BD156" s="191"/>
      <c r="BE156" s="191"/>
      <c r="BF156" s="191"/>
      <c r="BG156" s="191"/>
      <c r="BH156" s="191"/>
      <c r="BI156" s="191"/>
      <c r="BJ156" s="191"/>
    </row>
    <row r="157" spans="1:62" x14ac:dyDescent="0.2">
      <c r="A157" s="493"/>
      <c r="B157" s="537" t="s">
        <v>275</v>
      </c>
      <c r="C157" s="538"/>
      <c r="D157" s="538"/>
      <c r="E157" s="538"/>
      <c r="F157" s="538"/>
      <c r="G157" s="539"/>
      <c r="H157" s="538"/>
      <c r="I157" s="555"/>
      <c r="J157" s="555">
        <f>SUM(J152:J156)</f>
        <v>1043182758.2999394</v>
      </c>
      <c r="K157" s="496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  <c r="AD157" s="191"/>
      <c r="AE157" s="191"/>
      <c r="AF157" s="191"/>
      <c r="AG157" s="191"/>
      <c r="AH157" s="191"/>
      <c r="AI157" s="191"/>
      <c r="AJ157" s="191"/>
      <c r="AK157" s="191"/>
      <c r="AL157" s="191"/>
      <c r="AM157" s="191"/>
      <c r="AN157" s="191"/>
      <c r="AO157" s="191"/>
      <c r="AP157" s="191"/>
      <c r="AQ157" s="191"/>
      <c r="AR157" s="191"/>
      <c r="AS157" s="191"/>
      <c r="AT157" s="191"/>
      <c r="AU157" s="191"/>
      <c r="AV157" s="191"/>
      <c r="AW157" s="191"/>
      <c r="AX157" s="191"/>
      <c r="AY157" s="191"/>
      <c r="AZ157" s="191"/>
      <c r="BA157" s="191"/>
      <c r="BB157" s="191"/>
      <c r="BC157" s="191"/>
      <c r="BD157" s="191"/>
      <c r="BE157" s="191"/>
      <c r="BF157" s="191"/>
      <c r="BG157" s="191"/>
      <c r="BH157" s="191"/>
      <c r="BI157" s="191"/>
      <c r="BJ157" s="191"/>
    </row>
    <row r="158" spans="1:62" x14ac:dyDescent="0.2">
      <c r="A158" s="493"/>
      <c r="B158" s="493"/>
      <c r="C158" s="493"/>
      <c r="D158" s="493"/>
      <c r="E158" s="493"/>
      <c r="F158" s="493"/>
      <c r="G158" s="493"/>
      <c r="H158" s="493"/>
      <c r="I158" s="493"/>
      <c r="J158" s="493"/>
      <c r="K158" s="496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  <c r="AD158" s="191"/>
      <c r="AE158" s="191"/>
      <c r="AF158" s="191"/>
      <c r="AG158" s="191"/>
      <c r="AH158" s="191"/>
      <c r="AI158" s="191"/>
      <c r="AJ158" s="191"/>
      <c r="AK158" s="191"/>
      <c r="AL158" s="191"/>
      <c r="AM158" s="191"/>
      <c r="AN158" s="191"/>
      <c r="AO158" s="191"/>
      <c r="AP158" s="191"/>
      <c r="AQ158" s="191"/>
      <c r="AR158" s="191"/>
      <c r="AS158" s="191"/>
      <c r="AT158" s="191"/>
      <c r="AU158" s="191"/>
      <c r="AV158" s="191"/>
      <c r="AW158" s="191"/>
      <c r="AX158" s="191"/>
      <c r="AY158" s="191"/>
      <c r="AZ158" s="191"/>
      <c r="BA158" s="191"/>
      <c r="BB158" s="191"/>
      <c r="BC158" s="191"/>
      <c r="BD158" s="191"/>
      <c r="BE158" s="191"/>
      <c r="BF158" s="191"/>
      <c r="BG158" s="191"/>
      <c r="BH158" s="191"/>
      <c r="BI158" s="191"/>
      <c r="BJ158" s="191"/>
    </row>
    <row r="159" spans="1:62" x14ac:dyDescent="0.2">
      <c r="A159" s="493"/>
      <c r="B159" s="493"/>
      <c r="C159" s="493"/>
      <c r="D159" s="493"/>
      <c r="E159" s="493"/>
      <c r="F159" s="493"/>
      <c r="G159" s="493"/>
      <c r="H159" s="493"/>
      <c r="I159" s="493"/>
      <c r="J159" s="493"/>
      <c r="K159" s="496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  <c r="AA159" s="191"/>
      <c r="AB159" s="191"/>
      <c r="AC159" s="191"/>
      <c r="AD159" s="191"/>
      <c r="AE159" s="191"/>
      <c r="AF159" s="191"/>
      <c r="AG159" s="191"/>
      <c r="AH159" s="191"/>
      <c r="AI159" s="191"/>
      <c r="AJ159" s="191"/>
      <c r="AK159" s="191"/>
      <c r="AL159" s="191"/>
      <c r="AM159" s="191"/>
      <c r="AN159" s="191"/>
      <c r="AO159" s="191"/>
      <c r="AP159" s="191"/>
      <c r="AQ159" s="191"/>
      <c r="AR159" s="191"/>
      <c r="AS159" s="191"/>
      <c r="AT159" s="191"/>
      <c r="AU159" s="191"/>
      <c r="AV159" s="191"/>
      <c r="AW159" s="191"/>
      <c r="AX159" s="191"/>
      <c r="AY159" s="191"/>
      <c r="AZ159" s="191"/>
      <c r="BA159" s="191"/>
      <c r="BB159" s="191"/>
      <c r="BC159" s="191"/>
      <c r="BD159" s="191"/>
      <c r="BE159" s="191"/>
      <c r="BF159" s="191"/>
      <c r="BG159" s="191"/>
      <c r="BH159" s="191"/>
      <c r="BI159" s="191"/>
      <c r="BJ159" s="191"/>
    </row>
    <row r="160" spans="1:62" x14ac:dyDescent="0.2">
      <c r="A160" s="493"/>
      <c r="B160" s="493"/>
      <c r="C160" s="493"/>
      <c r="D160" s="493"/>
      <c r="E160" s="493"/>
      <c r="F160" s="493"/>
      <c r="G160" s="493"/>
      <c r="H160" s="493"/>
      <c r="I160" s="493"/>
      <c r="J160" s="493"/>
      <c r="K160" s="496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1"/>
      <c r="AK160" s="191"/>
      <c r="AL160" s="191"/>
      <c r="AM160" s="191"/>
      <c r="AN160" s="191"/>
      <c r="AO160" s="191"/>
      <c r="AP160" s="191"/>
      <c r="AQ160" s="191"/>
      <c r="AR160" s="191"/>
      <c r="AS160" s="191"/>
      <c r="AT160" s="191"/>
      <c r="AU160" s="191"/>
      <c r="AV160" s="191"/>
      <c r="AW160" s="191"/>
      <c r="AX160" s="191"/>
      <c r="AY160" s="191"/>
      <c r="AZ160" s="191"/>
      <c r="BA160" s="191"/>
      <c r="BB160" s="191"/>
      <c r="BC160" s="191"/>
      <c r="BD160" s="191"/>
      <c r="BE160" s="191"/>
      <c r="BF160" s="191"/>
      <c r="BG160" s="191"/>
      <c r="BH160" s="191"/>
      <c r="BI160" s="191"/>
      <c r="BJ160" s="191"/>
    </row>
    <row r="161" spans="1:62" ht="38.25" thickBot="1" x14ac:dyDescent="0.25">
      <c r="A161" s="493"/>
      <c r="B161" s="558" t="s">
        <v>256</v>
      </c>
      <c r="C161" s="559" t="s">
        <v>189</v>
      </c>
      <c r="D161" s="777" t="s">
        <v>190</v>
      </c>
      <c r="E161" s="777"/>
      <c r="F161" s="772" t="s">
        <v>191</v>
      </c>
      <c r="G161" s="772"/>
      <c r="H161" s="772"/>
      <c r="I161" s="559" t="s">
        <v>192</v>
      </c>
      <c r="J161" s="559" t="s">
        <v>193</v>
      </c>
      <c r="K161" s="496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  <c r="AA161" s="191"/>
      <c r="AB161" s="191"/>
      <c r="AC161" s="191"/>
      <c r="AD161" s="191"/>
      <c r="AE161" s="191"/>
      <c r="AF161" s="191"/>
      <c r="AG161" s="191"/>
      <c r="AH161" s="191"/>
      <c r="AI161" s="191"/>
      <c r="AJ161" s="191"/>
      <c r="AK161" s="191"/>
      <c r="AL161" s="191"/>
      <c r="AM161" s="191"/>
      <c r="AN161" s="191"/>
      <c r="AO161" s="191"/>
      <c r="AP161" s="191"/>
      <c r="AQ161" s="191"/>
      <c r="AR161" s="191"/>
      <c r="AS161" s="191"/>
      <c r="AT161" s="191"/>
      <c r="AU161" s="191"/>
      <c r="AV161" s="191"/>
      <c r="AW161" s="191"/>
      <c r="AX161" s="191"/>
      <c r="AY161" s="191"/>
      <c r="AZ161" s="191"/>
      <c r="BA161" s="191"/>
      <c r="BB161" s="191"/>
      <c r="BC161" s="191"/>
      <c r="BD161" s="191"/>
      <c r="BE161" s="191"/>
      <c r="BF161" s="191"/>
      <c r="BG161" s="191"/>
      <c r="BH161" s="191"/>
      <c r="BI161" s="191"/>
      <c r="BJ161" s="191"/>
    </row>
    <row r="162" spans="1:62" ht="36" x14ac:dyDescent="0.2">
      <c r="A162" s="493"/>
      <c r="B162" s="567" t="s">
        <v>297</v>
      </c>
      <c r="C162" s="560">
        <v>0.1</v>
      </c>
      <c r="D162" s="778">
        <v>0.05</v>
      </c>
      <c r="E162" s="778"/>
      <c r="F162" s="775">
        <v>0</v>
      </c>
      <c r="G162" s="775"/>
      <c r="H162" s="775"/>
      <c r="I162" s="564">
        <v>0.05</v>
      </c>
      <c r="J162" s="564">
        <v>0.1</v>
      </c>
      <c r="K162" s="496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191"/>
      <c r="AF162" s="191"/>
      <c r="AG162" s="191"/>
      <c r="AH162" s="191"/>
      <c r="AI162" s="191"/>
      <c r="AJ162" s="191"/>
      <c r="AK162" s="191"/>
      <c r="AL162" s="191"/>
      <c r="AM162" s="191"/>
      <c r="AN162" s="191"/>
      <c r="AO162" s="191"/>
      <c r="AP162" s="191"/>
      <c r="AQ162" s="191"/>
      <c r="AR162" s="191"/>
      <c r="AS162" s="191"/>
      <c r="AT162" s="191"/>
      <c r="AU162" s="191"/>
      <c r="AV162" s="191"/>
      <c r="AW162" s="191"/>
      <c r="AX162" s="191"/>
      <c r="AY162" s="191"/>
      <c r="AZ162" s="191"/>
      <c r="BA162" s="191"/>
      <c r="BB162" s="191"/>
      <c r="BC162" s="191"/>
      <c r="BD162" s="191"/>
      <c r="BE162" s="191"/>
      <c r="BF162" s="191"/>
      <c r="BG162" s="191"/>
      <c r="BH162" s="191"/>
      <c r="BI162" s="191"/>
      <c r="BJ162" s="191"/>
    </row>
    <row r="163" spans="1:62" x14ac:dyDescent="0.2">
      <c r="A163" s="493"/>
      <c r="B163" s="568" t="s">
        <v>255</v>
      </c>
      <c r="C163" s="561">
        <f>F163-(F163*$C$162)</f>
        <v>242674034.53156987</v>
      </c>
      <c r="D163" s="779">
        <f>F163-(F163*$D$162)</f>
        <v>256155925.33887929</v>
      </c>
      <c r="E163" s="779"/>
      <c r="F163" s="771">
        <f>Study!C218</f>
        <v>269637816.14618874</v>
      </c>
      <c r="G163" s="771"/>
      <c r="H163" s="771"/>
      <c r="I163" s="565">
        <f>F163+(F163*$I$162)</f>
        <v>283119706.95349818</v>
      </c>
      <c r="J163" s="565">
        <f>F163+(F163*$J$162)</f>
        <v>296601597.76080763</v>
      </c>
      <c r="K163" s="496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191"/>
      <c r="AF163" s="191"/>
      <c r="AG163" s="191"/>
      <c r="AH163" s="191"/>
      <c r="AI163" s="191"/>
      <c r="AJ163" s="191"/>
      <c r="AK163" s="191"/>
      <c r="AL163" s="191"/>
      <c r="AM163" s="191"/>
      <c r="AN163" s="191"/>
      <c r="AO163" s="191"/>
      <c r="AP163" s="191"/>
      <c r="AQ163" s="191"/>
      <c r="AR163" s="191"/>
      <c r="AS163" s="191"/>
      <c r="AT163" s="191"/>
      <c r="AU163" s="191"/>
      <c r="AV163" s="191"/>
      <c r="AW163" s="191"/>
      <c r="AX163" s="191"/>
      <c r="AY163" s="191"/>
      <c r="AZ163" s="191"/>
      <c r="BA163" s="191"/>
      <c r="BB163" s="191"/>
      <c r="BC163" s="191"/>
      <c r="BD163" s="191"/>
      <c r="BE163" s="191"/>
      <c r="BF163" s="191"/>
      <c r="BG163" s="191"/>
      <c r="BH163" s="191"/>
      <c r="BI163" s="191"/>
      <c r="BJ163" s="191"/>
    </row>
    <row r="164" spans="1:62" x14ac:dyDescent="0.2">
      <c r="A164" s="493"/>
      <c r="B164" s="569" t="s">
        <v>212</v>
      </c>
      <c r="C164" s="562">
        <f>F164-(F164*$C$162)</f>
        <v>0.31814918037896045</v>
      </c>
      <c r="D164" s="776">
        <f>F164-(F164*$D$162)</f>
        <v>0.33582413484445822</v>
      </c>
      <c r="E164" s="776"/>
      <c r="F164" s="773">
        <f>Study!C224</f>
        <v>0.35349908930995605</v>
      </c>
      <c r="G164" s="773"/>
      <c r="H164" s="773"/>
      <c r="I164" s="564">
        <f>F164+(F164*$I$162)</f>
        <v>0.37117404377545388</v>
      </c>
      <c r="J164" s="564">
        <f>F164+(F164*$J$162)</f>
        <v>0.38884899824095165</v>
      </c>
      <c r="K164" s="496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191"/>
      <c r="AF164" s="191"/>
      <c r="AG164" s="191"/>
      <c r="AH164" s="191"/>
      <c r="AI164" s="191"/>
      <c r="AJ164" s="191"/>
      <c r="AK164" s="191"/>
      <c r="AL164" s="191"/>
      <c r="AM164" s="191"/>
      <c r="AN164" s="191"/>
      <c r="AO164" s="191"/>
      <c r="AP164" s="191"/>
      <c r="AQ164" s="191"/>
      <c r="AR164" s="191"/>
      <c r="AS164" s="191"/>
      <c r="AT164" s="191"/>
      <c r="AU164" s="191"/>
      <c r="AV164" s="191"/>
      <c r="AW164" s="191"/>
      <c r="AX164" s="191"/>
      <c r="AY164" s="191"/>
      <c r="AZ164" s="191"/>
      <c r="BA164" s="191"/>
      <c r="BB164" s="191"/>
      <c r="BC164" s="191"/>
      <c r="BD164" s="191"/>
      <c r="BE164" s="191"/>
      <c r="BF164" s="191"/>
      <c r="BG164" s="191"/>
      <c r="BH164" s="191"/>
      <c r="BI164" s="191"/>
      <c r="BJ164" s="191"/>
    </row>
    <row r="165" spans="1:62" x14ac:dyDescent="0.2">
      <c r="A165" s="493"/>
      <c r="B165" s="570" t="s">
        <v>213</v>
      </c>
      <c r="C165" s="563">
        <f>F165-(F165*$C$162)</f>
        <v>0.5844889163291811</v>
      </c>
      <c r="D165" s="780">
        <f>F165-(F165*$D$162)</f>
        <v>0.61696052279191338</v>
      </c>
      <c r="E165" s="780"/>
      <c r="F165" s="774">
        <f>Study!C225</f>
        <v>0.64943212925464566</v>
      </c>
      <c r="G165" s="774"/>
      <c r="H165" s="774"/>
      <c r="I165" s="566">
        <f>F165+(F165*$I$162)</f>
        <v>0.68190373571737795</v>
      </c>
      <c r="J165" s="566">
        <f>F165+(F165*$J$162)</f>
        <v>0.71437534218011023</v>
      </c>
      <c r="K165" s="496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191"/>
      <c r="AF165" s="191"/>
      <c r="AG165" s="191"/>
      <c r="AH165" s="191"/>
      <c r="AI165" s="191"/>
      <c r="AJ165" s="191"/>
      <c r="AK165" s="191"/>
      <c r="AL165" s="191"/>
      <c r="AM165" s="191"/>
      <c r="AN165" s="191"/>
      <c r="AO165" s="191"/>
      <c r="AP165" s="191"/>
      <c r="AQ165" s="191"/>
      <c r="AR165" s="191"/>
      <c r="AS165" s="191"/>
      <c r="AT165" s="191"/>
      <c r="AU165" s="191"/>
      <c r="AV165" s="191"/>
      <c r="AW165" s="191"/>
      <c r="AX165" s="191"/>
      <c r="AY165" s="191"/>
      <c r="AZ165" s="191"/>
      <c r="BA165" s="191"/>
      <c r="BB165" s="191"/>
      <c r="BC165" s="191"/>
      <c r="BD165" s="191"/>
      <c r="BE165" s="191"/>
      <c r="BF165" s="191"/>
      <c r="BG165" s="191"/>
      <c r="BH165" s="191"/>
      <c r="BI165" s="191"/>
      <c r="BJ165" s="191"/>
    </row>
    <row r="166" spans="1:62" x14ac:dyDescent="0.2">
      <c r="A166" s="493"/>
      <c r="B166" s="569" t="s">
        <v>261</v>
      </c>
      <c r="C166" s="562">
        <f>F166-(F166*$C$162)</f>
        <v>0.15260261406305514</v>
      </c>
      <c r="D166" s="776">
        <f>F166-(F166*$D$162)</f>
        <v>0.1610805370665582</v>
      </c>
      <c r="E166" s="776"/>
      <c r="F166" s="773">
        <f>Study!C226</f>
        <v>0.16955846007006126</v>
      </c>
      <c r="G166" s="773"/>
      <c r="H166" s="773"/>
      <c r="I166" s="564">
        <f>F166+(F166*$I$162)</f>
        <v>0.17803638307356431</v>
      </c>
      <c r="J166" s="564">
        <f>F166+(F166*$J$162)</f>
        <v>0.18651430607706737</v>
      </c>
      <c r="K166" s="496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191"/>
      <c r="AF166" s="191"/>
      <c r="AG166" s="191"/>
      <c r="AH166" s="191"/>
      <c r="AI166" s="191"/>
      <c r="AJ166" s="191"/>
      <c r="AK166" s="191"/>
      <c r="AL166" s="191"/>
      <c r="AM166" s="191"/>
      <c r="AN166" s="191"/>
      <c r="AO166" s="191"/>
      <c r="AP166" s="191"/>
      <c r="AQ166" s="191"/>
      <c r="AR166" s="191"/>
      <c r="AS166" s="191"/>
      <c r="AT166" s="191"/>
      <c r="AU166" s="191"/>
      <c r="AV166" s="191"/>
      <c r="AW166" s="191"/>
      <c r="AX166" s="191"/>
      <c r="AY166" s="191"/>
      <c r="AZ166" s="191"/>
      <c r="BA166" s="191"/>
      <c r="BB166" s="191"/>
      <c r="BC166" s="191"/>
      <c r="BD166" s="191"/>
      <c r="BE166" s="191"/>
      <c r="BF166" s="191"/>
      <c r="BG166" s="191"/>
      <c r="BH166" s="191"/>
      <c r="BI166" s="191"/>
      <c r="BJ166" s="191"/>
    </row>
    <row r="167" spans="1:62" x14ac:dyDescent="0.2">
      <c r="A167" s="493"/>
      <c r="B167" s="494"/>
      <c r="C167" s="493"/>
      <c r="D167" s="493"/>
      <c r="E167" s="493"/>
      <c r="F167" s="493"/>
      <c r="G167" s="493"/>
      <c r="H167" s="495"/>
      <c r="I167" s="493"/>
      <c r="J167" s="495"/>
      <c r="K167" s="493"/>
    </row>
    <row r="168" spans="1:62" x14ac:dyDescent="0.2">
      <c r="A168" s="493"/>
      <c r="B168" s="494"/>
      <c r="C168" s="493"/>
      <c r="D168" s="493"/>
      <c r="E168" s="493"/>
      <c r="F168" s="493"/>
      <c r="G168" s="493"/>
      <c r="H168" s="495"/>
      <c r="I168" s="495"/>
      <c r="J168" s="495"/>
      <c r="K168" s="493"/>
    </row>
  </sheetData>
  <mergeCells count="37">
    <mergeCell ref="D166:E166"/>
    <mergeCell ref="D161:E161"/>
    <mergeCell ref="D162:E162"/>
    <mergeCell ref="D163:E163"/>
    <mergeCell ref="D164:E164"/>
    <mergeCell ref="D165:E165"/>
    <mergeCell ref="F163:H163"/>
    <mergeCell ref="F161:H161"/>
    <mergeCell ref="F166:H166"/>
    <mergeCell ref="F165:H165"/>
    <mergeCell ref="F164:H164"/>
    <mergeCell ref="F162:H162"/>
    <mergeCell ref="J24:J25"/>
    <mergeCell ref="I24:I25"/>
    <mergeCell ref="G24:G25"/>
    <mergeCell ref="B18:B23"/>
    <mergeCell ref="C18:D20"/>
    <mergeCell ref="C24:C25"/>
    <mergeCell ref="D24:D25"/>
    <mergeCell ref="H24:H25"/>
    <mergeCell ref="I21:J23"/>
    <mergeCell ref="G21:H23"/>
    <mergeCell ref="E21:F23"/>
    <mergeCell ref="C21:D23"/>
    <mergeCell ref="I3:J3"/>
    <mergeCell ref="I18:J20"/>
    <mergeCell ref="G18:H20"/>
    <mergeCell ref="E18:F20"/>
    <mergeCell ref="D4:J6"/>
    <mergeCell ref="B14:G17"/>
    <mergeCell ref="H16:H17"/>
    <mergeCell ref="H14:H15"/>
    <mergeCell ref="J14:J15"/>
    <mergeCell ref="I14:I15"/>
    <mergeCell ref="I16:I17"/>
    <mergeCell ref="J16:J17"/>
    <mergeCell ref="B4:B6"/>
  </mergeCells>
  <phoneticPr fontId="51" type="noConversion"/>
  <printOptions horizontalCentered="1" verticalCentered="1"/>
  <pageMargins left="0" right="0" top="0" bottom="0" header="0" footer="0"/>
  <pageSetup paperSize="9" scale="2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DC7E-C443-4211-893F-D98FC5A9B462}">
  <sheetPr>
    <pageSetUpPr fitToPage="1"/>
  </sheetPr>
  <dimension ref="C3:U88"/>
  <sheetViews>
    <sheetView showGridLines="0" rightToLeft="1" view="pageBreakPreview" zoomScale="70" zoomScaleNormal="70" zoomScaleSheetLayoutView="70" workbookViewId="0">
      <selection activeCell="AD47" sqref="AD47"/>
    </sheetView>
  </sheetViews>
  <sheetFormatPr defaultRowHeight="14.25" customHeight="1" x14ac:dyDescent="0.2"/>
  <cols>
    <col min="21" max="21" width="14.25" bestFit="1" customWidth="1"/>
    <col min="40" max="40" width="25.25" bestFit="1" customWidth="1"/>
    <col min="41" max="41" width="18.625" bestFit="1" customWidth="1"/>
    <col min="42" max="42" width="23.25" bestFit="1" customWidth="1"/>
  </cols>
  <sheetData>
    <row r="3" spans="3:21" ht="14.25" customHeight="1" x14ac:dyDescent="0.2">
      <c r="C3" s="441"/>
      <c r="D3" s="442"/>
      <c r="E3" s="781" t="s">
        <v>371</v>
      </c>
      <c r="F3" s="781"/>
      <c r="G3" s="781"/>
      <c r="H3" s="781"/>
      <c r="I3" s="781"/>
      <c r="J3" s="781"/>
      <c r="K3" s="781"/>
      <c r="L3" s="781"/>
      <c r="M3" s="781"/>
      <c r="N3" s="781"/>
      <c r="O3" s="781"/>
      <c r="P3" s="781"/>
      <c r="Q3" s="781"/>
      <c r="R3" s="781"/>
      <c r="S3" s="781"/>
      <c r="T3" s="442"/>
      <c r="U3" s="442"/>
    </row>
    <row r="4" spans="3:21" ht="14.25" customHeight="1" x14ac:dyDescent="0.2">
      <c r="C4" s="441"/>
      <c r="D4" s="442"/>
      <c r="E4" s="781"/>
      <c r="F4" s="781"/>
      <c r="G4" s="781"/>
      <c r="H4" s="781"/>
      <c r="I4" s="781"/>
      <c r="J4" s="781"/>
      <c r="K4" s="781"/>
      <c r="L4" s="781"/>
      <c r="M4" s="781"/>
      <c r="N4" s="781"/>
      <c r="O4" s="781"/>
      <c r="P4" s="781"/>
      <c r="Q4" s="781"/>
      <c r="R4" s="781"/>
      <c r="S4" s="781"/>
      <c r="T4" s="442"/>
      <c r="U4" s="442"/>
    </row>
    <row r="5" spans="3:21" ht="14.25" customHeight="1" x14ac:dyDescent="0.2">
      <c r="C5" s="441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2"/>
      <c r="O5" s="442"/>
      <c r="P5" s="442"/>
      <c r="Q5" s="442"/>
      <c r="R5" s="442"/>
      <c r="S5" s="442"/>
      <c r="T5" s="442"/>
      <c r="U5" s="442"/>
    </row>
    <row r="6" spans="3:21" ht="14.25" customHeight="1" x14ac:dyDescent="0.4">
      <c r="C6" s="442"/>
      <c r="D6" s="453"/>
      <c r="E6" s="442"/>
      <c r="F6" s="442"/>
      <c r="G6" s="442"/>
      <c r="H6" s="442"/>
      <c r="I6" s="442"/>
      <c r="J6" s="442"/>
      <c r="K6" s="442"/>
      <c r="L6" s="442"/>
      <c r="M6" s="442"/>
      <c r="N6" s="442"/>
      <c r="O6" s="442"/>
      <c r="P6" s="442"/>
      <c r="Q6" s="442"/>
      <c r="R6" s="442"/>
      <c r="S6" s="442"/>
      <c r="T6" s="453"/>
      <c r="U6" s="453"/>
    </row>
    <row r="7" spans="3:21" ht="14.25" customHeight="1" x14ac:dyDescent="0.4">
      <c r="C7" s="441">
        <f>Study!F2</f>
        <v>0</v>
      </c>
      <c r="D7" s="453"/>
      <c r="E7" s="442"/>
      <c r="F7" s="442"/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53"/>
      <c r="U7" s="443"/>
    </row>
    <row r="9" spans="3:21" ht="14.25" customHeight="1" x14ac:dyDescent="0.2">
      <c r="C9" s="444" t="s">
        <v>492</v>
      </c>
      <c r="D9" s="445"/>
      <c r="E9" s="445"/>
      <c r="F9" s="445"/>
      <c r="G9" s="445"/>
      <c r="H9" s="445"/>
      <c r="I9" s="445"/>
      <c r="J9" s="445"/>
      <c r="K9" s="445"/>
      <c r="L9" s="445"/>
      <c r="M9" s="445"/>
      <c r="N9" s="445"/>
      <c r="O9" s="445"/>
      <c r="P9" s="445"/>
      <c r="Q9" s="445"/>
      <c r="R9" s="445"/>
      <c r="S9" s="445"/>
      <c r="T9" s="445"/>
      <c r="U9" s="445"/>
    </row>
    <row r="25" spans="3:21" ht="14.25" customHeight="1" x14ac:dyDescent="0.2">
      <c r="D25" s="446"/>
      <c r="E25" s="446"/>
      <c r="F25" s="446"/>
      <c r="G25" s="446"/>
      <c r="H25" s="446"/>
      <c r="I25" s="446"/>
      <c r="J25" s="446"/>
      <c r="K25" s="446"/>
      <c r="L25" s="446"/>
      <c r="M25" s="446"/>
      <c r="N25" s="446"/>
      <c r="O25" s="446"/>
      <c r="P25" s="446"/>
      <c r="Q25" s="446"/>
      <c r="R25" s="446"/>
      <c r="S25" s="446"/>
      <c r="T25" s="446"/>
      <c r="U25" s="446"/>
    </row>
    <row r="26" spans="3:21" ht="14.25" customHeight="1" x14ac:dyDescent="0.2">
      <c r="C26" s="447" t="s">
        <v>476</v>
      </c>
      <c r="D26" s="447"/>
      <c r="E26" s="447"/>
      <c r="F26" s="447"/>
      <c r="G26" s="447"/>
      <c r="H26" s="447"/>
      <c r="I26" s="447"/>
      <c r="J26" s="447"/>
      <c r="K26" s="447"/>
      <c r="L26" s="447"/>
      <c r="M26" s="447"/>
      <c r="N26" s="447"/>
      <c r="O26" s="447"/>
      <c r="P26" s="447"/>
      <c r="Q26" s="447"/>
      <c r="R26" s="447"/>
      <c r="S26" s="447"/>
      <c r="T26" s="447"/>
      <c r="U26" s="447"/>
    </row>
    <row r="41" spans="3:21" ht="14.25" customHeight="1" x14ac:dyDescent="0.2">
      <c r="D41" s="446"/>
      <c r="E41" s="446"/>
      <c r="F41" s="446"/>
      <c r="G41" s="446"/>
      <c r="H41" s="446"/>
      <c r="I41" s="446"/>
      <c r="J41" s="446"/>
      <c r="K41" s="446"/>
      <c r="L41" s="446"/>
      <c r="M41" s="446"/>
      <c r="N41" s="446"/>
      <c r="O41" s="446"/>
      <c r="P41" s="446"/>
      <c r="Q41" s="446"/>
      <c r="R41" s="446"/>
      <c r="S41" s="446"/>
      <c r="T41" s="446"/>
      <c r="U41" s="446"/>
    </row>
    <row r="42" spans="3:21" ht="14.25" customHeight="1" x14ac:dyDescent="0.2">
      <c r="C42" s="447" t="s">
        <v>421</v>
      </c>
      <c r="D42" s="447"/>
      <c r="E42" s="447"/>
      <c r="F42" s="447"/>
      <c r="G42" s="447"/>
      <c r="H42" s="447"/>
      <c r="I42" s="447"/>
      <c r="J42" s="447"/>
      <c r="K42" s="447"/>
      <c r="L42" s="447"/>
      <c r="M42" s="447"/>
      <c r="N42" s="447"/>
      <c r="O42" s="447"/>
      <c r="P42" s="447"/>
      <c r="Q42" s="447"/>
      <c r="R42" s="447"/>
      <c r="S42" s="447"/>
      <c r="T42" s="447"/>
      <c r="U42" s="447"/>
    </row>
    <row r="56" spans="3:21" ht="14.25" customHeight="1" x14ac:dyDescent="0.2"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</row>
    <row r="57" spans="3:21" ht="14.25" customHeight="1" x14ac:dyDescent="0.2">
      <c r="D57" s="446"/>
      <c r="E57" s="446"/>
      <c r="F57" s="446"/>
      <c r="G57" s="446"/>
      <c r="H57" s="446"/>
      <c r="I57" s="446"/>
      <c r="J57" s="446"/>
      <c r="K57" s="446"/>
      <c r="L57" s="446"/>
      <c r="M57" s="446"/>
      <c r="N57" s="446"/>
      <c r="O57" s="446"/>
      <c r="P57" s="446"/>
      <c r="Q57" s="446"/>
      <c r="R57" s="446"/>
      <c r="S57" s="446"/>
      <c r="T57" s="446"/>
      <c r="U57" s="446"/>
    </row>
    <row r="58" spans="3:21" ht="14.25" customHeight="1" x14ac:dyDescent="0.2">
      <c r="C58" s="447" t="s">
        <v>422</v>
      </c>
      <c r="D58" s="447"/>
      <c r="E58" s="447"/>
      <c r="F58" s="447"/>
      <c r="G58" s="447"/>
      <c r="H58" s="447"/>
      <c r="I58" s="447"/>
      <c r="J58" s="447"/>
      <c r="K58" s="447"/>
      <c r="L58" s="447"/>
      <c r="M58" s="447"/>
      <c r="N58" s="447"/>
      <c r="O58" s="447"/>
      <c r="P58" s="447"/>
      <c r="Q58" s="447"/>
      <c r="R58" s="447"/>
      <c r="S58" s="447"/>
      <c r="T58" s="447"/>
      <c r="U58" s="447"/>
    </row>
    <row r="83" spans="3:21" ht="14.25" customHeight="1" x14ac:dyDescent="0.2">
      <c r="C83" s="448"/>
      <c r="D83" s="448"/>
      <c r="E83" s="448"/>
      <c r="F83" s="448"/>
      <c r="G83" s="448"/>
      <c r="H83" s="448"/>
      <c r="I83" s="448"/>
      <c r="J83" s="448"/>
      <c r="K83" s="448"/>
      <c r="L83" s="448"/>
      <c r="M83" s="448"/>
      <c r="N83" s="448"/>
      <c r="O83" s="448"/>
      <c r="P83" s="448"/>
      <c r="Q83" s="448"/>
      <c r="R83" s="448"/>
      <c r="S83" s="448"/>
      <c r="T83" s="448"/>
      <c r="U83" s="448"/>
    </row>
    <row r="84" spans="3:21" ht="14.25" customHeight="1" x14ac:dyDescent="0.2">
      <c r="C84" s="448"/>
      <c r="D84" s="448"/>
      <c r="E84" s="448"/>
      <c r="F84" s="448"/>
      <c r="G84" s="448"/>
      <c r="H84" s="448"/>
      <c r="I84" s="448"/>
      <c r="J84" s="448"/>
      <c r="K84" s="448"/>
      <c r="L84" s="448"/>
      <c r="M84" s="448"/>
      <c r="N84" s="448"/>
      <c r="O84" s="448"/>
      <c r="P84" s="448"/>
      <c r="Q84" s="448"/>
      <c r="R84" s="448"/>
      <c r="S84" s="448"/>
      <c r="T84" s="448"/>
      <c r="U84" s="448"/>
    </row>
    <row r="85" spans="3:21" ht="14.25" customHeight="1" x14ac:dyDescent="0.2">
      <c r="C85" s="448"/>
      <c r="D85" s="448"/>
      <c r="E85" s="448"/>
      <c r="F85" s="448"/>
      <c r="G85" s="448"/>
      <c r="H85" s="448"/>
      <c r="I85" s="448"/>
      <c r="J85" s="448"/>
      <c r="K85" s="448"/>
      <c r="L85" s="448"/>
      <c r="M85" s="448"/>
      <c r="N85" s="448"/>
      <c r="O85" s="448"/>
      <c r="P85" s="448"/>
      <c r="Q85" s="448"/>
      <c r="R85" s="448"/>
      <c r="S85" s="448"/>
      <c r="T85" s="448"/>
      <c r="U85" s="448"/>
    </row>
    <row r="86" spans="3:21" ht="14.25" customHeight="1" x14ac:dyDescent="0.2">
      <c r="C86" s="448"/>
      <c r="D86" s="448"/>
      <c r="E86" s="448"/>
      <c r="F86" s="448"/>
      <c r="G86" s="448"/>
      <c r="H86" s="448"/>
      <c r="I86" s="448"/>
      <c r="J86" s="448"/>
      <c r="K86" s="448"/>
      <c r="L86" s="448"/>
      <c r="M86" s="448"/>
      <c r="N86" s="448"/>
      <c r="O86" s="448"/>
      <c r="P86" s="448"/>
      <c r="Q86" s="448"/>
      <c r="R86" s="448"/>
      <c r="S86" s="448"/>
      <c r="T86" s="448"/>
      <c r="U86" s="448"/>
    </row>
    <row r="87" spans="3:21" ht="14.25" customHeight="1" x14ac:dyDescent="0.2">
      <c r="C87" s="448"/>
      <c r="D87" s="448"/>
      <c r="E87" s="448"/>
      <c r="F87" s="448"/>
      <c r="G87" s="448"/>
      <c r="H87" s="448"/>
      <c r="I87" s="448"/>
      <c r="J87" s="448"/>
      <c r="K87" s="448"/>
      <c r="L87" s="448"/>
      <c r="M87" s="448"/>
      <c r="N87" s="448"/>
      <c r="O87" s="448"/>
      <c r="P87" s="448"/>
      <c r="Q87" s="448"/>
      <c r="R87" s="448"/>
      <c r="S87" s="448"/>
      <c r="T87" s="448"/>
      <c r="U87" s="448"/>
    </row>
    <row r="88" spans="3:21" ht="14.25" customHeight="1" x14ac:dyDescent="0.2">
      <c r="C88" s="448"/>
      <c r="D88" s="448"/>
      <c r="E88" s="448"/>
      <c r="F88" s="448"/>
      <c r="G88" s="448"/>
      <c r="H88" s="448"/>
      <c r="I88" s="448"/>
      <c r="J88" s="448"/>
      <c r="K88" s="448"/>
      <c r="L88" s="448"/>
      <c r="M88" s="448"/>
      <c r="N88" s="448"/>
      <c r="O88" s="448"/>
      <c r="P88" s="448"/>
      <c r="Q88" s="448"/>
      <c r="R88" s="448"/>
      <c r="S88" s="448"/>
      <c r="T88" s="448"/>
      <c r="U88" s="451">
        <f ca="1">NOW()</f>
        <v>46153.645049884261</v>
      </c>
    </row>
  </sheetData>
  <mergeCells count="1">
    <mergeCell ref="E3:S4"/>
  </mergeCells>
  <pageMargins left="0" right="0.06" top="0" bottom="0" header="0" footer="0.01"/>
  <pageSetup paperSize="9"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00B6-59C2-4661-9FDC-017D66E8DE6A}">
  <sheetPr>
    <tabColor rgb="FFC00000"/>
  </sheetPr>
  <dimension ref="A1:AO140"/>
  <sheetViews>
    <sheetView rightToLeft="1" topLeftCell="J1" zoomScale="85" zoomScaleNormal="85" workbookViewId="0">
      <selection activeCell="M3" sqref="M3"/>
    </sheetView>
  </sheetViews>
  <sheetFormatPr defaultColWidth="9" defaultRowHeight="14.25" x14ac:dyDescent="0.2"/>
  <cols>
    <col min="1" max="1" width="9" style="454"/>
    <col min="2" max="2" width="43" style="454" bestFit="1" customWidth="1"/>
    <col min="3" max="3" width="24.25" style="454" bestFit="1" customWidth="1"/>
    <col min="4" max="4" width="17.375" style="454" bestFit="1" customWidth="1"/>
    <col min="5" max="5" width="24" style="454" bestFit="1" customWidth="1"/>
    <col min="6" max="9" width="9" style="454"/>
    <col min="10" max="10" width="9.125" style="454" bestFit="1" customWidth="1"/>
    <col min="11" max="12" width="9" style="454"/>
    <col min="13" max="13" width="38.375" style="454" bestFit="1" customWidth="1"/>
    <col min="14" max="14" width="16.375" style="454" bestFit="1" customWidth="1"/>
    <col min="15" max="15" width="11.625" style="454" bestFit="1" customWidth="1"/>
    <col min="16" max="16" width="56.25" style="454" bestFit="1" customWidth="1"/>
    <col min="17" max="18" width="11.625" style="454" bestFit="1" customWidth="1"/>
    <col min="19" max="19" width="40.625" style="454" bestFit="1" customWidth="1"/>
    <col min="20" max="20" width="12.875" style="454" bestFit="1" customWidth="1"/>
    <col min="21" max="23" width="11.625" style="454" bestFit="1" customWidth="1"/>
    <col min="24" max="24" width="12.875" style="454" bestFit="1" customWidth="1"/>
    <col min="25" max="27" width="11.625" style="454" bestFit="1" customWidth="1"/>
    <col min="28" max="28" width="12.875" style="454" bestFit="1" customWidth="1"/>
    <col min="29" max="31" width="11.625" style="454" bestFit="1" customWidth="1"/>
    <col min="32" max="32" width="12.875" style="454" bestFit="1" customWidth="1"/>
    <col min="33" max="35" width="11.625" style="454" bestFit="1" customWidth="1"/>
    <col min="36" max="36" width="12.875" style="454" bestFit="1" customWidth="1"/>
    <col min="37" max="37" width="11.625" style="454" bestFit="1" customWidth="1"/>
    <col min="38" max="16384" width="9" style="454"/>
  </cols>
  <sheetData>
    <row r="1" spans="2:20" ht="19.5" thickBot="1" x14ac:dyDescent="0.25">
      <c r="S1" s="457" t="s">
        <v>172</v>
      </c>
      <c r="T1" s="574">
        <f>-Study!C194</f>
        <v>338000000</v>
      </c>
    </row>
    <row r="2" spans="2:20" ht="18.75" x14ac:dyDescent="0.2">
      <c r="B2" s="632" t="s">
        <v>371</v>
      </c>
      <c r="C2" s="633"/>
      <c r="D2" s="634"/>
      <c r="E2" s="618" t="s">
        <v>377</v>
      </c>
      <c r="S2" s="573" t="s">
        <v>33</v>
      </c>
      <c r="T2" s="574">
        <f>Study!C49</f>
        <v>16900</v>
      </c>
    </row>
    <row r="3" spans="2:20" ht="18.75" x14ac:dyDescent="0.2">
      <c r="B3" s="635"/>
      <c r="C3" s="636"/>
      <c r="D3" s="637"/>
      <c r="E3" s="619"/>
      <c r="S3" s="573" t="s">
        <v>173</v>
      </c>
      <c r="T3" s="574">
        <f>-Study!C196</f>
        <v>286502320</v>
      </c>
    </row>
    <row r="4" spans="2:20" ht="18.75" x14ac:dyDescent="0.2">
      <c r="B4" s="638"/>
      <c r="C4" s="639"/>
      <c r="D4" s="640"/>
      <c r="E4" s="619"/>
      <c r="S4" s="573" t="s">
        <v>522</v>
      </c>
      <c r="T4" s="574">
        <f>Study!L49</f>
        <v>57460</v>
      </c>
    </row>
    <row r="5" spans="2:20" ht="18.75" x14ac:dyDescent="0.2">
      <c r="B5" s="641" t="s">
        <v>372</v>
      </c>
      <c r="C5" s="642"/>
      <c r="D5" s="643"/>
      <c r="E5" s="620"/>
      <c r="S5" s="573" t="s">
        <v>521</v>
      </c>
      <c r="T5" s="574">
        <f>Study!C102</f>
        <v>68692160.177999988</v>
      </c>
    </row>
    <row r="6" spans="2:20" ht="18.75" x14ac:dyDescent="0.2">
      <c r="B6" s="225" t="str">
        <f>Study!BH5</f>
        <v>التكلفة لكل م² من إجمالي المساحات التطويرية
(Cost per m² of Total Built-Up Area)</v>
      </c>
      <c r="C6" s="624">
        <f>Study!BI5</f>
        <v>7649.8652539740306</v>
      </c>
      <c r="D6" s="625"/>
      <c r="E6" s="230" t="s">
        <v>68</v>
      </c>
      <c r="S6" s="573" t="s">
        <v>118</v>
      </c>
      <c r="T6" s="574">
        <f>Study!J139</f>
        <v>212458349.99999997</v>
      </c>
    </row>
    <row r="7" spans="2:20" ht="18.75" x14ac:dyDescent="0.2">
      <c r="B7" s="308" t="s">
        <v>468</v>
      </c>
      <c r="C7" s="626">
        <f>Study!BI6</f>
        <v>16308.06655529946</v>
      </c>
      <c r="D7" s="627"/>
      <c r="E7" s="230" t="s">
        <v>68</v>
      </c>
      <c r="S7" s="573" t="s">
        <v>119</v>
      </c>
      <c r="T7" s="574">
        <f>Study!AC139</f>
        <v>118949481.33119997</v>
      </c>
    </row>
    <row r="8" spans="2:20" ht="18.75" x14ac:dyDescent="0.2">
      <c r="B8" s="225" t="s">
        <v>419</v>
      </c>
      <c r="C8" s="318">
        <f>Study!BI7</f>
        <v>624502320</v>
      </c>
      <c r="D8" s="264">
        <f>Study!BJ7</f>
        <v>0.81873160281147461</v>
      </c>
      <c r="E8" s="286" t="s">
        <v>378</v>
      </c>
      <c r="S8" s="573" t="s">
        <v>224</v>
      </c>
      <c r="T8" s="574">
        <f>Study!M157</f>
        <v>24510367.440000001</v>
      </c>
    </row>
    <row r="9" spans="2:20" ht="18.75" x14ac:dyDescent="0.2">
      <c r="B9" s="308" t="s">
        <v>373</v>
      </c>
      <c r="C9" s="326">
        <f>Study!BI8</f>
        <v>138265744.47375065</v>
      </c>
      <c r="D9" s="309">
        <f>Study!BJ8</f>
        <v>0.1812683971885255</v>
      </c>
      <c r="E9" s="286" t="s">
        <v>430</v>
      </c>
      <c r="S9" s="573" t="s">
        <v>125</v>
      </c>
      <c r="T9" s="574">
        <f>Study!AC157</f>
        <v>28743750</v>
      </c>
    </row>
    <row r="10" spans="2:20" ht="18.75" x14ac:dyDescent="0.2">
      <c r="B10" s="225" t="s">
        <v>467</v>
      </c>
      <c r="C10" s="318">
        <f>Study!BI9</f>
        <v>10776877.68</v>
      </c>
      <c r="D10" s="264">
        <f>Study!BJ9</f>
        <v>1.3931805500523817E-2</v>
      </c>
      <c r="E10" s="230" t="s">
        <v>68</v>
      </c>
      <c r="S10" s="457" t="s">
        <v>169</v>
      </c>
      <c r="T10" s="574">
        <f>Study!O139</f>
        <v>647743931.8487395</v>
      </c>
    </row>
    <row r="11" spans="2:20" ht="18.75" x14ac:dyDescent="0.2">
      <c r="B11" s="308" t="s">
        <v>466</v>
      </c>
      <c r="C11" s="325">
        <f>Study!BI10</f>
        <v>347717500</v>
      </c>
      <c r="D11" s="309">
        <f>Study!BJ10</f>
        <v>0.45586268774886041</v>
      </c>
      <c r="E11" s="230" t="s">
        <v>379</v>
      </c>
      <c r="M11" s="462" t="s">
        <v>250</v>
      </c>
      <c r="N11" s="440">
        <f>SUM(Summary!J58:J59)</f>
        <v>234577925.27375063</v>
      </c>
      <c r="O11" s="463">
        <f>N11/Summary!$J$60</f>
        <v>0.30753506367048911</v>
      </c>
      <c r="P11" s="457" t="str">
        <f>Study!B194</f>
        <v>تكلفة الأرض
 (Land Cost)</v>
      </c>
      <c r="Q11" s="460">
        <f>-Study!C194</f>
        <v>338000000</v>
      </c>
      <c r="S11" s="573"/>
    </row>
    <row r="12" spans="2:20" ht="18.75" x14ac:dyDescent="0.2">
      <c r="B12" s="225" t="s">
        <v>465</v>
      </c>
      <c r="C12" s="318">
        <f>Study!BI11</f>
        <v>286502320</v>
      </c>
      <c r="D12" s="264">
        <f>Study!BJ11</f>
        <v>0.37560869855984841</v>
      </c>
      <c r="E12" s="230" t="s">
        <v>380</v>
      </c>
      <c r="M12" s="462" t="s">
        <v>249</v>
      </c>
      <c r="N12" s="440">
        <f>Summary!J57</f>
        <v>113000000</v>
      </c>
      <c r="O12" s="463">
        <f>N12/Summary!$J$60</f>
        <v>0.14814463958708213</v>
      </c>
      <c r="P12" s="455" t="str">
        <f>Study!B196</f>
        <v>تكاليف مسطحات البناء 
(Construction Costs)</v>
      </c>
      <c r="Q12" s="456">
        <f>-Study!C196</f>
        <v>286502320</v>
      </c>
      <c r="S12" s="573"/>
    </row>
    <row r="13" spans="2:20" ht="18.75" x14ac:dyDescent="0.2">
      <c r="B13" s="308" t="s">
        <v>464</v>
      </c>
      <c r="C13" s="326">
        <f>Study!BI12</f>
        <v>68692160.177999988</v>
      </c>
      <c r="D13" s="309">
        <f>Study!BJ12</f>
        <v>9.0056418690512591E-2</v>
      </c>
      <c r="E13" s="230" t="s">
        <v>431</v>
      </c>
      <c r="M13" s="455" t="s">
        <v>302</v>
      </c>
      <c r="N13" s="457">
        <f>Summary!J54+Summary!J55</f>
        <v>17190139.199999999</v>
      </c>
      <c r="O13" s="463">
        <f>N13/Summary!J60</f>
        <v>2.2536521913590905E-2</v>
      </c>
      <c r="P13" s="455" t="str">
        <f>Study!B197</f>
        <v>التسوير 
 (Fence - surrounding the land)</v>
      </c>
      <c r="Q13" s="456">
        <f>-Study!C197</f>
        <v>676000</v>
      </c>
      <c r="S13" s="573"/>
    </row>
    <row r="14" spans="2:20" ht="18.75" x14ac:dyDescent="0.2">
      <c r="B14" s="225" t="s">
        <v>463</v>
      </c>
      <c r="C14" s="318">
        <f>Study!BI13</f>
        <v>11327391.108884085</v>
      </c>
      <c r="D14" s="264">
        <f>Study!BJ13</f>
        <v>1.4850374099889834E-2</v>
      </c>
      <c r="E14" s="230" t="s">
        <v>381</v>
      </c>
      <c r="M14" s="455" t="s">
        <v>301</v>
      </c>
      <c r="N14" s="457">
        <f>Summary!J52+Summary!J53+Summary!J56</f>
        <v>398000000</v>
      </c>
      <c r="O14" s="463">
        <f>N14/Summary!J60</f>
        <v>0.52178377482883787</v>
      </c>
      <c r="P14" s="455" t="str">
        <f>Study!B198</f>
        <v>الحفر والمسح والاختبار 
 (Excavation, surveying, and testing)</v>
      </c>
      <c r="Q14" s="456">
        <f>-Study!C198</f>
        <v>6844500</v>
      </c>
      <c r="S14" s="573"/>
    </row>
    <row r="15" spans="2:20" ht="18.75" x14ac:dyDescent="0.2">
      <c r="B15" s="308" t="s">
        <v>462</v>
      </c>
      <c r="C15" s="326">
        <f>Study!BI14</f>
        <v>48528693.186866537</v>
      </c>
      <c r="D15" s="309">
        <f>Study!BJ14</f>
        <v>6.3621820900888762E-2</v>
      </c>
      <c r="E15" s="230" t="s">
        <v>382</v>
      </c>
      <c r="M15" s="455"/>
      <c r="N15" s="455"/>
      <c r="O15" s="455"/>
      <c r="P15" s="455" t="str">
        <f>Study!B199</f>
        <v>التأمين 
 (Insurance)</v>
      </c>
      <c r="Q15" s="456">
        <f>-Study!C199</f>
        <v>4870539.4400000004</v>
      </c>
      <c r="S15" s="573"/>
    </row>
    <row r="16" spans="2:20" ht="18.75" x14ac:dyDescent="0.2">
      <c r="B16" s="621" t="s">
        <v>476</v>
      </c>
      <c r="C16" s="622"/>
      <c r="D16" s="623"/>
      <c r="E16" s="230" t="s">
        <v>68</v>
      </c>
      <c r="M16" s="455"/>
      <c r="N16" s="455"/>
      <c r="O16" s="455"/>
      <c r="P16" s="455" t="str">
        <f>Study!B200</f>
        <v>الرخصة
 (License)</v>
      </c>
      <c r="Q16" s="456">
        <f>-Study!C200</f>
        <v>229840</v>
      </c>
      <c r="S16" s="573"/>
    </row>
    <row r="17" spans="2:19" ht="18.75" x14ac:dyDescent="0.2">
      <c r="B17" s="225" t="s">
        <v>409</v>
      </c>
      <c r="C17" s="628">
        <f>Study!BI16</f>
        <v>20934.374242180642</v>
      </c>
      <c r="D17" s="629"/>
      <c r="E17" s="230" t="s">
        <v>68</v>
      </c>
      <c r="M17" s="455"/>
      <c r="N17" s="455"/>
      <c r="O17" s="455"/>
      <c r="P17" s="455" t="str">
        <f>Study!B201</f>
        <v>التصميم
 (Design)</v>
      </c>
      <c r="Q17" s="456">
        <f>-Study!C201</f>
        <v>8595069.5999999996</v>
      </c>
      <c r="S17" s="573"/>
    </row>
    <row r="18" spans="2:19" ht="18.75" x14ac:dyDescent="0.2">
      <c r="B18" s="308" t="s">
        <v>420</v>
      </c>
      <c r="C18" s="300">
        <f>Study!BI17</f>
        <v>4626.3076868811822</v>
      </c>
      <c r="D18" s="309">
        <f>Study!BJ17</f>
        <v>0.2836821686490984</v>
      </c>
      <c r="E18" s="230" t="s">
        <v>68</v>
      </c>
      <c r="M18" s="455" t="str">
        <f>M11</f>
        <v>مصادر أخرى</v>
      </c>
      <c r="N18" s="457">
        <f>N11</f>
        <v>234577925.27375063</v>
      </c>
      <c r="O18" s="455"/>
      <c r="P18" s="455" t="str">
        <f>Study!B202</f>
        <v>أثاث الوحدات الفندقية 
 (Apartment furniture)</v>
      </c>
      <c r="Q18" s="456">
        <f>-Study!C202</f>
        <v>10342800</v>
      </c>
    </row>
    <row r="19" spans="2:19" ht="18.75" x14ac:dyDescent="0.2">
      <c r="B19" s="225" t="s">
        <v>461</v>
      </c>
      <c r="C19" s="285">
        <f>Study!BI18</f>
        <v>5764.8866757045153</v>
      </c>
      <c r="D19" s="290">
        <f>Study!BJ18</f>
        <v>0.35349908930995633</v>
      </c>
      <c r="E19" s="230" t="s">
        <v>68</v>
      </c>
      <c r="M19" s="455" t="str">
        <f>M12</f>
        <v>التمويل</v>
      </c>
      <c r="N19" s="457">
        <f>N12</f>
        <v>113000000</v>
      </c>
      <c r="O19" s="455"/>
      <c r="P19" s="455" t="str">
        <f>Study!B203</f>
        <v>أثاث الوحدات 
 (Apartment furniture)</v>
      </c>
      <c r="Q19" s="456">
        <f>-Study!C203</f>
        <v>0</v>
      </c>
    </row>
    <row r="20" spans="2:19" ht="18.75" x14ac:dyDescent="0.2">
      <c r="B20" s="308" t="s">
        <v>460</v>
      </c>
      <c r="C20" s="630">
        <f>Study!BI19</f>
        <v>0.25847610497858869</v>
      </c>
      <c r="D20" s="631"/>
      <c r="E20" s="230" t="s">
        <v>384</v>
      </c>
      <c r="M20" s="455" t="s">
        <v>328</v>
      </c>
      <c r="N20" s="457">
        <f>N13+N14</f>
        <v>415190139.19999999</v>
      </c>
      <c r="O20" s="455"/>
      <c r="P20" s="455" t="str">
        <f>Study!B204</f>
        <v>رسوم كهرباء 
 (Electricity fees)</v>
      </c>
      <c r="Q20" s="456">
        <f>-Study!C204</f>
        <v>5000000</v>
      </c>
    </row>
    <row r="21" spans="2:19" ht="18.75" x14ac:dyDescent="0.2">
      <c r="B21" s="225" t="s">
        <v>427</v>
      </c>
      <c r="C21" s="312">
        <f>Study!BI20</f>
        <v>36436.153077690295</v>
      </c>
      <c r="D21" s="327">
        <f>Study!BJ20</f>
        <v>0.77900902919946657</v>
      </c>
      <c r="E21" s="230" t="s">
        <v>68</v>
      </c>
      <c r="M21" s="455"/>
      <c r="N21" s="455"/>
      <c r="O21" s="455"/>
      <c r="P21" s="455" t="str">
        <f>Study!B205</f>
        <v>رسوم الماء وصرف الصحي 
 (Water and sewer fees)</v>
      </c>
      <c r="Q21" s="456">
        <f>-Study!C205</f>
        <v>4000000</v>
      </c>
    </row>
    <row r="22" spans="2:19" ht="18.75" x14ac:dyDescent="0.2">
      <c r="B22" s="621" t="s">
        <v>421</v>
      </c>
      <c r="C22" s="622"/>
      <c r="D22" s="623">
        <v>0</v>
      </c>
      <c r="E22" s="230" t="s">
        <v>68</v>
      </c>
      <c r="M22" s="455"/>
      <c r="N22" s="455"/>
      <c r="O22" s="455"/>
      <c r="P22" s="455" t="str">
        <f>Study!B206</f>
        <v>الفرز 
 (Sorting)</v>
      </c>
      <c r="Q22" s="456">
        <f>-Study!C206</f>
        <v>750000</v>
      </c>
    </row>
    <row r="23" spans="2:19" ht="18.75" x14ac:dyDescent="0.2">
      <c r="B23" s="656" t="s">
        <v>459</v>
      </c>
      <c r="C23" s="182">
        <f>Study!BI22</f>
        <v>287611643.50240004</v>
      </c>
      <c r="D23" s="291">
        <f>Study!BJ22</f>
        <v>0.28206868630198217</v>
      </c>
      <c r="E23" s="230" t="s">
        <v>68</v>
      </c>
      <c r="M23" s="455"/>
      <c r="N23" s="455"/>
      <c r="O23" s="455"/>
      <c r="P23" s="455" t="str">
        <f>Study!B207</f>
        <v>الصيانة و التشغيل 
 (Maintenance and Operation)</v>
      </c>
      <c r="Q23" s="456">
        <f>-Study!C207</f>
        <v>2750000</v>
      </c>
    </row>
    <row r="24" spans="2:19" ht="18.75" x14ac:dyDescent="0.2">
      <c r="B24" s="657"/>
      <c r="C24" s="246">
        <f>Study!BI23</f>
        <v>0.66</v>
      </c>
      <c r="D24" s="292">
        <f>Study!BJ23</f>
        <v>183594840</v>
      </c>
      <c r="E24" s="230" t="s">
        <v>68</v>
      </c>
      <c r="M24" s="455"/>
      <c r="N24" s="455"/>
      <c r="O24" s="455"/>
      <c r="P24" s="455" t="str">
        <f>Study!B208</f>
        <v>الاحتياطي 
 (Contingency)</v>
      </c>
      <c r="Q24" s="456">
        <f>-Study!C208</f>
        <v>4297534.8</v>
      </c>
    </row>
    <row r="25" spans="2:19" ht="18.75" x14ac:dyDescent="0.2">
      <c r="B25" s="657"/>
      <c r="C25" s="186">
        <f>Study!BI24</f>
        <v>0.66</v>
      </c>
      <c r="D25" s="292">
        <f>Study!BJ24</f>
        <v>217016803.50240004</v>
      </c>
      <c r="E25" s="230" t="s">
        <v>68</v>
      </c>
      <c r="M25" s="455"/>
      <c r="N25" s="455"/>
      <c r="O25" s="455"/>
      <c r="P25" s="455" t="str">
        <f>Study!B209</f>
        <v>تسويق المبيعات
 (Sales Marketing)</v>
      </c>
      <c r="Q25" s="456">
        <f>-Study!C209</f>
        <v>7109061.5231999988</v>
      </c>
    </row>
    <row r="26" spans="2:19" ht="18.75" x14ac:dyDescent="0.2">
      <c r="B26" s="657"/>
      <c r="C26" s="262">
        <f>Study!BI25</f>
        <v>3.3383645716868186E-2</v>
      </c>
      <c r="D26" s="293">
        <f>Study!BJ25</f>
        <v>0.10024239919366447</v>
      </c>
      <c r="E26" s="230" t="s">
        <v>68</v>
      </c>
      <c r="M26" s="455"/>
      <c r="N26" s="455"/>
      <c r="O26" s="455"/>
      <c r="P26" s="455" t="str">
        <f>Study!B211</f>
        <v>تسويق البيع على الخارطة
 (Off-Plan Sales Marketing)</v>
      </c>
      <c r="Q26" s="456">
        <f>-Study!C211</f>
        <v>3671280.2879999992</v>
      </c>
    </row>
    <row r="27" spans="2:19" ht="18.75" x14ac:dyDescent="0.2">
      <c r="B27" s="658"/>
      <c r="C27" s="654">
        <f>Study!BI26</f>
        <v>11327391.108884085</v>
      </c>
      <c r="D27" s="655"/>
      <c r="E27" s="230" t="s">
        <v>68</v>
      </c>
      <c r="M27" s="455"/>
      <c r="N27" s="455"/>
      <c r="O27" s="455"/>
      <c r="P27" s="455" t="str">
        <f>Study!B212</f>
        <v>الإشراف الهندسي 
 (Engineering Supervision)</v>
      </c>
      <c r="Q27" s="456">
        <f>-Study!C212</f>
        <v>8595069.5999999996</v>
      </c>
    </row>
    <row r="28" spans="2:19" ht="24.75" x14ac:dyDescent="0.2">
      <c r="B28" s="308" t="s">
        <v>458</v>
      </c>
      <c r="C28" s="449">
        <f>Study!BI27</f>
        <v>0.10832234246677404</v>
      </c>
      <c r="D28" s="449">
        <f>Study!BJ27</f>
        <v>0.89167765753322592</v>
      </c>
      <c r="E28" s="334" t="s">
        <v>429</v>
      </c>
    </row>
    <row r="29" spans="2:19" ht="18" x14ac:dyDescent="0.2">
      <c r="B29" s="225" t="s">
        <v>457</v>
      </c>
      <c r="C29" s="652">
        <f>Study!BI26</f>
        <v>11327391.108884085</v>
      </c>
      <c r="D29" s="653"/>
      <c r="E29" s="230" t="s">
        <v>385</v>
      </c>
    </row>
    <row r="30" spans="2:19" ht="27" x14ac:dyDescent="0.2">
      <c r="B30" s="330" t="s">
        <v>375</v>
      </c>
      <c r="C30" s="331">
        <f>Study!BI29</f>
        <v>118949481.33119997</v>
      </c>
      <c r="D30" s="452">
        <f>Study!BJ29</f>
        <v>0.31688042849851911</v>
      </c>
      <c r="E30" s="332" t="s">
        <v>489</v>
      </c>
    </row>
    <row r="31" spans="2:19" ht="18" x14ac:dyDescent="0.2">
      <c r="B31" s="225" t="s">
        <v>456</v>
      </c>
      <c r="C31" s="650">
        <f>Study!BI30</f>
        <v>0.26880687165801781</v>
      </c>
      <c r="D31" s="651"/>
      <c r="E31" s="230" t="s">
        <v>386</v>
      </c>
    </row>
    <row r="32" spans="2:19" x14ac:dyDescent="0.2">
      <c r="B32" s="621" t="s">
        <v>422</v>
      </c>
      <c r="C32" s="622"/>
      <c r="D32" s="623">
        <v>0</v>
      </c>
      <c r="E32" s="230" t="s">
        <v>68</v>
      </c>
    </row>
    <row r="33" spans="2:17" ht="18" x14ac:dyDescent="0.2">
      <c r="B33" s="225" t="s">
        <v>376</v>
      </c>
      <c r="C33" s="318">
        <f>Study!BI32</f>
        <v>20575</v>
      </c>
      <c r="D33" s="318">
        <f>Study!BJ32</f>
        <v>20000</v>
      </c>
      <c r="E33" s="230" t="s">
        <v>68</v>
      </c>
    </row>
    <row r="34" spans="2:17" ht="18" x14ac:dyDescent="0.2">
      <c r="B34" s="308" t="s">
        <v>470</v>
      </c>
      <c r="C34" s="646">
        <f>Study!BI33</f>
        <v>28138.940592418945</v>
      </c>
      <c r="D34" s="647"/>
      <c r="E34" s="230" t="s">
        <v>68</v>
      </c>
    </row>
    <row r="35" spans="2:17" ht="18.75" x14ac:dyDescent="0.2">
      <c r="B35" s="225" t="s">
        <v>471</v>
      </c>
      <c r="C35" s="628">
        <f>Study!BI34</f>
        <v>7563.940592418945</v>
      </c>
      <c r="D35" s="629"/>
      <c r="E35" s="230" t="s">
        <v>68</v>
      </c>
      <c r="M35" s="455"/>
      <c r="N35" s="455"/>
      <c r="O35" s="455"/>
      <c r="P35" s="455"/>
      <c r="Q35" s="455"/>
    </row>
    <row r="36" spans="2:17" ht="18" x14ac:dyDescent="0.2">
      <c r="B36" s="308" t="s">
        <v>472</v>
      </c>
      <c r="C36" s="644">
        <f>Study!BI35</f>
        <v>0.36762773231683815</v>
      </c>
      <c r="D36" s="645"/>
      <c r="E36" s="230" t="s">
        <v>387</v>
      </c>
    </row>
    <row r="37" spans="2:17" ht="18" x14ac:dyDescent="0.2">
      <c r="B37" s="225" t="s">
        <v>374</v>
      </c>
      <c r="C37" s="648">
        <f>Study!BI36</f>
        <v>0.81399999999999995</v>
      </c>
      <c r="D37" s="649"/>
      <c r="E37" s="230" t="s">
        <v>383</v>
      </c>
    </row>
    <row r="38" spans="2:17" ht="18" x14ac:dyDescent="0.2">
      <c r="B38" s="308" t="s">
        <v>455</v>
      </c>
      <c r="C38" s="362">
        <f>Study!BI37</f>
        <v>1</v>
      </c>
      <c r="D38" s="363">
        <f>Study!BJ37</f>
        <v>0.26108726752503575</v>
      </c>
      <c r="E38" s="230" t="s">
        <v>454</v>
      </c>
    </row>
    <row r="39" spans="2:17" x14ac:dyDescent="0.2">
      <c r="B39" s="612" t="s">
        <v>423</v>
      </c>
      <c r="C39" s="613"/>
      <c r="D39" s="614"/>
      <c r="E39" s="113" t="s">
        <v>68</v>
      </c>
    </row>
    <row r="40" spans="2:17" ht="22.5" x14ac:dyDescent="0.2">
      <c r="B40" s="119" t="s">
        <v>425</v>
      </c>
      <c r="C40" s="116" t="s">
        <v>424</v>
      </c>
      <c r="D40" s="116" t="s">
        <v>426</v>
      </c>
      <c r="E40" s="113" t="s">
        <v>68</v>
      </c>
    </row>
    <row r="41" spans="2:17" ht="22.5" x14ac:dyDescent="0.2">
      <c r="B41" s="105" t="s">
        <v>473</v>
      </c>
      <c r="C41" s="294" t="e">
        <f>#REF!/Indicators!$H$24</f>
        <v>#REF!</v>
      </c>
      <c r="D41" s="250" t="e">
        <f>C41*Indicators!$C$26</f>
        <v>#REF!</v>
      </c>
      <c r="E41" s="310" t="s">
        <v>68</v>
      </c>
    </row>
    <row r="42" spans="2:17" ht="22.5" x14ac:dyDescent="0.2">
      <c r="B42" s="111" t="s">
        <v>474</v>
      </c>
      <c r="C42" s="295" t="e">
        <f>#REF!/Indicators!$H$24</f>
        <v>#REF!</v>
      </c>
      <c r="D42" s="247" t="e">
        <f>C42*Indicators!$C$26</f>
        <v>#REF!</v>
      </c>
      <c r="E42" s="310" t="s">
        <v>68</v>
      </c>
    </row>
    <row r="43" spans="2:17" ht="22.5" x14ac:dyDescent="0.2">
      <c r="B43" s="105" t="s">
        <v>15</v>
      </c>
      <c r="C43" s="294" t="e">
        <f>#REF!/Indicators!$H$24</f>
        <v>#REF!</v>
      </c>
      <c r="D43" s="250" t="e">
        <f>C43*Indicators!$C$26</f>
        <v>#REF!</v>
      </c>
      <c r="E43" s="310" t="s">
        <v>68</v>
      </c>
    </row>
    <row r="44" spans="2:17" ht="22.5" x14ac:dyDescent="0.2">
      <c r="B44" s="111" t="s">
        <v>17</v>
      </c>
      <c r="C44" s="295" t="e">
        <f>#REF!/Indicators!$H$24</f>
        <v>#REF!</v>
      </c>
      <c r="D44" s="247" t="e">
        <f>C44*Indicators!$C$26</f>
        <v>#REF!</v>
      </c>
      <c r="E44" s="310" t="s">
        <v>68</v>
      </c>
    </row>
    <row r="45" spans="2:17" ht="22.5" x14ac:dyDescent="0.2">
      <c r="B45" s="105" t="s">
        <v>475</v>
      </c>
      <c r="C45" s="294" t="e">
        <f>#REF!/Indicators!$H$24</f>
        <v>#REF!</v>
      </c>
      <c r="D45" s="250" t="e">
        <f>C45*Indicators!$C$26</f>
        <v>#REF!</v>
      </c>
      <c r="E45" s="310" t="s">
        <v>68</v>
      </c>
    </row>
    <row r="46" spans="2:17" ht="15" thickBot="1" x14ac:dyDescent="0.25">
      <c r="B46" s="296" t="s">
        <v>68</v>
      </c>
      <c r="C46" s="196" t="e">
        <f>SUM(C41:C45)=100%</f>
        <v>#REF!</v>
      </c>
      <c r="D46" s="196" t="e">
        <f>SUM(D41:D45)=#REF!</f>
        <v>#REF!</v>
      </c>
      <c r="E46" s="311" t="s">
        <v>68</v>
      </c>
    </row>
    <row r="53" spans="1:25" ht="18.75" x14ac:dyDescent="0.2">
      <c r="M53" s="455"/>
      <c r="N53" s="455"/>
      <c r="O53" s="455"/>
      <c r="P53" s="455"/>
      <c r="Q53" s="455"/>
    </row>
    <row r="56" spans="1:25" ht="19.5" thickBot="1" x14ac:dyDescent="0.25">
      <c r="A56" s="464" t="s">
        <v>504</v>
      </c>
      <c r="B56" s="488">
        <f>B57</f>
        <v>45993</v>
      </c>
      <c r="C56" s="455"/>
      <c r="D56" s="455"/>
      <c r="E56" s="455"/>
      <c r="F56" s="455"/>
      <c r="G56" s="455"/>
      <c r="H56" s="455"/>
      <c r="I56" s="455"/>
      <c r="J56" s="455"/>
      <c r="K56" s="455"/>
      <c r="L56" s="455"/>
      <c r="M56" s="455"/>
      <c r="N56" s="455"/>
      <c r="O56" s="455"/>
      <c r="P56" s="455"/>
      <c r="Q56" s="455"/>
      <c r="R56" s="455"/>
      <c r="S56" s="455"/>
      <c r="T56" s="455"/>
      <c r="U56" s="455"/>
      <c r="V56" s="455"/>
      <c r="W56" s="455"/>
      <c r="X56" s="455"/>
      <c r="Y56" s="488">
        <f>Y57</f>
        <v>48121</v>
      </c>
    </row>
    <row r="57" spans="1:25" ht="18.75" x14ac:dyDescent="0.2">
      <c r="A57" s="481"/>
      <c r="B57" s="482">
        <f>Study!F177</f>
        <v>45993</v>
      </c>
      <c r="C57" s="482">
        <f>Study!G177</f>
        <v>46112</v>
      </c>
      <c r="D57" s="482">
        <f>Study!H177</f>
        <v>46203</v>
      </c>
      <c r="E57" s="482">
        <f>Study!I177</f>
        <v>46295</v>
      </c>
      <c r="F57" s="482">
        <f>Study!J177</f>
        <v>46387</v>
      </c>
      <c r="G57" s="482">
        <f>Study!K177</f>
        <v>46477</v>
      </c>
      <c r="H57" s="482">
        <f>Study!L177</f>
        <v>46568</v>
      </c>
      <c r="I57" s="482">
        <f>Study!M177</f>
        <v>46660</v>
      </c>
      <c r="J57" s="482">
        <f>Study!N177</f>
        <v>46752</v>
      </c>
      <c r="K57" s="482">
        <f>Study!O177</f>
        <v>46843</v>
      </c>
      <c r="L57" s="482">
        <f>Study!P177</f>
        <v>46934</v>
      </c>
      <c r="M57" s="482">
        <f>Study!Q177</f>
        <v>47026</v>
      </c>
      <c r="N57" s="482">
        <f>Study!R177</f>
        <v>47118</v>
      </c>
      <c r="O57" s="482">
        <f>Study!S177</f>
        <v>47208</v>
      </c>
      <c r="P57" s="482">
        <f>Study!T177</f>
        <v>47299</v>
      </c>
      <c r="Q57" s="482">
        <f>Study!U177</f>
        <v>47391</v>
      </c>
      <c r="R57" s="482">
        <f>Study!V177</f>
        <v>47483</v>
      </c>
      <c r="S57" s="482">
        <f>Study!W177</f>
        <v>47573</v>
      </c>
      <c r="T57" s="482">
        <f>Study!X177</f>
        <v>47664</v>
      </c>
      <c r="U57" s="482">
        <f>Study!Y177</f>
        <v>47756</v>
      </c>
      <c r="V57" s="482">
        <f>Study!Z177</f>
        <v>47848</v>
      </c>
      <c r="W57" s="482">
        <f>Study!AA177</f>
        <v>47938</v>
      </c>
      <c r="X57" s="482">
        <f>Study!AB177</f>
        <v>48029</v>
      </c>
      <c r="Y57" s="483">
        <f>Study!AC177</f>
        <v>48121</v>
      </c>
    </row>
    <row r="58" spans="1:25" ht="18.75" x14ac:dyDescent="0.2">
      <c r="A58" s="484" t="s">
        <v>166</v>
      </c>
      <c r="B58" s="485" t="str">
        <f>Study!F179</f>
        <v>Q1</v>
      </c>
      <c r="C58" s="485" t="str">
        <f>Study!G179</f>
        <v>Q2</v>
      </c>
      <c r="D58" s="485" t="str">
        <f>Study!H179</f>
        <v>Q3</v>
      </c>
      <c r="E58" s="485" t="str">
        <f>Study!I179</f>
        <v>Q4</v>
      </c>
      <c r="F58" s="485" t="str">
        <f>Study!J179</f>
        <v>Q5</v>
      </c>
      <c r="G58" s="485" t="str">
        <f>Study!K179</f>
        <v>Q6</v>
      </c>
      <c r="H58" s="485" t="str">
        <f>Study!L179</f>
        <v>Q7</v>
      </c>
      <c r="I58" s="485" t="str">
        <f>Study!M179</f>
        <v>Q8</v>
      </c>
      <c r="J58" s="485" t="str">
        <f>Study!N179</f>
        <v>Q9</v>
      </c>
      <c r="K58" s="485" t="str">
        <f>Study!O179</f>
        <v>Q10</v>
      </c>
      <c r="L58" s="485" t="str">
        <f>Study!P179</f>
        <v>Q11</v>
      </c>
      <c r="M58" s="485" t="str">
        <f>Study!Q179</f>
        <v>Q12</v>
      </c>
      <c r="N58" s="485" t="str">
        <f>Study!R179</f>
        <v>Q13</v>
      </c>
      <c r="O58" s="485" t="str">
        <f>Study!S179</f>
        <v>Q14</v>
      </c>
      <c r="P58" s="485" t="str">
        <f>Study!T179</f>
        <v>Q15</v>
      </c>
      <c r="Q58" s="485" t="str">
        <f>Study!U179</f>
        <v>Q16</v>
      </c>
      <c r="R58" s="485" t="str">
        <f>Study!V179</f>
        <v>Q17</v>
      </c>
      <c r="S58" s="485" t="str">
        <f>Study!W179</f>
        <v>Q18</v>
      </c>
      <c r="T58" s="485" t="str">
        <f>Study!X179</f>
        <v>Q19</v>
      </c>
      <c r="U58" s="485" t="str">
        <f>Study!Y179</f>
        <v>Q20</v>
      </c>
      <c r="V58" s="485" t="str">
        <f>Study!Z179</f>
        <v>Q21</v>
      </c>
      <c r="W58" s="485" t="str">
        <f>Study!AA179</f>
        <v>Q22</v>
      </c>
      <c r="X58" s="485" t="str">
        <f>Study!AB179</f>
        <v>Q23</v>
      </c>
      <c r="Y58" s="486" t="str">
        <f>Study!AC179</f>
        <v>Q24</v>
      </c>
    </row>
    <row r="59" spans="1:25" ht="18.75" x14ac:dyDescent="0.2">
      <c r="A59" s="458" t="s">
        <v>511</v>
      </c>
      <c r="B59" s="440">
        <f>-SUM(Study!F194:F195)</f>
        <v>347717500</v>
      </c>
      <c r="C59" s="440">
        <f>-SUM(Study!G194:G195)</f>
        <v>0</v>
      </c>
      <c r="D59" s="440">
        <f>-SUM(Study!H194:H195)</f>
        <v>0</v>
      </c>
      <c r="E59" s="440">
        <f>-SUM(Study!I194:I195)</f>
        <v>0</v>
      </c>
      <c r="F59" s="440">
        <f>-SUM(Study!J194:J195)</f>
        <v>0</v>
      </c>
      <c r="G59" s="440">
        <f>-SUM(Study!K194:K195)</f>
        <v>0</v>
      </c>
      <c r="H59" s="440">
        <f>-SUM(Study!L194:L195)</f>
        <v>0</v>
      </c>
      <c r="I59" s="440">
        <f>-SUM(Study!M194:M195)</f>
        <v>0</v>
      </c>
      <c r="J59" s="440">
        <f>-SUM(Study!N194:N195)</f>
        <v>0</v>
      </c>
      <c r="K59" s="440">
        <f>-SUM(Study!O194:O195)</f>
        <v>0</v>
      </c>
      <c r="L59" s="440">
        <f>-SUM(Study!P194:P195)</f>
        <v>0</v>
      </c>
      <c r="M59" s="440">
        <f>-SUM(Study!Q194:Q195)</f>
        <v>0</v>
      </c>
      <c r="N59" s="440">
        <f>-SUM(Study!R194:R195)</f>
        <v>0</v>
      </c>
      <c r="O59" s="440">
        <f>-SUM(Study!S194:S195)</f>
        <v>0</v>
      </c>
      <c r="P59" s="440">
        <f>-SUM(Study!T194:T195)</f>
        <v>0</v>
      </c>
      <c r="Q59" s="440">
        <f>-SUM(Study!U194:U195)</f>
        <v>0</v>
      </c>
      <c r="R59" s="440">
        <f>-SUM(Study!V194:V195)</f>
        <v>0</v>
      </c>
      <c r="S59" s="440">
        <f>-SUM(Study!W194:W195)</f>
        <v>0</v>
      </c>
      <c r="T59" s="440">
        <f>-SUM(Study!X194:X195)</f>
        <v>0</v>
      </c>
      <c r="U59" s="440">
        <f>-SUM(Study!Y194:Y195)</f>
        <v>0</v>
      </c>
      <c r="V59" s="440">
        <f>-SUM(Study!Z194:Z195)</f>
        <v>0</v>
      </c>
      <c r="W59" s="440">
        <f>-SUM(Study!AA194:AA195)</f>
        <v>0</v>
      </c>
      <c r="X59" s="440">
        <f>-SUM(Study!AB194:AB195)</f>
        <v>0</v>
      </c>
      <c r="Y59" s="471">
        <f>-SUM(Study!AC194:AC195)</f>
        <v>0</v>
      </c>
    </row>
    <row r="60" spans="1:25" ht="18.75" x14ac:dyDescent="0.2">
      <c r="A60" s="459" t="s">
        <v>516</v>
      </c>
      <c r="B60" s="472">
        <f>-SUM(Study!F197:F201)</f>
        <v>2824767.4</v>
      </c>
      <c r="C60" s="472">
        <f>-SUM(Study!G197:G201)</f>
        <v>2148767.4</v>
      </c>
      <c r="D60" s="472">
        <f>-SUM(Study!H197:H201)</f>
        <v>5571017.4000000004</v>
      </c>
      <c r="E60" s="472">
        <f>-SUM(Study!I197:I201)</f>
        <v>10671396.840000002</v>
      </c>
      <c r="F60" s="472">
        <f>-SUM(Study!J197:J201)</f>
        <v>0</v>
      </c>
      <c r="G60" s="472">
        <f>-SUM(Study!K197:K201)</f>
        <v>0</v>
      </c>
      <c r="H60" s="472">
        <f>-SUM(Study!L197:L201)</f>
        <v>0</v>
      </c>
      <c r="I60" s="472">
        <f>-SUM(Study!M197:M201)</f>
        <v>0</v>
      </c>
      <c r="J60" s="472">
        <f>-SUM(Study!N197:N201)</f>
        <v>0</v>
      </c>
      <c r="K60" s="472">
        <f>-SUM(Study!O197:O201)</f>
        <v>0</v>
      </c>
      <c r="L60" s="472">
        <f>-SUM(Study!P197:P201)</f>
        <v>0</v>
      </c>
      <c r="M60" s="472">
        <f>-SUM(Study!Q197:Q201)</f>
        <v>0</v>
      </c>
      <c r="N60" s="472">
        <f>-SUM(Study!R197:R201)</f>
        <v>0</v>
      </c>
      <c r="O60" s="472">
        <f>-SUM(Study!S197:S201)</f>
        <v>0</v>
      </c>
      <c r="P60" s="472">
        <f>-SUM(Study!T197:T201)</f>
        <v>0</v>
      </c>
      <c r="Q60" s="472">
        <f>-SUM(Study!U197:U201)</f>
        <v>0</v>
      </c>
      <c r="R60" s="472">
        <f>-SUM(Study!V197:V201)</f>
        <v>0</v>
      </c>
      <c r="S60" s="472">
        <f>-SUM(Study!W197:W201)</f>
        <v>0</v>
      </c>
      <c r="T60" s="472">
        <f>-SUM(Study!X197:X201)</f>
        <v>0</v>
      </c>
      <c r="U60" s="472">
        <f>-SUM(Study!Y197:Y201)</f>
        <v>0</v>
      </c>
      <c r="V60" s="472">
        <f>-SUM(Study!Z197:Z201)</f>
        <v>0</v>
      </c>
      <c r="W60" s="472">
        <f>-SUM(Study!AA197:AA201)</f>
        <v>0</v>
      </c>
      <c r="X60" s="472">
        <f>-SUM(Study!AB197:AB201)</f>
        <v>0</v>
      </c>
      <c r="Y60" s="473">
        <f>-SUM(Study!AC197:AC201)</f>
        <v>0</v>
      </c>
    </row>
    <row r="61" spans="1:25" ht="18.75" x14ac:dyDescent="0.2">
      <c r="A61" s="459" t="s">
        <v>513</v>
      </c>
      <c r="B61" s="472">
        <f>-SUM(Study!F196)</f>
        <v>0</v>
      </c>
      <c r="C61" s="472">
        <f>-SUM(Study!G196)</f>
        <v>0</v>
      </c>
      <c r="D61" s="472">
        <f>-SUM(Study!H196)</f>
        <v>0</v>
      </c>
      <c r="E61" s="472">
        <f>-SUM(Study!I196)</f>
        <v>0</v>
      </c>
      <c r="F61" s="472">
        <f>-SUM(Study!J196)</f>
        <v>28650232</v>
      </c>
      <c r="G61" s="472">
        <f>-SUM(Study!K196)</f>
        <v>20055162.400000002</v>
      </c>
      <c r="H61" s="472">
        <f>-SUM(Study!L196)</f>
        <v>20055162.400000002</v>
      </c>
      <c r="I61" s="472">
        <f>-SUM(Study!M196)</f>
        <v>20055162.400000002</v>
      </c>
      <c r="J61" s="472">
        <f>-SUM(Study!N196)</f>
        <v>37245301.600000001</v>
      </c>
      <c r="K61" s="472">
        <f>-SUM(Study!O196)</f>
        <v>37245301.600000001</v>
      </c>
      <c r="L61" s="472">
        <f>-SUM(Study!P196)</f>
        <v>37245301.600000001</v>
      </c>
      <c r="M61" s="472">
        <f>-SUM(Study!Q196)</f>
        <v>28650232</v>
      </c>
      <c r="N61" s="472">
        <f>-SUM(Study!R196)</f>
        <v>20055162.400000002</v>
      </c>
      <c r="O61" s="472">
        <f>-SUM(Study!S196)</f>
        <v>20055162.400000002</v>
      </c>
      <c r="P61" s="472">
        <f>-SUM(Study!T196)</f>
        <v>17190139.199999999</v>
      </c>
      <c r="Q61" s="472">
        <f>-SUM(Study!U196)</f>
        <v>0</v>
      </c>
      <c r="R61" s="472">
        <f>-SUM(Study!V196)</f>
        <v>0</v>
      </c>
      <c r="S61" s="472">
        <f>-SUM(Study!W196)</f>
        <v>0</v>
      </c>
      <c r="T61" s="472">
        <f>-SUM(Study!X196)</f>
        <v>0</v>
      </c>
      <c r="U61" s="472">
        <f>-SUM(Study!Y196)</f>
        <v>0</v>
      </c>
      <c r="V61" s="472">
        <f>-SUM(Study!Z196)</f>
        <v>0</v>
      </c>
      <c r="W61" s="472">
        <f>-SUM(Study!AA196)</f>
        <v>0</v>
      </c>
      <c r="X61" s="472">
        <f>-SUM(Study!AB196)</f>
        <v>0</v>
      </c>
      <c r="Y61" s="473">
        <f>-SUM(Study!AC196)</f>
        <v>0</v>
      </c>
    </row>
    <row r="62" spans="1:25" ht="18.75" x14ac:dyDescent="0.2">
      <c r="A62" s="459" t="s">
        <v>494</v>
      </c>
      <c r="B62" s="472">
        <f>SUM(Study!F184)</f>
        <v>0</v>
      </c>
      <c r="C62" s="472">
        <f>SUM(Study!G184)</f>
        <v>0</v>
      </c>
      <c r="D62" s="472">
        <f>SUM(Study!H184)</f>
        <v>0</v>
      </c>
      <c r="E62" s="472">
        <f>SUM(Study!I184)</f>
        <v>834381.88363636343</v>
      </c>
      <c r="F62" s="472">
        <f>SUM(Study!J184)</f>
        <v>2394676.0060363626</v>
      </c>
      <c r="G62" s="472">
        <f>SUM(Study!K184)</f>
        <v>5375254.9707621802</v>
      </c>
      <c r="H62" s="472">
        <f>SUM(Study!L184)</f>
        <v>8445172.8725327104</v>
      </c>
      <c r="I62" s="472">
        <f>SUM(Study!M184)</f>
        <v>14328808.114173489</v>
      </c>
      <c r="J62" s="472">
        <f>SUM(Study!N184)</f>
        <v>21846354.84228627</v>
      </c>
      <c r="K62" s="472">
        <f>SUM(Study!O184)</f>
        <v>26481103.691576928</v>
      </c>
      <c r="L62" s="472">
        <f>SUM(Study!P184)</f>
        <v>28471868.525500607</v>
      </c>
      <c r="M62" s="472">
        <f>SUM(Study!Q184)</f>
        <v>8617488.3397560474</v>
      </c>
      <c r="N62" s="472">
        <f>SUM(Study!R184)</f>
        <v>1874303.7138969409</v>
      </c>
      <c r="O62" s="472">
        <f>SUM(Study!S184)</f>
        <v>263264.26877954713</v>
      </c>
      <c r="P62" s="472">
        <f>SUM(Study!T184)</f>
        <v>16804.102262524251</v>
      </c>
      <c r="Q62" s="472">
        <f>SUM(Study!U184)</f>
        <v>0</v>
      </c>
      <c r="R62" s="472">
        <f>SUM(Study!V184)</f>
        <v>0</v>
      </c>
      <c r="S62" s="472">
        <f>SUM(Study!W184)</f>
        <v>0</v>
      </c>
      <c r="T62" s="472">
        <f>SUM(Study!X184)</f>
        <v>0</v>
      </c>
      <c r="U62" s="472">
        <f>SUM(Study!Y184)</f>
        <v>0</v>
      </c>
      <c r="V62" s="472">
        <f>SUM(Study!Z184)</f>
        <v>0</v>
      </c>
      <c r="W62" s="472">
        <f>SUM(Study!AA184)</f>
        <v>0</v>
      </c>
      <c r="X62" s="472">
        <f>SUM(Study!AB184)</f>
        <v>0</v>
      </c>
      <c r="Y62" s="473">
        <f>SUM(Study!AC184)</f>
        <v>0</v>
      </c>
    </row>
    <row r="63" spans="1:25" ht="18.75" x14ac:dyDescent="0.2">
      <c r="A63" s="459" t="s">
        <v>495</v>
      </c>
      <c r="B63" s="472">
        <f>SUM(Study!F185:F187)</f>
        <v>0</v>
      </c>
      <c r="C63" s="472">
        <f>SUM(Study!G185:G187)</f>
        <v>0</v>
      </c>
      <c r="D63" s="472">
        <f>SUM(Study!H185:H187)</f>
        <v>0</v>
      </c>
      <c r="E63" s="472">
        <f>SUM(Study!I185:I187)</f>
        <v>0</v>
      </c>
      <c r="F63" s="472">
        <f>SUM(Study!J185:J187)</f>
        <v>0</v>
      </c>
      <c r="G63" s="472">
        <f>SUM(Study!K185:K187)</f>
        <v>0</v>
      </c>
      <c r="H63" s="472">
        <f>SUM(Study!L185:L187)</f>
        <v>0</v>
      </c>
      <c r="I63" s="472">
        <f>SUM(Study!M185:M187)</f>
        <v>0</v>
      </c>
      <c r="J63" s="472">
        <f>SUM(Study!N185:N187)</f>
        <v>0</v>
      </c>
      <c r="K63" s="472">
        <f>SUM(Study!O185:O187)</f>
        <v>0</v>
      </c>
      <c r="L63" s="472">
        <f>SUM(Study!P185:P187)</f>
        <v>5141199.0240000002</v>
      </c>
      <c r="M63" s="472">
        <f>SUM(Study!Q185:Q187)</f>
        <v>48918168.780000001</v>
      </c>
      <c r="N63" s="472">
        <f>SUM(Study!R185:R187)</f>
        <v>59541086.279999994</v>
      </c>
      <c r="O63" s="472">
        <f>SUM(Study!S185:S187)</f>
        <v>60826386.035999991</v>
      </c>
      <c r="P63" s="472">
        <f>SUM(Study!T185:T187)</f>
        <v>63737504.999999985</v>
      </c>
      <c r="Q63" s="472">
        <f>SUM(Study!U185:U187)</f>
        <v>7665000</v>
      </c>
      <c r="R63" s="472">
        <f>SUM(Study!V185:V187)</f>
        <v>9581250</v>
      </c>
      <c r="S63" s="472">
        <f>SUM(Study!W185:W187)</f>
        <v>9581250</v>
      </c>
      <c r="T63" s="472">
        <f>SUM(Study!X185:X187)</f>
        <v>11497500</v>
      </c>
      <c r="U63" s="472">
        <f>SUM(Study!Y185:Y187)</f>
        <v>0</v>
      </c>
      <c r="V63" s="472">
        <f>SUM(Study!Z185:Z187)</f>
        <v>0</v>
      </c>
      <c r="W63" s="472">
        <f>SUM(Study!AA185:AA187)</f>
        <v>0</v>
      </c>
      <c r="X63" s="472">
        <f>SUM(Study!AB185:AB187)</f>
        <v>0</v>
      </c>
      <c r="Y63" s="473">
        <f>SUM(Study!AC185:AC187)</f>
        <v>0</v>
      </c>
    </row>
    <row r="64" spans="1:25" ht="18.75" x14ac:dyDescent="0.2">
      <c r="A64" s="459" t="s">
        <v>496</v>
      </c>
      <c r="B64" s="472">
        <f>Study!F188</f>
        <v>0</v>
      </c>
      <c r="C64" s="472">
        <f>Study!G188</f>
        <v>0</v>
      </c>
      <c r="D64" s="472">
        <f>Study!H188</f>
        <v>0</v>
      </c>
      <c r="E64" s="472">
        <f>Study!I188</f>
        <v>0</v>
      </c>
      <c r="F64" s="472">
        <f>Study!J188</f>
        <v>0</v>
      </c>
      <c r="G64" s="472">
        <f>Study!K188</f>
        <v>0</v>
      </c>
      <c r="H64" s="472">
        <f>Study!L188</f>
        <v>0</v>
      </c>
      <c r="I64" s="472">
        <f>Study!M188</f>
        <v>0</v>
      </c>
      <c r="J64" s="472">
        <f>Study!N188</f>
        <v>0</v>
      </c>
      <c r="K64" s="472">
        <f>Study!O188</f>
        <v>0</v>
      </c>
      <c r="L64" s="472">
        <f>Study!P188</f>
        <v>0</v>
      </c>
      <c r="M64" s="472">
        <f>Study!Q188</f>
        <v>0</v>
      </c>
      <c r="N64" s="472">
        <f>Study!R188</f>
        <v>0</v>
      </c>
      <c r="O64" s="472">
        <f>Study!S188</f>
        <v>309582167.14285713</v>
      </c>
      <c r="P64" s="472">
        <f>Study!T188</f>
        <v>0</v>
      </c>
      <c r="Q64" s="472">
        <f>Study!U188</f>
        <v>0</v>
      </c>
      <c r="R64" s="472">
        <f>Study!V188</f>
        <v>0</v>
      </c>
      <c r="S64" s="472">
        <f>Study!W188</f>
        <v>0</v>
      </c>
      <c r="T64" s="472">
        <f>Study!X188</f>
        <v>338161764.70588231</v>
      </c>
      <c r="U64" s="472">
        <f>Study!Y188</f>
        <v>0</v>
      </c>
      <c r="V64" s="472">
        <f>Study!Z188</f>
        <v>0</v>
      </c>
      <c r="W64" s="472">
        <f>Study!AA188</f>
        <v>0</v>
      </c>
      <c r="X64" s="472">
        <f>Study!AB188</f>
        <v>0</v>
      </c>
      <c r="Y64" s="473">
        <f>Study!AC188</f>
        <v>0</v>
      </c>
    </row>
    <row r="65" spans="1:25" ht="18.75" x14ac:dyDescent="0.2">
      <c r="A65" s="474"/>
      <c r="B65" s="475"/>
      <c r="C65" s="475"/>
      <c r="D65" s="475"/>
      <c r="E65" s="475"/>
      <c r="F65" s="475"/>
      <c r="G65" s="475"/>
      <c r="H65" s="475"/>
      <c r="I65" s="475"/>
      <c r="J65" s="475"/>
      <c r="K65" s="475"/>
      <c r="L65" s="475"/>
      <c r="M65" s="475"/>
      <c r="N65" s="475"/>
      <c r="O65" s="475"/>
      <c r="P65" s="475"/>
      <c r="Q65" s="475"/>
      <c r="R65" s="475"/>
      <c r="S65" s="475"/>
      <c r="T65" s="475"/>
      <c r="U65" s="475"/>
      <c r="V65" s="475"/>
      <c r="W65" s="475"/>
      <c r="X65" s="475"/>
      <c r="Y65" s="476"/>
    </row>
    <row r="66" spans="1:25" ht="18.75" x14ac:dyDescent="0.2">
      <c r="A66" s="458" t="s">
        <v>511</v>
      </c>
      <c r="B66" s="477">
        <f>IF(Sheet1!B59&gt;0,B$57)</f>
        <v>45993</v>
      </c>
      <c r="C66" s="477" t="b">
        <f>IF(Sheet1!C59&gt;0,C$57)</f>
        <v>0</v>
      </c>
      <c r="D66" s="477" t="b">
        <f>IF(Sheet1!D59&gt;0,D$57)</f>
        <v>0</v>
      </c>
      <c r="E66" s="477" t="b">
        <f>IF(Sheet1!E59&gt;0,E$57)</f>
        <v>0</v>
      </c>
      <c r="F66" s="477" t="b">
        <f>IF(Sheet1!F59&gt;0,F$57)</f>
        <v>0</v>
      </c>
      <c r="G66" s="477" t="b">
        <f>IF(Sheet1!G59&gt;0,G$57)</f>
        <v>0</v>
      </c>
      <c r="H66" s="477" t="b">
        <f>IF(Sheet1!H59&gt;0,H$57)</f>
        <v>0</v>
      </c>
      <c r="I66" s="477" t="b">
        <f>IF(Sheet1!I59&gt;0,I$57)</f>
        <v>0</v>
      </c>
      <c r="J66" s="477" t="b">
        <f>IF(Sheet1!J59&gt;0,J$57)</f>
        <v>0</v>
      </c>
      <c r="K66" s="477" t="b">
        <f>IF(Sheet1!K59&gt;0,K$57)</f>
        <v>0</v>
      </c>
      <c r="L66" s="477" t="b">
        <f>IF(Sheet1!L59&gt;0,L$57)</f>
        <v>0</v>
      </c>
      <c r="M66" s="477" t="b">
        <f>IF(Sheet1!M59&gt;0,M$57)</f>
        <v>0</v>
      </c>
      <c r="N66" s="477" t="b">
        <f>IF(Sheet1!N59&gt;0,N$57)</f>
        <v>0</v>
      </c>
      <c r="O66" s="477" t="b">
        <f>IF(Sheet1!O59&gt;0,O$57)</f>
        <v>0</v>
      </c>
      <c r="P66" s="477" t="b">
        <f>IF(Sheet1!P59&gt;0,P$57)</f>
        <v>0</v>
      </c>
      <c r="Q66" s="477" t="b">
        <f>IF(Sheet1!Q59&gt;0,Q$57)</f>
        <v>0</v>
      </c>
      <c r="R66" s="477" t="b">
        <f>IF(Sheet1!R59&gt;0,R$57)</f>
        <v>0</v>
      </c>
      <c r="S66" s="477" t="b">
        <f>IF(Sheet1!S59&gt;0,S$57)</f>
        <v>0</v>
      </c>
      <c r="T66" s="477" t="b">
        <f>IF(Sheet1!T59&gt;0,T$57)</f>
        <v>0</v>
      </c>
      <c r="U66" s="477" t="b">
        <f>IF(Sheet1!U59&gt;0,U$57)</f>
        <v>0</v>
      </c>
      <c r="V66" s="477" t="b">
        <f>IF(Sheet1!V59&gt;0,V$57)</f>
        <v>0</v>
      </c>
      <c r="W66" s="477" t="b">
        <f>IF(Sheet1!W59&gt;0,W$57)</f>
        <v>0</v>
      </c>
      <c r="X66" s="477" t="b">
        <f>IF(Sheet1!X59&gt;0,X$57)</f>
        <v>0</v>
      </c>
      <c r="Y66" s="478" t="b">
        <f>IF(Sheet1!Y59&gt;0,Y$57)</f>
        <v>0</v>
      </c>
    </row>
    <row r="67" spans="1:25" ht="18.75" x14ac:dyDescent="0.2">
      <c r="A67" s="459" t="s">
        <v>516</v>
      </c>
      <c r="B67" s="477">
        <f>IF(Sheet1!B60&gt;0,B$57)</f>
        <v>45993</v>
      </c>
      <c r="C67" s="477">
        <f>IF(Sheet1!C60&gt;0,C$57)</f>
        <v>46112</v>
      </c>
      <c r="D67" s="477">
        <f>IF(Sheet1!D60&gt;0,D$57)</f>
        <v>46203</v>
      </c>
      <c r="E67" s="477">
        <f>IF(Sheet1!E60&gt;0,E$57)</f>
        <v>46295</v>
      </c>
      <c r="F67" s="477" t="b">
        <f>IF(Sheet1!F60&gt;0,F$57)</f>
        <v>0</v>
      </c>
      <c r="G67" s="477" t="b">
        <f>IF(Sheet1!G60&gt;0,G$57)</f>
        <v>0</v>
      </c>
      <c r="H67" s="477" t="b">
        <f>IF(Sheet1!H60&gt;0,H$57)</f>
        <v>0</v>
      </c>
      <c r="I67" s="477" t="b">
        <f>IF(Sheet1!I60&gt;0,I$57)</f>
        <v>0</v>
      </c>
      <c r="J67" s="477" t="b">
        <f>IF(Sheet1!J60&gt;0,J$57)</f>
        <v>0</v>
      </c>
      <c r="K67" s="477" t="b">
        <f>IF(Sheet1!K60&gt;0,K$57)</f>
        <v>0</v>
      </c>
      <c r="L67" s="477" t="b">
        <f>IF(Sheet1!L60&gt;0,L$57)</f>
        <v>0</v>
      </c>
      <c r="M67" s="477" t="b">
        <f>IF(Sheet1!M60&gt;0,M$57)</f>
        <v>0</v>
      </c>
      <c r="N67" s="477" t="b">
        <f>IF(Sheet1!N60&gt;0,N$57)</f>
        <v>0</v>
      </c>
      <c r="O67" s="477" t="b">
        <f>IF(Sheet1!O60&gt;0,O$57)</f>
        <v>0</v>
      </c>
      <c r="P67" s="477" t="b">
        <f>IF(Sheet1!P60&gt;0,P$57)</f>
        <v>0</v>
      </c>
      <c r="Q67" s="477" t="b">
        <f>IF(Sheet1!Q60&gt;0,Q$57)</f>
        <v>0</v>
      </c>
      <c r="R67" s="477" t="b">
        <f>IF(Sheet1!R60&gt;0,R$57)</f>
        <v>0</v>
      </c>
      <c r="S67" s="477" t="b">
        <f>IF(Sheet1!S60&gt;0,S$57)</f>
        <v>0</v>
      </c>
      <c r="T67" s="477" t="b">
        <f>IF(Sheet1!T60&gt;0,T$57)</f>
        <v>0</v>
      </c>
      <c r="U67" s="477" t="b">
        <f>IF(Sheet1!U60&gt;0,U$57)</f>
        <v>0</v>
      </c>
      <c r="V67" s="477" t="b">
        <f>IF(Sheet1!V60&gt;0,V$57)</f>
        <v>0</v>
      </c>
      <c r="W67" s="477" t="b">
        <f>IF(Sheet1!W60&gt;0,W$57)</f>
        <v>0</v>
      </c>
      <c r="X67" s="477" t="b">
        <f>IF(Sheet1!X60&gt;0,X$57)</f>
        <v>0</v>
      </c>
      <c r="Y67" s="478" t="b">
        <f>IF(Sheet1!Y60&gt;0,Y$57)</f>
        <v>0</v>
      </c>
    </row>
    <row r="68" spans="1:25" ht="18.75" x14ac:dyDescent="0.2">
      <c r="A68" s="459" t="s">
        <v>513</v>
      </c>
      <c r="B68" s="477" t="b">
        <f>IF(Sheet1!B61&gt;0,B$57)</f>
        <v>0</v>
      </c>
      <c r="C68" s="477" t="b">
        <f>IF(Sheet1!C61&gt;0,C$57)</f>
        <v>0</v>
      </c>
      <c r="D68" s="477" t="b">
        <f>IF(Sheet1!D61&gt;0,D$57)</f>
        <v>0</v>
      </c>
      <c r="E68" s="477" t="b">
        <f>IF(Sheet1!E61&gt;0,E$57)</f>
        <v>0</v>
      </c>
      <c r="F68" s="477">
        <f>IF(Sheet1!F61&gt;0,F$57)</f>
        <v>46387</v>
      </c>
      <c r="G68" s="477">
        <f>IF(Sheet1!G61&gt;0,G$57)</f>
        <v>46477</v>
      </c>
      <c r="H68" s="477">
        <f>IF(Sheet1!H61&gt;0,H$57)</f>
        <v>46568</v>
      </c>
      <c r="I68" s="477">
        <f>IF(Sheet1!I61&gt;0,I$57)</f>
        <v>46660</v>
      </c>
      <c r="J68" s="477">
        <f>IF(Sheet1!J61&gt;0,J$57)</f>
        <v>46752</v>
      </c>
      <c r="K68" s="477">
        <f>IF(Sheet1!K61&gt;0,K$57)</f>
        <v>46843</v>
      </c>
      <c r="L68" s="477">
        <f>IF(Sheet1!L61&gt;0,L$57)</f>
        <v>46934</v>
      </c>
      <c r="M68" s="477">
        <f>IF(Sheet1!M61&gt;0,M$57)</f>
        <v>47026</v>
      </c>
      <c r="N68" s="477">
        <f>IF(Sheet1!N61&gt;0,N$57)</f>
        <v>47118</v>
      </c>
      <c r="O68" s="477">
        <f>IF(Sheet1!O61&gt;0,O$57)</f>
        <v>47208</v>
      </c>
      <c r="P68" s="477">
        <f>IF(Sheet1!P61&gt;0,P$57)</f>
        <v>47299</v>
      </c>
      <c r="Q68" s="477" t="b">
        <f>IF(Sheet1!Q61&gt;0,Q$57)</f>
        <v>0</v>
      </c>
      <c r="R68" s="477" t="b">
        <f>IF(Sheet1!R61&gt;0,R$57)</f>
        <v>0</v>
      </c>
      <c r="S68" s="477" t="b">
        <f>IF(Sheet1!S61&gt;0,S$57)</f>
        <v>0</v>
      </c>
      <c r="T68" s="477" t="b">
        <f>IF(Sheet1!T61&gt;0,T$57)</f>
        <v>0</v>
      </c>
      <c r="U68" s="477" t="b">
        <f>IF(Sheet1!U61&gt;0,U$57)</f>
        <v>0</v>
      </c>
      <c r="V68" s="477" t="b">
        <f>IF(Sheet1!V61&gt;0,V$57)</f>
        <v>0</v>
      </c>
      <c r="W68" s="477" t="b">
        <f>IF(Sheet1!W61&gt;0,W$57)</f>
        <v>0</v>
      </c>
      <c r="X68" s="477" t="b">
        <f>IF(Sheet1!X61&gt;0,X$57)</f>
        <v>0</v>
      </c>
      <c r="Y68" s="478" t="b">
        <f>IF(Sheet1!Y61&gt;0,Y$57)</f>
        <v>0</v>
      </c>
    </row>
    <row r="69" spans="1:25" ht="18.75" x14ac:dyDescent="0.2">
      <c r="A69" s="459" t="s">
        <v>494</v>
      </c>
      <c r="B69" s="477" t="b">
        <f>IF(Sheet1!B62&gt;0,B$57)</f>
        <v>0</v>
      </c>
      <c r="C69" s="477" t="b">
        <f>IF(Sheet1!C62&gt;0,C$57)</f>
        <v>0</v>
      </c>
      <c r="D69" s="477" t="b">
        <f>IF(Sheet1!D62&gt;0,D$57)</f>
        <v>0</v>
      </c>
      <c r="E69" s="477">
        <f>IF(Sheet1!E62&gt;0,E$57)</f>
        <v>46295</v>
      </c>
      <c r="F69" s="477">
        <f>IF(Sheet1!F62&gt;0,F$57)</f>
        <v>46387</v>
      </c>
      <c r="G69" s="477">
        <f>IF(Sheet1!G62&gt;0,G$57)</f>
        <v>46477</v>
      </c>
      <c r="H69" s="477">
        <f>IF(Sheet1!H62&gt;0,H$57)</f>
        <v>46568</v>
      </c>
      <c r="I69" s="477">
        <f>IF(Sheet1!I62&gt;0,I$57)</f>
        <v>46660</v>
      </c>
      <c r="J69" s="477">
        <f>IF(Sheet1!J62&gt;0,J$57)</f>
        <v>46752</v>
      </c>
      <c r="K69" s="477">
        <f>IF(Sheet1!K62&gt;0,K$57)</f>
        <v>46843</v>
      </c>
      <c r="L69" s="477">
        <f>IF(Sheet1!L62&gt;0,L$57)</f>
        <v>46934</v>
      </c>
      <c r="M69" s="477">
        <f>IF(Sheet1!M62&gt;0,M$57)</f>
        <v>47026</v>
      </c>
      <c r="N69" s="477">
        <f>IF(Sheet1!N62&gt;0,N$57)</f>
        <v>47118</v>
      </c>
      <c r="O69" s="477">
        <f>IF(Sheet1!O62&gt;0,O$57)</f>
        <v>47208</v>
      </c>
      <c r="P69" s="477">
        <f>IF(Sheet1!P62&gt;0,P$57)</f>
        <v>47299</v>
      </c>
      <c r="Q69" s="477" t="b">
        <f>IF(Sheet1!Q62&gt;0,Q$57)</f>
        <v>0</v>
      </c>
      <c r="R69" s="477" t="b">
        <f>IF(Sheet1!R62&gt;0,R$57)</f>
        <v>0</v>
      </c>
      <c r="S69" s="477" t="b">
        <f>IF(Sheet1!S62&gt;0,S$57)</f>
        <v>0</v>
      </c>
      <c r="T69" s="477" t="b">
        <f>IF(Sheet1!T62&gt;0,T$57)</f>
        <v>0</v>
      </c>
      <c r="U69" s="477" t="b">
        <f>IF(Sheet1!U62&gt;0,U$57)</f>
        <v>0</v>
      </c>
      <c r="V69" s="477" t="b">
        <f>IF(Sheet1!V62&gt;0,V$57)</f>
        <v>0</v>
      </c>
      <c r="W69" s="477" t="b">
        <f>IF(Sheet1!W62&gt;0,W$57)</f>
        <v>0</v>
      </c>
      <c r="X69" s="477" t="b">
        <f>IF(Sheet1!X62&gt;0,X$57)</f>
        <v>0</v>
      </c>
      <c r="Y69" s="478" t="b">
        <f>IF(Sheet1!Y62&gt;0,Y$57)</f>
        <v>0</v>
      </c>
    </row>
    <row r="70" spans="1:25" ht="18.75" x14ac:dyDescent="0.2">
      <c r="A70" s="459" t="s">
        <v>495</v>
      </c>
      <c r="B70" s="477" t="b">
        <f>IF(Sheet1!B63&gt;0,B$57)</f>
        <v>0</v>
      </c>
      <c r="C70" s="477" t="b">
        <f>IF(Sheet1!C63&gt;0,C$57)</f>
        <v>0</v>
      </c>
      <c r="D70" s="477" t="b">
        <f>IF(Sheet1!D63&gt;0,D$57)</f>
        <v>0</v>
      </c>
      <c r="E70" s="477" t="b">
        <f>IF(Sheet1!E63&gt;0,E$57)</f>
        <v>0</v>
      </c>
      <c r="F70" s="477" t="b">
        <f>IF(Sheet1!F63&gt;0,F$57)</f>
        <v>0</v>
      </c>
      <c r="G70" s="477" t="b">
        <f>IF(Sheet1!G63&gt;0,G$57)</f>
        <v>0</v>
      </c>
      <c r="H70" s="477" t="b">
        <f>IF(Sheet1!H63&gt;0,H$57)</f>
        <v>0</v>
      </c>
      <c r="I70" s="477" t="b">
        <f>IF(Sheet1!I63&gt;0,I$57)</f>
        <v>0</v>
      </c>
      <c r="J70" s="477" t="b">
        <f>IF(Sheet1!J63&gt;0,J$57)</f>
        <v>0</v>
      </c>
      <c r="K70" s="477" t="b">
        <f>IF(Sheet1!K63&gt;0,K$57)</f>
        <v>0</v>
      </c>
      <c r="L70" s="477">
        <f>IF(Sheet1!L63&gt;0,L$57)</f>
        <v>46934</v>
      </c>
      <c r="M70" s="477">
        <f>IF(Sheet1!M63&gt;0,M$57)</f>
        <v>47026</v>
      </c>
      <c r="N70" s="477">
        <f>IF(Sheet1!N63&gt;0,N$57)</f>
        <v>47118</v>
      </c>
      <c r="O70" s="477">
        <f>IF(Sheet1!O63&gt;0,O$57)</f>
        <v>47208</v>
      </c>
      <c r="P70" s="477">
        <f>IF(Sheet1!P63&gt;0,P$57)</f>
        <v>47299</v>
      </c>
      <c r="Q70" s="477">
        <f>IF(Sheet1!Q63&gt;0,Q$57)</f>
        <v>47391</v>
      </c>
      <c r="R70" s="477">
        <f>IF(Sheet1!R63&gt;0,R$57)</f>
        <v>47483</v>
      </c>
      <c r="S70" s="477">
        <f>IF(Sheet1!S63&gt;0,S$57)</f>
        <v>47573</v>
      </c>
      <c r="T70" s="477">
        <f>IF(Sheet1!T63&gt;0,T$57)</f>
        <v>47664</v>
      </c>
      <c r="U70" s="477" t="b">
        <f>IF(Sheet1!U63&gt;0,U$57)</f>
        <v>0</v>
      </c>
      <c r="V70" s="477" t="b">
        <f>IF(Sheet1!V63&gt;0,V$57)</f>
        <v>0</v>
      </c>
      <c r="W70" s="477" t="b">
        <f>IF(Sheet1!W63&gt;0,W$57)</f>
        <v>0</v>
      </c>
      <c r="X70" s="477" t="b">
        <f>IF(Sheet1!X63&gt;0,X$57)</f>
        <v>0</v>
      </c>
      <c r="Y70" s="478" t="b">
        <f>IF(Sheet1!Y63&gt;0,Y$57)</f>
        <v>0</v>
      </c>
    </row>
    <row r="71" spans="1:25" ht="19.5" thickBot="1" x14ac:dyDescent="0.25">
      <c r="A71" s="461" t="s">
        <v>496</v>
      </c>
      <c r="B71" s="479" t="b">
        <f>IF(Sheet1!B64&gt;0,B$57)</f>
        <v>0</v>
      </c>
      <c r="C71" s="479" t="b">
        <f>IF(Sheet1!C64&gt;0,C$57)</f>
        <v>0</v>
      </c>
      <c r="D71" s="479" t="b">
        <f>IF(Sheet1!D64&gt;0,D$57)</f>
        <v>0</v>
      </c>
      <c r="E71" s="479" t="b">
        <f>IF(Sheet1!E64&gt;0,E$57)</f>
        <v>0</v>
      </c>
      <c r="F71" s="479" t="b">
        <f>IF(Sheet1!F64&gt;0,F$57)</f>
        <v>0</v>
      </c>
      <c r="G71" s="479" t="b">
        <f>IF(Sheet1!G64&gt;0,G$57)</f>
        <v>0</v>
      </c>
      <c r="H71" s="479" t="b">
        <f>IF(Sheet1!H64&gt;0,H$57)</f>
        <v>0</v>
      </c>
      <c r="I71" s="479" t="b">
        <f>IF(Sheet1!I64&gt;0,I$57)</f>
        <v>0</v>
      </c>
      <c r="J71" s="479" t="b">
        <f>IF(Sheet1!J64&gt;0,J$57)</f>
        <v>0</v>
      </c>
      <c r="K71" s="479" t="b">
        <f>IF(Sheet1!K64&gt;0,K$57)</f>
        <v>0</v>
      </c>
      <c r="L71" s="479" t="b">
        <f>IF(Sheet1!L64&gt;0,L$57)</f>
        <v>0</v>
      </c>
      <c r="M71" s="479" t="b">
        <f>IF(Sheet1!M64&gt;0,M$57)</f>
        <v>0</v>
      </c>
      <c r="N71" s="479" t="b">
        <f>IF(Sheet1!N64&gt;0,N$57)</f>
        <v>0</v>
      </c>
      <c r="O71" s="479">
        <f>IF(Sheet1!O64&gt;0,O$57)</f>
        <v>47208</v>
      </c>
      <c r="P71" s="479" t="b">
        <f>IF(Sheet1!P64&gt;0,P$57)</f>
        <v>0</v>
      </c>
      <c r="Q71" s="479" t="b">
        <f>IF(Sheet1!Q64&gt;0,Q$57)</f>
        <v>0</v>
      </c>
      <c r="R71" s="479" t="b">
        <f>IF(Sheet1!R64&gt;0,R$57)</f>
        <v>0</v>
      </c>
      <c r="S71" s="479" t="b">
        <f>IF(Sheet1!S64&gt;0,S$57)</f>
        <v>0</v>
      </c>
      <c r="T71" s="479">
        <f>IF(Sheet1!T64&gt;0,T$57)</f>
        <v>47664</v>
      </c>
      <c r="U71" s="479" t="b">
        <f>IF(Sheet1!U64&gt;0,U$57)</f>
        <v>0</v>
      </c>
      <c r="V71" s="479" t="b">
        <f>IF(Sheet1!V64&gt;0,V$57)</f>
        <v>0</v>
      </c>
      <c r="W71" s="479" t="b">
        <f>IF(Sheet1!W64&gt;0,W$57)</f>
        <v>0</v>
      </c>
      <c r="X71" s="479" t="b">
        <f>IF(Sheet1!X64&gt;0,X$57)</f>
        <v>0</v>
      </c>
      <c r="Y71" s="480" t="b">
        <f>IF(Sheet1!Y64&gt;0,Y$57)</f>
        <v>0</v>
      </c>
    </row>
    <row r="73" spans="1:25" x14ac:dyDescent="0.2">
      <c r="B73" s="466"/>
      <c r="C73" s="466" t="s">
        <v>505</v>
      </c>
      <c r="D73" s="466" t="s">
        <v>506</v>
      </c>
      <c r="E73" s="467"/>
    </row>
    <row r="74" spans="1:25" x14ac:dyDescent="0.2">
      <c r="B74" s="468"/>
      <c r="C74" s="469">
        <f>C76</f>
        <v>45993</v>
      </c>
      <c r="D74" s="489">
        <f>D81</f>
        <v>47874</v>
      </c>
      <c r="E74" s="487"/>
    </row>
    <row r="75" spans="1:25" x14ac:dyDescent="0.2">
      <c r="B75" s="470" t="s">
        <v>507</v>
      </c>
      <c r="C75" s="470" t="s">
        <v>508</v>
      </c>
      <c r="D75" s="470" t="s">
        <v>509</v>
      </c>
      <c r="E75" s="470" t="s">
        <v>510</v>
      </c>
    </row>
    <row r="76" spans="1:25" x14ac:dyDescent="0.2">
      <c r="B76" s="490" t="s">
        <v>511</v>
      </c>
      <c r="C76" s="491">
        <f>MIN(B66:Y66)</f>
        <v>45993</v>
      </c>
      <c r="D76" s="491">
        <f>MAX(B66:Y66)+15</f>
        <v>46008</v>
      </c>
      <c r="E76" s="490">
        <f t="shared" ref="E76:E81" si="0">D76-C76</f>
        <v>15</v>
      </c>
    </row>
    <row r="77" spans="1:25" x14ac:dyDescent="0.2">
      <c r="B77" s="492" t="s">
        <v>512</v>
      </c>
      <c r="C77" s="489">
        <f>MIN(B67:Y67)+18</f>
        <v>46011</v>
      </c>
      <c r="D77" s="489">
        <f>MAX(B67:Y67)+180</f>
        <v>46475</v>
      </c>
      <c r="E77" s="492">
        <f t="shared" si="0"/>
        <v>464</v>
      </c>
    </row>
    <row r="78" spans="1:25" x14ac:dyDescent="0.2">
      <c r="B78" s="490" t="s">
        <v>513</v>
      </c>
      <c r="C78" s="491">
        <f>MIN(B68:Y68)</f>
        <v>46387</v>
      </c>
      <c r="D78" s="491">
        <f>MAX(B68:Y68)+180</f>
        <v>47479</v>
      </c>
      <c r="E78" s="490">
        <f t="shared" si="0"/>
        <v>1092</v>
      </c>
    </row>
    <row r="79" spans="1:25" x14ac:dyDescent="0.2">
      <c r="B79" s="492" t="s">
        <v>494</v>
      </c>
      <c r="C79" s="489">
        <f>D77</f>
        <v>46475</v>
      </c>
      <c r="D79" s="489">
        <f>MAX(B69:Y69)+180</f>
        <v>47479</v>
      </c>
      <c r="E79" s="492">
        <f t="shared" si="0"/>
        <v>1004</v>
      </c>
    </row>
    <row r="80" spans="1:25" x14ac:dyDescent="0.2">
      <c r="B80" s="490" t="s">
        <v>514</v>
      </c>
      <c r="C80" s="491">
        <f>MIN(B70:Y70)</f>
        <v>46934</v>
      </c>
      <c r="D80" s="491">
        <f>MAX(B70:Y70)+180</f>
        <v>47844</v>
      </c>
      <c r="E80" s="490">
        <f t="shared" si="0"/>
        <v>910</v>
      </c>
    </row>
    <row r="81" spans="2:5" x14ac:dyDescent="0.2">
      <c r="B81" s="492" t="s">
        <v>515</v>
      </c>
      <c r="C81" s="489">
        <f>D80</f>
        <v>47844</v>
      </c>
      <c r="D81" s="489">
        <f>C81+30</f>
        <v>47874</v>
      </c>
      <c r="E81" s="492">
        <f t="shared" si="0"/>
        <v>30</v>
      </c>
    </row>
    <row r="140" spans="39:41" x14ac:dyDescent="0.2">
      <c r="AM140" s="336"/>
      <c r="AN140" s="337"/>
      <c r="AO140" s="337"/>
    </row>
  </sheetData>
  <mergeCells count="19">
    <mergeCell ref="C37:D37"/>
    <mergeCell ref="B39:D39"/>
    <mergeCell ref="C29:D29"/>
    <mergeCell ref="C31:D31"/>
    <mergeCell ref="B32:D32"/>
    <mergeCell ref="C34:D34"/>
    <mergeCell ref="C35:D35"/>
    <mergeCell ref="C36:D36"/>
    <mergeCell ref="C17:D17"/>
    <mergeCell ref="C20:D20"/>
    <mergeCell ref="B22:D22"/>
    <mergeCell ref="B23:B27"/>
    <mergeCell ref="C27:D27"/>
    <mergeCell ref="B16:D16"/>
    <mergeCell ref="B2:D4"/>
    <mergeCell ref="E2:E5"/>
    <mergeCell ref="B5:D5"/>
    <mergeCell ref="C6:D6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Study</vt:lpstr>
      <vt:lpstr>Summary</vt:lpstr>
      <vt:lpstr>Indicators</vt:lpstr>
      <vt:lpstr>Sheet1</vt:lpstr>
      <vt:lpstr>Indicators!Print_Area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Almayouf</dc:creator>
  <cp:lastModifiedBy>Omar Almayouf</cp:lastModifiedBy>
  <cp:lastPrinted>2025-07-24T10:13:29Z</cp:lastPrinted>
  <dcterms:created xsi:type="dcterms:W3CDTF">2025-03-23T09:18:25Z</dcterms:created>
  <dcterms:modified xsi:type="dcterms:W3CDTF">2026-05-11T12:29:30Z</dcterms:modified>
</cp:coreProperties>
</file>