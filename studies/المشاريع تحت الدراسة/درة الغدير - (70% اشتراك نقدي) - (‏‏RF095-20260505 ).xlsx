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ortcut-targets-by-id\1Ei6viDtwU6b9iYsudqnBFogTYlbpDrgO\الدراسات المالية - (عمر - عبدالله)\الدراسات\مرحلة الدراسة\RF095-2026023 - درة الغدير\"/>
    </mc:Choice>
  </mc:AlternateContent>
  <xr:revisionPtr revIDLastSave="0" documentId="13_ncr:1_{FB600DB8-4AB6-4BF7-A815-471EDFED718E}" xr6:coauthVersionLast="47" xr6:coauthVersionMax="47" xr10:uidLastSave="{00000000-0000-0000-0000-000000000000}"/>
  <bookViews>
    <workbookView xWindow="-120" yWindow="-120" windowWidth="29040" windowHeight="15720" tabRatio="851" activeTab="1" xr2:uid="{08494FB3-3157-40BF-A39A-1857DBA01C82}"/>
  </bookViews>
  <sheets>
    <sheet name="Cover Page" sheetId="5" r:id="rId1"/>
    <sheet name="Study" sheetId="1" r:id="rId2"/>
    <sheet name="Summary" sheetId="2" r:id="rId3"/>
  </sheets>
  <externalReferences>
    <externalReference r:id="rId4"/>
  </externalReferences>
  <definedNames>
    <definedName name="_xlnm._FilterDatabase" localSheetId="1" hidden="1">Study!$AG$156:$AG$157</definedName>
    <definedName name="_xlchart.v1.0" hidden="1">Study!$C$82:$C$97</definedName>
    <definedName name="_xlchart.v1.1" hidden="1">Summary!$R$116:$R$132</definedName>
    <definedName name="AuditFailsCommercial">[1]Audit!$G$12</definedName>
    <definedName name="AuditFailsStructural">[1]Audit!$G$11</definedName>
    <definedName name="AuditOK">[1]Audit!$G$13</definedName>
    <definedName name="_xlnm.Print_Area" localSheetId="2">Summary!$B$1:$L$181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11" i="1" l="1"/>
  <c r="T126" i="1"/>
  <c r="U126" i="1" s="1"/>
  <c r="X126" i="1" s="1"/>
  <c r="C89" i="1"/>
  <c r="G47" i="1"/>
  <c r="D70" i="1" a="1"/>
  <c r="D70" i="1" s="1"/>
  <c r="C143" i="1"/>
  <c r="F58" i="1"/>
  <c r="H58" i="1" s="1"/>
  <c r="C340" i="1" a="1"/>
  <c r="C340" i="1" l="1"/>
  <c r="C102" i="1"/>
  <c r="C92" i="1"/>
  <c r="AH30" i="1"/>
  <c r="AH31" i="1"/>
  <c r="AT32" i="1"/>
  <c r="AT33" i="1" s="1"/>
  <c r="AR33" i="1"/>
  <c r="BA33" i="1"/>
  <c r="AH32" i="1" l="1"/>
  <c r="AH33" i="1" s="1"/>
  <c r="E126" i="1"/>
  <c r="C126" i="1" l="1"/>
  <c r="BA15" i="1"/>
  <c r="F126" i="1" l="1"/>
  <c r="I126" i="1" s="1"/>
  <c r="J126" i="1" s="1"/>
  <c r="K56" i="1"/>
  <c r="K57" i="1"/>
  <c r="S126" i="1" l="1"/>
  <c r="AM51" i="1"/>
  <c r="W125" i="1"/>
  <c r="D126" i="1" l="1"/>
  <c r="AO5" i="1" s="1"/>
  <c r="AO23" i="1"/>
  <c r="E50" i="2"/>
  <c r="T88" i="2"/>
  <c r="T89" i="2"/>
  <c r="F50" i="2"/>
  <c r="G50" i="2"/>
  <c r="J50" i="2"/>
  <c r="F48" i="2"/>
  <c r="G48" i="2"/>
  <c r="I48" i="2"/>
  <c r="J48" i="2"/>
  <c r="E48" i="2"/>
  <c r="G42" i="2"/>
  <c r="H42" i="2"/>
  <c r="I42" i="2"/>
  <c r="J42" i="2"/>
  <c r="G173" i="1" l="1"/>
  <c r="C104" i="2"/>
  <c r="BV4" i="1"/>
  <c r="BV5" i="1"/>
  <c r="BV7" i="1"/>
  <c r="BV6" i="1"/>
  <c r="BX17" i="1"/>
  <c r="BX16" i="1"/>
  <c r="H173" i="1" l="1"/>
  <c r="I173" i="1" s="1"/>
  <c r="J173" i="1" s="1"/>
  <c r="K173" i="1" s="1"/>
  <c r="L173" i="1" s="1"/>
  <c r="M173" i="1" s="1"/>
  <c r="N173" i="1" s="1"/>
  <c r="O173" i="1" s="1"/>
  <c r="P173" i="1" s="1"/>
  <c r="Q173" i="1" s="1"/>
  <c r="R173" i="1" s="1"/>
  <c r="S173" i="1" s="1"/>
  <c r="T173" i="1" s="1"/>
  <c r="U173" i="1" s="1"/>
  <c r="V173" i="1" s="1"/>
  <c r="W173" i="1" s="1"/>
  <c r="X173" i="1" s="1"/>
  <c r="W127" i="1"/>
  <c r="W128" i="1"/>
  <c r="W129" i="1"/>
  <c r="W130" i="1"/>
  <c r="W131" i="1"/>
  <c r="W132" i="1"/>
  <c r="W133" i="1"/>
  <c r="W134" i="1"/>
  <c r="Y173" i="1" l="1"/>
  <c r="E266" i="1"/>
  <c r="Z173" i="1" l="1"/>
  <c r="AA173" i="1" s="1"/>
  <c r="AB173" i="1" s="1"/>
  <c r="AC173" i="1" s="1"/>
  <c r="R150" i="1"/>
  <c r="T150" i="1" s="1"/>
  <c r="E187" i="1"/>
  <c r="K114" i="2"/>
  <c r="X150" i="1" l="1"/>
  <c r="V150" i="1"/>
  <c r="T152" i="2"/>
  <c r="L41" i="1" l="1"/>
  <c r="C45" i="1"/>
  <c r="C82" i="1" s="1"/>
  <c r="L44" i="1"/>
  <c r="R135" i="1"/>
  <c r="B264" i="1" s="1"/>
  <c r="C83" i="1" l="1"/>
  <c r="AK11" i="1" s="1"/>
  <c r="F59" i="1"/>
  <c r="D69" i="1"/>
  <c r="T127" i="1"/>
  <c r="E127" i="1"/>
  <c r="Y126" i="1"/>
  <c r="D71" i="1"/>
  <c r="I13" i="2"/>
  <c r="C67" i="1"/>
  <c r="D144" i="1" l="1"/>
  <c r="F144" i="1" s="1"/>
  <c r="E30" i="2"/>
  <c r="AH14" i="1"/>
  <c r="AH15" i="1" s="1"/>
  <c r="AH40" i="1"/>
  <c r="AH41" i="1"/>
  <c r="AH42" i="1"/>
  <c r="AH43" i="1"/>
  <c r="AH44" i="1"/>
  <c r="AH45" i="1"/>
  <c r="AH46" i="1"/>
  <c r="AH47" i="1"/>
  <c r="AH48" i="1"/>
  <c r="AH49" i="1"/>
  <c r="AO51" i="1"/>
  <c r="BA51" i="1"/>
  <c r="BC51" i="1"/>
  <c r="C125" i="1"/>
  <c r="C91" i="1" s="1"/>
  <c r="C127" i="1"/>
  <c r="C128" i="1"/>
  <c r="C129" i="1"/>
  <c r="C130" i="1"/>
  <c r="C131" i="1"/>
  <c r="C132" i="1"/>
  <c r="C133" i="1"/>
  <c r="C134" i="1"/>
  <c r="S125" i="1"/>
  <c r="C152" i="1"/>
  <c r="C151" i="1"/>
  <c r="C150" i="1"/>
  <c r="C149" i="1"/>
  <c r="C148" i="1"/>
  <c r="C147" i="1"/>
  <c r="C146" i="1"/>
  <c r="C145" i="1"/>
  <c r="C144" i="1"/>
  <c r="H144" i="1" s="1"/>
  <c r="R144" i="1"/>
  <c r="T144" i="1" s="1"/>
  <c r="X144" i="1" s="1"/>
  <c r="Y144" i="1" s="1"/>
  <c r="AC144" i="1" s="1"/>
  <c r="R145" i="1"/>
  <c r="T145" i="1" s="1"/>
  <c r="R146" i="1"/>
  <c r="T146" i="1" s="1"/>
  <c r="R147" i="1"/>
  <c r="T147" i="1" s="1"/>
  <c r="R148" i="1"/>
  <c r="T148" i="1" s="1"/>
  <c r="R149" i="1"/>
  <c r="T149" i="1" s="1"/>
  <c r="R151" i="1"/>
  <c r="T151" i="1" s="1"/>
  <c r="R152" i="1"/>
  <c r="T152" i="1" s="1"/>
  <c r="R143" i="1"/>
  <c r="T143" i="1" s="1"/>
  <c r="D125" i="1" l="1"/>
  <c r="AO22" i="1"/>
  <c r="T153" i="1"/>
  <c r="AH50" i="1"/>
  <c r="AH51" i="1" s="1"/>
  <c r="AO4" i="1" l="1"/>
  <c r="AO40" i="1"/>
  <c r="D272" i="1"/>
  <c r="D288" i="1"/>
  <c r="E72" i="1" l="1"/>
  <c r="C153" i="1"/>
  <c r="C135" i="1"/>
  <c r="C72" i="1"/>
  <c r="Y150" i="1" l="1"/>
  <c r="AC150" i="1" s="1"/>
  <c r="F189" i="1"/>
  <c r="AO41" i="1" l="1"/>
  <c r="E189" i="1"/>
  <c r="D189" i="1" s="1"/>
  <c r="F246" i="1"/>
  <c r="F252" i="1" l="1"/>
  <c r="F240" i="1"/>
  <c r="Z248" i="1"/>
  <c r="Y252" i="1"/>
  <c r="Z252" i="1"/>
  <c r="AA248" i="1"/>
  <c r="AB248" i="1"/>
  <c r="AC248" i="1"/>
  <c r="AA252" i="1"/>
  <c r="AB252" i="1"/>
  <c r="AC252" i="1"/>
  <c r="Y248" i="1"/>
  <c r="Z240" i="1"/>
  <c r="AA240" i="1"/>
  <c r="AB240" i="1"/>
  <c r="AC240" i="1"/>
  <c r="Y240" i="1"/>
  <c r="Z238" i="1"/>
  <c r="L40" i="1"/>
  <c r="D264" i="1" l="1"/>
  <c r="C109" i="2"/>
  <c r="C110" i="2"/>
  <c r="K63" i="2"/>
  <c r="K62" i="2"/>
  <c r="D30" i="2"/>
  <c r="D31" i="2"/>
  <c r="D32" i="2"/>
  <c r="D33" i="2"/>
  <c r="D34" i="2"/>
  <c r="D35" i="2"/>
  <c r="D36" i="2"/>
  <c r="D37" i="2"/>
  <c r="D38" i="2"/>
  <c r="D29" i="2"/>
  <c r="X252" i="1"/>
  <c r="V252" i="1"/>
  <c r="U252" i="1"/>
  <c r="S252" i="1"/>
  <c r="R252" i="1"/>
  <c r="Q252" i="1"/>
  <c r="P252" i="1"/>
  <c r="O252" i="1"/>
  <c r="N252" i="1"/>
  <c r="M252" i="1"/>
  <c r="L252" i="1"/>
  <c r="K252" i="1"/>
  <c r="J252" i="1"/>
  <c r="I252" i="1"/>
  <c r="H252" i="1"/>
  <c r="G252" i="1"/>
  <c r="X248" i="1"/>
  <c r="W248" i="1"/>
  <c r="V248" i="1"/>
  <c r="U248" i="1"/>
  <c r="T248" i="1"/>
  <c r="S248" i="1"/>
  <c r="R248" i="1"/>
  <c r="Q248" i="1"/>
  <c r="P248" i="1"/>
  <c r="O248" i="1"/>
  <c r="N248" i="1"/>
  <c r="M248" i="1"/>
  <c r="L248" i="1"/>
  <c r="K248" i="1"/>
  <c r="J248" i="1"/>
  <c r="I248" i="1"/>
  <c r="H248" i="1"/>
  <c r="G248" i="1"/>
  <c r="X240" i="1"/>
  <c r="W240" i="1"/>
  <c r="V240" i="1"/>
  <c r="U240" i="1"/>
  <c r="T240" i="1"/>
  <c r="S240" i="1"/>
  <c r="R240" i="1"/>
  <c r="Q240" i="1"/>
  <c r="P240" i="1"/>
  <c r="O240" i="1"/>
  <c r="N240" i="1"/>
  <c r="M240" i="1"/>
  <c r="L240" i="1"/>
  <c r="K240" i="1"/>
  <c r="J240" i="1"/>
  <c r="I240" i="1"/>
  <c r="H240" i="1"/>
  <c r="G240" i="1"/>
  <c r="V238" i="1"/>
  <c r="R238" i="1"/>
  <c r="N238" i="1"/>
  <c r="J238" i="1"/>
  <c r="F238" i="1"/>
  <c r="F236" i="1"/>
  <c r="AC195" i="1"/>
  <c r="C176" i="1"/>
  <c r="F176" i="1" s="1"/>
  <c r="E171" i="1"/>
  <c r="D171" i="1" s="1"/>
  <c r="E170" i="1"/>
  <c r="D170" i="1" s="1"/>
  <c r="E169" i="1"/>
  <c r="D169" i="1" s="1"/>
  <c r="E168" i="1"/>
  <c r="D168" i="1" s="1"/>
  <c r="E167" i="1"/>
  <c r="D167" i="1" s="1"/>
  <c r="R153" i="1"/>
  <c r="X152" i="1"/>
  <c r="Y152" i="1" s="1"/>
  <c r="X149" i="1"/>
  <c r="Y149" i="1" s="1"/>
  <c r="X148" i="1"/>
  <c r="Y148" i="1" s="1"/>
  <c r="X147" i="1"/>
  <c r="Y147" i="1" s="1"/>
  <c r="S134" i="1"/>
  <c r="AO31" i="1" s="1"/>
  <c r="S133" i="1"/>
  <c r="AO30" i="1" s="1"/>
  <c r="S132" i="1"/>
  <c r="AO29" i="1" s="1"/>
  <c r="S131" i="1"/>
  <c r="AO28" i="1" s="1"/>
  <c r="S130" i="1"/>
  <c r="AO27" i="1" s="1"/>
  <c r="S129" i="1"/>
  <c r="AO26" i="1" s="1"/>
  <c r="S128" i="1"/>
  <c r="AO25" i="1" s="1"/>
  <c r="S127" i="1"/>
  <c r="AO24" i="1" s="1"/>
  <c r="D266" i="1"/>
  <c r="F124" i="1"/>
  <c r="E124" i="1"/>
  <c r="C200" i="1"/>
  <c r="U200" i="1" s="1"/>
  <c r="G72" i="1"/>
  <c r="K64" i="1"/>
  <c r="K61" i="1"/>
  <c r="K60" i="1"/>
  <c r="K59" i="1"/>
  <c r="K58" i="1"/>
  <c r="E44" i="1"/>
  <c r="G44" i="1" s="1"/>
  <c r="H44" i="1" s="1"/>
  <c r="L43" i="1"/>
  <c r="E43" i="1"/>
  <c r="G43" i="1" s="1"/>
  <c r="H43" i="1" s="1"/>
  <c r="L42" i="1"/>
  <c r="E42" i="1"/>
  <c r="G42" i="1" s="1"/>
  <c r="H42" i="1" s="1"/>
  <c r="E41" i="1"/>
  <c r="E40" i="1"/>
  <c r="K96" i="2" l="1"/>
  <c r="E45" i="1"/>
  <c r="H19" i="1" s="1"/>
  <c r="J96" i="2"/>
  <c r="T155" i="2"/>
  <c r="C203" i="1"/>
  <c r="G40" i="1"/>
  <c r="F40" i="1"/>
  <c r="K99" i="2" s="1"/>
  <c r="J99" i="2" s="1"/>
  <c r="L45" i="1"/>
  <c r="D58" i="1" s="1"/>
  <c r="J58" i="1" s="1"/>
  <c r="C90" i="1"/>
  <c r="T153" i="2" s="1"/>
  <c r="D130" i="1"/>
  <c r="D129" i="1"/>
  <c r="D131" i="1"/>
  <c r="D134" i="1"/>
  <c r="AO13" i="1" s="1"/>
  <c r="AO49" i="1" s="1"/>
  <c r="D132" i="1"/>
  <c r="D133" i="1"/>
  <c r="AO12" i="1" s="1"/>
  <c r="AO48" i="1" s="1"/>
  <c r="D127" i="1"/>
  <c r="AO6" i="1" s="1"/>
  <c r="D128" i="1"/>
  <c r="AO7" i="1" s="1"/>
  <c r="C302" i="1"/>
  <c r="X151" i="1"/>
  <c r="V145" i="1"/>
  <c r="X145" i="1"/>
  <c r="Y145" i="1" s="1"/>
  <c r="X146" i="1"/>
  <c r="Y146" i="1" s="1"/>
  <c r="V151" i="1"/>
  <c r="V146" i="1"/>
  <c r="F44" i="1"/>
  <c r="I44" i="1" s="1"/>
  <c r="G236" i="1"/>
  <c r="F43" i="1"/>
  <c r="I43" i="1" s="1"/>
  <c r="E176" i="1"/>
  <c r="D176" i="1" s="1"/>
  <c r="V152" i="1"/>
  <c r="V147" i="1"/>
  <c r="V149" i="1"/>
  <c r="T146" i="2"/>
  <c r="J69" i="1"/>
  <c r="F41" i="1"/>
  <c r="G41" i="1"/>
  <c r="H41" i="1" s="1"/>
  <c r="V144" i="1"/>
  <c r="N126" i="1" s="1"/>
  <c r="V148" i="1"/>
  <c r="F42" i="1"/>
  <c r="I42" i="1" s="1"/>
  <c r="AF5" i="1" s="1"/>
  <c r="F190" i="1" l="1"/>
  <c r="K97" i="2"/>
  <c r="J97" i="2" s="1"/>
  <c r="H40" i="1"/>
  <c r="K98" i="2" s="1"/>
  <c r="J98" i="2" s="1"/>
  <c r="J95" i="2" s="1"/>
  <c r="AI4" i="1"/>
  <c r="AI26" i="1"/>
  <c r="AI30" i="1"/>
  <c r="AI28" i="1"/>
  <c r="AI29" i="1"/>
  <c r="AI22" i="1"/>
  <c r="AI31" i="1"/>
  <c r="AI23" i="1"/>
  <c r="AI24" i="1"/>
  <c r="AI25" i="1"/>
  <c r="AI27" i="1"/>
  <c r="V203" i="1"/>
  <c r="W203" i="1"/>
  <c r="X203" i="1"/>
  <c r="U203" i="1"/>
  <c r="K45" i="1"/>
  <c r="F55" i="1" s="1"/>
  <c r="D59" i="1"/>
  <c r="C202" i="1"/>
  <c r="U202" i="1" s="1"/>
  <c r="E202" i="1" s="1"/>
  <c r="D202" i="1" s="1"/>
  <c r="T154" i="2"/>
  <c r="C193" i="1"/>
  <c r="F193" i="1" s="1"/>
  <c r="T145" i="2"/>
  <c r="F261" i="1"/>
  <c r="D65" i="1"/>
  <c r="D67" i="1"/>
  <c r="D45" i="1"/>
  <c r="BJ36" i="1" s="1"/>
  <c r="E200" i="1"/>
  <c r="D200" i="1" s="1"/>
  <c r="D57" i="1"/>
  <c r="E125" i="1" s="1"/>
  <c r="C190" i="1"/>
  <c r="AO11" i="1"/>
  <c r="AO47" i="1" s="1"/>
  <c r="AO10" i="1"/>
  <c r="AO46" i="1" s="1"/>
  <c r="AO9" i="1"/>
  <c r="AO45" i="1" s="1"/>
  <c r="AO8" i="1"/>
  <c r="AO44" i="1" s="1"/>
  <c r="AI6" i="1"/>
  <c r="AI5" i="1"/>
  <c r="AI7" i="1"/>
  <c r="H236" i="1"/>
  <c r="AI13" i="1"/>
  <c r="AI12" i="1"/>
  <c r="AO42" i="1"/>
  <c r="C201" i="1"/>
  <c r="U201" i="1" s="1"/>
  <c r="D61" i="1"/>
  <c r="Y151" i="1"/>
  <c r="X143" i="1"/>
  <c r="X153" i="1" s="1"/>
  <c r="D60" i="1"/>
  <c r="D62" i="1"/>
  <c r="D63" i="1"/>
  <c r="D64" i="1"/>
  <c r="D66" i="1"/>
  <c r="F45" i="1"/>
  <c r="G45" i="1"/>
  <c r="I41" i="1"/>
  <c r="AF4" i="1" s="1"/>
  <c r="J70" i="1"/>
  <c r="AJ11" i="1" s="1"/>
  <c r="K70" i="1"/>
  <c r="K71" i="1"/>
  <c r="J71" i="1"/>
  <c r="V143" i="1"/>
  <c r="H343" i="1" a="1"/>
  <c r="C343" i="1" a="1"/>
  <c r="AO33" i="1" l="1"/>
  <c r="I40" i="1"/>
  <c r="AF11" i="1" s="1"/>
  <c r="K95" i="2"/>
  <c r="H45" i="1"/>
  <c r="C87" i="1"/>
  <c r="F60" i="1"/>
  <c r="T133" i="1"/>
  <c r="AI32" i="1"/>
  <c r="AG23" i="1"/>
  <c r="H343" i="1"/>
  <c r="K48" i="2" s="1"/>
  <c r="T150" i="2"/>
  <c r="AO15" i="1"/>
  <c r="F57" i="1"/>
  <c r="G55" i="1"/>
  <c r="I14" i="2" s="1"/>
  <c r="C179" i="1"/>
  <c r="F179" i="1" s="1"/>
  <c r="E179" i="1" s="1"/>
  <c r="K66" i="2"/>
  <c r="E133" i="1"/>
  <c r="H48" i="2"/>
  <c r="AI8" i="1"/>
  <c r="AI44" i="1" s="1"/>
  <c r="C343" i="1"/>
  <c r="D48" i="2" s="1"/>
  <c r="E190" i="1"/>
  <c r="D190" i="1" s="1"/>
  <c r="AI11" i="1"/>
  <c r="AI47" i="1" s="1"/>
  <c r="AI10" i="1"/>
  <c r="AI46" i="1" s="1"/>
  <c r="AI9" i="1"/>
  <c r="H55" i="1"/>
  <c r="I55" i="1"/>
  <c r="C85" i="1" s="1"/>
  <c r="T148" i="2" s="1"/>
  <c r="AI42" i="1"/>
  <c r="AI48" i="1"/>
  <c r="AO43" i="1"/>
  <c r="E201" i="1"/>
  <c r="D201" i="1" s="1"/>
  <c r="AI49" i="1"/>
  <c r="I236" i="1"/>
  <c r="AI43" i="1"/>
  <c r="AI41" i="1"/>
  <c r="E131" i="1"/>
  <c r="AI40" i="1"/>
  <c r="J13" i="2"/>
  <c r="K13" i="2" s="1"/>
  <c r="E130" i="1"/>
  <c r="F130" i="1" s="1"/>
  <c r="I130" i="1" s="1"/>
  <c r="T129" i="1"/>
  <c r="D72" i="1"/>
  <c r="E129" i="1"/>
  <c r="T125" i="1"/>
  <c r="T128" i="1"/>
  <c r="E128" i="1"/>
  <c r="T132" i="1"/>
  <c r="E132" i="1"/>
  <c r="F132" i="1" s="1"/>
  <c r="T131" i="1"/>
  <c r="T130" i="1"/>
  <c r="E134" i="1"/>
  <c r="T134" i="1"/>
  <c r="Y143" i="1"/>
  <c r="L73" i="1"/>
  <c r="AC151" i="1"/>
  <c r="AC146" i="1"/>
  <c r="E193" i="1"/>
  <c r="D193" i="1" s="1"/>
  <c r="C194" i="1"/>
  <c r="F191" i="1"/>
  <c r="E191" i="1" s="1"/>
  <c r="I45" i="1"/>
  <c r="C191" i="1"/>
  <c r="BX12" i="1" s="1"/>
  <c r="E203" i="1"/>
  <c r="D203" i="1" s="1"/>
  <c r="D179" i="1" l="1"/>
  <c r="BI14" i="1"/>
  <c r="H194" i="1"/>
  <c r="I194" i="1"/>
  <c r="J194" i="1"/>
  <c r="H57" i="1"/>
  <c r="E29" i="2" s="1"/>
  <c r="J114" i="2"/>
  <c r="F125" i="1"/>
  <c r="I125" i="1" s="1"/>
  <c r="J125" i="1" s="1"/>
  <c r="H135" i="1"/>
  <c r="AI14" i="1"/>
  <c r="D191" i="1"/>
  <c r="AI45" i="1"/>
  <c r="AI50" i="1" s="1"/>
  <c r="AI51" i="1" s="1"/>
  <c r="C105" i="1"/>
  <c r="BJ27" i="1"/>
  <c r="BI36" i="1"/>
  <c r="J236" i="1"/>
  <c r="W135" i="1"/>
  <c r="T135" i="1"/>
  <c r="U135" i="1" s="1"/>
  <c r="E135" i="1"/>
  <c r="F135" i="1" s="1"/>
  <c r="C14" i="1"/>
  <c r="AC143" i="1"/>
  <c r="AC147" i="1"/>
  <c r="AC149" i="1"/>
  <c r="AC148" i="1"/>
  <c r="AC152" i="1"/>
  <c r="AC145" i="1"/>
  <c r="AI15" i="1" l="1"/>
  <c r="AI33" i="1"/>
  <c r="K236" i="1"/>
  <c r="E194" i="1"/>
  <c r="D194" i="1" s="1"/>
  <c r="G343" i="1" l="1"/>
  <c r="E343" i="1" s="1"/>
  <c r="L236" i="1"/>
  <c r="D343" i="1" l="1"/>
  <c r="F343" i="1"/>
  <c r="AV30" i="1"/>
  <c r="AV29" i="1"/>
  <c r="AV26" i="1"/>
  <c r="AV25" i="1"/>
  <c r="AV27" i="1"/>
  <c r="AV24" i="1"/>
  <c r="AV28" i="1"/>
  <c r="AV23" i="1"/>
  <c r="AV31" i="1"/>
  <c r="M236" i="1"/>
  <c r="E199" i="1"/>
  <c r="AY27" i="1" l="1"/>
  <c r="BD27" i="1"/>
  <c r="BA27" i="1" s="1"/>
  <c r="AY25" i="1"/>
  <c r="BD25" i="1"/>
  <c r="BA25" i="1" s="1"/>
  <c r="AY26" i="1"/>
  <c r="BD26" i="1"/>
  <c r="BA26" i="1" s="1"/>
  <c r="BD31" i="1"/>
  <c r="BA31" i="1" s="1"/>
  <c r="AY31" i="1"/>
  <c r="BD23" i="1"/>
  <c r="BA23" i="1" s="1"/>
  <c r="AY23" i="1"/>
  <c r="AY29" i="1"/>
  <c r="BD29" i="1"/>
  <c r="BA29" i="1" s="1"/>
  <c r="AY30" i="1"/>
  <c r="BD30" i="1"/>
  <c r="BA30" i="1" s="1"/>
  <c r="BD28" i="1"/>
  <c r="BA28" i="1" s="1"/>
  <c r="AY28" i="1"/>
  <c r="AY24" i="1"/>
  <c r="BD24" i="1"/>
  <c r="BA24" i="1" s="1"/>
  <c r="AV32" i="1"/>
  <c r="AV33" i="1" s="1"/>
  <c r="AV22" i="1"/>
  <c r="N236" i="1"/>
  <c r="BD22" i="1" l="1"/>
  <c r="BA22" i="1" s="1"/>
  <c r="AZ32" i="1"/>
  <c r="AY22" i="1"/>
  <c r="O236" i="1"/>
  <c r="BD32" i="1" l="1"/>
  <c r="BD33" i="1" s="1"/>
  <c r="AZ33" i="1"/>
  <c r="AY32" i="1"/>
  <c r="AY33" i="1" s="1"/>
  <c r="P236" i="1"/>
  <c r="T86" i="2"/>
  <c r="I19" i="2" l="1"/>
  <c r="Q236" i="1"/>
  <c r="R236" i="1" l="1"/>
  <c r="S236" i="1" l="1"/>
  <c r="T236" i="1" l="1"/>
  <c r="U236" i="1" l="1"/>
  <c r="V236" i="1" l="1"/>
  <c r="W236" i="1" l="1"/>
  <c r="X236" i="1" l="1"/>
  <c r="Y236" i="1" l="1"/>
  <c r="Z236" i="1" l="1"/>
  <c r="AA236" i="1" l="1"/>
  <c r="J57" i="1"/>
  <c r="U125" i="1"/>
  <c r="AG4" i="1" l="1"/>
  <c r="AG22" i="1"/>
  <c r="AB236" i="1"/>
  <c r="X125" i="1"/>
  <c r="AC236" i="1" l="1"/>
  <c r="AG40" i="1"/>
  <c r="D143" i="1"/>
  <c r="Y125" i="1"/>
  <c r="F143" i="1" l="1"/>
  <c r="N125" i="1" s="1"/>
  <c r="AB125" i="1"/>
  <c r="AA125" i="1"/>
  <c r="Z125" i="1"/>
  <c r="H143" i="1" l="1"/>
  <c r="I143" i="1" s="1"/>
  <c r="AT4" i="1" s="1"/>
  <c r="AC125" i="1"/>
  <c r="AX22" i="1" s="1"/>
  <c r="BB22" i="1" l="1"/>
  <c r="BI33" i="1"/>
  <c r="AT40" i="1"/>
  <c r="M143" i="1"/>
  <c r="O125" i="1" s="1"/>
  <c r="U128" i="1"/>
  <c r="X128" i="1" s="1"/>
  <c r="Y128" i="1" s="1"/>
  <c r="C198" i="1"/>
  <c r="F66" i="1"/>
  <c r="U127" i="1"/>
  <c r="X127" i="1" s="1"/>
  <c r="Y127" i="1" s="1"/>
  <c r="U132" i="1"/>
  <c r="X132" i="1" s="1"/>
  <c r="Y132" i="1" s="1"/>
  <c r="U129" i="1"/>
  <c r="X129" i="1" s="1"/>
  <c r="Y129" i="1" s="1"/>
  <c r="AG5" i="1"/>
  <c r="U130" i="1"/>
  <c r="X130" i="1" s="1"/>
  <c r="Y130" i="1" s="1"/>
  <c r="F62" i="1"/>
  <c r="J59" i="1"/>
  <c r="U133" i="1"/>
  <c r="X133" i="1" s="1"/>
  <c r="Y133" i="1" s="1"/>
  <c r="U131" i="1"/>
  <c r="X131" i="1" s="1"/>
  <c r="Y131" i="1" s="1"/>
  <c r="U134" i="1"/>
  <c r="X134" i="1" s="1"/>
  <c r="Y134" i="1" s="1"/>
  <c r="J66" i="1"/>
  <c r="AG31" i="1" s="1"/>
  <c r="J62" i="1"/>
  <c r="J67" i="1"/>
  <c r="F63" i="1"/>
  <c r="F64" i="1"/>
  <c r="H60" i="1"/>
  <c r="J60" i="1"/>
  <c r="J61" i="1"/>
  <c r="J63" i="1"/>
  <c r="H59" i="1"/>
  <c r="D145" i="1" s="1"/>
  <c r="J65" i="1"/>
  <c r="AG30" i="1" s="1"/>
  <c r="F65" i="1"/>
  <c r="F61" i="1"/>
  <c r="C196" i="1"/>
  <c r="J196" i="1" s="1"/>
  <c r="J64" i="1"/>
  <c r="AL27" i="1" l="1"/>
  <c r="AG11" i="1"/>
  <c r="AG29" i="1"/>
  <c r="AL26" i="1"/>
  <c r="AG9" i="1"/>
  <c r="AG27" i="1"/>
  <c r="AG6" i="1"/>
  <c r="AG24" i="1"/>
  <c r="H65" i="1"/>
  <c r="AL30" i="1"/>
  <c r="H66" i="1"/>
  <c r="AL31" i="1"/>
  <c r="AG10" i="1"/>
  <c r="AG28" i="1"/>
  <c r="W198" i="1"/>
  <c r="V198" i="1"/>
  <c r="AG8" i="1"/>
  <c r="AG26" i="1"/>
  <c r="AG7" i="1"/>
  <c r="AG25" i="1"/>
  <c r="AL29" i="1"/>
  <c r="AL28" i="1"/>
  <c r="AL23" i="1"/>
  <c r="AL22" i="1"/>
  <c r="AL25" i="1"/>
  <c r="AL24" i="1"/>
  <c r="H63" i="1"/>
  <c r="H62" i="1"/>
  <c r="H64" i="1"/>
  <c r="H61" i="1"/>
  <c r="F72" i="1"/>
  <c r="J55" i="1" s="1"/>
  <c r="AF6" i="1" s="1"/>
  <c r="X261" i="1"/>
  <c r="Y261" i="1"/>
  <c r="V261" i="1"/>
  <c r="AA261" i="1"/>
  <c r="U261" i="1"/>
  <c r="AB261" i="1"/>
  <c r="T261" i="1"/>
  <c r="AC261" i="1"/>
  <c r="G261" i="1"/>
  <c r="H261" i="1"/>
  <c r="I261" i="1"/>
  <c r="J261" i="1"/>
  <c r="K261" i="1"/>
  <c r="M261" i="1"/>
  <c r="S261" i="1"/>
  <c r="Z261" i="1"/>
  <c r="L261" i="1"/>
  <c r="N261" i="1"/>
  <c r="O261" i="1"/>
  <c r="P261" i="1"/>
  <c r="Q261" i="1"/>
  <c r="R261" i="1"/>
  <c r="W261" i="1"/>
  <c r="AL5" i="1"/>
  <c r="AL4" i="1"/>
  <c r="AL8" i="1"/>
  <c r="AL6" i="1"/>
  <c r="AL7" i="1"/>
  <c r="AL11" i="1"/>
  <c r="AL9" i="1"/>
  <c r="AL10" i="1"/>
  <c r="AL13" i="1"/>
  <c r="AL12" i="1"/>
  <c r="AG13" i="1"/>
  <c r="AG12" i="1"/>
  <c r="Z126" i="1"/>
  <c r="X135" i="1" a="1"/>
  <c r="X135" i="1" s="1"/>
  <c r="I132" i="1"/>
  <c r="J132" i="1" s="1"/>
  <c r="F129" i="1"/>
  <c r="I129" i="1" s="1"/>
  <c r="J129" i="1" s="1"/>
  <c r="J130" i="1"/>
  <c r="AA128" i="1"/>
  <c r="Z133" i="1"/>
  <c r="AA133" i="1"/>
  <c r="Z132" i="1"/>
  <c r="AA132" i="1"/>
  <c r="Z129" i="1"/>
  <c r="AA129" i="1"/>
  <c r="Z134" i="1"/>
  <c r="AA134" i="1"/>
  <c r="Z130" i="1"/>
  <c r="AA130" i="1"/>
  <c r="Z127" i="1"/>
  <c r="AA127" i="1"/>
  <c r="Z131" i="1"/>
  <c r="AA131" i="1"/>
  <c r="Z128" i="1"/>
  <c r="F134" i="1"/>
  <c r="I134" i="1" s="1"/>
  <c r="J134" i="1" s="1"/>
  <c r="F133" i="1"/>
  <c r="I133" i="1" s="1"/>
  <c r="J133" i="1" s="1"/>
  <c r="K63" i="1"/>
  <c r="F131" i="1"/>
  <c r="I131" i="1" s="1"/>
  <c r="J131" i="1" s="1"/>
  <c r="K65" i="1"/>
  <c r="AB127" i="1"/>
  <c r="AB134" i="1"/>
  <c r="F127" i="1"/>
  <c r="I127" i="1" s="1"/>
  <c r="J127" i="1" s="1"/>
  <c r="F128" i="1"/>
  <c r="I128" i="1" s="1"/>
  <c r="J128" i="1" s="1"/>
  <c r="AB131" i="1"/>
  <c r="AB132" i="1"/>
  <c r="J72" i="1"/>
  <c r="K62" i="1"/>
  <c r="AB129" i="1"/>
  <c r="AB133" i="1"/>
  <c r="AB130" i="1"/>
  <c r="AB128" i="1"/>
  <c r="C344" i="1" a="1"/>
  <c r="H344" i="1" a="1"/>
  <c r="I50" i="2" l="1"/>
  <c r="AF23" i="1"/>
  <c r="AF24" i="1"/>
  <c r="AF22" i="1"/>
  <c r="AF25" i="1"/>
  <c r="AF30" i="1"/>
  <c r="AF28" i="1"/>
  <c r="AL32" i="1"/>
  <c r="AF31" i="1"/>
  <c r="AG32" i="1"/>
  <c r="AF26" i="1"/>
  <c r="AF29" i="1"/>
  <c r="AF27" i="1"/>
  <c r="H344" i="1"/>
  <c r="K50" i="2" s="1"/>
  <c r="H50" i="2"/>
  <c r="C106" i="1"/>
  <c r="C100" i="1" s="1"/>
  <c r="BI15" i="1"/>
  <c r="H72" i="1"/>
  <c r="AX4" i="1"/>
  <c r="AX40" i="1" s="1"/>
  <c r="C344" i="1"/>
  <c r="D50" i="2" s="1"/>
  <c r="AL48" i="1"/>
  <c r="BW4" i="1"/>
  <c r="AL42" i="1"/>
  <c r="AL44" i="1"/>
  <c r="AL49" i="1"/>
  <c r="AL47" i="1"/>
  <c r="C88" i="1"/>
  <c r="T151" i="2" s="1"/>
  <c r="BI40" i="1"/>
  <c r="AG45" i="1"/>
  <c r="AL46" i="1"/>
  <c r="AL41" i="1"/>
  <c r="AL43" i="1"/>
  <c r="AL45" i="1"/>
  <c r="AG42" i="1"/>
  <c r="AG46" i="1"/>
  <c r="AG41" i="1"/>
  <c r="AG14" i="1"/>
  <c r="AG43" i="1"/>
  <c r="AG44" i="1"/>
  <c r="AG48" i="1"/>
  <c r="AG47" i="1"/>
  <c r="AG49" i="1"/>
  <c r="AL14" i="1"/>
  <c r="AL40" i="1"/>
  <c r="F145" i="1"/>
  <c r="N127" i="1" s="1"/>
  <c r="AA126" i="1"/>
  <c r="AA135" i="1" s="1"/>
  <c r="E38" i="2"/>
  <c r="D148" i="1"/>
  <c r="AB126" i="1"/>
  <c r="AB135" i="1" s="1"/>
  <c r="D149" i="1"/>
  <c r="F149" i="1" s="1"/>
  <c r="N131" i="1" s="1"/>
  <c r="I72" i="1"/>
  <c r="Z135" i="1"/>
  <c r="Y135" i="1"/>
  <c r="C96" i="1" s="1"/>
  <c r="T159" i="2" s="1"/>
  <c r="D147" i="1"/>
  <c r="F147" i="1" s="1"/>
  <c r="C15" i="1"/>
  <c r="K102" i="2" s="1"/>
  <c r="E33" i="2"/>
  <c r="AC134" i="1"/>
  <c r="AX31" i="1" s="1"/>
  <c r="BB31" i="1" s="1"/>
  <c r="AC128" i="1"/>
  <c r="AX25" i="1" s="1"/>
  <c r="BB25" i="1" s="1"/>
  <c r="L72" i="1"/>
  <c r="AK27" i="1" s="1"/>
  <c r="AC131" i="1"/>
  <c r="AX28" i="1" s="1"/>
  <c r="BB28" i="1" s="1"/>
  <c r="AC132" i="1"/>
  <c r="AX29" i="1" s="1"/>
  <c r="BB29" i="1" s="1"/>
  <c r="AC130" i="1"/>
  <c r="AX27" i="1" s="1"/>
  <c r="BB27" i="1" s="1"/>
  <c r="AC127" i="1"/>
  <c r="AX24" i="1" s="1"/>
  <c r="BB24" i="1" s="1"/>
  <c r="E196" i="1"/>
  <c r="D196" i="1" s="1"/>
  <c r="AC133" i="1"/>
  <c r="AX30" i="1" s="1"/>
  <c r="BB30" i="1" s="1"/>
  <c r="AC129" i="1"/>
  <c r="AX26" i="1" s="1"/>
  <c r="BB26" i="1" s="1"/>
  <c r="E34" i="2"/>
  <c r="E35" i="2"/>
  <c r="D152" i="1"/>
  <c r="E31" i="2"/>
  <c r="E37" i="2"/>
  <c r="D151" i="1"/>
  <c r="F151" i="1" s="1"/>
  <c r="N133" i="1" s="1"/>
  <c r="C192" i="1"/>
  <c r="E36" i="2"/>
  <c r="D150" i="1"/>
  <c r="F150" i="1" s="1"/>
  <c r="D146" i="1"/>
  <c r="F146" i="1" s="1"/>
  <c r="N128" i="1" s="1"/>
  <c r="E32" i="2"/>
  <c r="I135" i="1" a="1"/>
  <c r="I135" i="1" s="1"/>
  <c r="E198" i="1"/>
  <c r="D198" i="1" s="1"/>
  <c r="AL33" i="1" l="1"/>
  <c r="AJ30" i="1"/>
  <c r="AK30" i="1"/>
  <c r="AJ28" i="1"/>
  <c r="AK28" i="1"/>
  <c r="AG33" i="1"/>
  <c r="AG15" i="1"/>
  <c r="AK10" i="1"/>
  <c r="AJ31" i="1"/>
  <c r="AK31" i="1"/>
  <c r="AJ22" i="1"/>
  <c r="AK22" i="1"/>
  <c r="AJ23" i="1"/>
  <c r="AJ29" i="1"/>
  <c r="AK29" i="1"/>
  <c r="AK25" i="1"/>
  <c r="AK24" i="1"/>
  <c r="AJ26" i="1"/>
  <c r="AK23" i="1"/>
  <c r="AJ24" i="1"/>
  <c r="AJ25" i="1"/>
  <c r="AK26" i="1"/>
  <c r="AJ27" i="1"/>
  <c r="AF32" i="1"/>
  <c r="C93" i="1"/>
  <c r="T156" i="2" s="1"/>
  <c r="C86" i="1"/>
  <c r="T149" i="2" s="1"/>
  <c r="C84" i="1"/>
  <c r="T147" i="2" s="1"/>
  <c r="J102" i="2"/>
  <c r="AL15" i="1"/>
  <c r="BZ13" i="1"/>
  <c r="CA13" i="1" s="1"/>
  <c r="F152" i="1"/>
  <c r="H152" i="1" s="1"/>
  <c r="G153" i="1" a="1"/>
  <c r="G153" i="1" s="1"/>
  <c r="AC126" i="1"/>
  <c r="AX23" i="1" s="1"/>
  <c r="I15" i="2"/>
  <c r="G344" i="1"/>
  <c r="E344" i="1" s="1"/>
  <c r="C97" i="1"/>
  <c r="AL50" i="1"/>
  <c r="AL51" i="1" s="1"/>
  <c r="AK9" i="1"/>
  <c r="AJ9" i="1"/>
  <c r="AJ10" i="1"/>
  <c r="AF8" i="1"/>
  <c r="AF9" i="1"/>
  <c r="AF7" i="1"/>
  <c r="AF10" i="1"/>
  <c r="AJ7" i="1"/>
  <c r="AK7" i="1"/>
  <c r="AK5" i="1"/>
  <c r="AJ5" i="1"/>
  <c r="AJ6" i="1"/>
  <c r="AK6" i="1"/>
  <c r="AJ8" i="1"/>
  <c r="AK8" i="1"/>
  <c r="F192" i="1"/>
  <c r="H192" i="1"/>
  <c r="AK12" i="1"/>
  <c r="AJ12" i="1"/>
  <c r="AJ13" i="1"/>
  <c r="AK13" i="1"/>
  <c r="AF12" i="1"/>
  <c r="AF13" i="1"/>
  <c r="AG50" i="1"/>
  <c r="AG51" i="1" s="1"/>
  <c r="F148" i="1"/>
  <c r="C207" i="1"/>
  <c r="C303" i="1"/>
  <c r="G274" i="1" s="1"/>
  <c r="C199" i="1"/>
  <c r="BI8" i="1" s="1"/>
  <c r="H150" i="1"/>
  <c r="H147" i="1"/>
  <c r="N129" i="1"/>
  <c r="L74" i="1"/>
  <c r="H149" i="1"/>
  <c r="H151" i="1"/>
  <c r="H146" i="1"/>
  <c r="H145" i="1"/>
  <c r="AA192" i="1"/>
  <c r="Q192" i="1"/>
  <c r="J192" i="1"/>
  <c r="O192" i="1"/>
  <c r="AC192" i="1"/>
  <c r="U192" i="1"/>
  <c r="N192" i="1"/>
  <c r="X192" i="1"/>
  <c r="M192" i="1"/>
  <c r="W192" i="1"/>
  <c r="L192" i="1"/>
  <c r="V192" i="1"/>
  <c r="G192" i="1"/>
  <c r="S192" i="1"/>
  <c r="Z192" i="1"/>
  <c r="K192" i="1"/>
  <c r="P192" i="1"/>
  <c r="Y192" i="1"/>
  <c r="I192" i="1"/>
  <c r="T192" i="1"/>
  <c r="R192" i="1"/>
  <c r="AB192" i="1"/>
  <c r="C342" i="1" a="1"/>
  <c r="H342" i="1" a="1"/>
  <c r="D344" i="1" l="1"/>
  <c r="F344" i="1"/>
  <c r="AN32" i="1"/>
  <c r="AK32" i="1"/>
  <c r="G46" i="2"/>
  <c r="BB23" i="1"/>
  <c r="AX32" i="1"/>
  <c r="AJ32" i="1"/>
  <c r="AM32" i="1" s="1"/>
  <c r="AM33" i="1" s="1"/>
  <c r="H342" i="1"/>
  <c r="K46" i="2" s="1"/>
  <c r="AK14" i="1"/>
  <c r="C212" i="1"/>
  <c r="K104" i="2"/>
  <c r="J104" i="2" s="1"/>
  <c r="N134" i="1"/>
  <c r="G284" i="1"/>
  <c r="G282" i="1"/>
  <c r="AJ43" i="1"/>
  <c r="T160" i="2"/>
  <c r="F46" i="2"/>
  <c r="E46" i="2"/>
  <c r="H46" i="2"/>
  <c r="J46" i="2"/>
  <c r="I46" i="2"/>
  <c r="C342" i="1"/>
  <c r="D46" i="2" s="1"/>
  <c r="C299" i="1"/>
  <c r="C308" i="1" s="1"/>
  <c r="T274" i="1"/>
  <c r="AK43" i="1"/>
  <c r="F178" i="1"/>
  <c r="AJ48" i="1"/>
  <c r="J212" i="1"/>
  <c r="AK44" i="1"/>
  <c r="AN14" i="1"/>
  <c r="AN4" i="1" s="1"/>
  <c r="AK41" i="1"/>
  <c r="AK45" i="1"/>
  <c r="AK42" i="1"/>
  <c r="AJ42" i="1"/>
  <c r="AK49" i="1"/>
  <c r="H178" i="1"/>
  <c r="D199" i="1"/>
  <c r="F268" i="1"/>
  <c r="F270" i="1" s="1"/>
  <c r="F272" i="1" s="1"/>
  <c r="AK48" i="1"/>
  <c r="AJ49" i="1"/>
  <c r="AK46" i="1"/>
  <c r="AJ44" i="1"/>
  <c r="AJ41" i="1"/>
  <c r="AJ45" i="1"/>
  <c r="AK47" i="1"/>
  <c r="AJ46" i="1"/>
  <c r="AJ47" i="1"/>
  <c r="BJ28" i="1"/>
  <c r="X178" i="1"/>
  <c r="U178" i="1"/>
  <c r="Y178" i="1"/>
  <c r="AB178" i="1"/>
  <c r="O178" i="1"/>
  <c r="Z178" i="1"/>
  <c r="AA178" i="1"/>
  <c r="G178" i="1"/>
  <c r="R178" i="1"/>
  <c r="N178" i="1"/>
  <c r="T178" i="1"/>
  <c r="S178" i="1"/>
  <c r="L178" i="1"/>
  <c r="K178" i="1"/>
  <c r="W178" i="1"/>
  <c r="I178" i="1"/>
  <c r="Q178" i="1"/>
  <c r="J178" i="1"/>
  <c r="P178" i="1"/>
  <c r="V178" i="1"/>
  <c r="M178" i="1"/>
  <c r="AF47" i="1"/>
  <c r="AF41" i="1"/>
  <c r="AJ14" i="1"/>
  <c r="AJ40" i="1"/>
  <c r="AF49" i="1"/>
  <c r="AF48" i="1"/>
  <c r="AF44" i="1"/>
  <c r="AF42" i="1"/>
  <c r="AK40" i="1"/>
  <c r="AF45" i="1"/>
  <c r="AF43" i="1"/>
  <c r="AF46" i="1"/>
  <c r="AF14" i="1"/>
  <c r="AF33" i="1" s="1"/>
  <c r="AF40" i="1"/>
  <c r="I150" i="1"/>
  <c r="AT11" i="1" s="1"/>
  <c r="H148" i="1"/>
  <c r="N130" i="1"/>
  <c r="AC135" i="1"/>
  <c r="C180" i="1" s="1"/>
  <c r="S274" i="1"/>
  <c r="S278" i="1" s="1"/>
  <c r="M274" i="1"/>
  <c r="AB274" i="1"/>
  <c r="AB278" i="1" s="1"/>
  <c r="AA274" i="1"/>
  <c r="AA284" i="1" s="1"/>
  <c r="Y274" i="1"/>
  <c r="Y284" i="1" s="1"/>
  <c r="W274" i="1"/>
  <c r="W284" i="1" s="1"/>
  <c r="Q274" i="1"/>
  <c r="Q278" i="1" s="1"/>
  <c r="K274" i="1"/>
  <c r="K280" i="1" s="1"/>
  <c r="U274" i="1"/>
  <c r="U282" i="1" s="1"/>
  <c r="N274" i="1"/>
  <c r="N276" i="1" s="1"/>
  <c r="I274" i="1"/>
  <c r="I282" i="1" s="1"/>
  <c r="L274" i="1"/>
  <c r="L282" i="1" s="1"/>
  <c r="AC274" i="1"/>
  <c r="AC282" i="1" s="1"/>
  <c r="Z274" i="1"/>
  <c r="Z276" i="1" s="1"/>
  <c r="X274" i="1"/>
  <c r="X278" i="1" s="1"/>
  <c r="O274" i="1"/>
  <c r="O278" i="1" s="1"/>
  <c r="P274" i="1"/>
  <c r="P284" i="1" s="1"/>
  <c r="F274" i="1"/>
  <c r="V274" i="1"/>
  <c r="V276" i="1" s="1"/>
  <c r="R274" i="1"/>
  <c r="R284" i="1" s="1"/>
  <c r="J274" i="1"/>
  <c r="J276" i="1" s="1"/>
  <c r="F153" i="1" a="1"/>
  <c r="F153" i="1" s="1"/>
  <c r="H274" i="1"/>
  <c r="H278" i="1" s="1"/>
  <c r="I152" i="1"/>
  <c r="I147" i="1"/>
  <c r="AC268" i="1"/>
  <c r="AC270" i="1" s="1"/>
  <c r="AC178" i="1"/>
  <c r="G212" i="1"/>
  <c r="AA268" i="1"/>
  <c r="AA270" i="1" s="1"/>
  <c r="AB268" i="1"/>
  <c r="AB270" i="1" s="1"/>
  <c r="F212" i="1"/>
  <c r="I144" i="1"/>
  <c r="I151" i="1"/>
  <c r="AT12" i="1" s="1"/>
  <c r="AT48" i="1" s="1"/>
  <c r="I146" i="1"/>
  <c r="I145" i="1"/>
  <c r="I149" i="1"/>
  <c r="Z268" i="1"/>
  <c r="Z270" i="1" s="1"/>
  <c r="Y268" i="1"/>
  <c r="Y270" i="1" s="1"/>
  <c r="C195" i="1"/>
  <c r="N195" i="1" s="1"/>
  <c r="O212" i="1"/>
  <c r="O268" i="1"/>
  <c r="O270" i="1" s="1"/>
  <c r="K212" i="1"/>
  <c r="K268" i="1"/>
  <c r="K270" i="1" s="1"/>
  <c r="C204" i="1"/>
  <c r="U268" i="1"/>
  <c r="U270" i="1" s="1"/>
  <c r="U212" i="1"/>
  <c r="Q212" i="1"/>
  <c r="Q268" i="1"/>
  <c r="Q270" i="1" s="1"/>
  <c r="AC212" i="1"/>
  <c r="AC208" i="1"/>
  <c r="J268" i="1"/>
  <c r="J270" i="1" s="1"/>
  <c r="T268" i="1"/>
  <c r="T270" i="1" s="1"/>
  <c r="T212" i="1"/>
  <c r="Y212" i="1"/>
  <c r="Y208" i="1"/>
  <c r="P212" i="1"/>
  <c r="P268" i="1"/>
  <c r="P270" i="1" s="1"/>
  <c r="Z212" i="1"/>
  <c r="Z208" i="1"/>
  <c r="S268" i="1"/>
  <c r="S270" i="1" s="1"/>
  <c r="S212" i="1"/>
  <c r="G268" i="1"/>
  <c r="G270" i="1" s="1"/>
  <c r="V268" i="1"/>
  <c r="V270" i="1" s="1"/>
  <c r="V212" i="1"/>
  <c r="V208" i="1"/>
  <c r="L212" i="1"/>
  <c r="L268" i="1"/>
  <c r="L270" i="1" s="1"/>
  <c r="W208" i="1"/>
  <c r="W212" i="1"/>
  <c r="W268" i="1"/>
  <c r="W270" i="1" s="1"/>
  <c r="C208" i="1"/>
  <c r="M268" i="1"/>
  <c r="M270" i="1" s="1"/>
  <c r="M212" i="1"/>
  <c r="C197" i="1"/>
  <c r="X208" i="1"/>
  <c r="X212" i="1"/>
  <c r="X268" i="1"/>
  <c r="X270" i="1" s="1"/>
  <c r="AB212" i="1"/>
  <c r="AB208" i="1"/>
  <c r="R212" i="1"/>
  <c r="R268" i="1"/>
  <c r="R270" i="1" s="1"/>
  <c r="H268" i="1"/>
  <c r="H270" i="1" s="1"/>
  <c r="H212" i="1"/>
  <c r="I268" i="1"/>
  <c r="I270" i="1" s="1"/>
  <c r="I212" i="1"/>
  <c r="AA208" i="1"/>
  <c r="AA212" i="1"/>
  <c r="E192" i="1"/>
  <c r="N268" i="1"/>
  <c r="N270" i="1" s="1"/>
  <c r="N212" i="1"/>
  <c r="Q195" i="1" l="1"/>
  <c r="L195" i="1"/>
  <c r="S195" i="1"/>
  <c r="K195" i="1"/>
  <c r="G195" i="1"/>
  <c r="J195" i="1"/>
  <c r="T195" i="1"/>
  <c r="O195" i="1"/>
  <c r="R195" i="1"/>
  <c r="X195" i="1"/>
  <c r="Z195" i="1"/>
  <c r="W195" i="1"/>
  <c r="Y195" i="1"/>
  <c r="V195" i="1"/>
  <c r="AB195" i="1"/>
  <c r="N208" i="1"/>
  <c r="O208" i="1"/>
  <c r="P208" i="1"/>
  <c r="Q208" i="1"/>
  <c r="R208" i="1"/>
  <c r="M208" i="1"/>
  <c r="S208" i="1"/>
  <c r="G208" i="1"/>
  <c r="T208" i="1"/>
  <c r="U208" i="1"/>
  <c r="F208" i="1"/>
  <c r="H208" i="1"/>
  <c r="J208" i="1"/>
  <c r="K208" i="1"/>
  <c r="I208" i="1"/>
  <c r="L208" i="1"/>
  <c r="H195" i="1"/>
  <c r="AA195" i="1"/>
  <c r="M195" i="1"/>
  <c r="I195" i="1"/>
  <c r="F195" i="1"/>
  <c r="U195" i="1"/>
  <c r="P195" i="1"/>
  <c r="H18" i="1"/>
  <c r="H197" i="1"/>
  <c r="I197" i="1"/>
  <c r="J197" i="1"/>
  <c r="K197" i="1"/>
  <c r="F197" i="1"/>
  <c r="G197" i="1"/>
  <c r="M204" i="1"/>
  <c r="N204" i="1"/>
  <c r="S204" i="1"/>
  <c r="L204" i="1"/>
  <c r="O204" i="1"/>
  <c r="P204" i="1"/>
  <c r="Q204" i="1"/>
  <c r="R204" i="1"/>
  <c r="T204" i="1"/>
  <c r="K204" i="1"/>
  <c r="AJ33" i="1"/>
  <c r="AK33" i="1"/>
  <c r="AX33" i="1"/>
  <c r="BB32" i="1"/>
  <c r="BB33" i="1" s="1"/>
  <c r="AN33" i="1"/>
  <c r="AN30" i="1"/>
  <c r="AN27" i="1"/>
  <c r="AN24" i="1"/>
  <c r="AN26" i="1"/>
  <c r="AN28" i="1"/>
  <c r="AN29" i="1"/>
  <c r="AN22" i="1"/>
  <c r="AN25" i="1"/>
  <c r="AN23" i="1"/>
  <c r="AN31" i="1"/>
  <c r="AK15" i="1"/>
  <c r="AJ15" i="1"/>
  <c r="AF15" i="1"/>
  <c r="AT5" i="1"/>
  <c r="AT41" i="1" s="1"/>
  <c r="M144" i="1"/>
  <c r="C305" i="1"/>
  <c r="C307" i="1"/>
  <c r="C306" i="1"/>
  <c r="C304" i="1"/>
  <c r="T278" i="1"/>
  <c r="T280" i="1"/>
  <c r="T284" i="1"/>
  <c r="T276" i="1"/>
  <c r="T282" i="1"/>
  <c r="AM14" i="1"/>
  <c r="AM4" i="1" s="1"/>
  <c r="J25" i="1"/>
  <c r="E212" i="1"/>
  <c r="D212" i="1" s="1"/>
  <c r="AN6" i="1"/>
  <c r="AN11" i="1"/>
  <c r="AN9" i="1"/>
  <c r="AN5" i="1"/>
  <c r="AN10" i="1"/>
  <c r="AN7" i="1"/>
  <c r="AN8" i="1"/>
  <c r="AT7" i="1"/>
  <c r="AT43" i="1" s="1"/>
  <c r="AT6" i="1"/>
  <c r="AT10" i="1"/>
  <c r="AT8" i="1"/>
  <c r="AT44" i="1" s="1"/>
  <c r="AK50" i="1"/>
  <c r="AK51" i="1" s="1"/>
  <c r="AJ50" i="1"/>
  <c r="AJ51" i="1" s="1"/>
  <c r="AF50" i="1"/>
  <c r="AF51" i="1" s="1"/>
  <c r="F284" i="1"/>
  <c r="AN12" i="1"/>
  <c r="AN13" i="1"/>
  <c r="M152" i="1"/>
  <c r="O134" i="1" s="1"/>
  <c r="AX13" i="1" s="1"/>
  <c r="AT13" i="1"/>
  <c r="AT49" i="1" s="1"/>
  <c r="H153" i="1"/>
  <c r="C181" i="1" s="1"/>
  <c r="M150" i="1"/>
  <c r="AT47" i="1"/>
  <c r="M284" i="1"/>
  <c r="I148" i="1"/>
  <c r="AT9" i="1" s="1"/>
  <c r="M278" i="1"/>
  <c r="M280" i="1"/>
  <c r="M276" i="1"/>
  <c r="W278" i="1"/>
  <c r="AC278" i="1"/>
  <c r="S280" i="1"/>
  <c r="S276" i="1"/>
  <c r="S284" i="1"/>
  <c r="S282" i="1"/>
  <c r="Q276" i="1"/>
  <c r="AA282" i="1"/>
  <c r="AC276" i="1"/>
  <c r="P282" i="1"/>
  <c r="Y278" i="1"/>
  <c r="AA276" i="1"/>
  <c r="M282" i="1"/>
  <c r="W276" i="1"/>
  <c r="AA280" i="1"/>
  <c r="AB276" i="1"/>
  <c r="AA278" i="1"/>
  <c r="W282" i="1"/>
  <c r="AB282" i="1"/>
  <c r="Y276" i="1"/>
  <c r="W280" i="1"/>
  <c r="N284" i="1"/>
  <c r="Q284" i="1"/>
  <c r="Y280" i="1"/>
  <c r="AC284" i="1"/>
  <c r="AC280" i="1"/>
  <c r="Z284" i="1"/>
  <c r="Q282" i="1"/>
  <c r="AB284" i="1"/>
  <c r="Y282" i="1"/>
  <c r="Z280" i="1"/>
  <c r="AB280" i="1"/>
  <c r="Z282" i="1"/>
  <c r="L284" i="1"/>
  <c r="N280" i="1"/>
  <c r="N278" i="1"/>
  <c r="K276" i="1"/>
  <c r="L280" i="1"/>
  <c r="L278" i="1"/>
  <c r="Q280" i="1"/>
  <c r="I280" i="1"/>
  <c r="N282" i="1"/>
  <c r="I278" i="1"/>
  <c r="I276" i="1"/>
  <c r="P280" i="1"/>
  <c r="U276" i="1"/>
  <c r="K282" i="1"/>
  <c r="O284" i="1"/>
  <c r="L276" i="1"/>
  <c r="X284" i="1"/>
  <c r="U278" i="1"/>
  <c r="I284" i="1"/>
  <c r="X282" i="1"/>
  <c r="U280" i="1"/>
  <c r="Z278" i="1"/>
  <c r="U284" i="1"/>
  <c r="P278" i="1"/>
  <c r="X276" i="1"/>
  <c r="K278" i="1"/>
  <c r="K284" i="1"/>
  <c r="G276" i="1"/>
  <c r="P276" i="1"/>
  <c r="G280" i="1"/>
  <c r="G278" i="1"/>
  <c r="R278" i="1"/>
  <c r="R280" i="1"/>
  <c r="R282" i="1"/>
  <c r="V278" i="1"/>
  <c r="F280" i="1"/>
  <c r="O276" i="1"/>
  <c r="R276" i="1"/>
  <c r="F278" i="1"/>
  <c r="O282" i="1"/>
  <c r="O280" i="1"/>
  <c r="V284" i="1"/>
  <c r="F276" i="1"/>
  <c r="V280" i="1"/>
  <c r="V282" i="1"/>
  <c r="X280" i="1"/>
  <c r="F282" i="1"/>
  <c r="H284" i="1"/>
  <c r="H282" i="1"/>
  <c r="J284" i="1"/>
  <c r="J282" i="1"/>
  <c r="H280" i="1"/>
  <c r="E274" i="1"/>
  <c r="J280" i="1"/>
  <c r="H276" i="1"/>
  <c r="J278" i="1"/>
  <c r="D192" i="1"/>
  <c r="M147" i="1"/>
  <c r="M151" i="1"/>
  <c r="G272" i="1"/>
  <c r="M145" i="1"/>
  <c r="M146" i="1"/>
  <c r="M149" i="1"/>
  <c r="O131" i="1" s="1"/>
  <c r="AX10" i="1" s="1"/>
  <c r="E268" i="1"/>
  <c r="D268" i="1" s="1"/>
  <c r="E178" i="1"/>
  <c r="E270" i="1"/>
  <c r="D270" i="1" s="1"/>
  <c r="H340" i="1" a="1"/>
  <c r="C178" i="1" l="1"/>
  <c r="E208" i="1"/>
  <c r="D208" i="1" s="1"/>
  <c r="E195" i="1"/>
  <c r="BX10" i="1"/>
  <c r="BZ11" i="1"/>
  <c r="CA11" i="1" s="1"/>
  <c r="H340" i="1"/>
  <c r="G340" i="1" s="1"/>
  <c r="D42" i="2"/>
  <c r="AP22" i="1"/>
  <c r="AP23" i="1"/>
  <c r="AP29" i="1"/>
  <c r="AP28" i="1"/>
  <c r="AP24" i="1"/>
  <c r="AP31" i="1"/>
  <c r="AP27" i="1"/>
  <c r="F42" i="2"/>
  <c r="AP25" i="1"/>
  <c r="AP26" i="1"/>
  <c r="AP30" i="1"/>
  <c r="AN15" i="1"/>
  <c r="G286" i="1"/>
  <c r="AT14" i="1"/>
  <c r="C309" i="1"/>
  <c r="C301" i="1"/>
  <c r="C300" i="1"/>
  <c r="E42" i="2"/>
  <c r="T286" i="1"/>
  <c r="H25" i="1"/>
  <c r="D274" i="1"/>
  <c r="F181" i="1"/>
  <c r="AM6" i="1"/>
  <c r="AM11" i="1"/>
  <c r="AM9" i="1"/>
  <c r="AM7" i="1"/>
  <c r="AM5" i="1"/>
  <c r="AM10" i="1"/>
  <c r="AM8" i="1"/>
  <c r="AT46" i="1"/>
  <c r="AT42" i="1"/>
  <c r="AM13" i="1"/>
  <c r="AM12" i="1"/>
  <c r="AN46" i="1"/>
  <c r="AN42" i="1"/>
  <c r="AN47" i="1"/>
  <c r="AX46" i="1"/>
  <c r="AN49" i="1"/>
  <c r="AN43" i="1"/>
  <c r="AN40" i="1"/>
  <c r="AN44" i="1"/>
  <c r="I153" i="1"/>
  <c r="AN41" i="1"/>
  <c r="AX49" i="1"/>
  <c r="AN48" i="1"/>
  <c r="AN45" i="1"/>
  <c r="K166" i="2"/>
  <c r="M286" i="1"/>
  <c r="M148" i="1"/>
  <c r="S286" i="1"/>
  <c r="AA286" i="1"/>
  <c r="I286" i="1"/>
  <c r="AB286" i="1"/>
  <c r="W286" i="1"/>
  <c r="Y286" i="1"/>
  <c r="AC286" i="1"/>
  <c r="Q286" i="1"/>
  <c r="Z286" i="1"/>
  <c r="U286" i="1"/>
  <c r="N286" i="1"/>
  <c r="L286" i="1"/>
  <c r="E284" i="1"/>
  <c r="D284" i="1" s="1"/>
  <c r="X286" i="1"/>
  <c r="R286" i="1"/>
  <c r="K286" i="1"/>
  <c r="P286" i="1"/>
  <c r="H286" i="1"/>
  <c r="J286" i="1"/>
  <c r="V286" i="1"/>
  <c r="O286" i="1"/>
  <c r="F286" i="1"/>
  <c r="F288" i="1" s="1"/>
  <c r="F290" i="1" s="1"/>
  <c r="F292" i="1" s="1"/>
  <c r="F180" i="1" s="1"/>
  <c r="E276" i="1"/>
  <c r="D276" i="1" s="1"/>
  <c r="E282" i="1"/>
  <c r="D282" i="1" s="1"/>
  <c r="E278" i="1"/>
  <c r="D278" i="1" s="1"/>
  <c r="E280" i="1"/>
  <c r="D280" i="1" s="1"/>
  <c r="O129" i="1"/>
  <c r="AX8" i="1" s="1"/>
  <c r="O128" i="1"/>
  <c r="AX7" i="1" s="1"/>
  <c r="O127" i="1"/>
  <c r="AX6" i="1" s="1"/>
  <c r="D178" i="1"/>
  <c r="O133" i="1"/>
  <c r="AX12" i="1" s="1"/>
  <c r="O126" i="1"/>
  <c r="H272" i="1"/>
  <c r="I272" i="1" s="1"/>
  <c r="J272" i="1" s="1"/>
  <c r="P181" i="1"/>
  <c r="Z181" i="1"/>
  <c r="S181" i="1"/>
  <c r="K181" i="1"/>
  <c r="Y181" i="1"/>
  <c r="AA181" i="1"/>
  <c r="O181" i="1"/>
  <c r="G181" i="1"/>
  <c r="J181" i="1"/>
  <c r="X181" i="1"/>
  <c r="I181" i="1"/>
  <c r="AB181" i="1"/>
  <c r="L181" i="1"/>
  <c r="AC181" i="1"/>
  <c r="E204" i="1"/>
  <c r="D204" i="1" s="1"/>
  <c r="K65" i="2"/>
  <c r="K42" i="2" l="1"/>
  <c r="D340" i="1"/>
  <c r="AM15" i="1"/>
  <c r="G288" i="1"/>
  <c r="G290" i="1" s="1"/>
  <c r="G292" i="1" s="1"/>
  <c r="G180" i="1" s="1"/>
  <c r="K68" i="2"/>
  <c r="G342" i="1"/>
  <c r="M153" i="1"/>
  <c r="O130" i="1"/>
  <c r="AX9" i="1" s="1"/>
  <c r="D309" i="1"/>
  <c r="K167" i="2"/>
  <c r="M181" i="1"/>
  <c r="T181" i="1"/>
  <c r="W181" i="1"/>
  <c r="N181" i="1"/>
  <c r="H181" i="1"/>
  <c r="U181" i="1"/>
  <c r="R181" i="1"/>
  <c r="V181" i="1"/>
  <c r="Q181" i="1"/>
  <c r="D207" i="1"/>
  <c r="AN50" i="1"/>
  <c r="AN51" i="1" s="1"/>
  <c r="AX43" i="1"/>
  <c r="AX48" i="1"/>
  <c r="AT45" i="1"/>
  <c r="AX44" i="1"/>
  <c r="AX42" i="1"/>
  <c r="E286" i="1"/>
  <c r="D286" i="1" s="1"/>
  <c r="D195" i="1"/>
  <c r="K272" i="1"/>
  <c r="L272" i="1" s="1"/>
  <c r="M272" i="1" s="1"/>
  <c r="N272" i="1" s="1"/>
  <c r="O272" i="1" s="1"/>
  <c r="P272" i="1" s="1"/>
  <c r="Q272" i="1" s="1"/>
  <c r="R272" i="1" s="1"/>
  <c r="E342" i="1" l="1"/>
  <c r="F342" i="1"/>
  <c r="E340" i="1"/>
  <c r="F340" i="1"/>
  <c r="D342" i="1"/>
  <c r="E181" i="1"/>
  <c r="AX45" i="1"/>
  <c r="AT50" i="1"/>
  <c r="S272" i="1"/>
  <c r="T272" i="1" s="1"/>
  <c r="U272" i="1" s="1"/>
  <c r="V272" i="1" s="1"/>
  <c r="W272" i="1" s="1"/>
  <c r="X272" i="1" s="1"/>
  <c r="Y272" i="1" s="1"/>
  <c r="Z272" i="1" s="1"/>
  <c r="AA272" i="1" s="1"/>
  <c r="AB272" i="1" s="1"/>
  <c r="AC272" i="1" s="1"/>
  <c r="D181" i="1" l="1"/>
  <c r="AX5" i="1"/>
  <c r="AX41" i="1" l="1"/>
  <c r="F163" i="1"/>
  <c r="J135" i="1" l="1"/>
  <c r="C94" i="1" l="1"/>
  <c r="AQ4" i="1" s="1"/>
  <c r="C183" i="1"/>
  <c r="K165" i="2" s="1"/>
  <c r="K106" i="2" l="1"/>
  <c r="J106" i="2" s="1"/>
  <c r="AQ11" i="1"/>
  <c r="AQ47" i="1" s="1"/>
  <c r="AQ5" i="1"/>
  <c r="AQ41" i="1" s="1"/>
  <c r="T157" i="2"/>
  <c r="AQ8" i="1"/>
  <c r="AQ44" i="1" s="1"/>
  <c r="AQ6" i="1"/>
  <c r="AQ42" i="1" s="1"/>
  <c r="AQ9" i="1"/>
  <c r="AQ45" i="1" s="1"/>
  <c r="AQ10" i="1"/>
  <c r="AQ46" i="1" s="1"/>
  <c r="AQ7" i="1"/>
  <c r="AQ43" i="1" s="1"/>
  <c r="AQ13" i="1"/>
  <c r="AQ12" i="1"/>
  <c r="AQ48" i="1" s="1"/>
  <c r="I183" i="1"/>
  <c r="L183" i="1"/>
  <c r="X183" i="1"/>
  <c r="G183" i="1"/>
  <c r="T183" i="1"/>
  <c r="V183" i="1"/>
  <c r="H183" i="1"/>
  <c r="M183" i="1"/>
  <c r="K183" i="1"/>
  <c r="O183" i="1"/>
  <c r="AA183" i="1"/>
  <c r="AB183" i="1"/>
  <c r="P183" i="1"/>
  <c r="S183" i="1"/>
  <c r="U183" i="1"/>
  <c r="Y183" i="1"/>
  <c r="Z183" i="1"/>
  <c r="W183" i="1"/>
  <c r="Q183" i="1"/>
  <c r="AC183" i="1"/>
  <c r="N183" i="1"/>
  <c r="F183" i="1"/>
  <c r="R183" i="1"/>
  <c r="J183" i="1"/>
  <c r="C205" i="1"/>
  <c r="C347" i="1" a="1"/>
  <c r="H347" i="1" a="1"/>
  <c r="I56" i="2" l="1"/>
  <c r="AQ49" i="1"/>
  <c r="U205" i="1"/>
  <c r="T205" i="1"/>
  <c r="V205" i="1"/>
  <c r="W205" i="1"/>
  <c r="H347" i="1"/>
  <c r="K56" i="2" s="1"/>
  <c r="AQ40" i="1"/>
  <c r="G56" i="2"/>
  <c r="F56" i="2"/>
  <c r="H56" i="2"/>
  <c r="E56" i="2"/>
  <c r="J56" i="2"/>
  <c r="C347" i="1"/>
  <c r="D56" i="2" s="1"/>
  <c r="BI41" i="1"/>
  <c r="E183" i="1"/>
  <c r="D183" i="1" s="1"/>
  <c r="G347" i="1" l="1"/>
  <c r="E347" i="1" s="1"/>
  <c r="E205" i="1"/>
  <c r="D205" i="1" s="1"/>
  <c r="D347" i="1" l="1"/>
  <c r="F347" i="1"/>
  <c r="H288" i="1"/>
  <c r="G163" i="1" l="1"/>
  <c r="H290" i="1"/>
  <c r="H292" i="1" l="1"/>
  <c r="H180" i="1" s="1"/>
  <c r="I288" i="1"/>
  <c r="H163" i="1" l="1"/>
  <c r="I290" i="1"/>
  <c r="I292" i="1" l="1"/>
  <c r="I180" i="1" s="1"/>
  <c r="J288" i="1"/>
  <c r="E52" i="2" l="1"/>
  <c r="I163" i="1"/>
  <c r="J290" i="1"/>
  <c r="J292" i="1" s="1"/>
  <c r="J180" i="1" s="1"/>
  <c r="K288" i="1" l="1"/>
  <c r="K290" i="1" l="1"/>
  <c r="K292" i="1" s="1"/>
  <c r="K180" i="1" s="1"/>
  <c r="J163" i="1"/>
  <c r="L288" i="1" l="1"/>
  <c r="L290" i="1" l="1"/>
  <c r="L292" i="1" s="1"/>
  <c r="L180" i="1" s="1"/>
  <c r="K163" i="1"/>
  <c r="M288" i="1" l="1"/>
  <c r="M290" i="1" s="1"/>
  <c r="M292" i="1" s="1"/>
  <c r="M180" i="1" s="1"/>
  <c r="L163" i="1"/>
  <c r="N288" i="1" l="1"/>
  <c r="N290" i="1" s="1"/>
  <c r="N292" i="1" s="1"/>
  <c r="N180" i="1" s="1"/>
  <c r="F52" i="2" l="1"/>
  <c r="M163" i="1"/>
  <c r="N163" i="1"/>
  <c r="O288" i="1"/>
  <c r="O290" i="1" l="1"/>
  <c r="O292" i="1" s="1"/>
  <c r="O180" i="1" s="1"/>
  <c r="O163" i="1" l="1"/>
  <c r="P288" i="1"/>
  <c r="P290" i="1" l="1"/>
  <c r="P292" i="1" s="1"/>
  <c r="P180" i="1" s="1"/>
  <c r="Q288" i="1" l="1"/>
  <c r="Q290" i="1" s="1"/>
  <c r="Q292" i="1" s="1"/>
  <c r="Q180" i="1" s="1"/>
  <c r="P163" i="1"/>
  <c r="R288" i="1" l="1"/>
  <c r="G52" i="2" l="1"/>
  <c r="Q163" i="1"/>
  <c r="R290" i="1"/>
  <c r="R292" i="1" s="1"/>
  <c r="R180" i="1" s="1"/>
  <c r="S288" i="1" l="1"/>
  <c r="R163" i="1"/>
  <c r="S290" i="1" l="1"/>
  <c r="S292" i="1" s="1"/>
  <c r="S180" i="1" s="1"/>
  <c r="T288" i="1" l="1"/>
  <c r="T290" i="1" s="1"/>
  <c r="T292" i="1" s="1"/>
  <c r="T180" i="1" s="1"/>
  <c r="S163" i="1"/>
  <c r="U288" i="1" l="1"/>
  <c r="U290" i="1" s="1"/>
  <c r="U292" i="1" s="1"/>
  <c r="U180" i="1" s="1"/>
  <c r="H52" i="2" l="1"/>
  <c r="T163" i="1"/>
  <c r="V288" i="1"/>
  <c r="V290" i="1" s="1"/>
  <c r="V292" i="1" s="1"/>
  <c r="V180" i="1" s="1"/>
  <c r="U163" i="1"/>
  <c r="W288" i="1" l="1"/>
  <c r="W290" i="1" s="1"/>
  <c r="W292" i="1" s="1"/>
  <c r="W180" i="1" s="1"/>
  <c r="V163" i="1"/>
  <c r="W163" i="1" l="1"/>
  <c r="X288" i="1"/>
  <c r="X290" i="1" l="1"/>
  <c r="X292" i="1" s="1"/>
  <c r="X180" i="1" s="1"/>
  <c r="X163" i="1" l="1"/>
  <c r="Y288" i="1"/>
  <c r="Y290" i="1" l="1"/>
  <c r="Y292" i="1" s="1"/>
  <c r="Y180" i="1" s="1"/>
  <c r="I52" i="2" l="1"/>
  <c r="Y163" i="1"/>
  <c r="Z288" i="1"/>
  <c r="Z290" i="1" l="1"/>
  <c r="Z292" i="1" s="1"/>
  <c r="Z180" i="1" s="1"/>
  <c r="Z163" i="1" l="1"/>
  <c r="AA288" i="1"/>
  <c r="AA290" i="1" l="1"/>
  <c r="AA292" i="1" s="1"/>
  <c r="AA180" i="1" s="1"/>
  <c r="AB288" i="1" l="1"/>
  <c r="AB290" i="1" s="1"/>
  <c r="AB292" i="1" s="1"/>
  <c r="AB180" i="1" s="1"/>
  <c r="AA163" i="1"/>
  <c r="AB163" i="1" l="1"/>
  <c r="AC288" i="1"/>
  <c r="AC290" i="1" s="1"/>
  <c r="E290" i="1" s="1"/>
  <c r="D290" i="1" s="1"/>
  <c r="AC292" i="1" l="1"/>
  <c r="AC180" i="1" s="1"/>
  <c r="C345" i="1" a="1"/>
  <c r="H345" i="1" a="1"/>
  <c r="C345" i="1" l="1"/>
  <c r="D52" i="2" s="1"/>
  <c r="E180" i="1"/>
  <c r="H345" i="1"/>
  <c r="J52" i="2"/>
  <c r="E292" i="1"/>
  <c r="D292" i="1" s="1"/>
  <c r="K52" i="2" l="1"/>
  <c r="G345" i="1"/>
  <c r="E345" i="1" s="1"/>
  <c r="D180" i="1"/>
  <c r="AC163" i="1"/>
  <c r="E163" i="1" s="1"/>
  <c r="D345" i="1" l="1"/>
  <c r="F345" i="1"/>
  <c r="D163" i="1"/>
  <c r="T252" i="1"/>
  <c r="Y165" i="1"/>
  <c r="W252" i="1"/>
  <c r="S165" i="1" l="1"/>
  <c r="R165" i="1"/>
  <c r="M165" i="1"/>
  <c r="AC165" i="1"/>
  <c r="J165" i="1"/>
  <c r="H165" i="1"/>
  <c r="Q165" i="1"/>
  <c r="P165" i="1"/>
  <c r="L165" i="1"/>
  <c r="AB165" i="1"/>
  <c r="K165" i="1"/>
  <c r="O165" i="1"/>
  <c r="N165" i="1"/>
  <c r="F165" i="1"/>
  <c r="AA165" i="1"/>
  <c r="G165" i="1"/>
  <c r="X165" i="1"/>
  <c r="U165" i="1"/>
  <c r="V165" i="1"/>
  <c r="T165" i="1"/>
  <c r="Z165" i="1"/>
  <c r="W165" i="1"/>
  <c r="I165" i="1"/>
  <c r="E165" i="1" l="1"/>
  <c r="D165" i="1" s="1"/>
  <c r="F248" i="1"/>
  <c r="K110" i="2" s="1"/>
  <c r="J110" i="2" s="1"/>
  <c r="F250" i="1" l="1"/>
  <c r="T167" i="2" s="1"/>
  <c r="N132" i="1" l="1"/>
  <c r="C182" i="1" l="1"/>
  <c r="C95" i="1" s="1"/>
  <c r="O182" i="1"/>
  <c r="S182" i="1"/>
  <c r="I182" i="1"/>
  <c r="W182" i="1"/>
  <c r="Y153" i="1"/>
  <c r="C209" i="1" s="1"/>
  <c r="BI11" i="1" l="1"/>
  <c r="W209" i="1"/>
  <c r="X209" i="1"/>
  <c r="Y209" i="1"/>
  <c r="V209" i="1"/>
  <c r="I209" i="1"/>
  <c r="S209" i="1"/>
  <c r="O209" i="1"/>
  <c r="P182" i="1"/>
  <c r="H182" i="1"/>
  <c r="G182" i="1"/>
  <c r="V182" i="1"/>
  <c r="AC182" i="1"/>
  <c r="Q182" i="1"/>
  <c r="N182" i="1"/>
  <c r="K168" i="2"/>
  <c r="M182" i="1"/>
  <c r="T182" i="1"/>
  <c r="Z182" i="1"/>
  <c r="L182" i="1"/>
  <c r="K182" i="1"/>
  <c r="Y182" i="1"/>
  <c r="J182" i="1"/>
  <c r="X182" i="1"/>
  <c r="F182" i="1"/>
  <c r="U182" i="1"/>
  <c r="R182" i="1"/>
  <c r="AB182" i="1"/>
  <c r="AA182" i="1"/>
  <c r="O132" i="1"/>
  <c r="AX11" i="1" s="1"/>
  <c r="AC153" i="1"/>
  <c r="C346" i="1" a="1"/>
  <c r="H346" i="1" a="1"/>
  <c r="C206" i="1" l="1"/>
  <c r="AP4" i="1"/>
  <c r="AP5" i="1"/>
  <c r="AP41" i="1" s="1"/>
  <c r="AP11" i="1"/>
  <c r="AP47" i="1" s="1"/>
  <c r="C98" i="1"/>
  <c r="K103" i="2" s="1"/>
  <c r="J103" i="2" s="1"/>
  <c r="J101" i="2" s="1"/>
  <c r="H346" i="1"/>
  <c r="K54" i="2" s="1"/>
  <c r="AP10" i="1"/>
  <c r="AP46" i="1" s="1"/>
  <c r="G54" i="2"/>
  <c r="I54" i="2"/>
  <c r="AP13" i="1"/>
  <c r="AP49" i="1" s="1"/>
  <c r="H54" i="2"/>
  <c r="AP12" i="1"/>
  <c r="AP48" i="1" s="1"/>
  <c r="F54" i="2"/>
  <c r="AP7" i="1"/>
  <c r="AP43" i="1" s="1"/>
  <c r="AP8" i="1"/>
  <c r="AP44" i="1" s="1"/>
  <c r="AP6" i="1"/>
  <c r="T158" i="2"/>
  <c r="AX47" i="1"/>
  <c r="O135" i="1"/>
  <c r="BZ14" i="1" s="1"/>
  <c r="CA14" i="1" s="1"/>
  <c r="E54" i="2"/>
  <c r="J54" i="2"/>
  <c r="C346" i="1"/>
  <c r="D54" i="2" s="1"/>
  <c r="F209" i="1"/>
  <c r="J26" i="1"/>
  <c r="T209" i="1"/>
  <c r="AP9" i="1"/>
  <c r="AP45" i="1" s="1"/>
  <c r="G209" i="1"/>
  <c r="P209" i="1"/>
  <c r="K209" i="1"/>
  <c r="AC209" i="1"/>
  <c r="L209" i="1"/>
  <c r="Z209" i="1"/>
  <c r="AA209" i="1"/>
  <c r="Q209" i="1"/>
  <c r="M209" i="1"/>
  <c r="AB209" i="1"/>
  <c r="R209" i="1"/>
  <c r="U209" i="1"/>
  <c r="J209" i="1"/>
  <c r="N209" i="1"/>
  <c r="H209" i="1"/>
  <c r="E182" i="1"/>
  <c r="AP15" i="1" l="1"/>
  <c r="X206" i="1"/>
  <c r="Y206" i="1"/>
  <c r="V206" i="1"/>
  <c r="W206" i="1"/>
  <c r="AP42" i="1"/>
  <c r="AP14" i="1"/>
  <c r="E91" i="1"/>
  <c r="E92" i="1"/>
  <c r="E95" i="1"/>
  <c r="E87" i="1"/>
  <c r="E85" i="1"/>
  <c r="E90" i="1"/>
  <c r="E88" i="1"/>
  <c r="E84" i="1"/>
  <c r="E93" i="1"/>
  <c r="BI16" i="1"/>
  <c r="E94" i="1"/>
  <c r="C16" i="1"/>
  <c r="E82" i="1"/>
  <c r="E83" i="1"/>
  <c r="K141" i="2"/>
  <c r="J141" i="2" s="1"/>
  <c r="E97" i="1"/>
  <c r="C107" i="1"/>
  <c r="C108" i="1" s="1"/>
  <c r="E96" i="1"/>
  <c r="K101" i="2"/>
  <c r="E89" i="1"/>
  <c r="E86" i="1"/>
  <c r="AX14" i="1"/>
  <c r="D182" i="1"/>
  <c r="G346" i="1"/>
  <c r="E346" i="1" s="1"/>
  <c r="E209" i="1"/>
  <c r="AP40" i="1"/>
  <c r="AX50" i="1"/>
  <c r="C184" i="1"/>
  <c r="D346" i="1" l="1"/>
  <c r="F346" i="1"/>
  <c r="AP50" i="1"/>
  <c r="AP51" i="1" s="1"/>
  <c r="E206" i="1"/>
  <c r="D206" i="1" s="1"/>
  <c r="T184" i="1"/>
  <c r="BI20" i="1"/>
  <c r="D209" i="1"/>
  <c r="C20" i="1"/>
  <c r="AT15" i="1" s="1"/>
  <c r="Z184" i="1"/>
  <c r="C110" i="1"/>
  <c r="C216" i="1"/>
  <c r="C13" i="1"/>
  <c r="M184" i="1"/>
  <c r="W184" i="1"/>
  <c r="U184" i="1"/>
  <c r="X184" i="1"/>
  <c r="L184" i="1"/>
  <c r="J184" i="1"/>
  <c r="H184" i="1"/>
  <c r="S184" i="1"/>
  <c r="AC184" i="1"/>
  <c r="N184" i="1"/>
  <c r="I184" i="1"/>
  <c r="F184" i="1"/>
  <c r="AB184" i="1"/>
  <c r="Y184" i="1"/>
  <c r="Q184" i="1"/>
  <c r="O184" i="1"/>
  <c r="AA184" i="1"/>
  <c r="K184" i="1"/>
  <c r="K169" i="2"/>
  <c r="K170" i="2" s="1"/>
  <c r="R184" i="1"/>
  <c r="G184" i="1"/>
  <c r="V184" i="1"/>
  <c r="P184" i="1"/>
  <c r="H348" i="1" a="1"/>
  <c r="C348" i="1" a="1"/>
  <c r="H348" i="1" l="1"/>
  <c r="K15" i="2"/>
  <c r="J15" i="2" s="1"/>
  <c r="AX15" i="1"/>
  <c r="C348" i="1"/>
  <c r="D58" i="2" s="1"/>
  <c r="G58" i="2"/>
  <c r="F58" i="2"/>
  <c r="H58" i="2"/>
  <c r="I58" i="2"/>
  <c r="E58" i="2"/>
  <c r="J58" i="2"/>
  <c r="AX51" i="1"/>
  <c r="BW6" i="1"/>
  <c r="D216" i="1"/>
  <c r="BI13" i="1"/>
  <c r="AT51" i="1"/>
  <c r="E184" i="1"/>
  <c r="D184" i="1" l="1"/>
  <c r="K58" i="2"/>
  <c r="G348" i="1"/>
  <c r="E348" i="1" l="1"/>
  <c r="F348" i="1"/>
  <c r="D348" i="1"/>
  <c r="E197" i="1" l="1"/>
  <c r="D197" i="1" l="1"/>
  <c r="V126" i="1" l="1"/>
  <c r="V132" i="1"/>
  <c r="V129" i="1"/>
  <c r="V134" i="1"/>
  <c r="V127" i="1"/>
  <c r="V133" i="1"/>
  <c r="V128" i="1" l="1"/>
  <c r="V130" i="1"/>
  <c r="V131" i="1"/>
  <c r="V125" i="1"/>
  <c r="V135" i="1" l="1"/>
  <c r="V244" i="1" l="1"/>
  <c r="AJ166" i="2" s="1"/>
  <c r="J244" i="1"/>
  <c r="X166" i="2" s="1"/>
  <c r="W244" i="1"/>
  <c r="AK166" i="2" s="1"/>
  <c r="AA244" i="1"/>
  <c r="AO166" i="2" s="1"/>
  <c r="Z244" i="1"/>
  <c r="AN166" i="2" s="1"/>
  <c r="Y244" i="1"/>
  <c r="AM166" i="2" s="1"/>
  <c r="AB244" i="1" l="1"/>
  <c r="AP166" i="2" s="1"/>
  <c r="Q244" i="1"/>
  <c r="AE166" i="2" s="1"/>
  <c r="R244" i="1"/>
  <c r="AF166" i="2" s="1"/>
  <c r="P244" i="1"/>
  <c r="AD166" i="2" s="1"/>
  <c r="I244" i="1"/>
  <c r="W166" i="2" s="1"/>
  <c r="O244" i="1"/>
  <c r="AC166" i="2" s="1"/>
  <c r="T244" i="1"/>
  <c r="AH166" i="2" s="1"/>
  <c r="AC244" i="1"/>
  <c r="AQ166" i="2" s="1"/>
  <c r="K244" i="1"/>
  <c r="Y166" i="2" s="1"/>
  <c r="U244" i="1"/>
  <c r="AI166" i="2" s="1"/>
  <c r="L244" i="1"/>
  <c r="Z166" i="2" s="1"/>
  <c r="G244" i="1"/>
  <c r="U166" i="2" s="1"/>
  <c r="H244" i="1"/>
  <c r="V166" i="2" s="1"/>
  <c r="M244" i="1" l="1"/>
  <c r="AA166" i="2" s="1"/>
  <c r="F174" i="1"/>
  <c r="G188" i="1" s="1"/>
  <c r="F244" i="1"/>
  <c r="F242" i="1" s="1"/>
  <c r="G242" i="1" s="1"/>
  <c r="H242" i="1" s="1"/>
  <c r="I242" i="1" s="1"/>
  <c r="J242" i="1" s="1"/>
  <c r="S244" i="1"/>
  <c r="AG166" i="2" s="1"/>
  <c r="X244" i="1"/>
  <c r="AL166" i="2" s="1"/>
  <c r="N244" i="1"/>
  <c r="AB166" i="2" s="1"/>
  <c r="E185" i="1"/>
  <c r="R164" i="1" l="1"/>
  <c r="G174" i="1"/>
  <c r="H188" i="1" s="1"/>
  <c r="AC164" i="1"/>
  <c r="O164" i="1"/>
  <c r="X165" i="2"/>
  <c r="K242" i="1"/>
  <c r="H22" i="1"/>
  <c r="F322" i="1" s="1"/>
  <c r="H164" i="1"/>
  <c r="V165" i="2"/>
  <c r="H327" i="1"/>
  <c r="H210" i="1" s="1"/>
  <c r="U165" i="2"/>
  <c r="T166" i="2"/>
  <c r="AB255" i="1"/>
  <c r="AB256" i="1" s="1"/>
  <c r="G246" i="1"/>
  <c r="G250" i="1" s="1"/>
  <c r="Q164" i="1"/>
  <c r="V164" i="1"/>
  <c r="J164" i="1"/>
  <c r="W164" i="1"/>
  <c r="L164" i="1"/>
  <c r="C187" i="1"/>
  <c r="D187" i="1" s="1"/>
  <c r="Y164" i="1"/>
  <c r="X164" i="1"/>
  <c r="M164" i="1"/>
  <c r="N164" i="1"/>
  <c r="K164" i="1"/>
  <c r="G164" i="1"/>
  <c r="AB164" i="1"/>
  <c r="P164" i="1"/>
  <c r="I164" i="1"/>
  <c r="AA164" i="1"/>
  <c r="Z164" i="1"/>
  <c r="C114" i="1"/>
  <c r="F164" i="1"/>
  <c r="S164" i="1"/>
  <c r="T164" i="1"/>
  <c r="W165" i="2"/>
  <c r="U164" i="1"/>
  <c r="T165" i="2"/>
  <c r="E322" i="1" l="1"/>
  <c r="H246" i="1"/>
  <c r="H250" i="1" s="1"/>
  <c r="V167" i="2" s="1"/>
  <c r="H174" i="1"/>
  <c r="I188" i="1" s="1"/>
  <c r="E164" i="1"/>
  <c r="D164" i="1" s="1"/>
  <c r="U167" i="2"/>
  <c r="BI26" i="1"/>
  <c r="D185" i="1" s="1"/>
  <c r="K67" i="2"/>
  <c r="BI31" i="1"/>
  <c r="BJ31" i="1" s="1"/>
  <c r="BJ26" i="1"/>
  <c r="Y165" i="2"/>
  <c r="L242" i="1"/>
  <c r="I174" i="1" l="1"/>
  <c r="J188" i="1"/>
  <c r="J174" i="1"/>
  <c r="E44" i="2"/>
  <c r="I246" i="1"/>
  <c r="I250" i="1" s="1"/>
  <c r="W167" i="2" s="1"/>
  <c r="Z165" i="2"/>
  <c r="L327" i="1"/>
  <c r="L210" i="1" s="1"/>
  <c r="M242" i="1"/>
  <c r="T84" i="2"/>
  <c r="J246" i="1" l="1"/>
  <c r="J250" i="1" s="1"/>
  <c r="X167" i="2" s="1"/>
  <c r="K188" i="1"/>
  <c r="K174" i="1"/>
  <c r="U89" i="2"/>
  <c r="AA165" i="2"/>
  <c r="N242" i="1"/>
  <c r="L174" i="1" l="1"/>
  <c r="L188" i="1"/>
  <c r="K246" i="1"/>
  <c r="K250" i="1" s="1"/>
  <c r="Y167" i="2" s="1"/>
  <c r="AB165" i="2"/>
  <c r="O242" i="1"/>
  <c r="L246" i="1" l="1"/>
  <c r="L250" i="1" s="1"/>
  <c r="Z167" i="2" s="1"/>
  <c r="M188" i="1"/>
  <c r="M174" i="1"/>
  <c r="AC165" i="2"/>
  <c r="P242" i="1"/>
  <c r="N188" i="1" l="1"/>
  <c r="N174" i="1"/>
  <c r="M246" i="1"/>
  <c r="M250" i="1" s="1"/>
  <c r="AA167" i="2" s="1"/>
  <c r="F44" i="2"/>
  <c r="P327" i="1"/>
  <c r="P210" i="1" s="1"/>
  <c r="AD165" i="2"/>
  <c r="Q242" i="1"/>
  <c r="N246" i="1" l="1"/>
  <c r="N250" i="1" s="1"/>
  <c r="AB167" i="2" s="1"/>
  <c r="O174" i="1"/>
  <c r="O188" i="1"/>
  <c r="AE165" i="2"/>
  <c r="R242" i="1"/>
  <c r="O246" i="1" l="1"/>
  <c r="O250" i="1" s="1"/>
  <c r="AC167" i="2" s="1"/>
  <c r="P188" i="1"/>
  <c r="P174" i="1"/>
  <c r="AF165" i="2"/>
  <c r="S242" i="1"/>
  <c r="P246" i="1" l="1"/>
  <c r="P250" i="1" s="1"/>
  <c r="AD167" i="2" s="1"/>
  <c r="Q188" i="1"/>
  <c r="Q174" i="1"/>
  <c r="AG165" i="2"/>
  <c r="T242" i="1"/>
  <c r="R188" i="1" l="1"/>
  <c r="R174" i="1"/>
  <c r="Q246" i="1"/>
  <c r="Q250" i="1" s="1"/>
  <c r="AE167" i="2" s="1"/>
  <c r="G44" i="2"/>
  <c r="AH165" i="2"/>
  <c r="T327" i="1"/>
  <c r="T210" i="1" s="1"/>
  <c r="U242" i="1"/>
  <c r="R246" i="1" l="1"/>
  <c r="R250" i="1" s="1"/>
  <c r="AF167" i="2" s="1"/>
  <c r="S188" i="1"/>
  <c r="S174" i="1"/>
  <c r="AI165" i="2"/>
  <c r="V242" i="1"/>
  <c r="S246" i="1" l="1"/>
  <c r="S250" i="1" s="1"/>
  <c r="AG167" i="2" s="1"/>
  <c r="T188" i="1"/>
  <c r="T174" i="1"/>
  <c r="W242" i="1"/>
  <c r="AJ165" i="2"/>
  <c r="U188" i="1" l="1"/>
  <c r="U174" i="1"/>
  <c r="T246" i="1"/>
  <c r="T250" i="1" s="1"/>
  <c r="AH167" i="2" s="1"/>
  <c r="H44" i="2"/>
  <c r="X242" i="1"/>
  <c r="AK165" i="2"/>
  <c r="V188" i="1" l="1"/>
  <c r="V174" i="1"/>
  <c r="U246" i="1"/>
  <c r="U250" i="1" s="1"/>
  <c r="AI167" i="2" s="1"/>
  <c r="AL165" i="2"/>
  <c r="X326" i="1"/>
  <c r="Y242" i="1"/>
  <c r="X327" i="1" l="1"/>
  <c r="X210" i="1" s="1"/>
  <c r="W188" i="1"/>
  <c r="W174" i="1"/>
  <c r="V246" i="1"/>
  <c r="V250" i="1" s="1"/>
  <c r="AJ167" i="2" s="1"/>
  <c r="Y326" i="1"/>
  <c r="Y327" i="1" s="1"/>
  <c r="Y210" i="1" s="1"/>
  <c r="AM165" i="2"/>
  <c r="Z242" i="1"/>
  <c r="X188" i="1" l="1"/>
  <c r="X174" i="1"/>
  <c r="W246" i="1"/>
  <c r="W250" i="1" s="1"/>
  <c r="AK167" i="2" s="1"/>
  <c r="AN165" i="2"/>
  <c r="AA242" i="1"/>
  <c r="Z326" i="1"/>
  <c r="Z327" i="1" s="1"/>
  <c r="Z210" i="1" s="1"/>
  <c r="Y188" i="1" l="1"/>
  <c r="Y174" i="1"/>
  <c r="X219" i="1"/>
  <c r="X246" i="1"/>
  <c r="X250" i="1" s="1"/>
  <c r="AL167" i="2" s="1"/>
  <c r="X214" i="1"/>
  <c r="AB242" i="1"/>
  <c r="AO165" i="2"/>
  <c r="AA326" i="1"/>
  <c r="AA327" i="1" s="1"/>
  <c r="AA210" i="1" s="1"/>
  <c r="I44" i="2" l="1"/>
  <c r="Z188" i="1"/>
  <c r="Z174" i="1"/>
  <c r="Y219" i="1"/>
  <c r="Y246" i="1"/>
  <c r="Y250" i="1" s="1"/>
  <c r="AM167" i="2" s="1"/>
  <c r="Y214" i="1"/>
  <c r="AP165" i="2"/>
  <c r="AB326" i="1"/>
  <c r="AB327" i="1" s="1"/>
  <c r="AB210" i="1" s="1"/>
  <c r="AC242" i="1"/>
  <c r="AA188" i="1" l="1"/>
  <c r="AA174" i="1"/>
  <c r="Z214" i="1"/>
  <c r="Z246" i="1"/>
  <c r="Z250" i="1" s="1"/>
  <c r="AN167" i="2" s="1"/>
  <c r="Z219" i="1"/>
  <c r="AQ165" i="2"/>
  <c r="AC326" i="1"/>
  <c r="AB188" i="1" l="1"/>
  <c r="AB174" i="1"/>
  <c r="AA246" i="1"/>
  <c r="AA250" i="1" s="1"/>
  <c r="AO167" i="2" s="1"/>
  <c r="AA214" i="1"/>
  <c r="AA219" i="1"/>
  <c r="AC327" i="1"/>
  <c r="AC210" i="1" s="1"/>
  <c r="AC188" i="1" l="1"/>
  <c r="AC174" i="1"/>
  <c r="AB219" i="1"/>
  <c r="AB214" i="1"/>
  <c r="AB246" i="1"/>
  <c r="AB250" i="1" s="1"/>
  <c r="C341" i="1" a="1"/>
  <c r="H341" i="1" a="1"/>
  <c r="C341" i="1" l="1"/>
  <c r="D44" i="2" s="1"/>
  <c r="E188" i="1"/>
  <c r="C115" i="1" s="1"/>
  <c r="H341" i="1"/>
  <c r="AP167" i="2"/>
  <c r="AC219" i="1"/>
  <c r="AC246" i="1"/>
  <c r="AC250" i="1" s="1"/>
  <c r="AQ167" i="2" s="1"/>
  <c r="AC214" i="1"/>
  <c r="J44" i="2"/>
  <c r="K109" i="2" l="1"/>
  <c r="BI10" i="1"/>
  <c r="AR7" i="1"/>
  <c r="AR43" i="1" s="1"/>
  <c r="AR9" i="1"/>
  <c r="AR45" i="1" s="1"/>
  <c r="AR8" i="1"/>
  <c r="AR44" i="1" s="1"/>
  <c r="AR6" i="1"/>
  <c r="AR42" i="1" s="1"/>
  <c r="AR4" i="1"/>
  <c r="BI17" i="1"/>
  <c r="AR10" i="1"/>
  <c r="AR46" i="1" s="1"/>
  <c r="AR11" i="1"/>
  <c r="AR47" i="1" s="1"/>
  <c r="AR5" i="1"/>
  <c r="AR41" i="1" s="1"/>
  <c r="AR12" i="1"/>
  <c r="AR48" i="1" s="1"/>
  <c r="AR13" i="1"/>
  <c r="AR49" i="1" s="1"/>
  <c r="C18" i="1"/>
  <c r="BI30" i="1" s="1"/>
  <c r="BJ29" i="1" s="1"/>
  <c r="J109" i="2"/>
  <c r="J108" i="2" s="1"/>
  <c r="K108" i="2"/>
  <c r="G341" i="1"/>
  <c r="K44" i="2"/>
  <c r="AC255" i="1"/>
  <c r="H26" i="1"/>
  <c r="E341" i="1" l="1"/>
  <c r="F341" i="1"/>
  <c r="D341" i="1"/>
  <c r="AC256" i="1"/>
  <c r="D188" i="1"/>
  <c r="D115" i="1"/>
  <c r="BI29" i="1" s="1"/>
  <c r="AR40" i="1"/>
  <c r="AR50" i="1" s="1"/>
  <c r="AR51" i="1" s="1"/>
  <c r="AR14" i="1"/>
  <c r="AR15" i="1" s="1"/>
  <c r="H27" i="1"/>
  <c r="K69" i="2"/>
  <c r="T83" i="2" l="1"/>
  <c r="U88" i="2" l="1"/>
  <c r="BX15" i="1"/>
  <c r="BX19" i="1" s="1"/>
  <c r="BX21" i="1" s="1"/>
  <c r="C177" i="1"/>
  <c r="F177" i="1"/>
  <c r="E177" i="1"/>
  <c r="D177" i="1" s="1"/>
  <c r="K64" i="2"/>
  <c r="T85" i="2" s="1"/>
  <c r="H20" i="1"/>
  <c r="I325" i="1" s="1"/>
  <c r="I327" i="1" s="1"/>
  <c r="I210" i="1" s="1"/>
  <c r="C350" i="1" a="1"/>
  <c r="H350" i="1" a="1"/>
  <c r="C350" i="1" l="1"/>
  <c r="H350" i="1"/>
  <c r="G350" i="1" s="1"/>
  <c r="O325" i="1"/>
  <c r="O327" i="1" s="1"/>
  <c r="O210" i="1" s="1"/>
  <c r="S325" i="1"/>
  <c r="S327" i="1" s="1"/>
  <c r="S210" i="1" s="1"/>
  <c r="M325" i="1"/>
  <c r="M327" i="1" s="1"/>
  <c r="M210" i="1" s="1"/>
  <c r="H29" i="1"/>
  <c r="F323" i="1" s="1"/>
  <c r="W325" i="1"/>
  <c r="W327" i="1" s="1"/>
  <c r="W210" i="1" s="1"/>
  <c r="BI32" i="1"/>
  <c r="K325" i="1"/>
  <c r="K327" i="1" s="1"/>
  <c r="K210" i="1" s="1"/>
  <c r="U90" i="2"/>
  <c r="K71" i="2"/>
  <c r="BI44" i="1"/>
  <c r="G325" i="1"/>
  <c r="F326" i="1"/>
  <c r="BI48" i="1"/>
  <c r="BI47" i="1"/>
  <c r="BI45" i="1"/>
  <c r="BI46" i="1"/>
  <c r="C112" i="1"/>
  <c r="J326" i="1"/>
  <c r="J327" i="1" s="1"/>
  <c r="J210" i="1" s="1"/>
  <c r="R326" i="1"/>
  <c r="R327" i="1" s="1"/>
  <c r="R210" i="1" s="1"/>
  <c r="V326" i="1"/>
  <c r="V327" i="1" s="1"/>
  <c r="V210" i="1" s="1"/>
  <c r="Q325" i="1"/>
  <c r="Q327" i="1" s="1"/>
  <c r="Q210" i="1" s="1"/>
  <c r="F324" i="1"/>
  <c r="E324" i="1" s="1"/>
  <c r="N326" i="1"/>
  <c r="N327" i="1" s="1"/>
  <c r="N210" i="1" s="1"/>
  <c r="U325" i="1"/>
  <c r="U327" i="1" s="1"/>
  <c r="U210" i="1" s="1"/>
  <c r="E325" i="1" l="1"/>
  <c r="E326" i="1"/>
  <c r="W219" i="1"/>
  <c r="W214" i="1"/>
  <c r="U219" i="1"/>
  <c r="U214" i="1"/>
  <c r="V214" i="1"/>
  <c r="V219" i="1"/>
  <c r="E323" i="1"/>
  <c r="E327" i="1" s="1"/>
  <c r="C101" i="1" s="1"/>
  <c r="C210" i="1" s="1"/>
  <c r="F327" i="1"/>
  <c r="F210" i="1" s="1"/>
  <c r="D350" i="1"/>
  <c r="B118" i="1" s="1"/>
  <c r="F350" i="1"/>
  <c r="G327" i="1"/>
  <c r="G210" i="1" s="1"/>
  <c r="BI49" i="1"/>
  <c r="J66" i="2"/>
  <c r="J62" i="2"/>
  <c r="J63" i="2"/>
  <c r="J67" i="2"/>
  <c r="J69" i="2"/>
  <c r="J65" i="2"/>
  <c r="U84" i="2"/>
  <c r="J68" i="2"/>
  <c r="U83" i="2"/>
  <c r="J64" i="2"/>
  <c r="U86" i="2"/>
  <c r="U85" i="2"/>
  <c r="E350" i="1" l="1"/>
  <c r="C118" i="1" s="1"/>
  <c r="D118" i="1"/>
  <c r="C211" i="1"/>
  <c r="D211" i="1" s="1"/>
  <c r="C23" i="1"/>
  <c r="BJ41" i="1"/>
  <c r="K40" i="2"/>
  <c r="K113" i="2"/>
  <c r="C103" i="1"/>
  <c r="J71" i="2"/>
  <c r="AS23" i="1" l="1"/>
  <c r="AS26" i="1"/>
  <c r="AS9" i="1"/>
  <c r="AS24" i="1"/>
  <c r="AS25" i="1"/>
  <c r="BI18" i="1"/>
  <c r="AS30" i="1"/>
  <c r="AS27" i="1"/>
  <c r="AS28" i="1"/>
  <c r="AS5" i="1"/>
  <c r="AS8" i="1"/>
  <c r="AS11" i="1"/>
  <c r="AS13" i="1"/>
  <c r="AS4" i="1"/>
  <c r="AS10" i="1"/>
  <c r="AS29" i="1"/>
  <c r="AS12" i="1"/>
  <c r="AS6" i="1"/>
  <c r="AS22" i="1"/>
  <c r="AS7" i="1"/>
  <c r="AS31" i="1"/>
  <c r="C109" i="1"/>
  <c r="C111" i="1" s="1"/>
  <c r="C17" i="1"/>
  <c r="C19" i="1" s="1"/>
  <c r="Z166" i="1"/>
  <c r="AA166" i="1"/>
  <c r="Y166" i="1"/>
  <c r="W166" i="1"/>
  <c r="X166" i="1"/>
  <c r="U166" i="1"/>
  <c r="BI9" i="1"/>
  <c r="F219" i="1"/>
  <c r="AC166" i="1"/>
  <c r="AB166" i="1"/>
  <c r="V166" i="1"/>
  <c r="BI12" i="1"/>
  <c r="J113" i="2"/>
  <c r="J112" i="2" s="1"/>
  <c r="K112" i="2"/>
  <c r="BJ12" i="1" l="1"/>
  <c r="BJ18" i="1"/>
  <c r="E210" i="1"/>
  <c r="C214" i="1" s="1"/>
  <c r="AS32" i="1"/>
  <c r="I219" i="1"/>
  <c r="I214" i="1"/>
  <c r="I166" i="1"/>
  <c r="L219" i="1"/>
  <c r="L166" i="1"/>
  <c r="L214" i="1"/>
  <c r="AU6" i="1"/>
  <c r="AS42" i="1"/>
  <c r="G166" i="1"/>
  <c r="BJ33" i="1"/>
  <c r="G214" i="1"/>
  <c r="G219" i="1"/>
  <c r="AS48" i="1"/>
  <c r="AU12" i="1"/>
  <c r="M219" i="1"/>
  <c r="M166" i="1"/>
  <c r="M214" i="1"/>
  <c r="AU10" i="1"/>
  <c r="AS46" i="1"/>
  <c r="AU13" i="1"/>
  <c r="AS49" i="1"/>
  <c r="Q214" i="1"/>
  <c r="Q166" i="1"/>
  <c r="Q219" i="1"/>
  <c r="AS14" i="1"/>
  <c r="AS40" i="1"/>
  <c r="AU4" i="1"/>
  <c r="AU11" i="1"/>
  <c r="AS47" i="1"/>
  <c r="H219" i="1"/>
  <c r="H166" i="1"/>
  <c r="H214" i="1"/>
  <c r="AU8" i="1"/>
  <c r="AS44" i="1"/>
  <c r="T166" i="1"/>
  <c r="T219" i="1"/>
  <c r="T214" i="1"/>
  <c r="S166" i="1"/>
  <c r="S214" i="1"/>
  <c r="S219" i="1"/>
  <c r="AU5" i="1"/>
  <c r="AS41" i="1"/>
  <c r="P214" i="1"/>
  <c r="P166" i="1"/>
  <c r="P219" i="1"/>
  <c r="K166" i="1"/>
  <c r="K214" i="1"/>
  <c r="K219" i="1"/>
  <c r="J219" i="1"/>
  <c r="J214" i="1"/>
  <c r="J166" i="1"/>
  <c r="O166" i="1"/>
  <c r="O214" i="1"/>
  <c r="O219" i="1"/>
  <c r="N166" i="1"/>
  <c r="N214" i="1"/>
  <c r="N219" i="1"/>
  <c r="R166" i="1"/>
  <c r="R219" i="1"/>
  <c r="R214" i="1"/>
  <c r="H30" i="1"/>
  <c r="C21" i="1"/>
  <c r="K14" i="2"/>
  <c r="BI34" i="1"/>
  <c r="BI7" i="1"/>
  <c r="BI21" i="1" s="1"/>
  <c r="BJ21" i="1" s="1"/>
  <c r="BJ13" i="1"/>
  <c r="BJ14" i="1"/>
  <c r="BJ15" i="1"/>
  <c r="BJ11" i="1"/>
  <c r="BI37" i="1"/>
  <c r="BI38" i="1" s="1"/>
  <c r="BI39" i="1" s="1"/>
  <c r="BI24" i="1"/>
  <c r="BJ24" i="1" s="1"/>
  <c r="BJ16" i="1"/>
  <c r="BI6" i="1"/>
  <c r="BJ17" i="1"/>
  <c r="BJ10" i="1"/>
  <c r="BW5" i="1"/>
  <c r="BJ8" i="1"/>
  <c r="AU9" i="1"/>
  <c r="AS45" i="1"/>
  <c r="F166" i="1"/>
  <c r="F214" i="1"/>
  <c r="F221" i="1"/>
  <c r="BJ9" i="1"/>
  <c r="AU7" i="1"/>
  <c r="AS43" i="1"/>
  <c r="C219" i="1" l="1"/>
  <c r="J17" i="1"/>
  <c r="H31" i="1"/>
  <c r="E166" i="1"/>
  <c r="D166" i="1" s="1"/>
  <c r="BR13" i="1"/>
  <c r="AZ13" i="1"/>
  <c r="AU49" i="1"/>
  <c r="AA152" i="1"/>
  <c r="AB152" i="1"/>
  <c r="BO13" i="1"/>
  <c r="J152" i="1"/>
  <c r="Z152" i="1"/>
  <c r="AV13" i="1"/>
  <c r="G134" i="1" s="1"/>
  <c r="L152" i="1"/>
  <c r="K152" i="1" s="1"/>
  <c r="AW13" i="1"/>
  <c r="AW49" i="1" s="1"/>
  <c r="AZ9" i="1"/>
  <c r="AW9" i="1"/>
  <c r="AW45" i="1" s="1"/>
  <c r="AV9" i="1"/>
  <c r="G130" i="1" s="1"/>
  <c r="BO9" i="1"/>
  <c r="AB148" i="1"/>
  <c r="AA148" i="1"/>
  <c r="J148" i="1"/>
  <c r="BR9" i="1"/>
  <c r="L148" i="1"/>
  <c r="K148" i="1" s="1"/>
  <c r="Z148" i="1"/>
  <c r="AU45" i="1"/>
  <c r="AA149" i="1"/>
  <c r="L149" i="1"/>
  <c r="K149" i="1" s="1"/>
  <c r="Z149" i="1"/>
  <c r="AW10" i="1"/>
  <c r="AW46" i="1" s="1"/>
  <c r="J149" i="1"/>
  <c r="BR10" i="1"/>
  <c r="BO10" i="1"/>
  <c r="AB149" i="1"/>
  <c r="AV10" i="1"/>
  <c r="G131" i="1" s="1"/>
  <c r="AU46" i="1"/>
  <c r="AZ10" i="1"/>
  <c r="BR12" i="1"/>
  <c r="AB151" i="1"/>
  <c r="Z151" i="1"/>
  <c r="AU48" i="1"/>
  <c r="AZ12" i="1"/>
  <c r="AV12" i="1"/>
  <c r="G133" i="1" s="1"/>
  <c r="BO12" i="1"/>
  <c r="J151" i="1"/>
  <c r="AW12" i="1"/>
  <c r="AW48" i="1" s="1"/>
  <c r="L151" i="1"/>
  <c r="K151" i="1" s="1"/>
  <c r="AA151" i="1"/>
  <c r="J143" i="1"/>
  <c r="Z143" i="1"/>
  <c r="BO4" i="1"/>
  <c r="AW4" i="1"/>
  <c r="AU40" i="1"/>
  <c r="AU14" i="1"/>
  <c r="L143" i="1"/>
  <c r="K143" i="1" s="1"/>
  <c r="AZ4" i="1"/>
  <c r="AV4" i="1"/>
  <c r="G125" i="1" s="1"/>
  <c r="BR4" i="1"/>
  <c r="AA143" i="1"/>
  <c r="AB143" i="1"/>
  <c r="AA146" i="1"/>
  <c r="AB146" i="1"/>
  <c r="BR7" i="1"/>
  <c r="J146" i="1"/>
  <c r="Z146" i="1"/>
  <c r="AW7" i="1"/>
  <c r="AW43" i="1" s="1"/>
  <c r="AZ7" i="1"/>
  <c r="AU43" i="1"/>
  <c r="L146" i="1"/>
  <c r="K146" i="1" s="1"/>
  <c r="BO7" i="1"/>
  <c r="AV7" i="1"/>
  <c r="G128" i="1" s="1"/>
  <c r="BO8" i="1"/>
  <c r="AZ8" i="1"/>
  <c r="AV8" i="1"/>
  <c r="G129" i="1" s="1"/>
  <c r="L147" i="1"/>
  <c r="K147" i="1" s="1"/>
  <c r="AA147" i="1"/>
  <c r="AU44" i="1"/>
  <c r="AB147" i="1"/>
  <c r="BR8" i="1"/>
  <c r="J147" i="1"/>
  <c r="Z147" i="1"/>
  <c r="AW8" i="1"/>
  <c r="AW44" i="1" s="1"/>
  <c r="AA150" i="1"/>
  <c r="BO11" i="1"/>
  <c r="AZ11" i="1"/>
  <c r="AU47" i="1"/>
  <c r="BR11" i="1"/>
  <c r="Z150" i="1"/>
  <c r="L150" i="1"/>
  <c r="K150" i="1" s="1"/>
  <c r="AB150" i="1"/>
  <c r="AW11" i="1"/>
  <c r="AW47" i="1" s="1"/>
  <c r="AV11" i="1"/>
  <c r="G132" i="1" s="1"/>
  <c r="J150" i="1"/>
  <c r="AV6" i="1"/>
  <c r="G127" i="1" s="1"/>
  <c r="J145" i="1"/>
  <c r="AU42" i="1"/>
  <c r="L145" i="1"/>
  <c r="K145" i="1" s="1"/>
  <c r="AA145" i="1"/>
  <c r="Z145" i="1"/>
  <c r="BR6" i="1"/>
  <c r="AB145" i="1"/>
  <c r="AZ6" i="1"/>
  <c r="AW6" i="1"/>
  <c r="AW42" i="1" s="1"/>
  <c r="BO6" i="1"/>
  <c r="AS50" i="1"/>
  <c r="AS51" i="1" s="1"/>
  <c r="AS15" i="1"/>
  <c r="AS33" i="1"/>
  <c r="G221" i="1"/>
  <c r="H221" i="1" s="1"/>
  <c r="I221" i="1" s="1"/>
  <c r="J221" i="1" s="1"/>
  <c r="K221" i="1" s="1"/>
  <c r="L221" i="1" s="1"/>
  <c r="M221" i="1" s="1"/>
  <c r="N221" i="1" s="1"/>
  <c r="J19" i="2"/>
  <c r="K19" i="2" s="1"/>
  <c r="J14" i="2"/>
  <c r="C215" i="1"/>
  <c r="D215" i="1" s="1"/>
  <c r="C217" i="1"/>
  <c r="C221" i="1" s="1"/>
  <c r="D210" i="1"/>
  <c r="C26" i="1"/>
  <c r="I24" i="2" s="1"/>
  <c r="BI22" i="1"/>
  <c r="BJ22" i="1" s="1"/>
  <c r="C28" i="1"/>
  <c r="BI23" i="1"/>
  <c r="BJ45" i="1"/>
  <c r="BL45" i="1" s="1"/>
  <c r="BJ48" i="1"/>
  <c r="BL48" i="1" s="1"/>
  <c r="BJ44" i="1"/>
  <c r="BJ46" i="1"/>
  <c r="BL46" i="1" s="1"/>
  <c r="BJ47" i="1"/>
  <c r="BL47" i="1" s="1"/>
  <c r="E214" i="1"/>
  <c r="F215" i="1"/>
  <c r="G215" i="1" s="1"/>
  <c r="H215" i="1" s="1"/>
  <c r="I215" i="1" s="1"/>
  <c r="J215" i="1" s="1"/>
  <c r="K215" i="1" s="1"/>
  <c r="L215" i="1" s="1"/>
  <c r="M215" i="1" s="1"/>
  <c r="N215" i="1" s="1"/>
  <c r="O215" i="1" s="1"/>
  <c r="P215" i="1" s="1"/>
  <c r="Q215" i="1" s="1"/>
  <c r="R215" i="1" s="1"/>
  <c r="S215" i="1" s="1"/>
  <c r="T215" i="1" s="1"/>
  <c r="U215" i="1" s="1"/>
  <c r="V215" i="1" s="1"/>
  <c r="W215" i="1" s="1"/>
  <c r="X215" i="1" s="1"/>
  <c r="Y215" i="1" s="1"/>
  <c r="Z215" i="1" s="1"/>
  <c r="AA215" i="1" s="1"/>
  <c r="AB215" i="1" s="1"/>
  <c r="AC215" i="1" s="1"/>
  <c r="I19" i="1"/>
  <c r="I26" i="1"/>
  <c r="I27" i="1"/>
  <c r="I25" i="1"/>
  <c r="I16" i="1"/>
  <c r="I15" i="1"/>
  <c r="I22" i="1"/>
  <c r="I18" i="1"/>
  <c r="I17" i="1"/>
  <c r="I20" i="1"/>
  <c r="AA144" i="1"/>
  <c r="BO5" i="1"/>
  <c r="Z144" i="1"/>
  <c r="AV5" i="1"/>
  <c r="G126" i="1" s="1"/>
  <c r="AB144" i="1"/>
  <c r="J144" i="1"/>
  <c r="AW5" i="1"/>
  <c r="AW41" i="1" s="1"/>
  <c r="BR5" i="1"/>
  <c r="AZ5" i="1"/>
  <c r="L144" i="1"/>
  <c r="K144" i="1" s="1"/>
  <c r="AU41" i="1"/>
  <c r="C220" i="1" l="1"/>
  <c r="G177" i="2" s="1"/>
  <c r="I29" i="1"/>
  <c r="J24" i="2"/>
  <c r="C30" i="1"/>
  <c r="K24" i="2" s="1"/>
  <c r="BW7" i="1"/>
  <c r="H33" i="2"/>
  <c r="AV44" i="1"/>
  <c r="AV42" i="1"/>
  <c r="H31" i="2"/>
  <c r="AV46" i="1"/>
  <c r="H35" i="2"/>
  <c r="BC8" i="1"/>
  <c r="BB8" i="1"/>
  <c r="AY8" i="1"/>
  <c r="I33" i="2" s="1"/>
  <c r="BD8" i="1"/>
  <c r="J33" i="2"/>
  <c r="AZ44" i="1"/>
  <c r="AV40" i="1"/>
  <c r="AU50" i="1"/>
  <c r="H29" i="2"/>
  <c r="O221" i="1"/>
  <c r="N223" i="1"/>
  <c r="BD7" i="1"/>
  <c r="AY7" i="1"/>
  <c r="I32" i="2" s="1"/>
  <c r="BB7" i="1"/>
  <c r="AZ43" i="1"/>
  <c r="BC7" i="1"/>
  <c r="J32" i="2"/>
  <c r="AV49" i="1"/>
  <c r="H38" i="2"/>
  <c r="AY6" i="1"/>
  <c r="I31" i="2" s="1"/>
  <c r="BB6" i="1"/>
  <c r="BD6" i="1"/>
  <c r="BC6" i="1"/>
  <c r="J31" i="2"/>
  <c r="AZ42" i="1"/>
  <c r="BB12" i="1"/>
  <c r="BD12" i="1"/>
  <c r="AZ48" i="1"/>
  <c r="BC12" i="1"/>
  <c r="J37" i="2"/>
  <c r="AY12" i="1"/>
  <c r="I37" i="2" s="1"/>
  <c r="BJ49" i="1"/>
  <c r="BL44" i="1"/>
  <c r="BL49" i="1" s="1"/>
  <c r="AV48" i="1"/>
  <c r="H37" i="2"/>
  <c r="L26" i="1"/>
  <c r="L25" i="1"/>
  <c r="G135" i="1"/>
  <c r="BC10" i="1"/>
  <c r="BD10" i="1"/>
  <c r="AZ46" i="1"/>
  <c r="J35" i="2"/>
  <c r="BB10" i="1"/>
  <c r="AY10" i="1"/>
  <c r="I35" i="2" s="1"/>
  <c r="AZ40" i="1"/>
  <c r="AY4" i="1"/>
  <c r="I29" i="2" s="1"/>
  <c r="BB4" i="1"/>
  <c r="BD4" i="1"/>
  <c r="AZ14" i="1"/>
  <c r="J29" i="2"/>
  <c r="BC4" i="1"/>
  <c r="BB9" i="1"/>
  <c r="AY9" i="1"/>
  <c r="I34" i="2" s="1"/>
  <c r="BD9" i="1"/>
  <c r="AZ45" i="1"/>
  <c r="BC9" i="1"/>
  <c r="J34" i="2"/>
  <c r="G176" i="2"/>
  <c r="AV14" i="1"/>
  <c r="AV15" i="1" s="1"/>
  <c r="AU15" i="1"/>
  <c r="C222" i="1"/>
  <c r="G179" i="2" s="1"/>
  <c r="G178" i="2"/>
  <c r="AW14" i="1"/>
  <c r="AW15" i="1" s="1"/>
  <c r="AW40" i="1"/>
  <c r="AW50" i="1" s="1"/>
  <c r="AW51" i="1" s="1"/>
  <c r="AV41" i="1"/>
  <c r="H30" i="2"/>
  <c r="J153" i="1" a="1"/>
  <c r="J153" i="1" s="1"/>
  <c r="H32" i="2"/>
  <c r="AV43" i="1"/>
  <c r="BD5" i="1"/>
  <c r="BB5" i="1"/>
  <c r="BC5" i="1"/>
  <c r="J30" i="2"/>
  <c r="AZ41" i="1"/>
  <c r="AY5" i="1"/>
  <c r="I30" i="2" s="1"/>
  <c r="AV47" i="1"/>
  <c r="H36" i="2"/>
  <c r="AV45" i="1"/>
  <c r="H34" i="2"/>
  <c r="J38" i="2"/>
  <c r="BD13" i="1"/>
  <c r="BB13" i="1"/>
  <c r="BC13" i="1"/>
  <c r="AY13" i="1"/>
  <c r="I38" i="2" s="1"/>
  <c r="AZ49" i="1"/>
  <c r="C24" i="1"/>
  <c r="H24" i="2" s="1"/>
  <c r="BD11" i="1"/>
  <c r="AZ47" i="1"/>
  <c r="AY11" i="1"/>
  <c r="I36" i="2" s="1"/>
  <c r="BC11" i="1"/>
  <c r="J36" i="2"/>
  <c r="BB11" i="1"/>
  <c r="D214" i="1"/>
  <c r="D217" i="1"/>
  <c r="BC14" i="1" l="1"/>
  <c r="BC15" i="1" s="1"/>
  <c r="BA5" i="1"/>
  <c r="K30" i="2"/>
  <c r="P221" i="1"/>
  <c r="O223" i="1"/>
  <c r="AU51" i="1"/>
  <c r="AV50" i="1"/>
  <c r="AV51" i="1" s="1"/>
  <c r="K33" i="2"/>
  <c r="BA8" i="1"/>
  <c r="J178" i="2"/>
  <c r="E178" i="2"/>
  <c r="K178" i="2"/>
  <c r="D178" i="2"/>
  <c r="K176" i="2"/>
  <c r="J176" i="2"/>
  <c r="D176" i="2"/>
  <c r="E176" i="2"/>
  <c r="J177" i="2"/>
  <c r="D177" i="2"/>
  <c r="E177" i="2"/>
  <c r="K177" i="2"/>
  <c r="B223" i="1"/>
  <c r="K37" i="2"/>
  <c r="BA12" i="1"/>
  <c r="AY49" i="1"/>
  <c r="BB49" i="1"/>
  <c r="BC49" i="1"/>
  <c r="BD49" i="1"/>
  <c r="BA49" i="1" s="1"/>
  <c r="BD40" i="1"/>
  <c r="BA40" i="1" s="1"/>
  <c r="BC40" i="1"/>
  <c r="BB40" i="1"/>
  <c r="AZ50" i="1"/>
  <c r="AY40" i="1"/>
  <c r="AY42" i="1"/>
  <c r="BC42" i="1"/>
  <c r="BD42" i="1"/>
  <c r="BA42" i="1" s="1"/>
  <c r="BB42" i="1"/>
  <c r="K38" i="2"/>
  <c r="BA13" i="1"/>
  <c r="BA10" i="1"/>
  <c r="K35" i="2"/>
  <c r="BD14" i="1"/>
  <c r="BD15" i="1" s="1"/>
  <c r="BB14" i="1"/>
  <c r="BB15" i="1" s="1"/>
  <c r="AY14" i="1"/>
  <c r="AY15" i="1" s="1"/>
  <c r="AZ15" i="1"/>
  <c r="AY48" i="1"/>
  <c r="BB48" i="1"/>
  <c r="BC48" i="1"/>
  <c r="BD48" i="1"/>
  <c r="BA48" i="1" s="1"/>
  <c r="AY44" i="1"/>
  <c r="BD44" i="1"/>
  <c r="BA44" i="1" s="1"/>
  <c r="BC44" i="1"/>
  <c r="BB44" i="1"/>
  <c r="BD47" i="1"/>
  <c r="BA47" i="1" s="1"/>
  <c r="BC47" i="1"/>
  <c r="BB47" i="1"/>
  <c r="AY47" i="1"/>
  <c r="K36" i="2"/>
  <c r="BA11" i="1"/>
  <c r="BA4" i="1"/>
  <c r="K29" i="2"/>
  <c r="D179" i="2"/>
  <c r="J179" i="2"/>
  <c r="K179" i="2"/>
  <c r="E179" i="2"/>
  <c r="K31" i="2"/>
  <c r="BA6" i="1"/>
  <c r="BD46" i="1"/>
  <c r="BA46" i="1" s="1"/>
  <c r="BB46" i="1"/>
  <c r="AY46" i="1"/>
  <c r="BC46" i="1"/>
  <c r="AY41" i="1"/>
  <c r="BD41" i="1"/>
  <c r="BA41" i="1" s="1"/>
  <c r="BC41" i="1"/>
  <c r="BB41" i="1"/>
  <c r="AY45" i="1"/>
  <c r="BB45" i="1"/>
  <c r="BD45" i="1"/>
  <c r="BA45" i="1" s="1"/>
  <c r="BC45" i="1"/>
  <c r="BC43" i="1"/>
  <c r="BB43" i="1"/>
  <c r="AY43" i="1"/>
  <c r="BD43" i="1"/>
  <c r="BA43" i="1" s="1"/>
  <c r="K34" i="2"/>
  <c r="BA9" i="1"/>
  <c r="BZ12" i="1"/>
  <c r="CA12" i="1" s="1"/>
  <c r="BZ17" i="1"/>
  <c r="CA17" i="1" s="1"/>
  <c r="BZ20" i="1"/>
  <c r="CA20" i="1" s="1"/>
  <c r="BZ10" i="1"/>
  <c r="BZ16" i="1"/>
  <c r="CA16" i="1" s="1"/>
  <c r="BZ15" i="1"/>
  <c r="CA15" i="1" s="1"/>
  <c r="BA7" i="1"/>
  <c r="K32" i="2"/>
  <c r="AY50" i="1" l="1"/>
  <c r="AY51" i="1" s="1"/>
  <c r="BB50" i="1"/>
  <c r="BB51" i="1" s="1"/>
  <c r="BD50" i="1"/>
  <c r="BD51" i="1" s="1"/>
  <c r="AZ51" i="1"/>
  <c r="BZ19" i="1"/>
  <c r="BZ21" i="1" s="1"/>
  <c r="CA21" i="1" s="1"/>
  <c r="CA10" i="1"/>
  <c r="CA19" i="1" s="1"/>
  <c r="P223" i="1"/>
  <c r="Q221" i="1"/>
  <c r="R221" i="1" l="1"/>
  <c r="Q223" i="1"/>
  <c r="R223" i="1" l="1"/>
  <c r="S221" i="1"/>
  <c r="T221" i="1" l="1"/>
  <c r="S223" i="1"/>
  <c r="U221" i="1" l="1"/>
  <c r="T223" i="1"/>
  <c r="U223" i="1" l="1"/>
  <c r="V221" i="1"/>
  <c r="W221" i="1" l="1"/>
  <c r="V223" i="1"/>
  <c r="X221" i="1" l="1"/>
  <c r="W223" i="1"/>
  <c r="Y221" i="1" l="1"/>
  <c r="X223" i="1"/>
  <c r="Z221" i="1" l="1"/>
  <c r="Y223" i="1"/>
  <c r="Z223" i="1" l="1"/>
  <c r="AA221" i="1"/>
  <c r="AB221" i="1" l="1"/>
  <c r="AA223" i="1"/>
  <c r="AB223" i="1" l="1"/>
  <c r="AC221" i="1"/>
  <c r="AC223" i="1" l="1"/>
  <c r="AD18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Abdullah alothman</author>
  </authors>
  <commentList>
    <comment ref="BH8" authorId="0" shapeId="0" xr:uid="{4E101031-20A4-436C-8CA0-BC3C28587753}">
      <text>
        <r>
          <rPr>
            <sz val="6"/>
            <color indexed="81"/>
            <rFont val="Calibri"/>
            <family val="2"/>
            <scheme val="minor"/>
          </rPr>
          <t>أجمالي التكاليف البناء.
التسوير.
أعمال الحفر والمسح والاختبارات.
أثاث الوحدات.
أثاث الوحدات الفندقية.</t>
        </r>
      </text>
    </comment>
    <comment ref="BH9" authorId="0" shapeId="0" xr:uid="{40D5BD1F-88B7-4DD3-B888-D1BEDA076FAC}">
      <text>
        <r>
          <rPr>
            <b/>
            <sz val="6"/>
            <color indexed="81"/>
            <rFont val="Calibri"/>
            <family val="2"/>
            <scheme val="minor"/>
          </rPr>
          <t>التأمين.
رخصة البناء.
أعمال التصميم.
الإشراف الهندسي.
رسوم توصيل الكهرباء.
رسوم توصيل المياه والصرف الصحي.
رسوم فرز الوحدات.
ضمان الوحدات المباعة.
تسويق المبيعات.
تسويق الإيجار.
تسويق البيع على الخارطة.
أتعاب المطور.
رسوم ترتيب قرض الصندوق.
رسوم إدارة الهيكلة.
رسوم إدارة الأصول.
أتعاب المشغل.
تكاليف الصندوق الأخرى.</t>
        </r>
        <r>
          <rPr>
            <b/>
            <sz val="5"/>
            <color indexed="81"/>
            <rFont val="Calibri"/>
            <family val="2"/>
            <scheme val="minor"/>
          </rPr>
          <t xml:space="preserve">
</t>
        </r>
      </text>
    </comment>
    <comment ref="BH10" authorId="0" shapeId="0" xr:uid="{050165CB-02AD-43FC-BED7-217BC188F54F}">
      <text>
        <r>
          <rPr>
            <sz val="6"/>
            <color indexed="81"/>
            <rFont val="Calibri"/>
            <family val="2"/>
            <scheme val="minor"/>
          </rPr>
          <t>تكاليف الأرض.
الاحتياطي.
تكاليف التمويل.
تكاليف التشغيل.</t>
        </r>
      </text>
    </comment>
    <comment ref="BH11" authorId="0" shapeId="0" xr:uid="{E8BB6451-5A62-40FC-8D5E-90A7C0F8647D}">
      <text>
        <r>
          <rPr>
            <sz val="6"/>
            <color indexed="81"/>
            <rFont val="Calibri"/>
            <family val="2"/>
            <scheme val="minor"/>
          </rPr>
          <t>شامل التكاليف التشغيلية.</t>
        </r>
      </text>
    </comment>
    <comment ref="BH12" authorId="0" shapeId="0" xr:uid="{FA4E48F8-BF18-4D0A-8287-5AE54882F178}">
      <text>
        <r>
          <rPr>
            <sz val="6"/>
            <color indexed="81"/>
            <rFont val="Calibri"/>
            <family val="2"/>
            <scheme val="minor"/>
          </rPr>
          <t>غير شامل تكاليف وافي.</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<sst xmlns="http://schemas.openxmlformats.org/spreadsheetml/2006/main" count="1110" uniqueCount="552">
  <si>
    <t>Financial Structuring | الهيكلة المالية</t>
  </si>
  <si>
    <t xml:space="preserve"> Feasibility Study Summary | ملخص دراسة الجدوى</t>
  </si>
  <si>
    <t>المصدر
(Source)</t>
  </si>
  <si>
    <t>SAR</t>
  </si>
  <si>
    <t>%</t>
  </si>
  <si>
    <t>البند
(Item)</t>
  </si>
  <si>
    <t>القيمة
(Value)</t>
  </si>
  <si>
    <t>(Equity) - الملكية</t>
  </si>
  <si>
    <t>إجمالي الإيرادات
(Total Revenue)</t>
  </si>
  <si>
    <t xml:space="preserve"> رأس المال - (capital)</t>
  </si>
  <si>
    <t>إجمالي تكلفة الأرض
(Total Land Cost)</t>
  </si>
  <si>
    <t xml:space="preserve"> الاشتراكات النقدية
 (Cash Subscription)</t>
  </si>
  <si>
    <t>إجمالي تكلفة البناء
 (Total Construction Cost)</t>
  </si>
  <si>
    <t xml:space="preserve"> الاشتراك من مدير الصندوق
 (fund manager's Subscription)</t>
  </si>
  <si>
    <t>إجمالي التكاليف الأخرى
 (Total Other cost)</t>
  </si>
  <si>
    <t>الأشتراك النقدي من المطور
(Cash Subscription from Developer)</t>
  </si>
  <si>
    <t>إجمالي رسوم الصندوق
(Total Fund Fees)</t>
  </si>
  <si>
    <t>الأشتراك العيني من المطور
(In-Kind Subscription from Developer)</t>
  </si>
  <si>
    <t>فوائد التمويل
 (Interest)</t>
  </si>
  <si>
    <t xml:space="preserve"> الإشتراك العيني من مالك الأرض
 (In-Kind Subscription from Landowner)</t>
  </si>
  <si>
    <t>إجمالي الملكية 
(Total Equity)</t>
  </si>
  <si>
    <t>صافي الدخل
(Net Income)</t>
  </si>
  <si>
    <r>
      <t xml:space="preserve">معدل العائد الداخلي
</t>
    </r>
    <r>
      <rPr>
        <sz val="8"/>
        <color theme="5" tint="-0.249977111117893"/>
        <rFont val="Calibri"/>
        <family val="2"/>
      </rPr>
      <t>(IRR)</t>
    </r>
  </si>
  <si>
    <r>
      <t xml:space="preserve">العائد على الإستثمار
</t>
    </r>
    <r>
      <rPr>
        <sz val="8"/>
        <color theme="5" tint="-0.249977111117893"/>
        <rFont val="Calibri"/>
        <family val="2"/>
      </rPr>
      <t xml:space="preserve">(ROI) </t>
    </r>
    <r>
      <rPr>
        <sz val="8"/>
        <color theme="1"/>
        <rFont val="Calibri"/>
        <family val="2"/>
      </rPr>
      <t xml:space="preserve"> </t>
    </r>
  </si>
  <si>
    <r>
      <t xml:space="preserve">العائد على الملكية
</t>
    </r>
    <r>
      <rPr>
        <sz val="8"/>
        <color theme="5" tint="-0.249977111117893"/>
        <rFont val="Calibri"/>
        <family val="2"/>
      </rPr>
      <t xml:space="preserve">(ROE) </t>
    </r>
  </si>
  <si>
    <t>البيع على الخارطة
(Off-Plan Sales)</t>
  </si>
  <si>
    <r>
      <t xml:space="preserve">  العائد على الملكية السنوي
</t>
    </r>
    <r>
      <rPr>
        <sz val="8"/>
        <color theme="5" tint="-0.24994659260841701"/>
        <rFont val="Calibri"/>
        <family val="2"/>
      </rPr>
      <t>(ROE Annually</t>
    </r>
    <r>
      <rPr>
        <sz val="8"/>
        <color theme="5" tint="-0.249977111117893"/>
        <rFont val="Calibri"/>
        <family val="2"/>
      </rPr>
      <t>)</t>
    </r>
  </si>
  <si>
    <t>مصادر أخرى
(Other Sources)</t>
  </si>
  <si>
    <t>إجمالي مصادر التمويل 
(Total Financing Sources)</t>
  </si>
  <si>
    <t xml:space="preserve"> الفرق
 (Difference)</t>
  </si>
  <si>
    <t>تفاصيل الأرض | Land Details</t>
  </si>
  <si>
    <t>رقم الأرض
(Land Number)</t>
  </si>
  <si>
    <t>المساحة الأرض
(Land Area)</t>
  </si>
  <si>
    <t>التكلفة للمتر
(Cost per SQM)</t>
  </si>
  <si>
    <t>معامل البناء
(FAR)</t>
  </si>
  <si>
    <r>
      <t>إجمالي مسطحات البناء فوق الأرض
(</t>
    </r>
    <r>
      <rPr>
        <sz val="8"/>
        <color theme="5" tint="0.59999389629810485"/>
        <rFont val="Calibri"/>
        <family val="2"/>
      </rPr>
      <t>A</t>
    </r>
    <r>
      <rPr>
        <sz val="8"/>
        <color theme="0"/>
        <rFont val="Calibri"/>
        <family val="2"/>
      </rPr>
      <t xml:space="preserve">bove </t>
    </r>
    <r>
      <rPr>
        <sz val="8"/>
        <color theme="5" tint="0.59999389629810485"/>
        <rFont val="Calibri"/>
        <family val="2"/>
      </rPr>
      <t>G</t>
    </r>
    <r>
      <rPr>
        <sz val="8"/>
        <color theme="0"/>
        <rFont val="Calibri"/>
        <family val="2"/>
      </rPr>
      <t xml:space="preserve">rade </t>
    </r>
    <r>
      <rPr>
        <sz val="8"/>
        <color theme="5" tint="0.59999389629810485"/>
        <rFont val="Calibri"/>
        <family val="2"/>
      </rPr>
      <t>G</t>
    </r>
    <r>
      <rPr>
        <sz val="8"/>
        <color theme="0"/>
        <rFont val="Calibri"/>
        <family val="2"/>
      </rPr>
      <t xml:space="preserve">ross </t>
    </r>
    <r>
      <rPr>
        <sz val="8"/>
        <color theme="5" tint="0.59999389629810485"/>
        <rFont val="Calibri"/>
        <family val="2"/>
      </rPr>
      <t>B</t>
    </r>
    <r>
      <rPr>
        <sz val="8"/>
        <color theme="0"/>
        <rFont val="Calibri"/>
        <family val="2"/>
      </rPr>
      <t xml:space="preserve">uilding </t>
    </r>
    <r>
      <rPr>
        <sz val="8"/>
        <color theme="5" tint="0.59999389629810485"/>
        <rFont val="Calibri"/>
        <family val="2"/>
      </rPr>
      <t>A</t>
    </r>
    <r>
      <rPr>
        <sz val="8"/>
        <color theme="0"/>
        <rFont val="Calibri"/>
        <family val="2"/>
      </rPr>
      <t>rea)</t>
    </r>
  </si>
  <si>
    <t>الإجمالي
 (Total)</t>
  </si>
  <si>
    <t>المكون
(Component)</t>
  </si>
  <si>
    <t>سكني 
(Apartments)</t>
  </si>
  <si>
    <t>فلل
(Villas)</t>
  </si>
  <si>
    <t>تاون هاوس
(Townhouse)</t>
  </si>
  <si>
    <t>أدوار
(Floors)</t>
  </si>
  <si>
    <t>تجاري
 (Retail)</t>
  </si>
  <si>
    <t>فندقي 
(Hotel)</t>
  </si>
  <si>
    <t>صحي 
(health)</t>
  </si>
  <si>
    <t>شاليهات
(Chalets)</t>
  </si>
  <si>
    <t>Construction Details and Costs | تفاصيل البناء و تكاليفة</t>
  </si>
  <si>
    <t>طول الأرض على الشارع
(Land Frontage)</t>
  </si>
  <si>
    <t>عمق الأرض
(Land Depth)</t>
  </si>
  <si>
    <r>
      <t>إجمالي المساحة التطويرية 
(</t>
    </r>
    <r>
      <rPr>
        <sz val="8"/>
        <color theme="5" tint="0.59999389629810485"/>
        <rFont val="Calibri"/>
        <family val="2"/>
      </rPr>
      <t>T</t>
    </r>
    <r>
      <rPr>
        <sz val="8"/>
        <color theme="0"/>
        <rFont val="Calibri"/>
        <family val="2"/>
      </rPr>
      <t xml:space="preserve">otal </t>
    </r>
    <r>
      <rPr>
        <sz val="8"/>
        <color theme="5" tint="0.59999389629810485"/>
        <rFont val="Calibri"/>
        <family val="2"/>
      </rPr>
      <t>D</t>
    </r>
    <r>
      <rPr>
        <sz val="8"/>
        <color theme="0"/>
        <rFont val="Calibri"/>
        <family val="2"/>
      </rPr>
      <t xml:space="preserve">evelopment </t>
    </r>
    <r>
      <rPr>
        <sz val="8"/>
        <color theme="5" tint="0.59999389629810485"/>
        <rFont val="Calibri"/>
        <family val="2"/>
      </rPr>
      <t>A</t>
    </r>
    <r>
      <rPr>
        <sz val="8"/>
        <color theme="0"/>
        <rFont val="Calibri"/>
        <family val="2"/>
      </rPr>
      <t>rea)</t>
    </r>
  </si>
  <si>
    <r>
      <t>إجمالي المساحة المبنية
(</t>
    </r>
    <r>
      <rPr>
        <sz val="8"/>
        <color theme="5" tint="0.59999389629810485"/>
        <rFont val="Calibri"/>
        <family val="2"/>
      </rPr>
      <t>G</t>
    </r>
    <r>
      <rPr>
        <sz val="8"/>
        <color theme="0"/>
        <rFont val="Calibri"/>
        <family val="2"/>
      </rPr>
      <t xml:space="preserve">ross </t>
    </r>
    <r>
      <rPr>
        <sz val="8"/>
        <color theme="5" tint="0.59999389629810485"/>
        <rFont val="Calibri"/>
        <family val="2"/>
      </rPr>
      <t>B</t>
    </r>
    <r>
      <rPr>
        <sz val="8"/>
        <color theme="0"/>
        <rFont val="Calibri"/>
        <family val="2"/>
      </rPr>
      <t xml:space="preserve">uilt-Up </t>
    </r>
    <r>
      <rPr>
        <sz val="8"/>
        <color theme="5" tint="0.59999389629810485"/>
        <rFont val="Calibri"/>
        <family val="2"/>
      </rPr>
      <t>A</t>
    </r>
    <r>
      <rPr>
        <sz val="8"/>
        <color theme="0"/>
        <rFont val="Calibri"/>
        <family val="2"/>
      </rPr>
      <t>rea)</t>
    </r>
  </si>
  <si>
    <r>
      <t>إجمالي المساحة البنائية فوق مستوى الأرض
(</t>
    </r>
    <r>
      <rPr>
        <sz val="8"/>
        <color theme="5" tint="0.59999389629810485"/>
        <rFont val="Calibri"/>
        <family val="2"/>
      </rPr>
      <t>A</t>
    </r>
    <r>
      <rPr>
        <sz val="8"/>
        <color theme="0"/>
        <rFont val="Calibri"/>
        <family val="2"/>
      </rPr>
      <t xml:space="preserve">bove </t>
    </r>
    <r>
      <rPr>
        <sz val="8"/>
        <color theme="5" tint="0.59999389629810485"/>
        <rFont val="Calibri"/>
        <family val="2"/>
      </rPr>
      <t>G</t>
    </r>
    <r>
      <rPr>
        <sz val="8"/>
        <color theme="0"/>
        <rFont val="Calibri"/>
        <family val="2"/>
      </rPr>
      <t xml:space="preserve">rade </t>
    </r>
    <r>
      <rPr>
        <sz val="8"/>
        <color theme="5" tint="0.59999389629810485"/>
        <rFont val="Calibri"/>
        <family val="2"/>
      </rPr>
      <t>G</t>
    </r>
    <r>
      <rPr>
        <sz val="8"/>
        <color theme="0"/>
        <rFont val="Calibri"/>
        <family val="2"/>
      </rPr>
      <t xml:space="preserve">ross </t>
    </r>
    <r>
      <rPr>
        <sz val="8"/>
        <color theme="5" tint="0.59999389629810485"/>
        <rFont val="Calibri"/>
        <family val="2"/>
      </rPr>
      <t>B</t>
    </r>
    <r>
      <rPr>
        <sz val="8"/>
        <color theme="0"/>
        <rFont val="Calibri"/>
        <family val="2"/>
      </rPr>
      <t xml:space="preserve">uilding </t>
    </r>
    <r>
      <rPr>
        <sz val="8"/>
        <color theme="5" tint="0.59999389629810485"/>
        <rFont val="Calibri"/>
        <family val="2"/>
      </rPr>
      <t>A</t>
    </r>
    <r>
      <rPr>
        <sz val="8"/>
        <color theme="0"/>
        <rFont val="Calibri"/>
        <family val="2"/>
      </rPr>
      <t>rea)</t>
    </r>
  </si>
  <si>
    <r>
      <t>إجمالي المساحات القابلة للبيع
(</t>
    </r>
    <r>
      <rPr>
        <sz val="8"/>
        <color theme="5" tint="0.59999389629810485"/>
        <rFont val="Calibri"/>
        <family val="2"/>
      </rPr>
      <t>N</t>
    </r>
    <r>
      <rPr>
        <sz val="8"/>
        <color theme="0"/>
        <rFont val="Calibri"/>
        <family val="2"/>
      </rPr>
      <t xml:space="preserve">et </t>
    </r>
    <r>
      <rPr>
        <sz val="8"/>
        <color theme="5" tint="0.59999389629810485"/>
        <rFont val="Calibri"/>
        <family val="2"/>
      </rPr>
      <t>S</t>
    </r>
    <r>
      <rPr>
        <sz val="8"/>
        <color theme="0"/>
        <rFont val="Calibri"/>
        <family val="2"/>
      </rPr>
      <t xml:space="preserve">ellable </t>
    </r>
    <r>
      <rPr>
        <sz val="8"/>
        <color theme="5" tint="0.59999389629810485"/>
        <rFont val="Calibri"/>
        <family val="2"/>
      </rPr>
      <t>A</t>
    </r>
    <r>
      <rPr>
        <sz val="8"/>
        <color theme="0"/>
        <rFont val="Calibri"/>
        <family val="2"/>
      </rPr>
      <t>rea)</t>
    </r>
  </si>
  <si>
    <t>المواقف
(Parking)</t>
  </si>
  <si>
    <t>معيار المواقف
(Parking Standards)</t>
  </si>
  <si>
    <t>نسبة المكون من المساحة البنائية
(GBA-%)</t>
  </si>
  <si>
    <t>إجمالي المساحة البنائية للمكون 
(GBA)</t>
  </si>
  <si>
    <t>نسبة المساحات الصافية القابلة للبيع
  (NSA-%)</t>
  </si>
  <si>
    <t>المساحات الصافية القابلة للبيع
(NSA)</t>
  </si>
  <si>
    <t>مساحة الوحدة
(Unit Area)</t>
  </si>
  <si>
    <t>عدد الوحدات
(Number of Units)</t>
  </si>
  <si>
    <t>تكلفة متر البناء
 (Construction cost Per m²)</t>
  </si>
  <si>
    <t>اجمالي التكاليف
(Total Costs)</t>
  </si>
  <si>
    <t>صافي دخل كل مكون
(Net Income per Component)</t>
  </si>
  <si>
    <t>نسبة عائد كل مكون
(Return % per Component)</t>
  </si>
  <si>
    <t>أستوديوهات
(Studios)</t>
  </si>
  <si>
    <t>لا يــــنــطــبــق</t>
  </si>
  <si>
    <t>-</t>
  </si>
  <si>
    <t>لاند سكيب* 
(Landscape)</t>
  </si>
  <si>
    <t>بوديوم*
 (Podium)</t>
  </si>
  <si>
    <t>إجمالي المواقف المتوفرة
(Total Available Parking Spaces)</t>
  </si>
  <si>
    <t>من مساحة الأرض*
(Based on Land Area)</t>
  </si>
  <si>
    <t>إجمالي المواقف المطلوبة
(Total Required Parking Spaces)</t>
  </si>
  <si>
    <t xml:space="preserve">فارق المواقف
(Parking Deficit) </t>
  </si>
  <si>
    <t>Other Cost | التكاليف الأخرى</t>
  </si>
  <si>
    <t>المعيار
(Standard)</t>
  </si>
  <si>
    <t>التسوير 
 (Fencing)</t>
  </si>
  <si>
    <t>الحفر والمسح والاختبار 
 (Excavation, surveying, and testing)</t>
  </si>
  <si>
    <t>التأمين 
 (Insurance)</t>
  </si>
  <si>
    <t>الرخصة 
 (License)</t>
  </si>
  <si>
    <t>التصميم
(Design)</t>
  </si>
  <si>
    <t>أثاث الوحدات الفندقية 
 (Hotel Furniture Units)</t>
  </si>
  <si>
    <t>أثاث الوحدات
 (Furniture Units)</t>
  </si>
  <si>
    <t>رسوم الكهرباء 
 (Electricity fees)</t>
  </si>
  <si>
    <t>رسوم الماء وصرف الصحي 
 (Water and sewer fees)</t>
  </si>
  <si>
    <t>الفرز 
 (Sorting)</t>
  </si>
  <si>
    <t>الصيانة و التشغيل 
 (Maintenance and Operation)</t>
  </si>
  <si>
    <t>الاحتياطي 
 (Contingency)</t>
  </si>
  <si>
    <t>الإشراف الهندسي 
 (Engineering Supervision)</t>
  </si>
  <si>
    <t>إجمالي التكاليف الأخرى 
 (Total Other Cost)</t>
  </si>
  <si>
    <t>تفاصيل تكاليف الصندوق | Fund Cost Details</t>
  </si>
  <si>
    <t>تكاليف المطور 
 (Developer costs)</t>
  </si>
  <si>
    <t>رسوم الصندوق 
 (Fund fees)</t>
  </si>
  <si>
    <t>التكاليف الأخرى للصندوق
 (Other costs)</t>
  </si>
  <si>
    <t>الإجمالي
(Total)</t>
  </si>
  <si>
    <t>ملخص تكاليف المشروع | Project Costs</t>
  </si>
  <si>
    <t>اجمالي تكلفة الأرض
(Total Land Cost)</t>
  </si>
  <si>
    <t xml:space="preserve"> اجمالي تكلفة البناء
 (Total construction cost)</t>
  </si>
  <si>
    <t>Y1</t>
  </si>
  <si>
    <t>إجمالي التكاليف الأخرى 
 (Total other costs)</t>
  </si>
  <si>
    <t>Y2</t>
  </si>
  <si>
    <t>إجمالي تكلفة التطوير  
 (Total development cost)</t>
  </si>
  <si>
    <t>Y3</t>
  </si>
  <si>
    <t xml:space="preserve">إجمالي تكاليف الصندوق 
 (Total fund costs)  </t>
  </si>
  <si>
    <t>Y4</t>
  </si>
  <si>
    <t>Y5</t>
  </si>
  <si>
    <t>الملكية
(Equity)</t>
  </si>
  <si>
    <t>Y6</t>
  </si>
  <si>
    <t>التمويل | Finance</t>
  </si>
  <si>
    <t>التمويل المطلوب 
 (Required financing)</t>
  </si>
  <si>
    <t>الإطار الزمني | Time frame</t>
  </si>
  <si>
    <t>بالأشهر - Months</t>
  </si>
  <si>
    <t>ربع سنوي - Quarterly</t>
  </si>
  <si>
    <t>البيع المباشر | Direct Sale</t>
  </si>
  <si>
    <t>البيع على الخارطة | Off-Plan Sale</t>
  </si>
  <si>
    <t>عدد الوحدات
(Number of units)</t>
  </si>
  <si>
    <t>نسبة البيع
 (Selling-%)</t>
  </si>
  <si>
    <t>سعر بيع المتر 
(Sale Price per m²)</t>
  </si>
  <si>
    <t>قيمة الوحدة 
(Unit Value)</t>
  </si>
  <si>
    <t xml:space="preserve"> CAP-RATE | معدل الرسملة    </t>
  </si>
  <si>
    <t xml:space="preserve">  التأجير اليومي | Daily leasing</t>
  </si>
  <si>
    <t>عدد الوحدات
(Number Of Units)</t>
  </si>
  <si>
    <t>مساحة الوحدة
(Unit area)</t>
  </si>
  <si>
    <t>تأجير المتر
(Meter Rental)</t>
  </si>
  <si>
    <t>نسبة الإشغال
(Occupancy Rate)</t>
  </si>
  <si>
    <t>إجمالي إيرادات التأجير السنوي
(Total Annual Rental Revenue)</t>
  </si>
  <si>
    <r>
      <t>متوسط السعر اليومي للغرفة المشغولة
(</t>
    </r>
    <r>
      <rPr>
        <sz val="7"/>
        <color theme="5" tint="0.59999389629810485"/>
        <rFont val="Calibri"/>
        <family val="2"/>
      </rPr>
      <t>A</t>
    </r>
    <r>
      <rPr>
        <sz val="7"/>
        <color theme="0"/>
        <rFont val="Calibri"/>
        <family val="2"/>
      </rPr>
      <t xml:space="preserve">verage </t>
    </r>
    <r>
      <rPr>
        <sz val="7"/>
        <color theme="5" tint="0.59999389629810485"/>
        <rFont val="Calibri"/>
        <family val="2"/>
      </rPr>
      <t>D</t>
    </r>
    <r>
      <rPr>
        <sz val="7"/>
        <color theme="0"/>
        <rFont val="Calibri"/>
        <family val="2"/>
      </rPr>
      <t xml:space="preserve">aily </t>
    </r>
    <r>
      <rPr>
        <sz val="7"/>
        <color theme="5" tint="0.59999389629810485"/>
        <rFont val="Calibri"/>
        <family val="2"/>
      </rPr>
      <t>R</t>
    </r>
    <r>
      <rPr>
        <sz val="7"/>
        <color theme="0"/>
        <rFont val="Calibri"/>
        <family val="2"/>
      </rPr>
      <t>ate)</t>
    </r>
  </si>
  <si>
    <r>
      <t xml:space="preserve"> الإيراد الفعلي للوحدة السنوي
(</t>
    </r>
    <r>
      <rPr>
        <sz val="7"/>
        <color theme="5" tint="0.59999389629810485"/>
        <rFont val="Calibri"/>
        <family val="2"/>
      </rPr>
      <t>E</t>
    </r>
    <r>
      <rPr>
        <sz val="7"/>
        <color theme="0"/>
        <rFont val="Calibri"/>
        <family val="2"/>
      </rPr>
      <t xml:space="preserve">ffective </t>
    </r>
    <r>
      <rPr>
        <sz val="7"/>
        <color theme="5" tint="0.59999389629810485"/>
        <rFont val="Calibri"/>
        <family val="2"/>
      </rPr>
      <t>G</t>
    </r>
    <r>
      <rPr>
        <sz val="7"/>
        <color theme="0"/>
        <rFont val="Calibri"/>
        <family val="2"/>
      </rPr>
      <t xml:space="preserve">ross </t>
    </r>
    <r>
      <rPr>
        <sz val="7"/>
        <color theme="5" tint="0.59999389629810485"/>
        <rFont val="Calibri"/>
        <family val="2"/>
      </rPr>
      <t>I</t>
    </r>
    <r>
      <rPr>
        <sz val="7"/>
        <color theme="0"/>
        <rFont val="Calibri"/>
        <family val="2"/>
      </rPr>
      <t>ncome per Unit)</t>
    </r>
  </si>
  <si>
    <t>الإطار الزمني (بالسنوات) - Time frame (Years)</t>
  </si>
  <si>
    <t>المجموع</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</si>
  <si>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</si>
  <si>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</si>
  <si>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</si>
  <si>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</si>
  <si>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</si>
  <si>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</si>
  <si>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</si>
  <si>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</si>
  <si>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</si>
  <si>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</si>
  <si>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</si>
  <si>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</si>
  <si>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</si>
  <si>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</si>
  <si>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</si>
  <si>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</si>
  <si>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</si>
  <si>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</si>
  <si>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</si>
  <si>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</si>
  <si>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</si>
  <si>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</si>
  <si>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</si>
  <si>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</si>
  <si>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أصل التمويل 
(Principal)</t>
  </si>
  <si>
    <t>سداد أصل التمويل
 (Principal Repayment)</t>
  </si>
  <si>
    <t>رسوم الصندوق
 (Fund costs)</t>
  </si>
  <si>
    <t>البيع المباشر
(Direct Sale)</t>
  </si>
  <si>
    <t>المخارجة 
(Buyout)</t>
  </si>
  <si>
    <t>تكاليف مسطحات البناء
(Construction Costs)</t>
  </si>
  <si>
    <t>التدفقات النقدية الداخلة - (Cash Inflows)</t>
  </si>
  <si>
    <t>الإطار الزمني - Time frame</t>
  </si>
  <si>
    <t>القيمة الإجمالية
(Total Value)</t>
  </si>
  <si>
    <t>إجمالي إيرادات التأجير اليومي
(Total Daily Rental Revenue)</t>
  </si>
  <si>
    <t xml:space="preserve">المخارجة 
(Buyout) </t>
  </si>
  <si>
    <t>التدفقات النقدية الخارجة - (Cash Outflows)</t>
  </si>
  <si>
    <t>رسوم ترتيب التمويل 
(Arrangement Fee)</t>
  </si>
  <si>
    <t>تكلفة الأرض
 (Land Cost)</t>
  </si>
  <si>
    <t>تكاليف مسطحات البناء 
(Construction Costs)</t>
  </si>
  <si>
    <t>التسوير 
 (Fence - surrounding the land)</t>
  </si>
  <si>
    <t>الرخصة
 (License)</t>
  </si>
  <si>
    <t>التصميم
 (Design)</t>
  </si>
  <si>
    <t>أثاث الوحدات الفندقية 
 (Apartment furniture)</t>
  </si>
  <si>
    <t>أثاث الوحدات 
 (Apartment furniture)</t>
  </si>
  <si>
    <t>رسوم كهرباء 
 (Electricity fees)</t>
  </si>
  <si>
    <t>رسوم وافي
(Wafi Fees)</t>
  </si>
  <si>
    <t>تكاليف التشغيل والصيانة الخاصة بالإجار
(O&amp;M Costs for Leasing)</t>
  </si>
  <si>
    <t>التكاليف الأخرى للصندوق
(Other Fund Costs)</t>
  </si>
  <si>
    <t>تكاليف المطور 
(Developer costs)</t>
  </si>
  <si>
    <t xml:space="preserve"> صافي التدفق النقدي
(Net cash flow)</t>
  </si>
  <si>
    <t>إجمالي الإرادات
(Total Revenue)</t>
  </si>
  <si>
    <t>المؤشرات المالية | Financial Indicators</t>
  </si>
  <si>
    <r>
      <t xml:space="preserve">  العائد على الملكية السنوي
</t>
    </r>
    <r>
      <rPr>
        <sz val="8"/>
        <color rgb="FFC65911"/>
        <rFont val="Calibri"/>
        <family val="2"/>
      </rPr>
      <t>(ROE Annually)</t>
    </r>
  </si>
  <si>
    <t>متشائم
(Pessimistic)</t>
  </si>
  <si>
    <t>منخفض
(Low)</t>
  </si>
  <si>
    <t>متوسط
(Normal)</t>
  </si>
  <si>
    <t>متفائل 
(Optimistic)</t>
  </si>
  <si>
    <t>متفائل جداً 
(Very optimistic)</t>
  </si>
  <si>
    <t>جدول التسهيلات المصرفية | Bank Facilities Table</t>
  </si>
  <si>
    <t>الإطار الزمني
(Time frame)</t>
  </si>
  <si>
    <t>إجمالي مبلغ التمويل</t>
  </si>
  <si>
    <t>إجمالي الفوائد</t>
  </si>
  <si>
    <t>البيع على  الخارطة | Off-Plan Sale</t>
  </si>
  <si>
    <t>عدد الوحدات المباعة خلال الفترة 
 (Number of Units Sold During the Period)</t>
  </si>
  <si>
    <t>إجمالي تكاليف مسطحات البناء
(Total Construction Costs)</t>
  </si>
  <si>
    <t>نسب الإنجاز - ربع سنوي 
 (Progress Percentage Quarterly)</t>
  </si>
  <si>
    <t>نسبة الإنجاز التراكمية 
 (Cumulative Progress Percentage)</t>
  </si>
  <si>
    <t>إجمالي قيمة أستقطاع الضمان
(Total Retention Guarantee Amount)</t>
  </si>
  <si>
    <t>صافي القيمة بعد استقطاع البنود بالأعلى 
 (Net Value After Deducting the Above Items)</t>
  </si>
  <si>
    <t>حساب الضمان
(Escrow Account)</t>
  </si>
  <si>
    <t>دفعات مراحل الإنجاز
(Milestone Payments)</t>
  </si>
  <si>
    <t>ملخص البيع على الخارطة | Off-Plan Sale Summary</t>
  </si>
  <si>
    <t>عدد الوحدات المباعة
(Number of Units Sold)</t>
  </si>
  <si>
    <t>متوسط سعر بيع الوحدة
(Average Units Sales Value)</t>
  </si>
  <si>
    <t>إجمالي قيمة رسوم وافي
(Total Wafi Fees)</t>
  </si>
  <si>
    <t xml:space="preserve"> التمويل البنكي - (Bank Financing)</t>
  </si>
  <si>
    <t>الإجمالي - (Total)</t>
  </si>
  <si>
    <r>
      <t>إجمالي الربح التشغيلي
(</t>
    </r>
    <r>
      <rPr>
        <sz val="8"/>
        <color theme="5" tint="0.59999389629810485"/>
        <rFont val="Calibri"/>
        <family val="2"/>
      </rPr>
      <t>G</t>
    </r>
    <r>
      <rPr>
        <sz val="8"/>
        <color theme="0"/>
        <rFont val="Calibri"/>
        <family val="2"/>
      </rPr>
      <t xml:space="preserve">ross </t>
    </r>
    <r>
      <rPr>
        <sz val="8"/>
        <color theme="5" tint="0.59999389629810485"/>
        <rFont val="Calibri"/>
        <family val="2"/>
      </rPr>
      <t>O</t>
    </r>
    <r>
      <rPr>
        <sz val="8"/>
        <color theme="0"/>
        <rFont val="Calibri"/>
        <family val="2"/>
      </rPr>
      <t xml:space="preserve">perating </t>
    </r>
    <r>
      <rPr>
        <sz val="8"/>
        <color theme="5" tint="0.59999389629810485"/>
        <rFont val="Calibri"/>
        <family val="2"/>
      </rPr>
      <t>P</t>
    </r>
    <r>
      <rPr>
        <sz val="8"/>
        <color theme="0"/>
        <rFont val="Calibri"/>
        <family val="2"/>
      </rPr>
      <t>rofit)</t>
    </r>
  </si>
  <si>
    <r>
      <t>إجمالي الربح التشغيلي
(</t>
    </r>
    <r>
      <rPr>
        <sz val="7"/>
        <color theme="5" tint="0.59999389629810485"/>
        <rFont val="Calibri"/>
        <family val="2"/>
      </rPr>
      <t>G</t>
    </r>
    <r>
      <rPr>
        <sz val="7"/>
        <color theme="0"/>
        <rFont val="Calibri"/>
        <family val="2"/>
      </rPr>
      <t xml:space="preserve">ross </t>
    </r>
    <r>
      <rPr>
        <sz val="7"/>
        <color theme="5" tint="0.59999389629810485"/>
        <rFont val="Calibri"/>
        <family val="2"/>
      </rPr>
      <t>O</t>
    </r>
    <r>
      <rPr>
        <sz val="7"/>
        <color theme="0"/>
        <rFont val="Calibri"/>
        <family val="2"/>
      </rPr>
      <t xml:space="preserve">perating </t>
    </r>
    <r>
      <rPr>
        <sz val="7"/>
        <color theme="5" tint="0.59999389629810485"/>
        <rFont val="Calibri"/>
        <family val="2"/>
      </rPr>
      <t>P</t>
    </r>
    <r>
      <rPr>
        <sz val="7"/>
        <color theme="0"/>
        <rFont val="Calibri"/>
        <family val="2"/>
      </rPr>
      <t>rofit)</t>
    </r>
  </si>
  <si>
    <t>البيع على الخارطة
(Off-Plan Sale)</t>
  </si>
  <si>
    <t>التأجير السنوي | Annual Leasing</t>
  </si>
  <si>
    <t xml:space="preserve"> إيرادات التأجير السنوي
 (Annual Leasing income)</t>
  </si>
  <si>
    <t>إيرادات التأجير اليومي 
(Daily leasing income)</t>
  </si>
  <si>
    <t>أصل التمويل
(Principal)</t>
  </si>
  <si>
    <t>حجم التمويل للفترة - (Principal amount for the period)</t>
  </si>
  <si>
    <t xml:space="preserve">سكني </t>
  </si>
  <si>
    <t>فلل</t>
  </si>
  <si>
    <t>تاون هاوس</t>
  </si>
  <si>
    <t>أدوار</t>
  </si>
  <si>
    <t>أستوديوهات</t>
  </si>
  <si>
    <t>تجاري</t>
  </si>
  <si>
    <t>فندقي</t>
  </si>
  <si>
    <t>صحي</t>
  </si>
  <si>
    <t>شاليهات</t>
  </si>
  <si>
    <t>ضريبة التصرفات العقارية
(RETT)</t>
  </si>
  <si>
    <t>السعي
(Commission)</t>
  </si>
  <si>
    <t>ضريبة السعي
(Commission tax)</t>
  </si>
  <si>
    <t>قيمة بيع الوحدات
(Units Sales Value)</t>
  </si>
  <si>
    <t>المساحات الحركية والخدمية
(Circulation &amp; Service Areas)</t>
  </si>
  <si>
    <t xml:space="preserve">SR </t>
  </si>
  <si>
    <t xml:space="preserve">Total Funding الإجمالي </t>
  </si>
  <si>
    <t xml:space="preserve">SR/B.sqm </t>
  </si>
  <si>
    <t>التمويل</t>
  </si>
  <si>
    <t>مصادر أخرى</t>
  </si>
  <si>
    <t>Summary | ملخص</t>
  </si>
  <si>
    <t>Capital Structure | هيكل رأس المال</t>
  </si>
  <si>
    <t>Cost Breakdown | توزيع التكلفة</t>
  </si>
  <si>
    <t xml:space="preserve"> جدول تحليل الحساسية | Sensitivity Analysis Table</t>
  </si>
  <si>
    <t>العائد على الإستثمار
ROI</t>
  </si>
  <si>
    <t xml:space="preserve">العائد على الملكية
ROE </t>
  </si>
  <si>
    <t xml:space="preserve">العائد على الملكية سنوياَ
ROE Annualy </t>
  </si>
  <si>
    <t>إجمالي تكلفة الأرض بعد الضرائب - (Tota Land Cost After TAX)</t>
  </si>
  <si>
    <t>ضريبة التصرفات العقارية - (RETT)</t>
  </si>
  <si>
    <t xml:space="preserve">(Development) - التطوير </t>
  </si>
  <si>
    <t xml:space="preserve">Marketing (RASF) - التسويق </t>
  </si>
  <si>
    <t>(TotaI Fund expenses) - إجمالي تكاليف الصندوق</t>
  </si>
  <si>
    <t>التكاليف الأخرى للصندوق - (Other costs)</t>
  </si>
  <si>
    <t>Total Costs - إجمالي التكاليف</t>
  </si>
  <si>
    <t>إجمالي الإيرادات - (Total Revenue)</t>
  </si>
  <si>
    <t>(Land Cost Before TAX) - تكلفة الأرض قبل الضرائب</t>
  </si>
  <si>
    <t>(Hard Cost - Construction) - تكلفة البناء</t>
  </si>
  <si>
    <t>Soft Costs (Fees,Consultants, Insurance, Permits, Overheads etc) - التكاليف الأخرى</t>
  </si>
  <si>
    <t>إجمالي تكاليف التمويل - (Total Financing Costs)</t>
  </si>
  <si>
    <t xml:space="preserve">تكلفة الأرض قبل الضرائب
(Land Cost Before Taxes) </t>
  </si>
  <si>
    <t>إجمالي تكلفة الأرض بعد الضرائب 
 (Total Land Cost After Taxes)</t>
  </si>
  <si>
    <t>(Area) - المساحة</t>
  </si>
  <si>
    <t>(SR/m²) - ر.س/م²</t>
  </si>
  <si>
    <t>نسبة الارتفاع او الانخفاض 
 (Rate of Increase or Decrease)</t>
  </si>
  <si>
    <t>وقت البيع</t>
  </si>
  <si>
    <t>الفارق</t>
  </si>
  <si>
    <t>وقت الشراء</t>
  </si>
  <si>
    <t>اشتراكات نقدية</t>
  </si>
  <si>
    <t>اشتراكات المطور</t>
  </si>
  <si>
    <t>مكتبي 
(Office)</t>
  </si>
  <si>
    <t xml:space="preserve"> التفاصيل الفنية و المالية لجميع للمكونات | Technical and Financial Details For All Components</t>
  </si>
  <si>
    <t>نسبة فوائد التمويل السنوية
 (Annual Interest)</t>
  </si>
  <si>
    <t>حجم التمويل للفترة 
 (Principal amount for the period)</t>
  </si>
  <si>
    <t>أصل التمويل 
 (Principal)</t>
  </si>
  <si>
    <t>فوائد التمويل 
(Interest)</t>
  </si>
  <si>
    <t xml:space="preserve">فوائد التمويل + رسوم ترتيب التمويل 
(Arrangement Fee + Interest) </t>
  </si>
  <si>
    <t>رسوم وافي 
 (Wafi fees)</t>
  </si>
  <si>
    <t>تسويق البيع على الخارطة
 (Off-Plan Sales Marketing)</t>
  </si>
  <si>
    <t>ضريبة التصرفات العقارية + السعي + ضريبة السعي 
-
(RETT + Commission + Commission tax)</t>
  </si>
  <si>
    <t>المجموع بناء على التدفقات النقدية
(Total Based on Cash Flows)</t>
  </si>
  <si>
    <t>صافي المبيعات على الخارطة 
 (Net Off-Plan Sales)</t>
  </si>
  <si>
    <t>قيمة أستقطاع الضمان 
(Retention Guarantee Amount)</t>
  </si>
  <si>
    <t>اجمالي المبيعات
(Total Sales)</t>
  </si>
  <si>
    <t>مكتبي</t>
  </si>
  <si>
    <t>مدة المشروع المتوقعة - سنوي
  (Estimated Project Duration - Years)</t>
  </si>
  <si>
    <t>النسب المئوية للتدفقات النقدية
(Percentage Breakdown of Cash Flows)</t>
  </si>
  <si>
    <t>جـــــــــدول تفاصيل التدفـــــــــــــقات النقديــــــــــــــــــــــــة | Cash Flow Details</t>
  </si>
  <si>
    <t>إجمالي إيرادات البيع على الخارطة
(Total Off-Plan Sales Revenue)</t>
  </si>
  <si>
    <t>تكاليف المحاسب القانوني المعتمد
(Certified Accountant Fees)</t>
  </si>
  <si>
    <t>أتعاب المكتب الاستشاري الهندسي
(Engineering Supervision Fees)</t>
  </si>
  <si>
    <t>أتعاب المحاسب القانوني والاستشاري الهندسي
(Certified Accountant &amp; Engineering Supervision Fees)</t>
  </si>
  <si>
    <t>الملكية</t>
  </si>
  <si>
    <t>صافي المبيعات على الخارطة
 (Net Off-Plan Sales)</t>
  </si>
  <si>
    <r>
      <t>التكاليف التشغيلية
(</t>
    </r>
    <r>
      <rPr>
        <sz val="8"/>
        <color theme="5" tint="0.59999389629810485"/>
        <rFont val="Calibri"/>
        <family val="2"/>
      </rPr>
      <t>Op</t>
    </r>
    <r>
      <rPr>
        <sz val="8"/>
        <color theme="0"/>
        <rFont val="Calibri"/>
        <family val="2"/>
      </rPr>
      <t xml:space="preserve">erating </t>
    </r>
    <r>
      <rPr>
        <sz val="8"/>
        <color theme="5" tint="0.59999389629810485"/>
        <rFont val="Calibri"/>
        <family val="2"/>
      </rPr>
      <t>Ex</t>
    </r>
    <r>
      <rPr>
        <sz val="8"/>
        <color theme="0"/>
        <rFont val="Calibri"/>
        <family val="2"/>
      </rPr>
      <t>penditures)</t>
    </r>
  </si>
  <si>
    <t xml:space="preserve"> إجمالي التمويل البنكي
 (Total Bank Financing)</t>
  </si>
  <si>
    <t>تمويل تشغيلي خارج هيكل رأس المال - (Off-Capital-Structure Operational Financing)</t>
  </si>
  <si>
    <t>إجمالي التمويل التشغيلي 
 (Total Operational Financing)</t>
  </si>
  <si>
    <t>إجمالي التكاليف التشغيلية
(Total Operating Expenses)</t>
  </si>
  <si>
    <t>قيم الدفعات الأولى
(Down Payments)</t>
  </si>
  <si>
    <t>إجمالي التكاليف الرأسمالية للمشروع
(Total Capital Expenditures)</t>
  </si>
  <si>
    <t xml:space="preserve">قيم الدفعات الأولى + دفعات مراحل الإنجاز
(Down Payments) + (Milestone Payments) </t>
  </si>
  <si>
    <t>إجمالي التكاليف الرأسمالية للمشروع + إجمالي التكاليف التشغيلية
(Total Capital Expenditures) + (Total Operating Expenses)</t>
  </si>
  <si>
    <t>التكاليف التشغيلية والإدارية
(Operating &amp; Administrative Costs)</t>
  </si>
  <si>
    <t>توزيع تكاليف الأرض</t>
  </si>
  <si>
    <t xml:space="preserve"> تكاليف البناء</t>
  </si>
  <si>
    <t>توزيع تكاليف اللاندسكيب</t>
  </si>
  <si>
    <t>توزيع تكاليف البوديم و القبو</t>
  </si>
  <si>
    <t>توزيع تكاليف الحفر والمسح و الاختبار</t>
  </si>
  <si>
    <t>توزيع تكاليف المساحات الحركية والخدمية</t>
  </si>
  <si>
    <t>توزيع التكاليف الأخرى</t>
  </si>
  <si>
    <t>توزيع تكاليف التمويل</t>
  </si>
  <si>
    <t>توزيع تكاليف الصندوق</t>
  </si>
  <si>
    <t>إجمالي تكاليف كل مكون</t>
  </si>
  <si>
    <t>توزيع التكلفة على المساحات الصافية القابلة للبيع</t>
  </si>
  <si>
    <t>نسبة تكاليف كل مكون من إجمالي المشروع</t>
  </si>
  <si>
    <t>إجمالي إيراد كل مكون</t>
  </si>
  <si>
    <t>صافي العائد لكل م² بيعي</t>
  </si>
  <si>
    <t>صافي دخل كل مكون</t>
  </si>
  <si>
    <t>نسبة صافي دخل كل مكون</t>
  </si>
  <si>
    <t xml:space="preserve">المكون
</t>
  </si>
  <si>
    <t>استديوهات</t>
  </si>
  <si>
    <t xml:space="preserve">فندقي </t>
  </si>
  <si>
    <t xml:space="preserve">صحي </t>
  </si>
  <si>
    <t>الإجمالي</t>
  </si>
  <si>
    <t>فترة استرداد رأس المال - بالسنوات
(Payback Period - in Years)</t>
  </si>
  <si>
    <t xml:space="preserve">مكتبي </t>
  </si>
  <si>
    <t>عدد الوحدات المشغولة - سنوي
(Number of Occupied Units - Annually)</t>
  </si>
  <si>
    <t>نسبة العائد على التكلفة لكل م²‌ بيعي
(Return on Cost per Sellable m²)</t>
  </si>
  <si>
    <t>العائد على التكلفة - سنوي
(Return on Cost - Annual)</t>
  </si>
  <si>
    <t>قيمة الوحدة
(Units Value)</t>
  </si>
  <si>
    <t>المؤشر الإرشادي لتسعير المتر التأجيري
(Estimated Rental Price Index per m²)</t>
  </si>
  <si>
    <t xml:space="preserve">قيمة تأجير الوحدة السنوي
(Annual Unit Rental Value) </t>
  </si>
  <si>
    <t>جدول المؤشرات العامة للمشروع | General Project Indicators Table</t>
  </si>
  <si>
    <t>مؤشرات التكاليف والكفاءة
(Costs &amp; Efficiency Indicators)</t>
  </si>
  <si>
    <t>إجمالي التكاليف غير المباشرة
(Total Indirect Costs)</t>
  </si>
  <si>
    <t>كفاءة المساحة البيعية من المساحات المبنية فوق الأرض
 (Saleable Efficiency Ratio of Above-Ground Built-Up Area)</t>
  </si>
  <si>
    <t>قيمة ونسبة تمويل مبيعات الخارطة من تكاليف المشروع خلال فترة البيع
(Value and % of Off-Plan Sales Financing for Project Costs During Sales Period)</t>
  </si>
  <si>
    <t>تكلفة متر الأرض شاملة الضريبة والسعي
(Land Cost per m² - Including Tax and Commission)</t>
  </si>
  <si>
    <t>الحدود المرجعية أو المثلى للمؤشرات
(Reference Ranges for Indicators)</t>
  </si>
  <si>
    <t>غالبًا تمثل 70% – 85% من إجمالي التكاليف</t>
  </si>
  <si>
    <t>من 10% إلى 25% غالبًا</t>
  </si>
  <si>
    <t>من 5% – 12% حسب مدة التمويل والفوائد</t>
  </si>
  <si>
    <t>تتراوح من 1% – 7% حسب شروط الصندوق</t>
  </si>
  <si>
    <t>المستهدف المثالي ≥ 70%
(الممتاز يتجاوز 75–80%)</t>
  </si>
  <si>
    <t>مثالي إن كان بين 20% إلى 35%
(أقل من 15% يُعد ضعيف، وأكثر من 40% نادر وممتاز)</t>
  </si>
  <si>
    <t>يفضل أن يكون ≤ 1.5
(كلما ارتفع زادت المخاطرة)</t>
  </si>
  <si>
    <t>المستهدف الجيد ≥ 20%
(بمعنى أن القيمة السوقية أعلى بـ 20% من التكلفة)</t>
  </si>
  <si>
    <t>من 10% إلى 40% خلال 3–5 سنوات يعتبر جيد</t>
  </si>
  <si>
    <t>توزيع تكاليف مكونات البيع على الخارطة</t>
  </si>
  <si>
    <t xml:space="preserve">سكني
(بيع على الخارطة) </t>
  </si>
  <si>
    <t>فلل
(بيع على الخارطة)</t>
  </si>
  <si>
    <t>تاون هاوس
(بيع على الخارطة)</t>
  </si>
  <si>
    <t>أدوار
(بيع على الخارطة)</t>
  </si>
  <si>
    <t>استديوهات
(بيع على الخارطة)</t>
  </si>
  <si>
    <t xml:space="preserve">مكتبي
(بيع على الخارطة) </t>
  </si>
  <si>
    <t>تجاري
(بيع على الخارطة)</t>
  </si>
  <si>
    <t xml:space="preserve">فندقي
(بيع على الخارطة) </t>
  </si>
  <si>
    <t xml:space="preserve">صحي
(بيع على الخارطة) </t>
  </si>
  <si>
    <t>شاليهات
(بيع على الخارطة)</t>
  </si>
  <si>
    <t>نسبة بيع المكون على الخارطة من الإجمالي</t>
  </si>
  <si>
    <t>توزيع التكاليف التشغيلية</t>
  </si>
  <si>
    <t>توزيع تكاليف أخرى إضافية</t>
  </si>
  <si>
    <t>نسب التكاليف السابقة من التكاليف الكلية</t>
  </si>
  <si>
    <t>نسب التكاليف السابقة من التكاليف الموجودة بالجدول</t>
  </si>
  <si>
    <t>تكاليف بيع الخارطة</t>
  </si>
  <si>
    <t>نسبة تزيع تكاليف اللاند سكيب</t>
  </si>
  <si>
    <t>نسب المكونات من البيع المباشر أو المخارجة من الإجمالي</t>
  </si>
  <si>
    <t>هامش الربح من إجمالي الإرادات</t>
  </si>
  <si>
    <t>توزيع تكاليف المشروع على مكونات البيع المباشر و التأجير السنوي و اليومي</t>
  </si>
  <si>
    <t>إجمالي توزيع التكاليف على جميع المكونات</t>
  </si>
  <si>
    <t>توزيع التكلفة على الأمتار البيعية</t>
  </si>
  <si>
    <t>سعر المتر</t>
  </si>
  <si>
    <t>فترة الأسترداد - بالسنوات</t>
  </si>
  <si>
    <t>سعر المتر بناءً على فترة الاسترداد - (التأجير السنوي)</t>
  </si>
  <si>
    <t>سعر المتر بناءً على فترة الاسترداد - (التأجير اليومي)</t>
  </si>
  <si>
    <t>نسبة صافي دخل كل مكون من إجمالي صافي دخل المشروع</t>
  </si>
  <si>
    <t>العائد النسبي للمكون</t>
  </si>
  <si>
    <t>إجمالي التكاليف المباشرة
(Total Direct Costs)</t>
  </si>
  <si>
    <t>متوسط قيمة و نسبة الربح لكل م²
(Average Profit Value and % per m²)</t>
  </si>
  <si>
    <t>مؤشرات التمويل والمخاطر | Financing &amp; Risk Indicators</t>
  </si>
  <si>
    <t>مؤشرات الأرض والزمن | Land &amp; Time Indicators</t>
  </si>
  <si>
    <t>توزيع الأرباح | Profit Distribution</t>
  </si>
  <si>
    <t>نسبة المساهمة من إجمالي الملكية
(Equity Ownership Percentage)</t>
  </si>
  <si>
    <t>المستفيد
(Beneficiaries)</t>
  </si>
  <si>
    <t>صافي الربح للمستفيدين
(Net Profit for Beneficiaries)</t>
  </si>
  <si>
    <t>نقطة التعادل - عدد الأمتار البيعية اللازمة لتغطية التكاليف
(Sellable Area Required for Cost Recovery)</t>
  </si>
  <si>
    <t>نسب المكون من البيع المباشر أو المخارجة من الإجمالي</t>
  </si>
  <si>
    <t>بين (50%) و (70%) = طبيعي
أقل من (50%) = منخفض (اعتماد كبير على تمويل ذاتي)
أكثر من (70%) = مرتفع (مخاطرة عالية على البنك)</t>
  </si>
  <si>
    <t>من 15% إلى 25% من إجمالي التكاليف غالبًا</t>
  </si>
  <si>
    <t>غالبًا بين 10% – 20%</t>
  </si>
  <si>
    <t xml:space="preserve">اسم المشروع </t>
  </si>
  <si>
    <t>حالة المشروع</t>
  </si>
  <si>
    <t>مرحلة توقيع العقود</t>
  </si>
  <si>
    <t>تاريخ الانتهاء المتوقع</t>
  </si>
  <si>
    <t>اشتراكات رصف</t>
  </si>
  <si>
    <t>مبلغ الاشتراك</t>
  </si>
  <si>
    <t>الآلية</t>
  </si>
  <si>
    <t>ملاحظات</t>
  </si>
  <si>
    <t>الحصة العينية من التطوير</t>
  </si>
  <si>
    <t>استثمار عيني</t>
  </si>
  <si>
    <t>الحصة العينية من المقاولات</t>
  </si>
  <si>
    <t>الحصة من فارق قيمة الأرض</t>
  </si>
  <si>
    <t>اشتراكات نقدية / مصاريف سابقة</t>
  </si>
  <si>
    <t>مستثمرين رصف</t>
  </si>
  <si>
    <t>الاجمالي</t>
  </si>
  <si>
    <t>?</t>
  </si>
  <si>
    <t>الطبيعي من 1 إلى 1.5 سنوات</t>
  </si>
  <si>
    <t>مدة البيع - بالسنوات (غير شامل بيع الخارطة)
 (Sales Duration – Years)</t>
  </si>
  <si>
    <t>هامش الأمان
(Safety Margin)</t>
  </si>
  <si>
    <t>مؤشر المخاطر التمويلية
(Leverage Risk Indicator)</t>
  </si>
  <si>
    <t>القيم والنسب الخاصة بالتمويل البنكي
(Bank Financing Limits &amp; Conditions)</t>
  </si>
  <si>
    <t>نسبة صافي الربح من الإيرادات
(Net Profit as % of Revenues)</t>
  </si>
  <si>
    <t>العائد على المتر البيعي (شامل عوائد الإيجار)
(Total Return per Saleable m² including Rental Income)</t>
  </si>
  <si>
    <t>إجمالي قيمة ونسبة تكاليف الصندوق من إجمالي تكاليف المشروع
(Fund Management Cost as Value and % of Total Project Cost)</t>
  </si>
  <si>
    <t>إجمالي قيمة ونسبة تكاليف فوائد التمويل من إجمالي تكاليف المشروع
(Financing Interest as Value and % of Total Project Cost)</t>
  </si>
  <si>
    <t>إجمالي قيمة ونسبة التكاليف الأخرى من إجمالي تكاليف المشروع
(Other Costs as % of Total Project Cost)</t>
  </si>
  <si>
    <t>إجمالي قيمة ونسبة تكاليف البناء من إجمالي تكاليف المشروع
(Construction Cost as Value and % of Total Project Cost)</t>
  </si>
  <si>
    <t>إجمالي قيمة ونسبة تكاليف الأرض من إجمالي تكاليف المشروع
(Land Cost as Value and %  of Total Project Cost)</t>
  </si>
  <si>
    <t>إجمالي التكاليف التشغيلية
(Total Operating Costs)</t>
  </si>
  <si>
    <t>التكلفة لكل م² من إجمالي المساحات القابلة للبيع
(Cost per m² of Saleable Area)</t>
  </si>
  <si>
    <t>التكلفة لكل م² من إجمالي المساحات التطويرية
(Cost per m² of Total Built-Up Area)</t>
  </si>
  <si>
    <t>سعر متر الأرض عند البيع
(Land Price per m² at Sale)</t>
  </si>
  <si>
    <t>قيمة ارتفاع سعر متر الأرض عند البيع
(Land Price Appreciation Value)</t>
  </si>
  <si>
    <t>نسبة ارتفاع سعر متر الأرض
(Land Price Appreciation Rate)</t>
  </si>
  <si>
    <t xml:space="preserve"> الاشتراكات النقدية
(Cash Subscription)</t>
  </si>
  <si>
    <t xml:space="preserve"> الاشتراك من مدير الصندوق
(fund manager's Subscription)</t>
  </si>
  <si>
    <t xml:space="preserve"> الإشتراك العيني من مالك الأرض
(In-Kind Subscription from Landowner)</t>
  </si>
  <si>
    <t>مؤشرات الإيرادات والربحية | Revenue &amp; Profitability Indicators</t>
  </si>
  <si>
    <t>العمولات 2.5% من المبيعات</t>
  </si>
  <si>
    <t>نسبة رصف من المستثمرين</t>
  </si>
  <si>
    <t>نسبة الحصة</t>
  </si>
  <si>
    <t>تسويق المبيعات
 (Sales Marketing)</t>
  </si>
  <si>
    <t>تسويق التأجير
(Leasing Marketing)</t>
  </si>
  <si>
    <t>نسبة إيرادات الأنشطة الإضافية
(Ancillary Revenue)</t>
  </si>
  <si>
    <t>من 30% إلى 60% من التكاليف أثناء البيع يعتبر جيد جداً</t>
  </si>
  <si>
    <t>البيع على الخارطة</t>
  </si>
  <si>
    <t>رسوم ترتيب القرض 
 (Loan Arrangement Fees)</t>
  </si>
  <si>
    <t>رسوم إدارة الهيكل 
 (Structure Management Fees)</t>
  </si>
  <si>
    <t>رسوم إدارة الأصول
 (Asset Management Fees)</t>
  </si>
  <si>
    <t>أتعاب المشغل
 (Operator Fees)</t>
  </si>
  <si>
    <t>Study</t>
  </si>
  <si>
    <t>التاريخ
(Date)</t>
  </si>
  <si>
    <t>محتويات الدراسة
(Study Contents)</t>
  </si>
  <si>
    <t>------------------------------------</t>
  </si>
  <si>
    <t>تفاصيل الدراسة
(Study Details)</t>
  </si>
  <si>
    <t>نسبة توزيع تكاليف اللاندسكيب</t>
  </si>
  <si>
    <t>المؤشر الإرشادي لتسعير الوحدة اليومي
(Estimated Rental Price Index per Units)</t>
  </si>
  <si>
    <t>Fund Fees | رسوم الصندوق</t>
  </si>
  <si>
    <t>عدد الدفعات
(Number of Payments)</t>
  </si>
  <si>
    <t>مراحل المشروع
(Project stages)</t>
  </si>
  <si>
    <t>تكاليف البناء
(Construction Costs)</t>
  </si>
  <si>
    <t>البداية
(Start)</t>
  </si>
  <si>
    <t>النهاية
(End)</t>
  </si>
  <si>
    <t>رصف للاستثمار | RASF Investment</t>
  </si>
  <si>
    <t>الفترة الزمنية - شهري
(Duration - Months)</t>
  </si>
  <si>
    <t>الفترة الزمنية - بالأيام
(Duration - Days)</t>
  </si>
  <si>
    <t>مدة المشروع المتوقعة | Estimated Project Duration</t>
  </si>
  <si>
    <t>سنة - Years</t>
  </si>
  <si>
    <t xml:space="preserve">  إجمالي تكاليف المشروع 
 (Total Project Costs)</t>
  </si>
  <si>
    <t>إجمالي رسوم الصندوق
 (Total Fund fees)</t>
  </si>
  <si>
    <t>نسبة فوائد التمويل الربعية
 (QER)</t>
  </si>
  <si>
    <t>برج جدة</t>
  </si>
  <si>
    <t>إتقان</t>
  </si>
  <si>
    <t>الحصة من المقاولات</t>
  </si>
  <si>
    <t>الحصة من التطوير</t>
  </si>
  <si>
    <t>صافي الربح</t>
  </si>
  <si>
    <t>بيع على الخارطة + بيع مباشر + مخارجة</t>
  </si>
  <si>
    <t>إجمالي رصف</t>
  </si>
  <si>
    <t>مبلغ الاشتراك + صافي الربح</t>
  </si>
  <si>
    <t>اسم الصندوق
(fund Name)</t>
  </si>
  <si>
    <t>Fund Revenue | إيرادات الصندوق</t>
  </si>
  <si>
    <t>(Commissions) - السعي</t>
  </si>
  <si>
    <t xml:space="preserve">(Commission Tax) - ضريبة السعي </t>
  </si>
  <si>
    <t>رسوم الصندوق  - (Fund fees)</t>
  </si>
  <si>
    <t>الفترة الزمنية - ربعي
(Duration - Quarterly)</t>
  </si>
  <si>
    <t>رخصة البناء و التصميم
 (Design &amp; License)</t>
  </si>
  <si>
    <t>الأثاث 
 (furniture)</t>
  </si>
  <si>
    <t>الخدمات
(Infrastructure services)</t>
  </si>
  <si>
    <t>إيرادات التأجير
(Rental Revenue)</t>
  </si>
  <si>
    <t xml:space="preserve"> الاشتراكات النقدية</t>
  </si>
  <si>
    <t xml:space="preserve"> الاشتراك من مدير الصندوق</t>
  </si>
  <si>
    <t>الأشتراك النقدي من المطور</t>
  </si>
  <si>
    <t>الأشتراك العيني من المطور</t>
  </si>
  <si>
    <t xml:space="preserve"> الإشتراك العيني من مالك الأرض</t>
  </si>
  <si>
    <t xml:space="preserve"> التمويل البنكي</t>
  </si>
  <si>
    <r>
      <t xml:space="preserve">NSA.m² | Net Sellable Area|TDA.m² | </t>
    </r>
    <r>
      <rPr>
        <sz val="12"/>
        <color theme="0"/>
        <rFont val="Calibri"/>
        <family val="2"/>
      </rPr>
      <t>Total Development Area</t>
    </r>
    <r>
      <rPr>
        <sz val="14"/>
        <color theme="0"/>
        <rFont val="Calibri"/>
        <family val="2"/>
      </rPr>
      <t xml:space="preserve">|LA.m² | Total Land Area 
NSA.m² | </t>
    </r>
    <r>
      <rPr>
        <sz val="11"/>
        <color theme="0"/>
        <rFont val="Calibri"/>
        <family val="2"/>
      </rPr>
      <t>المساحات الصافية القابلة للبيع</t>
    </r>
    <r>
      <rPr>
        <sz val="14"/>
        <color theme="0"/>
        <rFont val="Calibri"/>
        <family val="2"/>
      </rPr>
      <t xml:space="preserve"> |TDA.m² | إجمالي المساحة التطويرية | LA.m² | مساحة الأرض الإجمالية </t>
    </r>
  </si>
  <si>
    <t>Values shown are SAR except where stated | القيم المعروضة هي بالريال سعودي باستثناء ما هو مذكور</t>
  </si>
  <si>
    <t>إجمالي تكاليف كل مكون
(Total cost per component)</t>
  </si>
  <si>
    <t>صافي العائد لكل م² بيعي
(Net return per NSA.m²)</t>
  </si>
  <si>
    <t>نمو قيمة الأرض للمتر -  Land Value Uplift per SQM</t>
  </si>
  <si>
    <r>
      <rPr>
        <b/>
        <u/>
        <sz val="12"/>
        <color theme="0"/>
        <rFont val="Calibri"/>
        <family val="2"/>
      </rPr>
      <t>Legal Disclaimer and Warning:</t>
    </r>
    <r>
      <rPr>
        <b/>
        <u/>
        <sz val="10"/>
        <color theme="0"/>
        <rFont val="Calibri"/>
        <family val="2"/>
      </rPr>
      <t xml:space="preserve">
</t>
    </r>
    <r>
      <rPr>
        <sz val="8"/>
        <color theme="0"/>
        <rFont val="Calibri"/>
        <family val="2"/>
      </rPr>
      <t xml:space="preserve">
This financial model is confidential property of Rasf Investment, and all rights are fully reserved.
It has been shared with you for a specific and authorized purpose only.
Any copying, sharing, modification, or use of this file for any other purpose without prior written consent from Rasf Investment
 is strictly prohibited.
If such unauthorized use occurs, legal action will be taken against you in a court of law.</t>
    </r>
  </si>
  <si>
    <t>أهــــــــــــــــــم مؤشــــــــرات الدراســــــــــة</t>
  </si>
  <si>
    <t>مرة واحدة
(One Time)</t>
  </si>
  <si>
    <t>نصف سنوي
(Semi-Annually)</t>
  </si>
  <si>
    <t>رخصة البناء و التصميم
(Design &amp; License)</t>
  </si>
  <si>
    <t>فوائد التمويل
(Interest)</t>
  </si>
  <si>
    <t>الأثاث
(furniture)</t>
  </si>
  <si>
    <t xml:space="preserve">المخارجة
(Buyout) </t>
  </si>
  <si>
    <t>-------------------------------------------</t>
  </si>
  <si>
    <t>سكني
(Apartments)</t>
  </si>
  <si>
    <t>مكتبي
(Office)</t>
  </si>
  <si>
    <t>تجاري
(Retail)</t>
  </si>
  <si>
    <t>فندقي
(Hotel)</t>
  </si>
  <si>
    <t>صحي
(health)</t>
  </si>
  <si>
    <t>معدل العائد الداخلي
IRR</t>
  </si>
  <si>
    <t>------------------------------------------------------------------</t>
  </si>
  <si>
    <t>المخارجة
(Buyout)</t>
  </si>
  <si>
    <t>صافي الربح
(Net Income)</t>
  </si>
  <si>
    <t xml:space="preserve">العائد على الإستثمار
(ROI)  </t>
  </si>
  <si>
    <t xml:space="preserve">العائد على الملكية
(ROE) </t>
  </si>
  <si>
    <t>العائد على الملكية سنويا
(ROE Annualy)</t>
  </si>
  <si>
    <t>التكلفة الإجمالية للمشروع
(Total project cost)</t>
  </si>
  <si>
    <t>تكلفة شراء الأرض - باستثناء الضرائب والعمولات
(Land purchase cost - except taxes &amp; commissions)</t>
  </si>
  <si>
    <t>الفترة الزمنية - سنوي
(Duration - Yearly)</t>
  </si>
  <si>
    <t>إجمالي مدة المشروع المتوقعة
(Total Estimated Project Duration)</t>
  </si>
  <si>
    <t>البند</t>
  </si>
  <si>
    <t>القيمة</t>
  </si>
  <si>
    <t xml:space="preserve">حجم التمويل للفترة      </t>
  </si>
  <si>
    <t xml:space="preserve">أصل التمويل  </t>
  </si>
  <si>
    <t xml:space="preserve">فوائد التمويل </t>
  </si>
  <si>
    <t>مساحة الوحدة
(One Unit Area)</t>
  </si>
  <si>
    <t>-----------------------------------------------------------</t>
  </si>
  <si>
    <t>نسبة البند من الإجمالي
(Percentage)</t>
  </si>
  <si>
    <t>جزء من تكاليف البناء</t>
  </si>
  <si>
    <t>فلل
(Villas)*</t>
  </si>
  <si>
    <t>تاون هاوس
(Townhouse)*</t>
  </si>
  <si>
    <t xml:space="preserve">                                الإجمالي | Total</t>
  </si>
  <si>
    <t>التسوير</t>
  </si>
  <si>
    <t>الحفر والمسح والاختبار</t>
  </si>
  <si>
    <t>التأمين</t>
  </si>
  <si>
    <t>الرخصة</t>
  </si>
  <si>
    <t>التصميم</t>
  </si>
  <si>
    <t>أثاث الوحدات الفندقية</t>
  </si>
  <si>
    <t>أثاث الوحدات</t>
  </si>
  <si>
    <t>رسوم الكهرباء</t>
  </si>
  <si>
    <t>رسوم الماء وصرف الصحي</t>
  </si>
  <si>
    <t>الفرز</t>
  </si>
  <si>
    <t>الصيانة و التشغيل</t>
  </si>
  <si>
    <t>الاحتياطي</t>
  </si>
  <si>
    <t>تسويق المبيعات</t>
  </si>
  <si>
    <t>تسويق التأجير</t>
  </si>
  <si>
    <t>تسويق البيع على الخارطة</t>
  </si>
  <si>
    <t>الإشراف الهندسي</t>
  </si>
  <si>
    <t>فلل*
(Villas)</t>
  </si>
  <si>
    <t>تاون هاوس*
(Townhouse)</t>
  </si>
  <si>
    <t>البدروم*
(Basement)</t>
  </si>
  <si>
    <t>عدد أدوار المشروع
(Total Project Floors)</t>
  </si>
  <si>
    <t xml:space="preserve">المتوسط غالبًا بين 45% إلى 65% </t>
  </si>
  <si>
    <t>إجمالي التكاليف اللينة
(Total Soft Costs)</t>
  </si>
  <si>
    <t>إجمالي التكاليف الصلبة
(Total Hard Costs)</t>
  </si>
  <si>
    <t>إجمالي التكاليف التي لا تندرج كصلبة أو لينة
(Total costs that do not fall under hard or soft costs)</t>
  </si>
  <si>
    <t>متوسط سعر بيع الأمتار البيعية
(Average Selling Price per Sellable m²)</t>
  </si>
  <si>
    <t>عدد عماير المشروع
(Total Project Building)</t>
  </si>
  <si>
    <t>نسبة المخاطرة التمويلية
(Loan to Value Ratio - LTV)</t>
  </si>
  <si>
    <t>رأس المال + الأرباح</t>
  </si>
  <si>
    <t>درة الغدير - مشروع مختلط
(Mix Use Development - RASF - Alghadeer)</t>
  </si>
  <si>
    <t>شقق</t>
  </si>
  <si>
    <t>رسوم الاشتراك
(Subscription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</si>
</sst>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6">
    <numFmt numFmtId="43" formatCode="_(* #,##0.00_);_(* \(#,##0.00\);_(* &quot;-&quot;??_);_(@_)"/>
    <numFmt numFmtId="164" formatCode="0%&quot; نسبة الأشتراك العيني من المطور&quot;"/>
    <numFmt numFmtId="165" formatCode="0%\ &quot;نسبة الأشتراك العيني من مالك الأرض&quot;"/>
    <numFmt numFmtId="166" formatCode="#,##0\ &quot;اجمالي قيمة فائدة البنك&quot;"/>
    <numFmt numFmtId="167" formatCode="#,##0.0"/>
    <numFmt numFmtId="168" formatCode="#,##0&quot; m²&quot;"/>
    <numFmt numFmtId="169" formatCode="0%\ &quot;نسبة التحمل&quot;"/>
    <numFmt numFmtId="170" formatCode="#,##0\ &quot;إجمالي تكاليف البناء&quot;"/>
    <numFmt numFmtId="171" formatCode="#,##0_ ;[Red]\-#,##0\ "/>
    <numFmt numFmtId="172" formatCode="0.0%"/>
    <numFmt numFmtId="173" formatCode="0.00%\ &quot;نسبة رسوم المطور&quot;"/>
    <numFmt numFmtId="174" formatCode="0.00%\ &quot;إجمالي نسبة فائدة التمويل&quot;"/>
    <numFmt numFmtId="175" formatCode="0.00%\ &quot;نسبة الفائدة السنوية خلال فترة المشروع&quot;"/>
    <numFmt numFmtId="176" formatCode="0.00%\ &quot;المتوسط&quot;"/>
    <numFmt numFmtId="177" formatCode="0%\ &quot; نسبة تكاليف الصيانة السنوية&quot;"/>
    <numFmt numFmtId="178" formatCode="#,##0\ &quot;المتبقي من الحد الأعلى للتمويل&quot;"/>
    <numFmt numFmtId="179" formatCode="0.00%\ &quot;(Low) منخفض&quot;"/>
    <numFmt numFmtId="180" formatCode="#,##0\ \ &quot;عدد الوحدات المتبقية&quot;"/>
    <numFmt numFmtId="181" formatCode="&quot;Avg&quot;\ #,##0"/>
    <numFmt numFmtId="182" formatCode="&quot;Avg&quot;\ #,##0&quot; m²&quot;"/>
    <numFmt numFmtId="183" formatCode="&quot;Avg&quot;\ 0%"/>
    <numFmt numFmtId="184" formatCode="&quot;Avg&quot;\ 0.00%"/>
    <numFmt numFmtId="185" formatCode="#,##0\ \ &quot;إجمالي قيمة الصيانة السنوية&quot;"/>
    <numFmt numFmtId="186" formatCode="#,##0\ &quot;N.sqm  &quot;"/>
    <numFmt numFmtId="187" formatCode="\ &quot;Investment Duration&quot;\ 0.0\ &quot;yrs&quot;"/>
    <numFmt numFmtId="188" formatCode="0.00%\ &quot;(Developer costs) - تكاليف المطور &quot;"/>
    <numFmt numFmtId="189" formatCode="0.00%\ &quot;(Interest) -  فوائد التمويل&quot;"/>
    <numFmt numFmtId="190" formatCode="0.00%\ &quot;(Arrangement Fee) -  رسوم ترتيب التمويل&quot;"/>
    <numFmt numFmtId="191" formatCode="0.00%\ &quot;(Annual Fund fees) -  رسوم الصندوق السنوية&quot;"/>
    <numFmt numFmtId="192" formatCode="#,##0\ &quot;NSA.m²&quot;"/>
    <numFmt numFmtId="193" formatCode="#,##0\ &quot; LA.m²&quot;"/>
    <numFmt numFmtId="194" formatCode="#,##0\ &quot;TDA.m²&quot;"/>
    <numFmt numFmtId="195" formatCode="#,##0\ &quot;/ LA.m²&quot;"/>
    <numFmt numFmtId="196" formatCode="#,##0\ &quot;/ TDA.m²&quot;"/>
    <numFmt numFmtId="197" formatCode="#,##0\ &quot; / NSA.m²&quot;"/>
    <numFmt numFmtId="198" formatCode="0.00%\ &quot;نسبة التمويل المطلوب من المسموح&quot;"/>
    <numFmt numFmtId="199" formatCode="0.00%\ &quot;الحد الأعلى لنسبة التمويل البنكي من تكاليف التطوير&quot;"/>
    <numFmt numFmtId="200" formatCode="0.00%\ &quot;نسبة الرسوم&quot;"/>
    <numFmt numFmtId="201" formatCode="0%\ &quot;نسبة الدفعة المقدمة&quot;"/>
    <numFmt numFmtId="202" formatCode="0.00%\ &quot; نسبة التكاليف التشغيلية والإدارية&quot;"/>
    <numFmt numFmtId="203" formatCode="0.000%"/>
    <numFmt numFmtId="204" formatCode="&quot;Avg&quot;\ #,##0.00"/>
    <numFmt numFmtId="205" formatCode="0.00%\ &quot;الحد الأعلى لنسبة التمويل البنكي من الأرض&quot;"/>
    <numFmt numFmtId="206" formatCode="0.0000%"/>
    <numFmt numFmtId="207" formatCode="_(* #,##0_);_(* \(#,##0\);_(* &quot;-&quot;??_);_(@_)"/>
    <numFmt numFmtId="208" formatCode="0.00%\ \ &quot;من مدة المشروع الإجمالية&quot;"/>
    <numFmt numFmtId="209" formatCode="#,##0\ \ &quot;مجموع القيم السابقة&quot;"/>
    <numFmt numFmtId="210" formatCode="#,##0\ &quot;تكلفة متر الأرض قبل الضريبة و السعي&quot;"/>
    <numFmt numFmtId="211" formatCode="0%\ &quot;من إجمالي الأمتار البيعية&quot;"/>
    <numFmt numFmtId="212" formatCode="#,##0.000000000000"/>
    <numFmt numFmtId="213" formatCode="#,##0.000000"/>
    <numFmt numFmtId="214" formatCode="#,##0.0000000000000000000000000000000000000000000"/>
    <numFmt numFmtId="215" formatCode="yyyy\-mm\-dd;@"/>
    <numFmt numFmtId="216" formatCode="0.000000%"/>
    <numFmt numFmtId="217" formatCode="#,##0\ &quot;- Total Project Units&quot;"/>
    <numFmt numFmtId="218" formatCode="&quot;المتبقي من الحد الأقصى للتمويل&quot;\ #,##0_);[Red]\(#,##0\)"/>
    <numFmt numFmtId="219" formatCode="0.00000000000%"/>
    <numFmt numFmtId="220" formatCode="[$SAR]\ #,##0_);[Red]\([$SAR]\ #,##0\)"/>
    <numFmt numFmtId="221" formatCode="0.00%\ &quot;نسبة التحوط&quot;"/>
    <numFmt numFmtId="222" formatCode="#,##0.0\ &quot;Y&quot;"/>
    <numFmt numFmtId="223" formatCode="#,##0\ &quot;Q&quot;"/>
    <numFmt numFmtId="224" formatCode="#,##0\ &quot;M&quot;"/>
    <numFmt numFmtId="225" formatCode="#,##0\ &quot;D&quot;"/>
    <numFmt numFmtId="226" formatCode="#,##0\ &quot;Units&quot;"/>
    <numFmt numFmtId="227" formatCode="&quot; Total Duration&quot;\ 0.0\ &quot;yrs&quot;"/>
    <numFmt numFmtId="228" formatCode="#,##0.00\ &quot;- Years&quot;"/>
    <numFmt numFmtId="229" formatCode="0.00%\ &quot;المقاول&quot;"/>
    <numFmt numFmtId="230" formatCode="#,##0.00;[Red]\(#,##0.00\);0.00"/>
    <numFmt numFmtId="231" formatCode="#,##0.00000000"/>
    <numFmt numFmtId="232" formatCode="#,##0.000000;[Red]\(#,##0.000000\);0.000000"/>
    <numFmt numFmtId="233" formatCode="0.00%\ &quot;الفلل - نسبة البيع من مساحة الأرض*&quot;"/>
    <numFmt numFmtId="234" formatCode="0.00%\ &quot;التاون هاوس - نسبة البيع من مساحة الأرض*&quot;"/>
    <numFmt numFmtId="235" formatCode="#,##0.00&quot; m²&quot;"/>
    <numFmt numFmtId="236" formatCode="#,##0\ &quot; - الإجمالي&quot;"/>
    <numFmt numFmtId="237" formatCode="#,##0.000"/>
    <numFmt numFmtId="238" formatCode="#,##0.00000"/>
  </numFmts>
  <fonts count="101" x14ac:knownFonts="1">
    <font>
      <sz val="11"/>
      <color theme="1"/>
      <name val="Calibri"/>
      <family val="2"/>
      <scheme val="minor"/>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8"/>
      <color theme="1"/>
      <name val="Calibri"/>
      <family val="2"/>
    </font>
    <font>
      <sz val="11"/>
      <color theme="1"/>
      <name val="Calibri"/>
      <family val="2"/>
      <scheme val="minor"/>
    </font>
    <font>
      <sz val="6"/>
      <color theme="1"/>
      <name val="Calibri"/>
      <family val="2"/>
    </font>
    <font>
      <sz val="6"/>
      <color theme="0"/>
      <name val="Calibri"/>
      <family val="2"/>
    </font>
    <font>
      <sz val="7"/>
      <color theme="1"/>
      <name val="Calibri"/>
      <family val="2"/>
    </font>
    <font>
      <sz val="10"/>
      <color theme="0"/>
      <name val="Calibri"/>
      <family val="2"/>
    </font>
    <font>
      <sz val="8"/>
      <color theme="0"/>
      <name val="Calibri"/>
      <family val="2"/>
    </font>
    <font>
      <sz val="8"/>
      <color rgb="FFD60000"/>
      <name val="Calibri"/>
      <family val="2"/>
    </font>
    <font>
      <sz val="8"/>
      <color theme="5" tint="-0.249977111117893"/>
      <name val="Calibri"/>
      <family val="2"/>
    </font>
    <font>
      <sz val="8"/>
      <color theme="5" tint="-0.24994659260841701"/>
      <name val="Calibri"/>
      <family val="2"/>
    </font>
    <font>
      <sz val="8"/>
      <name val="Calibri"/>
      <family val="2"/>
    </font>
    <font>
      <sz val="8"/>
      <color theme="5" tint="0.59999389629810485"/>
      <name val="Calibri"/>
      <family val="2"/>
    </font>
    <font>
      <sz val="7"/>
      <name val="Calibri"/>
      <family val="2"/>
    </font>
    <font>
      <sz val="6"/>
      <name val="Calibri"/>
      <family val="2"/>
    </font>
    <font>
      <sz val="8"/>
      <color rgb="FFFF0000"/>
      <name val="Calibri"/>
      <family val="2"/>
    </font>
    <font>
      <sz val="7"/>
      <color theme="0" tint="-0.14999847407452621"/>
      <name val="Calibri"/>
      <family val="2"/>
    </font>
    <font>
      <sz val="7"/>
      <color theme="0"/>
      <name val="Calibri"/>
      <family val="2"/>
    </font>
    <font>
      <sz val="7"/>
      <color theme="5" tint="0.59999389629810485"/>
      <name val="Calibri"/>
      <family val="2"/>
    </font>
    <font>
      <sz val="11"/>
      <name val="Calibri"/>
      <family val="2"/>
    </font>
    <font>
      <sz val="6"/>
      <color rgb="FFD5D5D5"/>
      <name val="Calibri"/>
      <family val="2"/>
    </font>
    <font>
      <sz val="8"/>
      <color rgb="FFC65911"/>
      <name val="Calibri"/>
      <family val="2"/>
    </font>
    <font>
      <sz val="7"/>
      <color theme="0" tint="-0.249977111117893"/>
      <name val="Calibri"/>
      <family val="2"/>
    </font>
    <font>
      <sz val="5"/>
      <name val="Calibri"/>
      <family val="2"/>
    </font>
    <font>
      <sz val="14"/>
      <color theme="1"/>
      <name val="Calibri"/>
      <family val="2"/>
    </font>
    <font>
      <sz val="14"/>
      <name val="Calibri"/>
      <family val="2"/>
    </font>
    <font>
      <sz val="12"/>
      <name val="Calibri"/>
      <family val="2"/>
    </font>
    <font>
      <sz val="14"/>
      <color theme="0"/>
      <name val="Calibri"/>
      <family val="2"/>
    </font>
    <font>
      <sz val="14"/>
      <color rgb="FF7F7F7F"/>
      <name val="Calibri"/>
      <family val="2"/>
    </font>
    <font>
      <b/>
      <sz val="14"/>
      <color rgb="FFA37953"/>
      <name val="Calibri"/>
      <family val="2"/>
    </font>
    <font>
      <b/>
      <sz val="20"/>
      <color theme="1"/>
      <name val="Calibri"/>
      <family val="2"/>
    </font>
    <font>
      <b/>
      <sz val="14"/>
      <color theme="1"/>
      <name val="Calibri"/>
      <family val="2"/>
    </font>
    <font>
      <sz val="12"/>
      <color theme="1"/>
      <name val="Calibri"/>
      <family val="2"/>
    </font>
    <font>
      <b/>
      <sz val="12"/>
      <color theme="1"/>
      <name val="Calibri"/>
      <family val="2"/>
    </font>
    <font>
      <sz val="14"/>
      <color theme="9" tint="-0.499984740745262"/>
      <name val="Calibri"/>
      <family val="2"/>
    </font>
    <font>
      <sz val="14"/>
      <color rgb="FFC00000"/>
      <name val="Calibri"/>
      <family val="2"/>
    </font>
    <font>
      <sz val="14"/>
      <color theme="9" tint="-0.249977111117893"/>
      <name val="Calibri"/>
      <family val="2"/>
    </font>
    <font>
      <sz val="16"/>
      <color theme="1"/>
      <name val="Calibri"/>
      <family val="2"/>
    </font>
    <font>
      <sz val="14"/>
      <color rgb="FFFF0000"/>
      <name val="Calibri"/>
      <family val="2"/>
    </font>
    <font>
      <sz val="8"/>
      <color theme="0" tint="-0.14999847407452621"/>
      <name val="Calibri"/>
      <family val="2"/>
    </font>
    <font>
      <sz val="6"/>
      <color theme="0" tint="-0.14999847407452621"/>
      <name val="Calibri"/>
      <family val="2"/>
    </font>
    <font>
      <sz val="7"/>
      <color rgb="FF00B050"/>
      <name val="Calibri"/>
      <family val="2"/>
    </font>
    <font>
      <sz val="8"/>
      <color theme="9" tint="-0.249977111117893"/>
      <name val="Calibri"/>
      <family val="2"/>
    </font>
    <font>
      <sz val="7"/>
      <color theme="9" tint="-0.249977111117893"/>
      <name val="Calibri"/>
      <family val="2"/>
    </font>
    <font>
      <sz val="7"/>
      <color rgb="FFFF0000"/>
      <name val="Calibri"/>
      <family val="2"/>
    </font>
    <font>
      <sz val="12"/>
      <color theme="0"/>
      <name val="Calibri"/>
      <family val="2"/>
    </font>
    <font>
      <sz val="8"/>
      <name val="Calibri"/>
      <family val="2"/>
      <scheme val="minor"/>
    </font>
    <font>
      <sz val="8"/>
      <color rgb="FFC00000"/>
      <name val="Calibri"/>
      <family val="2"/>
    </font>
    <font>
      <sz val="7"/>
      <color rgb="FFC00000"/>
      <name val="Calibri"/>
      <family val="2"/>
    </font>
    <font>
      <sz val="8"/>
      <color theme="0" tint="-0.249977111117893"/>
      <name val="Calibri"/>
      <family val="2"/>
    </font>
    <font>
      <sz val="11"/>
      <color theme="0"/>
      <name val="Calibri"/>
      <family val="2"/>
    </font>
    <font>
      <u/>
      <sz val="11"/>
      <color theme="10"/>
      <name val="Calibri"/>
      <family val="2"/>
      <scheme val="minor"/>
    </font>
    <font>
      <u/>
      <sz val="10"/>
      <color theme="10"/>
      <name val="Arial"/>
      <family val="2"/>
    </font>
    <font>
      <b/>
      <sz val="8"/>
      <name val="Calibri"/>
      <family val="2"/>
    </font>
    <font>
      <u/>
      <sz val="8"/>
      <name val="Calibri"/>
      <family val="2"/>
    </font>
    <font>
      <b/>
      <u/>
      <sz val="10"/>
      <color theme="0"/>
      <name val="Calibri"/>
      <family val="2"/>
    </font>
    <font>
      <sz val="12"/>
      <color rgb="FFDAD2CC"/>
      <name val="Calibri"/>
      <family val="2"/>
    </font>
    <font>
      <b/>
      <u/>
      <sz val="12"/>
      <color theme="0"/>
      <name val="Calibri"/>
      <family val="2"/>
    </font>
    <font>
      <sz val="10"/>
      <color theme="1"/>
      <name val="Calibri"/>
      <family val="2"/>
    </font>
    <font>
      <sz val="11"/>
      <color theme="1"/>
      <name val="Calibri"/>
      <family val="2"/>
    </font>
    <font>
      <u/>
      <sz val="8"/>
      <color rgb="FF493833"/>
      <name val="Calibri"/>
      <family val="2"/>
    </font>
    <font>
      <sz val="8"/>
      <color rgb="FF493833"/>
      <name val="Calibri"/>
      <family val="2"/>
    </font>
    <font>
      <b/>
      <sz val="11"/>
      <color theme="1"/>
      <name val="Calibri"/>
      <family val="2"/>
    </font>
    <font>
      <b/>
      <sz val="14"/>
      <color theme="9" tint="-0.249977111117893"/>
      <name val="Calibri"/>
      <family val="2"/>
    </font>
    <font>
      <sz val="26"/>
      <color theme="0"/>
      <name val="Calibri"/>
      <family val="2"/>
    </font>
    <font>
      <sz val="16"/>
      <color theme="9" tint="-0.249977111117893"/>
      <name val="Calibri"/>
      <family val="2"/>
    </font>
    <font>
      <sz val="11"/>
      <color theme="0" tint="-0.14999847407452621"/>
      <name val="Calibri"/>
      <family val="2"/>
    </font>
    <font>
      <sz val="10"/>
      <color theme="0" tint="-0.14999847407452621"/>
      <name val="Calibri"/>
      <family val="2"/>
    </font>
    <font>
      <sz val="12"/>
      <color rgb="FFC00000"/>
      <name val="Calibri"/>
      <family val="2"/>
    </font>
    <font>
      <sz val="12"/>
      <color theme="9" tint="-0.249977111117893"/>
      <name val="Calibri"/>
      <family val="2"/>
    </font>
    <font>
      <sz val="12"/>
      <color rgb="FF7F7F7F"/>
      <name val="Calibri"/>
      <family val="2"/>
    </font>
    <font>
      <sz val="11"/>
      <color rgb="FF7F7F7F"/>
      <name val="Calibri"/>
      <family val="2"/>
    </font>
    <font>
      <sz val="10"/>
      <color rgb="FFD9D9D9"/>
      <name val="Calibri"/>
      <family val="2"/>
    </font>
    <font>
      <sz val="7"/>
      <color rgb="FFA0A0A0"/>
      <name val="Calibri"/>
      <family val="2"/>
    </font>
    <font>
      <sz val="13"/>
      <color theme="1"/>
      <name val="Calibri"/>
      <family val="2"/>
    </font>
    <font>
      <sz val="16"/>
      <color rgb="FFC00000"/>
      <name val="Calibri"/>
      <family val="2"/>
    </font>
    <font>
      <b/>
      <sz val="11"/>
      <color rgb="FFA37953"/>
      <name val="Calibri"/>
      <family val="2"/>
    </font>
    <font>
      <b/>
      <sz val="18"/>
      <color rgb="FFA37953"/>
      <name val="Calibri"/>
      <family val="2"/>
    </font>
    <font>
      <sz val="11"/>
      <color rgb="FFC00000"/>
      <name val="Calibri"/>
      <family val="2"/>
    </font>
    <font>
      <sz val="11"/>
      <color theme="9" tint="-0.249977111117893"/>
      <name val="Calibri"/>
      <family val="2"/>
    </font>
    <font>
      <u/>
      <sz val="11"/>
      <color rgb="FFDACBBC"/>
      <name val="Calibri"/>
      <family val="2"/>
      <scheme val="minor"/>
    </font>
    <font>
      <sz val="8"/>
      <color theme="1"/>
      <name val="Calibri"/>
      <family val="2"/>
      <scheme val="minor"/>
    </font>
    <font>
      <sz val="6"/>
      <color rgb="FFC00000"/>
      <name val="Calibri"/>
      <family val="2"/>
    </font>
    <font>
      <sz val="10"/>
      <name val="Calibri"/>
      <family val="2"/>
    </font>
    <font>
      <sz val="8"/>
      <color rgb="FF000000"/>
      <name val="Calibri"/>
      <family val="2"/>
    </font>
    <font>
      <b/>
      <sz val="5"/>
      <color indexed="81"/>
      <name val="Calibri"/>
      <family val="2"/>
      <scheme val="minor"/>
    </font>
    <font>
      <b/>
      <sz val="6"/>
      <color indexed="81"/>
      <name val="Calibri"/>
      <family val="2"/>
      <scheme val="minor"/>
    </font>
    <font>
      <sz val="6"/>
      <color indexed="81"/>
      <name val="Calibri"/>
      <family val="2"/>
      <scheme val="minor"/>
    </font>
    <font>
      <sz val="8"/>
      <color rgb="FFA0A0A0"/>
      <name val="Calibri"/>
      <family val="2"/>
    </font>
    <font>
      <sz val="14"/>
      <color rgb="FFA0A0A0"/>
      <name val="Calibri"/>
      <family val="2"/>
    </font>
    <font>
      <sz val="11"/>
      <color rgb="FFA0A0A0"/>
      <name val="Calibri"/>
      <family val="2"/>
    </font>
    <font>
      <sz val="11"/>
      <name val="Calibri"/>
      <family val="2"/>
      <scheme val="minor"/>
    </font>
  </fonts>
  <fills count="9">
    <fill>
      <patternFill patternType="none"/>
    </fill>
    <fill>
      <patternFill patternType="gray125"/>
    </fill>
    <fill>
      <patternFill patternType="solid">
        <fgColor rgb="FFA4907E"/>
        <bgColor indexed="64"/>
      </patternFill>
    </fill>
    <fill>
      <patternFill patternType="solid">
        <fgColor rgb="FFF0EAE4"/>
        <bgColor indexed="64"/>
      </patternFill>
    </fill>
    <fill>
      <patternFill patternType="solid">
        <fgColor rgb="FFEDE4D6"/>
        <bgColor indexed="64"/>
      </patternFill>
    </fill>
    <fill>
      <patternFill patternType="solid">
        <fgColor rgb="FFAC9A8A"/>
        <bgColor indexed="64"/>
      </patternFill>
    </fill>
    <fill>
      <patternFill patternType="solid">
        <fgColor theme="0"/>
        <bgColor indexed="64"/>
      </patternFill>
    </fill>
    <fill>
      <patternFill patternType="solid">
        <fgColor rgb="FFFFFF00"/>
        <bgColor indexed="64"/>
      </patternFill>
    </fill>
    <fill>
      <patternFill patternType="solid">
        <fgColor rgb="FFF2F0EE"/>
        <bgColor indexed="64"/>
      </patternFill>
    </fill>
  </fills>
  <borders count="127">
    <border>
      <left/>
      <right/>
      <top/>
      <bottom/>
      <diagonal/>
    </border>
    <border>
      <left style="medium">
        <color rgb="FFDAD2CC"/>
      </left>
      <right style="thin">
        <color rgb="FFDAD2CC"/>
      </right>
      <top style="medium">
        <color rgb="FFDAD2CC"/>
      </top>
      <bottom style="thin">
        <color rgb="FFDAD2CC"/>
      </bottom>
      <diagonal/>
    </border>
    <border>
      <left style="thin">
        <color rgb="FFDAD2CC"/>
      </left>
      <right style="thin">
        <color rgb="FFDAD2CC"/>
      </right>
      <top style="medium">
        <color rgb="FFDAD2CC"/>
      </top>
      <bottom style="thin">
        <color rgb="FFDAD2CC"/>
      </bottom>
      <diagonal/>
    </border>
    <border>
      <left style="thin">
        <color rgb="FFDAD2CC"/>
      </left>
      <right style="medium">
        <color rgb="FFDAD2CC"/>
      </right>
      <top style="medium">
        <color rgb="FFDAD2CC"/>
      </top>
      <bottom style="thin">
        <color rgb="FFDAD2CC"/>
      </bottom>
      <diagonal/>
    </border>
    <border>
      <left style="medium">
        <color rgb="FFDAD2CC"/>
      </left>
      <right style="thin">
        <color rgb="FFDAD2CC"/>
      </right>
      <top style="thin">
        <color rgb="FFDAD2CC"/>
      </top>
      <bottom style="thin">
        <color rgb="FFDAD2CC"/>
      </bottom>
      <diagonal/>
    </border>
    <border>
      <left style="thin">
        <color rgb="FFDAD2CC"/>
      </left>
      <right style="thin">
        <color rgb="FFDAD2CC"/>
      </right>
      <top style="thin">
        <color rgb="FFDAD2CC"/>
      </top>
      <bottom style="thin">
        <color rgb="FFDAD2CC"/>
      </bottom>
      <diagonal/>
    </border>
    <border>
      <left style="thin">
        <color rgb="FFDAD2CC"/>
      </left>
      <right style="medium">
        <color rgb="FFDAD2CC"/>
      </right>
      <top style="thin">
        <color rgb="FFDAD2CC"/>
      </top>
      <bottom style="thin">
        <color rgb="FFDAD2CC"/>
      </bottom>
      <diagonal/>
    </border>
    <border>
      <left style="medium">
        <color rgb="FFDAD2CC"/>
      </left>
      <right style="thin">
        <color rgb="FFDAD2CC"/>
      </right>
      <top style="thin">
        <color rgb="FFDAD2CC"/>
      </top>
      <bottom style="medium">
        <color rgb="FFDAD2CC"/>
      </bottom>
      <diagonal/>
    </border>
    <border>
      <left style="thin">
        <color rgb="FFDAD2CC"/>
      </left>
      <right style="thin">
        <color rgb="FFDAD2CC"/>
      </right>
      <top style="thin">
        <color rgb="FFDAD2CC"/>
      </top>
      <bottom style="medium">
        <color rgb="FFDAD2CC"/>
      </bottom>
      <diagonal/>
    </border>
    <border>
      <left style="thin">
        <color rgb="FFDAD2CC"/>
      </left>
      <right style="medium">
        <color rgb="FFDAD2CC"/>
      </right>
      <top style="thin">
        <color rgb="FFDAD2CC"/>
      </top>
      <bottom style="medium">
        <color rgb="FFDAD2CC"/>
      </bottom>
      <diagonal/>
    </border>
    <border>
      <left style="medium">
        <color rgb="FFDAD2CC"/>
      </left>
      <right style="medium">
        <color rgb="FFDAD2CC"/>
      </right>
      <top style="medium">
        <color rgb="FFDAD2CC"/>
      </top>
      <bottom style="medium">
        <color rgb="FFDAD2CC"/>
      </bottom>
      <diagonal/>
    </border>
    <border>
      <left style="medium">
        <color rgb="FFDAD2CC"/>
      </left>
      <right style="medium">
        <color rgb="FFDAD2CC"/>
      </right>
      <top style="medium">
        <color rgb="FFDAD2CC"/>
      </top>
      <bottom style="thin">
        <color rgb="FFDAD2CC"/>
      </bottom>
      <diagonal/>
    </border>
    <border>
      <left style="medium">
        <color rgb="FFDAD2CC"/>
      </left>
      <right style="medium">
        <color rgb="FFDAD2CC"/>
      </right>
      <top style="thin">
        <color rgb="FFDAD2CC"/>
      </top>
      <bottom style="medium">
        <color rgb="FFDAD2CC"/>
      </bottom>
      <diagonal/>
    </border>
    <border>
      <left style="thin">
        <color rgb="FFDAD2CC"/>
      </left>
      <right style="thin">
        <color rgb="FFDAD2CC"/>
      </right>
      <top style="thin">
        <color rgb="FFDAD2CC"/>
      </top>
      <bottom/>
      <diagonal/>
    </border>
    <border>
      <left style="medium">
        <color rgb="FFDAD2CC"/>
      </left>
      <right style="medium">
        <color rgb="FFDAD2CC"/>
      </right>
      <top style="thin">
        <color rgb="FFDAD2CC"/>
      </top>
      <bottom style="thin">
        <color rgb="FFDAD2CC"/>
      </bottom>
      <diagonal/>
    </border>
    <border>
      <left style="thin">
        <color rgb="FFDAD2CC"/>
      </left>
      <right style="thin">
        <color rgb="FFDAD2CC"/>
      </right>
      <top/>
      <bottom style="thin">
        <color rgb="FFDAD2CC"/>
      </bottom>
      <diagonal/>
    </border>
    <border>
      <left style="medium">
        <color rgb="FFDAD2CC"/>
      </left>
      <right style="thin">
        <color rgb="FFDAD2CC"/>
      </right>
      <top style="thin">
        <color rgb="FFDAD2CC"/>
      </top>
      <bottom/>
      <diagonal/>
    </border>
    <border>
      <left style="thin">
        <color rgb="FFDAD2CC"/>
      </left>
      <right style="medium">
        <color rgb="FFDAD2CC"/>
      </right>
      <top style="thin">
        <color rgb="FFDAD2CC"/>
      </top>
      <bottom/>
      <diagonal/>
    </border>
    <border>
      <left style="medium">
        <color rgb="FFDAD2CC"/>
      </left>
      <right style="thin">
        <color rgb="FFDAD2CC"/>
      </right>
      <top/>
      <bottom style="thin">
        <color rgb="FFDAD2CC"/>
      </bottom>
      <diagonal/>
    </border>
    <border>
      <left style="thin">
        <color rgb="FFDAD2CC"/>
      </left>
      <right style="medium">
        <color rgb="FFDAD2CC"/>
      </right>
      <top/>
      <bottom style="thin">
        <color rgb="FFDAD2CC"/>
      </bottom>
      <diagonal/>
    </border>
    <border>
      <left/>
      <right style="medium">
        <color rgb="FFDAD2CC"/>
      </right>
      <top/>
      <bottom/>
      <diagonal/>
    </border>
    <border>
      <left style="thin">
        <color rgb="FFDAD2CC"/>
      </left>
      <right/>
      <top style="thin">
        <color rgb="FFDAD2CC"/>
      </top>
      <bottom style="thin">
        <color rgb="FFDAD2CC"/>
      </bottom>
      <diagonal/>
    </border>
    <border>
      <left/>
      <right/>
      <top/>
      <bottom style="thin">
        <color rgb="FFDAD2CC"/>
      </bottom>
      <diagonal/>
    </border>
    <border>
      <left/>
      <right style="medium">
        <color rgb="FFDAD2CC"/>
      </right>
      <top/>
      <bottom style="thin">
        <color rgb="FFDAD2CC"/>
      </bottom>
      <diagonal/>
    </border>
    <border>
      <left style="medium">
        <color rgb="FFDAD2CC"/>
      </left>
      <right/>
      <top style="medium">
        <color rgb="FFDAD2CC"/>
      </top>
      <bottom style="medium">
        <color rgb="FFDAD2CC"/>
      </bottom>
      <diagonal/>
    </border>
    <border>
      <left/>
      <right/>
      <top style="medium">
        <color rgb="FFDAD2CC"/>
      </top>
      <bottom style="medium">
        <color rgb="FFDAD2CC"/>
      </bottom>
      <diagonal/>
    </border>
    <border>
      <left/>
      <right style="medium">
        <color rgb="FFDAD2CC"/>
      </right>
      <top style="medium">
        <color rgb="FFDAD2CC"/>
      </top>
      <bottom style="medium">
        <color rgb="FFDAD2CC"/>
      </bottom>
      <diagonal/>
    </border>
    <border>
      <left/>
      <right/>
      <top style="medium">
        <color rgb="FFDAD2CC"/>
      </top>
      <bottom/>
      <diagonal/>
    </border>
    <border>
      <left style="medium">
        <color rgb="FFDAD2CC"/>
      </left>
      <right/>
      <top/>
      <bottom style="thin">
        <color rgb="FFDAD2CC"/>
      </bottom>
      <diagonal/>
    </border>
    <border>
      <left style="thin">
        <color rgb="FFDAD2CC"/>
      </left>
      <right/>
      <top style="thin">
        <color rgb="FFDAD2CC"/>
      </top>
      <bottom style="medium">
        <color rgb="FFDAD2CC"/>
      </bottom>
      <diagonal/>
    </border>
    <border>
      <left/>
      <right style="thin">
        <color rgb="FFDAD2CC"/>
      </right>
      <top style="thin">
        <color rgb="FFDAD2CC"/>
      </top>
      <bottom style="medium">
        <color rgb="FFDAD2CC"/>
      </bottom>
      <diagonal/>
    </border>
    <border>
      <left style="medium">
        <color rgb="FFDAD2CC"/>
      </left>
      <right/>
      <top style="thin">
        <color rgb="FFDAD2CC"/>
      </top>
      <bottom style="thin">
        <color rgb="FFDAD2CC"/>
      </bottom>
      <diagonal/>
    </border>
    <border>
      <left/>
      <right style="thin">
        <color rgb="FFDAD2CC"/>
      </right>
      <top style="thin">
        <color rgb="FFDAD2CC"/>
      </top>
      <bottom style="thin">
        <color rgb="FFDAD2CC"/>
      </bottom>
      <diagonal/>
    </border>
    <border>
      <left/>
      <right style="thin">
        <color rgb="FFDAD2CC"/>
      </right>
      <top/>
      <bottom style="thin">
        <color rgb="FFDAD2CC"/>
      </bottom>
      <diagonal/>
    </border>
    <border>
      <left style="medium">
        <color rgb="FFDAD2CC"/>
      </left>
      <right/>
      <top style="medium">
        <color rgb="FFDAD2CC"/>
      </top>
      <bottom/>
      <diagonal/>
    </border>
    <border>
      <left style="medium">
        <color rgb="FFDAD2CC"/>
      </left>
      <right/>
      <top/>
      <bottom/>
      <diagonal/>
    </border>
    <border>
      <left/>
      <right style="medium">
        <color rgb="FFDAD2CC"/>
      </right>
      <top style="medium">
        <color rgb="FFDAD2CC"/>
      </top>
      <bottom style="thin">
        <color rgb="FFDAD2CC"/>
      </bottom>
      <diagonal/>
    </border>
    <border>
      <left style="medium">
        <color rgb="FFDAD2CC"/>
      </left>
      <right style="medium">
        <color rgb="FFDAD2CC"/>
      </right>
      <top style="medium">
        <color rgb="FFDAD2CC"/>
      </top>
      <bottom/>
      <diagonal/>
    </border>
    <border>
      <left style="medium">
        <color rgb="FFDAD2CC"/>
      </left>
      <right/>
      <top style="medium">
        <color rgb="FFDAD2CC"/>
      </top>
      <bottom style="thin">
        <color rgb="FFDAD2CC"/>
      </bottom>
      <diagonal/>
    </border>
    <border>
      <left/>
      <right/>
      <top style="medium">
        <color rgb="FFDAD2CC"/>
      </top>
      <bottom style="thin">
        <color rgb="FFDAD2CC"/>
      </bottom>
      <diagonal/>
    </border>
    <border>
      <left style="medium">
        <color rgb="FFDAD2CC"/>
      </left>
      <right/>
      <top/>
      <bottom style="medium">
        <color rgb="FFDAD2CC"/>
      </bottom>
      <diagonal/>
    </border>
    <border>
      <left/>
      <right/>
      <top/>
      <bottom style="medium">
        <color rgb="FFDAD2CC"/>
      </bottom>
      <diagonal/>
    </border>
    <border>
      <left style="double">
        <color rgb="FFBEB0A6"/>
      </left>
      <right/>
      <top style="double">
        <color rgb="FFBEB0A6"/>
      </top>
      <bottom/>
      <diagonal/>
    </border>
    <border>
      <left/>
      <right/>
      <top style="double">
        <color rgb="FFBEB0A6"/>
      </top>
      <bottom/>
      <diagonal/>
    </border>
    <border>
      <left/>
      <right style="double">
        <color rgb="FFBEB0A6"/>
      </right>
      <top style="double">
        <color rgb="FFBEB0A6"/>
      </top>
      <bottom/>
      <diagonal/>
    </border>
    <border>
      <left style="double">
        <color rgb="FFBEB0A6"/>
      </left>
      <right/>
      <top/>
      <bottom/>
      <diagonal/>
    </border>
    <border>
      <left/>
      <right style="double">
        <color rgb="FFBEB0A6"/>
      </right>
      <top/>
      <bottom/>
      <diagonal/>
    </border>
    <border>
      <left style="double">
        <color rgb="FFBEB0A6"/>
      </left>
      <right/>
      <top/>
      <bottom style="double">
        <color rgb="FFBEB0A6"/>
      </bottom>
      <diagonal/>
    </border>
    <border>
      <left/>
      <right/>
      <top/>
      <bottom style="double">
        <color rgb="FFBEB0A6"/>
      </bottom>
      <diagonal/>
    </border>
    <border>
      <left/>
      <right style="double">
        <color rgb="FFBEB0A6"/>
      </right>
      <top/>
      <bottom style="double">
        <color rgb="FFBEB0A6"/>
      </bottom>
      <diagonal/>
    </border>
    <border>
      <left/>
      <right style="medium">
        <color rgb="FFDAD2CC"/>
      </right>
      <top style="medium">
        <color rgb="FFDAD2CC"/>
      </top>
      <bottom/>
      <diagonal/>
    </border>
    <border>
      <left/>
      <right style="medium">
        <color rgb="FFDAD2CC"/>
      </right>
      <top/>
      <bottom style="medium">
        <color rgb="FFDAD2CC"/>
      </bottom>
      <diagonal/>
    </border>
    <border>
      <left style="medium">
        <color rgb="FFDAD2CC"/>
      </left>
      <right/>
      <top style="thin">
        <color rgb="FFDAD2CC"/>
      </top>
      <bottom style="medium">
        <color rgb="FFDAD2CC"/>
      </bottom>
      <diagonal/>
    </border>
    <border>
      <left/>
      <right style="thin">
        <color rgb="FFDAD2CC"/>
      </right>
      <top style="medium">
        <color rgb="FFDAD2CC"/>
      </top>
      <bottom style="thin">
        <color rgb="FFDAD2CC"/>
      </bottom>
      <diagonal/>
    </border>
    <border>
      <left/>
      <right/>
      <top/>
      <bottom style="hair">
        <color auto="1"/>
      </bottom>
      <diagonal/>
    </border>
    <border>
      <left style="thin">
        <color theme="0" tint="-0.14996795556505021"/>
      </left>
      <right style="thin">
        <color theme="0" tint="-0.14996795556505021"/>
      </right>
      <top/>
      <bottom/>
      <diagonal/>
    </border>
    <border>
      <left style="thick">
        <color rgb="FFDAD2CC"/>
      </left>
      <right style="thin">
        <color rgb="FFDAD2CC"/>
      </right>
      <top style="thin">
        <color rgb="FFDAD2CC"/>
      </top>
      <bottom style="thin">
        <color rgb="FFDAD2CC"/>
      </bottom>
      <diagonal/>
    </border>
    <border>
      <left style="thick">
        <color rgb="FFDAD2CC"/>
      </left>
      <right style="thin">
        <color rgb="FFDAD2CC"/>
      </right>
      <top style="thin">
        <color rgb="FFDAD2CC"/>
      </top>
      <bottom style="medium">
        <color rgb="FFDAD2CC"/>
      </bottom>
      <diagonal/>
    </border>
    <border>
      <left style="thin">
        <color rgb="FFDAD2CC"/>
      </left>
      <right/>
      <top style="medium">
        <color rgb="FFDAD2CC"/>
      </top>
      <bottom style="thin">
        <color rgb="FFDAD2CC"/>
      </bottom>
      <diagonal/>
    </border>
    <border>
      <left style="thick">
        <color rgb="FFDAD2CC"/>
      </left>
      <right style="thin">
        <color rgb="FFDAD2CC"/>
      </right>
      <top style="medium">
        <color rgb="FFDAD2CC"/>
      </top>
      <bottom style="thin">
        <color rgb="FFDAD2CC"/>
      </bottom>
      <diagonal/>
    </border>
    <border>
      <left style="thin">
        <color theme="0" tint="-0.14996795556505021"/>
      </left>
      <right/>
      <top/>
      <bottom/>
      <diagonal/>
    </border>
    <border>
      <left style="medium">
        <color rgb="FFDAD2CC"/>
      </left>
      <right/>
      <top style="thin">
        <color rgb="FFDAD2CC"/>
      </top>
      <bottom/>
      <diagonal/>
    </border>
    <border>
      <left/>
      <right style="thin">
        <color rgb="FFDAD2CC"/>
      </right>
      <top style="thin">
        <color rgb="FFDAD2CC"/>
      </top>
      <bottom/>
      <diagonal/>
    </border>
    <border>
      <left style="thin">
        <color rgb="FFDAD2CC"/>
      </left>
      <right style="thin">
        <color rgb="FFDAD2CC"/>
      </right>
      <top/>
      <bottom style="medium">
        <color rgb="FFDAD2CC"/>
      </bottom>
      <diagonal/>
    </border>
    <border>
      <left/>
      <right style="thin">
        <color rgb="FFDAD2CC"/>
      </right>
      <top/>
      <bottom style="medium">
        <color rgb="FFDAD2CC"/>
      </bottom>
      <diagonal/>
    </border>
    <border>
      <left style="thin">
        <color rgb="FFDAD2CC"/>
      </left>
      <right style="medium">
        <color rgb="FFDAD2CC"/>
      </right>
      <top/>
      <bottom style="medium">
        <color rgb="FFDAD2CC"/>
      </bottom>
      <diagonal/>
    </border>
    <border>
      <left style="thin">
        <color rgb="FFDAD2CC"/>
      </left>
      <right style="thick">
        <color rgb="FFDAD2CC"/>
      </right>
      <top style="thin">
        <color rgb="FFDAD2CC"/>
      </top>
      <bottom style="medium">
        <color rgb="FFDAD2CC"/>
      </bottom>
      <diagonal/>
    </border>
    <border>
      <left style="thin">
        <color rgb="FFDAD2CC"/>
      </left>
      <right style="thick">
        <color rgb="FFDAD2CC"/>
      </right>
      <top style="thin">
        <color rgb="FFDAD2CC"/>
      </top>
      <bottom style="thin">
        <color rgb="FFDAD2CC"/>
      </bottom>
      <diagonal/>
    </border>
    <border>
      <left style="thin">
        <color rgb="FFDAD2CC"/>
      </left>
      <right style="thick">
        <color rgb="FFDAD2CC"/>
      </right>
      <top/>
      <bottom style="thin">
        <color rgb="FFDAD2CC"/>
      </bottom>
      <diagonal/>
    </border>
    <border>
      <left style="thin">
        <color rgb="FFDAD2CC"/>
      </left>
      <right style="thick">
        <color rgb="FFDAD2CC"/>
      </right>
      <top style="medium">
        <color rgb="FFDAD2CC"/>
      </top>
      <bottom style="thin">
        <color rgb="FFDAD2CC"/>
      </bottom>
      <diagonal/>
    </border>
    <border>
      <left style="thin">
        <color rgb="FFDAD2CC"/>
      </left>
      <right style="thick">
        <color rgb="FFDAD2CC"/>
      </right>
      <top style="thin">
        <color rgb="FFDAD2CC"/>
      </top>
      <bottom/>
      <diagonal/>
    </border>
    <border>
      <left style="thin">
        <color rgb="FFDAD2CC"/>
      </left>
      <right style="thick">
        <color rgb="FFDAD2CC"/>
      </right>
      <top/>
      <bottom style="medium">
        <color rgb="FFDAD2CC"/>
      </bottom>
      <diagonal/>
    </border>
    <border>
      <left style="medium">
        <color rgb="FFDAD2CC"/>
      </left>
      <right style="thick">
        <color rgb="FFDAD2CC"/>
      </right>
      <top style="medium">
        <color rgb="FFDAD2CC"/>
      </top>
      <bottom/>
      <diagonal/>
    </border>
    <border>
      <left style="medium">
        <color rgb="FFDAD2CC"/>
      </left>
      <right style="thick">
        <color rgb="FFDAD2CC"/>
      </right>
      <top/>
      <bottom/>
      <diagonal/>
    </border>
    <border>
      <left style="medium">
        <color rgb="FFDAD2CC"/>
      </left>
      <right style="thick">
        <color rgb="FFDAD2CC"/>
      </right>
      <top/>
      <bottom style="medium">
        <color rgb="FFDAD2CC"/>
      </bottom>
      <diagonal/>
    </border>
    <border>
      <left style="medium">
        <color rgb="FFDAD2CC"/>
      </left>
      <right style="thin">
        <color rgb="FFDAD2CC"/>
      </right>
      <top/>
      <bottom style="medium">
        <color rgb="FFDAD2CC"/>
      </bottom>
      <diagonal/>
    </border>
    <border>
      <left/>
      <right/>
      <top/>
      <bottom style="medium">
        <color theme="1" tint="0.499984740745262"/>
      </bottom>
      <diagonal/>
    </border>
    <border>
      <left/>
      <right/>
      <top style="medium">
        <color theme="1" tint="0.499984740745262"/>
      </top>
      <bottom/>
      <diagonal/>
    </border>
    <border>
      <left style="thin">
        <color rgb="FFD9D9D9"/>
      </left>
      <right/>
      <top style="medium">
        <color theme="1" tint="0.499984740745262"/>
      </top>
      <bottom/>
      <diagonal/>
    </border>
    <border>
      <left style="thin">
        <color rgb="FFD9D9D9"/>
      </left>
      <right/>
      <top/>
      <bottom/>
      <diagonal/>
    </border>
    <border>
      <left style="thin">
        <color rgb="FFD9D9D9"/>
      </left>
      <right/>
      <top/>
      <bottom style="medium">
        <color theme="1" tint="0.499984740745262"/>
      </bottom>
      <diagonal/>
    </border>
    <border>
      <left style="thin">
        <color rgb="FFD9D9D9"/>
      </left>
      <right style="hair">
        <color rgb="FF808080"/>
      </right>
      <top style="medium">
        <color theme="1" tint="0.499984740745262"/>
      </top>
      <bottom/>
      <diagonal/>
    </border>
    <border>
      <left style="thin">
        <color rgb="FFD9D9D9"/>
      </left>
      <right style="hair">
        <color rgb="FF808080"/>
      </right>
      <top/>
      <bottom/>
      <diagonal/>
    </border>
    <border>
      <left style="thin">
        <color rgb="FFD9D9D9"/>
      </left>
      <right style="hair">
        <color rgb="FF808080"/>
      </right>
      <top/>
      <bottom style="medium">
        <color theme="1" tint="0.499984740745262"/>
      </bottom>
      <diagonal/>
    </border>
    <border>
      <left/>
      <right style="thin">
        <color rgb="FFD9D9D9"/>
      </right>
      <top style="medium">
        <color theme="1" tint="0.499984740745262"/>
      </top>
      <bottom/>
      <diagonal/>
    </border>
    <border>
      <left/>
      <right style="thin">
        <color rgb="FFD9D9D9"/>
      </right>
      <top/>
      <bottom/>
      <diagonal/>
    </border>
    <border>
      <left/>
      <right style="thin">
        <color rgb="FFD9D9D9"/>
      </right>
      <top/>
      <bottom style="medium">
        <color theme="1" tint="0.499984740745262"/>
      </bottom>
      <diagonal/>
    </border>
    <border>
      <left/>
      <right/>
      <top/>
      <bottom style="thin">
        <color rgb="FFD9D9D9"/>
      </bottom>
      <diagonal/>
    </border>
    <border>
      <left/>
      <right/>
      <top/>
      <bottom style="medium">
        <color rgb="FF808080"/>
      </bottom>
      <diagonal/>
    </border>
    <border>
      <left style="thin">
        <color rgb="FFD9D9D9"/>
      </left>
      <right/>
      <top/>
      <bottom style="medium">
        <color rgb="FF808080"/>
      </bottom>
      <diagonal/>
    </border>
    <border>
      <left/>
      <right style="medium">
        <color rgb="FFDAD2CC"/>
      </right>
      <top/>
      <bottom style="medium">
        <color theme="1" tint="0.499984740745262"/>
      </bottom>
      <diagonal/>
    </border>
    <border>
      <left/>
      <right style="medium">
        <color rgb="FFDAD2CC"/>
      </right>
      <top style="medium">
        <color theme="1" tint="0.499984740745262"/>
      </top>
      <bottom/>
      <diagonal/>
    </border>
    <border>
      <left/>
      <right style="medium">
        <color rgb="FFDAD2CC"/>
      </right>
      <top/>
      <bottom style="medium">
        <color rgb="FF808080"/>
      </bottom>
      <diagonal/>
    </border>
    <border>
      <left style="medium">
        <color rgb="FFDAD2CC"/>
      </left>
      <right/>
      <top/>
      <bottom style="medium">
        <color theme="1" tint="0.499984740745262"/>
      </bottom>
      <diagonal/>
    </border>
    <border>
      <left style="medium">
        <color rgb="FFDAD2CC"/>
      </left>
      <right/>
      <top/>
      <bottom style="medium">
        <color rgb="FF808080"/>
      </bottom>
      <diagonal/>
    </border>
    <border>
      <left style="medium">
        <color rgb="FFDAD2CC"/>
      </left>
      <right/>
      <top style="medium">
        <color rgb="FF808080"/>
      </top>
      <bottom/>
      <diagonal/>
    </border>
    <border>
      <left/>
      <right/>
      <top style="medium">
        <color rgb="FF808080"/>
      </top>
      <bottom/>
      <diagonal/>
    </border>
    <border>
      <left style="thin">
        <color rgb="FFD9D9D9"/>
      </left>
      <right/>
      <top style="medium">
        <color rgb="FF808080"/>
      </top>
      <bottom/>
      <diagonal/>
    </border>
    <border>
      <left/>
      <right style="medium">
        <color rgb="FFDAD2CC"/>
      </right>
      <top style="medium">
        <color rgb="FF808080"/>
      </top>
      <bottom/>
      <diagonal/>
    </border>
    <border>
      <left style="thin">
        <color rgb="FFA0A0A0"/>
      </left>
      <right style="thin">
        <color rgb="FFA0A0A0"/>
      </right>
      <top style="thin">
        <color rgb="FFA0A0A0"/>
      </top>
      <bottom style="thin">
        <color rgb="FFA0A0A0"/>
      </bottom>
      <diagonal/>
    </border>
    <border>
      <left/>
      <right style="thin">
        <color rgb="FFA0A0A0"/>
      </right>
      <top/>
      <bottom style="thin">
        <color rgb="FFA0A0A0"/>
      </bottom>
      <diagonal/>
    </border>
    <border>
      <left style="thin">
        <color rgb="FFA0A0A0"/>
      </left>
      <right/>
      <top/>
      <bottom style="thin">
        <color rgb="FFA0A0A0"/>
      </bottom>
      <diagonal/>
    </border>
    <border>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style="thin">
        <color rgb="FFA0A0A0"/>
      </right>
      <top style="thin">
        <color rgb="FFA0A0A0"/>
      </top>
      <bottom/>
      <diagonal/>
    </border>
    <border>
      <left style="thin">
        <color rgb="FFA0A0A0"/>
      </left>
      <right/>
      <top style="thin">
        <color rgb="FFA0A0A0"/>
      </top>
      <bottom/>
      <diagonal/>
    </border>
    <border>
      <left style="medium">
        <color theme="1" tint="0.499984740745262"/>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rgb="FFDAD2CC"/>
      </bottom>
      <diagonal/>
    </border>
    <border>
      <left/>
      <right style="medium">
        <color theme="1" tint="0.499984740745262"/>
      </right>
      <top/>
      <bottom style="medium">
        <color rgb="FFDAD2CC"/>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medium">
        <color theme="1" tint="0.499984740745262"/>
      </right>
      <top/>
      <bottom/>
      <diagonal/>
    </border>
    <border>
      <left style="medium">
        <color theme="1" tint="0.499984740745262"/>
      </left>
      <right style="medium">
        <color theme="1" tint="0.499984740745262"/>
      </right>
      <top/>
      <bottom style="medium">
        <color rgb="FFDAD2CC"/>
      </bottom>
      <diagonal/>
    </border>
    <border>
      <left/>
      <right style="medium">
        <color rgb="FFDAD2CC"/>
      </right>
      <top style="thin">
        <color rgb="FFDAD2CC"/>
      </top>
      <bottom style="thin">
        <color rgb="FFDAD2CC"/>
      </bottom>
      <diagonal/>
    </border>
    <border>
      <left style="medium">
        <color rgb="FFDAD2CC"/>
      </left>
      <right style="thin">
        <color rgb="FFDAD2CC"/>
      </right>
      <top style="medium">
        <color rgb="FFDAD2CC"/>
      </top>
      <bottom/>
      <diagonal/>
    </border>
    <border>
      <left style="thin">
        <color rgb="FFDAD2CC"/>
      </left>
      <right style="thin">
        <color rgb="FFDAD2CC"/>
      </right>
      <top style="medium">
        <color rgb="FFDAD2CC"/>
      </top>
      <bottom/>
      <diagonal/>
    </border>
    <border>
      <left/>
      <right style="medium">
        <color rgb="FFDAD2CC"/>
      </right>
      <top style="thin">
        <color rgb="FFDAD2CC"/>
      </top>
      <bottom style="medium">
        <color rgb="FFDAD2CC"/>
      </bottom>
      <diagonal/>
    </border>
    <border>
      <left style="medium">
        <color rgb="FFDAD2CC"/>
      </left>
      <right style="medium">
        <color rgb="FFDAD2CC"/>
      </right>
      <top/>
      <bottom/>
      <diagonal/>
    </border>
    <border>
      <left style="medium">
        <color rgb="FFDAD2CC"/>
      </left>
      <right style="medium">
        <color rgb="FFDAD2CC"/>
      </right>
      <top/>
      <bottom style="medium">
        <color rgb="FFDAD2CC"/>
      </bottom>
      <diagonal/>
    </border>
    <border>
      <left style="thin">
        <color rgb="FFDAD2CC"/>
      </left>
      <right/>
      <top style="medium">
        <color rgb="FFDAD2CC"/>
      </top>
      <bottom/>
      <diagonal/>
    </border>
    <border>
      <left/>
      <right style="medium">
        <color rgb="FFDAD2CC"/>
      </right>
      <top style="thin">
        <color rgb="FFDAD2CC"/>
      </top>
      <bottom/>
      <diagonal/>
    </border>
    <border>
      <left style="thin">
        <color rgb="FFDAD2CC"/>
      </left>
      <right/>
      <top/>
      <bottom style="thin">
        <color rgb="FFDAD2CC"/>
      </bottom>
      <diagonal/>
    </border>
    <border>
      <left style="medium">
        <color rgb="FFDAD2CC"/>
      </left>
      <right style="thin">
        <color rgb="FFDAD2CC"/>
      </right>
      <top style="medium">
        <color rgb="FFDAD2CC"/>
      </top>
      <bottom style="medium">
        <color rgb="FFDAD2CC"/>
      </bottom>
      <diagonal/>
    </border>
    <border>
      <left style="thin">
        <color rgb="FFDAD2CC"/>
      </left>
      <right style="thin">
        <color rgb="FFDAD2CC"/>
      </right>
      <top style="medium">
        <color rgb="FFDAD2CC"/>
      </top>
      <bottom style="medium">
        <color rgb="FFDAD2CC"/>
      </bottom>
      <diagonal/>
    </border>
    <border>
      <left style="thin">
        <color rgb="FFDAD2CC"/>
      </left>
      <right/>
      <top style="medium">
        <color rgb="FFDAD2CC"/>
      </top>
      <bottom style="medium">
        <color rgb="FFDAD2CC"/>
      </bottom>
      <diagonal/>
    </border>
  </borders>
  <cellStyleXfs count="7">
    <xf numFmtId="0" fontId="0" fillId="0" borderId="0"/>
    <xf numFmtId="43" fontId="11" fillId="0" borderId="0" applyFont="0" applyFill="0" applyBorder="0" applyAlignment="0" applyProtection="0"/>
    <xf numFmtId="9" fontId="11" fillId="0" borderId="0" applyFont="0" applyFill="0" applyBorder="0" applyAlignment="0" applyProtection="0"/>
    <xf numFmtId="0" fontId="60" fillId="0" borderId="0" applyNumberFormat="0" applyFill="0" applyBorder="0" applyAlignment="0" applyProtection="0"/>
    <xf numFmtId="0" fontId="11" fillId="0" borderId="0"/>
    <xf numFmtId="0" fontId="11" fillId="0" borderId="0"/>
    <xf numFmtId="0" fontId="61" fillId="0" borderId="0" applyNumberFormat="0" applyFill="0" applyBorder="0" applyAlignment="0" applyProtection="0"/>
  </cellStyleXfs>
  <cellXfs count="1112">
    <xf numFmtId="0" fontId="0" fillId="0" borderId="0" xfId="0"/>
    <xf numFmtId="3" fontId="20" fillId="2" borderId="7" xfId="0" applyNumberFormat="1" applyFont="1" applyFill="1" applyBorder="1" applyAlignment="1">
      <alignment horizontal="center" vertical="center" wrapText="1" shrinkToFit="1"/>
    </xf>
    <xf numFmtId="168" fontId="20" fillId="2" borderId="8" xfId="0" applyNumberFormat="1" applyFont="1" applyFill="1" applyBorder="1" applyAlignment="1">
      <alignment horizontal="center" vertical="center" wrapText="1" shrinkToFit="1"/>
    </xf>
    <xf numFmtId="4" fontId="20" fillId="2" borderId="8" xfId="0" applyNumberFormat="1" applyFont="1" applyFill="1" applyBorder="1" applyAlignment="1">
      <alignment horizontal="center" vertical="center" wrapText="1" shrinkToFit="1"/>
    </xf>
    <xf numFmtId="3" fontId="20" fillId="2" borderId="9" xfId="0" applyNumberFormat="1" applyFont="1" applyFill="1" applyBorder="1" applyAlignment="1">
      <alignment horizontal="center" vertical="center" wrapText="1" shrinkToFit="1"/>
    </xf>
    <xf numFmtId="10" fontId="14" fillId="3" borderId="1" xfId="2" applyNumberFormat="1" applyFont="1" applyFill="1" applyBorder="1" applyAlignment="1">
      <alignment horizontal="center" vertical="center" wrapText="1" shrinkToFit="1"/>
    </xf>
    <xf numFmtId="10" fontId="14" fillId="3" borderId="2" xfId="2" applyNumberFormat="1" applyFont="1" applyFill="1" applyBorder="1" applyAlignment="1">
      <alignment horizontal="center" vertical="center" wrapText="1" shrinkToFit="1"/>
    </xf>
    <xf numFmtId="10" fontId="14" fillId="3" borderId="3" xfId="2" applyNumberFormat="1" applyFont="1" applyFill="1" applyBorder="1" applyAlignment="1">
      <alignment horizontal="center" vertical="center" wrapText="1" shrinkToFit="1"/>
    </xf>
    <xf numFmtId="169" fontId="14" fillId="4" borderId="7" xfId="2" applyNumberFormat="1" applyFont="1" applyFill="1" applyBorder="1" applyAlignment="1">
      <alignment horizontal="center" vertical="center" wrapText="1" shrinkToFit="1"/>
    </xf>
    <xf numFmtId="169" fontId="14" fillId="4" borderId="8" xfId="2" applyNumberFormat="1" applyFont="1" applyFill="1" applyBorder="1" applyAlignment="1">
      <alignment horizontal="center" vertical="center" wrapText="1" shrinkToFit="1"/>
    </xf>
    <xf numFmtId="4" fontId="20" fillId="0" borderId="5" xfId="0" applyNumberFormat="1" applyFont="1" applyBorder="1" applyAlignment="1">
      <alignment horizontal="center" vertical="center" wrapText="1" shrinkToFit="1"/>
    </xf>
    <xf numFmtId="3" fontId="16" fillId="2" borderId="4" xfId="0" applyNumberFormat="1" applyFont="1" applyFill="1" applyBorder="1" applyAlignment="1">
      <alignment horizontal="center" vertical="center" wrapText="1" shrinkToFit="1" readingOrder="1"/>
    </xf>
    <xf numFmtId="3" fontId="16" fillId="2" borderId="5" xfId="0" applyNumberFormat="1" applyFont="1" applyFill="1" applyBorder="1" applyAlignment="1">
      <alignment horizontal="center" vertical="center" wrapText="1" shrinkToFit="1" readingOrder="1"/>
    </xf>
    <xf numFmtId="4" fontId="20" fillId="4" borderId="6" xfId="0" applyNumberFormat="1" applyFont="1" applyFill="1" applyBorder="1" applyAlignment="1">
      <alignment horizontal="center" vertical="center" wrapText="1" shrinkToFit="1"/>
    </xf>
    <xf numFmtId="168" fontId="20" fillId="0" borderId="4" xfId="0" applyNumberFormat="1" applyFont="1" applyBorder="1" applyAlignment="1">
      <alignment horizontal="center" vertical="center" wrapText="1" shrinkToFit="1"/>
    </xf>
    <xf numFmtId="168" fontId="20" fillId="3" borderId="4" xfId="0" applyNumberFormat="1" applyFont="1" applyFill="1" applyBorder="1" applyAlignment="1">
      <alignment horizontal="center" vertical="center" wrapText="1" shrinkToFit="1"/>
    </xf>
    <xf numFmtId="168" fontId="20" fillId="3" borderId="5" xfId="0" applyNumberFormat="1" applyFont="1" applyFill="1" applyBorder="1" applyAlignment="1">
      <alignment horizontal="center" vertical="center" wrapText="1" shrinkToFit="1"/>
    </xf>
    <xf numFmtId="3" fontId="23" fillId="3" borderId="5" xfId="0" applyNumberFormat="1" applyFont="1" applyFill="1" applyBorder="1" applyAlignment="1">
      <alignment horizontal="center" vertical="center" wrapText="1" shrinkToFit="1"/>
    </xf>
    <xf numFmtId="168" fontId="20" fillId="2" borderId="7" xfId="0" applyNumberFormat="1" applyFont="1" applyFill="1" applyBorder="1" applyAlignment="1">
      <alignment horizontal="center" vertical="center" wrapText="1" shrinkToFit="1"/>
    </xf>
    <xf numFmtId="10" fontId="20" fillId="2" borderId="8" xfId="0" applyNumberFormat="1" applyFont="1" applyFill="1" applyBorder="1" applyAlignment="1">
      <alignment horizontal="center" vertical="center" wrapText="1" shrinkToFit="1"/>
    </xf>
    <xf numFmtId="3" fontId="22" fillId="3" borderId="1" xfId="0" applyNumberFormat="1" applyFont="1" applyFill="1" applyBorder="1" applyAlignment="1">
      <alignment horizontal="center" vertical="center" wrapText="1" shrinkToFit="1"/>
    </xf>
    <xf numFmtId="171" fontId="14" fillId="3" borderId="7" xfId="0" applyNumberFormat="1" applyFont="1" applyFill="1" applyBorder="1" applyAlignment="1">
      <alignment horizontal="center" vertical="center" wrapText="1" shrinkToFit="1"/>
    </xf>
    <xf numFmtId="38" fontId="22" fillId="3" borderId="9" xfId="0" applyNumberFormat="1" applyFont="1" applyFill="1" applyBorder="1" applyAlignment="1">
      <alignment horizontal="center" vertical="center" wrapText="1" shrinkToFit="1"/>
    </xf>
    <xf numFmtId="173" fontId="20" fillId="4" borderId="6" xfId="0" applyNumberFormat="1" applyFont="1" applyFill="1" applyBorder="1" applyAlignment="1">
      <alignment horizontal="center" vertical="center" wrapText="1" shrinkToFit="1"/>
    </xf>
    <xf numFmtId="10" fontId="16" fillId="2" borderId="4" xfId="2" applyNumberFormat="1" applyFont="1" applyFill="1" applyBorder="1" applyAlignment="1">
      <alignment horizontal="center" vertical="center" wrapText="1" shrinkToFit="1"/>
    </xf>
    <xf numFmtId="10" fontId="16" fillId="2" borderId="5" xfId="2" applyNumberFormat="1" applyFont="1" applyFill="1" applyBorder="1" applyAlignment="1">
      <alignment horizontal="center" vertical="center" wrapText="1" shrinkToFit="1"/>
    </xf>
    <xf numFmtId="9" fontId="16" fillId="2" borderId="5" xfId="2" applyFont="1" applyFill="1" applyBorder="1" applyAlignment="1">
      <alignment horizontal="center" vertical="center" wrapText="1" shrinkToFit="1" readingOrder="1"/>
    </xf>
    <xf numFmtId="10" fontId="16" fillId="2" borderId="6" xfId="2" applyNumberFormat="1" applyFont="1" applyFill="1" applyBorder="1" applyAlignment="1">
      <alignment horizontal="center" vertical="center" wrapText="1" shrinkToFit="1"/>
    </xf>
    <xf numFmtId="10" fontId="20" fillId="0" borderId="5" xfId="2" applyNumberFormat="1" applyFont="1" applyBorder="1" applyAlignment="1">
      <alignment horizontal="center" vertical="center" wrapText="1" shrinkToFit="1"/>
    </xf>
    <xf numFmtId="9" fontId="20" fillId="2" borderId="8" xfId="2" applyFont="1" applyFill="1" applyBorder="1" applyAlignment="1">
      <alignment horizontal="center" vertical="center" wrapText="1" shrinkToFit="1"/>
    </xf>
    <xf numFmtId="0" fontId="16" fillId="2" borderId="6" xfId="0" applyFont="1" applyFill="1" applyBorder="1" applyAlignment="1">
      <alignment horizontal="center" vertical="center" wrapText="1" shrinkToFit="1"/>
    </xf>
    <xf numFmtId="3" fontId="26" fillId="2" borderId="4" xfId="0" applyNumberFormat="1" applyFont="1" applyFill="1" applyBorder="1" applyAlignment="1">
      <alignment horizontal="center" vertical="center" wrapText="1" shrinkToFit="1"/>
    </xf>
    <xf numFmtId="3" fontId="26" fillId="2" borderId="5" xfId="0" applyNumberFormat="1" applyFont="1" applyFill="1" applyBorder="1" applyAlignment="1">
      <alignment horizontal="center" vertical="center" wrapText="1" shrinkToFit="1"/>
    </xf>
    <xf numFmtId="3" fontId="26" fillId="2" borderId="6" xfId="0" applyNumberFormat="1" applyFont="1" applyFill="1" applyBorder="1" applyAlignment="1">
      <alignment horizontal="center" vertical="center" wrapText="1" shrinkToFit="1"/>
    </xf>
    <xf numFmtId="10" fontId="20" fillId="4" borderId="5" xfId="2" applyNumberFormat="1" applyFont="1" applyFill="1" applyBorder="1" applyAlignment="1">
      <alignment horizontal="center" vertical="center" wrapText="1" shrinkToFit="1"/>
    </xf>
    <xf numFmtId="176" fontId="20" fillId="2" borderId="8" xfId="2" applyNumberFormat="1" applyFont="1" applyFill="1" applyBorder="1" applyAlignment="1">
      <alignment horizontal="center" vertical="center" wrapText="1" shrinkToFit="1"/>
    </xf>
    <xf numFmtId="40" fontId="29" fillId="3" borderId="5" xfId="0" applyNumberFormat="1" applyFont="1" applyFill="1" applyBorder="1" applyAlignment="1">
      <alignment horizontal="center" vertical="center" wrapText="1" shrinkToFit="1"/>
    </xf>
    <xf numFmtId="3" fontId="28" fillId="3" borderId="5" xfId="0" applyNumberFormat="1" applyFont="1" applyFill="1" applyBorder="1" applyAlignment="1">
      <alignment horizontal="center" vertical="center" wrapText="1" shrinkToFit="1"/>
    </xf>
    <xf numFmtId="3" fontId="28" fillId="3" borderId="6" xfId="0" applyNumberFormat="1" applyFont="1" applyFill="1" applyBorder="1" applyAlignment="1">
      <alignment horizontal="center" vertical="center" wrapText="1" shrinkToFit="1"/>
    </xf>
    <xf numFmtId="9" fontId="20" fillId="4" borderId="5" xfId="2" applyFont="1" applyFill="1" applyBorder="1" applyAlignment="1">
      <alignment horizontal="center" vertical="center" wrapText="1" shrinkToFit="1"/>
    </xf>
    <xf numFmtId="3" fontId="16" fillId="2" borderId="7" xfId="0" applyNumberFormat="1" applyFont="1" applyFill="1" applyBorder="1" applyAlignment="1">
      <alignment horizontal="center" vertical="center" wrapText="1" shrinkToFit="1"/>
    </xf>
    <xf numFmtId="3" fontId="23" fillId="3" borderId="8" xfId="0" applyNumberFormat="1" applyFont="1" applyFill="1" applyBorder="1" applyAlignment="1">
      <alignment horizontal="center" vertical="center" wrapText="1" shrinkToFit="1"/>
    </xf>
    <xf numFmtId="9" fontId="20" fillId="4" borderId="8" xfId="2" applyFont="1" applyFill="1" applyBorder="1" applyAlignment="1">
      <alignment horizontal="center" vertical="center" wrapText="1" shrinkToFit="1"/>
    </xf>
    <xf numFmtId="3" fontId="16" fillId="5" borderId="4" xfId="0" applyNumberFormat="1" applyFont="1" applyFill="1" applyBorder="1" applyAlignment="1">
      <alignment horizontal="center" vertical="center" wrapText="1" shrinkToFit="1"/>
    </xf>
    <xf numFmtId="38" fontId="20" fillId="3" borderId="2" xfId="0" applyNumberFormat="1" applyFont="1" applyFill="1" applyBorder="1" applyAlignment="1">
      <alignment horizontal="center" vertical="center" wrapText="1" shrinkToFit="1"/>
    </xf>
    <xf numFmtId="182" fontId="20" fillId="2" borderId="8" xfId="0" applyNumberFormat="1" applyFont="1" applyFill="1" applyBorder="1" applyAlignment="1">
      <alignment horizontal="center" vertical="center" wrapText="1" shrinkToFit="1"/>
    </xf>
    <xf numFmtId="181" fontId="20" fillId="2" borderId="8" xfId="0" applyNumberFormat="1" applyFont="1" applyFill="1" applyBorder="1" applyAlignment="1">
      <alignment horizontal="center" vertical="center" wrapText="1" shrinkToFit="1"/>
    </xf>
    <xf numFmtId="3" fontId="14" fillId="0" borderId="7" xfId="0" applyNumberFormat="1" applyFont="1" applyBorder="1" applyAlignment="1">
      <alignment horizontal="center" vertical="center" wrapText="1" shrinkToFit="1"/>
    </xf>
    <xf numFmtId="3" fontId="34" fillId="6" borderId="0" xfId="0" applyNumberFormat="1" applyFont="1" applyFill="1" applyAlignment="1">
      <alignment horizontal="center" vertical="center" wrapText="1" shrinkToFit="1"/>
    </xf>
    <xf numFmtId="3" fontId="31" fillId="0" borderId="0" xfId="0" applyNumberFormat="1" applyFont="1" applyAlignment="1">
      <alignment horizontal="center" vertical="center" wrapText="1" shrinkToFit="1"/>
    </xf>
    <xf numFmtId="9" fontId="25" fillId="0" borderId="0" xfId="2" applyFont="1" applyFill="1" applyAlignment="1">
      <alignment horizontal="center" vertical="center" wrapText="1" shrinkToFit="1"/>
    </xf>
    <xf numFmtId="0" fontId="33" fillId="6" borderId="0" xfId="0" applyFont="1" applyFill="1" applyAlignment="1">
      <alignment horizontal="right" vertical="center"/>
    </xf>
    <xf numFmtId="0" fontId="33" fillId="6" borderId="0" xfId="0" applyFont="1" applyFill="1" applyAlignment="1">
      <alignment vertical="center"/>
    </xf>
    <xf numFmtId="3" fontId="33" fillId="6" borderId="0" xfId="0" applyNumberFormat="1" applyFont="1" applyFill="1" applyAlignment="1">
      <alignment vertical="center"/>
    </xf>
    <xf numFmtId="14" fontId="20" fillId="0" borderId="5" xfId="0" applyNumberFormat="1" applyFont="1" applyBorder="1" applyAlignment="1">
      <alignment horizontal="center" vertical="center" wrapText="1" shrinkToFit="1"/>
    </xf>
    <xf numFmtId="14" fontId="20" fillId="0" borderId="6" xfId="0" applyNumberFormat="1" applyFont="1" applyBorder="1" applyAlignment="1">
      <alignment horizontal="center" vertical="center" wrapText="1" shrinkToFit="1"/>
    </xf>
    <xf numFmtId="40" fontId="48" fillId="0" borderId="2" xfId="0" applyNumberFormat="1" applyFont="1" applyBorder="1" applyAlignment="1">
      <alignment horizontal="center" vertical="center" wrapText="1" shrinkToFit="1"/>
    </xf>
    <xf numFmtId="40" fontId="48" fillId="0" borderId="5" xfId="0" applyNumberFormat="1" applyFont="1" applyBorder="1" applyAlignment="1">
      <alignment horizontal="center" vertical="center" wrapText="1" shrinkToFit="1"/>
    </xf>
    <xf numFmtId="40" fontId="48" fillId="0" borderId="8" xfId="0" applyNumberFormat="1" applyFont="1" applyBorder="1" applyAlignment="1">
      <alignment horizontal="center" vertical="center" wrapText="1" shrinkToFit="1"/>
    </xf>
    <xf numFmtId="168" fontId="49" fillId="0" borderId="5" xfId="0" applyNumberFormat="1" applyFont="1" applyBorder="1" applyAlignment="1">
      <alignment horizontal="center" vertical="center" wrapText="1" shrinkToFit="1"/>
    </xf>
    <xf numFmtId="168" fontId="49" fillId="3" borderId="5" xfId="0" applyNumberFormat="1" applyFont="1" applyFill="1" applyBorder="1" applyAlignment="1">
      <alignment horizontal="center" vertical="center" wrapText="1" shrinkToFit="1"/>
    </xf>
    <xf numFmtId="4" fontId="49" fillId="4" borderId="6" xfId="0" applyNumberFormat="1" applyFont="1" applyFill="1" applyBorder="1" applyAlignment="1">
      <alignment horizontal="center" vertical="center" wrapText="1" shrinkToFit="1"/>
    </xf>
    <xf numFmtId="3" fontId="16" fillId="2" borderId="18" xfId="0" applyNumberFormat="1" applyFont="1" applyFill="1" applyBorder="1" applyAlignment="1">
      <alignment horizontal="center" vertical="center" wrapText="1" shrinkToFit="1" readingOrder="1"/>
    </xf>
    <xf numFmtId="38" fontId="20" fillId="3" borderId="15" xfId="0" applyNumberFormat="1" applyFont="1" applyFill="1" applyBorder="1" applyAlignment="1">
      <alignment horizontal="center" vertical="center" wrapText="1" shrinkToFit="1"/>
    </xf>
    <xf numFmtId="40" fontId="48" fillId="0" borderId="15" xfId="0" applyNumberFormat="1" applyFont="1" applyBorder="1" applyAlignment="1">
      <alignment horizontal="center" vertical="center" wrapText="1" shrinkToFit="1"/>
    </xf>
    <xf numFmtId="3" fontId="50" fillId="3" borderId="3" xfId="0" applyNumberFormat="1" applyFont="1" applyFill="1" applyBorder="1" applyAlignment="1">
      <alignment horizontal="center" vertical="center" wrapText="1" shrinkToFit="1"/>
    </xf>
    <xf numFmtId="3" fontId="16" fillId="2" borderId="1" xfId="0" applyNumberFormat="1" applyFont="1" applyFill="1" applyBorder="1" applyAlignment="1">
      <alignment horizontal="center" vertical="center" wrapText="1" shrinkToFit="1" readingOrder="1"/>
    </xf>
    <xf numFmtId="38" fontId="20" fillId="0" borderId="2" xfId="1" applyNumberFormat="1" applyFont="1" applyFill="1" applyBorder="1" applyAlignment="1">
      <alignment horizontal="center" vertical="center" wrapText="1" shrinkToFit="1"/>
    </xf>
    <xf numFmtId="38" fontId="20" fillId="0" borderId="3" xfId="1" applyNumberFormat="1" applyFont="1" applyFill="1" applyBorder="1" applyAlignment="1">
      <alignment horizontal="center" vertical="center" wrapText="1" shrinkToFit="1"/>
    </xf>
    <xf numFmtId="10" fontId="26" fillId="2" borderId="6" xfId="2" applyNumberFormat="1" applyFont="1" applyFill="1" applyBorder="1" applyAlignment="1">
      <alignment horizontal="center" vertical="center" wrapText="1" shrinkToFit="1"/>
    </xf>
    <xf numFmtId="10" fontId="26" fillId="2" borderId="5" xfId="2" applyNumberFormat="1" applyFont="1" applyFill="1" applyBorder="1" applyAlignment="1">
      <alignment horizontal="center" vertical="center" wrapText="1" shrinkToFit="1"/>
    </xf>
    <xf numFmtId="3" fontId="51" fillId="0" borderId="6" xfId="0" applyNumberFormat="1" applyFont="1" applyBorder="1" applyAlignment="1">
      <alignment horizontal="center" vertical="center" wrapText="1" shrinkToFit="1"/>
    </xf>
    <xf numFmtId="3" fontId="51" fillId="3" borderId="6" xfId="0" applyNumberFormat="1" applyFont="1" applyFill="1" applyBorder="1" applyAlignment="1">
      <alignment horizontal="center" vertical="center" wrapText="1" shrinkToFit="1"/>
    </xf>
    <xf numFmtId="3" fontId="51" fillId="2" borderId="9" xfId="0" applyNumberFormat="1" applyFont="1" applyFill="1" applyBorder="1" applyAlignment="1">
      <alignment horizontal="center" vertical="center" wrapText="1" shrinkToFit="1"/>
    </xf>
    <xf numFmtId="3" fontId="24" fillId="2" borderId="9" xfId="0" applyNumberFormat="1" applyFont="1" applyFill="1" applyBorder="1" applyAlignment="1">
      <alignment horizontal="center" vertical="center" wrapText="1" shrinkToFit="1"/>
    </xf>
    <xf numFmtId="3" fontId="53" fillId="3" borderId="3" xfId="0" applyNumberFormat="1" applyFont="1" applyFill="1" applyBorder="1" applyAlignment="1">
      <alignment horizontal="center" vertical="center" wrapText="1" shrinkToFit="1"/>
    </xf>
    <xf numFmtId="38" fontId="52" fillId="3" borderId="1" xfId="0" applyNumberFormat="1" applyFont="1" applyFill="1" applyBorder="1" applyAlignment="1">
      <alignment horizontal="center" vertical="center" wrapText="1" shrinkToFit="1"/>
    </xf>
    <xf numFmtId="199" fontId="22" fillId="4" borderId="5" xfId="2" applyNumberFormat="1" applyFont="1" applyFill="1" applyBorder="1" applyAlignment="1">
      <alignment horizontal="center" vertical="center" wrapText="1" shrinkToFit="1"/>
    </xf>
    <xf numFmtId="0" fontId="34" fillId="6" borderId="0" xfId="0" applyFont="1" applyFill="1" applyAlignment="1">
      <alignment vertical="center"/>
    </xf>
    <xf numFmtId="3" fontId="34" fillId="6" borderId="0" xfId="0" applyNumberFormat="1" applyFont="1" applyFill="1" applyAlignment="1">
      <alignment vertical="center"/>
    </xf>
    <xf numFmtId="0" fontId="34" fillId="6" borderId="0" xfId="0" applyFont="1" applyFill="1" applyAlignment="1">
      <alignment horizontal="center" vertical="center"/>
    </xf>
    <xf numFmtId="3" fontId="34" fillId="6" borderId="0" xfId="0" applyNumberFormat="1" applyFont="1" applyFill="1" applyAlignment="1">
      <alignment horizontal="center" vertical="center"/>
    </xf>
    <xf numFmtId="38" fontId="34" fillId="6" borderId="0" xfId="0" applyNumberFormat="1" applyFont="1" applyFill="1" applyAlignment="1">
      <alignment horizontal="center" vertical="center"/>
    </xf>
    <xf numFmtId="3" fontId="22" fillId="3" borderId="4" xfId="0" applyNumberFormat="1" applyFont="1" applyFill="1" applyBorder="1" applyAlignment="1">
      <alignment horizontal="center" vertical="center" wrapText="1" shrinkToFit="1"/>
    </xf>
    <xf numFmtId="3" fontId="22" fillId="2" borderId="7" xfId="0" applyNumberFormat="1" applyFont="1" applyFill="1" applyBorder="1" applyAlignment="1">
      <alignment horizontal="center" vertical="center" wrapText="1" shrinkToFit="1"/>
    </xf>
    <xf numFmtId="3" fontId="56" fillId="0" borderId="5" xfId="0" applyNumberFormat="1" applyFont="1" applyBorder="1" applyAlignment="1">
      <alignment horizontal="center" vertical="center" wrapText="1" shrinkToFit="1"/>
    </xf>
    <xf numFmtId="3" fontId="56" fillId="3" borderId="5" xfId="0" applyNumberFormat="1" applyFont="1" applyFill="1" applyBorder="1" applyAlignment="1">
      <alignment horizontal="center" vertical="center" wrapText="1" shrinkToFit="1"/>
    </xf>
    <xf numFmtId="185" fontId="56" fillId="2" borderId="8" xfId="0" applyNumberFormat="1" applyFont="1" applyFill="1" applyBorder="1" applyAlignment="1">
      <alignment horizontal="center" vertical="center" wrapText="1" shrinkToFit="1"/>
    </xf>
    <xf numFmtId="177" fontId="14" fillId="4" borderId="10" xfId="2" applyNumberFormat="1" applyFont="1" applyFill="1" applyBorder="1" applyAlignment="1">
      <alignment horizontal="center" vertical="center" wrapText="1" shrinkToFit="1"/>
    </xf>
    <xf numFmtId="10" fontId="13" fillId="2" borderId="5" xfId="2" applyNumberFormat="1" applyFont="1" applyFill="1" applyBorder="1" applyAlignment="1">
      <alignment horizontal="center" vertical="center" wrapText="1" shrinkToFit="1"/>
    </xf>
    <xf numFmtId="38" fontId="17" fillId="3" borderId="2" xfId="0" applyNumberFormat="1" applyFont="1" applyFill="1" applyBorder="1" applyAlignment="1">
      <alignment horizontal="center" vertical="center" wrapText="1" shrinkToFit="1"/>
    </xf>
    <xf numFmtId="38" fontId="20" fillId="4" borderId="2" xfId="1" applyNumberFormat="1" applyFont="1" applyFill="1" applyBorder="1" applyAlignment="1">
      <alignment horizontal="center" vertical="center" wrapText="1" shrinkToFit="1"/>
    </xf>
    <xf numFmtId="38" fontId="20" fillId="4" borderId="3" xfId="1" applyNumberFormat="1" applyFont="1" applyFill="1" applyBorder="1" applyAlignment="1">
      <alignment horizontal="center" vertical="center" wrapText="1" shrinkToFit="1"/>
    </xf>
    <xf numFmtId="38" fontId="20" fillId="0" borderId="25" xfId="0" applyNumberFormat="1" applyFont="1" applyBorder="1" applyAlignment="1">
      <alignment horizontal="center" vertical="center" wrapText="1" shrinkToFit="1"/>
    </xf>
    <xf numFmtId="3" fontId="20" fillId="0" borderId="25" xfId="0" applyNumberFormat="1" applyFont="1" applyBorder="1" applyAlignment="1">
      <alignment horizontal="center" vertical="center" wrapText="1" shrinkToFit="1"/>
    </xf>
    <xf numFmtId="38" fontId="20" fillId="0" borderId="26" xfId="0" applyNumberFormat="1" applyFont="1" applyBorder="1" applyAlignment="1">
      <alignment horizontal="center" vertical="center" wrapText="1" shrinkToFit="1"/>
    </xf>
    <xf numFmtId="3" fontId="52" fillId="2" borderId="9" xfId="0" applyNumberFormat="1" applyFont="1" applyFill="1" applyBorder="1" applyAlignment="1">
      <alignment horizontal="center" vertical="center" wrapText="1" shrinkToFit="1"/>
    </xf>
    <xf numFmtId="3" fontId="20" fillId="0" borderId="0" xfId="2" applyNumberFormat="1" applyFont="1" applyFill="1" applyAlignment="1">
      <alignment horizontal="center" vertical="center" wrapText="1" shrinkToFit="1"/>
    </xf>
    <xf numFmtId="3" fontId="14" fillId="0" borderId="4" xfId="0" applyNumberFormat="1" applyFont="1" applyBorder="1" applyAlignment="1">
      <alignment horizontal="center" vertical="center" wrapText="1" shrinkToFit="1"/>
    </xf>
    <xf numFmtId="3" fontId="15" fillId="2" borderId="1" xfId="0" applyNumberFormat="1" applyFont="1" applyFill="1" applyBorder="1" applyAlignment="1">
      <alignment horizontal="centerContinuous" vertical="center" wrapText="1" shrinkToFit="1"/>
    </xf>
    <xf numFmtId="3" fontId="15" fillId="2" borderId="2" xfId="0" applyNumberFormat="1" applyFont="1" applyFill="1" applyBorder="1" applyAlignment="1">
      <alignment horizontal="centerContinuous" vertical="center" wrapText="1" shrinkToFit="1"/>
    </xf>
    <xf numFmtId="3" fontId="15" fillId="2" borderId="3" xfId="0" applyNumberFormat="1" applyFont="1" applyFill="1" applyBorder="1" applyAlignment="1">
      <alignment horizontal="centerContinuous" vertical="center" wrapText="1" shrinkToFit="1"/>
    </xf>
    <xf numFmtId="3" fontId="51" fillId="0" borderId="9" xfId="0" applyNumberFormat="1" applyFont="1" applyBorder="1" applyAlignment="1">
      <alignment horizontal="center" vertical="center" wrapText="1" shrinkToFit="1"/>
    </xf>
    <xf numFmtId="3" fontId="14" fillId="3" borderId="6" xfId="0" applyNumberFormat="1" applyFont="1" applyFill="1" applyBorder="1" applyAlignment="1">
      <alignment horizontal="center" vertical="center" wrapText="1" shrinkToFit="1"/>
    </xf>
    <xf numFmtId="38" fontId="24" fillId="3" borderId="5" xfId="0" applyNumberFormat="1" applyFont="1" applyFill="1" applyBorder="1" applyAlignment="1">
      <alignment horizontal="center" vertical="center" wrapText="1" shrinkToFit="1"/>
    </xf>
    <xf numFmtId="3" fontId="22" fillId="3" borderId="5" xfId="0" applyNumberFormat="1" applyFont="1" applyFill="1" applyBorder="1" applyAlignment="1">
      <alignment horizontal="center" vertical="center" wrapText="1" shrinkToFit="1"/>
    </xf>
    <xf numFmtId="3" fontId="22" fillId="0" borderId="5" xfId="0" applyNumberFormat="1" applyFont="1" applyBorder="1" applyAlignment="1">
      <alignment horizontal="center" vertical="center" wrapText="1" shrinkToFit="1"/>
    </xf>
    <xf numFmtId="202" fontId="14" fillId="4" borderId="10" xfId="2" applyNumberFormat="1" applyFont="1" applyFill="1" applyBorder="1" applyAlignment="1">
      <alignment horizontal="center" vertical="center" wrapText="1" shrinkToFit="1"/>
    </xf>
    <xf numFmtId="3" fontId="22" fillId="2" borderId="8" xfId="0" applyNumberFormat="1" applyFont="1" applyFill="1" applyBorder="1" applyAlignment="1">
      <alignment horizontal="center" vertical="center" wrapText="1" shrinkToFit="1"/>
    </xf>
    <xf numFmtId="38" fontId="48" fillId="0" borderId="2" xfId="0" applyNumberFormat="1" applyFont="1" applyBorder="1" applyAlignment="1">
      <alignment horizontal="center" vertical="center" wrapText="1" shrinkToFit="1"/>
    </xf>
    <xf numFmtId="4" fontId="20" fillId="3" borderId="5" xfId="0" applyNumberFormat="1" applyFont="1" applyFill="1" applyBorder="1" applyAlignment="1">
      <alignment horizontal="center" vertical="center" wrapText="1" shrinkToFit="1"/>
    </xf>
    <xf numFmtId="203" fontId="20" fillId="3" borderId="5" xfId="2" applyNumberFormat="1" applyFont="1" applyFill="1" applyBorder="1" applyAlignment="1">
      <alignment horizontal="center" vertical="center" wrapText="1" shrinkToFit="1"/>
    </xf>
    <xf numFmtId="205" fontId="22" fillId="4" borderId="5" xfId="2" applyNumberFormat="1" applyFont="1" applyFill="1" applyBorder="1" applyAlignment="1">
      <alignment horizontal="center" vertical="center" wrapText="1" shrinkToFit="1"/>
    </xf>
    <xf numFmtId="3" fontId="51" fillId="3" borderId="5" xfId="0" applyNumberFormat="1" applyFont="1" applyFill="1" applyBorder="1" applyAlignment="1">
      <alignment horizontal="center" vertical="center" wrapText="1" shrinkToFit="1"/>
    </xf>
    <xf numFmtId="206" fontId="20" fillId="3" borderId="5" xfId="2" applyNumberFormat="1" applyFont="1" applyFill="1" applyBorder="1" applyAlignment="1">
      <alignment horizontal="center" vertical="center" wrapText="1" shrinkToFit="1"/>
    </xf>
    <xf numFmtId="3" fontId="51" fillId="0" borderId="5" xfId="0" applyNumberFormat="1" applyFont="1" applyBorder="1" applyAlignment="1">
      <alignment horizontal="center" vertical="center" wrapText="1" shrinkToFit="1"/>
    </xf>
    <xf numFmtId="172" fontId="20" fillId="0" borderId="6" xfId="0" applyNumberFormat="1" applyFont="1" applyBorder="1" applyAlignment="1">
      <alignment horizontal="center" vertical="center" wrapText="1" shrinkToFit="1"/>
    </xf>
    <xf numFmtId="172" fontId="20" fillId="3" borderId="6" xfId="0" applyNumberFormat="1" applyFont="1" applyFill="1" applyBorder="1" applyAlignment="1">
      <alignment horizontal="center" vertical="center" wrapText="1" shrinkToFit="1"/>
    </xf>
    <xf numFmtId="184" fontId="20" fillId="2" borderId="8" xfId="0" applyNumberFormat="1" applyFont="1" applyFill="1" applyBorder="1" applyAlignment="1">
      <alignment horizontal="center" vertical="center" wrapText="1" shrinkToFit="1"/>
    </xf>
    <xf numFmtId="10" fontId="53" fillId="0" borderId="5" xfId="2" applyNumberFormat="1" applyFont="1" applyFill="1" applyBorder="1" applyAlignment="1">
      <alignment horizontal="center" vertical="center" wrapText="1" shrinkToFit="1"/>
    </xf>
    <xf numFmtId="10" fontId="53" fillId="3" borderId="5" xfId="2" applyNumberFormat="1" applyFont="1" applyFill="1" applyBorder="1" applyAlignment="1">
      <alignment horizontal="center" vertical="center" wrapText="1" shrinkToFit="1"/>
    </xf>
    <xf numFmtId="175" fontId="53" fillId="0" borderId="5" xfId="2" applyNumberFormat="1" applyFont="1" applyFill="1" applyBorder="1" applyAlignment="1">
      <alignment horizontal="center" vertical="center" wrapText="1" shrinkToFit="1"/>
    </xf>
    <xf numFmtId="3" fontId="26" fillId="2" borderId="5" xfId="0" applyNumberFormat="1" applyFont="1" applyFill="1" applyBorder="1" applyAlignment="1">
      <alignment horizontal="center" vertical="center" wrapText="1" shrinkToFit="1" readingOrder="1"/>
    </xf>
    <xf numFmtId="10" fontId="14" fillId="0" borderId="5" xfId="2" applyNumberFormat="1" applyFont="1" applyBorder="1" applyAlignment="1">
      <alignment horizontal="center" vertical="center" wrapText="1" shrinkToFit="1"/>
    </xf>
    <xf numFmtId="3" fontId="22" fillId="4" borderId="5" xfId="2" applyNumberFormat="1" applyFont="1" applyFill="1" applyBorder="1" applyAlignment="1">
      <alignment horizontal="center" vertical="center" wrapText="1" shrinkToFit="1"/>
    </xf>
    <xf numFmtId="3" fontId="53" fillId="0" borderId="5" xfId="0" applyNumberFormat="1" applyFont="1" applyBorder="1" applyAlignment="1">
      <alignment horizontal="center" vertical="center" wrapText="1" shrinkToFit="1"/>
    </xf>
    <xf numFmtId="38" fontId="52" fillId="0" borderId="5" xfId="0" applyNumberFormat="1" applyFont="1" applyBorder="1" applyAlignment="1">
      <alignment horizontal="center" vertical="center" wrapText="1" shrinkToFit="1"/>
    </xf>
    <xf numFmtId="10" fontId="52" fillId="0" borderId="6" xfId="2" applyNumberFormat="1" applyFont="1" applyFill="1" applyBorder="1" applyAlignment="1">
      <alignment horizontal="center" vertical="center" wrapText="1" shrinkToFit="1"/>
    </xf>
    <xf numFmtId="10" fontId="22" fillId="3" borderId="5" xfId="2" applyNumberFormat="1" applyFont="1" applyFill="1" applyBorder="1" applyAlignment="1">
      <alignment horizontal="center" vertical="center" wrapText="1" shrinkToFit="1"/>
    </xf>
    <xf numFmtId="3" fontId="53" fillId="3" borderId="5" xfId="0" applyNumberFormat="1" applyFont="1" applyFill="1" applyBorder="1" applyAlignment="1">
      <alignment horizontal="center" vertical="center" wrapText="1" shrinkToFit="1"/>
    </xf>
    <xf numFmtId="10" fontId="52" fillId="3" borderId="6" xfId="2" applyNumberFormat="1" applyFont="1" applyFill="1" applyBorder="1" applyAlignment="1">
      <alignment horizontal="center" vertical="center" wrapText="1" shrinkToFit="1"/>
    </xf>
    <xf numFmtId="10" fontId="52" fillId="0" borderId="6" xfId="2" applyNumberFormat="1" applyFont="1" applyBorder="1" applyAlignment="1">
      <alignment horizontal="center" vertical="center" wrapText="1" shrinkToFit="1"/>
    </xf>
    <xf numFmtId="3" fontId="53" fillId="2" borderId="8" xfId="0" applyNumberFormat="1" applyFont="1" applyFill="1" applyBorder="1" applyAlignment="1">
      <alignment horizontal="center" vertical="center" wrapText="1" shrinkToFit="1"/>
    </xf>
    <xf numFmtId="181" fontId="53" fillId="2" borderId="8" xfId="0" applyNumberFormat="1" applyFont="1" applyFill="1" applyBorder="1" applyAlignment="1">
      <alignment horizontal="center" vertical="center" wrapText="1" shrinkToFit="1"/>
    </xf>
    <xf numFmtId="9" fontId="53" fillId="2" borderId="8" xfId="2" applyFont="1" applyFill="1" applyBorder="1" applyAlignment="1">
      <alignment horizontal="center" vertical="center" wrapText="1" shrinkToFit="1"/>
    </xf>
    <xf numFmtId="181" fontId="52" fillId="2" borderId="8" xfId="0" applyNumberFormat="1" applyFont="1" applyFill="1" applyBorder="1" applyAlignment="1">
      <alignment horizontal="center" vertical="center" wrapText="1" shrinkToFit="1"/>
    </xf>
    <xf numFmtId="3" fontId="52" fillId="2" borderId="8" xfId="0" applyNumberFormat="1" applyFont="1" applyFill="1" applyBorder="1" applyAlignment="1">
      <alignment horizontal="center" vertical="center" wrapText="1" shrinkToFit="1"/>
    </xf>
    <xf numFmtId="183" fontId="52" fillId="2" borderId="9" xfId="2" applyNumberFormat="1" applyFont="1" applyFill="1" applyBorder="1" applyAlignment="1">
      <alignment horizontal="center" vertical="center" wrapText="1" shrinkToFit="1"/>
    </xf>
    <xf numFmtId="10" fontId="23" fillId="3" borderId="5" xfId="2" applyNumberFormat="1" applyFont="1" applyFill="1" applyBorder="1" applyAlignment="1">
      <alignment horizontal="center" vertical="center" wrapText="1" shrinkToFit="1"/>
    </xf>
    <xf numFmtId="9" fontId="14" fillId="2" borderId="8" xfId="2" applyFont="1" applyFill="1" applyBorder="1" applyAlignment="1">
      <alignment horizontal="center" vertical="center" wrapText="1" shrinkToFit="1"/>
    </xf>
    <xf numFmtId="209" fontId="14" fillId="2" borderId="8" xfId="0" applyNumberFormat="1" applyFont="1" applyFill="1" applyBorder="1" applyAlignment="1">
      <alignment horizontal="center" vertical="center" wrapText="1" shrinkToFit="1"/>
    </xf>
    <xf numFmtId="38" fontId="52" fillId="3" borderId="5" xfId="0" applyNumberFormat="1" applyFont="1" applyFill="1" applyBorder="1" applyAlignment="1">
      <alignment horizontal="center" vertical="center" wrapText="1" shrinkToFit="1"/>
    </xf>
    <xf numFmtId="3" fontId="22" fillId="0" borderId="5" xfId="2" applyNumberFormat="1" applyFont="1" applyFill="1" applyBorder="1" applyAlignment="1">
      <alignment horizontal="center" vertical="center" wrapText="1" shrinkToFit="1"/>
    </xf>
    <xf numFmtId="3" fontId="52" fillId="0" borderId="5" xfId="0" applyNumberFormat="1" applyFont="1" applyBorder="1" applyAlignment="1">
      <alignment horizontal="center" vertical="center" wrapText="1" shrinkToFit="1"/>
    </xf>
    <xf numFmtId="9" fontId="22" fillId="2" borderId="8" xfId="2" applyFont="1" applyFill="1" applyBorder="1" applyAlignment="1">
      <alignment horizontal="center" vertical="center" wrapText="1" shrinkToFit="1"/>
    </xf>
    <xf numFmtId="10" fontId="14" fillId="4" borderId="5" xfId="2" applyNumberFormat="1" applyFont="1" applyFill="1" applyBorder="1" applyAlignment="1">
      <alignment horizontal="center" vertical="center" wrapText="1" shrinkToFit="1"/>
    </xf>
    <xf numFmtId="10" fontId="22" fillId="4" borderId="5" xfId="2" applyNumberFormat="1" applyFont="1" applyFill="1" applyBorder="1" applyAlignment="1">
      <alignment horizontal="center" vertical="center" wrapText="1" shrinkToFit="1"/>
    </xf>
    <xf numFmtId="10" fontId="25" fillId="0" borderId="5" xfId="2" applyNumberFormat="1" applyFont="1" applyBorder="1" applyAlignment="1">
      <alignment horizontal="center" vertical="center" wrapText="1" shrinkToFit="1"/>
    </xf>
    <xf numFmtId="10" fontId="25" fillId="3" borderId="5" xfId="2" applyNumberFormat="1" applyFont="1" applyFill="1" applyBorder="1" applyAlignment="1">
      <alignment horizontal="center" vertical="center" wrapText="1" shrinkToFit="1"/>
    </xf>
    <xf numFmtId="3" fontId="52" fillId="3" borderId="5" xfId="0" applyNumberFormat="1" applyFont="1" applyFill="1" applyBorder="1" applyAlignment="1">
      <alignment horizontal="center" vertical="center" wrapText="1" shrinkToFit="1"/>
    </xf>
    <xf numFmtId="3" fontId="14" fillId="3" borderId="5" xfId="0" applyNumberFormat="1" applyFont="1" applyFill="1" applyBorder="1" applyAlignment="1">
      <alignment horizontal="center" vertical="center" wrapText="1" shrinkToFit="1"/>
    </xf>
    <xf numFmtId="3" fontId="14" fillId="0" borderId="5" xfId="2" applyNumberFormat="1" applyFont="1" applyBorder="1" applyAlignment="1">
      <alignment horizontal="center" vertical="center" wrapText="1" shrinkToFit="1"/>
    </xf>
    <xf numFmtId="3" fontId="14" fillId="3" borderId="5" xfId="2" applyNumberFormat="1" applyFont="1" applyFill="1" applyBorder="1" applyAlignment="1">
      <alignment horizontal="center" vertical="center" wrapText="1" shrinkToFit="1"/>
    </xf>
    <xf numFmtId="10" fontId="52" fillId="0" borderId="5" xfId="2" applyNumberFormat="1" applyFont="1" applyFill="1" applyBorder="1" applyAlignment="1">
      <alignment horizontal="center" vertical="center" wrapText="1" shrinkToFit="1"/>
    </xf>
    <xf numFmtId="10" fontId="52" fillId="3" borderId="5" xfId="2" applyNumberFormat="1" applyFont="1" applyFill="1" applyBorder="1" applyAlignment="1">
      <alignment horizontal="center" vertical="center" wrapText="1" shrinkToFit="1"/>
    </xf>
    <xf numFmtId="183" fontId="52" fillId="2" borderId="8" xfId="2" applyNumberFormat="1" applyFont="1" applyFill="1" applyBorder="1" applyAlignment="1">
      <alignment horizontal="center" vertical="center" wrapText="1" shrinkToFit="1"/>
    </xf>
    <xf numFmtId="3" fontId="14" fillId="3" borderId="4" xfId="0" applyNumberFormat="1" applyFont="1" applyFill="1" applyBorder="1" applyAlignment="1">
      <alignment horizontal="center" vertical="center" wrapText="1" shrinkToFit="1"/>
    </xf>
    <xf numFmtId="3" fontId="48" fillId="0" borderId="0" xfId="0" applyNumberFormat="1" applyFont="1" applyAlignment="1">
      <alignment horizontal="center" vertical="center" wrapText="1" shrinkToFit="1"/>
    </xf>
    <xf numFmtId="10" fontId="53" fillId="2" borderId="8" xfId="2" applyNumberFormat="1" applyFont="1" applyFill="1" applyBorder="1" applyAlignment="1">
      <alignment horizontal="center" vertical="center" wrapText="1" shrinkToFit="1"/>
    </xf>
    <xf numFmtId="3" fontId="20" fillId="0" borderId="7" xfId="0" applyNumberFormat="1" applyFont="1" applyBorder="1" applyAlignment="1">
      <alignment horizontal="center" vertical="center" wrapText="1" shrinkToFit="1"/>
    </xf>
    <xf numFmtId="4" fontId="20" fillId="4" borderId="9" xfId="0" applyNumberFormat="1" applyFont="1" applyFill="1" applyBorder="1" applyAlignment="1">
      <alignment horizontal="center" vertical="center" wrapText="1" shrinkToFit="1"/>
    </xf>
    <xf numFmtId="3" fontId="57" fillId="0" borderId="5" xfId="0" applyNumberFormat="1" applyFont="1" applyBorder="1" applyAlignment="1">
      <alignment horizontal="center" vertical="center" wrapText="1" shrinkToFit="1"/>
    </xf>
    <xf numFmtId="10" fontId="58" fillId="0" borderId="5" xfId="0" applyNumberFormat="1" applyFont="1" applyBorder="1" applyAlignment="1">
      <alignment horizontal="center" vertical="center" wrapText="1" shrinkToFit="1"/>
    </xf>
    <xf numFmtId="10" fontId="58" fillId="3" borderId="5" xfId="2" applyNumberFormat="1" applyFont="1" applyFill="1" applyBorder="1" applyAlignment="1">
      <alignment horizontal="center" vertical="center" wrapText="1" shrinkToFit="1"/>
    </xf>
    <xf numFmtId="10" fontId="58" fillId="0" borderId="5" xfId="2" applyNumberFormat="1" applyFont="1" applyBorder="1" applyAlignment="1">
      <alignment horizontal="center" vertical="center" wrapText="1" shrinkToFit="1"/>
    </xf>
    <xf numFmtId="40" fontId="52" fillId="0" borderId="5" xfId="0" applyNumberFormat="1" applyFont="1" applyBorder="1" applyAlignment="1">
      <alignment horizontal="center" vertical="center" wrapText="1" shrinkToFit="1"/>
    </xf>
    <xf numFmtId="40" fontId="52" fillId="3" borderId="5" xfId="0" applyNumberFormat="1" applyFont="1" applyFill="1" applyBorder="1" applyAlignment="1">
      <alignment horizontal="center" vertical="center" wrapText="1" shrinkToFit="1"/>
    </xf>
    <xf numFmtId="3" fontId="57" fillId="3" borderId="5" xfId="0" applyNumberFormat="1" applyFont="1" applyFill="1" applyBorder="1" applyAlignment="1">
      <alignment horizontal="center" vertical="center" wrapText="1" shrinkToFit="1"/>
    </xf>
    <xf numFmtId="4" fontId="20" fillId="2" borderId="6" xfId="0" applyNumberFormat="1" applyFont="1" applyFill="1" applyBorder="1" applyAlignment="1">
      <alignment horizontal="center" vertical="center" wrapText="1" shrinkToFit="1"/>
    </xf>
    <xf numFmtId="3" fontId="14" fillId="4" borderId="4" xfId="0" applyNumberFormat="1" applyFont="1" applyFill="1" applyBorder="1" applyAlignment="1">
      <alignment horizontal="center" vertical="center" wrapText="1" shrinkToFit="1"/>
    </xf>
    <xf numFmtId="3" fontId="14" fillId="4" borderId="5" xfId="0" applyNumberFormat="1" applyFont="1" applyFill="1" applyBorder="1" applyAlignment="1">
      <alignment horizontal="center" vertical="center" wrapText="1" shrinkToFit="1"/>
    </xf>
    <xf numFmtId="3" fontId="20" fillId="0" borderId="0" xfId="2" applyNumberFormat="1" applyFont="1" applyFill="1" applyBorder="1" applyAlignment="1">
      <alignment horizontal="center" vertical="center" wrapText="1" shrinkToFit="1"/>
    </xf>
    <xf numFmtId="3" fontId="22" fillId="0" borderId="0" xfId="0" applyNumberFormat="1" applyFont="1" applyAlignment="1">
      <alignment horizontal="center" vertical="center" wrapText="1" shrinkToFit="1"/>
    </xf>
    <xf numFmtId="3" fontId="20" fillId="0" borderId="0" xfId="0" applyNumberFormat="1" applyFont="1" applyAlignment="1">
      <alignment horizontal="center" vertical="center" wrapText="1" shrinkToFit="1"/>
    </xf>
    <xf numFmtId="3" fontId="32" fillId="0" borderId="0" xfId="0" applyNumberFormat="1" applyFont="1" applyAlignment="1">
      <alignment horizontal="center" vertical="center" wrapText="1" shrinkToFit="1"/>
    </xf>
    <xf numFmtId="3" fontId="32" fillId="0" borderId="0" xfId="0" applyNumberFormat="1" applyFont="1" applyAlignment="1">
      <alignment horizontal="center" vertical="center" shrinkToFit="1" readingOrder="2"/>
    </xf>
    <xf numFmtId="3" fontId="23" fillId="0" borderId="0" xfId="0" applyNumberFormat="1" applyFont="1" applyAlignment="1">
      <alignment horizontal="center" vertical="center" wrapText="1" shrinkToFit="1"/>
    </xf>
    <xf numFmtId="3" fontId="22" fillId="0" borderId="0" xfId="2" applyNumberFormat="1" applyFont="1" applyFill="1" applyAlignment="1">
      <alignment horizontal="center" vertical="center" wrapText="1" shrinkToFit="1"/>
    </xf>
    <xf numFmtId="3" fontId="32" fillId="0" borderId="0" xfId="2" applyNumberFormat="1" applyFont="1" applyFill="1" applyAlignment="1">
      <alignment horizontal="center" vertical="center" wrapText="1" shrinkToFit="1"/>
    </xf>
    <xf numFmtId="3" fontId="22" fillId="0" borderId="0" xfId="2" applyNumberFormat="1" applyFont="1" applyFill="1" applyBorder="1" applyAlignment="1">
      <alignment horizontal="center" vertical="center" wrapText="1" shrinkToFit="1"/>
    </xf>
    <xf numFmtId="3" fontId="20" fillId="0" borderId="0" xfId="1" applyNumberFormat="1" applyFont="1" applyFill="1" applyAlignment="1">
      <alignment horizontal="center" vertical="center" wrapText="1" shrinkToFit="1"/>
    </xf>
    <xf numFmtId="3" fontId="23" fillId="0" borderId="0" xfId="2" applyNumberFormat="1" applyFont="1" applyFill="1" applyAlignment="1">
      <alignment horizontal="center" vertical="center" wrapText="1" shrinkToFit="1"/>
    </xf>
    <xf numFmtId="3" fontId="23" fillId="0" borderId="0" xfId="1" applyNumberFormat="1" applyFont="1" applyFill="1" applyAlignment="1">
      <alignment horizontal="center" vertical="center" wrapText="1" shrinkToFit="1"/>
    </xf>
    <xf numFmtId="3" fontId="22" fillId="0" borderId="0" xfId="1" applyNumberFormat="1" applyFont="1" applyFill="1" applyAlignment="1">
      <alignment horizontal="center" vertical="center" wrapText="1" shrinkToFit="1"/>
    </xf>
    <xf numFmtId="3" fontId="20" fillId="0" borderId="27" xfId="0" applyNumberFormat="1" applyFont="1" applyBorder="1" applyAlignment="1">
      <alignment horizontal="center" vertical="center" wrapText="1" shrinkToFit="1"/>
    </xf>
    <xf numFmtId="3" fontId="20" fillId="0" borderId="20" xfId="0" applyNumberFormat="1" applyFont="1" applyBorder="1" applyAlignment="1">
      <alignment horizontal="center" vertical="center" wrapText="1" shrinkToFit="1"/>
    </xf>
    <xf numFmtId="3" fontId="20" fillId="0" borderId="35" xfId="0" applyNumberFormat="1" applyFont="1" applyBorder="1" applyAlignment="1">
      <alignment horizontal="center" vertical="center" wrapText="1" shrinkToFit="1"/>
    </xf>
    <xf numFmtId="3" fontId="22" fillId="3" borderId="7" xfId="0" applyNumberFormat="1" applyFont="1" applyFill="1" applyBorder="1" applyAlignment="1">
      <alignment horizontal="center" vertical="center" wrapText="1" shrinkToFit="1"/>
    </xf>
    <xf numFmtId="10" fontId="22" fillId="0" borderId="0" xfId="2" applyNumberFormat="1" applyFont="1" applyFill="1" applyAlignment="1">
      <alignment horizontal="center" vertical="center" wrapText="1" shrinkToFit="1"/>
    </xf>
    <xf numFmtId="172" fontId="20" fillId="4" borderId="6" xfId="2" applyNumberFormat="1" applyFont="1" applyFill="1" applyBorder="1" applyAlignment="1">
      <alignment horizontal="center" vertical="center" wrapText="1" shrinkToFit="1"/>
    </xf>
    <xf numFmtId="9" fontId="20" fillId="0" borderId="0" xfId="2" applyFont="1" applyAlignment="1">
      <alignment horizontal="center" vertical="center" wrapText="1" shrinkToFit="1"/>
    </xf>
    <xf numFmtId="43" fontId="20" fillId="0" borderId="0" xfId="1" applyFont="1" applyAlignment="1">
      <alignment horizontal="center" vertical="center" wrapText="1" shrinkToFit="1"/>
    </xf>
    <xf numFmtId="9" fontId="20" fillId="0" borderId="0" xfId="1" applyNumberFormat="1" applyFont="1" applyAlignment="1">
      <alignment horizontal="center" vertical="center" wrapText="1" shrinkToFit="1"/>
    </xf>
    <xf numFmtId="3" fontId="20" fillId="0" borderId="37" xfId="0" applyNumberFormat="1" applyFont="1" applyBorder="1" applyAlignment="1">
      <alignment horizontal="center" vertical="center" wrapText="1" shrinkToFit="1"/>
    </xf>
    <xf numFmtId="3" fontId="57" fillId="3" borderId="6" xfId="0" applyNumberFormat="1" applyFont="1" applyFill="1" applyBorder="1" applyAlignment="1">
      <alignment horizontal="center" vertical="center" wrapText="1" shrinkToFit="1"/>
    </xf>
    <xf numFmtId="3" fontId="57" fillId="0" borderId="6" xfId="0" applyNumberFormat="1" applyFont="1" applyBorder="1" applyAlignment="1">
      <alignment horizontal="center" vertical="center" wrapText="1" shrinkToFit="1"/>
    </xf>
    <xf numFmtId="9" fontId="52" fillId="3" borderId="9" xfId="2" applyFont="1" applyFill="1" applyBorder="1" applyAlignment="1">
      <alignment horizontal="center" vertical="center" wrapText="1" shrinkToFit="1"/>
    </xf>
    <xf numFmtId="3" fontId="52" fillId="0" borderId="6" xfId="0" applyNumberFormat="1" applyFont="1" applyBorder="1" applyAlignment="1">
      <alignment horizontal="center" vertical="center" wrapText="1" shrinkToFit="1"/>
    </xf>
    <xf numFmtId="203" fontId="20" fillId="0" borderId="0" xfId="2" applyNumberFormat="1" applyFont="1" applyAlignment="1">
      <alignment horizontal="center" vertical="center" wrapText="1" shrinkToFit="1"/>
    </xf>
    <xf numFmtId="9" fontId="22" fillId="0" borderId="0" xfId="2" applyFont="1" applyFill="1" applyAlignment="1">
      <alignment horizontal="center" vertical="center" wrapText="1" shrinkToFit="1"/>
    </xf>
    <xf numFmtId="9" fontId="22" fillId="0" borderId="0" xfId="2" applyFont="1" applyAlignment="1">
      <alignment horizontal="center" vertical="center" wrapText="1" shrinkToFit="1"/>
    </xf>
    <xf numFmtId="212" fontId="20" fillId="0" borderId="0" xfId="0" applyNumberFormat="1" applyFont="1" applyAlignment="1">
      <alignment horizontal="center" vertical="center" wrapText="1" shrinkToFit="1"/>
    </xf>
    <xf numFmtId="172" fontId="20" fillId="0" borderId="0" xfId="2" applyNumberFormat="1" applyFont="1" applyAlignment="1">
      <alignment horizontal="center" vertical="center" wrapText="1" shrinkToFit="1"/>
    </xf>
    <xf numFmtId="3" fontId="20" fillId="7" borderId="0" xfId="0" applyNumberFormat="1" applyFont="1" applyFill="1" applyAlignment="1">
      <alignment horizontal="center" vertical="center" wrapText="1" shrinkToFit="1"/>
    </xf>
    <xf numFmtId="213" fontId="20" fillId="0" borderId="0" xfId="0" applyNumberFormat="1" applyFont="1" applyAlignment="1">
      <alignment horizontal="center" vertical="center" wrapText="1" shrinkToFit="1"/>
    </xf>
    <xf numFmtId="38" fontId="22" fillId="0" borderId="0" xfId="0" applyNumberFormat="1" applyFont="1" applyAlignment="1">
      <alignment horizontal="center" vertical="center" wrapText="1" shrinkToFit="1"/>
    </xf>
    <xf numFmtId="10" fontId="22" fillId="0" borderId="0" xfId="2" applyNumberFormat="1" applyFont="1" applyAlignment="1">
      <alignment horizontal="center" vertical="center" wrapText="1" shrinkToFit="1"/>
    </xf>
    <xf numFmtId="14" fontId="34" fillId="6" borderId="0" xfId="0" applyNumberFormat="1" applyFont="1" applyFill="1" applyAlignment="1">
      <alignment vertical="center"/>
    </xf>
    <xf numFmtId="3" fontId="16" fillId="2" borderId="4" xfId="0" applyNumberFormat="1" applyFont="1" applyFill="1" applyBorder="1" applyAlignment="1">
      <alignment horizontal="center" vertical="center" wrapText="1" shrinkToFit="1"/>
    </xf>
    <xf numFmtId="3" fontId="16" fillId="2" borderId="5" xfId="0" applyNumberFormat="1" applyFont="1" applyFill="1" applyBorder="1" applyAlignment="1">
      <alignment horizontal="center" vertical="center" wrapText="1" shrinkToFit="1"/>
    </xf>
    <xf numFmtId="0" fontId="10" fillId="0" borderId="0" xfId="0" applyFont="1" applyAlignment="1">
      <alignment horizontal="center" vertical="center"/>
    </xf>
    <xf numFmtId="0" fontId="63" fillId="2" borderId="0" xfId="3" applyFont="1" applyFill="1" applyBorder="1" applyAlignment="1">
      <alignment horizontal="center" vertical="center"/>
    </xf>
    <xf numFmtId="0" fontId="20" fillId="2" borderId="0" xfId="4" applyFont="1" applyFill="1" applyAlignment="1">
      <alignment horizontal="center" vertical="center"/>
    </xf>
    <xf numFmtId="0" fontId="20" fillId="2" borderId="0" xfId="5" applyFont="1" applyFill="1" applyAlignment="1">
      <alignment horizontal="center" vertical="center"/>
    </xf>
    <xf numFmtId="0" fontId="16" fillId="2" borderId="0" xfId="4" applyFont="1" applyFill="1" applyAlignment="1">
      <alignment horizontal="center" vertical="center"/>
    </xf>
    <xf numFmtId="0" fontId="15" fillId="2" borderId="0" xfId="4" applyFont="1" applyFill="1" applyAlignment="1">
      <alignment horizontal="center" vertical="center" wrapText="1"/>
    </xf>
    <xf numFmtId="0" fontId="10" fillId="2" borderId="0" xfId="0" applyFont="1" applyFill="1" applyAlignment="1">
      <alignment horizontal="center" vertical="center"/>
    </xf>
    <xf numFmtId="3" fontId="20" fillId="2" borderId="8" xfId="0" applyNumberFormat="1" applyFont="1" applyFill="1" applyBorder="1" applyAlignment="1">
      <alignment horizontal="center" vertical="center" wrapText="1" shrinkToFit="1"/>
    </xf>
    <xf numFmtId="10" fontId="20" fillId="0" borderId="5" xfId="0" applyNumberFormat="1" applyFont="1" applyBorder="1" applyAlignment="1">
      <alignment horizontal="center" vertical="center" wrapText="1" shrinkToFit="1"/>
    </xf>
    <xf numFmtId="3" fontId="25" fillId="0" borderId="0" xfId="0" applyNumberFormat="1" applyFont="1" applyAlignment="1">
      <alignment horizontal="center" vertical="center" wrapText="1" shrinkToFit="1"/>
    </xf>
    <xf numFmtId="3" fontId="24" fillId="3" borderId="6" xfId="0" applyNumberFormat="1" applyFont="1" applyFill="1" applyBorder="1" applyAlignment="1">
      <alignment horizontal="center" vertical="center" wrapText="1" shrinkToFit="1"/>
    </xf>
    <xf numFmtId="38" fontId="20" fillId="3" borderId="5" xfId="0" applyNumberFormat="1" applyFont="1" applyFill="1" applyBorder="1" applyAlignment="1">
      <alignment horizontal="center" vertical="center" wrapText="1" shrinkToFit="1"/>
    </xf>
    <xf numFmtId="10" fontId="20" fillId="3" borderId="5" xfId="2" applyNumberFormat="1" applyFont="1" applyFill="1" applyBorder="1" applyAlignment="1">
      <alignment horizontal="center" vertical="center" wrapText="1" shrinkToFit="1"/>
    </xf>
    <xf numFmtId="172" fontId="20" fillId="0" borderId="35" xfId="2" applyNumberFormat="1" applyFont="1" applyFill="1" applyBorder="1" applyAlignment="1">
      <alignment horizontal="center" vertical="center" wrapText="1" shrinkToFit="1"/>
    </xf>
    <xf numFmtId="172" fontId="20" fillId="0" borderId="35" xfId="2" applyNumberFormat="1" applyFont="1" applyBorder="1" applyAlignment="1">
      <alignment horizontal="center" vertical="center" wrapText="1" shrinkToFit="1"/>
    </xf>
    <xf numFmtId="3" fontId="20" fillId="0" borderId="24" xfId="0" applyNumberFormat="1" applyFont="1" applyBorder="1" applyAlignment="1">
      <alignment horizontal="center" vertical="center" wrapText="1" shrinkToFit="1"/>
    </xf>
    <xf numFmtId="38" fontId="20" fillId="6" borderId="0" xfId="1" applyNumberFormat="1" applyFont="1" applyFill="1" applyBorder="1" applyAlignment="1">
      <alignment horizontal="center" vertical="center" wrapText="1" shrinkToFit="1"/>
    </xf>
    <xf numFmtId="38" fontId="20" fillId="6" borderId="20" xfId="1" applyNumberFormat="1" applyFont="1" applyFill="1" applyBorder="1" applyAlignment="1">
      <alignment horizontal="center" vertical="center" wrapText="1" shrinkToFit="1"/>
    </xf>
    <xf numFmtId="0" fontId="54" fillId="2" borderId="0" xfId="4" applyFont="1" applyFill="1" applyAlignment="1">
      <alignment horizontal="center" vertical="center" wrapText="1"/>
    </xf>
    <xf numFmtId="0" fontId="41" fillId="2" borderId="0" xfId="0" applyFont="1" applyFill="1" applyAlignment="1">
      <alignment horizontal="center" vertical="center"/>
    </xf>
    <xf numFmtId="0" fontId="65" fillId="2" borderId="0" xfId="0" quotePrefix="1" applyFont="1" applyFill="1" applyAlignment="1">
      <alignment horizontal="center" vertical="center"/>
    </xf>
    <xf numFmtId="0" fontId="20" fillId="2" borderId="42" xfId="4" applyFont="1" applyFill="1" applyBorder="1" applyAlignment="1">
      <alignment horizontal="center" vertical="center"/>
    </xf>
    <xf numFmtId="0" fontId="20" fillId="2" borderId="43" xfId="4" applyFont="1" applyFill="1" applyBorder="1" applyAlignment="1">
      <alignment horizontal="center" vertical="center"/>
    </xf>
    <xf numFmtId="0" fontId="20" fillId="2" borderId="45" xfId="4" applyFont="1" applyFill="1" applyBorder="1" applyAlignment="1">
      <alignment horizontal="center" vertical="center"/>
    </xf>
    <xf numFmtId="0" fontId="16" fillId="2" borderId="46" xfId="0" applyFont="1" applyFill="1" applyBorder="1" applyAlignment="1">
      <alignment horizontal="center" vertical="center"/>
    </xf>
    <xf numFmtId="0" fontId="10" fillId="2" borderId="45" xfId="0" applyFont="1" applyFill="1" applyBorder="1" applyAlignment="1">
      <alignment horizontal="center" vertical="center"/>
    </xf>
    <xf numFmtId="0" fontId="15" fillId="2" borderId="46" xfId="4" applyFont="1" applyFill="1" applyBorder="1" applyAlignment="1">
      <alignment horizontal="center" vertical="center" wrapText="1"/>
    </xf>
    <xf numFmtId="0" fontId="41" fillId="2" borderId="45" xfId="0" applyFont="1" applyFill="1" applyBorder="1" applyAlignment="1">
      <alignment horizontal="center" vertical="center"/>
    </xf>
    <xf numFmtId="0" fontId="20" fillId="2" borderId="46" xfId="4" applyFont="1" applyFill="1" applyBorder="1" applyAlignment="1">
      <alignment horizontal="center" vertical="center"/>
    </xf>
    <xf numFmtId="0" fontId="16" fillId="2" borderId="45" xfId="4" applyFont="1" applyFill="1" applyBorder="1" applyAlignment="1">
      <alignment horizontal="center" vertical="center"/>
    </xf>
    <xf numFmtId="0" fontId="16" fillId="2" borderId="47" xfId="4" applyFont="1" applyFill="1" applyBorder="1" applyAlignment="1">
      <alignment horizontal="center" vertical="center"/>
    </xf>
    <xf numFmtId="0" fontId="16" fillId="2" borderId="48" xfId="4" applyFont="1" applyFill="1" applyBorder="1" applyAlignment="1">
      <alignment horizontal="center" vertical="center"/>
    </xf>
    <xf numFmtId="0" fontId="20" fillId="2" borderId="48" xfId="4" applyFont="1" applyFill="1" applyBorder="1" applyAlignment="1">
      <alignment horizontal="center" vertical="center"/>
    </xf>
    <xf numFmtId="0" fontId="20" fillId="2" borderId="49" xfId="4" applyFont="1" applyFill="1" applyBorder="1" applyAlignment="1">
      <alignment horizontal="center" vertical="center"/>
    </xf>
    <xf numFmtId="3" fontId="52" fillId="3" borderId="4" xfId="0" applyNumberFormat="1" applyFont="1" applyFill="1" applyBorder="1" applyAlignment="1">
      <alignment horizontal="center" vertical="center" wrapText="1" shrinkToFit="1"/>
    </xf>
    <xf numFmtId="38" fontId="53" fillId="3" borderId="6" xfId="0" applyNumberFormat="1" applyFont="1" applyFill="1" applyBorder="1" applyAlignment="1">
      <alignment horizontal="center" vertical="center" wrapText="1" shrinkToFit="1"/>
    </xf>
    <xf numFmtId="3" fontId="25" fillId="0" borderId="7" xfId="0" applyNumberFormat="1" applyFont="1" applyBorder="1" applyAlignment="1">
      <alignment horizontal="center" vertical="center" wrapText="1" shrinkToFit="1"/>
    </xf>
    <xf numFmtId="3" fontId="25" fillId="0" borderId="9" xfId="0" applyNumberFormat="1" applyFont="1" applyBorder="1" applyAlignment="1">
      <alignment horizontal="center" vertical="center" wrapText="1" shrinkToFit="1"/>
    </xf>
    <xf numFmtId="3" fontId="14" fillId="3" borderId="7" xfId="0" applyNumberFormat="1" applyFont="1" applyFill="1" applyBorder="1" applyAlignment="1">
      <alignment horizontal="center" vertical="center" wrapText="1" shrinkToFit="1"/>
    </xf>
    <xf numFmtId="4" fontId="14" fillId="3" borderId="8" xfId="0" applyNumberFormat="1" applyFont="1" applyFill="1" applyBorder="1" applyAlignment="1">
      <alignment horizontal="center" vertical="center" wrapText="1" shrinkToFit="1"/>
    </xf>
    <xf numFmtId="3" fontId="54" fillId="2" borderId="27" xfId="0" applyNumberFormat="1" applyFont="1" applyFill="1" applyBorder="1" applyAlignment="1">
      <alignment vertical="center" shrinkToFit="1"/>
    </xf>
    <xf numFmtId="3" fontId="54" fillId="2" borderId="50" xfId="0" applyNumberFormat="1" applyFont="1" applyFill="1" applyBorder="1" applyAlignment="1">
      <alignment vertical="center" shrinkToFit="1"/>
    </xf>
    <xf numFmtId="168" fontId="20" fillId="4" borderId="5" xfId="0" applyNumberFormat="1" applyFont="1" applyFill="1" applyBorder="1" applyAlignment="1">
      <alignment horizontal="center" vertical="center" wrapText="1" shrinkToFit="1"/>
    </xf>
    <xf numFmtId="3" fontId="56" fillId="4" borderId="5" xfId="0" applyNumberFormat="1" applyFont="1" applyFill="1" applyBorder="1" applyAlignment="1">
      <alignment horizontal="center" vertical="center" wrapText="1" shrinkToFit="1"/>
    </xf>
    <xf numFmtId="4" fontId="20" fillId="4" borderId="5" xfId="0" applyNumberFormat="1" applyFont="1" applyFill="1" applyBorder="1" applyAlignment="1">
      <alignment horizontal="center" vertical="center" wrapText="1" shrinkToFit="1"/>
    </xf>
    <xf numFmtId="10" fontId="20" fillId="4" borderId="5" xfId="0" applyNumberFormat="1" applyFont="1" applyFill="1" applyBorder="1" applyAlignment="1">
      <alignment horizontal="center" vertical="center" wrapText="1" shrinkToFit="1"/>
    </xf>
    <xf numFmtId="168" fontId="49" fillId="4" borderId="5" xfId="0" applyNumberFormat="1" applyFont="1" applyFill="1" applyBorder="1" applyAlignment="1">
      <alignment horizontal="center" vertical="center" wrapText="1" shrinkToFit="1"/>
    </xf>
    <xf numFmtId="3" fontId="51" fillId="4" borderId="5" xfId="0" applyNumberFormat="1" applyFont="1" applyFill="1" applyBorder="1" applyAlignment="1">
      <alignment horizontal="center" vertical="center" wrapText="1" shrinkToFit="1"/>
    </xf>
    <xf numFmtId="3" fontId="25" fillId="0" borderId="0" xfId="0" applyNumberFormat="1" applyFont="1" applyAlignment="1">
      <alignment horizontal="centerContinuous" vertical="center" wrapText="1" shrinkToFit="1"/>
    </xf>
    <xf numFmtId="216" fontId="20" fillId="0" borderId="0" xfId="2" applyNumberFormat="1" applyFont="1" applyAlignment="1">
      <alignment horizontal="center" vertical="center" wrapText="1" shrinkToFit="1"/>
    </xf>
    <xf numFmtId="3" fontId="15" fillId="2" borderId="27" xfId="0" applyNumberFormat="1" applyFont="1" applyFill="1" applyBorder="1" applyAlignment="1">
      <alignment vertical="center" wrapText="1" shrinkToFit="1"/>
    </xf>
    <xf numFmtId="3" fontId="15" fillId="2" borderId="50" xfId="0" applyNumberFormat="1" applyFont="1" applyFill="1" applyBorder="1" applyAlignment="1">
      <alignment vertical="center" wrapText="1" shrinkToFit="1"/>
    </xf>
    <xf numFmtId="3" fontId="20" fillId="3" borderId="4" xfId="0" applyNumberFormat="1" applyFont="1" applyFill="1" applyBorder="1" applyAlignment="1">
      <alignment horizontal="center" vertical="center" wrapText="1" shrinkToFit="1" readingOrder="1"/>
    </xf>
    <xf numFmtId="3" fontId="20" fillId="0" borderId="4" xfId="0" applyNumberFormat="1" applyFont="1" applyBorder="1" applyAlignment="1">
      <alignment horizontal="center" vertical="center" wrapText="1" shrinkToFit="1" readingOrder="1"/>
    </xf>
    <xf numFmtId="3" fontId="15" fillId="0" borderId="0" xfId="0" applyNumberFormat="1" applyFont="1" applyAlignment="1">
      <alignment vertical="center" wrapText="1" shrinkToFit="1"/>
    </xf>
    <xf numFmtId="3" fontId="67" fillId="3" borderId="4" xfId="0" applyNumberFormat="1" applyFont="1" applyFill="1" applyBorder="1" applyAlignment="1">
      <alignment horizontal="center" vertical="center" wrapText="1" shrinkToFit="1"/>
    </xf>
    <xf numFmtId="215" fontId="67" fillId="3" borderId="5" xfId="0" applyNumberFormat="1" applyFont="1" applyFill="1" applyBorder="1" applyAlignment="1">
      <alignment horizontal="center" vertical="center" wrapText="1" shrinkToFit="1"/>
    </xf>
    <xf numFmtId="215" fontId="67" fillId="3" borderId="6" xfId="0" applyNumberFormat="1" applyFont="1" applyFill="1" applyBorder="1" applyAlignment="1">
      <alignment horizontal="center" vertical="center" wrapText="1" shrinkToFit="1"/>
    </xf>
    <xf numFmtId="3" fontId="20" fillId="4" borderId="5" xfId="0" applyNumberFormat="1" applyFont="1" applyFill="1" applyBorder="1" applyAlignment="1">
      <alignment horizontal="center" vertical="center" wrapText="1" shrinkToFit="1"/>
    </xf>
    <xf numFmtId="3" fontId="20" fillId="0" borderId="4" xfId="0" applyNumberFormat="1" applyFont="1" applyBorder="1" applyAlignment="1">
      <alignment horizontal="center" vertical="center" wrapText="1" shrinkToFit="1"/>
    </xf>
    <xf numFmtId="3" fontId="20" fillId="0" borderId="5" xfId="0" applyNumberFormat="1" applyFont="1" applyBorder="1" applyAlignment="1">
      <alignment horizontal="center" vertical="center" wrapText="1" shrinkToFit="1"/>
    </xf>
    <xf numFmtId="3" fontId="20" fillId="0" borderId="6" xfId="0" applyNumberFormat="1" applyFont="1" applyBorder="1" applyAlignment="1">
      <alignment horizontal="center" vertical="center" wrapText="1" shrinkToFit="1"/>
    </xf>
    <xf numFmtId="3" fontId="20" fillId="3" borderId="5" xfId="0" applyNumberFormat="1" applyFont="1" applyFill="1" applyBorder="1" applyAlignment="1">
      <alignment horizontal="center" vertical="center" wrapText="1" shrinkToFit="1"/>
    </xf>
    <xf numFmtId="3" fontId="20" fillId="3" borderId="6" xfId="0" applyNumberFormat="1" applyFont="1" applyFill="1" applyBorder="1" applyAlignment="1">
      <alignment horizontal="center" vertical="center" wrapText="1" shrinkToFit="1"/>
    </xf>
    <xf numFmtId="38" fontId="20" fillId="3" borderId="5" xfId="1" applyNumberFormat="1" applyFont="1" applyFill="1" applyBorder="1" applyAlignment="1">
      <alignment horizontal="center" vertical="center" wrapText="1" shrinkToFit="1"/>
    </xf>
    <xf numFmtId="38" fontId="20" fillId="0" borderId="5" xfId="1" applyNumberFormat="1" applyFont="1" applyFill="1" applyBorder="1" applyAlignment="1">
      <alignment horizontal="center" vertical="center" wrapText="1" shrinkToFit="1"/>
    </xf>
    <xf numFmtId="38" fontId="20" fillId="3" borderId="8" xfId="1" applyNumberFormat="1" applyFont="1" applyFill="1" applyBorder="1" applyAlignment="1">
      <alignment horizontal="center" vertical="center" wrapText="1" shrinkToFit="1"/>
    </xf>
    <xf numFmtId="38" fontId="20" fillId="0" borderId="6" xfId="1" applyNumberFormat="1" applyFont="1" applyFill="1" applyBorder="1" applyAlignment="1">
      <alignment horizontal="center" vertical="center" wrapText="1" shrinkToFit="1"/>
    </xf>
    <xf numFmtId="38" fontId="20" fillId="3" borderId="6" xfId="1" applyNumberFormat="1" applyFont="1" applyFill="1" applyBorder="1" applyAlignment="1">
      <alignment horizontal="center" vertical="center" wrapText="1" shrinkToFit="1"/>
    </xf>
    <xf numFmtId="38" fontId="20" fillId="3" borderId="9" xfId="1" applyNumberFormat="1" applyFont="1" applyFill="1" applyBorder="1" applyAlignment="1">
      <alignment horizontal="center" vertical="center" wrapText="1" shrinkToFit="1"/>
    </xf>
    <xf numFmtId="3" fontId="20" fillId="3" borderId="4" xfId="0" applyNumberFormat="1" applyFont="1" applyFill="1" applyBorder="1" applyAlignment="1">
      <alignment horizontal="center" vertical="center" wrapText="1" shrinkToFit="1"/>
    </xf>
    <xf numFmtId="0" fontId="16" fillId="2" borderId="4" xfId="0" applyFont="1" applyFill="1" applyBorder="1" applyAlignment="1">
      <alignment horizontal="center" vertical="center" wrapText="1" shrinkToFit="1"/>
    </xf>
    <xf numFmtId="0" fontId="16" fillId="2" borderId="5" xfId="0" applyFont="1" applyFill="1" applyBorder="1" applyAlignment="1">
      <alignment horizontal="center" vertical="center" wrapText="1" shrinkToFit="1"/>
    </xf>
    <xf numFmtId="168" fontId="20" fillId="0" borderId="5" xfId="0" applyNumberFormat="1" applyFont="1" applyBorder="1" applyAlignment="1">
      <alignment horizontal="center" vertical="center" wrapText="1" shrinkToFit="1"/>
    </xf>
    <xf numFmtId="3" fontId="24" fillId="3" borderId="8" xfId="0" applyNumberFormat="1" applyFont="1" applyFill="1" applyBorder="1" applyAlignment="1">
      <alignment horizontal="center" vertical="center" wrapText="1" shrinkToFit="1"/>
    </xf>
    <xf numFmtId="3" fontId="16" fillId="2" borderId="6" xfId="0" applyNumberFormat="1" applyFont="1" applyFill="1" applyBorder="1" applyAlignment="1">
      <alignment horizontal="center" vertical="center" wrapText="1" shrinkToFit="1"/>
    </xf>
    <xf numFmtId="3" fontId="14" fillId="0" borderId="5" xfId="0" applyNumberFormat="1" applyFont="1" applyBorder="1" applyAlignment="1">
      <alignment horizontal="center" vertical="center" wrapText="1" shrinkToFit="1"/>
    </xf>
    <xf numFmtId="3" fontId="20" fillId="3" borderId="7" xfId="0" applyNumberFormat="1" applyFont="1" applyFill="1" applyBorder="1" applyAlignment="1">
      <alignment horizontal="center" vertical="center" wrapText="1" shrinkToFit="1"/>
    </xf>
    <xf numFmtId="3" fontId="14" fillId="2" borderId="8" xfId="0" applyNumberFormat="1" applyFont="1" applyFill="1" applyBorder="1" applyAlignment="1">
      <alignment horizontal="center" vertical="center" wrapText="1" shrinkToFit="1"/>
    </xf>
    <xf numFmtId="0" fontId="68" fillId="0" borderId="0" xfId="0" applyFont="1"/>
    <xf numFmtId="38" fontId="20" fillId="0" borderId="15" xfId="1" applyNumberFormat="1" applyFont="1" applyFill="1" applyBorder="1" applyAlignment="1">
      <alignment horizontal="center" vertical="center" wrapText="1" shrinkToFit="1"/>
    </xf>
    <xf numFmtId="9" fontId="20" fillId="0" borderId="5" xfId="2" applyFont="1" applyFill="1" applyBorder="1" applyAlignment="1">
      <alignment horizontal="center" vertical="center" wrapText="1" shrinkToFit="1"/>
    </xf>
    <xf numFmtId="9" fontId="20" fillId="0" borderId="6" xfId="2" applyFont="1" applyFill="1" applyBorder="1" applyAlignment="1">
      <alignment horizontal="center" vertical="center" wrapText="1" shrinkToFit="1"/>
    </xf>
    <xf numFmtId="38" fontId="20" fillId="0" borderId="19" xfId="1" applyNumberFormat="1" applyFont="1" applyFill="1" applyBorder="1" applyAlignment="1">
      <alignment horizontal="center" vertical="center" wrapText="1" shrinkToFit="1"/>
    </xf>
    <xf numFmtId="38" fontId="20" fillId="4" borderId="5" xfId="1" applyNumberFormat="1" applyFont="1" applyFill="1" applyBorder="1" applyAlignment="1">
      <alignment horizontal="center" vertical="center" wrapText="1" shrinkToFit="1"/>
    </xf>
    <xf numFmtId="3" fontId="16" fillId="0" borderId="0" xfId="0" applyNumberFormat="1" applyFont="1" applyAlignment="1">
      <alignment vertical="center" wrapText="1" shrinkToFit="1"/>
    </xf>
    <xf numFmtId="3" fontId="14" fillId="3" borderId="8" xfId="0" applyNumberFormat="1" applyFont="1" applyFill="1" applyBorder="1" applyAlignment="1">
      <alignment horizontal="center" vertical="center" wrapText="1" shrinkToFit="1"/>
    </xf>
    <xf numFmtId="3" fontId="9" fillId="3" borderId="4" xfId="0" applyNumberFormat="1" applyFont="1" applyFill="1" applyBorder="1" applyAlignment="1">
      <alignment horizontal="center" vertical="center" wrapText="1" shrinkToFit="1"/>
    </xf>
    <xf numFmtId="0" fontId="68" fillId="0" borderId="0" xfId="0" applyFont="1" applyAlignment="1">
      <alignment horizontal="center" vertical="center"/>
    </xf>
    <xf numFmtId="0" fontId="16" fillId="2" borderId="1"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2" xfId="0" applyFont="1" applyFill="1" applyBorder="1" applyAlignment="1">
      <alignment horizontal="center" vertical="center"/>
    </xf>
    <xf numFmtId="3" fontId="9" fillId="0" borderId="4" xfId="0" applyNumberFormat="1" applyFont="1" applyBorder="1" applyAlignment="1">
      <alignment horizontal="center" vertical="center" wrapText="1" shrinkToFit="1"/>
    </xf>
    <xf numFmtId="3" fontId="9" fillId="0" borderId="6" xfId="0" applyNumberFormat="1" applyFont="1" applyBorder="1" applyAlignment="1">
      <alignment horizontal="center" vertical="center" wrapText="1" shrinkToFit="1"/>
    </xf>
    <xf numFmtId="9" fontId="9" fillId="0" borderId="6" xfId="2" applyFont="1" applyFill="1" applyBorder="1" applyAlignment="1">
      <alignment horizontal="center" vertical="center" wrapText="1" shrinkToFit="1"/>
    </xf>
    <xf numFmtId="9" fontId="9" fillId="3" borderId="6" xfId="2" applyFont="1" applyFill="1" applyBorder="1" applyAlignment="1">
      <alignment horizontal="center" vertical="center" wrapText="1" shrinkToFit="1"/>
    </xf>
    <xf numFmtId="3" fontId="9" fillId="0" borderId="0" xfId="0" applyNumberFormat="1" applyFont="1" applyAlignment="1">
      <alignment horizontal="center" vertical="center" wrapText="1" shrinkToFit="1"/>
    </xf>
    <xf numFmtId="3" fontId="70" fillId="2" borderId="8" xfId="0" applyNumberFormat="1" applyFont="1" applyFill="1" applyBorder="1" applyAlignment="1">
      <alignment horizontal="center" vertical="center"/>
    </xf>
    <xf numFmtId="168" fontId="9" fillId="0" borderId="8" xfId="0" applyNumberFormat="1" applyFont="1" applyBorder="1" applyAlignment="1">
      <alignment horizontal="center" vertical="center" wrapText="1" shrinkToFit="1"/>
    </xf>
    <xf numFmtId="10" fontId="23" fillId="0" borderId="5" xfId="2" applyNumberFormat="1" applyFont="1" applyBorder="1" applyAlignment="1">
      <alignment horizontal="center" vertical="center" wrapText="1" shrinkToFit="1" readingOrder="2"/>
    </xf>
    <xf numFmtId="9" fontId="9" fillId="0" borderId="6" xfId="2" applyFont="1" applyBorder="1" applyAlignment="1">
      <alignment horizontal="center" vertical="center" wrapText="1" shrinkToFit="1"/>
    </xf>
    <xf numFmtId="9" fontId="9" fillId="0" borderId="5" xfId="2" applyFont="1" applyBorder="1" applyAlignment="1">
      <alignment horizontal="center" vertical="center" wrapText="1" shrinkToFit="1"/>
    </xf>
    <xf numFmtId="9" fontId="9" fillId="3" borderId="5" xfId="2" applyFont="1" applyFill="1" applyBorder="1" applyAlignment="1">
      <alignment horizontal="center" vertical="center" wrapText="1" shrinkToFit="1"/>
    </xf>
    <xf numFmtId="3" fontId="9" fillId="2" borderId="7" xfId="0" applyNumberFormat="1" applyFont="1" applyFill="1" applyBorder="1" applyAlignment="1">
      <alignment horizontal="center" vertical="center" wrapText="1" shrinkToFit="1"/>
    </xf>
    <xf numFmtId="3" fontId="9" fillId="2" borderId="8" xfId="0" applyNumberFormat="1" applyFont="1" applyFill="1" applyBorder="1" applyAlignment="1">
      <alignment horizontal="center" vertical="center" wrapText="1" shrinkToFit="1"/>
    </xf>
    <xf numFmtId="0" fontId="71" fillId="0" borderId="0" xfId="0" applyFont="1" applyAlignment="1">
      <alignment horizontal="center" vertical="center" wrapText="1"/>
    </xf>
    <xf numFmtId="0" fontId="68" fillId="0" borderId="0" xfId="0" applyFont="1" applyAlignment="1">
      <alignment horizontal="center" vertical="center" wrapText="1"/>
    </xf>
    <xf numFmtId="184" fontId="9" fillId="2" borderId="8" xfId="0" applyNumberFormat="1" applyFont="1" applyFill="1" applyBorder="1" applyAlignment="1">
      <alignment horizontal="center" vertical="center" wrapText="1" shrinkToFit="1"/>
    </xf>
    <xf numFmtId="182" fontId="9" fillId="2" borderId="8" xfId="0" applyNumberFormat="1" applyFont="1" applyFill="1" applyBorder="1" applyAlignment="1">
      <alignment horizontal="center" vertical="center" wrapText="1" shrinkToFit="1"/>
    </xf>
    <xf numFmtId="10" fontId="9" fillId="0" borderId="4" xfId="2" applyNumberFormat="1" applyFont="1" applyFill="1" applyBorder="1" applyAlignment="1">
      <alignment horizontal="center" vertical="center" wrapText="1" shrinkToFit="1"/>
    </xf>
    <xf numFmtId="10" fontId="9" fillId="3" borderId="4" xfId="0" applyNumberFormat="1" applyFont="1" applyFill="1" applyBorder="1" applyAlignment="1">
      <alignment horizontal="center" vertical="center" wrapText="1" shrinkToFit="1"/>
    </xf>
    <xf numFmtId="10" fontId="9" fillId="4" borderId="4" xfId="2" applyNumberFormat="1" applyFont="1" applyFill="1" applyBorder="1" applyAlignment="1">
      <alignment horizontal="center" vertical="center" wrapText="1" shrinkToFit="1"/>
    </xf>
    <xf numFmtId="10" fontId="9" fillId="4" borderId="4" xfId="0" applyNumberFormat="1" applyFont="1" applyFill="1" applyBorder="1" applyAlignment="1">
      <alignment horizontal="center" vertical="center" wrapText="1" shrinkToFit="1"/>
    </xf>
    <xf numFmtId="10" fontId="9" fillId="0" borderId="7" xfId="2" applyNumberFormat="1" applyFont="1" applyFill="1" applyBorder="1" applyAlignment="1">
      <alignment horizontal="center" vertical="center" wrapText="1" shrinkToFit="1"/>
    </xf>
    <xf numFmtId="10" fontId="9" fillId="3" borderId="7" xfId="0" applyNumberFormat="1" applyFont="1" applyFill="1" applyBorder="1" applyAlignment="1">
      <alignment horizontal="center" vertical="center" wrapText="1" shrinkToFit="1"/>
    </xf>
    <xf numFmtId="10" fontId="9" fillId="3" borderId="16" xfId="0" applyNumberFormat="1" applyFont="1" applyFill="1" applyBorder="1" applyAlignment="1">
      <alignment horizontal="center" vertical="center" wrapText="1" shrinkToFit="1"/>
    </xf>
    <xf numFmtId="167" fontId="9" fillId="3" borderId="7" xfId="0" applyNumberFormat="1" applyFont="1" applyFill="1" applyBorder="1" applyAlignment="1">
      <alignment horizontal="center" vertical="center" wrapText="1" shrinkToFit="1"/>
    </xf>
    <xf numFmtId="183" fontId="9" fillId="2" borderId="8" xfId="2" applyNumberFormat="1" applyFont="1" applyFill="1" applyBorder="1" applyAlignment="1">
      <alignment horizontal="center" vertical="center" wrapText="1" shrinkToFit="1"/>
    </xf>
    <xf numFmtId="204" fontId="9" fillId="2" borderId="8" xfId="0" applyNumberFormat="1" applyFont="1" applyFill="1" applyBorder="1" applyAlignment="1">
      <alignment horizontal="center" vertical="center" wrapText="1" shrinkToFit="1"/>
    </xf>
    <xf numFmtId="184" fontId="9" fillId="2" borderId="8" xfId="2" applyNumberFormat="1" applyFont="1" applyFill="1" applyBorder="1" applyAlignment="1">
      <alignment horizontal="center" vertical="center" wrapText="1" shrinkToFit="1"/>
    </xf>
    <xf numFmtId="10" fontId="9" fillId="2" borderId="8" xfId="2" applyNumberFormat="1" applyFont="1" applyFill="1" applyBorder="1" applyAlignment="1">
      <alignment horizontal="center" vertical="center" wrapText="1" shrinkToFit="1"/>
    </xf>
    <xf numFmtId="3" fontId="9" fillId="0" borderId="5" xfId="0" applyNumberFormat="1" applyFont="1" applyBorder="1" applyAlignment="1">
      <alignment horizontal="center" vertical="center" wrapText="1" shrinkToFit="1"/>
    </xf>
    <xf numFmtId="200" fontId="9" fillId="4" borderId="11" xfId="2" applyNumberFormat="1" applyFont="1" applyFill="1" applyBorder="1" applyAlignment="1">
      <alignment horizontal="center" vertical="center" wrapText="1" shrinkToFit="1"/>
    </xf>
    <xf numFmtId="200" fontId="9" fillId="4" borderId="14" xfId="2" applyNumberFormat="1" applyFont="1" applyFill="1" applyBorder="1" applyAlignment="1">
      <alignment horizontal="center" vertical="center" wrapText="1" shrinkToFit="1"/>
    </xf>
    <xf numFmtId="201" fontId="9" fillId="4" borderId="14" xfId="2" applyNumberFormat="1" applyFont="1" applyFill="1" applyBorder="1" applyAlignment="1">
      <alignment horizontal="center" vertical="center" wrapText="1" shrinkToFit="1"/>
    </xf>
    <xf numFmtId="3" fontId="9" fillId="0" borderId="7" xfId="0" applyNumberFormat="1" applyFont="1" applyBorder="1" applyAlignment="1">
      <alignment horizontal="center" vertical="center" wrapText="1" shrinkToFit="1"/>
    </xf>
    <xf numFmtId="3" fontId="9" fillId="0" borderId="12" xfId="0" applyNumberFormat="1" applyFont="1" applyBorder="1" applyAlignment="1">
      <alignment horizontal="center" vertical="center" wrapText="1" shrinkToFit="1"/>
    </xf>
    <xf numFmtId="38" fontId="20" fillId="0" borderId="0" xfId="0" applyNumberFormat="1" applyFont="1" applyAlignment="1">
      <alignment horizontal="center" vertical="center" wrapText="1" shrinkToFit="1"/>
    </xf>
    <xf numFmtId="3" fontId="15" fillId="2" borderId="22" xfId="0" applyNumberFormat="1" applyFont="1" applyFill="1" applyBorder="1" applyAlignment="1">
      <alignment vertical="center" wrapText="1" shrinkToFit="1"/>
    </xf>
    <xf numFmtId="3" fontId="15" fillId="2" borderId="23" xfId="0" applyNumberFormat="1" applyFont="1" applyFill="1" applyBorder="1" applyAlignment="1">
      <alignment vertical="center" wrapText="1" shrinkToFit="1"/>
    </xf>
    <xf numFmtId="217" fontId="20" fillId="2" borderId="8" xfId="0" applyNumberFormat="1" applyFont="1" applyFill="1" applyBorder="1" applyAlignment="1">
      <alignment horizontal="center" vertical="center" wrapText="1" shrinkToFit="1"/>
    </xf>
    <xf numFmtId="10" fontId="23" fillId="4" borderId="5" xfId="0" applyNumberFormat="1" applyFont="1" applyFill="1" applyBorder="1" applyAlignment="1">
      <alignment horizontal="center" vertical="center" wrapText="1" shrinkToFit="1"/>
    </xf>
    <xf numFmtId="168" fontId="23" fillId="3" borderId="5" xfId="0" applyNumberFormat="1" applyFont="1" applyFill="1" applyBorder="1" applyAlignment="1">
      <alignment horizontal="center" vertical="center" wrapText="1" shrinkToFit="1"/>
    </xf>
    <xf numFmtId="3" fontId="23" fillId="4" borderId="5" xfId="0" applyNumberFormat="1" applyFont="1" applyFill="1" applyBorder="1" applyAlignment="1">
      <alignment horizontal="center" vertical="center" wrapText="1" shrinkToFit="1"/>
    </xf>
    <xf numFmtId="4" fontId="23" fillId="3" borderId="6" xfId="0" applyNumberFormat="1" applyFont="1" applyFill="1" applyBorder="1" applyAlignment="1">
      <alignment horizontal="center" vertical="center" wrapText="1" shrinkToFit="1"/>
    </xf>
    <xf numFmtId="4" fontId="20" fillId="2" borderId="4" xfId="0" applyNumberFormat="1" applyFont="1" applyFill="1" applyBorder="1" applyAlignment="1">
      <alignment horizontal="center" vertical="center" wrapText="1" shrinkToFit="1"/>
    </xf>
    <xf numFmtId="3" fontId="49" fillId="3" borderId="4" xfId="0" applyNumberFormat="1" applyFont="1" applyFill="1" applyBorder="1" applyAlignment="1">
      <alignment horizontal="center" vertical="center" wrapText="1" shrinkToFit="1"/>
    </xf>
    <xf numFmtId="3" fontId="49" fillId="0" borderId="4" xfId="0" applyNumberFormat="1" applyFont="1" applyBorder="1" applyAlignment="1">
      <alignment horizontal="center" vertical="center" wrapText="1" shrinkToFit="1"/>
    </xf>
    <xf numFmtId="4" fontId="49" fillId="0" borderId="6" xfId="0" applyNumberFormat="1" applyFont="1" applyBorder="1" applyAlignment="1">
      <alignment horizontal="center" vertical="center" wrapText="1" shrinkToFit="1"/>
    </xf>
    <xf numFmtId="3" fontId="23" fillId="3" borderId="4" xfId="0" applyNumberFormat="1" applyFont="1" applyFill="1" applyBorder="1" applyAlignment="1">
      <alignment horizontal="center" vertical="center" wrapText="1" shrinkToFit="1"/>
    </xf>
    <xf numFmtId="168" fontId="20" fillId="0" borderId="6" xfId="0" applyNumberFormat="1" applyFont="1" applyBorder="1" applyAlignment="1">
      <alignment horizontal="center" vertical="center" wrapText="1" shrinkToFit="1"/>
    </xf>
    <xf numFmtId="3" fontId="56" fillId="0" borderId="6" xfId="0" applyNumberFormat="1" applyFont="1" applyBorder="1" applyAlignment="1">
      <alignment horizontal="center" vertical="center" wrapText="1" shrinkToFit="1"/>
    </xf>
    <xf numFmtId="3" fontId="56" fillId="3" borderId="6" xfId="0" applyNumberFormat="1" applyFont="1" applyFill="1" applyBorder="1" applyAlignment="1">
      <alignment horizontal="center" vertical="center" wrapText="1" shrinkToFit="1"/>
    </xf>
    <xf numFmtId="10" fontId="9" fillId="4" borderId="5" xfId="2" applyNumberFormat="1" applyFont="1" applyFill="1" applyBorder="1" applyAlignment="1">
      <alignment horizontal="center" vertical="center" wrapText="1" shrinkToFit="1"/>
    </xf>
    <xf numFmtId="10" fontId="49" fillId="4" borderId="5" xfId="2" applyNumberFormat="1" applyFont="1" applyFill="1" applyBorder="1" applyAlignment="1">
      <alignment horizontal="center" vertical="center" wrapText="1" shrinkToFit="1"/>
    </xf>
    <xf numFmtId="3" fontId="49" fillId="4" borderId="5" xfId="0" applyNumberFormat="1" applyFont="1" applyFill="1" applyBorder="1" applyAlignment="1">
      <alignment horizontal="center" vertical="center" wrapText="1" shrinkToFit="1"/>
    </xf>
    <xf numFmtId="3" fontId="20" fillId="0" borderId="34" xfId="0" applyNumberFormat="1" applyFont="1" applyBorder="1" applyAlignment="1">
      <alignment horizontal="center" vertical="center" wrapText="1" shrinkToFit="1"/>
    </xf>
    <xf numFmtId="38" fontId="20" fillId="0" borderId="27" xfId="0" applyNumberFormat="1" applyFont="1" applyBorder="1" applyAlignment="1">
      <alignment horizontal="center" vertical="center" wrapText="1" shrinkToFit="1"/>
    </xf>
    <xf numFmtId="4" fontId="53" fillId="0" borderId="27" xfId="0" applyNumberFormat="1" applyFont="1" applyBorder="1" applyAlignment="1">
      <alignment horizontal="center" vertical="center" wrapText="1" shrinkToFit="1"/>
    </xf>
    <xf numFmtId="38" fontId="20" fillId="0" borderId="50" xfId="0" applyNumberFormat="1" applyFont="1" applyBorder="1" applyAlignment="1">
      <alignment horizontal="center" vertical="center" wrapText="1" shrinkToFit="1"/>
    </xf>
    <xf numFmtId="3" fontId="20" fillId="3" borderId="1" xfId="0" applyNumberFormat="1" applyFont="1" applyFill="1" applyBorder="1" applyAlignment="1">
      <alignment horizontal="center" vertical="center" wrapText="1" shrinkToFit="1"/>
    </xf>
    <xf numFmtId="38" fontId="20" fillId="0" borderId="3" xfId="0" applyNumberFormat="1" applyFont="1" applyBorder="1" applyAlignment="1">
      <alignment horizontal="center" vertical="center" wrapText="1" shrinkToFit="1"/>
    </xf>
    <xf numFmtId="40" fontId="48" fillId="0" borderId="6" xfId="0" applyNumberFormat="1" applyFont="1" applyBorder="1" applyAlignment="1">
      <alignment horizontal="center" vertical="center" wrapText="1" shrinkToFit="1"/>
    </xf>
    <xf numFmtId="40" fontId="20" fillId="3" borderId="7" xfId="0" applyNumberFormat="1" applyFont="1" applyFill="1" applyBorder="1" applyAlignment="1">
      <alignment horizontal="center" vertical="center" wrapText="1" shrinkToFit="1"/>
    </xf>
    <xf numFmtId="38" fontId="51" fillId="3" borderId="8" xfId="0" applyNumberFormat="1" applyFont="1" applyFill="1" applyBorder="1" applyAlignment="1">
      <alignment horizontal="center" vertical="center" wrapText="1" shrinkToFit="1"/>
    </xf>
    <xf numFmtId="40" fontId="48" fillId="0" borderId="9" xfId="0" applyNumberFormat="1" applyFont="1" applyBorder="1" applyAlignment="1">
      <alignment horizontal="center" vertical="center" wrapText="1" shrinkToFit="1"/>
    </xf>
    <xf numFmtId="38" fontId="25" fillId="6" borderId="39" xfId="1" applyNumberFormat="1" applyFont="1" applyFill="1" applyBorder="1" applyAlignment="1">
      <alignment horizontal="center" vertical="center" wrapText="1" shrinkToFit="1"/>
    </xf>
    <xf numFmtId="38" fontId="25" fillId="6" borderId="36" xfId="1" applyNumberFormat="1" applyFont="1" applyFill="1" applyBorder="1" applyAlignment="1">
      <alignment horizontal="center" vertical="center" wrapText="1" shrinkToFit="1"/>
    </xf>
    <xf numFmtId="38" fontId="20" fillId="3" borderId="5" xfId="2" applyNumberFormat="1" applyFont="1" applyFill="1" applyBorder="1" applyAlignment="1">
      <alignment horizontal="center" vertical="center" wrapText="1" shrinkToFit="1"/>
    </xf>
    <xf numFmtId="9" fontId="20" fillId="4" borderId="6" xfId="2" applyFont="1" applyFill="1" applyBorder="1" applyAlignment="1">
      <alignment horizontal="center" vertical="center" wrapText="1" shrinkToFit="1"/>
    </xf>
    <xf numFmtId="9" fontId="20" fillId="4" borderId="9" xfId="2" applyFont="1" applyFill="1" applyBorder="1" applyAlignment="1">
      <alignment horizontal="center" vertical="center" wrapText="1" shrinkToFit="1"/>
    </xf>
    <xf numFmtId="0" fontId="16" fillId="2" borderId="16" xfId="0" applyFont="1" applyFill="1" applyBorder="1" applyAlignment="1">
      <alignment horizontal="center" vertical="center" wrapText="1" shrinkToFit="1"/>
    </xf>
    <xf numFmtId="40" fontId="20" fillId="3" borderId="13" xfId="0" applyNumberFormat="1" applyFont="1" applyFill="1" applyBorder="1" applyAlignment="1">
      <alignment horizontal="center" vertical="center" wrapText="1" shrinkToFit="1"/>
    </xf>
    <xf numFmtId="0" fontId="48" fillId="0" borderId="13" xfId="0" applyFont="1" applyBorder="1" applyAlignment="1">
      <alignment horizontal="center" vertical="center" wrapText="1" shrinkToFit="1"/>
    </xf>
    <xf numFmtId="38" fontId="20" fillId="0" borderId="13" xfId="1" applyNumberFormat="1" applyFont="1" applyFill="1" applyBorder="1" applyAlignment="1">
      <alignment horizontal="center" vertical="center" wrapText="1" shrinkToFit="1"/>
    </xf>
    <xf numFmtId="38" fontId="20" fillId="0" borderId="17" xfId="1" applyNumberFormat="1" applyFont="1" applyFill="1" applyBorder="1" applyAlignment="1">
      <alignment horizontal="center" vertical="center" wrapText="1" shrinkToFit="1"/>
    </xf>
    <xf numFmtId="38" fontId="20" fillId="3" borderId="2" xfId="1" applyNumberFormat="1" applyFont="1" applyFill="1" applyBorder="1" applyAlignment="1">
      <alignment horizontal="center" vertical="center" wrapText="1" shrinkToFit="1"/>
    </xf>
    <xf numFmtId="38" fontId="20" fillId="3" borderId="3" xfId="1" applyNumberFormat="1" applyFont="1" applyFill="1" applyBorder="1" applyAlignment="1">
      <alignment horizontal="center" vertical="center" wrapText="1" shrinkToFit="1"/>
    </xf>
    <xf numFmtId="3" fontId="16" fillId="2" borderId="7" xfId="0" applyNumberFormat="1" applyFont="1" applyFill="1" applyBorder="1" applyAlignment="1">
      <alignment horizontal="center" vertical="center" wrapText="1" shrinkToFit="1" readingOrder="1"/>
    </xf>
    <xf numFmtId="3" fontId="54" fillId="2" borderId="22" xfId="0" applyNumberFormat="1" applyFont="1" applyFill="1" applyBorder="1" applyAlignment="1">
      <alignment vertical="center" shrinkToFit="1"/>
    </xf>
    <xf numFmtId="3" fontId="54" fillId="2" borderId="23" xfId="0" applyNumberFormat="1" applyFont="1" applyFill="1" applyBorder="1" applyAlignment="1">
      <alignment vertical="center" shrinkToFit="1"/>
    </xf>
    <xf numFmtId="38" fontId="51" fillId="0" borderId="5" xfId="1" applyNumberFormat="1" applyFont="1" applyFill="1" applyBorder="1" applyAlignment="1">
      <alignment horizontal="center" vertical="center" wrapText="1" shrinkToFit="1"/>
    </xf>
    <xf numFmtId="38" fontId="51" fillId="0" borderId="6" xfId="1" applyNumberFormat="1" applyFont="1" applyFill="1" applyBorder="1" applyAlignment="1">
      <alignment horizontal="center" vertical="center" wrapText="1" shrinkToFit="1"/>
    </xf>
    <xf numFmtId="3" fontId="16" fillId="2" borderId="16" xfId="0" applyNumberFormat="1" applyFont="1" applyFill="1" applyBorder="1" applyAlignment="1">
      <alignment horizontal="center" vertical="center" wrapText="1" shrinkToFit="1"/>
    </xf>
    <xf numFmtId="40" fontId="48" fillId="0" borderId="13" xfId="0" applyNumberFormat="1" applyFont="1" applyBorder="1" applyAlignment="1">
      <alignment horizontal="center" vertical="center" wrapText="1" shrinkToFit="1"/>
    </xf>
    <xf numFmtId="218" fontId="31" fillId="0" borderId="8" xfId="0" applyNumberFormat="1" applyFont="1" applyBorder="1" applyAlignment="1">
      <alignment horizontal="center" vertical="center" wrapText="1" shrinkToFit="1"/>
    </xf>
    <xf numFmtId="219" fontId="20" fillId="0" borderId="0" xfId="2" applyNumberFormat="1" applyFont="1" applyAlignment="1">
      <alignment horizontal="center" vertical="center" wrapText="1" shrinkToFit="1"/>
    </xf>
    <xf numFmtId="38" fontId="51" fillId="3" borderId="5" xfId="0" applyNumberFormat="1" applyFont="1" applyFill="1" applyBorder="1" applyAlignment="1">
      <alignment horizontal="center" vertical="center" wrapText="1" shrinkToFit="1"/>
    </xf>
    <xf numFmtId="38" fontId="51" fillId="3" borderId="5" xfId="1" applyNumberFormat="1" applyFont="1" applyFill="1" applyBorder="1" applyAlignment="1">
      <alignment horizontal="center" vertical="center" wrapText="1" shrinkToFit="1"/>
    </xf>
    <xf numFmtId="38" fontId="51" fillId="3" borderId="6" xfId="1" applyNumberFormat="1" applyFont="1" applyFill="1" applyBorder="1" applyAlignment="1">
      <alignment horizontal="center" vertical="center" wrapText="1" shrinkToFit="1"/>
    </xf>
    <xf numFmtId="3" fontId="51" fillId="4" borderId="8" xfId="0" applyNumberFormat="1" applyFont="1" applyFill="1" applyBorder="1" applyAlignment="1">
      <alignment horizontal="center" vertical="center" wrapText="1" shrinkToFit="1"/>
    </xf>
    <xf numFmtId="3" fontId="51" fillId="4" borderId="9" xfId="0" applyNumberFormat="1" applyFont="1" applyFill="1" applyBorder="1" applyAlignment="1">
      <alignment horizontal="center" vertical="center" wrapText="1" shrinkToFit="1"/>
    </xf>
    <xf numFmtId="38" fontId="51" fillId="3" borderId="13" xfId="0" applyNumberFormat="1" applyFont="1" applyFill="1" applyBorder="1" applyAlignment="1">
      <alignment horizontal="center" vertical="center" wrapText="1" shrinkToFit="1"/>
    </xf>
    <xf numFmtId="3" fontId="14" fillId="0" borderId="6" xfId="0" applyNumberFormat="1" applyFont="1" applyBorder="1" applyAlignment="1">
      <alignment horizontal="center" vertical="center" wrapText="1" shrinkToFit="1"/>
    </xf>
    <xf numFmtId="9" fontId="14" fillId="3" borderId="5" xfId="2" applyFont="1" applyFill="1" applyBorder="1" applyAlignment="1">
      <alignment horizontal="center" vertical="center" wrapText="1" shrinkToFit="1"/>
    </xf>
    <xf numFmtId="3" fontId="22" fillId="3" borderId="6" xfId="0" applyNumberFormat="1" applyFont="1" applyFill="1" applyBorder="1" applyAlignment="1">
      <alignment horizontal="center" vertical="center" wrapText="1" shrinkToFit="1"/>
    </xf>
    <xf numFmtId="0" fontId="70" fillId="2" borderId="9" xfId="0" applyFont="1" applyFill="1" applyBorder="1" applyAlignment="1">
      <alignment horizontal="center" vertical="center"/>
    </xf>
    <xf numFmtId="3" fontId="22" fillId="3" borderId="16" xfId="0" applyNumberFormat="1" applyFont="1" applyFill="1" applyBorder="1" applyAlignment="1">
      <alignment horizontal="center" vertical="center" wrapText="1" shrinkToFit="1"/>
    </xf>
    <xf numFmtId="10" fontId="22" fillId="4" borderId="13" xfId="2" applyNumberFormat="1" applyFont="1" applyFill="1" applyBorder="1" applyAlignment="1">
      <alignment horizontal="center" vertical="center" wrapText="1" shrinkToFit="1"/>
    </xf>
    <xf numFmtId="3" fontId="22" fillId="3" borderId="13" xfId="0" applyNumberFormat="1" applyFont="1" applyFill="1" applyBorder="1" applyAlignment="1">
      <alignment horizontal="center" vertical="center" wrapText="1" shrinkToFit="1"/>
    </xf>
    <xf numFmtId="3" fontId="52" fillId="3" borderId="13" xfId="0" applyNumberFormat="1" applyFont="1" applyFill="1" applyBorder="1" applyAlignment="1">
      <alignment horizontal="center" vertical="center" wrapText="1" shrinkToFit="1"/>
    </xf>
    <xf numFmtId="3" fontId="22" fillId="3" borderId="17" xfId="0" applyNumberFormat="1" applyFont="1" applyFill="1" applyBorder="1" applyAlignment="1">
      <alignment horizontal="center" vertical="center" wrapText="1" shrinkToFit="1"/>
    </xf>
    <xf numFmtId="3" fontId="22" fillId="0" borderId="2" xfId="0" applyNumberFormat="1" applyFont="1" applyBorder="1" applyAlignment="1">
      <alignment horizontal="center" vertical="center" wrapText="1" shrinkToFit="1"/>
    </xf>
    <xf numFmtId="3" fontId="22" fillId="0" borderId="3" xfId="0" applyNumberFormat="1" applyFont="1" applyBorder="1" applyAlignment="1">
      <alignment horizontal="center" vertical="center" wrapText="1" shrinkToFit="1"/>
    </xf>
    <xf numFmtId="3" fontId="20" fillId="0" borderId="26" xfId="0" applyNumberFormat="1" applyFont="1" applyBorder="1" applyAlignment="1">
      <alignment horizontal="center" vertical="center" wrapText="1" shrinkToFit="1"/>
    </xf>
    <xf numFmtId="3" fontId="16" fillId="2" borderId="3" xfId="0" applyNumberFormat="1" applyFont="1" applyFill="1" applyBorder="1" applyAlignment="1">
      <alignment horizontal="center" vertical="center"/>
    </xf>
    <xf numFmtId="10" fontId="7" fillId="4" borderId="4" xfId="2" applyNumberFormat="1" applyFont="1" applyFill="1" applyBorder="1" applyAlignment="1">
      <alignment horizontal="center" vertical="center" wrapText="1" shrinkToFit="1"/>
    </xf>
    <xf numFmtId="215" fontId="20" fillId="4" borderId="2" xfId="0" applyNumberFormat="1" applyFont="1" applyFill="1" applyBorder="1" applyAlignment="1">
      <alignment horizontal="center" vertical="center" wrapText="1" shrinkToFit="1"/>
    </xf>
    <xf numFmtId="215" fontId="20" fillId="4" borderId="3" xfId="0" applyNumberFormat="1" applyFont="1" applyFill="1" applyBorder="1" applyAlignment="1">
      <alignment horizontal="center" vertical="center" wrapText="1" shrinkToFit="1"/>
    </xf>
    <xf numFmtId="3" fontId="67" fillId="0" borderId="4" xfId="0" applyNumberFormat="1" applyFont="1" applyBorder="1" applyAlignment="1">
      <alignment horizontal="center" vertical="center" wrapText="1" shrinkToFit="1"/>
    </xf>
    <xf numFmtId="3" fontId="67" fillId="0" borderId="5" xfId="0" applyNumberFormat="1" applyFont="1" applyBorder="1" applyAlignment="1">
      <alignment horizontal="center" vertical="center" wrapText="1" shrinkToFit="1"/>
    </xf>
    <xf numFmtId="3" fontId="67" fillId="0" borderId="6" xfId="0" applyNumberFormat="1" applyFont="1" applyBorder="1" applyAlignment="1">
      <alignment horizontal="center" vertical="center" wrapText="1" shrinkToFit="1"/>
    </xf>
    <xf numFmtId="3" fontId="0" fillId="0" borderId="0" xfId="0" applyNumberFormat="1"/>
    <xf numFmtId="3" fontId="24" fillId="0" borderId="6" xfId="0" applyNumberFormat="1" applyFont="1" applyBorder="1" applyAlignment="1">
      <alignment horizontal="center" vertical="center" wrapText="1" shrinkToFit="1"/>
    </xf>
    <xf numFmtId="10" fontId="6" fillId="3" borderId="7" xfId="0" applyNumberFormat="1" applyFont="1" applyFill="1" applyBorder="1" applyAlignment="1">
      <alignment horizontal="center" vertical="center" wrapText="1" shrinkToFit="1"/>
    </xf>
    <xf numFmtId="0" fontId="62" fillId="2" borderId="0" xfId="4" applyFont="1" applyFill="1" applyAlignment="1" applyProtection="1">
      <alignment horizontal="center" vertical="center"/>
      <protection locked="0"/>
    </xf>
    <xf numFmtId="0" fontId="20" fillId="2" borderId="0" xfId="4" applyFont="1" applyFill="1" applyAlignment="1" applyProtection="1">
      <alignment horizontal="center" vertical="center"/>
      <protection locked="0"/>
    </xf>
    <xf numFmtId="0" fontId="16" fillId="2" borderId="0" xfId="0" applyFont="1" applyFill="1" applyAlignment="1">
      <alignment horizontal="center" vertical="center"/>
    </xf>
    <xf numFmtId="0" fontId="10" fillId="2" borderId="46" xfId="0" applyFont="1" applyFill="1" applyBorder="1" applyAlignment="1">
      <alignment horizontal="center" vertical="center"/>
    </xf>
    <xf numFmtId="0" fontId="59" fillId="2" borderId="0" xfId="4" applyFont="1" applyFill="1" applyAlignment="1">
      <alignment horizontal="center" vertical="center" wrapText="1"/>
    </xf>
    <xf numFmtId="0" fontId="16" fillId="2" borderId="54" xfId="0" applyFont="1" applyFill="1" applyBorder="1" applyAlignment="1">
      <alignment horizontal="center" vertical="center"/>
    </xf>
    <xf numFmtId="0" fontId="20" fillId="2" borderId="54" xfId="4" applyFont="1" applyFill="1" applyBorder="1" applyAlignment="1">
      <alignment horizontal="center" vertical="center"/>
    </xf>
    <xf numFmtId="0" fontId="63" fillId="2" borderId="54" xfId="3" applyFont="1" applyFill="1" applyBorder="1" applyAlignment="1">
      <alignment horizontal="center" vertical="center"/>
    </xf>
    <xf numFmtId="215" fontId="67" fillId="0" borderId="5" xfId="0" applyNumberFormat="1" applyFont="1" applyBorder="1" applyAlignment="1">
      <alignment horizontal="center" vertical="center" wrapText="1" shrinkToFit="1"/>
    </xf>
    <xf numFmtId="215" fontId="67" fillId="0" borderId="6" xfId="0" applyNumberFormat="1" applyFont="1" applyBorder="1" applyAlignment="1">
      <alignment horizontal="center" vertical="center" wrapText="1" shrinkToFit="1"/>
    </xf>
    <xf numFmtId="3" fontId="20" fillId="0" borderId="8" xfId="0" applyNumberFormat="1" applyFont="1" applyBorder="1" applyAlignment="1">
      <alignment horizontal="center" vertical="center" wrapText="1" shrinkToFit="1"/>
    </xf>
    <xf numFmtId="3" fontId="20" fillId="0" borderId="21" xfId="0" applyNumberFormat="1" applyFont="1" applyBorder="1" applyAlignment="1">
      <alignment horizontal="center" vertical="center" wrapText="1" shrinkToFit="1"/>
    </xf>
    <xf numFmtId="4" fontId="20" fillId="4" borderId="21" xfId="0" applyNumberFormat="1" applyFont="1" applyFill="1" applyBorder="1" applyAlignment="1">
      <alignment horizontal="center" vertical="center" wrapText="1" shrinkToFit="1"/>
    </xf>
    <xf numFmtId="4" fontId="20" fillId="4" borderId="29" xfId="0" applyNumberFormat="1" applyFont="1" applyFill="1" applyBorder="1" applyAlignment="1">
      <alignment horizontal="center" vertical="center" wrapText="1" shrinkToFit="1"/>
    </xf>
    <xf numFmtId="3" fontId="20" fillId="0" borderId="56" xfId="0" applyNumberFormat="1" applyFont="1" applyBorder="1" applyAlignment="1">
      <alignment horizontal="center" vertical="center" wrapText="1" shrinkToFit="1"/>
    </xf>
    <xf numFmtId="3" fontId="20" fillId="3" borderId="56" xfId="0" applyNumberFormat="1" applyFont="1" applyFill="1" applyBorder="1" applyAlignment="1">
      <alignment horizontal="center" vertical="center" wrapText="1" shrinkToFit="1"/>
    </xf>
    <xf numFmtId="3" fontId="20" fillId="0" borderId="57" xfId="0" applyNumberFormat="1" applyFont="1" applyBorder="1" applyAlignment="1">
      <alignment horizontal="center" vertical="center" wrapText="1" shrinkToFit="1"/>
    </xf>
    <xf numFmtId="3" fontId="20" fillId="3" borderId="32" xfId="0" applyNumberFormat="1" applyFont="1" applyFill="1" applyBorder="1" applyAlignment="1">
      <alignment horizontal="center" vertical="center" wrapText="1" shrinkToFit="1"/>
    </xf>
    <xf numFmtId="3" fontId="20" fillId="0" borderId="32" xfId="0" applyNumberFormat="1" applyFont="1" applyBorder="1" applyAlignment="1">
      <alignment horizontal="center" vertical="center" wrapText="1" shrinkToFit="1"/>
    </xf>
    <xf numFmtId="38" fontId="20" fillId="3" borderId="8" xfId="0" applyNumberFormat="1" applyFont="1" applyFill="1" applyBorder="1" applyAlignment="1">
      <alignment horizontal="center" vertical="center" wrapText="1" shrinkToFit="1"/>
    </xf>
    <xf numFmtId="3" fontId="9" fillId="3" borderId="7" xfId="0" applyNumberFormat="1" applyFont="1" applyFill="1" applyBorder="1" applyAlignment="1">
      <alignment horizontal="center" vertical="center" wrapText="1" shrinkToFit="1"/>
    </xf>
    <xf numFmtId="3" fontId="16" fillId="2" borderId="1" xfId="0" applyNumberFormat="1" applyFont="1" applyFill="1" applyBorder="1" applyAlignment="1">
      <alignment horizontal="center" vertical="center" wrapText="1" shrinkToFit="1"/>
    </xf>
    <xf numFmtId="38" fontId="20" fillId="3" borderId="32" xfId="1" applyNumberFormat="1" applyFont="1" applyFill="1" applyBorder="1" applyAlignment="1">
      <alignment horizontal="center" vertical="center" wrapText="1" shrinkToFit="1"/>
    </xf>
    <xf numFmtId="38" fontId="20" fillId="0" borderId="32" xfId="1" applyNumberFormat="1" applyFont="1" applyFill="1" applyBorder="1" applyAlignment="1">
      <alignment horizontal="center" vertical="center" wrapText="1" shrinkToFit="1"/>
    </xf>
    <xf numFmtId="38" fontId="20" fillId="3" borderId="30" xfId="1" applyNumberFormat="1" applyFont="1" applyFill="1" applyBorder="1" applyAlignment="1">
      <alignment horizontal="center" vertical="center" wrapText="1" shrinkToFit="1"/>
    </xf>
    <xf numFmtId="38" fontId="20" fillId="3" borderId="67" xfId="0" applyNumberFormat="1" applyFont="1" applyFill="1" applyBorder="1" applyAlignment="1">
      <alignment horizontal="center" vertical="center" wrapText="1" shrinkToFit="1"/>
    </xf>
    <xf numFmtId="38" fontId="20" fillId="0" borderId="67" xfId="0" applyNumberFormat="1" applyFont="1" applyBorder="1" applyAlignment="1">
      <alignment horizontal="center" vertical="center" wrapText="1" shrinkToFit="1"/>
    </xf>
    <xf numFmtId="38" fontId="20" fillId="3" borderId="66" xfId="0" applyNumberFormat="1" applyFont="1" applyFill="1" applyBorder="1" applyAlignment="1">
      <alignment horizontal="center" vertical="center" wrapText="1" shrinkToFit="1"/>
    </xf>
    <xf numFmtId="3" fontId="20" fillId="3" borderId="5" xfId="0" applyNumberFormat="1" applyFont="1" applyFill="1" applyBorder="1" applyAlignment="1">
      <alignment horizontal="center" vertical="center" wrapText="1" shrinkToFit="1" readingOrder="1"/>
    </xf>
    <xf numFmtId="3" fontId="20" fillId="0" borderId="5" xfId="0" applyNumberFormat="1" applyFont="1" applyBorder="1" applyAlignment="1">
      <alignment horizontal="center" vertical="center" wrapText="1" shrinkToFit="1" readingOrder="1"/>
    </xf>
    <xf numFmtId="14" fontId="20" fillId="0" borderId="32" xfId="0" applyNumberFormat="1" applyFont="1" applyBorder="1" applyAlignment="1">
      <alignment horizontal="center" vertical="center" wrapText="1" shrinkToFit="1"/>
    </xf>
    <xf numFmtId="3" fontId="9" fillId="0" borderId="32" xfId="0" applyNumberFormat="1" applyFont="1" applyBorder="1" applyAlignment="1">
      <alignment horizontal="center" vertical="center" wrapText="1" shrinkToFit="1"/>
    </xf>
    <xf numFmtId="38" fontId="20" fillId="0" borderId="53" xfId="1" applyNumberFormat="1" applyFont="1" applyFill="1" applyBorder="1" applyAlignment="1">
      <alignment horizontal="center" vertical="center" wrapText="1" shrinkToFit="1"/>
    </xf>
    <xf numFmtId="38" fontId="25" fillId="0" borderId="39" xfId="1" applyNumberFormat="1" applyFont="1" applyFill="1" applyBorder="1" applyAlignment="1">
      <alignment horizontal="center" vertical="center" wrapText="1" shrinkToFit="1"/>
    </xf>
    <xf numFmtId="38" fontId="20" fillId="3" borderId="72" xfId="0" applyNumberFormat="1" applyFont="1" applyFill="1" applyBorder="1" applyAlignment="1">
      <alignment horizontal="center" vertical="center" wrapText="1" shrinkToFit="1"/>
    </xf>
    <xf numFmtId="38" fontId="20" fillId="3" borderId="72" xfId="0" applyNumberFormat="1" applyFont="1" applyFill="1" applyBorder="1" applyAlignment="1">
      <alignment vertical="center" wrapText="1" shrinkToFit="1"/>
    </xf>
    <xf numFmtId="38" fontId="20" fillId="3" borderId="73" xfId="0" applyNumberFormat="1" applyFont="1" applyFill="1" applyBorder="1" applyAlignment="1">
      <alignment vertical="center" wrapText="1" shrinkToFit="1"/>
    </xf>
    <xf numFmtId="38" fontId="20" fillId="3" borderId="74" xfId="0" applyNumberFormat="1" applyFont="1" applyFill="1" applyBorder="1" applyAlignment="1">
      <alignment vertical="center" wrapText="1" shrinkToFit="1"/>
    </xf>
    <xf numFmtId="38" fontId="20" fillId="4" borderId="53" xfId="1" applyNumberFormat="1" applyFont="1" applyFill="1" applyBorder="1" applyAlignment="1">
      <alignment horizontal="center" vertical="center" wrapText="1" shrinkToFit="1"/>
    </xf>
    <xf numFmtId="38" fontId="20" fillId="0" borderId="62" xfId="1" applyNumberFormat="1" applyFont="1" applyFill="1" applyBorder="1" applyAlignment="1">
      <alignment horizontal="center" vertical="center" wrapText="1" shrinkToFit="1"/>
    </xf>
    <xf numFmtId="38" fontId="20" fillId="3" borderId="53" xfId="1" applyNumberFormat="1" applyFont="1" applyFill="1" applyBorder="1" applyAlignment="1">
      <alignment horizontal="center" vertical="center" wrapText="1" shrinkToFit="1"/>
    </xf>
    <xf numFmtId="38" fontId="20" fillId="4" borderId="32" xfId="1" applyNumberFormat="1" applyFont="1" applyFill="1" applyBorder="1" applyAlignment="1">
      <alignment horizontal="center" vertical="center" wrapText="1" shrinkToFit="1"/>
    </xf>
    <xf numFmtId="38" fontId="20" fillId="0" borderId="33" xfId="1" applyNumberFormat="1" applyFont="1" applyFill="1" applyBorder="1" applyAlignment="1">
      <alignment horizontal="center" vertical="center" wrapText="1" shrinkToFit="1"/>
    </xf>
    <xf numFmtId="38" fontId="20" fillId="3" borderId="69" xfId="0" applyNumberFormat="1" applyFont="1" applyFill="1" applyBorder="1" applyAlignment="1">
      <alignment horizontal="center" vertical="center" wrapText="1" shrinkToFit="1"/>
    </xf>
    <xf numFmtId="38" fontId="20" fillId="3" borderId="70" xfId="0" applyNumberFormat="1" applyFont="1" applyFill="1" applyBorder="1" applyAlignment="1">
      <alignment horizontal="center" vertical="center" wrapText="1" shrinkToFit="1"/>
    </xf>
    <xf numFmtId="38" fontId="20" fillId="3" borderId="68" xfId="0" applyNumberFormat="1" applyFont="1" applyFill="1" applyBorder="1" applyAlignment="1">
      <alignment horizontal="center" vertical="center" wrapText="1" shrinkToFit="1"/>
    </xf>
    <xf numFmtId="215" fontId="20" fillId="4" borderId="53" xfId="0" applyNumberFormat="1" applyFont="1" applyFill="1" applyBorder="1" applyAlignment="1">
      <alignment horizontal="center" vertical="center" wrapText="1" shrinkToFit="1"/>
    </xf>
    <xf numFmtId="3" fontId="28" fillId="3" borderId="32" xfId="0" applyNumberFormat="1" applyFont="1" applyFill="1" applyBorder="1" applyAlignment="1">
      <alignment horizontal="center" vertical="center" wrapText="1" shrinkToFit="1"/>
    </xf>
    <xf numFmtId="3" fontId="51" fillId="0" borderId="32" xfId="0" applyNumberFormat="1" applyFont="1" applyBorder="1" applyAlignment="1">
      <alignment horizontal="center" vertical="center" wrapText="1" shrinkToFit="1"/>
    </xf>
    <xf numFmtId="38" fontId="51" fillId="3" borderId="32" xfId="1" applyNumberFormat="1" applyFont="1" applyFill="1" applyBorder="1" applyAlignment="1">
      <alignment horizontal="center" vertical="center" wrapText="1" shrinkToFit="1"/>
    </xf>
    <xf numFmtId="3" fontId="51" fillId="3" borderId="32" xfId="0" applyNumberFormat="1" applyFont="1" applyFill="1" applyBorder="1" applyAlignment="1">
      <alignment horizontal="center" vertical="center" wrapText="1" shrinkToFit="1"/>
    </xf>
    <xf numFmtId="3" fontId="51" fillId="4" borderId="30" xfId="0" applyNumberFormat="1" applyFont="1" applyFill="1" applyBorder="1" applyAlignment="1">
      <alignment horizontal="center" vertical="center" wrapText="1" shrinkToFit="1"/>
    </xf>
    <xf numFmtId="3" fontId="20" fillId="0" borderId="69" xfId="0" applyNumberFormat="1" applyFont="1" applyBorder="1" applyAlignment="1">
      <alignment horizontal="center" vertical="center" wrapText="1" shrinkToFit="1"/>
    </xf>
    <xf numFmtId="3" fontId="20" fillId="3" borderId="67" xfId="0" applyNumberFormat="1" applyFont="1" applyFill="1" applyBorder="1" applyAlignment="1">
      <alignment horizontal="center" vertical="center" wrapText="1" shrinkToFit="1"/>
    </xf>
    <xf numFmtId="38" fontId="51" fillId="3" borderId="67" xfId="0" applyNumberFormat="1" applyFont="1" applyFill="1" applyBorder="1" applyAlignment="1">
      <alignment horizontal="center" vertical="center" wrapText="1" shrinkToFit="1"/>
    </xf>
    <xf numFmtId="38" fontId="51" fillId="3" borderId="66" xfId="0" applyNumberFormat="1" applyFont="1" applyFill="1" applyBorder="1" applyAlignment="1">
      <alignment horizontal="center" vertical="center" wrapText="1" shrinkToFit="1"/>
    </xf>
    <xf numFmtId="9" fontId="20" fillId="0" borderId="32" xfId="2" applyFont="1" applyFill="1" applyBorder="1" applyAlignment="1">
      <alignment horizontal="center" vertical="center" wrapText="1" shrinkToFit="1"/>
    </xf>
    <xf numFmtId="9" fontId="20" fillId="4" borderId="32" xfId="2" applyFont="1" applyFill="1" applyBorder="1" applyAlignment="1">
      <alignment horizontal="center" vertical="center" wrapText="1" shrinkToFit="1"/>
    </xf>
    <xf numFmtId="9" fontId="20" fillId="4" borderId="30" xfId="2" applyFont="1" applyFill="1" applyBorder="1" applyAlignment="1">
      <alignment horizontal="center" vertical="center" wrapText="1" shrinkToFit="1"/>
    </xf>
    <xf numFmtId="9" fontId="20" fillId="3" borderId="67" xfId="2" applyFont="1" applyFill="1" applyBorder="1" applyAlignment="1">
      <alignment horizontal="center" vertical="center" wrapText="1" shrinkToFit="1"/>
    </xf>
    <xf numFmtId="9" fontId="20" fillId="3" borderId="66" xfId="2" applyFont="1" applyFill="1" applyBorder="1" applyAlignment="1">
      <alignment horizontal="center" vertical="center" wrapText="1" shrinkToFit="1"/>
    </xf>
    <xf numFmtId="10" fontId="5" fillId="4" borderId="3" xfId="2" applyNumberFormat="1" applyFont="1" applyFill="1" applyBorder="1" applyAlignment="1">
      <alignment horizontal="center" vertical="center" wrapText="1" shrinkToFit="1"/>
    </xf>
    <xf numFmtId="10" fontId="5" fillId="4" borderId="9" xfId="2" applyNumberFormat="1" applyFont="1" applyFill="1" applyBorder="1" applyAlignment="1">
      <alignment horizontal="center" vertical="center" wrapText="1" shrinkToFit="1"/>
    </xf>
    <xf numFmtId="164" fontId="5" fillId="4" borderId="11" xfId="0" applyNumberFormat="1" applyFont="1" applyFill="1" applyBorder="1" applyAlignment="1">
      <alignment horizontal="center" vertical="center" wrapText="1" shrinkToFit="1"/>
    </xf>
    <xf numFmtId="165" fontId="5" fillId="4" borderId="12" xfId="2" applyNumberFormat="1" applyFont="1" applyFill="1" applyBorder="1" applyAlignment="1">
      <alignment horizontal="center" vertical="center" wrapText="1" shrinkToFit="1"/>
    </xf>
    <xf numFmtId="3" fontId="5" fillId="0" borderId="1" xfId="0" applyNumberFormat="1" applyFont="1" applyBorder="1" applyAlignment="1">
      <alignment horizontal="center" vertical="center" wrapText="1" shrinkToFit="1"/>
    </xf>
    <xf numFmtId="3" fontId="5" fillId="0" borderId="7" xfId="0" applyNumberFormat="1" applyFont="1" applyBorder="1" applyAlignment="1">
      <alignment horizontal="center" vertical="center" wrapText="1" shrinkToFit="1"/>
    </xf>
    <xf numFmtId="221" fontId="51" fillId="4" borderId="8" xfId="2" applyNumberFormat="1" applyFont="1" applyFill="1" applyBorder="1" applyAlignment="1">
      <alignment horizontal="center" vertical="center" wrapText="1" shrinkToFit="1"/>
    </xf>
    <xf numFmtId="3" fontId="5" fillId="3" borderId="1" xfId="0" applyNumberFormat="1" applyFont="1" applyFill="1" applyBorder="1" applyAlignment="1">
      <alignment horizontal="center" vertical="center" wrapText="1" shrinkToFit="1"/>
    </xf>
    <xf numFmtId="3" fontId="67" fillId="3" borderId="16" xfId="0" applyNumberFormat="1" applyFont="1" applyFill="1" applyBorder="1" applyAlignment="1">
      <alignment horizontal="center" vertical="center" wrapText="1" shrinkToFit="1"/>
    </xf>
    <xf numFmtId="215" fontId="67" fillId="3" borderId="13" xfId="0" applyNumberFormat="1" applyFont="1" applyFill="1" applyBorder="1" applyAlignment="1">
      <alignment horizontal="center" vertical="center" wrapText="1" shrinkToFit="1"/>
    </xf>
    <xf numFmtId="215" fontId="67" fillId="3" borderId="17" xfId="0" applyNumberFormat="1" applyFont="1" applyFill="1" applyBorder="1" applyAlignment="1">
      <alignment horizontal="center" vertical="center" wrapText="1" shrinkToFit="1"/>
    </xf>
    <xf numFmtId="3" fontId="67" fillId="3" borderId="75" xfId="0" applyNumberFormat="1" applyFont="1" applyFill="1" applyBorder="1" applyAlignment="1">
      <alignment horizontal="center" vertical="center" wrapText="1" shrinkToFit="1"/>
    </xf>
    <xf numFmtId="215" fontId="67" fillId="3" borderId="63" xfId="0" applyNumberFormat="1" applyFont="1" applyFill="1" applyBorder="1" applyAlignment="1">
      <alignment horizontal="center" vertical="center" wrapText="1" shrinkToFit="1"/>
    </xf>
    <xf numFmtId="215" fontId="67" fillId="3" borderId="65" xfId="0" applyNumberFormat="1" applyFont="1" applyFill="1" applyBorder="1" applyAlignment="1">
      <alignment horizontal="center" vertical="center" wrapText="1" shrinkToFit="1"/>
    </xf>
    <xf numFmtId="222" fontId="67" fillId="3" borderId="5" xfId="0" applyNumberFormat="1" applyFont="1" applyFill="1" applyBorder="1" applyAlignment="1">
      <alignment horizontal="center" vertical="center" wrapText="1" shrinkToFit="1"/>
    </xf>
    <xf numFmtId="222" fontId="67" fillId="0" borderId="5" xfId="0" applyNumberFormat="1" applyFont="1" applyBorder="1" applyAlignment="1">
      <alignment horizontal="center" vertical="center" wrapText="1" shrinkToFit="1"/>
    </xf>
    <xf numFmtId="222" fontId="67" fillId="3" borderId="13" xfId="0" applyNumberFormat="1" applyFont="1" applyFill="1" applyBorder="1" applyAlignment="1">
      <alignment horizontal="center" vertical="center" wrapText="1" shrinkToFit="1"/>
    </xf>
    <xf numFmtId="222" fontId="67" fillId="3" borderId="63" xfId="0" applyNumberFormat="1" applyFont="1" applyFill="1" applyBorder="1" applyAlignment="1">
      <alignment horizontal="center" vertical="center" wrapText="1" shrinkToFit="1"/>
    </xf>
    <xf numFmtId="223" fontId="67" fillId="3" borderId="5" xfId="0" applyNumberFormat="1" applyFont="1" applyFill="1" applyBorder="1" applyAlignment="1">
      <alignment horizontal="center" vertical="center" wrapText="1" shrinkToFit="1"/>
    </xf>
    <xf numFmtId="223" fontId="67" fillId="0" borderId="5" xfId="0" applyNumberFormat="1" applyFont="1" applyBorder="1" applyAlignment="1">
      <alignment horizontal="center" vertical="center" wrapText="1" shrinkToFit="1"/>
    </xf>
    <xf numFmtId="223" fontId="67" fillId="3" borderId="13" xfId="0" applyNumberFormat="1" applyFont="1" applyFill="1" applyBorder="1" applyAlignment="1">
      <alignment horizontal="center" vertical="center" wrapText="1" shrinkToFit="1"/>
    </xf>
    <xf numFmtId="223" fontId="67" fillId="3" borderId="63" xfId="0" applyNumberFormat="1" applyFont="1" applyFill="1" applyBorder="1" applyAlignment="1">
      <alignment horizontal="center" vertical="center" wrapText="1" shrinkToFit="1"/>
    </xf>
    <xf numFmtId="224" fontId="67" fillId="3" borderId="5" xfId="0" applyNumberFormat="1" applyFont="1" applyFill="1" applyBorder="1" applyAlignment="1">
      <alignment horizontal="center" vertical="center" wrapText="1" shrinkToFit="1"/>
    </xf>
    <xf numFmtId="224" fontId="67" fillId="0" borderId="5" xfId="0" applyNumberFormat="1" applyFont="1" applyBorder="1" applyAlignment="1">
      <alignment horizontal="center" vertical="center" wrapText="1" shrinkToFit="1"/>
    </xf>
    <xf numFmtId="224" fontId="67" fillId="3" borderId="13" xfId="0" applyNumberFormat="1" applyFont="1" applyFill="1" applyBorder="1" applyAlignment="1">
      <alignment horizontal="center" vertical="center" wrapText="1" shrinkToFit="1"/>
    </xf>
    <xf numFmtId="224" fontId="67" fillId="3" borderId="63" xfId="0" applyNumberFormat="1" applyFont="1" applyFill="1" applyBorder="1" applyAlignment="1">
      <alignment horizontal="center" vertical="center" wrapText="1" shrinkToFit="1"/>
    </xf>
    <xf numFmtId="225" fontId="67" fillId="3" borderId="5" xfId="0" applyNumberFormat="1" applyFont="1" applyFill="1" applyBorder="1" applyAlignment="1">
      <alignment horizontal="center" vertical="center" wrapText="1" shrinkToFit="1"/>
    </xf>
    <xf numFmtId="225" fontId="67" fillId="0" borderId="5" xfId="0" applyNumberFormat="1" applyFont="1" applyBorder="1" applyAlignment="1">
      <alignment horizontal="center" vertical="center" wrapText="1" shrinkToFit="1"/>
    </xf>
    <xf numFmtId="225" fontId="67" fillId="3" borderId="13" xfId="0" applyNumberFormat="1" applyFont="1" applyFill="1" applyBorder="1" applyAlignment="1">
      <alignment horizontal="center" vertical="center" wrapText="1" shrinkToFit="1"/>
    </xf>
    <xf numFmtId="225" fontId="67" fillId="3" borderId="63" xfId="0" applyNumberFormat="1" applyFont="1" applyFill="1" applyBorder="1" applyAlignment="1">
      <alignment horizontal="center" vertical="center" wrapText="1" shrinkToFit="1"/>
    </xf>
    <xf numFmtId="0" fontId="33" fillId="8" borderId="0" xfId="0" applyFont="1" applyFill="1" applyAlignment="1">
      <alignment vertical="center"/>
    </xf>
    <xf numFmtId="0" fontId="33" fillId="8" borderId="0" xfId="0" applyFont="1" applyFill="1" applyAlignment="1">
      <alignment horizontal="center" vertical="center"/>
    </xf>
    <xf numFmtId="0" fontId="38" fillId="8" borderId="0" xfId="0" applyFont="1" applyFill="1" applyAlignment="1">
      <alignment horizontal="right" vertical="center"/>
    </xf>
    <xf numFmtId="37" fontId="16" fillId="8" borderId="55" xfId="0" applyNumberFormat="1" applyFont="1" applyFill="1" applyBorder="1" applyAlignment="1">
      <alignment horizontal="center" vertical="center" wrapText="1" shrinkToFit="1"/>
    </xf>
    <xf numFmtId="0" fontId="33" fillId="8" borderId="55" xfId="0" applyFont="1" applyFill="1" applyBorder="1" applyAlignment="1">
      <alignment vertical="center"/>
    </xf>
    <xf numFmtId="3" fontId="16" fillId="8" borderId="55" xfId="0" applyNumberFormat="1" applyFont="1" applyFill="1" applyBorder="1" applyAlignment="1">
      <alignment horizontal="center" vertical="center" wrapText="1" shrinkToFit="1"/>
    </xf>
    <xf numFmtId="9" fontId="40" fillId="8" borderId="0" xfId="2" applyFont="1" applyFill="1" applyBorder="1" applyAlignment="1">
      <alignment horizontal="center" vertical="center"/>
    </xf>
    <xf numFmtId="0" fontId="40" fillId="8" borderId="0" xfId="0" applyFont="1" applyFill="1" applyAlignment="1">
      <alignment horizontal="center" vertical="center"/>
    </xf>
    <xf numFmtId="0" fontId="40" fillId="8" borderId="0" xfId="0" applyFont="1" applyFill="1" applyAlignment="1">
      <alignment vertical="center"/>
    </xf>
    <xf numFmtId="38" fontId="40" fillId="8" borderId="0" xfId="0" applyNumberFormat="1" applyFont="1" applyFill="1" applyAlignment="1">
      <alignment horizontal="center" vertical="center"/>
    </xf>
    <xf numFmtId="38" fontId="72" fillId="8" borderId="0" xfId="0" applyNumberFormat="1" applyFont="1" applyFill="1" applyAlignment="1">
      <alignment horizontal="center" vertical="center"/>
    </xf>
    <xf numFmtId="3" fontId="40" fillId="8" borderId="0" xfId="0" applyNumberFormat="1" applyFont="1" applyFill="1" applyAlignment="1">
      <alignment horizontal="center" vertical="center"/>
    </xf>
    <xf numFmtId="0" fontId="43" fillId="8" borderId="0" xfId="0" applyFont="1" applyFill="1" applyAlignment="1">
      <alignment horizontal="center" vertical="center"/>
    </xf>
    <xf numFmtId="0" fontId="33" fillId="8" borderId="0" xfId="0" applyFont="1" applyFill="1" applyAlignment="1">
      <alignment horizontal="right" vertical="center"/>
    </xf>
    <xf numFmtId="0" fontId="46" fillId="8" borderId="0" xfId="0" applyFont="1" applyFill="1" applyAlignment="1">
      <alignment vertical="center" wrapText="1"/>
    </xf>
    <xf numFmtId="0" fontId="38" fillId="8" borderId="0" xfId="0" applyFont="1" applyFill="1" applyAlignment="1">
      <alignment horizontal="center" vertical="center"/>
    </xf>
    <xf numFmtId="3" fontId="37" fillId="8" borderId="0" xfId="0" applyNumberFormat="1" applyFont="1" applyFill="1" applyAlignment="1">
      <alignment horizontal="center" vertical="center" wrapText="1"/>
    </xf>
    <xf numFmtId="38" fontId="33" fillId="8" borderId="0" xfId="0" applyNumberFormat="1" applyFont="1" applyFill="1" applyAlignment="1">
      <alignment horizontal="center" vertical="center"/>
    </xf>
    <xf numFmtId="38" fontId="45" fillId="8" borderId="0" xfId="0" applyNumberFormat="1" applyFont="1" applyFill="1" applyAlignment="1">
      <alignment horizontal="center" vertical="center"/>
    </xf>
    <xf numFmtId="0" fontId="40" fillId="8" borderId="0" xfId="0" applyFont="1" applyFill="1" applyAlignment="1">
      <alignment horizontal="right" vertical="center"/>
    </xf>
    <xf numFmtId="0" fontId="33" fillId="8" borderId="0" xfId="0" applyFont="1" applyFill="1" applyAlignment="1">
      <alignment horizontal="left" vertical="center"/>
    </xf>
    <xf numFmtId="9" fontId="33" fillId="8" borderId="0" xfId="2" applyFont="1" applyFill="1" applyBorder="1" applyAlignment="1">
      <alignment horizontal="center" vertical="center"/>
    </xf>
    <xf numFmtId="3" fontId="34" fillId="8" borderId="0" xfId="0" applyNumberFormat="1" applyFont="1" applyFill="1" applyAlignment="1">
      <alignment horizontal="center" vertical="center" wrapText="1" shrinkToFit="1"/>
    </xf>
    <xf numFmtId="172" fontId="40" fillId="8" borderId="0" xfId="0" applyNumberFormat="1" applyFont="1" applyFill="1" applyAlignment="1">
      <alignment horizontal="center" vertical="center"/>
    </xf>
    <xf numFmtId="0" fontId="33" fillId="8" borderId="76" xfId="0" applyFont="1" applyFill="1" applyBorder="1" applyAlignment="1">
      <alignment horizontal="center" vertical="center"/>
    </xf>
    <xf numFmtId="0" fontId="38" fillId="8" borderId="76" xfId="0" applyFont="1" applyFill="1" applyBorder="1" applyAlignment="1">
      <alignment horizontal="center" vertical="center"/>
    </xf>
    <xf numFmtId="3" fontId="33" fillId="8" borderId="76" xfId="0" applyNumberFormat="1" applyFont="1" applyFill="1" applyBorder="1" applyAlignment="1">
      <alignment horizontal="center" vertical="center" wrapText="1" shrinkToFit="1"/>
    </xf>
    <xf numFmtId="3" fontId="37" fillId="8" borderId="76" xfId="0" applyNumberFormat="1" applyFont="1" applyFill="1" applyBorder="1" applyAlignment="1">
      <alignment horizontal="center" vertical="center" wrapText="1"/>
    </xf>
    <xf numFmtId="0" fontId="33" fillId="8" borderId="76" xfId="0" applyFont="1" applyFill="1" applyBorder="1" applyAlignment="1">
      <alignment vertical="center"/>
    </xf>
    <xf numFmtId="38" fontId="33" fillId="8" borderId="76" xfId="0" applyNumberFormat="1" applyFont="1" applyFill="1" applyBorder="1" applyAlignment="1">
      <alignment horizontal="center" vertical="center"/>
    </xf>
    <xf numFmtId="38" fontId="45" fillId="8" borderId="76" xfId="0" applyNumberFormat="1" applyFont="1" applyFill="1" applyBorder="1" applyAlignment="1">
      <alignment horizontal="center" vertical="center"/>
    </xf>
    <xf numFmtId="0" fontId="40" fillId="8" borderId="76" xfId="0" applyFont="1" applyFill="1" applyBorder="1" applyAlignment="1">
      <alignment horizontal="center" vertical="center"/>
    </xf>
    <xf numFmtId="196" fontId="40" fillId="8" borderId="76" xfId="0" applyNumberFormat="1" applyFont="1" applyFill="1" applyBorder="1" applyAlignment="1">
      <alignment horizontal="center" vertical="center"/>
    </xf>
    <xf numFmtId="38" fontId="40" fillId="8" borderId="76" xfId="0" applyNumberFormat="1" applyFont="1" applyFill="1" applyBorder="1" applyAlignment="1">
      <alignment horizontal="center" vertical="center"/>
    </xf>
    <xf numFmtId="0" fontId="38" fillId="8" borderId="76" xfId="0" applyFont="1" applyFill="1" applyBorder="1" applyAlignment="1">
      <alignment horizontal="right" vertical="center"/>
    </xf>
    <xf numFmtId="10" fontId="46" fillId="8" borderId="76" xfId="0" applyNumberFormat="1" applyFont="1" applyFill="1" applyBorder="1" applyAlignment="1">
      <alignment vertical="center"/>
    </xf>
    <xf numFmtId="10" fontId="46" fillId="8" borderId="76" xfId="0" applyNumberFormat="1" applyFont="1" applyFill="1" applyBorder="1" applyAlignment="1">
      <alignment horizontal="center" vertical="center"/>
    </xf>
    <xf numFmtId="0" fontId="46" fillId="8" borderId="76" xfId="0" applyFont="1" applyFill="1" applyBorder="1" applyAlignment="1">
      <alignment vertical="center" wrapText="1"/>
    </xf>
    <xf numFmtId="0" fontId="33" fillId="8" borderId="77" xfId="0" applyFont="1" applyFill="1" applyBorder="1" applyAlignment="1">
      <alignment vertical="center"/>
    </xf>
    <xf numFmtId="0" fontId="46" fillId="8" borderId="77" xfId="0" applyFont="1" applyFill="1" applyBorder="1" applyAlignment="1">
      <alignment horizontal="center" vertical="center" wrapText="1" readingOrder="2"/>
    </xf>
    <xf numFmtId="10" fontId="74" fillId="8" borderId="0" xfId="0" applyNumberFormat="1" applyFont="1" applyFill="1" applyAlignment="1">
      <alignment vertical="center"/>
    </xf>
    <xf numFmtId="172" fontId="42" fillId="8" borderId="0" xfId="0" applyNumberFormat="1" applyFont="1" applyFill="1" applyAlignment="1">
      <alignment horizontal="center" vertical="center"/>
    </xf>
    <xf numFmtId="3" fontId="77" fillId="8" borderId="0" xfId="0" applyNumberFormat="1" applyFont="1" applyFill="1" applyAlignment="1">
      <alignment horizontal="center" vertical="center" wrapText="1" shrinkToFit="1"/>
    </xf>
    <xf numFmtId="0" fontId="76" fillId="8" borderId="0" xfId="0" quotePrefix="1" applyFont="1" applyFill="1" applyAlignment="1">
      <alignment horizontal="center" vertical="center"/>
    </xf>
    <xf numFmtId="0" fontId="45" fillId="8" borderId="0" xfId="0" applyFont="1" applyFill="1" applyAlignment="1">
      <alignment vertical="center"/>
    </xf>
    <xf numFmtId="0" fontId="47" fillId="8" borderId="0" xfId="0" applyFont="1" applyFill="1" applyAlignment="1">
      <alignment vertical="center"/>
    </xf>
    <xf numFmtId="0" fontId="47" fillId="8" borderId="0" xfId="0" applyFont="1" applyFill="1" applyAlignment="1">
      <alignment horizontal="center" vertical="center"/>
    </xf>
    <xf numFmtId="0" fontId="37" fillId="8" borderId="0" xfId="0" applyFont="1" applyFill="1" applyAlignment="1">
      <alignment horizontal="center" vertical="center"/>
    </xf>
    <xf numFmtId="38" fontId="37" fillId="8" borderId="0" xfId="0" applyNumberFormat="1" applyFont="1" applyFill="1" applyAlignment="1">
      <alignment horizontal="center" vertical="center"/>
    </xf>
    <xf numFmtId="188" fontId="37" fillId="8" borderId="0" xfId="0" applyNumberFormat="1" applyFont="1" applyFill="1" applyAlignment="1">
      <alignment horizontal="center" vertical="center"/>
    </xf>
    <xf numFmtId="189" fontId="37" fillId="8" borderId="0" xfId="0" applyNumberFormat="1" applyFont="1" applyFill="1" applyAlignment="1">
      <alignment horizontal="center" vertical="center"/>
    </xf>
    <xf numFmtId="190" fontId="37" fillId="8" borderId="0" xfId="0" applyNumberFormat="1" applyFont="1" applyFill="1" applyAlignment="1">
      <alignment horizontal="center" vertical="center"/>
    </xf>
    <xf numFmtId="191" fontId="37" fillId="8" borderId="0" xfId="0" applyNumberFormat="1" applyFont="1" applyFill="1" applyAlignment="1">
      <alignment horizontal="center" vertical="center"/>
    </xf>
    <xf numFmtId="0" fontId="37" fillId="8" borderId="0" xfId="0" applyFont="1" applyFill="1" applyAlignment="1">
      <alignment horizontal="center" vertical="center" wrapText="1"/>
    </xf>
    <xf numFmtId="226" fontId="35" fillId="8" borderId="0" xfId="0" applyNumberFormat="1" applyFont="1" applyFill="1" applyAlignment="1">
      <alignment horizontal="center" vertical="center" wrapText="1" shrinkToFit="1"/>
    </xf>
    <xf numFmtId="226" fontId="34" fillId="8" borderId="76" xfId="0" applyNumberFormat="1" applyFont="1" applyFill="1" applyBorder="1" applyAlignment="1">
      <alignment horizontal="center" vertical="center" wrapText="1" shrinkToFit="1"/>
    </xf>
    <xf numFmtId="195" fontId="44" fillId="8" borderId="79" xfId="0" applyNumberFormat="1" applyFont="1" applyFill="1" applyBorder="1" applyAlignment="1">
      <alignment horizontal="center" vertical="center"/>
    </xf>
    <xf numFmtId="196" fontId="44" fillId="8" borderId="79" xfId="0" applyNumberFormat="1" applyFont="1" applyFill="1" applyBorder="1" applyAlignment="1">
      <alignment horizontal="center" vertical="center"/>
    </xf>
    <xf numFmtId="193" fontId="44" fillId="8" borderId="79" xfId="0" applyNumberFormat="1" applyFont="1" applyFill="1" applyBorder="1" applyAlignment="1">
      <alignment horizontal="center" vertical="center"/>
    </xf>
    <xf numFmtId="194" fontId="44" fillId="8" borderId="79" xfId="0" applyNumberFormat="1" applyFont="1" applyFill="1" applyBorder="1" applyAlignment="1">
      <alignment horizontal="center" vertical="center"/>
    </xf>
    <xf numFmtId="3" fontId="34" fillId="8" borderId="80" xfId="0" applyNumberFormat="1" applyFont="1" applyFill="1" applyBorder="1" applyAlignment="1">
      <alignment horizontal="center" vertical="center" wrapText="1" shrinkToFit="1"/>
    </xf>
    <xf numFmtId="37" fontId="16" fillId="8" borderId="60" xfId="0" applyNumberFormat="1" applyFont="1" applyFill="1" applyBorder="1" applyAlignment="1">
      <alignment horizontal="center" vertical="center" wrapText="1" shrinkToFit="1"/>
    </xf>
    <xf numFmtId="0" fontId="33" fillId="8" borderId="60" xfId="0" applyFont="1" applyFill="1" applyBorder="1" applyAlignment="1">
      <alignment vertical="center"/>
    </xf>
    <xf numFmtId="3" fontId="16" fillId="8" borderId="60" xfId="0" applyNumberFormat="1" applyFont="1" applyFill="1" applyBorder="1" applyAlignment="1">
      <alignment horizontal="center" vertical="center" wrapText="1" shrinkToFit="1"/>
    </xf>
    <xf numFmtId="0" fontId="33" fillId="8" borderId="88" xfId="0" applyFont="1" applyFill="1" applyBorder="1" applyAlignment="1">
      <alignment horizontal="center" vertical="center"/>
    </xf>
    <xf numFmtId="0" fontId="33" fillId="8" borderId="88" xfId="0" applyFont="1" applyFill="1" applyBorder="1" applyAlignment="1">
      <alignment vertical="center"/>
    </xf>
    <xf numFmtId="9" fontId="33" fillId="8" borderId="88" xfId="0" applyNumberFormat="1" applyFont="1" applyFill="1" applyBorder="1" applyAlignment="1">
      <alignment horizontal="center" vertical="center"/>
    </xf>
    <xf numFmtId="0" fontId="34" fillId="8" borderId="20" xfId="0" applyFont="1" applyFill="1" applyBorder="1" applyAlignment="1">
      <alignment vertical="center"/>
    </xf>
    <xf numFmtId="0" fontId="34" fillId="8" borderId="90" xfId="0" applyFont="1" applyFill="1" applyBorder="1" applyAlignment="1">
      <alignment vertical="center"/>
    </xf>
    <xf numFmtId="1" fontId="34" fillId="8" borderId="20" xfId="0" applyNumberFormat="1" applyFont="1" applyFill="1" applyBorder="1" applyAlignment="1">
      <alignment vertical="center"/>
    </xf>
    <xf numFmtId="0" fontId="33" fillId="8" borderId="41" xfId="0" applyFont="1" applyFill="1" applyBorder="1" applyAlignment="1">
      <alignment horizontal="right" vertical="center"/>
    </xf>
    <xf numFmtId="0" fontId="33" fillId="8" borderId="41" xfId="0" applyFont="1" applyFill="1" applyBorder="1" applyAlignment="1">
      <alignment vertical="center"/>
    </xf>
    <xf numFmtId="0" fontId="33" fillId="8" borderId="41" xfId="0" applyFont="1" applyFill="1" applyBorder="1" applyAlignment="1">
      <alignment horizontal="center" vertical="center"/>
    </xf>
    <xf numFmtId="0" fontId="33" fillId="8" borderId="51" xfId="0" applyFont="1" applyFill="1" applyBorder="1" applyAlignment="1">
      <alignment vertical="center"/>
    </xf>
    <xf numFmtId="0" fontId="33" fillId="8" borderId="35" xfId="0" applyFont="1" applyFill="1" applyBorder="1" applyAlignment="1">
      <alignment vertical="center"/>
    </xf>
    <xf numFmtId="0" fontId="33" fillId="8" borderId="93" xfId="0" applyFont="1" applyFill="1" applyBorder="1" applyAlignment="1">
      <alignment horizontal="center" vertical="center"/>
    </xf>
    <xf numFmtId="0" fontId="33" fillId="8" borderId="94" xfId="0" applyFont="1" applyFill="1" applyBorder="1" applyAlignment="1">
      <alignment horizontal="center" vertical="center"/>
    </xf>
    <xf numFmtId="0" fontId="33" fillId="8" borderId="35" xfId="0" applyFont="1" applyFill="1" applyBorder="1" applyAlignment="1">
      <alignment horizontal="center" vertical="center"/>
    </xf>
    <xf numFmtId="0" fontId="33" fillId="8" borderId="40" xfId="0" applyFont="1" applyFill="1" applyBorder="1" applyAlignment="1">
      <alignment vertical="center"/>
    </xf>
    <xf numFmtId="9" fontId="37" fillId="8" borderId="0" xfId="0" applyNumberFormat="1" applyFont="1" applyFill="1" applyAlignment="1">
      <alignment horizontal="center" vertical="center" wrapText="1"/>
    </xf>
    <xf numFmtId="0" fontId="37" fillId="8" borderId="0" xfId="0" applyFont="1" applyFill="1" applyAlignment="1">
      <alignment horizontal="center" vertical="center" readingOrder="2"/>
    </xf>
    <xf numFmtId="0" fontId="79" fillId="8" borderId="0" xfId="0" applyFont="1" applyFill="1" applyAlignment="1">
      <alignment horizontal="center" vertical="center" wrapText="1"/>
    </xf>
    <xf numFmtId="0" fontId="79" fillId="8" borderId="0" xfId="0" applyFont="1" applyFill="1" applyAlignment="1">
      <alignment horizontal="center" vertical="center" wrapText="1" readingOrder="1"/>
    </xf>
    <xf numFmtId="10" fontId="79" fillId="8" borderId="0" xfId="0" applyNumberFormat="1" applyFont="1" applyFill="1" applyAlignment="1">
      <alignment horizontal="center" vertical="center" wrapText="1"/>
    </xf>
    <xf numFmtId="0" fontId="80" fillId="8" borderId="0" xfId="0" applyFont="1" applyFill="1" applyAlignment="1">
      <alignment horizontal="center" vertical="center" wrapText="1"/>
    </xf>
    <xf numFmtId="192" fontId="45" fillId="8" borderId="79" xfId="0" applyNumberFormat="1" applyFont="1" applyFill="1" applyBorder="1" applyAlignment="1">
      <alignment horizontal="center" vertical="center"/>
    </xf>
    <xf numFmtId="197" fontId="45" fillId="8" borderId="79" xfId="0" applyNumberFormat="1" applyFont="1" applyFill="1" applyBorder="1" applyAlignment="1">
      <alignment horizontal="center" vertical="center"/>
    </xf>
    <xf numFmtId="0" fontId="33" fillId="8" borderId="95" xfId="0" applyFont="1" applyFill="1" applyBorder="1" applyAlignment="1">
      <alignment vertical="center"/>
    </xf>
    <xf numFmtId="0" fontId="46" fillId="8" borderId="96" xfId="0" applyFont="1" applyFill="1" applyBorder="1" applyAlignment="1">
      <alignment vertical="center" wrapText="1"/>
    </xf>
    <xf numFmtId="0" fontId="33" fillId="8" borderId="92" xfId="0" applyFont="1" applyFill="1" applyBorder="1" applyAlignment="1">
      <alignment vertical="center"/>
    </xf>
    <xf numFmtId="0" fontId="33" fillId="8" borderId="89" xfId="0" applyFont="1" applyFill="1" applyBorder="1" applyAlignment="1">
      <alignment vertical="center"/>
    </xf>
    <xf numFmtId="0" fontId="33" fillId="8" borderId="79" xfId="0" applyFont="1" applyFill="1" applyBorder="1" applyAlignment="1">
      <alignment horizontal="center" vertical="center"/>
    </xf>
    <xf numFmtId="0" fontId="34" fillId="8" borderId="91" xfId="0" applyFont="1" applyFill="1" applyBorder="1" applyAlignment="1">
      <alignment vertical="center"/>
    </xf>
    <xf numFmtId="0" fontId="33" fillId="8" borderId="78" xfId="0" applyFont="1" applyFill="1" applyBorder="1" applyAlignment="1">
      <alignment vertical="center"/>
    </xf>
    <xf numFmtId="168" fontId="35" fillId="8" borderId="79" xfId="0" applyNumberFormat="1" applyFont="1" applyFill="1" applyBorder="1" applyAlignment="1">
      <alignment horizontal="center" vertical="center" wrapText="1" shrinkToFit="1"/>
    </xf>
    <xf numFmtId="0" fontId="81" fillId="8" borderId="0" xfId="0" quotePrefix="1" applyFont="1" applyFill="1" applyAlignment="1">
      <alignment horizontal="center" vertical="center"/>
    </xf>
    <xf numFmtId="0" fontId="33" fillId="8" borderId="20" xfId="0" applyFont="1" applyFill="1" applyBorder="1" applyAlignment="1">
      <alignment vertical="center"/>
    </xf>
    <xf numFmtId="0" fontId="81" fillId="8" borderId="88" xfId="0" quotePrefix="1" applyFont="1" applyFill="1" applyBorder="1" applyAlignment="1">
      <alignment horizontal="center" vertical="center"/>
    </xf>
    <xf numFmtId="37" fontId="16" fillId="8" borderId="88" xfId="0" applyNumberFormat="1" applyFont="1" applyFill="1" applyBorder="1" applyAlignment="1">
      <alignment horizontal="center" vertical="center" wrapText="1" shrinkToFit="1"/>
    </xf>
    <xf numFmtId="37" fontId="82" fillId="6" borderId="99" xfId="0" applyNumberFormat="1" applyFont="1" applyFill="1" applyBorder="1" applyAlignment="1">
      <alignment horizontal="center" vertical="center"/>
    </xf>
    <xf numFmtId="0" fontId="33" fillId="8" borderId="108" xfId="0" applyFont="1" applyFill="1" applyBorder="1" applyAlignment="1">
      <alignment vertical="center"/>
    </xf>
    <xf numFmtId="0" fontId="33" fillId="8" borderId="109" xfId="0" applyFont="1" applyFill="1" applyBorder="1" applyAlignment="1">
      <alignment vertical="center"/>
    </xf>
    <xf numFmtId="0" fontId="33" fillId="8" borderId="110" xfId="0" applyFont="1" applyFill="1" applyBorder="1" applyAlignment="1">
      <alignment vertical="center"/>
    </xf>
    <xf numFmtId="0" fontId="33" fillId="8" borderId="111" xfId="0" applyFont="1" applyFill="1" applyBorder="1" applyAlignment="1">
      <alignment vertical="center"/>
    </xf>
    <xf numFmtId="0" fontId="33" fillId="8" borderId="113" xfId="0" applyFont="1" applyFill="1" applyBorder="1" applyAlignment="1">
      <alignment vertical="center"/>
    </xf>
    <xf numFmtId="0" fontId="33" fillId="8" borderId="114" xfId="0" applyFont="1" applyFill="1" applyBorder="1" applyAlignment="1">
      <alignment vertical="center"/>
    </xf>
    <xf numFmtId="0" fontId="33" fillId="8" borderId="114" xfId="0" applyFont="1" applyFill="1" applyBorder="1" applyAlignment="1">
      <alignment horizontal="center" vertical="center"/>
    </xf>
    <xf numFmtId="0" fontId="33" fillId="8" borderId="113" xfId="0" applyFont="1" applyFill="1" applyBorder="1" applyAlignment="1">
      <alignment horizontal="center" vertical="center"/>
    </xf>
    <xf numFmtId="9" fontId="84" fillId="8" borderId="112" xfId="0" applyNumberFormat="1" applyFont="1" applyFill="1" applyBorder="1" applyAlignment="1">
      <alignment horizontal="center" vertical="center"/>
    </xf>
    <xf numFmtId="9" fontId="74" fillId="8" borderId="112" xfId="0" applyNumberFormat="1" applyFont="1" applyFill="1" applyBorder="1" applyAlignment="1">
      <alignment horizontal="center" vertical="center"/>
    </xf>
    <xf numFmtId="3" fontId="84" fillId="8" borderId="113" xfId="0" applyNumberFormat="1" applyFont="1" applyFill="1" applyBorder="1" applyAlignment="1">
      <alignment horizontal="center" vertical="center"/>
    </xf>
    <xf numFmtId="3" fontId="74" fillId="8" borderId="113" xfId="0" applyNumberFormat="1" applyFont="1" applyFill="1" applyBorder="1" applyAlignment="1">
      <alignment horizontal="center" vertical="center"/>
    </xf>
    <xf numFmtId="9" fontId="84" fillId="8" borderId="113" xfId="0" applyNumberFormat="1" applyFont="1" applyFill="1" applyBorder="1" applyAlignment="1">
      <alignment horizontal="center" vertical="center"/>
    </xf>
    <xf numFmtId="9" fontId="74" fillId="8" borderId="113" xfId="0" applyNumberFormat="1" applyFont="1" applyFill="1" applyBorder="1" applyAlignment="1">
      <alignment horizontal="center" vertical="center"/>
    </xf>
    <xf numFmtId="0" fontId="86" fillId="8" borderId="76" xfId="0" applyFont="1" applyFill="1" applyBorder="1" applyAlignment="1">
      <alignment horizontal="center" vertical="center"/>
    </xf>
    <xf numFmtId="0" fontId="68" fillId="8" borderId="35" xfId="0" applyFont="1" applyFill="1" applyBorder="1" applyAlignment="1">
      <alignment horizontal="center" vertical="center"/>
    </xf>
    <xf numFmtId="215" fontId="87" fillId="8" borderId="0" xfId="0" applyNumberFormat="1" applyFont="1" applyFill="1" applyAlignment="1">
      <alignment horizontal="center" vertical="center"/>
    </xf>
    <xf numFmtId="215" fontId="88" fillId="8" borderId="0" xfId="0" applyNumberFormat="1" applyFont="1" applyFill="1" applyAlignment="1">
      <alignment horizontal="center" vertical="center"/>
    </xf>
    <xf numFmtId="0" fontId="68" fillId="8" borderId="94" xfId="0" applyFont="1" applyFill="1" applyBorder="1"/>
    <xf numFmtId="0" fontId="68" fillId="8" borderId="88" xfId="0" applyFont="1" applyFill="1" applyBorder="1"/>
    <xf numFmtId="3" fontId="14" fillId="4" borderId="6" xfId="0" applyNumberFormat="1" applyFont="1" applyFill="1" applyBorder="1" applyAlignment="1">
      <alignment horizontal="center" vertical="center" wrapText="1" shrinkToFit="1"/>
    </xf>
    <xf numFmtId="0" fontId="69" fillId="4" borderId="7" xfId="0" applyFont="1" applyFill="1" applyBorder="1" applyAlignment="1">
      <alignment horizontal="center" vertical="center"/>
    </xf>
    <xf numFmtId="14" fontId="69" fillId="4" borderId="9" xfId="0" applyNumberFormat="1" applyFont="1" applyFill="1" applyBorder="1" applyAlignment="1">
      <alignment horizontal="center" vertical="center"/>
    </xf>
    <xf numFmtId="167" fontId="0" fillId="0" borderId="0" xfId="0" applyNumberFormat="1"/>
    <xf numFmtId="228" fontId="14" fillId="3" borderId="9" xfId="0" applyNumberFormat="1" applyFont="1" applyFill="1" applyBorder="1" applyAlignment="1">
      <alignment horizontal="center" vertical="center" wrapText="1" shrinkToFit="1"/>
    </xf>
    <xf numFmtId="3" fontId="20" fillId="4" borderId="6" xfId="0" applyNumberFormat="1" applyFont="1" applyFill="1" applyBorder="1" applyAlignment="1">
      <alignment horizontal="center" vertical="center" wrapText="1" shrinkToFit="1"/>
    </xf>
    <xf numFmtId="212" fontId="22" fillId="0" borderId="0" xfId="0" applyNumberFormat="1" applyFont="1" applyAlignment="1">
      <alignment horizontal="center" vertical="center" wrapText="1" shrinkToFit="1"/>
    </xf>
    <xf numFmtId="10" fontId="26" fillId="2" borderId="14" xfId="2" applyNumberFormat="1" applyFont="1" applyFill="1" applyBorder="1" applyAlignment="1">
      <alignment horizontal="center" vertical="center" wrapText="1" shrinkToFit="1"/>
    </xf>
    <xf numFmtId="172" fontId="20" fillId="0" borderId="14" xfId="0" applyNumberFormat="1" applyFont="1" applyBorder="1" applyAlignment="1">
      <alignment horizontal="center" vertical="center" wrapText="1" shrinkToFit="1"/>
    </xf>
    <xf numFmtId="172" fontId="20" fillId="3" borderId="14" xfId="0" applyNumberFormat="1" applyFont="1" applyFill="1" applyBorder="1" applyAlignment="1">
      <alignment horizontal="center" vertical="center" wrapText="1" shrinkToFit="1"/>
    </xf>
    <xf numFmtId="172" fontId="20" fillId="3" borderId="12" xfId="0" applyNumberFormat="1" applyFont="1" applyFill="1" applyBorder="1" applyAlignment="1">
      <alignment horizontal="center" vertical="center" wrapText="1" shrinkToFit="1"/>
    </xf>
    <xf numFmtId="10" fontId="15" fillId="2" borderId="11" xfId="2" applyNumberFormat="1" applyFont="1" applyFill="1" applyBorder="1" applyAlignment="1">
      <alignment horizontal="center" vertical="center" wrapText="1" shrinkToFit="1"/>
    </xf>
    <xf numFmtId="229" fontId="20" fillId="0" borderId="0" xfId="2" applyNumberFormat="1" applyFont="1" applyAlignment="1">
      <alignment horizontal="center" vertical="center"/>
    </xf>
    <xf numFmtId="0" fontId="90" fillId="0" borderId="0" xfId="0" applyFont="1" applyAlignment="1">
      <alignment horizontal="center" vertical="center"/>
    </xf>
    <xf numFmtId="9" fontId="20" fillId="0" borderId="0" xfId="2" applyFont="1" applyFill="1" applyBorder="1" applyAlignment="1">
      <alignment horizontal="center" vertical="center" wrapText="1" shrinkToFit="1"/>
    </xf>
    <xf numFmtId="0" fontId="20" fillId="0" borderId="0" xfId="2" applyNumberFormat="1" applyFont="1" applyFill="1" applyBorder="1" applyAlignment="1">
      <alignment horizontal="center" vertical="center" wrapText="1" shrinkToFit="1"/>
    </xf>
    <xf numFmtId="0" fontId="20" fillId="0" borderId="0" xfId="0" applyFont="1" applyAlignment="1">
      <alignment horizontal="center" vertical="center" wrapText="1" shrinkToFit="1"/>
    </xf>
    <xf numFmtId="38" fontId="22" fillId="0" borderId="0" xfId="2" applyNumberFormat="1" applyFont="1" applyAlignment="1">
      <alignment horizontal="center" vertical="center" wrapText="1" shrinkToFit="1"/>
    </xf>
    <xf numFmtId="230" fontId="20" fillId="0" borderId="0" xfId="0" applyNumberFormat="1" applyFont="1" applyAlignment="1">
      <alignment horizontal="center" vertical="center" wrapText="1" shrinkToFit="1"/>
    </xf>
    <xf numFmtId="231" fontId="20" fillId="0" borderId="0" xfId="2" applyNumberFormat="1" applyFont="1" applyFill="1" applyBorder="1" applyAlignment="1">
      <alignment horizontal="center" vertical="center" wrapText="1" shrinkToFit="1"/>
    </xf>
    <xf numFmtId="3" fontId="3" fillId="0" borderId="4" xfId="0" applyNumberFormat="1" applyFont="1" applyBorder="1" applyAlignment="1">
      <alignment horizontal="center" vertical="center" wrapText="1" shrinkToFit="1"/>
    </xf>
    <xf numFmtId="230" fontId="22" fillId="0" borderId="0" xfId="0" applyNumberFormat="1" applyFont="1" applyAlignment="1">
      <alignment horizontal="center" vertical="center" wrapText="1" shrinkToFit="1"/>
    </xf>
    <xf numFmtId="230" fontId="22" fillId="0" borderId="0" xfId="2" applyNumberFormat="1" applyFont="1" applyFill="1" applyAlignment="1">
      <alignment horizontal="center" vertical="center" wrapText="1" shrinkToFit="1"/>
    </xf>
    <xf numFmtId="233" fontId="22" fillId="4" borderId="11" xfId="2" applyNumberFormat="1" applyFont="1" applyFill="1" applyBorder="1" applyAlignment="1">
      <alignment horizontal="center" vertical="center" wrapText="1" shrinkToFit="1"/>
    </xf>
    <xf numFmtId="234" fontId="22" fillId="4" borderId="12" xfId="2" applyNumberFormat="1" applyFont="1" applyFill="1" applyBorder="1" applyAlignment="1">
      <alignment horizontal="center" vertical="center" wrapText="1" shrinkToFit="1"/>
    </xf>
    <xf numFmtId="170" fontId="56" fillId="2" borderId="9" xfId="0" applyNumberFormat="1" applyFont="1" applyFill="1" applyBorder="1" applyAlignment="1">
      <alignment horizontal="center" vertical="center" wrapText="1" shrinkToFit="1"/>
    </xf>
    <xf numFmtId="3" fontId="91" fillId="3" borderId="6" xfId="0" applyNumberFormat="1" applyFont="1" applyFill="1" applyBorder="1" applyAlignment="1">
      <alignment horizontal="center" vertical="center" wrapText="1" shrinkToFit="1"/>
    </xf>
    <xf numFmtId="3" fontId="91" fillId="4" borderId="5" xfId="0" applyNumberFormat="1" applyFont="1" applyFill="1" applyBorder="1" applyAlignment="1">
      <alignment horizontal="center" vertical="center" wrapText="1" shrinkToFit="1"/>
    </xf>
    <xf numFmtId="3" fontId="56" fillId="2" borderId="8" xfId="0" applyNumberFormat="1" applyFont="1" applyFill="1" applyBorder="1" applyAlignment="1">
      <alignment horizontal="center" vertical="center" wrapText="1" shrinkToFit="1"/>
    </xf>
    <xf numFmtId="9" fontId="56" fillId="3" borderId="6" xfId="2" applyFont="1" applyFill="1" applyBorder="1" applyAlignment="1">
      <alignment horizontal="center" vertical="center" wrapText="1" shrinkToFit="1"/>
    </xf>
    <xf numFmtId="181" fontId="51" fillId="2" borderId="8" xfId="0" applyNumberFormat="1" applyFont="1" applyFill="1" applyBorder="1" applyAlignment="1">
      <alignment horizontal="center" vertical="center" wrapText="1" shrinkToFit="1"/>
    </xf>
    <xf numFmtId="3" fontId="51" fillId="2" borderId="8" xfId="0" applyNumberFormat="1" applyFont="1" applyFill="1" applyBorder="1" applyAlignment="1">
      <alignment horizontal="center" vertical="center" wrapText="1" shrinkToFit="1"/>
    </xf>
    <xf numFmtId="212" fontId="23" fillId="0" borderId="0" xfId="0" applyNumberFormat="1" applyFont="1" applyAlignment="1">
      <alignment horizontal="center" vertical="center" wrapText="1" shrinkToFit="1"/>
    </xf>
    <xf numFmtId="10" fontId="25" fillId="0" borderId="0" xfId="2" applyNumberFormat="1" applyFont="1" applyFill="1" applyBorder="1" applyAlignment="1">
      <alignment horizontal="center" vertical="center" wrapText="1" shrinkToFit="1"/>
    </xf>
    <xf numFmtId="10" fontId="93" fillId="4" borderId="5" xfId="0" applyNumberFormat="1" applyFont="1" applyFill="1" applyBorder="1" applyAlignment="1">
      <alignment horizontal="center" vertical="center" wrapText="1" shrinkToFit="1"/>
    </xf>
    <xf numFmtId="235" fontId="20" fillId="4" borderId="5" xfId="0" applyNumberFormat="1" applyFont="1" applyFill="1" applyBorder="1" applyAlignment="1">
      <alignment horizontal="center" vertical="center" wrapText="1" shrinkToFit="1"/>
    </xf>
    <xf numFmtId="3" fontId="20" fillId="4" borderId="4" xfId="0" applyNumberFormat="1" applyFont="1" applyFill="1" applyBorder="1" applyAlignment="1">
      <alignment horizontal="center" vertical="center" wrapText="1" shrinkToFit="1"/>
    </xf>
    <xf numFmtId="0" fontId="34" fillId="6" borderId="99" xfId="0" applyFont="1" applyFill="1" applyBorder="1" applyAlignment="1">
      <alignment vertical="center"/>
    </xf>
    <xf numFmtId="40" fontId="52" fillId="2" borderId="8" xfId="0" applyNumberFormat="1" applyFont="1" applyFill="1" applyBorder="1" applyAlignment="1">
      <alignment horizontal="center" vertical="center" wrapText="1" shrinkToFit="1"/>
    </xf>
    <xf numFmtId="3" fontId="4" fillId="0" borderId="5" xfId="0" applyNumberFormat="1" applyFont="1" applyBorder="1" applyAlignment="1">
      <alignment horizontal="center" vertical="center" shrinkToFit="1"/>
    </xf>
    <xf numFmtId="4" fontId="9" fillId="3" borderId="3" xfId="0" applyNumberFormat="1" applyFont="1" applyFill="1" applyBorder="1" applyAlignment="1">
      <alignment horizontal="center" vertical="center" shrinkToFit="1"/>
    </xf>
    <xf numFmtId="3" fontId="16" fillId="2" borderId="18" xfId="0" applyNumberFormat="1" applyFont="1" applyFill="1" applyBorder="1" applyAlignment="1">
      <alignment horizontal="center" vertical="center" wrapText="1" shrinkToFit="1"/>
    </xf>
    <xf numFmtId="10" fontId="14" fillId="3" borderId="5" xfId="2" applyNumberFormat="1" applyFont="1" applyFill="1" applyBorder="1" applyAlignment="1">
      <alignment horizontal="center" vertical="center" wrapText="1" shrinkToFit="1"/>
    </xf>
    <xf numFmtId="3" fontId="2" fillId="0" borderId="6" xfId="0" applyNumberFormat="1" applyFont="1" applyBorder="1" applyAlignment="1">
      <alignment horizontal="center" vertical="center" wrapText="1" shrinkToFit="1"/>
    </xf>
    <xf numFmtId="3" fontId="2" fillId="3" borderId="6" xfId="0" applyNumberFormat="1" applyFont="1" applyFill="1" applyBorder="1" applyAlignment="1">
      <alignment horizontal="center" vertical="center" wrapText="1" shrinkToFit="1"/>
    </xf>
    <xf numFmtId="3" fontId="14" fillId="3" borderId="115" xfId="0" applyNumberFormat="1" applyFont="1" applyFill="1" applyBorder="1" applyAlignment="1">
      <alignment horizontal="center" vertical="center" wrapText="1" shrinkToFit="1"/>
    </xf>
    <xf numFmtId="3" fontId="8" fillId="3" borderId="115" xfId="2" applyNumberFormat="1" applyFont="1" applyFill="1" applyBorder="1" applyAlignment="1">
      <alignment horizontal="center" vertical="center" wrapText="1" shrinkToFit="1"/>
    </xf>
    <xf numFmtId="3" fontId="9" fillId="3" borderId="115" xfId="2" applyNumberFormat="1" applyFont="1" applyFill="1" applyBorder="1" applyAlignment="1">
      <alignment horizontal="center" vertical="center" wrapText="1" shrinkToFit="1"/>
    </xf>
    <xf numFmtId="236" fontId="2" fillId="3" borderId="118" xfId="0" applyNumberFormat="1" applyFont="1" applyFill="1" applyBorder="1" applyAlignment="1">
      <alignment horizontal="center" vertical="center" wrapText="1" shrinkToFit="1"/>
    </xf>
    <xf numFmtId="3" fontId="12" fillId="3" borderId="115" xfId="0" applyNumberFormat="1" applyFont="1" applyFill="1" applyBorder="1" applyAlignment="1">
      <alignment horizontal="center" vertical="center" wrapText="1" shrinkToFit="1"/>
    </xf>
    <xf numFmtId="3" fontId="14" fillId="4" borderId="115" xfId="0" applyNumberFormat="1" applyFont="1" applyFill="1" applyBorder="1" applyAlignment="1">
      <alignment horizontal="center" vertical="center" wrapText="1" shrinkToFit="1"/>
    </xf>
    <xf numFmtId="9" fontId="14" fillId="3" borderId="115" xfId="2" applyFont="1" applyFill="1" applyBorder="1" applyAlignment="1">
      <alignment horizontal="center" vertical="center" wrapText="1" shrinkToFit="1"/>
    </xf>
    <xf numFmtId="3" fontId="57" fillId="0" borderId="8" xfId="0" applyNumberFormat="1" applyFont="1" applyBorder="1" applyAlignment="1">
      <alignment horizontal="center" vertical="center" wrapText="1" shrinkToFit="1"/>
    </xf>
    <xf numFmtId="10" fontId="14" fillId="0" borderId="21" xfId="2" applyNumberFormat="1" applyFont="1" applyBorder="1" applyAlignment="1">
      <alignment horizontal="center" vertical="center" wrapText="1" shrinkToFit="1"/>
    </xf>
    <xf numFmtId="10" fontId="14" fillId="3" borderId="21" xfId="2" applyNumberFormat="1" applyFont="1" applyFill="1" applyBorder="1" applyAlignment="1">
      <alignment horizontal="center" vertical="center" wrapText="1" shrinkToFit="1"/>
    </xf>
    <xf numFmtId="10" fontId="14" fillId="0" borderId="29" xfId="2" applyNumberFormat="1" applyFont="1" applyBorder="1" applyAlignment="1">
      <alignment horizontal="center" vertical="center" wrapText="1" shrinkToFit="1"/>
    </xf>
    <xf numFmtId="10" fontId="14" fillId="0" borderId="21" xfId="2" applyNumberFormat="1" applyFont="1" applyFill="1" applyBorder="1" applyAlignment="1">
      <alignment horizontal="center" vertical="center" wrapText="1" shrinkToFit="1"/>
    </xf>
    <xf numFmtId="211" fontId="9" fillId="0" borderId="29" xfId="2" applyNumberFormat="1" applyFont="1" applyBorder="1" applyAlignment="1">
      <alignment horizontal="center" vertical="center" wrapText="1" shrinkToFit="1"/>
    </xf>
    <xf numFmtId="198" fontId="52" fillId="0" borderId="21" xfId="2" applyNumberFormat="1" applyFont="1" applyFill="1" applyBorder="1" applyAlignment="1">
      <alignment horizontal="center" vertical="center" wrapText="1" shrinkToFit="1"/>
    </xf>
    <xf numFmtId="207" fontId="14" fillId="0" borderId="21" xfId="1" applyNumberFormat="1" applyFont="1" applyBorder="1" applyAlignment="1">
      <alignment horizontal="center" vertical="center" wrapText="1" shrinkToFit="1"/>
    </xf>
    <xf numFmtId="174" fontId="53" fillId="0" borderId="21" xfId="2" applyNumberFormat="1" applyFont="1" applyFill="1" applyBorder="1" applyAlignment="1">
      <alignment horizontal="center" vertical="center" wrapText="1" shrinkToFit="1"/>
    </xf>
    <xf numFmtId="10" fontId="14" fillId="4" borderId="21" xfId="2" applyNumberFormat="1" applyFont="1" applyFill="1" applyBorder="1" applyAlignment="1">
      <alignment horizontal="center" vertical="center" wrapText="1" shrinkToFit="1"/>
    </xf>
    <xf numFmtId="210" fontId="57" fillId="0" borderId="21" xfId="0" applyNumberFormat="1" applyFont="1" applyBorder="1" applyAlignment="1">
      <alignment horizontal="center" vertical="center" wrapText="1" shrinkToFit="1"/>
    </xf>
    <xf numFmtId="208" fontId="14" fillId="3" borderId="29" xfId="2" applyNumberFormat="1" applyFont="1" applyFill="1" applyBorder="1" applyAlignment="1">
      <alignment horizontal="center" vertical="center" wrapText="1" shrinkToFit="1"/>
    </xf>
    <xf numFmtId="3" fontId="51" fillId="0" borderId="21" xfId="0" applyNumberFormat="1" applyFont="1" applyBorder="1" applyAlignment="1">
      <alignment horizontal="center" vertical="center" wrapText="1" shrinkToFit="1"/>
    </xf>
    <xf numFmtId="3" fontId="51" fillId="3" borderId="21" xfId="0" applyNumberFormat="1" applyFont="1" applyFill="1" applyBorder="1" applyAlignment="1">
      <alignment horizontal="center" vertical="center" wrapText="1" shrinkToFit="1"/>
    </xf>
    <xf numFmtId="3" fontId="9" fillId="2" borderId="29" xfId="0" applyNumberFormat="1" applyFont="1" applyFill="1" applyBorder="1" applyAlignment="1">
      <alignment horizontal="center" vertical="center" wrapText="1" shrinkToFit="1"/>
    </xf>
    <xf numFmtId="3" fontId="20" fillId="0" borderId="119" xfId="0" applyNumberFormat="1" applyFont="1" applyBorder="1" applyAlignment="1">
      <alignment horizontal="center" vertical="center" wrapText="1" shrinkToFit="1"/>
    </xf>
    <xf numFmtId="3" fontId="20" fillId="0" borderId="120" xfId="0" applyNumberFormat="1" applyFont="1" applyBorder="1" applyAlignment="1">
      <alignment horizontal="center" vertical="center" wrapText="1" shrinkToFit="1"/>
    </xf>
    <xf numFmtId="3" fontId="16" fillId="2" borderId="15" xfId="0" applyNumberFormat="1" applyFont="1" applyFill="1" applyBorder="1" applyAlignment="1">
      <alignment horizontal="center" vertical="center" wrapText="1" shrinkToFit="1"/>
    </xf>
    <xf numFmtId="3" fontId="16" fillId="2" borderId="123" xfId="0" applyNumberFormat="1" applyFont="1" applyFill="1" applyBorder="1" applyAlignment="1">
      <alignment horizontal="center" vertical="center" wrapText="1" shrinkToFit="1"/>
    </xf>
    <xf numFmtId="3" fontId="2" fillId="3" borderId="23" xfId="0" applyNumberFormat="1" applyFont="1" applyFill="1" applyBorder="1" applyAlignment="1">
      <alignment horizontal="center" vertical="center" wrapText="1" shrinkToFit="1"/>
    </xf>
    <xf numFmtId="3" fontId="14" fillId="3" borderId="36" xfId="0" applyNumberFormat="1" applyFont="1" applyFill="1" applyBorder="1" applyAlignment="1">
      <alignment horizontal="center" vertical="center" wrapText="1" shrinkToFit="1"/>
    </xf>
    <xf numFmtId="3" fontId="9" fillId="3" borderId="118" xfId="0" applyNumberFormat="1" applyFont="1" applyFill="1" applyBorder="1" applyAlignment="1">
      <alignment horizontal="center" vertical="center" wrapText="1" shrinkToFit="1"/>
    </xf>
    <xf numFmtId="3" fontId="14" fillId="3" borderId="118" xfId="0" applyNumberFormat="1" applyFont="1" applyFill="1" applyBorder="1" applyAlignment="1">
      <alignment horizontal="center" vertical="center" wrapText="1" shrinkToFit="1"/>
    </xf>
    <xf numFmtId="3" fontId="14" fillId="0" borderId="1" xfId="0" applyNumberFormat="1" applyFont="1" applyBorder="1" applyAlignment="1">
      <alignment horizontal="center" vertical="center" wrapText="1" shrinkToFit="1"/>
    </xf>
    <xf numFmtId="38" fontId="44" fillId="8" borderId="0" xfId="0" applyNumberFormat="1" applyFont="1" applyFill="1" applyAlignment="1">
      <alignment horizontal="center" vertical="center"/>
    </xf>
    <xf numFmtId="38" fontId="44" fillId="8" borderId="87" xfId="0" applyNumberFormat="1" applyFont="1" applyFill="1" applyBorder="1" applyAlignment="1">
      <alignment horizontal="center" vertical="center"/>
    </xf>
    <xf numFmtId="38" fontId="20" fillId="0" borderId="5" xfId="0" applyNumberFormat="1" applyFont="1" applyBorder="1" applyAlignment="1">
      <alignment horizontal="center" vertical="center" wrapText="1" shrinkToFit="1"/>
    </xf>
    <xf numFmtId="38" fontId="20" fillId="4" borderId="5" xfId="0" applyNumberFormat="1" applyFont="1" applyFill="1" applyBorder="1" applyAlignment="1">
      <alignment horizontal="center" vertical="center" wrapText="1" shrinkToFit="1"/>
    </xf>
    <xf numFmtId="178" fontId="22" fillId="0" borderId="5" xfId="2" applyNumberFormat="1" applyFont="1" applyFill="1" applyBorder="1" applyAlignment="1">
      <alignment horizontal="center" vertical="center" wrapText="1" shrinkToFit="1"/>
    </xf>
    <xf numFmtId="9" fontId="20" fillId="0" borderId="0" xfId="2" applyFont="1" applyBorder="1" applyAlignment="1">
      <alignment horizontal="center" vertical="center" wrapText="1" shrinkToFit="1"/>
    </xf>
    <xf numFmtId="3" fontId="97" fillId="0" borderId="100" xfId="0" applyNumberFormat="1" applyFont="1" applyBorder="1" applyAlignment="1">
      <alignment horizontal="center" vertical="center" wrapText="1" shrinkToFit="1"/>
    </xf>
    <xf numFmtId="3" fontId="82" fillId="0" borderId="101" xfId="0" applyNumberFormat="1" applyFont="1" applyBorder="1" applyAlignment="1">
      <alignment horizontal="center" vertical="center" wrapText="1" shrinkToFit="1"/>
    </xf>
    <xf numFmtId="3" fontId="97" fillId="0" borderId="102" xfId="0" applyNumberFormat="1" applyFont="1" applyBorder="1" applyAlignment="1">
      <alignment horizontal="center" vertical="center" wrapText="1" shrinkToFit="1"/>
    </xf>
    <xf numFmtId="3" fontId="82" fillId="0" borderId="103" xfId="0" applyNumberFormat="1" applyFont="1" applyBorder="1" applyAlignment="1">
      <alignment horizontal="center" vertical="center" wrapText="1" shrinkToFit="1"/>
    </xf>
    <xf numFmtId="3" fontId="97" fillId="0" borderId="104" xfId="0" applyNumberFormat="1" applyFont="1" applyBorder="1" applyAlignment="1">
      <alignment horizontal="center" vertical="center" wrapText="1" shrinkToFit="1"/>
    </xf>
    <xf numFmtId="3" fontId="82" fillId="0" borderId="105" xfId="0" applyNumberFormat="1" applyFont="1" applyBorder="1" applyAlignment="1">
      <alignment horizontal="center" vertical="center" wrapText="1" shrinkToFit="1"/>
    </xf>
    <xf numFmtId="37" fontId="82" fillId="0" borderId="99" xfId="0" applyNumberFormat="1" applyFont="1" applyBorder="1" applyAlignment="1">
      <alignment horizontal="center" vertical="center" wrapText="1" shrinkToFit="1"/>
    </xf>
    <xf numFmtId="0" fontId="98" fillId="0" borderId="99" xfId="0" applyFont="1" applyBorder="1" applyAlignment="1">
      <alignment horizontal="center" vertical="center"/>
    </xf>
    <xf numFmtId="3" fontId="98" fillId="0" borderId="99" xfId="0" applyNumberFormat="1" applyFont="1" applyBorder="1" applyAlignment="1">
      <alignment horizontal="center" vertical="center"/>
    </xf>
    <xf numFmtId="9" fontId="98" fillId="0" borderId="99" xfId="2" applyFont="1" applyFill="1" applyBorder="1" applyAlignment="1">
      <alignment horizontal="center" vertical="center"/>
    </xf>
    <xf numFmtId="0" fontId="99" fillId="0" borderId="99" xfId="0" applyFont="1" applyBorder="1" applyAlignment="1">
      <alignment horizontal="center" vertical="center"/>
    </xf>
    <xf numFmtId="38" fontId="78" fillId="8" borderId="81" xfId="0" applyNumberFormat="1" applyFont="1" applyFill="1" applyBorder="1" applyAlignment="1">
      <alignment horizontal="center" vertical="center" wrapText="1" shrinkToFit="1"/>
    </xf>
    <xf numFmtId="38" fontId="78" fillId="8" borderId="82" xfId="0" applyNumberFormat="1" applyFont="1" applyFill="1" applyBorder="1" applyAlignment="1">
      <alignment horizontal="center" vertical="center" wrapText="1" shrinkToFit="1"/>
    </xf>
    <xf numFmtId="38" fontId="38" fillId="8" borderId="83" xfId="0" applyNumberFormat="1" applyFont="1" applyFill="1" applyBorder="1" applyAlignment="1">
      <alignment horizontal="right" vertical="center"/>
    </xf>
    <xf numFmtId="9" fontId="20" fillId="0" borderId="0" xfId="2" applyFont="1" applyFill="1" applyAlignment="1">
      <alignment horizontal="center" vertical="center" wrapText="1" shrinkToFit="1"/>
    </xf>
    <xf numFmtId="43" fontId="20" fillId="0" borderId="0" xfId="1" applyFont="1" applyFill="1" applyAlignment="1">
      <alignment horizontal="center" vertical="center" wrapText="1" shrinkToFit="1"/>
    </xf>
    <xf numFmtId="0" fontId="100" fillId="0" borderId="0" xfId="0" applyFont="1" applyAlignment="1">
      <alignment horizontal="center" vertical="center"/>
    </xf>
    <xf numFmtId="3" fontId="13" fillId="0" borderId="0" xfId="0" applyNumberFormat="1" applyFont="1" applyAlignment="1">
      <alignment horizontal="center" vertical="center" wrapText="1" shrinkToFit="1"/>
    </xf>
    <xf numFmtId="9" fontId="51" fillId="0" borderId="0" xfId="2" applyFont="1" applyFill="1" applyBorder="1" applyAlignment="1">
      <alignment horizontal="center" vertical="center" wrapText="1" shrinkToFit="1"/>
    </xf>
    <xf numFmtId="38" fontId="51" fillId="0" borderId="0" xfId="0" applyNumberFormat="1" applyFont="1" applyAlignment="1">
      <alignment horizontal="center" vertical="center" wrapText="1" shrinkToFit="1"/>
    </xf>
    <xf numFmtId="214" fontId="20" fillId="0" borderId="0" xfId="0" applyNumberFormat="1" applyFont="1" applyAlignment="1">
      <alignment horizontal="center" vertical="center" wrapText="1" shrinkToFit="1"/>
    </xf>
    <xf numFmtId="237" fontId="20" fillId="0" borderId="0" xfId="0" applyNumberFormat="1" applyFont="1" applyAlignment="1">
      <alignment horizontal="center" vertical="center" wrapText="1" shrinkToFit="1"/>
    </xf>
    <xf numFmtId="238" fontId="20" fillId="0" borderId="0" xfId="0" applyNumberFormat="1" applyFont="1" applyAlignment="1">
      <alignment horizontal="center" vertical="center" wrapText="1" shrinkToFit="1"/>
    </xf>
    <xf numFmtId="0" fontId="16" fillId="2" borderId="43" xfId="0" applyFont="1" applyFill="1" applyBorder="1" applyAlignment="1">
      <alignment horizontal="center" vertical="center" wrapText="1"/>
    </xf>
    <xf numFmtId="0" fontId="16" fillId="2" borderId="44" xfId="0" applyFont="1" applyFill="1" applyBorder="1" applyAlignment="1">
      <alignment horizontal="center" vertical="center" wrapText="1"/>
    </xf>
    <xf numFmtId="0" fontId="16" fillId="2" borderId="0" xfId="0" applyFont="1" applyFill="1" applyAlignment="1">
      <alignment horizontal="center" vertical="center" wrapText="1"/>
    </xf>
    <xf numFmtId="0" fontId="16" fillId="2" borderId="46" xfId="0" applyFont="1" applyFill="1" applyBorder="1" applyAlignment="1">
      <alignment horizontal="center" vertical="center" wrapText="1"/>
    </xf>
    <xf numFmtId="0" fontId="54" fillId="2" borderId="45" xfId="0" applyFont="1" applyFill="1" applyBorder="1" applyAlignment="1">
      <alignment horizontal="center" vertical="center" wrapText="1"/>
    </xf>
    <xf numFmtId="0" fontId="54" fillId="2" borderId="0" xfId="0" applyFont="1" applyFill="1" applyAlignment="1">
      <alignment horizontal="center" vertical="center" wrapText="1"/>
    </xf>
    <xf numFmtId="0" fontId="89" fillId="2" borderId="0" xfId="3" applyFont="1" applyFill="1" applyBorder="1" applyAlignment="1">
      <alignment horizontal="center" vertical="center"/>
    </xf>
    <xf numFmtId="0" fontId="54" fillId="2" borderId="45" xfId="4" applyFont="1" applyFill="1" applyBorder="1" applyAlignment="1">
      <alignment horizontal="center" vertical="center" wrapText="1"/>
    </xf>
    <xf numFmtId="0" fontId="54" fillId="2" borderId="0" xfId="4" applyFont="1" applyFill="1" applyAlignment="1">
      <alignment horizontal="center" vertical="center" wrapText="1"/>
    </xf>
    <xf numFmtId="215" fontId="54" fillId="2" borderId="0" xfId="4" applyNumberFormat="1" applyFont="1" applyFill="1" applyAlignment="1">
      <alignment horizontal="center" vertical="center" wrapText="1"/>
    </xf>
    <xf numFmtId="3" fontId="75" fillId="0" borderId="24" xfId="0" applyNumberFormat="1" applyFont="1" applyBorder="1" applyAlignment="1">
      <alignment horizontal="center" vertical="center" wrapText="1" shrinkToFit="1"/>
    </xf>
    <xf numFmtId="3" fontId="75" fillId="0" borderId="26" xfId="0" applyNumberFormat="1" applyFont="1" applyBorder="1" applyAlignment="1">
      <alignment horizontal="center" vertical="center" wrapText="1" shrinkToFit="1"/>
    </xf>
    <xf numFmtId="0" fontId="16" fillId="2" borderId="52" xfId="0" applyFont="1" applyFill="1" applyBorder="1" applyAlignment="1">
      <alignment horizontal="center" vertical="center"/>
    </xf>
    <xf numFmtId="0" fontId="16" fillId="2" borderId="30" xfId="0" applyFont="1" applyFill="1" applyBorder="1" applyAlignment="1">
      <alignment horizontal="center" vertical="center"/>
    </xf>
    <xf numFmtId="3" fontId="14" fillId="3" borderId="31" xfId="0" applyNumberFormat="1" applyFont="1" applyFill="1" applyBorder="1" applyAlignment="1">
      <alignment horizontal="center" vertical="center" wrapText="1" shrinkToFit="1"/>
    </xf>
    <xf numFmtId="3" fontId="14" fillId="3" borderId="32" xfId="0" applyNumberFormat="1" applyFont="1" applyFill="1" applyBorder="1" applyAlignment="1">
      <alignment horizontal="center" vertical="center" wrapText="1" shrinkToFit="1"/>
    </xf>
    <xf numFmtId="0" fontId="20" fillId="0" borderId="38" xfId="0" applyFont="1" applyBorder="1" applyAlignment="1">
      <alignment horizontal="center" vertical="center"/>
    </xf>
    <xf numFmtId="0" fontId="20" fillId="0" borderId="53" xfId="0" applyFont="1" applyBorder="1" applyAlignment="1">
      <alignment horizontal="center" vertical="center"/>
    </xf>
    <xf numFmtId="3" fontId="54" fillId="2" borderId="34" xfId="0" applyNumberFormat="1" applyFont="1" applyFill="1" applyBorder="1" applyAlignment="1">
      <alignment horizontal="center" vertical="center" wrapText="1" shrinkToFit="1"/>
    </xf>
    <xf numFmtId="3" fontId="54" fillId="2" borderId="27" xfId="0" applyNumberFormat="1" applyFont="1" applyFill="1" applyBorder="1" applyAlignment="1">
      <alignment horizontal="center" vertical="center" wrapText="1" shrinkToFit="1"/>
    </xf>
    <xf numFmtId="3" fontId="54" fillId="2" borderId="28" xfId="0" applyNumberFormat="1" applyFont="1" applyFill="1" applyBorder="1" applyAlignment="1">
      <alignment horizontal="center" vertical="center" wrapText="1" shrinkToFit="1"/>
    </xf>
    <xf numFmtId="3" fontId="54" fillId="2" borderId="22" xfId="0" applyNumberFormat="1" applyFont="1" applyFill="1" applyBorder="1" applyAlignment="1">
      <alignment horizontal="center" vertical="center" wrapText="1" shrinkToFit="1"/>
    </xf>
    <xf numFmtId="3" fontId="9" fillId="0" borderId="68" xfId="0" applyNumberFormat="1" applyFont="1" applyBorder="1" applyAlignment="1">
      <alignment horizontal="center" vertical="center" wrapText="1" shrinkToFit="1"/>
    </xf>
    <xf numFmtId="3" fontId="9" fillId="0" borderId="67" xfId="0" applyNumberFormat="1" applyFont="1" applyBorder="1" applyAlignment="1">
      <alignment horizontal="center" vertical="center" wrapText="1" shrinkToFit="1"/>
    </xf>
    <xf numFmtId="3" fontId="20" fillId="0" borderId="15" xfId="0" applyNumberFormat="1" applyFont="1" applyBorder="1" applyAlignment="1">
      <alignment horizontal="center" vertical="center" wrapText="1" shrinkToFit="1"/>
    </xf>
    <xf numFmtId="3" fontId="20" fillId="0" borderId="5" xfId="0" applyNumberFormat="1" applyFont="1" applyBorder="1" applyAlignment="1">
      <alignment horizontal="center" vertical="center" wrapText="1" shrinkToFit="1"/>
    </xf>
    <xf numFmtId="3" fontId="20" fillId="4" borderId="15" xfId="0" applyNumberFormat="1" applyFont="1" applyFill="1" applyBorder="1" applyAlignment="1">
      <alignment horizontal="center" vertical="center" wrapText="1" shrinkToFit="1"/>
    </xf>
    <xf numFmtId="3" fontId="20" fillId="4" borderId="5" xfId="0" applyNumberFormat="1" applyFont="1" applyFill="1" applyBorder="1" applyAlignment="1">
      <alignment horizontal="center" vertical="center" wrapText="1" shrinkToFit="1"/>
    </xf>
    <xf numFmtId="3" fontId="20" fillId="0" borderId="18" xfId="0" applyNumberFormat="1" applyFont="1" applyBorder="1" applyAlignment="1">
      <alignment horizontal="center" vertical="center" wrapText="1" shrinkToFit="1"/>
    </xf>
    <xf numFmtId="3" fontId="20" fillId="0" borderId="4" xfId="0" applyNumberFormat="1" applyFont="1" applyBorder="1" applyAlignment="1">
      <alignment horizontal="center" vertical="center" wrapText="1" shrinkToFit="1"/>
    </xf>
    <xf numFmtId="0" fontId="54" fillId="2" borderId="1" xfId="0" applyFont="1" applyFill="1" applyBorder="1" applyAlignment="1">
      <alignment horizontal="center" vertical="center" wrapText="1" shrinkToFit="1"/>
    </xf>
    <xf numFmtId="0" fontId="54" fillId="2" borderId="3" xfId="0" applyFont="1" applyFill="1" applyBorder="1" applyAlignment="1">
      <alignment horizontal="center" vertical="center" wrapText="1" shrinkToFit="1"/>
    </xf>
    <xf numFmtId="0" fontId="54" fillId="2" borderId="4" xfId="0" applyFont="1" applyFill="1" applyBorder="1" applyAlignment="1">
      <alignment horizontal="center" vertical="center" wrapText="1" shrinkToFit="1"/>
    </xf>
    <xf numFmtId="0" fontId="54" fillId="2" borderId="6" xfId="0" applyFont="1" applyFill="1" applyBorder="1" applyAlignment="1">
      <alignment horizontal="center" vertical="center" wrapText="1" shrinkToFit="1"/>
    </xf>
    <xf numFmtId="3" fontId="20" fillId="0" borderId="33" xfId="0" applyNumberFormat="1" applyFont="1" applyBorder="1" applyAlignment="1">
      <alignment horizontal="center" vertical="center" wrapText="1" shrinkToFit="1"/>
    </xf>
    <xf numFmtId="38" fontId="51" fillId="0" borderId="13" xfId="1" applyNumberFormat="1" applyFont="1" applyFill="1" applyBorder="1" applyAlignment="1">
      <alignment horizontal="center" vertical="center" wrapText="1" shrinkToFit="1"/>
    </xf>
    <xf numFmtId="38" fontId="51" fillId="0" borderId="63" xfId="1" applyNumberFormat="1" applyFont="1" applyFill="1" applyBorder="1" applyAlignment="1">
      <alignment horizontal="center" vertical="center" wrapText="1" shrinkToFit="1"/>
    </xf>
    <xf numFmtId="38" fontId="20" fillId="3" borderId="13" xfId="1" applyNumberFormat="1" applyFont="1" applyFill="1" applyBorder="1" applyAlignment="1">
      <alignment horizontal="center" vertical="center" wrapText="1" shrinkToFit="1"/>
    </xf>
    <xf numFmtId="38" fontId="20" fillId="3" borderId="15" xfId="1" applyNumberFormat="1" applyFont="1" applyFill="1" applyBorder="1" applyAlignment="1">
      <alignment horizontal="center" vertical="center" wrapText="1" shrinkToFit="1"/>
    </xf>
    <xf numFmtId="38" fontId="20" fillId="0" borderId="13" xfId="1" applyNumberFormat="1" applyFont="1" applyFill="1" applyBorder="1" applyAlignment="1">
      <alignment horizontal="center" vertical="center" wrapText="1" shrinkToFit="1"/>
    </xf>
    <xf numFmtId="38" fontId="20" fillId="0" borderId="15" xfId="1" applyNumberFormat="1" applyFont="1" applyFill="1" applyBorder="1" applyAlignment="1">
      <alignment horizontal="center" vertical="center" wrapText="1" shrinkToFit="1"/>
    </xf>
    <xf numFmtId="3" fontId="20" fillId="0" borderId="19" xfId="0" applyNumberFormat="1" applyFont="1" applyBorder="1" applyAlignment="1">
      <alignment horizontal="center" vertical="center" wrapText="1" shrinkToFit="1"/>
    </xf>
    <xf numFmtId="3" fontId="20" fillId="0" borderId="32" xfId="0" applyNumberFormat="1" applyFont="1" applyBorder="1" applyAlignment="1">
      <alignment horizontal="center" vertical="center" wrapText="1" shrinkToFit="1"/>
    </xf>
    <xf numFmtId="3" fontId="20" fillId="0" borderId="6" xfId="0" applyNumberFormat="1" applyFont="1" applyBorder="1" applyAlignment="1">
      <alignment horizontal="center" vertical="center" wrapText="1" shrinkToFit="1"/>
    </xf>
    <xf numFmtId="3" fontId="20" fillId="4" borderId="13" xfId="0" applyNumberFormat="1" applyFont="1" applyFill="1" applyBorder="1" applyAlignment="1">
      <alignment horizontal="center" vertical="center" wrapText="1" shrinkToFit="1"/>
    </xf>
    <xf numFmtId="9" fontId="20" fillId="3" borderId="13" xfId="2" applyFont="1" applyFill="1" applyBorder="1" applyAlignment="1">
      <alignment horizontal="center" vertical="center" wrapText="1" shrinkToFit="1"/>
    </xf>
    <xf numFmtId="9" fontId="20" fillId="3" borderId="15" xfId="2" applyFont="1" applyFill="1" applyBorder="1" applyAlignment="1">
      <alignment horizontal="center" vertical="center" wrapText="1" shrinkToFit="1"/>
    </xf>
    <xf numFmtId="9" fontId="20" fillId="0" borderId="13" xfId="2" applyFont="1" applyFill="1" applyBorder="1" applyAlignment="1">
      <alignment horizontal="center" vertical="center" wrapText="1" shrinkToFit="1"/>
    </xf>
    <xf numFmtId="9" fontId="20" fillId="0" borderId="15" xfId="2" applyFont="1" applyFill="1" applyBorder="1" applyAlignment="1">
      <alignment horizontal="center" vertical="center" wrapText="1" shrinkToFit="1"/>
    </xf>
    <xf numFmtId="3" fontId="59" fillId="2" borderId="1" xfId="0" applyNumberFormat="1" applyFont="1" applyFill="1" applyBorder="1" applyAlignment="1">
      <alignment horizontal="center" vertical="center" wrapText="1" shrinkToFit="1"/>
    </xf>
    <xf numFmtId="3" fontId="59" fillId="2" borderId="2" xfId="0" applyNumberFormat="1" applyFont="1" applyFill="1" applyBorder="1" applyAlignment="1">
      <alignment horizontal="center" vertical="center" wrapText="1" shrinkToFit="1"/>
    </xf>
    <xf numFmtId="3" fontId="59" fillId="2" borderId="3" xfId="0" applyNumberFormat="1" applyFont="1" applyFill="1" applyBorder="1" applyAlignment="1">
      <alignment horizontal="center" vertical="center" wrapText="1" shrinkToFit="1"/>
    </xf>
    <xf numFmtId="3" fontId="59" fillId="2" borderId="4" xfId="0" applyNumberFormat="1" applyFont="1" applyFill="1" applyBorder="1" applyAlignment="1">
      <alignment horizontal="center" vertical="center" wrapText="1" shrinkToFit="1"/>
    </xf>
    <xf numFmtId="3" fontId="59" fillId="2" borderId="5" xfId="0" applyNumberFormat="1" applyFont="1" applyFill="1" applyBorder="1" applyAlignment="1">
      <alignment horizontal="center" vertical="center" wrapText="1" shrinkToFit="1"/>
    </xf>
    <xf numFmtId="3" fontId="59" fillId="2" borderId="6" xfId="0" applyNumberFormat="1" applyFont="1" applyFill="1" applyBorder="1" applyAlignment="1">
      <alignment horizontal="center" vertical="center" wrapText="1" shrinkToFit="1"/>
    </xf>
    <xf numFmtId="3" fontId="20" fillId="4" borderId="21" xfId="0" applyNumberFormat="1" applyFont="1" applyFill="1" applyBorder="1" applyAlignment="1">
      <alignment horizontal="center" vertical="center" wrapText="1" shrinkToFit="1"/>
    </xf>
    <xf numFmtId="3" fontId="20" fillId="4" borderId="115" xfId="0" applyNumberFormat="1" applyFont="1" applyFill="1" applyBorder="1" applyAlignment="1">
      <alignment horizontal="center" vertical="center" wrapText="1" shrinkToFit="1"/>
    </xf>
    <xf numFmtId="49" fontId="20" fillId="3" borderId="4" xfId="0" applyNumberFormat="1" applyFont="1" applyFill="1" applyBorder="1" applyAlignment="1">
      <alignment horizontal="center" vertical="center" wrapText="1" shrinkToFit="1"/>
    </xf>
    <xf numFmtId="49" fontId="20" fillId="3" borderId="5" xfId="0" applyNumberFormat="1" applyFont="1" applyFill="1" applyBorder="1" applyAlignment="1">
      <alignment horizontal="center" vertical="center" wrapText="1" shrinkToFit="1"/>
    </xf>
    <xf numFmtId="49" fontId="20" fillId="3" borderId="67" xfId="0" applyNumberFormat="1" applyFont="1" applyFill="1" applyBorder="1" applyAlignment="1">
      <alignment horizontal="center" vertical="center" wrapText="1" shrinkToFit="1"/>
    </xf>
    <xf numFmtId="10" fontId="20" fillId="3" borderId="32" xfId="0" applyNumberFormat="1" applyFont="1" applyFill="1" applyBorder="1" applyAlignment="1">
      <alignment horizontal="center" vertical="center" wrapText="1" shrinkToFit="1"/>
    </xf>
    <xf numFmtId="10" fontId="20" fillId="3" borderId="5" xfId="0" applyNumberFormat="1" applyFont="1" applyFill="1" applyBorder="1" applyAlignment="1">
      <alignment horizontal="center" vertical="center" wrapText="1" shrinkToFit="1"/>
    </xf>
    <xf numFmtId="38" fontId="20" fillId="3" borderId="5" xfId="1" applyNumberFormat="1" applyFont="1" applyFill="1" applyBorder="1" applyAlignment="1">
      <alignment horizontal="center" vertical="center" wrapText="1" shrinkToFit="1"/>
    </xf>
    <xf numFmtId="38" fontId="20" fillId="3" borderId="8" xfId="1" applyNumberFormat="1" applyFont="1" applyFill="1" applyBorder="1" applyAlignment="1">
      <alignment horizontal="center" vertical="center" wrapText="1" shrinkToFit="1"/>
    </xf>
    <xf numFmtId="10" fontId="9" fillId="0" borderId="32" xfId="2" applyNumberFormat="1" applyFont="1" applyFill="1" applyBorder="1" applyAlignment="1">
      <alignment horizontal="center" vertical="center" wrapText="1" shrinkToFit="1"/>
    </xf>
    <xf numFmtId="3" fontId="16" fillId="2" borderId="1" xfId="0" applyNumberFormat="1" applyFont="1" applyFill="1" applyBorder="1" applyAlignment="1">
      <alignment horizontal="center" vertical="center" wrapText="1" shrinkToFit="1"/>
    </xf>
    <xf numFmtId="3" fontId="16" fillId="2" borderId="2" xfId="0" applyNumberFormat="1" applyFont="1" applyFill="1" applyBorder="1" applyAlignment="1">
      <alignment horizontal="center" vertical="center" wrapText="1" shrinkToFit="1"/>
    </xf>
    <xf numFmtId="3" fontId="16" fillId="2" borderId="3" xfId="0" applyNumberFormat="1" applyFont="1" applyFill="1" applyBorder="1" applyAlignment="1">
      <alignment horizontal="center" vertical="center" wrapText="1" shrinkToFit="1"/>
    </xf>
    <xf numFmtId="38" fontId="20" fillId="0" borderId="2" xfId="1" applyNumberFormat="1" applyFont="1" applyFill="1" applyBorder="1" applyAlignment="1">
      <alignment horizontal="center" vertical="center" wrapText="1" shrinkToFit="1"/>
    </xf>
    <xf numFmtId="38" fontId="20" fillId="0" borderId="5" xfId="1" applyNumberFormat="1" applyFont="1" applyFill="1" applyBorder="1" applyAlignment="1">
      <alignment horizontal="center" vertical="center" wrapText="1" shrinkToFit="1"/>
    </xf>
    <xf numFmtId="3" fontId="24" fillId="0" borderId="5" xfId="0" applyNumberFormat="1" applyFont="1" applyBorder="1" applyAlignment="1">
      <alignment horizontal="center" vertical="center" wrapText="1" shrinkToFit="1"/>
    </xf>
    <xf numFmtId="3" fontId="24" fillId="0" borderId="6" xfId="0" applyNumberFormat="1" applyFont="1" applyBorder="1" applyAlignment="1">
      <alignment horizontal="center" vertical="center" wrapText="1" shrinkToFit="1"/>
    </xf>
    <xf numFmtId="3" fontId="16" fillId="2" borderId="4" xfId="0" applyNumberFormat="1" applyFont="1" applyFill="1" applyBorder="1" applyAlignment="1">
      <alignment horizontal="center" vertical="center" wrapText="1" shrinkToFit="1"/>
    </xf>
    <xf numFmtId="3" fontId="20" fillId="3" borderId="4" xfId="0" applyNumberFormat="1" applyFont="1" applyFill="1" applyBorder="1" applyAlignment="1">
      <alignment horizontal="center" vertical="center" wrapText="1" shrinkToFit="1"/>
    </xf>
    <xf numFmtId="3" fontId="20" fillId="3" borderId="5" xfId="0" applyNumberFormat="1" applyFont="1" applyFill="1" applyBorder="1" applyAlignment="1">
      <alignment horizontal="center" vertical="center" wrapText="1" shrinkToFit="1"/>
    </xf>
    <xf numFmtId="3" fontId="20" fillId="3" borderId="67" xfId="0" applyNumberFormat="1" applyFont="1" applyFill="1" applyBorder="1" applyAlignment="1">
      <alignment horizontal="center" vertical="center" wrapText="1" shrinkToFit="1"/>
    </xf>
    <xf numFmtId="0" fontId="16" fillId="2" borderId="1" xfId="0" applyFont="1" applyFill="1" applyBorder="1" applyAlignment="1">
      <alignment horizontal="center" vertical="center" wrapText="1" shrinkToFit="1"/>
    </xf>
    <xf numFmtId="0" fontId="16" fillId="2" borderId="2" xfId="0" applyFont="1" applyFill="1" applyBorder="1" applyAlignment="1">
      <alignment horizontal="center" vertical="center" wrapText="1" shrinkToFit="1"/>
    </xf>
    <xf numFmtId="0" fontId="16" fillId="2" borderId="3" xfId="0" applyFont="1" applyFill="1" applyBorder="1" applyAlignment="1">
      <alignment horizontal="center" vertical="center" wrapText="1" shrinkToFit="1"/>
    </xf>
    <xf numFmtId="3" fontId="20" fillId="3" borderId="6" xfId="0" applyNumberFormat="1" applyFont="1" applyFill="1" applyBorder="1" applyAlignment="1">
      <alignment horizontal="center" vertical="center" wrapText="1" shrinkToFit="1"/>
    </xf>
    <xf numFmtId="3" fontId="51" fillId="3" borderId="13" xfId="0" applyNumberFormat="1" applyFont="1" applyFill="1" applyBorder="1" applyAlignment="1">
      <alignment horizontal="center" vertical="center" wrapText="1" shrinkToFit="1"/>
    </xf>
    <xf numFmtId="3" fontId="51" fillId="3" borderId="17" xfId="0" applyNumberFormat="1" applyFont="1" applyFill="1" applyBorder="1" applyAlignment="1">
      <alignment horizontal="center" vertical="center" wrapText="1" shrinkToFit="1"/>
    </xf>
    <xf numFmtId="3" fontId="28" fillId="0" borderId="5" xfId="0" applyNumberFormat="1" applyFont="1" applyBorder="1" applyAlignment="1">
      <alignment horizontal="center" vertical="center" wrapText="1" shrinkToFit="1"/>
    </xf>
    <xf numFmtId="0" fontId="15" fillId="2" borderId="1" xfId="0" applyFont="1" applyFill="1" applyBorder="1" applyAlignment="1">
      <alignment horizontal="center" vertical="center" shrinkToFit="1"/>
    </xf>
    <xf numFmtId="0" fontId="15" fillId="2" borderId="2" xfId="0" applyFont="1" applyFill="1" applyBorder="1" applyAlignment="1">
      <alignment horizontal="center" vertical="center" shrinkToFit="1"/>
    </xf>
    <xf numFmtId="0" fontId="15" fillId="2" borderId="3" xfId="0" applyFont="1" applyFill="1" applyBorder="1" applyAlignment="1">
      <alignment horizontal="center" vertical="center" shrinkToFit="1"/>
    </xf>
    <xf numFmtId="38" fontId="20" fillId="0" borderId="8" xfId="1" applyNumberFormat="1" applyFont="1" applyFill="1" applyBorder="1" applyAlignment="1">
      <alignment horizontal="center" vertical="center" wrapText="1" shrinkToFit="1"/>
    </xf>
    <xf numFmtId="10" fontId="9" fillId="0" borderId="5" xfId="2" applyNumberFormat="1" applyFont="1" applyFill="1" applyBorder="1" applyAlignment="1">
      <alignment horizontal="center" vertical="center" wrapText="1" shrinkToFit="1"/>
    </xf>
    <xf numFmtId="38" fontId="51" fillId="0" borderId="17" xfId="1" applyNumberFormat="1" applyFont="1" applyFill="1" applyBorder="1" applyAlignment="1">
      <alignment horizontal="center" vertical="center" wrapText="1" shrinkToFit="1"/>
    </xf>
    <xf numFmtId="38" fontId="51" fillId="0" borderId="65" xfId="1" applyNumberFormat="1" applyFont="1" applyFill="1" applyBorder="1" applyAlignment="1">
      <alignment horizontal="center" vertical="center" wrapText="1" shrinkToFit="1"/>
    </xf>
    <xf numFmtId="38" fontId="20" fillId="3" borderId="70" xfId="1" applyNumberFormat="1" applyFont="1" applyFill="1" applyBorder="1" applyAlignment="1">
      <alignment horizontal="center" vertical="center" wrapText="1" shrinkToFit="1"/>
    </xf>
    <xf numFmtId="38" fontId="20" fillId="3" borderId="68" xfId="1" applyNumberFormat="1" applyFont="1" applyFill="1" applyBorder="1" applyAlignment="1">
      <alignment horizontal="center" vertical="center" wrapText="1" shrinkToFit="1"/>
    </xf>
    <xf numFmtId="38" fontId="20" fillId="0" borderId="62" xfId="1" applyNumberFormat="1" applyFont="1" applyFill="1" applyBorder="1" applyAlignment="1">
      <alignment horizontal="center" vertical="center" wrapText="1" shrinkToFit="1"/>
    </xf>
    <xf numFmtId="38" fontId="20" fillId="0" borderId="33" xfId="1" applyNumberFormat="1" applyFont="1" applyFill="1" applyBorder="1" applyAlignment="1">
      <alignment horizontal="center" vertical="center" wrapText="1" shrinkToFit="1"/>
    </xf>
    <xf numFmtId="38" fontId="20" fillId="3" borderId="62" xfId="1" applyNumberFormat="1" applyFont="1" applyFill="1" applyBorder="1" applyAlignment="1">
      <alignment horizontal="center" vertical="center" wrapText="1" shrinkToFit="1"/>
    </xf>
    <xf numFmtId="38" fontId="20" fillId="3" borderId="33" xfId="1" applyNumberFormat="1" applyFont="1" applyFill="1" applyBorder="1" applyAlignment="1">
      <alignment horizontal="center" vertical="center" wrapText="1" shrinkToFit="1"/>
    </xf>
    <xf numFmtId="49" fontId="9" fillId="3" borderId="61" xfId="0" applyNumberFormat="1" applyFont="1" applyFill="1" applyBorder="1" applyAlignment="1">
      <alignment horizontal="center" vertical="center" wrapText="1" shrinkToFit="1"/>
    </xf>
    <xf numFmtId="49" fontId="9" fillId="3" borderId="62" xfId="0" applyNumberFormat="1" applyFont="1" applyFill="1" applyBorder="1" applyAlignment="1">
      <alignment horizontal="center" vertical="center" wrapText="1" shrinkToFit="1"/>
    </xf>
    <xf numFmtId="49" fontId="9" fillId="3" borderId="28" xfId="0" applyNumberFormat="1" applyFont="1" applyFill="1" applyBorder="1" applyAlignment="1">
      <alignment horizontal="center" vertical="center" wrapText="1" shrinkToFit="1"/>
    </xf>
    <xf numFmtId="49" fontId="9" fillId="3" borderId="33" xfId="0" applyNumberFormat="1" applyFont="1" applyFill="1" applyBorder="1" applyAlignment="1">
      <alignment horizontal="center" vertical="center" wrapText="1" shrinkToFit="1"/>
    </xf>
    <xf numFmtId="49" fontId="9" fillId="0" borderId="61" xfId="0" applyNumberFormat="1" applyFont="1" applyBorder="1" applyAlignment="1">
      <alignment horizontal="center" vertical="center" wrapText="1" shrinkToFit="1"/>
    </xf>
    <xf numFmtId="49" fontId="9" fillId="0" borderId="62" xfId="0" applyNumberFormat="1" applyFont="1" applyBorder="1" applyAlignment="1">
      <alignment horizontal="center" vertical="center" wrapText="1" shrinkToFit="1"/>
    </xf>
    <xf numFmtId="49" fontId="9" fillId="0" borderId="40" xfId="0" applyNumberFormat="1" applyFont="1" applyBorder="1" applyAlignment="1">
      <alignment horizontal="center" vertical="center" wrapText="1" shrinkToFit="1"/>
    </xf>
    <xf numFmtId="49" fontId="9" fillId="0" borderId="64" xfId="0" applyNumberFormat="1" applyFont="1" applyBorder="1" applyAlignment="1">
      <alignment horizontal="center" vertical="center" wrapText="1" shrinkToFit="1"/>
    </xf>
    <xf numFmtId="0" fontId="48" fillId="3" borderId="13" xfId="0" applyFont="1" applyFill="1" applyBorder="1" applyAlignment="1">
      <alignment horizontal="center" vertical="center" wrapText="1" shrinkToFit="1"/>
    </xf>
    <xf numFmtId="0" fontId="48" fillId="3" borderId="15" xfId="0" applyFont="1" applyFill="1" applyBorder="1" applyAlignment="1">
      <alignment horizontal="center" vertical="center" wrapText="1" shrinkToFit="1"/>
    </xf>
    <xf numFmtId="0" fontId="48" fillId="0" borderId="13" xfId="0" applyFont="1" applyBorder="1" applyAlignment="1">
      <alignment horizontal="center" vertical="center" wrapText="1" shrinkToFit="1"/>
    </xf>
    <xf numFmtId="0" fontId="48" fillId="0" borderId="15" xfId="0" applyFont="1" applyBorder="1" applyAlignment="1">
      <alignment horizontal="center" vertical="center" wrapText="1" shrinkToFit="1"/>
    </xf>
    <xf numFmtId="49" fontId="9" fillId="0" borderId="28" xfId="0" applyNumberFormat="1" applyFont="1" applyBorder="1" applyAlignment="1">
      <alignment horizontal="center" vertical="center" wrapText="1" shrinkToFit="1"/>
    </xf>
    <xf numFmtId="49" fontId="9" fillId="0" borderId="33" xfId="0" applyNumberFormat="1" applyFont="1" applyBorder="1" applyAlignment="1">
      <alignment horizontal="center" vertical="center" wrapText="1" shrinkToFit="1"/>
    </xf>
    <xf numFmtId="0" fontId="48" fillId="0" borderId="63" xfId="0" applyFont="1" applyBorder="1" applyAlignment="1">
      <alignment horizontal="center" vertical="center" wrapText="1" shrinkToFit="1"/>
    </xf>
    <xf numFmtId="38" fontId="20" fillId="3" borderId="71" xfId="1" applyNumberFormat="1" applyFont="1" applyFill="1" applyBorder="1" applyAlignment="1">
      <alignment horizontal="center" vertical="center" wrapText="1" shrinkToFit="1"/>
    </xf>
    <xf numFmtId="49" fontId="20" fillId="3" borderId="61" xfId="0" applyNumberFormat="1" applyFont="1" applyFill="1" applyBorder="1" applyAlignment="1">
      <alignment horizontal="center" vertical="center" wrapText="1" shrinkToFit="1"/>
    </xf>
    <xf numFmtId="49" fontId="20" fillId="3" borderId="62" xfId="0" applyNumberFormat="1" applyFont="1" applyFill="1" applyBorder="1" applyAlignment="1">
      <alignment horizontal="center" vertical="center" wrapText="1" shrinkToFit="1"/>
    </xf>
    <xf numFmtId="49" fontId="20" fillId="3" borderId="28" xfId="0" applyNumberFormat="1" applyFont="1" applyFill="1" applyBorder="1" applyAlignment="1">
      <alignment horizontal="center" vertical="center" wrapText="1" shrinkToFit="1"/>
    </xf>
    <xf numFmtId="49" fontId="20" fillId="3" borderId="33" xfId="0" applyNumberFormat="1" applyFont="1" applyFill="1" applyBorder="1" applyAlignment="1">
      <alignment horizontal="center" vertical="center" wrapText="1" shrinkToFit="1"/>
    </xf>
    <xf numFmtId="38" fontId="51" fillId="0" borderId="62" xfId="1" applyNumberFormat="1" applyFont="1" applyFill="1" applyBorder="1" applyAlignment="1">
      <alignment horizontal="center" vertical="center" wrapText="1" shrinkToFit="1"/>
    </xf>
    <xf numFmtId="38" fontId="51" fillId="0" borderId="64" xfId="1" applyNumberFormat="1" applyFont="1" applyFill="1" applyBorder="1" applyAlignment="1">
      <alignment horizontal="center" vertical="center" wrapText="1" shrinkToFit="1"/>
    </xf>
    <xf numFmtId="49" fontId="20" fillId="0" borderId="61" xfId="0" applyNumberFormat="1" applyFont="1" applyBorder="1" applyAlignment="1">
      <alignment horizontal="center" vertical="center" wrapText="1" shrinkToFit="1"/>
    </xf>
    <xf numFmtId="49" fontId="20" fillId="0" borderId="62" xfId="0" applyNumberFormat="1" applyFont="1" applyBorder="1" applyAlignment="1">
      <alignment horizontal="center" vertical="center" wrapText="1" shrinkToFit="1"/>
    </xf>
    <xf numFmtId="49" fontId="20" fillId="0" borderId="28" xfId="0" applyNumberFormat="1" applyFont="1" applyBorder="1" applyAlignment="1">
      <alignment horizontal="center" vertical="center" wrapText="1" shrinkToFit="1"/>
    </xf>
    <xf numFmtId="49" fontId="20" fillId="0" borderId="33" xfId="0" applyNumberFormat="1" applyFont="1" applyBorder="1" applyAlignment="1">
      <alignment horizontal="center" vertical="center" wrapText="1" shrinkToFit="1"/>
    </xf>
    <xf numFmtId="3" fontId="24" fillId="3" borderId="70" xfId="1" applyNumberFormat="1" applyFont="1" applyFill="1" applyBorder="1" applyAlignment="1">
      <alignment horizontal="center" vertical="center" wrapText="1" shrinkToFit="1"/>
    </xf>
    <xf numFmtId="3" fontId="24" fillId="3" borderId="68" xfId="1" applyNumberFormat="1" applyFont="1" applyFill="1" applyBorder="1" applyAlignment="1">
      <alignment horizontal="center" vertical="center" wrapText="1" shrinkToFit="1"/>
    </xf>
    <xf numFmtId="38" fontId="24" fillId="3" borderId="70" xfId="1" applyNumberFormat="1" applyFont="1" applyFill="1" applyBorder="1" applyAlignment="1">
      <alignment horizontal="center" vertical="center" wrapText="1" shrinkToFit="1"/>
    </xf>
    <xf numFmtId="38" fontId="24" fillId="3" borderId="68" xfId="1" applyNumberFormat="1" applyFont="1" applyFill="1" applyBorder="1" applyAlignment="1">
      <alignment horizontal="center" vertical="center" wrapText="1" shrinkToFit="1"/>
    </xf>
    <xf numFmtId="9" fontId="20" fillId="0" borderId="62" xfId="2" applyFont="1" applyFill="1" applyBorder="1" applyAlignment="1">
      <alignment horizontal="center" vertical="center" wrapText="1" shrinkToFit="1"/>
    </xf>
    <xf numFmtId="9" fontId="20" fillId="0" borderId="33" xfId="2" applyFont="1" applyFill="1" applyBorder="1" applyAlignment="1">
      <alignment horizontal="center" vertical="center" wrapText="1" shrinkToFit="1"/>
    </xf>
    <xf numFmtId="9" fontId="20" fillId="3" borderId="62" xfId="2" applyFont="1" applyFill="1" applyBorder="1" applyAlignment="1">
      <alignment horizontal="center" vertical="center" wrapText="1" shrinkToFit="1"/>
    </xf>
    <xf numFmtId="9" fontId="20" fillId="3" borderId="33" xfId="2" applyFont="1" applyFill="1" applyBorder="1" applyAlignment="1">
      <alignment horizontal="center" vertical="center" wrapText="1" shrinkToFit="1"/>
    </xf>
    <xf numFmtId="180" fontId="20" fillId="0" borderId="61" xfId="0" applyNumberFormat="1" applyFont="1" applyBorder="1" applyAlignment="1">
      <alignment horizontal="center" vertical="center" wrapText="1" shrinkToFit="1"/>
    </xf>
    <xf numFmtId="180" fontId="20" fillId="0" borderId="62" xfId="0" applyNumberFormat="1" applyFont="1" applyBorder="1" applyAlignment="1">
      <alignment horizontal="center" vertical="center" wrapText="1" shrinkToFit="1"/>
    </xf>
    <xf numFmtId="180" fontId="20" fillId="0" borderId="28" xfId="0" applyNumberFormat="1" applyFont="1" applyBorder="1" applyAlignment="1">
      <alignment horizontal="center" vertical="center" wrapText="1" shrinkToFit="1"/>
    </xf>
    <xf numFmtId="180" fontId="20" fillId="0" borderId="33" xfId="0" applyNumberFormat="1" applyFont="1" applyBorder="1" applyAlignment="1">
      <alignment horizontal="center" vertical="center" wrapText="1" shrinkToFit="1"/>
    </xf>
    <xf numFmtId="9" fontId="20" fillId="3" borderId="70" xfId="2" applyFont="1" applyFill="1" applyBorder="1" applyAlignment="1">
      <alignment horizontal="center" vertical="center" wrapText="1" shrinkToFit="1"/>
    </xf>
    <xf numFmtId="9" fontId="20" fillId="3" borderId="68" xfId="2" applyFont="1" applyFill="1" applyBorder="1" applyAlignment="1">
      <alignment horizontal="center" vertical="center" wrapText="1" shrinkToFit="1"/>
    </xf>
    <xf numFmtId="38" fontId="20" fillId="4" borderId="70" xfId="1" applyNumberFormat="1" applyFont="1" applyFill="1" applyBorder="1" applyAlignment="1">
      <alignment horizontal="center" vertical="center" wrapText="1" shrinkToFit="1"/>
    </xf>
    <xf numFmtId="38" fontId="20" fillId="4" borderId="68" xfId="1" applyNumberFormat="1" applyFont="1" applyFill="1" applyBorder="1" applyAlignment="1">
      <alignment horizontal="center" vertical="center" wrapText="1" shrinkToFit="1"/>
    </xf>
    <xf numFmtId="3" fontId="20" fillId="4" borderId="62" xfId="0" applyNumberFormat="1" applyFont="1" applyFill="1" applyBorder="1" applyAlignment="1">
      <alignment horizontal="center" vertical="center" wrapText="1" shrinkToFit="1"/>
    </xf>
    <xf numFmtId="3" fontId="20" fillId="4" borderId="33" xfId="0" applyNumberFormat="1" applyFont="1" applyFill="1" applyBorder="1" applyAlignment="1">
      <alignment horizontal="center" vertical="center" wrapText="1" shrinkToFit="1"/>
    </xf>
    <xf numFmtId="38" fontId="20" fillId="0" borderId="32" xfId="1" applyNumberFormat="1" applyFont="1" applyFill="1" applyBorder="1" applyAlignment="1">
      <alignment horizontal="center" vertical="center" wrapText="1" shrinkToFit="1"/>
    </xf>
    <xf numFmtId="38" fontId="20" fillId="0" borderId="30" xfId="1" applyNumberFormat="1" applyFont="1" applyFill="1" applyBorder="1" applyAlignment="1">
      <alignment horizontal="center" vertical="center" wrapText="1" shrinkToFit="1"/>
    </xf>
    <xf numFmtId="49" fontId="9" fillId="0" borderId="4" xfId="0" applyNumberFormat="1" applyFont="1" applyBorder="1" applyAlignment="1">
      <alignment horizontal="center" vertical="center" wrapText="1" shrinkToFit="1"/>
    </xf>
    <xf numFmtId="49" fontId="9" fillId="0" borderId="5" xfId="0" applyNumberFormat="1" applyFont="1" applyBorder="1" applyAlignment="1">
      <alignment horizontal="center" vertical="center" wrapText="1" shrinkToFit="1"/>
    </xf>
    <xf numFmtId="49" fontId="9" fillId="0" borderId="67" xfId="0" applyNumberFormat="1" applyFont="1" applyBorder="1" applyAlignment="1">
      <alignment horizontal="center" vertical="center" wrapText="1" shrinkToFit="1"/>
    </xf>
    <xf numFmtId="49" fontId="9" fillId="0" borderId="7" xfId="0" applyNumberFormat="1" applyFont="1" applyBorder="1" applyAlignment="1">
      <alignment horizontal="center" vertical="center" wrapText="1" shrinkToFit="1"/>
    </xf>
    <xf numFmtId="49" fontId="9" fillId="0" borderId="8" xfId="0" applyNumberFormat="1" applyFont="1" applyBorder="1" applyAlignment="1">
      <alignment horizontal="center" vertical="center" wrapText="1" shrinkToFit="1"/>
    </xf>
    <xf numFmtId="49" fontId="9" fillId="0" borderId="66" xfId="0" applyNumberFormat="1" applyFont="1" applyBorder="1" applyAlignment="1">
      <alignment horizontal="center" vertical="center" wrapText="1" shrinkToFit="1"/>
    </xf>
    <xf numFmtId="3" fontId="9" fillId="0" borderId="70" xfId="0" applyNumberFormat="1" applyFont="1" applyBorder="1" applyAlignment="1">
      <alignment horizontal="center" vertical="center" wrapText="1" shrinkToFit="1"/>
    </xf>
    <xf numFmtId="49" fontId="20" fillId="4" borderId="61" xfId="0" applyNumberFormat="1" applyFont="1" applyFill="1" applyBorder="1" applyAlignment="1">
      <alignment horizontal="center" vertical="center" wrapText="1" shrinkToFit="1"/>
    </xf>
    <xf numFmtId="49" fontId="20" fillId="4" borderId="62" xfId="0" applyNumberFormat="1" applyFont="1" applyFill="1" applyBorder="1" applyAlignment="1">
      <alignment horizontal="center" vertical="center" wrapText="1" shrinkToFit="1"/>
    </xf>
    <xf numFmtId="49" fontId="20" fillId="4" borderId="28" xfId="0" applyNumberFormat="1" applyFont="1" applyFill="1" applyBorder="1" applyAlignment="1">
      <alignment horizontal="center" vertical="center" wrapText="1" shrinkToFit="1"/>
    </xf>
    <xf numFmtId="49" fontId="20" fillId="4" borderId="33" xfId="0" applyNumberFormat="1" applyFont="1" applyFill="1" applyBorder="1" applyAlignment="1">
      <alignment horizontal="center" vertical="center" wrapText="1" shrinkToFit="1"/>
    </xf>
    <xf numFmtId="0" fontId="48" fillId="4" borderId="13" xfId="0" applyFont="1" applyFill="1" applyBorder="1" applyAlignment="1">
      <alignment horizontal="center" vertical="center" wrapText="1" shrinkToFit="1"/>
    </xf>
    <xf numFmtId="0" fontId="48" fillId="4" borderId="15" xfId="0" applyFont="1" applyFill="1" applyBorder="1" applyAlignment="1">
      <alignment horizontal="center" vertical="center" wrapText="1" shrinkToFit="1"/>
    </xf>
    <xf numFmtId="38" fontId="20" fillId="3" borderId="32" xfId="1" applyNumberFormat="1" applyFont="1" applyFill="1" applyBorder="1" applyAlignment="1">
      <alignment horizontal="center" vertical="center" wrapText="1" shrinkToFit="1"/>
    </xf>
    <xf numFmtId="49" fontId="9" fillId="3" borderId="4" xfId="0" applyNumberFormat="1" applyFont="1" applyFill="1" applyBorder="1" applyAlignment="1">
      <alignment horizontal="center" vertical="center" wrapText="1" shrinkToFit="1"/>
    </xf>
    <xf numFmtId="49" fontId="9" fillId="3" borderId="5" xfId="0" applyNumberFormat="1" applyFont="1" applyFill="1" applyBorder="1" applyAlignment="1">
      <alignment horizontal="center" vertical="center" wrapText="1" shrinkToFit="1"/>
    </xf>
    <xf numFmtId="49" fontId="9" fillId="3" borderId="67" xfId="0" applyNumberFormat="1" applyFont="1" applyFill="1" applyBorder="1" applyAlignment="1">
      <alignment horizontal="center" vertical="center" wrapText="1" shrinkToFit="1"/>
    </xf>
    <xf numFmtId="49" fontId="9" fillId="0" borderId="4" xfId="2" applyNumberFormat="1" applyFont="1" applyFill="1" applyBorder="1" applyAlignment="1">
      <alignment horizontal="center" vertical="center" wrapText="1" shrinkToFit="1"/>
    </xf>
    <xf numFmtId="49" fontId="9" fillId="0" borderId="5" xfId="2" applyNumberFormat="1" applyFont="1" applyFill="1" applyBorder="1" applyAlignment="1">
      <alignment horizontal="center" vertical="center" wrapText="1" shrinkToFit="1"/>
    </xf>
    <xf numFmtId="49" fontId="9" fillId="0" borderId="67" xfId="2" applyNumberFormat="1" applyFont="1" applyFill="1" applyBorder="1" applyAlignment="1">
      <alignment horizontal="center" vertical="center" wrapText="1" shrinkToFit="1"/>
    </xf>
    <xf numFmtId="3" fontId="9" fillId="0" borderId="5" xfId="0" applyNumberFormat="1" applyFont="1" applyBorder="1" applyAlignment="1">
      <alignment horizontal="center" vertical="center" wrapText="1" shrinkToFit="1"/>
    </xf>
    <xf numFmtId="3" fontId="9" fillId="0" borderId="32" xfId="0" applyNumberFormat="1" applyFont="1" applyBorder="1" applyAlignment="1">
      <alignment horizontal="center" vertical="center" wrapText="1" shrinkToFit="1"/>
    </xf>
    <xf numFmtId="10" fontId="20" fillId="3" borderId="6" xfId="0" applyNumberFormat="1" applyFont="1" applyFill="1" applyBorder="1" applyAlignment="1">
      <alignment horizontal="center" vertical="center" wrapText="1" shrinkToFit="1"/>
    </xf>
    <xf numFmtId="38" fontId="20" fillId="0" borderId="3" xfId="1" applyNumberFormat="1" applyFont="1" applyFill="1" applyBorder="1" applyAlignment="1">
      <alignment horizontal="center" vertical="center" wrapText="1" shrinkToFit="1"/>
    </xf>
    <xf numFmtId="38" fontId="20" fillId="0" borderId="6" xfId="1" applyNumberFormat="1" applyFont="1" applyFill="1" applyBorder="1" applyAlignment="1">
      <alignment horizontal="center" vertical="center" wrapText="1" shrinkToFit="1"/>
    </xf>
    <xf numFmtId="3" fontId="9" fillId="0" borderId="6" xfId="0" applyNumberFormat="1" applyFont="1" applyBorder="1" applyAlignment="1">
      <alignment horizontal="center" vertical="center" wrapText="1" shrinkToFit="1"/>
    </xf>
    <xf numFmtId="3" fontId="28" fillId="0" borderId="6" xfId="0" applyNumberFormat="1" applyFont="1" applyBorder="1" applyAlignment="1">
      <alignment horizontal="center" vertical="center" wrapText="1" shrinkToFit="1"/>
    </xf>
    <xf numFmtId="3" fontId="15" fillId="2" borderId="1" xfId="0" applyNumberFormat="1" applyFont="1" applyFill="1" applyBorder="1" applyAlignment="1">
      <alignment horizontal="center" vertical="center" wrapText="1" shrinkToFit="1"/>
    </xf>
    <xf numFmtId="3" fontId="15" fillId="2" borderId="2" xfId="0" applyNumberFormat="1" applyFont="1" applyFill="1" applyBorder="1" applyAlignment="1">
      <alignment horizontal="center" vertical="center" wrapText="1" shrinkToFit="1"/>
    </xf>
    <xf numFmtId="3" fontId="15" fillId="2" borderId="3" xfId="0" applyNumberFormat="1" applyFont="1" applyFill="1" applyBorder="1" applyAlignment="1">
      <alignment horizontal="center" vertical="center" wrapText="1" shrinkToFit="1"/>
    </xf>
    <xf numFmtId="38" fontId="20" fillId="3" borderId="6" xfId="1" applyNumberFormat="1" applyFont="1" applyFill="1" applyBorder="1" applyAlignment="1">
      <alignment horizontal="center" vertical="center" wrapText="1" shrinkToFit="1"/>
    </xf>
    <xf numFmtId="38" fontId="20" fillId="3" borderId="9" xfId="1" applyNumberFormat="1" applyFont="1" applyFill="1" applyBorder="1" applyAlignment="1">
      <alignment horizontal="center" vertical="center" wrapText="1" shrinkToFit="1"/>
    </xf>
    <xf numFmtId="10" fontId="9" fillId="0" borderId="6" xfId="2" applyNumberFormat="1" applyFont="1" applyFill="1" applyBorder="1" applyAlignment="1">
      <alignment horizontal="center" vertical="center" wrapText="1" shrinkToFit="1"/>
    </xf>
    <xf numFmtId="38" fontId="20" fillId="3" borderId="17" xfId="1" applyNumberFormat="1" applyFont="1" applyFill="1" applyBorder="1" applyAlignment="1">
      <alignment horizontal="center" vertical="center" wrapText="1" shrinkToFit="1"/>
    </xf>
    <xf numFmtId="38" fontId="20" fillId="3" borderId="19" xfId="1" applyNumberFormat="1" applyFont="1" applyFill="1" applyBorder="1" applyAlignment="1">
      <alignment horizontal="center" vertical="center" wrapText="1" shrinkToFit="1"/>
    </xf>
    <xf numFmtId="38" fontId="20" fillId="0" borderId="17" xfId="1" applyNumberFormat="1" applyFont="1" applyFill="1" applyBorder="1" applyAlignment="1">
      <alignment horizontal="center" vertical="center" wrapText="1" shrinkToFit="1"/>
    </xf>
    <xf numFmtId="38" fontId="20" fillId="0" borderId="19" xfId="1" applyNumberFormat="1" applyFont="1" applyFill="1" applyBorder="1" applyAlignment="1">
      <alignment horizontal="center" vertical="center" wrapText="1" shrinkToFit="1"/>
    </xf>
    <xf numFmtId="9" fontId="20" fillId="3" borderId="17" xfId="2" applyFont="1" applyFill="1" applyBorder="1" applyAlignment="1">
      <alignment horizontal="center" vertical="center" wrapText="1" shrinkToFit="1"/>
    </xf>
    <xf numFmtId="9" fontId="20" fillId="3" borderId="19" xfId="2" applyFont="1" applyFill="1" applyBorder="1" applyAlignment="1">
      <alignment horizontal="center" vertical="center" wrapText="1" shrinkToFit="1"/>
    </xf>
    <xf numFmtId="3" fontId="20" fillId="4" borderId="17" xfId="0" applyNumberFormat="1" applyFont="1" applyFill="1" applyBorder="1" applyAlignment="1">
      <alignment horizontal="center" vertical="center" wrapText="1" shrinkToFit="1"/>
    </xf>
    <xf numFmtId="3" fontId="20" fillId="4" borderId="19" xfId="0" applyNumberFormat="1" applyFont="1" applyFill="1" applyBorder="1" applyAlignment="1">
      <alignment horizontal="center" vertical="center" wrapText="1" shrinkToFit="1"/>
    </xf>
    <xf numFmtId="38" fontId="20" fillId="0" borderId="9" xfId="1" applyNumberFormat="1" applyFont="1" applyFill="1" applyBorder="1" applyAlignment="1">
      <alignment horizontal="center" vertical="center" wrapText="1" shrinkToFit="1"/>
    </xf>
    <xf numFmtId="9" fontId="20" fillId="0" borderId="17" xfId="2" applyFont="1" applyFill="1" applyBorder="1" applyAlignment="1">
      <alignment horizontal="center" vertical="center" wrapText="1" shrinkToFit="1"/>
    </xf>
    <xf numFmtId="9" fontId="20" fillId="0" borderId="19" xfId="2" applyFont="1" applyFill="1" applyBorder="1" applyAlignment="1">
      <alignment horizontal="center" vertical="center" wrapText="1" shrinkToFit="1"/>
    </xf>
    <xf numFmtId="3" fontId="28" fillId="0" borderId="32" xfId="0" applyNumberFormat="1" applyFont="1" applyBorder="1" applyAlignment="1">
      <alignment horizontal="center" vertical="center" wrapText="1" shrinkToFit="1"/>
    </xf>
    <xf numFmtId="10" fontId="51" fillId="0" borderId="5" xfId="0" applyNumberFormat="1" applyFont="1" applyBorder="1" applyAlignment="1">
      <alignment horizontal="center" vertical="center" wrapText="1" shrinkToFit="1"/>
    </xf>
    <xf numFmtId="10" fontId="51" fillId="0" borderId="6" xfId="0" applyNumberFormat="1" applyFont="1" applyBorder="1" applyAlignment="1">
      <alignment horizontal="center" vertical="center" wrapText="1" shrinkToFit="1"/>
    </xf>
    <xf numFmtId="10" fontId="51" fillId="3" borderId="5" xfId="2" applyNumberFormat="1" applyFont="1" applyFill="1" applyBorder="1" applyAlignment="1">
      <alignment horizontal="center" vertical="center" wrapText="1" shrinkToFit="1"/>
    </xf>
    <xf numFmtId="10" fontId="51" fillId="3" borderId="6" xfId="2" applyNumberFormat="1" applyFont="1" applyFill="1" applyBorder="1" applyAlignment="1">
      <alignment horizontal="center" vertical="center" wrapText="1" shrinkToFit="1"/>
    </xf>
    <xf numFmtId="3" fontId="15" fillId="2" borderId="1" xfId="0" applyNumberFormat="1" applyFont="1" applyFill="1" applyBorder="1" applyAlignment="1">
      <alignment horizontal="center" vertical="center" shrinkToFit="1" readingOrder="2"/>
    </xf>
    <xf numFmtId="3" fontId="15" fillId="2" borderId="2" xfId="0" applyNumberFormat="1" applyFont="1" applyFill="1" applyBorder="1" applyAlignment="1">
      <alignment horizontal="center" vertical="center" shrinkToFit="1" readingOrder="2"/>
    </xf>
    <xf numFmtId="3" fontId="15" fillId="2" borderId="3" xfId="0" applyNumberFormat="1" applyFont="1" applyFill="1" applyBorder="1" applyAlignment="1">
      <alignment horizontal="center" vertical="center" shrinkToFit="1" readingOrder="2"/>
    </xf>
    <xf numFmtId="3" fontId="20" fillId="0" borderId="1" xfId="0" applyNumberFormat="1" applyFont="1" applyBorder="1" applyAlignment="1">
      <alignment horizontal="center" vertical="center" wrapText="1" shrinkToFit="1"/>
    </xf>
    <xf numFmtId="3" fontId="20" fillId="0" borderId="2" xfId="0" applyNumberFormat="1" applyFont="1" applyBorder="1" applyAlignment="1">
      <alignment horizontal="center" vertical="center" wrapText="1" shrinkToFit="1"/>
    </xf>
    <xf numFmtId="38" fontId="20" fillId="0" borderId="53" xfId="1" applyNumberFormat="1" applyFont="1" applyFill="1" applyBorder="1" applyAlignment="1">
      <alignment horizontal="center" vertical="center" wrapText="1" shrinkToFit="1"/>
    </xf>
    <xf numFmtId="3" fontId="20" fillId="0" borderId="8" xfId="0" applyNumberFormat="1" applyFont="1" applyBorder="1" applyAlignment="1">
      <alignment horizontal="center" vertical="center" wrapText="1" shrinkToFit="1"/>
    </xf>
    <xf numFmtId="3" fontId="20" fillId="0" borderId="9" xfId="0" applyNumberFormat="1" applyFont="1" applyBorder="1" applyAlignment="1">
      <alignment horizontal="center" vertical="center" wrapText="1" shrinkToFit="1"/>
    </xf>
    <xf numFmtId="3" fontId="9" fillId="3" borderId="8" xfId="0" applyNumberFormat="1" applyFont="1" applyFill="1" applyBorder="1" applyAlignment="1">
      <alignment horizontal="center" vertical="center" wrapText="1" shrinkToFit="1"/>
    </xf>
    <xf numFmtId="3" fontId="9" fillId="3" borderId="9" xfId="0" applyNumberFormat="1" applyFont="1" applyFill="1" applyBorder="1" applyAlignment="1">
      <alignment horizontal="center" vertical="center" wrapText="1" shrinkToFit="1"/>
    </xf>
    <xf numFmtId="10" fontId="51" fillId="3" borderId="8" xfId="0" applyNumberFormat="1" applyFont="1" applyFill="1" applyBorder="1" applyAlignment="1">
      <alignment horizontal="center" vertical="center" wrapText="1" shrinkToFit="1"/>
    </xf>
    <xf numFmtId="10" fontId="51" fillId="3" borderId="9" xfId="0" applyNumberFormat="1" applyFont="1" applyFill="1" applyBorder="1" applyAlignment="1">
      <alignment horizontal="center" vertical="center" wrapText="1" shrinkToFit="1"/>
    </xf>
    <xf numFmtId="3" fontId="16" fillId="2" borderId="1" xfId="0" applyNumberFormat="1" applyFont="1" applyFill="1" applyBorder="1" applyAlignment="1">
      <alignment horizontal="center" vertical="center" shrinkToFit="1"/>
    </xf>
    <xf numFmtId="3" fontId="16" fillId="2" borderId="2" xfId="0" applyNumberFormat="1" applyFont="1" applyFill="1" applyBorder="1" applyAlignment="1">
      <alignment horizontal="center" vertical="center" shrinkToFit="1"/>
    </xf>
    <xf numFmtId="3" fontId="16" fillId="2" borderId="3" xfId="0" applyNumberFormat="1" applyFont="1" applyFill="1" applyBorder="1" applyAlignment="1">
      <alignment horizontal="center" vertical="center" shrinkToFit="1"/>
    </xf>
    <xf numFmtId="3" fontId="20" fillId="0" borderId="67" xfId="0" applyNumberFormat="1" applyFont="1" applyBorder="1" applyAlignment="1">
      <alignment horizontal="center" vertical="center" wrapText="1" shrinkToFit="1"/>
    </xf>
    <xf numFmtId="3" fontId="54" fillId="2" borderId="34" xfId="0" applyNumberFormat="1" applyFont="1" applyFill="1" applyBorder="1" applyAlignment="1">
      <alignment horizontal="center" vertical="center" shrinkToFit="1"/>
    </xf>
    <xf numFmtId="3" fontId="54" fillId="2" borderId="27" xfId="0" applyNumberFormat="1" applyFont="1" applyFill="1" applyBorder="1" applyAlignment="1">
      <alignment horizontal="center" vertical="center" shrinkToFit="1"/>
    </xf>
    <xf numFmtId="3" fontId="54" fillId="2" borderId="28" xfId="0" applyNumberFormat="1" applyFont="1" applyFill="1" applyBorder="1" applyAlignment="1">
      <alignment horizontal="center" vertical="center" shrinkToFit="1"/>
    </xf>
    <xf numFmtId="3" fontId="54" fillId="2" borderId="22" xfId="0" applyNumberFormat="1" applyFont="1" applyFill="1" applyBorder="1" applyAlignment="1">
      <alignment horizontal="center" vertical="center" shrinkToFit="1"/>
    </xf>
    <xf numFmtId="38" fontId="20" fillId="3" borderId="30" xfId="1" applyNumberFormat="1" applyFont="1" applyFill="1" applyBorder="1" applyAlignment="1">
      <alignment horizontal="center" vertical="center" wrapText="1" shrinkToFit="1"/>
    </xf>
    <xf numFmtId="3" fontId="16" fillId="2" borderId="5" xfId="0" applyNumberFormat="1" applyFont="1" applyFill="1" applyBorder="1" applyAlignment="1">
      <alignment horizontal="center" vertical="center" wrapText="1" shrinkToFit="1"/>
    </xf>
    <xf numFmtId="3" fontId="16" fillId="2" borderId="6" xfId="0" applyNumberFormat="1" applyFont="1" applyFill="1" applyBorder="1" applyAlignment="1">
      <alignment horizontal="center" vertical="center" wrapText="1" shrinkToFit="1"/>
    </xf>
    <xf numFmtId="3" fontId="16" fillId="2" borderId="124" xfId="0" applyNumberFormat="1" applyFont="1" applyFill="1" applyBorder="1" applyAlignment="1">
      <alignment horizontal="center" vertical="center" wrapText="1" shrinkToFit="1"/>
    </xf>
    <xf numFmtId="3" fontId="16" fillId="2" borderId="125" xfId="0" applyNumberFormat="1" applyFont="1" applyFill="1" applyBorder="1" applyAlignment="1">
      <alignment horizontal="center" vertical="center" wrapText="1" shrinkToFit="1"/>
    </xf>
    <xf numFmtId="3" fontId="16" fillId="2" borderId="126" xfId="0" applyNumberFormat="1" applyFont="1" applyFill="1" applyBorder="1" applyAlignment="1">
      <alignment horizontal="center" vertical="center" wrapText="1" shrinkToFit="1"/>
    </xf>
    <xf numFmtId="3" fontId="15" fillId="2" borderId="58" xfId="0" applyNumberFormat="1" applyFont="1" applyFill="1" applyBorder="1" applyAlignment="1">
      <alignment horizontal="center" vertical="center" wrapText="1" shrinkToFit="1"/>
    </xf>
    <xf numFmtId="3" fontId="14" fillId="0" borderId="5" xfId="0" applyNumberFormat="1" applyFont="1" applyBorder="1" applyAlignment="1">
      <alignment horizontal="center" vertical="center" wrapText="1" shrinkToFit="1"/>
    </xf>
    <xf numFmtId="3" fontId="14" fillId="0" borderId="21" xfId="0" applyNumberFormat="1" applyFont="1" applyBorder="1" applyAlignment="1">
      <alignment horizontal="center" vertical="center" wrapText="1" shrinkToFit="1"/>
    </xf>
    <xf numFmtId="9" fontId="14" fillId="3" borderId="5" xfId="2" applyFont="1" applyFill="1" applyBorder="1" applyAlignment="1">
      <alignment horizontal="center" vertical="center" wrapText="1" shrinkToFit="1"/>
    </xf>
    <xf numFmtId="9" fontId="14" fillId="3" borderId="21" xfId="2" applyFont="1" applyFill="1" applyBorder="1" applyAlignment="1">
      <alignment horizontal="center" vertical="center" wrapText="1" shrinkToFit="1"/>
    </xf>
    <xf numFmtId="10" fontId="14" fillId="3" borderId="5" xfId="2" applyNumberFormat="1" applyFont="1" applyFill="1" applyBorder="1" applyAlignment="1">
      <alignment horizontal="center" vertical="center" wrapText="1" shrinkToFit="1"/>
    </xf>
    <xf numFmtId="10" fontId="14" fillId="3" borderId="21" xfId="2" applyNumberFormat="1" applyFont="1" applyFill="1" applyBorder="1" applyAlignment="1">
      <alignment horizontal="center" vertical="center" wrapText="1" shrinkToFit="1"/>
    </xf>
    <xf numFmtId="3" fontId="52" fillId="3" borderId="5" xfId="0" applyNumberFormat="1" applyFont="1" applyFill="1" applyBorder="1" applyAlignment="1">
      <alignment horizontal="center" vertical="center" wrapText="1" shrinkToFit="1"/>
    </xf>
    <xf numFmtId="3" fontId="52" fillId="3" borderId="21" xfId="0" applyNumberFormat="1" applyFont="1" applyFill="1" applyBorder="1" applyAlignment="1">
      <alignment horizontal="center" vertical="center" wrapText="1" shrinkToFit="1"/>
    </xf>
    <xf numFmtId="9" fontId="14" fillId="0" borderId="5" xfId="2" applyFont="1" applyFill="1" applyBorder="1" applyAlignment="1">
      <alignment horizontal="center" vertical="center" wrapText="1" shrinkToFit="1"/>
    </xf>
    <xf numFmtId="9" fontId="14" fillId="0" borderId="21" xfId="2" applyFont="1" applyFill="1" applyBorder="1" applyAlignment="1">
      <alignment horizontal="center" vertical="center" wrapText="1" shrinkToFit="1"/>
    </xf>
    <xf numFmtId="10" fontId="14" fillId="0" borderId="8" xfId="2" applyNumberFormat="1" applyFont="1" applyFill="1" applyBorder="1" applyAlignment="1">
      <alignment horizontal="center" vertical="center" wrapText="1" shrinkToFit="1"/>
    </xf>
    <xf numFmtId="10" fontId="14" fillId="0" borderId="29" xfId="2" applyNumberFormat="1" applyFont="1" applyFill="1" applyBorder="1" applyAlignment="1">
      <alignment horizontal="center" vertical="center" wrapText="1" shrinkToFit="1"/>
    </xf>
    <xf numFmtId="4" fontId="14" fillId="0" borderId="5" xfId="0" applyNumberFormat="1" applyFont="1" applyBorder="1" applyAlignment="1">
      <alignment horizontal="center" vertical="center" wrapText="1" shrinkToFit="1"/>
    </xf>
    <xf numFmtId="4" fontId="14" fillId="0" borderId="21" xfId="0" applyNumberFormat="1" applyFont="1" applyBorder="1" applyAlignment="1">
      <alignment horizontal="center" vertical="center" wrapText="1" shrinkToFit="1"/>
    </xf>
    <xf numFmtId="166" fontId="53" fillId="0" borderId="5" xfId="2" applyNumberFormat="1" applyFont="1" applyFill="1" applyBorder="1" applyAlignment="1">
      <alignment horizontal="center" vertical="center" wrapText="1" shrinkToFit="1"/>
    </xf>
    <xf numFmtId="166" fontId="53" fillId="0" borderId="21" xfId="2" applyNumberFormat="1" applyFont="1" applyFill="1" applyBorder="1" applyAlignment="1">
      <alignment horizontal="center" vertical="center" wrapText="1" shrinkToFit="1"/>
    </xf>
    <xf numFmtId="3" fontId="14" fillId="0" borderId="4" xfId="0" applyNumberFormat="1" applyFont="1" applyBorder="1" applyAlignment="1">
      <alignment horizontal="center" vertical="center" wrapText="1" shrinkToFit="1"/>
    </xf>
    <xf numFmtId="9" fontId="9" fillId="0" borderId="6" xfId="2" applyFont="1" applyBorder="1" applyAlignment="1">
      <alignment horizontal="center" vertical="center" wrapText="1" shrinkToFit="1"/>
    </xf>
    <xf numFmtId="232" fontId="20" fillId="0" borderId="0" xfId="0" applyNumberFormat="1" applyFont="1" applyAlignment="1">
      <alignment horizontal="center" vertical="center" wrapText="1" shrinkToFit="1"/>
    </xf>
    <xf numFmtId="3" fontId="16" fillId="2" borderId="18" xfId="0" applyNumberFormat="1" applyFont="1" applyFill="1" applyBorder="1" applyAlignment="1">
      <alignment horizontal="center" vertical="center" wrapText="1" shrinkToFit="1"/>
    </xf>
    <xf numFmtId="3" fontId="16" fillId="2" borderId="19" xfId="0" applyNumberFormat="1" applyFont="1" applyFill="1" applyBorder="1" applyAlignment="1">
      <alignment horizontal="center" vertical="center" wrapText="1" shrinkToFit="1"/>
    </xf>
    <xf numFmtId="10" fontId="51" fillId="0" borderId="6" xfId="2" applyNumberFormat="1" applyFont="1" applyFill="1" applyBorder="1" applyAlignment="1">
      <alignment horizontal="center" vertical="center" wrapText="1" shrinkToFit="1"/>
    </xf>
    <xf numFmtId="3" fontId="20" fillId="3" borderId="21" xfId="0" applyNumberFormat="1" applyFont="1" applyFill="1" applyBorder="1" applyAlignment="1">
      <alignment horizontal="center" vertical="center" wrapText="1" shrinkToFit="1"/>
    </xf>
    <xf numFmtId="3" fontId="20" fillId="3" borderId="32" xfId="0" applyNumberFormat="1" applyFont="1" applyFill="1" applyBorder="1" applyAlignment="1">
      <alignment horizontal="center" vertical="center" wrapText="1" shrinkToFit="1"/>
    </xf>
    <xf numFmtId="3" fontId="20" fillId="0" borderId="21" xfId="0" applyNumberFormat="1" applyFont="1" applyBorder="1" applyAlignment="1">
      <alignment horizontal="center" vertical="center" wrapText="1" shrinkToFit="1"/>
    </xf>
    <xf numFmtId="3" fontId="15" fillId="2" borderId="38" xfId="0" applyNumberFormat="1" applyFont="1" applyFill="1" applyBorder="1" applyAlignment="1">
      <alignment horizontal="center" vertical="center" wrapText="1" shrinkToFit="1"/>
    </xf>
    <xf numFmtId="3" fontId="15" fillId="2" borderId="39" xfId="0" applyNumberFormat="1" applyFont="1" applyFill="1" applyBorder="1" applyAlignment="1">
      <alignment horizontal="center" vertical="center" wrapText="1" shrinkToFit="1"/>
    </xf>
    <xf numFmtId="3" fontId="15" fillId="2" borderId="36" xfId="0" applyNumberFormat="1" applyFont="1" applyFill="1" applyBorder="1" applyAlignment="1">
      <alignment horizontal="center" vertical="center" wrapText="1" shrinkToFit="1"/>
    </xf>
    <xf numFmtId="3" fontId="16" fillId="2" borderId="21" xfId="0" applyNumberFormat="1" applyFont="1" applyFill="1" applyBorder="1" applyAlignment="1">
      <alignment horizontal="center" vertical="center" wrapText="1" shrinkToFit="1"/>
    </xf>
    <xf numFmtId="3" fontId="16" fillId="2" borderId="32" xfId="0" applyNumberFormat="1" applyFont="1" applyFill="1" applyBorder="1" applyAlignment="1">
      <alignment horizontal="center" vertical="center" wrapText="1" shrinkToFit="1"/>
    </xf>
    <xf numFmtId="38" fontId="20" fillId="3" borderId="8" xfId="0" applyNumberFormat="1" applyFont="1" applyFill="1" applyBorder="1" applyAlignment="1">
      <alignment horizontal="center" vertical="center" wrapText="1" shrinkToFit="1"/>
    </xf>
    <xf numFmtId="38" fontId="20" fillId="3" borderId="9" xfId="0" applyNumberFormat="1" applyFont="1" applyFill="1" applyBorder="1" applyAlignment="1">
      <alignment horizontal="center" vertical="center" wrapText="1" shrinkToFit="1"/>
    </xf>
    <xf numFmtId="10" fontId="51" fillId="3" borderId="9" xfId="2" applyNumberFormat="1" applyFont="1" applyFill="1" applyBorder="1" applyAlignment="1">
      <alignment horizontal="center" vertical="center" wrapText="1" shrinkToFit="1"/>
    </xf>
    <xf numFmtId="3" fontId="9" fillId="3" borderId="4" xfId="0" applyNumberFormat="1" applyFont="1" applyFill="1" applyBorder="1" applyAlignment="1">
      <alignment horizontal="center" vertical="center" wrapText="1" shrinkToFit="1"/>
    </xf>
    <xf numFmtId="3" fontId="9" fillId="3" borderId="7" xfId="0" applyNumberFormat="1" applyFont="1" applyFill="1" applyBorder="1" applyAlignment="1">
      <alignment horizontal="center" vertical="center" wrapText="1" shrinkToFit="1"/>
    </xf>
    <xf numFmtId="3" fontId="9" fillId="0" borderId="4" xfId="0" applyNumberFormat="1" applyFont="1" applyBorder="1" applyAlignment="1">
      <alignment horizontal="center" vertical="center" wrapText="1" shrinkToFit="1"/>
    </xf>
    <xf numFmtId="3" fontId="51" fillId="0" borderId="5" xfId="0" applyNumberFormat="1" applyFont="1" applyBorder="1" applyAlignment="1">
      <alignment horizontal="center" vertical="center" wrapText="1" shrinkToFit="1"/>
    </xf>
    <xf numFmtId="0" fontId="36" fillId="2" borderId="1" xfId="0" applyFont="1" applyFill="1" applyBorder="1" applyAlignment="1">
      <alignment horizontal="center" vertical="center" wrapText="1" shrinkToFit="1"/>
    </xf>
    <xf numFmtId="0" fontId="36" fillId="2" borderId="2" xfId="0" applyFont="1" applyFill="1" applyBorder="1" applyAlignment="1">
      <alignment horizontal="center" vertical="center" wrapText="1" shrinkToFit="1"/>
    </xf>
    <xf numFmtId="0" fontId="36" fillId="2" borderId="3" xfId="0" applyFont="1" applyFill="1" applyBorder="1" applyAlignment="1">
      <alignment horizontal="center" vertical="center" wrapText="1" shrinkToFit="1"/>
    </xf>
    <xf numFmtId="0" fontId="36" fillId="2" borderId="4" xfId="0" applyFont="1" applyFill="1" applyBorder="1" applyAlignment="1">
      <alignment horizontal="center" vertical="center" wrapText="1" shrinkToFit="1"/>
    </xf>
    <xf numFmtId="0" fontId="36" fillId="2" borderId="5" xfId="0" applyFont="1" applyFill="1" applyBorder="1" applyAlignment="1">
      <alignment horizontal="center" vertical="center" wrapText="1" shrinkToFit="1"/>
    </xf>
    <xf numFmtId="0" fontId="36" fillId="2" borderId="6" xfId="0" applyFont="1" applyFill="1" applyBorder="1" applyAlignment="1">
      <alignment horizontal="center" vertical="center" wrapText="1" shrinkToFit="1"/>
    </xf>
    <xf numFmtId="3" fontId="57" fillId="3" borderId="5" xfId="2" applyNumberFormat="1" applyFont="1" applyFill="1" applyBorder="1" applyAlignment="1">
      <alignment horizontal="center" vertical="center" wrapText="1" shrinkToFit="1"/>
    </xf>
    <xf numFmtId="3" fontId="57" fillId="3" borderId="21" xfId="2" applyNumberFormat="1" applyFont="1" applyFill="1" applyBorder="1" applyAlignment="1">
      <alignment horizontal="center" vertical="center" wrapText="1" shrinkToFit="1"/>
    </xf>
    <xf numFmtId="3" fontId="57" fillId="0" borderId="2" xfId="2" applyNumberFormat="1" applyFont="1" applyBorder="1" applyAlignment="1">
      <alignment horizontal="center" vertical="center" wrapText="1" shrinkToFit="1"/>
    </xf>
    <xf numFmtId="3" fontId="57" fillId="0" borderId="58" xfId="2" applyNumberFormat="1" applyFont="1" applyBorder="1" applyAlignment="1">
      <alignment horizontal="center" vertical="center" wrapText="1" shrinkToFit="1"/>
    </xf>
    <xf numFmtId="3" fontId="26" fillId="2" borderId="59" xfId="0" applyNumberFormat="1" applyFont="1" applyFill="1" applyBorder="1" applyAlignment="1">
      <alignment horizontal="center" vertical="center" wrapText="1" shrinkToFit="1"/>
    </xf>
    <xf numFmtId="3" fontId="26" fillId="2" borderId="2" xfId="0" applyNumberFormat="1" applyFont="1" applyFill="1" applyBorder="1" applyAlignment="1">
      <alignment horizontal="center" vertical="center" wrapText="1" shrinkToFit="1"/>
    </xf>
    <xf numFmtId="3" fontId="26" fillId="2" borderId="3" xfId="0" applyNumberFormat="1" applyFont="1" applyFill="1" applyBorder="1" applyAlignment="1">
      <alignment horizontal="center" vertical="center" wrapText="1" shrinkToFit="1"/>
    </xf>
    <xf numFmtId="3" fontId="26" fillId="2" borderId="1" xfId="0" applyNumberFormat="1" applyFont="1" applyFill="1" applyBorder="1" applyAlignment="1">
      <alignment horizontal="center" vertical="center" wrapText="1" shrinkToFit="1"/>
    </xf>
    <xf numFmtId="3" fontId="26" fillId="2" borderId="58" xfId="0" applyNumberFormat="1" applyFont="1" applyFill="1" applyBorder="1" applyAlignment="1">
      <alignment horizontal="center" vertical="center" wrapText="1" shrinkToFit="1"/>
    </xf>
    <xf numFmtId="9" fontId="26" fillId="2" borderId="116" xfId="2" applyFont="1" applyFill="1" applyBorder="1" applyAlignment="1">
      <alignment horizontal="center" vertical="center" wrapText="1" shrinkToFit="1"/>
    </xf>
    <xf numFmtId="9" fontId="26" fillId="2" borderId="117" xfId="2" applyFont="1" applyFill="1" applyBorder="1" applyAlignment="1">
      <alignment horizontal="center" vertical="center" wrapText="1" shrinkToFit="1"/>
    </xf>
    <xf numFmtId="9" fontId="26" fillId="2" borderId="121" xfId="2" applyFont="1" applyFill="1" applyBorder="1" applyAlignment="1">
      <alignment horizontal="center" vertical="center" wrapText="1" shrinkToFit="1"/>
    </xf>
    <xf numFmtId="3" fontId="59" fillId="2" borderId="58" xfId="0" applyNumberFormat="1" applyFont="1" applyFill="1" applyBorder="1" applyAlignment="1">
      <alignment horizontal="center" vertical="center" wrapText="1" shrinkToFit="1"/>
    </xf>
    <xf numFmtId="3" fontId="59" fillId="2" borderId="21" xfId="0" applyNumberFormat="1" applyFont="1" applyFill="1" applyBorder="1" applyAlignment="1">
      <alignment horizontal="center" vertical="center" wrapText="1" shrinkToFit="1"/>
    </xf>
    <xf numFmtId="3" fontId="59" fillId="2" borderId="7" xfId="0" applyNumberFormat="1" applyFont="1" applyFill="1" applyBorder="1" applyAlignment="1">
      <alignment horizontal="center" vertical="center" wrapText="1" shrinkToFit="1"/>
    </xf>
    <xf numFmtId="3" fontId="59" fillId="2" borderId="8" xfId="0" applyNumberFormat="1" applyFont="1" applyFill="1" applyBorder="1" applyAlignment="1">
      <alignment horizontal="center" vertical="center" wrapText="1" shrinkToFit="1"/>
    </xf>
    <xf numFmtId="3" fontId="59" fillId="2" borderId="29" xfId="0" applyNumberFormat="1" applyFont="1" applyFill="1" applyBorder="1" applyAlignment="1">
      <alignment horizontal="center" vertical="center" wrapText="1" shrinkToFit="1"/>
    </xf>
    <xf numFmtId="3" fontId="15" fillId="2" borderId="115" xfId="0" applyNumberFormat="1" applyFont="1" applyFill="1" applyBorder="1" applyAlignment="1">
      <alignment horizontal="center" vertical="center" wrapText="1" shrinkToFit="1"/>
    </xf>
    <xf numFmtId="3" fontId="15" fillId="2" borderId="122" xfId="0" applyNumberFormat="1" applyFont="1" applyFill="1" applyBorder="1" applyAlignment="1">
      <alignment horizontal="center" vertical="center" wrapText="1" shrinkToFit="1"/>
    </xf>
    <xf numFmtId="3" fontId="92" fillId="3" borderId="7" xfId="0" applyNumberFormat="1" applyFont="1" applyFill="1" applyBorder="1" applyAlignment="1">
      <alignment horizontal="center" vertical="center" wrapText="1" shrinkToFit="1"/>
    </xf>
    <xf numFmtId="3" fontId="92" fillId="3" borderId="8" xfId="0" applyNumberFormat="1" applyFont="1" applyFill="1" applyBorder="1" applyAlignment="1">
      <alignment horizontal="center" vertical="center" wrapText="1" shrinkToFit="1"/>
    </xf>
    <xf numFmtId="3" fontId="22" fillId="0" borderId="27" xfId="0" applyNumberFormat="1" applyFont="1" applyBorder="1" applyAlignment="1">
      <alignment horizontal="center" vertical="center" wrapText="1" shrinkToFit="1"/>
    </xf>
    <xf numFmtId="3" fontId="14" fillId="2" borderId="8" xfId="0" applyNumberFormat="1" applyFont="1" applyFill="1" applyBorder="1" applyAlignment="1">
      <alignment horizontal="center" vertical="center" wrapText="1" shrinkToFit="1"/>
    </xf>
    <xf numFmtId="38" fontId="22" fillId="0" borderId="27" xfId="0" applyNumberFormat="1" applyFont="1" applyBorder="1" applyAlignment="1">
      <alignment horizontal="center" vertical="center" wrapText="1" shrinkToFit="1"/>
    </xf>
    <xf numFmtId="3" fontId="20" fillId="2" borderId="29" xfId="0" applyNumberFormat="1" applyFont="1" applyFill="1" applyBorder="1" applyAlignment="1">
      <alignment horizontal="center" vertical="center" wrapText="1" shrinkToFit="1"/>
    </xf>
    <xf numFmtId="3" fontId="20" fillId="2" borderId="30" xfId="0" applyNumberFormat="1" applyFont="1" applyFill="1" applyBorder="1" applyAlignment="1">
      <alignment horizontal="center" vertical="center" wrapText="1" shrinkToFit="1"/>
    </xf>
    <xf numFmtId="0" fontId="81" fillId="8" borderId="79" xfId="0" quotePrefix="1" applyFont="1" applyFill="1" applyBorder="1" applyAlignment="1">
      <alignment horizontal="center" vertical="center"/>
    </xf>
    <xf numFmtId="0" fontId="81" fillId="8" borderId="20" xfId="0" quotePrefix="1" applyFont="1" applyFill="1" applyBorder="1" applyAlignment="1">
      <alignment horizontal="center" vertical="center"/>
    </xf>
    <xf numFmtId="0" fontId="45" fillId="8" borderId="79" xfId="0" applyFont="1" applyFill="1" applyBorder="1" applyAlignment="1">
      <alignment vertical="center"/>
    </xf>
    <xf numFmtId="0" fontId="45" fillId="8" borderId="20" xfId="0" applyFont="1" applyFill="1" applyBorder="1" applyAlignment="1">
      <alignment vertical="center"/>
    </xf>
    <xf numFmtId="215" fontId="88" fillId="8" borderId="79" xfId="0" applyNumberFormat="1" applyFont="1" applyFill="1" applyBorder="1" applyAlignment="1">
      <alignment horizontal="center" vertical="center"/>
    </xf>
    <xf numFmtId="215" fontId="88" fillId="8" borderId="20" xfId="0" applyNumberFormat="1" applyFont="1" applyFill="1" applyBorder="1" applyAlignment="1">
      <alignment horizontal="center" vertical="center"/>
    </xf>
    <xf numFmtId="0" fontId="68" fillId="8" borderId="88" xfId="0" applyFont="1" applyFill="1" applyBorder="1"/>
    <xf numFmtId="0" fontId="68" fillId="8" borderId="92" xfId="0" applyFont="1" applyFill="1" applyBorder="1"/>
    <xf numFmtId="0" fontId="33" fillId="8" borderId="97" xfId="0" applyFont="1" applyFill="1" applyBorder="1" applyAlignment="1">
      <alignment horizontal="center" vertical="center"/>
    </xf>
    <xf numFmtId="0" fontId="33" fillId="8" borderId="98" xfId="0" applyFont="1" applyFill="1" applyBorder="1" applyAlignment="1">
      <alignment horizontal="center" vertical="center"/>
    </xf>
    <xf numFmtId="227" fontId="83" fillId="8" borderId="77" xfId="0" applyNumberFormat="1" applyFont="1" applyFill="1" applyBorder="1" applyAlignment="1">
      <alignment horizontal="center" vertical="center"/>
    </xf>
    <xf numFmtId="227" fontId="83" fillId="8" borderId="91" xfId="0" applyNumberFormat="1" applyFont="1" applyFill="1" applyBorder="1" applyAlignment="1">
      <alignment horizontal="center" vertical="center"/>
    </xf>
    <xf numFmtId="187" fontId="42" fillId="8" borderId="0" xfId="0" applyNumberFormat="1" applyFont="1" applyFill="1" applyAlignment="1">
      <alignment horizontal="center" vertical="center"/>
    </xf>
    <xf numFmtId="187" fontId="42" fillId="8" borderId="20" xfId="0" applyNumberFormat="1" applyFont="1" applyFill="1" applyBorder="1" applyAlignment="1">
      <alignment horizontal="center" vertical="center"/>
    </xf>
    <xf numFmtId="215" fontId="87" fillId="8" borderId="79" xfId="0" applyNumberFormat="1" applyFont="1" applyFill="1" applyBorder="1" applyAlignment="1">
      <alignment horizontal="center" vertical="center"/>
    </xf>
    <xf numFmtId="215" fontId="87" fillId="8" borderId="20" xfId="0" applyNumberFormat="1" applyFont="1" applyFill="1" applyBorder="1" applyAlignment="1">
      <alignment horizontal="center" vertical="center"/>
    </xf>
    <xf numFmtId="0" fontId="33" fillId="8" borderId="79" xfId="0" applyFont="1" applyFill="1" applyBorder="1" applyAlignment="1">
      <alignment vertical="center"/>
    </xf>
    <xf numFmtId="0" fontId="33" fillId="8" borderId="20" xfId="0" applyFont="1" applyFill="1" applyBorder="1" applyAlignment="1">
      <alignment vertical="center"/>
    </xf>
    <xf numFmtId="3" fontId="34" fillId="8" borderId="79" xfId="0" applyNumberFormat="1" applyFont="1" applyFill="1" applyBorder="1" applyAlignment="1">
      <alignment horizontal="center" vertical="center" wrapText="1" shrinkToFit="1"/>
    </xf>
    <xf numFmtId="3" fontId="34" fillId="8" borderId="20" xfId="0" applyNumberFormat="1" applyFont="1" applyFill="1" applyBorder="1" applyAlignment="1">
      <alignment horizontal="center" vertical="center" wrapText="1" shrinkToFit="1"/>
    </xf>
    <xf numFmtId="3" fontId="40" fillId="8" borderId="89" xfId="0" applyNumberFormat="1" applyFont="1" applyFill="1" applyBorder="1" applyAlignment="1">
      <alignment horizontal="center" vertical="center"/>
    </xf>
    <xf numFmtId="3" fontId="40" fillId="8" borderId="92" xfId="0" applyNumberFormat="1" applyFont="1" applyFill="1" applyBorder="1" applyAlignment="1">
      <alignment horizontal="center" vertical="center"/>
    </xf>
    <xf numFmtId="38" fontId="78" fillId="8" borderId="79" xfId="2" applyNumberFormat="1" applyFont="1" applyFill="1" applyBorder="1" applyAlignment="1">
      <alignment horizontal="center" vertical="center"/>
    </xf>
    <xf numFmtId="38" fontId="78" fillId="8" borderId="20" xfId="2" applyNumberFormat="1" applyFont="1" applyFill="1" applyBorder="1" applyAlignment="1">
      <alignment horizontal="center" vertical="center"/>
    </xf>
    <xf numFmtId="38" fontId="38" fillId="8" borderId="80" xfId="0" applyNumberFormat="1" applyFont="1" applyFill="1" applyBorder="1" applyAlignment="1">
      <alignment horizontal="right" vertical="center"/>
    </xf>
    <xf numFmtId="38" fontId="38" fillId="8" borderId="90" xfId="0" applyNumberFormat="1" applyFont="1" applyFill="1" applyBorder="1" applyAlignment="1">
      <alignment horizontal="right" vertical="center"/>
    </xf>
    <xf numFmtId="9" fontId="68" fillId="8" borderId="77" xfId="2" applyFont="1" applyFill="1" applyBorder="1" applyAlignment="1">
      <alignment horizontal="center" vertical="center" wrapText="1"/>
    </xf>
    <xf numFmtId="9" fontId="68" fillId="8" borderId="91" xfId="2" applyFont="1" applyFill="1" applyBorder="1" applyAlignment="1">
      <alignment horizontal="center" vertical="center" wrapText="1"/>
    </xf>
    <xf numFmtId="9" fontId="68" fillId="8" borderId="76" xfId="2" applyFont="1" applyFill="1" applyBorder="1" applyAlignment="1">
      <alignment horizontal="center" vertical="center" wrapText="1"/>
    </xf>
    <xf numFmtId="9" fontId="68" fillId="8" borderId="90" xfId="2" applyFont="1" applyFill="1" applyBorder="1" applyAlignment="1">
      <alignment horizontal="center" vertical="center" wrapText="1"/>
    </xf>
    <xf numFmtId="0" fontId="39" fillId="8" borderId="77" xfId="0" applyFont="1" applyFill="1" applyBorder="1" applyAlignment="1">
      <alignment horizontal="center" vertical="center" wrapText="1"/>
    </xf>
    <xf numFmtId="0" fontId="39" fillId="8" borderId="0" xfId="0" applyFont="1" applyFill="1" applyAlignment="1">
      <alignment horizontal="center" vertical="center" wrapText="1"/>
    </xf>
    <xf numFmtId="0" fontId="39" fillId="8" borderId="76" xfId="0" applyFont="1" applyFill="1" applyBorder="1" applyAlignment="1">
      <alignment horizontal="center" vertical="center" wrapText="1"/>
    </xf>
    <xf numFmtId="38" fontId="78" fillId="8" borderId="78" xfId="2" applyNumberFormat="1" applyFont="1" applyFill="1" applyBorder="1" applyAlignment="1">
      <alignment horizontal="center" vertical="center"/>
    </xf>
    <xf numFmtId="38" fontId="78" fillId="8" borderId="91" xfId="2" applyNumberFormat="1" applyFont="1" applyFill="1" applyBorder="1" applyAlignment="1">
      <alignment horizontal="center" vertical="center"/>
    </xf>
    <xf numFmtId="0" fontId="85" fillId="8" borderId="0" xfId="0" applyFont="1" applyFill="1" applyAlignment="1">
      <alignment horizontal="center" vertical="center"/>
    </xf>
    <xf numFmtId="0" fontId="85" fillId="8" borderId="76" xfId="0" applyFont="1" applyFill="1" applyBorder="1" applyAlignment="1">
      <alignment horizontal="center" vertical="center"/>
    </xf>
    <xf numFmtId="0" fontId="74" fillId="8" borderId="78" xfId="0" applyFont="1" applyFill="1" applyBorder="1" applyAlignment="1">
      <alignment horizontal="center" wrapText="1"/>
    </xf>
    <xf numFmtId="0" fontId="74" fillId="8" borderId="79" xfId="0" applyFont="1" applyFill="1" applyBorder="1" applyAlignment="1">
      <alignment horizontal="center" wrapText="1"/>
    </xf>
    <xf numFmtId="10" fontId="74" fillId="8" borderId="79" xfId="0" applyNumberFormat="1" applyFont="1" applyFill="1" applyBorder="1" applyAlignment="1">
      <alignment horizontal="center" vertical="center"/>
    </xf>
    <xf numFmtId="10" fontId="74" fillId="8" borderId="20" xfId="0" applyNumberFormat="1" applyFont="1" applyFill="1" applyBorder="1" applyAlignment="1">
      <alignment horizontal="center" vertical="center"/>
    </xf>
    <xf numFmtId="10" fontId="74" fillId="8" borderId="80" xfId="0" applyNumberFormat="1" applyFont="1" applyFill="1" applyBorder="1" applyAlignment="1">
      <alignment horizontal="center" vertical="center"/>
    </xf>
    <xf numFmtId="10" fontId="74" fillId="8" borderId="90" xfId="0" applyNumberFormat="1" applyFont="1" applyFill="1" applyBorder="1" applyAlignment="1">
      <alignment horizontal="center" vertical="center"/>
    </xf>
    <xf numFmtId="0" fontId="74" fillId="8" borderId="84" xfId="0" applyFont="1" applyFill="1" applyBorder="1" applyAlignment="1">
      <alignment horizontal="center" wrapText="1" readingOrder="2"/>
    </xf>
    <xf numFmtId="0" fontId="74" fillId="8" borderId="85" xfId="0" applyFont="1" applyFill="1" applyBorder="1" applyAlignment="1">
      <alignment horizontal="center" wrapText="1" readingOrder="2"/>
    </xf>
    <xf numFmtId="10" fontId="74" fillId="8" borderId="85" xfId="0" applyNumberFormat="1" applyFont="1" applyFill="1" applyBorder="1" applyAlignment="1">
      <alignment horizontal="center" vertical="center"/>
    </xf>
    <xf numFmtId="10" fontId="74" fillId="8" borderId="86" xfId="0" applyNumberFormat="1" applyFont="1" applyFill="1" applyBorder="1" applyAlignment="1">
      <alignment horizontal="center" vertical="center"/>
    </xf>
    <xf numFmtId="0" fontId="36" fillId="2" borderId="0" xfId="0" applyFont="1" applyFill="1" applyAlignment="1">
      <alignment horizontal="left" vertical="center" wrapText="1"/>
    </xf>
    <xf numFmtId="0" fontId="36" fillId="2" borderId="20" xfId="0" applyFont="1" applyFill="1" applyBorder="1" applyAlignment="1">
      <alignment horizontal="left" vertical="center" wrapText="1"/>
    </xf>
    <xf numFmtId="9" fontId="84" fillId="8" borderId="108" xfId="0" applyNumberFormat="1" applyFont="1" applyFill="1" applyBorder="1" applyAlignment="1">
      <alignment horizontal="center" vertical="center"/>
    </xf>
    <xf numFmtId="9" fontId="84" fillId="8" borderId="109" xfId="0" applyNumberFormat="1" applyFont="1" applyFill="1" applyBorder="1" applyAlignment="1">
      <alignment horizontal="center" vertical="center"/>
    </xf>
    <xf numFmtId="179" fontId="33" fillId="8" borderId="76" xfId="0" applyNumberFormat="1" applyFont="1" applyFill="1" applyBorder="1" applyAlignment="1">
      <alignment horizontal="center" vertical="center" wrapText="1" shrinkToFit="1"/>
    </xf>
    <xf numFmtId="9" fontId="84" fillId="8" borderId="106" xfId="0" applyNumberFormat="1" applyFont="1" applyFill="1" applyBorder="1" applyAlignment="1">
      <alignment horizontal="center" vertical="center"/>
    </xf>
    <xf numFmtId="9" fontId="84" fillId="8" borderId="107" xfId="0" applyNumberFormat="1" applyFont="1" applyFill="1" applyBorder="1" applyAlignment="1">
      <alignment horizontal="center" vertical="center"/>
    </xf>
    <xf numFmtId="3" fontId="84" fillId="8" borderId="108" xfId="0" applyNumberFormat="1" applyFont="1" applyFill="1" applyBorder="1" applyAlignment="1">
      <alignment horizontal="center" vertical="center"/>
    </xf>
    <xf numFmtId="3" fontId="84" fillId="8" borderId="109" xfId="0" applyNumberFormat="1" applyFont="1" applyFill="1" applyBorder="1" applyAlignment="1">
      <alignment horizontal="center" vertical="center"/>
    </xf>
    <xf numFmtId="3" fontId="46" fillId="8" borderId="0" xfId="0" applyNumberFormat="1" applyFont="1" applyFill="1" applyAlignment="1">
      <alignment horizontal="center" vertical="center" wrapText="1"/>
    </xf>
    <xf numFmtId="3" fontId="33" fillId="8" borderId="76" xfId="0" applyNumberFormat="1" applyFont="1" applyFill="1" applyBorder="1" applyAlignment="1">
      <alignment horizontal="center" vertical="center" wrapText="1" shrinkToFit="1"/>
    </xf>
    <xf numFmtId="9" fontId="46" fillId="8" borderId="0" xfId="0" applyNumberFormat="1" applyFont="1" applyFill="1" applyAlignment="1">
      <alignment horizontal="center" vertical="center" wrapText="1"/>
    </xf>
    <xf numFmtId="3" fontId="28" fillId="8" borderId="77" xfId="0" applyNumberFormat="1" applyFont="1" applyFill="1" applyBorder="1" applyAlignment="1">
      <alignment horizontal="center" vertical="center" wrapText="1" shrinkToFit="1"/>
    </xf>
    <xf numFmtId="3" fontId="28" fillId="8" borderId="76" xfId="0" applyNumberFormat="1" applyFont="1" applyFill="1" applyBorder="1" applyAlignment="1">
      <alignment horizontal="center" vertical="center" wrapText="1" shrinkToFit="1"/>
    </xf>
    <xf numFmtId="0" fontId="74" fillId="8" borderId="91" xfId="0" applyFont="1" applyFill="1" applyBorder="1" applyAlignment="1">
      <alignment horizontal="center" wrapText="1"/>
    </xf>
    <xf numFmtId="0" fontId="74" fillId="8" borderId="20" xfId="0" applyFont="1" applyFill="1" applyBorder="1" applyAlignment="1">
      <alignment horizontal="center" wrapText="1"/>
    </xf>
    <xf numFmtId="0" fontId="36" fillId="2" borderId="35" xfId="0" applyFont="1" applyFill="1" applyBorder="1" applyAlignment="1">
      <alignment horizontal="center" vertical="center"/>
    </xf>
    <xf numFmtId="0" fontId="36" fillId="2" borderId="0" xfId="0" applyFont="1" applyFill="1" applyAlignment="1">
      <alignment horizontal="center" vertical="center"/>
    </xf>
    <xf numFmtId="3" fontId="35" fillId="8" borderId="77" xfId="0" applyNumberFormat="1" applyFont="1" applyFill="1" applyBorder="1" applyAlignment="1">
      <alignment horizontal="center" vertical="center" wrapText="1" shrinkToFit="1"/>
    </xf>
    <xf numFmtId="3" fontId="35" fillId="8" borderId="76" xfId="0" applyNumberFormat="1" applyFont="1" applyFill="1" applyBorder="1" applyAlignment="1">
      <alignment horizontal="center" vertical="center" wrapText="1" shrinkToFit="1"/>
    </xf>
    <xf numFmtId="3" fontId="35" fillId="8" borderId="78" xfId="0" applyNumberFormat="1" applyFont="1" applyFill="1" applyBorder="1" applyAlignment="1">
      <alignment horizontal="center" vertical="center" wrapText="1" shrinkToFit="1"/>
    </xf>
    <xf numFmtId="3" fontId="35" fillId="8" borderId="80" xfId="0" applyNumberFormat="1" applyFont="1" applyFill="1" applyBorder="1" applyAlignment="1">
      <alignment horizontal="center" vertical="center" wrapText="1" shrinkToFit="1"/>
    </xf>
    <xf numFmtId="0" fontId="73" fillId="2" borderId="34" xfId="0" applyFont="1" applyFill="1" applyBorder="1" applyAlignment="1">
      <alignment horizontal="center" vertical="center" wrapText="1"/>
    </xf>
    <xf numFmtId="0" fontId="73" fillId="2" borderId="27" xfId="0" applyFont="1" applyFill="1" applyBorder="1" applyAlignment="1">
      <alignment horizontal="center" vertical="center"/>
    </xf>
    <xf numFmtId="0" fontId="73" fillId="2" borderId="50" xfId="0" applyFont="1" applyFill="1" applyBorder="1" applyAlignment="1">
      <alignment horizontal="center" vertical="center"/>
    </xf>
    <xf numFmtId="0" fontId="73" fillId="2" borderId="35" xfId="0" applyFont="1" applyFill="1" applyBorder="1" applyAlignment="1">
      <alignment horizontal="center" vertical="center"/>
    </xf>
    <xf numFmtId="0" fontId="73" fillId="2" borderId="0" xfId="0" applyFont="1" applyFill="1" applyAlignment="1">
      <alignment horizontal="center" vertical="center"/>
    </xf>
    <xf numFmtId="0" fontId="73" fillId="2" borderId="20" xfId="0" applyFont="1" applyFill="1" applyBorder="1" applyAlignment="1">
      <alignment horizontal="center" vertical="center"/>
    </xf>
    <xf numFmtId="0" fontId="46" fillId="8" borderId="96" xfId="0" applyFont="1" applyFill="1" applyBorder="1" applyAlignment="1">
      <alignment horizontal="center" vertical="center" wrapText="1"/>
    </xf>
    <xf numFmtId="0" fontId="46" fillId="8" borderId="0" xfId="0" applyFont="1" applyFill="1" applyAlignment="1">
      <alignment horizontal="center" vertical="center" wrapText="1"/>
    </xf>
    <xf numFmtId="0" fontId="46" fillId="8" borderId="76" xfId="0" applyFont="1" applyFill="1" applyBorder="1" applyAlignment="1">
      <alignment horizontal="center" vertical="center" wrapText="1"/>
    </xf>
    <xf numFmtId="220" fontId="44" fillId="8" borderId="79" xfId="0" applyNumberFormat="1" applyFont="1" applyFill="1" applyBorder="1" applyAlignment="1">
      <alignment horizontal="center" vertical="top" wrapText="1" shrinkToFit="1"/>
    </xf>
    <xf numFmtId="220" fontId="44" fillId="8" borderId="80" xfId="0" applyNumberFormat="1" applyFont="1" applyFill="1" applyBorder="1" applyAlignment="1">
      <alignment horizontal="center" vertical="top" wrapText="1" shrinkToFit="1"/>
    </xf>
    <xf numFmtId="186" fontId="33" fillId="8" borderId="97" xfId="0" applyNumberFormat="1" applyFont="1" applyFill="1" applyBorder="1" applyAlignment="1">
      <alignment horizontal="center" vertical="center"/>
    </xf>
    <xf numFmtId="186" fontId="33" fillId="8" borderId="79" xfId="0" applyNumberFormat="1" applyFont="1" applyFill="1" applyBorder="1" applyAlignment="1">
      <alignment horizontal="center" vertical="center"/>
    </xf>
    <xf numFmtId="220" fontId="45" fillId="8" borderId="79" xfId="0" applyNumberFormat="1" applyFont="1" applyFill="1" applyBorder="1" applyAlignment="1">
      <alignment horizontal="center" vertical="top" wrapText="1" shrinkToFit="1"/>
    </xf>
    <xf numFmtId="220" fontId="45" fillId="8" borderId="80" xfId="0" applyNumberFormat="1" applyFont="1" applyFill="1" applyBorder="1" applyAlignment="1">
      <alignment horizontal="center" vertical="top" wrapText="1" shrinkToFit="1"/>
    </xf>
    <xf numFmtId="3" fontId="45" fillId="8" borderId="79" xfId="0" applyNumberFormat="1" applyFont="1" applyFill="1" applyBorder="1" applyAlignment="1">
      <alignment horizontal="center" vertical="center"/>
    </xf>
    <xf numFmtId="3" fontId="45" fillId="8" borderId="20" xfId="0" applyNumberFormat="1" applyFont="1" applyFill="1" applyBorder="1" applyAlignment="1">
      <alignment horizontal="center" vertical="center"/>
    </xf>
    <xf numFmtId="3" fontId="44" fillId="8" borderId="79" xfId="0" applyNumberFormat="1" applyFont="1" applyFill="1" applyBorder="1" applyAlignment="1">
      <alignment horizontal="center" vertical="center"/>
    </xf>
    <xf numFmtId="3" fontId="44" fillId="8" borderId="20" xfId="0" applyNumberFormat="1" applyFont="1" applyFill="1" applyBorder="1" applyAlignment="1">
      <alignment horizontal="center" vertical="center"/>
    </xf>
    <xf numFmtId="0" fontId="33" fillId="8" borderId="79" xfId="0" applyFont="1" applyFill="1" applyBorder="1" applyAlignment="1">
      <alignment horizontal="center" vertical="center"/>
    </xf>
    <xf numFmtId="0" fontId="33" fillId="8" borderId="20" xfId="0" applyFont="1" applyFill="1" applyBorder="1" applyAlignment="1">
      <alignment horizontal="center" vertical="center"/>
    </xf>
    <xf numFmtId="220" fontId="45" fillId="8" borderId="20" xfId="0" applyNumberFormat="1" applyFont="1" applyFill="1" applyBorder="1" applyAlignment="1">
      <alignment horizontal="center" vertical="top" wrapText="1" shrinkToFit="1"/>
    </xf>
    <xf numFmtId="220" fontId="45" fillId="8" borderId="90" xfId="0" applyNumberFormat="1" applyFont="1" applyFill="1" applyBorder="1" applyAlignment="1">
      <alignment horizontal="center" vertical="top" wrapText="1" shrinkToFit="1"/>
    </xf>
    <xf numFmtId="186" fontId="33" fillId="8" borderId="98" xfId="0" applyNumberFormat="1" applyFont="1" applyFill="1" applyBorder="1" applyAlignment="1">
      <alignment horizontal="center" vertical="center"/>
    </xf>
    <xf numFmtId="186" fontId="33" fillId="8" borderId="20" xfId="0" applyNumberFormat="1" applyFont="1" applyFill="1" applyBorder="1" applyAlignment="1">
      <alignment horizontal="center" vertical="center"/>
    </xf>
  </cellXfs>
  <cellStyles count="7">
    <cellStyle name="Comma" xfId="1" builtinId="3"/>
    <cellStyle name="Hyperlink 2 2" xfId="6" xr:uid="{F857CD42-FAF6-4001-9027-E799028C2A35}"/>
    <cellStyle name="Normal 2" xfId="4" xr:uid="{649C2474-32A7-406A-9BD6-B513CF017EAB}"/>
    <cellStyle name="Normal 2 2" xfId="5" xr:uid="{51822DF2-0B17-415B-8366-D7DD00ACC6C8}"/>
    <cellStyle name="Percent" xfId="2" builtinId="5"/>
    <cellStyle name="ارتباط تشعبي" xfId="3" builtinId="8"/>
    <cellStyle name="عادي" xfId="0" builtinId="0"/>
  </cellStyles>
  <dxfs count="94">
    <dxf>
      <font>
        <color theme="0" tint="-0.14996795556505021"/>
      </font>
    </dxf>
    <dxf>
      <font>
        <color theme="0" tint="-0.14996795556505021"/>
      </font>
    </dxf>
    <dxf>
      <font>
        <color theme="0" tint="-0.14996795556505021"/>
      </font>
    </dxf>
    <dxf>
      <font>
        <color rgb="FFC00000"/>
      </font>
    </dxf>
    <dxf>
      <font>
        <color theme="0" tint="-0.14996795556505021"/>
      </font>
    </dxf>
    <dxf>
      <font>
        <color theme="0" tint="-0.14996795556505021"/>
      </font>
    </dxf>
    <dxf>
      <font>
        <color theme="9" tint="-0.24994659260841701"/>
      </font>
    </dxf>
    <dxf>
      <font>
        <color rgb="FFC0000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4.9989318521683403E-2"/>
      </font>
    </dxf>
    <dxf>
      <font>
        <color rgb="FFC0000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rgb="FF7030A0"/>
      </font>
    </dxf>
    <dxf>
      <font>
        <color theme="0" tint="-0.14996795556505021"/>
      </font>
    </dxf>
    <dxf>
      <font>
        <color theme="0" tint="-0.14996795556505021"/>
      </font>
    </dxf>
    <dxf>
      <font>
        <color rgb="FFC00000"/>
      </font>
    </dxf>
    <dxf>
      <font>
        <color rgb="FFC00000"/>
      </font>
    </dxf>
    <dxf>
      <font>
        <color theme="0" tint="-0.14996795556505021"/>
      </font>
    </dxf>
    <dxf>
      <font>
        <color theme="0" tint="-0.14996795556505021"/>
      </font>
    </dxf>
    <dxf>
      <font>
        <color theme="0" tint="-0.14996795556505021"/>
      </font>
    </dxf>
    <dxf>
      <font>
        <color rgb="FFC0000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rgb="FFC00000"/>
      </font>
    </dxf>
    <dxf>
      <font>
        <color theme="0" tint="-0.14996795556505021"/>
      </font>
    </dxf>
    <dxf>
      <font>
        <color theme="0" tint="-0.14996795556505021"/>
      </font>
    </dxf>
    <dxf>
      <font>
        <color theme="9" tint="-0.24994659260841701"/>
      </font>
    </dxf>
    <dxf>
      <font>
        <color rgb="FFC0000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4.9989318521683403E-2"/>
      </font>
    </dxf>
    <dxf>
      <font>
        <color rgb="FFC00000"/>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font>
    </dxf>
    <dxf>
      <font>
        <color theme="0" tint="-0.14996795556505021"/>
      </font>
    </dxf>
    <dxf>
      <font>
        <color rgb="FF7030A0"/>
      </font>
    </dxf>
    <dxf>
      <font>
        <color theme="0" tint="-0.14996795556505021"/>
      </font>
    </dxf>
    <dxf>
      <font>
        <color rgb="FFC00000"/>
      </font>
    </dxf>
    <dxf>
      <font>
        <color rgb="FFC00000"/>
      </font>
    </dxf>
    <dxf>
      <font>
        <color theme="0" tint="-0.14996795556505021"/>
      </font>
    </dxf>
    <dxf>
      <font>
        <color theme="0" tint="-0.14996795556505021"/>
      </font>
    </dxf>
    <dxf>
      <font>
        <color theme="0" tint="-0.14996795556505021"/>
      </font>
    </dxf>
    <dxf>
      <font>
        <color rgb="FFC00000"/>
      </font>
    </dxf>
    <dxf>
      <font>
        <color theme="0" tint="-0.14996795556505021"/>
      </font>
    </dxf>
    <dxf>
      <font>
        <color theme="0" tint="-0.14996795556505021"/>
      </font>
    </dxf>
    <dxf>
      <font>
        <color theme="0" tint="-0.14996795556505021"/>
      </font>
    </dxf>
    <dxf>
      <font>
        <b val="0"/>
        <i val="0"/>
        <strike val="0"/>
        <condense val="0"/>
        <extend val="0"/>
        <outline val="0"/>
        <shadow val="0"/>
        <u val="none"/>
        <vertAlign val="baseline"/>
        <sz val="7"/>
        <color rgb="FFA0A0A0"/>
        <name val="Calibri"/>
        <family val="2"/>
        <scheme val="none"/>
      </font>
      <numFmt numFmtId="3" formatCode="#,##0"/>
      <alignment horizontal="center" vertical="center" textRotation="0" wrapText="1" indent="0" justifyLastLine="0" shrinkToFit="1" readingOrder="0"/>
      <border diagonalUp="0" diagonalDown="0" outline="0">
        <left style="thin">
          <color rgb="FFA0A0A0"/>
        </left>
        <right/>
        <top style="thin">
          <color rgb="FFA0A0A0"/>
        </top>
        <bottom style="thin">
          <color rgb="FFA0A0A0"/>
        </bottom>
      </border>
    </dxf>
    <dxf>
      <font>
        <b val="0"/>
        <i val="0"/>
        <strike val="0"/>
        <condense val="0"/>
        <extend val="0"/>
        <outline val="0"/>
        <shadow val="0"/>
        <u val="none"/>
        <vertAlign val="baseline"/>
        <sz val="8"/>
        <color rgb="FFA0A0A0"/>
        <name val="Calibri"/>
        <family val="2"/>
        <scheme val="none"/>
      </font>
      <numFmt numFmtId="3" formatCode="#,##0"/>
      <alignment horizontal="center" vertical="center" textRotation="0" wrapText="1" indent="0" justifyLastLine="0" shrinkToFit="1" readingOrder="0"/>
      <border diagonalUp="0" diagonalDown="0" outline="0">
        <left/>
        <right style="thin">
          <color rgb="FFA0A0A0"/>
        </right>
        <top style="thin">
          <color rgb="FFA0A0A0"/>
        </top>
        <bottom style="thin">
          <color rgb="FFA0A0A0"/>
        </bottom>
      </border>
    </dxf>
    <dxf>
      <border>
        <top style="thin">
          <color rgb="FFA0A0A0"/>
        </top>
      </border>
    </dxf>
    <dxf>
      <border diagonalUp="0" diagonalDown="0">
        <left style="thin">
          <color rgb="FFA0A0A0"/>
        </left>
        <right style="thin">
          <color rgb="FFA0A0A0"/>
        </right>
        <top style="thin">
          <color rgb="FFA0A0A0"/>
        </top>
        <bottom style="thin">
          <color rgb="FFA0A0A0"/>
        </bottom>
      </border>
    </dxf>
    <dxf>
      <font>
        <strike val="0"/>
        <outline val="0"/>
        <shadow val="0"/>
        <u val="none"/>
        <vertAlign val="baseline"/>
        <color rgb="FFA0A0A0"/>
        <name val="Calibri"/>
        <family val="2"/>
        <scheme val="none"/>
      </font>
    </dxf>
    <dxf>
      <border>
        <bottom style="thin">
          <color rgb="FFA0A0A0"/>
        </bottom>
      </border>
    </dxf>
    <dxf>
      <font>
        <strike val="0"/>
        <outline val="0"/>
        <shadow val="0"/>
        <u val="none"/>
        <vertAlign val="baseline"/>
        <color rgb="FFA0A0A0"/>
        <name val="Calibri"/>
        <family val="2"/>
        <scheme val="none"/>
      </font>
      <border diagonalUp="0" diagonalDown="0" outline="0">
        <left style="thin">
          <color rgb="FFA0A0A0"/>
        </left>
        <right style="thin">
          <color rgb="FFA0A0A0"/>
        </right>
        <top/>
        <bottom/>
      </border>
    </dxf>
    <dxf>
      <font>
        <color theme="0" tint="-4.9989318521683403E-2"/>
      </font>
    </dxf>
    <dxf>
      <font>
        <color rgb="FFC3A573"/>
      </font>
      <fill>
        <patternFill>
          <bgColor rgb="FFC3A573"/>
        </patternFill>
      </fill>
      <border>
        <left/>
        <right/>
        <top/>
        <bottom/>
        <vertical/>
        <horizontal/>
      </border>
    </dxf>
    <dxf>
      <font>
        <color rgb="FFD4BF9C"/>
      </font>
      <fill>
        <patternFill>
          <bgColor rgb="FFD4BF9C"/>
        </patternFill>
      </fill>
      <border>
        <left/>
        <right/>
        <top/>
        <bottom/>
        <vertical/>
        <horizontal/>
      </border>
    </dxf>
    <dxf>
      <font>
        <color rgb="FFE3D5BF"/>
      </font>
      <fill>
        <patternFill>
          <bgColor rgb="FFE3D5BF"/>
        </patternFill>
      </fill>
      <border>
        <left/>
        <right/>
        <top/>
        <bottom/>
        <vertical/>
        <horizontal/>
      </border>
    </dxf>
    <dxf>
      <font>
        <color rgb="FFEDE4D6"/>
      </font>
      <fill>
        <patternFill>
          <bgColor rgb="FFEDE4D6"/>
        </patternFill>
      </fill>
      <border>
        <left/>
        <right/>
        <top/>
        <bottom/>
        <vertical/>
        <horizontal/>
      </border>
    </dxf>
    <dxf>
      <font>
        <color rgb="FFB6A398"/>
      </font>
      <fill>
        <patternFill>
          <bgColor rgb="FFB6A398"/>
        </patternFill>
      </fill>
      <border>
        <left/>
        <right/>
        <top/>
        <bottom/>
        <vertical/>
        <horizontal/>
      </border>
    </dxf>
    <dxf>
      <font>
        <color rgb="FFE2DBD6"/>
      </font>
      <fill>
        <patternFill patternType="solid">
          <bgColor rgb="FFE2DBD6"/>
        </patternFill>
      </fill>
      <border>
        <left/>
        <right/>
        <top/>
        <bottom/>
        <vertical/>
        <horizontal/>
      </border>
    </dxf>
    <dxf>
      <font>
        <color rgb="FFC9BBB3"/>
      </font>
      <fill>
        <patternFill>
          <bgColor rgb="FFC9BBB3"/>
        </patternFill>
      </fill>
      <border>
        <left/>
        <right/>
        <top/>
        <bottom/>
        <vertical/>
        <horizontal/>
      </border>
    </dxf>
    <dxf>
      <font>
        <color rgb="FF846C5E"/>
      </font>
      <fill>
        <patternFill>
          <bgColor rgb="FF846C5E"/>
        </patternFill>
      </fill>
      <border>
        <left/>
        <right/>
        <top/>
        <bottom/>
        <vertical/>
        <horizontal/>
      </border>
    </dxf>
    <dxf>
      <font>
        <color rgb="FFD1C5BD"/>
      </font>
      <fill>
        <patternFill>
          <bgColor rgb="FFD1C5BD"/>
        </patternFill>
      </fill>
      <border>
        <left/>
        <right/>
        <top/>
        <bottom/>
        <vertical/>
        <horizontal/>
      </border>
    </dxf>
    <dxf>
      <font>
        <color rgb="FFD9D9D9"/>
      </font>
    </dxf>
    <dxf>
      <font>
        <color rgb="FFD9D9D9"/>
      </font>
    </dxf>
    <dxf>
      <font>
        <color rgb="FFD9D9D9"/>
      </font>
    </dxf>
    <dxf>
      <font>
        <color rgb="FFD9D9D9"/>
      </font>
    </dxf>
    <dxf>
      <font>
        <color rgb="FFD9D9D9"/>
      </font>
    </dxf>
  </dxfs>
  <tableStyles count="0" defaultTableStyle="TableStyleMedium2" defaultPivotStyle="PivotStyleLight16"/>
  <colors>
    <mruColors>
      <color rgb="FFEDE4D6"/>
      <color rgb="FFA0A0A0"/>
      <color rgb="FF777777"/>
      <color rgb="FFF2F0EE"/>
      <color rgb="FF000000"/>
      <color rgb="FFA4907E"/>
      <color rgb="FFF0EAE4"/>
      <color rgb="FFDACBBC"/>
      <color rgb="FFECE7E4"/>
      <color rgb="FF846C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b="1" baseline="0">
                <a:solidFill>
                  <a:srgbClr val="A4907E"/>
                </a:solidFill>
              </a:rPr>
              <a:t>تفصيل العناصر</a:t>
            </a:r>
            <a:r>
              <a:rPr lang="en-US" b="1" baseline="0">
                <a:solidFill>
                  <a:srgbClr val="A4907E"/>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Summary!$K$60</c:f>
              <c:strCache>
                <c:ptCount val="1"/>
                <c:pt idx="0">
                  <c:v>SR </c:v>
                </c:pt>
              </c:strCache>
            </c:strRef>
          </c:tx>
          <c:spPr>
            <a:solidFill>
              <a:srgbClr val="A4907E"/>
            </a:solidFill>
            <a:ln>
              <a:noFill/>
            </a:ln>
            <a:effectLst/>
          </c:spPr>
          <c:invertIfNegative val="0"/>
          <c:cat>
            <c:strRef>
              <c:f>Summary!$C$62:$C$69</c:f>
              <c:strCache>
                <c:ptCount val="5"/>
                <c:pt idx="0">
                  <c:v> الاشتراكات النقدية</c:v>
                </c:pt>
                <c:pt idx="1">
                  <c:v>الأشتراك العيني من المطور</c:v>
                </c:pt>
                <c:pt idx="2">
                  <c:v> الإشتراك العيني من مالك الأرض</c:v>
                </c:pt>
                <c:pt idx="3">
                  <c:v> التمويل البنكي</c:v>
                </c:pt>
                <c:pt idx="4">
                  <c:v>مصادر أخرى</c:v>
                </c:pt>
              </c:strCache>
            </c:strRef>
          </c:cat>
          <c:val>
            <c:numRef>
              <c:f>Summary!$K$62:$K$69</c:f>
              <c:numCache>
                <c:formatCode>#,##0</c:formatCode>
                <c:ptCount val="5"/>
                <c:pt idx="0">
                  <c:v>34500000</c:v>
                </c:pt>
                <c:pt idx="1">
                  <c:v>0</c:v>
                </c:pt>
                <c:pt idx="2">
                  <c:v>62809599.999999993</c:v>
                </c:pt>
                <c:pt idx="3">
                  <c:v>54352006</c:v>
                </c:pt>
                <c:pt idx="4">
                  <c:v>11491487.921728909</c:v>
                </c:pt>
              </c:numCache>
            </c:numRef>
          </c:val>
          <c:extLst>
            <c:ext xmlns:c16="http://schemas.microsoft.com/office/drawing/2014/chart" uri="{C3380CC4-5D6E-409C-BE32-E72D297353CC}">
              <c16:uniqueId val="{00000000-3BA8-42F2-A367-7EAEAE3235DF}"/>
            </c:ext>
          </c:extLst>
        </c:ser>
        <c:dLbls>
          <c:showLegendKey val="0"/>
          <c:showVal val="0"/>
          <c:showCatName val="0"/>
          <c:showSerName val="0"/>
          <c:showPercent val="0"/>
          <c:showBubbleSize val="0"/>
        </c:dLbls>
        <c:gapWidth val="219"/>
        <c:overlap val="-27"/>
        <c:axId val="1881578704"/>
        <c:axId val="1881564304"/>
      </c:barChart>
      <c:catAx>
        <c:axId val="188157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64304"/>
        <c:crosses val="autoZero"/>
        <c:auto val="1"/>
        <c:lblAlgn val="ctr"/>
        <c:lblOffset val="100"/>
        <c:noMultiLvlLbl val="0"/>
      </c:catAx>
      <c:valAx>
        <c:axId val="1881564304"/>
        <c:scaling>
          <c:orientation val="minMax"/>
        </c:scaling>
        <c:delete val="0"/>
        <c:axPos val="l"/>
        <c:majorGridlines>
          <c:spPr>
            <a:ln w="9525" cap="flat" cmpd="sng" algn="ctr">
              <a:solidFill>
                <a:srgbClr val="A4907E"/>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7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lang="ar-SA" sz="1400" b="0" i="0" u="none" strike="noStrike" kern="1200" spc="0" baseline="0">
                <a:solidFill>
                  <a:srgbClr val="A4907E"/>
                </a:solidFill>
                <a:latin typeface="+mn-lt"/>
                <a:ea typeface="+mn-ea"/>
                <a:cs typeface="+mn-cs"/>
              </a:defRPr>
            </a:pPr>
            <a:r>
              <a:rPr lang="ar-SA" sz="1400" b="1" i="0" u="none" strike="noStrike" kern="1200" spc="0" baseline="0">
                <a:solidFill>
                  <a:srgbClr val="A4907E"/>
                </a:solidFill>
                <a:latin typeface="+mn-lt"/>
                <a:ea typeface="+mn-ea"/>
                <a:cs typeface="+mn-cs"/>
              </a:rPr>
              <a:t>العناصر الاساسية</a:t>
            </a:r>
          </a:p>
        </c:rich>
      </c:tx>
      <c:overlay val="0"/>
      <c:spPr>
        <a:noFill/>
        <a:ln>
          <a:noFill/>
        </a:ln>
        <a:effectLst/>
      </c:spPr>
      <c:txPr>
        <a:bodyPr rot="0" spcFirstLastPara="1" vertOverflow="ellipsis" vert="horz" wrap="square" anchor="ctr" anchorCtr="1"/>
        <a:lstStyle/>
        <a:p>
          <a:pPr>
            <a:defRPr lang="ar-SA" sz="1400" b="0" i="0" u="none" strike="noStrike" kern="1200" spc="0" baseline="0">
              <a:solidFill>
                <a:srgbClr val="A4907E"/>
              </a:solidFill>
              <a:latin typeface="+mn-lt"/>
              <a:ea typeface="+mn-ea"/>
              <a:cs typeface="+mn-cs"/>
            </a:defRPr>
          </a:pPr>
          <a:endParaRPr lang="en-US"/>
        </a:p>
      </c:txPr>
    </c:title>
    <c:autoTitleDeleted val="0"/>
    <c:plotArea>
      <c:layout/>
      <c:pieChart>
        <c:varyColors val="1"/>
        <c:ser>
          <c:idx val="0"/>
          <c:order val="0"/>
          <c:dPt>
            <c:idx val="0"/>
            <c:bubble3D val="0"/>
            <c:spPr>
              <a:solidFill>
                <a:srgbClr val="A4907E"/>
              </a:solidFill>
              <a:ln w="19050">
                <a:solidFill>
                  <a:schemeClr val="lt1"/>
                </a:solidFill>
              </a:ln>
              <a:effectLst/>
            </c:spPr>
            <c:extLst>
              <c:ext xmlns:c16="http://schemas.microsoft.com/office/drawing/2014/chart" uri="{C3380CC4-5D6E-409C-BE32-E72D297353CC}">
                <c16:uniqueId val="{00000004-0384-48FF-B1A0-EB326A5FED8A}"/>
              </c:ext>
            </c:extLst>
          </c:dPt>
          <c:dPt>
            <c:idx val="1"/>
            <c:bubble3D val="0"/>
            <c:spPr>
              <a:solidFill>
                <a:srgbClr val="E0D0C2"/>
              </a:solidFill>
              <a:ln w="19050">
                <a:solidFill>
                  <a:schemeClr val="lt1"/>
                </a:solidFill>
              </a:ln>
              <a:effectLst/>
            </c:spPr>
            <c:extLst>
              <c:ext xmlns:c16="http://schemas.microsoft.com/office/drawing/2014/chart" uri="{C3380CC4-5D6E-409C-BE32-E72D297353CC}">
                <c16:uniqueId val="{00000005-0384-48FF-B1A0-EB326A5FED8A}"/>
              </c:ext>
            </c:extLst>
          </c:dPt>
          <c:dPt>
            <c:idx val="2"/>
            <c:bubble3D val="0"/>
            <c:spPr>
              <a:solidFill>
                <a:srgbClr val="CDB49E"/>
              </a:solidFill>
              <a:ln w="19050">
                <a:solidFill>
                  <a:schemeClr val="lt1"/>
                </a:solidFill>
              </a:ln>
              <a:effectLst/>
            </c:spPr>
            <c:extLst>
              <c:ext xmlns:c16="http://schemas.microsoft.com/office/drawing/2014/chart" uri="{C3380CC4-5D6E-409C-BE32-E72D297353CC}">
                <c16:uniqueId val="{00000008-1B06-4487-B8CB-B8D2B424AB07}"/>
              </c:ext>
            </c:extLst>
          </c:dPt>
          <c:dLbls>
            <c:dLbl>
              <c:idx val="0"/>
              <c:layout>
                <c:manualLayout>
                  <c:x val="-0.10378480297554721"/>
                  <c:y val="0.10229827878295368"/>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250389515058249"/>
                      <c:h val="0.18540760532907519"/>
                    </c:manualLayout>
                  </c15:layout>
                </c:ext>
                <c:ext xmlns:c16="http://schemas.microsoft.com/office/drawing/2014/chart" uri="{C3380CC4-5D6E-409C-BE32-E72D297353CC}">
                  <c16:uniqueId val="{00000004-0384-48FF-B1A0-EB326A5FED8A}"/>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Summary!$T$88:$T$90</c:f>
              <c:strCache>
                <c:ptCount val="3"/>
                <c:pt idx="0">
                  <c:v>مصادر أخرى</c:v>
                </c:pt>
                <c:pt idx="1">
                  <c:v>التمويل</c:v>
                </c:pt>
                <c:pt idx="2">
                  <c:v>الملكية</c:v>
                </c:pt>
              </c:strCache>
            </c:strRef>
          </c:cat>
          <c:val>
            <c:numRef>
              <c:f>Summary!$U$88:$U$90</c:f>
              <c:numCache>
                <c:formatCode>#,##0</c:formatCode>
                <c:ptCount val="3"/>
                <c:pt idx="0">
                  <c:v>57978444.443468049</c:v>
                </c:pt>
                <c:pt idx="1">
                  <c:v>54352006</c:v>
                </c:pt>
                <c:pt idx="2">
                  <c:v>108409600</c:v>
                </c:pt>
              </c:numCache>
            </c:numRef>
          </c:val>
          <c:extLst>
            <c:ext xmlns:c16="http://schemas.microsoft.com/office/drawing/2014/chart" uri="{C3380CC4-5D6E-409C-BE32-E72D297353CC}">
              <c16:uniqueId val="{00000000-0384-48FF-B1A0-EB326A5FED8A}"/>
            </c:ext>
          </c:extLst>
        </c:ser>
        <c:ser>
          <c:idx val="1"/>
          <c:order val="1"/>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7-7271-41D5-978E-C017F547D4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7271-41D5-978E-C017F547D4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Summary!$T$88:$T$90</c:f>
              <c:strCache>
                <c:ptCount val="3"/>
                <c:pt idx="0">
                  <c:v>مصادر أخرى</c:v>
                </c:pt>
                <c:pt idx="1">
                  <c:v>التمويل</c:v>
                </c:pt>
                <c:pt idx="2">
                  <c:v>الملكية</c:v>
                </c:pt>
              </c:strCache>
            </c:strRef>
          </c:cat>
          <c:val>
            <c:numRef>
              <c:f>Summary!$U$83:$U$84</c:f>
              <c:numCache>
                <c:formatCode>0%</c:formatCode>
                <c:ptCount val="2"/>
                <c:pt idx="0">
                  <c:v>0.26265484821168167</c:v>
                </c:pt>
                <c:pt idx="1">
                  <c:v>0.24622630053226185</c:v>
                </c:pt>
              </c:numCache>
            </c:numRef>
          </c:val>
          <c:extLst>
            <c:ext xmlns:c16="http://schemas.microsoft.com/office/drawing/2014/chart" uri="{C3380CC4-5D6E-409C-BE32-E72D297353CC}">
              <c16:uniqueId val="{00000001-0384-48FF-B1A0-EB326A5FED8A}"/>
            </c:ext>
          </c:extLst>
        </c:ser>
        <c:dLbls>
          <c:showLegendKey val="0"/>
          <c:showVal val="0"/>
          <c:showCatName val="0"/>
          <c:showSerName val="0"/>
          <c:showPercent val="0"/>
          <c:showBubbleSize val="0"/>
          <c:showLeaderLines val="1"/>
        </c:dLbls>
        <c:firstSliceAng val="0"/>
      </c:pieChart>
      <c:spPr>
        <a:solidFill>
          <a:srgbClr val="F2F0EE"/>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lang="ar-SA" sz="1400" b="0" i="0" u="none" strike="noStrike" kern="1200" spc="0" baseline="0">
                <a:solidFill>
                  <a:srgbClr val="A4907E"/>
                </a:solidFill>
                <a:latin typeface="+mn-lt"/>
                <a:ea typeface="+mn-ea"/>
                <a:cs typeface="+mn-cs"/>
              </a:defRPr>
            </a:pPr>
            <a:r>
              <a:rPr lang="ar-SA" sz="1400" b="1" i="0" u="none" strike="noStrike" kern="1200" spc="0" baseline="0">
                <a:solidFill>
                  <a:srgbClr val="A4907E"/>
                </a:solidFill>
                <a:latin typeface="+mn-lt"/>
                <a:ea typeface="+mn-ea"/>
                <a:cs typeface="+mn-cs"/>
              </a:rPr>
              <a:t>تفاصيل الملكية</a:t>
            </a:r>
          </a:p>
        </c:rich>
      </c:tx>
      <c:overlay val="0"/>
      <c:spPr>
        <a:noFill/>
        <a:ln>
          <a:noFill/>
        </a:ln>
        <a:effectLst/>
      </c:spPr>
      <c:txPr>
        <a:bodyPr rot="0" spcFirstLastPara="1" vertOverflow="ellipsis" vert="horz" wrap="square" anchor="ctr" anchorCtr="1"/>
        <a:lstStyle/>
        <a:p>
          <a:pPr>
            <a:defRPr lang="ar-SA" sz="1400" b="0" i="0" u="none" strike="noStrike" kern="1200" spc="0" baseline="0">
              <a:solidFill>
                <a:srgbClr val="A4907E"/>
              </a:solidFill>
              <a:latin typeface="+mn-lt"/>
              <a:ea typeface="+mn-ea"/>
              <a:cs typeface="+mn-cs"/>
            </a:defRPr>
          </a:pPr>
          <a:endParaRPr lang="en-US"/>
        </a:p>
      </c:txPr>
    </c:title>
    <c:autoTitleDeleted val="0"/>
    <c:plotArea>
      <c:layout/>
      <c:pieChart>
        <c:varyColors val="1"/>
        <c:ser>
          <c:idx val="0"/>
          <c:order val="0"/>
          <c:dPt>
            <c:idx val="0"/>
            <c:bubble3D val="0"/>
            <c:spPr>
              <a:solidFill>
                <a:srgbClr val="CDB49E"/>
              </a:solidFill>
              <a:ln w="19050">
                <a:solidFill>
                  <a:schemeClr val="lt1"/>
                </a:solidFill>
              </a:ln>
              <a:effectLst/>
            </c:spPr>
            <c:extLst>
              <c:ext xmlns:c16="http://schemas.microsoft.com/office/drawing/2014/chart" uri="{C3380CC4-5D6E-409C-BE32-E72D297353CC}">
                <c16:uniqueId val="{00000001-D5E2-4B58-B8AB-DECD57A74324}"/>
              </c:ext>
            </c:extLst>
          </c:dPt>
          <c:dPt>
            <c:idx val="1"/>
            <c:bubble3D val="0"/>
            <c:spPr>
              <a:solidFill>
                <a:srgbClr val="E0D0C2"/>
              </a:solidFill>
              <a:ln w="19050">
                <a:solidFill>
                  <a:schemeClr val="lt1"/>
                </a:solidFill>
              </a:ln>
              <a:effectLst/>
            </c:spPr>
            <c:extLst>
              <c:ext xmlns:c16="http://schemas.microsoft.com/office/drawing/2014/chart" uri="{C3380CC4-5D6E-409C-BE32-E72D297353CC}">
                <c16:uniqueId val="{00000003-D5E2-4B58-B8AB-DECD57A74324}"/>
              </c:ext>
            </c:extLst>
          </c:dPt>
          <c:dLbls>
            <c:dLbl>
              <c:idx val="0"/>
              <c:layout>
                <c:manualLayout>
                  <c:x val="-0.2123115377983075"/>
                  <c:y val="0.19025813707068701"/>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7241816150915197"/>
                      <c:h val="0.26430274610216731"/>
                    </c:manualLayout>
                  </c15:layout>
                </c:ext>
                <c:ext xmlns:c16="http://schemas.microsoft.com/office/drawing/2014/chart" uri="{C3380CC4-5D6E-409C-BE32-E72D297353CC}">
                  <c16:uniqueId val="{00000001-D5E2-4B58-B8AB-DECD57A74324}"/>
                </c:ext>
              </c:extLst>
            </c:dLbl>
            <c:dLbl>
              <c:idx val="1"/>
              <c:layout>
                <c:manualLayout>
                  <c:x val="0.17763976404256782"/>
                  <c:y val="-0.22236881521612775"/>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43329285679999274"/>
                      <c:h val="0.2091206944873906"/>
                    </c:manualLayout>
                  </c15:layout>
                </c:ext>
                <c:ext xmlns:c16="http://schemas.microsoft.com/office/drawing/2014/chart" uri="{C3380CC4-5D6E-409C-BE32-E72D297353CC}">
                  <c16:uniqueId val="{00000003-D5E2-4B58-B8AB-DECD57A7432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Summary!$S$85:$S$86</c:f>
              <c:strCache>
                <c:ptCount val="2"/>
                <c:pt idx="0">
                  <c:v>اشتراكات المطور</c:v>
                </c:pt>
                <c:pt idx="1">
                  <c:v>اشتراكات نقدية</c:v>
                </c:pt>
              </c:strCache>
            </c:strRef>
          </c:cat>
          <c:val>
            <c:numRef>
              <c:f>Summary!$T$85:$T$86</c:f>
              <c:numCache>
                <c:formatCode>#,##0</c:formatCode>
                <c:ptCount val="2"/>
                <c:pt idx="0">
                  <c:v>11100000</c:v>
                </c:pt>
                <c:pt idx="1">
                  <c:v>97309600</c:v>
                </c:pt>
              </c:numCache>
            </c:numRef>
          </c:val>
          <c:extLst>
            <c:ext xmlns:c16="http://schemas.microsoft.com/office/drawing/2014/chart" uri="{C3380CC4-5D6E-409C-BE32-E72D297353CC}">
              <c16:uniqueId val="{00000006-D5E2-4B58-B8AB-DECD57A74324}"/>
            </c:ext>
          </c:extLst>
        </c:ser>
        <c:ser>
          <c:idx val="1"/>
          <c:order val="1"/>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8-D5E2-4B58-B8AB-DECD57A74324}"/>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A-D5E2-4B58-B8AB-DECD57A743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Summary!$S$85:$S$86</c:f>
              <c:strCache>
                <c:ptCount val="2"/>
                <c:pt idx="0">
                  <c:v>اشتراكات المطور</c:v>
                </c:pt>
                <c:pt idx="1">
                  <c:v>اشتراكات نقدية</c:v>
                </c:pt>
              </c:strCache>
            </c:strRef>
          </c:cat>
          <c:val>
            <c:numRef>
              <c:f>Summary!$U$85:$U$86</c:f>
              <c:numCache>
                <c:formatCode>0%</c:formatCode>
                <c:ptCount val="2"/>
                <c:pt idx="0">
                  <c:v>5.0285392151084664E-2</c:v>
                </c:pt>
                <c:pt idx="1">
                  <c:v>0.4408334591049719</c:v>
                </c:pt>
              </c:numCache>
            </c:numRef>
          </c:val>
          <c:extLst>
            <c:ext xmlns:c16="http://schemas.microsoft.com/office/drawing/2014/chart" uri="{C3380CC4-5D6E-409C-BE32-E72D297353CC}">
              <c16:uniqueId val="{0000000D-D5E2-4B58-B8AB-DECD57A7432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ar-SA" sz="1400" b="1" i="0" u="none" strike="noStrike" kern="1200" cap="all" spc="0" baseline="0">
                <a:solidFill>
                  <a:srgbClr val="A4907E"/>
                </a:solidFill>
                <a:latin typeface="+mn-lt"/>
                <a:ea typeface="+mn-ea"/>
                <a:cs typeface="+mn-cs"/>
              </a:defRPr>
            </a:pPr>
            <a:r>
              <a:rPr lang="ar-SA" sz="1400" b="1" i="0" u="none" strike="noStrike" kern="1200" cap="all" spc="0" baseline="0" dirty="0" err="1">
                <a:solidFill>
                  <a:srgbClr val="A4907E"/>
                </a:solidFill>
                <a:latin typeface="+mn-lt"/>
                <a:ea typeface="+mn-ea"/>
                <a:cs typeface="+mn-cs"/>
              </a:rPr>
              <a:t> التسهيلات المصرفية </a:t>
            </a:r>
            <a:endParaRPr lang="ar-SA" sz="1400" b="1" i="0" u="none" strike="noStrike" kern="1200" cap="all" spc="0" baseline="0" dirty="0">
              <a:solidFill>
                <a:srgbClr val="A4907E"/>
              </a:solidFill>
              <a:latin typeface="+mn-lt"/>
              <a:ea typeface="+mn-ea"/>
              <a:cs typeface="+mn-cs"/>
            </a:endParaRPr>
          </a:p>
        </c:rich>
      </c:tx>
      <c:overlay val="0"/>
      <c:spPr>
        <a:noFill/>
        <a:ln>
          <a:noFill/>
        </a:ln>
        <a:effectLst/>
      </c:spPr>
      <c:txPr>
        <a:bodyPr rot="0" spcFirstLastPara="1" vertOverflow="ellipsis" vert="horz" wrap="square" anchor="ctr" anchorCtr="1"/>
        <a:lstStyle/>
        <a:p>
          <a:pPr>
            <a:defRPr lang="ar-SA" sz="1400" b="1" i="0" u="none" strike="noStrike" kern="1200" cap="all" spc="0" baseline="0">
              <a:solidFill>
                <a:srgbClr val="A4907E"/>
              </a:solidFill>
              <a:latin typeface="+mn-lt"/>
              <a:ea typeface="+mn-ea"/>
              <a:cs typeface="+mn-cs"/>
            </a:defRPr>
          </a:pPr>
          <a:endParaRPr lang="en-US"/>
        </a:p>
      </c:txPr>
    </c:title>
    <c:autoTitleDeleted val="0"/>
    <c:plotArea>
      <c:layout/>
      <c:lineChart>
        <c:grouping val="standard"/>
        <c:varyColors val="0"/>
        <c:ser>
          <c:idx val="0"/>
          <c:order val="0"/>
          <c:tx>
            <c:strRef>
              <c:f>Study!$B$242</c:f>
              <c:strCache>
                <c:ptCount val="1"/>
                <c:pt idx="0">
                  <c:v>حجم التمويل للفترة 
 (Principal amount for the period)</c:v>
                </c:pt>
              </c:strCache>
            </c:strRef>
          </c:tx>
          <c:spPr>
            <a:ln w="28575" cap="rnd">
              <a:solidFill>
                <a:srgbClr val="A4907E"/>
              </a:solidFill>
              <a:round/>
              <a:headEnd type="none"/>
            </a:ln>
            <a:effectLst/>
          </c:spPr>
          <c:marker>
            <c:symbol val="circle"/>
            <c:size val="8"/>
            <c:spPr>
              <a:solidFill>
                <a:srgbClr val="967F6E"/>
              </a:solidFill>
              <a:ln w="9525">
                <a:noFill/>
              </a:ln>
              <a:effectLst/>
            </c:spPr>
          </c:marker>
          <c:cat>
            <c:strRef>
              <c:f>Study!$C$237:$AC$237</c:f>
              <c:strCache>
                <c:ptCount val="27"/>
                <c:pt idx="3">
                  <c:v>Q1</c:v>
                </c:pt>
                <c:pt idx="4">
                  <c:v>Q2</c:v>
                </c:pt>
                <c:pt idx="5">
                  <c:v>Q3</c:v>
                </c:pt>
                <c:pt idx="6">
                  <c:v>Q4</c:v>
                </c:pt>
                <c:pt idx="7">
                  <c:v>Q5</c:v>
                </c:pt>
                <c:pt idx="8">
                  <c:v>Q6</c:v>
                </c:pt>
                <c:pt idx="9">
                  <c:v>Q7</c:v>
                </c:pt>
                <c:pt idx="10">
                  <c:v>Q8</c:v>
                </c:pt>
                <c:pt idx="11">
                  <c:v>Q9</c:v>
                </c:pt>
                <c:pt idx="12">
                  <c:v>Q10</c:v>
                </c:pt>
                <c:pt idx="13">
                  <c:v>Q11</c:v>
                </c:pt>
                <c:pt idx="14">
                  <c:v>Q12</c:v>
                </c:pt>
                <c:pt idx="15">
                  <c:v>Q13</c:v>
                </c:pt>
                <c:pt idx="16">
                  <c:v>Q14</c:v>
                </c:pt>
                <c:pt idx="17">
                  <c:v>Q15</c:v>
                </c:pt>
                <c:pt idx="18">
                  <c:v>Q16</c:v>
                </c:pt>
                <c:pt idx="19">
                  <c:v>Q17</c:v>
                </c:pt>
                <c:pt idx="20">
                  <c:v>Q18</c:v>
                </c:pt>
                <c:pt idx="21">
                  <c:v>Q19</c:v>
                </c:pt>
                <c:pt idx="22">
                  <c:v>Q20</c:v>
                </c:pt>
                <c:pt idx="23">
                  <c:v>Q21</c:v>
                </c:pt>
                <c:pt idx="24">
                  <c:v>Q22</c:v>
                </c:pt>
                <c:pt idx="25">
                  <c:v>Q23</c:v>
                </c:pt>
                <c:pt idx="26">
                  <c:v>Q24</c:v>
                </c:pt>
              </c:strCache>
            </c:strRef>
          </c:cat>
          <c:val>
            <c:numRef>
              <c:f>Study!$C$242:$AC$242</c:f>
              <c:numCache>
                <c:formatCode>@</c:formatCode>
                <c:ptCount val="27"/>
                <c:pt idx="3" formatCode="#,##0_);[Red]\(#,##0\)">
                  <c:v>0</c:v>
                </c:pt>
                <c:pt idx="4" formatCode="#,##0_);[Red]\(#,##0\)">
                  <c:v>0</c:v>
                </c:pt>
                <c:pt idx="5" formatCode="#,##0_);[Red]\(#,##0\)">
                  <c:v>0</c:v>
                </c:pt>
                <c:pt idx="6" formatCode="#,##0_);[Red]\(#,##0\)">
                  <c:v>0</c:v>
                </c:pt>
                <c:pt idx="7" formatCode="#,##0_);[Red]\(#,##0\)">
                  <c:v>0</c:v>
                </c:pt>
                <c:pt idx="8" formatCode="#,##0_);[Red]\(#,##0\)">
                  <c:v>0</c:v>
                </c:pt>
                <c:pt idx="9" formatCode="#,##0_);[Red]\(#,##0\)">
                  <c:v>2552006</c:v>
                </c:pt>
                <c:pt idx="10" formatCode="#,##0_);[Red]\(#,##0\)">
                  <c:v>3352006</c:v>
                </c:pt>
                <c:pt idx="11" formatCode="#,##0_);[Red]\(#,##0\)">
                  <c:v>5552006</c:v>
                </c:pt>
                <c:pt idx="12" formatCode="#,##0_);[Red]\(#,##0\)">
                  <c:v>7752006</c:v>
                </c:pt>
                <c:pt idx="13" formatCode="#,##0_);[Red]\(#,##0\)">
                  <c:v>13552006</c:v>
                </c:pt>
                <c:pt idx="14" formatCode="#,##0_);[Red]\(#,##0\)">
                  <c:v>22552006</c:v>
                </c:pt>
                <c:pt idx="15" formatCode="#,##0_);[Red]\(#,##0\)">
                  <c:v>28652006</c:v>
                </c:pt>
                <c:pt idx="16" formatCode="#,##0_);[Red]\(#,##0\)">
                  <c:v>36052006</c:v>
                </c:pt>
                <c:pt idx="17" formatCode="#,##0_);[Red]\(#,##0\)">
                  <c:v>43252006</c:v>
                </c:pt>
                <c:pt idx="18" formatCode="#,##0_);[Red]\(#,##0\)">
                  <c:v>53252006</c:v>
                </c:pt>
                <c:pt idx="19" formatCode="#,##0_);[Red]\(#,##0\)">
                  <c:v>53552006</c:v>
                </c:pt>
                <c:pt idx="20" formatCode="#,##0_);[Red]\(#,##0\)">
                  <c:v>54352006</c:v>
                </c:pt>
                <c:pt idx="21" formatCode="#,##0_);[Red]\(#,##0\)">
                  <c:v>52022133.136878826</c:v>
                </c:pt>
                <c:pt idx="22" formatCode="#,##0_);[Red]\(#,##0\)">
                  <c:v>0</c:v>
                </c:pt>
                <c:pt idx="23" formatCode="#,##0_);[Red]\(#,##0\)">
                  <c:v>0</c:v>
                </c:pt>
                <c:pt idx="24" formatCode="#,##0_);[Red]\(#,##0\)">
                  <c:v>0</c:v>
                </c:pt>
                <c:pt idx="25" formatCode="#,##0_);[Red]\(#,##0\)">
                  <c:v>0</c:v>
                </c:pt>
                <c:pt idx="26" formatCode="#,##0_);[Red]\(#,##0\)">
                  <c:v>0</c:v>
                </c:pt>
              </c:numCache>
            </c:numRef>
          </c:val>
          <c:smooth val="0"/>
          <c:extLst>
            <c:ext xmlns:c16="http://schemas.microsoft.com/office/drawing/2014/chart" uri="{C3380CC4-5D6E-409C-BE32-E72D297353CC}">
              <c16:uniqueId val="{00000000-3C10-4D64-8868-16643E64D69E}"/>
            </c:ext>
          </c:extLst>
        </c:ser>
        <c:ser>
          <c:idx val="1"/>
          <c:order val="1"/>
          <c:tx>
            <c:strRef>
              <c:f>Summary!$S$165</c:f>
              <c:strCache>
                <c:ptCount val="1"/>
                <c:pt idx="0">
                  <c:v>حجم التمويل للفترة      </c:v>
                </c:pt>
              </c:strCache>
            </c:strRef>
          </c:tx>
          <c:spPr>
            <a:ln w="28575" cap="rnd">
              <a:solidFill>
                <a:srgbClr val="967F6E"/>
              </a:solidFill>
              <a:round/>
            </a:ln>
            <a:effectLst/>
          </c:spPr>
          <c:marker>
            <c:symbol val="circle"/>
            <c:size val="5"/>
            <c:spPr>
              <a:solidFill>
                <a:srgbClr val="967F6E"/>
              </a:solidFill>
              <a:ln w="9525">
                <a:solidFill>
                  <a:schemeClr val="accent2"/>
                </a:solidFill>
              </a:ln>
              <a:effectLst/>
            </c:spPr>
          </c:marker>
          <c:cat>
            <c:strRef>
              <c:f>Study!$C$237:$AC$237</c:f>
              <c:strCache>
                <c:ptCount val="27"/>
                <c:pt idx="3">
                  <c:v>Q1</c:v>
                </c:pt>
                <c:pt idx="4">
                  <c:v>Q2</c:v>
                </c:pt>
                <c:pt idx="5">
                  <c:v>Q3</c:v>
                </c:pt>
                <c:pt idx="6">
                  <c:v>Q4</c:v>
                </c:pt>
                <c:pt idx="7">
                  <c:v>Q5</c:v>
                </c:pt>
                <c:pt idx="8">
                  <c:v>Q6</c:v>
                </c:pt>
                <c:pt idx="9">
                  <c:v>Q7</c:v>
                </c:pt>
                <c:pt idx="10">
                  <c:v>Q8</c:v>
                </c:pt>
                <c:pt idx="11">
                  <c:v>Q9</c:v>
                </c:pt>
                <c:pt idx="12">
                  <c:v>Q10</c:v>
                </c:pt>
                <c:pt idx="13">
                  <c:v>Q11</c:v>
                </c:pt>
                <c:pt idx="14">
                  <c:v>Q12</c:v>
                </c:pt>
                <c:pt idx="15">
                  <c:v>Q13</c:v>
                </c:pt>
                <c:pt idx="16">
                  <c:v>Q14</c:v>
                </c:pt>
                <c:pt idx="17">
                  <c:v>Q15</c:v>
                </c:pt>
                <c:pt idx="18">
                  <c:v>Q16</c:v>
                </c:pt>
                <c:pt idx="19">
                  <c:v>Q17</c:v>
                </c:pt>
                <c:pt idx="20">
                  <c:v>Q18</c:v>
                </c:pt>
                <c:pt idx="21">
                  <c:v>Q19</c:v>
                </c:pt>
                <c:pt idx="22">
                  <c:v>Q20</c:v>
                </c:pt>
                <c:pt idx="23">
                  <c:v>Q21</c:v>
                </c:pt>
                <c:pt idx="24">
                  <c:v>Q22</c:v>
                </c:pt>
                <c:pt idx="25">
                  <c:v>Q23</c:v>
                </c:pt>
                <c:pt idx="26">
                  <c:v>Q24</c:v>
                </c:pt>
              </c:strCache>
            </c:strRef>
          </c:cat>
          <c:val>
            <c:numRef>
              <c:f>Study!$C$243:$AC$243</c:f>
              <c:numCache>
                <c:formatCode>@</c:formatCode>
                <c:ptCount val="27"/>
              </c:numCache>
            </c:numRef>
          </c:val>
          <c:smooth val="0"/>
          <c:extLst>
            <c:ext xmlns:c16="http://schemas.microsoft.com/office/drawing/2014/chart" uri="{C3380CC4-5D6E-409C-BE32-E72D297353CC}">
              <c16:uniqueId val="{00000001-3C10-4D64-8868-16643E64D69E}"/>
            </c:ext>
          </c:extLst>
        </c:ser>
        <c:ser>
          <c:idx val="2"/>
          <c:order val="2"/>
          <c:tx>
            <c:strRef>
              <c:f>Summary!$S$166</c:f>
              <c:strCache>
                <c:ptCount val="1"/>
                <c:pt idx="0">
                  <c:v>أصل التمويل  </c:v>
                </c:pt>
              </c:strCache>
            </c:strRef>
          </c:tx>
          <c:spPr>
            <a:ln w="28575" cap="rnd">
              <a:solidFill>
                <a:srgbClr val="E0D0C2"/>
              </a:solidFill>
              <a:round/>
            </a:ln>
            <a:effectLst/>
          </c:spPr>
          <c:marker>
            <c:symbol val="circle"/>
            <c:size val="9"/>
            <c:spPr>
              <a:solidFill>
                <a:srgbClr val="D4BF9C"/>
              </a:solidFill>
              <a:ln w="9525">
                <a:solidFill>
                  <a:schemeClr val="accent3"/>
                </a:solidFill>
              </a:ln>
              <a:effectLst/>
            </c:spPr>
          </c:marker>
          <c:cat>
            <c:strRef>
              <c:f>Study!$C$237:$AC$237</c:f>
              <c:strCache>
                <c:ptCount val="27"/>
                <c:pt idx="3">
                  <c:v>Q1</c:v>
                </c:pt>
                <c:pt idx="4">
                  <c:v>Q2</c:v>
                </c:pt>
                <c:pt idx="5">
                  <c:v>Q3</c:v>
                </c:pt>
                <c:pt idx="6">
                  <c:v>Q4</c:v>
                </c:pt>
                <c:pt idx="7">
                  <c:v>Q5</c:v>
                </c:pt>
                <c:pt idx="8">
                  <c:v>Q6</c:v>
                </c:pt>
                <c:pt idx="9">
                  <c:v>Q7</c:v>
                </c:pt>
                <c:pt idx="10">
                  <c:v>Q8</c:v>
                </c:pt>
                <c:pt idx="11">
                  <c:v>Q9</c:v>
                </c:pt>
                <c:pt idx="12">
                  <c:v>Q10</c:v>
                </c:pt>
                <c:pt idx="13">
                  <c:v>Q11</c:v>
                </c:pt>
                <c:pt idx="14">
                  <c:v>Q12</c:v>
                </c:pt>
                <c:pt idx="15">
                  <c:v>Q13</c:v>
                </c:pt>
                <c:pt idx="16">
                  <c:v>Q14</c:v>
                </c:pt>
                <c:pt idx="17">
                  <c:v>Q15</c:v>
                </c:pt>
                <c:pt idx="18">
                  <c:v>Q16</c:v>
                </c:pt>
                <c:pt idx="19">
                  <c:v>Q17</c:v>
                </c:pt>
                <c:pt idx="20">
                  <c:v>Q18</c:v>
                </c:pt>
                <c:pt idx="21">
                  <c:v>Q19</c:v>
                </c:pt>
                <c:pt idx="22">
                  <c:v>Q20</c:v>
                </c:pt>
                <c:pt idx="23">
                  <c:v>Q21</c:v>
                </c:pt>
                <c:pt idx="24">
                  <c:v>Q22</c:v>
                </c:pt>
                <c:pt idx="25">
                  <c:v>Q23</c:v>
                </c:pt>
                <c:pt idx="26">
                  <c:v>Q24</c:v>
                </c:pt>
              </c:strCache>
            </c:strRef>
          </c:cat>
          <c:val>
            <c:numRef>
              <c:f>Study!$C$244:$AC$244</c:f>
              <c:numCache>
                <c:formatCode>@</c:formatCode>
                <c:ptCount val="27"/>
                <c:pt idx="3" formatCode="#,##0_);[Red]\(#,##0\)">
                  <c:v>0</c:v>
                </c:pt>
                <c:pt idx="4" formatCode="#,##0_);[Red]\(#,##0\)">
                  <c:v>0</c:v>
                </c:pt>
                <c:pt idx="5" formatCode="#,##0_);[Red]\(#,##0\)">
                  <c:v>0</c:v>
                </c:pt>
                <c:pt idx="6" formatCode="#,##0_);[Red]\(#,##0\)">
                  <c:v>0</c:v>
                </c:pt>
                <c:pt idx="7" formatCode="#,##0_);[Red]\(#,##0\)">
                  <c:v>0</c:v>
                </c:pt>
                <c:pt idx="8" formatCode="#,##0_);[Red]\(#,##0\)">
                  <c:v>0</c:v>
                </c:pt>
                <c:pt idx="9" formatCode="#,##0_);[Red]\(#,##0\)">
                  <c:v>2552006</c:v>
                </c:pt>
                <c:pt idx="10" formatCode="#,##0_);[Red]\(#,##0\)">
                  <c:v>800000</c:v>
                </c:pt>
                <c:pt idx="11" formatCode="#,##0_);[Red]\(#,##0\)">
                  <c:v>2200000</c:v>
                </c:pt>
                <c:pt idx="12" formatCode="#,##0_);[Red]\(#,##0\)">
                  <c:v>2200000</c:v>
                </c:pt>
                <c:pt idx="13" formatCode="#,##0_);[Red]\(#,##0\)">
                  <c:v>5800000</c:v>
                </c:pt>
                <c:pt idx="14" formatCode="#,##0_);[Red]\(#,##0\)">
                  <c:v>9000000</c:v>
                </c:pt>
                <c:pt idx="15" formatCode="#,##0_);[Red]\(#,##0\)">
                  <c:v>6100000</c:v>
                </c:pt>
                <c:pt idx="16" formatCode="#,##0_);[Red]\(#,##0\)">
                  <c:v>7400000</c:v>
                </c:pt>
                <c:pt idx="17" formatCode="#,##0_);[Red]\(#,##0\)">
                  <c:v>7200000</c:v>
                </c:pt>
                <c:pt idx="18" formatCode="#,##0_);[Red]\(#,##0\)">
                  <c:v>10000000</c:v>
                </c:pt>
                <c:pt idx="19" formatCode="#,##0_);[Red]\(#,##0\)">
                  <c:v>300000</c:v>
                </c:pt>
                <c:pt idx="20" formatCode="#,##0_);[Red]\(#,##0\)">
                  <c:v>800000</c:v>
                </c:pt>
                <c:pt idx="21" formatCode="#,##0_);[Red]\(#,##0\)">
                  <c:v>0</c:v>
                </c:pt>
                <c:pt idx="22" formatCode="#,##0_);[Red]\(#,##0\)">
                  <c:v>0</c:v>
                </c:pt>
                <c:pt idx="23" formatCode="#,##0_);[Red]\(#,##0\)">
                  <c:v>0</c:v>
                </c:pt>
                <c:pt idx="24" formatCode="#,##0_);[Red]\(#,##0\)">
                  <c:v>0</c:v>
                </c:pt>
                <c:pt idx="25" formatCode="#,##0_);[Red]\(#,##0\)">
                  <c:v>0</c:v>
                </c:pt>
                <c:pt idx="26" formatCode="#,##0_);[Red]\(#,##0\)">
                  <c:v>0</c:v>
                </c:pt>
              </c:numCache>
            </c:numRef>
          </c:val>
          <c:smooth val="0"/>
          <c:extLst>
            <c:ext xmlns:c16="http://schemas.microsoft.com/office/drawing/2014/chart" uri="{C3380CC4-5D6E-409C-BE32-E72D297353CC}">
              <c16:uniqueId val="{00000002-3C10-4D64-8868-16643E64D69E}"/>
            </c:ext>
          </c:extLst>
        </c:ser>
        <c:ser>
          <c:idx val="3"/>
          <c:order val="3"/>
          <c:tx>
            <c:strRef>
              <c:f>Study!$B$245</c:f>
              <c:strCache>
                <c:ptCount val="1"/>
              </c:strCache>
            </c:strRef>
          </c:tx>
          <c:spPr>
            <a:ln w="28575" cap="rnd">
              <a:solidFill>
                <a:schemeClr val="bg1"/>
              </a:solidFill>
              <a:round/>
            </a:ln>
            <a:effectLst/>
          </c:spPr>
          <c:marker>
            <c:symbol val="circle"/>
            <c:size val="5"/>
            <c:spPr>
              <a:solidFill>
                <a:schemeClr val="accent4"/>
              </a:solidFill>
              <a:ln w="9525">
                <a:solidFill>
                  <a:schemeClr val="accent4"/>
                </a:solidFill>
              </a:ln>
              <a:effectLst/>
            </c:spPr>
          </c:marker>
          <c:cat>
            <c:strRef>
              <c:f>Study!$C$237:$AC$237</c:f>
              <c:strCache>
                <c:ptCount val="27"/>
                <c:pt idx="3">
                  <c:v>Q1</c:v>
                </c:pt>
                <c:pt idx="4">
                  <c:v>Q2</c:v>
                </c:pt>
                <c:pt idx="5">
                  <c:v>Q3</c:v>
                </c:pt>
                <c:pt idx="6">
                  <c:v>Q4</c:v>
                </c:pt>
                <c:pt idx="7">
                  <c:v>Q5</c:v>
                </c:pt>
                <c:pt idx="8">
                  <c:v>Q6</c:v>
                </c:pt>
                <c:pt idx="9">
                  <c:v>Q7</c:v>
                </c:pt>
                <c:pt idx="10">
                  <c:v>Q8</c:v>
                </c:pt>
                <c:pt idx="11">
                  <c:v>Q9</c:v>
                </c:pt>
                <c:pt idx="12">
                  <c:v>Q10</c:v>
                </c:pt>
                <c:pt idx="13">
                  <c:v>Q11</c:v>
                </c:pt>
                <c:pt idx="14">
                  <c:v>Q12</c:v>
                </c:pt>
                <c:pt idx="15">
                  <c:v>Q13</c:v>
                </c:pt>
                <c:pt idx="16">
                  <c:v>Q14</c:v>
                </c:pt>
                <c:pt idx="17">
                  <c:v>Q15</c:v>
                </c:pt>
                <c:pt idx="18">
                  <c:v>Q16</c:v>
                </c:pt>
                <c:pt idx="19">
                  <c:v>Q17</c:v>
                </c:pt>
                <c:pt idx="20">
                  <c:v>Q18</c:v>
                </c:pt>
                <c:pt idx="21">
                  <c:v>Q19</c:v>
                </c:pt>
                <c:pt idx="22">
                  <c:v>Q20</c:v>
                </c:pt>
                <c:pt idx="23">
                  <c:v>Q21</c:v>
                </c:pt>
                <c:pt idx="24">
                  <c:v>Q22</c:v>
                </c:pt>
                <c:pt idx="25">
                  <c:v>Q23</c:v>
                </c:pt>
                <c:pt idx="26">
                  <c:v>Q24</c:v>
                </c:pt>
              </c:strCache>
            </c:strRef>
          </c:cat>
          <c:val>
            <c:numRef>
              <c:f>Study!$C$245:$AC$245</c:f>
              <c:numCache>
                <c:formatCode>@</c:formatCode>
                <c:ptCount val="27"/>
              </c:numCache>
            </c:numRef>
          </c:val>
          <c:smooth val="0"/>
          <c:extLst>
            <c:ext xmlns:c16="http://schemas.microsoft.com/office/drawing/2014/chart" uri="{C3380CC4-5D6E-409C-BE32-E72D297353CC}">
              <c16:uniqueId val="{00000003-3C10-4D64-8868-16643E64D69E}"/>
            </c:ext>
          </c:extLst>
        </c:ser>
        <c:dLbls>
          <c:showLegendKey val="0"/>
          <c:showVal val="0"/>
          <c:showCatName val="0"/>
          <c:showSerName val="0"/>
          <c:showPercent val="0"/>
          <c:showBubbleSize val="0"/>
        </c:dLbls>
        <c:marker val="1"/>
        <c:smooth val="0"/>
        <c:axId val="1775317103"/>
        <c:axId val="1775318063"/>
      </c:lineChart>
      <c:catAx>
        <c:axId val="1775317103"/>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18063"/>
        <c:crosses val="autoZero"/>
        <c:auto val="1"/>
        <c:lblAlgn val="ctr"/>
        <c:lblOffset val="100"/>
        <c:noMultiLvlLbl val="0"/>
      </c:catAx>
      <c:valAx>
        <c:axId val="1775318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17103"/>
        <c:crosses val="autoZero"/>
        <c:crossBetween val="between"/>
      </c:valAx>
      <c:spPr>
        <a:noFill/>
        <a:ln>
          <a:noFill/>
        </a:ln>
        <a:effectLst/>
      </c:spPr>
    </c:plotArea>
    <c:legend>
      <c:legendPos val="tr"/>
      <c:legendEntry>
        <c:idx val="0"/>
        <c:delete val="1"/>
      </c:legendEntry>
      <c:legendEntry>
        <c:idx val="1"/>
        <c:txPr>
          <a:bodyPr rot="0" spcFirstLastPara="1" vertOverflow="ellipsis" vert="horz" wrap="square" anchor="ctr" anchorCtr="1"/>
          <a:lstStyle/>
          <a:p>
            <a:pPr>
              <a:defRPr sz="1100" b="0" i="0" u="none" strike="noStrike" kern="1200" baseline="0">
                <a:ln>
                  <a:noFill/>
                </a:ln>
                <a:solidFill>
                  <a:sysClr val="windowText" lastClr="000000"/>
                </a:solidFill>
                <a:latin typeface="Calibri" panose="020F0502020204030204" pitchFamily="34" charset="0"/>
                <a:ea typeface="+mn-ea"/>
                <a:cs typeface="Calibri" panose="020F0502020204030204" pitchFamily="34" charset="0"/>
              </a:defRPr>
            </a:pPr>
            <a:endParaRPr lang="en-US"/>
          </a:p>
        </c:txPr>
      </c:legendEntry>
      <c:legendEntry>
        <c:idx val="3"/>
        <c:delete val="1"/>
      </c:legendEntry>
      <c:layout>
        <c:manualLayout>
          <c:xMode val="edge"/>
          <c:yMode val="edge"/>
          <c:x val="0.86048172869269701"/>
          <c:y val="1.960562909060494E-2"/>
          <c:w val="0.13469004113217833"/>
          <c:h val="0.15863936863676034"/>
        </c:manualLayout>
      </c:layout>
      <c:overlay val="1"/>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1">
              <a:defRPr lang="ar-SA" sz="1800" b="1" i="0" u="none" strike="noStrike" kern="1200" cap="all" spc="0" baseline="0">
                <a:solidFill>
                  <a:srgbClr val="A4907E"/>
                </a:solidFill>
                <a:latin typeface="+mn-lt"/>
                <a:ea typeface="+mn-ea"/>
                <a:cs typeface="+mn-cs"/>
              </a:defRPr>
            </a:pPr>
            <a:r>
              <a:rPr lang="ar-SA" sz="1800" b="1" i="0" u="none" strike="noStrike" kern="1200" cap="all" spc="0" baseline="0">
                <a:solidFill>
                  <a:srgbClr val="A4907E"/>
                </a:solidFill>
                <a:latin typeface="+mn-lt"/>
                <a:ea typeface="+mn-ea"/>
                <a:cs typeface="+mn-cs"/>
              </a:rPr>
              <a:t>التكاليف الاخرى</a:t>
            </a:r>
          </a:p>
        </c:rich>
      </c:tx>
      <c:overlay val="0"/>
      <c:spPr>
        <a:noFill/>
        <a:ln>
          <a:noFill/>
        </a:ln>
        <a:effectLst/>
      </c:spPr>
      <c:txPr>
        <a:bodyPr rot="0" spcFirstLastPara="1" vertOverflow="ellipsis" vert="horz" wrap="square" anchor="ctr" anchorCtr="1"/>
        <a:lstStyle/>
        <a:p>
          <a:pPr algn="ctr" rtl="1">
            <a:defRPr lang="ar-SA" sz="1800" b="1" i="0" u="none" strike="noStrike" kern="1200" cap="all" spc="0" baseline="0">
              <a:solidFill>
                <a:srgbClr val="A4907E"/>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solidFill>
            <a:srgbClr val="846C5E"/>
          </a:solidFill>
        </a:ln>
        <a:effectLst/>
        <a:sp3d>
          <a:contourClr>
            <a:srgbClr val="846C5E"/>
          </a:contourClr>
        </a:sp3d>
      </c:spPr>
    </c:sideWall>
    <c:backWall>
      <c:thickness val="0"/>
      <c:spPr>
        <a:solidFill>
          <a:srgbClr val="F2F0EE"/>
        </a:solidFill>
        <a:ln>
          <a:solidFill>
            <a:srgbClr val="846C5E"/>
          </a:solidFill>
        </a:ln>
        <a:effectLst/>
        <a:sp3d>
          <a:contourClr>
            <a:srgbClr val="846C5E"/>
          </a:contourClr>
        </a:sp3d>
      </c:spPr>
    </c:backWall>
    <c:plotArea>
      <c:layout/>
      <c:bar3DChart>
        <c:barDir val="col"/>
        <c:grouping val="stacked"/>
        <c:varyColors val="0"/>
        <c:ser>
          <c:idx val="0"/>
          <c:order val="0"/>
          <c:tx>
            <c:strRef>
              <c:f>Summary!$T$144</c:f>
              <c:strCache>
                <c:ptCount val="1"/>
                <c:pt idx="0">
                  <c:v>القيمة</c:v>
                </c:pt>
              </c:strCache>
            </c:strRef>
          </c:tx>
          <c:spPr>
            <a:solidFill>
              <a:schemeClr val="accent1"/>
            </a:solidFill>
            <a:ln>
              <a:noFill/>
            </a:ln>
            <a:effectLst/>
            <a:sp3d/>
          </c:spPr>
          <c:invertIfNegative val="0"/>
          <c:dPt>
            <c:idx val="0"/>
            <c:invertIfNegative val="0"/>
            <c:bubble3D val="0"/>
            <c:spPr>
              <a:solidFill>
                <a:srgbClr val="DAD2CC"/>
              </a:solidFill>
              <a:ln>
                <a:noFill/>
              </a:ln>
              <a:effectLst/>
              <a:sp3d/>
            </c:spPr>
            <c:extLst>
              <c:ext xmlns:c16="http://schemas.microsoft.com/office/drawing/2014/chart" uri="{C3380CC4-5D6E-409C-BE32-E72D297353CC}">
                <c16:uniqueId val="{00000001-6D1B-46F3-AB53-8CE3AB1B1F54}"/>
              </c:ext>
            </c:extLst>
          </c:dPt>
          <c:dPt>
            <c:idx val="1"/>
            <c:invertIfNegative val="0"/>
            <c:bubble3D val="0"/>
            <c:spPr>
              <a:solidFill>
                <a:srgbClr val="7F6A5B"/>
              </a:solidFill>
              <a:ln>
                <a:noFill/>
              </a:ln>
              <a:effectLst/>
              <a:sp3d/>
            </c:spPr>
            <c:extLst>
              <c:ext xmlns:c16="http://schemas.microsoft.com/office/drawing/2014/chart" uri="{C3380CC4-5D6E-409C-BE32-E72D297353CC}">
                <c16:uniqueId val="{00000003-6D1B-46F3-AB53-8CE3AB1B1F54}"/>
              </c:ext>
            </c:extLst>
          </c:dPt>
          <c:dPt>
            <c:idx val="2"/>
            <c:invertIfNegative val="0"/>
            <c:bubble3D val="0"/>
            <c:spPr>
              <a:solidFill>
                <a:srgbClr val="433931"/>
              </a:solidFill>
              <a:ln>
                <a:noFill/>
              </a:ln>
              <a:effectLst/>
              <a:sp3d/>
            </c:spPr>
            <c:extLst>
              <c:ext xmlns:c16="http://schemas.microsoft.com/office/drawing/2014/chart" uri="{C3380CC4-5D6E-409C-BE32-E72D297353CC}">
                <c16:uniqueId val="{00000005-6D1B-46F3-AB53-8CE3AB1B1F54}"/>
              </c:ext>
            </c:extLst>
          </c:dPt>
          <c:dPt>
            <c:idx val="3"/>
            <c:invertIfNegative val="0"/>
            <c:bubble3D val="0"/>
            <c:spPr>
              <a:solidFill>
                <a:srgbClr val="967F6E"/>
              </a:solidFill>
              <a:ln>
                <a:noFill/>
              </a:ln>
              <a:effectLst/>
              <a:sp3d/>
            </c:spPr>
            <c:extLst>
              <c:ext xmlns:c16="http://schemas.microsoft.com/office/drawing/2014/chart" uri="{C3380CC4-5D6E-409C-BE32-E72D297353CC}">
                <c16:uniqueId val="{00000007-6D1B-46F3-AB53-8CE3AB1B1F54}"/>
              </c:ext>
            </c:extLst>
          </c:dPt>
          <c:dPt>
            <c:idx val="4"/>
            <c:invertIfNegative val="0"/>
            <c:bubble3D val="0"/>
            <c:spPr>
              <a:solidFill>
                <a:srgbClr val="D4BF9C"/>
              </a:solidFill>
              <a:ln>
                <a:noFill/>
              </a:ln>
              <a:effectLst/>
              <a:sp3d/>
            </c:spPr>
            <c:extLst>
              <c:ext xmlns:c16="http://schemas.microsoft.com/office/drawing/2014/chart" uri="{C3380CC4-5D6E-409C-BE32-E72D297353CC}">
                <c16:uniqueId val="{00000009-6D1B-46F3-AB53-8CE3AB1B1F54}"/>
              </c:ext>
            </c:extLst>
          </c:dPt>
          <c:dPt>
            <c:idx val="5"/>
            <c:invertIfNegative val="0"/>
            <c:bubble3D val="0"/>
            <c:spPr>
              <a:solidFill>
                <a:srgbClr val="F0EAE4"/>
              </a:solidFill>
              <a:ln>
                <a:noFill/>
              </a:ln>
              <a:effectLst/>
              <a:sp3d/>
            </c:spPr>
            <c:extLst>
              <c:ext xmlns:c16="http://schemas.microsoft.com/office/drawing/2014/chart" uri="{C3380CC4-5D6E-409C-BE32-E72D297353CC}">
                <c16:uniqueId val="{0000000B-6D1B-46F3-AB53-8CE3AB1B1F54}"/>
              </c:ext>
            </c:extLst>
          </c:dPt>
          <c:dPt>
            <c:idx val="6"/>
            <c:invertIfNegative val="0"/>
            <c:bubble3D val="0"/>
            <c:spPr>
              <a:solidFill>
                <a:srgbClr val="CABFB6"/>
              </a:solidFill>
              <a:ln>
                <a:noFill/>
              </a:ln>
              <a:effectLst/>
              <a:sp3d/>
            </c:spPr>
            <c:extLst>
              <c:ext xmlns:c16="http://schemas.microsoft.com/office/drawing/2014/chart" uri="{C3380CC4-5D6E-409C-BE32-E72D297353CC}">
                <c16:uniqueId val="{0000000D-6D1B-46F3-AB53-8CE3AB1B1F54}"/>
              </c:ext>
            </c:extLst>
          </c:dPt>
          <c:dPt>
            <c:idx val="7"/>
            <c:invertIfNegative val="0"/>
            <c:bubble3D val="0"/>
            <c:spPr>
              <a:solidFill>
                <a:srgbClr val="CABFB6"/>
              </a:solidFill>
              <a:ln>
                <a:noFill/>
              </a:ln>
              <a:effectLst/>
              <a:sp3d/>
            </c:spPr>
            <c:extLst>
              <c:ext xmlns:c16="http://schemas.microsoft.com/office/drawing/2014/chart" uri="{C3380CC4-5D6E-409C-BE32-E72D297353CC}">
                <c16:uniqueId val="{0000000F-6D1B-46F3-AB53-8CE3AB1B1F54}"/>
              </c:ext>
            </c:extLst>
          </c:dPt>
          <c:dPt>
            <c:idx val="8"/>
            <c:invertIfNegative val="0"/>
            <c:bubble3D val="0"/>
            <c:spPr>
              <a:solidFill>
                <a:srgbClr val="EDE4D6"/>
              </a:solidFill>
              <a:ln>
                <a:noFill/>
              </a:ln>
              <a:effectLst/>
              <a:sp3d/>
            </c:spPr>
            <c:extLst>
              <c:ext xmlns:c16="http://schemas.microsoft.com/office/drawing/2014/chart" uri="{C3380CC4-5D6E-409C-BE32-E72D297353CC}">
                <c16:uniqueId val="{00000011-6D1B-46F3-AB53-8CE3AB1B1F54}"/>
              </c:ext>
            </c:extLst>
          </c:dPt>
          <c:dPt>
            <c:idx val="9"/>
            <c:invertIfNegative val="0"/>
            <c:bubble3D val="0"/>
            <c:spPr>
              <a:solidFill>
                <a:srgbClr val="C3A573"/>
              </a:solidFill>
              <a:ln>
                <a:noFill/>
              </a:ln>
              <a:effectLst/>
              <a:sp3d/>
            </c:spPr>
            <c:extLst>
              <c:ext xmlns:c16="http://schemas.microsoft.com/office/drawing/2014/chart" uri="{C3380CC4-5D6E-409C-BE32-E72D297353CC}">
                <c16:uniqueId val="{00000013-6D1B-46F3-AB53-8CE3AB1B1F54}"/>
              </c:ext>
            </c:extLst>
          </c:dPt>
          <c:dPt>
            <c:idx val="10"/>
            <c:invertIfNegative val="0"/>
            <c:bubble3D val="0"/>
            <c:spPr>
              <a:solidFill>
                <a:srgbClr val="E3D5BF"/>
              </a:solidFill>
              <a:ln>
                <a:noFill/>
              </a:ln>
              <a:effectLst/>
              <a:sp3d/>
            </c:spPr>
            <c:extLst>
              <c:ext xmlns:c16="http://schemas.microsoft.com/office/drawing/2014/chart" uri="{C3380CC4-5D6E-409C-BE32-E72D297353CC}">
                <c16:uniqueId val="{00000015-6D1B-46F3-AB53-8CE3AB1B1F54}"/>
              </c:ext>
            </c:extLst>
          </c:dPt>
          <c:dPt>
            <c:idx val="11"/>
            <c:invertIfNegative val="0"/>
            <c:bubble3D val="0"/>
            <c:spPr>
              <a:solidFill>
                <a:srgbClr val="B5A599"/>
              </a:solidFill>
              <a:ln>
                <a:noFill/>
              </a:ln>
              <a:effectLst/>
              <a:sp3d/>
            </c:spPr>
            <c:extLst>
              <c:ext xmlns:c16="http://schemas.microsoft.com/office/drawing/2014/chart" uri="{C3380CC4-5D6E-409C-BE32-E72D297353CC}">
                <c16:uniqueId val="{00000017-6D1B-46F3-AB53-8CE3AB1B1F54}"/>
              </c:ext>
            </c:extLst>
          </c:dPt>
          <c:dPt>
            <c:idx val="12"/>
            <c:invertIfNegative val="0"/>
            <c:bubble3D val="0"/>
            <c:spPr>
              <a:solidFill>
                <a:srgbClr val="DAD2CC"/>
              </a:solidFill>
              <a:ln>
                <a:noFill/>
              </a:ln>
              <a:effectLst/>
              <a:sp3d/>
            </c:spPr>
            <c:extLst>
              <c:ext xmlns:c16="http://schemas.microsoft.com/office/drawing/2014/chart" uri="{C3380CC4-5D6E-409C-BE32-E72D297353CC}">
                <c16:uniqueId val="{00000019-6D1B-46F3-AB53-8CE3AB1B1F54}"/>
              </c:ext>
            </c:extLst>
          </c:dPt>
          <c:dPt>
            <c:idx val="13"/>
            <c:invertIfNegative val="0"/>
            <c:bubble3D val="0"/>
            <c:spPr>
              <a:solidFill>
                <a:srgbClr val="F0EAE4"/>
              </a:solidFill>
              <a:ln>
                <a:noFill/>
              </a:ln>
              <a:effectLst/>
              <a:sp3d/>
            </c:spPr>
            <c:extLst>
              <c:ext xmlns:c16="http://schemas.microsoft.com/office/drawing/2014/chart" uri="{C3380CC4-5D6E-409C-BE32-E72D297353CC}">
                <c16:uniqueId val="{0000001B-6D1B-46F3-AB53-8CE3AB1B1F54}"/>
              </c:ext>
            </c:extLst>
          </c:dPt>
          <c:dPt>
            <c:idx val="14"/>
            <c:invertIfNegative val="0"/>
            <c:bubble3D val="0"/>
            <c:spPr>
              <a:solidFill>
                <a:srgbClr val="D4BF9C"/>
              </a:solidFill>
              <a:ln>
                <a:noFill/>
              </a:ln>
              <a:effectLst/>
              <a:sp3d/>
            </c:spPr>
            <c:extLst>
              <c:ext xmlns:c16="http://schemas.microsoft.com/office/drawing/2014/chart" uri="{C3380CC4-5D6E-409C-BE32-E72D297353CC}">
                <c16:uniqueId val="{0000001D-6D1B-46F3-AB53-8CE3AB1B1F54}"/>
              </c:ext>
            </c:extLst>
          </c:dPt>
          <c:dPt>
            <c:idx val="15"/>
            <c:invertIfNegative val="0"/>
            <c:bubble3D val="0"/>
            <c:spPr>
              <a:solidFill>
                <a:srgbClr val="808080"/>
              </a:solidFill>
              <a:ln>
                <a:noFill/>
              </a:ln>
              <a:effectLst/>
              <a:sp3d/>
            </c:spPr>
            <c:extLst>
              <c:ext xmlns:c16="http://schemas.microsoft.com/office/drawing/2014/chart" uri="{C3380CC4-5D6E-409C-BE32-E72D297353CC}">
                <c16:uniqueId val="{0000001F-6D1B-46F3-AB53-8CE3AB1B1F54}"/>
              </c:ext>
            </c:extLst>
          </c:dPt>
          <c:cat>
            <c:strRef>
              <c:f>Summary!$S$145:$S$160</c:f>
              <c:strCache>
                <c:ptCount val="16"/>
                <c:pt idx="0">
                  <c:v>التسوير</c:v>
                </c:pt>
                <c:pt idx="1">
                  <c:v>الحفر والمسح والاختبار</c:v>
                </c:pt>
                <c:pt idx="2">
                  <c:v>التأمين</c:v>
                </c:pt>
                <c:pt idx="3">
                  <c:v>الرخصة</c:v>
                </c:pt>
                <c:pt idx="4">
                  <c:v>التصميم</c:v>
                </c:pt>
                <c:pt idx="5">
                  <c:v>أثاث الوحدات الفندقية</c:v>
                </c:pt>
                <c:pt idx="6">
                  <c:v>أثاث الوحدات</c:v>
                </c:pt>
                <c:pt idx="7">
                  <c:v>رسوم الكهرباء</c:v>
                </c:pt>
                <c:pt idx="8">
                  <c:v>رسوم الماء وصرف الصحي</c:v>
                </c:pt>
                <c:pt idx="9">
                  <c:v>الفرز</c:v>
                </c:pt>
                <c:pt idx="10">
                  <c:v>الصيانة و التشغيل</c:v>
                </c:pt>
                <c:pt idx="11">
                  <c:v>الاحتياطي</c:v>
                </c:pt>
                <c:pt idx="12">
                  <c:v>تسويق المبيعات</c:v>
                </c:pt>
                <c:pt idx="13">
                  <c:v>تسويق التأجير</c:v>
                </c:pt>
                <c:pt idx="14">
                  <c:v>تسويق البيع على الخارطة</c:v>
                </c:pt>
                <c:pt idx="15">
                  <c:v>الإشراف الهندسي</c:v>
                </c:pt>
              </c:strCache>
            </c:strRef>
          </c:cat>
          <c:val>
            <c:numRef>
              <c:f>Summary!$T$145:$T$160</c:f>
              <c:numCache>
                <c:formatCode>#,##0</c:formatCode>
                <c:ptCount val="16"/>
                <c:pt idx="0">
                  <c:v>534040</c:v>
                </c:pt>
                <c:pt idx="1">
                  <c:v>2835360</c:v>
                </c:pt>
                <c:pt idx="2">
                  <c:v>1330515.3360000001</c:v>
                </c:pt>
                <c:pt idx="3">
                  <c:v>62830.559999999998</c:v>
                </c:pt>
                <c:pt idx="4">
                  <c:v>3913280.4000000004</c:v>
                </c:pt>
                <c:pt idx="5">
                  <c:v>6149999.9999999991</c:v>
                </c:pt>
                <c:pt idx="6">
                  <c:v>0</c:v>
                </c:pt>
                <c:pt idx="7">
                  <c:v>912500</c:v>
                </c:pt>
                <c:pt idx="8">
                  <c:v>984000</c:v>
                </c:pt>
                <c:pt idx="9">
                  <c:v>18000</c:v>
                </c:pt>
                <c:pt idx="10">
                  <c:v>299000</c:v>
                </c:pt>
                <c:pt idx="11">
                  <c:v>1173984.1199999999</c:v>
                </c:pt>
                <c:pt idx="12">
                  <c:v>46954.910520000005</c:v>
                </c:pt>
                <c:pt idx="13">
                  <c:v>952952.44319999998</c:v>
                </c:pt>
                <c:pt idx="14">
                  <c:v>0</c:v>
                </c:pt>
                <c:pt idx="15">
                  <c:v>1956640.2000000002</c:v>
                </c:pt>
              </c:numCache>
            </c:numRef>
          </c:val>
          <c:extLst>
            <c:ext xmlns:c16="http://schemas.microsoft.com/office/drawing/2014/chart" uri="{C3380CC4-5D6E-409C-BE32-E72D297353CC}">
              <c16:uniqueId val="{00000020-6D1B-46F3-AB53-8CE3AB1B1F54}"/>
            </c:ext>
          </c:extLst>
        </c:ser>
        <c:dLbls>
          <c:showLegendKey val="0"/>
          <c:showVal val="0"/>
          <c:showCatName val="0"/>
          <c:showSerName val="0"/>
          <c:showPercent val="0"/>
          <c:showBubbleSize val="0"/>
        </c:dLbls>
        <c:gapWidth val="150"/>
        <c:shape val="box"/>
        <c:axId val="406301776"/>
        <c:axId val="406298032"/>
        <c:axId val="0"/>
      </c:bar3DChart>
      <c:catAx>
        <c:axId val="406301776"/>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98032"/>
        <c:crosses val="autoZero"/>
        <c:auto val="1"/>
        <c:lblAlgn val="ctr"/>
        <c:lblOffset val="100"/>
        <c:noMultiLvlLbl val="0"/>
      </c:catAx>
      <c:valAx>
        <c:axId val="406298032"/>
        <c:scaling>
          <c:orientation val="minMax"/>
        </c:scaling>
        <c:delete val="0"/>
        <c:axPos val="r"/>
        <c:majorGridlines>
          <c:spPr>
            <a:ln w="9525" cap="flat" cmpd="sng" algn="ctr">
              <a:solidFill>
                <a:srgbClr val="846C5E"/>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301776"/>
        <c:crosses val="autoZero"/>
        <c:crossBetween val="between"/>
      </c:valAx>
      <c:spPr>
        <a:solidFill>
          <a:srgbClr val="F2F0EE"/>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0EE"/>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size">
        <cx:f>_xlchart.v1.0</cx:f>
      </cx:numDim>
    </cx:data>
  </cx:chartData>
  <cx:chart>
    <cx:title pos="t" align="ctr" overlay="0">
      <cx:tx>
        <cx:rich>
          <a:bodyPr spcFirstLastPara="1" vertOverflow="ellipsis" horzOverflow="overflow" wrap="square" lIns="0" tIns="0" rIns="0" bIns="0" anchor="ctr" anchorCtr="1"/>
          <a:lstStyle/>
          <a:p>
            <a:pPr algn="ctr" rtl="0">
              <a:defRPr sz="1400"/>
            </a:pPr>
            <a:r>
              <a:rPr lang="ar-SA" sz="1400" b="1" i="0" u="none" strike="noStrike" kern="1200" cap="all" spc="0" baseline="0">
                <a:solidFill>
                  <a:srgbClr val="A4907E"/>
                </a:solidFill>
                <a:latin typeface="+mn-lt"/>
                <a:ea typeface="+mn-ea"/>
                <a:cs typeface="+mn-cs"/>
              </a:rPr>
              <a:t>التكاليف</a:t>
            </a:r>
            <a:r>
              <a:rPr lang="ar-SA" sz="1400" b="1" i="0" u="none" strike="noStrike" cap="all" baseline="0" dirty="0">
                <a:solidFill>
                  <a:sysClr val="windowText" lastClr="000000">
                    <a:lumMod val="65000"/>
                    <a:lumOff val="35000"/>
                  </a:sysClr>
                </a:solidFill>
                <a:latin typeface="Calibri" panose="020F0502020204030204"/>
              </a:rPr>
              <a:t> </a:t>
            </a:r>
            <a:r>
              <a:rPr lang="ar-SA" sz="1400" b="1" i="0" u="none" strike="noStrike" kern="1200" spc="0" baseline="0" dirty="0">
                <a:solidFill>
                  <a:srgbClr val="A4907E"/>
                </a:solidFill>
                <a:latin typeface="+mn-lt"/>
                <a:ea typeface="+mn-ea"/>
                <a:cs typeface="+mn-cs"/>
              </a:rPr>
              <a:t>الاخرى</a:t>
            </a:r>
          </a:p>
        </cx:rich>
      </cx:tx>
    </cx:title>
    <cx:plotArea>
      <cx:plotAreaRegion>
        <cx:series layoutId="treemap" uniqueId="{4A216023-3C54-4CDC-9254-CF23CED93CAC}">
          <cx:spPr>
            <a:solidFill>
              <a:schemeClr val="tx1"/>
            </a:solidFill>
          </cx:spPr>
          <cx:dataPt idx="0">
            <cx:spPr>
              <a:solidFill>
                <a:srgbClr val="957E6F"/>
              </a:solidFill>
            </cx:spPr>
          </cx:dataPt>
          <cx:dataPt idx="1">
            <cx:spPr>
              <a:solidFill>
                <a:srgbClr val="B29C85"/>
              </a:solidFill>
            </cx:spPr>
          </cx:dataPt>
          <cx:dataPt idx="2">
            <cx:spPr>
              <a:solidFill>
                <a:srgbClr val="D1C2B4"/>
              </a:solidFill>
            </cx:spPr>
          </cx:dataPt>
          <cx:dataPt idx="3">
            <cx:spPr>
              <a:solidFill>
                <a:srgbClr val="866C60"/>
              </a:solidFill>
            </cx:spPr>
          </cx:dataPt>
          <cx:dataPt idx="4">
            <cx:spPr>
              <a:solidFill>
                <a:srgbClr val="957E6F"/>
              </a:solidFill>
            </cx:spPr>
          </cx:dataPt>
          <cx:dataPt idx="5">
            <cx:spPr>
              <a:solidFill>
                <a:srgbClr val="866C60"/>
              </a:solidFill>
            </cx:spPr>
          </cx:dataPt>
          <cx:dataPt idx="7">
            <cx:spPr>
              <a:solidFill>
                <a:srgbClr val="D1C2B4"/>
              </a:solidFill>
            </cx:spPr>
          </cx:dataPt>
          <cx:dataPt idx="8">
            <cx:spPr>
              <a:solidFill>
                <a:srgbClr val="B29C85"/>
              </a:solidFill>
            </cx:spPr>
          </cx:dataPt>
          <cx:dataPt idx="9">
            <cx:spPr>
              <a:solidFill>
                <a:srgbClr val="A4907E"/>
              </a:solidFill>
            </cx:spPr>
          </cx:dataPt>
          <cx:dataPt idx="10">
            <cx:spPr>
              <a:solidFill>
                <a:srgbClr val="C1AF9C"/>
              </a:solidFill>
            </cx:spPr>
          </cx:dataPt>
          <cx:dataPt idx="11">
            <cx:spPr>
              <a:solidFill>
                <a:srgbClr val="E0D5CB"/>
              </a:solidFill>
            </cx:spPr>
          </cx:dataPt>
          <cx:dataPt idx="12">
            <cx:spPr>
              <a:solidFill>
                <a:srgbClr val="C1AF9C"/>
              </a:solidFill>
            </cx:spPr>
          </cx:dataPt>
          <cx:dataPt idx="13">
            <cx:spPr>
              <a:solidFill>
                <a:srgbClr val="F0E8E3"/>
              </a:solidFill>
            </cx:spPr>
          </cx:dataPt>
          <cx:dataPt idx="14">
            <cx:spPr>
              <a:solidFill>
                <a:srgbClr val="A4907E"/>
              </a:solidFill>
            </cx:spPr>
          </cx:dataPt>
          <cx:dataPt idx="15">
            <cx:spPr>
              <a:solidFill>
                <a:srgbClr val="887262"/>
              </a:solidFill>
            </cx:spPr>
          </cx:dataPt>
          <cx:dataLabels>
            <cx:txPr>
              <a:bodyPr spcFirstLastPara="1" vertOverflow="ellipsis" horzOverflow="overflow" wrap="square" lIns="0" tIns="0" rIns="0" bIns="0" anchor="ctr" anchorCtr="1"/>
              <a:lstStyle/>
              <a:p>
                <a:pPr algn="ctr" rtl="0">
                  <a:defRPr sz="1600" baseline="0">
                    <a:cs typeface="Calibri" panose="020F0502020204030204" pitchFamily="34" charset="0"/>
                  </a:defRPr>
                </a:pPr>
                <a:endParaRPr lang="ar-SA" sz="1600" b="1" i="0" u="none" strike="noStrike" baseline="0">
                  <a:solidFill>
                    <a:sysClr val="window" lastClr="FFFFFF"/>
                  </a:solidFill>
                  <a:latin typeface="Calibri" panose="020F0502020204030204"/>
                  <a:cs typeface="Calibri" panose="020F0502020204030204" pitchFamily="34" charset="0"/>
                </a:endParaRPr>
              </a:p>
            </cx:txPr>
            <cx:visibility seriesName="0" categoryName="1" value="0"/>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586154</xdr:colOff>
      <xdr:row>0</xdr:row>
      <xdr:rowOff>149080</xdr:rowOff>
    </xdr:from>
    <xdr:to>
      <xdr:col>5</xdr:col>
      <xdr:colOff>601719</xdr:colOff>
      <xdr:row>11</xdr:row>
      <xdr:rowOff>117232</xdr:rowOff>
    </xdr:to>
    <xdr:pic>
      <xdr:nvPicPr>
        <xdr:cNvPr id="3" name="صورة 2">
          <a:extLst>
            <a:ext uri="{FF2B5EF4-FFF2-40B4-BE49-F238E27FC236}">
              <a16:creationId xmlns:a16="http://schemas.microsoft.com/office/drawing/2014/main" id="{59CB2BD2-FCC9-4A45-998E-E402998E396B}"/>
            </a:ext>
          </a:extLst>
        </xdr:cNvPr>
        <xdr:cNvPicPr>
          <a:picLocks noChangeAspect="1"/>
        </xdr:cNvPicPr>
      </xdr:nvPicPr>
      <xdr:blipFill>
        <a:blip xmlns:r="http://schemas.openxmlformats.org/officeDocument/2006/relationships" r:embed="rId1"/>
        <a:stretch>
          <a:fillRect/>
        </a:stretch>
      </xdr:blipFill>
      <xdr:spPr>
        <a:xfrm>
          <a:off x="10921590389" y="149080"/>
          <a:ext cx="3906996" cy="1587402"/>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95251</xdr:colOff>
      <xdr:row>73</xdr:row>
      <xdr:rowOff>194581</xdr:rowOff>
    </xdr:from>
    <xdr:to>
      <xdr:col>5</xdr:col>
      <xdr:colOff>680358</xdr:colOff>
      <xdr:row>92</xdr:row>
      <xdr:rowOff>95250</xdr:rowOff>
    </xdr:to>
    <xdr:graphicFrame macro="">
      <xdr:nvGraphicFramePr>
        <xdr:cNvPr id="6" name="Chart 5">
          <a:extLst>
            <a:ext uri="{FF2B5EF4-FFF2-40B4-BE49-F238E27FC236}">
              <a16:creationId xmlns:a16="http://schemas.microsoft.com/office/drawing/2014/main" id="{137E0C52-DD0F-886D-7F10-79F53BFF1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661211</xdr:colOff>
      <xdr:row>73</xdr:row>
      <xdr:rowOff>205417</xdr:rowOff>
    </xdr:from>
    <xdr:to>
      <xdr:col>9</xdr:col>
      <xdr:colOff>205189</xdr:colOff>
      <xdr:row>91</xdr:row>
      <xdr:rowOff>183007</xdr:rowOff>
    </xdr:to>
    <xdr:graphicFrame macro="">
      <xdr:nvGraphicFramePr>
        <xdr:cNvPr id="9" name="Chart 8">
          <a:extLst>
            <a:ext uri="{FF2B5EF4-FFF2-40B4-BE49-F238E27FC236}">
              <a16:creationId xmlns:a16="http://schemas.microsoft.com/office/drawing/2014/main" id="{C222972C-FCD9-9462-DEEF-6050FAE4C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305406</xdr:colOff>
      <xdr:row>74</xdr:row>
      <xdr:rowOff>76151</xdr:rowOff>
    </xdr:from>
    <xdr:to>
      <xdr:col>11</xdr:col>
      <xdr:colOff>123825</xdr:colOff>
      <xdr:row>91</xdr:row>
      <xdr:rowOff>76200</xdr:rowOff>
    </xdr:to>
    <xdr:graphicFrame macro="">
      <xdr:nvGraphicFramePr>
        <xdr:cNvPr id="13" name="Chart 12">
          <a:extLst>
            <a:ext uri="{FF2B5EF4-FFF2-40B4-BE49-F238E27FC236}">
              <a16:creationId xmlns:a16="http://schemas.microsoft.com/office/drawing/2014/main" id="{59C721F8-E00E-4CF5-A952-3080CAC61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340179</xdr:colOff>
      <xdr:row>142</xdr:row>
      <xdr:rowOff>13608</xdr:rowOff>
    </xdr:from>
    <xdr:to>
      <xdr:col>11</xdr:col>
      <xdr:colOff>44823</xdr:colOff>
      <xdr:row>162</xdr:row>
      <xdr:rowOff>27215</xdr:rowOff>
    </xdr:to>
    <xdr:graphicFrame macro="">
      <xdr:nvGraphicFramePr>
        <xdr:cNvPr id="5" name="Chart 4">
          <a:extLst>
            <a:ext uri="{FF2B5EF4-FFF2-40B4-BE49-F238E27FC236}">
              <a16:creationId xmlns:a16="http://schemas.microsoft.com/office/drawing/2014/main" id="{0CFFE428-315B-43F7-A4CC-F48B79C2A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3333750</xdr:colOff>
      <xdr:row>116</xdr:row>
      <xdr:rowOff>258535</xdr:rowOff>
    </xdr:from>
    <xdr:to>
      <xdr:col>9</xdr:col>
      <xdr:colOff>971711</xdr:colOff>
      <xdr:row>135</xdr:row>
      <xdr:rowOff>176893</xdr:rowOff>
    </xdr:to>
    <mc:AlternateContent xmlns:mc="http://schemas.openxmlformats.org/markup-compatibility/2006">
      <mc:Choice xmlns:cx1="http://schemas.microsoft.com/office/drawing/2015/9/8/chartex" Requires="cx1">
        <xdr:graphicFrame macro="">
          <xdr:nvGraphicFramePr>
            <xdr:cNvPr id="7" name="Chart 9">
              <a:extLst>
                <a:ext uri="{FF2B5EF4-FFF2-40B4-BE49-F238E27FC236}">
                  <a16:creationId xmlns:a16="http://schemas.microsoft.com/office/drawing/2014/main" id="{6A9A4D8B-D1D4-41C9-A47F-0710FFF6C7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830799964" y="26509435"/>
              <a:ext cx="10525286" cy="4461783"/>
            </a:xfrm>
            <a:prstGeom prst="rect">
              <a:avLst/>
            </a:prstGeom>
            <a:solidFill>
              <a:prstClr val="white"/>
            </a:solidFill>
            <a:ln w="1">
              <a:solidFill>
                <a:prstClr val="green"/>
              </a:solidFill>
            </a:ln>
          </xdr:spPr>
          <xdr:txBody>
            <a:bodyPr vertOverflow="clip" horzOverflow="clip"/>
            <a:lstStyle/>
            <a:p>
              <a:r>
                <a:rPr lang="en-US" sz="1100"/>
                <a:t>هذا المخطط غير متوفر في إصدار Excel.‏
سيؤدي تحرير هذا الشكل أو حفظ هذا المصنف بتنسيق ملف مختلف إلى تعطيل التخطيط بشكل دائم.</a:t>
              </a:r>
            </a:p>
          </xdr:txBody>
        </xdr:sp>
      </mc:Fallback>
    </mc:AlternateContent>
    <xdr:clientData/>
  </xdr:twoCellAnchor>
  <xdr:twoCellAnchor>
    <xdr:from>
      <xdr:col>2</xdr:col>
      <xdr:colOff>81643</xdr:colOff>
      <xdr:row>115</xdr:row>
      <xdr:rowOff>68036</xdr:rowOff>
    </xdr:from>
    <xdr:to>
      <xdr:col>11</xdr:col>
      <xdr:colOff>54429</xdr:colOff>
      <xdr:row>138</xdr:row>
      <xdr:rowOff>87087</xdr:rowOff>
    </xdr:to>
    <xdr:graphicFrame macro="">
      <xdr:nvGraphicFramePr>
        <xdr:cNvPr id="8" name="مخطط 7">
          <a:extLst>
            <a:ext uri="{FF2B5EF4-FFF2-40B4-BE49-F238E27FC236}">
              <a16:creationId xmlns:a16="http://schemas.microsoft.com/office/drawing/2014/main" id="{ED99E100-5E50-4651-8902-117868039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rive/My%20work/1-%20&#1583;&#1585;&#1575;&#1587;&#1575;&#1578;%20&#1605;&#1575;&#1604;&#1610;&#1577;%20&#1593;&#1605;&#1585;%20-%20&#1593;&#1576;&#1583;&#1575;&#1604;&#1604;&#1607;/&#1583;&#1585;&#1575;&#1587;&#1577;%20&#1605;&#1575;&#1604;&#1610;&#1577;%20-%20&#1593;&#1605;&#1585;/&#1605;&#1585;&#1581;&#1604;&#1577;%20&#1575;&#1604;&#1578;&#1606;&#1601;&#1610;&#1584;/&#1589;&#1601;&#1575;%20-%20&#1602;&#1585;&#1591;&#1576;&#1577;/New%20folder/Safa%20Rasf%20-%20Fund%20Model%20-%20QUR%20229k%20(Phase%20I%20-%20Infra%20Only)%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erGuide"/>
      <sheetName val="FundSummary"/>
      <sheetName val="Dashboard_F"/>
      <sheetName val="ProjectsSummary"/>
      <sheetName val="ScenarioAnalysis"/>
      <sheetName val="Assump_Areas"/>
      <sheetName val="Assump_Global"/>
      <sheetName val="Assump_Main"/>
      <sheetName val="Assump_Overrides"/>
      <sheetName val="Calc_Projects"/>
      <sheetName val="Calc_Fund"/>
      <sheetName val="Charts"/>
      <sheetName val="Audit"/>
      <sheetName val="Temp"/>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1">
          <cell r="G11">
            <v>0</v>
          </cell>
        </row>
        <row r="12">
          <cell r="G12">
            <v>0</v>
          </cell>
        </row>
        <row r="13">
          <cell r="G13">
            <v>0</v>
          </cell>
        </row>
      </sheetData>
      <sheetData sheetId="14"/>
      <sheetData sheetId="1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AA245A-7129-4B41-99F9-BE2E935500F1}" name="الجدول1" displayName="الجدول1" ref="S144:T160" totalsRowShown="0" headerRowDxfId="78" dataDxfId="76" headerRowBorderDxfId="77" tableBorderDxfId="75" totalsRowBorderDxfId="74">
  <autoFilter ref="S144:T160" xr:uid="{4AAA245A-7129-4B41-99F9-BE2E935500F1}">
    <filterColumn colId="0" hiddenButton="1"/>
    <filterColumn colId="1" hiddenButton="1"/>
  </autoFilter>
  <tableColumns count="2">
    <tableColumn id="1" xr3:uid="{32B2B6D7-1884-4577-A1F3-34E611962740}" name="البند" dataDxfId="73"/>
    <tableColumn id="2" xr3:uid="{DA11BC98-2FB8-4274-A1C6-C25B3FDA19C8}" name="القيمة" dataDxfId="72">
      <calculatedColumnFormula>Study!C82</calculatedColumnFormula>
    </tableColumn>
  </tableColumns>
  <tableStyleInfo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6F7C-DA1C-4B4C-A94C-CBB988F02B33}">
  <sheetPr codeName="Worksheet____11"/>
  <dimension ref="A1:P30"/>
  <sheetViews>
    <sheetView showGridLines="0" rightToLeft="1" zoomScale="115" zoomScaleNormal="115" workbookViewId="0">
      <selection activeCell="B35" sqref="B35"/>
    </sheetView>
  </sheetViews>
  <sheetFormatPr defaultColWidth="10" defaultRowHeight="11.25" x14ac:dyDescent="0.25"/>
  <cols>
    <col min="1" max="1" width="9.7109375" style="210" bestFit="1" customWidth="1"/>
    <col min="2" max="3" width="10" style="210"/>
    <col min="4" max="4" width="28.42578125" style="210" bestFit="1" customWidth="1"/>
    <col min="5" max="8" width="10" style="210"/>
    <col min="9" max="9" width="10" style="210" customWidth="1"/>
    <col min="10" max="11" width="10" style="210"/>
    <col min="12" max="12" width="28.42578125" style="210" bestFit="1" customWidth="1"/>
    <col min="13" max="17" width="10" style="210"/>
    <col min="18" max="18" width="23.28515625" style="210" bestFit="1" customWidth="1"/>
    <col min="19" max="16384" width="10" style="210"/>
  </cols>
  <sheetData>
    <row r="1" spans="1:16" ht="12" thickTop="1" x14ac:dyDescent="0.25">
      <c r="A1" s="231"/>
      <c r="B1" s="232"/>
      <c r="C1" s="232"/>
      <c r="D1" s="232"/>
      <c r="E1" s="232"/>
      <c r="F1" s="232"/>
      <c r="G1" s="232"/>
      <c r="H1" s="731" t="s">
        <v>484</v>
      </c>
      <c r="I1" s="731"/>
      <c r="J1" s="731"/>
      <c r="K1" s="731"/>
      <c r="L1" s="731"/>
      <c r="M1" s="731"/>
      <c r="N1" s="731"/>
      <c r="O1" s="731"/>
      <c r="P1" s="732"/>
    </row>
    <row r="2" spans="1:16" x14ac:dyDescent="0.25">
      <c r="A2" s="233"/>
      <c r="B2" s="212"/>
      <c r="C2" s="212"/>
      <c r="D2" s="212"/>
      <c r="E2" s="212"/>
      <c r="F2" s="212"/>
      <c r="G2" s="212"/>
      <c r="H2" s="733"/>
      <c r="I2" s="733"/>
      <c r="J2" s="733"/>
      <c r="K2" s="733"/>
      <c r="L2" s="733"/>
      <c r="M2" s="733"/>
      <c r="N2" s="733"/>
      <c r="O2" s="733"/>
      <c r="P2" s="734"/>
    </row>
    <row r="3" spans="1:16" x14ac:dyDescent="0.25">
      <c r="A3" s="233"/>
      <c r="B3" s="212"/>
      <c r="C3" s="212"/>
      <c r="D3" s="212"/>
      <c r="E3" s="212"/>
      <c r="F3" s="212"/>
      <c r="G3" s="212"/>
      <c r="H3" s="733"/>
      <c r="I3" s="733"/>
      <c r="J3" s="733"/>
      <c r="K3" s="733"/>
      <c r="L3" s="733"/>
      <c r="M3" s="733"/>
      <c r="N3" s="733"/>
      <c r="O3" s="733"/>
      <c r="P3" s="734"/>
    </row>
    <row r="4" spans="1:16" x14ac:dyDescent="0.25">
      <c r="A4" s="233"/>
      <c r="B4" s="212"/>
      <c r="C4" s="212"/>
      <c r="D4" s="212"/>
      <c r="E4" s="212"/>
      <c r="F4" s="212"/>
      <c r="G4" s="212"/>
      <c r="H4" s="733"/>
      <c r="I4" s="733"/>
      <c r="J4" s="733"/>
      <c r="K4" s="733"/>
      <c r="L4" s="733"/>
      <c r="M4" s="733"/>
      <c r="N4" s="733"/>
      <c r="O4" s="733"/>
      <c r="P4" s="734"/>
    </row>
    <row r="5" spans="1:16" x14ac:dyDescent="0.25">
      <c r="A5" s="233"/>
      <c r="B5" s="212"/>
      <c r="C5" s="212"/>
      <c r="D5" s="212"/>
      <c r="E5" s="212"/>
      <c r="F5" s="212"/>
      <c r="G5" s="212"/>
      <c r="H5" s="733"/>
      <c r="I5" s="733"/>
      <c r="J5" s="733"/>
      <c r="K5" s="733"/>
      <c r="L5" s="733"/>
      <c r="M5" s="733"/>
      <c r="N5" s="733"/>
      <c r="O5" s="733"/>
      <c r="P5" s="734"/>
    </row>
    <row r="6" spans="1:16" x14ac:dyDescent="0.25">
      <c r="A6" s="233"/>
      <c r="B6" s="212"/>
      <c r="C6" s="212"/>
      <c r="D6" s="212"/>
      <c r="E6" s="212"/>
      <c r="F6" s="212"/>
      <c r="G6" s="212"/>
      <c r="H6" s="733"/>
      <c r="I6" s="733"/>
      <c r="J6" s="733"/>
      <c r="K6" s="733"/>
      <c r="L6" s="733"/>
      <c r="M6" s="733"/>
      <c r="N6" s="733"/>
      <c r="O6" s="733"/>
      <c r="P6" s="734"/>
    </row>
    <row r="7" spans="1:16" x14ac:dyDescent="0.25">
      <c r="A7" s="233"/>
      <c r="B7" s="212"/>
      <c r="C7" s="212"/>
      <c r="D7" s="212"/>
      <c r="E7" s="212"/>
      <c r="F7" s="212"/>
      <c r="G7" s="212"/>
      <c r="H7" s="733"/>
      <c r="I7" s="733"/>
      <c r="J7" s="733"/>
      <c r="K7" s="733"/>
      <c r="L7" s="733"/>
      <c r="M7" s="733"/>
      <c r="N7" s="733"/>
      <c r="O7" s="733"/>
      <c r="P7" s="734"/>
    </row>
    <row r="8" spans="1:16" x14ac:dyDescent="0.25">
      <c r="A8" s="233"/>
      <c r="B8" s="212"/>
      <c r="C8" s="212"/>
      <c r="D8" s="212"/>
      <c r="E8" s="212"/>
      <c r="F8" s="212"/>
      <c r="G8" s="212"/>
      <c r="H8" s="733"/>
      <c r="I8" s="733"/>
      <c r="J8" s="733"/>
      <c r="K8" s="733"/>
      <c r="L8" s="733"/>
      <c r="M8" s="733"/>
      <c r="N8" s="733"/>
      <c r="O8" s="733"/>
      <c r="P8" s="734"/>
    </row>
    <row r="9" spans="1:16" x14ac:dyDescent="0.25">
      <c r="A9" s="233"/>
      <c r="B9" s="212"/>
      <c r="C9" s="212"/>
      <c r="D9" s="212"/>
      <c r="E9" s="212"/>
      <c r="F9" s="212"/>
      <c r="G9" s="212"/>
      <c r="H9" s="733"/>
      <c r="I9" s="733"/>
      <c r="J9" s="733"/>
      <c r="K9" s="733"/>
      <c r="L9" s="733"/>
      <c r="M9" s="733"/>
      <c r="N9" s="733"/>
      <c r="O9" s="733"/>
      <c r="P9" s="734"/>
    </row>
    <row r="10" spans="1:16" x14ac:dyDescent="0.25">
      <c r="A10" s="233"/>
      <c r="B10" s="212"/>
      <c r="C10" s="415"/>
      <c r="D10" s="212"/>
      <c r="E10" s="212"/>
      <c r="F10" s="212"/>
      <c r="G10" s="212"/>
      <c r="H10" s="733"/>
      <c r="I10" s="733"/>
      <c r="J10" s="733"/>
      <c r="K10" s="733"/>
      <c r="L10" s="733"/>
      <c r="M10" s="733"/>
      <c r="N10" s="733"/>
      <c r="O10" s="733"/>
      <c r="P10" s="734"/>
    </row>
    <row r="11" spans="1:16" x14ac:dyDescent="0.25">
      <c r="A11" s="233"/>
      <c r="B11" s="212"/>
      <c r="C11" s="416"/>
      <c r="D11" s="212"/>
      <c r="E11" s="212"/>
      <c r="F11" s="212"/>
      <c r="G11" s="212"/>
      <c r="H11" s="733"/>
      <c r="I11" s="733"/>
      <c r="J11" s="733"/>
      <c r="K11" s="733"/>
      <c r="L11" s="733"/>
      <c r="M11" s="733"/>
      <c r="N11" s="733"/>
      <c r="O11" s="733"/>
      <c r="P11" s="734"/>
    </row>
    <row r="12" spans="1:16" x14ac:dyDescent="0.25">
      <c r="A12" s="233"/>
      <c r="B12" s="212"/>
      <c r="C12" s="415"/>
      <c r="D12" s="212"/>
      <c r="E12" s="212"/>
      <c r="F12" s="212"/>
      <c r="G12" s="212"/>
      <c r="H12" s="733"/>
      <c r="I12" s="733"/>
      <c r="J12" s="733"/>
      <c r="K12" s="733"/>
      <c r="L12" s="733"/>
      <c r="M12" s="733"/>
      <c r="N12" s="733"/>
      <c r="O12" s="733"/>
      <c r="P12" s="734"/>
    </row>
    <row r="13" spans="1:16" x14ac:dyDescent="0.25">
      <c r="A13" s="233"/>
      <c r="B13" s="421"/>
      <c r="C13" s="422"/>
      <c r="D13" s="422"/>
      <c r="E13" s="421"/>
      <c r="F13" s="421"/>
      <c r="G13" s="421"/>
      <c r="H13" s="417"/>
      <c r="I13" s="417"/>
      <c r="J13" s="420"/>
      <c r="K13" s="420"/>
      <c r="L13" s="420"/>
      <c r="M13" s="420"/>
      <c r="N13" s="420"/>
      <c r="O13" s="417"/>
      <c r="P13" s="234"/>
    </row>
    <row r="14" spans="1:16" x14ac:dyDescent="0.25">
      <c r="A14" s="233"/>
      <c r="B14" s="212"/>
      <c r="C14" s="211"/>
      <c r="D14" s="211"/>
      <c r="E14" s="212"/>
      <c r="F14" s="212"/>
      <c r="G14" s="212"/>
      <c r="H14" s="216"/>
      <c r="I14" s="216"/>
      <c r="J14" s="216"/>
      <c r="K14" s="216"/>
      <c r="L14" s="216"/>
      <c r="M14" s="216"/>
      <c r="N14" s="216"/>
      <c r="O14" s="216"/>
      <c r="P14" s="418"/>
    </row>
    <row r="15" spans="1:16" ht="12.75" x14ac:dyDescent="0.25">
      <c r="A15" s="235"/>
      <c r="B15" s="216"/>
      <c r="C15" s="216"/>
      <c r="D15" s="216"/>
      <c r="E15" s="216"/>
      <c r="F15" s="216"/>
      <c r="G15" s="216"/>
      <c r="H15" s="215"/>
      <c r="I15" s="215"/>
      <c r="J15" s="215"/>
      <c r="K15" s="215"/>
      <c r="L15" s="215"/>
      <c r="M15" s="215"/>
      <c r="N15" s="215"/>
      <c r="O15" s="215"/>
      <c r="P15" s="236"/>
    </row>
    <row r="16" spans="1:16" ht="15" x14ac:dyDescent="0.25">
      <c r="A16" s="738" t="s">
        <v>438</v>
      </c>
      <c r="B16" s="739"/>
      <c r="C16" s="739"/>
      <c r="D16" s="739"/>
      <c r="E16" s="739"/>
      <c r="F16" s="739"/>
      <c r="G16" s="739"/>
      <c r="H16" s="419"/>
      <c r="I16" s="739" t="s">
        <v>549</v>
      </c>
      <c r="J16" s="739"/>
      <c r="K16" s="739"/>
      <c r="L16" s="739"/>
      <c r="M16" s="739"/>
      <c r="N16" s="739"/>
      <c r="O16" s="739"/>
      <c r="P16" s="236"/>
    </row>
    <row r="17" spans="1:16" ht="15" x14ac:dyDescent="0.25">
      <c r="A17" s="738"/>
      <c r="B17" s="739"/>
      <c r="C17" s="739"/>
      <c r="D17" s="739"/>
      <c r="E17" s="739"/>
      <c r="F17" s="739"/>
      <c r="G17" s="739"/>
      <c r="H17" s="419"/>
      <c r="I17" s="739"/>
      <c r="J17" s="739"/>
      <c r="K17" s="739"/>
      <c r="L17" s="739"/>
      <c r="M17" s="739"/>
      <c r="N17" s="739"/>
      <c r="O17" s="739"/>
      <c r="P17" s="236"/>
    </row>
    <row r="18" spans="1:16" ht="15" x14ac:dyDescent="0.25">
      <c r="A18" s="738"/>
      <c r="B18" s="739"/>
      <c r="C18" s="739"/>
      <c r="D18" s="739"/>
      <c r="E18" s="739"/>
      <c r="F18" s="739"/>
      <c r="G18" s="739"/>
      <c r="H18" s="419"/>
      <c r="I18" s="739"/>
      <c r="J18" s="739"/>
      <c r="K18" s="739"/>
      <c r="L18" s="739"/>
      <c r="M18" s="739"/>
      <c r="N18" s="739"/>
      <c r="O18" s="739"/>
      <c r="P18" s="236"/>
    </row>
    <row r="19" spans="1:16" ht="15.75" x14ac:dyDescent="0.25">
      <c r="A19" s="237"/>
      <c r="B19" s="229"/>
      <c r="C19" s="229"/>
      <c r="D19" s="230" t="s">
        <v>437</v>
      </c>
      <c r="E19" s="229"/>
      <c r="F19" s="229"/>
      <c r="G19" s="229"/>
      <c r="H19" s="419"/>
      <c r="I19" s="228"/>
      <c r="J19" s="228"/>
      <c r="K19" s="228"/>
      <c r="L19" s="230" t="s">
        <v>437</v>
      </c>
      <c r="M19" s="228"/>
      <c r="N19" s="228"/>
      <c r="O19" s="228"/>
      <c r="P19" s="236"/>
    </row>
    <row r="20" spans="1:16" ht="15" x14ac:dyDescent="0.25">
      <c r="A20" s="738" t="s">
        <v>435</v>
      </c>
      <c r="B20" s="739"/>
      <c r="C20" s="739"/>
      <c r="D20" s="739"/>
      <c r="E20" s="739"/>
      <c r="F20" s="739"/>
      <c r="G20" s="739"/>
      <c r="H20" s="419"/>
      <c r="I20" s="740">
        <v>46147</v>
      </c>
      <c r="J20" s="740"/>
      <c r="K20" s="740"/>
      <c r="L20" s="740"/>
      <c r="M20" s="740"/>
      <c r="N20" s="740"/>
      <c r="O20" s="740"/>
      <c r="P20" s="236"/>
    </row>
    <row r="21" spans="1:16" ht="15" x14ac:dyDescent="0.25">
      <c r="A21" s="738"/>
      <c r="B21" s="739"/>
      <c r="C21" s="739"/>
      <c r="D21" s="739"/>
      <c r="E21" s="739"/>
      <c r="F21" s="739"/>
      <c r="G21" s="739"/>
      <c r="H21" s="419"/>
      <c r="I21" s="740"/>
      <c r="J21" s="740"/>
      <c r="K21" s="740"/>
      <c r="L21" s="740"/>
      <c r="M21" s="740"/>
      <c r="N21" s="740"/>
      <c r="O21" s="740"/>
      <c r="P21" s="236"/>
    </row>
    <row r="22" spans="1:16" ht="15" x14ac:dyDescent="0.25">
      <c r="A22" s="738"/>
      <c r="B22" s="739"/>
      <c r="C22" s="739"/>
      <c r="D22" s="739"/>
      <c r="E22" s="739"/>
      <c r="F22" s="739"/>
      <c r="G22" s="739"/>
      <c r="H22" s="419"/>
      <c r="I22" s="740"/>
      <c r="J22" s="740"/>
      <c r="K22" s="740"/>
      <c r="L22" s="740"/>
      <c r="M22" s="740"/>
      <c r="N22" s="740"/>
      <c r="O22" s="740"/>
      <c r="P22" s="236"/>
    </row>
    <row r="23" spans="1:16" ht="15.75" x14ac:dyDescent="0.25">
      <c r="A23" s="237"/>
      <c r="B23" s="229"/>
      <c r="C23" s="229"/>
      <c r="D23" s="230" t="s">
        <v>437</v>
      </c>
      <c r="E23" s="229"/>
      <c r="F23" s="229"/>
      <c r="G23" s="229"/>
      <c r="H23" s="419"/>
      <c r="I23" s="228"/>
      <c r="J23" s="228"/>
      <c r="K23" s="228"/>
      <c r="L23" s="230" t="s">
        <v>437</v>
      </c>
      <c r="M23" s="228"/>
      <c r="N23" s="228"/>
      <c r="O23" s="228"/>
      <c r="P23" s="236"/>
    </row>
    <row r="24" spans="1:16" ht="15" x14ac:dyDescent="0.25">
      <c r="A24" s="735" t="s">
        <v>436</v>
      </c>
      <c r="B24" s="736"/>
      <c r="C24" s="736"/>
      <c r="D24" s="736"/>
      <c r="E24" s="736"/>
      <c r="F24" s="736"/>
      <c r="G24" s="736"/>
      <c r="H24" s="419"/>
      <c r="I24" s="737" t="s">
        <v>434</v>
      </c>
      <c r="J24" s="737"/>
      <c r="K24" s="737"/>
      <c r="L24" s="737"/>
      <c r="M24" s="737"/>
      <c r="N24" s="737"/>
      <c r="O24" s="737"/>
      <c r="P24" s="236"/>
    </row>
    <row r="25" spans="1:16" ht="15" x14ac:dyDescent="0.25">
      <c r="A25" s="735"/>
      <c r="B25" s="736"/>
      <c r="C25" s="736"/>
      <c r="D25" s="736"/>
      <c r="E25" s="736"/>
      <c r="F25" s="736"/>
      <c r="G25" s="736"/>
      <c r="H25" s="419"/>
      <c r="I25" s="737"/>
      <c r="J25" s="737"/>
      <c r="K25" s="737"/>
      <c r="L25" s="737"/>
      <c r="M25" s="737"/>
      <c r="N25" s="737"/>
      <c r="O25" s="737"/>
      <c r="P25" s="236"/>
    </row>
    <row r="26" spans="1:16" ht="15" x14ac:dyDescent="0.25">
      <c r="A26" s="735"/>
      <c r="B26" s="736"/>
      <c r="C26" s="736"/>
      <c r="D26" s="736"/>
      <c r="E26" s="736"/>
      <c r="F26" s="736"/>
      <c r="G26" s="736"/>
      <c r="H26" s="419"/>
      <c r="I26" s="737"/>
      <c r="J26" s="737"/>
      <c r="K26" s="737"/>
      <c r="L26" s="737"/>
      <c r="M26" s="737"/>
      <c r="N26" s="737"/>
      <c r="O26" s="737"/>
      <c r="P26" s="238"/>
    </row>
    <row r="27" spans="1:16" x14ac:dyDescent="0.25">
      <c r="A27" s="239"/>
      <c r="B27" s="214"/>
      <c r="C27" s="214"/>
      <c r="D27" s="214"/>
      <c r="E27" s="214"/>
      <c r="F27" s="214"/>
      <c r="G27" s="214"/>
      <c r="H27" s="214"/>
      <c r="I27" s="214"/>
      <c r="J27" s="213"/>
      <c r="K27" s="213"/>
      <c r="L27" s="213"/>
      <c r="M27" s="213"/>
      <c r="N27" s="213"/>
      <c r="O27" s="213"/>
      <c r="P27" s="238"/>
    </row>
    <row r="28" spans="1:16" x14ac:dyDescent="0.25">
      <c r="A28" s="239"/>
      <c r="B28" s="214"/>
      <c r="C28" s="214"/>
      <c r="D28" s="214"/>
      <c r="E28" s="214"/>
      <c r="F28" s="214"/>
      <c r="G28" s="214"/>
      <c r="H28" s="214"/>
      <c r="I28" s="214"/>
      <c r="J28" s="212"/>
      <c r="K28" s="212"/>
      <c r="L28" s="212"/>
      <c r="M28" s="212"/>
      <c r="N28" s="212"/>
      <c r="O28" s="212"/>
      <c r="P28" s="238"/>
    </row>
    <row r="29" spans="1:16" ht="12" thickBot="1" x14ac:dyDescent="0.3">
      <c r="A29" s="240"/>
      <c r="B29" s="241"/>
      <c r="C29" s="241"/>
      <c r="D29" s="241"/>
      <c r="E29" s="241"/>
      <c r="F29" s="241"/>
      <c r="G29" s="241"/>
      <c r="H29" s="241"/>
      <c r="I29" s="241"/>
      <c r="J29" s="242"/>
      <c r="K29" s="242"/>
      <c r="L29" s="242"/>
      <c r="M29" s="242"/>
      <c r="N29" s="242"/>
      <c r="O29" s="242"/>
      <c r="P29" s="243"/>
    </row>
    <row r="30" spans="1:16" ht="12" thickTop="1" x14ac:dyDescent="0.25"/>
  </sheetData>
  <mergeCells count="8">
    <mergeCell ref="H1:P12"/>
    <mergeCell ref="A24:G26"/>
    <mergeCell ref="I26:O26"/>
    <mergeCell ref="A16:G18"/>
    <mergeCell ref="I16:O18"/>
    <mergeCell ref="A20:G22"/>
    <mergeCell ref="I20:O22"/>
    <mergeCell ref="I24:O2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6DC33-B640-40D5-8D09-0ED98AAC20BF}">
  <sheetPr codeName="Worksheet____1"/>
  <dimension ref="A1:CF552"/>
  <sheetViews>
    <sheetView showGridLines="0" rightToLeft="1" tabSelected="1" topLeftCell="A7" zoomScale="85" zoomScaleNormal="85" workbookViewId="0">
      <selection activeCell="C70" sqref="C70"/>
    </sheetView>
  </sheetViews>
  <sheetFormatPr defaultColWidth="5.42578125" defaultRowHeight="11.25" x14ac:dyDescent="0.25"/>
  <cols>
    <col min="1" max="1" width="5.42578125" style="173" customWidth="1"/>
    <col min="2" max="2" width="40" style="173" bestFit="1" customWidth="1"/>
    <col min="3" max="3" width="27.140625" style="173" bestFit="1" customWidth="1"/>
    <col min="4" max="4" width="23.42578125" style="173" bestFit="1" customWidth="1"/>
    <col min="5" max="5" width="20.140625" style="173" bestFit="1" customWidth="1"/>
    <col min="6" max="6" width="18.85546875" style="173" bestFit="1" customWidth="1"/>
    <col min="7" max="7" width="27.7109375" style="173" bestFit="1" customWidth="1"/>
    <col min="8" max="8" width="21.7109375" style="173" bestFit="1" customWidth="1"/>
    <col min="9" max="9" width="24.28515625" style="173" bestFit="1" customWidth="1"/>
    <col min="10" max="10" width="26.42578125" style="173" bestFit="1" customWidth="1"/>
    <col min="11" max="11" width="23.140625" style="173" bestFit="1" customWidth="1"/>
    <col min="12" max="12" width="18.85546875" style="173" bestFit="1" customWidth="1"/>
    <col min="13" max="13" width="17.28515625" style="173" bestFit="1" customWidth="1"/>
    <col min="14" max="17" width="10.42578125" style="173" bestFit="1" customWidth="1"/>
    <col min="18" max="18" width="13" style="173" bestFit="1" customWidth="1"/>
    <col min="19" max="19" width="10.42578125" style="173" bestFit="1" customWidth="1"/>
    <col min="20" max="20" width="19.140625" style="173" bestFit="1" customWidth="1"/>
    <col min="21" max="21" width="15" style="173" bestFit="1" customWidth="1"/>
    <col min="22" max="22" width="23.42578125" style="173" bestFit="1" customWidth="1"/>
    <col min="23" max="23" width="14.42578125" style="173" bestFit="1" customWidth="1"/>
    <col min="24" max="24" width="10.5703125" style="173" bestFit="1" customWidth="1"/>
    <col min="25" max="25" width="21.42578125" style="173" bestFit="1" customWidth="1"/>
    <col min="26" max="26" width="19.140625" style="173" bestFit="1" customWidth="1"/>
    <col min="27" max="27" width="30.28515625" style="173" bestFit="1" customWidth="1"/>
    <col min="28" max="28" width="28.140625" style="173" bestFit="1" customWidth="1"/>
    <col min="29" max="29" width="15.42578125" style="173" bestFit="1" customWidth="1"/>
    <col min="30" max="30" width="1.7109375" style="173" bestFit="1" customWidth="1"/>
    <col min="31" max="31" width="10" style="173" bestFit="1" customWidth="1"/>
    <col min="32" max="32" width="9.85546875" style="173" bestFit="1" customWidth="1"/>
    <col min="33" max="33" width="10.140625" style="173" bestFit="1" customWidth="1"/>
    <col min="34" max="34" width="13.5703125" style="173" bestFit="1" customWidth="1"/>
    <col min="35" max="35" width="11.28515625" style="173" bestFit="1" customWidth="1"/>
    <col min="36" max="36" width="12.5703125" style="173" bestFit="1" customWidth="1"/>
    <col min="37" max="37" width="14.140625" style="173" customWidth="1"/>
    <col min="38" max="38" width="8.140625" style="173" bestFit="1" customWidth="1"/>
    <col min="39" max="39" width="18.5703125" style="173" bestFit="1" customWidth="1"/>
    <col min="40" max="40" width="9.140625" style="173" bestFit="1" customWidth="1"/>
    <col min="41" max="41" width="14.140625" style="173" customWidth="1"/>
    <col min="42" max="42" width="10.5703125" style="173" bestFit="1" customWidth="1"/>
    <col min="43" max="43" width="12.42578125" style="173" bestFit="1" customWidth="1"/>
    <col min="44" max="44" width="9.85546875" style="173" bestFit="1" customWidth="1"/>
    <col min="45" max="45" width="10.5703125" style="173" bestFit="1" customWidth="1"/>
    <col min="46" max="46" width="10.85546875" style="173" bestFit="1" customWidth="1"/>
    <col min="47" max="47" width="11.5703125" style="173" bestFit="1" customWidth="1"/>
    <col min="48" max="48" width="11.42578125" style="173" bestFit="1" customWidth="1"/>
    <col min="49" max="49" width="8" style="173" bestFit="1" customWidth="1"/>
    <col min="50" max="50" width="10.7109375" style="173" bestFit="1" customWidth="1"/>
    <col min="51" max="51" width="11.5703125" style="173" bestFit="1" customWidth="1"/>
    <col min="52" max="52" width="10.28515625" style="173" bestFit="1" customWidth="1"/>
    <col min="53" max="53" width="9.5703125" style="173" bestFit="1" customWidth="1"/>
    <col min="54" max="54" width="6.42578125" style="173" bestFit="1" customWidth="1"/>
    <col min="55" max="55" width="9.42578125" style="173" bestFit="1" customWidth="1"/>
    <col min="56" max="56" width="12.42578125" style="173" bestFit="1" customWidth="1"/>
    <col min="57" max="57" width="5" style="173" bestFit="1" customWidth="1"/>
    <col min="58" max="59" width="5.42578125" style="173"/>
    <col min="60" max="60" width="44.7109375" style="173" bestFit="1" customWidth="1"/>
    <col min="61" max="61" width="30.140625" style="173" bestFit="1" customWidth="1"/>
    <col min="62" max="62" width="23.85546875" style="173" bestFit="1" customWidth="1"/>
    <col min="63" max="63" width="5.42578125" style="173"/>
    <col min="64" max="64" width="24.5703125" style="173" bestFit="1" customWidth="1"/>
    <col min="65" max="65" width="5.42578125" style="173"/>
    <col min="66" max="66" width="10.140625" style="173" bestFit="1" customWidth="1"/>
    <col min="67" max="67" width="3.42578125" style="173" bestFit="1" customWidth="1"/>
    <col min="68" max="68" width="5.85546875" style="173" bestFit="1" customWidth="1"/>
    <col min="69" max="69" width="10.140625" style="173" bestFit="1" customWidth="1"/>
    <col min="70" max="70" width="3.42578125" style="173" bestFit="1" customWidth="1"/>
    <col min="71" max="71" width="5.85546875" style="173" bestFit="1" customWidth="1"/>
    <col min="72" max="73" width="5.42578125" style="173"/>
    <col min="74" max="74" width="14.5703125" style="173" bestFit="1" customWidth="1"/>
    <col min="75" max="75" width="9.140625" style="173" bestFit="1" customWidth="1"/>
    <col min="76" max="76" width="7.7109375" style="173" bestFit="1" customWidth="1"/>
    <col min="77" max="77" width="9.28515625" style="173" bestFit="1" customWidth="1"/>
    <col min="78" max="78" width="7.85546875" style="173" bestFit="1" customWidth="1"/>
    <col min="79" max="79" width="14.85546875" style="173" bestFit="1" customWidth="1"/>
    <col min="80" max="80" width="12.140625" style="173" bestFit="1" customWidth="1"/>
    <col min="81" max="16384" width="5.42578125" style="173"/>
  </cols>
  <sheetData>
    <row r="1" spans="1:84" ht="12" thickBot="1" x14ac:dyDescent="0.3"/>
    <row r="2" spans="1:84" ht="15" x14ac:dyDescent="0.25">
      <c r="A2" s="298"/>
      <c r="B2" s="298"/>
      <c r="C2" s="298"/>
      <c r="D2" s="298"/>
      <c r="E2" s="298"/>
      <c r="F2" s="298"/>
      <c r="AE2" s="900" t="s">
        <v>362</v>
      </c>
      <c r="AF2" s="901"/>
      <c r="AG2" s="901"/>
      <c r="AH2" s="901"/>
      <c r="AI2" s="901"/>
      <c r="AJ2" s="901"/>
      <c r="AK2" s="901"/>
      <c r="AL2" s="901"/>
      <c r="AM2" s="901"/>
      <c r="AN2" s="901"/>
      <c r="AO2" s="901"/>
      <c r="AP2" s="901"/>
      <c r="AQ2" s="901"/>
      <c r="AR2" s="901"/>
      <c r="AS2" s="901"/>
      <c r="AT2" s="901"/>
      <c r="AU2" s="901"/>
      <c r="AV2" s="901"/>
      <c r="AW2" s="901"/>
      <c r="AX2" s="901"/>
      <c r="AY2" s="901"/>
      <c r="AZ2" s="901"/>
      <c r="BA2" s="901"/>
      <c r="BB2" s="901"/>
      <c r="BC2" s="901"/>
      <c r="BD2" s="902"/>
      <c r="BH2" s="780" t="s">
        <v>326</v>
      </c>
      <c r="BI2" s="781"/>
      <c r="BJ2" s="1004"/>
      <c r="BK2" s="193"/>
      <c r="BL2" s="976" t="s">
        <v>332</v>
      </c>
      <c r="BN2" s="999" t="s">
        <v>367</v>
      </c>
      <c r="BO2" s="997"/>
      <c r="BP2" s="1000"/>
      <c r="BQ2" s="996" t="s">
        <v>368</v>
      </c>
      <c r="BR2" s="997"/>
      <c r="BS2" s="998"/>
      <c r="BV2" s="299" t="s">
        <v>384</v>
      </c>
      <c r="BW2" s="405" t="s">
        <v>455</v>
      </c>
      <c r="BX2" s="184"/>
      <c r="BY2" s="184"/>
      <c r="BZ2" s="184"/>
      <c r="CA2" s="299" t="s">
        <v>385</v>
      </c>
      <c r="CB2" s="300" t="s">
        <v>387</v>
      </c>
      <c r="CC2" s="203"/>
    </row>
    <row r="3" spans="1:84" ht="45.75" thickBot="1" x14ac:dyDescent="0.3">
      <c r="A3" s="298"/>
      <c r="B3" s="298"/>
      <c r="C3" s="298"/>
      <c r="D3" s="298"/>
      <c r="E3" s="298"/>
      <c r="F3" s="298"/>
      <c r="AE3" s="31" t="s">
        <v>313</v>
      </c>
      <c r="AF3" s="32" t="s">
        <v>297</v>
      </c>
      <c r="AG3" s="32" t="s">
        <v>517</v>
      </c>
      <c r="AH3" s="122" t="s">
        <v>439</v>
      </c>
      <c r="AI3" s="32" t="s">
        <v>299</v>
      </c>
      <c r="AJ3" s="32" t="s">
        <v>300</v>
      </c>
      <c r="AK3" s="32" t="s">
        <v>301</v>
      </c>
      <c r="AL3" s="32" t="s">
        <v>302</v>
      </c>
      <c r="AM3" s="122" t="s">
        <v>357</v>
      </c>
      <c r="AN3" s="122" t="s">
        <v>356</v>
      </c>
      <c r="AO3" s="32" t="s">
        <v>380</v>
      </c>
      <c r="AP3" s="32" t="s">
        <v>303</v>
      </c>
      <c r="AQ3" s="32" t="s">
        <v>355</v>
      </c>
      <c r="AR3" s="32" t="s">
        <v>304</v>
      </c>
      <c r="AS3" s="32" t="s">
        <v>305</v>
      </c>
      <c r="AT3" s="32" t="s">
        <v>354</v>
      </c>
      <c r="AU3" s="32" t="s">
        <v>306</v>
      </c>
      <c r="AV3" s="32" t="s">
        <v>364</v>
      </c>
      <c r="AW3" s="32" t="s">
        <v>308</v>
      </c>
      <c r="AX3" s="32" t="s">
        <v>309</v>
      </c>
      <c r="AY3" s="32" t="s">
        <v>310</v>
      </c>
      <c r="AZ3" s="32" t="s">
        <v>311</v>
      </c>
      <c r="BA3" s="32" t="s">
        <v>370</v>
      </c>
      <c r="BB3" s="32" t="s">
        <v>361</v>
      </c>
      <c r="BC3" s="32" t="s">
        <v>369</v>
      </c>
      <c r="BD3" s="33" t="s">
        <v>312</v>
      </c>
      <c r="BE3" s="172"/>
      <c r="BH3" s="783"/>
      <c r="BI3" s="784"/>
      <c r="BJ3" s="1005"/>
      <c r="BK3" s="693"/>
      <c r="BL3" s="1009"/>
      <c r="BN3" s="269" t="s">
        <v>37</v>
      </c>
      <c r="BO3" s="270" t="s">
        <v>365</v>
      </c>
      <c r="BP3" s="426" t="s">
        <v>366</v>
      </c>
      <c r="BQ3" s="429" t="s">
        <v>37</v>
      </c>
      <c r="BR3" s="270" t="s">
        <v>365</v>
      </c>
      <c r="BS3" s="271" t="s">
        <v>366</v>
      </c>
      <c r="BV3" s="156" t="s">
        <v>463</v>
      </c>
      <c r="BW3" s="626" t="s">
        <v>456</v>
      </c>
      <c r="CA3" s="627" t="s">
        <v>386</v>
      </c>
      <c r="CB3" s="628" t="s">
        <v>399</v>
      </c>
      <c r="CE3"/>
      <c r="CF3"/>
    </row>
    <row r="4" spans="1:84" ht="27.75" thickBot="1" x14ac:dyDescent="0.3">
      <c r="A4" s="298"/>
      <c r="B4" s="298"/>
      <c r="C4" s="298"/>
      <c r="D4" s="298"/>
      <c r="E4" s="298"/>
      <c r="F4" s="298"/>
      <c r="AE4" s="98" t="s">
        <v>215</v>
      </c>
      <c r="AF4" s="286">
        <f>I41</f>
        <v>15362564</v>
      </c>
      <c r="AG4" s="286">
        <f t="shared" ref="AG4:AG13" si="0">J57*AO4</f>
        <v>7800408</v>
      </c>
      <c r="AH4" s="145">
        <v>0</v>
      </c>
      <c r="AI4" s="286">
        <f t="shared" ref="AI4:AI13" si="1">($J$69*AH4)*AO4</f>
        <v>0</v>
      </c>
      <c r="AJ4" s="286"/>
      <c r="AK4" s="286"/>
      <c r="AL4" s="286">
        <f t="shared" ref="AL4:AL13" si="2">(((D57-F57)/$I$55)*$J$67)*AO4</f>
        <v>0</v>
      </c>
      <c r="AM4" s="123">
        <f>SUM(AF4:AG4,AI4:AL4)/$AM$14</f>
        <v>0.14502019228462343</v>
      </c>
      <c r="AN4" s="123">
        <f>SUM(AF4:AG4,AI4:AL4)/$AN$14</f>
        <v>0.11361588880169904</v>
      </c>
      <c r="AO4" s="147">
        <f>D125</f>
        <v>1</v>
      </c>
      <c r="AP4" s="286">
        <f>(AN4*SUM($C$82,$C$84:$C$85,$C$92:$C$93))+((H143+X143)/($H$153+$X$153))*$C$95+(SUM($D$89:$D$91)*G57*AO4)</f>
        <v>749188.50482248759</v>
      </c>
      <c r="AQ4" s="124">
        <f>(($A$88+$C$94)*AM4)+((C86+C97)*15%)</f>
        <v>887297.50015231781</v>
      </c>
      <c r="AR4" s="151">
        <f t="shared" ref="AR4:AR13" si="3">AM4*$C$115</f>
        <v>1035720.186037122</v>
      </c>
      <c r="AS4" s="286">
        <f t="shared" ref="AS4:AS13" si="4">AN4*$C$103</f>
        <v>2535299.6110832328</v>
      </c>
      <c r="AT4" s="125">
        <f t="shared" ref="AT4:AT13" si="5">SUM(I143,Y143)</f>
        <v>123565.554</v>
      </c>
      <c r="AU4" s="125">
        <f>SUM(AF4:AG4,AI4:AL4,AP4:AT4)</f>
        <v>28494043.356095161</v>
      </c>
      <c r="AV4" s="125">
        <f t="shared" ref="AV4:AV13" si="6">IFERROR((AU4-AT4)/E125, "0")</f>
        <v>9413.5424657740914</v>
      </c>
      <c r="AW4" s="119">
        <f t="shared" ref="AW4:AW13" si="7">(AU4-AT4)/($C$19)</f>
        <v>0.1285243785398196</v>
      </c>
      <c r="AX4" s="143">
        <f t="shared" ref="AX4:AX13" si="8">SUM(J125,H143,O125,X143)</f>
        <v>31818130.155000001</v>
      </c>
      <c r="AY4" s="126">
        <f t="shared" ref="AY4:AY13" si="9">IFERROR(AZ4/E125, "0.00")</f>
        <v>1102.9575342259093</v>
      </c>
      <c r="AZ4" s="126">
        <f>AX4-AU4</f>
        <v>3324086.7989048399</v>
      </c>
      <c r="BA4" s="165">
        <f>IFERROR(BD4/AW4, "0.00")</f>
        <v>0.91163332591623647</v>
      </c>
      <c r="BB4" s="153">
        <f t="shared" ref="BB4:BB14" si="10">IFERROR(AZ4/AX4, "0.00%")</f>
        <v>0.10447146902447636</v>
      </c>
      <c r="BC4" s="153">
        <f t="shared" ref="BC4:BC13" si="11">AZ4/$C$21</f>
        <v>3.8691213908907354E-2</v>
      </c>
      <c r="BD4" s="127">
        <f>IFERROR(AZ4/(AU4-AT4), "0.00%")</f>
        <v>0.11716710666957311</v>
      </c>
      <c r="BE4" s="219" t="s">
        <v>215</v>
      </c>
      <c r="BH4" s="1006"/>
      <c r="BI4" s="1007"/>
      <c r="BJ4" s="1008"/>
      <c r="BK4" s="693"/>
      <c r="BL4" s="1009"/>
      <c r="BN4" s="280" t="s">
        <v>38</v>
      </c>
      <c r="BO4" s="272">
        <f t="shared" ref="BO4:BO13" si="12">IFERROR((AU4-AT4) / (C143 * D143 * G143 * (1 - $I$154) * BP4), 0)</f>
        <v>0</v>
      </c>
      <c r="BP4" s="427"/>
      <c r="BQ4" s="430" t="s">
        <v>38</v>
      </c>
      <c r="BR4" s="272">
        <f t="shared" ref="BR4:BR13" si="13">IFERROR((AU4-AT4) / ((R143 * S143 * (1 - $Y$154) * 365 * BS4) * (1 + W143)), 0)</f>
        <v>0</v>
      </c>
      <c r="BS4" s="13"/>
      <c r="BV4" s="98" t="str">
        <f>B15</f>
        <v>إجمالي تكلفة البناء
 (Total Construction Cost)</v>
      </c>
      <c r="BW4" s="195">
        <f>J72</f>
        <v>78265608</v>
      </c>
      <c r="CB4" s="185"/>
      <c r="CE4"/>
      <c r="CF4"/>
    </row>
    <row r="5" spans="1:84" ht="36.75" thickBot="1" x14ac:dyDescent="0.3">
      <c r="A5" s="298"/>
      <c r="B5" s="298"/>
      <c r="C5" s="298"/>
      <c r="D5" s="298"/>
      <c r="E5" s="298"/>
      <c r="F5" s="298"/>
      <c r="AE5" s="83" t="s">
        <v>216</v>
      </c>
      <c r="AF5" s="105">
        <f>I42</f>
        <v>27351260</v>
      </c>
      <c r="AG5" s="105">
        <f t="shared" si="0"/>
        <v>0</v>
      </c>
      <c r="AH5" s="146">
        <v>0</v>
      </c>
      <c r="AI5" s="105">
        <f t="shared" si="1"/>
        <v>0</v>
      </c>
      <c r="AJ5" s="105">
        <f t="shared" ref="AJ5:AJ13" si="14">((K58/$L$72)*($J$70+$J$71))*AO5</f>
        <v>0</v>
      </c>
      <c r="AK5" s="105">
        <f t="shared" ref="AK5:AK13" si="15">((K58/$L$72)*$C$83)*AO5</f>
        <v>0</v>
      </c>
      <c r="AL5" s="105">
        <f t="shared" si="2"/>
        <v>0</v>
      </c>
      <c r="AM5" s="128">
        <f t="shared" ref="AM5:AM13" si="16">SUM(AF5:AG5,AI5:AL5)/$AM$14</f>
        <v>0.17124248928102703</v>
      </c>
      <c r="AN5" s="128">
        <f t="shared" ref="AN5:AN13" si="17">SUM(AF5:AG5,AI5:AL5)/$AN$14</f>
        <v>0.13415971468369253</v>
      </c>
      <c r="AO5" s="148">
        <f>D126</f>
        <v>0</v>
      </c>
      <c r="AP5" s="105">
        <f>(AN5*SUM($C$82,$C$84:$C$85,$C$92:$C$93))+((H144+X144)/($H$153+$X$153))*$C$95+(SUM($D$89:$D$91)*G58*AO5)</f>
        <v>456192.67116554297</v>
      </c>
      <c r="AQ5" s="124">
        <f>(($A$88+$C$94)*AM5)+((C86+C97)*15%)</f>
        <v>888528.7657614128</v>
      </c>
      <c r="AR5" s="152">
        <f t="shared" si="3"/>
        <v>1222997.2948009304</v>
      </c>
      <c r="AS5" s="150">
        <f t="shared" si="4"/>
        <v>2993728.043216405</v>
      </c>
      <c r="AT5" s="129">
        <f t="shared" si="5"/>
        <v>0</v>
      </c>
      <c r="AU5" s="129">
        <f t="shared" ref="AU5:AU13" si="18">SUM(AF5:AG5,AI5:AL5,AP5:AT5)</f>
        <v>32912706.774944291</v>
      </c>
      <c r="AV5" s="129">
        <f t="shared" si="6"/>
        <v>9854.1038248336208</v>
      </c>
      <c r="AW5" s="120">
        <f t="shared" si="7"/>
        <v>0.14910165467853465</v>
      </c>
      <c r="AX5" s="149">
        <f t="shared" si="8"/>
        <v>0</v>
      </c>
      <c r="AY5" s="141">
        <f t="shared" si="9"/>
        <v>-9854.1038248336208</v>
      </c>
      <c r="AZ5" s="141">
        <f t="shared" ref="AZ5:AZ13" si="19">AX5-AU5</f>
        <v>-32912706.774944291</v>
      </c>
      <c r="BA5" s="166">
        <f t="shared" ref="BA5:BA13" si="20">IFERROR(BD5/AW5, "0.00")</f>
        <v>-6.7068336844149359</v>
      </c>
      <c r="BB5" s="154" t="str">
        <f t="shared" si="10"/>
        <v>0.00%</v>
      </c>
      <c r="BC5" s="154">
        <f t="shared" si="11"/>
        <v>-0.38309245672226772</v>
      </c>
      <c r="BD5" s="130">
        <f t="shared" ref="BD5:BD13" si="21">IFERROR(AZ5/(AU5-AT5), "0.00%")</f>
        <v>-1</v>
      </c>
      <c r="BE5" s="219" t="s">
        <v>216</v>
      </c>
      <c r="BH5" s="1001" t="s">
        <v>327</v>
      </c>
      <c r="BI5" s="1002"/>
      <c r="BJ5" s="1003"/>
      <c r="BK5" s="693"/>
      <c r="BL5" s="1010"/>
      <c r="BN5" s="269" t="s">
        <v>39</v>
      </c>
      <c r="BO5" s="270">
        <f t="shared" si="12"/>
        <v>0</v>
      </c>
      <c r="BP5" s="427"/>
      <c r="BQ5" s="429" t="s">
        <v>39</v>
      </c>
      <c r="BR5" s="270">
        <f t="shared" si="13"/>
        <v>0</v>
      </c>
      <c r="BS5" s="13"/>
      <c r="BV5" s="83" t="str">
        <f>B19</f>
        <v>إجمالي التكاليف الرأسمالية للمشروع
(Total Capital Expenditures)</v>
      </c>
      <c r="BW5" s="194">
        <f>C19</f>
        <v>220740050.44346803</v>
      </c>
      <c r="CB5" s="185"/>
      <c r="CE5"/>
      <c r="CF5"/>
    </row>
    <row r="6" spans="1:84" ht="22.5" x14ac:dyDescent="0.25">
      <c r="A6" s="298"/>
      <c r="B6" s="298"/>
      <c r="C6" s="298"/>
      <c r="D6" s="298"/>
      <c r="E6" s="298"/>
      <c r="F6" s="298"/>
      <c r="AE6" s="98" t="s">
        <v>217</v>
      </c>
      <c r="AF6" s="286">
        <f>((F59/$J$55)*$I$45)*AO6</f>
        <v>0</v>
      </c>
      <c r="AG6" s="286">
        <f t="shared" si="0"/>
        <v>0</v>
      </c>
      <c r="AH6" s="145">
        <v>0</v>
      </c>
      <c r="AI6" s="286">
        <f t="shared" si="1"/>
        <v>0</v>
      </c>
      <c r="AJ6" s="286">
        <f t="shared" si="14"/>
        <v>0</v>
      </c>
      <c r="AK6" s="286">
        <f t="shared" si="15"/>
        <v>0</v>
      </c>
      <c r="AL6" s="286">
        <f t="shared" si="2"/>
        <v>0</v>
      </c>
      <c r="AM6" s="123">
        <f t="shared" si="16"/>
        <v>0</v>
      </c>
      <c r="AN6" s="123">
        <f t="shared" si="17"/>
        <v>0</v>
      </c>
      <c r="AO6" s="147">
        <f>D127</f>
        <v>1</v>
      </c>
      <c r="AP6" s="286">
        <f t="shared" ref="AP6:AP10" si="22">(AN6*SUM($C$82,$C$84:$C$86,$C$92:$C$93,$C$97))+((H145+X145)/($H$153+$X$153))*$C$95+(SUM($D$89:$D$91)*G59*AO6)</f>
        <v>0</v>
      </c>
      <c r="AQ6" s="124">
        <f t="shared" ref="AQ6:AQ10" si="23">(($A$88+$C$94)*AM6)</f>
        <v>0</v>
      </c>
      <c r="AR6" s="142">
        <f t="shared" si="3"/>
        <v>0</v>
      </c>
      <c r="AS6" s="106">
        <f t="shared" si="4"/>
        <v>0</v>
      </c>
      <c r="AT6" s="125">
        <f t="shared" si="5"/>
        <v>0</v>
      </c>
      <c r="AU6" s="125">
        <f t="shared" si="18"/>
        <v>0</v>
      </c>
      <c r="AV6" s="125" t="str">
        <f t="shared" si="6"/>
        <v>0</v>
      </c>
      <c r="AW6" s="119">
        <f t="shared" si="7"/>
        <v>0</v>
      </c>
      <c r="AX6" s="143">
        <f t="shared" si="8"/>
        <v>0</v>
      </c>
      <c r="AY6" s="126" t="str">
        <f t="shared" si="9"/>
        <v>0.00</v>
      </c>
      <c r="AZ6" s="143">
        <f t="shared" si="19"/>
        <v>0</v>
      </c>
      <c r="BA6" s="165" t="str">
        <f t="shared" si="20"/>
        <v>0.00</v>
      </c>
      <c r="BB6" s="153" t="str">
        <f t="shared" si="10"/>
        <v>0.00%</v>
      </c>
      <c r="BC6" s="153">
        <f t="shared" si="11"/>
        <v>0</v>
      </c>
      <c r="BD6" s="127" t="str">
        <f t="shared" si="21"/>
        <v>0.00%</v>
      </c>
      <c r="BE6" s="219" t="s">
        <v>217</v>
      </c>
      <c r="BH6" s="701" t="s">
        <v>414</v>
      </c>
      <c r="BI6" s="994">
        <f>C19/G55</f>
        <v>6941.5896042680997</v>
      </c>
      <c r="BJ6" s="995"/>
      <c r="BK6" s="193"/>
      <c r="BL6" s="698" t="s">
        <v>67</v>
      </c>
      <c r="BN6" s="280" t="s">
        <v>40</v>
      </c>
      <c r="BO6" s="272">
        <f t="shared" si="12"/>
        <v>0</v>
      </c>
      <c r="BP6" s="427"/>
      <c r="BQ6" s="430" t="s">
        <v>40</v>
      </c>
      <c r="BR6" s="272">
        <f t="shared" si="13"/>
        <v>0</v>
      </c>
      <c r="BS6" s="13"/>
      <c r="BV6" s="98" t="str">
        <f>B13</f>
        <v>إجمالي الإيرادات
(Total Revenue)</v>
      </c>
      <c r="BW6" s="197">
        <f>C13</f>
        <v>313182586.6767391</v>
      </c>
      <c r="CB6" s="185"/>
      <c r="CE6"/>
      <c r="CF6"/>
    </row>
    <row r="7" spans="1:84" ht="23.25" thickBot="1" x14ac:dyDescent="0.3">
      <c r="A7" s="298"/>
      <c r="B7" s="298"/>
      <c r="C7" s="298"/>
      <c r="D7" s="298"/>
      <c r="E7" s="298"/>
      <c r="F7" s="298"/>
      <c r="AE7" s="83" t="s">
        <v>218</v>
      </c>
      <c r="AF7" s="105">
        <f t="shared" ref="AF7:AF13" si="24">((F60/$J$55)*$I$45)*AO7</f>
        <v>0</v>
      </c>
      <c r="AG7" s="105">
        <f t="shared" si="0"/>
        <v>0</v>
      </c>
      <c r="AH7" s="146">
        <v>0</v>
      </c>
      <c r="AI7" s="105">
        <f t="shared" si="1"/>
        <v>0</v>
      </c>
      <c r="AJ7" s="105">
        <f t="shared" si="14"/>
        <v>0</v>
      </c>
      <c r="AK7" s="105">
        <f t="shared" si="15"/>
        <v>0</v>
      </c>
      <c r="AL7" s="105">
        <f t="shared" si="2"/>
        <v>0</v>
      </c>
      <c r="AM7" s="128">
        <f t="shared" si="16"/>
        <v>0</v>
      </c>
      <c r="AN7" s="128">
        <f t="shared" si="17"/>
        <v>0</v>
      </c>
      <c r="AO7" s="148">
        <f>D128</f>
        <v>1</v>
      </c>
      <c r="AP7" s="105">
        <f t="shared" si="22"/>
        <v>0</v>
      </c>
      <c r="AQ7" s="124">
        <f t="shared" si="23"/>
        <v>0</v>
      </c>
      <c r="AR7" s="152">
        <f t="shared" si="3"/>
        <v>0</v>
      </c>
      <c r="AS7" s="150">
        <f t="shared" si="4"/>
        <v>0</v>
      </c>
      <c r="AT7" s="129">
        <f t="shared" si="5"/>
        <v>0</v>
      </c>
      <c r="AU7" s="129">
        <f t="shared" si="18"/>
        <v>0</v>
      </c>
      <c r="AV7" s="129" t="str">
        <f t="shared" si="6"/>
        <v>0</v>
      </c>
      <c r="AW7" s="120">
        <f t="shared" si="7"/>
        <v>0</v>
      </c>
      <c r="AX7" s="149">
        <f t="shared" si="8"/>
        <v>0</v>
      </c>
      <c r="AY7" s="141" t="str">
        <f t="shared" si="9"/>
        <v>0.00</v>
      </c>
      <c r="AZ7" s="141">
        <f>AX7-AU7</f>
        <v>0</v>
      </c>
      <c r="BA7" s="166" t="str">
        <f t="shared" si="20"/>
        <v>0.00</v>
      </c>
      <c r="BB7" s="154" t="str">
        <f t="shared" si="10"/>
        <v>0.00%</v>
      </c>
      <c r="BC7" s="154">
        <f t="shared" si="11"/>
        <v>0</v>
      </c>
      <c r="BD7" s="130" t="str">
        <f t="shared" si="21"/>
        <v>0.00%</v>
      </c>
      <c r="BE7" s="219" t="s">
        <v>218</v>
      </c>
      <c r="BH7" s="156" t="s">
        <v>413</v>
      </c>
      <c r="BI7" s="992">
        <f>C19/J55</f>
        <v>22250.240297648361</v>
      </c>
      <c r="BJ7" s="993"/>
      <c r="BK7" s="693"/>
      <c r="BL7" s="671" t="s">
        <v>67</v>
      </c>
      <c r="BN7" s="269" t="s">
        <v>41</v>
      </c>
      <c r="BO7" s="270">
        <f t="shared" si="12"/>
        <v>0</v>
      </c>
      <c r="BP7" s="427"/>
      <c r="BQ7" s="429" t="s">
        <v>41</v>
      </c>
      <c r="BR7" s="270">
        <f t="shared" si="13"/>
        <v>0</v>
      </c>
      <c r="BS7" s="13"/>
      <c r="BV7" s="187" t="str">
        <f>B30</f>
        <v xml:space="preserve">  العائد على الملكية السنوي
(ROE Annually)</v>
      </c>
      <c r="BW7" s="196">
        <f>C28</f>
        <v>0.79248720297161024</v>
      </c>
      <c r="CB7" s="185"/>
      <c r="CE7"/>
      <c r="CF7"/>
    </row>
    <row r="8" spans="1:84" ht="23.25" thickBot="1" x14ac:dyDescent="0.3">
      <c r="A8" s="298"/>
      <c r="B8" s="298"/>
      <c r="C8" s="298"/>
      <c r="D8" s="298"/>
      <c r="E8" s="298"/>
      <c r="F8" s="298"/>
      <c r="AE8" s="98" t="s">
        <v>219</v>
      </c>
      <c r="AF8" s="286">
        <f t="shared" si="24"/>
        <v>0</v>
      </c>
      <c r="AG8" s="286">
        <f t="shared" si="0"/>
        <v>0</v>
      </c>
      <c r="AH8" s="145">
        <v>0</v>
      </c>
      <c r="AI8" s="286">
        <f t="shared" si="1"/>
        <v>0</v>
      </c>
      <c r="AJ8" s="286">
        <f t="shared" si="14"/>
        <v>0</v>
      </c>
      <c r="AK8" s="286">
        <f t="shared" si="15"/>
        <v>0</v>
      </c>
      <c r="AL8" s="286">
        <f t="shared" si="2"/>
        <v>0</v>
      </c>
      <c r="AM8" s="123">
        <f t="shared" si="16"/>
        <v>0</v>
      </c>
      <c r="AN8" s="123">
        <f t="shared" si="17"/>
        <v>0</v>
      </c>
      <c r="AO8" s="147">
        <f t="shared" ref="AO8:AO13" si="25">D129</f>
        <v>1</v>
      </c>
      <c r="AP8" s="286">
        <f t="shared" si="22"/>
        <v>0</v>
      </c>
      <c r="AQ8" s="124">
        <f t="shared" si="23"/>
        <v>0</v>
      </c>
      <c r="AR8" s="142">
        <f t="shared" si="3"/>
        <v>0</v>
      </c>
      <c r="AS8" s="106">
        <f t="shared" si="4"/>
        <v>0</v>
      </c>
      <c r="AT8" s="125">
        <f t="shared" si="5"/>
        <v>0</v>
      </c>
      <c r="AU8" s="125">
        <f t="shared" si="18"/>
        <v>0</v>
      </c>
      <c r="AV8" s="125" t="str">
        <f t="shared" si="6"/>
        <v>0</v>
      </c>
      <c r="AW8" s="119">
        <f t="shared" si="7"/>
        <v>0</v>
      </c>
      <c r="AX8" s="143">
        <f t="shared" si="8"/>
        <v>0</v>
      </c>
      <c r="AY8" s="126" t="str">
        <f t="shared" si="9"/>
        <v>0.00</v>
      </c>
      <c r="AZ8" s="143">
        <f t="shared" si="19"/>
        <v>0</v>
      </c>
      <c r="BA8" s="165" t="str">
        <f t="shared" si="20"/>
        <v>0.00</v>
      </c>
      <c r="BB8" s="153" t="str">
        <f t="shared" si="10"/>
        <v>0.00%</v>
      </c>
      <c r="BC8" s="153">
        <f t="shared" si="11"/>
        <v>0</v>
      </c>
      <c r="BD8" s="127" t="str">
        <f t="shared" si="21"/>
        <v>0.00%</v>
      </c>
      <c r="BE8" s="219" t="s">
        <v>219</v>
      </c>
      <c r="BH8" s="98" t="s">
        <v>543</v>
      </c>
      <c r="BI8" s="161">
        <f>-SUM(C192:C194,C198:C199)</f>
        <v>87785008</v>
      </c>
      <c r="BJ8" s="679">
        <f>BI8/($C$19+$C$20)</f>
        <v>0.38625974783146971</v>
      </c>
      <c r="BK8" s="693"/>
      <c r="BL8" s="677" t="s">
        <v>67</v>
      </c>
      <c r="BN8" s="280" t="s">
        <v>65</v>
      </c>
      <c r="BO8" s="272">
        <f t="shared" si="12"/>
        <v>0</v>
      </c>
      <c r="BP8" s="427"/>
      <c r="BQ8" s="430" t="s">
        <v>65</v>
      </c>
      <c r="BR8" s="272">
        <f t="shared" si="13"/>
        <v>0</v>
      </c>
      <c r="BS8" s="13"/>
      <c r="BV8" s="186"/>
      <c r="CA8" s="193" t="s">
        <v>67</v>
      </c>
      <c r="CB8" s="185"/>
      <c r="CE8"/>
      <c r="CF8"/>
    </row>
    <row r="9" spans="1:84" ht="22.5" x14ac:dyDescent="0.25">
      <c r="A9" s="298"/>
      <c r="B9" s="298"/>
      <c r="C9" s="298"/>
      <c r="D9" s="298"/>
      <c r="E9" s="298"/>
      <c r="F9" s="298"/>
      <c r="AE9" s="83" t="s">
        <v>319</v>
      </c>
      <c r="AF9" s="105">
        <f t="shared" si="24"/>
        <v>0</v>
      </c>
      <c r="AG9" s="105">
        <f t="shared" si="0"/>
        <v>0</v>
      </c>
      <c r="AH9" s="146"/>
      <c r="AI9" s="105">
        <f t="shared" si="1"/>
        <v>0</v>
      </c>
      <c r="AJ9" s="105">
        <f t="shared" si="14"/>
        <v>0</v>
      </c>
      <c r="AK9" s="105">
        <f t="shared" si="15"/>
        <v>0</v>
      </c>
      <c r="AL9" s="105">
        <f t="shared" si="2"/>
        <v>0</v>
      </c>
      <c r="AM9" s="128">
        <f t="shared" si="16"/>
        <v>0</v>
      </c>
      <c r="AN9" s="128">
        <f t="shared" si="17"/>
        <v>0</v>
      </c>
      <c r="AO9" s="148">
        <f t="shared" si="25"/>
        <v>1</v>
      </c>
      <c r="AP9" s="105">
        <f t="shared" si="22"/>
        <v>0</v>
      </c>
      <c r="AQ9" s="124">
        <f t="shared" si="23"/>
        <v>0</v>
      </c>
      <c r="AR9" s="152">
        <f t="shared" si="3"/>
        <v>0</v>
      </c>
      <c r="AS9" s="150">
        <f t="shared" si="4"/>
        <v>0</v>
      </c>
      <c r="AT9" s="129">
        <f t="shared" si="5"/>
        <v>0</v>
      </c>
      <c r="AU9" s="129">
        <f t="shared" si="18"/>
        <v>0</v>
      </c>
      <c r="AV9" s="129" t="str">
        <f t="shared" si="6"/>
        <v>0</v>
      </c>
      <c r="AW9" s="120">
        <f t="shared" si="7"/>
        <v>0</v>
      </c>
      <c r="AX9" s="149">
        <f t="shared" si="8"/>
        <v>0</v>
      </c>
      <c r="AY9" s="141" t="str">
        <f t="shared" si="9"/>
        <v>0.00</v>
      </c>
      <c r="AZ9" s="141">
        <f>AX9-AU9</f>
        <v>0</v>
      </c>
      <c r="BA9" s="166" t="str">
        <f>IFERROR(BD9/AW9, "0.00")</f>
        <v>0.00</v>
      </c>
      <c r="BB9" s="154" t="str">
        <f>IFERROR(AZ9/AX9, "0.00%")</f>
        <v>0.00%</v>
      </c>
      <c r="BC9" s="154">
        <f t="shared" si="11"/>
        <v>0</v>
      </c>
      <c r="BD9" s="130" t="str">
        <f t="shared" si="21"/>
        <v>0.00%</v>
      </c>
      <c r="BE9" s="219" t="s">
        <v>277</v>
      </c>
      <c r="BH9" s="156" t="s">
        <v>542</v>
      </c>
      <c r="BI9" s="167">
        <f ca="1">-SUM(C195:C197,C200:C203,C205:C208,C210:C212)</f>
        <v>32791331.04972</v>
      </c>
      <c r="BJ9" s="680">
        <f ca="1">BI9/($C$19+$C$20)</f>
        <v>0.14428399052288166</v>
      </c>
      <c r="BK9" s="693"/>
      <c r="BL9" s="677" t="s">
        <v>67</v>
      </c>
      <c r="BN9" s="269" t="s">
        <v>263</v>
      </c>
      <c r="BO9" s="270">
        <f t="shared" si="12"/>
        <v>0</v>
      </c>
      <c r="BP9" s="427"/>
      <c r="BQ9" s="429" t="s">
        <v>263</v>
      </c>
      <c r="BR9" s="270">
        <f t="shared" si="13"/>
        <v>0</v>
      </c>
      <c r="BS9" s="13"/>
      <c r="BV9" s="299" t="s">
        <v>388</v>
      </c>
      <c r="BW9" s="301" t="s">
        <v>424</v>
      </c>
      <c r="BX9" s="301" t="s">
        <v>389</v>
      </c>
      <c r="BY9" s="301" t="s">
        <v>390</v>
      </c>
      <c r="BZ9" s="301" t="s">
        <v>459</v>
      </c>
      <c r="CA9" s="301" t="s">
        <v>462</v>
      </c>
      <c r="CB9" s="300" t="s">
        <v>391</v>
      </c>
      <c r="CE9"/>
      <c r="CF9"/>
    </row>
    <row r="10" spans="1:84" ht="23.25" thickBot="1" x14ac:dyDescent="0.3">
      <c r="A10" s="298"/>
      <c r="B10" s="298"/>
      <c r="C10" s="298"/>
      <c r="D10" s="298"/>
      <c r="E10" s="298"/>
      <c r="F10" s="298"/>
      <c r="AE10" s="98" t="s">
        <v>220</v>
      </c>
      <c r="AF10" s="286">
        <f t="shared" si="24"/>
        <v>0</v>
      </c>
      <c r="AG10" s="286">
        <f t="shared" si="0"/>
        <v>0</v>
      </c>
      <c r="AH10" s="145"/>
      <c r="AI10" s="286">
        <f t="shared" si="1"/>
        <v>0</v>
      </c>
      <c r="AJ10" s="286">
        <f t="shared" si="14"/>
        <v>0</v>
      </c>
      <c r="AK10" s="286">
        <f t="shared" si="15"/>
        <v>0</v>
      </c>
      <c r="AL10" s="286">
        <f t="shared" si="2"/>
        <v>0</v>
      </c>
      <c r="AM10" s="123">
        <f t="shared" si="16"/>
        <v>0</v>
      </c>
      <c r="AN10" s="123">
        <f t="shared" si="17"/>
        <v>0</v>
      </c>
      <c r="AO10" s="147">
        <f t="shared" si="25"/>
        <v>1</v>
      </c>
      <c r="AP10" s="286">
        <f t="shared" si="22"/>
        <v>0</v>
      </c>
      <c r="AQ10" s="124">
        <f t="shared" si="23"/>
        <v>0</v>
      </c>
      <c r="AR10" s="142">
        <f t="shared" si="3"/>
        <v>0</v>
      </c>
      <c r="AS10" s="106">
        <f t="shared" si="4"/>
        <v>0</v>
      </c>
      <c r="AT10" s="125">
        <f t="shared" si="5"/>
        <v>0</v>
      </c>
      <c r="AU10" s="125">
        <f t="shared" si="18"/>
        <v>0</v>
      </c>
      <c r="AV10" s="125" t="str">
        <f t="shared" si="6"/>
        <v>0</v>
      </c>
      <c r="AW10" s="119">
        <f t="shared" si="7"/>
        <v>0</v>
      </c>
      <c r="AX10" s="143">
        <f t="shared" si="8"/>
        <v>0</v>
      </c>
      <c r="AY10" s="126" t="str">
        <f t="shared" si="9"/>
        <v>0.00</v>
      </c>
      <c r="AZ10" s="143">
        <f t="shared" si="19"/>
        <v>0</v>
      </c>
      <c r="BA10" s="165" t="str">
        <f t="shared" si="20"/>
        <v>0.00</v>
      </c>
      <c r="BB10" s="153" t="str">
        <f t="shared" si="10"/>
        <v>0.00%</v>
      </c>
      <c r="BC10" s="153">
        <f t="shared" si="11"/>
        <v>0</v>
      </c>
      <c r="BD10" s="127" t="str">
        <f t="shared" si="21"/>
        <v>0.00%</v>
      </c>
      <c r="BE10" s="219" t="s">
        <v>220</v>
      </c>
      <c r="BH10" s="98" t="s">
        <v>544</v>
      </c>
      <c r="BI10" s="161">
        <f>-SUM(E188:E189,C190:C191,C204,C209)</f>
        <v>106693026.94774805</v>
      </c>
      <c r="BJ10" s="679">
        <f>BI10/($C$19+$C$20)</f>
        <v>0.46945626164564874</v>
      </c>
      <c r="BK10" s="693"/>
      <c r="BL10" s="677" t="s">
        <v>67</v>
      </c>
      <c r="BN10" s="280" t="s">
        <v>42</v>
      </c>
      <c r="BO10" s="272">
        <f t="shared" si="12"/>
        <v>0</v>
      </c>
      <c r="BP10" s="427"/>
      <c r="BQ10" s="430" t="s">
        <v>42</v>
      </c>
      <c r="BR10" s="272">
        <f t="shared" si="13"/>
        <v>0</v>
      </c>
      <c r="BS10" s="13"/>
      <c r="BV10" s="98" t="s">
        <v>392</v>
      </c>
      <c r="BW10" s="146">
        <v>1</v>
      </c>
      <c r="BX10" s="286">
        <f>H18*BW10</f>
        <v>0</v>
      </c>
      <c r="BY10" s="286" t="s">
        <v>393</v>
      </c>
      <c r="BZ10" s="143">
        <f>BX10*$BW$7</f>
        <v>0</v>
      </c>
      <c r="CA10" s="286">
        <f>BZ10+BX10</f>
        <v>0</v>
      </c>
      <c r="CB10" s="393" t="s">
        <v>67</v>
      </c>
      <c r="CE10"/>
      <c r="CF10"/>
    </row>
    <row r="11" spans="1:84" ht="22.5" x14ac:dyDescent="0.25">
      <c r="A11" s="172"/>
      <c r="B11" s="900" t="s">
        <v>1</v>
      </c>
      <c r="C11" s="902"/>
      <c r="D11" s="172"/>
      <c r="E11" s="172"/>
      <c r="G11" s="99" t="s">
        <v>0</v>
      </c>
      <c r="H11" s="100"/>
      <c r="I11" s="101"/>
      <c r="J11" s="172"/>
      <c r="K11" s="172"/>
      <c r="L11"/>
      <c r="M11"/>
      <c r="AE11" s="83" t="s">
        <v>315</v>
      </c>
      <c r="AF11" s="105">
        <f>I40</f>
        <v>49134000</v>
      </c>
      <c r="AG11" s="105">
        <f t="shared" si="0"/>
        <v>36899999.999999993</v>
      </c>
      <c r="AH11" s="146">
        <v>1</v>
      </c>
      <c r="AI11" s="105">
        <f t="shared" si="1"/>
        <v>6162000</v>
      </c>
      <c r="AJ11" s="105">
        <f>J70</f>
        <v>14176800</v>
      </c>
      <c r="AK11" s="105">
        <f>C83</f>
        <v>2835360</v>
      </c>
      <c r="AL11" s="105">
        <f t="shared" si="2"/>
        <v>0</v>
      </c>
      <c r="AM11" s="128">
        <f t="shared" si="16"/>
        <v>0.68373731843434948</v>
      </c>
      <c r="AN11" s="128">
        <f t="shared" si="17"/>
        <v>0.5356731494904089</v>
      </c>
      <c r="AO11" s="148">
        <f t="shared" si="25"/>
        <v>1</v>
      </c>
      <c r="AP11" s="105">
        <f>(AN11*SUM($C$82,$C$84:$C$85,$C$92:$C$93))+((H150+X150)/($H$153+$X$153))*$C$95+((SUM($D$90:$D$91)*G64*AO11)+(D89*G64/2*AO11))</f>
        <v>4250586.9159034723</v>
      </c>
      <c r="AQ11" s="124">
        <f>(((($C$94)*AM11))+C87)+((C86+C97)*70%)</f>
        <v>10291049.244606268</v>
      </c>
      <c r="AR11" s="152">
        <f t="shared" si="3"/>
        <v>4883185.7929099854</v>
      </c>
      <c r="AS11" s="150">
        <f t="shared" si="4"/>
        <v>11953362.702122828</v>
      </c>
      <c r="AT11" s="129">
        <f t="shared" si="5"/>
        <v>6405750</v>
      </c>
      <c r="AU11" s="129">
        <f>SUM(AF11:AG11,AI11:AL11,AP11:AT11)</f>
        <v>146992094.65554255</v>
      </c>
      <c r="AV11" s="129">
        <f t="shared" si="6"/>
        <v>39413.048683919988</v>
      </c>
      <c r="AW11" s="120">
        <f t="shared" si="7"/>
        <v>0.63688643892716246</v>
      </c>
      <c r="AX11" s="149">
        <f t="shared" si="8"/>
        <v>234877499.99999997</v>
      </c>
      <c r="AY11" s="141">
        <f t="shared" si="9"/>
        <v>24638.46519328776</v>
      </c>
      <c r="AZ11" s="141">
        <f>AX11-AU11</f>
        <v>87885405.344457418</v>
      </c>
      <c r="BA11" s="166">
        <f t="shared" si="20"/>
        <v>0.9815481737464542</v>
      </c>
      <c r="BB11" s="154">
        <f t="shared" si="10"/>
        <v>0.37417549720368032</v>
      </c>
      <c r="BC11" s="154">
        <f t="shared" si="11"/>
        <v>1.0229555433912652</v>
      </c>
      <c r="BD11" s="130">
        <f t="shared" si="21"/>
        <v>0.62513472101283896</v>
      </c>
      <c r="BE11" s="219" t="s">
        <v>221</v>
      </c>
      <c r="BH11" s="156" t="s">
        <v>371</v>
      </c>
      <c r="BI11" s="167">
        <f>-SUM(C190:C194,C198:C202,C209)</f>
        <v>188076647.55399999</v>
      </c>
      <c r="BJ11" s="680">
        <f>BI11/($C$19+$C$20)</f>
        <v>0.82754948837273268</v>
      </c>
      <c r="BK11" s="693"/>
      <c r="BL11" s="677" t="s">
        <v>333</v>
      </c>
      <c r="BN11" s="269" t="s">
        <v>43</v>
      </c>
      <c r="BO11" s="270">
        <f t="shared" si="12"/>
        <v>0</v>
      </c>
      <c r="BP11" s="427"/>
      <c r="BQ11" s="429" t="s">
        <v>43</v>
      </c>
      <c r="BR11" s="270">
        <f t="shared" si="13"/>
        <v>0</v>
      </c>
      <c r="BS11" s="13"/>
      <c r="BV11" s="83" t="s">
        <v>458</v>
      </c>
      <c r="BW11" s="146">
        <v>0</v>
      </c>
      <c r="BX11" s="105" t="s">
        <v>67</v>
      </c>
      <c r="BY11" s="105" t="s">
        <v>67</v>
      </c>
      <c r="BZ11" s="149">
        <f>H18*BW11</f>
        <v>0</v>
      </c>
      <c r="CA11" s="105">
        <f>BZ11</f>
        <v>0</v>
      </c>
      <c r="CB11" s="395" t="s">
        <v>67</v>
      </c>
      <c r="CE11"/>
      <c r="CF11"/>
    </row>
    <row r="12" spans="1:84" ht="22.5" x14ac:dyDescent="0.25">
      <c r="A12" s="172"/>
      <c r="B12" s="208" t="s">
        <v>5</v>
      </c>
      <c r="C12" s="285" t="s">
        <v>6</v>
      </c>
      <c r="D12" s="172"/>
      <c r="E12" s="172"/>
      <c r="G12" s="803" t="s">
        <v>9</v>
      </c>
      <c r="H12" s="943"/>
      <c r="I12" s="944"/>
      <c r="J12" s="172"/>
      <c r="K12" s="172"/>
      <c r="L12"/>
      <c r="M12"/>
      <c r="AE12" s="98" t="s">
        <v>316</v>
      </c>
      <c r="AF12" s="286">
        <f t="shared" si="24"/>
        <v>0</v>
      </c>
      <c r="AG12" s="286">
        <f t="shared" si="0"/>
        <v>0</v>
      </c>
      <c r="AH12" s="145"/>
      <c r="AI12" s="286">
        <f t="shared" si="1"/>
        <v>0</v>
      </c>
      <c r="AJ12" s="286">
        <f t="shared" si="14"/>
        <v>0</v>
      </c>
      <c r="AK12" s="286">
        <f t="shared" si="15"/>
        <v>0</v>
      </c>
      <c r="AL12" s="286">
        <f t="shared" si="2"/>
        <v>0</v>
      </c>
      <c r="AM12" s="123">
        <f t="shared" si="16"/>
        <v>0</v>
      </c>
      <c r="AN12" s="123">
        <f t="shared" si="17"/>
        <v>0</v>
      </c>
      <c r="AO12" s="147">
        <f t="shared" si="25"/>
        <v>1</v>
      </c>
      <c r="AP12" s="286">
        <f>(AN12*SUM($C$82,$C$84:$C$86,$C$92:$C$93,$C$97))+((H151+X151)/($H$153+$X$153))*$C$95+(SUM($D$89:$D$91)*G65*AO12)</f>
        <v>0</v>
      </c>
      <c r="AQ12" s="124">
        <f>(($A$88+$C$94)*AM12)</f>
        <v>0</v>
      </c>
      <c r="AR12" s="142">
        <f t="shared" si="3"/>
        <v>0</v>
      </c>
      <c r="AS12" s="106">
        <f t="shared" si="4"/>
        <v>0</v>
      </c>
      <c r="AT12" s="125">
        <f t="shared" si="5"/>
        <v>0</v>
      </c>
      <c r="AU12" s="125">
        <f t="shared" si="18"/>
        <v>0</v>
      </c>
      <c r="AV12" s="125" t="str">
        <f t="shared" si="6"/>
        <v>0</v>
      </c>
      <c r="AW12" s="119">
        <f t="shared" si="7"/>
        <v>0</v>
      </c>
      <c r="AX12" s="143">
        <f t="shared" si="8"/>
        <v>0</v>
      </c>
      <c r="AY12" s="126" t="str">
        <f t="shared" si="9"/>
        <v>0.00</v>
      </c>
      <c r="AZ12" s="143">
        <f t="shared" si="19"/>
        <v>0</v>
      </c>
      <c r="BA12" s="165" t="str">
        <f t="shared" si="20"/>
        <v>0.00</v>
      </c>
      <c r="BB12" s="153" t="str">
        <f t="shared" si="10"/>
        <v>0.00%</v>
      </c>
      <c r="BC12" s="153">
        <f t="shared" si="11"/>
        <v>0</v>
      </c>
      <c r="BD12" s="127" t="str">
        <f t="shared" si="21"/>
        <v>0.00%</v>
      </c>
      <c r="BE12" s="219" t="s">
        <v>222</v>
      </c>
      <c r="BH12" s="98" t="s">
        <v>328</v>
      </c>
      <c r="BI12" s="161">
        <f ca="1">-SUM(E188:E189,C195:C197,C203:C208,C210:C212)</f>
        <v>39192718.443468034</v>
      </c>
      <c r="BJ12" s="679">
        <f ca="1">BI12/($C$19+$C$20)</f>
        <v>0.17245051162726732</v>
      </c>
      <c r="BK12" s="693"/>
      <c r="BL12" s="677" t="s">
        <v>382</v>
      </c>
      <c r="BN12" s="280" t="s">
        <v>44</v>
      </c>
      <c r="BO12" s="272">
        <f t="shared" si="12"/>
        <v>0</v>
      </c>
      <c r="BP12" s="427"/>
      <c r="BQ12" s="430" t="s">
        <v>44</v>
      </c>
      <c r="BR12" s="272">
        <f t="shared" si="13"/>
        <v>0</v>
      </c>
      <c r="BS12" s="13"/>
      <c r="BV12" s="98" t="s">
        <v>394</v>
      </c>
      <c r="BW12" s="146">
        <v>1</v>
      </c>
      <c r="BX12" s="286">
        <f>(E99*C191)*BW12</f>
        <v>0</v>
      </c>
      <c r="BY12" s="286" t="s">
        <v>67</v>
      </c>
      <c r="BZ12" s="143">
        <f>BX12*$BW$7</f>
        <v>0</v>
      </c>
      <c r="CA12" s="286">
        <f>BZ12+BX12</f>
        <v>0</v>
      </c>
      <c r="CB12" s="393" t="s">
        <v>67</v>
      </c>
      <c r="CE12"/>
      <c r="CF12"/>
    </row>
    <row r="13" spans="1:84" ht="23.25" thickBot="1" x14ac:dyDescent="0.3">
      <c r="A13" s="172"/>
      <c r="B13" s="646" t="s">
        <v>8</v>
      </c>
      <c r="C13" s="303">
        <f>SUM(C180:C184)</f>
        <v>313182586.6767391</v>
      </c>
      <c r="D13" s="180"/>
      <c r="E13" s="172"/>
      <c r="G13" s="208" t="s">
        <v>2</v>
      </c>
      <c r="H13" s="209" t="s">
        <v>3</v>
      </c>
      <c r="I13" s="285" t="s">
        <v>4</v>
      </c>
      <c r="L13"/>
      <c r="M13"/>
      <c r="AE13" s="83" t="s">
        <v>223</v>
      </c>
      <c r="AF13" s="105">
        <f t="shared" si="24"/>
        <v>0</v>
      </c>
      <c r="AG13" s="105">
        <f t="shared" si="0"/>
        <v>0</v>
      </c>
      <c r="AH13" s="146"/>
      <c r="AI13" s="105">
        <f t="shared" si="1"/>
        <v>0</v>
      </c>
      <c r="AJ13" s="105">
        <f t="shared" si="14"/>
        <v>0</v>
      </c>
      <c r="AK13" s="105">
        <f t="shared" si="15"/>
        <v>0</v>
      </c>
      <c r="AL13" s="105">
        <f t="shared" si="2"/>
        <v>0</v>
      </c>
      <c r="AM13" s="128">
        <f t="shared" si="16"/>
        <v>0</v>
      </c>
      <c r="AN13" s="128">
        <f t="shared" si="17"/>
        <v>0</v>
      </c>
      <c r="AO13" s="148">
        <f t="shared" si="25"/>
        <v>1</v>
      </c>
      <c r="AP13" s="105">
        <f>(AN13*SUM($C$82,$C$84:$C$86,$C$92:$C$93,$C$97))+((H152+X152)/($H$153+$X$153))*$C$95+(SUM($D$89:$D$91)*G66*AO13)</f>
        <v>0</v>
      </c>
      <c r="AQ13" s="124">
        <f>(($A$88+$C$94)*AM13)</f>
        <v>0</v>
      </c>
      <c r="AR13" s="152">
        <f t="shared" si="3"/>
        <v>0</v>
      </c>
      <c r="AS13" s="150">
        <f t="shared" si="4"/>
        <v>0</v>
      </c>
      <c r="AT13" s="129">
        <f t="shared" si="5"/>
        <v>0</v>
      </c>
      <c r="AU13" s="129">
        <f t="shared" si="18"/>
        <v>0</v>
      </c>
      <c r="AV13" s="129" t="str">
        <f t="shared" si="6"/>
        <v>0</v>
      </c>
      <c r="AW13" s="120">
        <f t="shared" si="7"/>
        <v>0</v>
      </c>
      <c r="AX13" s="149">
        <f t="shared" si="8"/>
        <v>0</v>
      </c>
      <c r="AY13" s="141" t="str">
        <f t="shared" si="9"/>
        <v>0.00</v>
      </c>
      <c r="AZ13" s="141">
        <f t="shared" si="19"/>
        <v>0</v>
      </c>
      <c r="BA13" s="166" t="str">
        <f t="shared" si="20"/>
        <v>0.00</v>
      </c>
      <c r="BB13" s="154" t="str">
        <f t="shared" si="10"/>
        <v>0.00%</v>
      </c>
      <c r="BC13" s="154">
        <f t="shared" si="11"/>
        <v>0</v>
      </c>
      <c r="BD13" s="130" t="str">
        <f t="shared" si="21"/>
        <v>0.00%</v>
      </c>
      <c r="BE13" s="219" t="s">
        <v>223</v>
      </c>
      <c r="BH13" s="156" t="s">
        <v>412</v>
      </c>
      <c r="BI13" s="167">
        <f>C20</f>
        <v>6529315.5539999995</v>
      </c>
      <c r="BJ13" s="680">
        <f>BI13/SUM(C19:C20)</f>
        <v>2.8729413334451514E-2</v>
      </c>
      <c r="BK13" s="693"/>
      <c r="BL13" s="671" t="s">
        <v>67</v>
      </c>
      <c r="BN13" s="159" t="s">
        <v>45</v>
      </c>
      <c r="BO13" s="425">
        <f t="shared" si="12"/>
        <v>0</v>
      </c>
      <c r="BP13" s="428"/>
      <c r="BQ13" s="431" t="s">
        <v>45</v>
      </c>
      <c r="BR13" s="425">
        <f t="shared" si="13"/>
        <v>0</v>
      </c>
      <c r="BS13" s="160"/>
      <c r="BV13" s="83" t="s">
        <v>457</v>
      </c>
      <c r="BW13" s="146">
        <v>0</v>
      </c>
      <c r="BX13" s="105" t="s">
        <v>67</v>
      </c>
      <c r="BY13" s="105" t="s">
        <v>67</v>
      </c>
      <c r="BZ13" s="149">
        <f>(E100*C192)*BW13</f>
        <v>0</v>
      </c>
      <c r="CA13" s="105">
        <f>BZ13</f>
        <v>0</v>
      </c>
      <c r="CB13" s="395" t="s">
        <v>67</v>
      </c>
      <c r="CE13"/>
      <c r="CF13"/>
    </row>
    <row r="14" spans="1:84" ht="27.75" thickBot="1" x14ac:dyDescent="0.3">
      <c r="A14" s="172"/>
      <c r="B14" s="297" t="s">
        <v>10</v>
      </c>
      <c r="C14" s="220">
        <f>I45</f>
        <v>91847824</v>
      </c>
      <c r="D14" s="180"/>
      <c r="G14" s="803" t="s">
        <v>7</v>
      </c>
      <c r="H14" s="943"/>
      <c r="I14" s="944"/>
      <c r="L14"/>
      <c r="M14"/>
      <c r="AE14" s="84" t="s">
        <v>317</v>
      </c>
      <c r="AF14" s="108">
        <f>SUMIF(AF4:AF13, "&lt;&gt;#DIV/0!")</f>
        <v>91847824</v>
      </c>
      <c r="AG14" s="108">
        <f>SUMIF(AG4:AG13, "&lt;&gt;#DIV/0!")</f>
        <v>44700407.999999993</v>
      </c>
      <c r="AH14" s="144">
        <f>SUM(AH4:AH13)</f>
        <v>1</v>
      </c>
      <c r="AI14" s="108">
        <f>SUM(AI4:AI13)</f>
        <v>6162000</v>
      </c>
      <c r="AJ14" s="108">
        <f>SUMIF(AJ4:AJ13, "&lt;&gt;#DIV/0!")</f>
        <v>14176800</v>
      </c>
      <c r="AK14" s="108">
        <f>SUMIF(AK4:AK13, "&lt;&gt;#DIV/0!")</f>
        <v>2835360</v>
      </c>
      <c r="AL14" s="108">
        <f>SUM(AL4:AL13)</f>
        <v>0</v>
      </c>
      <c r="AM14" s="140">
        <f>SUM(AF14:AG14,AI14:AL14)</f>
        <v>159722392</v>
      </c>
      <c r="AN14" s="108">
        <f>SUM(AF4:AG13,AI4:AL13,AF22:AG31,AI22:AL31)</f>
        <v>203870886.75975412</v>
      </c>
      <c r="AO14" s="108" t="s">
        <v>67</v>
      </c>
      <c r="AP14" s="1014">
        <f>SUM(AP4:AQ13)</f>
        <v>17522843.602411501</v>
      </c>
      <c r="AQ14" s="1014"/>
      <c r="AR14" s="288">
        <f>SUMIF(AR4:AR13, "&lt;&gt;#DIV/0!")</f>
        <v>7141903.2737480383</v>
      </c>
      <c r="AS14" s="288">
        <f>SUMIF(AS4:AS13, "&lt;&gt;#DIV/0!")</f>
        <v>17482390.356422465</v>
      </c>
      <c r="AT14" s="132">
        <f>SUM(AT4:AT13)</f>
        <v>6529315.5539999995</v>
      </c>
      <c r="AU14" s="132">
        <f>SUM(AU4:AU13)</f>
        <v>208398844.78658199</v>
      </c>
      <c r="AV14" s="133">
        <f>IFERROR(AU14/E135, "0")</f>
        <v>21006.266714799443</v>
      </c>
      <c r="AW14" s="134">
        <f>SUMIF(AW4:AW13, "&lt;&gt;#DIV/0!")</f>
        <v>0.91451247214551667</v>
      </c>
      <c r="AX14" s="136">
        <f>SUMIF(AX4:AX13, "&lt;&gt;#DIV/0!")</f>
        <v>266695630.15499997</v>
      </c>
      <c r="AY14" s="135">
        <f>AZ14/E135</f>
        <v>5876.2217387457067</v>
      </c>
      <c r="AZ14" s="136">
        <f>SUMIF(AZ4:AZ13, "&lt;&gt;#DIV/0!")</f>
        <v>58296785.368417963</v>
      </c>
      <c r="BA14" s="136" t="s">
        <v>67</v>
      </c>
      <c r="BB14" s="155">
        <f t="shared" si="10"/>
        <v>0.21858920348464894</v>
      </c>
      <c r="BC14" s="155">
        <f>SUM(BC4:BC13)</f>
        <v>0.67855430057790478</v>
      </c>
      <c r="BD14" s="137">
        <f>IFERROR(AZ14/AU14, "0.00%")</f>
        <v>0.2797366052010451</v>
      </c>
      <c r="BE14" s="172"/>
      <c r="BH14" s="98" t="s">
        <v>411</v>
      </c>
      <c r="BI14" s="161">
        <f>I45</f>
        <v>91847824</v>
      </c>
      <c r="BJ14" s="679">
        <f>BI14/$C$19</f>
        <v>0.41609043676250501</v>
      </c>
      <c r="BK14" s="693"/>
      <c r="BL14" s="671" t="s">
        <v>334</v>
      </c>
      <c r="BV14" s="98" t="s">
        <v>422</v>
      </c>
      <c r="BW14" s="34">
        <v>2.5000000000000001E-2</v>
      </c>
      <c r="BX14" s="286" t="s">
        <v>67</v>
      </c>
      <c r="BY14" s="286" t="s">
        <v>460</v>
      </c>
      <c r="BZ14" s="143">
        <f>BW14*(J135+AC135+O135)</f>
        <v>7233969.3899184782</v>
      </c>
      <c r="CA14" s="286">
        <f>BZ14</f>
        <v>7233969.3899184782</v>
      </c>
      <c r="CB14" s="393" t="s">
        <v>67</v>
      </c>
      <c r="CE14"/>
      <c r="CF14"/>
    </row>
    <row r="15" spans="1:84" ht="22.5" x14ac:dyDescent="0.25">
      <c r="A15" s="172"/>
      <c r="B15" s="302" t="s">
        <v>12</v>
      </c>
      <c r="C15" s="413">
        <f>J72</f>
        <v>78265608</v>
      </c>
      <c r="D15" s="180"/>
      <c r="E15" s="177"/>
      <c r="G15" s="302" t="s">
        <v>11</v>
      </c>
      <c r="H15" s="257">
        <v>34500000</v>
      </c>
      <c r="I15" s="304">
        <f t="shared" ref="I15:I19" si="26">H15/$H$30</f>
        <v>0.15629243506418206</v>
      </c>
      <c r="J15" s="172"/>
      <c r="K15" s="172"/>
      <c r="L15"/>
      <c r="M15"/>
      <c r="AE15" s="172"/>
      <c r="AF15" s="205">
        <f>IF(ABS(SUM(Study!AF14,Study!AF32)-SUM(Study!I45))&lt;=0.00000001,"TRUE",SUM(Study!AF14,Study!AF32)-SUM(Study!I45))</f>
        <v>30922094.759754121</v>
      </c>
      <c r="AG15" s="205" t="str">
        <f>IF(ABS(SUM(Study!AG14,Study!AG32)-SUM(J57:J67))&lt;=0.00000001,"TRUE",SUM(Study!AG14,Study!AG32)-SUM(J57:J67))</f>
        <v>TRUE</v>
      </c>
      <c r="AH15" s="200" t="str">
        <f>IF(ABS(SUM(Study!AH14)-SUM(1))&lt;=0.00000001,"TRUE",SUM(Study!AH14)-SUM(1))</f>
        <v>TRUE</v>
      </c>
      <c r="AI15" s="205" t="str">
        <f>IF(ABS(SUM(Study!AI14,Study!AI32)-SUM(Study!J69))&lt;=0.00000001,"TRUE",SUM(Study!AI14,Study!AI32)-SUM(Study!J69))</f>
        <v>TRUE</v>
      </c>
      <c r="AJ15" s="205" t="str">
        <f>IF(ABS(SUM(Study!AJ14,Study!AJ32)-SUM(J70:J71))&lt;=0.00000001,"TRUE",SUM(Study!AJ14,Study!AJ32)-SUM(J70:J71))</f>
        <v>TRUE</v>
      </c>
      <c r="AK15" s="205" t="str">
        <f>IF(ABS(SUM(Study!AK14,Study!AK32)-SUM(Study!C83))&lt;=0.00000001,"TRUE",SUM(Study!AK14,Study!AK32)-SUM(Study!C83))</f>
        <v>TRUE</v>
      </c>
      <c r="AL15" s="205" t="str">
        <f>IF(ABS(SUM(Study!AL14,Study!AL32)-SUM(Study!J67))&lt;=0.00000001,"TRUE",SUM(Study!AL14,Study!AL32)-SUM(Study!J67))</f>
        <v>TRUE</v>
      </c>
      <c r="AM15" s="205" t="str">
        <f>IF(ABS(SUM(Study!AM4:AM13)-SUM(1))&lt;=0.00000001,"TRUE",SUM(Study!AM4:AM13)-SUM(1))</f>
        <v>TRUE</v>
      </c>
      <c r="AN15" s="205" t="str">
        <f>IF(ABS(SUM(Study!AN4:AN13,Study!AN22:AN31)-SUM(1))&lt;=0.00000001,"TRUE",SUM(Study!AN4:AN13,Study!AN22:AN31)-SUM(1))</f>
        <v>TRUE</v>
      </c>
      <c r="AO15" s="205" t="str">
        <f>IF(ABS(SUM(Study!AO4:AO13,Study!AO22:AO31)-SUM(10))&lt;=0.00000001,"TRUE",SUM(Study!AO4:AO13,Study!AO22:AO31)-SUM(10))</f>
        <v>TRUE</v>
      </c>
      <c r="AP15" s="1015">
        <f>IF(ABS(SUM(Study!AP4:AQ13,Study!AP22:AQ31)-SUM(Study!C82,Study!C84:C97))&lt;=0.1,"TRUE",SUM(Study!AP4:AQ13,Study!AP22:AQ31)-SUM(Study!C82,Study!C84:C97))</f>
        <v>1437638.6645137146</v>
      </c>
      <c r="AQ15" s="1015"/>
      <c r="AR15" s="205" t="str">
        <f>IF(ABS(SUM(Study!AR14)-SUM(Study!C115))&lt;=0.00000001,"TRUE",SUM(Study!AR14)-SUM(Study!C115))</f>
        <v>TRUE</v>
      </c>
      <c r="AS15" s="205" t="str">
        <f>IF(ABS(SUM(Study!AS14,Study!AS32)-SUM(Study!C103))&lt;=1,"TRUE",SUM(Study!AS14,Study!AS32)-SUM(Study!C103))</f>
        <v>TRUE</v>
      </c>
      <c r="AT15" s="205" t="str">
        <f>IF(ABS(SUM(Study!AT14)-SUM(Study!C20))&lt;=0.01,"TRUE",SUM(Study!AT14)-SUM(Study!C20))</f>
        <v>TRUE</v>
      </c>
      <c r="AU15" s="205">
        <f>IF(ABS(SUM(Study!AU14,Study!AU32)-SUM(Study!C19:C20))&lt;=0.25,"TRUE",SUM(Study!AU14,Study!AU32)-SUM(Study!C19:C20))</f>
        <v>-18870521.210886031</v>
      </c>
      <c r="AV15" s="205" t="b">
        <f>AV14=AV14</f>
        <v>1</v>
      </c>
      <c r="AW15" s="205">
        <f>IF(ABS(SUM(Study!AW14,Study!AW32)-SUM(1))&lt;=0.01,"TRUE",SUM(Study!AW14,Study!AW32)-SUM(1))</f>
        <v>-8.5487527854483325E-2</v>
      </c>
      <c r="AX15" s="205" t="str">
        <f>IF(ABS(SUM(Study!AX14,Study!AX32)-SUM(Study!C13))&lt;=0.01,"TRUE",SUM(Study!AX14,Study!AX32)-SUM(Study!C13))</f>
        <v>TRUE</v>
      </c>
      <c r="AY15" s="205" t="b">
        <f>AY14=AY14</f>
        <v>1</v>
      </c>
      <c r="AZ15" s="205">
        <f>IF(ABS(SUM(Study!AZ14,Study!AZ32)-SUM(Study!C21))&lt;=0.2,"TRUE",SUM(Study!AZ14,Study!AZ32)-SUM(Study!C21))</f>
        <v>-27616435.310853109</v>
      </c>
      <c r="BA15" s="205" t="b">
        <f>BA14=BA14</f>
        <v>1</v>
      </c>
      <c r="BB15" s="205" t="b">
        <f>BB14=BB14</f>
        <v>1</v>
      </c>
      <c r="BC15" s="205">
        <f>IF(ABS(SUM(Study!BC14,Study!BC32)-SUM(1))&lt;=0.01,"TRUE",SUM(Study!BC14,Study!BC32)-SUM(1))</f>
        <v>-0.32144569942209522</v>
      </c>
      <c r="BD15" s="205" t="b">
        <f>BD14=BD14</f>
        <v>1</v>
      </c>
      <c r="BE15" s="172"/>
      <c r="BH15" s="156" t="s">
        <v>410</v>
      </c>
      <c r="BI15" s="167">
        <f>J72</f>
        <v>78265608</v>
      </c>
      <c r="BJ15" s="680">
        <f>BI15/$C$19</f>
        <v>0.35456007119126748</v>
      </c>
      <c r="BK15" s="693"/>
      <c r="BL15" s="671" t="s">
        <v>541</v>
      </c>
      <c r="BV15" s="83" t="s">
        <v>423</v>
      </c>
      <c r="BW15" s="34">
        <v>0</v>
      </c>
      <c r="BX15" s="105">
        <f>BW15*H17</f>
        <v>0</v>
      </c>
      <c r="BY15" s="105" t="s">
        <v>67</v>
      </c>
      <c r="BZ15" s="149">
        <f>BX15*$BW$7</f>
        <v>0</v>
      </c>
      <c r="CA15" s="105">
        <f>BZ15+BX15</f>
        <v>0</v>
      </c>
      <c r="CB15" s="395" t="s">
        <v>67</v>
      </c>
      <c r="CE15"/>
      <c r="CF15"/>
    </row>
    <row r="16" spans="1:84" ht="22.5" x14ac:dyDescent="0.25">
      <c r="A16" s="172"/>
      <c r="B16" s="297" t="s">
        <v>14</v>
      </c>
      <c r="C16" s="220">
        <f>C98</f>
        <v>21170057.969719999</v>
      </c>
      <c r="D16" s="180"/>
      <c r="E16" s="179"/>
      <c r="G16" s="297" t="s">
        <v>13</v>
      </c>
      <c r="H16" s="257"/>
      <c r="I16" s="305">
        <f t="shared" si="26"/>
        <v>0</v>
      </c>
      <c r="J16" s="172"/>
      <c r="K16" s="172"/>
      <c r="N16" s="190"/>
      <c r="AF16" s="647"/>
      <c r="AG16" s="647"/>
      <c r="AH16" s="647"/>
      <c r="AI16" s="647"/>
      <c r="AJ16" s="647"/>
      <c r="AK16" s="647"/>
      <c r="AL16" s="647"/>
      <c r="AM16" s="644"/>
      <c r="AN16" s="644"/>
      <c r="AO16" s="647"/>
      <c r="AP16" s="967"/>
      <c r="AQ16" s="967"/>
      <c r="AR16" s="647"/>
      <c r="AS16" s="644"/>
      <c r="AT16" s="647"/>
      <c r="AU16" s="647"/>
      <c r="AV16" s="172"/>
      <c r="AW16" s="647"/>
      <c r="AX16" s="644"/>
      <c r="AY16" s="172"/>
      <c r="AZ16" s="647"/>
      <c r="BD16" s="172"/>
      <c r="BH16" s="98" t="s">
        <v>409</v>
      </c>
      <c r="BI16" s="161">
        <f>C98</f>
        <v>21170057.969719999</v>
      </c>
      <c r="BJ16" s="679">
        <f>BI16/$C$19</f>
        <v>9.5904924943113992E-2</v>
      </c>
      <c r="BK16" s="693"/>
      <c r="BL16" s="671" t="s">
        <v>383</v>
      </c>
      <c r="BV16" s="98" t="s">
        <v>395</v>
      </c>
      <c r="BW16" s="146">
        <v>1</v>
      </c>
      <c r="BX16" s="286">
        <f>K19*BW16</f>
        <v>0</v>
      </c>
      <c r="BY16" s="286" t="s">
        <v>67</v>
      </c>
      <c r="BZ16" s="143">
        <f>BX16*$BW$7</f>
        <v>0</v>
      </c>
      <c r="CA16" s="286">
        <f>BZ16+BX16</f>
        <v>0</v>
      </c>
      <c r="CB16" s="393" t="s">
        <v>67</v>
      </c>
    </row>
    <row r="17" spans="1:80" ht="23.25" thickBot="1" x14ac:dyDescent="0.3">
      <c r="A17" s="172"/>
      <c r="B17" s="302" t="s">
        <v>16</v>
      </c>
      <c r="C17" s="413">
        <f>C103</f>
        <v>22314657.199999999</v>
      </c>
      <c r="D17" s="180"/>
      <c r="E17" s="179"/>
      <c r="G17" s="302" t="s">
        <v>15</v>
      </c>
      <c r="H17" s="257">
        <v>11100000</v>
      </c>
      <c r="I17" s="304">
        <f>H17/$H$30</f>
        <v>5.0285392151084664E-2</v>
      </c>
      <c r="J17" s="172">
        <f>H30*5%</f>
        <v>11037002.522173403</v>
      </c>
      <c r="K17" s="172"/>
      <c r="AM17" s="97"/>
      <c r="BH17" s="156" t="s">
        <v>408</v>
      </c>
      <c r="BI17" s="167">
        <f>C115</f>
        <v>7141903.2737480383</v>
      </c>
      <c r="BJ17" s="680">
        <f>BI17/$C$19</f>
        <v>3.2354360975273465E-2</v>
      </c>
      <c r="BK17" s="693"/>
      <c r="BL17" s="671" t="s">
        <v>335</v>
      </c>
      <c r="BV17" s="397" t="s">
        <v>396</v>
      </c>
      <c r="BW17" s="398">
        <v>0</v>
      </c>
      <c r="BX17" s="399">
        <f>H15*BW17</f>
        <v>0</v>
      </c>
      <c r="BY17" s="399" t="s">
        <v>67</v>
      </c>
      <c r="BZ17" s="400">
        <f>BX17*$BW$7</f>
        <v>0</v>
      </c>
      <c r="CA17" s="399">
        <f>BZ17+BX17</f>
        <v>0</v>
      </c>
      <c r="CB17" s="401" t="s">
        <v>67</v>
      </c>
    </row>
    <row r="18" spans="1:80" ht="23.25" thickBot="1" x14ac:dyDescent="0.3">
      <c r="A18" s="172"/>
      <c r="B18" s="297" t="s">
        <v>18</v>
      </c>
      <c r="C18" s="220">
        <f>C115</f>
        <v>7141903.2737480383</v>
      </c>
      <c r="D18" s="180"/>
      <c r="G18" s="297" t="s">
        <v>17</v>
      </c>
      <c r="H18" s="113">
        <f>J18*((D100+E100)*-E192)</f>
        <v>0</v>
      </c>
      <c r="I18" s="305">
        <f t="shared" si="26"/>
        <v>0</v>
      </c>
      <c r="J18" s="478">
        <v>0</v>
      </c>
      <c r="K18" s="172"/>
      <c r="AI18" s="172"/>
      <c r="AJ18" s="172"/>
      <c r="AK18" s="172"/>
      <c r="AL18" s="172"/>
      <c r="AM18" s="172"/>
      <c r="AN18" s="172"/>
      <c r="AO18" s="172"/>
      <c r="AP18" s="172"/>
      <c r="AQ18" s="172"/>
      <c r="AR18" s="172"/>
      <c r="AS18" s="172"/>
      <c r="AT18" s="172"/>
      <c r="AU18" s="172"/>
      <c r="AV18" s="172"/>
      <c r="AW18" s="172"/>
      <c r="AX18" s="172"/>
      <c r="AY18" s="172"/>
      <c r="AZ18" s="172"/>
      <c r="BA18" s="172"/>
      <c r="BH18" s="47" t="s">
        <v>407</v>
      </c>
      <c r="BI18" s="678">
        <f>C103</f>
        <v>22314657.199999999</v>
      </c>
      <c r="BJ18" s="681">
        <f>BI18/$C$19</f>
        <v>0.10109020612784007</v>
      </c>
      <c r="BK18" s="694"/>
      <c r="BL18" s="700" t="s">
        <v>336</v>
      </c>
      <c r="BV18" s="225"/>
      <c r="BW18" s="94"/>
      <c r="BX18" s="94"/>
      <c r="BY18" s="94"/>
      <c r="BZ18" s="94"/>
      <c r="CA18" s="94"/>
      <c r="CB18" s="404"/>
    </row>
    <row r="19" spans="1:80" ht="23.25" thickBot="1" x14ac:dyDescent="0.3">
      <c r="A19" s="172"/>
      <c r="B19" s="302" t="s">
        <v>293</v>
      </c>
      <c r="C19" s="413">
        <f>SUM(C14:C18)</f>
        <v>220740050.44346803</v>
      </c>
      <c r="D19" s="180"/>
      <c r="E19" s="179"/>
      <c r="G19" s="302" t="s">
        <v>19</v>
      </c>
      <c r="H19" s="115">
        <f>(J19*E45)+K19</f>
        <v>62809599.999999993</v>
      </c>
      <c r="I19" s="304">
        <f t="shared" si="26"/>
        <v>0.28454102404078979</v>
      </c>
      <c r="J19" s="479">
        <v>0.7</v>
      </c>
      <c r="K19" s="306"/>
      <c r="AI19" s="172"/>
      <c r="AJ19" s="172"/>
      <c r="AK19" s="172"/>
      <c r="AL19" s="172"/>
      <c r="AM19" s="648"/>
      <c r="AN19" s="172"/>
      <c r="AO19" s="172"/>
      <c r="AP19" s="172"/>
      <c r="AQ19" s="172"/>
      <c r="AR19" s="172"/>
      <c r="AS19" s="172"/>
      <c r="AT19" s="172"/>
      <c r="AU19" s="172"/>
      <c r="AV19" s="172"/>
      <c r="AW19" s="172"/>
      <c r="AX19" s="172"/>
      <c r="AY19" s="172"/>
      <c r="AZ19" s="172"/>
      <c r="BA19" s="172"/>
      <c r="BB19" s="172"/>
      <c r="BH19" s="900" t="s">
        <v>421</v>
      </c>
      <c r="BI19" s="901"/>
      <c r="BJ19" s="948"/>
      <c r="BK19" s="193"/>
      <c r="BL19" s="698" t="s">
        <v>67</v>
      </c>
      <c r="BV19" s="747" t="s">
        <v>461</v>
      </c>
      <c r="BW19" s="748"/>
      <c r="BX19" s="402">
        <f>SUM(BX10:BX17)</f>
        <v>0</v>
      </c>
      <c r="BY19" s="402" t="s">
        <v>67</v>
      </c>
      <c r="BZ19" s="402">
        <f>SUM(BZ10:BZ17)</f>
        <v>7233969.3899184782</v>
      </c>
      <c r="CA19" s="402">
        <f>SUM(CA10:CA17)</f>
        <v>7233969.3899184782</v>
      </c>
      <c r="CB19" s="403" t="s">
        <v>67</v>
      </c>
    </row>
    <row r="20" spans="1:80" ht="22.5" x14ac:dyDescent="0.25">
      <c r="A20" s="172"/>
      <c r="B20" s="297" t="s">
        <v>291</v>
      </c>
      <c r="C20" s="220">
        <f>-SUM(E209)</f>
        <v>6529315.5539999995</v>
      </c>
      <c r="D20" s="180"/>
      <c r="E20" s="179"/>
      <c r="G20" s="297" t="s">
        <v>20</v>
      </c>
      <c r="H20" s="113">
        <f>SUM(H15:H19)</f>
        <v>108409600</v>
      </c>
      <c r="I20" s="305">
        <f>H20/$H$30</f>
        <v>0.49111885125605659</v>
      </c>
      <c r="K20" s="172"/>
      <c r="AE20" s="900" t="s">
        <v>342</v>
      </c>
      <c r="AF20" s="901"/>
      <c r="AG20" s="901"/>
      <c r="AH20" s="901"/>
      <c r="AI20" s="901"/>
      <c r="AJ20" s="901"/>
      <c r="AK20" s="901"/>
      <c r="AL20" s="901"/>
      <c r="AM20" s="901"/>
      <c r="AN20" s="901"/>
      <c r="AO20" s="901"/>
      <c r="AP20" s="901"/>
      <c r="AQ20" s="901"/>
      <c r="AR20" s="901"/>
      <c r="AS20" s="901"/>
      <c r="AT20" s="901"/>
      <c r="AU20" s="901"/>
      <c r="AV20" s="901"/>
      <c r="AW20" s="901"/>
      <c r="AX20" s="901"/>
      <c r="AY20" s="901"/>
      <c r="AZ20" s="901"/>
      <c r="BA20" s="901"/>
      <c r="BB20" s="901"/>
      <c r="BC20" s="901"/>
      <c r="BD20" s="902"/>
      <c r="BH20" s="98" t="s">
        <v>545</v>
      </c>
      <c r="BI20" s="949">
        <f>SUM(C180,C183:C184)/J55</f>
        <v>29166.896883126406</v>
      </c>
      <c r="BJ20" s="950"/>
      <c r="BK20" s="693"/>
      <c r="BL20" s="671" t="s">
        <v>67</v>
      </c>
      <c r="BV20" s="745" t="s">
        <v>397</v>
      </c>
      <c r="BW20" s="746"/>
      <c r="BX20" s="150">
        <v>0</v>
      </c>
      <c r="BY20" s="394">
        <v>0.7</v>
      </c>
      <c r="BZ20" s="150">
        <f>BX20*BW7*BY20</f>
        <v>0</v>
      </c>
      <c r="CA20" s="150">
        <f>BZ20+BX20</f>
        <v>0</v>
      </c>
      <c r="CB20" s="103" t="s">
        <v>67</v>
      </c>
    </row>
    <row r="21" spans="1:80" ht="36.75" thickBot="1" x14ac:dyDescent="0.3">
      <c r="A21" s="172"/>
      <c r="B21" s="335" t="s">
        <v>21</v>
      </c>
      <c r="C21" s="102">
        <f>C13-(C19+C20)</f>
        <v>85913220.679271072</v>
      </c>
      <c r="D21" s="199"/>
      <c r="G21" s="803" t="s">
        <v>205</v>
      </c>
      <c r="H21" s="943"/>
      <c r="I21" s="944"/>
      <c r="K21" s="172"/>
      <c r="AE21" s="31" t="s">
        <v>313</v>
      </c>
      <c r="AF21" s="32" t="s">
        <v>297</v>
      </c>
      <c r="AG21" s="32" t="s">
        <v>298</v>
      </c>
      <c r="AH21" s="122" t="s">
        <v>359</v>
      </c>
      <c r="AI21" s="32" t="s">
        <v>299</v>
      </c>
      <c r="AJ21" s="32" t="s">
        <v>300</v>
      </c>
      <c r="AK21" s="32" t="s">
        <v>301</v>
      </c>
      <c r="AL21" s="32" t="s">
        <v>302</v>
      </c>
      <c r="AM21" s="122" t="s">
        <v>357</v>
      </c>
      <c r="AN21" s="122" t="s">
        <v>356</v>
      </c>
      <c r="AO21" s="32" t="s">
        <v>353</v>
      </c>
      <c r="AP21" s="32" t="s">
        <v>303</v>
      </c>
      <c r="AQ21" s="32" t="s">
        <v>355</v>
      </c>
      <c r="AR21" s="32" t="s">
        <v>304</v>
      </c>
      <c r="AS21" s="32" t="s">
        <v>305</v>
      </c>
      <c r="AT21" s="32" t="s">
        <v>358</v>
      </c>
      <c r="AU21" s="32" t="s">
        <v>306</v>
      </c>
      <c r="AV21" s="32" t="s">
        <v>364</v>
      </c>
      <c r="AW21" s="32" t="s">
        <v>308</v>
      </c>
      <c r="AX21" s="32" t="s">
        <v>309</v>
      </c>
      <c r="AY21" s="32" t="s">
        <v>310</v>
      </c>
      <c r="AZ21" s="32" t="s">
        <v>311</v>
      </c>
      <c r="BA21" s="32" t="s">
        <v>370</v>
      </c>
      <c r="BB21" s="32" t="s">
        <v>361</v>
      </c>
      <c r="BC21" s="32" t="s">
        <v>369</v>
      </c>
      <c r="BD21" s="33" t="s">
        <v>312</v>
      </c>
      <c r="BE21" s="172"/>
      <c r="BH21" s="156" t="s">
        <v>372</v>
      </c>
      <c r="BI21" s="149">
        <f>BI20-BI7</f>
        <v>6916.6565854780456</v>
      </c>
      <c r="BJ21" s="680">
        <f>BI21/BI7</f>
        <v>0.31085761290448044</v>
      </c>
      <c r="BK21" s="693"/>
      <c r="BL21" s="671" t="s">
        <v>67</v>
      </c>
      <c r="BV21" s="743" t="s">
        <v>398</v>
      </c>
      <c r="BW21" s="744"/>
      <c r="BX21" s="307">
        <f>SUM(BX19:BX20)</f>
        <v>0</v>
      </c>
      <c r="BY21" s="307" t="s">
        <v>67</v>
      </c>
      <c r="BZ21" s="307">
        <f>SUM(BZ19:BZ20)</f>
        <v>7233969.3899184782</v>
      </c>
      <c r="CA21" s="307">
        <f>BZ21+BX21</f>
        <v>7233969.3899184782</v>
      </c>
      <c r="CB21" s="396" t="s">
        <v>67</v>
      </c>
    </row>
    <row r="22" spans="1:80" ht="18.75" thickBot="1" x14ac:dyDescent="0.3">
      <c r="A22" s="172"/>
      <c r="B22" s="741" t="s">
        <v>485</v>
      </c>
      <c r="C22" s="742"/>
      <c r="D22" s="177"/>
      <c r="E22" s="97"/>
      <c r="G22" s="984" t="s">
        <v>288</v>
      </c>
      <c r="H22" s="985">
        <f>E185</f>
        <v>54352006</v>
      </c>
      <c r="I22" s="966">
        <f>H22/$H$30</f>
        <v>0.24622630053226185</v>
      </c>
      <c r="J22" s="97"/>
      <c r="AE22" s="98" t="s">
        <v>343</v>
      </c>
      <c r="AF22" s="286">
        <f t="shared" ref="AF22:AF31" si="27">((F57/$J$55)*$I$45)*AO22</f>
        <v>0</v>
      </c>
      <c r="AG22" s="286">
        <f t="shared" ref="AG22:AG31" si="28">J57*AO22</f>
        <v>0</v>
      </c>
      <c r="AH22" s="145">
        <v>0.15</v>
      </c>
      <c r="AI22" s="286">
        <f t="shared" ref="AI22:AI31" si="29">($J$69*AH22)*AO22</f>
        <v>0</v>
      </c>
      <c r="AJ22" s="286">
        <f t="shared" ref="AJ22:AJ31" si="30">((K57/$L$72)*($J$70+$J$71))*AO22</f>
        <v>0</v>
      </c>
      <c r="AK22" s="286">
        <f t="shared" ref="AK22:AK31" si="31">((K57/$L$72)*$C$83)*AO22</f>
        <v>0</v>
      </c>
      <c r="AL22" s="286">
        <f t="shared" ref="AL22:AL31" si="32">(((D57-F57)/$I$55)*$J$67)*AO22</f>
        <v>0</v>
      </c>
      <c r="AM22" s="123"/>
      <c r="AN22" s="123">
        <f>SUM(AF22:AG22,AI22:AL22)/$AN$32</f>
        <v>0</v>
      </c>
      <c r="AO22" s="309">
        <f t="shared" ref="AO22:AO31" si="33">S125</f>
        <v>0</v>
      </c>
      <c r="AP22" s="286">
        <f t="shared" ref="AP22:AP28" si="34">(AN22*SUM($C$82,$C$84:$C$86,$C$92:$C$93,$C$97))+(SUM($D$89:$D$91)*G57*AO22)</f>
        <v>0</v>
      </c>
      <c r="AQ22" s="124"/>
      <c r="AR22" s="59" t="s">
        <v>66</v>
      </c>
      <c r="AS22" s="286">
        <f t="shared" ref="AS22:AS31" si="35">AN22*$C$103</f>
        <v>0</v>
      </c>
      <c r="AT22" s="59" t="s">
        <v>66</v>
      </c>
      <c r="AU22" s="125"/>
      <c r="AV22" s="125" t="str">
        <f>IFERROR((AU22)/T125, "0")</f>
        <v>0</v>
      </c>
      <c r="AW22" s="119"/>
      <c r="AX22" s="106">
        <f t="shared" ref="AX22:AX31" si="36">AC125</f>
        <v>0</v>
      </c>
      <c r="AY22" s="126" t="str">
        <f t="shared" ref="AY22:AY31" si="37">IFERROR(AZ22/T125, "0.00")</f>
        <v>0.00</v>
      </c>
      <c r="AZ22" s="126"/>
      <c r="BA22" s="165" t="str">
        <f>IFERROR(BD22/AW22, "0.00")</f>
        <v>0.00</v>
      </c>
      <c r="BB22" s="153" t="str">
        <f t="shared" ref="BB22:BB32" si="38">IFERROR(AZ22/AX22, "0.00%")</f>
        <v>0.00%</v>
      </c>
      <c r="BC22" s="153"/>
      <c r="BD22" s="131" t="str">
        <f>IFERROR(AZ22/(AU22), "0.00%")</f>
        <v>0.00%</v>
      </c>
      <c r="BE22" s="219" t="s">
        <v>215</v>
      </c>
      <c r="BH22" s="98" t="s">
        <v>406</v>
      </c>
      <c r="BI22" s="143">
        <f>C21/F72</f>
        <v>8659.913781021065</v>
      </c>
      <c r="BJ22" s="682">
        <f>BI22/BI7</f>
        <v>0.38920540475854259</v>
      </c>
      <c r="BK22" s="693"/>
      <c r="BL22" s="671" t="s">
        <v>67</v>
      </c>
    </row>
    <row r="23" spans="1:80" ht="27" x14ac:dyDescent="0.25">
      <c r="A23" s="172"/>
      <c r="B23" s="483" t="s">
        <v>278</v>
      </c>
      <c r="C23" s="666">
        <f ca="1">B118</f>
        <v>5</v>
      </c>
      <c r="D23" s="172"/>
      <c r="E23" s="177"/>
      <c r="G23" s="984"/>
      <c r="H23" s="985"/>
      <c r="I23" s="966"/>
      <c r="AE23" s="83" t="s">
        <v>344</v>
      </c>
      <c r="AF23" s="105">
        <f t="shared" si="27"/>
        <v>30922094.759754118</v>
      </c>
      <c r="AG23" s="105">
        <f t="shared" si="28"/>
        <v>13226400</v>
      </c>
      <c r="AH23" s="146">
        <v>0</v>
      </c>
      <c r="AI23" s="105">
        <f t="shared" si="29"/>
        <v>0</v>
      </c>
      <c r="AJ23" s="105">
        <f t="shared" si="30"/>
        <v>0</v>
      </c>
      <c r="AK23" s="105">
        <f t="shared" si="31"/>
        <v>0</v>
      </c>
      <c r="AL23" s="105">
        <f t="shared" si="32"/>
        <v>0</v>
      </c>
      <c r="AM23" s="128"/>
      <c r="AN23" s="128">
        <f t="shared" ref="AN23:AN31" si="39">SUM(AF23:AL23)/$AN$32</f>
        <v>0.21655124702419951</v>
      </c>
      <c r="AO23" s="138">
        <f t="shared" si="33"/>
        <v>1</v>
      </c>
      <c r="AP23" s="105">
        <f t="shared" si="34"/>
        <v>2249492.9931715345</v>
      </c>
      <c r="AQ23" s="124"/>
      <c r="AR23" s="60" t="s">
        <v>66</v>
      </c>
      <c r="AS23" s="105">
        <f t="shared" si="35"/>
        <v>4832266.8435775321</v>
      </c>
      <c r="AT23" s="60" t="s">
        <v>66</v>
      </c>
      <c r="AU23" s="129"/>
      <c r="AV23" s="129" t="str">
        <f t="shared" ref="AV23:AV31" si="40">IFERROR((AU23-AT23)/T126, "0")</f>
        <v>0</v>
      </c>
      <c r="AW23" s="120"/>
      <c r="AX23" s="150">
        <f t="shared" si="36"/>
        <v>46486956.52173914</v>
      </c>
      <c r="AY23" s="141">
        <f t="shared" si="37"/>
        <v>0</v>
      </c>
      <c r="AZ23" s="149"/>
      <c r="BA23" s="166" t="str">
        <f>IFERROR(BD23/AW23, "0.00")</f>
        <v>0.00</v>
      </c>
      <c r="BB23" s="154">
        <f t="shared" si="38"/>
        <v>0</v>
      </c>
      <c r="BC23" s="154"/>
      <c r="BD23" s="130" t="str">
        <f t="shared" ref="BD23:BD31" si="41">IFERROR(AZ23/(AU23), "0.00%")</f>
        <v>0.00%</v>
      </c>
      <c r="BE23" s="219" t="s">
        <v>216</v>
      </c>
      <c r="BH23" s="156" t="s">
        <v>405</v>
      </c>
      <c r="BI23" s="951">
        <f>C21/C13</f>
        <v>0.2743231084171005</v>
      </c>
      <c r="BJ23" s="952"/>
      <c r="BK23" s="693"/>
      <c r="BL23" s="671" t="s">
        <v>338</v>
      </c>
    </row>
    <row r="24" spans="1:80" ht="18.75" thickBot="1" x14ac:dyDescent="0.3">
      <c r="A24" s="172"/>
      <c r="B24" s="984" t="s">
        <v>22</v>
      </c>
      <c r="C24" s="970">
        <f>C219</f>
        <v>0.13308131098747253</v>
      </c>
      <c r="D24" s="177"/>
      <c r="G24" s="803" t="s">
        <v>289</v>
      </c>
      <c r="H24" s="943"/>
      <c r="I24" s="944"/>
      <c r="AE24" s="98" t="s">
        <v>345</v>
      </c>
      <c r="AF24" s="286">
        <f t="shared" si="27"/>
        <v>0</v>
      </c>
      <c r="AG24" s="286">
        <f t="shared" si="28"/>
        <v>0</v>
      </c>
      <c r="AH24" s="145">
        <v>0</v>
      </c>
      <c r="AI24" s="286">
        <f t="shared" si="29"/>
        <v>0</v>
      </c>
      <c r="AJ24" s="286">
        <f t="shared" si="30"/>
        <v>0</v>
      </c>
      <c r="AK24" s="286">
        <f t="shared" si="31"/>
        <v>0</v>
      </c>
      <c r="AL24" s="286">
        <f t="shared" si="32"/>
        <v>0</v>
      </c>
      <c r="AM24" s="123"/>
      <c r="AN24" s="123">
        <f t="shared" si="39"/>
        <v>0</v>
      </c>
      <c r="AO24" s="309" t="str">
        <f t="shared" si="33"/>
        <v>0.00%</v>
      </c>
      <c r="AP24" s="286">
        <f t="shared" si="34"/>
        <v>0</v>
      </c>
      <c r="AQ24" s="124"/>
      <c r="AR24" s="59" t="s">
        <v>66</v>
      </c>
      <c r="AS24" s="286">
        <f t="shared" si="35"/>
        <v>0</v>
      </c>
      <c r="AT24" s="59" t="s">
        <v>66</v>
      </c>
      <c r="AU24" s="125"/>
      <c r="AV24" s="125" t="str">
        <f t="shared" si="40"/>
        <v>0</v>
      </c>
      <c r="AW24" s="119"/>
      <c r="AX24" s="106">
        <f t="shared" si="36"/>
        <v>0</v>
      </c>
      <c r="AY24" s="126" t="str">
        <f t="shared" si="37"/>
        <v>0.00</v>
      </c>
      <c r="AZ24" s="126"/>
      <c r="BA24" s="165" t="str">
        <f t="shared" ref="BA24:BA31" si="42">IFERROR(BD24/AW24, "0.00")</f>
        <v>0.00</v>
      </c>
      <c r="BB24" s="153" t="str">
        <f t="shared" si="38"/>
        <v>0.00%</v>
      </c>
      <c r="BC24" s="153"/>
      <c r="BD24" s="131" t="str">
        <f t="shared" si="41"/>
        <v>0.00%</v>
      </c>
      <c r="BE24" s="219" t="s">
        <v>217</v>
      </c>
      <c r="BH24" s="47" t="s">
        <v>379</v>
      </c>
      <c r="BI24" s="308">
        <f>C19/BI20</f>
        <v>7568.1705643211662</v>
      </c>
      <c r="BJ24" s="683">
        <f>BI24/F72</f>
        <v>0.76285936028115975</v>
      </c>
      <c r="BK24" s="694"/>
      <c r="BL24" s="700" t="s">
        <v>67</v>
      </c>
    </row>
    <row r="25" spans="1:80" ht="22.5" x14ac:dyDescent="0.25">
      <c r="A25" s="172"/>
      <c r="B25" s="984"/>
      <c r="C25" s="970"/>
      <c r="E25" s="177"/>
      <c r="G25" s="302" t="s">
        <v>25</v>
      </c>
      <c r="H25" s="115">
        <f>K25*J25</f>
        <v>46486956.52173914</v>
      </c>
      <c r="I25" s="310">
        <f>H25/$H$30</f>
        <v>0.21059593140595273</v>
      </c>
      <c r="J25" s="480">
        <f>AC135</f>
        <v>46486956.52173914</v>
      </c>
      <c r="K25" s="476">
        <v>1</v>
      </c>
      <c r="L25" s="50">
        <f>-H31/J25</f>
        <v>0</v>
      </c>
      <c r="AE25" s="83" t="s">
        <v>346</v>
      </c>
      <c r="AF25" s="105">
        <f t="shared" si="27"/>
        <v>0</v>
      </c>
      <c r="AG25" s="105">
        <f t="shared" si="28"/>
        <v>0</v>
      </c>
      <c r="AH25" s="146">
        <v>0</v>
      </c>
      <c r="AI25" s="105">
        <f t="shared" si="29"/>
        <v>0</v>
      </c>
      <c r="AJ25" s="105">
        <f t="shared" si="30"/>
        <v>0</v>
      </c>
      <c r="AK25" s="105">
        <f t="shared" si="31"/>
        <v>0</v>
      </c>
      <c r="AL25" s="105">
        <f t="shared" si="32"/>
        <v>0</v>
      </c>
      <c r="AM25" s="128"/>
      <c r="AN25" s="128">
        <f t="shared" si="39"/>
        <v>0</v>
      </c>
      <c r="AO25" s="138" t="str">
        <f t="shared" si="33"/>
        <v>0.00%</v>
      </c>
      <c r="AP25" s="105">
        <f t="shared" si="34"/>
        <v>0</v>
      </c>
      <c r="AQ25" s="124"/>
      <c r="AR25" s="60" t="s">
        <v>66</v>
      </c>
      <c r="AS25" s="105">
        <f t="shared" si="35"/>
        <v>0</v>
      </c>
      <c r="AT25" s="60" t="s">
        <v>66</v>
      </c>
      <c r="AU25" s="129"/>
      <c r="AV25" s="129" t="str">
        <f t="shared" si="40"/>
        <v>0</v>
      </c>
      <c r="AW25" s="120"/>
      <c r="AX25" s="150">
        <f t="shared" si="36"/>
        <v>0</v>
      </c>
      <c r="AY25" s="141" t="str">
        <f t="shared" si="37"/>
        <v>0.00</v>
      </c>
      <c r="AZ25" s="149"/>
      <c r="BA25" s="166" t="str">
        <f t="shared" si="42"/>
        <v>0.00</v>
      </c>
      <c r="BB25" s="154" t="str">
        <f t="shared" si="38"/>
        <v>0.00%</v>
      </c>
      <c r="BC25" s="154"/>
      <c r="BD25" s="130" t="str">
        <f t="shared" si="41"/>
        <v>0.00%</v>
      </c>
      <c r="BE25" s="219" t="s">
        <v>218</v>
      </c>
      <c r="BH25" s="900" t="s">
        <v>373</v>
      </c>
      <c r="BI25" s="901"/>
      <c r="BJ25" s="948">
        <v>0</v>
      </c>
      <c r="BK25" s="193"/>
      <c r="BL25" s="698" t="s">
        <v>67</v>
      </c>
    </row>
    <row r="26" spans="1:80" ht="23.25" thickBot="1" x14ac:dyDescent="0.3">
      <c r="A26" s="172"/>
      <c r="B26" s="982" t="s">
        <v>23</v>
      </c>
      <c r="C26" s="921">
        <f>C21/C19</f>
        <v>0.38920540475854254</v>
      </c>
      <c r="D26" s="188"/>
      <c r="E26" s="177"/>
      <c r="G26" s="297" t="s">
        <v>27</v>
      </c>
      <c r="H26" s="113">
        <f>K26*J26</f>
        <v>11491487.921728909</v>
      </c>
      <c r="I26" s="305">
        <f>H26/$H$30</f>
        <v>5.2058916805728925E-2</v>
      </c>
      <c r="J26" s="481">
        <f>SUM(J135,M153,AC153)</f>
        <v>17294495.526000001</v>
      </c>
      <c r="K26" s="477">
        <v>0.6644592728624531</v>
      </c>
      <c r="L26" s="50">
        <f>-H31/J26</f>
        <v>0</v>
      </c>
      <c r="AE26" s="98" t="s">
        <v>347</v>
      </c>
      <c r="AF26" s="286">
        <f t="shared" si="27"/>
        <v>0</v>
      </c>
      <c r="AG26" s="286">
        <f t="shared" si="28"/>
        <v>0</v>
      </c>
      <c r="AH26" s="145">
        <v>0</v>
      </c>
      <c r="AI26" s="286">
        <f t="shared" si="29"/>
        <v>0</v>
      </c>
      <c r="AJ26" s="286">
        <f t="shared" si="30"/>
        <v>0</v>
      </c>
      <c r="AK26" s="286">
        <f t="shared" si="31"/>
        <v>0</v>
      </c>
      <c r="AL26" s="286">
        <f t="shared" si="32"/>
        <v>0</v>
      </c>
      <c r="AM26" s="123"/>
      <c r="AN26" s="123">
        <f t="shared" si="39"/>
        <v>0</v>
      </c>
      <c r="AO26" s="309" t="str">
        <f t="shared" si="33"/>
        <v>0.00%</v>
      </c>
      <c r="AP26" s="286">
        <f t="shared" si="34"/>
        <v>0</v>
      </c>
      <c r="AQ26" s="124"/>
      <c r="AR26" s="59" t="s">
        <v>66</v>
      </c>
      <c r="AS26" s="286">
        <f t="shared" si="35"/>
        <v>0</v>
      </c>
      <c r="AT26" s="59" t="s">
        <v>66</v>
      </c>
      <c r="AU26" s="125"/>
      <c r="AV26" s="125" t="str">
        <f t="shared" si="40"/>
        <v>0</v>
      </c>
      <c r="AW26" s="119"/>
      <c r="AX26" s="106">
        <f t="shared" si="36"/>
        <v>0</v>
      </c>
      <c r="AY26" s="126" t="str">
        <f t="shared" si="37"/>
        <v>0.00</v>
      </c>
      <c r="AZ26" s="126"/>
      <c r="BA26" s="165" t="str">
        <f t="shared" si="42"/>
        <v>0.00</v>
      </c>
      <c r="BB26" s="153" t="str">
        <f t="shared" si="38"/>
        <v>0.00%</v>
      </c>
      <c r="BC26" s="153"/>
      <c r="BD26" s="131" t="str">
        <f t="shared" si="41"/>
        <v>0.00%</v>
      </c>
      <c r="BE26" s="219" t="s">
        <v>219</v>
      </c>
      <c r="BH26" s="965" t="s">
        <v>404</v>
      </c>
      <c r="BI26" s="706">
        <f>(BJ28+BJ27)-H22</f>
        <v>53513191.667199999</v>
      </c>
      <c r="BJ26" s="684">
        <f>H22/(BJ28+BJ27)</f>
        <v>0.50388825288851746</v>
      </c>
      <c r="BK26" s="693"/>
      <c r="BL26" s="671" t="s">
        <v>67</v>
      </c>
    </row>
    <row r="27" spans="1:80" ht="18" x14ac:dyDescent="0.25">
      <c r="A27" s="172"/>
      <c r="B27" s="982"/>
      <c r="C27" s="921"/>
      <c r="D27" s="177"/>
      <c r="E27" s="172"/>
      <c r="G27" s="98" t="s">
        <v>290</v>
      </c>
      <c r="H27" s="115">
        <f>SUM(H25:H26)</f>
        <v>57978444.443468049</v>
      </c>
      <c r="I27" s="304">
        <f>H27/$H$30</f>
        <v>0.26265484821168167</v>
      </c>
      <c r="J27" s="172"/>
      <c r="K27" s="643"/>
      <c r="L27" s="172"/>
      <c r="AE27" s="83" t="s">
        <v>348</v>
      </c>
      <c r="AF27" s="105">
        <f t="shared" si="27"/>
        <v>0</v>
      </c>
      <c r="AG27" s="105">
        <f t="shared" si="28"/>
        <v>0</v>
      </c>
      <c r="AH27" s="146">
        <v>0.35</v>
      </c>
      <c r="AI27" s="105">
        <f t="shared" si="29"/>
        <v>0</v>
      </c>
      <c r="AJ27" s="105">
        <f t="shared" si="30"/>
        <v>0</v>
      </c>
      <c r="AK27" s="105">
        <f t="shared" si="31"/>
        <v>0</v>
      </c>
      <c r="AL27" s="105">
        <f t="shared" si="32"/>
        <v>0</v>
      </c>
      <c r="AM27" s="128"/>
      <c r="AN27" s="128">
        <f t="shared" si="39"/>
        <v>1.7167728338399174E-9</v>
      </c>
      <c r="AO27" s="138" t="str">
        <f t="shared" si="33"/>
        <v>0.00%</v>
      </c>
      <c r="AP27" s="105">
        <f t="shared" si="34"/>
        <v>1.5914983091349914E-2</v>
      </c>
      <c r="AQ27" s="124"/>
      <c r="AR27" s="60" t="s">
        <v>66</v>
      </c>
      <c r="AS27" s="105">
        <f t="shared" si="35"/>
        <v>3.8309197277410313E-2</v>
      </c>
      <c r="AT27" s="60" t="s">
        <v>66</v>
      </c>
      <c r="AU27" s="129"/>
      <c r="AV27" s="129" t="str">
        <f t="shared" si="40"/>
        <v>0</v>
      </c>
      <c r="AW27" s="120"/>
      <c r="AX27" s="150">
        <f t="shared" si="36"/>
        <v>0</v>
      </c>
      <c r="AY27" s="141" t="str">
        <f t="shared" si="37"/>
        <v>0.00</v>
      </c>
      <c r="AZ27" s="149"/>
      <c r="BA27" s="166" t="str">
        <f>IFERROR(BD27/AW27, "0.00")</f>
        <v>0.00</v>
      </c>
      <c r="BB27" s="154" t="str">
        <f t="shared" si="38"/>
        <v>0.00%</v>
      </c>
      <c r="BC27" s="154"/>
      <c r="BD27" s="130" t="str">
        <f t="shared" si="41"/>
        <v>0.00%</v>
      </c>
      <c r="BE27" s="219" t="s">
        <v>277</v>
      </c>
      <c r="BF27" s="97"/>
      <c r="BG27" s="206"/>
      <c r="BH27" s="965"/>
      <c r="BI27" s="112">
        <v>0.6</v>
      </c>
      <c r="BJ27" s="685">
        <f>(I45*80%)*BI27</f>
        <v>44086955.520000003</v>
      </c>
      <c r="BK27" s="693"/>
      <c r="BL27" s="671" t="s">
        <v>67</v>
      </c>
    </row>
    <row r="28" spans="1:80" ht="18" x14ac:dyDescent="0.25">
      <c r="A28" s="172"/>
      <c r="B28" s="984" t="s">
        <v>24</v>
      </c>
      <c r="C28" s="970">
        <f>(C21/H20)</f>
        <v>0.79248720297161024</v>
      </c>
      <c r="D28" s="223"/>
      <c r="E28" s="172"/>
      <c r="G28" s="803" t="s">
        <v>206</v>
      </c>
      <c r="H28" s="943"/>
      <c r="I28" s="944"/>
      <c r="K28" s="205"/>
      <c r="L28" s="172"/>
      <c r="AE28" s="98" t="s">
        <v>349</v>
      </c>
      <c r="AF28" s="286">
        <f t="shared" si="27"/>
        <v>0</v>
      </c>
      <c r="AG28" s="286">
        <f t="shared" si="28"/>
        <v>0</v>
      </c>
      <c r="AH28" s="145">
        <v>0.35</v>
      </c>
      <c r="AI28" s="286">
        <f t="shared" si="29"/>
        <v>0</v>
      </c>
      <c r="AJ28" s="286">
        <f t="shared" si="30"/>
        <v>0</v>
      </c>
      <c r="AK28" s="286">
        <f t="shared" si="31"/>
        <v>0</v>
      </c>
      <c r="AL28" s="286">
        <f t="shared" si="32"/>
        <v>0</v>
      </c>
      <c r="AM28" s="123"/>
      <c r="AN28" s="123">
        <f t="shared" si="39"/>
        <v>1.7167728338399174E-9</v>
      </c>
      <c r="AO28" s="309" t="str">
        <f t="shared" si="33"/>
        <v>0.00%</v>
      </c>
      <c r="AP28" s="286">
        <f t="shared" si="34"/>
        <v>1.5914983091349914E-2</v>
      </c>
      <c r="AQ28" s="124"/>
      <c r="AR28" s="59" t="s">
        <v>66</v>
      </c>
      <c r="AS28" s="286">
        <f t="shared" si="35"/>
        <v>3.8309197277410313E-2</v>
      </c>
      <c r="AT28" s="59" t="s">
        <v>66</v>
      </c>
      <c r="AU28" s="125"/>
      <c r="AV28" s="125" t="str">
        <f t="shared" si="40"/>
        <v>0</v>
      </c>
      <c r="AW28" s="119"/>
      <c r="AX28" s="106">
        <f t="shared" si="36"/>
        <v>0</v>
      </c>
      <c r="AY28" s="126" t="str">
        <f t="shared" si="37"/>
        <v>0.00</v>
      </c>
      <c r="AZ28" s="126"/>
      <c r="BA28" s="165" t="str">
        <f t="shared" si="42"/>
        <v>0.00</v>
      </c>
      <c r="BB28" s="153" t="str">
        <f t="shared" si="38"/>
        <v>0.00%</v>
      </c>
      <c r="BC28" s="153"/>
      <c r="BD28" s="131" t="str">
        <f t="shared" si="41"/>
        <v>0.00%</v>
      </c>
      <c r="BE28" s="219" t="s">
        <v>220</v>
      </c>
      <c r="BF28" s="97"/>
      <c r="BH28" s="965"/>
      <c r="BI28" s="77">
        <v>0.7</v>
      </c>
      <c r="BJ28" s="685">
        <f>SUM(J72,C82:C86,C89:C91,C92:C92,C97)*BI28</f>
        <v>63778242.147200003</v>
      </c>
      <c r="BK28" s="693"/>
      <c r="BL28" s="671" t="s">
        <v>67</v>
      </c>
    </row>
    <row r="29" spans="1:80" ht="22.5" x14ac:dyDescent="0.25">
      <c r="A29" s="172"/>
      <c r="B29" s="984"/>
      <c r="C29" s="970"/>
      <c r="D29" s="223"/>
      <c r="G29" s="297" t="s">
        <v>28</v>
      </c>
      <c r="H29" s="113">
        <f>H20+H22+H27</f>
        <v>220740050.44346803</v>
      </c>
      <c r="I29" s="655" t="str">
        <f>IF(ABS(SUM(1)-SUM(Study!I20,Study!I22,Study!I27))&lt;=0.001,"TRUE",SUM(1)-SUM(Study!I20,Study!I22,Study!I27))</f>
        <v>TRUE</v>
      </c>
      <c r="J29" s="177"/>
      <c r="K29" s="205"/>
      <c r="L29" s="172"/>
      <c r="AE29" s="83" t="s">
        <v>350</v>
      </c>
      <c r="AF29" s="105">
        <f t="shared" si="27"/>
        <v>0</v>
      </c>
      <c r="AG29" s="105">
        <f t="shared" si="28"/>
        <v>0</v>
      </c>
      <c r="AH29" s="146">
        <v>0.15</v>
      </c>
      <c r="AI29" s="105">
        <f t="shared" si="29"/>
        <v>0</v>
      </c>
      <c r="AJ29" s="105">
        <f t="shared" si="30"/>
        <v>0</v>
      </c>
      <c r="AK29" s="105">
        <f t="shared" si="31"/>
        <v>0</v>
      </c>
      <c r="AL29" s="105">
        <f t="shared" si="32"/>
        <v>0</v>
      </c>
      <c r="AM29" s="128"/>
      <c r="AN29" s="128">
        <f t="shared" si="39"/>
        <v>7.3575978593139319E-10</v>
      </c>
      <c r="AO29" s="138">
        <f t="shared" si="33"/>
        <v>0</v>
      </c>
      <c r="AP29" s="105">
        <f>(AN29*SUM($C$82,$C$84:$C$86,$C$92:$C$93,$C$97))+((SUM($D$90:$D$91)*G64*AO29)+(D89*G64/2*AO29))</f>
        <v>6.8207070391499633E-3</v>
      </c>
      <c r="AQ29" s="124"/>
      <c r="AR29" s="60" t="s">
        <v>66</v>
      </c>
      <c r="AS29" s="105">
        <f t="shared" si="35"/>
        <v>1.641822740460442E-2</v>
      </c>
      <c r="AT29" s="60" t="s">
        <v>66</v>
      </c>
      <c r="AU29" s="129"/>
      <c r="AV29" s="129" t="str">
        <f t="shared" si="40"/>
        <v>0</v>
      </c>
      <c r="AW29" s="120"/>
      <c r="AX29" s="150">
        <f t="shared" si="36"/>
        <v>0</v>
      </c>
      <c r="AY29" s="141" t="str">
        <f t="shared" si="37"/>
        <v>0.00</v>
      </c>
      <c r="AZ29" s="149"/>
      <c r="BA29" s="166" t="str">
        <f>IFERROR(BD29/AW29, "0.00")</f>
        <v>0.00</v>
      </c>
      <c r="BB29" s="154" t="str">
        <f t="shared" si="38"/>
        <v>0.00%</v>
      </c>
      <c r="BC29" s="154"/>
      <c r="BD29" s="130" t="str">
        <f t="shared" si="41"/>
        <v>0.00%</v>
      </c>
      <c r="BE29" s="219" t="s">
        <v>221</v>
      </c>
      <c r="BH29" s="965"/>
      <c r="BI29" s="121">
        <f ca="1">BJ29/D115</f>
        <v>3.9885606315712419E-2</v>
      </c>
      <c r="BJ29" s="686">
        <f>BI30/H22</f>
        <v>0.13140091414009702</v>
      </c>
      <c r="BK29" s="693"/>
      <c r="BL29" s="671" t="s">
        <v>67</v>
      </c>
    </row>
    <row r="30" spans="1:80" ht="22.5" x14ac:dyDescent="0.25">
      <c r="A30" s="172"/>
      <c r="B30" s="982" t="s">
        <v>26</v>
      </c>
      <c r="C30" s="921">
        <f ca="1">C28/C23</f>
        <v>0.15849744059432205</v>
      </c>
      <c r="D30" s="224"/>
      <c r="E30" s="200"/>
      <c r="G30" s="302" t="s">
        <v>293</v>
      </c>
      <c r="H30" s="893">
        <f>C19</f>
        <v>220740050.44346803</v>
      </c>
      <c r="I30" s="898"/>
      <c r="J30" s="172"/>
      <c r="K30" s="172"/>
      <c r="AE30" s="98" t="s">
        <v>351</v>
      </c>
      <c r="AF30" s="286">
        <f t="shared" si="27"/>
        <v>0</v>
      </c>
      <c r="AG30" s="286">
        <f t="shared" si="28"/>
        <v>0</v>
      </c>
      <c r="AH30" s="145">
        <f t="shared" ref="AH30:AH31" si="43">AH12</f>
        <v>0</v>
      </c>
      <c r="AI30" s="286">
        <f t="shared" si="29"/>
        <v>0</v>
      </c>
      <c r="AJ30" s="286">
        <f t="shared" si="30"/>
        <v>0</v>
      </c>
      <c r="AK30" s="286">
        <f t="shared" si="31"/>
        <v>0</v>
      </c>
      <c r="AL30" s="286">
        <f t="shared" si="32"/>
        <v>0</v>
      </c>
      <c r="AM30" s="123"/>
      <c r="AN30" s="123">
        <f t="shared" si="39"/>
        <v>0</v>
      </c>
      <c r="AO30" s="309" t="str">
        <f t="shared" si="33"/>
        <v>0.00%</v>
      </c>
      <c r="AP30" s="286">
        <f>(AN30*SUM($C$82,$C$84:$C$86,$C$92:$C$93,$C$97))+(SUM($D$89:$D$91)*G65*AO30)</f>
        <v>0</v>
      </c>
      <c r="AQ30" s="124"/>
      <c r="AR30" s="59" t="s">
        <v>66</v>
      </c>
      <c r="AS30" s="286">
        <f t="shared" si="35"/>
        <v>0</v>
      </c>
      <c r="AT30" s="59" t="s">
        <v>66</v>
      </c>
      <c r="AU30" s="125"/>
      <c r="AV30" s="125" t="str">
        <f t="shared" si="40"/>
        <v>0</v>
      </c>
      <c r="AW30" s="119"/>
      <c r="AX30" s="106">
        <f t="shared" si="36"/>
        <v>0</v>
      </c>
      <c r="AY30" s="126" t="str">
        <f t="shared" si="37"/>
        <v>0.00</v>
      </c>
      <c r="AZ30" s="126"/>
      <c r="BA30" s="165" t="str">
        <f t="shared" si="42"/>
        <v>0.00</v>
      </c>
      <c r="BB30" s="153" t="str">
        <f t="shared" si="38"/>
        <v>0.00%</v>
      </c>
      <c r="BC30" s="153"/>
      <c r="BD30" s="131" t="str">
        <f t="shared" si="41"/>
        <v>0.00%</v>
      </c>
      <c r="BE30" s="219" t="s">
        <v>222</v>
      </c>
      <c r="BH30" s="965"/>
      <c r="BI30" s="963">
        <f>C18</f>
        <v>7141903.2737480383</v>
      </c>
      <c r="BJ30" s="964"/>
      <c r="BK30" s="693"/>
      <c r="BL30" s="671" t="s">
        <v>67</v>
      </c>
    </row>
    <row r="31" spans="1:80" ht="25.5" thickBot="1" x14ac:dyDescent="0.3">
      <c r="A31" s="172"/>
      <c r="B31" s="983"/>
      <c r="C31" s="981"/>
      <c r="D31" s="224"/>
      <c r="E31" s="172"/>
      <c r="G31" s="287" t="s">
        <v>29</v>
      </c>
      <c r="H31" s="979">
        <f>H29-H30</f>
        <v>0</v>
      </c>
      <c r="I31" s="980"/>
      <c r="J31" s="172"/>
      <c r="K31" s="172"/>
      <c r="AE31" s="83" t="s">
        <v>352</v>
      </c>
      <c r="AF31" s="105">
        <f t="shared" si="27"/>
        <v>0</v>
      </c>
      <c r="AG31" s="105">
        <f t="shared" si="28"/>
        <v>0</v>
      </c>
      <c r="AH31" s="146">
        <f t="shared" si="43"/>
        <v>0</v>
      </c>
      <c r="AI31" s="105">
        <f t="shared" si="29"/>
        <v>0</v>
      </c>
      <c r="AJ31" s="105">
        <f t="shared" si="30"/>
        <v>0</v>
      </c>
      <c r="AK31" s="105">
        <f t="shared" si="31"/>
        <v>0</v>
      </c>
      <c r="AL31" s="105">
        <f t="shared" si="32"/>
        <v>0</v>
      </c>
      <c r="AM31" s="128"/>
      <c r="AN31" s="128">
        <f t="shared" si="39"/>
        <v>0</v>
      </c>
      <c r="AO31" s="138" t="str">
        <f t="shared" si="33"/>
        <v>0.00%</v>
      </c>
      <c r="AP31" s="105">
        <f>(AN31*SUM($C$82,$C$84:$C$86,$C$92:$C$93,$C$97))+(SUM($D$89:$D$91)*G66*AO31)</f>
        <v>0</v>
      </c>
      <c r="AQ31" s="124"/>
      <c r="AR31" s="60" t="s">
        <v>66</v>
      </c>
      <c r="AS31" s="105">
        <f t="shared" si="35"/>
        <v>0</v>
      </c>
      <c r="AT31" s="60" t="s">
        <v>66</v>
      </c>
      <c r="AU31" s="129"/>
      <c r="AV31" s="129" t="str">
        <f t="shared" si="40"/>
        <v>0</v>
      </c>
      <c r="AW31" s="120"/>
      <c r="AX31" s="150">
        <f t="shared" si="36"/>
        <v>0</v>
      </c>
      <c r="AY31" s="141" t="str">
        <f t="shared" si="37"/>
        <v>0.00</v>
      </c>
      <c r="AZ31" s="149"/>
      <c r="BA31" s="166" t="str">
        <f t="shared" si="42"/>
        <v>0.00</v>
      </c>
      <c r="BB31" s="154" t="str">
        <f t="shared" si="38"/>
        <v>0.00%</v>
      </c>
      <c r="BC31" s="154"/>
      <c r="BD31" s="130" t="str">
        <f t="shared" si="41"/>
        <v>0.00%</v>
      </c>
      <c r="BE31" s="219" t="s">
        <v>223</v>
      </c>
      <c r="BF31" s="97"/>
      <c r="BG31" s="172"/>
      <c r="BH31" s="156" t="s">
        <v>547</v>
      </c>
      <c r="BI31" s="668">
        <f>H22/(SUM(C180:C184))</f>
        <v>0.17354734366537777</v>
      </c>
      <c r="BJ31" s="680">
        <f>1-BI31</f>
        <v>0.82645265633462217</v>
      </c>
      <c r="BK31" s="693"/>
      <c r="BL31" s="675" t="s">
        <v>381</v>
      </c>
    </row>
    <row r="32" spans="1:80" ht="18.75" thickBot="1" x14ac:dyDescent="0.3">
      <c r="A32" s="172"/>
      <c r="AE32" s="84" t="s">
        <v>317</v>
      </c>
      <c r="AF32" s="108">
        <f t="shared" ref="AF32:AL32" si="44">SUM(AF22:AF31)</f>
        <v>30922094.759754118</v>
      </c>
      <c r="AG32" s="108">
        <f t="shared" si="44"/>
        <v>13226400</v>
      </c>
      <c r="AH32" s="144">
        <f t="shared" si="44"/>
        <v>1</v>
      </c>
      <c r="AI32" s="108">
        <f t="shared" si="44"/>
        <v>0</v>
      </c>
      <c r="AJ32" s="108">
        <f t="shared" si="44"/>
        <v>0</v>
      </c>
      <c r="AK32" s="108">
        <f t="shared" si="44"/>
        <v>0</v>
      </c>
      <c r="AL32" s="108">
        <f t="shared" si="44"/>
        <v>0</v>
      </c>
      <c r="AM32" s="140">
        <f>SUM(AF32:AG32,AI32:AL32)</f>
        <v>44148494.759754121</v>
      </c>
      <c r="AN32" s="108">
        <f>SUM(AF4:AG13,AI4:AL13,AF22:AG31,AI22:AL31)</f>
        <v>203870886.75975412</v>
      </c>
      <c r="AO32" s="139" t="s">
        <v>67</v>
      </c>
      <c r="AP32" s="1014"/>
      <c r="AQ32" s="1014"/>
      <c r="AR32" s="288" t="s">
        <v>67</v>
      </c>
      <c r="AS32" s="288">
        <f>SUM(AS22:AS31)</f>
        <v>4832266.936614153</v>
      </c>
      <c r="AT32" s="132">
        <f t="shared" ref="AT32" si="45">SUM(AT22:AT31)</f>
        <v>0</v>
      </c>
      <c r="AU32" s="132"/>
      <c r="AV32" s="133">
        <f>IFERROR(AU32/T135, "0")</f>
        <v>0</v>
      </c>
      <c r="AW32" s="158"/>
      <c r="AX32" s="108">
        <f>SUM(AX22:AX31)</f>
        <v>46486956.52173914</v>
      </c>
      <c r="AY32" s="135">
        <f>AZ32/T135</f>
        <v>0</v>
      </c>
      <c r="AZ32" s="136">
        <f>SUMIF(AZ22:AZ31, "&lt;&gt;#DIV/0!")</f>
        <v>0</v>
      </c>
      <c r="BA32" s="664" t="s">
        <v>67</v>
      </c>
      <c r="BB32" s="155">
        <f t="shared" si="38"/>
        <v>0</v>
      </c>
      <c r="BC32" s="155"/>
      <c r="BD32" s="137" t="str">
        <f>IFERROR(AZ32/AU32, "0.00%")</f>
        <v>0.00%</v>
      </c>
      <c r="BE32" s="172"/>
      <c r="BH32" s="98" t="s">
        <v>403</v>
      </c>
      <c r="BI32" s="961">
        <f>H22/H20</f>
        <v>0.50135786867583687</v>
      </c>
      <c r="BJ32" s="962"/>
      <c r="BK32" s="693"/>
      <c r="BL32" s="671" t="s">
        <v>339</v>
      </c>
    </row>
    <row r="33" spans="1:66" ht="27" x14ac:dyDescent="0.25">
      <c r="A33" s="172"/>
      <c r="I33" s="171"/>
      <c r="AE33" s="219"/>
      <c r="AF33" s="172" t="b">
        <f>I45-AF14=AF32</f>
        <v>0</v>
      </c>
      <c r="AG33" s="172" t="b">
        <f>SUM(J57:J67)-AG14=AG32</f>
        <v>1</v>
      </c>
      <c r="AH33" s="172" t="b">
        <f>SUM(AH22:AH31)=AH32</f>
        <v>1</v>
      </c>
      <c r="AI33" s="172" t="b">
        <f>ABS((J69 - AI14) - AI32) &lt;= 0.9</f>
        <v>1</v>
      </c>
      <c r="AJ33" s="172" t="b">
        <f>(J70+J71)-AJ14=AJ32</f>
        <v>1</v>
      </c>
      <c r="AK33" s="172" t="b">
        <f>ABS((C83 - AK14) - AK32) &lt;= 0.9</f>
        <v>1</v>
      </c>
      <c r="AL33" s="172" t="b">
        <f>J67-AL14=AL32</f>
        <v>1</v>
      </c>
      <c r="AM33" s="172" t="b">
        <f>SUM(AF22:AG31,AI22:AL31)=AM32</f>
        <v>1</v>
      </c>
      <c r="AN33" s="172" t="b">
        <f>SUM(AI22:AL31,AF22:AG31,AF4:AG13,AI4:AL13)=AN32</f>
        <v>1</v>
      </c>
      <c r="AO33" s="172" t="b">
        <f>SUM(AO4:AO13,AO22:AO31)=1000%</f>
        <v>1</v>
      </c>
      <c r="AP33" s="1013"/>
      <c r="AQ33" s="1013"/>
      <c r="AR33" s="172" t="b">
        <f>AR32=AR32</f>
        <v>1</v>
      </c>
      <c r="AS33" s="172" t="b">
        <f>ABS((C103 - AS14) - AS32) &lt;= 0.9</f>
        <v>1</v>
      </c>
      <c r="AT33" s="172" t="b">
        <f>AT32=AT32</f>
        <v>1</v>
      </c>
      <c r="AU33" s="172"/>
      <c r="AV33" s="172" t="b">
        <f>AV32=AV32</f>
        <v>1</v>
      </c>
      <c r="AW33" s="172"/>
      <c r="AX33" s="172" t="b">
        <f>AX32=AC135</f>
        <v>1</v>
      </c>
      <c r="AY33" s="172" t="b">
        <f t="shared" ref="AY33:BD33" si="46">AY32=AY32</f>
        <v>1</v>
      </c>
      <c r="AZ33" s="172" t="b">
        <f t="shared" si="46"/>
        <v>1</v>
      </c>
      <c r="BA33" s="172" t="b">
        <f t="shared" si="46"/>
        <v>1</v>
      </c>
      <c r="BB33" s="172" t="b">
        <f t="shared" si="46"/>
        <v>1</v>
      </c>
      <c r="BC33" s="172"/>
      <c r="BD33" s="172" t="b">
        <f t="shared" si="46"/>
        <v>1</v>
      </c>
      <c r="BE33" s="172"/>
      <c r="BH33" s="169" t="s">
        <v>330</v>
      </c>
      <c r="BI33" s="170">
        <f>AX22</f>
        <v>0</v>
      </c>
      <c r="BJ33" s="687">
        <f>C180/-(SUM(G188:S212))</f>
        <v>0.49384503208230124</v>
      </c>
      <c r="BK33" s="693"/>
      <c r="BL33" s="676" t="s">
        <v>428</v>
      </c>
    </row>
    <row r="34" spans="1:66" ht="18.75" thickBot="1" x14ac:dyDescent="0.3">
      <c r="A34" s="172"/>
      <c r="D34" s="198"/>
      <c r="G34" s="644"/>
      <c r="I34" s="645"/>
      <c r="J34" s="639"/>
      <c r="AT34" s="172"/>
      <c r="AX34" s="97"/>
      <c r="BF34" s="97"/>
      <c r="BG34" s="172"/>
      <c r="BH34" s="47" t="s">
        <v>402</v>
      </c>
      <c r="BI34" s="959">
        <f>(C13-C19)/C13</f>
        <v>0.29517137978264557</v>
      </c>
      <c r="BJ34" s="960"/>
      <c r="BK34" s="694"/>
      <c r="BL34" s="700" t="s">
        <v>340</v>
      </c>
    </row>
    <row r="35" spans="1:66" ht="12.75" x14ac:dyDescent="0.25">
      <c r="A35" s="172"/>
      <c r="F35" s="641"/>
      <c r="H35" s="644"/>
      <c r="I35" s="190"/>
      <c r="J35" s="642"/>
      <c r="BH35" s="900" t="s">
        <v>374</v>
      </c>
      <c r="BI35" s="901"/>
      <c r="BJ35" s="948">
        <v>0</v>
      </c>
      <c r="BK35" s="193"/>
      <c r="BL35" s="698" t="s">
        <v>67</v>
      </c>
    </row>
    <row r="36" spans="1:66" ht="18" x14ac:dyDescent="0.25">
      <c r="A36" s="172"/>
      <c r="H36" s="190"/>
      <c r="I36" s="640"/>
      <c r="J36" s="190"/>
      <c r="AP36" s="97"/>
      <c r="AT36" s="97"/>
      <c r="AU36" s="97"/>
      <c r="AV36" s="97"/>
      <c r="BH36" s="98" t="s">
        <v>331</v>
      </c>
      <c r="BI36" s="161">
        <f>I45/C45</f>
        <v>11179.141187925998</v>
      </c>
      <c r="BJ36" s="688">
        <f>D45</f>
        <v>10921.129503407985</v>
      </c>
      <c r="BK36" s="693"/>
      <c r="BL36" s="671" t="s">
        <v>67</v>
      </c>
    </row>
    <row r="37" spans="1:66" ht="18.75" thickBot="1" x14ac:dyDescent="0.3">
      <c r="A37" s="172"/>
      <c r="B37" s="172"/>
      <c r="C37" s="172"/>
      <c r="D37" s="172"/>
      <c r="E37" s="172"/>
      <c r="F37" s="172"/>
      <c r="G37" s="172"/>
      <c r="H37" s="172"/>
      <c r="I37" s="179"/>
      <c r="J37" s="172"/>
      <c r="K37" s="172"/>
      <c r="L37" s="172"/>
      <c r="BH37" s="156" t="s">
        <v>415</v>
      </c>
      <c r="BI37" s="955">
        <f>((I45/C19)*C13)/C45</f>
        <v>15860.793485483868</v>
      </c>
      <c r="BJ37" s="956"/>
      <c r="BK37" s="693"/>
      <c r="BL37" s="671" t="s">
        <v>67</v>
      </c>
    </row>
    <row r="38" spans="1:66" ht="18" x14ac:dyDescent="0.25">
      <c r="A38" s="172"/>
      <c r="B38" s="974" t="s">
        <v>30</v>
      </c>
      <c r="C38" s="975"/>
      <c r="D38" s="975"/>
      <c r="E38" s="975"/>
      <c r="F38" s="975"/>
      <c r="G38" s="975"/>
      <c r="H38" s="975"/>
      <c r="I38" s="975"/>
      <c r="J38" s="975"/>
      <c r="K38" s="975"/>
      <c r="L38" s="976"/>
      <c r="AE38" s="900" t="s">
        <v>363</v>
      </c>
      <c r="AF38" s="901"/>
      <c r="AG38" s="901"/>
      <c r="AH38" s="901"/>
      <c r="AI38" s="901"/>
      <c r="AJ38" s="901"/>
      <c r="AK38" s="901"/>
      <c r="AL38" s="901"/>
      <c r="AM38" s="901"/>
      <c r="AN38" s="901"/>
      <c r="AO38" s="901"/>
      <c r="AP38" s="901"/>
      <c r="AQ38" s="901"/>
      <c r="AR38" s="901"/>
      <c r="AS38" s="901"/>
      <c r="AT38" s="901"/>
      <c r="AU38" s="901"/>
      <c r="AV38" s="901"/>
      <c r="AW38" s="901"/>
      <c r="AX38" s="901"/>
      <c r="AY38" s="901"/>
      <c r="AZ38" s="901"/>
      <c r="BA38" s="901"/>
      <c r="BB38" s="901"/>
      <c r="BC38" s="901"/>
      <c r="BD38" s="902"/>
      <c r="BH38" s="98" t="s">
        <v>416</v>
      </c>
      <c r="BI38" s="949">
        <f>BI37-BI36</f>
        <v>4681.65229755787</v>
      </c>
      <c r="BJ38" s="950"/>
      <c r="BK38" s="693"/>
      <c r="BL38" s="671" t="s">
        <v>67</v>
      </c>
    </row>
    <row r="39" spans="1:66" ht="45" x14ac:dyDescent="0.25">
      <c r="A39" s="172"/>
      <c r="B39" s="208" t="s">
        <v>31</v>
      </c>
      <c r="C39" s="209" t="s">
        <v>32</v>
      </c>
      <c r="D39" s="209" t="s">
        <v>33</v>
      </c>
      <c r="E39" s="209" t="s">
        <v>253</v>
      </c>
      <c r="F39" s="209" t="s">
        <v>224</v>
      </c>
      <c r="G39" s="209" t="s">
        <v>225</v>
      </c>
      <c r="H39" s="209" t="s">
        <v>226</v>
      </c>
      <c r="I39" s="977" t="s">
        <v>254</v>
      </c>
      <c r="J39" s="978"/>
      <c r="K39" s="209" t="s">
        <v>34</v>
      </c>
      <c r="L39" s="285" t="s">
        <v>35</v>
      </c>
      <c r="AE39" s="31" t="s">
        <v>313</v>
      </c>
      <c r="AF39" s="32" t="s">
        <v>297</v>
      </c>
      <c r="AG39" s="32" t="s">
        <v>298</v>
      </c>
      <c r="AH39" s="122" t="s">
        <v>359</v>
      </c>
      <c r="AI39" s="32" t="s">
        <v>299</v>
      </c>
      <c r="AJ39" s="32" t="s">
        <v>300</v>
      </c>
      <c r="AK39" s="32" t="s">
        <v>301</v>
      </c>
      <c r="AL39" s="32" t="s">
        <v>302</v>
      </c>
      <c r="AM39" s="122" t="s">
        <v>357</v>
      </c>
      <c r="AN39" s="122" t="s">
        <v>356</v>
      </c>
      <c r="AO39" s="32" t="s">
        <v>360</v>
      </c>
      <c r="AP39" s="32" t="s">
        <v>303</v>
      </c>
      <c r="AQ39" s="32" t="s">
        <v>355</v>
      </c>
      <c r="AR39" s="32" t="s">
        <v>304</v>
      </c>
      <c r="AS39" s="32" t="s">
        <v>305</v>
      </c>
      <c r="AT39" s="32" t="s">
        <v>354</v>
      </c>
      <c r="AU39" s="32" t="s">
        <v>306</v>
      </c>
      <c r="AV39" s="32" t="s">
        <v>307</v>
      </c>
      <c r="AW39" s="32" t="s">
        <v>308</v>
      </c>
      <c r="AX39" s="32" t="s">
        <v>309</v>
      </c>
      <c r="AY39" s="32" t="s">
        <v>310</v>
      </c>
      <c r="AZ39" s="32" t="s">
        <v>311</v>
      </c>
      <c r="BA39" s="32" t="s">
        <v>370</v>
      </c>
      <c r="BB39" s="32" t="s">
        <v>361</v>
      </c>
      <c r="BC39" s="32" t="s">
        <v>369</v>
      </c>
      <c r="BD39" s="33" t="s">
        <v>312</v>
      </c>
      <c r="BH39" s="156" t="s">
        <v>417</v>
      </c>
      <c r="BI39" s="953">
        <f>BI38/BI36</f>
        <v>0.41878461134512518</v>
      </c>
      <c r="BJ39" s="954"/>
      <c r="BK39" s="693"/>
      <c r="BL39" s="671" t="s">
        <v>341</v>
      </c>
    </row>
    <row r="40" spans="1:66" ht="18" x14ac:dyDescent="0.25">
      <c r="A40" s="172"/>
      <c r="B40" s="269">
        <v>1</v>
      </c>
      <c r="C40" s="252">
        <v>3000</v>
      </c>
      <c r="D40" s="253">
        <v>16000</v>
      </c>
      <c r="E40" s="270">
        <f>D40*C40</f>
        <v>48000000</v>
      </c>
      <c r="F40" s="270">
        <f>(E40*$F$46)*$F$47</f>
        <v>720000</v>
      </c>
      <c r="G40" s="270">
        <f>(E40*$G$46)*$G$47</f>
        <v>360000</v>
      </c>
      <c r="H40" s="270">
        <f>(G40*$H$46)*$H$47</f>
        <v>54000</v>
      </c>
      <c r="I40" s="973">
        <f>SUM(E40:H40)</f>
        <v>49134000</v>
      </c>
      <c r="J40" s="773"/>
      <c r="K40" s="254">
        <v>2.0499999999999998</v>
      </c>
      <c r="L40" s="271">
        <f>K40*C40</f>
        <v>6149.9999999999991</v>
      </c>
      <c r="M40" s="173" t="s">
        <v>221</v>
      </c>
      <c r="AE40" s="98" t="s">
        <v>215</v>
      </c>
      <c r="AF40" s="286">
        <f t="shared" ref="AF40:AG47" si="47">SUM(AF4,AF22)</f>
        <v>15362564</v>
      </c>
      <c r="AG40" s="286">
        <f t="shared" si="47"/>
        <v>7800408</v>
      </c>
      <c r="AH40" s="145">
        <f t="shared" ref="AH40:AH47" si="48">AH4</f>
        <v>0</v>
      </c>
      <c r="AI40" s="286">
        <f t="shared" ref="AI40:AL47" si="49">SUM(AI4,AI22)</f>
        <v>0</v>
      </c>
      <c r="AJ40" s="286">
        <f t="shared" si="49"/>
        <v>0</v>
      </c>
      <c r="AK40" s="286">
        <f t="shared" si="49"/>
        <v>0</v>
      </c>
      <c r="AL40" s="286">
        <f t="shared" si="49"/>
        <v>0</v>
      </c>
      <c r="AM40" s="123" t="s">
        <v>67</v>
      </c>
      <c r="AN40" s="123">
        <f t="shared" ref="AN40:AU47" si="50">SUM(AN4,AN22)</f>
        <v>0.11361588880169904</v>
      </c>
      <c r="AO40" s="147">
        <f t="shared" si="50"/>
        <v>1</v>
      </c>
      <c r="AP40" s="286">
        <f t="shared" si="50"/>
        <v>749188.50482248759</v>
      </c>
      <c r="AQ40" s="124">
        <f t="shared" si="50"/>
        <v>887297.50015231781</v>
      </c>
      <c r="AR40" s="151">
        <f t="shared" si="50"/>
        <v>1035720.186037122</v>
      </c>
      <c r="AS40" s="286">
        <f t="shared" si="50"/>
        <v>2535299.6110832328</v>
      </c>
      <c r="AT40" s="125">
        <f t="shared" si="50"/>
        <v>123565.554</v>
      </c>
      <c r="AU40" s="125">
        <f t="shared" si="50"/>
        <v>28494043.356095161</v>
      </c>
      <c r="AV40" s="125">
        <f t="shared" ref="AV40:AV49" si="51">IFERROR((AU40-AT40)/F57, "0")</f>
        <v>9413.5424657740914</v>
      </c>
      <c r="AW40" s="119">
        <f t="shared" ref="AW40:AW47" si="52">SUM(AW4,AW22)</f>
        <v>0.1285243785398196</v>
      </c>
      <c r="AX40" s="106">
        <f t="shared" ref="AX40:AX47" si="53">SUM(AX22,AX4)</f>
        <v>31818130.155000001</v>
      </c>
      <c r="AY40" s="126">
        <f t="shared" ref="AY40:AY49" si="54">IFERROR(AZ40/F57, "0.00")</f>
        <v>1102.9575342259093</v>
      </c>
      <c r="AZ40" s="126">
        <f t="shared" ref="AZ40:AZ47" si="55">SUM(AZ22,AZ4)</f>
        <v>3324086.7989048399</v>
      </c>
      <c r="BA40" s="165">
        <f t="shared" ref="BA40:BA49" si="56">IFERROR(BD40/AW40, "0.00")</f>
        <v>0.91163332591623647</v>
      </c>
      <c r="BB40" s="153">
        <f t="shared" ref="BB40:BB50" si="57">IFERROR(AZ40/AX40, "0.00%")</f>
        <v>0.10447146902447636</v>
      </c>
      <c r="BC40" s="153">
        <f t="shared" ref="BC40:BC49" si="58">AZ40/$C$21</f>
        <v>3.8691213908907354E-2</v>
      </c>
      <c r="BD40" s="127">
        <f t="shared" ref="BD40:BD49" si="59">IFERROR(AZ40/(AU40-AT40), "0.00%")</f>
        <v>0.11716710666957311</v>
      </c>
      <c r="BE40" s="219" t="s">
        <v>215</v>
      </c>
      <c r="BH40" s="98" t="s">
        <v>329</v>
      </c>
      <c r="BI40" s="957">
        <f>F72/I55</f>
        <v>0.63159035985036571</v>
      </c>
      <c r="BJ40" s="958"/>
      <c r="BK40" s="693"/>
      <c r="BL40" s="671" t="s">
        <v>337</v>
      </c>
    </row>
    <row r="41" spans="1:66" ht="18.75" thickBot="1" x14ac:dyDescent="0.3">
      <c r="A41" s="172"/>
      <c r="B41" s="280">
        <v>2</v>
      </c>
      <c r="C41" s="252">
        <v>1876</v>
      </c>
      <c r="D41" s="253">
        <v>8000</v>
      </c>
      <c r="E41" s="272">
        <f>D41*C41</f>
        <v>15008000</v>
      </c>
      <c r="F41" s="272">
        <f>(E41*$F$46)*$F$47</f>
        <v>225120</v>
      </c>
      <c r="G41" s="272">
        <f>(E41*$G$46)*$G$47</f>
        <v>112560</v>
      </c>
      <c r="H41" s="272">
        <f>(G41*$H$46)*$H$47</f>
        <v>16884</v>
      </c>
      <c r="I41" s="971">
        <f>SUM(E41:H41)</f>
        <v>15362564</v>
      </c>
      <c r="J41" s="972"/>
      <c r="K41" s="254">
        <v>1.89</v>
      </c>
      <c r="L41" s="273">
        <f>K41*C41</f>
        <v>3545.64</v>
      </c>
      <c r="M41" s="173" t="s">
        <v>550</v>
      </c>
      <c r="AE41" s="83" t="s">
        <v>216</v>
      </c>
      <c r="AF41" s="105">
        <f t="shared" si="47"/>
        <v>58273354.759754121</v>
      </c>
      <c r="AG41" s="105">
        <f t="shared" si="47"/>
        <v>13226400</v>
      </c>
      <c r="AH41" s="146">
        <f t="shared" si="48"/>
        <v>0</v>
      </c>
      <c r="AI41" s="105">
        <f t="shared" si="49"/>
        <v>0</v>
      </c>
      <c r="AJ41" s="105">
        <f t="shared" si="49"/>
        <v>0</v>
      </c>
      <c r="AK41" s="105">
        <f t="shared" si="49"/>
        <v>0</v>
      </c>
      <c r="AL41" s="105">
        <f t="shared" si="49"/>
        <v>0</v>
      </c>
      <c r="AM41" s="128" t="s">
        <v>67</v>
      </c>
      <c r="AN41" s="128">
        <f t="shared" si="50"/>
        <v>0.35071096170789207</v>
      </c>
      <c r="AO41" s="148">
        <f t="shared" si="50"/>
        <v>1</v>
      </c>
      <c r="AP41" s="105">
        <f t="shared" si="50"/>
        <v>2705685.6643370776</v>
      </c>
      <c r="AQ41" s="124">
        <f t="shared" si="50"/>
        <v>888528.7657614128</v>
      </c>
      <c r="AR41" s="152">
        <f t="shared" si="50"/>
        <v>1222997.2948009304</v>
      </c>
      <c r="AS41" s="150">
        <f t="shared" si="50"/>
        <v>7825994.8867939375</v>
      </c>
      <c r="AT41" s="129">
        <f t="shared" si="50"/>
        <v>0</v>
      </c>
      <c r="AU41" s="129">
        <f t="shared" si="50"/>
        <v>32912706.774944291</v>
      </c>
      <c r="AV41" s="129">
        <f t="shared" si="51"/>
        <v>9854.1038248336208</v>
      </c>
      <c r="AW41" s="120">
        <f t="shared" si="52"/>
        <v>0.14910165467853465</v>
      </c>
      <c r="AX41" s="105">
        <f t="shared" si="53"/>
        <v>46486956.52173914</v>
      </c>
      <c r="AY41" s="141">
        <f t="shared" si="54"/>
        <v>-9854.1038248336208</v>
      </c>
      <c r="AZ41" s="141">
        <f t="shared" si="55"/>
        <v>-32912706.774944291</v>
      </c>
      <c r="BA41" s="166">
        <f t="shared" si="56"/>
        <v>-6.7068336844149359</v>
      </c>
      <c r="BB41" s="154">
        <f t="shared" si="57"/>
        <v>-0.70799874282053732</v>
      </c>
      <c r="BC41" s="154">
        <f t="shared" si="58"/>
        <v>-0.38309245672226772</v>
      </c>
      <c r="BD41" s="130">
        <f t="shared" si="59"/>
        <v>-1</v>
      </c>
      <c r="BE41" s="219" t="s">
        <v>216</v>
      </c>
      <c r="BH41" s="248" t="s">
        <v>401</v>
      </c>
      <c r="BI41" s="249">
        <f>COUNTIFS(F183:AC183,"&gt;500")/4</f>
        <v>0</v>
      </c>
      <c r="BJ41" s="689">
        <f ca="1">BI41/B118</f>
        <v>0</v>
      </c>
      <c r="BK41" s="693"/>
      <c r="BL41" s="671" t="s">
        <v>400</v>
      </c>
    </row>
    <row r="42" spans="1:66" ht="18.75" thickBot="1" x14ac:dyDescent="0.3">
      <c r="A42" s="172"/>
      <c r="B42" s="269">
        <v>3</v>
      </c>
      <c r="C42" s="252">
        <v>3340</v>
      </c>
      <c r="D42" s="253">
        <v>8000</v>
      </c>
      <c r="E42" s="270">
        <f>D42*C42</f>
        <v>26720000</v>
      </c>
      <c r="F42" s="270">
        <f>(E42*$F$46)*$F$47</f>
        <v>400800</v>
      </c>
      <c r="G42" s="270">
        <f>(E42*$G$46)*$G$47</f>
        <v>200400</v>
      </c>
      <c r="H42" s="270">
        <f>(G42*$H$46)*$H$47</f>
        <v>30060</v>
      </c>
      <c r="I42" s="973">
        <f>SUM(E42:H42)</f>
        <v>27351260</v>
      </c>
      <c r="J42" s="773"/>
      <c r="K42" s="254">
        <v>1.8</v>
      </c>
      <c r="L42" s="271">
        <f>K42*C42</f>
        <v>6012</v>
      </c>
      <c r="M42" s="173" t="s">
        <v>216</v>
      </c>
      <c r="AE42" s="98" t="s">
        <v>217</v>
      </c>
      <c r="AF42" s="286">
        <f t="shared" si="47"/>
        <v>0</v>
      </c>
      <c r="AG42" s="286">
        <f t="shared" si="47"/>
        <v>0</v>
      </c>
      <c r="AH42" s="145">
        <f t="shared" si="48"/>
        <v>0</v>
      </c>
      <c r="AI42" s="286">
        <f t="shared" si="49"/>
        <v>0</v>
      </c>
      <c r="AJ42" s="286">
        <f t="shared" si="49"/>
        <v>0</v>
      </c>
      <c r="AK42" s="286">
        <f t="shared" si="49"/>
        <v>0</v>
      </c>
      <c r="AL42" s="286">
        <f t="shared" si="49"/>
        <v>0</v>
      </c>
      <c r="AM42" s="123" t="s">
        <v>67</v>
      </c>
      <c r="AN42" s="123">
        <f t="shared" si="50"/>
        <v>0</v>
      </c>
      <c r="AO42" s="147">
        <f t="shared" si="50"/>
        <v>1</v>
      </c>
      <c r="AP42" s="286">
        <f t="shared" si="50"/>
        <v>0</v>
      </c>
      <c r="AQ42" s="124">
        <f t="shared" si="50"/>
        <v>0</v>
      </c>
      <c r="AR42" s="142">
        <f t="shared" si="50"/>
        <v>0</v>
      </c>
      <c r="AS42" s="106">
        <f t="shared" si="50"/>
        <v>0</v>
      </c>
      <c r="AT42" s="125">
        <f t="shared" si="50"/>
        <v>0</v>
      </c>
      <c r="AU42" s="125">
        <f t="shared" si="50"/>
        <v>0</v>
      </c>
      <c r="AV42" s="125" t="str">
        <f t="shared" si="51"/>
        <v>0</v>
      </c>
      <c r="AW42" s="119">
        <f t="shared" si="52"/>
        <v>0</v>
      </c>
      <c r="AX42" s="286">
        <f t="shared" si="53"/>
        <v>0</v>
      </c>
      <c r="AY42" s="126" t="str">
        <f t="shared" si="54"/>
        <v>0.00</v>
      </c>
      <c r="AZ42" s="143">
        <f t="shared" si="55"/>
        <v>0</v>
      </c>
      <c r="BA42" s="165" t="str">
        <f t="shared" si="56"/>
        <v>0.00</v>
      </c>
      <c r="BB42" s="153" t="str">
        <f t="shared" si="57"/>
        <v>0.00%</v>
      </c>
      <c r="BC42" s="153">
        <f t="shared" si="58"/>
        <v>0</v>
      </c>
      <c r="BD42" s="127" t="str">
        <f t="shared" si="59"/>
        <v>0.00%</v>
      </c>
      <c r="BE42" s="219" t="s">
        <v>217</v>
      </c>
      <c r="BH42" s="945" t="s">
        <v>375</v>
      </c>
      <c r="BI42" s="946"/>
      <c r="BJ42" s="947"/>
      <c r="BK42" s="694"/>
      <c r="BL42" s="699" t="s">
        <v>67</v>
      </c>
      <c r="BN42" s="202"/>
    </row>
    <row r="43" spans="1:66" ht="22.5" x14ac:dyDescent="0.25">
      <c r="A43" s="172"/>
      <c r="B43" s="280">
        <v>4</v>
      </c>
      <c r="C43" s="252"/>
      <c r="D43" s="253"/>
      <c r="E43" s="272">
        <f>D43*C43</f>
        <v>0</v>
      </c>
      <c r="F43" s="272">
        <f>(E43*$F$46)*$F$47</f>
        <v>0</v>
      </c>
      <c r="G43" s="272">
        <f>(E43*$G$46)*$G$47</f>
        <v>0</v>
      </c>
      <c r="H43" s="272">
        <f>(G43*$H$46)*$H$47</f>
        <v>0</v>
      </c>
      <c r="I43" s="971">
        <f>SUM(E43:H43)</f>
        <v>0</v>
      </c>
      <c r="J43" s="972"/>
      <c r="K43" s="254"/>
      <c r="L43" s="273">
        <f>K43*C43</f>
        <v>0</v>
      </c>
      <c r="AE43" s="83" t="s">
        <v>218</v>
      </c>
      <c r="AF43" s="105">
        <f t="shared" si="47"/>
        <v>0</v>
      </c>
      <c r="AG43" s="105">
        <f t="shared" si="47"/>
        <v>0</v>
      </c>
      <c r="AH43" s="146">
        <f t="shared" si="48"/>
        <v>0</v>
      </c>
      <c r="AI43" s="105">
        <f t="shared" si="49"/>
        <v>0</v>
      </c>
      <c r="AJ43" s="105">
        <f t="shared" si="49"/>
        <v>0</v>
      </c>
      <c r="AK43" s="105">
        <f t="shared" si="49"/>
        <v>0</v>
      </c>
      <c r="AL43" s="105">
        <f t="shared" si="49"/>
        <v>0</v>
      </c>
      <c r="AM43" s="128" t="s">
        <v>67</v>
      </c>
      <c r="AN43" s="128">
        <f t="shared" si="50"/>
        <v>0</v>
      </c>
      <c r="AO43" s="148">
        <f t="shared" si="50"/>
        <v>1</v>
      </c>
      <c r="AP43" s="105">
        <f t="shared" si="50"/>
        <v>0</v>
      </c>
      <c r="AQ43" s="124">
        <f t="shared" si="50"/>
        <v>0</v>
      </c>
      <c r="AR43" s="152">
        <f t="shared" si="50"/>
        <v>0</v>
      </c>
      <c r="AS43" s="150">
        <f t="shared" si="50"/>
        <v>0</v>
      </c>
      <c r="AT43" s="129">
        <f t="shared" si="50"/>
        <v>0</v>
      </c>
      <c r="AU43" s="129">
        <f t="shared" si="50"/>
        <v>0</v>
      </c>
      <c r="AV43" s="129" t="str">
        <f t="shared" si="51"/>
        <v>0</v>
      </c>
      <c r="AW43" s="120">
        <f t="shared" si="52"/>
        <v>0</v>
      </c>
      <c r="AX43" s="105">
        <f t="shared" si="53"/>
        <v>0</v>
      </c>
      <c r="AY43" s="141" t="str">
        <f t="shared" si="54"/>
        <v>0.00</v>
      </c>
      <c r="AZ43" s="141">
        <f t="shared" si="55"/>
        <v>0</v>
      </c>
      <c r="BA43" s="166" t="str">
        <f t="shared" si="56"/>
        <v>0.00</v>
      </c>
      <c r="BB43" s="154" t="str">
        <f t="shared" si="57"/>
        <v>0.00%</v>
      </c>
      <c r="BC43" s="154">
        <f t="shared" si="58"/>
        <v>0</v>
      </c>
      <c r="BD43" s="130" t="str">
        <f t="shared" si="59"/>
        <v>0.00%</v>
      </c>
      <c r="BE43" s="219" t="s">
        <v>218</v>
      </c>
      <c r="BH43" s="667" t="s">
        <v>377</v>
      </c>
      <c r="BI43" s="695" t="s">
        <v>376</v>
      </c>
      <c r="BJ43" s="696" t="s">
        <v>378</v>
      </c>
      <c r="BK43" s="693"/>
      <c r="BL43" s="697" t="s">
        <v>548</v>
      </c>
    </row>
    <row r="44" spans="1:66" ht="22.5" x14ac:dyDescent="0.25">
      <c r="A44" s="172"/>
      <c r="B44" s="269">
        <v>5</v>
      </c>
      <c r="C44" s="252"/>
      <c r="D44" s="253"/>
      <c r="E44" s="270">
        <f>D44*C44</f>
        <v>0</v>
      </c>
      <c r="F44" s="270">
        <f>(E44*$F$46)*$F$47</f>
        <v>0</v>
      </c>
      <c r="G44" s="270">
        <f>(E44*$G$46)*$G$47</f>
        <v>0</v>
      </c>
      <c r="H44" s="270">
        <f>(G44*$H$46)*$H$47</f>
        <v>0</v>
      </c>
      <c r="I44" s="973">
        <f>SUM(E44:H44)</f>
        <v>0</v>
      </c>
      <c r="J44" s="773"/>
      <c r="K44" s="254"/>
      <c r="L44" s="271">
        <f>K44*C44</f>
        <v>0</v>
      </c>
      <c r="AE44" s="98" t="s">
        <v>314</v>
      </c>
      <c r="AF44" s="286">
        <f t="shared" si="47"/>
        <v>0</v>
      </c>
      <c r="AG44" s="286">
        <f t="shared" si="47"/>
        <v>0</v>
      </c>
      <c r="AH44" s="145">
        <f t="shared" si="48"/>
        <v>0</v>
      </c>
      <c r="AI44" s="286">
        <f t="shared" si="49"/>
        <v>0</v>
      </c>
      <c r="AJ44" s="286">
        <f t="shared" si="49"/>
        <v>0</v>
      </c>
      <c r="AK44" s="286">
        <f t="shared" si="49"/>
        <v>0</v>
      </c>
      <c r="AL44" s="286">
        <f t="shared" si="49"/>
        <v>0</v>
      </c>
      <c r="AM44" s="123" t="s">
        <v>67</v>
      </c>
      <c r="AN44" s="123">
        <f t="shared" si="50"/>
        <v>0</v>
      </c>
      <c r="AO44" s="147">
        <f t="shared" si="50"/>
        <v>1</v>
      </c>
      <c r="AP44" s="286">
        <f t="shared" si="50"/>
        <v>0</v>
      </c>
      <c r="AQ44" s="124">
        <f t="shared" si="50"/>
        <v>0</v>
      </c>
      <c r="AR44" s="142">
        <f t="shared" si="50"/>
        <v>0</v>
      </c>
      <c r="AS44" s="106">
        <f t="shared" si="50"/>
        <v>0</v>
      </c>
      <c r="AT44" s="125">
        <f t="shared" si="50"/>
        <v>0</v>
      </c>
      <c r="AU44" s="125">
        <f t="shared" si="50"/>
        <v>0</v>
      </c>
      <c r="AV44" s="125" t="str">
        <f t="shared" si="51"/>
        <v>0</v>
      </c>
      <c r="AW44" s="119">
        <f t="shared" si="52"/>
        <v>0</v>
      </c>
      <c r="AX44" s="286">
        <f t="shared" si="53"/>
        <v>0</v>
      </c>
      <c r="AY44" s="126" t="str">
        <f t="shared" si="54"/>
        <v>0.00</v>
      </c>
      <c r="AZ44" s="143">
        <f t="shared" si="55"/>
        <v>0</v>
      </c>
      <c r="BA44" s="165" t="str">
        <f t="shared" si="56"/>
        <v>0.00</v>
      </c>
      <c r="BB44" s="153" t="str">
        <f t="shared" si="57"/>
        <v>0.00%</v>
      </c>
      <c r="BC44" s="153">
        <f t="shared" si="58"/>
        <v>0</v>
      </c>
      <c r="BD44" s="127" t="str">
        <f t="shared" si="59"/>
        <v>0.00%</v>
      </c>
      <c r="BE44" s="219" t="s">
        <v>219</v>
      </c>
      <c r="BH44" s="302" t="s">
        <v>418</v>
      </c>
      <c r="BI44" s="311">
        <f>H15/$H$20</f>
        <v>0.31823749926205797</v>
      </c>
      <c r="BJ44" s="690">
        <f>BI44*$C$21</f>
        <v>27340808.50252055</v>
      </c>
      <c r="BK44" s="693"/>
      <c r="BL44" s="672">
        <f>BJ44+H15</f>
        <v>61840808.502520546</v>
      </c>
    </row>
    <row r="45" spans="1:66" ht="23.25" thickBot="1" x14ac:dyDescent="0.3">
      <c r="B45" s="1" t="s">
        <v>36</v>
      </c>
      <c r="C45" s="2">
        <f>SUM(C40:C44)</f>
        <v>8216</v>
      </c>
      <c r="D45" s="217">
        <f>E45/C45</f>
        <v>10921.129503407985</v>
      </c>
      <c r="E45" s="217">
        <f>SUM(E40:E44)</f>
        <v>89728000</v>
      </c>
      <c r="F45" s="217">
        <f>SUM(F40:F44)</f>
        <v>1345920</v>
      </c>
      <c r="G45" s="217">
        <f>SUM(G40:G44)</f>
        <v>672960</v>
      </c>
      <c r="H45" s="217">
        <f>SUM(H40:H44)</f>
        <v>100944</v>
      </c>
      <c r="I45" s="1016">
        <f>SUM(I40:I44)</f>
        <v>91847824</v>
      </c>
      <c r="J45" s="1017"/>
      <c r="K45" s="3">
        <f>L45/C45</f>
        <v>1.9118354430379747</v>
      </c>
      <c r="L45" s="4">
        <f>SUM(L40:L44)</f>
        <v>15707.64</v>
      </c>
      <c r="AE45" s="83" t="s">
        <v>319</v>
      </c>
      <c r="AF45" s="105">
        <f t="shared" si="47"/>
        <v>0</v>
      </c>
      <c r="AG45" s="105">
        <f t="shared" si="47"/>
        <v>0</v>
      </c>
      <c r="AH45" s="146">
        <f t="shared" si="48"/>
        <v>0</v>
      </c>
      <c r="AI45" s="105">
        <f t="shared" si="49"/>
        <v>0</v>
      </c>
      <c r="AJ45" s="105">
        <f t="shared" si="49"/>
        <v>0</v>
      </c>
      <c r="AK45" s="105">
        <f t="shared" si="49"/>
        <v>0</v>
      </c>
      <c r="AL45" s="105">
        <f t="shared" si="49"/>
        <v>0</v>
      </c>
      <c r="AM45" s="128" t="s">
        <v>67</v>
      </c>
      <c r="AN45" s="128">
        <f t="shared" si="50"/>
        <v>1.7167728338399174E-9</v>
      </c>
      <c r="AO45" s="148">
        <f t="shared" si="50"/>
        <v>1</v>
      </c>
      <c r="AP45" s="105">
        <f t="shared" si="50"/>
        <v>1.5914983091349914E-2</v>
      </c>
      <c r="AQ45" s="124">
        <f t="shared" si="50"/>
        <v>0</v>
      </c>
      <c r="AR45" s="152">
        <f t="shared" si="50"/>
        <v>0</v>
      </c>
      <c r="AS45" s="150">
        <f t="shared" si="50"/>
        <v>3.8309197277410313E-2</v>
      </c>
      <c r="AT45" s="129">
        <f t="shared" si="50"/>
        <v>0</v>
      </c>
      <c r="AU45" s="129">
        <f t="shared" si="50"/>
        <v>0</v>
      </c>
      <c r="AV45" s="129" t="str">
        <f t="shared" si="51"/>
        <v>0</v>
      </c>
      <c r="AW45" s="120">
        <f t="shared" si="52"/>
        <v>0</v>
      </c>
      <c r="AX45" s="105">
        <f t="shared" si="53"/>
        <v>0</v>
      </c>
      <c r="AY45" s="141" t="str">
        <f t="shared" si="54"/>
        <v>0.00</v>
      </c>
      <c r="AZ45" s="141">
        <f t="shared" si="55"/>
        <v>0</v>
      </c>
      <c r="BA45" s="166" t="str">
        <f t="shared" si="56"/>
        <v>0.00</v>
      </c>
      <c r="BB45" s="154" t="str">
        <f t="shared" si="57"/>
        <v>0.00%</v>
      </c>
      <c r="BC45" s="154">
        <f t="shared" si="58"/>
        <v>0</v>
      </c>
      <c r="BD45" s="130" t="str">
        <f t="shared" si="59"/>
        <v>0.00%</v>
      </c>
      <c r="BE45" s="219" t="s">
        <v>277</v>
      </c>
      <c r="BH45" s="297" t="s">
        <v>419</v>
      </c>
      <c r="BI45" s="312">
        <f>H16/$H$20</f>
        <v>0</v>
      </c>
      <c r="BJ45" s="691">
        <f>BI45*$C$21</f>
        <v>0</v>
      </c>
      <c r="BK45" s="693"/>
      <c r="BL45" s="673">
        <f>BJ45+H16</f>
        <v>0</v>
      </c>
    </row>
    <row r="46" spans="1:66" ht="22.5" x14ac:dyDescent="0.25">
      <c r="A46" s="172"/>
      <c r="B46" s="172"/>
      <c r="C46" s="172"/>
      <c r="D46" s="172"/>
      <c r="E46" s="172"/>
      <c r="F46" s="5">
        <v>0.05</v>
      </c>
      <c r="G46" s="6">
        <v>2.5000000000000001E-2</v>
      </c>
      <c r="H46" s="7">
        <v>0.15</v>
      </c>
      <c r="I46" s="172"/>
      <c r="J46" s="172"/>
      <c r="L46" s="172"/>
      <c r="U46" s="97"/>
      <c r="AE46" s="98" t="s">
        <v>220</v>
      </c>
      <c r="AF46" s="286">
        <f t="shared" si="47"/>
        <v>0</v>
      </c>
      <c r="AG46" s="286">
        <f t="shared" si="47"/>
        <v>0</v>
      </c>
      <c r="AH46" s="145">
        <f t="shared" si="48"/>
        <v>0</v>
      </c>
      <c r="AI46" s="286">
        <f t="shared" si="49"/>
        <v>0</v>
      </c>
      <c r="AJ46" s="286">
        <f t="shared" si="49"/>
        <v>0</v>
      </c>
      <c r="AK46" s="286">
        <f t="shared" si="49"/>
        <v>0</v>
      </c>
      <c r="AL46" s="286">
        <f t="shared" si="49"/>
        <v>0</v>
      </c>
      <c r="AM46" s="123" t="s">
        <v>67</v>
      </c>
      <c r="AN46" s="123">
        <f t="shared" si="50"/>
        <v>1.7167728338399174E-9</v>
      </c>
      <c r="AO46" s="147">
        <f t="shared" si="50"/>
        <v>1</v>
      </c>
      <c r="AP46" s="286">
        <f t="shared" si="50"/>
        <v>1.5914983091349914E-2</v>
      </c>
      <c r="AQ46" s="124">
        <f t="shared" si="50"/>
        <v>0</v>
      </c>
      <c r="AR46" s="142">
        <f t="shared" si="50"/>
        <v>0</v>
      </c>
      <c r="AS46" s="106">
        <f t="shared" si="50"/>
        <v>3.8309197277410313E-2</v>
      </c>
      <c r="AT46" s="125">
        <f t="shared" si="50"/>
        <v>0</v>
      </c>
      <c r="AU46" s="125">
        <f t="shared" si="50"/>
        <v>0</v>
      </c>
      <c r="AV46" s="125" t="str">
        <f t="shared" si="51"/>
        <v>0</v>
      </c>
      <c r="AW46" s="119">
        <f t="shared" si="52"/>
        <v>0</v>
      </c>
      <c r="AX46" s="286">
        <f t="shared" si="53"/>
        <v>0</v>
      </c>
      <c r="AY46" s="126" t="str">
        <f t="shared" si="54"/>
        <v>0.00</v>
      </c>
      <c r="AZ46" s="143">
        <f t="shared" si="55"/>
        <v>0</v>
      </c>
      <c r="BA46" s="165" t="str">
        <f t="shared" si="56"/>
        <v>0.00</v>
      </c>
      <c r="BB46" s="153" t="str">
        <f t="shared" si="57"/>
        <v>0.00%</v>
      </c>
      <c r="BC46" s="153">
        <f t="shared" si="58"/>
        <v>0</v>
      </c>
      <c r="BD46" s="127" t="str">
        <f t="shared" si="59"/>
        <v>0.00%</v>
      </c>
      <c r="BE46" s="219" t="s">
        <v>220</v>
      </c>
      <c r="BH46" s="302" t="s">
        <v>15</v>
      </c>
      <c r="BI46" s="311">
        <f>H17/$H$20</f>
        <v>0.1023894562843143</v>
      </c>
      <c r="BJ46" s="690">
        <f>BI46*$C$21</f>
        <v>8796607.9529848732</v>
      </c>
      <c r="BK46" s="693"/>
      <c r="BL46" s="673">
        <f>BJ46+H17</f>
        <v>19896607.952984873</v>
      </c>
    </row>
    <row r="47" spans="1:66" ht="23.25" thickBot="1" x14ac:dyDescent="0.3">
      <c r="A47" s="172"/>
      <c r="B47" s="172"/>
      <c r="C47" s="172"/>
      <c r="D47" s="172"/>
      <c r="E47" s="172"/>
      <c r="F47" s="8">
        <v>0.3</v>
      </c>
      <c r="G47" s="9">
        <f>F47</f>
        <v>0.3</v>
      </c>
      <c r="H47" s="9">
        <v>1</v>
      </c>
      <c r="I47" s="172"/>
      <c r="J47" s="172"/>
      <c r="K47" s="172"/>
      <c r="L47" s="172"/>
      <c r="U47" s="97"/>
      <c r="AE47" s="83" t="s">
        <v>315</v>
      </c>
      <c r="AF47" s="105">
        <f t="shared" si="47"/>
        <v>49134000</v>
      </c>
      <c r="AG47" s="105">
        <f t="shared" si="47"/>
        <v>36899999.999999993</v>
      </c>
      <c r="AH47" s="146">
        <f t="shared" si="48"/>
        <v>1</v>
      </c>
      <c r="AI47" s="105">
        <f t="shared" si="49"/>
        <v>6162000</v>
      </c>
      <c r="AJ47" s="105">
        <f t="shared" si="49"/>
        <v>14176800</v>
      </c>
      <c r="AK47" s="105">
        <f t="shared" si="49"/>
        <v>2835360</v>
      </c>
      <c r="AL47" s="105">
        <f t="shared" si="49"/>
        <v>0</v>
      </c>
      <c r="AM47" s="128" t="s">
        <v>67</v>
      </c>
      <c r="AN47" s="128">
        <f t="shared" si="50"/>
        <v>0.53567315022616868</v>
      </c>
      <c r="AO47" s="148">
        <f t="shared" si="50"/>
        <v>1</v>
      </c>
      <c r="AP47" s="105">
        <f t="shared" si="50"/>
        <v>4250586.922724179</v>
      </c>
      <c r="AQ47" s="124">
        <f t="shared" si="50"/>
        <v>10291049.244606268</v>
      </c>
      <c r="AR47" s="152">
        <f t="shared" si="50"/>
        <v>4883185.7929099854</v>
      </c>
      <c r="AS47" s="150">
        <f t="shared" si="50"/>
        <v>11953362.718541056</v>
      </c>
      <c r="AT47" s="129">
        <f t="shared" si="50"/>
        <v>6405750</v>
      </c>
      <c r="AU47" s="129">
        <f t="shared" si="50"/>
        <v>146992094.65554255</v>
      </c>
      <c r="AV47" s="129">
        <f t="shared" si="51"/>
        <v>39413.048683919988</v>
      </c>
      <c r="AW47" s="120">
        <f t="shared" si="52"/>
        <v>0.63688643892716246</v>
      </c>
      <c r="AX47" s="105">
        <f t="shared" si="53"/>
        <v>234877499.99999997</v>
      </c>
      <c r="AY47" s="141">
        <f t="shared" si="54"/>
        <v>24638.46519328776</v>
      </c>
      <c r="AZ47" s="141">
        <f t="shared" si="55"/>
        <v>87885405.344457418</v>
      </c>
      <c r="BA47" s="166">
        <f t="shared" si="56"/>
        <v>0.9815481737464542</v>
      </c>
      <c r="BB47" s="154">
        <f t="shared" si="57"/>
        <v>0.37417549720368032</v>
      </c>
      <c r="BC47" s="154">
        <f t="shared" si="58"/>
        <v>1.0229555433912652</v>
      </c>
      <c r="BD47" s="130">
        <f t="shared" si="59"/>
        <v>0.62513472101283896</v>
      </c>
      <c r="BE47" s="219" t="s">
        <v>221</v>
      </c>
      <c r="BH47" s="297" t="s">
        <v>17</v>
      </c>
      <c r="BI47" s="312">
        <f>H18/$H$20</f>
        <v>0</v>
      </c>
      <c r="BJ47" s="691">
        <f>BI47*$C$21</f>
        <v>0</v>
      </c>
      <c r="BK47" s="693"/>
      <c r="BL47" s="673">
        <f>BJ47+H18</f>
        <v>0</v>
      </c>
    </row>
    <row r="48" spans="1:66" ht="22.5" x14ac:dyDescent="0.25">
      <c r="A48" s="172"/>
      <c r="C48" s="190"/>
      <c r="AE48" s="98" t="s">
        <v>316</v>
      </c>
      <c r="AF48" s="286">
        <f t="shared" ref="AF48:AG49" si="60">SUM(AF12,AF30)</f>
        <v>0</v>
      </c>
      <c r="AG48" s="286">
        <f t="shared" si="60"/>
        <v>0</v>
      </c>
      <c r="AH48" s="145">
        <f t="shared" ref="AH48:AH49" si="61">AH12</f>
        <v>0</v>
      </c>
      <c r="AI48" s="286">
        <f t="shared" ref="AI48:AL49" si="62">SUM(AI12,AI30)</f>
        <v>0</v>
      </c>
      <c r="AJ48" s="286">
        <f t="shared" si="62"/>
        <v>0</v>
      </c>
      <c r="AK48" s="286">
        <f t="shared" si="62"/>
        <v>0</v>
      </c>
      <c r="AL48" s="286">
        <f t="shared" si="62"/>
        <v>0</v>
      </c>
      <c r="AM48" s="123" t="s">
        <v>67</v>
      </c>
      <c r="AN48" s="123">
        <f t="shared" ref="AN48:AR49" si="63">SUM(AN12,AN30)</f>
        <v>0</v>
      </c>
      <c r="AO48" s="147">
        <f t="shared" si="63"/>
        <v>1</v>
      </c>
      <c r="AP48" s="286">
        <f t="shared" si="63"/>
        <v>0</v>
      </c>
      <c r="AQ48" s="124">
        <f t="shared" si="63"/>
        <v>0</v>
      </c>
      <c r="AR48" s="142">
        <f t="shared" si="63"/>
        <v>0</v>
      </c>
      <c r="AS48" s="106">
        <f t="shared" ref="AS48:AS49" si="64">SUM(AS12,AS30)</f>
        <v>0</v>
      </c>
      <c r="AT48" s="125">
        <f t="shared" ref="AT48:AU49" si="65">SUM(AT12,AT30)</f>
        <v>0</v>
      </c>
      <c r="AU48" s="125">
        <f t="shared" si="65"/>
        <v>0</v>
      </c>
      <c r="AV48" s="125" t="str">
        <f t="shared" si="51"/>
        <v>0</v>
      </c>
      <c r="AW48" s="119">
        <f t="shared" ref="AW48:AW49" si="66">SUM(AW12,AW30)</f>
        <v>0</v>
      </c>
      <c r="AX48" s="286">
        <f t="shared" ref="AX48:AX49" si="67">SUM(AX30,AX12)</f>
        <v>0</v>
      </c>
      <c r="AY48" s="126" t="str">
        <f t="shared" si="54"/>
        <v>0.00</v>
      </c>
      <c r="AZ48" s="143">
        <f t="shared" ref="AZ48:AZ49" si="68">SUM(AZ30,AZ12)</f>
        <v>0</v>
      </c>
      <c r="BA48" s="165" t="str">
        <f t="shared" si="56"/>
        <v>0.00</v>
      </c>
      <c r="BB48" s="153" t="str">
        <f t="shared" si="57"/>
        <v>0.00%</v>
      </c>
      <c r="BC48" s="153">
        <f t="shared" si="58"/>
        <v>0</v>
      </c>
      <c r="BD48" s="127" t="str">
        <f t="shared" si="59"/>
        <v>0.00%</v>
      </c>
      <c r="BE48" s="219" t="s">
        <v>222</v>
      </c>
      <c r="BH48" s="302" t="s">
        <v>420</v>
      </c>
      <c r="BI48" s="311">
        <f>H19/$H$20</f>
        <v>0.57937304445362769</v>
      </c>
      <c r="BJ48" s="690">
        <f>BI48*$C$21</f>
        <v>49775804.223765641</v>
      </c>
      <c r="BK48" s="693"/>
      <c r="BL48" s="673">
        <f>BJ48+H19</f>
        <v>112585404.22376564</v>
      </c>
    </row>
    <row r="49" spans="1:64" ht="12" thickBot="1" x14ac:dyDescent="0.3">
      <c r="A49" s="172"/>
      <c r="D49" s="190"/>
      <c r="U49" s="97"/>
      <c r="AE49" s="83" t="s">
        <v>223</v>
      </c>
      <c r="AF49" s="105">
        <f t="shared" si="60"/>
        <v>0</v>
      </c>
      <c r="AG49" s="105">
        <f t="shared" si="60"/>
        <v>0</v>
      </c>
      <c r="AH49" s="146">
        <f t="shared" si="61"/>
        <v>0</v>
      </c>
      <c r="AI49" s="105">
        <f t="shared" si="62"/>
        <v>0</v>
      </c>
      <c r="AJ49" s="105">
        <f t="shared" si="62"/>
        <v>0</v>
      </c>
      <c r="AK49" s="105">
        <f t="shared" si="62"/>
        <v>0</v>
      </c>
      <c r="AL49" s="105">
        <f t="shared" si="62"/>
        <v>0</v>
      </c>
      <c r="AM49" s="128" t="s">
        <v>67</v>
      </c>
      <c r="AN49" s="128">
        <f t="shared" si="63"/>
        <v>0</v>
      </c>
      <c r="AO49" s="148">
        <f t="shared" si="63"/>
        <v>1</v>
      </c>
      <c r="AP49" s="105">
        <f t="shared" si="63"/>
        <v>0</v>
      </c>
      <c r="AQ49" s="124">
        <f t="shared" si="63"/>
        <v>0</v>
      </c>
      <c r="AR49" s="152">
        <f t="shared" si="63"/>
        <v>0</v>
      </c>
      <c r="AS49" s="150">
        <f t="shared" si="64"/>
        <v>0</v>
      </c>
      <c r="AT49" s="129">
        <f t="shared" si="65"/>
        <v>0</v>
      </c>
      <c r="AU49" s="129">
        <f t="shared" si="65"/>
        <v>0</v>
      </c>
      <c r="AV49" s="129" t="str">
        <f t="shared" si="51"/>
        <v>0</v>
      </c>
      <c r="AW49" s="120">
        <f t="shared" si="66"/>
        <v>0</v>
      </c>
      <c r="AX49" s="105">
        <f t="shared" si="67"/>
        <v>0</v>
      </c>
      <c r="AY49" s="141" t="str">
        <f t="shared" si="54"/>
        <v>0.00</v>
      </c>
      <c r="AZ49" s="141">
        <f t="shared" si="68"/>
        <v>0</v>
      </c>
      <c r="BA49" s="166" t="str">
        <f t="shared" si="56"/>
        <v>0.00</v>
      </c>
      <c r="BB49" s="154" t="str">
        <f t="shared" si="57"/>
        <v>0.00%</v>
      </c>
      <c r="BC49" s="154">
        <f t="shared" si="58"/>
        <v>0</v>
      </c>
      <c r="BD49" s="130" t="str">
        <f t="shared" si="59"/>
        <v>0.00%</v>
      </c>
      <c r="BE49" s="219" t="s">
        <v>223</v>
      </c>
      <c r="BH49" s="313" t="s">
        <v>67</v>
      </c>
      <c r="BI49" s="314" t="b">
        <f>SUM(BI44:BI48)=100%</f>
        <v>1</v>
      </c>
      <c r="BJ49" s="692" t="b">
        <f>SUM(BJ44:BJ48)=C21</f>
        <v>1</v>
      </c>
      <c r="BK49" s="694"/>
      <c r="BL49" s="674">
        <f>SUM(BL44:BL48)</f>
        <v>194322820.67927104</v>
      </c>
    </row>
    <row r="50" spans="1:64" ht="12" thickBot="1" x14ac:dyDescent="0.3">
      <c r="A50" s="172"/>
      <c r="AE50" s="84" t="s">
        <v>317</v>
      </c>
      <c r="AF50" s="108">
        <f t="shared" ref="AF50:AL50" si="69">SUM(AF40:AF49)</f>
        <v>122769918.75975412</v>
      </c>
      <c r="AG50" s="108">
        <f t="shared" si="69"/>
        <v>57926807.999999993</v>
      </c>
      <c r="AH50" s="144">
        <f t="shared" si="69"/>
        <v>1</v>
      </c>
      <c r="AI50" s="108">
        <f t="shared" si="69"/>
        <v>6162000</v>
      </c>
      <c r="AJ50" s="108">
        <f t="shared" si="69"/>
        <v>14176800</v>
      </c>
      <c r="AK50" s="108">
        <f t="shared" si="69"/>
        <v>2835360</v>
      </c>
      <c r="AL50" s="108">
        <f t="shared" si="69"/>
        <v>0</v>
      </c>
      <c r="AM50" s="140" t="s">
        <v>67</v>
      </c>
      <c r="AN50" s="144">
        <f>SUM(AN40:AN49)</f>
        <v>1.0000000041693053</v>
      </c>
      <c r="AO50" s="108" t="s">
        <v>67</v>
      </c>
      <c r="AP50" s="1014">
        <f>SUM(AP40:AQ49)</f>
        <v>19772336.634233709</v>
      </c>
      <c r="AQ50" s="1014"/>
      <c r="AR50" s="288">
        <f>SUM(AR40:AR49)</f>
        <v>7141903.2737480383</v>
      </c>
      <c r="AS50" s="288">
        <f>SUM(AS40:AS49)</f>
        <v>22314657.293036621</v>
      </c>
      <c r="AT50" s="132">
        <f>SUM(AT40:AT49)</f>
        <v>6529315.5539999995</v>
      </c>
      <c r="AU50" s="132">
        <f>SUM(AU40:AU49)</f>
        <v>208398844.78658199</v>
      </c>
      <c r="AV50" s="133">
        <f>AU50/F72</f>
        <v>21006.266714799443</v>
      </c>
      <c r="AW50" s="134">
        <f>SUM(AW40:AW49)</f>
        <v>0.91451247214551667</v>
      </c>
      <c r="AX50" s="108">
        <f>SUM(AX40:AX49)</f>
        <v>313182586.6767391</v>
      </c>
      <c r="AY50" s="135">
        <f>AZ50/F72</f>
        <v>5876.2217387457067</v>
      </c>
      <c r="AZ50" s="136">
        <f>SUM(AZ40:AZ49)</f>
        <v>58296785.368417963</v>
      </c>
      <c r="BA50" s="136" t="s">
        <v>67</v>
      </c>
      <c r="BB50" s="155">
        <f t="shared" si="57"/>
        <v>0.18614312496432237</v>
      </c>
      <c r="BC50" s="155" t="s">
        <v>67</v>
      </c>
      <c r="BD50" s="137">
        <f>IFERROR(AZ50/AU50, "0.00%")</f>
        <v>0.2797366052010451</v>
      </c>
    </row>
    <row r="51" spans="1:64" ht="12" thickBot="1" x14ac:dyDescent="0.3">
      <c r="A51" s="172"/>
      <c r="F51" s="97"/>
      <c r="H51" s="180"/>
      <c r="U51" s="97"/>
      <c r="AE51" s="219"/>
      <c r="AF51" s="172" t="b">
        <f>AF50=I45</f>
        <v>0</v>
      </c>
      <c r="AG51" s="172" t="b">
        <f>AG50=SUM(J57:J67)</f>
        <v>1</v>
      </c>
      <c r="AH51" s="172" t="b">
        <f>AH50=100%</f>
        <v>1</v>
      </c>
      <c r="AI51" s="172" t="b">
        <f>AI50=J69</f>
        <v>1</v>
      </c>
      <c r="AJ51" s="172" t="b">
        <f>AJ50=SUM(J70:J71)</f>
        <v>1</v>
      </c>
      <c r="AK51" s="172" t="b">
        <f>AK50=C83</f>
        <v>1</v>
      </c>
      <c r="AL51" s="172" t="b">
        <f>AL50=J67</f>
        <v>1</v>
      </c>
      <c r="AM51" s="172" t="b">
        <f>AM50=AM50</f>
        <v>1</v>
      </c>
      <c r="AN51" s="172" t="b">
        <f>ABS(AN50 - 1) &lt;= 0.0001</f>
        <v>1</v>
      </c>
      <c r="AO51" s="172" t="b">
        <f>AO50=AO50</f>
        <v>1</v>
      </c>
      <c r="AP51" s="1013" t="b">
        <f>ABS(AP50 - (C98 - C83)) &lt;= 0.9</f>
        <v>0</v>
      </c>
      <c r="AQ51" s="1013"/>
      <c r="AR51" s="172" t="b">
        <f>AR50=C115</f>
        <v>1</v>
      </c>
      <c r="AS51" s="172" t="b">
        <f>ABS(AS50 - C103) &lt;= 0.9</f>
        <v>1</v>
      </c>
      <c r="AT51" s="172" t="b">
        <f>AT50=C20</f>
        <v>1</v>
      </c>
      <c r="AU51" s="172" t="b">
        <f>ABS(AU50 - (C19 + C20)) &lt;= 0.9</f>
        <v>0</v>
      </c>
      <c r="AV51" s="172" t="b">
        <f>AV50=AV50</f>
        <v>1</v>
      </c>
      <c r="AW51" s="172" t="b">
        <f>ABS(AW50 - 1) &lt;= 0.0001</f>
        <v>0</v>
      </c>
      <c r="AX51" s="172" t="b">
        <f>AX50=C13</f>
        <v>1</v>
      </c>
      <c r="AY51" s="172" t="b">
        <f>AY50=AY50</f>
        <v>1</v>
      </c>
      <c r="AZ51" s="172" t="b">
        <f>ABS(AZ50 - C21) &lt;= 0.9</f>
        <v>0</v>
      </c>
      <c r="BA51" s="172" t="b">
        <f>BA50=BA50</f>
        <v>1</v>
      </c>
      <c r="BB51" s="172" t="b">
        <f>BB50=BB50</f>
        <v>1</v>
      </c>
      <c r="BC51" s="172" t="b">
        <f>BC50=BC50</f>
        <v>1</v>
      </c>
      <c r="BD51" s="172" t="b">
        <f>BD50=BD50</f>
        <v>1</v>
      </c>
      <c r="BE51" s="172"/>
    </row>
    <row r="52" spans="1:64" x14ac:dyDescent="0.25">
      <c r="A52" s="172"/>
      <c r="B52" s="780" t="s">
        <v>46</v>
      </c>
      <c r="C52" s="781"/>
      <c r="D52" s="781"/>
      <c r="E52" s="781"/>
      <c r="F52" s="781"/>
      <c r="G52" s="781"/>
      <c r="H52" s="781"/>
      <c r="I52" s="781"/>
      <c r="J52" s="781"/>
      <c r="K52" s="781"/>
      <c r="L52" s="782"/>
    </row>
    <row r="53" spans="1:64" x14ac:dyDescent="0.25">
      <c r="B53" s="783"/>
      <c r="C53" s="784"/>
      <c r="D53" s="784"/>
      <c r="E53" s="784"/>
      <c r="F53" s="784"/>
      <c r="G53" s="784"/>
      <c r="H53" s="784"/>
      <c r="I53" s="784"/>
      <c r="J53" s="784"/>
      <c r="K53" s="784"/>
      <c r="L53" s="785"/>
    </row>
    <row r="54" spans="1:64" ht="22.5" x14ac:dyDescent="0.25">
      <c r="B54" s="208" t="s">
        <v>47</v>
      </c>
      <c r="C54" s="209" t="s">
        <v>48</v>
      </c>
      <c r="D54" s="209" t="s">
        <v>540</v>
      </c>
      <c r="E54" s="209" t="s">
        <v>546</v>
      </c>
      <c r="F54" s="209" t="s">
        <v>34</v>
      </c>
      <c r="G54" s="209" t="s">
        <v>49</v>
      </c>
      <c r="H54" s="209" t="s">
        <v>50</v>
      </c>
      <c r="I54" s="209" t="s">
        <v>51</v>
      </c>
      <c r="J54" s="285" t="s">
        <v>52</v>
      </c>
      <c r="K54" s="968" t="s">
        <v>53</v>
      </c>
      <c r="L54" s="969" t="s">
        <v>54</v>
      </c>
      <c r="N54" s="172"/>
      <c r="O54" s="172"/>
      <c r="S54" s="172"/>
      <c r="T54" s="172"/>
      <c r="AN54" s="386"/>
    </row>
    <row r="55" spans="1:64" x14ac:dyDescent="0.25">
      <c r="B55" s="661">
        <v>0</v>
      </c>
      <c r="C55" s="661">
        <v>0</v>
      </c>
      <c r="D55" s="662">
        <v>0</v>
      </c>
      <c r="E55" s="268">
        <v>0</v>
      </c>
      <c r="F55" s="10">
        <f>K45</f>
        <v>1.9118354430379747</v>
      </c>
      <c r="G55" s="283">
        <f>SUM(D57:D71)</f>
        <v>31799.64</v>
      </c>
      <c r="H55" s="283">
        <f>SUM(D57:D67,D70:D71)</f>
        <v>23583.64</v>
      </c>
      <c r="I55" s="283">
        <f>SUM(D57:D67)</f>
        <v>15707.64</v>
      </c>
      <c r="J55" s="350">
        <f>F72</f>
        <v>9920.7939999999981</v>
      </c>
      <c r="K55" s="803"/>
      <c r="L55" s="944"/>
    </row>
    <row r="56" spans="1:64" ht="33.75" x14ac:dyDescent="0.25">
      <c r="B56" s="11" t="s">
        <v>37</v>
      </c>
      <c r="C56" s="12" t="s">
        <v>55</v>
      </c>
      <c r="D56" s="209" t="s">
        <v>56</v>
      </c>
      <c r="E56" s="12" t="s">
        <v>57</v>
      </c>
      <c r="F56" s="209" t="s">
        <v>58</v>
      </c>
      <c r="G56" s="209" t="s">
        <v>60</v>
      </c>
      <c r="H56" s="209" t="s">
        <v>59</v>
      </c>
      <c r="I56" s="209" t="s">
        <v>61</v>
      </c>
      <c r="J56" s="285" t="s">
        <v>62</v>
      </c>
      <c r="K56" s="345">
        <f>B55/L56</f>
        <v>0</v>
      </c>
      <c r="L56" s="168">
        <v>3.5</v>
      </c>
    </row>
    <row r="57" spans="1:64" ht="22.5" x14ac:dyDescent="0.25">
      <c r="B57" s="14" t="s">
        <v>38</v>
      </c>
      <c r="C57" s="660">
        <v>0.22572709840561664</v>
      </c>
      <c r="D57" s="283">
        <f t="shared" ref="D57:D67" si="70">$L$45*C57</f>
        <v>3545.64</v>
      </c>
      <c r="E57" s="255">
        <v>0.85</v>
      </c>
      <c r="F57" s="283">
        <f t="shared" ref="F57:F66" si="71">E57*D57</f>
        <v>3013.7939999999999</v>
      </c>
      <c r="G57" s="268">
        <v>12</v>
      </c>
      <c r="H57" s="283">
        <f t="shared" ref="H57:H66" si="72">IFERROR(F57/G57, "0.00")</f>
        <v>251.14949999999999</v>
      </c>
      <c r="I57" s="253">
        <v>2200</v>
      </c>
      <c r="J57" s="351">
        <f t="shared" ref="J57:J67" si="73">I57*D57</f>
        <v>7800408</v>
      </c>
      <c r="K57" s="269">
        <f>L57*G57</f>
        <v>12</v>
      </c>
      <c r="L57" s="13">
        <v>1</v>
      </c>
      <c r="BH57" s="315"/>
      <c r="BI57" s="315"/>
      <c r="BJ57" s="315"/>
    </row>
    <row r="58" spans="1:64" ht="22.5" x14ac:dyDescent="0.25">
      <c r="B58" s="15" t="s">
        <v>537</v>
      </c>
      <c r="C58" s="34">
        <v>0.38274368396525515</v>
      </c>
      <c r="D58" s="16">
        <f>$L$45*C58</f>
        <v>6012</v>
      </c>
      <c r="E58" s="34">
        <v>1</v>
      </c>
      <c r="F58" s="16">
        <f>C73*$C$42</f>
        <v>3340</v>
      </c>
      <c r="G58" s="268">
        <v>11</v>
      </c>
      <c r="H58" s="16">
        <f>IFERROR(F58/G58, "0.00")</f>
        <v>303.63636363636363</v>
      </c>
      <c r="I58" s="253">
        <v>2200</v>
      </c>
      <c r="J58" s="352">
        <f>I58*D58</f>
        <v>13226400</v>
      </c>
      <c r="K58" s="280">
        <f>L58*G58</f>
        <v>0</v>
      </c>
      <c r="L58" s="13">
        <v>0</v>
      </c>
      <c r="AP58" s="180"/>
      <c r="AV58" s="180"/>
      <c r="AW58" s="97"/>
      <c r="BH58" s="316"/>
      <c r="BI58" s="315"/>
      <c r="BJ58" s="315"/>
    </row>
    <row r="59" spans="1:64" ht="22.5" x14ac:dyDescent="0.25">
      <c r="B59" s="14" t="s">
        <v>538</v>
      </c>
      <c r="C59" s="255">
        <v>0</v>
      </c>
      <c r="D59" s="283">
        <f>$L$45*C59</f>
        <v>0</v>
      </c>
      <c r="E59" s="255">
        <v>0</v>
      </c>
      <c r="F59" s="283">
        <f>C74*$C$45</f>
        <v>0</v>
      </c>
      <c r="G59" s="268"/>
      <c r="H59" s="283" t="str">
        <f t="shared" si="72"/>
        <v>0.00</v>
      </c>
      <c r="I59" s="253"/>
      <c r="J59" s="351">
        <f t="shared" si="73"/>
        <v>0</v>
      </c>
      <c r="K59" s="269">
        <f>L59*G59</f>
        <v>0</v>
      </c>
      <c r="L59" s="13">
        <v>0</v>
      </c>
      <c r="AV59" s="180"/>
      <c r="AW59" s="97"/>
      <c r="BH59" s="316"/>
      <c r="BI59" s="315"/>
      <c r="BJ59" s="315"/>
    </row>
    <row r="60" spans="1:64" ht="22.5" x14ac:dyDescent="0.25">
      <c r="B60" s="15" t="s">
        <v>41</v>
      </c>
      <c r="C60" s="34">
        <v>0</v>
      </c>
      <c r="D60" s="16">
        <f t="shared" si="70"/>
        <v>0</v>
      </c>
      <c r="E60" s="34">
        <v>0</v>
      </c>
      <c r="F60" s="16">
        <f>E60*D60</f>
        <v>0</v>
      </c>
      <c r="G60" s="268"/>
      <c r="H60" s="16" t="str">
        <f t="shared" si="72"/>
        <v>0.00</v>
      </c>
      <c r="I60" s="253"/>
      <c r="J60" s="352">
        <f t="shared" si="73"/>
        <v>0</v>
      </c>
      <c r="K60" s="280">
        <f>L60*G60</f>
        <v>0</v>
      </c>
      <c r="L60" s="13">
        <v>0</v>
      </c>
      <c r="AV60" s="180"/>
      <c r="AW60" s="97"/>
      <c r="BH60" s="316"/>
      <c r="BI60" s="315"/>
      <c r="BJ60" s="315"/>
    </row>
    <row r="61" spans="1:64" ht="22.5" x14ac:dyDescent="0.25">
      <c r="B61" s="14" t="s">
        <v>65</v>
      </c>
      <c r="C61" s="255">
        <v>0</v>
      </c>
      <c r="D61" s="283">
        <f t="shared" si="70"/>
        <v>0</v>
      </c>
      <c r="E61" s="255">
        <v>0</v>
      </c>
      <c r="F61" s="283">
        <f t="shared" si="71"/>
        <v>0</v>
      </c>
      <c r="G61" s="268"/>
      <c r="H61" s="283" t="str">
        <f t="shared" si="72"/>
        <v>0.00</v>
      </c>
      <c r="I61" s="253"/>
      <c r="J61" s="351">
        <f t="shared" si="73"/>
        <v>0</v>
      </c>
      <c r="K61" s="269">
        <f>L61*G61</f>
        <v>0</v>
      </c>
      <c r="L61" s="13">
        <v>1</v>
      </c>
      <c r="AV61" s="180"/>
      <c r="AW61" s="97"/>
      <c r="BH61" s="316"/>
      <c r="BI61" s="315"/>
      <c r="BJ61" s="315"/>
    </row>
    <row r="62" spans="1:64" ht="22.5" x14ac:dyDescent="0.25">
      <c r="B62" s="15" t="s">
        <v>263</v>
      </c>
      <c r="C62" s="34">
        <v>0</v>
      </c>
      <c r="D62" s="16">
        <f t="shared" si="70"/>
        <v>0</v>
      </c>
      <c r="E62" s="34">
        <v>0</v>
      </c>
      <c r="F62" s="16">
        <f t="shared" si="71"/>
        <v>0</v>
      </c>
      <c r="G62" s="268"/>
      <c r="H62" s="16" t="str">
        <f t="shared" si="72"/>
        <v>0.00</v>
      </c>
      <c r="I62" s="253"/>
      <c r="J62" s="352">
        <f t="shared" si="73"/>
        <v>0</v>
      </c>
      <c r="K62" s="280">
        <f>F62/L62</f>
        <v>0</v>
      </c>
      <c r="L62" s="13">
        <v>25</v>
      </c>
      <c r="AV62" s="180"/>
      <c r="AW62" s="97"/>
      <c r="BH62" s="316"/>
      <c r="BI62" s="315"/>
      <c r="BJ62" s="315"/>
    </row>
    <row r="63" spans="1:64" ht="22.5" x14ac:dyDescent="0.25">
      <c r="B63" s="14" t="s">
        <v>42</v>
      </c>
      <c r="C63" s="255">
        <v>0</v>
      </c>
      <c r="D63" s="283">
        <f t="shared" si="70"/>
        <v>0</v>
      </c>
      <c r="E63" s="255">
        <v>0</v>
      </c>
      <c r="F63" s="283">
        <f t="shared" si="71"/>
        <v>0</v>
      </c>
      <c r="G63" s="268"/>
      <c r="H63" s="283" t="str">
        <f t="shared" si="72"/>
        <v>0.00</v>
      </c>
      <c r="I63" s="253"/>
      <c r="J63" s="351">
        <f t="shared" si="73"/>
        <v>0</v>
      </c>
      <c r="K63" s="269">
        <f>F63/L63</f>
        <v>0</v>
      </c>
      <c r="L63" s="13">
        <v>45</v>
      </c>
      <c r="AV63" s="180"/>
      <c r="AW63" s="97"/>
      <c r="BH63" s="316"/>
      <c r="BI63" s="315"/>
      <c r="BJ63" s="315"/>
    </row>
    <row r="64" spans="1:64" ht="22.5" x14ac:dyDescent="0.25">
      <c r="B64" s="15" t="s">
        <v>43</v>
      </c>
      <c r="C64" s="34">
        <v>0.39152921762912818</v>
      </c>
      <c r="D64" s="16">
        <f t="shared" si="70"/>
        <v>6149.9999999999991</v>
      </c>
      <c r="E64" s="34">
        <v>0.57999999999999996</v>
      </c>
      <c r="F64" s="16">
        <f t="shared" si="71"/>
        <v>3566.9999999999991</v>
      </c>
      <c r="G64" s="268">
        <v>100</v>
      </c>
      <c r="H64" s="16">
        <f t="shared" si="72"/>
        <v>35.669999999999987</v>
      </c>
      <c r="I64" s="253">
        <v>6000</v>
      </c>
      <c r="J64" s="352">
        <f t="shared" si="73"/>
        <v>36899999.999999993</v>
      </c>
      <c r="K64" s="280">
        <f>G64/L64</f>
        <v>50</v>
      </c>
      <c r="L64" s="13">
        <v>2</v>
      </c>
      <c r="AV64" s="180"/>
      <c r="AW64" s="97"/>
      <c r="BH64" s="316"/>
      <c r="BI64" s="315"/>
      <c r="BJ64" s="315"/>
    </row>
    <row r="65" spans="1:62" ht="22.5" x14ac:dyDescent="0.25">
      <c r="B65" s="14" t="s">
        <v>44</v>
      </c>
      <c r="C65" s="255">
        <v>0</v>
      </c>
      <c r="D65" s="283">
        <f t="shared" si="70"/>
        <v>0</v>
      </c>
      <c r="E65" s="255"/>
      <c r="F65" s="283">
        <f t="shared" si="71"/>
        <v>0</v>
      </c>
      <c r="G65" s="268"/>
      <c r="H65" s="283" t="str">
        <f t="shared" si="72"/>
        <v>0.00</v>
      </c>
      <c r="I65" s="253"/>
      <c r="J65" s="351">
        <f t="shared" si="73"/>
        <v>0</v>
      </c>
      <c r="K65" s="269">
        <f>F65/L65</f>
        <v>0</v>
      </c>
      <c r="L65" s="13">
        <v>35</v>
      </c>
      <c r="AV65" s="180"/>
      <c r="AW65" s="97"/>
      <c r="BH65" s="316"/>
      <c r="BI65" s="315"/>
      <c r="BJ65" s="315"/>
    </row>
    <row r="66" spans="1:62" ht="22.5" x14ac:dyDescent="0.25">
      <c r="B66" s="15" t="s">
        <v>45</v>
      </c>
      <c r="C66" s="34"/>
      <c r="D66" s="16">
        <f t="shared" si="70"/>
        <v>0</v>
      </c>
      <c r="E66" s="34"/>
      <c r="F66" s="16">
        <f t="shared" si="71"/>
        <v>0</v>
      </c>
      <c r="G66" s="268"/>
      <c r="H66" s="16" t="str">
        <f t="shared" si="72"/>
        <v>0.00</v>
      </c>
      <c r="I66" s="253"/>
      <c r="J66" s="352">
        <f t="shared" si="73"/>
        <v>0</v>
      </c>
      <c r="K66" s="346">
        <v>0</v>
      </c>
      <c r="L66" s="61" t="s">
        <v>66</v>
      </c>
      <c r="AV66" s="180"/>
      <c r="AW66" s="97"/>
      <c r="BH66" s="316"/>
      <c r="BI66" s="315"/>
      <c r="BJ66" s="315"/>
    </row>
    <row r="67" spans="1:62" ht="22.5" x14ac:dyDescent="0.25">
      <c r="B67" s="14" t="s">
        <v>228</v>
      </c>
      <c r="C67" s="353">
        <f>100%-SUM(C57:C66)</f>
        <v>0</v>
      </c>
      <c r="D67" s="283">
        <f t="shared" si="70"/>
        <v>0</v>
      </c>
      <c r="E67" s="354" t="s">
        <v>66</v>
      </c>
      <c r="F67" s="59" t="s">
        <v>66</v>
      </c>
      <c r="G67" s="355" t="s">
        <v>66</v>
      </c>
      <c r="H67" s="59" t="s">
        <v>66</v>
      </c>
      <c r="I67" s="253"/>
      <c r="J67" s="351">
        <f t="shared" si="73"/>
        <v>0</v>
      </c>
      <c r="K67" s="347" t="s">
        <v>66</v>
      </c>
      <c r="L67" s="348" t="s">
        <v>66</v>
      </c>
      <c r="AV67" s="180"/>
      <c r="AW67" s="97"/>
      <c r="BH67" s="316"/>
      <c r="BI67" s="315"/>
      <c r="BJ67" s="315"/>
    </row>
    <row r="68" spans="1:62" ht="15" x14ac:dyDescent="0.25">
      <c r="B68" s="15" t="s">
        <v>67</v>
      </c>
      <c r="C68" s="341" t="s">
        <v>67</v>
      </c>
      <c r="D68" s="342" t="s">
        <v>67</v>
      </c>
      <c r="E68" s="341" t="s">
        <v>67</v>
      </c>
      <c r="F68" s="342" t="s">
        <v>67</v>
      </c>
      <c r="G68" s="343" t="s">
        <v>67</v>
      </c>
      <c r="H68" s="342" t="s">
        <v>67</v>
      </c>
      <c r="I68" s="653" t="s">
        <v>67</v>
      </c>
      <c r="J68" s="652" t="s">
        <v>67</v>
      </c>
      <c r="K68" s="349" t="s">
        <v>67</v>
      </c>
      <c r="L68" s="344" t="s">
        <v>67</v>
      </c>
      <c r="AV68" s="97"/>
      <c r="BH68" s="316"/>
      <c r="BI68" s="315"/>
      <c r="BJ68" s="315"/>
    </row>
    <row r="69" spans="1:62" ht="22.5" x14ac:dyDescent="0.25">
      <c r="B69" s="14" t="s">
        <v>68</v>
      </c>
      <c r="C69" s="255">
        <v>1</v>
      </c>
      <c r="D69" s="283">
        <f>$C$45*C69</f>
        <v>8216</v>
      </c>
      <c r="E69" s="256" t="s">
        <v>66</v>
      </c>
      <c r="F69" s="59" t="s">
        <v>66</v>
      </c>
      <c r="G69" s="256" t="s">
        <v>66</v>
      </c>
      <c r="H69" s="59" t="s">
        <v>66</v>
      </c>
      <c r="I69" s="253">
        <v>750</v>
      </c>
      <c r="J69" s="351">
        <f>I69*D69</f>
        <v>6162000</v>
      </c>
      <c r="K69" s="347" t="s">
        <v>66</v>
      </c>
      <c r="L69" s="61" t="s">
        <v>66</v>
      </c>
      <c r="AC69" s="97"/>
      <c r="AV69" s="97"/>
      <c r="BH69" s="316"/>
      <c r="BI69" s="315"/>
      <c r="BJ69" s="315"/>
    </row>
    <row r="70" spans="1:62" ht="22.5" x14ac:dyDescent="0.25">
      <c r="B70" s="15" t="s">
        <v>539</v>
      </c>
      <c r="C70" s="34">
        <v>0.9586173320350535</v>
      </c>
      <c r="D70" s="16" cm="1">
        <f t="array" ref="D70">SUM(C40:C42*C70)</f>
        <v>7876</v>
      </c>
      <c r="E70" s="256" t="s">
        <v>66</v>
      </c>
      <c r="F70" s="60" t="s">
        <v>66</v>
      </c>
      <c r="G70" s="256" t="s">
        <v>66</v>
      </c>
      <c r="H70" s="60" t="s">
        <v>66</v>
      </c>
      <c r="I70" s="253">
        <v>1800</v>
      </c>
      <c r="J70" s="352">
        <f>I70*D70</f>
        <v>14176800</v>
      </c>
      <c r="K70" s="280">
        <f>D70/L70</f>
        <v>175.02222222222221</v>
      </c>
      <c r="L70" s="13">
        <v>45</v>
      </c>
      <c r="AV70" s="97"/>
      <c r="BH70" s="316"/>
      <c r="BI70" s="315"/>
      <c r="BJ70" s="315"/>
    </row>
    <row r="71" spans="1:62" ht="22.5" x14ac:dyDescent="0.25">
      <c r="B71" s="14" t="s">
        <v>69</v>
      </c>
      <c r="C71" s="255">
        <v>0</v>
      </c>
      <c r="D71" s="283">
        <f>$C$45*C71</f>
        <v>0</v>
      </c>
      <c r="E71" s="256" t="s">
        <v>66</v>
      </c>
      <c r="F71" s="59" t="s">
        <v>66</v>
      </c>
      <c r="G71" s="256" t="s">
        <v>66</v>
      </c>
      <c r="H71" s="59" t="s">
        <v>66</v>
      </c>
      <c r="I71" s="253">
        <v>0</v>
      </c>
      <c r="J71" s="351">
        <f>I71*D71</f>
        <v>0</v>
      </c>
      <c r="K71" s="269">
        <f>D71/L71</f>
        <v>0</v>
      </c>
      <c r="L71" s="13">
        <v>45</v>
      </c>
      <c r="Q71" s="97"/>
    </row>
    <row r="72" spans="1:62" ht="23.25" thickBot="1" x14ac:dyDescent="0.3">
      <c r="B72" s="18" t="s">
        <v>36</v>
      </c>
      <c r="C72" s="19">
        <f>SUM(C57:C67)</f>
        <v>1</v>
      </c>
      <c r="D72" s="2">
        <f>SUM(D57:D71)</f>
        <v>31799.64</v>
      </c>
      <c r="E72" s="317">
        <f>SUMPRODUCT(E57:E66, C57:C66) / SUM(C57:C66)</f>
        <v>0.80169866383492361</v>
      </c>
      <c r="F72" s="2">
        <f>SUMIF(F57:F66, "&lt;&gt;#DIV/0!")</f>
        <v>9920.7939999999981</v>
      </c>
      <c r="G72" s="340">
        <f>SUMIF(G57:G71, "&lt;&gt;#DIV/0!")</f>
        <v>123</v>
      </c>
      <c r="H72" s="318">
        <f>IFERROR(F72/G72, "0.00")</f>
        <v>80.656861788617874</v>
      </c>
      <c r="I72" s="654">
        <f>J72/D72</f>
        <v>2461.2105042698595</v>
      </c>
      <c r="J72" s="651">
        <f>SUM(J57:J71)</f>
        <v>78265608</v>
      </c>
      <c r="K72" s="84" t="s">
        <v>72</v>
      </c>
      <c r="L72" s="74">
        <f>SUMIF(K57:K65, "&lt;&gt;#DIV/0!")</f>
        <v>62</v>
      </c>
      <c r="Q72" s="97"/>
    </row>
    <row r="73" spans="1:62" ht="18" x14ac:dyDescent="0.25">
      <c r="B73" s="659" t="s">
        <v>71</v>
      </c>
      <c r="C73" s="649">
        <v>1</v>
      </c>
      <c r="F73" s="172"/>
      <c r="G73"/>
      <c r="H73" s="172"/>
      <c r="I73" s="172"/>
      <c r="J73" s="172"/>
      <c r="K73" s="20" t="s">
        <v>70</v>
      </c>
      <c r="L73" s="65">
        <f>SUM(K56,K70:K71)</f>
        <v>175.02222222222221</v>
      </c>
      <c r="Q73" s="97"/>
    </row>
    <row r="74" spans="1:62" ht="18.75" thickBot="1" x14ac:dyDescent="0.3">
      <c r="C74" s="650">
        <v>0</v>
      </c>
      <c r="D74" s="172"/>
      <c r="E74" s="183"/>
      <c r="F74" s="172"/>
      <c r="G74" s="172"/>
      <c r="H74" s="172"/>
      <c r="I74" s="172"/>
      <c r="J74" s="172"/>
      <c r="K74" s="21" t="s">
        <v>73</v>
      </c>
      <c r="L74" s="22">
        <f>L73-L72</f>
        <v>113.02222222222221</v>
      </c>
    </row>
    <row r="75" spans="1:62" x14ac:dyDescent="0.25">
      <c r="A75" s="172"/>
    </row>
    <row r="76" spans="1:62" x14ac:dyDescent="0.25">
      <c r="A76" s="172"/>
    </row>
    <row r="77" spans="1:62" x14ac:dyDescent="0.25">
      <c r="A77" s="172"/>
    </row>
    <row r="78" spans="1:62" x14ac:dyDescent="0.25">
      <c r="A78" s="172"/>
    </row>
    <row r="79" spans="1:62" ht="12" thickBot="1" x14ac:dyDescent="0.3">
      <c r="A79" s="172"/>
    </row>
    <row r="80" spans="1:62" ht="25.5" x14ac:dyDescent="0.25">
      <c r="A80" s="172"/>
      <c r="B80" s="900" t="s">
        <v>74</v>
      </c>
      <c r="C80" s="901"/>
      <c r="D80" s="902"/>
      <c r="E80" s="637" t="s">
        <v>516</v>
      </c>
    </row>
    <row r="81" spans="1:24" ht="22.5" x14ac:dyDescent="0.25">
      <c r="A81" s="172"/>
      <c r="B81" s="208" t="s">
        <v>5</v>
      </c>
      <c r="C81" s="209" t="s">
        <v>6</v>
      </c>
      <c r="D81" s="285" t="s">
        <v>75</v>
      </c>
      <c r="E81" s="633" t="s">
        <v>4</v>
      </c>
    </row>
    <row r="82" spans="1:24" ht="22.5" x14ac:dyDescent="0.25">
      <c r="A82" s="157"/>
      <c r="B82" s="319" t="s">
        <v>76</v>
      </c>
      <c r="C82" s="704">
        <f>D82*C45</f>
        <v>534040</v>
      </c>
      <c r="D82" s="271">
        <v>65</v>
      </c>
      <c r="E82" s="634">
        <f>C82/$C$98</f>
        <v>2.5226194503758525E-2</v>
      </c>
      <c r="G82" s="707"/>
    </row>
    <row r="83" spans="1:24" ht="22.5" x14ac:dyDescent="0.25">
      <c r="A83" s="157"/>
      <c r="B83" s="320" t="s">
        <v>77</v>
      </c>
      <c r="C83" s="221">
        <f>(D70)*4.5*D83</f>
        <v>2835360</v>
      </c>
      <c r="D83" s="273">
        <v>80</v>
      </c>
      <c r="E83" s="635">
        <f t="shared" ref="E83:E97" si="74">C83/$C$98</f>
        <v>0.13393255720203875</v>
      </c>
    </row>
    <row r="84" spans="1:24" ht="22.5" x14ac:dyDescent="0.25">
      <c r="A84" s="157"/>
      <c r="B84" s="319" t="s">
        <v>78</v>
      </c>
      <c r="C84" s="704">
        <f>D84*C106</f>
        <v>1330515.3360000001</v>
      </c>
      <c r="D84" s="116">
        <v>1.7000000000000001E-2</v>
      </c>
      <c r="E84" s="634">
        <f t="shared" si="74"/>
        <v>6.2848922657796472E-2</v>
      </c>
      <c r="X84" s="172"/>
    </row>
    <row r="85" spans="1:24" ht="22.5" x14ac:dyDescent="0.25">
      <c r="A85" s="157"/>
      <c r="B85" s="320" t="s">
        <v>79</v>
      </c>
      <c r="C85" s="221">
        <f>D85*I55</f>
        <v>62830.559999999998</v>
      </c>
      <c r="D85" s="273">
        <v>4</v>
      </c>
      <c r="E85" s="635">
        <f t="shared" si="74"/>
        <v>2.9678973997080186E-3</v>
      </c>
    </row>
    <row r="86" spans="1:24" ht="22.5" x14ac:dyDescent="0.25">
      <c r="A86" s="157"/>
      <c r="B86" s="319" t="s">
        <v>80</v>
      </c>
      <c r="C86" s="704">
        <f>D86*C106</f>
        <v>3913280.4000000004</v>
      </c>
      <c r="D86" s="116">
        <v>0.05</v>
      </c>
      <c r="E86" s="634">
        <f t="shared" si="74"/>
        <v>0.18484977252293081</v>
      </c>
    </row>
    <row r="87" spans="1:24" ht="22.5" x14ac:dyDescent="0.25">
      <c r="A87" s="157"/>
      <c r="B87" s="320" t="s">
        <v>81</v>
      </c>
      <c r="C87" s="221">
        <f>D87*D64</f>
        <v>6149999.9999999991</v>
      </c>
      <c r="D87" s="273">
        <v>1000</v>
      </c>
      <c r="E87" s="635">
        <f t="shared" si="74"/>
        <v>0.29050463672780114</v>
      </c>
      <c r="H87" s="97"/>
    </row>
    <row r="88" spans="1:24" ht="22.5" x14ac:dyDescent="0.25">
      <c r="A88" s="157"/>
      <c r="B88" s="321" t="s">
        <v>82</v>
      </c>
      <c r="C88" s="705">
        <f>D88*SUM(H57,H61,H62)</f>
        <v>0</v>
      </c>
      <c r="D88" s="631">
        <v>0</v>
      </c>
      <c r="E88" s="634">
        <f t="shared" si="74"/>
        <v>0</v>
      </c>
      <c r="G88" s="190"/>
    </row>
    <row r="89" spans="1:24" ht="22.5" x14ac:dyDescent="0.25">
      <c r="A89" s="157"/>
      <c r="B89" s="320" t="s">
        <v>83</v>
      </c>
      <c r="C89" s="221">
        <f>D89*SUM(G57:G63,G65:G66)+(D89*(G64/2))</f>
        <v>912500</v>
      </c>
      <c r="D89" s="273">
        <v>12500</v>
      </c>
      <c r="E89" s="635">
        <f t="shared" si="74"/>
        <v>4.310333024619814E-2</v>
      </c>
      <c r="I89" s="644"/>
    </row>
    <row r="90" spans="1:24" ht="22.5" x14ac:dyDescent="0.25">
      <c r="A90" s="157"/>
      <c r="B90" s="319" t="s">
        <v>84</v>
      </c>
      <c r="C90" s="704">
        <f>D90*$G$72</f>
        <v>984000</v>
      </c>
      <c r="D90" s="271">
        <v>8000</v>
      </c>
      <c r="E90" s="634">
        <f t="shared" si="74"/>
        <v>4.6480741876448184E-2</v>
      </c>
      <c r="H90" s="191"/>
    </row>
    <row r="91" spans="1:24" ht="22.5" x14ac:dyDescent="0.25">
      <c r="A91" s="157"/>
      <c r="B91" s="320" t="s">
        <v>85</v>
      </c>
      <c r="C91" s="221">
        <f>D91*(C125+C126)</f>
        <v>18000</v>
      </c>
      <c r="D91" s="273">
        <v>1500</v>
      </c>
      <c r="E91" s="635">
        <f t="shared" si="74"/>
        <v>8.5025747334966197E-4</v>
      </c>
      <c r="H91" s="191"/>
    </row>
    <row r="92" spans="1:24" ht="22.5" x14ac:dyDescent="0.25">
      <c r="A92" s="157"/>
      <c r="B92" s="319" t="s">
        <v>86</v>
      </c>
      <c r="C92" s="704">
        <f>D92*(G57+G58)</f>
        <v>299000</v>
      </c>
      <c r="D92" s="271">
        <v>13000</v>
      </c>
      <c r="E92" s="634">
        <f t="shared" si="74"/>
        <v>1.4123721362863828E-2</v>
      </c>
      <c r="H92" s="191"/>
      <c r="I92" s="644"/>
    </row>
    <row r="93" spans="1:24" ht="22.5" x14ac:dyDescent="0.25">
      <c r="A93" s="157"/>
      <c r="B93" s="320" t="s">
        <v>87</v>
      </c>
      <c r="C93" s="221">
        <f>D93*C106</f>
        <v>1173984.1199999999</v>
      </c>
      <c r="D93" s="117">
        <v>1.4999999999999999E-2</v>
      </c>
      <c r="E93" s="635">
        <f t="shared" si="74"/>
        <v>5.5454931756879232E-2</v>
      </c>
      <c r="H93" s="191"/>
    </row>
    <row r="94" spans="1:24" ht="22.5" x14ac:dyDescent="0.25">
      <c r="A94" s="157"/>
      <c r="B94" s="319" t="s">
        <v>425</v>
      </c>
      <c r="C94" s="704">
        <f>D94*(J135+M153)</f>
        <v>46954.910520000005</v>
      </c>
      <c r="D94" s="116">
        <v>0.02</v>
      </c>
      <c r="E94" s="634">
        <f t="shared" si="74"/>
        <v>2.2179868655608148E-3</v>
      </c>
      <c r="H94" s="191"/>
    </row>
    <row r="95" spans="1:24" ht="22.5" x14ac:dyDescent="0.25">
      <c r="A95" s="157"/>
      <c r="B95" s="322" t="s">
        <v>426</v>
      </c>
      <c r="C95" s="705">
        <f>D95*(SUM(C181:C182))</f>
        <v>952952.44319999998</v>
      </c>
      <c r="D95" s="189">
        <v>0.04</v>
      </c>
      <c r="E95" s="635">
        <f t="shared" si="74"/>
        <v>4.5014163143201065E-2</v>
      </c>
      <c r="H95" s="191"/>
    </row>
    <row r="96" spans="1:24" ht="22.5" x14ac:dyDescent="0.25">
      <c r="A96" s="157"/>
      <c r="B96" s="319" t="s">
        <v>271</v>
      </c>
      <c r="C96" s="704">
        <f>D96*Y135</f>
        <v>0</v>
      </c>
      <c r="D96" s="116">
        <v>0</v>
      </c>
      <c r="E96" s="634">
        <f t="shared" si="74"/>
        <v>0</v>
      </c>
      <c r="H96" s="191"/>
    </row>
    <row r="97" spans="1:17" ht="23.25" thickBot="1" x14ac:dyDescent="0.3">
      <c r="A97" s="157"/>
      <c r="B97" s="320" t="s">
        <v>88</v>
      </c>
      <c r="C97" s="221">
        <f>D97*C106</f>
        <v>1956640.2000000002</v>
      </c>
      <c r="D97" s="117">
        <v>2.5000000000000001E-2</v>
      </c>
      <c r="E97" s="636">
        <f t="shared" si="74"/>
        <v>9.2424886261465403E-2</v>
      </c>
      <c r="H97" s="191"/>
    </row>
    <row r="98" spans="1:17" ht="23.25" thickBot="1" x14ac:dyDescent="0.3">
      <c r="A98" s="172"/>
      <c r="B98" s="323" t="s">
        <v>89</v>
      </c>
      <c r="C98" s="928">
        <f>SUMIF(C82:C97, "&lt;&gt;#DIV/0!")</f>
        <v>21170057.969719999</v>
      </c>
      <c r="D98" s="929"/>
      <c r="E98" s="724"/>
      <c r="H98" s="191"/>
    </row>
    <row r="99" spans="1:17" x14ac:dyDescent="0.25">
      <c r="A99" s="172"/>
      <c r="B99" s="796" t="s">
        <v>90</v>
      </c>
      <c r="C99" s="797"/>
      <c r="D99" s="798"/>
      <c r="H99" s="191"/>
    </row>
    <row r="100" spans="1:17" ht="22.5" x14ac:dyDescent="0.25">
      <c r="A100" s="172"/>
      <c r="B100" s="322" t="s">
        <v>91</v>
      </c>
      <c r="C100" s="268">
        <f>D100*C106</f>
        <v>11739841.199999999</v>
      </c>
      <c r="D100" s="23">
        <v>0.15</v>
      </c>
      <c r="E100" s="638"/>
      <c r="H100" s="190"/>
    </row>
    <row r="101" spans="1:17" ht="22.5" x14ac:dyDescent="0.25">
      <c r="A101" s="172"/>
      <c r="B101" s="406" t="s">
        <v>92</v>
      </c>
      <c r="C101" s="786">
        <f>-E327</f>
        <v>9214816</v>
      </c>
      <c r="D101" s="787"/>
      <c r="E101" s="632"/>
      <c r="H101" s="190"/>
    </row>
    <row r="102" spans="1:17" ht="22.5" x14ac:dyDescent="0.25">
      <c r="A102" s="172"/>
      <c r="B102" s="319" t="s">
        <v>93</v>
      </c>
      <c r="C102" s="756">
        <f>-E211</f>
        <v>1360000</v>
      </c>
      <c r="D102" s="774"/>
      <c r="E102" s="172"/>
      <c r="H102" s="190"/>
    </row>
    <row r="103" spans="1:17" ht="23.25" thickBot="1" x14ac:dyDescent="0.3">
      <c r="A103" s="172"/>
      <c r="B103" s="324" t="s">
        <v>94</v>
      </c>
      <c r="C103" s="930">
        <f>SUM(C100,C101,C102)</f>
        <v>22314657.199999999</v>
      </c>
      <c r="D103" s="931"/>
      <c r="E103" s="176"/>
      <c r="G103" s="658"/>
      <c r="H103" s="192"/>
      <c r="I103" s="172"/>
      <c r="K103" s="172"/>
      <c r="L103" s="172"/>
      <c r="M103" s="172"/>
      <c r="N103" s="172"/>
      <c r="O103" s="172"/>
      <c r="P103" s="172"/>
      <c r="Q103" s="172"/>
    </row>
    <row r="104" spans="1:17" x14ac:dyDescent="0.25">
      <c r="A104" s="172"/>
      <c r="B104" s="796" t="s">
        <v>95</v>
      </c>
      <c r="C104" s="797"/>
      <c r="D104" s="798"/>
      <c r="E104" s="176"/>
      <c r="G104" s="176"/>
      <c r="H104" s="190"/>
      <c r="I104" s="172"/>
      <c r="Q104" s="172"/>
    </row>
    <row r="105" spans="1:17" ht="22.5" x14ac:dyDescent="0.25">
      <c r="A105" s="172"/>
      <c r="B105" s="319" t="s">
        <v>96</v>
      </c>
      <c r="C105" s="756">
        <f>I45</f>
        <v>91847824</v>
      </c>
      <c r="D105" s="774"/>
      <c r="E105" s="181"/>
      <c r="G105" s="182"/>
      <c r="H105" s="190"/>
      <c r="Q105" s="172"/>
    </row>
    <row r="106" spans="1:17" ht="22.5" x14ac:dyDescent="0.25">
      <c r="A106" s="172"/>
      <c r="B106" s="320" t="s">
        <v>97</v>
      </c>
      <c r="C106" s="805">
        <f>J72</f>
        <v>78265608</v>
      </c>
      <c r="D106" s="810"/>
      <c r="E106" s="172"/>
    </row>
    <row r="107" spans="1:17" ht="22.5" x14ac:dyDescent="0.25">
      <c r="A107" s="172"/>
      <c r="B107" s="319" t="s">
        <v>99</v>
      </c>
      <c r="C107" s="756">
        <f>C98</f>
        <v>21170057.969719999</v>
      </c>
      <c r="D107" s="774"/>
      <c r="E107" s="172"/>
    </row>
    <row r="108" spans="1:17" ht="22.5" x14ac:dyDescent="0.25">
      <c r="A108" s="172"/>
      <c r="B108" s="320" t="s">
        <v>101</v>
      </c>
      <c r="C108" s="805">
        <f>C106+C107</f>
        <v>99435665.969720006</v>
      </c>
      <c r="D108" s="810"/>
      <c r="E108" s="172"/>
    </row>
    <row r="109" spans="1:17" ht="22.5" x14ac:dyDescent="0.25">
      <c r="A109" s="172"/>
      <c r="B109" s="319" t="s">
        <v>103</v>
      </c>
      <c r="C109" s="756">
        <f>C103</f>
        <v>22314657.199999999</v>
      </c>
      <c r="D109" s="774"/>
      <c r="E109" s="172"/>
    </row>
    <row r="110" spans="1:17" ht="22.5" x14ac:dyDescent="0.25">
      <c r="A110" s="172"/>
      <c r="B110" s="320" t="s">
        <v>291</v>
      </c>
      <c r="C110" s="805">
        <f>-E209</f>
        <v>6529315.5539999995</v>
      </c>
      <c r="D110" s="810"/>
      <c r="E110" s="172"/>
    </row>
    <row r="111" spans="1:17" ht="22.5" x14ac:dyDescent="0.25">
      <c r="A111" s="172"/>
      <c r="B111" s="319" t="s">
        <v>452</v>
      </c>
      <c r="C111" s="801">
        <f>SUM(C105:D107,C109,C115,C110)</f>
        <v>227269365.99746802</v>
      </c>
      <c r="D111" s="802"/>
      <c r="E111" s="172"/>
      <c r="F111" s="201"/>
      <c r="K111" s="97"/>
    </row>
    <row r="112" spans="1:17" ht="23.25" thickBot="1" x14ac:dyDescent="0.3">
      <c r="A112" s="172"/>
      <c r="B112" s="325" t="s">
        <v>106</v>
      </c>
      <c r="C112" s="811">
        <f>H20</f>
        <v>108409600</v>
      </c>
      <c r="D112" s="812"/>
      <c r="E112" s="172"/>
      <c r="G112" s="97"/>
      <c r="K112" s="97"/>
    </row>
    <row r="113" spans="1:44" x14ac:dyDescent="0.25">
      <c r="A113" s="172"/>
      <c r="B113" s="934" t="s">
        <v>108</v>
      </c>
      <c r="C113" s="935"/>
      <c r="D113" s="936"/>
      <c r="E113" s="172"/>
      <c r="G113" s="97"/>
      <c r="K113" s="97"/>
    </row>
    <row r="114" spans="1:44" ht="22.5" x14ac:dyDescent="0.25">
      <c r="A114" s="172"/>
      <c r="B114" s="319" t="s">
        <v>109</v>
      </c>
      <c r="C114" s="756">
        <f>E185</f>
        <v>54352006</v>
      </c>
      <c r="D114" s="774"/>
      <c r="E114" s="289"/>
      <c r="G114" s="171"/>
      <c r="H114" s="726"/>
      <c r="I114" s="727"/>
      <c r="K114" s="97"/>
    </row>
    <row r="115" spans="1:44" ht="23.25" thickBot="1" x14ac:dyDescent="0.3">
      <c r="A115" s="172"/>
      <c r="B115" s="414" t="s">
        <v>18</v>
      </c>
      <c r="C115" s="284">
        <f>-SUM(E188:E189)</f>
        <v>7141903.2737480383</v>
      </c>
      <c r="D115" s="630">
        <f ca="1">G341/360</f>
        <v>3.2944444444444443</v>
      </c>
      <c r="G115" s="728"/>
      <c r="H115" s="726"/>
      <c r="I115" s="727"/>
      <c r="K115" s="97"/>
    </row>
    <row r="116" spans="1:44" x14ac:dyDescent="0.25">
      <c r="A116" s="172"/>
      <c r="B116" s="796" t="s">
        <v>450</v>
      </c>
      <c r="C116" s="797"/>
      <c r="D116" s="798"/>
      <c r="E116" s="295"/>
      <c r="H116" s="726"/>
      <c r="I116" s="727"/>
      <c r="K116" s="97"/>
    </row>
    <row r="117" spans="1:44" x14ac:dyDescent="0.25">
      <c r="A117" s="172"/>
      <c r="B117" s="302" t="s">
        <v>451</v>
      </c>
      <c r="C117" s="665" t="s">
        <v>112</v>
      </c>
      <c r="D117" s="665" t="s">
        <v>111</v>
      </c>
      <c r="H117" s="722"/>
      <c r="K117" s="97"/>
    </row>
    <row r="118" spans="1:44" ht="12" thickBot="1" x14ac:dyDescent="0.3">
      <c r="A118" s="172"/>
      <c r="B118" s="326">
        <f ca="1">D350</f>
        <v>5</v>
      </c>
      <c r="C118" s="296">
        <f ca="1">E350</f>
        <v>20.277777777777779</v>
      </c>
      <c r="D118" s="296">
        <f ca="1">F350</f>
        <v>60.833333333333336</v>
      </c>
      <c r="H118" s="722"/>
      <c r="K118" s="172"/>
    </row>
    <row r="119" spans="1:44" x14ac:dyDescent="0.25">
      <c r="A119" s="172"/>
      <c r="H119" s="723"/>
      <c r="K119" s="172"/>
    </row>
    <row r="120" spans="1:44" x14ac:dyDescent="0.25">
      <c r="A120" s="172"/>
      <c r="H120" s="723"/>
      <c r="K120" s="172"/>
    </row>
    <row r="121" spans="1:44" x14ac:dyDescent="0.25">
      <c r="A121" s="172"/>
      <c r="K121" s="172"/>
    </row>
    <row r="122" spans="1:44" ht="12" thickBot="1" x14ac:dyDescent="0.3">
      <c r="A122" s="172"/>
      <c r="G122" s="97"/>
      <c r="K122" s="172"/>
      <c r="AR122" s="204"/>
    </row>
    <row r="123" spans="1:44" ht="12.75" x14ac:dyDescent="0.25">
      <c r="A123" s="172"/>
      <c r="B123" s="900" t="s">
        <v>113</v>
      </c>
      <c r="C123" s="901"/>
      <c r="D123" s="901"/>
      <c r="E123" s="901"/>
      <c r="F123" s="901"/>
      <c r="G123" s="901"/>
      <c r="H123" s="901"/>
      <c r="I123" s="901"/>
      <c r="J123" s="902"/>
      <c r="L123" s="814" t="s">
        <v>119</v>
      </c>
      <c r="M123" s="815"/>
      <c r="N123" s="815"/>
      <c r="O123" s="816"/>
      <c r="Q123" s="900" t="s">
        <v>114</v>
      </c>
      <c r="R123" s="901"/>
      <c r="S123" s="901"/>
      <c r="T123" s="901"/>
      <c r="U123" s="901"/>
      <c r="V123" s="901"/>
      <c r="W123" s="901"/>
      <c r="X123" s="901"/>
      <c r="Y123" s="901"/>
      <c r="Z123" s="901"/>
      <c r="AA123" s="901"/>
      <c r="AB123" s="901"/>
      <c r="AC123" s="902"/>
    </row>
    <row r="124" spans="1:44" ht="22.5" x14ac:dyDescent="0.25">
      <c r="A124" s="172"/>
      <c r="B124" s="24" t="s">
        <v>37</v>
      </c>
      <c r="C124" s="26" t="s">
        <v>115</v>
      </c>
      <c r="D124" s="26" t="s">
        <v>116</v>
      </c>
      <c r="E124" s="25" t="str">
        <f>F56</f>
        <v>المساحات الصافية القابلة للبيع
(NSA)</v>
      </c>
      <c r="F124" s="25" t="str">
        <f>H56</f>
        <v>مساحة الوحدة
(Unit Area)</v>
      </c>
      <c r="G124" s="25" t="s">
        <v>321</v>
      </c>
      <c r="H124" s="25" t="s">
        <v>117</v>
      </c>
      <c r="I124" s="25" t="s">
        <v>118</v>
      </c>
      <c r="J124" s="27" t="s">
        <v>276</v>
      </c>
      <c r="L124" s="281" t="s">
        <v>37</v>
      </c>
      <c r="M124" s="282" t="s">
        <v>4</v>
      </c>
      <c r="N124" s="282" t="s">
        <v>323</v>
      </c>
      <c r="O124" s="30" t="s">
        <v>94</v>
      </c>
      <c r="Q124" s="24" t="s">
        <v>37</v>
      </c>
      <c r="R124" s="25" t="s">
        <v>115</v>
      </c>
      <c r="S124" s="26" t="s">
        <v>116</v>
      </c>
      <c r="T124" s="25" t="s">
        <v>58</v>
      </c>
      <c r="U124" s="25" t="s">
        <v>59</v>
      </c>
      <c r="V124" s="25" t="s">
        <v>321</v>
      </c>
      <c r="W124" s="25" t="s">
        <v>117</v>
      </c>
      <c r="X124" s="25" t="s">
        <v>118</v>
      </c>
      <c r="Y124" s="25" t="s">
        <v>276</v>
      </c>
      <c r="Z124" s="70" t="s">
        <v>270</v>
      </c>
      <c r="AA124" s="89" t="s">
        <v>284</v>
      </c>
      <c r="AB124" s="70" t="s">
        <v>275</v>
      </c>
      <c r="AC124" s="69" t="s">
        <v>286</v>
      </c>
    </row>
    <row r="125" spans="1:44" ht="22.5" x14ac:dyDescent="0.25">
      <c r="A125" s="172"/>
      <c r="B125" s="269" t="s">
        <v>38</v>
      </c>
      <c r="C125" s="270">
        <f t="shared" ref="C125:C134" si="75">G57-R125</f>
        <v>12</v>
      </c>
      <c r="D125" s="162">
        <f>100%-S125</f>
        <v>1</v>
      </c>
      <c r="E125" s="283">
        <f>E57*D125*D57</f>
        <v>3013.7939999999999</v>
      </c>
      <c r="F125" s="283">
        <f>IFERROR(E125/C125, "0")</f>
        <v>251.14949999999999</v>
      </c>
      <c r="G125" s="218">
        <f t="shared" ref="G125:G134" si="76">IFERROR(MAX((H125/AV4)-1, 0), 0)</f>
        <v>0</v>
      </c>
      <c r="H125" s="253"/>
      <c r="I125" s="115">
        <f>H125*F125</f>
        <v>0</v>
      </c>
      <c r="J125" s="71">
        <f>I125*C125</f>
        <v>0</v>
      </c>
      <c r="L125" s="269" t="s">
        <v>38</v>
      </c>
      <c r="M125" s="255">
        <v>0.08</v>
      </c>
      <c r="N125" s="115">
        <f>SUM(F143+V143)/M125</f>
        <v>2574282.375</v>
      </c>
      <c r="O125" s="71">
        <f>(M143+AC143)/M125</f>
        <v>29346819.074999999</v>
      </c>
      <c r="Q125" s="269" t="s">
        <v>38</v>
      </c>
      <c r="R125" s="268"/>
      <c r="S125" s="28">
        <f t="shared" ref="S125:S134" si="77">IFERROR(R125/G57, "0.00%")</f>
        <v>0</v>
      </c>
      <c r="T125" s="283">
        <f t="shared" ref="T125:T134" si="78">E57*S125*D57</f>
        <v>0</v>
      </c>
      <c r="U125" s="283" t="str">
        <f t="shared" ref="U125:U134" si="79">IFERROR(T125/R125, "0")</f>
        <v>0</v>
      </c>
      <c r="V125" s="218">
        <f t="shared" ref="V125:V134" si="80">IFERROR(MAX(((AC125/T125)/AV22)-1, 0), 0)</f>
        <v>0</v>
      </c>
      <c r="W125" s="257">
        <f>H125*80%</f>
        <v>0</v>
      </c>
      <c r="X125" s="270">
        <f t="shared" ref="X125:X134" si="81">W125*U125</f>
        <v>0</v>
      </c>
      <c r="Y125" s="270">
        <f t="shared" ref="Y125:Y134" si="82">(X125*R125)</f>
        <v>0</v>
      </c>
      <c r="Z125" s="85">
        <f t="shared" ref="Z125:Z134" si="83">Y125*$D$304</f>
        <v>0</v>
      </c>
      <c r="AA125" s="85">
        <f t="shared" ref="AA125:AA134" si="84">(Y125*$D$305)+(Y125*$D$306)</f>
        <v>0</v>
      </c>
      <c r="AB125" s="85">
        <f t="shared" ref="AB125:AB134" si="85">Y125*$D$307</f>
        <v>0</v>
      </c>
      <c r="AC125" s="71">
        <f>SUM(Y125)-SUM(Z125:AA125)</f>
        <v>0</v>
      </c>
    </row>
    <row r="126" spans="1:44" ht="22.5" x14ac:dyDescent="0.25">
      <c r="B126" s="280" t="s">
        <v>518</v>
      </c>
      <c r="C126" s="272">
        <f>G58-R126</f>
        <v>0</v>
      </c>
      <c r="D126" s="163">
        <f>100%-S126</f>
        <v>0</v>
      </c>
      <c r="E126" s="16">
        <f>C73*$C$42</f>
        <v>3340</v>
      </c>
      <c r="F126" s="16" t="str">
        <f>IFERROR(E126/C126, "0")</f>
        <v>0</v>
      </c>
      <c r="G126" s="222">
        <f>IFERROR(MAX((H126/AV5)-1, 0), 0)</f>
        <v>0</v>
      </c>
      <c r="H126" s="253"/>
      <c r="I126" s="113">
        <f>H126*F126</f>
        <v>0</v>
      </c>
      <c r="J126" s="72">
        <f>I126*C126</f>
        <v>0</v>
      </c>
      <c r="L126" s="280" t="s">
        <v>39</v>
      </c>
      <c r="M126" s="34">
        <v>0.08</v>
      </c>
      <c r="N126" s="113">
        <f>SUM(F144+V144)/M126</f>
        <v>0</v>
      </c>
      <c r="O126" s="72">
        <f t="shared" ref="O126:O134" si="86">(M144+AC144)/M126</f>
        <v>0</v>
      </c>
      <c r="Q126" s="280" t="s">
        <v>39</v>
      </c>
      <c r="R126" s="268">
        <v>11</v>
      </c>
      <c r="S126" s="222">
        <f>IFERROR(R126/G58, "0.00%")</f>
        <v>1</v>
      </c>
      <c r="T126" s="16">
        <f>C73*$C$42</f>
        <v>3340</v>
      </c>
      <c r="U126" s="16">
        <f>IFERROR(T126/R126, "0")</f>
        <v>303.63636363636363</v>
      </c>
      <c r="V126" s="222">
        <f t="shared" si="80"/>
        <v>0</v>
      </c>
      <c r="W126" s="257">
        <v>14319.187711533457</v>
      </c>
      <c r="X126" s="272">
        <f>W126*U126</f>
        <v>4347826.0869565224</v>
      </c>
      <c r="Y126" s="272">
        <f>(X126*R126)</f>
        <v>47826086.956521749</v>
      </c>
      <c r="Z126" s="86">
        <f t="shared" si="83"/>
        <v>717391.30434782617</v>
      </c>
      <c r="AA126" s="86">
        <f t="shared" si="84"/>
        <v>621739.13043478271</v>
      </c>
      <c r="AB126" s="86">
        <f t="shared" si="85"/>
        <v>0</v>
      </c>
      <c r="AC126" s="72">
        <f>SUM(Y126)-SUM(Z126:AA126)</f>
        <v>46486956.52173914</v>
      </c>
    </row>
    <row r="127" spans="1:44" ht="22.5" x14ac:dyDescent="0.25">
      <c r="B127" s="269" t="s">
        <v>519</v>
      </c>
      <c r="C127" s="270">
        <f t="shared" si="75"/>
        <v>0</v>
      </c>
      <c r="D127" s="164">
        <f t="shared" ref="D127:D134" si="87">100%-S127</f>
        <v>1</v>
      </c>
      <c r="E127" s="283">
        <f>C74*$C$45</f>
        <v>0</v>
      </c>
      <c r="F127" s="283" t="str">
        <f t="shared" ref="F127:F134" si="88">IFERROR(E127/C127, "0")</f>
        <v>0</v>
      </c>
      <c r="G127" s="28">
        <f t="shared" si="76"/>
        <v>0</v>
      </c>
      <c r="H127" s="253"/>
      <c r="I127" s="115">
        <f t="shared" ref="I127:I134" si="89">H127*F127</f>
        <v>0</v>
      </c>
      <c r="J127" s="71">
        <f t="shared" ref="J127:J134" si="90">I127*C127</f>
        <v>0</v>
      </c>
      <c r="L127" s="269" t="s">
        <v>40</v>
      </c>
      <c r="M127" s="34">
        <v>0.08</v>
      </c>
      <c r="N127" s="115">
        <f t="shared" ref="N127:N134" si="91">SUM(F145+V145)/M127</f>
        <v>0</v>
      </c>
      <c r="O127" s="71">
        <f t="shared" si="86"/>
        <v>0</v>
      </c>
      <c r="Q127" s="269" t="s">
        <v>40</v>
      </c>
      <c r="R127" s="268"/>
      <c r="S127" s="28" t="str">
        <f t="shared" si="77"/>
        <v>0.00%</v>
      </c>
      <c r="T127" s="283">
        <f>C74*$C$45</f>
        <v>0</v>
      </c>
      <c r="U127" s="283" t="str">
        <f t="shared" si="79"/>
        <v>0</v>
      </c>
      <c r="V127" s="28">
        <f t="shared" si="80"/>
        <v>0</v>
      </c>
      <c r="W127" s="257">
        <f t="shared" ref="W127:W134" si="92">H127*80%</f>
        <v>0</v>
      </c>
      <c r="X127" s="270">
        <f t="shared" si="81"/>
        <v>0</v>
      </c>
      <c r="Y127" s="270">
        <f t="shared" si="82"/>
        <v>0</v>
      </c>
      <c r="Z127" s="85">
        <f t="shared" si="83"/>
        <v>0</v>
      </c>
      <c r="AA127" s="85">
        <f t="shared" si="84"/>
        <v>0</v>
      </c>
      <c r="AB127" s="85">
        <f t="shared" si="85"/>
        <v>0</v>
      </c>
      <c r="AC127" s="71">
        <f t="shared" ref="AC127:AC133" si="93">SUM(Y127)-SUM(Z127:AA127)</f>
        <v>0</v>
      </c>
    </row>
    <row r="128" spans="1:44" ht="22.5" x14ac:dyDescent="0.25">
      <c r="A128" s="172"/>
      <c r="B128" s="280" t="s">
        <v>41</v>
      </c>
      <c r="C128" s="272">
        <f t="shared" si="75"/>
        <v>0</v>
      </c>
      <c r="D128" s="163">
        <f t="shared" si="87"/>
        <v>1</v>
      </c>
      <c r="E128" s="16">
        <f t="shared" ref="E128:E134" si="94">E60*D128*D60</f>
        <v>0</v>
      </c>
      <c r="F128" s="16" t="str">
        <f t="shared" si="88"/>
        <v>0</v>
      </c>
      <c r="G128" s="222">
        <f t="shared" si="76"/>
        <v>0</v>
      </c>
      <c r="H128" s="253"/>
      <c r="I128" s="113">
        <f t="shared" si="89"/>
        <v>0</v>
      </c>
      <c r="J128" s="72">
        <f t="shared" si="90"/>
        <v>0</v>
      </c>
      <c r="L128" s="280" t="s">
        <v>41</v>
      </c>
      <c r="M128" s="34">
        <v>0.08</v>
      </c>
      <c r="N128" s="113">
        <f t="shared" si="91"/>
        <v>0</v>
      </c>
      <c r="O128" s="72">
        <f t="shared" si="86"/>
        <v>0</v>
      </c>
      <c r="Q128" s="280" t="s">
        <v>41</v>
      </c>
      <c r="R128" s="268"/>
      <c r="S128" s="222" t="str">
        <f t="shared" si="77"/>
        <v>0.00%</v>
      </c>
      <c r="T128" s="16">
        <f t="shared" si="78"/>
        <v>0</v>
      </c>
      <c r="U128" s="16" t="str">
        <f t="shared" si="79"/>
        <v>0</v>
      </c>
      <c r="V128" s="222">
        <f t="shared" si="80"/>
        <v>0</v>
      </c>
      <c r="W128" s="257">
        <f t="shared" si="92"/>
        <v>0</v>
      </c>
      <c r="X128" s="272">
        <f t="shared" si="81"/>
        <v>0</v>
      </c>
      <c r="Y128" s="272">
        <f t="shared" si="82"/>
        <v>0</v>
      </c>
      <c r="Z128" s="86">
        <f t="shared" si="83"/>
        <v>0</v>
      </c>
      <c r="AA128" s="86">
        <f t="shared" si="84"/>
        <v>0</v>
      </c>
      <c r="AB128" s="86">
        <f t="shared" si="85"/>
        <v>0</v>
      </c>
      <c r="AC128" s="72">
        <f t="shared" si="93"/>
        <v>0</v>
      </c>
    </row>
    <row r="129" spans="1:30" ht="22.5" x14ac:dyDescent="0.25">
      <c r="A129" s="172"/>
      <c r="B129" s="269" t="s">
        <v>65</v>
      </c>
      <c r="C129" s="270">
        <f t="shared" si="75"/>
        <v>0</v>
      </c>
      <c r="D129" s="164">
        <f t="shared" si="87"/>
        <v>1</v>
      </c>
      <c r="E129" s="283">
        <f t="shared" si="94"/>
        <v>0</v>
      </c>
      <c r="F129" s="283" t="str">
        <f t="shared" si="88"/>
        <v>0</v>
      </c>
      <c r="G129" s="28">
        <f t="shared" si="76"/>
        <v>0</v>
      </c>
      <c r="H129" s="253"/>
      <c r="I129" s="115">
        <f t="shared" si="89"/>
        <v>0</v>
      </c>
      <c r="J129" s="71">
        <f t="shared" si="90"/>
        <v>0</v>
      </c>
      <c r="L129" s="269" t="s">
        <v>65</v>
      </c>
      <c r="M129" s="34">
        <v>7.0000000000000007E-2</v>
      </c>
      <c r="N129" s="115">
        <f t="shared" si="91"/>
        <v>0</v>
      </c>
      <c r="O129" s="71">
        <f t="shared" si="86"/>
        <v>0</v>
      </c>
      <c r="Q129" s="269" t="s">
        <v>65</v>
      </c>
      <c r="R129" s="268"/>
      <c r="S129" s="28" t="str">
        <f t="shared" si="77"/>
        <v>0.00%</v>
      </c>
      <c r="T129" s="283">
        <f t="shared" si="78"/>
        <v>0</v>
      </c>
      <c r="U129" s="283" t="str">
        <f t="shared" si="79"/>
        <v>0</v>
      </c>
      <c r="V129" s="28">
        <f t="shared" si="80"/>
        <v>0</v>
      </c>
      <c r="W129" s="257">
        <f t="shared" si="92"/>
        <v>0</v>
      </c>
      <c r="X129" s="270">
        <f t="shared" si="81"/>
        <v>0</v>
      </c>
      <c r="Y129" s="270">
        <f t="shared" si="82"/>
        <v>0</v>
      </c>
      <c r="Z129" s="85">
        <f t="shared" si="83"/>
        <v>0</v>
      </c>
      <c r="AA129" s="85">
        <f t="shared" si="84"/>
        <v>0</v>
      </c>
      <c r="AB129" s="85">
        <f t="shared" si="85"/>
        <v>0</v>
      </c>
      <c r="AC129" s="71">
        <f t="shared" si="93"/>
        <v>0</v>
      </c>
    </row>
    <row r="130" spans="1:30" ht="22.5" x14ac:dyDescent="0.25">
      <c r="A130" s="172"/>
      <c r="B130" s="280" t="s">
        <v>263</v>
      </c>
      <c r="C130" s="272">
        <f t="shared" si="75"/>
        <v>0</v>
      </c>
      <c r="D130" s="163">
        <f t="shared" si="87"/>
        <v>1</v>
      </c>
      <c r="E130" s="16">
        <f t="shared" si="94"/>
        <v>0</v>
      </c>
      <c r="F130" s="16" t="str">
        <f>IFERROR(E130/C130, "0")</f>
        <v>0</v>
      </c>
      <c r="G130" s="222">
        <f t="shared" si="76"/>
        <v>0</v>
      </c>
      <c r="H130" s="253"/>
      <c r="I130" s="113">
        <f>H130*F130</f>
        <v>0</v>
      </c>
      <c r="J130" s="72">
        <f t="shared" si="90"/>
        <v>0</v>
      </c>
      <c r="L130" s="280" t="s">
        <v>263</v>
      </c>
      <c r="M130" s="34">
        <v>0.08</v>
      </c>
      <c r="N130" s="113">
        <f t="shared" si="91"/>
        <v>0</v>
      </c>
      <c r="O130" s="72">
        <f>(M148+AC148)/M130</f>
        <v>0</v>
      </c>
      <c r="Q130" s="280" t="s">
        <v>263</v>
      </c>
      <c r="R130" s="268"/>
      <c r="S130" s="222" t="str">
        <f t="shared" si="77"/>
        <v>0.00%</v>
      </c>
      <c r="T130" s="16">
        <f t="shared" si="78"/>
        <v>0</v>
      </c>
      <c r="U130" s="16" t="str">
        <f t="shared" si="79"/>
        <v>0</v>
      </c>
      <c r="V130" s="222">
        <f t="shared" si="80"/>
        <v>0</v>
      </c>
      <c r="W130" s="257">
        <f t="shared" si="92"/>
        <v>0</v>
      </c>
      <c r="X130" s="272">
        <f t="shared" si="81"/>
        <v>0</v>
      </c>
      <c r="Y130" s="272">
        <f t="shared" si="82"/>
        <v>0</v>
      </c>
      <c r="Z130" s="86">
        <f t="shared" si="83"/>
        <v>0</v>
      </c>
      <c r="AA130" s="86">
        <f t="shared" si="84"/>
        <v>0</v>
      </c>
      <c r="AB130" s="86">
        <f t="shared" si="85"/>
        <v>0</v>
      </c>
      <c r="AC130" s="72">
        <f t="shared" si="93"/>
        <v>0</v>
      </c>
    </row>
    <row r="131" spans="1:30" ht="22.5" x14ac:dyDescent="0.25">
      <c r="A131" s="172"/>
      <c r="B131" s="269" t="s">
        <v>42</v>
      </c>
      <c r="C131" s="270">
        <f t="shared" si="75"/>
        <v>0</v>
      </c>
      <c r="D131" s="164">
        <f t="shared" si="87"/>
        <v>1</v>
      </c>
      <c r="E131" s="283">
        <f t="shared" si="94"/>
        <v>0</v>
      </c>
      <c r="F131" s="283" t="str">
        <f t="shared" si="88"/>
        <v>0</v>
      </c>
      <c r="G131" s="28">
        <f t="shared" si="76"/>
        <v>0</v>
      </c>
      <c r="H131" s="253"/>
      <c r="I131" s="115">
        <f t="shared" si="89"/>
        <v>0</v>
      </c>
      <c r="J131" s="71">
        <f t="shared" si="90"/>
        <v>0</v>
      </c>
      <c r="L131" s="269" t="s">
        <v>42</v>
      </c>
      <c r="M131" s="34">
        <v>0.08</v>
      </c>
      <c r="N131" s="115">
        <f t="shared" si="91"/>
        <v>0</v>
      </c>
      <c r="O131" s="71">
        <f t="shared" si="86"/>
        <v>0</v>
      </c>
      <c r="Q131" s="269" t="s">
        <v>42</v>
      </c>
      <c r="R131" s="268"/>
      <c r="S131" s="28" t="str">
        <f t="shared" si="77"/>
        <v>0.00%</v>
      </c>
      <c r="T131" s="283">
        <f t="shared" si="78"/>
        <v>0</v>
      </c>
      <c r="U131" s="283" t="str">
        <f t="shared" si="79"/>
        <v>0</v>
      </c>
      <c r="V131" s="28">
        <f t="shared" si="80"/>
        <v>0</v>
      </c>
      <c r="W131" s="257">
        <f t="shared" si="92"/>
        <v>0</v>
      </c>
      <c r="X131" s="270">
        <f t="shared" si="81"/>
        <v>0</v>
      </c>
      <c r="Y131" s="270">
        <f t="shared" si="82"/>
        <v>0</v>
      </c>
      <c r="Z131" s="85">
        <f t="shared" si="83"/>
        <v>0</v>
      </c>
      <c r="AA131" s="85">
        <f t="shared" si="84"/>
        <v>0</v>
      </c>
      <c r="AB131" s="85">
        <f t="shared" si="85"/>
        <v>0</v>
      </c>
      <c r="AC131" s="71">
        <f t="shared" si="93"/>
        <v>0</v>
      </c>
    </row>
    <row r="132" spans="1:30" ht="22.5" x14ac:dyDescent="0.25">
      <c r="A132" s="172"/>
      <c r="B132" s="280" t="s">
        <v>43</v>
      </c>
      <c r="C132" s="272">
        <f t="shared" si="75"/>
        <v>100</v>
      </c>
      <c r="D132" s="163">
        <f t="shared" si="87"/>
        <v>1</v>
      </c>
      <c r="E132" s="16">
        <f t="shared" si="94"/>
        <v>3566.9999999999991</v>
      </c>
      <c r="F132" s="16">
        <f>IFERROR(E132/C132, "0")</f>
        <v>35.669999999999987</v>
      </c>
      <c r="G132" s="222">
        <f t="shared" si="76"/>
        <v>0</v>
      </c>
      <c r="H132" s="253"/>
      <c r="I132" s="113">
        <f t="shared" si="89"/>
        <v>0</v>
      </c>
      <c r="J132" s="72">
        <f t="shared" si="90"/>
        <v>0</v>
      </c>
      <c r="L132" s="280" t="s">
        <v>43</v>
      </c>
      <c r="M132" s="34">
        <v>7.0000000000000007E-2</v>
      </c>
      <c r="N132" s="113">
        <f t="shared" si="91"/>
        <v>3050357.1428571427</v>
      </c>
      <c r="O132" s="72">
        <f t="shared" si="86"/>
        <v>213524999.99999997</v>
      </c>
      <c r="Q132" s="280" t="s">
        <v>43</v>
      </c>
      <c r="R132" s="268"/>
      <c r="S132" s="222">
        <f t="shared" si="77"/>
        <v>0</v>
      </c>
      <c r="T132" s="16">
        <f t="shared" si="78"/>
        <v>0</v>
      </c>
      <c r="U132" s="16" t="str">
        <f t="shared" si="79"/>
        <v>0</v>
      </c>
      <c r="V132" s="222">
        <f t="shared" si="80"/>
        <v>0</v>
      </c>
      <c r="W132" s="257">
        <f t="shared" si="92"/>
        <v>0</v>
      </c>
      <c r="X132" s="272">
        <f t="shared" si="81"/>
        <v>0</v>
      </c>
      <c r="Y132" s="272">
        <f t="shared" si="82"/>
        <v>0</v>
      </c>
      <c r="Z132" s="86">
        <f t="shared" si="83"/>
        <v>0</v>
      </c>
      <c r="AA132" s="86">
        <f t="shared" si="84"/>
        <v>0</v>
      </c>
      <c r="AB132" s="86">
        <f t="shared" si="85"/>
        <v>0</v>
      </c>
      <c r="AC132" s="72">
        <f t="shared" si="93"/>
        <v>0</v>
      </c>
    </row>
    <row r="133" spans="1:30" ht="22.5" x14ac:dyDescent="0.25">
      <c r="A133" s="172"/>
      <c r="B133" s="269" t="s">
        <v>44</v>
      </c>
      <c r="C133" s="270">
        <f t="shared" si="75"/>
        <v>0</v>
      </c>
      <c r="D133" s="164">
        <f t="shared" si="87"/>
        <v>1</v>
      </c>
      <c r="E133" s="283">
        <f t="shared" si="94"/>
        <v>0</v>
      </c>
      <c r="F133" s="283" t="str">
        <f t="shared" si="88"/>
        <v>0</v>
      </c>
      <c r="G133" s="28">
        <f t="shared" si="76"/>
        <v>0</v>
      </c>
      <c r="H133" s="253"/>
      <c r="I133" s="115">
        <f t="shared" si="89"/>
        <v>0</v>
      </c>
      <c r="J133" s="71">
        <f t="shared" si="90"/>
        <v>0</v>
      </c>
      <c r="L133" s="269" t="s">
        <v>44</v>
      </c>
      <c r="M133" s="34">
        <v>7.0000000000000007E-2</v>
      </c>
      <c r="N133" s="115">
        <f t="shared" si="91"/>
        <v>0</v>
      </c>
      <c r="O133" s="71">
        <f t="shared" si="86"/>
        <v>0</v>
      </c>
      <c r="Q133" s="269" t="s">
        <v>44</v>
      </c>
      <c r="R133" s="268"/>
      <c r="S133" s="28" t="str">
        <f t="shared" si="77"/>
        <v>0.00%</v>
      </c>
      <c r="T133" s="283">
        <f t="shared" si="78"/>
        <v>0</v>
      </c>
      <c r="U133" s="283" t="str">
        <f t="shared" si="79"/>
        <v>0</v>
      </c>
      <c r="V133" s="28">
        <f t="shared" si="80"/>
        <v>0</v>
      </c>
      <c r="W133" s="257">
        <f t="shared" si="92"/>
        <v>0</v>
      </c>
      <c r="X133" s="270">
        <f t="shared" si="81"/>
        <v>0</v>
      </c>
      <c r="Y133" s="270">
        <f t="shared" si="82"/>
        <v>0</v>
      </c>
      <c r="Z133" s="85">
        <f t="shared" si="83"/>
        <v>0</v>
      </c>
      <c r="AA133" s="85">
        <f t="shared" si="84"/>
        <v>0</v>
      </c>
      <c r="AB133" s="85">
        <f t="shared" si="85"/>
        <v>0</v>
      </c>
      <c r="AC133" s="71">
        <f t="shared" si="93"/>
        <v>0</v>
      </c>
    </row>
    <row r="134" spans="1:30" ht="22.5" x14ac:dyDescent="0.25">
      <c r="A134" s="172"/>
      <c r="B134" s="280" t="s">
        <v>45</v>
      </c>
      <c r="C134" s="272">
        <f t="shared" si="75"/>
        <v>0</v>
      </c>
      <c r="D134" s="163">
        <f t="shared" si="87"/>
        <v>1</v>
      </c>
      <c r="E134" s="16">
        <f t="shared" si="94"/>
        <v>0</v>
      </c>
      <c r="F134" s="16" t="str">
        <f t="shared" si="88"/>
        <v>0</v>
      </c>
      <c r="G134" s="222">
        <f t="shared" si="76"/>
        <v>0</v>
      </c>
      <c r="H134" s="253"/>
      <c r="I134" s="113">
        <f t="shared" si="89"/>
        <v>0</v>
      </c>
      <c r="J134" s="72">
        <f t="shared" si="90"/>
        <v>0</v>
      </c>
      <c r="L134" s="280" t="s">
        <v>45</v>
      </c>
      <c r="M134" s="34">
        <v>7.0000000000000007E-2</v>
      </c>
      <c r="N134" s="113">
        <f t="shared" si="91"/>
        <v>0</v>
      </c>
      <c r="O134" s="72">
        <f t="shared" si="86"/>
        <v>0</v>
      </c>
      <c r="Q134" s="280" t="s">
        <v>45</v>
      </c>
      <c r="R134" s="268"/>
      <c r="S134" s="222" t="str">
        <f t="shared" si="77"/>
        <v>0.00%</v>
      </c>
      <c r="T134" s="16">
        <f t="shared" si="78"/>
        <v>0</v>
      </c>
      <c r="U134" s="16" t="str">
        <f t="shared" si="79"/>
        <v>0</v>
      </c>
      <c r="V134" s="222">
        <f t="shared" si="80"/>
        <v>0</v>
      </c>
      <c r="W134" s="257">
        <f t="shared" si="92"/>
        <v>0</v>
      </c>
      <c r="X134" s="272">
        <f t="shared" si="81"/>
        <v>0</v>
      </c>
      <c r="Y134" s="272">
        <f t="shared" si="82"/>
        <v>0</v>
      </c>
      <c r="Z134" s="86">
        <f t="shared" si="83"/>
        <v>0</v>
      </c>
      <c r="AA134" s="86">
        <f t="shared" si="84"/>
        <v>0</v>
      </c>
      <c r="AB134" s="86">
        <f t="shared" si="85"/>
        <v>0</v>
      </c>
      <c r="AC134" s="72">
        <f>SUM(Y134)-SUM(Z134:AA134)</f>
        <v>0</v>
      </c>
    </row>
    <row r="135" spans="1:30" ht="23.25" thickBot="1" x14ac:dyDescent="0.3">
      <c r="A135" s="172"/>
      <c r="B135" s="1" t="s">
        <v>94</v>
      </c>
      <c r="C135" s="217">
        <f>SUM(C125:C134)</f>
        <v>112</v>
      </c>
      <c r="D135" s="29" t="s">
        <v>67</v>
      </c>
      <c r="E135" s="2">
        <f>SUM(E125:E134)</f>
        <v>9920.7939999999981</v>
      </c>
      <c r="F135" s="45">
        <f>IFERROR(E135/C135, "0")</f>
        <v>88.578517857142842</v>
      </c>
      <c r="G135" s="118">
        <f>SUMPRODUCT(G125:G134, E125:E134) / SUM(E125:E134)</f>
        <v>0</v>
      </c>
      <c r="H135" s="46">
        <f>SUMPRODUCT(H125:H134, E125:E134) / SUM(E125:E134)</f>
        <v>0</v>
      </c>
      <c r="I135" s="656" t="e" cm="1">
        <f t="array" ref="I135">SUMPRODUCT((I125:I134&lt;&gt;0)*(I125:I134&lt;&gt;""), I125:I134, C125:C134) / SUMIFS(C125:C134, I125:I134, "&lt;&gt;0", I125:I134, "&lt;&gt;")</f>
        <v>#DIV/0!</v>
      </c>
      <c r="J135" s="96">
        <f>SUMIF(J125:J134, "&lt;&gt;#DIV/0!")</f>
        <v>0</v>
      </c>
      <c r="L135" s="1" t="s">
        <v>94</v>
      </c>
      <c r="M135" s="35" t="s">
        <v>67</v>
      </c>
      <c r="N135" s="657" t="s">
        <v>67</v>
      </c>
      <c r="O135" s="73">
        <f>SUMIF(O125:O134, "&lt;&gt;#DIV/0!")</f>
        <v>242871819.07499996</v>
      </c>
      <c r="Q135" s="1" t="s">
        <v>94</v>
      </c>
      <c r="R135" s="217">
        <f>SUM(R125:R134)</f>
        <v>11</v>
      </c>
      <c r="S135" s="29" t="s">
        <v>67</v>
      </c>
      <c r="T135" s="2">
        <f>SUMIF(T125:T134, "&lt;&gt;#DIV/0!")</f>
        <v>3340</v>
      </c>
      <c r="U135" s="45">
        <f>IFERROR(T135/R135, "0")</f>
        <v>303.63636363636363</v>
      </c>
      <c r="V135" s="118">
        <f>SUMPRODUCT(V125:V134, T125:T134) / SUM(T125:T134)</f>
        <v>0</v>
      </c>
      <c r="W135" s="656">
        <f>SUMPRODUCT(W125:W134, T125:T134) / SUM(T125:T134)</f>
        <v>14319.187711533457</v>
      </c>
      <c r="X135" s="46" cm="1">
        <f t="array" ref="X135">SUMPRODUCT((X125:X134&lt;&gt;0)*(X125:X134&lt;&gt;""), X125:X134, R125:R134) / SUMIFS(R125:R134, X125:X134, "&lt;&gt;0", X125:X134, "&lt;&gt;")</f>
        <v>4347826.0869565224</v>
      </c>
      <c r="Y135" s="217">
        <f>SUMIF(Y125:Y134, "&lt;&gt;#DIV/0!")</f>
        <v>47826086.956521749</v>
      </c>
      <c r="Z135" s="654">
        <f>SUMIF(Z125:Z134, "&lt;&gt;#DIV/0!")</f>
        <v>717391.30434782617</v>
      </c>
      <c r="AA135" s="654">
        <f>SUMIF(AA125:AA134, "&lt;&gt;#DIV/0!")</f>
        <v>621739.13043478271</v>
      </c>
      <c r="AB135" s="654">
        <f>SUMIF(AB125:AB134, "&lt;&gt;#DIV/0!")</f>
        <v>0</v>
      </c>
      <c r="AC135" s="73">
        <f>SUMIF(AC125:AC134, "&lt;&gt;#DIV/0!")</f>
        <v>46486956.52173914</v>
      </c>
    </row>
    <row r="136" spans="1:30" x14ac:dyDescent="0.25">
      <c r="AC136" s="172"/>
    </row>
    <row r="137" spans="1:30" x14ac:dyDescent="0.25">
      <c r="A137" s="97"/>
    </row>
    <row r="138" spans="1:30" x14ac:dyDescent="0.25">
      <c r="G138" s="97"/>
    </row>
    <row r="139" spans="1:30" x14ac:dyDescent="0.25">
      <c r="C139" s="172"/>
      <c r="D139" s="172"/>
      <c r="E139" s="172"/>
      <c r="F139" s="172"/>
      <c r="G139" s="172"/>
      <c r="J139" s="177"/>
      <c r="L139" s="172"/>
      <c r="M139" s="172"/>
      <c r="N139" s="172"/>
      <c r="P139" s="172"/>
      <c r="Q139" s="172"/>
      <c r="R139" s="172"/>
      <c r="S139" s="172"/>
      <c r="T139" s="172"/>
      <c r="U139" s="172"/>
      <c r="V139" s="172"/>
      <c r="W139" s="172"/>
      <c r="X139" s="172"/>
      <c r="Z139" s="172"/>
      <c r="AA139" s="172"/>
      <c r="AB139" s="172"/>
      <c r="AC139" s="172"/>
      <c r="AD139" s="172"/>
    </row>
    <row r="140" spans="1:30" ht="12" thickBot="1" x14ac:dyDescent="0.3">
      <c r="C140" s="172"/>
      <c r="D140" s="172"/>
      <c r="E140" s="172"/>
      <c r="F140" s="172"/>
      <c r="G140" s="172"/>
      <c r="J140" s="172"/>
      <c r="AD140" s="172"/>
    </row>
    <row r="141" spans="1:30" ht="12.75" x14ac:dyDescent="0.25">
      <c r="A141" s="97"/>
      <c r="B141" s="922" t="s">
        <v>210</v>
      </c>
      <c r="C141" s="923"/>
      <c r="D141" s="923"/>
      <c r="E141" s="923"/>
      <c r="F141" s="923"/>
      <c r="G141" s="923"/>
      <c r="H141" s="923"/>
      <c r="I141" s="923"/>
      <c r="J141" s="923"/>
      <c r="K141" s="923"/>
      <c r="L141" s="923"/>
      <c r="M141" s="924"/>
      <c r="Q141" s="900" t="s">
        <v>120</v>
      </c>
      <c r="R141" s="901"/>
      <c r="S141" s="901"/>
      <c r="T141" s="901"/>
      <c r="U141" s="901"/>
      <c r="V141" s="901"/>
      <c r="W141" s="901"/>
      <c r="X141" s="901"/>
      <c r="Y141" s="901"/>
      <c r="Z141" s="901"/>
      <c r="AA141" s="901"/>
      <c r="AB141" s="901"/>
      <c r="AC141" s="902"/>
    </row>
    <row r="142" spans="1:30" ht="33.75" x14ac:dyDescent="0.25">
      <c r="A142" s="97"/>
      <c r="B142" s="208" t="s">
        <v>37</v>
      </c>
      <c r="C142" s="209" t="s">
        <v>121</v>
      </c>
      <c r="D142" s="209" t="s">
        <v>122</v>
      </c>
      <c r="E142" s="209" t="s">
        <v>123</v>
      </c>
      <c r="F142" s="209" t="s">
        <v>325</v>
      </c>
      <c r="G142" s="209" t="s">
        <v>124</v>
      </c>
      <c r="H142" s="209" t="s">
        <v>125</v>
      </c>
      <c r="I142" s="209" t="s">
        <v>287</v>
      </c>
      <c r="J142" s="209" t="s">
        <v>324</v>
      </c>
      <c r="K142" s="209" t="s">
        <v>318</v>
      </c>
      <c r="L142" s="209" t="s">
        <v>322</v>
      </c>
      <c r="M142" s="285" t="s">
        <v>207</v>
      </c>
      <c r="Q142" s="31" t="s">
        <v>37</v>
      </c>
      <c r="R142" s="32" t="s">
        <v>121</v>
      </c>
      <c r="S142" s="32" t="s">
        <v>124</v>
      </c>
      <c r="T142" s="32" t="s">
        <v>320</v>
      </c>
      <c r="U142" s="32" t="s">
        <v>126</v>
      </c>
      <c r="V142" s="32" t="s">
        <v>127</v>
      </c>
      <c r="W142" s="32" t="s">
        <v>427</v>
      </c>
      <c r="X142" s="32" t="s">
        <v>8</v>
      </c>
      <c r="Y142" s="32" t="s">
        <v>296</v>
      </c>
      <c r="Z142" s="209" t="s">
        <v>318</v>
      </c>
      <c r="AA142" s="25" t="s">
        <v>322</v>
      </c>
      <c r="AB142" s="209" t="s">
        <v>440</v>
      </c>
      <c r="AC142" s="33" t="s">
        <v>208</v>
      </c>
    </row>
    <row r="143" spans="1:30" ht="22.5" x14ac:dyDescent="0.25">
      <c r="A143" s="97"/>
      <c r="B143" s="269" t="s">
        <v>38</v>
      </c>
      <c r="C143" s="270">
        <f>G57</f>
        <v>12</v>
      </c>
      <c r="D143" s="283">
        <f t="shared" ref="D143:D152" si="95">H57</f>
        <v>251.14949999999999</v>
      </c>
      <c r="E143" s="257">
        <v>820</v>
      </c>
      <c r="F143" s="115">
        <f>E143*D143</f>
        <v>205942.59</v>
      </c>
      <c r="G143" s="255">
        <v>1</v>
      </c>
      <c r="H143" s="115">
        <f>(F143*C143)*G143</f>
        <v>2471311.08</v>
      </c>
      <c r="I143" s="85">
        <f t="shared" ref="I143:I152" si="96">$I$154*H143</f>
        <v>123565.554</v>
      </c>
      <c r="J143" s="270">
        <f t="shared" ref="J143:J152" si="97">IFERROR((AU4 * (M125/100)) / (F57 * (G143/100) * (1 - ($I$154/100))), 0)</f>
        <v>756.74176814600025</v>
      </c>
      <c r="K143" s="10">
        <f>IFERROR(100%/L143, "0")</f>
        <v>12.084136669799859</v>
      </c>
      <c r="L143" s="218">
        <f t="shared" ref="L143:L152" si="98">IFERROR(M143/(AU4-AT4), "0.00%")</f>
        <v>8.275311901256098E-2</v>
      </c>
      <c r="M143" s="71">
        <f t="shared" ref="M143:M152" si="99">H143-I143</f>
        <v>2347745.5260000001</v>
      </c>
      <c r="Q143" s="269" t="s">
        <v>38</v>
      </c>
      <c r="R143" s="270">
        <f t="shared" ref="R143:R152" si="100">G57</f>
        <v>12</v>
      </c>
      <c r="S143" s="255"/>
      <c r="T143" s="270">
        <f>(R143*365)*S143</f>
        <v>0</v>
      </c>
      <c r="U143" s="257"/>
      <c r="V143" s="115">
        <f t="shared" ref="V143:V152" si="101">IFERROR((U143*T143)/R143, "0")</f>
        <v>0</v>
      </c>
      <c r="W143" s="255"/>
      <c r="X143" s="115">
        <f t="shared" ref="X143:X152" si="102">(U143*T143)+((T143*U143)*W143)</f>
        <v>0</v>
      </c>
      <c r="Y143" s="85">
        <f t="shared" ref="Y143:Y152" si="103">X143*$Y$154</f>
        <v>0</v>
      </c>
      <c r="Z143" s="10">
        <f t="shared" ref="Z143:Z152" si="104">IFERROR((AU4-AT4) / ((U143 * R143 * (1 - $Y$154) * S143 * 365) * (1 + W143)), 0)</f>
        <v>0</v>
      </c>
      <c r="AA143" s="218">
        <f>IFERROR(AC143/(AU4-AT4), "0.00%")</f>
        <v>0</v>
      </c>
      <c r="AB143" s="270">
        <f t="shared" ref="AB143:AB152" si="105">IFERROR(((AU4-AT4) * (M125/100)) / (R143 * (S143/100) * (1 - ($Y$154/100)) * 365), 0)*(1+W143)</f>
        <v>0</v>
      </c>
      <c r="AC143" s="71">
        <f t="shared" ref="AC143:AC152" si="106">X143-Y143</f>
        <v>0</v>
      </c>
    </row>
    <row r="144" spans="1:30" ht="22.5" x14ac:dyDescent="0.25">
      <c r="A144" s="97"/>
      <c r="B144" s="280" t="s">
        <v>39</v>
      </c>
      <c r="C144" s="272">
        <f t="shared" ref="C144:C152" si="107">G58</f>
        <v>11</v>
      </c>
      <c r="D144" s="16">
        <f>H58</f>
        <v>303.63636363636363</v>
      </c>
      <c r="E144" s="257"/>
      <c r="F144" s="113">
        <f>E144*D144</f>
        <v>0</v>
      </c>
      <c r="G144" s="34"/>
      <c r="H144" s="113">
        <f>(F144*C144)*G144</f>
        <v>0</v>
      </c>
      <c r="I144" s="86">
        <f t="shared" si="96"/>
        <v>0</v>
      </c>
      <c r="J144" s="272">
        <f t="shared" si="97"/>
        <v>0</v>
      </c>
      <c r="K144" s="110" t="str">
        <f t="shared" ref="K144:K147" si="108">IFERROR(100%/L144, "0")</f>
        <v>0</v>
      </c>
      <c r="L144" s="114">
        <f t="shared" si="98"/>
        <v>0</v>
      </c>
      <c r="M144" s="72">
        <f>H144-I144</f>
        <v>0</v>
      </c>
      <c r="Q144" s="280" t="s">
        <v>39</v>
      </c>
      <c r="R144" s="272">
        <f t="shared" si="100"/>
        <v>11</v>
      </c>
      <c r="S144" s="34"/>
      <c r="T144" s="272">
        <f t="shared" ref="T144:T149" si="109">(R144*365)*S144</f>
        <v>0</v>
      </c>
      <c r="U144" s="257"/>
      <c r="V144" s="113">
        <f t="shared" si="101"/>
        <v>0</v>
      </c>
      <c r="W144" s="34"/>
      <c r="X144" s="113">
        <f>(U144*T144)+((T144*U144)*W144)</f>
        <v>0</v>
      </c>
      <c r="Y144" s="86">
        <f>X144*$Y$154</f>
        <v>0</v>
      </c>
      <c r="Z144" s="110">
        <f t="shared" si="104"/>
        <v>0</v>
      </c>
      <c r="AA144" s="111">
        <f t="shared" ref="AA144:AA152" si="110">IFERROR(AC144/(AU5-AT5), "0.00%")</f>
        <v>0</v>
      </c>
      <c r="AB144" s="272">
        <f t="shared" si="105"/>
        <v>0</v>
      </c>
      <c r="AC144" s="72">
        <f>X144-Y144</f>
        <v>0</v>
      </c>
    </row>
    <row r="145" spans="1:31" ht="22.5" x14ac:dyDescent="0.25">
      <c r="A145" s="97"/>
      <c r="B145" s="269" t="s">
        <v>40</v>
      </c>
      <c r="C145" s="270">
        <f t="shared" si="107"/>
        <v>0</v>
      </c>
      <c r="D145" s="283" t="str">
        <f>H59</f>
        <v>0.00</v>
      </c>
      <c r="E145" s="257"/>
      <c r="F145" s="115">
        <f t="shared" ref="F145:F152" si="111">E145*D145</f>
        <v>0</v>
      </c>
      <c r="G145" s="255"/>
      <c r="H145" s="115">
        <f t="shared" ref="H145:H152" si="112">(F145*C145)*G145</f>
        <v>0</v>
      </c>
      <c r="I145" s="85">
        <f t="shared" si="96"/>
        <v>0</v>
      </c>
      <c r="J145" s="270">
        <f t="shared" si="97"/>
        <v>0</v>
      </c>
      <c r="K145" s="10" t="str">
        <f t="shared" si="108"/>
        <v>0</v>
      </c>
      <c r="L145" s="28" t="str">
        <f t="shared" si="98"/>
        <v>0.00%</v>
      </c>
      <c r="M145" s="71">
        <f t="shared" si="99"/>
        <v>0</v>
      </c>
      <c r="Q145" s="269" t="s">
        <v>40</v>
      </c>
      <c r="R145" s="270">
        <f t="shared" si="100"/>
        <v>0</v>
      </c>
      <c r="S145" s="255"/>
      <c r="T145" s="270">
        <f t="shared" si="109"/>
        <v>0</v>
      </c>
      <c r="U145" s="257"/>
      <c r="V145" s="115" t="str">
        <f t="shared" si="101"/>
        <v>0</v>
      </c>
      <c r="W145" s="255"/>
      <c r="X145" s="115">
        <f t="shared" si="102"/>
        <v>0</v>
      </c>
      <c r="Y145" s="85">
        <f t="shared" si="103"/>
        <v>0</v>
      </c>
      <c r="Z145" s="10">
        <f t="shared" si="104"/>
        <v>0</v>
      </c>
      <c r="AA145" s="28" t="str">
        <f t="shared" si="110"/>
        <v>0.00%</v>
      </c>
      <c r="AB145" s="270">
        <f t="shared" si="105"/>
        <v>0</v>
      </c>
      <c r="AC145" s="71">
        <f t="shared" si="106"/>
        <v>0</v>
      </c>
    </row>
    <row r="146" spans="1:31" ht="22.5" x14ac:dyDescent="0.25">
      <c r="A146" s="97"/>
      <c r="B146" s="280" t="s">
        <v>41</v>
      </c>
      <c r="C146" s="272">
        <f t="shared" si="107"/>
        <v>0</v>
      </c>
      <c r="D146" s="16" t="str">
        <f t="shared" si="95"/>
        <v>0.00</v>
      </c>
      <c r="E146" s="257"/>
      <c r="F146" s="113">
        <f t="shared" si="111"/>
        <v>0</v>
      </c>
      <c r="G146" s="34"/>
      <c r="H146" s="113">
        <f t="shared" si="112"/>
        <v>0</v>
      </c>
      <c r="I146" s="86">
        <f t="shared" si="96"/>
        <v>0</v>
      </c>
      <c r="J146" s="272">
        <f t="shared" si="97"/>
        <v>0</v>
      </c>
      <c r="K146" s="110" t="str">
        <f t="shared" si="108"/>
        <v>0</v>
      </c>
      <c r="L146" s="222" t="str">
        <f t="shared" si="98"/>
        <v>0.00%</v>
      </c>
      <c r="M146" s="72">
        <f t="shared" si="99"/>
        <v>0</v>
      </c>
      <c r="Q146" s="280" t="s">
        <v>41</v>
      </c>
      <c r="R146" s="272">
        <f t="shared" si="100"/>
        <v>0</v>
      </c>
      <c r="S146" s="34"/>
      <c r="T146" s="272">
        <f t="shared" si="109"/>
        <v>0</v>
      </c>
      <c r="U146" s="257"/>
      <c r="V146" s="113" t="str">
        <f t="shared" si="101"/>
        <v>0</v>
      </c>
      <c r="W146" s="34"/>
      <c r="X146" s="113">
        <f t="shared" si="102"/>
        <v>0</v>
      </c>
      <c r="Y146" s="86">
        <f t="shared" si="103"/>
        <v>0</v>
      </c>
      <c r="Z146" s="110">
        <f t="shared" si="104"/>
        <v>0</v>
      </c>
      <c r="AA146" s="222" t="str">
        <f t="shared" si="110"/>
        <v>0.00%</v>
      </c>
      <c r="AB146" s="272">
        <f t="shared" si="105"/>
        <v>0</v>
      </c>
      <c r="AC146" s="72">
        <f t="shared" si="106"/>
        <v>0</v>
      </c>
    </row>
    <row r="147" spans="1:31" ht="22.5" x14ac:dyDescent="0.25">
      <c r="A147" s="97"/>
      <c r="B147" s="269" t="s">
        <v>65</v>
      </c>
      <c r="C147" s="270">
        <f t="shared" si="107"/>
        <v>0</v>
      </c>
      <c r="D147" s="283" t="str">
        <f t="shared" si="95"/>
        <v>0.00</v>
      </c>
      <c r="E147" s="257"/>
      <c r="F147" s="115">
        <f t="shared" si="111"/>
        <v>0</v>
      </c>
      <c r="G147" s="255"/>
      <c r="H147" s="115">
        <f t="shared" si="112"/>
        <v>0</v>
      </c>
      <c r="I147" s="85">
        <f t="shared" si="96"/>
        <v>0</v>
      </c>
      <c r="J147" s="270">
        <f t="shared" si="97"/>
        <v>0</v>
      </c>
      <c r="K147" s="10" t="str">
        <f t="shared" si="108"/>
        <v>0</v>
      </c>
      <c r="L147" s="28" t="str">
        <f t="shared" si="98"/>
        <v>0.00%</v>
      </c>
      <c r="M147" s="71">
        <f t="shared" si="99"/>
        <v>0</v>
      </c>
      <c r="Q147" s="269" t="s">
        <v>65</v>
      </c>
      <c r="R147" s="270">
        <f t="shared" si="100"/>
        <v>0</v>
      </c>
      <c r="S147" s="255"/>
      <c r="T147" s="270">
        <f t="shared" si="109"/>
        <v>0</v>
      </c>
      <c r="U147" s="257"/>
      <c r="V147" s="115" t="str">
        <f t="shared" si="101"/>
        <v>0</v>
      </c>
      <c r="W147" s="255"/>
      <c r="X147" s="115">
        <f t="shared" si="102"/>
        <v>0</v>
      </c>
      <c r="Y147" s="85">
        <f t="shared" si="103"/>
        <v>0</v>
      </c>
      <c r="Z147" s="10">
        <f t="shared" si="104"/>
        <v>0</v>
      </c>
      <c r="AA147" s="28" t="str">
        <f t="shared" si="110"/>
        <v>0.00%</v>
      </c>
      <c r="AB147" s="270">
        <f t="shared" si="105"/>
        <v>0</v>
      </c>
      <c r="AC147" s="71">
        <f t="shared" si="106"/>
        <v>0</v>
      </c>
    </row>
    <row r="148" spans="1:31" ht="22.5" x14ac:dyDescent="0.25">
      <c r="A148" s="97"/>
      <c r="B148" s="280" t="s">
        <v>263</v>
      </c>
      <c r="C148" s="272">
        <f t="shared" si="107"/>
        <v>0</v>
      </c>
      <c r="D148" s="16" t="str">
        <f t="shared" si="95"/>
        <v>0.00</v>
      </c>
      <c r="E148" s="257"/>
      <c r="F148" s="113">
        <f>E148*D148</f>
        <v>0</v>
      </c>
      <c r="G148" s="34"/>
      <c r="H148" s="113">
        <f>(F148*C148)*G148</f>
        <v>0</v>
      </c>
      <c r="I148" s="86">
        <f t="shared" si="96"/>
        <v>0</v>
      </c>
      <c r="J148" s="272">
        <f t="shared" si="97"/>
        <v>0</v>
      </c>
      <c r="K148" s="110" t="str">
        <f>IFERROR(100%/L148, "0")</f>
        <v>0</v>
      </c>
      <c r="L148" s="222" t="str">
        <f t="shared" si="98"/>
        <v>0.00%</v>
      </c>
      <c r="M148" s="72">
        <f t="shared" si="99"/>
        <v>0</v>
      </c>
      <c r="Q148" s="280" t="s">
        <v>263</v>
      </c>
      <c r="R148" s="272">
        <f t="shared" si="100"/>
        <v>0</v>
      </c>
      <c r="S148" s="34"/>
      <c r="T148" s="272">
        <f t="shared" si="109"/>
        <v>0</v>
      </c>
      <c r="U148" s="257"/>
      <c r="V148" s="113" t="str">
        <f t="shared" si="101"/>
        <v>0</v>
      </c>
      <c r="W148" s="34"/>
      <c r="X148" s="113">
        <f t="shared" si="102"/>
        <v>0</v>
      </c>
      <c r="Y148" s="86">
        <f t="shared" si="103"/>
        <v>0</v>
      </c>
      <c r="Z148" s="110">
        <f t="shared" si="104"/>
        <v>0</v>
      </c>
      <c r="AA148" s="222" t="str">
        <f t="shared" si="110"/>
        <v>0.00%</v>
      </c>
      <c r="AB148" s="272">
        <f t="shared" si="105"/>
        <v>0</v>
      </c>
      <c r="AC148" s="72">
        <f t="shared" si="106"/>
        <v>0</v>
      </c>
    </row>
    <row r="149" spans="1:31" ht="22.5" x14ac:dyDescent="0.25">
      <c r="A149" s="97"/>
      <c r="B149" s="269" t="s">
        <v>42</v>
      </c>
      <c r="C149" s="270">
        <f t="shared" si="107"/>
        <v>0</v>
      </c>
      <c r="D149" s="283" t="str">
        <f t="shared" si="95"/>
        <v>0.00</v>
      </c>
      <c r="E149" s="257"/>
      <c r="F149" s="115">
        <f>E149*D149</f>
        <v>0</v>
      </c>
      <c r="G149" s="255"/>
      <c r="H149" s="115">
        <f t="shared" si="112"/>
        <v>0</v>
      </c>
      <c r="I149" s="85">
        <f t="shared" si="96"/>
        <v>0</v>
      </c>
      <c r="J149" s="270">
        <f t="shared" si="97"/>
        <v>0</v>
      </c>
      <c r="K149" s="10" t="str">
        <f>IFERROR(100%/L149, "0")</f>
        <v>0</v>
      </c>
      <c r="L149" s="28" t="str">
        <f t="shared" si="98"/>
        <v>0.00%</v>
      </c>
      <c r="M149" s="71">
        <f t="shared" si="99"/>
        <v>0</v>
      </c>
      <c r="Q149" s="269" t="s">
        <v>42</v>
      </c>
      <c r="R149" s="270">
        <f t="shared" si="100"/>
        <v>0</v>
      </c>
      <c r="S149" s="255"/>
      <c r="T149" s="270">
        <f t="shared" si="109"/>
        <v>0</v>
      </c>
      <c r="U149" s="257"/>
      <c r="V149" s="115" t="str">
        <f t="shared" si="101"/>
        <v>0</v>
      </c>
      <c r="W149" s="255"/>
      <c r="X149" s="115">
        <f t="shared" si="102"/>
        <v>0</v>
      </c>
      <c r="Y149" s="85">
        <f t="shared" si="103"/>
        <v>0</v>
      </c>
      <c r="Z149" s="10">
        <f t="shared" si="104"/>
        <v>0</v>
      </c>
      <c r="AA149" s="28" t="str">
        <f t="shared" si="110"/>
        <v>0.00%</v>
      </c>
      <c r="AB149" s="270">
        <f t="shared" si="105"/>
        <v>0</v>
      </c>
      <c r="AC149" s="71">
        <f t="shared" si="106"/>
        <v>0</v>
      </c>
    </row>
    <row r="150" spans="1:31" ht="22.5" x14ac:dyDescent="0.25">
      <c r="A150" s="97"/>
      <c r="B150" s="280" t="s">
        <v>43</v>
      </c>
      <c r="C150" s="272">
        <f t="shared" si="107"/>
        <v>100</v>
      </c>
      <c r="D150" s="16">
        <f t="shared" si="95"/>
        <v>35.669999999999987</v>
      </c>
      <c r="E150" s="257"/>
      <c r="F150" s="113">
        <f t="shared" si="111"/>
        <v>0</v>
      </c>
      <c r="G150" s="34"/>
      <c r="H150" s="113">
        <f t="shared" si="112"/>
        <v>0</v>
      </c>
      <c r="I150" s="86">
        <f t="shared" si="96"/>
        <v>0</v>
      </c>
      <c r="J150" s="272">
        <f t="shared" si="97"/>
        <v>0</v>
      </c>
      <c r="K150" s="110" t="str">
        <f t="shared" ref="K150:K152" si="113">IFERROR(100%/L150, "0")</f>
        <v>0</v>
      </c>
      <c r="L150" s="222">
        <f t="shared" si="98"/>
        <v>0</v>
      </c>
      <c r="M150" s="72">
        <f t="shared" si="99"/>
        <v>0</v>
      </c>
      <c r="Q150" s="280" t="s">
        <v>43</v>
      </c>
      <c r="R150" s="272">
        <f t="shared" si="100"/>
        <v>100</v>
      </c>
      <c r="S150" s="34">
        <v>0.65</v>
      </c>
      <c r="T150" s="272">
        <f>(R150*365)*S150</f>
        <v>23725</v>
      </c>
      <c r="U150" s="257">
        <v>900</v>
      </c>
      <c r="V150" s="113">
        <f>IFERROR((U150*T150)/R150, "0")</f>
        <v>213525</v>
      </c>
      <c r="W150" s="34"/>
      <c r="X150" s="113">
        <f>(U150*T150)+((T150*U150)*W150)</f>
        <v>21352500</v>
      </c>
      <c r="Y150" s="86">
        <f>X150*$Y$154</f>
        <v>6405750</v>
      </c>
      <c r="Z150" s="110">
        <f t="shared" si="104"/>
        <v>9.4058136153707359</v>
      </c>
      <c r="AA150" s="222">
        <f t="shared" si="110"/>
        <v>0.10631722473915771</v>
      </c>
      <c r="AB150" s="272">
        <f t="shared" si="105"/>
        <v>416.04451397978886</v>
      </c>
      <c r="AC150" s="72">
        <f>X150-Y150</f>
        <v>14946750</v>
      </c>
    </row>
    <row r="151" spans="1:31" ht="22.5" x14ac:dyDescent="0.25">
      <c r="A151" s="97"/>
      <c r="B151" s="269" t="s">
        <v>44</v>
      </c>
      <c r="C151" s="270">
        <f t="shared" si="107"/>
        <v>0</v>
      </c>
      <c r="D151" s="283" t="str">
        <f t="shared" si="95"/>
        <v>0.00</v>
      </c>
      <c r="E151" s="257"/>
      <c r="F151" s="115">
        <f t="shared" si="111"/>
        <v>0</v>
      </c>
      <c r="G151" s="255"/>
      <c r="H151" s="115">
        <f t="shared" si="112"/>
        <v>0</v>
      </c>
      <c r="I151" s="85">
        <f t="shared" si="96"/>
        <v>0</v>
      </c>
      <c r="J151" s="270">
        <f t="shared" si="97"/>
        <v>0</v>
      </c>
      <c r="K151" s="10" t="str">
        <f t="shared" si="113"/>
        <v>0</v>
      </c>
      <c r="L151" s="28" t="str">
        <f t="shared" si="98"/>
        <v>0.00%</v>
      </c>
      <c r="M151" s="71">
        <f t="shared" si="99"/>
        <v>0</v>
      </c>
      <c r="Q151" s="269" t="s">
        <v>44</v>
      </c>
      <c r="R151" s="270">
        <f t="shared" si="100"/>
        <v>0</v>
      </c>
      <c r="S151" s="255"/>
      <c r="T151" s="270">
        <f t="shared" ref="T151:T152" si="114">(R151*365)*S151</f>
        <v>0</v>
      </c>
      <c r="U151" s="257"/>
      <c r="V151" s="115" t="str">
        <f t="shared" si="101"/>
        <v>0</v>
      </c>
      <c r="W151" s="255"/>
      <c r="X151" s="115">
        <f t="shared" si="102"/>
        <v>0</v>
      </c>
      <c r="Y151" s="85">
        <f t="shared" si="103"/>
        <v>0</v>
      </c>
      <c r="Z151" s="10">
        <f t="shared" si="104"/>
        <v>0</v>
      </c>
      <c r="AA151" s="28" t="str">
        <f t="shared" si="110"/>
        <v>0.00%</v>
      </c>
      <c r="AB151" s="270">
        <f t="shared" si="105"/>
        <v>0</v>
      </c>
      <c r="AC151" s="71">
        <f t="shared" si="106"/>
        <v>0</v>
      </c>
    </row>
    <row r="152" spans="1:31" ht="22.5" x14ac:dyDescent="0.25">
      <c r="A152" s="97"/>
      <c r="B152" s="280" t="s">
        <v>45</v>
      </c>
      <c r="C152" s="272">
        <f t="shared" si="107"/>
        <v>0</v>
      </c>
      <c r="D152" s="16" t="str">
        <f t="shared" si="95"/>
        <v>0.00</v>
      </c>
      <c r="E152" s="257"/>
      <c r="F152" s="113">
        <f t="shared" si="111"/>
        <v>0</v>
      </c>
      <c r="G152" s="34"/>
      <c r="H152" s="113">
        <f t="shared" si="112"/>
        <v>0</v>
      </c>
      <c r="I152" s="86">
        <f t="shared" si="96"/>
        <v>0</v>
      </c>
      <c r="J152" s="272">
        <f t="shared" si="97"/>
        <v>0</v>
      </c>
      <c r="K152" s="110" t="str">
        <f t="shared" si="113"/>
        <v>0</v>
      </c>
      <c r="L152" s="222" t="str">
        <f t="shared" si="98"/>
        <v>0.00%</v>
      </c>
      <c r="M152" s="72">
        <f t="shared" si="99"/>
        <v>0</v>
      </c>
      <c r="Q152" s="280" t="s">
        <v>45</v>
      </c>
      <c r="R152" s="272">
        <f t="shared" si="100"/>
        <v>0</v>
      </c>
      <c r="S152" s="34"/>
      <c r="T152" s="272">
        <f t="shared" si="114"/>
        <v>0</v>
      </c>
      <c r="U152" s="257"/>
      <c r="V152" s="113" t="str">
        <f t="shared" si="101"/>
        <v>0</v>
      </c>
      <c r="W152" s="34"/>
      <c r="X152" s="113">
        <f t="shared" si="102"/>
        <v>0</v>
      </c>
      <c r="Y152" s="86">
        <f t="shared" si="103"/>
        <v>0</v>
      </c>
      <c r="Z152" s="110">
        <f t="shared" si="104"/>
        <v>0</v>
      </c>
      <c r="AA152" s="222" t="str">
        <f t="shared" si="110"/>
        <v>0.00%</v>
      </c>
      <c r="AB152" s="272">
        <f t="shared" si="105"/>
        <v>0</v>
      </c>
      <c r="AC152" s="72">
        <f t="shared" si="106"/>
        <v>0</v>
      </c>
    </row>
    <row r="153" spans="1:31" ht="23.25" thickBot="1" x14ac:dyDescent="0.3">
      <c r="A153" s="97"/>
      <c r="B153" s="1" t="s">
        <v>94</v>
      </c>
      <c r="C153" s="217">
        <f>SUM(C143:C152)</f>
        <v>123</v>
      </c>
      <c r="D153" s="318" t="s">
        <v>67</v>
      </c>
      <c r="E153" s="656" t="s">
        <v>67</v>
      </c>
      <c r="F153" s="656" cm="1">
        <f t="array" ref="F153">SUMPRODUCT((F143:F152&lt;&gt;0)*(F143:F152&lt;&gt;""), F143:F152, C143:C152) / SUMIFS(C143:C152, F143:F152, "&lt;&gt;0", F143:F152, "&lt;&gt;")</f>
        <v>205942.59</v>
      </c>
      <c r="G153" s="327" cm="1">
        <f t="array" ref="G153">SUMPRODUCT((C143:C152&gt;0)*(D143:D152&gt;0), G143:G152, C143:C152, D143:D152) / SUMPRODUCT((C143:C152&gt;0)*(D143:D152&gt;0), C143:C152, D143:D152)</f>
        <v>0.30378556393772521</v>
      </c>
      <c r="H153" s="657">
        <f>SUMIF(H143:H152, "&lt;&gt;#DIV/0!")</f>
        <v>2471311.08</v>
      </c>
      <c r="I153" s="87">
        <f>SUM(I143:I152)</f>
        <v>123565.554</v>
      </c>
      <c r="J153" s="328" cm="1">
        <f t="array" ref="J153">SUMPRODUCT((C143:C152&gt;0)*(D143:D152&gt;0), J143:J152, C143:C152, D143:D152) /
 SUMPRODUCT((C143:C152&gt;0)*(D143:D152&gt;0), C143:C152, D143:D152)</f>
        <v>229.88722479146398</v>
      </c>
      <c r="K153" s="328" t="s">
        <v>67</v>
      </c>
      <c r="L153" s="329" t="s">
        <v>67</v>
      </c>
      <c r="M153" s="73">
        <f>SUMIF(M143:M152, "&lt;&gt;#DIV/0!")</f>
        <v>2347745.5260000001</v>
      </c>
      <c r="Q153" s="1" t="s">
        <v>94</v>
      </c>
      <c r="R153" s="217">
        <f>SUM(R143:R152)</f>
        <v>123</v>
      </c>
      <c r="S153" s="330" t="s">
        <v>67</v>
      </c>
      <c r="T153" s="217">
        <f>SUM(T143:T152)</f>
        <v>23725</v>
      </c>
      <c r="U153" s="217" t="s">
        <v>67</v>
      </c>
      <c r="V153" s="217" t="s">
        <v>67</v>
      </c>
      <c r="W153" s="19" t="s">
        <v>67</v>
      </c>
      <c r="X153" s="657">
        <f>SUM(X143:X152)</f>
        <v>21352500</v>
      </c>
      <c r="Y153" s="654">
        <f>SUM(Y143:Y152)</f>
        <v>6405750</v>
      </c>
      <c r="Z153" s="328" t="s">
        <v>67</v>
      </c>
      <c r="AA153" s="329" t="s">
        <v>67</v>
      </c>
      <c r="AB153" s="314" t="s">
        <v>67</v>
      </c>
      <c r="AC153" s="73">
        <f>SUM(AC143:AC152)</f>
        <v>14946750</v>
      </c>
    </row>
    <row r="154" spans="1:31" ht="12" thickBot="1" x14ac:dyDescent="0.3">
      <c r="C154" s="172"/>
      <c r="D154" s="172"/>
      <c r="E154" s="172"/>
      <c r="F154" s="172"/>
      <c r="G154" s="172"/>
      <c r="I154" s="88">
        <v>0.05</v>
      </c>
      <c r="J154" s="172"/>
      <c r="L154" s="97"/>
      <c r="P154" s="172"/>
      <c r="Q154" s="172"/>
      <c r="R154" s="172"/>
      <c r="S154" s="172"/>
      <c r="T154" s="172"/>
      <c r="U154" s="172"/>
      <c r="V154" s="172"/>
      <c r="W154" s="172"/>
      <c r="X154" s="172"/>
      <c r="Y154" s="107">
        <v>0.3</v>
      </c>
      <c r="AA154" s="259"/>
    </row>
    <row r="155" spans="1:31" x14ac:dyDescent="0.25">
      <c r="C155" s="172"/>
      <c r="D155" s="172"/>
      <c r="E155" s="172"/>
      <c r="F155" s="172"/>
      <c r="G155" s="172"/>
      <c r="H155" s="172"/>
      <c r="I155" s="172"/>
      <c r="J155" s="172"/>
      <c r="K155" s="97"/>
      <c r="L155" s="177"/>
      <c r="M155" s="172"/>
      <c r="O155" s="172"/>
      <c r="P155" s="172"/>
      <c r="Q155" s="172"/>
      <c r="R155" s="172"/>
      <c r="S155" s="172"/>
      <c r="T155" s="172"/>
      <c r="U155" s="172"/>
      <c r="V155" s="172"/>
      <c r="W155" s="172"/>
      <c r="X155" s="172"/>
      <c r="AB155" s="172"/>
      <c r="AC155" s="172"/>
      <c r="AD155" s="172"/>
      <c r="AE155" s="172"/>
    </row>
    <row r="156" spans="1:31" x14ac:dyDescent="0.25">
      <c r="X156" s="97"/>
      <c r="AA156" s="180"/>
      <c r="AB156" s="97"/>
    </row>
    <row r="157" spans="1:31" x14ac:dyDescent="0.25">
      <c r="E157" s="97"/>
    </row>
    <row r="158" spans="1:31" ht="12" thickBot="1" x14ac:dyDescent="0.3">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c r="AA158" s="172"/>
      <c r="AB158" s="172"/>
      <c r="AC158" s="172"/>
    </row>
    <row r="159" spans="1:31" ht="15.75" x14ac:dyDescent="0.25">
      <c r="A159" s="172"/>
      <c r="B159" s="938" t="s">
        <v>280</v>
      </c>
      <c r="C159" s="939"/>
      <c r="D159" s="939"/>
      <c r="E159" s="939"/>
      <c r="F159" s="250"/>
      <c r="G159" s="250"/>
      <c r="H159" s="250"/>
      <c r="I159" s="250"/>
      <c r="J159" s="250"/>
      <c r="K159" s="250"/>
      <c r="L159" s="250"/>
      <c r="M159" s="250"/>
      <c r="N159" s="250"/>
      <c r="O159" s="250"/>
      <c r="P159" s="250"/>
      <c r="Q159" s="250"/>
      <c r="R159" s="250"/>
      <c r="S159" s="250"/>
      <c r="T159" s="250"/>
      <c r="U159" s="250"/>
      <c r="V159" s="250"/>
      <c r="W159" s="250"/>
      <c r="X159" s="250"/>
      <c r="Y159" s="250"/>
      <c r="Z159" s="250"/>
      <c r="AA159" s="250"/>
      <c r="AB159" s="250"/>
      <c r="AC159" s="251"/>
      <c r="AD159" s="172"/>
    </row>
    <row r="160" spans="1:31" ht="15.75" x14ac:dyDescent="0.25">
      <c r="A160" s="172"/>
      <c r="B160" s="940"/>
      <c r="C160" s="941"/>
      <c r="D160" s="941"/>
      <c r="E160" s="941"/>
      <c r="F160" s="379"/>
      <c r="G160" s="379"/>
      <c r="H160" s="379"/>
      <c r="I160" s="379"/>
      <c r="J160" s="379"/>
      <c r="K160" s="379"/>
      <c r="L160" s="379"/>
      <c r="M160" s="379"/>
      <c r="N160" s="379"/>
      <c r="O160" s="379"/>
      <c r="P160" s="379"/>
      <c r="Q160" s="379"/>
      <c r="R160" s="379"/>
      <c r="S160" s="379"/>
      <c r="T160" s="379"/>
      <c r="U160" s="379"/>
      <c r="V160" s="379"/>
      <c r="W160" s="379"/>
      <c r="X160" s="379"/>
      <c r="Y160" s="379"/>
      <c r="Z160" s="379"/>
      <c r="AA160" s="379"/>
      <c r="AB160" s="379"/>
      <c r="AC160" s="380"/>
      <c r="AD160" s="177"/>
    </row>
    <row r="161" spans="1:30" ht="15" x14ac:dyDescent="0.25">
      <c r="A161" s="172"/>
      <c r="B161" s="803" t="s">
        <v>279</v>
      </c>
      <c r="C161" s="756" t="s">
        <v>128</v>
      </c>
      <c r="D161" s="756"/>
      <c r="E161" s="937"/>
      <c r="F161" s="917" t="s">
        <v>98</v>
      </c>
      <c r="G161" s="813"/>
      <c r="H161" s="813"/>
      <c r="I161" s="813"/>
      <c r="J161" s="813" t="s">
        <v>100</v>
      </c>
      <c r="K161" s="813"/>
      <c r="L161" s="813"/>
      <c r="M161" s="813"/>
      <c r="N161" s="813" t="s">
        <v>102</v>
      </c>
      <c r="O161" s="813"/>
      <c r="P161" s="813"/>
      <c r="Q161" s="813"/>
      <c r="R161" s="813" t="s">
        <v>104</v>
      </c>
      <c r="S161" s="813"/>
      <c r="T161" s="813"/>
      <c r="U161" s="813"/>
      <c r="V161" s="813" t="s">
        <v>105</v>
      </c>
      <c r="W161" s="813"/>
      <c r="X161" s="813"/>
      <c r="Y161" s="813"/>
      <c r="Z161" s="813" t="s">
        <v>107</v>
      </c>
      <c r="AA161" s="813"/>
      <c r="AB161" s="813"/>
      <c r="AC161" s="899"/>
      <c r="AD161" s="172"/>
    </row>
    <row r="162" spans="1:30" ht="15" x14ac:dyDescent="0.25">
      <c r="A162" s="172"/>
      <c r="B162" s="803"/>
      <c r="C162" s="17" t="s">
        <v>67</v>
      </c>
      <c r="D162" s="36" t="s">
        <v>67</v>
      </c>
      <c r="E162" s="468" t="s">
        <v>129</v>
      </c>
      <c r="F162" s="462" t="s">
        <v>130</v>
      </c>
      <c r="G162" s="37" t="s">
        <v>131</v>
      </c>
      <c r="H162" s="37" t="s">
        <v>132</v>
      </c>
      <c r="I162" s="37" t="s">
        <v>133</v>
      </c>
      <c r="J162" s="37" t="s">
        <v>134</v>
      </c>
      <c r="K162" s="37" t="s">
        <v>135</v>
      </c>
      <c r="L162" s="37" t="s">
        <v>136</v>
      </c>
      <c r="M162" s="37" t="s">
        <v>137</v>
      </c>
      <c r="N162" s="37" t="s">
        <v>138</v>
      </c>
      <c r="O162" s="37" t="s">
        <v>139</v>
      </c>
      <c r="P162" s="37" t="s">
        <v>140</v>
      </c>
      <c r="Q162" s="37" t="s">
        <v>141</v>
      </c>
      <c r="R162" s="37" t="s">
        <v>142</v>
      </c>
      <c r="S162" s="37" t="s">
        <v>143</v>
      </c>
      <c r="T162" s="37" t="s">
        <v>144</v>
      </c>
      <c r="U162" s="37" t="s">
        <v>145</v>
      </c>
      <c r="V162" s="37" t="s">
        <v>146</v>
      </c>
      <c r="W162" s="37" t="s">
        <v>147</v>
      </c>
      <c r="X162" s="37" t="s">
        <v>148</v>
      </c>
      <c r="Y162" s="37" t="s">
        <v>149</v>
      </c>
      <c r="Z162" s="37" t="s">
        <v>150</v>
      </c>
      <c r="AA162" s="37" t="s">
        <v>151</v>
      </c>
      <c r="AB162" s="37" t="s">
        <v>152</v>
      </c>
      <c r="AC162" s="38" t="s">
        <v>153</v>
      </c>
      <c r="AD162" s="172"/>
    </row>
    <row r="163" spans="1:30" ht="22.5" x14ac:dyDescent="0.25">
      <c r="A163" s="172"/>
      <c r="B163" s="208" t="s">
        <v>209</v>
      </c>
      <c r="C163" s="17" t="s">
        <v>67</v>
      </c>
      <c r="D163" s="57" t="b">
        <f>E163=100%</f>
        <v>1</v>
      </c>
      <c r="E163" s="474">
        <f t="shared" ref="E163:E171" si="115">SUM(F163:AC163)</f>
        <v>1</v>
      </c>
      <c r="F163" s="471">
        <f t="shared" ref="F163:AC163" si="116">F180/$C$180</f>
        <v>0</v>
      </c>
      <c r="G163" s="291">
        <f t="shared" si="116"/>
        <v>0</v>
      </c>
      <c r="H163" s="291">
        <f t="shared" si="116"/>
        <v>0</v>
      </c>
      <c r="I163" s="291">
        <f t="shared" si="116"/>
        <v>0</v>
      </c>
      <c r="J163" s="291">
        <f t="shared" si="116"/>
        <v>2.8058361391694726E-2</v>
      </c>
      <c r="K163" s="291">
        <f t="shared" si="116"/>
        <v>4.9584736251402917E-2</v>
      </c>
      <c r="L163" s="291">
        <f t="shared" si="116"/>
        <v>8.9623793490460152E-2</v>
      </c>
      <c r="M163" s="291">
        <f t="shared" si="116"/>
        <v>0.13976733108866446</v>
      </c>
      <c r="N163" s="291">
        <f t="shared" si="116"/>
        <v>0.22321779205387207</v>
      </c>
      <c r="O163" s="291">
        <f t="shared" si="116"/>
        <v>0.2282170190590348</v>
      </c>
      <c r="P163" s="291">
        <f t="shared" si="116"/>
        <v>0.14491857999892258</v>
      </c>
      <c r="Q163" s="291">
        <f t="shared" si="116"/>
        <v>6.9560918399482835E-2</v>
      </c>
      <c r="R163" s="291">
        <f t="shared" si="116"/>
        <v>2.1370659930507768E-2</v>
      </c>
      <c r="S163" s="291">
        <f t="shared" si="116"/>
        <v>4.8854951689236738E-3</v>
      </c>
      <c r="T163" s="291">
        <f t="shared" si="116"/>
        <v>7.3964124534169962E-4</v>
      </c>
      <c r="U163" s="291">
        <f t="shared" si="116"/>
        <v>5.5671921692385848E-5</v>
      </c>
      <c r="V163" s="291">
        <f t="shared" si="116"/>
        <v>0</v>
      </c>
      <c r="W163" s="291">
        <f t="shared" si="116"/>
        <v>0</v>
      </c>
      <c r="X163" s="291">
        <f t="shared" si="116"/>
        <v>0</v>
      </c>
      <c r="Y163" s="291">
        <f t="shared" si="116"/>
        <v>0</v>
      </c>
      <c r="Z163" s="291">
        <f t="shared" si="116"/>
        <v>0</v>
      </c>
      <c r="AA163" s="291">
        <f t="shared" si="116"/>
        <v>0</v>
      </c>
      <c r="AB163" s="291">
        <f t="shared" si="116"/>
        <v>0</v>
      </c>
      <c r="AC163" s="292">
        <f t="shared" si="116"/>
        <v>0</v>
      </c>
      <c r="AD163" s="176"/>
    </row>
    <row r="164" spans="1:30" ht="22.5" x14ac:dyDescent="0.25">
      <c r="A164" s="172"/>
      <c r="B164" s="208" t="s">
        <v>154</v>
      </c>
      <c r="C164" s="17" t="s">
        <v>67</v>
      </c>
      <c r="D164" s="57" t="b">
        <f t="shared" ref="D164:D168" si="117">E164=100%</f>
        <v>1</v>
      </c>
      <c r="E164" s="474">
        <f t="shared" si="115"/>
        <v>1</v>
      </c>
      <c r="F164" s="471">
        <f t="shared" ref="F164:AC164" si="118">F185/$E$185</f>
        <v>0</v>
      </c>
      <c r="G164" s="291">
        <f t="shared" si="118"/>
        <v>0</v>
      </c>
      <c r="H164" s="291">
        <f t="shared" si="118"/>
        <v>0</v>
      </c>
      <c r="I164" s="291">
        <f t="shared" si="118"/>
        <v>0</v>
      </c>
      <c r="J164" s="291">
        <f t="shared" si="118"/>
        <v>0</v>
      </c>
      <c r="K164" s="291">
        <f t="shared" si="118"/>
        <v>0</v>
      </c>
      <c r="L164" s="291">
        <f t="shared" si="118"/>
        <v>4.6953299202976979E-2</v>
      </c>
      <c r="M164" s="291">
        <f t="shared" si="118"/>
        <v>1.4718867965977189E-2</v>
      </c>
      <c r="N164" s="291">
        <f t="shared" si="118"/>
        <v>4.0476886906437269E-2</v>
      </c>
      <c r="O164" s="291">
        <f t="shared" si="118"/>
        <v>4.0476886906437269E-2</v>
      </c>
      <c r="P164" s="291">
        <f t="shared" si="118"/>
        <v>0.10671179275333463</v>
      </c>
      <c r="Q164" s="291">
        <f t="shared" si="118"/>
        <v>0.16558726461724338</v>
      </c>
      <c r="R164" s="291">
        <f t="shared" si="118"/>
        <v>0.11223136824057607</v>
      </c>
      <c r="S164" s="291">
        <f t="shared" si="118"/>
        <v>0.13614952868528901</v>
      </c>
      <c r="T164" s="291">
        <f t="shared" si="118"/>
        <v>0.13246981169379471</v>
      </c>
      <c r="U164" s="291">
        <f t="shared" si="118"/>
        <v>0.18398584957471487</v>
      </c>
      <c r="V164" s="291">
        <f t="shared" si="118"/>
        <v>5.5195754872414465E-3</v>
      </c>
      <c r="W164" s="291">
        <f t="shared" si="118"/>
        <v>1.4718867965977189E-2</v>
      </c>
      <c r="X164" s="291">
        <f t="shared" si="118"/>
        <v>0</v>
      </c>
      <c r="Y164" s="291">
        <f t="shared" si="118"/>
        <v>0</v>
      </c>
      <c r="Z164" s="291">
        <f t="shared" si="118"/>
        <v>0</v>
      </c>
      <c r="AA164" s="291">
        <f t="shared" si="118"/>
        <v>0</v>
      </c>
      <c r="AB164" s="291">
        <f t="shared" si="118"/>
        <v>0</v>
      </c>
      <c r="AC164" s="292">
        <f t="shared" si="118"/>
        <v>0</v>
      </c>
      <c r="AD164" s="176"/>
    </row>
    <row r="165" spans="1:30" ht="22.5" x14ac:dyDescent="0.25">
      <c r="A165" s="172"/>
      <c r="B165" s="208" t="s">
        <v>155</v>
      </c>
      <c r="C165" s="17" t="s">
        <v>67</v>
      </c>
      <c r="D165" s="57" t="b">
        <f t="shared" si="117"/>
        <v>1</v>
      </c>
      <c r="E165" s="474">
        <f t="shared" si="115"/>
        <v>1</v>
      </c>
      <c r="F165" s="471">
        <f t="shared" ref="F165:AC165" si="119">F187/$E$187</f>
        <v>0</v>
      </c>
      <c r="G165" s="291">
        <f t="shared" si="119"/>
        <v>0</v>
      </c>
      <c r="H165" s="291">
        <f t="shared" si="119"/>
        <v>0</v>
      </c>
      <c r="I165" s="291">
        <f t="shared" si="119"/>
        <v>0</v>
      </c>
      <c r="J165" s="291">
        <f t="shared" si="119"/>
        <v>0</v>
      </c>
      <c r="K165" s="291">
        <f t="shared" si="119"/>
        <v>0</v>
      </c>
      <c r="L165" s="291">
        <f t="shared" si="119"/>
        <v>0</v>
      </c>
      <c r="M165" s="291">
        <f t="shared" si="119"/>
        <v>0</v>
      </c>
      <c r="N165" s="291">
        <f t="shared" si="119"/>
        <v>0</v>
      </c>
      <c r="O165" s="291">
        <f t="shared" si="119"/>
        <v>0</v>
      </c>
      <c r="P165" s="291">
        <f t="shared" si="119"/>
        <v>0</v>
      </c>
      <c r="Q165" s="291">
        <f t="shared" si="119"/>
        <v>0</v>
      </c>
      <c r="R165" s="291">
        <f t="shared" si="119"/>
        <v>0</v>
      </c>
      <c r="S165" s="291">
        <f t="shared" si="119"/>
        <v>0</v>
      </c>
      <c r="T165" s="291">
        <f t="shared" si="119"/>
        <v>0</v>
      </c>
      <c r="U165" s="291">
        <f t="shared" si="119"/>
        <v>0</v>
      </c>
      <c r="V165" s="291">
        <f t="shared" si="119"/>
        <v>0</v>
      </c>
      <c r="W165" s="291">
        <f t="shared" si="119"/>
        <v>0</v>
      </c>
      <c r="X165" s="291">
        <f t="shared" si="119"/>
        <v>4.2866363812242236E-2</v>
      </c>
      <c r="Y165" s="291">
        <f t="shared" si="119"/>
        <v>0.95713363618775771</v>
      </c>
      <c r="Z165" s="291">
        <f t="shared" si="119"/>
        <v>0</v>
      </c>
      <c r="AA165" s="291">
        <f t="shared" si="119"/>
        <v>0</v>
      </c>
      <c r="AB165" s="291">
        <f t="shared" si="119"/>
        <v>0</v>
      </c>
      <c r="AC165" s="292">
        <f t="shared" si="119"/>
        <v>0</v>
      </c>
      <c r="AD165" s="176"/>
    </row>
    <row r="166" spans="1:30" ht="22.5" x14ac:dyDescent="0.25">
      <c r="A166" s="172"/>
      <c r="B166" s="208" t="s">
        <v>156</v>
      </c>
      <c r="C166" s="17" t="s">
        <v>67</v>
      </c>
      <c r="D166" s="57" t="b">
        <f t="shared" si="117"/>
        <v>1</v>
      </c>
      <c r="E166" s="474">
        <f t="shared" si="115"/>
        <v>1.0000000000000002</v>
      </c>
      <c r="F166" s="471">
        <f t="shared" ref="F166:AC166" si="120">F210/$C$210</f>
        <v>0.37647058823529411</v>
      </c>
      <c r="G166" s="291">
        <f t="shared" si="120"/>
        <v>5.8823529411764705E-2</v>
      </c>
      <c r="H166" s="291">
        <f t="shared" si="120"/>
        <v>0</v>
      </c>
      <c r="I166" s="291">
        <f t="shared" si="120"/>
        <v>5.8823529411764705E-2</v>
      </c>
      <c r="J166" s="291">
        <f t="shared" si="120"/>
        <v>2.3529411764705882E-2</v>
      </c>
      <c r="K166" s="291">
        <f t="shared" si="120"/>
        <v>5.8823529411764705E-2</v>
      </c>
      <c r="L166" s="291">
        <f t="shared" si="120"/>
        <v>0</v>
      </c>
      <c r="M166" s="291">
        <f t="shared" si="120"/>
        <v>5.8823529411764705E-2</v>
      </c>
      <c r="N166" s="291">
        <f t="shared" si="120"/>
        <v>2.3529411764705882E-2</v>
      </c>
      <c r="O166" s="291">
        <f t="shared" si="120"/>
        <v>5.8823529411764705E-2</v>
      </c>
      <c r="P166" s="291">
        <f t="shared" si="120"/>
        <v>0</v>
      </c>
      <c r="Q166" s="291">
        <f t="shared" si="120"/>
        <v>5.8823529411764705E-2</v>
      </c>
      <c r="R166" s="291">
        <f t="shared" si="120"/>
        <v>2.3529411764705882E-2</v>
      </c>
      <c r="S166" s="291">
        <f t="shared" si="120"/>
        <v>5.8823529411764705E-2</v>
      </c>
      <c r="T166" s="291">
        <f t="shared" si="120"/>
        <v>0</v>
      </c>
      <c r="U166" s="291">
        <f t="shared" si="120"/>
        <v>5.8823529411764705E-2</v>
      </c>
      <c r="V166" s="291">
        <f t="shared" si="120"/>
        <v>2.3529411764705882E-2</v>
      </c>
      <c r="W166" s="291">
        <f t="shared" si="120"/>
        <v>5.8823529411764705E-2</v>
      </c>
      <c r="X166" s="291">
        <f t="shared" si="120"/>
        <v>0</v>
      </c>
      <c r="Y166" s="291">
        <f t="shared" si="120"/>
        <v>0</v>
      </c>
      <c r="Z166" s="291">
        <f t="shared" si="120"/>
        <v>0</v>
      </c>
      <c r="AA166" s="291">
        <f t="shared" si="120"/>
        <v>0</v>
      </c>
      <c r="AB166" s="291">
        <f t="shared" si="120"/>
        <v>0</v>
      </c>
      <c r="AC166" s="292">
        <f t="shared" si="120"/>
        <v>0</v>
      </c>
      <c r="AD166" s="176"/>
    </row>
    <row r="167" spans="1:30" ht="22.5" x14ac:dyDescent="0.25">
      <c r="A167" s="172"/>
      <c r="B167" s="208" t="s">
        <v>211</v>
      </c>
      <c r="C167" s="17" t="s">
        <v>67</v>
      </c>
      <c r="D167" s="57" t="b">
        <f>E167=100%</f>
        <v>1</v>
      </c>
      <c r="E167" s="474">
        <f t="shared" si="115"/>
        <v>1</v>
      </c>
      <c r="F167" s="472">
        <v>0</v>
      </c>
      <c r="G167" s="39">
        <v>0</v>
      </c>
      <c r="H167" s="39">
        <v>0</v>
      </c>
      <c r="I167" s="39">
        <v>0</v>
      </c>
      <c r="J167" s="39">
        <v>0</v>
      </c>
      <c r="K167" s="39">
        <v>0</v>
      </c>
      <c r="L167" s="39">
        <v>0</v>
      </c>
      <c r="M167" s="39">
        <v>0</v>
      </c>
      <c r="N167" s="39">
        <v>0</v>
      </c>
      <c r="O167" s="39">
        <v>0</v>
      </c>
      <c r="P167" s="39">
        <v>0</v>
      </c>
      <c r="Q167" s="39">
        <v>0</v>
      </c>
      <c r="R167" s="39">
        <v>0</v>
      </c>
      <c r="S167" s="39">
        <v>0</v>
      </c>
      <c r="T167" s="39">
        <v>0</v>
      </c>
      <c r="U167" s="39">
        <v>0</v>
      </c>
      <c r="V167" s="39">
        <v>0.25</v>
      </c>
      <c r="W167" s="39">
        <v>0.25</v>
      </c>
      <c r="X167" s="39">
        <v>0.25</v>
      </c>
      <c r="Y167" s="39">
        <v>0.25</v>
      </c>
      <c r="Z167" s="39">
        <v>0</v>
      </c>
      <c r="AA167" s="39">
        <v>0</v>
      </c>
      <c r="AB167" s="39">
        <v>0</v>
      </c>
      <c r="AC167" s="369">
        <v>0</v>
      </c>
      <c r="AD167" s="176"/>
    </row>
    <row r="168" spans="1:30" ht="22.5" x14ac:dyDescent="0.25">
      <c r="A168" s="172"/>
      <c r="B168" s="208" t="s">
        <v>212</v>
      </c>
      <c r="C168" s="17" t="s">
        <v>67</v>
      </c>
      <c r="D168" s="57" t="b">
        <f t="shared" si="117"/>
        <v>1</v>
      </c>
      <c r="E168" s="474">
        <f t="shared" si="115"/>
        <v>1</v>
      </c>
      <c r="F168" s="472">
        <v>0</v>
      </c>
      <c r="G168" s="39">
        <v>0</v>
      </c>
      <c r="H168" s="39">
        <v>0</v>
      </c>
      <c r="I168" s="39">
        <v>0</v>
      </c>
      <c r="J168" s="39">
        <v>0</v>
      </c>
      <c r="K168" s="39">
        <v>0</v>
      </c>
      <c r="L168" s="39">
        <v>0</v>
      </c>
      <c r="M168" s="39">
        <v>0</v>
      </c>
      <c r="N168" s="39">
        <v>0</v>
      </c>
      <c r="O168" s="39">
        <v>0</v>
      </c>
      <c r="P168" s="39">
        <v>0</v>
      </c>
      <c r="Q168" s="39">
        <v>0</v>
      </c>
      <c r="R168" s="39">
        <v>0</v>
      </c>
      <c r="S168" s="39">
        <v>0</v>
      </c>
      <c r="T168" s="39">
        <v>0</v>
      </c>
      <c r="U168" s="39">
        <v>0</v>
      </c>
      <c r="V168" s="39">
        <v>0.25</v>
      </c>
      <c r="W168" s="39">
        <v>0.25</v>
      </c>
      <c r="X168" s="39">
        <v>0.25</v>
      </c>
      <c r="Y168" s="39">
        <v>0.25</v>
      </c>
      <c r="Z168" s="39">
        <v>0</v>
      </c>
      <c r="AA168" s="39">
        <v>0</v>
      </c>
      <c r="AB168" s="39">
        <v>0</v>
      </c>
      <c r="AC168" s="369">
        <v>0</v>
      </c>
      <c r="AD168" s="176"/>
    </row>
    <row r="169" spans="1:30" ht="22.5" x14ac:dyDescent="0.25">
      <c r="A169" s="172"/>
      <c r="B169" s="208" t="s">
        <v>157</v>
      </c>
      <c r="C169" s="17" t="s">
        <v>67</v>
      </c>
      <c r="D169" s="57" t="b">
        <f>E169=100%</f>
        <v>0</v>
      </c>
      <c r="E169" s="474">
        <f t="shared" si="115"/>
        <v>0</v>
      </c>
      <c r="F169" s="472">
        <v>0</v>
      </c>
      <c r="G169" s="39">
        <v>0</v>
      </c>
      <c r="H169" s="39">
        <v>0</v>
      </c>
      <c r="I169" s="39">
        <v>0</v>
      </c>
      <c r="J169" s="39">
        <v>0</v>
      </c>
      <c r="K169" s="39">
        <v>0</v>
      </c>
      <c r="L169" s="39">
        <v>0</v>
      </c>
      <c r="M169" s="39">
        <v>0</v>
      </c>
      <c r="N169" s="39">
        <v>0</v>
      </c>
      <c r="O169" s="39">
        <v>0</v>
      </c>
      <c r="P169" s="39">
        <v>0</v>
      </c>
      <c r="Q169" s="39">
        <v>0</v>
      </c>
      <c r="R169" s="39">
        <v>0</v>
      </c>
      <c r="S169" s="39">
        <v>0</v>
      </c>
      <c r="T169" s="39">
        <v>0</v>
      </c>
      <c r="U169" s="39">
        <v>0</v>
      </c>
      <c r="V169" s="39">
        <v>0</v>
      </c>
      <c r="W169" s="39">
        <v>0</v>
      </c>
      <c r="X169" s="39">
        <v>0</v>
      </c>
      <c r="Y169" s="39">
        <v>0</v>
      </c>
      <c r="Z169" s="39">
        <v>0</v>
      </c>
      <c r="AA169" s="39">
        <v>0</v>
      </c>
      <c r="AB169" s="39">
        <v>0</v>
      </c>
      <c r="AC169" s="369">
        <v>0</v>
      </c>
      <c r="AD169" s="176"/>
    </row>
    <row r="170" spans="1:30" ht="22.5" x14ac:dyDescent="0.25">
      <c r="A170" s="172"/>
      <c r="B170" s="208" t="s">
        <v>158</v>
      </c>
      <c r="C170" s="17" t="s">
        <v>67</v>
      </c>
      <c r="D170" s="57" t="b">
        <f>E170=100%</f>
        <v>1</v>
      </c>
      <c r="E170" s="474">
        <f t="shared" si="115"/>
        <v>1</v>
      </c>
      <c r="F170" s="472">
        <v>0</v>
      </c>
      <c r="G170" s="39">
        <v>0</v>
      </c>
      <c r="H170" s="39">
        <v>0</v>
      </c>
      <c r="I170" s="39">
        <v>0</v>
      </c>
      <c r="J170" s="39">
        <v>0</v>
      </c>
      <c r="K170" s="39">
        <v>0</v>
      </c>
      <c r="L170" s="39">
        <v>0</v>
      </c>
      <c r="M170" s="39">
        <v>0</v>
      </c>
      <c r="N170" s="39">
        <v>0</v>
      </c>
      <c r="O170" s="39">
        <v>0</v>
      </c>
      <c r="P170" s="39">
        <v>0</v>
      </c>
      <c r="Q170" s="39">
        <v>0</v>
      </c>
      <c r="R170" s="39">
        <v>0</v>
      </c>
      <c r="S170" s="39">
        <v>0</v>
      </c>
      <c r="T170" s="39">
        <v>0</v>
      </c>
      <c r="U170" s="39">
        <v>0</v>
      </c>
      <c r="V170" s="39">
        <v>0</v>
      </c>
      <c r="W170" s="39">
        <v>0</v>
      </c>
      <c r="X170" s="39">
        <v>0</v>
      </c>
      <c r="Y170" s="39">
        <v>1</v>
      </c>
      <c r="Z170" s="39">
        <v>0</v>
      </c>
      <c r="AA170" s="39">
        <v>0</v>
      </c>
      <c r="AB170" s="39">
        <v>0</v>
      </c>
      <c r="AC170" s="369">
        <v>0</v>
      </c>
      <c r="AD170" s="176"/>
    </row>
    <row r="171" spans="1:30" ht="23.25" thickBot="1" x14ac:dyDescent="0.3">
      <c r="A171" s="172"/>
      <c r="B171" s="40" t="s">
        <v>159</v>
      </c>
      <c r="C171" s="41" t="s">
        <v>67</v>
      </c>
      <c r="D171" s="58" t="b">
        <f>E171=100%</f>
        <v>1</v>
      </c>
      <c r="E171" s="475">
        <f t="shared" si="115"/>
        <v>1.0000000000000002</v>
      </c>
      <c r="F171" s="473">
        <v>0</v>
      </c>
      <c r="G171" s="42">
        <v>0</v>
      </c>
      <c r="H171" s="42">
        <v>0</v>
      </c>
      <c r="I171" s="42">
        <v>0</v>
      </c>
      <c r="J171" s="42">
        <v>0</v>
      </c>
      <c r="K171" s="42">
        <v>7.0000000000000007E-2</v>
      </c>
      <c r="L171" s="42">
        <v>7.0000000000000007E-2</v>
      </c>
      <c r="M171" s="42">
        <v>7.0000000000000007E-2</v>
      </c>
      <c r="N171" s="42">
        <v>0.13</v>
      </c>
      <c r="O171" s="42">
        <v>0.13</v>
      </c>
      <c r="P171" s="42">
        <v>0.13</v>
      </c>
      <c r="Q171" s="42">
        <v>0.12</v>
      </c>
      <c r="R171" s="42">
        <v>7.0000000000000007E-2</v>
      </c>
      <c r="S171" s="42">
        <v>7.0000000000000007E-2</v>
      </c>
      <c r="T171" s="42">
        <v>7.0000000000000007E-2</v>
      </c>
      <c r="U171" s="42">
        <v>7.0000000000000007E-2</v>
      </c>
      <c r="V171" s="42">
        <v>0</v>
      </c>
      <c r="W171" s="42">
        <v>0</v>
      </c>
      <c r="X171" s="42">
        <v>0</v>
      </c>
      <c r="Y171" s="42">
        <v>0</v>
      </c>
      <c r="Z171" s="42">
        <v>0</v>
      </c>
      <c r="AA171" s="42">
        <v>0</v>
      </c>
      <c r="AB171" s="42">
        <v>0</v>
      </c>
      <c r="AC171" s="370">
        <v>0</v>
      </c>
      <c r="AD171" s="176"/>
    </row>
    <row r="172" spans="1:30" ht="12" thickBot="1" x14ac:dyDescent="0.3">
      <c r="A172" s="172"/>
      <c r="AD172" s="176"/>
    </row>
    <row r="173" spans="1:30" x14ac:dyDescent="0.25">
      <c r="A173" s="172"/>
      <c r="B173" s="925" t="s">
        <v>160</v>
      </c>
      <c r="C173" s="926"/>
      <c r="D173" s="926"/>
      <c r="E173" s="467" t="s">
        <v>161</v>
      </c>
      <c r="F173" s="461">
        <v>46388</v>
      </c>
      <c r="G173" s="407">
        <f>EDATE(F173,3)</f>
        <v>46478</v>
      </c>
      <c r="H173" s="407">
        <f>EDATE(G173,3)</f>
        <v>46569</v>
      </c>
      <c r="I173" s="407">
        <f t="shared" ref="I173:AC173" si="121">EDATE(H173,3)</f>
        <v>46661</v>
      </c>
      <c r="J173" s="407">
        <f t="shared" si="121"/>
        <v>46753</v>
      </c>
      <c r="K173" s="407">
        <f t="shared" si="121"/>
        <v>46844</v>
      </c>
      <c r="L173" s="407">
        <f t="shared" si="121"/>
        <v>46935</v>
      </c>
      <c r="M173" s="407">
        <f t="shared" si="121"/>
        <v>47027</v>
      </c>
      <c r="N173" s="407">
        <f t="shared" si="121"/>
        <v>47119</v>
      </c>
      <c r="O173" s="407">
        <f t="shared" si="121"/>
        <v>47209</v>
      </c>
      <c r="P173" s="407">
        <f t="shared" si="121"/>
        <v>47300</v>
      </c>
      <c r="Q173" s="407">
        <f t="shared" si="121"/>
        <v>47392</v>
      </c>
      <c r="R173" s="407">
        <f t="shared" si="121"/>
        <v>47484</v>
      </c>
      <c r="S173" s="407">
        <f t="shared" si="121"/>
        <v>47574</v>
      </c>
      <c r="T173" s="407">
        <f t="shared" si="121"/>
        <v>47665</v>
      </c>
      <c r="U173" s="407">
        <f t="shared" si="121"/>
        <v>47757</v>
      </c>
      <c r="V173" s="407">
        <f t="shared" si="121"/>
        <v>47849</v>
      </c>
      <c r="W173" s="407">
        <f t="shared" si="121"/>
        <v>47939</v>
      </c>
      <c r="X173" s="407">
        <f t="shared" si="121"/>
        <v>48030</v>
      </c>
      <c r="Y173" s="407">
        <f t="shared" si="121"/>
        <v>48122</v>
      </c>
      <c r="Z173" s="407">
        <f t="shared" si="121"/>
        <v>48214</v>
      </c>
      <c r="AA173" s="407">
        <f t="shared" si="121"/>
        <v>48305</v>
      </c>
      <c r="AB173" s="407">
        <f t="shared" si="121"/>
        <v>48396</v>
      </c>
      <c r="AC173" s="408">
        <f t="shared" si="121"/>
        <v>48488</v>
      </c>
      <c r="AD173" s="176"/>
    </row>
    <row r="174" spans="1:30" x14ac:dyDescent="0.25">
      <c r="A174" s="172"/>
      <c r="B174" s="804" t="s">
        <v>214</v>
      </c>
      <c r="C174" s="805"/>
      <c r="D174" s="805"/>
      <c r="E174" s="806"/>
      <c r="F174" s="432">
        <f>F185</f>
        <v>0</v>
      </c>
      <c r="G174" s="272">
        <f t="shared" ref="G174:AC174" si="122">F174+G185+G187</f>
        <v>0</v>
      </c>
      <c r="H174" s="272">
        <f t="shared" si="122"/>
        <v>0</v>
      </c>
      <c r="I174" s="272">
        <f t="shared" si="122"/>
        <v>0</v>
      </c>
      <c r="J174" s="272">
        <f t="shared" si="122"/>
        <v>0</v>
      </c>
      <c r="K174" s="272">
        <f t="shared" si="122"/>
        <v>0</v>
      </c>
      <c r="L174" s="272">
        <f t="shared" si="122"/>
        <v>2552006</v>
      </c>
      <c r="M174" s="272">
        <f>L174+M185+M187</f>
        <v>3352006</v>
      </c>
      <c r="N174" s="272">
        <f t="shared" si="122"/>
        <v>5552006</v>
      </c>
      <c r="O174" s="272">
        <f t="shared" si="122"/>
        <v>7752006</v>
      </c>
      <c r="P174" s="272">
        <f t="shared" si="122"/>
        <v>13552006</v>
      </c>
      <c r="Q174" s="272">
        <f t="shared" si="122"/>
        <v>22552006</v>
      </c>
      <c r="R174" s="272">
        <f t="shared" si="122"/>
        <v>28652006</v>
      </c>
      <c r="S174" s="272">
        <f t="shared" si="122"/>
        <v>36052006</v>
      </c>
      <c r="T174" s="272">
        <f t="shared" si="122"/>
        <v>43252006</v>
      </c>
      <c r="U174" s="272">
        <f t="shared" si="122"/>
        <v>53252006</v>
      </c>
      <c r="V174" s="272">
        <f t="shared" si="122"/>
        <v>53552006</v>
      </c>
      <c r="W174" s="272">
        <f t="shared" si="122"/>
        <v>54352006</v>
      </c>
      <c r="X174" s="272">
        <f t="shared" si="122"/>
        <v>52022133.136878826</v>
      </c>
      <c r="Y174" s="272">
        <f t="shared" si="122"/>
        <v>0</v>
      </c>
      <c r="Z174" s="272">
        <f t="shared" si="122"/>
        <v>0</v>
      </c>
      <c r="AA174" s="272">
        <f t="shared" si="122"/>
        <v>0</v>
      </c>
      <c r="AB174" s="272">
        <f t="shared" si="122"/>
        <v>0</v>
      </c>
      <c r="AC174" s="273">
        <f t="shared" si="122"/>
        <v>0</v>
      </c>
      <c r="AD174" s="176"/>
    </row>
    <row r="175" spans="1:30" ht="22.5" x14ac:dyDescent="0.25">
      <c r="A175" s="172"/>
      <c r="B175" s="208" t="s">
        <v>5</v>
      </c>
      <c r="C175" s="272" t="s">
        <v>162</v>
      </c>
      <c r="D175" s="36" t="s">
        <v>67</v>
      </c>
      <c r="E175" s="468" t="s">
        <v>273</v>
      </c>
      <c r="F175" s="462" t="s">
        <v>130</v>
      </c>
      <c r="G175" s="37" t="s">
        <v>131</v>
      </c>
      <c r="H175" s="37" t="s">
        <v>132</v>
      </c>
      <c r="I175" s="37" t="s">
        <v>133</v>
      </c>
      <c r="J175" s="37" t="s">
        <v>134</v>
      </c>
      <c r="K175" s="37" t="s">
        <v>135</v>
      </c>
      <c r="L175" s="37" t="s">
        <v>136</v>
      </c>
      <c r="M175" s="37" t="s">
        <v>137</v>
      </c>
      <c r="N175" s="37" t="s">
        <v>138</v>
      </c>
      <c r="O175" s="37" t="s">
        <v>139</v>
      </c>
      <c r="P175" s="37" t="s">
        <v>140</v>
      </c>
      <c r="Q175" s="37" t="s">
        <v>141</v>
      </c>
      <c r="R175" s="37" t="s">
        <v>142</v>
      </c>
      <c r="S175" s="37" t="s">
        <v>143</v>
      </c>
      <c r="T175" s="37" t="s">
        <v>144</v>
      </c>
      <c r="U175" s="37" t="s">
        <v>145</v>
      </c>
      <c r="V175" s="37" t="s">
        <v>146</v>
      </c>
      <c r="W175" s="37" t="s">
        <v>147</v>
      </c>
      <c r="X175" s="37" t="s">
        <v>148</v>
      </c>
      <c r="Y175" s="37" t="s">
        <v>149</v>
      </c>
      <c r="Z175" s="37" t="s">
        <v>150</v>
      </c>
      <c r="AA175" s="37" t="s">
        <v>151</v>
      </c>
      <c r="AB175" s="37" t="s">
        <v>152</v>
      </c>
      <c r="AC175" s="38" t="s">
        <v>153</v>
      </c>
      <c r="AD175" s="176"/>
    </row>
    <row r="176" spans="1:30" ht="22.5" x14ac:dyDescent="0.25">
      <c r="A176" s="172"/>
      <c r="B176" s="43" t="s">
        <v>11</v>
      </c>
      <c r="C176" s="387">
        <f>H15</f>
        <v>34500000</v>
      </c>
      <c r="D176" s="57" t="b">
        <f>IF(ABS(E176 - C176) &lt; MAX(0.00001, E176 * 0.00001), TRUE, FALSE)</f>
        <v>1</v>
      </c>
      <c r="E176" s="469">
        <f t="shared" ref="E176:E184" si="123">SUM(F176:AC176)</f>
        <v>34500000</v>
      </c>
      <c r="F176" s="463">
        <f>C176</f>
        <v>34500000</v>
      </c>
      <c r="G176" s="115">
        <v>0</v>
      </c>
      <c r="H176" s="115">
        <v>0</v>
      </c>
      <c r="I176" s="115">
        <v>0</v>
      </c>
      <c r="J176" s="115">
        <v>0</v>
      </c>
      <c r="K176" s="115">
        <v>0</v>
      </c>
      <c r="L176" s="115">
        <v>0</v>
      </c>
      <c r="M176" s="115">
        <v>0</v>
      </c>
      <c r="N176" s="115">
        <v>0</v>
      </c>
      <c r="O176" s="115">
        <v>0</v>
      </c>
      <c r="P176" s="115">
        <v>0</v>
      </c>
      <c r="Q176" s="115">
        <v>0</v>
      </c>
      <c r="R176" s="115">
        <v>0</v>
      </c>
      <c r="S176" s="115">
        <v>0</v>
      </c>
      <c r="T176" s="115">
        <v>0</v>
      </c>
      <c r="U176" s="115">
        <v>0</v>
      </c>
      <c r="V176" s="115">
        <v>0</v>
      </c>
      <c r="W176" s="115">
        <v>0</v>
      </c>
      <c r="X176" s="115">
        <v>0</v>
      </c>
      <c r="Y176" s="115">
        <v>0</v>
      </c>
      <c r="Z176" s="115">
        <v>0</v>
      </c>
      <c r="AA176" s="115">
        <v>0</v>
      </c>
      <c r="AB176" s="115">
        <v>0</v>
      </c>
      <c r="AC176" s="71">
        <v>0</v>
      </c>
      <c r="AD176" s="176"/>
    </row>
    <row r="177" spans="1:30" ht="22.5" x14ac:dyDescent="0.25">
      <c r="A177" s="172"/>
      <c r="B177" s="43" t="s">
        <v>15</v>
      </c>
      <c r="C177" s="387">
        <f>H17</f>
        <v>11100000</v>
      </c>
      <c r="D177" s="57" t="b">
        <f t="shared" ref="D177:D183" si="124">IF(ABS(E177 - C177) &lt; MAX(0.00001, E177 * 0.00001), TRUE, FALSE)</f>
        <v>1</v>
      </c>
      <c r="E177" s="469">
        <f t="shared" si="123"/>
        <v>11100000</v>
      </c>
      <c r="F177" s="463">
        <f>C177</f>
        <v>11100000</v>
      </c>
      <c r="G177" s="381">
        <v>0</v>
      </c>
      <c r="H177" s="381">
        <v>0</v>
      </c>
      <c r="I177" s="381">
        <v>0</v>
      </c>
      <c r="J177" s="381">
        <v>0</v>
      </c>
      <c r="K177" s="381">
        <v>0</v>
      </c>
      <c r="L177" s="381">
        <v>0</v>
      </c>
      <c r="M177" s="381">
        <v>0</v>
      </c>
      <c r="N177" s="381">
        <v>0</v>
      </c>
      <c r="O177" s="381">
        <v>0</v>
      </c>
      <c r="P177" s="381">
        <v>0</v>
      </c>
      <c r="Q177" s="381">
        <v>0</v>
      </c>
      <c r="R177" s="381">
        <v>0</v>
      </c>
      <c r="S177" s="381">
        <v>0</v>
      </c>
      <c r="T177" s="381">
        <v>0</v>
      </c>
      <c r="U177" s="381">
        <v>0</v>
      </c>
      <c r="V177" s="381">
        <v>0</v>
      </c>
      <c r="W177" s="381">
        <v>0</v>
      </c>
      <c r="X177" s="381">
        <v>0</v>
      </c>
      <c r="Y177" s="381">
        <v>0</v>
      </c>
      <c r="Z177" s="381">
        <v>0</v>
      </c>
      <c r="AA177" s="381">
        <v>0</v>
      </c>
      <c r="AB177" s="381">
        <v>0</v>
      </c>
      <c r="AC177" s="382">
        <v>0</v>
      </c>
      <c r="AD177" s="176"/>
    </row>
    <row r="178" spans="1:30" ht="22.5" x14ac:dyDescent="0.25">
      <c r="A178" s="172"/>
      <c r="B178" s="43" t="s">
        <v>17</v>
      </c>
      <c r="C178" s="387">
        <f>H18</f>
        <v>0</v>
      </c>
      <c r="D178" s="57" t="b">
        <f t="shared" si="124"/>
        <v>1</v>
      </c>
      <c r="E178" s="469">
        <f t="shared" si="123"/>
        <v>0</v>
      </c>
      <c r="F178" s="463">
        <f t="shared" ref="F178:AC178" si="125">((-$D$100*F192)+(-$E$100*F192))*$J$18</f>
        <v>0</v>
      </c>
      <c r="G178" s="115">
        <f t="shared" si="125"/>
        <v>0</v>
      </c>
      <c r="H178" s="115">
        <f t="shared" si="125"/>
        <v>0</v>
      </c>
      <c r="I178" s="115">
        <f t="shared" si="125"/>
        <v>0</v>
      </c>
      <c r="J178" s="115">
        <f t="shared" si="125"/>
        <v>0</v>
      </c>
      <c r="K178" s="115">
        <f t="shared" si="125"/>
        <v>0</v>
      </c>
      <c r="L178" s="115">
        <f t="shared" si="125"/>
        <v>0</v>
      </c>
      <c r="M178" s="115">
        <f t="shared" si="125"/>
        <v>0</v>
      </c>
      <c r="N178" s="115">
        <f t="shared" si="125"/>
        <v>0</v>
      </c>
      <c r="O178" s="115">
        <f t="shared" si="125"/>
        <v>0</v>
      </c>
      <c r="P178" s="115">
        <f t="shared" si="125"/>
        <v>0</v>
      </c>
      <c r="Q178" s="115">
        <f t="shared" si="125"/>
        <v>0</v>
      </c>
      <c r="R178" s="115">
        <f t="shared" si="125"/>
        <v>0</v>
      </c>
      <c r="S178" s="115">
        <f t="shared" si="125"/>
        <v>0</v>
      </c>
      <c r="T178" s="115">
        <f t="shared" si="125"/>
        <v>0</v>
      </c>
      <c r="U178" s="115">
        <f t="shared" si="125"/>
        <v>0</v>
      </c>
      <c r="V178" s="115">
        <f t="shared" si="125"/>
        <v>0</v>
      </c>
      <c r="W178" s="115">
        <f t="shared" si="125"/>
        <v>0</v>
      </c>
      <c r="X178" s="115">
        <f t="shared" si="125"/>
        <v>0</v>
      </c>
      <c r="Y178" s="115">
        <f t="shared" si="125"/>
        <v>0</v>
      </c>
      <c r="Z178" s="115">
        <f t="shared" si="125"/>
        <v>0</v>
      </c>
      <c r="AA178" s="115">
        <f t="shared" si="125"/>
        <v>0</v>
      </c>
      <c r="AB178" s="115">
        <f t="shared" si="125"/>
        <v>0</v>
      </c>
      <c r="AC178" s="382">
        <f t="shared" si="125"/>
        <v>0</v>
      </c>
      <c r="AD178" s="176"/>
    </row>
    <row r="179" spans="1:30" ht="22.5" x14ac:dyDescent="0.25">
      <c r="A179" s="172"/>
      <c r="B179" s="43" t="s">
        <v>19</v>
      </c>
      <c r="C179" s="387">
        <f>H19</f>
        <v>62809599.999999993</v>
      </c>
      <c r="D179" s="57" t="b">
        <f t="shared" si="124"/>
        <v>1</v>
      </c>
      <c r="E179" s="469">
        <f>SUM(F179:AC179)</f>
        <v>62809599.999999993</v>
      </c>
      <c r="F179" s="463">
        <f>C179</f>
        <v>62809599.999999993</v>
      </c>
      <c r="G179" s="381">
        <v>0</v>
      </c>
      <c r="H179" s="381">
        <v>0</v>
      </c>
      <c r="I179" s="381">
        <v>0</v>
      </c>
      <c r="J179" s="381">
        <v>0</v>
      </c>
      <c r="K179" s="381">
        <v>0</v>
      </c>
      <c r="L179" s="381">
        <v>0</v>
      </c>
      <c r="M179" s="381">
        <v>0</v>
      </c>
      <c r="N179" s="381">
        <v>0</v>
      </c>
      <c r="O179" s="381">
        <v>0</v>
      </c>
      <c r="P179" s="381">
        <v>0</v>
      </c>
      <c r="Q179" s="381">
        <v>0</v>
      </c>
      <c r="R179" s="381">
        <v>0</v>
      </c>
      <c r="S179" s="381">
        <v>0</v>
      </c>
      <c r="T179" s="381">
        <v>0</v>
      </c>
      <c r="U179" s="381">
        <v>0</v>
      </c>
      <c r="V179" s="381">
        <v>0</v>
      </c>
      <c r="W179" s="381">
        <v>0</v>
      </c>
      <c r="X179" s="381">
        <v>0</v>
      </c>
      <c r="Y179" s="381">
        <v>0</v>
      </c>
      <c r="Z179" s="381">
        <v>0</v>
      </c>
      <c r="AA179" s="381">
        <v>0</v>
      </c>
      <c r="AB179" s="381">
        <v>0</v>
      </c>
      <c r="AC179" s="382">
        <v>0</v>
      </c>
      <c r="AD179" s="176"/>
    </row>
    <row r="180" spans="1:30" ht="22.5" x14ac:dyDescent="0.25">
      <c r="A180" s="176"/>
      <c r="B180" s="208" t="s">
        <v>209</v>
      </c>
      <c r="C180" s="387">
        <f>AC135</f>
        <v>46486956.52173914</v>
      </c>
      <c r="D180" s="57" t="b">
        <f t="shared" si="124"/>
        <v>1</v>
      </c>
      <c r="E180" s="469">
        <f>SUM(F180:AC180)</f>
        <v>46486956.521739148</v>
      </c>
      <c r="F180" s="381">
        <f>F292</f>
        <v>0</v>
      </c>
      <c r="G180" s="381">
        <f t="shared" ref="G180:AC180" si="126">G292</f>
        <v>0</v>
      </c>
      <c r="H180" s="381">
        <f t="shared" si="126"/>
        <v>0</v>
      </c>
      <c r="I180" s="381">
        <f t="shared" si="126"/>
        <v>0</v>
      </c>
      <c r="J180" s="381">
        <f t="shared" si="126"/>
        <v>1304347.8260869568</v>
      </c>
      <c r="K180" s="381">
        <f t="shared" si="126"/>
        <v>2305043.4782608701</v>
      </c>
      <c r="L180" s="381">
        <f t="shared" si="126"/>
        <v>4166337.3913043486</v>
      </c>
      <c r="M180" s="381">
        <f t="shared" si="126"/>
        <v>6497357.8434782634</v>
      </c>
      <c r="N180" s="381">
        <f t="shared" si="126"/>
        <v>10376715.794086959</v>
      </c>
      <c r="O180" s="381">
        <f t="shared" si="126"/>
        <v>10609114.642518263</v>
      </c>
      <c r="P180" s="381">
        <f t="shared" si="126"/>
        <v>6736823.7276020898</v>
      </c>
      <c r="Q180" s="381">
        <f t="shared" si="126"/>
        <v>3233675.3892490026</v>
      </c>
      <c r="R180" s="381">
        <f t="shared" si="126"/>
        <v>993456.93903038744</v>
      </c>
      <c r="S180" s="381">
        <f t="shared" si="126"/>
        <v>227111.80150492143</v>
      </c>
      <c r="T180" s="381">
        <f t="shared" si="126"/>
        <v>34383.670413884582</v>
      </c>
      <c r="U180" s="381">
        <f t="shared" si="126"/>
        <v>2588.0182031956069</v>
      </c>
      <c r="V180" s="381">
        <f t="shared" si="126"/>
        <v>0</v>
      </c>
      <c r="W180" s="381">
        <f t="shared" si="126"/>
        <v>0</v>
      </c>
      <c r="X180" s="381">
        <f t="shared" si="126"/>
        <v>0</v>
      </c>
      <c r="Y180" s="381">
        <f t="shared" si="126"/>
        <v>0</v>
      </c>
      <c r="Z180" s="381">
        <f t="shared" si="126"/>
        <v>0</v>
      </c>
      <c r="AA180" s="381">
        <f t="shared" si="126"/>
        <v>0</v>
      </c>
      <c r="AB180" s="381">
        <f t="shared" si="126"/>
        <v>0</v>
      </c>
      <c r="AC180" s="382">
        <f t="shared" si="126"/>
        <v>0</v>
      </c>
      <c r="AD180" s="176"/>
    </row>
    <row r="181" spans="1:30" ht="22.5" x14ac:dyDescent="0.25">
      <c r="A181" s="176"/>
      <c r="B181" s="208" t="s">
        <v>125</v>
      </c>
      <c r="C181" s="387">
        <f>H153</f>
        <v>2471311.08</v>
      </c>
      <c r="D181" s="57" t="b">
        <f t="shared" si="124"/>
        <v>1</v>
      </c>
      <c r="E181" s="469">
        <f t="shared" si="123"/>
        <v>2471311.08</v>
      </c>
      <c r="F181" s="464">
        <f t="shared" ref="F181:AC181" si="127">$C$181*F167</f>
        <v>0</v>
      </c>
      <c r="G181" s="388">
        <f t="shared" si="127"/>
        <v>0</v>
      </c>
      <c r="H181" s="388">
        <f t="shared" si="127"/>
        <v>0</v>
      </c>
      <c r="I181" s="388">
        <f t="shared" si="127"/>
        <v>0</v>
      </c>
      <c r="J181" s="388">
        <f t="shared" si="127"/>
        <v>0</v>
      </c>
      <c r="K181" s="388">
        <f t="shared" si="127"/>
        <v>0</v>
      </c>
      <c r="L181" s="388">
        <f t="shared" si="127"/>
        <v>0</v>
      </c>
      <c r="M181" s="388">
        <f t="shared" si="127"/>
        <v>0</v>
      </c>
      <c r="N181" s="388">
        <f t="shared" si="127"/>
        <v>0</v>
      </c>
      <c r="O181" s="388">
        <f t="shared" si="127"/>
        <v>0</v>
      </c>
      <c r="P181" s="388">
        <f t="shared" si="127"/>
        <v>0</v>
      </c>
      <c r="Q181" s="388">
        <f t="shared" si="127"/>
        <v>0</v>
      </c>
      <c r="R181" s="388">
        <f t="shared" si="127"/>
        <v>0</v>
      </c>
      <c r="S181" s="388">
        <f t="shared" si="127"/>
        <v>0</v>
      </c>
      <c r="T181" s="388">
        <f t="shared" si="127"/>
        <v>0</v>
      </c>
      <c r="U181" s="388">
        <f t="shared" si="127"/>
        <v>0</v>
      </c>
      <c r="V181" s="388">
        <f t="shared" si="127"/>
        <v>617827.77</v>
      </c>
      <c r="W181" s="388">
        <f t="shared" si="127"/>
        <v>617827.77</v>
      </c>
      <c r="X181" s="388">
        <f t="shared" si="127"/>
        <v>617827.77</v>
      </c>
      <c r="Y181" s="388">
        <f t="shared" si="127"/>
        <v>617827.77</v>
      </c>
      <c r="Z181" s="388">
        <f t="shared" si="127"/>
        <v>0</v>
      </c>
      <c r="AA181" s="388">
        <f t="shared" si="127"/>
        <v>0</v>
      </c>
      <c r="AB181" s="388">
        <f t="shared" si="127"/>
        <v>0</v>
      </c>
      <c r="AC181" s="389">
        <f t="shared" si="127"/>
        <v>0</v>
      </c>
      <c r="AD181" s="176"/>
    </row>
    <row r="182" spans="1:30" ht="22.5" x14ac:dyDescent="0.25">
      <c r="A182" s="176"/>
      <c r="B182" s="208" t="s">
        <v>163</v>
      </c>
      <c r="C182" s="387">
        <f>X153</f>
        <v>21352500</v>
      </c>
      <c r="D182" s="57" t="b">
        <f t="shared" si="124"/>
        <v>1</v>
      </c>
      <c r="E182" s="469">
        <f t="shared" si="123"/>
        <v>21352500</v>
      </c>
      <c r="F182" s="465">
        <f t="shared" ref="F182:AC182" si="128">F168*$C$182</f>
        <v>0</v>
      </c>
      <c r="G182" s="113">
        <f t="shared" si="128"/>
        <v>0</v>
      </c>
      <c r="H182" s="113">
        <f t="shared" si="128"/>
        <v>0</v>
      </c>
      <c r="I182" s="113">
        <f t="shared" si="128"/>
        <v>0</v>
      </c>
      <c r="J182" s="113">
        <f t="shared" si="128"/>
        <v>0</v>
      </c>
      <c r="K182" s="113">
        <f t="shared" si="128"/>
        <v>0</v>
      </c>
      <c r="L182" s="113">
        <f t="shared" si="128"/>
        <v>0</v>
      </c>
      <c r="M182" s="113">
        <f t="shared" si="128"/>
        <v>0</v>
      </c>
      <c r="N182" s="113">
        <f t="shared" si="128"/>
        <v>0</v>
      </c>
      <c r="O182" s="113">
        <f t="shared" si="128"/>
        <v>0</v>
      </c>
      <c r="P182" s="113">
        <f t="shared" si="128"/>
        <v>0</v>
      </c>
      <c r="Q182" s="113">
        <f t="shared" si="128"/>
        <v>0</v>
      </c>
      <c r="R182" s="113">
        <f t="shared" si="128"/>
        <v>0</v>
      </c>
      <c r="S182" s="113">
        <f t="shared" si="128"/>
        <v>0</v>
      </c>
      <c r="T182" s="113">
        <f t="shared" si="128"/>
        <v>0</v>
      </c>
      <c r="U182" s="113">
        <f t="shared" si="128"/>
        <v>0</v>
      </c>
      <c r="V182" s="113">
        <f t="shared" si="128"/>
        <v>5338125</v>
      </c>
      <c r="W182" s="113">
        <f t="shared" si="128"/>
        <v>5338125</v>
      </c>
      <c r="X182" s="113">
        <f t="shared" si="128"/>
        <v>5338125</v>
      </c>
      <c r="Y182" s="113">
        <f t="shared" si="128"/>
        <v>5338125</v>
      </c>
      <c r="Z182" s="113">
        <f t="shared" si="128"/>
        <v>0</v>
      </c>
      <c r="AA182" s="113">
        <f t="shared" si="128"/>
        <v>0</v>
      </c>
      <c r="AB182" s="113">
        <f t="shared" si="128"/>
        <v>0</v>
      </c>
      <c r="AC182" s="72">
        <f t="shared" si="128"/>
        <v>0</v>
      </c>
      <c r="AD182" s="176"/>
    </row>
    <row r="183" spans="1:30" ht="22.5" x14ac:dyDescent="0.25">
      <c r="A183" s="176"/>
      <c r="B183" s="208" t="s">
        <v>157</v>
      </c>
      <c r="C183" s="387">
        <f>J135</f>
        <v>0</v>
      </c>
      <c r="D183" s="57" t="b">
        <f t="shared" si="124"/>
        <v>1</v>
      </c>
      <c r="E183" s="469">
        <f t="shared" si="123"/>
        <v>0</v>
      </c>
      <c r="F183" s="465">
        <f t="shared" ref="F183:AC183" si="129">F169*$C$183</f>
        <v>0</v>
      </c>
      <c r="G183" s="113">
        <f t="shared" si="129"/>
        <v>0</v>
      </c>
      <c r="H183" s="113">
        <f t="shared" si="129"/>
        <v>0</v>
      </c>
      <c r="I183" s="113">
        <f t="shared" si="129"/>
        <v>0</v>
      </c>
      <c r="J183" s="113">
        <f t="shared" si="129"/>
        <v>0</v>
      </c>
      <c r="K183" s="113">
        <f t="shared" si="129"/>
        <v>0</v>
      </c>
      <c r="L183" s="113">
        <f t="shared" si="129"/>
        <v>0</v>
      </c>
      <c r="M183" s="113">
        <f t="shared" si="129"/>
        <v>0</v>
      </c>
      <c r="N183" s="113">
        <f t="shared" si="129"/>
        <v>0</v>
      </c>
      <c r="O183" s="113">
        <f t="shared" si="129"/>
        <v>0</v>
      </c>
      <c r="P183" s="113">
        <f t="shared" si="129"/>
        <v>0</v>
      </c>
      <c r="Q183" s="113">
        <f t="shared" si="129"/>
        <v>0</v>
      </c>
      <c r="R183" s="113">
        <f t="shared" si="129"/>
        <v>0</v>
      </c>
      <c r="S183" s="113">
        <f t="shared" si="129"/>
        <v>0</v>
      </c>
      <c r="T183" s="113">
        <f t="shared" si="129"/>
        <v>0</v>
      </c>
      <c r="U183" s="113">
        <f t="shared" si="129"/>
        <v>0</v>
      </c>
      <c r="V183" s="113">
        <f t="shared" si="129"/>
        <v>0</v>
      </c>
      <c r="W183" s="113">
        <f t="shared" si="129"/>
        <v>0</v>
      </c>
      <c r="X183" s="113">
        <f t="shared" si="129"/>
        <v>0</v>
      </c>
      <c r="Y183" s="113">
        <f t="shared" si="129"/>
        <v>0</v>
      </c>
      <c r="Z183" s="113">
        <f t="shared" si="129"/>
        <v>0</v>
      </c>
      <c r="AA183" s="113">
        <f t="shared" si="129"/>
        <v>0</v>
      </c>
      <c r="AB183" s="113">
        <f t="shared" si="129"/>
        <v>0</v>
      </c>
      <c r="AC183" s="72">
        <f t="shared" si="129"/>
        <v>0</v>
      </c>
      <c r="AD183" s="176"/>
    </row>
    <row r="184" spans="1:30" ht="22.5" x14ac:dyDescent="0.25">
      <c r="A184" s="176"/>
      <c r="B184" s="383" t="s">
        <v>164</v>
      </c>
      <c r="C184" s="392">
        <f>O135</f>
        <v>242871819.07499996</v>
      </c>
      <c r="D184" s="384" t="b">
        <f>IF(ABS(E184 - C184) &lt; MAX(0.00001, E184 * 0.00001), TRUE, FALSE)</f>
        <v>1</v>
      </c>
      <c r="E184" s="469">
        <f t="shared" si="123"/>
        <v>242871819.07499996</v>
      </c>
      <c r="F184" s="464">
        <f t="shared" ref="F184:AC184" si="130">F170*$C$184</f>
        <v>0</v>
      </c>
      <c r="G184" s="388">
        <f t="shared" si="130"/>
        <v>0</v>
      </c>
      <c r="H184" s="388">
        <f t="shared" si="130"/>
        <v>0</v>
      </c>
      <c r="I184" s="388">
        <f t="shared" si="130"/>
        <v>0</v>
      </c>
      <c r="J184" s="388">
        <f t="shared" si="130"/>
        <v>0</v>
      </c>
      <c r="K184" s="388">
        <f t="shared" si="130"/>
        <v>0</v>
      </c>
      <c r="L184" s="388">
        <f t="shared" si="130"/>
        <v>0</v>
      </c>
      <c r="M184" s="388">
        <f t="shared" si="130"/>
        <v>0</v>
      </c>
      <c r="N184" s="388">
        <f t="shared" si="130"/>
        <v>0</v>
      </c>
      <c r="O184" s="388">
        <f t="shared" si="130"/>
        <v>0</v>
      </c>
      <c r="P184" s="388">
        <f t="shared" si="130"/>
        <v>0</v>
      </c>
      <c r="Q184" s="388">
        <f t="shared" si="130"/>
        <v>0</v>
      </c>
      <c r="R184" s="388">
        <f t="shared" si="130"/>
        <v>0</v>
      </c>
      <c r="S184" s="388">
        <f t="shared" si="130"/>
        <v>0</v>
      </c>
      <c r="T184" s="388">
        <f>T170*$C$184</f>
        <v>0</v>
      </c>
      <c r="U184" s="388">
        <f t="shared" si="130"/>
        <v>0</v>
      </c>
      <c r="V184" s="388">
        <f t="shared" si="130"/>
        <v>0</v>
      </c>
      <c r="W184" s="388">
        <f t="shared" si="130"/>
        <v>0</v>
      </c>
      <c r="X184" s="388">
        <f t="shared" si="130"/>
        <v>0</v>
      </c>
      <c r="Y184" s="388">
        <f t="shared" si="130"/>
        <v>242871819.07499996</v>
      </c>
      <c r="Z184" s="388">
        <f t="shared" si="130"/>
        <v>0</v>
      </c>
      <c r="AA184" s="388">
        <f t="shared" si="130"/>
        <v>0</v>
      </c>
      <c r="AB184" s="388">
        <f t="shared" si="130"/>
        <v>0</v>
      </c>
      <c r="AC184" s="389">
        <f t="shared" si="130"/>
        <v>0</v>
      </c>
      <c r="AD184" s="176"/>
    </row>
    <row r="185" spans="1:30" ht="23.25" thickBot="1" x14ac:dyDescent="0.3">
      <c r="B185" s="40" t="s">
        <v>213</v>
      </c>
      <c r="C185" s="482">
        <v>0.01</v>
      </c>
      <c r="D185" s="385">
        <f>BI26</f>
        <v>53513191.667199999</v>
      </c>
      <c r="E185" s="470">
        <f>SUM(F185:AC185)</f>
        <v>54352006</v>
      </c>
      <c r="F185" s="466"/>
      <c r="G185" s="390"/>
      <c r="H185" s="391"/>
      <c r="I185" s="391"/>
      <c r="J185" s="391"/>
      <c r="K185" s="391"/>
      <c r="L185" s="391">
        <v>2552006</v>
      </c>
      <c r="M185" s="391">
        <v>800000</v>
      </c>
      <c r="N185" s="391">
        <v>2200000</v>
      </c>
      <c r="O185" s="391">
        <v>2200000</v>
      </c>
      <c r="P185" s="391">
        <v>5800000</v>
      </c>
      <c r="Q185" s="391">
        <v>9000000</v>
      </c>
      <c r="R185" s="391">
        <v>6100000</v>
      </c>
      <c r="S185" s="391">
        <v>7400000</v>
      </c>
      <c r="T185" s="391">
        <v>7200000</v>
      </c>
      <c r="U185" s="391">
        <v>10000000</v>
      </c>
      <c r="V185" s="391">
        <v>300000</v>
      </c>
      <c r="W185" s="391">
        <v>800000</v>
      </c>
      <c r="X185" s="391">
        <v>0</v>
      </c>
      <c r="Y185" s="391">
        <v>0</v>
      </c>
      <c r="Z185" s="391">
        <v>0</v>
      </c>
      <c r="AA185" s="391">
        <v>0</v>
      </c>
      <c r="AB185" s="391">
        <v>0</v>
      </c>
      <c r="AC185" s="391">
        <v>0</v>
      </c>
      <c r="AD185" s="725">
        <f>IF(AC221 + SUM(AD176:AD184) + SUM(AD188:AD212) &gt;= 0, 0, ABS(AC221 + SUM(AD176:AD184) + SUM(AD188:AD212)) * (1 + $C$185))</f>
        <v>0</v>
      </c>
    </row>
    <row r="186" spans="1:30" ht="12" thickBot="1" x14ac:dyDescent="0.3">
      <c r="A186" s="172"/>
      <c r="B186" s="225" t="s">
        <v>165</v>
      </c>
      <c r="C186" s="93"/>
      <c r="D186" s="94"/>
      <c r="Y186" s="93"/>
      <c r="Z186" s="93"/>
      <c r="AA186" s="93"/>
      <c r="AB186" s="93"/>
      <c r="AC186" s="95"/>
      <c r="AD186" s="176"/>
    </row>
    <row r="187" spans="1:30" ht="22.5" x14ac:dyDescent="0.25">
      <c r="A187" s="172"/>
      <c r="B187" s="436" t="s">
        <v>155</v>
      </c>
      <c r="C187" s="90">
        <f>-E185</f>
        <v>-54352006</v>
      </c>
      <c r="D187" s="109">
        <f>C187-E187</f>
        <v>0</v>
      </c>
      <c r="E187" s="458">
        <f t="shared" ref="E187:E212" si="131">SUM(F187:AC187)</f>
        <v>-54352006</v>
      </c>
      <c r="F187" s="453"/>
      <c r="G187" s="91"/>
      <c r="H187" s="91"/>
      <c r="I187" s="91"/>
      <c r="J187" s="91"/>
      <c r="K187" s="91"/>
      <c r="L187" s="91"/>
      <c r="M187" s="91"/>
      <c r="N187" s="91"/>
      <c r="O187" s="91"/>
      <c r="P187" s="91"/>
      <c r="Q187" s="91"/>
      <c r="R187" s="91"/>
      <c r="S187" s="91"/>
      <c r="T187" s="91"/>
      <c r="U187" s="91"/>
      <c r="V187" s="91"/>
      <c r="W187" s="91"/>
      <c r="X187" s="91">
        <v>-2329872.8631211729</v>
      </c>
      <c r="Y187" s="91">
        <v>-52022133.136878826</v>
      </c>
      <c r="Z187" s="91"/>
      <c r="AA187" s="91"/>
      <c r="AB187" s="91"/>
      <c r="AC187" s="92"/>
      <c r="AD187" s="176"/>
    </row>
    <row r="188" spans="1:30" ht="22.5" x14ac:dyDescent="0.25">
      <c r="A188" s="179"/>
      <c r="B188" s="208" t="s">
        <v>18</v>
      </c>
      <c r="C188" s="34">
        <v>7.2999999999999995E-2</v>
      </c>
      <c r="D188" s="57" t="b">
        <f>IF(ABS(E188+E189 - AC255) &lt; MAX(0.00001, E188+E189 * 0.00001), TRUE, FALSE)</f>
        <v>1</v>
      </c>
      <c r="E188" s="440">
        <f t="shared" si="131"/>
        <v>-6870143.2437480381</v>
      </c>
      <c r="F188" s="438">
        <v>0</v>
      </c>
      <c r="G188" s="275">
        <f>-(F174*$C$188)/4</f>
        <v>0</v>
      </c>
      <c r="H188" s="275">
        <f t="shared" ref="H188:AC188" si="132">-(G174*$C$188)/4</f>
        <v>0</v>
      </c>
      <c r="I188" s="275">
        <f t="shared" si="132"/>
        <v>0</v>
      </c>
      <c r="J188" s="275">
        <f t="shared" si="132"/>
        <v>0</v>
      </c>
      <c r="K188" s="275">
        <f t="shared" si="132"/>
        <v>0</v>
      </c>
      <c r="L188" s="275">
        <f t="shared" si="132"/>
        <v>0</v>
      </c>
      <c r="M188" s="275">
        <f t="shared" si="132"/>
        <v>-46574.109499999999</v>
      </c>
      <c r="N188" s="275">
        <f t="shared" si="132"/>
        <v>-61174.109499999999</v>
      </c>
      <c r="O188" s="275">
        <f t="shared" si="132"/>
        <v>-101324.10949999999</v>
      </c>
      <c r="P188" s="275">
        <f t="shared" si="132"/>
        <v>-141474.10949999999</v>
      </c>
      <c r="Q188" s="275">
        <f t="shared" si="132"/>
        <v>-247324.10949999999</v>
      </c>
      <c r="R188" s="275">
        <f t="shared" si="132"/>
        <v>-411574.10949999996</v>
      </c>
      <c r="S188" s="275">
        <f t="shared" si="132"/>
        <v>-522899.10949999996</v>
      </c>
      <c r="T188" s="275">
        <f t="shared" si="132"/>
        <v>-657949.1094999999</v>
      </c>
      <c r="U188" s="275">
        <f t="shared" si="132"/>
        <v>-789349.1094999999</v>
      </c>
      <c r="V188" s="275">
        <f t="shared" si="132"/>
        <v>-971849.1094999999</v>
      </c>
      <c r="W188" s="275">
        <f t="shared" si="132"/>
        <v>-977324.1094999999</v>
      </c>
      <c r="X188" s="275">
        <f t="shared" si="132"/>
        <v>-991924.1094999999</v>
      </c>
      <c r="Y188" s="275">
        <f t="shared" si="132"/>
        <v>-949403.92974803853</v>
      </c>
      <c r="Z188" s="275">
        <f t="shared" si="132"/>
        <v>0</v>
      </c>
      <c r="AA188" s="275">
        <f t="shared" si="132"/>
        <v>0</v>
      </c>
      <c r="AB188" s="275">
        <f t="shared" si="132"/>
        <v>0</v>
      </c>
      <c r="AC188" s="277">
        <f t="shared" si="132"/>
        <v>0</v>
      </c>
      <c r="AD188" s="176"/>
    </row>
    <row r="189" spans="1:30" ht="22.5" x14ac:dyDescent="0.25">
      <c r="A189" s="172"/>
      <c r="B189" s="208" t="s">
        <v>166</v>
      </c>
      <c r="C189" s="34">
        <v>5.0000000000000001E-3</v>
      </c>
      <c r="D189" s="57" t="b">
        <f>C189*E187=E189</f>
        <v>1</v>
      </c>
      <c r="E189" s="440">
        <f t="shared" si="131"/>
        <v>-271760.03000000003</v>
      </c>
      <c r="F189" s="437">
        <f>C189*E187</f>
        <v>-271760.03000000003</v>
      </c>
      <c r="G189" s="274">
        <v>0</v>
      </c>
      <c r="H189" s="274">
        <v>0</v>
      </c>
      <c r="I189" s="274">
        <v>0</v>
      </c>
      <c r="J189" s="274">
        <v>0</v>
      </c>
      <c r="K189" s="274">
        <v>0</v>
      </c>
      <c r="L189" s="274">
        <v>0</v>
      </c>
      <c r="M189" s="274">
        <v>0</v>
      </c>
      <c r="N189" s="274">
        <v>0</v>
      </c>
      <c r="O189" s="274">
        <v>0</v>
      </c>
      <c r="P189" s="274">
        <v>0</v>
      </c>
      <c r="Q189" s="274">
        <v>0</v>
      </c>
      <c r="R189" s="274">
        <v>0</v>
      </c>
      <c r="S189" s="274">
        <v>0</v>
      </c>
      <c r="T189" s="274">
        <v>0</v>
      </c>
      <c r="U189" s="274">
        <v>0</v>
      </c>
      <c r="V189" s="274">
        <v>0</v>
      </c>
      <c r="W189" s="274">
        <v>0</v>
      </c>
      <c r="X189" s="274">
        <v>0</v>
      </c>
      <c r="Y189" s="274">
        <v>0</v>
      </c>
      <c r="Z189" s="274">
        <v>0</v>
      </c>
      <c r="AA189" s="274">
        <v>0</v>
      </c>
      <c r="AB189" s="274">
        <v>0</v>
      </c>
      <c r="AC189" s="278">
        <v>0</v>
      </c>
      <c r="AD189" s="176"/>
    </row>
    <row r="190" spans="1:30" ht="22.5" x14ac:dyDescent="0.25">
      <c r="A190" s="172"/>
      <c r="B190" s="208" t="s">
        <v>167</v>
      </c>
      <c r="C190" s="221">
        <f>-E45</f>
        <v>-89728000</v>
      </c>
      <c r="D190" s="57" t="b">
        <f>IF(ABS(E190 - C190) &lt; MAX(0.00001, E190 * 0.00001), TRUE, FALSE)</f>
        <v>1</v>
      </c>
      <c r="E190" s="440">
        <f t="shared" si="131"/>
        <v>-89728000</v>
      </c>
      <c r="F190" s="438">
        <f>-E45</f>
        <v>-89728000</v>
      </c>
      <c r="G190" s="275">
        <v>0</v>
      </c>
      <c r="H190" s="275">
        <v>0</v>
      </c>
      <c r="I190" s="275">
        <v>0</v>
      </c>
      <c r="J190" s="275">
        <v>0</v>
      </c>
      <c r="K190" s="275">
        <v>0</v>
      </c>
      <c r="L190" s="275">
        <v>0</v>
      </c>
      <c r="M190" s="275">
        <v>0</v>
      </c>
      <c r="N190" s="275">
        <v>0</v>
      </c>
      <c r="O190" s="275">
        <v>0</v>
      </c>
      <c r="P190" s="275">
        <v>0</v>
      </c>
      <c r="Q190" s="275">
        <v>0</v>
      </c>
      <c r="R190" s="275">
        <v>0</v>
      </c>
      <c r="S190" s="275">
        <v>0</v>
      </c>
      <c r="T190" s="275">
        <v>0</v>
      </c>
      <c r="U190" s="275">
        <v>0</v>
      </c>
      <c r="V190" s="275">
        <v>0</v>
      </c>
      <c r="W190" s="275">
        <v>0</v>
      </c>
      <c r="X190" s="275">
        <v>0</v>
      </c>
      <c r="Y190" s="275">
        <v>0</v>
      </c>
      <c r="Z190" s="275">
        <v>0</v>
      </c>
      <c r="AA190" s="275">
        <v>0</v>
      </c>
      <c r="AB190" s="275">
        <v>0</v>
      </c>
      <c r="AC190" s="277">
        <v>0</v>
      </c>
      <c r="AD190" s="176"/>
    </row>
    <row r="191" spans="1:30" ht="27" x14ac:dyDescent="0.25">
      <c r="A191" s="172"/>
      <c r="B191" s="31" t="s">
        <v>272</v>
      </c>
      <c r="C191" s="221">
        <f>-SUM(F45:H45)</f>
        <v>-2119824</v>
      </c>
      <c r="D191" s="57" t="b">
        <f t="shared" ref="D191:D212" si="133">IF(ABS(E191 - C191) &lt; MAX(0.00001, E191 * 0.00001), TRUE, FALSE)</f>
        <v>1</v>
      </c>
      <c r="E191" s="440">
        <f>SUM(F191:AC191)</f>
        <v>-2119824</v>
      </c>
      <c r="F191" s="437">
        <f>-SUM(F45:H45)</f>
        <v>-2119824</v>
      </c>
      <c r="G191" s="274">
        <v>0</v>
      </c>
      <c r="H191" s="274">
        <v>0</v>
      </c>
      <c r="I191" s="274">
        <v>0</v>
      </c>
      <c r="J191" s="274">
        <v>0</v>
      </c>
      <c r="K191" s="274">
        <v>0</v>
      </c>
      <c r="L191" s="274">
        <v>0</v>
      </c>
      <c r="M191" s="274">
        <v>0</v>
      </c>
      <c r="N191" s="274">
        <v>0</v>
      </c>
      <c r="O191" s="274">
        <v>0</v>
      </c>
      <c r="P191" s="274">
        <v>0</v>
      </c>
      <c r="Q191" s="274">
        <v>0</v>
      </c>
      <c r="R191" s="274">
        <v>0</v>
      </c>
      <c r="S191" s="274">
        <v>0</v>
      </c>
      <c r="T191" s="274">
        <v>0</v>
      </c>
      <c r="U191" s="274">
        <v>0</v>
      </c>
      <c r="V191" s="274">
        <v>0</v>
      </c>
      <c r="W191" s="274">
        <v>0</v>
      </c>
      <c r="X191" s="274">
        <v>0</v>
      </c>
      <c r="Y191" s="274">
        <v>0</v>
      </c>
      <c r="Z191" s="274">
        <v>0</v>
      </c>
      <c r="AA191" s="274">
        <v>0</v>
      </c>
      <c r="AB191" s="274">
        <v>0</v>
      </c>
      <c r="AC191" s="278">
        <v>0</v>
      </c>
      <c r="AD191" s="176"/>
    </row>
    <row r="192" spans="1:30" ht="23.25" thickBot="1" x14ac:dyDescent="0.3">
      <c r="A192" s="172"/>
      <c r="B192" s="371" t="s">
        <v>168</v>
      </c>
      <c r="C192" s="372">
        <f>-J72</f>
        <v>-78265608</v>
      </c>
      <c r="D192" s="373" t="b">
        <f t="shared" si="133"/>
        <v>1</v>
      </c>
      <c r="E192" s="459">
        <f t="shared" si="131"/>
        <v>-78265608.000000015</v>
      </c>
      <c r="F192" s="454">
        <f t="shared" ref="F192:AC192" si="134">F171*$C$192</f>
        <v>0</v>
      </c>
      <c r="G192" s="374">
        <f t="shared" si="134"/>
        <v>0</v>
      </c>
      <c r="H192" s="374">
        <f t="shared" si="134"/>
        <v>0</v>
      </c>
      <c r="I192" s="374">
        <f t="shared" si="134"/>
        <v>0</v>
      </c>
      <c r="J192" s="374">
        <f t="shared" si="134"/>
        <v>0</v>
      </c>
      <c r="K192" s="374">
        <f t="shared" si="134"/>
        <v>-5478592.5600000005</v>
      </c>
      <c r="L192" s="374">
        <f t="shared" si="134"/>
        <v>-5478592.5600000005</v>
      </c>
      <c r="M192" s="374">
        <f t="shared" si="134"/>
        <v>-5478592.5600000005</v>
      </c>
      <c r="N192" s="374">
        <f t="shared" si="134"/>
        <v>-10174529.040000001</v>
      </c>
      <c r="O192" s="374">
        <f t="shared" si="134"/>
        <v>-10174529.040000001</v>
      </c>
      <c r="P192" s="374">
        <f t="shared" si="134"/>
        <v>-10174529.040000001</v>
      </c>
      <c r="Q192" s="374">
        <f t="shared" si="134"/>
        <v>-9391872.959999999</v>
      </c>
      <c r="R192" s="374">
        <f t="shared" si="134"/>
        <v>-5478592.5600000005</v>
      </c>
      <c r="S192" s="374">
        <f t="shared" si="134"/>
        <v>-5478592.5600000005</v>
      </c>
      <c r="T192" s="374">
        <f t="shared" si="134"/>
        <v>-5478592.5600000005</v>
      </c>
      <c r="U192" s="374">
        <f t="shared" si="134"/>
        <v>-5478592.5600000005</v>
      </c>
      <c r="V192" s="374">
        <f t="shared" si="134"/>
        <v>0</v>
      </c>
      <c r="W192" s="374">
        <f t="shared" si="134"/>
        <v>0</v>
      </c>
      <c r="X192" s="374">
        <f t="shared" si="134"/>
        <v>0</v>
      </c>
      <c r="Y192" s="374">
        <f t="shared" si="134"/>
        <v>0</v>
      </c>
      <c r="Z192" s="374">
        <f t="shared" si="134"/>
        <v>0</v>
      </c>
      <c r="AA192" s="374">
        <f t="shared" si="134"/>
        <v>0</v>
      </c>
      <c r="AB192" s="374">
        <f t="shared" si="134"/>
        <v>0</v>
      </c>
      <c r="AC192" s="375">
        <f t="shared" si="134"/>
        <v>0</v>
      </c>
      <c r="AD192" s="176"/>
    </row>
    <row r="193" spans="1:41" ht="22.5" x14ac:dyDescent="0.25">
      <c r="A193" s="172"/>
      <c r="B193" s="66" t="s">
        <v>169</v>
      </c>
      <c r="C193" s="44">
        <f t="shared" ref="C193:C208" si="135">-C82</f>
        <v>-534040</v>
      </c>
      <c r="D193" s="56" t="b">
        <f t="shared" si="133"/>
        <v>1</v>
      </c>
      <c r="E193" s="458">
        <f t="shared" si="131"/>
        <v>-534040</v>
      </c>
      <c r="F193" s="455">
        <f>C193</f>
        <v>-534040</v>
      </c>
      <c r="G193" s="376">
        <v>0</v>
      </c>
      <c r="H193" s="376">
        <v>0</v>
      </c>
      <c r="I193" s="376">
        <v>0</v>
      </c>
      <c r="J193" s="376">
        <v>0</v>
      </c>
      <c r="K193" s="376">
        <v>0</v>
      </c>
      <c r="L193" s="376">
        <v>0</v>
      </c>
      <c r="M193" s="376">
        <v>0</v>
      </c>
      <c r="N193" s="376">
        <v>0</v>
      </c>
      <c r="O193" s="376">
        <v>0</v>
      </c>
      <c r="P193" s="376">
        <v>0</v>
      </c>
      <c r="Q193" s="376">
        <v>0</v>
      </c>
      <c r="R193" s="376">
        <v>0</v>
      </c>
      <c r="S193" s="376">
        <v>0</v>
      </c>
      <c r="T193" s="376">
        <v>0</v>
      </c>
      <c r="U193" s="376">
        <v>0</v>
      </c>
      <c r="V193" s="376">
        <v>0</v>
      </c>
      <c r="W193" s="376">
        <v>0</v>
      </c>
      <c r="X193" s="376">
        <v>0</v>
      </c>
      <c r="Y193" s="376">
        <v>0</v>
      </c>
      <c r="Z193" s="376">
        <v>0</v>
      </c>
      <c r="AA193" s="376">
        <v>0</v>
      </c>
      <c r="AB193" s="376">
        <v>0</v>
      </c>
      <c r="AC193" s="377">
        <v>0</v>
      </c>
      <c r="AD193" s="176"/>
    </row>
    <row r="194" spans="1:41" ht="22.5" x14ac:dyDescent="0.25">
      <c r="A194" s="172"/>
      <c r="B194" s="11" t="s">
        <v>77</v>
      </c>
      <c r="C194" s="221">
        <f t="shared" si="135"/>
        <v>-2835360</v>
      </c>
      <c r="D194" s="57" t="b">
        <f t="shared" si="133"/>
        <v>1</v>
      </c>
      <c r="E194" s="440">
        <f t="shared" si="131"/>
        <v>-2835360</v>
      </c>
      <c r="F194" s="438"/>
      <c r="G194" s="275"/>
      <c r="H194" s="275">
        <f t="shared" ref="H194:J194" si="136">$C$194/3</f>
        <v>-945120</v>
      </c>
      <c r="I194" s="275">
        <f t="shared" si="136"/>
        <v>-945120</v>
      </c>
      <c r="J194" s="275">
        <f t="shared" si="136"/>
        <v>-945120</v>
      </c>
      <c r="K194" s="275">
        <v>0</v>
      </c>
      <c r="L194" s="275">
        <v>0</v>
      </c>
      <c r="M194" s="275">
        <v>0</v>
      </c>
      <c r="N194" s="275">
        <v>0</v>
      </c>
      <c r="O194" s="275">
        <v>0</v>
      </c>
      <c r="P194" s="275">
        <v>0</v>
      </c>
      <c r="Q194" s="275">
        <v>0</v>
      </c>
      <c r="R194" s="275">
        <v>0</v>
      </c>
      <c r="S194" s="275">
        <v>0</v>
      </c>
      <c r="T194" s="275">
        <v>0</v>
      </c>
      <c r="U194" s="275">
        <v>0</v>
      </c>
      <c r="V194" s="275">
        <v>0</v>
      </c>
      <c r="W194" s="275">
        <v>0</v>
      </c>
      <c r="X194" s="275">
        <v>0</v>
      </c>
      <c r="Y194" s="275">
        <v>0</v>
      </c>
      <c r="Z194" s="275">
        <v>0</v>
      </c>
      <c r="AA194" s="275">
        <v>0</v>
      </c>
      <c r="AB194" s="275">
        <v>0</v>
      </c>
      <c r="AC194" s="277">
        <v>0</v>
      </c>
      <c r="AD194" s="176"/>
    </row>
    <row r="195" spans="1:41" ht="22.5" x14ac:dyDescent="0.25">
      <c r="A195" s="172"/>
      <c r="B195" s="11" t="s">
        <v>78</v>
      </c>
      <c r="C195" s="221">
        <f t="shared" si="135"/>
        <v>-1330515.3360000001</v>
      </c>
      <c r="D195" s="57" t="b">
        <f t="shared" si="133"/>
        <v>1</v>
      </c>
      <c r="E195" s="440">
        <f>SUM(F195:AC195)</f>
        <v>-1330515.3360000004</v>
      </c>
      <c r="F195" s="274">
        <f t="shared" ref="F195:J195" si="137">(F192/$C$192)*$C$195</f>
        <v>0</v>
      </c>
      <c r="G195" s="274">
        <f t="shared" si="137"/>
        <v>0</v>
      </c>
      <c r="H195" s="274">
        <f t="shared" si="137"/>
        <v>0</v>
      </c>
      <c r="I195" s="274">
        <f t="shared" si="137"/>
        <v>0</v>
      </c>
      <c r="J195" s="274">
        <f t="shared" si="137"/>
        <v>0</v>
      </c>
      <c r="K195" s="274">
        <f>(K192/$C$192)*$C$195</f>
        <v>-93136.07352000002</v>
      </c>
      <c r="L195" s="274">
        <f t="shared" ref="L195:AB195" si="138">(L192/$C$192)*$C$195</f>
        <v>-93136.07352000002</v>
      </c>
      <c r="M195" s="274">
        <f t="shared" si="138"/>
        <v>-93136.07352000002</v>
      </c>
      <c r="N195" s="274">
        <f t="shared" si="138"/>
        <v>-172966.99368000001</v>
      </c>
      <c r="O195" s="274">
        <f t="shared" si="138"/>
        <v>-172966.99368000001</v>
      </c>
      <c r="P195" s="274">
        <f t="shared" si="138"/>
        <v>-172966.99368000001</v>
      </c>
      <c r="Q195" s="274">
        <f t="shared" si="138"/>
        <v>-159661.84031999999</v>
      </c>
      <c r="R195" s="274">
        <f t="shared" si="138"/>
        <v>-93136.07352000002</v>
      </c>
      <c r="S195" s="274">
        <f t="shared" si="138"/>
        <v>-93136.07352000002</v>
      </c>
      <c r="T195" s="274">
        <f t="shared" si="138"/>
        <v>-93136.07352000002</v>
      </c>
      <c r="U195" s="274">
        <f t="shared" si="138"/>
        <v>-93136.07352000002</v>
      </c>
      <c r="V195" s="274">
        <f t="shared" si="138"/>
        <v>0</v>
      </c>
      <c r="W195" s="274">
        <f t="shared" si="138"/>
        <v>0</v>
      </c>
      <c r="X195" s="274">
        <f t="shared" si="138"/>
        <v>0</v>
      </c>
      <c r="Y195" s="274">
        <f t="shared" si="138"/>
        <v>0</v>
      </c>
      <c r="Z195" s="274">
        <f t="shared" si="138"/>
        <v>0</v>
      </c>
      <c r="AA195" s="274">
        <f t="shared" si="138"/>
        <v>0</v>
      </c>
      <c r="AB195" s="274">
        <f t="shared" si="138"/>
        <v>0</v>
      </c>
      <c r="AC195" s="278">
        <f t="shared" ref="AC195" si="139">IF(AC196&lt;0,$C$195,0)</f>
        <v>0</v>
      </c>
      <c r="AD195" s="176"/>
    </row>
    <row r="196" spans="1:41" ht="22.5" x14ac:dyDescent="0.25">
      <c r="A196" s="172"/>
      <c r="B196" s="11" t="s">
        <v>170</v>
      </c>
      <c r="C196" s="221">
        <f t="shared" si="135"/>
        <v>-62830.559999999998</v>
      </c>
      <c r="D196" s="57" t="b">
        <f t="shared" si="133"/>
        <v>1</v>
      </c>
      <c r="E196" s="440">
        <f t="shared" si="131"/>
        <v>-62830.559999999998</v>
      </c>
      <c r="F196" s="456">
        <v>0</v>
      </c>
      <c r="G196" s="275">
        <v>0</v>
      </c>
      <c r="H196" s="275">
        <v>0</v>
      </c>
      <c r="I196" s="275">
        <v>0</v>
      </c>
      <c r="J196" s="275">
        <f>C196</f>
        <v>-62830.559999999998</v>
      </c>
      <c r="K196" s="275">
        <v>0</v>
      </c>
      <c r="L196" s="275">
        <v>0</v>
      </c>
      <c r="M196" s="275">
        <v>0</v>
      </c>
      <c r="N196" s="275">
        <v>0</v>
      </c>
      <c r="O196" s="275">
        <v>0</v>
      </c>
      <c r="P196" s="275">
        <v>0</v>
      </c>
      <c r="Q196" s="275">
        <v>0</v>
      </c>
      <c r="R196" s="275">
        <v>0</v>
      </c>
      <c r="S196" s="275">
        <v>0</v>
      </c>
      <c r="T196" s="275">
        <v>0</v>
      </c>
      <c r="U196" s="275">
        <v>0</v>
      </c>
      <c r="V196" s="275">
        <v>0</v>
      </c>
      <c r="W196" s="275">
        <v>0</v>
      </c>
      <c r="X196" s="275">
        <v>0</v>
      </c>
      <c r="Y196" s="275">
        <v>0</v>
      </c>
      <c r="Z196" s="275">
        <v>0</v>
      </c>
      <c r="AA196" s="275">
        <v>0</v>
      </c>
      <c r="AB196" s="275">
        <v>0</v>
      </c>
      <c r="AC196" s="277">
        <v>0</v>
      </c>
      <c r="AD196" s="176"/>
    </row>
    <row r="197" spans="1:41" ht="22.5" x14ac:dyDescent="0.25">
      <c r="A197" s="172"/>
      <c r="B197" s="11" t="s">
        <v>171</v>
      </c>
      <c r="C197" s="221">
        <f t="shared" si="135"/>
        <v>-3913280.4000000004</v>
      </c>
      <c r="D197" s="57" t="b">
        <f t="shared" si="133"/>
        <v>1</v>
      </c>
      <c r="E197" s="440">
        <f t="shared" si="131"/>
        <v>-3913280.4</v>
      </c>
      <c r="F197" s="456">
        <f>$C$197/6</f>
        <v>-652213.4</v>
      </c>
      <c r="G197" s="274">
        <f t="shared" ref="G197:K197" si="140">$C$197/6</f>
        <v>-652213.4</v>
      </c>
      <c r="H197" s="274">
        <f t="shared" si="140"/>
        <v>-652213.4</v>
      </c>
      <c r="I197" s="274">
        <f t="shared" si="140"/>
        <v>-652213.4</v>
      </c>
      <c r="J197" s="274">
        <f t="shared" si="140"/>
        <v>-652213.4</v>
      </c>
      <c r="K197" s="274">
        <f t="shared" si="140"/>
        <v>-652213.4</v>
      </c>
      <c r="L197" s="274">
        <v>0</v>
      </c>
      <c r="M197" s="274">
        <v>0</v>
      </c>
      <c r="N197" s="274">
        <v>0</v>
      </c>
      <c r="O197" s="274">
        <v>0</v>
      </c>
      <c r="P197" s="274">
        <v>0</v>
      </c>
      <c r="Q197" s="274">
        <v>0</v>
      </c>
      <c r="R197" s="274">
        <v>0</v>
      </c>
      <c r="S197" s="274">
        <v>0</v>
      </c>
      <c r="T197" s="274">
        <v>0</v>
      </c>
      <c r="U197" s="274">
        <v>0</v>
      </c>
      <c r="V197" s="274">
        <v>0</v>
      </c>
      <c r="W197" s="274">
        <v>0</v>
      </c>
      <c r="X197" s="274">
        <v>0</v>
      </c>
      <c r="Y197" s="274">
        <v>0</v>
      </c>
      <c r="Z197" s="274">
        <v>0</v>
      </c>
      <c r="AA197" s="274">
        <v>0</v>
      </c>
      <c r="AB197" s="274">
        <v>0</v>
      </c>
      <c r="AC197" s="278">
        <v>0</v>
      </c>
      <c r="AD197" s="176"/>
    </row>
    <row r="198" spans="1:41" ht="22.5" x14ac:dyDescent="0.25">
      <c r="A198" s="172"/>
      <c r="B198" s="11" t="s">
        <v>172</v>
      </c>
      <c r="C198" s="221">
        <f t="shared" si="135"/>
        <v>-6149999.9999999991</v>
      </c>
      <c r="D198" s="57" t="b">
        <f t="shared" si="133"/>
        <v>1</v>
      </c>
      <c r="E198" s="440">
        <f t="shared" si="131"/>
        <v>-6149999.9999999991</v>
      </c>
      <c r="F198" s="456">
        <v>0</v>
      </c>
      <c r="G198" s="275">
        <v>0</v>
      </c>
      <c r="H198" s="275">
        <v>0</v>
      </c>
      <c r="I198" s="275">
        <v>0</v>
      </c>
      <c r="J198" s="275">
        <v>0</v>
      </c>
      <c r="K198" s="275">
        <v>0</v>
      </c>
      <c r="L198" s="275">
        <v>0</v>
      </c>
      <c r="M198" s="275">
        <v>0</v>
      </c>
      <c r="N198" s="275">
        <v>0</v>
      </c>
      <c r="O198" s="275">
        <v>0</v>
      </c>
      <c r="P198" s="275">
        <v>0</v>
      </c>
      <c r="Q198" s="275">
        <v>0</v>
      </c>
      <c r="R198" s="275">
        <v>0</v>
      </c>
      <c r="S198" s="275">
        <v>0</v>
      </c>
      <c r="T198" s="275">
        <v>0</v>
      </c>
      <c r="U198" s="275">
        <v>0</v>
      </c>
      <c r="V198" s="275">
        <f>$C$198/2</f>
        <v>-3074999.9999999995</v>
      </c>
      <c r="W198" s="275">
        <f>$C$198/2</f>
        <v>-3074999.9999999995</v>
      </c>
      <c r="X198" s="275">
        <v>0</v>
      </c>
      <c r="Y198" s="275">
        <v>0</v>
      </c>
      <c r="Z198" s="275">
        <v>0</v>
      </c>
      <c r="AA198" s="275">
        <v>0</v>
      </c>
      <c r="AB198" s="275">
        <v>0</v>
      </c>
      <c r="AC198" s="277">
        <v>0</v>
      </c>
      <c r="AD198" s="176"/>
    </row>
    <row r="199" spans="1:41" ht="22.5" x14ac:dyDescent="0.25">
      <c r="A199" s="172"/>
      <c r="B199" s="11" t="s">
        <v>173</v>
      </c>
      <c r="C199" s="221">
        <f t="shared" si="135"/>
        <v>0</v>
      </c>
      <c r="D199" s="57" t="b">
        <f t="shared" si="133"/>
        <v>1</v>
      </c>
      <c r="E199" s="440">
        <f t="shared" si="131"/>
        <v>0</v>
      </c>
      <c r="F199" s="456">
        <v>0</v>
      </c>
      <c r="G199" s="274">
        <v>0</v>
      </c>
      <c r="H199" s="274">
        <v>0</v>
      </c>
      <c r="I199" s="274">
        <v>0</v>
      </c>
      <c r="J199" s="274">
        <v>0</v>
      </c>
      <c r="K199" s="274">
        <v>0</v>
      </c>
      <c r="L199" s="274">
        <v>0</v>
      </c>
      <c r="M199" s="274">
        <v>0</v>
      </c>
      <c r="N199" s="274">
        <v>0</v>
      </c>
      <c r="O199" s="274">
        <v>0</v>
      </c>
      <c r="P199" s="274">
        <v>0</v>
      </c>
      <c r="Q199" s="274">
        <v>0</v>
      </c>
      <c r="R199" s="274">
        <v>0</v>
      </c>
      <c r="S199" s="274">
        <v>0</v>
      </c>
      <c r="T199" s="274">
        <v>0</v>
      </c>
      <c r="U199" s="274">
        <v>0</v>
      </c>
      <c r="V199" s="274">
        <v>0</v>
      </c>
      <c r="W199" s="274">
        <v>0</v>
      </c>
      <c r="X199" s="274">
        <v>0</v>
      </c>
      <c r="Y199" s="274">
        <v>0</v>
      </c>
      <c r="Z199" s="274">
        <v>0</v>
      </c>
      <c r="AA199" s="274">
        <v>0</v>
      </c>
      <c r="AB199" s="274">
        <v>0</v>
      </c>
      <c r="AC199" s="278">
        <v>0</v>
      </c>
      <c r="AD199" s="176"/>
      <c r="AH199"/>
      <c r="AI199"/>
      <c r="AJ199"/>
      <c r="AK199"/>
      <c r="AL199"/>
      <c r="AM199"/>
      <c r="AN199"/>
    </row>
    <row r="200" spans="1:41" ht="22.5" x14ac:dyDescent="0.25">
      <c r="A200" s="172"/>
      <c r="B200" s="11" t="s">
        <v>174</v>
      </c>
      <c r="C200" s="221">
        <f t="shared" si="135"/>
        <v>-912500</v>
      </c>
      <c r="D200" s="57" t="b">
        <f t="shared" si="133"/>
        <v>1</v>
      </c>
      <c r="E200" s="440">
        <f t="shared" si="131"/>
        <v>-912500</v>
      </c>
      <c r="F200" s="456">
        <v>0</v>
      </c>
      <c r="G200" s="275">
        <v>0</v>
      </c>
      <c r="H200" s="275">
        <v>0</v>
      </c>
      <c r="I200" s="275">
        <v>0</v>
      </c>
      <c r="J200" s="275">
        <v>0</v>
      </c>
      <c r="K200" s="275">
        <v>0</v>
      </c>
      <c r="L200" s="275">
        <v>0</v>
      </c>
      <c r="M200" s="275">
        <v>0</v>
      </c>
      <c r="N200" s="275">
        <v>0</v>
      </c>
      <c r="O200" s="275">
        <v>0</v>
      </c>
      <c r="P200" s="275">
        <v>0</v>
      </c>
      <c r="Q200" s="275">
        <v>0</v>
      </c>
      <c r="R200" s="275">
        <v>0</v>
      </c>
      <c r="S200" s="275">
        <v>0</v>
      </c>
      <c r="T200" s="275">
        <v>0</v>
      </c>
      <c r="U200" s="275">
        <f>C200</f>
        <v>-912500</v>
      </c>
      <c r="V200" s="275">
        <v>0</v>
      </c>
      <c r="W200" s="275">
        <v>0</v>
      </c>
      <c r="X200" s="275">
        <v>0</v>
      </c>
      <c r="Y200" s="275">
        <v>0</v>
      </c>
      <c r="Z200" s="275">
        <v>0</v>
      </c>
      <c r="AA200" s="275">
        <v>0</v>
      </c>
      <c r="AB200" s="275">
        <v>0</v>
      </c>
      <c r="AC200" s="277">
        <v>0</v>
      </c>
      <c r="AD200" s="176"/>
      <c r="AG200"/>
      <c r="AH200"/>
      <c r="AI200"/>
      <c r="AJ200"/>
      <c r="AK200"/>
      <c r="AL200"/>
      <c r="AM200"/>
      <c r="AN200"/>
      <c r="AO200" s="337"/>
    </row>
    <row r="201" spans="1:41" ht="22.5" x14ac:dyDescent="0.25">
      <c r="A201" s="172"/>
      <c r="B201" s="11" t="s">
        <v>84</v>
      </c>
      <c r="C201" s="221">
        <f t="shared" si="135"/>
        <v>-984000</v>
      </c>
      <c r="D201" s="57" t="b">
        <f t="shared" si="133"/>
        <v>1</v>
      </c>
      <c r="E201" s="440">
        <f t="shared" si="131"/>
        <v>-984000</v>
      </c>
      <c r="F201" s="456">
        <v>0</v>
      </c>
      <c r="G201" s="274">
        <v>0</v>
      </c>
      <c r="H201" s="274">
        <v>0</v>
      </c>
      <c r="I201" s="274">
        <v>0</v>
      </c>
      <c r="J201" s="274">
        <v>0</v>
      </c>
      <c r="K201" s="274">
        <v>0</v>
      </c>
      <c r="L201" s="274">
        <v>0</v>
      </c>
      <c r="M201" s="274">
        <v>0</v>
      </c>
      <c r="N201" s="274">
        <v>0</v>
      </c>
      <c r="O201" s="274">
        <v>0</v>
      </c>
      <c r="P201" s="274">
        <v>0</v>
      </c>
      <c r="Q201" s="274">
        <v>0</v>
      </c>
      <c r="R201" s="274">
        <v>0</v>
      </c>
      <c r="S201" s="274">
        <v>0</v>
      </c>
      <c r="T201" s="274">
        <v>0</v>
      </c>
      <c r="U201" s="274">
        <f t="shared" ref="U201:U202" si="141">C201</f>
        <v>-984000</v>
      </c>
      <c r="V201" s="274">
        <v>0</v>
      </c>
      <c r="W201" s="274">
        <v>0</v>
      </c>
      <c r="X201" s="274">
        <v>0</v>
      </c>
      <c r="Y201" s="274">
        <v>0</v>
      </c>
      <c r="Z201" s="274">
        <v>0</v>
      </c>
      <c r="AA201" s="274">
        <v>0</v>
      </c>
      <c r="AB201" s="274">
        <v>0</v>
      </c>
      <c r="AC201" s="278">
        <v>0</v>
      </c>
      <c r="AD201" s="176"/>
      <c r="AG201"/>
      <c r="AH201"/>
      <c r="AI201"/>
      <c r="AJ201"/>
      <c r="AK201"/>
      <c r="AL201"/>
      <c r="AM201"/>
      <c r="AN201"/>
      <c r="AO201" s="337"/>
    </row>
    <row r="202" spans="1:41" ht="22.5" x14ac:dyDescent="0.25">
      <c r="A202" s="172"/>
      <c r="B202" s="11" t="s">
        <v>85</v>
      </c>
      <c r="C202" s="221">
        <f t="shared" si="135"/>
        <v>-18000</v>
      </c>
      <c r="D202" s="57" t="b">
        <f t="shared" si="133"/>
        <v>1</v>
      </c>
      <c r="E202" s="440">
        <f t="shared" si="131"/>
        <v>-18000</v>
      </c>
      <c r="F202" s="456">
        <v>0</v>
      </c>
      <c r="G202" s="275">
        <v>0</v>
      </c>
      <c r="H202" s="275">
        <v>0</v>
      </c>
      <c r="I202" s="275">
        <v>0</v>
      </c>
      <c r="J202" s="275">
        <v>0</v>
      </c>
      <c r="K202" s="275">
        <v>0</v>
      </c>
      <c r="L202" s="275">
        <v>0</v>
      </c>
      <c r="M202" s="275">
        <v>0</v>
      </c>
      <c r="N202" s="275">
        <v>0</v>
      </c>
      <c r="O202" s="275">
        <v>0</v>
      </c>
      <c r="P202" s="275">
        <v>0</v>
      </c>
      <c r="Q202" s="275">
        <v>0</v>
      </c>
      <c r="R202" s="275">
        <v>0</v>
      </c>
      <c r="S202" s="275">
        <v>0</v>
      </c>
      <c r="T202" s="275">
        <v>0</v>
      </c>
      <c r="U202" s="275">
        <f t="shared" si="141"/>
        <v>-18000</v>
      </c>
      <c r="V202" s="275">
        <v>0</v>
      </c>
      <c r="W202" s="275">
        <v>0</v>
      </c>
      <c r="X202" s="275">
        <v>0</v>
      </c>
      <c r="Y202" s="275">
        <v>0</v>
      </c>
      <c r="Z202" s="275">
        <v>0</v>
      </c>
      <c r="AA202" s="275">
        <v>0</v>
      </c>
      <c r="AB202" s="275">
        <v>0</v>
      </c>
      <c r="AC202" s="277">
        <v>0</v>
      </c>
      <c r="AD202" s="176"/>
      <c r="AG202"/>
      <c r="AH202"/>
      <c r="AI202"/>
      <c r="AJ202"/>
      <c r="AK202"/>
      <c r="AL202"/>
      <c r="AM202"/>
      <c r="AN202"/>
      <c r="AO202" s="337"/>
    </row>
    <row r="203" spans="1:41" ht="22.5" x14ac:dyDescent="0.25">
      <c r="A203" s="172"/>
      <c r="B203" s="11" t="s">
        <v>86</v>
      </c>
      <c r="C203" s="221">
        <f t="shared" si="135"/>
        <v>-299000</v>
      </c>
      <c r="D203" s="57" t="b">
        <f t="shared" si="133"/>
        <v>1</v>
      </c>
      <c r="E203" s="440">
        <f t="shared" si="131"/>
        <v>-299000</v>
      </c>
      <c r="F203" s="456">
        <v>0</v>
      </c>
      <c r="G203" s="274">
        <v>0</v>
      </c>
      <c r="H203" s="274">
        <v>0</v>
      </c>
      <c r="I203" s="274">
        <v>0</v>
      </c>
      <c r="J203" s="274">
        <v>0</v>
      </c>
      <c r="K203" s="274">
        <v>0</v>
      </c>
      <c r="L203" s="274">
        <v>0</v>
      </c>
      <c r="M203" s="274">
        <v>0</v>
      </c>
      <c r="N203" s="274">
        <v>0</v>
      </c>
      <c r="O203" s="274">
        <v>0</v>
      </c>
      <c r="P203" s="274">
        <v>0</v>
      </c>
      <c r="Q203" s="274">
        <v>0</v>
      </c>
      <c r="R203" s="274">
        <v>0</v>
      </c>
      <c r="S203" s="274">
        <v>0</v>
      </c>
      <c r="T203" s="274">
        <v>0</v>
      </c>
      <c r="U203" s="274">
        <f>$C$203/4</f>
        <v>-74750</v>
      </c>
      <c r="V203" s="274">
        <f t="shared" ref="V203:X203" si="142">$C$203/4</f>
        <v>-74750</v>
      </c>
      <c r="W203" s="274">
        <f t="shared" si="142"/>
        <v>-74750</v>
      </c>
      <c r="X203" s="274">
        <f t="shared" si="142"/>
        <v>-74750</v>
      </c>
      <c r="Y203" s="274">
        <v>0</v>
      </c>
      <c r="Z203" s="274">
        <v>0</v>
      </c>
      <c r="AA203" s="274">
        <v>0</v>
      </c>
      <c r="AB203" s="274">
        <v>0</v>
      </c>
      <c r="AC203" s="278">
        <v>0</v>
      </c>
      <c r="AD203" s="176"/>
      <c r="AG203"/>
      <c r="AH203"/>
      <c r="AI203"/>
      <c r="AJ203"/>
      <c r="AK203"/>
      <c r="AL203"/>
      <c r="AM203"/>
      <c r="AN203"/>
      <c r="AO203" s="337"/>
    </row>
    <row r="204" spans="1:41" ht="22.5" x14ac:dyDescent="0.25">
      <c r="A204" s="172"/>
      <c r="B204" s="11" t="s">
        <v>87</v>
      </c>
      <c r="C204" s="221">
        <f t="shared" si="135"/>
        <v>-1173984.1199999999</v>
      </c>
      <c r="D204" s="57" t="b">
        <f t="shared" si="133"/>
        <v>1</v>
      </c>
      <c r="E204" s="440">
        <f t="shared" si="131"/>
        <v>-1173984.1199999999</v>
      </c>
      <c r="F204" s="456">
        <v>0</v>
      </c>
      <c r="G204" s="275">
        <v>0</v>
      </c>
      <c r="H204" s="275">
        <v>0</v>
      </c>
      <c r="I204" s="275">
        <v>0</v>
      </c>
      <c r="J204" s="275">
        <v>0</v>
      </c>
      <c r="K204" s="275">
        <f>$C$204/10</f>
        <v>-117398.41199999998</v>
      </c>
      <c r="L204" s="275">
        <f t="shared" ref="L204:T204" si="143">$C$204/10</f>
        <v>-117398.41199999998</v>
      </c>
      <c r="M204" s="275">
        <f t="shared" si="143"/>
        <v>-117398.41199999998</v>
      </c>
      <c r="N204" s="275">
        <f t="shared" si="143"/>
        <v>-117398.41199999998</v>
      </c>
      <c r="O204" s="275">
        <f t="shared" si="143"/>
        <v>-117398.41199999998</v>
      </c>
      <c r="P204" s="275">
        <f t="shared" si="143"/>
        <v>-117398.41199999998</v>
      </c>
      <c r="Q204" s="275">
        <f t="shared" si="143"/>
        <v>-117398.41199999998</v>
      </c>
      <c r="R204" s="275">
        <f t="shared" si="143"/>
        <v>-117398.41199999998</v>
      </c>
      <c r="S204" s="275">
        <f t="shared" si="143"/>
        <v>-117398.41199999998</v>
      </c>
      <c r="T204" s="275">
        <f t="shared" si="143"/>
        <v>-117398.41199999998</v>
      </c>
      <c r="U204" s="275"/>
      <c r="V204" s="275">
        <v>0</v>
      </c>
      <c r="W204" s="275">
        <v>0</v>
      </c>
      <c r="X204" s="275">
        <v>0</v>
      </c>
      <c r="Y204" s="275">
        <v>0</v>
      </c>
      <c r="Z204" s="275">
        <v>0</v>
      </c>
      <c r="AA204" s="275">
        <v>0</v>
      </c>
      <c r="AB204" s="275">
        <v>0</v>
      </c>
      <c r="AC204" s="277">
        <v>0</v>
      </c>
      <c r="AD204" s="176"/>
      <c r="AG204"/>
      <c r="AH204"/>
      <c r="AI204"/>
      <c r="AJ204"/>
      <c r="AK204"/>
      <c r="AL204"/>
      <c r="AM204"/>
      <c r="AN204"/>
      <c r="AO204" s="337"/>
    </row>
    <row r="205" spans="1:41" ht="22.5" x14ac:dyDescent="0.25">
      <c r="A205" s="172"/>
      <c r="B205" s="11" t="s">
        <v>425</v>
      </c>
      <c r="C205" s="221">
        <f t="shared" si="135"/>
        <v>-46954.910520000005</v>
      </c>
      <c r="D205" s="57" t="b">
        <f t="shared" si="133"/>
        <v>1</v>
      </c>
      <c r="E205" s="440">
        <f t="shared" si="131"/>
        <v>-46954.910520000005</v>
      </c>
      <c r="F205" s="456">
        <v>0</v>
      </c>
      <c r="G205" s="274">
        <v>0</v>
      </c>
      <c r="H205" s="274">
        <v>0</v>
      </c>
      <c r="I205" s="274">
        <v>0</v>
      </c>
      <c r="J205" s="274">
        <v>0</v>
      </c>
      <c r="K205" s="274">
        <v>0</v>
      </c>
      <c r="L205" s="274">
        <v>0</v>
      </c>
      <c r="M205" s="274">
        <v>0</v>
      </c>
      <c r="N205" s="274">
        <v>0</v>
      </c>
      <c r="O205" s="274">
        <v>0</v>
      </c>
      <c r="P205" s="274">
        <v>0</v>
      </c>
      <c r="Q205" s="274">
        <v>0</v>
      </c>
      <c r="R205" s="274">
        <v>0</v>
      </c>
      <c r="S205" s="274">
        <v>0</v>
      </c>
      <c r="T205" s="274">
        <f>$C$205/4</f>
        <v>-11738.727630000001</v>
      </c>
      <c r="U205" s="274">
        <f t="shared" ref="U205:W205" si="144">$C$205/4</f>
        <v>-11738.727630000001</v>
      </c>
      <c r="V205" s="274">
        <f t="shared" si="144"/>
        <v>-11738.727630000001</v>
      </c>
      <c r="W205" s="274">
        <f t="shared" si="144"/>
        <v>-11738.727630000001</v>
      </c>
      <c r="X205" s="274">
        <v>0</v>
      </c>
      <c r="Y205" s="274">
        <v>0</v>
      </c>
      <c r="Z205" s="274">
        <v>0</v>
      </c>
      <c r="AA205" s="274">
        <v>0</v>
      </c>
      <c r="AB205" s="274">
        <v>0</v>
      </c>
      <c r="AC205" s="278">
        <v>0</v>
      </c>
      <c r="AD205" s="176"/>
      <c r="AG205"/>
      <c r="AH205"/>
      <c r="AI205"/>
      <c r="AJ205"/>
      <c r="AK205"/>
      <c r="AL205"/>
      <c r="AM205"/>
      <c r="AN205"/>
      <c r="AO205" s="337"/>
    </row>
    <row r="206" spans="1:41" ht="22.5" x14ac:dyDescent="0.25">
      <c r="A206" s="172"/>
      <c r="B206" s="11" t="s">
        <v>426</v>
      </c>
      <c r="C206" s="221">
        <f t="shared" si="135"/>
        <v>-952952.44319999998</v>
      </c>
      <c r="D206" s="57" t="b">
        <f>IF(ABS(E206 - C206) &lt; MAX(0.00001, E206 * 0.00001), TRUE, FALSE)</f>
        <v>1</v>
      </c>
      <c r="E206" s="440">
        <f>SUM(F206:AC206)</f>
        <v>-952952.44319999998</v>
      </c>
      <c r="F206" s="456">
        <v>0</v>
      </c>
      <c r="G206" s="274">
        <v>0</v>
      </c>
      <c r="H206" s="274">
        <v>0</v>
      </c>
      <c r="I206" s="274">
        <v>0</v>
      </c>
      <c r="J206" s="274">
        <v>0</v>
      </c>
      <c r="K206" s="274">
        <v>0</v>
      </c>
      <c r="L206" s="274">
        <v>0</v>
      </c>
      <c r="M206" s="274">
        <v>0</v>
      </c>
      <c r="N206" s="274">
        <v>0</v>
      </c>
      <c r="O206" s="274">
        <v>0</v>
      </c>
      <c r="P206" s="274">
        <v>0</v>
      </c>
      <c r="Q206" s="274">
        <v>0</v>
      </c>
      <c r="R206" s="274">
        <v>0</v>
      </c>
      <c r="S206" s="274">
        <v>0</v>
      </c>
      <c r="T206" s="274">
        <v>0</v>
      </c>
      <c r="U206" s="274">
        <v>0</v>
      </c>
      <c r="V206" s="274">
        <f>$C$206/4</f>
        <v>-238238.11079999999</v>
      </c>
      <c r="W206" s="274">
        <f t="shared" ref="W206:Y206" si="145">$C$206/4</f>
        <v>-238238.11079999999</v>
      </c>
      <c r="X206" s="274">
        <f t="shared" si="145"/>
        <v>-238238.11079999999</v>
      </c>
      <c r="Y206" s="274">
        <f t="shared" si="145"/>
        <v>-238238.11079999999</v>
      </c>
      <c r="Z206" s="274">
        <v>0</v>
      </c>
      <c r="AA206" s="274">
        <v>0</v>
      </c>
      <c r="AB206" s="274">
        <v>0</v>
      </c>
      <c r="AC206" s="278">
        <v>0</v>
      </c>
      <c r="AD206" s="176"/>
      <c r="AG206"/>
      <c r="AH206"/>
      <c r="AI206"/>
      <c r="AJ206"/>
      <c r="AK206"/>
      <c r="AL206"/>
      <c r="AM206"/>
      <c r="AN206"/>
      <c r="AO206" s="337"/>
    </row>
    <row r="207" spans="1:41" ht="22.5" x14ac:dyDescent="0.25">
      <c r="A207" s="172"/>
      <c r="B207" s="11" t="s">
        <v>271</v>
      </c>
      <c r="C207" s="221">
        <f t="shared" si="135"/>
        <v>0</v>
      </c>
      <c r="D207" s="57" t="b">
        <f t="shared" si="133"/>
        <v>1</v>
      </c>
      <c r="E207" s="440"/>
      <c r="F207" s="438"/>
      <c r="G207" s="275"/>
      <c r="H207" s="275"/>
      <c r="I207" s="275"/>
      <c r="J207" s="275"/>
      <c r="K207" s="275"/>
      <c r="L207" s="275"/>
      <c r="M207" s="275"/>
      <c r="N207" s="275"/>
      <c r="O207" s="275"/>
      <c r="P207" s="275"/>
      <c r="Q207" s="275"/>
      <c r="R207" s="275"/>
      <c r="S207" s="275"/>
      <c r="T207" s="275"/>
      <c r="U207" s="275"/>
      <c r="V207" s="275"/>
      <c r="W207" s="275"/>
      <c r="X207" s="275"/>
      <c r="Y207" s="275"/>
      <c r="Z207" s="275"/>
      <c r="AA207" s="275"/>
      <c r="AB207" s="275"/>
      <c r="AC207" s="277"/>
      <c r="AD207" s="176"/>
      <c r="AG207"/>
      <c r="AH207"/>
      <c r="AI207"/>
      <c r="AJ207"/>
      <c r="AK207"/>
      <c r="AL207"/>
      <c r="AM207"/>
      <c r="AN207"/>
      <c r="AO207" s="337"/>
    </row>
    <row r="208" spans="1:41" ht="23.25" thickBot="1" x14ac:dyDescent="0.3">
      <c r="A208" s="172"/>
      <c r="B208" s="378" t="s">
        <v>88</v>
      </c>
      <c r="C208" s="434">
        <f t="shared" si="135"/>
        <v>-1956640.2000000002</v>
      </c>
      <c r="D208" s="58" t="b">
        <f t="shared" si="133"/>
        <v>1</v>
      </c>
      <c r="E208" s="442">
        <f t="shared" si="131"/>
        <v>-1956640.1999999995</v>
      </c>
      <c r="F208" s="439">
        <f>$C$208/16</f>
        <v>-122290.01250000001</v>
      </c>
      <c r="G208" s="439">
        <f t="shared" ref="G208:U208" si="146">$C$208/16</f>
        <v>-122290.01250000001</v>
      </c>
      <c r="H208" s="439">
        <f t="shared" si="146"/>
        <v>-122290.01250000001</v>
      </c>
      <c r="I208" s="439">
        <f t="shared" si="146"/>
        <v>-122290.01250000001</v>
      </c>
      <c r="J208" s="439">
        <f t="shared" si="146"/>
        <v>-122290.01250000001</v>
      </c>
      <c r="K208" s="439">
        <f t="shared" si="146"/>
        <v>-122290.01250000001</v>
      </c>
      <c r="L208" s="439">
        <f t="shared" si="146"/>
        <v>-122290.01250000001</v>
      </c>
      <c r="M208" s="439">
        <f t="shared" si="146"/>
        <v>-122290.01250000001</v>
      </c>
      <c r="N208" s="439">
        <f t="shared" si="146"/>
        <v>-122290.01250000001</v>
      </c>
      <c r="O208" s="439">
        <f t="shared" si="146"/>
        <v>-122290.01250000001</v>
      </c>
      <c r="P208" s="439">
        <f t="shared" si="146"/>
        <v>-122290.01250000001</v>
      </c>
      <c r="Q208" s="439">
        <f t="shared" si="146"/>
        <v>-122290.01250000001</v>
      </c>
      <c r="R208" s="439">
        <f t="shared" si="146"/>
        <v>-122290.01250000001</v>
      </c>
      <c r="S208" s="439">
        <f t="shared" si="146"/>
        <v>-122290.01250000001</v>
      </c>
      <c r="T208" s="439">
        <f t="shared" si="146"/>
        <v>-122290.01250000001</v>
      </c>
      <c r="U208" s="439">
        <f t="shared" si="146"/>
        <v>-122290.01250000001</v>
      </c>
      <c r="V208" s="276">
        <f t="shared" ref="V208:AC208" si="147">$D$97*V192</f>
        <v>0</v>
      </c>
      <c r="W208" s="276">
        <f t="shared" si="147"/>
        <v>0</v>
      </c>
      <c r="X208" s="276">
        <f t="shared" si="147"/>
        <v>0</v>
      </c>
      <c r="Y208" s="276">
        <f t="shared" si="147"/>
        <v>0</v>
      </c>
      <c r="Z208" s="276">
        <f t="shared" si="147"/>
        <v>0</v>
      </c>
      <c r="AA208" s="276">
        <f t="shared" si="147"/>
        <v>0</v>
      </c>
      <c r="AB208" s="276">
        <f t="shared" si="147"/>
        <v>0</v>
      </c>
      <c r="AC208" s="279">
        <f t="shared" si="147"/>
        <v>0</v>
      </c>
      <c r="AD208" s="176"/>
      <c r="AG208"/>
      <c r="AH208"/>
      <c r="AI208"/>
      <c r="AJ208"/>
      <c r="AK208"/>
      <c r="AL208"/>
      <c r="AM208"/>
      <c r="AN208"/>
      <c r="AO208" s="337"/>
    </row>
    <row r="209" spans="1:41" ht="22.5" x14ac:dyDescent="0.25">
      <c r="A209" s="172"/>
      <c r="B209" s="62" t="s">
        <v>176</v>
      </c>
      <c r="C209" s="63">
        <f>-I153+-Y153</f>
        <v>-6529315.5539999995</v>
      </c>
      <c r="D209" s="64" t="b">
        <f>IF(ABS(E209 - C209) &lt; MAX(0.00001, E209 * 0.00001), TRUE, FALSE)</f>
        <v>1</v>
      </c>
      <c r="E209" s="460">
        <f>SUM(F209:AC209)</f>
        <v>-6529315.5539999995</v>
      </c>
      <c r="F209" s="457">
        <f t="shared" ref="F209:AC209" si="148">-($I$154*F181)+-($Y$154*F182)</f>
        <v>0</v>
      </c>
      <c r="G209" s="290">
        <f t="shared" si="148"/>
        <v>0</v>
      </c>
      <c r="H209" s="290">
        <f t="shared" si="148"/>
        <v>0</v>
      </c>
      <c r="I209" s="290">
        <f t="shared" si="148"/>
        <v>0</v>
      </c>
      <c r="J209" s="290">
        <f t="shared" si="148"/>
        <v>0</v>
      </c>
      <c r="K209" s="290">
        <f t="shared" si="148"/>
        <v>0</v>
      </c>
      <c r="L209" s="290">
        <f t="shared" si="148"/>
        <v>0</v>
      </c>
      <c r="M209" s="290">
        <f t="shared" si="148"/>
        <v>0</v>
      </c>
      <c r="N209" s="290">
        <f t="shared" si="148"/>
        <v>0</v>
      </c>
      <c r="O209" s="290">
        <f t="shared" si="148"/>
        <v>0</v>
      </c>
      <c r="P209" s="290">
        <f t="shared" si="148"/>
        <v>0</v>
      </c>
      <c r="Q209" s="290">
        <f t="shared" si="148"/>
        <v>0</v>
      </c>
      <c r="R209" s="290">
        <f t="shared" si="148"/>
        <v>0</v>
      </c>
      <c r="S209" s="290">
        <f t="shared" si="148"/>
        <v>0</v>
      </c>
      <c r="T209" s="290">
        <f>-($I$154*T181)+-($Y$154*T182)</f>
        <v>0</v>
      </c>
      <c r="U209" s="290">
        <f t="shared" si="148"/>
        <v>0</v>
      </c>
      <c r="V209" s="290">
        <f>$C$209/4</f>
        <v>-1632328.8884999999</v>
      </c>
      <c r="W209" s="290">
        <f t="shared" ref="W209:Y209" si="149">$C$209/4</f>
        <v>-1632328.8884999999</v>
      </c>
      <c r="X209" s="290">
        <f t="shared" si="149"/>
        <v>-1632328.8884999999</v>
      </c>
      <c r="Y209" s="290">
        <f t="shared" si="149"/>
        <v>-1632328.8884999999</v>
      </c>
      <c r="Z209" s="290">
        <f t="shared" si="148"/>
        <v>0</v>
      </c>
      <c r="AA209" s="290">
        <f t="shared" si="148"/>
        <v>0</v>
      </c>
      <c r="AB209" s="290">
        <f t="shared" si="148"/>
        <v>0</v>
      </c>
      <c r="AC209" s="293">
        <f t="shared" si="148"/>
        <v>0</v>
      </c>
      <c r="AD209" s="176"/>
      <c r="AG209"/>
      <c r="AH209"/>
      <c r="AI209"/>
      <c r="AJ209"/>
      <c r="AK209"/>
      <c r="AL209"/>
      <c r="AM209"/>
      <c r="AN209"/>
      <c r="AO209" s="337"/>
    </row>
    <row r="210" spans="1:41" ht="22.5" x14ac:dyDescent="0.25">
      <c r="A210" s="172"/>
      <c r="B210" s="11" t="s">
        <v>453</v>
      </c>
      <c r="C210" s="221">
        <f>-C101</f>
        <v>-9214816</v>
      </c>
      <c r="D210" s="57" t="b">
        <f>IF(ABS(E210 - C210) &lt; MAX(0.00001, E210 * 0.00001), TRUE, FALSE)</f>
        <v>1</v>
      </c>
      <c r="E210" s="440">
        <f>SUM(F210:AC210)</f>
        <v>-9214816</v>
      </c>
      <c r="F210" s="437">
        <f>F327</f>
        <v>-3469107.2000000002</v>
      </c>
      <c r="G210" s="274">
        <f t="shared" ref="G210:AC210" si="150">G327</f>
        <v>-542048</v>
      </c>
      <c r="H210" s="274">
        <f t="shared" si="150"/>
        <v>0</v>
      </c>
      <c r="I210" s="274">
        <f t="shared" si="150"/>
        <v>-542048</v>
      </c>
      <c r="J210" s="274">
        <f t="shared" si="150"/>
        <v>-216819.20000000001</v>
      </c>
      <c r="K210" s="274">
        <f t="shared" si="150"/>
        <v>-542048</v>
      </c>
      <c r="L210" s="274">
        <f t="shared" si="150"/>
        <v>0</v>
      </c>
      <c r="M210" s="274">
        <f t="shared" si="150"/>
        <v>-542048</v>
      </c>
      <c r="N210" s="274">
        <f t="shared" si="150"/>
        <v>-216819.20000000001</v>
      </c>
      <c r="O210" s="274">
        <f t="shared" si="150"/>
        <v>-542048</v>
      </c>
      <c r="P210" s="274">
        <f t="shared" si="150"/>
        <v>0</v>
      </c>
      <c r="Q210" s="274">
        <f t="shared" si="150"/>
        <v>-542048</v>
      </c>
      <c r="R210" s="274">
        <f t="shared" si="150"/>
        <v>-216819.20000000001</v>
      </c>
      <c r="S210" s="274">
        <f t="shared" si="150"/>
        <v>-542048</v>
      </c>
      <c r="T210" s="274">
        <f t="shared" si="150"/>
        <v>0</v>
      </c>
      <c r="U210" s="274">
        <f t="shared" si="150"/>
        <v>-542048</v>
      </c>
      <c r="V210" s="274">
        <f t="shared" si="150"/>
        <v>-216819.20000000001</v>
      </c>
      <c r="W210" s="274">
        <f t="shared" si="150"/>
        <v>-542048</v>
      </c>
      <c r="X210" s="274">
        <f t="shared" si="150"/>
        <v>0</v>
      </c>
      <c r="Y210" s="274">
        <f t="shared" si="150"/>
        <v>0</v>
      </c>
      <c r="Z210" s="274">
        <f t="shared" si="150"/>
        <v>0</v>
      </c>
      <c r="AA210" s="274">
        <f t="shared" si="150"/>
        <v>0</v>
      </c>
      <c r="AB210" s="274">
        <f t="shared" si="150"/>
        <v>0</v>
      </c>
      <c r="AC210" s="278">
        <f t="shared" si="150"/>
        <v>0</v>
      </c>
      <c r="AD210" s="176"/>
      <c r="AG210"/>
      <c r="AH210"/>
      <c r="AI210"/>
      <c r="AJ210"/>
      <c r="AK210"/>
      <c r="AL210"/>
      <c r="AM210"/>
      <c r="AN210"/>
      <c r="AO210" s="337"/>
    </row>
    <row r="211" spans="1:41" ht="22.5" x14ac:dyDescent="0.25">
      <c r="A211" s="172"/>
      <c r="B211" s="208" t="s">
        <v>177</v>
      </c>
      <c r="C211" s="221">
        <f ca="1">((((TRUNC(B118))*267000)+292000)*-1)-J211</f>
        <v>-1360000</v>
      </c>
      <c r="D211" s="57" t="b">
        <f ca="1">IF(ABS(E211 - C211) &lt; MAX(0.00001, E211 * 0.00001), TRUE, FALSE)</f>
        <v>1</v>
      </c>
      <c r="E211" s="440">
        <f>SUM(F211:AC211)</f>
        <v>-1360000</v>
      </c>
      <c r="F211" s="456">
        <v>-292000</v>
      </c>
      <c r="G211" s="275">
        <v>0</v>
      </c>
      <c r="H211" s="275">
        <v>0</v>
      </c>
      <c r="I211" s="275">
        <v>0</v>
      </c>
      <c r="J211" s="294">
        <v>-267000</v>
      </c>
      <c r="K211" s="275">
        <v>0</v>
      </c>
      <c r="L211" s="275">
        <v>0</v>
      </c>
      <c r="M211" s="275">
        <v>0</v>
      </c>
      <c r="N211" s="294">
        <v>-267000</v>
      </c>
      <c r="O211" s="275">
        <v>0</v>
      </c>
      <c r="P211" s="275">
        <v>0</v>
      </c>
      <c r="Q211" s="275">
        <v>0</v>
      </c>
      <c r="R211" s="294">
        <v>-267000</v>
      </c>
      <c r="S211" s="275">
        <v>0</v>
      </c>
      <c r="T211" s="275">
        <v>0</v>
      </c>
      <c r="U211" s="275">
        <v>0</v>
      </c>
      <c r="V211" s="294">
        <v>-267000</v>
      </c>
      <c r="W211" s="275">
        <v>0</v>
      </c>
      <c r="X211" s="275">
        <v>0</v>
      </c>
      <c r="Y211" s="275">
        <v>0</v>
      </c>
      <c r="Z211" s="294"/>
      <c r="AA211" s="275">
        <v>0</v>
      </c>
      <c r="AB211" s="275">
        <v>0</v>
      </c>
      <c r="AC211" s="277">
        <v>0</v>
      </c>
      <c r="AD211" s="176"/>
      <c r="AG211"/>
      <c r="AH211"/>
      <c r="AI211"/>
      <c r="AJ211"/>
      <c r="AK211"/>
      <c r="AL211"/>
      <c r="AM211"/>
      <c r="AN211"/>
      <c r="AO211" s="337"/>
    </row>
    <row r="212" spans="1:41" ht="23.25" thickBot="1" x14ac:dyDescent="0.3">
      <c r="A212" s="172"/>
      <c r="B212" s="40" t="s">
        <v>178</v>
      </c>
      <c r="C212" s="434">
        <f>-C100</f>
        <v>-11739841.199999999</v>
      </c>
      <c r="D212" s="58" t="b">
        <f t="shared" si="133"/>
        <v>1</v>
      </c>
      <c r="E212" s="442">
        <f t="shared" si="131"/>
        <v>-11739841.199999999</v>
      </c>
      <c r="F212" s="439">
        <f t="shared" ref="F212:AC212" si="151">F192*$D$100</f>
        <v>0</v>
      </c>
      <c r="G212" s="276">
        <f t="shared" si="151"/>
        <v>0</v>
      </c>
      <c r="H212" s="276">
        <f t="shared" si="151"/>
        <v>0</v>
      </c>
      <c r="I212" s="276">
        <f t="shared" si="151"/>
        <v>0</v>
      </c>
      <c r="J212" s="276">
        <f>J192*$D$100</f>
        <v>0</v>
      </c>
      <c r="K212" s="276">
        <f t="shared" si="151"/>
        <v>-821788.88400000008</v>
      </c>
      <c r="L212" s="276">
        <f t="shared" si="151"/>
        <v>-821788.88400000008</v>
      </c>
      <c r="M212" s="276">
        <f t="shared" si="151"/>
        <v>-821788.88400000008</v>
      </c>
      <c r="N212" s="276">
        <f t="shared" si="151"/>
        <v>-1526179.3560000001</v>
      </c>
      <c r="O212" s="276">
        <f t="shared" si="151"/>
        <v>-1526179.3560000001</v>
      </c>
      <c r="P212" s="276">
        <f t="shared" si="151"/>
        <v>-1526179.3560000001</v>
      </c>
      <c r="Q212" s="276">
        <f t="shared" si="151"/>
        <v>-1408780.9439999999</v>
      </c>
      <c r="R212" s="276">
        <f t="shared" si="151"/>
        <v>-821788.88400000008</v>
      </c>
      <c r="S212" s="276">
        <f t="shared" si="151"/>
        <v>-821788.88400000008</v>
      </c>
      <c r="T212" s="276">
        <f t="shared" si="151"/>
        <v>-821788.88400000008</v>
      </c>
      <c r="U212" s="276">
        <f t="shared" si="151"/>
        <v>-821788.88400000008</v>
      </c>
      <c r="V212" s="276">
        <f t="shared" si="151"/>
        <v>0</v>
      </c>
      <c r="W212" s="276">
        <f t="shared" si="151"/>
        <v>0</v>
      </c>
      <c r="X212" s="276">
        <f t="shared" si="151"/>
        <v>0</v>
      </c>
      <c r="Y212" s="276">
        <f t="shared" si="151"/>
        <v>0</v>
      </c>
      <c r="Z212" s="276">
        <f t="shared" si="151"/>
        <v>0</v>
      </c>
      <c r="AA212" s="276">
        <f t="shared" si="151"/>
        <v>0</v>
      </c>
      <c r="AB212" s="276">
        <f t="shared" si="151"/>
        <v>0</v>
      </c>
      <c r="AC212" s="279">
        <f t="shared" si="151"/>
        <v>0</v>
      </c>
      <c r="AD212" s="176"/>
      <c r="AG212"/>
      <c r="AH212"/>
      <c r="AI212"/>
      <c r="AJ212"/>
      <c r="AK212"/>
      <c r="AL212"/>
      <c r="AM212"/>
      <c r="AN212"/>
    </row>
    <row r="213" spans="1:41" ht="15.75" thickBot="1" x14ac:dyDescent="0.3">
      <c r="A213" s="172"/>
      <c r="B213" s="356"/>
      <c r="C213" s="357"/>
      <c r="D213" s="358"/>
      <c r="E213" s="184"/>
      <c r="F213" s="357"/>
      <c r="G213" s="357"/>
      <c r="H213" s="357"/>
      <c r="I213" s="357"/>
      <c r="J213" s="357"/>
      <c r="K213" s="357"/>
      <c r="L213" s="357"/>
      <c r="M213" s="357"/>
      <c r="N213" s="357"/>
      <c r="O213" s="357"/>
      <c r="P213" s="357"/>
      <c r="Q213" s="357"/>
      <c r="R213" s="357"/>
      <c r="S213" s="357"/>
      <c r="T213" s="357"/>
      <c r="U213" s="357"/>
      <c r="V213" s="357"/>
      <c r="W213" s="357"/>
      <c r="X213" s="357"/>
      <c r="Y213" s="357"/>
      <c r="Z213" s="357"/>
      <c r="AA213" s="357"/>
      <c r="AB213" s="357"/>
      <c r="AC213" s="359"/>
      <c r="AD213" s="172"/>
      <c r="AG213"/>
      <c r="AH213"/>
      <c r="AI213"/>
      <c r="AJ213"/>
      <c r="AK213"/>
      <c r="AL213"/>
      <c r="AM213"/>
      <c r="AN213"/>
    </row>
    <row r="214" spans="1:41" ht="23.25" thickBot="1" x14ac:dyDescent="0.3">
      <c r="A214" s="172"/>
      <c r="B214" s="360" t="s">
        <v>179</v>
      </c>
      <c r="C214" s="44">
        <f>SUM(E180:E185,E187:E212)</f>
        <v>85913220.679271087</v>
      </c>
      <c r="D214" s="361" t="str">
        <f>IF(AND(E214-C214&lt;=1, E214-C214&gt;=-1),"TRUE",E214-C214)</f>
        <v>TRUE</v>
      </c>
      <c r="E214" s="449">
        <f>SUM(F214:AC214)</f>
        <v>85913220.679271042</v>
      </c>
      <c r="F214" s="447">
        <f>SUM(F180:F185,F187:F212)</f>
        <v>-97189234.642500013</v>
      </c>
      <c r="G214" s="67">
        <f>SUM(G180:G185,G187:G212)</f>
        <v>-1316551.4125000001</v>
      </c>
      <c r="H214" s="67">
        <f t="shared" ref="H214:AC214" si="152">SUM(H180:H185,H187:H212)</f>
        <v>-1719623.4124999999</v>
      </c>
      <c r="I214" s="67">
        <f t="shared" si="152"/>
        <v>-2261671.4124999996</v>
      </c>
      <c r="J214" s="67">
        <f>SUM(J180:J185,J187:J212)</f>
        <v>-961925.34641304333</v>
      </c>
      <c r="K214" s="67">
        <f t="shared" si="152"/>
        <v>-5522423.8637591302</v>
      </c>
      <c r="L214" s="67">
        <f t="shared" si="152"/>
        <v>85137.449284347938</v>
      </c>
      <c r="M214" s="67">
        <f t="shared" si="152"/>
        <v>75529.791958262445</v>
      </c>
      <c r="N214" s="67">
        <f t="shared" si="152"/>
        <v>-81641.329593041912</v>
      </c>
      <c r="O214" s="67">
        <f t="shared" si="152"/>
        <v>52378.718838261906</v>
      </c>
      <c r="P214" s="67">
        <f t="shared" si="152"/>
        <v>281985.80392208928</v>
      </c>
      <c r="Q214" s="67">
        <f t="shared" si="152"/>
        <v>244299.11092900322</v>
      </c>
      <c r="R214" s="67">
        <f t="shared" si="152"/>
        <v>-435142.31248961342</v>
      </c>
      <c r="S214" s="67">
        <f t="shared" si="152"/>
        <v>-71041.250015079742</v>
      </c>
      <c r="T214" s="67">
        <f t="shared" si="152"/>
        <v>-68510.108736116439</v>
      </c>
      <c r="U214" s="67">
        <f t="shared" si="152"/>
        <v>154394.65105319419</v>
      </c>
      <c r="V214" s="67">
        <f t="shared" si="152"/>
        <v>-231771.26643000013</v>
      </c>
      <c r="W214" s="67">
        <f t="shared" si="152"/>
        <v>204524.93356999988</v>
      </c>
      <c r="X214" s="67">
        <f t="shared" si="152"/>
        <v>688838.79807882709</v>
      </c>
      <c r="Y214" s="67">
        <f t="shared" si="152"/>
        <v>193985667.77907312</v>
      </c>
      <c r="Z214" s="67">
        <f t="shared" si="152"/>
        <v>0</v>
      </c>
      <c r="AA214" s="67">
        <f t="shared" si="152"/>
        <v>0</v>
      </c>
      <c r="AB214" s="67">
        <f t="shared" si="152"/>
        <v>0</v>
      </c>
      <c r="AC214" s="68">
        <f t="shared" si="152"/>
        <v>0</v>
      </c>
      <c r="AD214" s="172"/>
      <c r="AG214"/>
      <c r="AH214"/>
      <c r="AI214"/>
      <c r="AJ214"/>
      <c r="AK214"/>
      <c r="AL214"/>
      <c r="AM214"/>
      <c r="AN214"/>
    </row>
    <row r="215" spans="1:41" ht="18.75" thickBot="1" x14ac:dyDescent="0.3">
      <c r="A215" s="172"/>
      <c r="B215" s="83" t="s">
        <v>295</v>
      </c>
      <c r="C215" s="104">
        <f>-SUM(E188:E212)</f>
        <v>227269365.99746799</v>
      </c>
      <c r="D215" s="362" t="b">
        <f>IF(ABS(C215 - C111) &lt; MAX(0.0001, C215 * 0.0001), TRUE, FALSE)</f>
        <v>1</v>
      </c>
      <c r="E215" s="450"/>
      <c r="F215" s="439">
        <f>F214</f>
        <v>-97189234.642500013</v>
      </c>
      <c r="G215" s="276">
        <f>F215+G214</f>
        <v>-98505786.055000007</v>
      </c>
      <c r="H215" s="276">
        <f>G215+H214</f>
        <v>-100225409.4675</v>
      </c>
      <c r="I215" s="276">
        <f>H215+I214</f>
        <v>-102487080.88</v>
      </c>
      <c r="J215" s="276">
        <f t="shared" ref="J215:AC215" si="153">I215+J214</f>
        <v>-103449006.22641304</v>
      </c>
      <c r="K215" s="276">
        <f t="shared" si="153"/>
        <v>-108971430.09017217</v>
      </c>
      <c r="L215" s="276">
        <f t="shared" si="153"/>
        <v>-108886292.64088783</v>
      </c>
      <c r="M215" s="276">
        <f>L215+M214</f>
        <v>-108810762.84892957</v>
      </c>
      <c r="N215" s="276">
        <f t="shared" si="153"/>
        <v>-108892404.17852262</v>
      </c>
      <c r="O215" s="276">
        <f t="shared" si="153"/>
        <v>-108840025.45968436</v>
      </c>
      <c r="P215" s="276">
        <f t="shared" si="153"/>
        <v>-108558039.65576227</v>
      </c>
      <c r="Q215" s="276">
        <f t="shared" si="153"/>
        <v>-108313740.54483327</v>
      </c>
      <c r="R215" s="276">
        <f t="shared" si="153"/>
        <v>-108748882.85732289</v>
      </c>
      <c r="S215" s="276">
        <f t="shared" si="153"/>
        <v>-108819924.10733797</v>
      </c>
      <c r="T215" s="276">
        <f>S215+T214</f>
        <v>-108888434.21607408</v>
      </c>
      <c r="U215" s="276">
        <f t="shared" si="153"/>
        <v>-108734039.56502089</v>
      </c>
      <c r="V215" s="276">
        <f t="shared" si="153"/>
        <v>-108965810.83145089</v>
      </c>
      <c r="W215" s="276">
        <f t="shared" si="153"/>
        <v>-108761285.8978809</v>
      </c>
      <c r="X215" s="276">
        <f t="shared" si="153"/>
        <v>-108072447.09980208</v>
      </c>
      <c r="Y215" s="276">
        <f t="shared" si="153"/>
        <v>85913220.679271042</v>
      </c>
      <c r="Z215" s="276">
        <f t="shared" si="153"/>
        <v>85913220.679271042</v>
      </c>
      <c r="AA215" s="276">
        <f t="shared" si="153"/>
        <v>85913220.679271042</v>
      </c>
      <c r="AB215" s="276">
        <f t="shared" si="153"/>
        <v>85913220.679271042</v>
      </c>
      <c r="AC215" s="279">
        <f t="shared" si="153"/>
        <v>85913220.679271042</v>
      </c>
      <c r="AD215" s="172"/>
      <c r="AG215"/>
      <c r="AH215"/>
      <c r="AI215"/>
      <c r="AJ215"/>
      <c r="AK215"/>
      <c r="AL215"/>
      <c r="AM215"/>
      <c r="AN215"/>
    </row>
    <row r="216" spans="1:41" ht="22.5" x14ac:dyDescent="0.25">
      <c r="A216" s="172"/>
      <c r="B216" s="280" t="s">
        <v>180</v>
      </c>
      <c r="C216" s="368">
        <f>SUM(C180:C184)</f>
        <v>313182586.6767391</v>
      </c>
      <c r="D216" s="362" t="b">
        <f>IF(ABS(C216 - C13) &lt; MAX(0.00001, C216 * 0.00001), TRUE, FALSE)</f>
        <v>1</v>
      </c>
      <c r="E216" s="451"/>
      <c r="F216" s="448" t="s">
        <v>130</v>
      </c>
      <c r="G216" s="366" t="s">
        <v>131</v>
      </c>
      <c r="H216" s="366" t="s">
        <v>132</v>
      </c>
      <c r="I216" s="366" t="s">
        <v>133</v>
      </c>
      <c r="J216" s="366" t="s">
        <v>134</v>
      </c>
      <c r="K216" s="366" t="s">
        <v>135</v>
      </c>
      <c r="L216" s="366" t="s">
        <v>136</v>
      </c>
      <c r="M216" s="366" t="s">
        <v>137</v>
      </c>
      <c r="N216" s="366" t="s">
        <v>138</v>
      </c>
      <c r="O216" s="366" t="s">
        <v>139</v>
      </c>
      <c r="P216" s="366" t="s">
        <v>140</v>
      </c>
      <c r="Q216" s="366" t="s">
        <v>141</v>
      </c>
      <c r="R216" s="366" t="s">
        <v>142</v>
      </c>
      <c r="S216" s="366" t="s">
        <v>143</v>
      </c>
      <c r="T216" s="366" t="s">
        <v>144</v>
      </c>
      <c r="U216" s="366" t="s">
        <v>145</v>
      </c>
      <c r="V216" s="366" t="s">
        <v>146</v>
      </c>
      <c r="W216" s="366" t="s">
        <v>147</v>
      </c>
      <c r="X216" s="366" t="s">
        <v>148</v>
      </c>
      <c r="Y216" s="366" t="s">
        <v>149</v>
      </c>
      <c r="Z216" s="366" t="s">
        <v>150</v>
      </c>
      <c r="AA216" s="366" t="s">
        <v>151</v>
      </c>
      <c r="AB216" s="366" t="s">
        <v>152</v>
      </c>
      <c r="AC216" s="367" t="s">
        <v>153</v>
      </c>
      <c r="AD216" s="172"/>
      <c r="AG216"/>
      <c r="AH216"/>
      <c r="AI216"/>
      <c r="AJ216"/>
      <c r="AK216"/>
      <c r="AL216"/>
      <c r="AM216"/>
      <c r="AN216"/>
    </row>
    <row r="217" spans="1:41" ht="23.25" thickBot="1" x14ac:dyDescent="0.3">
      <c r="A217" s="172"/>
      <c r="B217" s="363" t="s">
        <v>21</v>
      </c>
      <c r="C217" s="364">
        <f>SUM(C180:C184)+SUM(E188:E212)</f>
        <v>85913220.679271102</v>
      </c>
      <c r="D217" s="365" t="b">
        <f>IF(ABS(E214 - C217) &lt; MAX(0.00001, E214 * 0.00001), TRUE, FALSE)</f>
        <v>1</v>
      </c>
      <c r="E217" s="451"/>
      <c r="F217" s="226"/>
      <c r="G217" s="226"/>
      <c r="H217" s="226"/>
      <c r="I217" s="226"/>
      <c r="J217" s="226"/>
      <c r="K217" s="226"/>
      <c r="L217" s="226"/>
      <c r="M217" s="226"/>
      <c r="N217" s="226"/>
      <c r="O217" s="226"/>
      <c r="P217" s="226"/>
      <c r="Q217" s="226"/>
      <c r="R217" s="226"/>
      <c r="S217" s="226"/>
      <c r="T217" s="226"/>
      <c r="U217" s="226"/>
      <c r="V217" s="226"/>
      <c r="W217" s="226"/>
      <c r="X217" s="226"/>
      <c r="Y217" s="226"/>
      <c r="Z217" s="226"/>
      <c r="AA217" s="226"/>
      <c r="AB217" s="226"/>
      <c r="AC217" s="227"/>
      <c r="AD217" s="172"/>
      <c r="AG217"/>
      <c r="AH217"/>
      <c r="AI217"/>
      <c r="AJ217"/>
      <c r="AK217"/>
      <c r="AL217"/>
      <c r="AM217"/>
      <c r="AN217"/>
    </row>
    <row r="218" spans="1:41" ht="15.75" thickBot="1" x14ac:dyDescent="0.3">
      <c r="A218" s="172"/>
      <c r="B218" s="807" t="s">
        <v>181</v>
      </c>
      <c r="C218" s="808"/>
      <c r="D218" s="809"/>
      <c r="E218" s="451"/>
      <c r="F218" s="226"/>
      <c r="G218" s="226"/>
      <c r="H218" s="226"/>
      <c r="I218" s="226"/>
      <c r="J218" s="226"/>
      <c r="K218" s="226"/>
      <c r="L218" s="226"/>
      <c r="M218" s="226"/>
      <c r="N218" s="226"/>
      <c r="O218" s="226"/>
      <c r="P218" s="226"/>
      <c r="Q218" s="226"/>
      <c r="R218" s="226"/>
      <c r="S218" s="226"/>
      <c r="T218" s="226"/>
      <c r="U218" s="226"/>
      <c r="V218" s="226"/>
      <c r="W218" s="226"/>
      <c r="X218" s="226"/>
      <c r="Y218" s="226"/>
      <c r="Z218" s="226"/>
      <c r="AA218" s="226"/>
      <c r="AB218" s="226"/>
      <c r="AC218" s="227"/>
      <c r="AD218" s="172"/>
      <c r="AH218"/>
      <c r="AI218"/>
      <c r="AJ218"/>
      <c r="AK218"/>
      <c r="AL218"/>
      <c r="AM218"/>
      <c r="AN218"/>
    </row>
    <row r="219" spans="1:41" ht="22.5" x14ac:dyDescent="0.25">
      <c r="A219" s="172"/>
      <c r="B219" s="302" t="s">
        <v>22</v>
      </c>
      <c r="C219" s="918">
        <f>XIRR(F214:AC214,F173:AC173)</f>
        <v>0.13308131098747253</v>
      </c>
      <c r="D219" s="919"/>
      <c r="E219" s="451"/>
      <c r="F219" s="927">
        <f>SUM(F176:F185,F187:F212)</f>
        <v>11220365.357499998</v>
      </c>
      <c r="G219" s="799">
        <f t="shared" ref="G219:AC219" si="154">SUM(G176:G185,G187:G212)</f>
        <v>-1316551.4125000001</v>
      </c>
      <c r="H219" s="799">
        <f t="shared" si="154"/>
        <v>-1719623.4124999999</v>
      </c>
      <c r="I219" s="799">
        <f t="shared" si="154"/>
        <v>-2261671.4124999996</v>
      </c>
      <c r="J219" s="799">
        <f>SUM(J176:J185,J187:J212)</f>
        <v>-961925.34641304333</v>
      </c>
      <c r="K219" s="799">
        <f t="shared" si="154"/>
        <v>-5522423.8637591302</v>
      </c>
      <c r="L219" s="799">
        <f t="shared" si="154"/>
        <v>85137.449284347938</v>
      </c>
      <c r="M219" s="799">
        <f t="shared" si="154"/>
        <v>75529.791958262445</v>
      </c>
      <c r="N219" s="799">
        <f t="shared" si="154"/>
        <v>-81641.329593041912</v>
      </c>
      <c r="O219" s="799">
        <f t="shared" si="154"/>
        <v>52378.718838261906</v>
      </c>
      <c r="P219" s="799">
        <f t="shared" si="154"/>
        <v>281985.80392208928</v>
      </c>
      <c r="Q219" s="799">
        <f t="shared" si="154"/>
        <v>244299.11092900322</v>
      </c>
      <c r="R219" s="799">
        <f t="shared" si="154"/>
        <v>-435142.31248961342</v>
      </c>
      <c r="S219" s="799">
        <f t="shared" si="154"/>
        <v>-71041.250015079742</v>
      </c>
      <c r="T219" s="799">
        <f t="shared" si="154"/>
        <v>-68510.108736116439</v>
      </c>
      <c r="U219" s="799">
        <f>SUM(U176:U185,U187:U212)</f>
        <v>154394.65105319419</v>
      </c>
      <c r="V219" s="799">
        <f t="shared" si="154"/>
        <v>-231771.26643000013</v>
      </c>
      <c r="W219" s="799">
        <f t="shared" si="154"/>
        <v>204524.93356999988</v>
      </c>
      <c r="X219" s="799">
        <f t="shared" si="154"/>
        <v>688838.79807882709</v>
      </c>
      <c r="Y219" s="799">
        <f t="shared" si="154"/>
        <v>193985667.77907312</v>
      </c>
      <c r="Z219" s="799">
        <f t="shared" si="154"/>
        <v>0</v>
      </c>
      <c r="AA219" s="799">
        <f t="shared" si="154"/>
        <v>0</v>
      </c>
      <c r="AB219" s="799">
        <f t="shared" si="154"/>
        <v>0</v>
      </c>
      <c r="AC219" s="896">
        <f t="shared" si="154"/>
        <v>0</v>
      </c>
      <c r="AD219" s="172"/>
      <c r="AH219"/>
      <c r="AI219"/>
      <c r="AJ219"/>
      <c r="AK219"/>
      <c r="AL219"/>
      <c r="AM219"/>
      <c r="AN219"/>
    </row>
    <row r="220" spans="1:41" ht="22.5" x14ac:dyDescent="0.25">
      <c r="A220" s="172"/>
      <c r="B220" s="297" t="s">
        <v>23</v>
      </c>
      <c r="C220" s="920">
        <f>C214/(C215+E209)</f>
        <v>0.38920540475854265</v>
      </c>
      <c r="D220" s="921"/>
      <c r="E220" s="451"/>
      <c r="F220" s="871"/>
      <c r="G220" s="800"/>
      <c r="H220" s="800"/>
      <c r="I220" s="800"/>
      <c r="J220" s="800"/>
      <c r="K220" s="800"/>
      <c r="L220" s="800"/>
      <c r="M220" s="800"/>
      <c r="N220" s="800"/>
      <c r="O220" s="800"/>
      <c r="P220" s="800"/>
      <c r="Q220" s="800"/>
      <c r="R220" s="800"/>
      <c r="S220" s="800"/>
      <c r="T220" s="800"/>
      <c r="U220" s="800"/>
      <c r="V220" s="800"/>
      <c r="W220" s="800"/>
      <c r="X220" s="800"/>
      <c r="Y220" s="800"/>
      <c r="Z220" s="800"/>
      <c r="AA220" s="800"/>
      <c r="AB220" s="800"/>
      <c r="AC220" s="897"/>
      <c r="AD220" s="172"/>
      <c r="AH220"/>
      <c r="AI220"/>
      <c r="AJ220"/>
      <c r="AK220"/>
      <c r="AL220"/>
      <c r="AM220"/>
      <c r="AN220"/>
    </row>
    <row r="221" spans="1:41" ht="22.5" x14ac:dyDescent="0.25">
      <c r="A221" s="172"/>
      <c r="B221" s="302" t="s">
        <v>24</v>
      </c>
      <c r="C221" s="918">
        <f>C217/H20</f>
        <v>0.79248720297161046</v>
      </c>
      <c r="D221" s="919"/>
      <c r="E221" s="451"/>
      <c r="F221" s="886">
        <f>F219</f>
        <v>11220365.357499998</v>
      </c>
      <c r="G221" s="793">
        <f>F221+G219</f>
        <v>9903813.9449999984</v>
      </c>
      <c r="H221" s="793">
        <f t="shared" ref="H221:AC221" si="155">G221+H219</f>
        <v>8184190.5324999988</v>
      </c>
      <c r="I221" s="793">
        <f>H221+I219</f>
        <v>5922519.1199999992</v>
      </c>
      <c r="J221" s="793">
        <f t="shared" si="155"/>
        <v>4960593.7735869559</v>
      </c>
      <c r="K221" s="793">
        <f t="shared" si="155"/>
        <v>-561830.09017217439</v>
      </c>
      <c r="L221" s="793">
        <f t="shared" si="155"/>
        <v>-476692.64088782645</v>
      </c>
      <c r="M221" s="793">
        <f>L221+M219</f>
        <v>-401162.848929564</v>
      </c>
      <c r="N221" s="793">
        <f t="shared" si="155"/>
        <v>-482804.17852260591</v>
      </c>
      <c r="O221" s="793">
        <f t="shared" si="155"/>
        <v>-430425.45968434401</v>
      </c>
      <c r="P221" s="793">
        <f t="shared" si="155"/>
        <v>-148439.65576225473</v>
      </c>
      <c r="Q221" s="793">
        <f t="shared" si="155"/>
        <v>95859.455166748492</v>
      </c>
      <c r="R221" s="793">
        <f t="shared" si="155"/>
        <v>-339282.85732286493</v>
      </c>
      <c r="S221" s="793">
        <f t="shared" si="155"/>
        <v>-410324.10733794468</v>
      </c>
      <c r="T221" s="793">
        <f>S221+T219</f>
        <v>-478834.21607406111</v>
      </c>
      <c r="U221" s="793">
        <f t="shared" si="155"/>
        <v>-324439.56502086692</v>
      </c>
      <c r="V221" s="793">
        <f t="shared" si="155"/>
        <v>-556210.831450867</v>
      </c>
      <c r="W221" s="793">
        <f t="shared" si="155"/>
        <v>-351685.89788086712</v>
      </c>
      <c r="X221" s="793">
        <f t="shared" si="155"/>
        <v>337152.90019795997</v>
      </c>
      <c r="Y221" s="793">
        <f t="shared" si="155"/>
        <v>194322820.67927107</v>
      </c>
      <c r="Z221" s="793">
        <f t="shared" si="155"/>
        <v>194322820.67927107</v>
      </c>
      <c r="AA221" s="793">
        <f t="shared" si="155"/>
        <v>194322820.67927107</v>
      </c>
      <c r="AB221" s="793">
        <f t="shared" si="155"/>
        <v>194322820.67927107</v>
      </c>
      <c r="AC221" s="903">
        <f t="shared" si="155"/>
        <v>194322820.67927107</v>
      </c>
      <c r="AD221" s="172"/>
      <c r="AH221"/>
      <c r="AI221"/>
      <c r="AJ221"/>
      <c r="AK221"/>
      <c r="AL221"/>
      <c r="AM221"/>
      <c r="AN221"/>
    </row>
    <row r="222" spans="1:41" ht="23.25" thickBot="1" x14ac:dyDescent="0.3">
      <c r="A222" s="172"/>
      <c r="B222" s="435" t="s">
        <v>182</v>
      </c>
      <c r="C222" s="932">
        <f ca="1">C221/B118</f>
        <v>0.15849744059432208</v>
      </c>
      <c r="D222" s="933"/>
      <c r="E222" s="452"/>
      <c r="F222" s="942"/>
      <c r="G222" s="794"/>
      <c r="H222" s="794"/>
      <c r="I222" s="794"/>
      <c r="J222" s="794"/>
      <c r="K222" s="794"/>
      <c r="L222" s="794"/>
      <c r="M222" s="794"/>
      <c r="N222" s="794"/>
      <c r="O222" s="794"/>
      <c r="P222" s="794"/>
      <c r="Q222" s="794"/>
      <c r="R222" s="794"/>
      <c r="S222" s="794"/>
      <c r="T222" s="794"/>
      <c r="U222" s="794"/>
      <c r="V222" s="794"/>
      <c r="W222" s="794"/>
      <c r="X222" s="794"/>
      <c r="Y222" s="794"/>
      <c r="Z222" s="794"/>
      <c r="AA222" s="794"/>
      <c r="AB222" s="794"/>
      <c r="AC222" s="904"/>
      <c r="AD222" s="172"/>
      <c r="AH222"/>
      <c r="AI222"/>
      <c r="AJ222"/>
      <c r="AK222"/>
      <c r="AL222"/>
      <c r="AM222"/>
      <c r="AN222"/>
    </row>
    <row r="223" spans="1:41" ht="15" x14ac:dyDescent="0.25">
      <c r="A223" s="172"/>
      <c r="B223" s="258" t="b">
        <f ca="1">SUM(C219:D222)=SUM(C24:C30)</f>
        <v>1</v>
      </c>
      <c r="C223" s="258"/>
      <c r="D223" s="258"/>
      <c r="E223" s="219"/>
      <c r="F223" s="49"/>
      <c r="G223" s="49"/>
      <c r="H223" s="49"/>
      <c r="I223" s="49"/>
      <c r="J223" s="49"/>
      <c r="K223" s="49"/>
      <c r="L223" s="49"/>
      <c r="M223" s="49"/>
      <c r="N223" s="49">
        <f>-N221*70%</f>
        <v>337962.92496582412</v>
      </c>
      <c r="O223" s="49">
        <f t="shared" ref="O223:AC223" si="156">-O221*70%</f>
        <v>301297.82177904079</v>
      </c>
      <c r="P223" s="49">
        <f t="shared" si="156"/>
        <v>103907.7590335783</v>
      </c>
      <c r="Q223" s="49">
        <f t="shared" si="156"/>
        <v>-67101.618616723936</v>
      </c>
      <c r="R223" s="49">
        <f t="shared" si="156"/>
        <v>237498.00012600544</v>
      </c>
      <c r="S223" s="49">
        <f t="shared" si="156"/>
        <v>287226.87513656123</v>
      </c>
      <c r="T223" s="49">
        <f t="shared" si="156"/>
        <v>335183.95125184278</v>
      </c>
      <c r="U223" s="49">
        <f t="shared" si="156"/>
        <v>227107.69551460684</v>
      </c>
      <c r="V223" s="49">
        <f t="shared" si="156"/>
        <v>389347.58201560687</v>
      </c>
      <c r="W223" s="49">
        <f t="shared" si="156"/>
        <v>246180.12851660696</v>
      </c>
      <c r="X223" s="49">
        <f t="shared" si="156"/>
        <v>-236007.03013857195</v>
      </c>
      <c r="Y223" s="49">
        <f t="shared" si="156"/>
        <v>-136025974.47548974</v>
      </c>
      <c r="Z223" s="49">
        <f t="shared" si="156"/>
        <v>-136025974.47548974</v>
      </c>
      <c r="AA223" s="49">
        <f t="shared" si="156"/>
        <v>-136025974.47548974</v>
      </c>
      <c r="AB223" s="49">
        <f t="shared" si="156"/>
        <v>-136025974.47548974</v>
      </c>
      <c r="AC223" s="49">
        <f t="shared" si="156"/>
        <v>-136025974.47548974</v>
      </c>
      <c r="AD223" s="172"/>
      <c r="AH223"/>
      <c r="AI223"/>
      <c r="AJ223"/>
      <c r="AK223"/>
      <c r="AL223"/>
      <c r="AM223"/>
      <c r="AN223"/>
    </row>
    <row r="224" spans="1:41" ht="15" x14ac:dyDescent="0.25">
      <c r="A224" s="172"/>
      <c r="K224" s="205"/>
      <c r="L224" s="205"/>
      <c r="M224" s="205"/>
      <c r="N224" s="205"/>
      <c r="O224" s="205"/>
      <c r="P224" s="205"/>
      <c r="Q224" s="205"/>
      <c r="R224" s="205"/>
      <c r="S224" s="205"/>
      <c r="T224" s="205"/>
      <c r="U224" s="205"/>
      <c r="V224" s="205"/>
      <c r="W224" s="205"/>
      <c r="X224" s="206"/>
      <c r="AH224"/>
      <c r="AI224"/>
      <c r="AJ224"/>
      <c r="AK224"/>
      <c r="AL224"/>
      <c r="AM224"/>
      <c r="AN224"/>
    </row>
    <row r="225" spans="1:40" ht="15" x14ac:dyDescent="0.25">
      <c r="A225" s="172"/>
      <c r="AH225"/>
      <c r="AI225"/>
      <c r="AJ225"/>
      <c r="AK225"/>
      <c r="AL225"/>
      <c r="AM225"/>
      <c r="AN225"/>
    </row>
    <row r="226" spans="1:40" ht="15" x14ac:dyDescent="0.25">
      <c r="A226" s="172"/>
      <c r="AH226"/>
      <c r="AI226"/>
      <c r="AJ226"/>
      <c r="AK226"/>
      <c r="AL226"/>
      <c r="AM226"/>
      <c r="AN226"/>
    </row>
    <row r="227" spans="1:40" ht="15" x14ac:dyDescent="0.25">
      <c r="A227" s="172"/>
      <c r="AH227"/>
      <c r="AI227"/>
      <c r="AJ227"/>
      <c r="AK227"/>
      <c r="AL227"/>
      <c r="AM227"/>
      <c r="AN227"/>
    </row>
    <row r="228" spans="1:40" ht="15" x14ac:dyDescent="0.25">
      <c r="A228" s="172"/>
      <c r="AH228"/>
      <c r="AI228"/>
      <c r="AJ228"/>
      <c r="AK228"/>
      <c r="AL228"/>
      <c r="AM228"/>
      <c r="AN228"/>
    </row>
    <row r="229" spans="1:40" ht="15" x14ac:dyDescent="0.25">
      <c r="A229" s="172"/>
      <c r="E229" s="337"/>
      <c r="F229" s="337"/>
      <c r="G229" s="337"/>
      <c r="H229" s="337"/>
      <c r="I229" s="205"/>
      <c r="J229" s="337"/>
      <c r="AH229"/>
      <c r="AI229"/>
      <c r="AJ229"/>
      <c r="AK229"/>
      <c r="AL229"/>
      <c r="AM229"/>
      <c r="AN229"/>
    </row>
    <row r="230" spans="1:40" ht="15" x14ac:dyDescent="0.25">
      <c r="A230" s="172"/>
      <c r="B230" s="172"/>
      <c r="D230" s="172"/>
      <c r="E230" s="172"/>
      <c r="F230" s="172"/>
      <c r="G230" s="172"/>
      <c r="H230" s="172"/>
      <c r="I230" s="172"/>
      <c r="AH230"/>
      <c r="AI230"/>
      <c r="AJ230"/>
      <c r="AK230"/>
      <c r="AL230"/>
      <c r="AM230"/>
      <c r="AN230"/>
    </row>
    <row r="231" spans="1:40" ht="15" x14ac:dyDescent="0.25">
      <c r="A231" s="172"/>
      <c r="B231" s="172"/>
      <c r="D231" s="177"/>
      <c r="E231" s="172"/>
      <c r="F231" s="172"/>
      <c r="G231" s="172"/>
      <c r="H231" s="172"/>
      <c r="I231" s="172"/>
      <c r="AH231"/>
      <c r="AI231"/>
      <c r="AJ231"/>
      <c r="AK231"/>
      <c r="AL231"/>
      <c r="AM231"/>
      <c r="AN231"/>
    </row>
    <row r="232" spans="1:40" ht="15.75" thickBot="1" x14ac:dyDescent="0.3">
      <c r="A232" s="172"/>
      <c r="B232" s="172"/>
      <c r="C232" s="172"/>
      <c r="D232" s="172"/>
      <c r="E232" s="172"/>
      <c r="F232" s="172"/>
      <c r="G232" s="172"/>
      <c r="H232" s="172"/>
      <c r="I232" s="172"/>
      <c r="AH232"/>
      <c r="AI232"/>
      <c r="AJ232"/>
      <c r="AK232"/>
      <c r="AL232"/>
      <c r="AM232"/>
      <c r="AN232"/>
    </row>
    <row r="233" spans="1:40" ht="15" x14ac:dyDescent="0.25">
      <c r="A233" s="172"/>
      <c r="B233" s="749" t="s">
        <v>188</v>
      </c>
      <c r="C233" s="750"/>
      <c r="D233" s="750"/>
      <c r="E233" s="750"/>
      <c r="F233" s="260"/>
      <c r="G233" s="260"/>
      <c r="H233" s="260"/>
      <c r="I233" s="260"/>
      <c r="J233" s="260"/>
      <c r="K233" s="260"/>
      <c r="L233" s="260"/>
      <c r="M233" s="260"/>
      <c r="N233" s="260"/>
      <c r="O233" s="260"/>
      <c r="P233" s="260"/>
      <c r="Q233" s="260"/>
      <c r="R233" s="260"/>
      <c r="S233" s="260"/>
      <c r="T233" s="260"/>
      <c r="U233" s="260"/>
      <c r="V233" s="260"/>
      <c r="W233" s="260"/>
      <c r="X233" s="260"/>
      <c r="Y233" s="260"/>
      <c r="Z233" s="260"/>
      <c r="AA233" s="260"/>
      <c r="AB233" s="260"/>
      <c r="AC233" s="261"/>
      <c r="AH233"/>
      <c r="AI233"/>
      <c r="AJ233"/>
      <c r="AK233"/>
      <c r="AL233"/>
      <c r="AM233"/>
      <c r="AN233"/>
    </row>
    <row r="234" spans="1:40" ht="15" x14ac:dyDescent="0.25">
      <c r="A234" s="172"/>
      <c r="B234" s="751"/>
      <c r="C234" s="752"/>
      <c r="D234" s="752"/>
      <c r="E234" s="752"/>
      <c r="F234" s="338"/>
      <c r="G234" s="338"/>
      <c r="H234" s="338"/>
      <c r="I234" s="338"/>
      <c r="J234" s="338"/>
      <c r="K234" s="338"/>
      <c r="L234" s="338"/>
      <c r="M234" s="338"/>
      <c r="N234" s="338"/>
      <c r="O234" s="338"/>
      <c r="P234" s="338"/>
      <c r="Q234" s="338"/>
      <c r="R234" s="338"/>
      <c r="S234" s="338"/>
      <c r="T234" s="338"/>
      <c r="U234" s="338"/>
      <c r="V234" s="338"/>
      <c r="W234" s="338"/>
      <c r="X234" s="338"/>
      <c r="Y234" s="338"/>
      <c r="Z234" s="338"/>
      <c r="AA234" s="338"/>
      <c r="AB234" s="338"/>
      <c r="AC234" s="339"/>
      <c r="AH234"/>
      <c r="AI234"/>
      <c r="AJ234"/>
      <c r="AK234"/>
      <c r="AL234"/>
      <c r="AM234"/>
      <c r="AN234"/>
    </row>
    <row r="235" spans="1:40" ht="15" x14ac:dyDescent="0.25">
      <c r="A235" s="172"/>
      <c r="B235" s="873" t="s">
        <v>189</v>
      </c>
      <c r="C235" s="874"/>
      <c r="D235" s="874"/>
      <c r="E235" s="875"/>
      <c r="F235" s="894" t="s">
        <v>98</v>
      </c>
      <c r="G235" s="893"/>
      <c r="H235" s="893"/>
      <c r="I235" s="893"/>
      <c r="J235" s="893" t="s">
        <v>100</v>
      </c>
      <c r="K235" s="893"/>
      <c r="L235" s="893"/>
      <c r="M235" s="893"/>
      <c r="N235" s="893" t="s">
        <v>102</v>
      </c>
      <c r="O235" s="893"/>
      <c r="P235" s="893"/>
      <c r="Q235" s="893"/>
      <c r="R235" s="893" t="s">
        <v>104</v>
      </c>
      <c r="S235" s="893"/>
      <c r="T235" s="893"/>
      <c r="U235" s="893"/>
      <c r="V235" s="893" t="s">
        <v>105</v>
      </c>
      <c r="W235" s="893"/>
      <c r="X235" s="893"/>
      <c r="Y235" s="893"/>
      <c r="Z235" s="893" t="s">
        <v>107</v>
      </c>
      <c r="AA235" s="893"/>
      <c r="AB235" s="893"/>
      <c r="AC235" s="898"/>
      <c r="AH235"/>
      <c r="AI235"/>
      <c r="AJ235"/>
      <c r="AK235"/>
      <c r="AL235"/>
      <c r="AM235"/>
      <c r="AN235"/>
    </row>
    <row r="236" spans="1:40" ht="15" x14ac:dyDescent="0.25">
      <c r="A236" s="172"/>
      <c r="B236" s="873"/>
      <c r="C236" s="874"/>
      <c r="D236" s="874"/>
      <c r="E236" s="875"/>
      <c r="F236" s="445">
        <f t="shared" ref="F236:AC236" si="157">F173</f>
        <v>46388</v>
      </c>
      <c r="G236" s="54">
        <f t="shared" si="157"/>
        <v>46478</v>
      </c>
      <c r="H236" s="54">
        <f t="shared" si="157"/>
        <v>46569</v>
      </c>
      <c r="I236" s="54">
        <f t="shared" si="157"/>
        <v>46661</v>
      </c>
      <c r="J236" s="54">
        <f t="shared" si="157"/>
        <v>46753</v>
      </c>
      <c r="K236" s="54">
        <f t="shared" si="157"/>
        <v>46844</v>
      </c>
      <c r="L236" s="54">
        <f t="shared" si="157"/>
        <v>46935</v>
      </c>
      <c r="M236" s="54">
        <f t="shared" si="157"/>
        <v>47027</v>
      </c>
      <c r="N236" s="54">
        <f t="shared" si="157"/>
        <v>47119</v>
      </c>
      <c r="O236" s="54">
        <f t="shared" si="157"/>
        <v>47209</v>
      </c>
      <c r="P236" s="54">
        <f t="shared" si="157"/>
        <v>47300</v>
      </c>
      <c r="Q236" s="54">
        <f t="shared" si="157"/>
        <v>47392</v>
      </c>
      <c r="R236" s="54">
        <f t="shared" si="157"/>
        <v>47484</v>
      </c>
      <c r="S236" s="54">
        <f t="shared" si="157"/>
        <v>47574</v>
      </c>
      <c r="T236" s="54">
        <f t="shared" si="157"/>
        <v>47665</v>
      </c>
      <c r="U236" s="54">
        <f t="shared" si="157"/>
        <v>47757</v>
      </c>
      <c r="V236" s="54">
        <f t="shared" si="157"/>
        <v>47849</v>
      </c>
      <c r="W236" s="54">
        <f t="shared" si="157"/>
        <v>47939</v>
      </c>
      <c r="X236" s="54">
        <f t="shared" si="157"/>
        <v>48030</v>
      </c>
      <c r="Y236" s="54">
        <f t="shared" si="157"/>
        <v>48122</v>
      </c>
      <c r="Z236" s="54">
        <f t="shared" si="157"/>
        <v>48214</v>
      </c>
      <c r="AA236" s="54">
        <f t="shared" si="157"/>
        <v>48305</v>
      </c>
      <c r="AB236" s="54">
        <f t="shared" si="157"/>
        <v>48396</v>
      </c>
      <c r="AC236" s="55">
        <f t="shared" si="157"/>
        <v>48488</v>
      </c>
      <c r="AH236"/>
      <c r="AI236"/>
      <c r="AJ236"/>
      <c r="AK236"/>
      <c r="AL236"/>
      <c r="AM236"/>
      <c r="AN236"/>
    </row>
    <row r="237" spans="1:40" ht="15" x14ac:dyDescent="0.25">
      <c r="A237" s="172"/>
      <c r="B237" s="873"/>
      <c r="C237" s="874"/>
      <c r="D237" s="874"/>
      <c r="E237" s="875"/>
      <c r="F237" s="446" t="s">
        <v>130</v>
      </c>
      <c r="G237" s="331" t="s">
        <v>131</v>
      </c>
      <c r="H237" s="331" t="s">
        <v>132</v>
      </c>
      <c r="I237" s="331" t="s">
        <v>133</v>
      </c>
      <c r="J237" s="331" t="s">
        <v>134</v>
      </c>
      <c r="K237" s="331" t="s">
        <v>135</v>
      </c>
      <c r="L237" s="331" t="s">
        <v>136</v>
      </c>
      <c r="M237" s="331" t="s">
        <v>137</v>
      </c>
      <c r="N237" s="331" t="s">
        <v>138</v>
      </c>
      <c r="O237" s="331" t="s">
        <v>139</v>
      </c>
      <c r="P237" s="331" t="s">
        <v>140</v>
      </c>
      <c r="Q237" s="331" t="s">
        <v>141</v>
      </c>
      <c r="R237" s="331" t="s">
        <v>142</v>
      </c>
      <c r="S237" s="331" t="s">
        <v>143</v>
      </c>
      <c r="T237" s="331" t="s">
        <v>144</v>
      </c>
      <c r="U237" s="331" t="s">
        <v>145</v>
      </c>
      <c r="V237" s="331" t="s">
        <v>146</v>
      </c>
      <c r="W237" s="331" t="s">
        <v>147</v>
      </c>
      <c r="X237" s="331" t="s">
        <v>148</v>
      </c>
      <c r="Y237" s="331" t="s">
        <v>149</v>
      </c>
      <c r="Z237" s="331" t="s">
        <v>150</v>
      </c>
      <c r="AA237" s="331" t="s">
        <v>151</v>
      </c>
      <c r="AB237" s="331" t="s">
        <v>152</v>
      </c>
      <c r="AC237" s="303" t="s">
        <v>153</v>
      </c>
      <c r="AH237"/>
      <c r="AI237"/>
      <c r="AJ237"/>
      <c r="AK237"/>
      <c r="AL237"/>
      <c r="AM237"/>
      <c r="AN237"/>
    </row>
    <row r="238" spans="1:40" ht="15" x14ac:dyDescent="0.25">
      <c r="A238" s="172"/>
      <c r="B238" s="788" t="s">
        <v>265</v>
      </c>
      <c r="C238" s="789"/>
      <c r="D238" s="789"/>
      <c r="E238" s="790"/>
      <c r="F238" s="791">
        <f>$C$188</f>
        <v>7.2999999999999995E-2</v>
      </c>
      <c r="G238" s="792"/>
      <c r="H238" s="792"/>
      <c r="I238" s="792"/>
      <c r="J238" s="792">
        <f>$C$188</f>
        <v>7.2999999999999995E-2</v>
      </c>
      <c r="K238" s="792"/>
      <c r="L238" s="792"/>
      <c r="M238" s="792"/>
      <c r="N238" s="792">
        <f>$C$188</f>
        <v>7.2999999999999995E-2</v>
      </c>
      <c r="O238" s="792"/>
      <c r="P238" s="792"/>
      <c r="Q238" s="792"/>
      <c r="R238" s="792">
        <f>$C$188</f>
        <v>7.2999999999999995E-2</v>
      </c>
      <c r="S238" s="792"/>
      <c r="T238" s="792"/>
      <c r="U238" s="792"/>
      <c r="V238" s="792">
        <f>$C$188</f>
        <v>7.2999999999999995E-2</v>
      </c>
      <c r="W238" s="792"/>
      <c r="X238" s="792"/>
      <c r="Y238" s="792"/>
      <c r="Z238" s="792">
        <f>$C$188</f>
        <v>7.2999999999999995E-2</v>
      </c>
      <c r="AA238" s="792"/>
      <c r="AB238" s="792"/>
      <c r="AC238" s="895"/>
      <c r="AH238"/>
      <c r="AI238"/>
      <c r="AJ238"/>
      <c r="AK238"/>
      <c r="AL238"/>
      <c r="AM238"/>
      <c r="AN238"/>
    </row>
    <row r="239" spans="1:40" ht="15" x14ac:dyDescent="0.25">
      <c r="A239" s="172"/>
      <c r="B239" s="788"/>
      <c r="C239" s="789"/>
      <c r="D239" s="789"/>
      <c r="E239" s="790"/>
      <c r="F239" s="791"/>
      <c r="G239" s="792"/>
      <c r="H239" s="792"/>
      <c r="I239" s="792"/>
      <c r="J239" s="792"/>
      <c r="K239" s="792"/>
      <c r="L239" s="792"/>
      <c r="M239" s="792"/>
      <c r="N239" s="792"/>
      <c r="O239" s="792"/>
      <c r="P239" s="792"/>
      <c r="Q239" s="792"/>
      <c r="R239" s="792"/>
      <c r="S239" s="792"/>
      <c r="T239" s="792"/>
      <c r="U239" s="792"/>
      <c r="V239" s="792"/>
      <c r="W239" s="792"/>
      <c r="X239" s="792"/>
      <c r="Y239" s="792"/>
      <c r="Z239" s="792"/>
      <c r="AA239" s="792"/>
      <c r="AB239" s="792"/>
      <c r="AC239" s="895"/>
      <c r="AH239"/>
      <c r="AI239"/>
      <c r="AJ239"/>
      <c r="AK239"/>
      <c r="AL239"/>
      <c r="AM239"/>
      <c r="AN239"/>
    </row>
    <row r="240" spans="1:40" ht="15" x14ac:dyDescent="0.25">
      <c r="A240" s="172"/>
      <c r="B240" s="873" t="s">
        <v>454</v>
      </c>
      <c r="C240" s="874"/>
      <c r="D240" s="874"/>
      <c r="E240" s="875"/>
      <c r="F240" s="795">
        <f t="shared" ref="F240:Y240" si="158">$C$188/4</f>
        <v>1.8249999999999999E-2</v>
      </c>
      <c r="G240" s="818">
        <f t="shared" si="158"/>
        <v>1.8249999999999999E-2</v>
      </c>
      <c r="H240" s="818">
        <f t="shared" si="158"/>
        <v>1.8249999999999999E-2</v>
      </c>
      <c r="I240" s="818">
        <f t="shared" si="158"/>
        <v>1.8249999999999999E-2</v>
      </c>
      <c r="J240" s="818">
        <f t="shared" si="158"/>
        <v>1.8249999999999999E-2</v>
      </c>
      <c r="K240" s="818">
        <f t="shared" si="158"/>
        <v>1.8249999999999999E-2</v>
      </c>
      <c r="L240" s="818">
        <f t="shared" si="158"/>
        <v>1.8249999999999999E-2</v>
      </c>
      <c r="M240" s="818">
        <f t="shared" si="158"/>
        <v>1.8249999999999999E-2</v>
      </c>
      <c r="N240" s="818">
        <f t="shared" si="158"/>
        <v>1.8249999999999999E-2</v>
      </c>
      <c r="O240" s="818">
        <f t="shared" si="158"/>
        <v>1.8249999999999999E-2</v>
      </c>
      <c r="P240" s="818">
        <f t="shared" si="158"/>
        <v>1.8249999999999999E-2</v>
      </c>
      <c r="Q240" s="818">
        <f t="shared" si="158"/>
        <v>1.8249999999999999E-2</v>
      </c>
      <c r="R240" s="818">
        <f t="shared" si="158"/>
        <v>1.8249999999999999E-2</v>
      </c>
      <c r="S240" s="818">
        <f t="shared" si="158"/>
        <v>1.8249999999999999E-2</v>
      </c>
      <c r="T240" s="818">
        <f t="shared" si="158"/>
        <v>1.8249999999999999E-2</v>
      </c>
      <c r="U240" s="818">
        <f t="shared" si="158"/>
        <v>1.8249999999999999E-2</v>
      </c>
      <c r="V240" s="818">
        <f t="shared" si="158"/>
        <v>1.8249999999999999E-2</v>
      </c>
      <c r="W240" s="818">
        <f t="shared" si="158"/>
        <v>1.8249999999999999E-2</v>
      </c>
      <c r="X240" s="818">
        <f t="shared" si="158"/>
        <v>1.8249999999999999E-2</v>
      </c>
      <c r="Y240" s="818">
        <f t="shared" si="158"/>
        <v>1.8249999999999999E-2</v>
      </c>
      <c r="Z240" s="818">
        <f t="shared" ref="Z240:AC240" si="159">$C$188/4</f>
        <v>1.8249999999999999E-2</v>
      </c>
      <c r="AA240" s="818">
        <f t="shared" si="159"/>
        <v>1.8249999999999999E-2</v>
      </c>
      <c r="AB240" s="818">
        <f t="shared" si="159"/>
        <v>1.8249999999999999E-2</v>
      </c>
      <c r="AC240" s="905">
        <f t="shared" si="159"/>
        <v>1.8249999999999999E-2</v>
      </c>
      <c r="AH240"/>
      <c r="AI240"/>
      <c r="AJ240"/>
      <c r="AK240"/>
      <c r="AL240"/>
      <c r="AM240"/>
      <c r="AN240"/>
    </row>
    <row r="241" spans="1:40" ht="15" x14ac:dyDescent="0.25">
      <c r="A241" s="172"/>
      <c r="B241" s="873"/>
      <c r="C241" s="874"/>
      <c r="D241" s="874"/>
      <c r="E241" s="875"/>
      <c r="F241" s="795"/>
      <c r="G241" s="818"/>
      <c r="H241" s="818"/>
      <c r="I241" s="818"/>
      <c r="J241" s="818"/>
      <c r="K241" s="818"/>
      <c r="L241" s="818"/>
      <c r="M241" s="818"/>
      <c r="N241" s="818"/>
      <c r="O241" s="818"/>
      <c r="P241" s="818"/>
      <c r="Q241" s="818"/>
      <c r="R241" s="818"/>
      <c r="S241" s="818"/>
      <c r="T241" s="818"/>
      <c r="U241" s="818"/>
      <c r="V241" s="818"/>
      <c r="W241" s="818"/>
      <c r="X241" s="818"/>
      <c r="Y241" s="818"/>
      <c r="Z241" s="818"/>
      <c r="AA241" s="818"/>
      <c r="AB241" s="818"/>
      <c r="AC241" s="905"/>
      <c r="AH241"/>
      <c r="AI241"/>
      <c r="AJ241"/>
      <c r="AK241"/>
      <c r="AL241"/>
      <c r="AM241"/>
      <c r="AN241"/>
    </row>
    <row r="242" spans="1:40" ht="15" x14ac:dyDescent="0.25">
      <c r="A242" s="172"/>
      <c r="B242" s="887" t="s">
        <v>266</v>
      </c>
      <c r="C242" s="888"/>
      <c r="D242" s="888"/>
      <c r="E242" s="889"/>
      <c r="F242" s="886">
        <f>F244</f>
        <v>0</v>
      </c>
      <c r="G242" s="793">
        <f t="shared" ref="G242:X242" si="160">F242+G244+G252</f>
        <v>0</v>
      </c>
      <c r="H242" s="793">
        <f t="shared" si="160"/>
        <v>0</v>
      </c>
      <c r="I242" s="793">
        <f t="shared" si="160"/>
        <v>0</v>
      </c>
      <c r="J242" s="793">
        <f t="shared" si="160"/>
        <v>0</v>
      </c>
      <c r="K242" s="793">
        <f t="shared" si="160"/>
        <v>0</v>
      </c>
      <c r="L242" s="793">
        <f t="shared" si="160"/>
        <v>2552006</v>
      </c>
      <c r="M242" s="793">
        <f>L242+M244+M252</f>
        <v>3352006</v>
      </c>
      <c r="N242" s="793">
        <f t="shared" si="160"/>
        <v>5552006</v>
      </c>
      <c r="O242" s="793">
        <f t="shared" si="160"/>
        <v>7752006</v>
      </c>
      <c r="P242" s="793">
        <f t="shared" si="160"/>
        <v>13552006</v>
      </c>
      <c r="Q242" s="793">
        <f t="shared" si="160"/>
        <v>22552006</v>
      </c>
      <c r="R242" s="793">
        <f t="shared" si="160"/>
        <v>28652006</v>
      </c>
      <c r="S242" s="793">
        <f t="shared" si="160"/>
        <v>36052006</v>
      </c>
      <c r="T242" s="793">
        <f t="shared" si="160"/>
        <v>43252006</v>
      </c>
      <c r="U242" s="793">
        <f t="shared" si="160"/>
        <v>53252006</v>
      </c>
      <c r="V242" s="793">
        <f t="shared" si="160"/>
        <v>53552006</v>
      </c>
      <c r="W242" s="793">
        <f t="shared" si="160"/>
        <v>54352006</v>
      </c>
      <c r="X242" s="793">
        <f t="shared" si="160"/>
        <v>52022133.136878826</v>
      </c>
      <c r="Y242" s="793">
        <f>X242+Y244+Y252</f>
        <v>0</v>
      </c>
      <c r="Z242" s="793">
        <f>Y242+Z244+Z252</f>
        <v>0</v>
      </c>
      <c r="AA242" s="793">
        <f t="shared" ref="AA242:AB242" si="161">Z242+AA244+AA252</f>
        <v>0</v>
      </c>
      <c r="AB242" s="793">
        <f t="shared" si="161"/>
        <v>0</v>
      </c>
      <c r="AC242" s="903">
        <f>AB242+AC244+AC252</f>
        <v>0</v>
      </c>
      <c r="AH242"/>
      <c r="AI242"/>
      <c r="AJ242"/>
      <c r="AK242"/>
      <c r="AL242"/>
      <c r="AM242"/>
      <c r="AN242"/>
    </row>
    <row r="243" spans="1:40" x14ac:dyDescent="0.25">
      <c r="A243" s="177"/>
      <c r="B243" s="887"/>
      <c r="C243" s="888"/>
      <c r="D243" s="888"/>
      <c r="E243" s="889"/>
      <c r="F243" s="886"/>
      <c r="G243" s="793"/>
      <c r="H243" s="793"/>
      <c r="I243" s="793"/>
      <c r="J243" s="793"/>
      <c r="K243" s="793"/>
      <c r="L243" s="793"/>
      <c r="M243" s="793"/>
      <c r="N243" s="793"/>
      <c r="O243" s="793"/>
      <c r="P243" s="793"/>
      <c r="Q243" s="793"/>
      <c r="R243" s="793"/>
      <c r="S243" s="793"/>
      <c r="T243" s="793"/>
      <c r="U243" s="793"/>
      <c r="V243" s="793"/>
      <c r="W243" s="793"/>
      <c r="X243" s="793"/>
      <c r="Y243" s="793"/>
      <c r="Z243" s="793"/>
      <c r="AA243" s="793"/>
      <c r="AB243" s="793"/>
      <c r="AC243" s="903"/>
    </row>
    <row r="244" spans="1:40" x14ac:dyDescent="0.25">
      <c r="A244" s="177"/>
      <c r="B244" s="873" t="s">
        <v>267</v>
      </c>
      <c r="C244" s="874"/>
      <c r="D244" s="874"/>
      <c r="E244" s="875"/>
      <c r="F244" s="871">
        <f t="shared" ref="F244:AB244" si="162">F185</f>
        <v>0</v>
      </c>
      <c r="G244" s="800">
        <f t="shared" si="162"/>
        <v>0</v>
      </c>
      <c r="H244" s="800">
        <f t="shared" si="162"/>
        <v>0</v>
      </c>
      <c r="I244" s="800">
        <f t="shared" si="162"/>
        <v>0</v>
      </c>
      <c r="J244" s="800">
        <f t="shared" si="162"/>
        <v>0</v>
      </c>
      <c r="K244" s="800">
        <f t="shared" si="162"/>
        <v>0</v>
      </c>
      <c r="L244" s="800">
        <f t="shared" si="162"/>
        <v>2552006</v>
      </c>
      <c r="M244" s="800">
        <f t="shared" si="162"/>
        <v>800000</v>
      </c>
      <c r="N244" s="800">
        <f t="shared" si="162"/>
        <v>2200000</v>
      </c>
      <c r="O244" s="800">
        <f t="shared" si="162"/>
        <v>2200000</v>
      </c>
      <c r="P244" s="800">
        <f t="shared" si="162"/>
        <v>5800000</v>
      </c>
      <c r="Q244" s="800">
        <f t="shared" si="162"/>
        <v>9000000</v>
      </c>
      <c r="R244" s="800">
        <f t="shared" si="162"/>
        <v>6100000</v>
      </c>
      <c r="S244" s="800">
        <f t="shared" si="162"/>
        <v>7400000</v>
      </c>
      <c r="T244" s="800">
        <f t="shared" si="162"/>
        <v>7200000</v>
      </c>
      <c r="U244" s="800">
        <f t="shared" si="162"/>
        <v>10000000</v>
      </c>
      <c r="V244" s="800">
        <f t="shared" si="162"/>
        <v>300000</v>
      </c>
      <c r="W244" s="800">
        <f t="shared" si="162"/>
        <v>800000</v>
      </c>
      <c r="X244" s="800">
        <f t="shared" si="162"/>
        <v>0</v>
      </c>
      <c r="Y244" s="800">
        <f t="shared" si="162"/>
        <v>0</v>
      </c>
      <c r="Z244" s="800">
        <f t="shared" si="162"/>
        <v>0</v>
      </c>
      <c r="AA244" s="800">
        <f t="shared" si="162"/>
        <v>0</v>
      </c>
      <c r="AB244" s="800">
        <f t="shared" si="162"/>
        <v>0</v>
      </c>
      <c r="AC244" s="897">
        <f>AC185</f>
        <v>0</v>
      </c>
    </row>
    <row r="245" spans="1:40" x14ac:dyDescent="0.25">
      <c r="A245" s="177"/>
      <c r="B245" s="873"/>
      <c r="C245" s="874"/>
      <c r="D245" s="874"/>
      <c r="E245" s="875"/>
      <c r="F245" s="871"/>
      <c r="G245" s="800"/>
      <c r="H245" s="800"/>
      <c r="I245" s="800"/>
      <c r="J245" s="800"/>
      <c r="K245" s="800"/>
      <c r="L245" s="800"/>
      <c r="M245" s="800"/>
      <c r="N245" s="800"/>
      <c r="O245" s="800"/>
      <c r="P245" s="800"/>
      <c r="Q245" s="800"/>
      <c r="R245" s="800"/>
      <c r="S245" s="800"/>
      <c r="T245" s="800"/>
      <c r="U245" s="800"/>
      <c r="V245" s="800"/>
      <c r="W245" s="800"/>
      <c r="X245" s="800"/>
      <c r="Y245" s="800"/>
      <c r="Z245" s="800"/>
      <c r="AA245" s="800"/>
      <c r="AB245" s="800"/>
      <c r="AC245" s="897"/>
    </row>
    <row r="246" spans="1:40" x14ac:dyDescent="0.25">
      <c r="A246" s="177"/>
      <c r="B246" s="887" t="s">
        <v>268</v>
      </c>
      <c r="C246" s="888"/>
      <c r="D246" s="888"/>
      <c r="E246" s="889"/>
      <c r="F246" s="886">
        <f t="shared" ref="F246:AC246" si="163">F188</f>
        <v>0</v>
      </c>
      <c r="G246" s="793">
        <f t="shared" si="163"/>
        <v>0</v>
      </c>
      <c r="H246" s="793">
        <f t="shared" si="163"/>
        <v>0</v>
      </c>
      <c r="I246" s="793">
        <f t="shared" si="163"/>
        <v>0</v>
      </c>
      <c r="J246" s="793">
        <f t="shared" si="163"/>
        <v>0</v>
      </c>
      <c r="K246" s="793">
        <f t="shared" si="163"/>
        <v>0</v>
      </c>
      <c r="L246" s="793">
        <f t="shared" si="163"/>
        <v>0</v>
      </c>
      <c r="M246" s="793">
        <f t="shared" si="163"/>
        <v>-46574.109499999999</v>
      </c>
      <c r="N246" s="793">
        <f t="shared" si="163"/>
        <v>-61174.109499999999</v>
      </c>
      <c r="O246" s="793">
        <f t="shared" si="163"/>
        <v>-101324.10949999999</v>
      </c>
      <c r="P246" s="793">
        <f t="shared" si="163"/>
        <v>-141474.10949999999</v>
      </c>
      <c r="Q246" s="793">
        <f t="shared" si="163"/>
        <v>-247324.10949999999</v>
      </c>
      <c r="R246" s="793">
        <f t="shared" si="163"/>
        <v>-411574.10949999996</v>
      </c>
      <c r="S246" s="793">
        <f t="shared" si="163"/>
        <v>-522899.10949999996</v>
      </c>
      <c r="T246" s="793">
        <f t="shared" si="163"/>
        <v>-657949.1094999999</v>
      </c>
      <c r="U246" s="793">
        <f t="shared" si="163"/>
        <v>-789349.1094999999</v>
      </c>
      <c r="V246" s="793">
        <f t="shared" si="163"/>
        <v>-971849.1094999999</v>
      </c>
      <c r="W246" s="793">
        <f t="shared" si="163"/>
        <v>-977324.1094999999</v>
      </c>
      <c r="X246" s="793">
        <f t="shared" si="163"/>
        <v>-991924.1094999999</v>
      </c>
      <c r="Y246" s="793">
        <f t="shared" si="163"/>
        <v>-949403.92974803853</v>
      </c>
      <c r="Z246" s="793">
        <f t="shared" si="163"/>
        <v>0</v>
      </c>
      <c r="AA246" s="793">
        <f t="shared" si="163"/>
        <v>0</v>
      </c>
      <c r="AB246" s="793">
        <f t="shared" si="163"/>
        <v>0</v>
      </c>
      <c r="AC246" s="903">
        <f t="shared" si="163"/>
        <v>0</v>
      </c>
    </row>
    <row r="247" spans="1:40" x14ac:dyDescent="0.25">
      <c r="B247" s="887"/>
      <c r="C247" s="888"/>
      <c r="D247" s="888"/>
      <c r="E247" s="889"/>
      <c r="F247" s="886"/>
      <c r="G247" s="793"/>
      <c r="H247" s="793"/>
      <c r="I247" s="793"/>
      <c r="J247" s="793"/>
      <c r="K247" s="793"/>
      <c r="L247" s="793"/>
      <c r="M247" s="793"/>
      <c r="N247" s="793"/>
      <c r="O247" s="793"/>
      <c r="P247" s="793"/>
      <c r="Q247" s="793"/>
      <c r="R247" s="793"/>
      <c r="S247" s="793"/>
      <c r="T247" s="793"/>
      <c r="U247" s="793"/>
      <c r="V247" s="793"/>
      <c r="W247" s="793"/>
      <c r="X247" s="793"/>
      <c r="Y247" s="793"/>
      <c r="Z247" s="793"/>
      <c r="AA247" s="793"/>
      <c r="AB247" s="793"/>
      <c r="AC247" s="903"/>
    </row>
    <row r="248" spans="1:40" x14ac:dyDescent="0.25">
      <c r="A248" s="179"/>
      <c r="B248" s="890" t="s">
        <v>166</v>
      </c>
      <c r="C248" s="891"/>
      <c r="D248" s="891"/>
      <c r="E248" s="892"/>
      <c r="F248" s="871">
        <f t="shared" ref="F248:AC248" si="164">F189</f>
        <v>-271760.03000000003</v>
      </c>
      <c r="G248" s="800">
        <f t="shared" si="164"/>
        <v>0</v>
      </c>
      <c r="H248" s="800">
        <f t="shared" si="164"/>
        <v>0</v>
      </c>
      <c r="I248" s="800">
        <f t="shared" si="164"/>
        <v>0</v>
      </c>
      <c r="J248" s="800">
        <f t="shared" si="164"/>
        <v>0</v>
      </c>
      <c r="K248" s="800">
        <f t="shared" si="164"/>
        <v>0</v>
      </c>
      <c r="L248" s="800">
        <f t="shared" si="164"/>
        <v>0</v>
      </c>
      <c r="M248" s="800">
        <f t="shared" si="164"/>
        <v>0</v>
      </c>
      <c r="N248" s="800">
        <f t="shared" si="164"/>
        <v>0</v>
      </c>
      <c r="O248" s="800">
        <f t="shared" si="164"/>
        <v>0</v>
      </c>
      <c r="P248" s="800">
        <f t="shared" si="164"/>
        <v>0</v>
      </c>
      <c r="Q248" s="800">
        <f t="shared" si="164"/>
        <v>0</v>
      </c>
      <c r="R248" s="800">
        <f t="shared" si="164"/>
        <v>0</v>
      </c>
      <c r="S248" s="800">
        <f t="shared" si="164"/>
        <v>0</v>
      </c>
      <c r="T248" s="800">
        <f t="shared" si="164"/>
        <v>0</v>
      </c>
      <c r="U248" s="800">
        <f t="shared" si="164"/>
        <v>0</v>
      </c>
      <c r="V248" s="800">
        <f t="shared" si="164"/>
        <v>0</v>
      </c>
      <c r="W248" s="800">
        <f t="shared" si="164"/>
        <v>0</v>
      </c>
      <c r="X248" s="800">
        <f t="shared" si="164"/>
        <v>0</v>
      </c>
      <c r="Y248" s="800">
        <f t="shared" si="164"/>
        <v>0</v>
      </c>
      <c r="Z248" s="800">
        <f t="shared" si="164"/>
        <v>0</v>
      </c>
      <c r="AA248" s="800">
        <f t="shared" si="164"/>
        <v>0</v>
      </c>
      <c r="AB248" s="800">
        <f t="shared" si="164"/>
        <v>0</v>
      </c>
      <c r="AC248" s="897">
        <f t="shared" si="164"/>
        <v>0</v>
      </c>
    </row>
    <row r="249" spans="1:40" x14ac:dyDescent="0.25">
      <c r="A249" s="179"/>
      <c r="B249" s="890"/>
      <c r="C249" s="891"/>
      <c r="D249" s="891"/>
      <c r="E249" s="892"/>
      <c r="F249" s="871"/>
      <c r="G249" s="800"/>
      <c r="H249" s="800"/>
      <c r="I249" s="800"/>
      <c r="J249" s="800"/>
      <c r="K249" s="800"/>
      <c r="L249" s="800"/>
      <c r="M249" s="800"/>
      <c r="N249" s="800"/>
      <c r="O249" s="800"/>
      <c r="P249" s="800"/>
      <c r="Q249" s="800"/>
      <c r="R249" s="800"/>
      <c r="S249" s="800"/>
      <c r="T249" s="800"/>
      <c r="U249" s="800"/>
      <c r="V249" s="800"/>
      <c r="W249" s="800"/>
      <c r="X249" s="800"/>
      <c r="Y249" s="800"/>
      <c r="Z249" s="800"/>
      <c r="AA249" s="800"/>
      <c r="AB249" s="800"/>
      <c r="AC249" s="897"/>
    </row>
    <row r="250" spans="1:40" x14ac:dyDescent="0.25">
      <c r="A250" s="172"/>
      <c r="B250" s="887" t="s">
        <v>269</v>
      </c>
      <c r="C250" s="888"/>
      <c r="D250" s="888"/>
      <c r="E250" s="889"/>
      <c r="F250" s="886">
        <f>F246+F248</f>
        <v>-271760.03000000003</v>
      </c>
      <c r="G250" s="793">
        <f>G246+G248</f>
        <v>0</v>
      </c>
      <c r="H250" s="793">
        <f>H246+H248</f>
        <v>0</v>
      </c>
      <c r="I250" s="793">
        <f t="shared" ref="I250:W250" si="165">I246+I248</f>
        <v>0</v>
      </c>
      <c r="J250" s="793">
        <f t="shared" si="165"/>
        <v>0</v>
      </c>
      <c r="K250" s="793">
        <f t="shared" si="165"/>
        <v>0</v>
      </c>
      <c r="L250" s="793">
        <f t="shared" si="165"/>
        <v>0</v>
      </c>
      <c r="M250" s="793">
        <f t="shared" si="165"/>
        <v>-46574.109499999999</v>
      </c>
      <c r="N250" s="793">
        <f t="shared" si="165"/>
        <v>-61174.109499999999</v>
      </c>
      <c r="O250" s="793">
        <f t="shared" si="165"/>
        <v>-101324.10949999999</v>
      </c>
      <c r="P250" s="793">
        <f t="shared" si="165"/>
        <v>-141474.10949999999</v>
      </c>
      <c r="Q250" s="793">
        <f t="shared" si="165"/>
        <v>-247324.10949999999</v>
      </c>
      <c r="R250" s="793">
        <f t="shared" si="165"/>
        <v>-411574.10949999996</v>
      </c>
      <c r="S250" s="793">
        <f t="shared" si="165"/>
        <v>-522899.10949999996</v>
      </c>
      <c r="T250" s="793">
        <f t="shared" si="165"/>
        <v>-657949.1094999999</v>
      </c>
      <c r="U250" s="793">
        <f t="shared" si="165"/>
        <v>-789349.1094999999</v>
      </c>
      <c r="V250" s="793">
        <f t="shared" si="165"/>
        <v>-971849.1094999999</v>
      </c>
      <c r="W250" s="793">
        <f t="shared" si="165"/>
        <v>-977324.1094999999</v>
      </c>
      <c r="X250" s="793">
        <f>X246+X248</f>
        <v>-991924.1094999999</v>
      </c>
      <c r="Y250" s="793">
        <f>Y246+Y248</f>
        <v>-949403.92974803853</v>
      </c>
      <c r="Z250" s="793">
        <f>Z246+Z248</f>
        <v>0</v>
      </c>
      <c r="AA250" s="793">
        <f t="shared" ref="AA250:AC250" si="166">AA246+AA248</f>
        <v>0</v>
      </c>
      <c r="AB250" s="793">
        <f t="shared" si="166"/>
        <v>0</v>
      </c>
      <c r="AC250" s="903">
        <f t="shared" si="166"/>
        <v>0</v>
      </c>
    </row>
    <row r="251" spans="1:40" x14ac:dyDescent="0.25">
      <c r="A251" s="172"/>
      <c r="B251" s="887"/>
      <c r="C251" s="888"/>
      <c r="D251" s="888"/>
      <c r="E251" s="889"/>
      <c r="F251" s="886"/>
      <c r="G251" s="793"/>
      <c r="H251" s="793"/>
      <c r="I251" s="793"/>
      <c r="J251" s="793"/>
      <c r="K251" s="793"/>
      <c r="L251" s="793"/>
      <c r="M251" s="793"/>
      <c r="N251" s="793"/>
      <c r="O251" s="793"/>
      <c r="P251" s="793"/>
      <c r="Q251" s="793"/>
      <c r="R251" s="793"/>
      <c r="S251" s="793"/>
      <c r="T251" s="793"/>
      <c r="U251" s="793"/>
      <c r="V251" s="793"/>
      <c r="W251" s="793"/>
      <c r="X251" s="793"/>
      <c r="Y251" s="793"/>
      <c r="Z251" s="793"/>
      <c r="AA251" s="793"/>
      <c r="AB251" s="793"/>
      <c r="AC251" s="903"/>
    </row>
    <row r="252" spans="1:40" x14ac:dyDescent="0.25">
      <c r="A252" s="172"/>
      <c r="B252" s="873" t="s">
        <v>155</v>
      </c>
      <c r="C252" s="874"/>
      <c r="D252" s="874"/>
      <c r="E252" s="875"/>
      <c r="F252" s="871">
        <f t="shared" ref="F252:AC252" si="167">F187</f>
        <v>0</v>
      </c>
      <c r="G252" s="800">
        <f t="shared" si="167"/>
        <v>0</v>
      </c>
      <c r="H252" s="800">
        <f t="shared" si="167"/>
        <v>0</v>
      </c>
      <c r="I252" s="800">
        <f t="shared" si="167"/>
        <v>0</v>
      </c>
      <c r="J252" s="800">
        <f t="shared" si="167"/>
        <v>0</v>
      </c>
      <c r="K252" s="800">
        <f t="shared" si="167"/>
        <v>0</v>
      </c>
      <c r="L252" s="800">
        <f t="shared" si="167"/>
        <v>0</v>
      </c>
      <c r="M252" s="800">
        <f t="shared" si="167"/>
        <v>0</v>
      </c>
      <c r="N252" s="800">
        <f t="shared" si="167"/>
        <v>0</v>
      </c>
      <c r="O252" s="800">
        <f t="shared" si="167"/>
        <v>0</v>
      </c>
      <c r="P252" s="800">
        <f t="shared" si="167"/>
        <v>0</v>
      </c>
      <c r="Q252" s="800">
        <f t="shared" si="167"/>
        <v>0</v>
      </c>
      <c r="R252" s="800">
        <f t="shared" si="167"/>
        <v>0</v>
      </c>
      <c r="S252" s="800">
        <f t="shared" si="167"/>
        <v>0</v>
      </c>
      <c r="T252" s="800">
        <f t="shared" si="167"/>
        <v>0</v>
      </c>
      <c r="U252" s="800">
        <f t="shared" si="167"/>
        <v>0</v>
      </c>
      <c r="V252" s="800">
        <f t="shared" si="167"/>
        <v>0</v>
      </c>
      <c r="W252" s="800">
        <f t="shared" si="167"/>
        <v>0</v>
      </c>
      <c r="X252" s="800">
        <f t="shared" si="167"/>
        <v>-2329872.8631211729</v>
      </c>
      <c r="Y252" s="800">
        <f t="shared" si="167"/>
        <v>-52022133.136878826</v>
      </c>
      <c r="Z252" s="800">
        <f t="shared" si="167"/>
        <v>0</v>
      </c>
      <c r="AA252" s="800">
        <f t="shared" si="167"/>
        <v>0</v>
      </c>
      <c r="AB252" s="800">
        <f t="shared" si="167"/>
        <v>0</v>
      </c>
      <c r="AC252" s="897">
        <f t="shared" si="167"/>
        <v>0</v>
      </c>
    </row>
    <row r="253" spans="1:40" ht="12" thickBot="1" x14ac:dyDescent="0.3">
      <c r="B253" s="876"/>
      <c r="C253" s="877"/>
      <c r="D253" s="877"/>
      <c r="E253" s="878"/>
      <c r="F253" s="872"/>
      <c r="G253" s="817"/>
      <c r="H253" s="817"/>
      <c r="I253" s="817"/>
      <c r="J253" s="817"/>
      <c r="K253" s="817"/>
      <c r="L253" s="817"/>
      <c r="M253" s="817"/>
      <c r="N253" s="817"/>
      <c r="O253" s="817"/>
      <c r="P253" s="817"/>
      <c r="Q253" s="817"/>
      <c r="R253" s="817"/>
      <c r="S253" s="817"/>
      <c r="T253" s="817"/>
      <c r="U253" s="817"/>
      <c r="V253" s="817"/>
      <c r="W253" s="817"/>
      <c r="X253" s="817"/>
      <c r="Y253" s="817"/>
      <c r="Z253" s="817"/>
      <c r="AA253" s="817"/>
      <c r="AB253" s="817"/>
      <c r="AC253" s="914"/>
    </row>
    <row r="254" spans="1:40" x14ac:dyDescent="0.25">
      <c r="A254" s="172"/>
      <c r="E254" s="172"/>
      <c r="F254" s="172"/>
      <c r="G254" s="172"/>
      <c r="H254" s="172"/>
      <c r="I254" s="172"/>
      <c r="J254" s="172"/>
      <c r="K254" s="172"/>
      <c r="L254" s="172"/>
      <c r="M254" s="172"/>
      <c r="N254" s="172"/>
      <c r="O254" s="172"/>
      <c r="P254" s="172"/>
      <c r="Q254" s="172"/>
      <c r="R254" s="172"/>
      <c r="S254" s="172"/>
      <c r="T254" s="172"/>
      <c r="U254" s="172"/>
      <c r="V254" s="172"/>
      <c r="W254" s="172"/>
      <c r="AB254" s="76" t="s">
        <v>190</v>
      </c>
      <c r="AC254" s="75" t="s">
        <v>191</v>
      </c>
    </row>
    <row r="255" spans="1:40" x14ac:dyDescent="0.25">
      <c r="A255" s="172"/>
      <c r="E255" s="172"/>
      <c r="F255" s="172"/>
      <c r="G255" s="172"/>
      <c r="H255" s="172"/>
      <c r="I255" s="172"/>
      <c r="J255" s="172"/>
      <c r="K255" s="172"/>
      <c r="L255" s="172"/>
      <c r="M255" s="172"/>
      <c r="N255" s="172"/>
      <c r="O255" s="172"/>
      <c r="P255" s="172"/>
      <c r="Q255" s="172"/>
      <c r="R255" s="172"/>
      <c r="S255" s="172"/>
      <c r="T255" s="172"/>
      <c r="U255" s="172"/>
      <c r="V255" s="172"/>
      <c r="W255" s="172"/>
      <c r="AB255" s="244">
        <f>SUM(F244:AC245)</f>
        <v>54352006</v>
      </c>
      <c r="AC255" s="245">
        <f>SUM(F250:AC251)</f>
        <v>-7141903.2737480393</v>
      </c>
    </row>
    <row r="256" spans="1:40" ht="12" thickBot="1" x14ac:dyDescent="0.3">
      <c r="A256" s="172"/>
      <c r="AB256" s="246" t="b">
        <f>AB255=E185</f>
        <v>1</v>
      </c>
      <c r="AC256" s="247" t="b">
        <f>AC255=SUM(E188:E189)</f>
        <v>1</v>
      </c>
    </row>
    <row r="257" spans="1:29" x14ac:dyDescent="0.25">
      <c r="A257" s="172"/>
      <c r="W257" s="172"/>
    </row>
    <row r="258" spans="1:29" x14ac:dyDescent="0.25">
      <c r="A258" s="172"/>
      <c r="H258" s="97"/>
      <c r="W258" s="172"/>
    </row>
    <row r="259" spans="1:29" x14ac:dyDescent="0.25">
      <c r="A259" s="172"/>
      <c r="W259" s="172"/>
    </row>
    <row r="260" spans="1:29" x14ac:dyDescent="0.25">
      <c r="A260" s="172"/>
      <c r="W260" s="172"/>
    </row>
    <row r="261" spans="1:29" ht="12" thickBot="1" x14ac:dyDescent="0.3">
      <c r="A261" s="172"/>
      <c r="B261" s="157"/>
      <c r="C261" s="157"/>
      <c r="D261" s="157"/>
      <c r="E261" s="157"/>
      <c r="F261" s="219" t="str">
        <f>IF(
    AND(F196&lt;&gt;0, COUNTIFS($F196:F196,"&lt;&gt;0",$F196:F196,"&lt;&gt;""")=1),
    "بداية البيع على الخارطة",
    IF(
        AND(F200&lt;&gt;0, COUNTIFS(F200:$AC200,"&lt;&gt;0",F200:$AC200,"&lt;&gt;""")=1),
        "نهاية البيع على الخارطة",
        ""
    )
)</f>
        <v/>
      </c>
      <c r="G261" s="219" t="str">
        <f>IF(
    AND(G196&lt;&gt;0, COUNTIFS($F196:G196,"&lt;&gt;0",$F196:G196,"&lt;&gt;""")=1),
    "بداية البيع على الخارطة",
    IF(
        AND(G200&lt;&gt;0, COUNTIFS(G200:$AC200,"&lt;&gt;0",G200:$AC200,"&lt;&gt;""")=1),
        "نهاية البيع على الخارطة",
        ""
    )
)</f>
        <v/>
      </c>
      <c r="H261" s="219" t="str">
        <f>IF(
    AND(H196&lt;&gt;0, COUNTIFS($F196:H196,"&lt;&gt;0",$F196:H196,"&lt;&gt;""")=1),
    "بداية البيع على الخارطة",
    IF(
        AND(H200&lt;&gt;0, COUNTIFS(H200:$AC200,"&lt;&gt;0",H200:$AC200,"&lt;&gt;""")=1),
        "نهاية البيع على الخارطة",
        ""
    )
)</f>
        <v/>
      </c>
      <c r="I261" s="219" t="str">
        <f>IF(
    AND(I196&lt;&gt;0, COUNTIFS($F196:I196,"&lt;&gt;0",$F196:I196,"&lt;&gt;""")=1),
    "بداية البيع على الخارطة",
    IF(
        AND(I200&lt;&gt;0, COUNTIFS(I200:$AC200,"&lt;&gt;0",I200:$AC200,"&lt;&gt;""")=1),
        "نهاية البيع على الخارطة",
        ""
    )
)</f>
        <v/>
      </c>
      <c r="J261" s="219" t="str">
        <f>IF(
    AND(J196&lt;&gt;0, COUNTIFS($F196:J196,"&lt;&gt;0",$F196:J196,"&lt;&gt;""")=1),
    "بداية البيع على الخارطة",
    IF(
        AND(J200&lt;&gt;0, COUNTIFS(J200:$AC200,"&lt;&gt;0",J200:$AC200,"&lt;&gt;""")=1),
        "نهاية البيع على الخارطة",
        ""
    )
)</f>
        <v>بداية البيع على الخارطة</v>
      </c>
      <c r="K261" s="219" t="str">
        <f>IF(
    AND(K196&lt;&gt;0, COUNTIFS($F196:K196,"&lt;&gt;0",$F196:K196,"&lt;&gt;""")=1),
    "بداية البيع على الخارطة",
    IF(
        AND(K200&lt;&gt;0, COUNTIFS(K200:$AC200,"&lt;&gt;0",K200:$AC200,"&lt;&gt;""")=1),
        "نهاية البيع على الخارطة",
        ""
    )
)</f>
        <v/>
      </c>
      <c r="L261" s="219" t="str">
        <f>IF(
    AND(L196&lt;&gt;0, COUNTIFS($F196:L196,"&lt;&gt;0",$F196:L196,"&lt;&gt;""")=1),
    "بداية البيع على الخارطة",
    IF(
        AND(L200&lt;&gt;0, COUNTIFS(L200:$AC200,"&lt;&gt;0",L200:$AC200,"&lt;&gt;""")=1),
        "نهاية البيع على الخارطة",
        ""
    )
)</f>
        <v/>
      </c>
      <c r="M261" s="219" t="str">
        <f>IF(
    AND(M196&lt;&gt;0, COUNTIFS($F196:M196,"&lt;&gt;0",$F196:M196,"&lt;&gt;""")=1),
    "بداية البيع على الخارطة",
    IF(
        AND(M200&lt;&gt;0, COUNTIFS(M200:$AC200,"&lt;&gt;0",M200:$AC200,"&lt;&gt;""")=1),
        "نهاية البيع على الخارطة",
        ""
    )
)</f>
        <v/>
      </c>
      <c r="N261" s="219" t="str">
        <f>IF(
    AND(N196&lt;&gt;0, COUNTIFS($F196:N196,"&lt;&gt;0",$F196:N196,"&lt;&gt;""")=1),
    "بداية البيع على الخارطة",
    IF(
        AND(N200&lt;&gt;0, COUNTIFS(N200:$AC200,"&lt;&gt;0",N200:$AC200,"&lt;&gt;""")=1),
        "نهاية البيع على الخارطة",
        ""
    )
)</f>
        <v/>
      </c>
      <c r="O261" s="219" t="str">
        <f>IF(
    AND(O196&lt;&gt;0, COUNTIFS($F196:O196,"&lt;&gt;0",$F196:O196,"&lt;&gt;""")=1),
    "بداية البيع على الخارطة",
    IF(
        AND(O200&lt;&gt;0, COUNTIFS(O200:$AC200,"&lt;&gt;0",O200:$AC200,"&lt;&gt;""")=1),
        "نهاية البيع على الخارطة",
        ""
    )
)</f>
        <v/>
      </c>
      <c r="P261" s="219" t="str">
        <f>IF(
    AND(P196&lt;&gt;0, COUNTIFS($F196:P196,"&lt;&gt;0",$F196:P196,"&lt;&gt;""")=1),
    "بداية البيع على الخارطة",
    IF(
        AND(P200&lt;&gt;0, COUNTIFS(P200:$AC200,"&lt;&gt;0",P200:$AC200,"&lt;&gt;""")=1),
        "نهاية البيع على الخارطة",
        ""
    )
)</f>
        <v/>
      </c>
      <c r="Q261" s="219" t="str">
        <f>IF(
    AND(Q196&lt;&gt;0, COUNTIFS($F196:Q196,"&lt;&gt;0",$F196:Q196,"&lt;&gt;""")=1),
    "بداية البيع على الخارطة",
    IF(
        AND(Q200&lt;&gt;0, COUNTIFS(Q200:$AC200,"&lt;&gt;0",Q200:$AC200,"&lt;&gt;""")=1),
        "نهاية البيع على الخارطة",
        ""
    )
)</f>
        <v/>
      </c>
      <c r="R261" s="219" t="str">
        <f>IF(
    AND(R196&lt;&gt;0, COUNTIFS($F196:R196,"&lt;&gt;0",$F196:R196,"&lt;&gt;""")=1),
    "بداية البيع على الخارطة",
    IF(
        AND(R200&lt;&gt;0, COUNTIFS(R200:$AC200,"&lt;&gt;0",R200:$AC200,"&lt;&gt;""")=1),
        "نهاية البيع على الخارطة",
        ""
    )
)</f>
        <v/>
      </c>
      <c r="S261" s="219" t="str">
        <f>IF(
    AND(S196&lt;&gt;0, COUNTIFS($F196:S196,"&lt;&gt;0",$F196:S196,"&lt;&gt;""")=1),
    "بداية البيع على الخارطة",
    IF(
        AND(S200&lt;&gt;0, COUNTIFS(S200:$AC200,"&lt;&gt;0",S200:$AC200,"&lt;&gt;""")=1),
        "نهاية البيع على الخارطة",
        ""
    )
)</f>
        <v/>
      </c>
      <c r="T261" s="219" t="str">
        <f>IF(
    AND(T196&lt;&gt;0, COUNTIFS($F196:T196,"&lt;&gt;0",$F196:T196,"&lt;&gt;""")=1),
    "بداية البيع على الخارطة",
    IF(
        AND(T200&lt;&gt;0, COUNTIFS(T200:$AC200,"&lt;&gt;0",T200:$AC200,"&lt;&gt;""")=1),
        "نهاية البيع على الخارطة",
        ""
    )
)</f>
        <v/>
      </c>
      <c r="U261" s="219" t="str">
        <f>IF(
    AND(U196&lt;&gt;0, COUNTIFS($F196:U196,"&lt;&gt;0",$F196:U196,"&lt;&gt;""")=1),
    "بداية البيع على الخارطة",
    IF(
        AND(U200&lt;&gt;0, COUNTIFS(U200:$AC200,"&lt;&gt;0",U200:$AC200,"&lt;&gt;""")=1),
        "نهاية البيع على الخارطة",
        ""
    )
)</f>
        <v>نهاية البيع على الخارطة</v>
      </c>
      <c r="V261" s="219" t="str">
        <f>IF(
    AND(V196&lt;&gt;0, COUNTIFS($F196:V196,"&lt;&gt;0",$F196:V196,"&lt;&gt;""")=1),
    "بداية البيع على الخارطة",
    IF(
        AND(V200&lt;&gt;0, COUNTIFS(V200:$AC200,"&lt;&gt;0",V200:$AC200,"&lt;&gt;""")=1),
        "نهاية البيع على الخارطة",
        ""
    )
)</f>
        <v/>
      </c>
      <c r="W261" s="219" t="str">
        <f>IF(
    AND(W196&lt;&gt;0, COUNTIFS($F196:W196,"&lt;&gt;0",$F196:W196,"&lt;&gt;""")=1),
    "بداية البيع على الخارطة",
    IF(
        AND(W200&lt;&gt;0, COUNTIFS(W200:$AC200,"&lt;&gt;0",W200:$AC200,"&lt;&gt;""")=1),
        "نهاية البيع على الخارطة",
        ""
    )
)</f>
        <v/>
      </c>
      <c r="X261" s="219" t="str">
        <f>IF(
    AND(X196&lt;&gt;0, COUNTIFS($F196:X196,"&lt;&gt;0",$F196:X196,"&lt;&gt;""")=1),
    "بداية البيع على الخارطة",
    IF(
        AND(X200&lt;&gt;0, COUNTIFS(X200:$AC200,"&lt;&gt;0",X200:$AC200,"&lt;&gt;""")=1),
        "نهاية البيع على الخارطة",
        ""
    )
)</f>
        <v/>
      </c>
      <c r="Y261" s="219" t="str">
        <f>IF(
    AND(Y196&lt;&gt;0, COUNTIFS($F196:Y196,"&lt;&gt;0",$F196:Y196,"&lt;&gt;""")=1),
    "بداية البيع على الخارطة",
    IF(
        AND(Y200&lt;&gt;0, COUNTIFS(Y200:$AC200,"&lt;&gt;0",Y200:$AC200,"&lt;&gt;""")=1),
        "نهاية البيع على الخارطة",
        ""
    )
)</f>
        <v/>
      </c>
      <c r="Z261" s="219" t="str">
        <f>IF(
    AND(Z196&lt;&gt;0, COUNTIFS($F196:Z196,"&lt;&gt;0",$F196:Z196,"&lt;&gt;""")=1),
    "بداية البيع على الخارطة",
    IF(
        AND(Z200&lt;&gt;0, COUNTIFS(Z200:$AC200,"&lt;&gt;0",Z200:$AC200,"&lt;&gt;""")=1),
        "نهاية البيع على الخارطة",
        ""
    )
)</f>
        <v/>
      </c>
      <c r="AA261" s="219" t="str">
        <f>IF(
    AND(AA196&lt;&gt;0, COUNTIFS($F196:AA196,"&lt;&gt;0",$F196:AA196,"&lt;&gt;""")=1),
    "بداية البيع على الخارطة",
    IF(
        AND(AA200&lt;&gt;0, COUNTIFS(AA200:$AC200,"&lt;&gt;0",AA200:$AC200,"&lt;&gt;""")=1),
        "نهاية البيع على الخارطة",
        ""
    )
)</f>
        <v/>
      </c>
      <c r="AB261" s="219" t="str">
        <f>IF(
    AND(AB196&lt;&gt;0, COUNTIFS($F196:AB196,"&lt;&gt;0",$F196:AB196,"&lt;&gt;""")=1),
    "بداية البيع على الخارطة",
    IF(
        AND(AB200&lt;&gt;0, COUNTIFS(AB200:$AC200,"&lt;&gt;0",AB200:$AC200,"&lt;&gt;""")=1),
        "نهاية البيع على الخارطة",
        ""
    )
)</f>
        <v/>
      </c>
      <c r="AC261" s="219" t="str">
        <f>IF(
    AND(AC196&lt;&gt;0, COUNTIFS($F196:AC196,"&lt;&gt;0",$F196:AC196,"&lt;&gt;""")=1),
    "بداية البيع على الخارطة",
    IF(
        AND(AC200&lt;&gt;0, COUNTIFS(AC200:$AC200,"&lt;&gt;0",AC200:$AC200,"&lt;&gt;""")=1),
        "نهاية البيع على الخارطة",
        ""
    )
)</f>
        <v/>
      </c>
    </row>
    <row r="262" spans="1:29" ht="12.75" x14ac:dyDescent="0.25">
      <c r="B262" s="749" t="s">
        <v>192</v>
      </c>
      <c r="C262" s="750"/>
      <c r="D262" s="750"/>
      <c r="E262" s="750"/>
      <c r="F262" s="260"/>
      <c r="G262" s="260"/>
      <c r="H262" s="260"/>
      <c r="I262" s="260"/>
      <c r="J262" s="260"/>
      <c r="K262" s="260"/>
      <c r="L262" s="260"/>
      <c r="M262" s="260"/>
      <c r="N262" s="260"/>
      <c r="O262" s="260"/>
      <c r="P262" s="260"/>
      <c r="Q262" s="260"/>
      <c r="R262" s="260"/>
      <c r="S262" s="260"/>
      <c r="T262" s="260"/>
      <c r="U262" s="260"/>
      <c r="V262" s="260"/>
      <c r="W262" s="260"/>
      <c r="X262" s="260"/>
      <c r="Y262" s="260"/>
      <c r="Z262" s="260"/>
      <c r="AA262" s="260"/>
      <c r="AB262" s="260"/>
      <c r="AC262" s="261"/>
    </row>
    <row r="263" spans="1:29" ht="12.75" x14ac:dyDescent="0.25">
      <c r="B263" s="751"/>
      <c r="C263" s="752"/>
      <c r="D263" s="752"/>
      <c r="E263" s="752"/>
      <c r="F263" s="338"/>
      <c r="G263" s="338"/>
      <c r="H263" s="338"/>
      <c r="I263" s="338"/>
      <c r="J263" s="338"/>
      <c r="K263" s="338"/>
      <c r="L263" s="338"/>
      <c r="M263" s="338"/>
      <c r="N263" s="338"/>
      <c r="O263" s="338"/>
      <c r="P263" s="338"/>
      <c r="Q263" s="338"/>
      <c r="R263" s="338"/>
      <c r="S263" s="338"/>
      <c r="T263" s="338"/>
      <c r="U263" s="338"/>
      <c r="V263" s="338"/>
      <c r="W263" s="338"/>
      <c r="X263" s="338"/>
      <c r="Y263" s="338"/>
      <c r="Z263" s="338"/>
      <c r="AA263" s="338"/>
      <c r="AB263" s="338"/>
      <c r="AC263" s="339"/>
    </row>
    <row r="264" spans="1:29" x14ac:dyDescent="0.25">
      <c r="B264" s="861">
        <f>R135-E266</f>
        <v>0</v>
      </c>
      <c r="C264" s="862"/>
      <c r="D264" s="837" t="b">
        <f>B264=0</f>
        <v>1</v>
      </c>
      <c r="E264" s="879" t="s">
        <v>189</v>
      </c>
      <c r="F264" s="773" t="s">
        <v>98</v>
      </c>
      <c r="G264" s="756"/>
      <c r="H264" s="756"/>
      <c r="I264" s="756"/>
      <c r="J264" s="756" t="s">
        <v>100</v>
      </c>
      <c r="K264" s="756"/>
      <c r="L264" s="756"/>
      <c r="M264" s="756"/>
      <c r="N264" s="756" t="s">
        <v>102</v>
      </c>
      <c r="O264" s="756"/>
      <c r="P264" s="756"/>
      <c r="Q264" s="756"/>
      <c r="R264" s="756" t="s">
        <v>104</v>
      </c>
      <c r="S264" s="756"/>
      <c r="T264" s="756"/>
      <c r="U264" s="756"/>
      <c r="V264" s="756" t="s">
        <v>105</v>
      </c>
      <c r="W264" s="756"/>
      <c r="X264" s="756"/>
      <c r="Y264" s="756"/>
      <c r="Z264" s="756" t="s">
        <v>107</v>
      </c>
      <c r="AA264" s="756"/>
      <c r="AB264" s="756"/>
      <c r="AC264" s="774"/>
    </row>
    <row r="265" spans="1:29" x14ac:dyDescent="0.25">
      <c r="B265" s="863"/>
      <c r="C265" s="864"/>
      <c r="D265" s="838"/>
      <c r="E265" s="753"/>
      <c r="F265" s="433" t="s">
        <v>130</v>
      </c>
      <c r="G265" s="270" t="s">
        <v>131</v>
      </c>
      <c r="H265" s="270" t="s">
        <v>132</v>
      </c>
      <c r="I265" s="270" t="s">
        <v>133</v>
      </c>
      <c r="J265" s="270" t="s">
        <v>134</v>
      </c>
      <c r="K265" s="270" t="s">
        <v>135</v>
      </c>
      <c r="L265" s="270" t="s">
        <v>136</v>
      </c>
      <c r="M265" s="270" t="s">
        <v>137</v>
      </c>
      <c r="N265" s="270" t="s">
        <v>138</v>
      </c>
      <c r="O265" s="270" t="s">
        <v>139</v>
      </c>
      <c r="P265" s="270" t="s">
        <v>140</v>
      </c>
      <c r="Q265" s="270" t="s">
        <v>141</v>
      </c>
      <c r="R265" s="270" t="s">
        <v>142</v>
      </c>
      <c r="S265" s="270" t="s">
        <v>143</v>
      </c>
      <c r="T265" s="270" t="s">
        <v>144</v>
      </c>
      <c r="U265" s="270" t="s">
        <v>145</v>
      </c>
      <c r="V265" s="270" t="s">
        <v>146</v>
      </c>
      <c r="W265" s="270" t="s">
        <v>147</v>
      </c>
      <c r="X265" s="270" t="s">
        <v>148</v>
      </c>
      <c r="Y265" s="270" t="s">
        <v>149</v>
      </c>
      <c r="Z265" s="270" t="s">
        <v>150</v>
      </c>
      <c r="AA265" s="270" t="s">
        <v>151</v>
      </c>
      <c r="AB265" s="270" t="s">
        <v>152</v>
      </c>
      <c r="AC265" s="271" t="s">
        <v>153</v>
      </c>
    </row>
    <row r="266" spans="1:29" x14ac:dyDescent="0.25">
      <c r="B266" s="880" t="s">
        <v>193</v>
      </c>
      <c r="C266" s="881"/>
      <c r="D266" s="884" t="b">
        <f>IF(ABS(E266 - R135) &lt; MAX(0.00001, E266 * 0.00001), TRUE, FALSE)</f>
        <v>1</v>
      </c>
      <c r="E266" s="867">
        <f>SUM(F266:Y267)</f>
        <v>11</v>
      </c>
      <c r="F266" s="869"/>
      <c r="G266" s="775"/>
      <c r="H266" s="775"/>
      <c r="I266" s="775"/>
      <c r="J266" s="775">
        <v>2</v>
      </c>
      <c r="K266" s="775">
        <v>2</v>
      </c>
      <c r="L266" s="775">
        <v>2</v>
      </c>
      <c r="M266" s="775">
        <v>2</v>
      </c>
      <c r="N266" s="775">
        <v>2</v>
      </c>
      <c r="O266" s="775">
        <v>1</v>
      </c>
      <c r="P266" s="775"/>
      <c r="Q266" s="775"/>
      <c r="R266" s="775"/>
      <c r="S266" s="775"/>
      <c r="T266" s="775"/>
      <c r="U266" s="775"/>
      <c r="V266" s="775"/>
      <c r="W266" s="775"/>
      <c r="X266" s="775"/>
      <c r="Y266" s="775"/>
      <c r="Z266" s="775"/>
      <c r="AA266" s="775"/>
      <c r="AB266" s="775"/>
      <c r="AC266" s="912"/>
    </row>
    <row r="267" spans="1:29" x14ac:dyDescent="0.25">
      <c r="B267" s="882"/>
      <c r="C267" s="883"/>
      <c r="D267" s="885"/>
      <c r="E267" s="868"/>
      <c r="F267" s="870"/>
      <c r="G267" s="757"/>
      <c r="H267" s="757"/>
      <c r="I267" s="757"/>
      <c r="J267" s="757"/>
      <c r="K267" s="757"/>
      <c r="L267" s="757"/>
      <c r="M267" s="757"/>
      <c r="N267" s="757"/>
      <c r="O267" s="757"/>
      <c r="P267" s="757"/>
      <c r="Q267" s="757"/>
      <c r="R267" s="757"/>
      <c r="S267" s="757"/>
      <c r="T267" s="757"/>
      <c r="U267" s="757"/>
      <c r="V267" s="757"/>
      <c r="W267" s="757"/>
      <c r="X267" s="757"/>
      <c r="Y267" s="757"/>
      <c r="Z267" s="757"/>
      <c r="AA267" s="757"/>
      <c r="AB267" s="757"/>
      <c r="AC267" s="913"/>
    </row>
    <row r="268" spans="1:29" x14ac:dyDescent="0.25">
      <c r="B268" s="831" t="s">
        <v>194</v>
      </c>
      <c r="C268" s="832"/>
      <c r="D268" s="837" t="b">
        <f>IF(ABS(E268 - C192) &lt; MAX(0.00001, E268 * 0.00001), TRUE, FALSE)</f>
        <v>1</v>
      </c>
      <c r="E268" s="855">
        <f>SUM(F268:AC269)</f>
        <v>-78265608.000000015</v>
      </c>
      <c r="F268" s="823">
        <f t="shared" ref="F268:AC268" si="168">F192</f>
        <v>0</v>
      </c>
      <c r="G268" s="770">
        <f t="shared" si="168"/>
        <v>0</v>
      </c>
      <c r="H268" s="770">
        <f t="shared" si="168"/>
        <v>0</v>
      </c>
      <c r="I268" s="770">
        <f t="shared" si="168"/>
        <v>0</v>
      </c>
      <c r="J268" s="770">
        <f t="shared" si="168"/>
        <v>0</v>
      </c>
      <c r="K268" s="770">
        <f t="shared" si="168"/>
        <v>-5478592.5600000005</v>
      </c>
      <c r="L268" s="770">
        <f t="shared" si="168"/>
        <v>-5478592.5600000005</v>
      </c>
      <c r="M268" s="770">
        <f t="shared" si="168"/>
        <v>-5478592.5600000005</v>
      </c>
      <c r="N268" s="770">
        <f t="shared" si="168"/>
        <v>-10174529.040000001</v>
      </c>
      <c r="O268" s="770">
        <f t="shared" si="168"/>
        <v>-10174529.040000001</v>
      </c>
      <c r="P268" s="770">
        <f t="shared" si="168"/>
        <v>-10174529.040000001</v>
      </c>
      <c r="Q268" s="770">
        <f t="shared" si="168"/>
        <v>-9391872.959999999</v>
      </c>
      <c r="R268" s="770">
        <f t="shared" si="168"/>
        <v>-5478592.5600000005</v>
      </c>
      <c r="S268" s="770">
        <f t="shared" si="168"/>
        <v>-5478592.5600000005</v>
      </c>
      <c r="T268" s="770">
        <f t="shared" si="168"/>
        <v>-5478592.5600000005</v>
      </c>
      <c r="U268" s="770">
        <f t="shared" si="168"/>
        <v>-5478592.5600000005</v>
      </c>
      <c r="V268" s="770">
        <f t="shared" si="168"/>
        <v>0</v>
      </c>
      <c r="W268" s="770">
        <f t="shared" si="168"/>
        <v>0</v>
      </c>
      <c r="X268" s="770">
        <f t="shared" si="168"/>
        <v>0</v>
      </c>
      <c r="Y268" s="770">
        <f t="shared" si="168"/>
        <v>0</v>
      </c>
      <c r="Z268" s="770">
        <f t="shared" si="168"/>
        <v>0</v>
      </c>
      <c r="AA268" s="770">
        <f t="shared" si="168"/>
        <v>0</v>
      </c>
      <c r="AB268" s="770">
        <f t="shared" si="168"/>
        <v>0</v>
      </c>
      <c r="AC268" s="908">
        <f t="shared" si="168"/>
        <v>0</v>
      </c>
    </row>
    <row r="269" spans="1:29" x14ac:dyDescent="0.25">
      <c r="B269" s="839"/>
      <c r="C269" s="840"/>
      <c r="D269" s="838"/>
      <c r="E269" s="856"/>
      <c r="F269" s="824"/>
      <c r="G269" s="771"/>
      <c r="H269" s="771"/>
      <c r="I269" s="771"/>
      <c r="J269" s="771"/>
      <c r="K269" s="771"/>
      <c r="L269" s="771"/>
      <c r="M269" s="771"/>
      <c r="N269" s="771"/>
      <c r="O269" s="771"/>
      <c r="P269" s="771"/>
      <c r="Q269" s="771"/>
      <c r="R269" s="771"/>
      <c r="S269" s="771"/>
      <c r="T269" s="771"/>
      <c r="U269" s="771"/>
      <c r="V269" s="771"/>
      <c r="W269" s="771"/>
      <c r="X269" s="771"/>
      <c r="Y269" s="771"/>
      <c r="Z269" s="771"/>
      <c r="AA269" s="771"/>
      <c r="AB269" s="771"/>
      <c r="AC269" s="909"/>
    </row>
    <row r="270" spans="1:29" x14ac:dyDescent="0.25">
      <c r="B270" s="843" t="s">
        <v>195</v>
      </c>
      <c r="C270" s="844"/>
      <c r="D270" s="835" t="b">
        <f>E270=100%</f>
        <v>1</v>
      </c>
      <c r="E270" s="865">
        <f>SUM(F270:AC271)</f>
        <v>1.0000000000000002</v>
      </c>
      <c r="F270" s="859">
        <f t="shared" ref="F270:Y270" si="169">F268/$C$192</f>
        <v>0</v>
      </c>
      <c r="G270" s="776">
        <f t="shared" si="169"/>
        <v>0</v>
      </c>
      <c r="H270" s="776">
        <f t="shared" si="169"/>
        <v>0</v>
      </c>
      <c r="I270" s="776">
        <f t="shared" si="169"/>
        <v>0</v>
      </c>
      <c r="J270" s="776">
        <f t="shared" si="169"/>
        <v>0</v>
      </c>
      <c r="K270" s="776">
        <f t="shared" si="169"/>
        <v>7.0000000000000007E-2</v>
      </c>
      <c r="L270" s="776">
        <f t="shared" si="169"/>
        <v>7.0000000000000007E-2</v>
      </c>
      <c r="M270" s="776">
        <f t="shared" si="169"/>
        <v>7.0000000000000007E-2</v>
      </c>
      <c r="N270" s="776">
        <f t="shared" si="169"/>
        <v>0.13</v>
      </c>
      <c r="O270" s="776">
        <f t="shared" si="169"/>
        <v>0.13</v>
      </c>
      <c r="P270" s="776">
        <f t="shared" si="169"/>
        <v>0.13</v>
      </c>
      <c r="Q270" s="776">
        <f t="shared" si="169"/>
        <v>0.11999999999999998</v>
      </c>
      <c r="R270" s="776">
        <f t="shared" si="169"/>
        <v>7.0000000000000007E-2</v>
      </c>
      <c r="S270" s="776">
        <f t="shared" si="169"/>
        <v>7.0000000000000007E-2</v>
      </c>
      <c r="T270" s="776">
        <f t="shared" si="169"/>
        <v>7.0000000000000007E-2</v>
      </c>
      <c r="U270" s="776">
        <f t="shared" si="169"/>
        <v>7.0000000000000007E-2</v>
      </c>
      <c r="V270" s="776">
        <f t="shared" si="169"/>
        <v>0</v>
      </c>
      <c r="W270" s="776">
        <f t="shared" si="169"/>
        <v>0</v>
      </c>
      <c r="X270" s="776">
        <f t="shared" si="169"/>
        <v>0</v>
      </c>
      <c r="Y270" s="776">
        <f t="shared" si="169"/>
        <v>0</v>
      </c>
      <c r="Z270" s="776">
        <f t="shared" ref="Z270:AC270" si="170">Z268/$C$192</f>
        <v>0</v>
      </c>
      <c r="AA270" s="776">
        <f t="shared" si="170"/>
        <v>0</v>
      </c>
      <c r="AB270" s="776">
        <f t="shared" si="170"/>
        <v>0</v>
      </c>
      <c r="AC270" s="910">
        <f t="shared" si="170"/>
        <v>0</v>
      </c>
    </row>
    <row r="271" spans="1:29" x14ac:dyDescent="0.25">
      <c r="B271" s="845"/>
      <c r="C271" s="846"/>
      <c r="D271" s="836"/>
      <c r="E271" s="866"/>
      <c r="F271" s="860"/>
      <c r="G271" s="777"/>
      <c r="H271" s="777"/>
      <c r="I271" s="777"/>
      <c r="J271" s="777"/>
      <c r="K271" s="777"/>
      <c r="L271" s="777"/>
      <c r="M271" s="777"/>
      <c r="N271" s="777"/>
      <c r="O271" s="777"/>
      <c r="P271" s="777"/>
      <c r="Q271" s="777"/>
      <c r="R271" s="777"/>
      <c r="S271" s="777"/>
      <c r="T271" s="777"/>
      <c r="U271" s="777"/>
      <c r="V271" s="777"/>
      <c r="W271" s="777"/>
      <c r="X271" s="777"/>
      <c r="Y271" s="777"/>
      <c r="Z271" s="777"/>
      <c r="AA271" s="777"/>
      <c r="AB271" s="777"/>
      <c r="AC271" s="911"/>
    </row>
    <row r="272" spans="1:29" x14ac:dyDescent="0.25">
      <c r="B272" s="831" t="s">
        <v>196</v>
      </c>
      <c r="C272" s="832"/>
      <c r="D272" s="837" t="b">
        <f>B261=B261</f>
        <v>1</v>
      </c>
      <c r="E272" s="821" t="s">
        <v>67</v>
      </c>
      <c r="F272" s="857">
        <f>F270</f>
        <v>0</v>
      </c>
      <c r="G272" s="778">
        <f>G270+F272</f>
        <v>0</v>
      </c>
      <c r="H272" s="778">
        <f>H270+G272</f>
        <v>0</v>
      </c>
      <c r="I272" s="778">
        <f t="shared" ref="I272:U272" si="171">I270+H272</f>
        <v>0</v>
      </c>
      <c r="J272" s="778">
        <f>J270+I272</f>
        <v>0</v>
      </c>
      <c r="K272" s="778">
        <f t="shared" si="171"/>
        <v>7.0000000000000007E-2</v>
      </c>
      <c r="L272" s="778">
        <f t="shared" si="171"/>
        <v>0.14000000000000001</v>
      </c>
      <c r="M272" s="778">
        <f>M270+L272</f>
        <v>0.21000000000000002</v>
      </c>
      <c r="N272" s="778">
        <f>N270+M272</f>
        <v>0.34</v>
      </c>
      <c r="O272" s="778">
        <f t="shared" si="171"/>
        <v>0.47000000000000003</v>
      </c>
      <c r="P272" s="778">
        <f t="shared" si="171"/>
        <v>0.60000000000000009</v>
      </c>
      <c r="Q272" s="778">
        <f>Q270+P272</f>
        <v>0.72000000000000008</v>
      </c>
      <c r="R272" s="778">
        <f t="shared" si="171"/>
        <v>0.79</v>
      </c>
      <c r="S272" s="778">
        <f>S270+R272</f>
        <v>0.8600000000000001</v>
      </c>
      <c r="T272" s="778">
        <f>T270+S272</f>
        <v>0.93000000000000016</v>
      </c>
      <c r="U272" s="778">
        <f t="shared" si="171"/>
        <v>1.0000000000000002</v>
      </c>
      <c r="V272" s="778">
        <f>V270+U272</f>
        <v>1.0000000000000002</v>
      </c>
      <c r="W272" s="778">
        <f>W270+V272</f>
        <v>1.0000000000000002</v>
      </c>
      <c r="X272" s="778">
        <f>X270+W272</f>
        <v>1.0000000000000002</v>
      </c>
      <c r="Y272" s="778">
        <f>Y270+X272</f>
        <v>1.0000000000000002</v>
      </c>
      <c r="Z272" s="778">
        <f t="shared" ref="Z272:AC272" si="172">Z270+Y272</f>
        <v>1.0000000000000002</v>
      </c>
      <c r="AA272" s="778">
        <f t="shared" si="172"/>
        <v>1.0000000000000002</v>
      </c>
      <c r="AB272" s="778">
        <f t="shared" si="172"/>
        <v>1.0000000000000002</v>
      </c>
      <c r="AC272" s="915">
        <f t="shared" si="172"/>
        <v>1.0000000000000002</v>
      </c>
    </row>
    <row r="273" spans="2:29" x14ac:dyDescent="0.25">
      <c r="B273" s="839"/>
      <c r="C273" s="840"/>
      <c r="D273" s="838"/>
      <c r="E273" s="822"/>
      <c r="F273" s="858"/>
      <c r="G273" s="779"/>
      <c r="H273" s="779"/>
      <c r="I273" s="779"/>
      <c r="J273" s="779"/>
      <c r="K273" s="779"/>
      <c r="L273" s="779"/>
      <c r="M273" s="779"/>
      <c r="N273" s="779"/>
      <c r="O273" s="779"/>
      <c r="P273" s="779"/>
      <c r="Q273" s="779"/>
      <c r="R273" s="779"/>
      <c r="S273" s="779"/>
      <c r="T273" s="779"/>
      <c r="U273" s="779"/>
      <c r="V273" s="779"/>
      <c r="W273" s="779"/>
      <c r="X273" s="779"/>
      <c r="Y273" s="779"/>
      <c r="Z273" s="779"/>
      <c r="AA273" s="779"/>
      <c r="AB273" s="779"/>
      <c r="AC273" s="916"/>
    </row>
    <row r="274" spans="2:29" x14ac:dyDescent="0.25">
      <c r="B274" s="843" t="s">
        <v>227</v>
      </c>
      <c r="C274" s="844"/>
      <c r="D274" s="835" t="b">
        <f>IF(ABS(E274 - C299) &lt; MAX(0.00001, E274 * 0.00001), TRUE, FALSE)</f>
        <v>1</v>
      </c>
      <c r="E274" s="821">
        <f>SUM(F274:AC275)</f>
        <v>47826086.956521749</v>
      </c>
      <c r="F274" s="825">
        <f t="shared" ref="F274:AC274" si="173">F266*$C$303</f>
        <v>0</v>
      </c>
      <c r="G274" s="768">
        <f>G266*$C$303</f>
        <v>0</v>
      </c>
      <c r="H274" s="768">
        <f t="shared" si="173"/>
        <v>0</v>
      </c>
      <c r="I274" s="768">
        <f t="shared" si="173"/>
        <v>0</v>
      </c>
      <c r="J274" s="768">
        <f t="shared" si="173"/>
        <v>8695652.1739130449</v>
      </c>
      <c r="K274" s="768">
        <f t="shared" si="173"/>
        <v>8695652.1739130449</v>
      </c>
      <c r="L274" s="768">
        <f t="shared" si="173"/>
        <v>8695652.1739130449</v>
      </c>
      <c r="M274" s="768">
        <f t="shared" si="173"/>
        <v>8695652.1739130449</v>
      </c>
      <c r="N274" s="768">
        <f t="shared" si="173"/>
        <v>8695652.1739130449</v>
      </c>
      <c r="O274" s="768">
        <f t="shared" si="173"/>
        <v>4347826.0869565224</v>
      </c>
      <c r="P274" s="768">
        <f t="shared" si="173"/>
        <v>0</v>
      </c>
      <c r="Q274" s="768">
        <f t="shared" si="173"/>
        <v>0</v>
      </c>
      <c r="R274" s="768">
        <f t="shared" si="173"/>
        <v>0</v>
      </c>
      <c r="S274" s="768">
        <f t="shared" si="173"/>
        <v>0</v>
      </c>
      <c r="T274" s="768">
        <f>T266*$C$303</f>
        <v>0</v>
      </c>
      <c r="U274" s="768">
        <f t="shared" si="173"/>
        <v>0</v>
      </c>
      <c r="V274" s="768">
        <f t="shared" si="173"/>
        <v>0</v>
      </c>
      <c r="W274" s="768">
        <f t="shared" si="173"/>
        <v>0</v>
      </c>
      <c r="X274" s="768">
        <f t="shared" si="173"/>
        <v>0</v>
      </c>
      <c r="Y274" s="768">
        <f t="shared" si="173"/>
        <v>0</v>
      </c>
      <c r="Z274" s="768">
        <f t="shared" si="173"/>
        <v>0</v>
      </c>
      <c r="AA274" s="768">
        <f t="shared" si="173"/>
        <v>0</v>
      </c>
      <c r="AB274" s="768">
        <f t="shared" si="173"/>
        <v>0</v>
      </c>
      <c r="AC274" s="906">
        <f t="shared" si="173"/>
        <v>0</v>
      </c>
    </row>
    <row r="275" spans="2:29" x14ac:dyDescent="0.25">
      <c r="B275" s="845"/>
      <c r="C275" s="846"/>
      <c r="D275" s="836"/>
      <c r="E275" s="822"/>
      <c r="F275" s="826"/>
      <c r="G275" s="769"/>
      <c r="H275" s="769"/>
      <c r="I275" s="769"/>
      <c r="J275" s="769"/>
      <c r="K275" s="769"/>
      <c r="L275" s="769"/>
      <c r="M275" s="769"/>
      <c r="N275" s="769"/>
      <c r="O275" s="769"/>
      <c r="P275" s="769"/>
      <c r="Q275" s="769"/>
      <c r="R275" s="769"/>
      <c r="S275" s="769"/>
      <c r="T275" s="769"/>
      <c r="U275" s="769"/>
      <c r="V275" s="769"/>
      <c r="W275" s="769"/>
      <c r="X275" s="769"/>
      <c r="Y275" s="769"/>
      <c r="Z275" s="769"/>
      <c r="AA275" s="769"/>
      <c r="AB275" s="769"/>
      <c r="AC275" s="907"/>
    </row>
    <row r="276" spans="2:29" x14ac:dyDescent="0.25">
      <c r="B276" s="831" t="s">
        <v>175</v>
      </c>
      <c r="C276" s="832"/>
      <c r="D276" s="837" t="b">
        <f>IF(ABS(E276 - C304) &lt; MAX(0.00001, E276 * 0.00001), TRUE, FALSE)</f>
        <v>1</v>
      </c>
      <c r="E276" s="855">
        <f>-SUM(F276:AC277)</f>
        <v>717391.30434782605</v>
      </c>
      <c r="F276" s="823">
        <f t="shared" ref="F276:AC276" si="174">$D$304*-F274</f>
        <v>0</v>
      </c>
      <c r="G276" s="770">
        <f t="shared" si="174"/>
        <v>0</v>
      </c>
      <c r="H276" s="770">
        <f t="shared" si="174"/>
        <v>0</v>
      </c>
      <c r="I276" s="770">
        <f t="shared" si="174"/>
        <v>0</v>
      </c>
      <c r="J276" s="770">
        <f t="shared" si="174"/>
        <v>-130434.78260869566</v>
      </c>
      <c r="K276" s="770">
        <f t="shared" si="174"/>
        <v>-130434.78260869566</v>
      </c>
      <c r="L276" s="770">
        <f t="shared" si="174"/>
        <v>-130434.78260869566</v>
      </c>
      <c r="M276" s="770">
        <f t="shared" si="174"/>
        <v>-130434.78260869566</v>
      </c>
      <c r="N276" s="770">
        <f t="shared" si="174"/>
        <v>-130434.78260869566</v>
      </c>
      <c r="O276" s="770">
        <f t="shared" si="174"/>
        <v>-65217.391304347831</v>
      </c>
      <c r="P276" s="770">
        <f t="shared" si="174"/>
        <v>0</v>
      </c>
      <c r="Q276" s="770">
        <f t="shared" si="174"/>
        <v>0</v>
      </c>
      <c r="R276" s="770">
        <f t="shared" si="174"/>
        <v>0</v>
      </c>
      <c r="S276" s="770">
        <f t="shared" si="174"/>
        <v>0</v>
      </c>
      <c r="T276" s="770">
        <f>$D$304*-T274</f>
        <v>0</v>
      </c>
      <c r="U276" s="770">
        <f t="shared" si="174"/>
        <v>0</v>
      </c>
      <c r="V276" s="770">
        <f t="shared" si="174"/>
        <v>0</v>
      </c>
      <c r="W276" s="770">
        <f t="shared" si="174"/>
        <v>0</v>
      </c>
      <c r="X276" s="770">
        <f t="shared" si="174"/>
        <v>0</v>
      </c>
      <c r="Y276" s="770">
        <f t="shared" si="174"/>
        <v>0</v>
      </c>
      <c r="Z276" s="770">
        <f t="shared" si="174"/>
        <v>0</v>
      </c>
      <c r="AA276" s="770">
        <f t="shared" si="174"/>
        <v>0</v>
      </c>
      <c r="AB276" s="770">
        <f t="shared" si="174"/>
        <v>0</v>
      </c>
      <c r="AC276" s="908">
        <f t="shared" si="174"/>
        <v>0</v>
      </c>
    </row>
    <row r="277" spans="2:29" x14ac:dyDescent="0.25">
      <c r="B277" s="839"/>
      <c r="C277" s="840"/>
      <c r="D277" s="838"/>
      <c r="E277" s="856"/>
      <c r="F277" s="824"/>
      <c r="G277" s="771"/>
      <c r="H277" s="771"/>
      <c r="I277" s="771"/>
      <c r="J277" s="771"/>
      <c r="K277" s="771"/>
      <c r="L277" s="771"/>
      <c r="M277" s="771"/>
      <c r="N277" s="771"/>
      <c r="O277" s="771"/>
      <c r="P277" s="771"/>
      <c r="Q277" s="771"/>
      <c r="R277" s="771"/>
      <c r="S277" s="771"/>
      <c r="T277" s="771"/>
      <c r="U277" s="771"/>
      <c r="V277" s="771"/>
      <c r="W277" s="771"/>
      <c r="X277" s="771"/>
      <c r="Y277" s="771"/>
      <c r="Z277" s="771"/>
      <c r="AA277" s="771"/>
      <c r="AB277" s="771"/>
      <c r="AC277" s="909"/>
    </row>
    <row r="278" spans="2:29" x14ac:dyDescent="0.25">
      <c r="B278" s="843" t="s">
        <v>283</v>
      </c>
      <c r="C278" s="844"/>
      <c r="D278" s="835" t="b">
        <f>IF(ABS(E278 - C305) &lt; MAX(0.00001, E278 * 0.00001), TRUE, FALSE)</f>
        <v>1</v>
      </c>
      <c r="E278" s="855">
        <f>-SUM(F278:AC279)</f>
        <v>478260.86956521746</v>
      </c>
      <c r="F278" s="825">
        <f t="shared" ref="F278:AC278" si="175">F274*-$D$305</f>
        <v>0</v>
      </c>
      <c r="G278" s="768">
        <f t="shared" si="175"/>
        <v>0</v>
      </c>
      <c r="H278" s="768">
        <f t="shared" si="175"/>
        <v>0</v>
      </c>
      <c r="I278" s="768">
        <f t="shared" si="175"/>
        <v>0</v>
      </c>
      <c r="J278" s="768">
        <f t="shared" si="175"/>
        <v>-86956.521739130447</v>
      </c>
      <c r="K278" s="768">
        <f t="shared" si="175"/>
        <v>-86956.521739130447</v>
      </c>
      <c r="L278" s="768">
        <f t="shared" si="175"/>
        <v>-86956.521739130447</v>
      </c>
      <c r="M278" s="768">
        <f t="shared" si="175"/>
        <v>-86956.521739130447</v>
      </c>
      <c r="N278" s="768">
        <f t="shared" si="175"/>
        <v>-86956.521739130447</v>
      </c>
      <c r="O278" s="768">
        <f t="shared" si="175"/>
        <v>-43478.260869565223</v>
      </c>
      <c r="P278" s="768">
        <f t="shared" si="175"/>
        <v>0</v>
      </c>
      <c r="Q278" s="768">
        <f t="shared" si="175"/>
        <v>0</v>
      </c>
      <c r="R278" s="768">
        <f t="shared" si="175"/>
        <v>0</v>
      </c>
      <c r="S278" s="768">
        <f t="shared" si="175"/>
        <v>0</v>
      </c>
      <c r="T278" s="768">
        <f>T274*-$D$305</f>
        <v>0</v>
      </c>
      <c r="U278" s="768">
        <f t="shared" si="175"/>
        <v>0</v>
      </c>
      <c r="V278" s="768">
        <f t="shared" si="175"/>
        <v>0</v>
      </c>
      <c r="W278" s="768">
        <f t="shared" si="175"/>
        <v>0</v>
      </c>
      <c r="X278" s="768">
        <f t="shared" si="175"/>
        <v>0</v>
      </c>
      <c r="Y278" s="768">
        <f t="shared" si="175"/>
        <v>0</v>
      </c>
      <c r="Z278" s="768">
        <f t="shared" si="175"/>
        <v>0</v>
      </c>
      <c r="AA278" s="768">
        <f t="shared" si="175"/>
        <v>0</v>
      </c>
      <c r="AB278" s="768">
        <f t="shared" si="175"/>
        <v>0</v>
      </c>
      <c r="AC278" s="906">
        <f t="shared" si="175"/>
        <v>0</v>
      </c>
    </row>
    <row r="279" spans="2:29" x14ac:dyDescent="0.25">
      <c r="B279" s="845"/>
      <c r="C279" s="846"/>
      <c r="D279" s="836"/>
      <c r="E279" s="856"/>
      <c r="F279" s="826"/>
      <c r="G279" s="769"/>
      <c r="H279" s="769"/>
      <c r="I279" s="769"/>
      <c r="J279" s="769"/>
      <c r="K279" s="769"/>
      <c r="L279" s="769"/>
      <c r="M279" s="769"/>
      <c r="N279" s="769"/>
      <c r="O279" s="769"/>
      <c r="P279" s="769"/>
      <c r="Q279" s="769"/>
      <c r="R279" s="769"/>
      <c r="S279" s="769"/>
      <c r="T279" s="769"/>
      <c r="U279" s="769"/>
      <c r="V279" s="769"/>
      <c r="W279" s="769"/>
      <c r="X279" s="769"/>
      <c r="Y279" s="769"/>
      <c r="Z279" s="769"/>
      <c r="AA279" s="769"/>
      <c r="AB279" s="769"/>
      <c r="AC279" s="907"/>
    </row>
    <row r="280" spans="2:29" x14ac:dyDescent="0.25">
      <c r="B280" s="831" t="s">
        <v>282</v>
      </c>
      <c r="C280" s="832"/>
      <c r="D280" s="837" t="b">
        <f>IF(ABS(E280 - C306) &lt; MAX(0.00001, E280 * 0.00001), TRUE, FALSE)</f>
        <v>1</v>
      </c>
      <c r="E280" s="855">
        <f>-SUM(F280:AC281)</f>
        <v>143478.26086956525</v>
      </c>
      <c r="F280" s="823">
        <f t="shared" ref="F280:AC280" si="176">F274*-$D$306</f>
        <v>0</v>
      </c>
      <c r="G280" s="770">
        <f t="shared" si="176"/>
        <v>0</v>
      </c>
      <c r="H280" s="770">
        <f t="shared" si="176"/>
        <v>0</v>
      </c>
      <c r="I280" s="770">
        <f t="shared" si="176"/>
        <v>0</v>
      </c>
      <c r="J280" s="770">
        <f t="shared" si="176"/>
        <v>-26086.956521739135</v>
      </c>
      <c r="K280" s="770">
        <f t="shared" si="176"/>
        <v>-26086.956521739135</v>
      </c>
      <c r="L280" s="770">
        <f t="shared" si="176"/>
        <v>-26086.956521739135</v>
      </c>
      <c r="M280" s="770">
        <f t="shared" si="176"/>
        <v>-26086.956521739135</v>
      </c>
      <c r="N280" s="770">
        <f t="shared" si="176"/>
        <v>-26086.956521739135</v>
      </c>
      <c r="O280" s="770">
        <f t="shared" si="176"/>
        <v>-13043.478260869568</v>
      </c>
      <c r="P280" s="770">
        <f t="shared" si="176"/>
        <v>0</v>
      </c>
      <c r="Q280" s="770">
        <f t="shared" si="176"/>
        <v>0</v>
      </c>
      <c r="R280" s="770">
        <f t="shared" si="176"/>
        <v>0</v>
      </c>
      <c r="S280" s="770">
        <f t="shared" si="176"/>
        <v>0</v>
      </c>
      <c r="T280" s="770">
        <f>T274*-$D$306</f>
        <v>0</v>
      </c>
      <c r="U280" s="770">
        <f t="shared" si="176"/>
        <v>0</v>
      </c>
      <c r="V280" s="770">
        <f t="shared" si="176"/>
        <v>0</v>
      </c>
      <c r="W280" s="770">
        <f t="shared" si="176"/>
        <v>0</v>
      </c>
      <c r="X280" s="770">
        <f t="shared" si="176"/>
        <v>0</v>
      </c>
      <c r="Y280" s="770">
        <f t="shared" si="176"/>
        <v>0</v>
      </c>
      <c r="Z280" s="770">
        <f t="shared" si="176"/>
        <v>0</v>
      </c>
      <c r="AA280" s="770">
        <f t="shared" si="176"/>
        <v>0</v>
      </c>
      <c r="AB280" s="770">
        <f t="shared" si="176"/>
        <v>0</v>
      </c>
      <c r="AC280" s="908">
        <f t="shared" si="176"/>
        <v>0</v>
      </c>
    </row>
    <row r="281" spans="2:29" x14ac:dyDescent="0.25">
      <c r="B281" s="839"/>
      <c r="C281" s="840"/>
      <c r="D281" s="838"/>
      <c r="E281" s="856"/>
      <c r="F281" s="824"/>
      <c r="G281" s="771"/>
      <c r="H281" s="771"/>
      <c r="I281" s="771"/>
      <c r="J281" s="771"/>
      <c r="K281" s="771"/>
      <c r="L281" s="771"/>
      <c r="M281" s="771"/>
      <c r="N281" s="771"/>
      <c r="O281" s="771"/>
      <c r="P281" s="771"/>
      <c r="Q281" s="771"/>
      <c r="R281" s="771"/>
      <c r="S281" s="771"/>
      <c r="T281" s="771"/>
      <c r="U281" s="771"/>
      <c r="V281" s="771"/>
      <c r="W281" s="771"/>
      <c r="X281" s="771"/>
      <c r="Y281" s="771"/>
      <c r="Z281" s="771"/>
      <c r="AA281" s="771"/>
      <c r="AB281" s="771"/>
      <c r="AC281" s="909"/>
    </row>
    <row r="282" spans="2:29" x14ac:dyDescent="0.25">
      <c r="B282" s="843" t="s">
        <v>197</v>
      </c>
      <c r="C282" s="844"/>
      <c r="D282" s="835" t="b">
        <f>IF(ABS(E282 - C307) &lt; MAX(0.00001, E282 * 0.00001), TRUE, FALSE)</f>
        <v>1</v>
      </c>
      <c r="E282" s="853">
        <f>-SUM(F282:AC283)</f>
        <v>0</v>
      </c>
      <c r="F282" s="825">
        <f t="shared" ref="F282:AC282" si="177">$D$307*-F274</f>
        <v>0</v>
      </c>
      <c r="G282" s="768">
        <f>$D$307*-G274</f>
        <v>0</v>
      </c>
      <c r="H282" s="768">
        <f t="shared" si="177"/>
        <v>0</v>
      </c>
      <c r="I282" s="768">
        <f t="shared" si="177"/>
        <v>0</v>
      </c>
      <c r="J282" s="768">
        <f t="shared" si="177"/>
        <v>0</v>
      </c>
      <c r="K282" s="768">
        <f t="shared" si="177"/>
        <v>0</v>
      </c>
      <c r="L282" s="768">
        <f t="shared" si="177"/>
        <v>0</v>
      </c>
      <c r="M282" s="768">
        <f t="shared" si="177"/>
        <v>0</v>
      </c>
      <c r="N282" s="768">
        <f t="shared" si="177"/>
        <v>0</v>
      </c>
      <c r="O282" s="768">
        <f t="shared" si="177"/>
        <v>0</v>
      </c>
      <c r="P282" s="768">
        <f t="shared" si="177"/>
        <v>0</v>
      </c>
      <c r="Q282" s="768">
        <f t="shared" si="177"/>
        <v>0</v>
      </c>
      <c r="R282" s="768">
        <f t="shared" si="177"/>
        <v>0</v>
      </c>
      <c r="S282" s="768">
        <f t="shared" si="177"/>
        <v>0</v>
      </c>
      <c r="T282" s="768">
        <f>$D$307*-T274</f>
        <v>0</v>
      </c>
      <c r="U282" s="768">
        <f t="shared" si="177"/>
        <v>0</v>
      </c>
      <c r="V282" s="768">
        <f t="shared" si="177"/>
        <v>0</v>
      </c>
      <c r="W282" s="768">
        <f t="shared" si="177"/>
        <v>0</v>
      </c>
      <c r="X282" s="768">
        <f t="shared" si="177"/>
        <v>0</v>
      </c>
      <c r="Y282" s="768">
        <f t="shared" si="177"/>
        <v>0</v>
      </c>
      <c r="Z282" s="768">
        <f t="shared" si="177"/>
        <v>0</v>
      </c>
      <c r="AA282" s="768">
        <f t="shared" si="177"/>
        <v>0</v>
      </c>
      <c r="AB282" s="768">
        <f t="shared" si="177"/>
        <v>0</v>
      </c>
      <c r="AC282" s="906">
        <f t="shared" si="177"/>
        <v>0</v>
      </c>
    </row>
    <row r="283" spans="2:29" x14ac:dyDescent="0.25">
      <c r="B283" s="845"/>
      <c r="C283" s="846"/>
      <c r="D283" s="836"/>
      <c r="E283" s="854"/>
      <c r="F283" s="826"/>
      <c r="G283" s="769"/>
      <c r="H283" s="769"/>
      <c r="I283" s="769"/>
      <c r="J283" s="769"/>
      <c r="K283" s="769"/>
      <c r="L283" s="769"/>
      <c r="M283" s="769"/>
      <c r="N283" s="769"/>
      <c r="O283" s="769"/>
      <c r="P283" s="769"/>
      <c r="Q283" s="769"/>
      <c r="R283" s="769"/>
      <c r="S283" s="769"/>
      <c r="T283" s="769"/>
      <c r="U283" s="769"/>
      <c r="V283" s="769"/>
      <c r="W283" s="769"/>
      <c r="X283" s="769"/>
      <c r="Y283" s="769"/>
      <c r="Z283" s="769"/>
      <c r="AA283" s="769"/>
      <c r="AB283" s="769"/>
      <c r="AC283" s="907"/>
    </row>
    <row r="284" spans="2:29" x14ac:dyDescent="0.25">
      <c r="B284" s="849" t="s">
        <v>292</v>
      </c>
      <c r="C284" s="850"/>
      <c r="D284" s="837" t="b">
        <f>IF(ABS(C308 - -E284) &lt; MAX(0.00001, C308 * 0.00001), TRUE, FALSE)</f>
        <v>1</v>
      </c>
      <c r="E284" s="821">
        <f>SUM(F284:AC285)</f>
        <v>-7173913.0434782626</v>
      </c>
      <c r="F284" s="823">
        <f t="shared" ref="F284:AC284" si="178">-F274*$D$308</f>
        <v>0</v>
      </c>
      <c r="G284" s="770">
        <f>-G274*$D$308</f>
        <v>0</v>
      </c>
      <c r="H284" s="770">
        <f t="shared" si="178"/>
        <v>0</v>
      </c>
      <c r="I284" s="770">
        <f t="shared" si="178"/>
        <v>0</v>
      </c>
      <c r="J284" s="770">
        <f t="shared" si="178"/>
        <v>-1304347.8260869568</v>
      </c>
      <c r="K284" s="770">
        <f t="shared" si="178"/>
        <v>-1304347.8260869568</v>
      </c>
      <c r="L284" s="770">
        <f t="shared" si="178"/>
        <v>-1304347.8260869568</v>
      </c>
      <c r="M284" s="770">
        <f t="shared" si="178"/>
        <v>-1304347.8260869568</v>
      </c>
      <c r="N284" s="770">
        <f t="shared" si="178"/>
        <v>-1304347.8260869568</v>
      </c>
      <c r="O284" s="770">
        <f t="shared" si="178"/>
        <v>-652173.91304347839</v>
      </c>
      <c r="P284" s="770">
        <f t="shared" si="178"/>
        <v>0</v>
      </c>
      <c r="Q284" s="770">
        <f t="shared" si="178"/>
        <v>0</v>
      </c>
      <c r="R284" s="770">
        <f t="shared" si="178"/>
        <v>0</v>
      </c>
      <c r="S284" s="770">
        <f t="shared" si="178"/>
        <v>0</v>
      </c>
      <c r="T284" s="770">
        <f>-T274*$D$308</f>
        <v>0</v>
      </c>
      <c r="U284" s="770">
        <f t="shared" si="178"/>
        <v>0</v>
      </c>
      <c r="V284" s="770">
        <f t="shared" si="178"/>
        <v>0</v>
      </c>
      <c r="W284" s="770">
        <f t="shared" si="178"/>
        <v>0</v>
      </c>
      <c r="X284" s="770">
        <f t="shared" si="178"/>
        <v>0</v>
      </c>
      <c r="Y284" s="770">
        <f t="shared" si="178"/>
        <v>0</v>
      </c>
      <c r="Z284" s="770">
        <f t="shared" si="178"/>
        <v>0</v>
      </c>
      <c r="AA284" s="770">
        <f t="shared" si="178"/>
        <v>0</v>
      </c>
      <c r="AB284" s="770">
        <f t="shared" si="178"/>
        <v>0</v>
      </c>
      <c r="AC284" s="908">
        <f t="shared" si="178"/>
        <v>0</v>
      </c>
    </row>
    <row r="285" spans="2:29" x14ac:dyDescent="0.25">
      <c r="B285" s="851"/>
      <c r="C285" s="852"/>
      <c r="D285" s="838"/>
      <c r="E285" s="822"/>
      <c r="F285" s="824"/>
      <c r="G285" s="771"/>
      <c r="H285" s="771"/>
      <c r="I285" s="771"/>
      <c r="J285" s="771"/>
      <c r="K285" s="771"/>
      <c r="L285" s="771"/>
      <c r="M285" s="771"/>
      <c r="N285" s="771"/>
      <c r="O285" s="771"/>
      <c r="P285" s="771"/>
      <c r="Q285" s="771"/>
      <c r="R285" s="771"/>
      <c r="S285" s="771"/>
      <c r="T285" s="771"/>
      <c r="U285" s="771"/>
      <c r="V285" s="771"/>
      <c r="W285" s="771"/>
      <c r="X285" s="771"/>
      <c r="Y285" s="771"/>
      <c r="Z285" s="771"/>
      <c r="AA285" s="771"/>
      <c r="AB285" s="771"/>
      <c r="AC285" s="909"/>
    </row>
    <row r="286" spans="2:29" x14ac:dyDescent="0.25">
      <c r="B286" s="827" t="s">
        <v>198</v>
      </c>
      <c r="C286" s="828"/>
      <c r="D286" s="835" t="b">
        <f>IF(ABS(E286 - (C301-C308)) &lt; MAX(0.00001, E286 * 0.00001), TRUE, FALSE)</f>
        <v>1</v>
      </c>
      <c r="E286" s="821">
        <f>SUM(F286:AC287)</f>
        <v>39313043.478260875</v>
      </c>
      <c r="F286" s="825">
        <f>F274+SUM(F276:F285)</f>
        <v>0</v>
      </c>
      <c r="G286" s="768">
        <f>G274+SUM(G276:G285)</f>
        <v>0</v>
      </c>
      <c r="H286" s="768">
        <f t="shared" ref="H286:AC286" si="179">H274+SUM(H276:H285)</f>
        <v>0</v>
      </c>
      <c r="I286" s="768">
        <f t="shared" si="179"/>
        <v>0</v>
      </c>
      <c r="J286" s="768">
        <f t="shared" si="179"/>
        <v>7147826.0869565234</v>
      </c>
      <c r="K286" s="768">
        <f t="shared" si="179"/>
        <v>7147826.0869565234</v>
      </c>
      <c r="L286" s="768">
        <f t="shared" si="179"/>
        <v>7147826.0869565234</v>
      </c>
      <c r="M286" s="768">
        <f t="shared" si="179"/>
        <v>7147826.0869565234</v>
      </c>
      <c r="N286" s="768">
        <f t="shared" si="179"/>
        <v>7147826.0869565234</v>
      </c>
      <c r="O286" s="768">
        <f t="shared" si="179"/>
        <v>3573913.0434782617</v>
      </c>
      <c r="P286" s="768">
        <f t="shared" si="179"/>
        <v>0</v>
      </c>
      <c r="Q286" s="768">
        <f t="shared" si="179"/>
        <v>0</v>
      </c>
      <c r="R286" s="768">
        <f t="shared" si="179"/>
        <v>0</v>
      </c>
      <c r="S286" s="768">
        <f t="shared" si="179"/>
        <v>0</v>
      </c>
      <c r="T286" s="768">
        <f>T274+SUM(T276:T285)</f>
        <v>0</v>
      </c>
      <c r="U286" s="768">
        <f t="shared" si="179"/>
        <v>0</v>
      </c>
      <c r="V286" s="768">
        <f t="shared" si="179"/>
        <v>0</v>
      </c>
      <c r="W286" s="768">
        <f t="shared" si="179"/>
        <v>0</v>
      </c>
      <c r="X286" s="768">
        <f t="shared" si="179"/>
        <v>0</v>
      </c>
      <c r="Y286" s="768">
        <f t="shared" si="179"/>
        <v>0</v>
      </c>
      <c r="Z286" s="768">
        <f t="shared" si="179"/>
        <v>0</v>
      </c>
      <c r="AA286" s="768">
        <f t="shared" si="179"/>
        <v>0</v>
      </c>
      <c r="AB286" s="768">
        <f t="shared" si="179"/>
        <v>0</v>
      </c>
      <c r="AC286" s="906">
        <f t="shared" si="179"/>
        <v>0</v>
      </c>
    </row>
    <row r="287" spans="2:29" x14ac:dyDescent="0.25">
      <c r="B287" s="829"/>
      <c r="C287" s="830"/>
      <c r="D287" s="836"/>
      <c r="E287" s="822"/>
      <c r="F287" s="826"/>
      <c r="G287" s="769"/>
      <c r="H287" s="769"/>
      <c r="I287" s="769"/>
      <c r="J287" s="769"/>
      <c r="K287" s="769"/>
      <c r="L287" s="769"/>
      <c r="M287" s="769"/>
      <c r="N287" s="769"/>
      <c r="O287" s="769"/>
      <c r="P287" s="769"/>
      <c r="Q287" s="769"/>
      <c r="R287" s="769"/>
      <c r="S287" s="769"/>
      <c r="T287" s="769"/>
      <c r="U287" s="769"/>
      <c r="V287" s="769"/>
      <c r="W287" s="769"/>
      <c r="X287" s="769"/>
      <c r="Y287" s="769"/>
      <c r="Z287" s="769"/>
      <c r="AA287" s="769"/>
      <c r="AB287" s="769"/>
      <c r="AC287" s="907"/>
    </row>
    <row r="288" spans="2:29" x14ac:dyDescent="0.25">
      <c r="B288" s="831" t="s">
        <v>199</v>
      </c>
      <c r="C288" s="832"/>
      <c r="D288" s="837" t="b">
        <f>B261=B261</f>
        <v>1</v>
      </c>
      <c r="E288" s="821" t="s">
        <v>67</v>
      </c>
      <c r="F288" s="823">
        <f>F286</f>
        <v>0</v>
      </c>
      <c r="G288" s="770">
        <f>MAX((G286+F288)-F290, 0)</f>
        <v>0</v>
      </c>
      <c r="H288" s="770">
        <f t="shared" ref="H288:AC288" si="180">MAX((H286+G288)-G290, 0)</f>
        <v>0</v>
      </c>
      <c r="I288" s="770">
        <f t="shared" si="180"/>
        <v>0</v>
      </c>
      <c r="J288" s="770">
        <f t="shared" si="180"/>
        <v>7147826.0869565234</v>
      </c>
      <c r="K288" s="770">
        <f t="shared" si="180"/>
        <v>14295652.173913047</v>
      </c>
      <c r="L288" s="770">
        <f t="shared" si="180"/>
        <v>20442782.608695656</v>
      </c>
      <c r="M288" s="770">
        <f>MAX((M286+L288)-L290, 0)</f>
        <v>24728619.130434789</v>
      </c>
      <c r="N288" s="770">
        <f t="shared" si="180"/>
        <v>26683435.200000007</v>
      </c>
      <c r="O288" s="770">
        <f t="shared" si="180"/>
        <v>21184980.275478266</v>
      </c>
      <c r="P288" s="770">
        <f t="shared" si="180"/>
        <v>11228039.546003481</v>
      </c>
      <c r="Q288" s="770">
        <f t="shared" si="180"/>
        <v>4491215.8184013916</v>
      </c>
      <c r="R288" s="770">
        <f t="shared" si="180"/>
        <v>1257540.4291523891</v>
      </c>
      <c r="S288" s="770">
        <f t="shared" si="180"/>
        <v>264083.49012200162</v>
      </c>
      <c r="T288" s="770">
        <f>MAX((T286+S288)-S290, 0)</f>
        <v>36971.688617080188</v>
      </c>
      <c r="U288" s="770">
        <f t="shared" si="180"/>
        <v>2588.0182031956065</v>
      </c>
      <c r="V288" s="770">
        <f t="shared" si="180"/>
        <v>0</v>
      </c>
      <c r="W288" s="770">
        <f t="shared" si="180"/>
        <v>0</v>
      </c>
      <c r="X288" s="770">
        <f t="shared" si="180"/>
        <v>0</v>
      </c>
      <c r="Y288" s="770">
        <f t="shared" si="180"/>
        <v>0</v>
      </c>
      <c r="Z288" s="770">
        <f t="shared" si="180"/>
        <v>0</v>
      </c>
      <c r="AA288" s="770">
        <f t="shared" si="180"/>
        <v>0</v>
      </c>
      <c r="AB288" s="770">
        <f t="shared" si="180"/>
        <v>0</v>
      </c>
      <c r="AC288" s="908">
        <f t="shared" si="180"/>
        <v>0</v>
      </c>
    </row>
    <row r="289" spans="2:29" x14ac:dyDescent="0.25">
      <c r="B289" s="839"/>
      <c r="C289" s="840"/>
      <c r="D289" s="838"/>
      <c r="E289" s="822"/>
      <c r="F289" s="824"/>
      <c r="G289" s="771"/>
      <c r="H289" s="771"/>
      <c r="I289" s="771"/>
      <c r="J289" s="771"/>
      <c r="K289" s="771"/>
      <c r="L289" s="771"/>
      <c r="M289" s="771"/>
      <c r="N289" s="771"/>
      <c r="O289" s="771"/>
      <c r="P289" s="771"/>
      <c r="Q289" s="771"/>
      <c r="R289" s="771"/>
      <c r="S289" s="771"/>
      <c r="T289" s="771"/>
      <c r="U289" s="771"/>
      <c r="V289" s="771"/>
      <c r="W289" s="771"/>
      <c r="X289" s="771"/>
      <c r="Y289" s="771"/>
      <c r="Z289" s="771"/>
      <c r="AA289" s="771"/>
      <c r="AB289" s="771"/>
      <c r="AC289" s="909"/>
    </row>
    <row r="290" spans="2:29" x14ac:dyDescent="0.25">
      <c r="B290" s="843" t="s">
        <v>200</v>
      </c>
      <c r="C290" s="844"/>
      <c r="D290" s="835" t="b">
        <f>IF(ABS(E290 - C300) &lt; MAX(0.00001, E290 * 0.00001), TRUE, FALSE)</f>
        <v>1</v>
      </c>
      <c r="E290" s="821">
        <f>SUM(F290:AC291)</f>
        <v>39313043.478260882</v>
      </c>
      <c r="F290" s="825">
        <f>MAX(((F288*F272)), 0)</f>
        <v>0</v>
      </c>
      <c r="G290" s="768">
        <f>MAX(((G288*G272)), 0)</f>
        <v>0</v>
      </c>
      <c r="H290" s="768">
        <f>MAX(((H288*H272)), 0)</f>
        <v>0</v>
      </c>
      <c r="I290" s="768">
        <f t="shared" ref="I290" si="181">MAX(((I288*I272)), 0)</f>
        <v>0</v>
      </c>
      <c r="J290" s="768">
        <f>MAX(((J288*J272)), 0)</f>
        <v>0</v>
      </c>
      <c r="K290" s="768">
        <f t="shared" ref="K290:AC290" si="182">MAX(((K288*K272)), 0)</f>
        <v>1000695.6521739133</v>
      </c>
      <c r="L290" s="768">
        <f t="shared" si="182"/>
        <v>2861989.5652173921</v>
      </c>
      <c r="M290" s="768">
        <f t="shared" si="182"/>
        <v>5193010.0173913063</v>
      </c>
      <c r="N290" s="768">
        <f t="shared" si="182"/>
        <v>9072367.9680000022</v>
      </c>
      <c r="O290" s="768">
        <f t="shared" si="182"/>
        <v>9956940.7294747848</v>
      </c>
      <c r="P290" s="768">
        <f t="shared" si="182"/>
        <v>6736823.7276020898</v>
      </c>
      <c r="Q290" s="768">
        <f t="shared" si="182"/>
        <v>3233675.3892490026</v>
      </c>
      <c r="R290" s="768">
        <f t="shared" si="182"/>
        <v>993456.93903038744</v>
      </c>
      <c r="S290" s="768">
        <f t="shared" si="182"/>
        <v>227111.80150492143</v>
      </c>
      <c r="T290" s="768">
        <f>MAX(((T288*T272)), 0)</f>
        <v>34383.670413884582</v>
      </c>
      <c r="U290" s="768">
        <f>MAX(((U288*U272)), 0)</f>
        <v>2588.0182031956069</v>
      </c>
      <c r="V290" s="768">
        <f t="shared" si="182"/>
        <v>0</v>
      </c>
      <c r="W290" s="768">
        <f t="shared" si="182"/>
        <v>0</v>
      </c>
      <c r="X290" s="768">
        <f t="shared" si="182"/>
        <v>0</v>
      </c>
      <c r="Y290" s="768">
        <f t="shared" si="182"/>
        <v>0</v>
      </c>
      <c r="Z290" s="768">
        <f t="shared" si="182"/>
        <v>0</v>
      </c>
      <c r="AA290" s="768">
        <f t="shared" si="182"/>
        <v>0</v>
      </c>
      <c r="AB290" s="768">
        <f t="shared" si="182"/>
        <v>0</v>
      </c>
      <c r="AC290" s="906">
        <f t="shared" si="182"/>
        <v>0</v>
      </c>
    </row>
    <row r="291" spans="2:29" x14ac:dyDescent="0.25">
      <c r="B291" s="845"/>
      <c r="C291" s="846"/>
      <c r="D291" s="836"/>
      <c r="E291" s="822"/>
      <c r="F291" s="826"/>
      <c r="G291" s="769"/>
      <c r="H291" s="769"/>
      <c r="I291" s="769"/>
      <c r="J291" s="769"/>
      <c r="K291" s="769"/>
      <c r="L291" s="769"/>
      <c r="M291" s="769"/>
      <c r="N291" s="769"/>
      <c r="O291" s="769"/>
      <c r="P291" s="769"/>
      <c r="Q291" s="769"/>
      <c r="R291" s="769"/>
      <c r="S291" s="769"/>
      <c r="T291" s="769"/>
      <c r="U291" s="769"/>
      <c r="V291" s="769"/>
      <c r="W291" s="769"/>
      <c r="X291" s="769"/>
      <c r="Y291" s="769"/>
      <c r="Z291" s="769"/>
      <c r="AA291" s="769"/>
      <c r="AB291" s="769"/>
      <c r="AC291" s="907"/>
    </row>
    <row r="292" spans="2:29" x14ac:dyDescent="0.25">
      <c r="B292" s="831" t="s">
        <v>294</v>
      </c>
      <c r="C292" s="832"/>
      <c r="D292" s="837" t="b">
        <f>IF(ABS(E292 - C301) &lt; MAX(0.00001, E292 * 0.00001), TRUE, FALSE)</f>
        <v>1</v>
      </c>
      <c r="E292" s="821">
        <f>SUM(F292:AC293)</f>
        <v>46486956.521739148</v>
      </c>
      <c r="F292" s="847">
        <f>-F284+F290</f>
        <v>0</v>
      </c>
      <c r="G292" s="766">
        <f>-G284+G290</f>
        <v>0</v>
      </c>
      <c r="H292" s="766">
        <f t="shared" ref="H292:K292" si="183">-H284+H290</f>
        <v>0</v>
      </c>
      <c r="I292" s="766">
        <f>-I284+I290</f>
        <v>0</v>
      </c>
      <c r="J292" s="766">
        <f t="shared" si="183"/>
        <v>1304347.8260869568</v>
      </c>
      <c r="K292" s="766">
        <f t="shared" si="183"/>
        <v>2305043.4782608701</v>
      </c>
      <c r="L292" s="766">
        <f t="shared" ref="L292:AC292" si="184">-L284+L290</f>
        <v>4166337.3913043486</v>
      </c>
      <c r="M292" s="766">
        <f t="shared" si="184"/>
        <v>6497357.8434782634</v>
      </c>
      <c r="N292" s="766">
        <f t="shared" si="184"/>
        <v>10376715.794086959</v>
      </c>
      <c r="O292" s="766">
        <f t="shared" si="184"/>
        <v>10609114.642518263</v>
      </c>
      <c r="P292" s="766">
        <f t="shared" si="184"/>
        <v>6736823.7276020898</v>
      </c>
      <c r="Q292" s="766">
        <f t="shared" si="184"/>
        <v>3233675.3892490026</v>
      </c>
      <c r="R292" s="766">
        <f t="shared" si="184"/>
        <v>993456.93903038744</v>
      </c>
      <c r="S292" s="766">
        <f t="shared" si="184"/>
        <v>227111.80150492143</v>
      </c>
      <c r="T292" s="766">
        <f>-T284+T290</f>
        <v>34383.670413884582</v>
      </c>
      <c r="U292" s="766">
        <f>-U284+U290</f>
        <v>2588.0182031956069</v>
      </c>
      <c r="V292" s="766">
        <f t="shared" si="184"/>
        <v>0</v>
      </c>
      <c r="W292" s="766">
        <f t="shared" si="184"/>
        <v>0</v>
      </c>
      <c r="X292" s="766">
        <f t="shared" si="184"/>
        <v>0</v>
      </c>
      <c r="Y292" s="766">
        <f t="shared" si="184"/>
        <v>0</v>
      </c>
      <c r="Z292" s="766">
        <f t="shared" si="184"/>
        <v>0</v>
      </c>
      <c r="AA292" s="766">
        <f t="shared" si="184"/>
        <v>0</v>
      </c>
      <c r="AB292" s="766">
        <f t="shared" si="184"/>
        <v>0</v>
      </c>
      <c r="AC292" s="819">
        <f t="shared" si="184"/>
        <v>0</v>
      </c>
    </row>
    <row r="293" spans="2:29" ht="12" thickBot="1" x14ac:dyDescent="0.3">
      <c r="B293" s="833"/>
      <c r="C293" s="834"/>
      <c r="D293" s="841"/>
      <c r="E293" s="842"/>
      <c r="F293" s="848"/>
      <c r="G293" s="767"/>
      <c r="H293" s="767"/>
      <c r="I293" s="767"/>
      <c r="J293" s="767"/>
      <c r="K293" s="767"/>
      <c r="L293" s="767"/>
      <c r="M293" s="767"/>
      <c r="N293" s="767"/>
      <c r="O293" s="767"/>
      <c r="P293" s="767"/>
      <c r="Q293" s="767"/>
      <c r="R293" s="767"/>
      <c r="S293" s="767"/>
      <c r="T293" s="767"/>
      <c r="U293" s="767"/>
      <c r="V293" s="767"/>
      <c r="W293" s="767"/>
      <c r="X293" s="767"/>
      <c r="Y293" s="767"/>
      <c r="Z293" s="767"/>
      <c r="AA293" s="767"/>
      <c r="AB293" s="767"/>
      <c r="AC293" s="820"/>
    </row>
    <row r="294" spans="2:29" x14ac:dyDescent="0.25">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row>
    <row r="295" spans="2:29" x14ac:dyDescent="0.25">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row>
    <row r="296" spans="2:29" ht="12" thickBot="1" x14ac:dyDescent="0.3">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row>
    <row r="297" spans="2:29" x14ac:dyDescent="0.25">
      <c r="B297" s="761" t="s">
        <v>201</v>
      </c>
      <c r="C297" s="762"/>
      <c r="E297" s="172"/>
      <c r="F297" s="172"/>
      <c r="G297" s="172"/>
      <c r="H297" s="172"/>
      <c r="L297" s="172"/>
      <c r="M297" s="172"/>
      <c r="N297" s="172"/>
      <c r="O297" s="172"/>
      <c r="P297" s="172"/>
      <c r="Q297" s="172"/>
      <c r="R297" s="172"/>
      <c r="S297" s="172"/>
      <c r="T297" s="172"/>
      <c r="U297" s="172"/>
      <c r="V297" s="172"/>
      <c r="W297" s="172"/>
      <c r="X297" s="172"/>
    </row>
    <row r="298" spans="2:29" x14ac:dyDescent="0.25">
      <c r="B298" s="763"/>
      <c r="C298" s="764"/>
      <c r="D298" s="172"/>
    </row>
    <row r="299" spans="2:29" ht="22.5" x14ac:dyDescent="0.25">
      <c r="B299" s="302" t="s">
        <v>281</v>
      </c>
      <c r="C299" s="669">
        <f>C302*C303</f>
        <v>47826086.956521749</v>
      </c>
    </row>
    <row r="300" spans="2:29" ht="22.5" x14ac:dyDescent="0.25">
      <c r="B300" s="297" t="s">
        <v>200</v>
      </c>
      <c r="C300" s="670">
        <f>C299-C304-C305-C306-C307-C308</f>
        <v>39313043.478260875</v>
      </c>
    </row>
    <row r="301" spans="2:29" ht="22.5" x14ac:dyDescent="0.25">
      <c r="B301" s="302" t="s">
        <v>294</v>
      </c>
      <c r="C301" s="669">
        <f>C299-(SUM(C304:C307))</f>
        <v>46486956.52173914</v>
      </c>
      <c r="G301" s="171"/>
    </row>
    <row r="302" spans="2:29" ht="22.5" x14ac:dyDescent="0.25">
      <c r="B302" s="297" t="s">
        <v>202</v>
      </c>
      <c r="C302" s="670">
        <f>R135</f>
        <v>11</v>
      </c>
    </row>
    <row r="303" spans="2:29" ht="23.25" thickBot="1" x14ac:dyDescent="0.3">
      <c r="B303" s="302" t="s">
        <v>203</v>
      </c>
      <c r="C303" s="669">
        <f>Y135/R135</f>
        <v>4347826.0869565224</v>
      </c>
      <c r="D303" s="171"/>
      <c r="N303" s="264"/>
    </row>
    <row r="304" spans="2:29" ht="22.5" x14ac:dyDescent="0.25">
      <c r="B304" s="297" t="s">
        <v>204</v>
      </c>
      <c r="C304" s="220">
        <f>C299*D304</f>
        <v>717391.30434782617</v>
      </c>
      <c r="D304" s="332">
        <v>1.4999999999999999E-2</v>
      </c>
      <c r="N304" s="171"/>
    </row>
    <row r="305" spans="1:29" ht="22.5" x14ac:dyDescent="0.25">
      <c r="B305" s="302" t="s">
        <v>283</v>
      </c>
      <c r="C305" s="413">
        <f>D305*C299</f>
        <v>478260.86956521752</v>
      </c>
      <c r="D305" s="333">
        <v>0.01</v>
      </c>
      <c r="N305" s="171"/>
    </row>
    <row r="306" spans="1:29" ht="22.5" x14ac:dyDescent="0.25">
      <c r="B306" s="297" t="s">
        <v>282</v>
      </c>
      <c r="C306" s="220">
        <f>D306*C299</f>
        <v>143478.26086956525</v>
      </c>
      <c r="D306" s="333">
        <v>3.0000000000000001E-3</v>
      </c>
    </row>
    <row r="307" spans="1:29" ht="22.5" x14ac:dyDescent="0.25">
      <c r="A307" s="172"/>
      <c r="B307" s="302" t="s">
        <v>197</v>
      </c>
      <c r="C307" s="413">
        <f>C299*D307</f>
        <v>0</v>
      </c>
      <c r="D307" s="333">
        <v>0</v>
      </c>
    </row>
    <row r="308" spans="1:29" ht="22.5" x14ac:dyDescent="0.25">
      <c r="A308" s="172"/>
      <c r="B308" s="297" t="s">
        <v>292</v>
      </c>
      <c r="C308" s="670">
        <f>D308*C299</f>
        <v>7173913.0434782626</v>
      </c>
      <c r="D308" s="334">
        <v>0.15</v>
      </c>
    </row>
    <row r="309" spans="1:29" ht="23.25" thickBot="1" x14ac:dyDescent="0.3">
      <c r="A309" s="172"/>
      <c r="B309" s="335" t="s">
        <v>274</v>
      </c>
      <c r="C309" s="102">
        <f>C299-(SUM(C304:C306))</f>
        <v>46486956.52173914</v>
      </c>
      <c r="D309" s="336" t="b">
        <f>C309=E274-SUM(E276:E281)</f>
        <v>1</v>
      </c>
    </row>
    <row r="310" spans="1:29" x14ac:dyDescent="0.25">
      <c r="A310" s="172"/>
    </row>
    <row r="311" spans="1:29" x14ac:dyDescent="0.25">
      <c r="A311" s="172"/>
    </row>
    <row r="312" spans="1:29" x14ac:dyDescent="0.25">
      <c r="A312" s="172"/>
    </row>
    <row r="313" spans="1:29" x14ac:dyDescent="0.25">
      <c r="A313" s="172"/>
    </row>
    <row r="314" spans="1:29" x14ac:dyDescent="0.25">
      <c r="A314" s="172"/>
    </row>
    <row r="315" spans="1:29" x14ac:dyDescent="0.25">
      <c r="A315" s="172"/>
    </row>
    <row r="316" spans="1:29" x14ac:dyDescent="0.25">
      <c r="A316" s="172"/>
    </row>
    <row r="317" spans="1:29" ht="12" thickBot="1" x14ac:dyDescent="0.3">
      <c r="A317" s="172"/>
    </row>
    <row r="318" spans="1:29" ht="12.75" x14ac:dyDescent="0.25">
      <c r="A318" s="172"/>
      <c r="B318" s="749" t="s">
        <v>441</v>
      </c>
      <c r="C318" s="750"/>
      <c r="D318" s="750"/>
      <c r="E318" s="750"/>
      <c r="F318" s="260"/>
      <c r="G318" s="260"/>
      <c r="H318" s="260"/>
      <c r="I318" s="260"/>
      <c r="J318" s="260"/>
      <c r="K318" s="260"/>
      <c r="L318" s="260"/>
      <c r="M318" s="260"/>
      <c r="N318" s="260"/>
      <c r="O318" s="260"/>
      <c r="P318" s="260"/>
      <c r="Q318" s="260"/>
      <c r="R318" s="260"/>
      <c r="S318" s="260"/>
      <c r="T318" s="260"/>
      <c r="U318" s="260"/>
      <c r="V318" s="260"/>
      <c r="W318" s="260"/>
      <c r="X318" s="260"/>
      <c r="Y318" s="260"/>
      <c r="Z318" s="260"/>
      <c r="AA318" s="260"/>
      <c r="AB318" s="260"/>
      <c r="AC318" s="261"/>
    </row>
    <row r="319" spans="1:29" ht="12.75" x14ac:dyDescent="0.25">
      <c r="A319" s="172"/>
      <c r="B319" s="751"/>
      <c r="C319" s="752"/>
      <c r="D319" s="752"/>
      <c r="E319" s="752"/>
      <c r="F319" s="338"/>
      <c r="G319" s="338"/>
      <c r="H319" s="338"/>
      <c r="I319" s="338"/>
      <c r="J319" s="338"/>
      <c r="K319" s="338"/>
      <c r="L319" s="338"/>
      <c r="M319" s="338"/>
      <c r="N319" s="338"/>
      <c r="O319" s="338"/>
      <c r="P319" s="338"/>
      <c r="Q319" s="338"/>
      <c r="R319" s="338"/>
      <c r="S319" s="338"/>
      <c r="T319" s="338"/>
      <c r="U319" s="338"/>
      <c r="V319" s="338"/>
      <c r="W319" s="338"/>
      <c r="X319" s="338"/>
      <c r="Y319" s="338"/>
      <c r="Z319" s="338"/>
      <c r="AA319" s="338"/>
      <c r="AB319" s="338"/>
      <c r="AC319" s="339"/>
    </row>
    <row r="320" spans="1:29" x14ac:dyDescent="0.25">
      <c r="A320" s="172"/>
      <c r="B320" s="759" t="s">
        <v>5</v>
      </c>
      <c r="C320" s="757" t="s">
        <v>4</v>
      </c>
      <c r="D320" s="755" t="s">
        <v>442</v>
      </c>
      <c r="E320" s="753" t="s">
        <v>189</v>
      </c>
      <c r="F320" s="765" t="s">
        <v>98</v>
      </c>
      <c r="G320" s="755"/>
      <c r="H320" s="755"/>
      <c r="I320" s="755"/>
      <c r="J320" s="755" t="s">
        <v>100</v>
      </c>
      <c r="K320" s="755"/>
      <c r="L320" s="755"/>
      <c r="M320" s="755"/>
      <c r="N320" s="755" t="s">
        <v>102</v>
      </c>
      <c r="O320" s="755"/>
      <c r="P320" s="755"/>
      <c r="Q320" s="755"/>
      <c r="R320" s="755" t="s">
        <v>104</v>
      </c>
      <c r="S320" s="755"/>
      <c r="T320" s="755"/>
      <c r="U320" s="755"/>
      <c r="V320" s="755" t="s">
        <v>105</v>
      </c>
      <c r="W320" s="755"/>
      <c r="X320" s="755"/>
      <c r="Y320" s="755"/>
      <c r="Z320" s="755" t="s">
        <v>107</v>
      </c>
      <c r="AA320" s="755"/>
      <c r="AB320" s="755"/>
      <c r="AC320" s="772"/>
    </row>
    <row r="321" spans="1:29" x14ac:dyDescent="0.25">
      <c r="A321" s="172"/>
      <c r="B321" s="760"/>
      <c r="C321" s="758"/>
      <c r="D321" s="756"/>
      <c r="E321" s="754"/>
      <c r="F321" s="433" t="s">
        <v>130</v>
      </c>
      <c r="G321" s="270" t="s">
        <v>131</v>
      </c>
      <c r="H321" s="270" t="s">
        <v>132</v>
      </c>
      <c r="I321" s="270" t="s">
        <v>133</v>
      </c>
      <c r="J321" s="270" t="s">
        <v>134</v>
      </c>
      <c r="K321" s="270" t="s">
        <v>135</v>
      </c>
      <c r="L321" s="270" t="s">
        <v>136</v>
      </c>
      <c r="M321" s="270" t="s">
        <v>137</v>
      </c>
      <c r="N321" s="270" t="s">
        <v>138</v>
      </c>
      <c r="O321" s="270" t="s">
        <v>139</v>
      </c>
      <c r="P321" s="270" t="s">
        <v>140</v>
      </c>
      <c r="Q321" s="270" t="s">
        <v>141</v>
      </c>
      <c r="R321" s="270" t="s">
        <v>142</v>
      </c>
      <c r="S321" s="270" t="s">
        <v>143</v>
      </c>
      <c r="T321" s="270" t="s">
        <v>144</v>
      </c>
      <c r="U321" s="270" t="s">
        <v>145</v>
      </c>
      <c r="V321" s="270" t="s">
        <v>146</v>
      </c>
      <c r="W321" s="270" t="s">
        <v>147</v>
      </c>
      <c r="X321" s="270" t="s">
        <v>148</v>
      </c>
      <c r="Y321" s="270" t="s">
        <v>149</v>
      </c>
      <c r="Z321" s="270" t="s">
        <v>150</v>
      </c>
      <c r="AA321" s="270" t="s">
        <v>151</v>
      </c>
      <c r="AB321" s="270" t="s">
        <v>152</v>
      </c>
      <c r="AC321" s="271" t="s">
        <v>153</v>
      </c>
    </row>
    <row r="322" spans="1:29" ht="22.5" x14ac:dyDescent="0.25">
      <c r="A322" s="172"/>
      <c r="B322" s="262" t="s">
        <v>430</v>
      </c>
      <c r="C322" s="34">
        <v>0</v>
      </c>
      <c r="D322" s="443" t="s">
        <v>486</v>
      </c>
      <c r="E322" s="440">
        <f>SUM(F322:AC322)</f>
        <v>0</v>
      </c>
      <c r="F322" s="437">
        <f>-C322*H22</f>
        <v>0</v>
      </c>
      <c r="G322" s="274">
        <v>0</v>
      </c>
      <c r="H322" s="274">
        <v>0</v>
      </c>
      <c r="I322" s="274">
        <v>0</v>
      </c>
      <c r="J322" s="274">
        <v>0</v>
      </c>
      <c r="K322" s="274">
        <v>0</v>
      </c>
      <c r="L322" s="274">
        <v>0</v>
      </c>
      <c r="M322" s="274">
        <v>0</v>
      </c>
      <c r="N322" s="274">
        <v>0</v>
      </c>
      <c r="O322" s="274">
        <v>0</v>
      </c>
      <c r="P322" s="274">
        <v>0</v>
      </c>
      <c r="Q322" s="274">
        <v>0</v>
      </c>
      <c r="R322" s="274">
        <v>0</v>
      </c>
      <c r="S322" s="274">
        <v>0</v>
      </c>
      <c r="T322" s="274">
        <v>0</v>
      </c>
      <c r="U322" s="274">
        <v>0</v>
      </c>
      <c r="V322" s="274">
        <v>0</v>
      </c>
      <c r="W322" s="274">
        <v>0</v>
      </c>
      <c r="X322" s="274">
        <v>0</v>
      </c>
      <c r="Y322" s="274">
        <v>0</v>
      </c>
      <c r="Z322" s="274">
        <v>0</v>
      </c>
      <c r="AA322" s="274">
        <v>0</v>
      </c>
      <c r="AB322" s="274">
        <v>0</v>
      </c>
      <c r="AC322" s="278">
        <v>0</v>
      </c>
    </row>
    <row r="323" spans="1:29" ht="22.5" x14ac:dyDescent="0.25">
      <c r="A323" s="172"/>
      <c r="B323" s="263" t="s">
        <v>431</v>
      </c>
      <c r="C323" s="34">
        <v>0</v>
      </c>
      <c r="D323" s="444" t="s">
        <v>486</v>
      </c>
      <c r="E323" s="441">
        <f>SUM(F323:AC323)</f>
        <v>0</v>
      </c>
      <c r="F323" s="438">
        <f>-C323*H29</f>
        <v>0</v>
      </c>
      <c r="G323" s="275">
        <v>0</v>
      </c>
      <c r="H323" s="275">
        <v>0</v>
      </c>
      <c r="I323" s="275">
        <v>0</v>
      </c>
      <c r="J323" s="275">
        <v>0</v>
      </c>
      <c r="K323" s="275">
        <v>0</v>
      </c>
      <c r="L323" s="275">
        <v>0</v>
      </c>
      <c r="M323" s="275">
        <v>0</v>
      </c>
      <c r="N323" s="275">
        <v>0</v>
      </c>
      <c r="O323" s="275">
        <v>0</v>
      </c>
      <c r="P323" s="275">
        <v>0</v>
      </c>
      <c r="Q323" s="275">
        <v>0</v>
      </c>
      <c r="R323" s="275">
        <v>0</v>
      </c>
      <c r="S323" s="275">
        <v>0</v>
      </c>
      <c r="T323" s="275">
        <v>0</v>
      </c>
      <c r="U323" s="275">
        <v>0</v>
      </c>
      <c r="V323" s="275">
        <v>0</v>
      </c>
      <c r="W323" s="275">
        <v>0</v>
      </c>
      <c r="X323" s="275">
        <v>0</v>
      </c>
      <c r="Y323" s="275">
        <v>0</v>
      </c>
      <c r="Z323" s="275">
        <v>0</v>
      </c>
      <c r="AA323" s="275">
        <v>0</v>
      </c>
      <c r="AB323" s="275">
        <v>0</v>
      </c>
      <c r="AC323" s="277">
        <v>0</v>
      </c>
    </row>
    <row r="324" spans="1:29" ht="22.5" x14ac:dyDescent="0.25">
      <c r="A324" s="172"/>
      <c r="B324" s="262" t="s">
        <v>551</v>
      </c>
      <c r="C324" s="34">
        <v>0.03</v>
      </c>
      <c r="D324" s="444" t="s">
        <v>486</v>
      </c>
      <c r="E324" s="441">
        <f>SUM(F324:AC324)</f>
        <v>-3252288</v>
      </c>
      <c r="F324" s="438">
        <f>-C324*H20</f>
        <v>-3252288</v>
      </c>
      <c r="G324" s="275"/>
      <c r="H324" s="438"/>
      <c r="I324" s="275"/>
      <c r="J324" s="438"/>
      <c r="K324" s="275"/>
      <c r="L324" s="438"/>
      <c r="M324" s="275"/>
      <c r="N324" s="438"/>
      <c r="O324" s="275"/>
      <c r="P324" s="438"/>
      <c r="Q324" s="275"/>
      <c r="R324" s="438"/>
      <c r="S324" s="275"/>
      <c r="T324" s="438"/>
      <c r="U324" s="275"/>
      <c r="V324" s="438"/>
      <c r="W324" s="275"/>
      <c r="X324" s="275"/>
      <c r="Y324" s="275"/>
      <c r="Z324" s="275"/>
      <c r="AA324" s="275"/>
      <c r="AB324" s="275"/>
      <c r="AC324" s="277"/>
    </row>
    <row r="325" spans="1:29" ht="22.5" x14ac:dyDescent="0.25">
      <c r="A325" s="172"/>
      <c r="B325" s="263" t="s">
        <v>432</v>
      </c>
      <c r="C325" s="34">
        <v>5.0000000000000001E-3</v>
      </c>
      <c r="D325" s="443" t="s">
        <v>487</v>
      </c>
      <c r="E325" s="440">
        <f>SUM(F325:AC325)</f>
        <v>-4878432</v>
      </c>
      <c r="F325" s="437">
        <v>0</v>
      </c>
      <c r="G325" s="274">
        <f>-$C$325*$H$20</f>
        <v>-542048</v>
      </c>
      <c r="H325" s="437">
        <v>0</v>
      </c>
      <c r="I325" s="274">
        <f t="shared" ref="I325" si="185">-$C$325*$H$20</f>
        <v>-542048</v>
      </c>
      <c r="J325" s="437">
        <v>0</v>
      </c>
      <c r="K325" s="274">
        <f t="shared" ref="K325" si="186">-$C$325*$H$20</f>
        <v>-542048</v>
      </c>
      <c r="L325" s="437">
        <v>0</v>
      </c>
      <c r="M325" s="274">
        <f t="shared" ref="M325" si="187">-$C$325*$H$20</f>
        <v>-542048</v>
      </c>
      <c r="N325" s="437">
        <v>0</v>
      </c>
      <c r="O325" s="274">
        <f t="shared" ref="O325" si="188">-$C$325*$H$20</f>
        <v>-542048</v>
      </c>
      <c r="P325" s="437">
        <v>0</v>
      </c>
      <c r="Q325" s="274">
        <f t="shared" ref="Q325" si="189">-$C$325*$H$20</f>
        <v>-542048</v>
      </c>
      <c r="R325" s="437">
        <v>0</v>
      </c>
      <c r="S325" s="274">
        <f t="shared" ref="S325" si="190">-$C$325*$H$20</f>
        <v>-542048</v>
      </c>
      <c r="T325" s="437">
        <v>0</v>
      </c>
      <c r="U325" s="274">
        <f t="shared" ref="U325" si="191">-$C$325*$H$20</f>
        <v>-542048</v>
      </c>
      <c r="V325" s="437">
        <v>0</v>
      </c>
      <c r="W325" s="274">
        <f t="shared" ref="W325" si="192">-$C$325*$H$20</f>
        <v>-542048</v>
      </c>
      <c r="X325" s="274"/>
      <c r="Y325" s="274"/>
      <c r="Z325" s="274"/>
      <c r="AA325" s="274"/>
      <c r="AB325" s="274"/>
      <c r="AC325" s="278"/>
    </row>
    <row r="326" spans="1:29" ht="22.5" x14ac:dyDescent="0.25">
      <c r="A326" s="172"/>
      <c r="B326" s="262" t="s">
        <v>433</v>
      </c>
      <c r="C326" s="34">
        <v>2E-3</v>
      </c>
      <c r="D326" s="444" t="s">
        <v>487</v>
      </c>
      <c r="E326" s="441">
        <f>SUM(F326:AC326)</f>
        <v>-1084096</v>
      </c>
      <c r="F326" s="438">
        <f>-$C$326*$H$20</f>
        <v>-216819.20000000001</v>
      </c>
      <c r="G326" s="275">
        <v>0</v>
      </c>
      <c r="H326" s="438">
        <v>0</v>
      </c>
      <c r="I326" s="275">
        <v>0</v>
      </c>
      <c r="J326" s="438">
        <f t="shared" ref="J326" si="193">-$C$326*$H$20</f>
        <v>-216819.20000000001</v>
      </c>
      <c r="K326" s="275">
        <v>0</v>
      </c>
      <c r="L326" s="438">
        <v>0</v>
      </c>
      <c r="M326" s="275">
        <v>0</v>
      </c>
      <c r="N326" s="438">
        <f t="shared" ref="N326" si="194">-$C$326*$H$20</f>
        <v>-216819.20000000001</v>
      </c>
      <c r="O326" s="275">
        <v>0</v>
      </c>
      <c r="P326" s="438">
        <v>0</v>
      </c>
      <c r="Q326" s="275">
        <v>0</v>
      </c>
      <c r="R326" s="438">
        <f t="shared" ref="R326" si="195">-$C$326*$H$20</f>
        <v>-216819.20000000001</v>
      </c>
      <c r="S326" s="275">
        <v>0</v>
      </c>
      <c r="T326" s="438">
        <v>0</v>
      </c>
      <c r="U326" s="275">
        <v>0</v>
      </c>
      <c r="V326" s="438">
        <f t="shared" ref="V326" si="196">-$C$326*$H$20</f>
        <v>-216819.20000000001</v>
      </c>
      <c r="W326" s="275">
        <v>0</v>
      </c>
      <c r="X326" s="275">
        <f>IF(AND(X242&gt;0, MOD(COUNTIF($F242:X242,"&gt;0"),2)=0), -X242*$C$326, 0)</f>
        <v>0</v>
      </c>
      <c r="Y326" s="275">
        <f>IF(AND(Y242&gt;0, MOD(COUNTIF($F242:Y242,"&gt;0"),2)=0), -Y242*$C$326, 0)</f>
        <v>0</v>
      </c>
      <c r="Z326" s="275">
        <f>IF(AND(Z242&gt;0, MOD(COUNTIF($F242:Z242,"&gt;0"),2)=0), -Z242*$C$326, 0)</f>
        <v>0</v>
      </c>
      <c r="AA326" s="275">
        <f>IF(AND(AA242&gt;0, MOD(COUNTIF($F242:AA242,"&gt;0"),2)=0), -AA242*$C$326, 0)</f>
        <v>0</v>
      </c>
      <c r="AB326" s="275">
        <f>IF(AND(AB242&gt;0, MOD(COUNTIF($F242:AB242,"&gt;0"),2)=0), -AB242*$C$326, 0)</f>
        <v>0</v>
      </c>
      <c r="AC326" s="277">
        <f>IF(AND(AC242&gt;0, MOD(COUNTIF($F242:AC242,"&gt;0"),2)=0), -AC242*$C$326, 0)</f>
        <v>0</v>
      </c>
    </row>
    <row r="327" spans="1:29" ht="13.5" thickBot="1" x14ac:dyDescent="0.3">
      <c r="A327" s="172"/>
      <c r="B327" s="1011" t="s">
        <v>520</v>
      </c>
      <c r="C327" s="1012"/>
      <c r="D327" s="1012"/>
      <c r="E327" s="442">
        <f>SUM(E322:E326)</f>
        <v>-9214816</v>
      </c>
      <c r="F327" s="439">
        <f>SUM(F322:F326)</f>
        <v>-3469107.2000000002</v>
      </c>
      <c r="G327" s="276">
        <f>SUM(G322:G326)</f>
        <v>-542048</v>
      </c>
      <c r="H327" s="276">
        <f t="shared" ref="H327:AB327" si="197">SUM(H322:H326)</f>
        <v>0</v>
      </c>
      <c r="I327" s="276">
        <f t="shared" si="197"/>
        <v>-542048</v>
      </c>
      <c r="J327" s="276">
        <f t="shared" si="197"/>
        <v>-216819.20000000001</v>
      </c>
      <c r="K327" s="276">
        <f t="shared" si="197"/>
        <v>-542048</v>
      </c>
      <c r="L327" s="276">
        <f t="shared" si="197"/>
        <v>0</v>
      </c>
      <c r="M327" s="276">
        <f t="shared" si="197"/>
        <v>-542048</v>
      </c>
      <c r="N327" s="276">
        <f t="shared" si="197"/>
        <v>-216819.20000000001</v>
      </c>
      <c r="O327" s="276">
        <f t="shared" si="197"/>
        <v>-542048</v>
      </c>
      <c r="P327" s="276">
        <f t="shared" si="197"/>
        <v>0</v>
      </c>
      <c r="Q327" s="276">
        <f t="shared" si="197"/>
        <v>-542048</v>
      </c>
      <c r="R327" s="276">
        <f t="shared" si="197"/>
        <v>-216819.20000000001</v>
      </c>
      <c r="S327" s="276">
        <f t="shared" si="197"/>
        <v>-542048</v>
      </c>
      <c r="T327" s="276">
        <f t="shared" si="197"/>
        <v>0</v>
      </c>
      <c r="U327" s="276">
        <f t="shared" si="197"/>
        <v>-542048</v>
      </c>
      <c r="V327" s="276">
        <f t="shared" si="197"/>
        <v>-216819.20000000001</v>
      </c>
      <c r="W327" s="276">
        <f>SUM(W322:W326)</f>
        <v>-542048</v>
      </c>
      <c r="X327" s="276">
        <f t="shared" si="197"/>
        <v>0</v>
      </c>
      <c r="Y327" s="276">
        <f t="shared" si="197"/>
        <v>0</v>
      </c>
      <c r="Z327" s="276">
        <f t="shared" si="197"/>
        <v>0</v>
      </c>
      <c r="AA327" s="276">
        <f t="shared" si="197"/>
        <v>0</v>
      </c>
      <c r="AB327" s="276">
        <f t="shared" si="197"/>
        <v>0</v>
      </c>
      <c r="AC327" s="279">
        <f>SUM(AC322:AC326)</f>
        <v>0</v>
      </c>
    </row>
    <row r="328" spans="1:29" x14ac:dyDescent="0.25">
      <c r="A328" s="172"/>
      <c r="E328" s="337"/>
      <c r="G328" s="97"/>
    </row>
    <row r="329" spans="1:29" x14ac:dyDescent="0.25">
      <c r="A329" s="172"/>
      <c r="E329" s="337"/>
    </row>
    <row r="330" spans="1:29" x14ac:dyDescent="0.25">
      <c r="A330" s="172"/>
    </row>
    <row r="331" spans="1:29" x14ac:dyDescent="0.25">
      <c r="A331" s="172"/>
    </row>
    <row r="332" spans="1:29" x14ac:dyDescent="0.25">
      <c r="A332" s="172"/>
    </row>
    <row r="333" spans="1:29" x14ac:dyDescent="0.25">
      <c r="A333" s="172"/>
    </row>
    <row r="334" spans="1:29" x14ac:dyDescent="0.25">
      <c r="A334" s="172"/>
    </row>
    <row r="335" spans="1:29" x14ac:dyDescent="0.25">
      <c r="A335" s="172"/>
    </row>
    <row r="336" spans="1:29" ht="12" thickBot="1" x14ac:dyDescent="0.3">
      <c r="A336" s="172"/>
    </row>
    <row r="337" spans="1:8" x14ac:dyDescent="0.25">
      <c r="B337" s="986" t="s">
        <v>110</v>
      </c>
      <c r="C337" s="987"/>
      <c r="D337" s="987"/>
      <c r="E337" s="987"/>
      <c r="F337" s="987"/>
      <c r="G337" s="987"/>
      <c r="H337" s="988"/>
    </row>
    <row r="338" spans="1:8" x14ac:dyDescent="0.25">
      <c r="B338" s="989"/>
      <c r="C338" s="990"/>
      <c r="D338" s="990"/>
      <c r="E338" s="990"/>
      <c r="F338" s="990"/>
      <c r="G338" s="990"/>
      <c r="H338" s="991"/>
    </row>
    <row r="339" spans="1:8" ht="25.5" x14ac:dyDescent="0.25">
      <c r="B339" s="409" t="s">
        <v>443</v>
      </c>
      <c r="C339" s="410" t="s">
        <v>445</v>
      </c>
      <c r="D339" s="410" t="s">
        <v>507</v>
      </c>
      <c r="E339" s="410" t="s">
        <v>468</v>
      </c>
      <c r="F339" s="410" t="s">
        <v>448</v>
      </c>
      <c r="G339" s="410" t="s">
        <v>449</v>
      </c>
      <c r="H339" s="411" t="s">
        <v>446</v>
      </c>
    </row>
    <row r="340" spans="1:8" ht="25.5" x14ac:dyDescent="0.25">
      <c r="B340" s="265" t="s">
        <v>469</v>
      </c>
      <c r="C340" s="266" cm="1">
        <f t="array" aca="1" ref="C340" ca="1">_xlfn.LET(
  _xlpm.block, F196:AC197,
  _xlpm.dates, $F$173:$AC$173,
  _xlpm.th, 1,
  _xlpm.rCount, ROWS(_xlpm.block),
  _xlpm.ones, ROW(INDIRECT("1:"&amp;_xlpm.rCount))^0,
  _xlpm.colHas, MMULT(TRANSPOSE(_xlpm.ones), --(ABS(_xlpm.block)&gt;=_xlpm.th)),
  IF(MAX(_xlpm.colHas)=0,"", MIN(IF(_xlpm.colHas&gt;=1, _xlpm.dates)))
)</f>
        <v>46388</v>
      </c>
      <c r="D340" s="490">
        <f ca="1">G340/365</f>
        <v>1.4958904109589042</v>
      </c>
      <c r="E340" s="494">
        <f ca="1">G340/90</f>
        <v>6.0666666666666664</v>
      </c>
      <c r="F340" s="498">
        <f ca="1">G340/30</f>
        <v>18.2</v>
      </c>
      <c r="G340" s="502">
        <f ca="1">H340-C340</f>
        <v>546</v>
      </c>
      <c r="H340" s="267" cm="1">
        <f t="array" aca="1" ref="H340" ca="1">_xlfn.LET(
  _xlpm.block, F196:AC197,
  _xlpm.dates, $F$173:$AC$173,
  _xlpm.th, 1,
  _xlpm.rCount, ROWS(_xlpm.block),
  _xlpm.ones, ROW(INDIRECT("1:"&amp;_xlpm.rCount))^0,
  _xlpm.colHas, MMULT(TRANSPOSE(_xlpm.ones), --(ABS(_xlpm.block)&gt;=_xlpm.th)),
  IF(MAX(_xlpm.colHas)=0,"",
     EDATE(
       MAX(IF(_xlpm.colHas&gt;=1, _xlpm.dates)),
       3
     )-1
  )
)</f>
        <v>46934</v>
      </c>
    </row>
    <row r="341" spans="1:8" ht="25.5" x14ac:dyDescent="0.25">
      <c r="B341" s="409" t="s">
        <v>18</v>
      </c>
      <c r="C341" s="423" cm="1">
        <f t="array" aca="1" ref="C341" ca="1">_xlfn.LET(
  _xlpm.block, F188:AC188,
  _xlpm.dates, $F$173:$AC$173,
  _xlpm.th, 1,
  _xlpm.rCount, ROWS(_xlpm.block),
  _xlpm.ones, ROW(INDIRECT("1:"&amp;_xlpm.rCount))^0,
  _xlpm.colHas, MMULT(TRANSPOSE(_xlpm.ones), --(ABS(_xlpm.block)&gt;=_xlpm.th)),
  IF(MAX(_xlpm.colHas)=0,"", MIN(IF(_xlpm.colHas&gt;=1, _xlpm.dates)))
)</f>
        <v>47027</v>
      </c>
      <c r="D341" s="491">
        <f ca="1">G341/365</f>
        <v>3.2493150684931509</v>
      </c>
      <c r="E341" s="495">
        <f t="shared" ref="E341:E348" ca="1" si="198">G341/90</f>
        <v>13.177777777777777</v>
      </c>
      <c r="F341" s="499">
        <f ca="1">G341/30</f>
        <v>39.533333333333331</v>
      </c>
      <c r="G341" s="503">
        <f t="shared" ref="G341:G348" ca="1" si="199">H341-C341</f>
        <v>1186</v>
      </c>
      <c r="H341" s="424" cm="1">
        <f t="array" aca="1" ref="H341" ca="1">_xlfn.LET(
  _xlpm.block, F188:AC188,
  _xlpm.dates, $F$173:$AC$173,
  _xlpm.th, 1,
  _xlpm.rCount, ROWS(_xlpm.block),
  _xlpm.ones, ROW(INDIRECT("1:"&amp;_xlpm.rCount))^0,
  _xlpm.colHas, MMULT(TRANSPOSE(_xlpm.ones), --(ABS(_xlpm.block)&gt;=_xlpm.th)),
  IF(MAX(_xlpm.colHas)=0,"",
     EDATE(
       MAX(IF(_xlpm.colHas&gt;=1, _xlpm.dates)),
       3
     )-1
  )
)</f>
        <v>48213</v>
      </c>
    </row>
    <row r="342" spans="1:8" ht="25.5" x14ac:dyDescent="0.25">
      <c r="B342" s="265" t="s">
        <v>444</v>
      </c>
      <c r="C342" s="266" cm="1">
        <f t="array" aca="1" ref="C342" ca="1">_xlfn.LET(
  _xlpm.block, F192:AC192,
  _xlpm.dates, $F$173:$AC$173,
  _xlpm.th, 1,
  _xlpm.rCount, ROWS(_xlpm.block),
  _xlpm.ones, ROW(INDIRECT("1:"&amp;_xlpm.rCount))^0,
  _xlpm.colHas, MMULT(TRANSPOSE(_xlpm.ones), --(ABS(_xlpm.block)&gt;=_xlpm.th)),
  IF(MAX(_xlpm.colHas)=0,"", MIN(IF(_xlpm.colHas&gt;=1, _xlpm.dates)))
)</f>
        <v>46844</v>
      </c>
      <c r="D342" s="490">
        <f t="shared" ref="D342:D348" ca="1" si="200">G342/365</f>
        <v>2.7506849315068491</v>
      </c>
      <c r="E342" s="494">
        <f t="shared" ca="1" si="198"/>
        <v>11.155555555555555</v>
      </c>
      <c r="F342" s="498">
        <f ca="1">G342/30</f>
        <v>33.466666666666669</v>
      </c>
      <c r="G342" s="502">
        <f t="shared" ca="1" si="199"/>
        <v>1004</v>
      </c>
      <c r="H342" s="267" cm="1">
        <f t="array" aca="1" ref="H342" ca="1">_xlfn.LET(
  _xlpm.block, F192:AC192,
  _xlpm.dates, $F$173:$AC$173,
  _xlpm.th, 1,
  _xlpm.rCount, ROWS(_xlpm.block),
  _xlpm.ones, ROW(INDIRECT("1:"&amp;_xlpm.rCount))^0,
  _xlpm.colHas, MMULT(TRANSPOSE(_xlpm.ones), --(ABS(_xlpm.block)&gt;=_xlpm.th)),
  IF(MAX(_xlpm.colHas)=0,"",
     EDATE(
       MAX(IF(_xlpm.colHas&gt;=1, _xlpm.dates)),
       3
     )-1
  )
)</f>
        <v>47848</v>
      </c>
    </row>
    <row r="343" spans="1:8" ht="25.5" x14ac:dyDescent="0.25">
      <c r="B343" s="409" t="s">
        <v>471</v>
      </c>
      <c r="C343" s="423" cm="1">
        <f t="array" aca="1" ref="C343" ca="1">_xlfn.LET(
  _xlpm.block, F200:AC202,
  _xlpm.dates, $F$173:$AC$173,
  _xlpm.th, 1,
  _xlpm.rCount, ROWS(_xlpm.block),
  _xlpm.ones, ROW(INDIRECT("1:"&amp;_xlpm.rCount))^0,
  _xlpm.colHas, MMULT(TRANSPOSE(_xlpm.ones), --(ABS(_xlpm.block)&gt;=_xlpm.th)),
  IF(MAX(_xlpm.colHas)=0,"", MIN(IF(_xlpm.colHas&gt;=1, _xlpm.dates)))
)</f>
        <v>47757</v>
      </c>
      <c r="D343" s="491">
        <f t="shared" ca="1" si="200"/>
        <v>0.24931506849315069</v>
      </c>
      <c r="E343" s="495">
        <f t="shared" ca="1" si="198"/>
        <v>1.0111111111111111</v>
      </c>
      <c r="F343" s="499">
        <f t="shared" ref="F343:F347" ca="1" si="201">G343/30</f>
        <v>3.0333333333333332</v>
      </c>
      <c r="G343" s="503">
        <f t="shared" ca="1" si="199"/>
        <v>91</v>
      </c>
      <c r="H343" s="424" cm="1">
        <f t="array" aca="1" ref="H343" ca="1">_xlfn.LET(
  _xlpm.block, F200:AC202,
  _xlpm.dates, $F$173:$AC$173,
  _xlpm.th, 1,
  _xlpm.rCount, ROWS(_xlpm.block),
  _xlpm.ones, ROW(INDIRECT("1:"&amp;_xlpm.rCount))^0,
  _xlpm.colHas, MMULT(TRANSPOSE(_xlpm.ones), --(ABS(_xlpm.block)&gt;=_xlpm.th)),
  IF(MAX(_xlpm.colHas)=0,"",
     EDATE(
       MAX(IF(_xlpm.colHas&gt;=1, _xlpm.dates)),
       3
     )-1
  )
)</f>
        <v>47848</v>
      </c>
    </row>
    <row r="344" spans="1:8" ht="25.5" x14ac:dyDescent="0.25">
      <c r="B344" s="265" t="s">
        <v>470</v>
      </c>
      <c r="C344" s="266" cm="1">
        <f t="array" aca="1" ref="C344" ca="1">_xlfn.LET(
  _xlpm.block, F198:AC199,
  _xlpm.dates, $F$173:$AC$173,
  _xlpm.th, 1,
  _xlpm.rCount, ROWS(_xlpm.block),
  _xlpm.ones, ROW(INDIRECT("1:"&amp;_xlpm.rCount))^0,
  _xlpm.colHas, MMULT(TRANSPOSE(_xlpm.ones), --(ABS(_xlpm.block)&gt;=_xlpm.th)),
  IF(MAX(_xlpm.colHas)=0,"", MIN(IF(_xlpm.colHas&gt;=1, _xlpm.dates)))
)</f>
        <v>47849</v>
      </c>
      <c r="D344" s="490">
        <f t="shared" ca="1" si="200"/>
        <v>0.49315068493150682</v>
      </c>
      <c r="E344" s="494">
        <f t="shared" ca="1" si="198"/>
        <v>2</v>
      </c>
      <c r="F344" s="498">
        <f t="shared" ca="1" si="201"/>
        <v>6</v>
      </c>
      <c r="G344" s="502">
        <f t="shared" ca="1" si="199"/>
        <v>180</v>
      </c>
      <c r="H344" s="267" cm="1">
        <f t="array" aca="1" ref="H344" ca="1">_xlfn.LET(
  _xlpm.block, F198:AC199,
  _xlpm.dates, $F$173:$AC$173,
  _xlpm.th, 1,
  _xlpm.rCount, ROWS(_xlpm.block),
  _xlpm.ones, ROW(INDIRECT("1:"&amp;_xlpm.rCount))^0,
  _xlpm.colHas, MMULT(TRANSPOSE(_xlpm.ones), --(ABS(_xlpm.block)&gt;=_xlpm.th)),
  IF(MAX(_xlpm.colHas)=0,"",
     EDATE(
       MAX(IF(_xlpm.colHas&gt;=1, _xlpm.dates)),
       3
     )-1
  )
)</f>
        <v>48029</v>
      </c>
    </row>
    <row r="345" spans="1:8" ht="25.5" x14ac:dyDescent="0.25">
      <c r="B345" s="409" t="s">
        <v>209</v>
      </c>
      <c r="C345" s="423" cm="1">
        <f t="array" aca="1" ref="C345" ca="1">_xlfn.LET(
  _xlpm.block, F180:AC180,
  _xlpm.dates, $F$173:$AC$173,
  _xlpm.th, 1,
  _xlpm.rCount, ROWS(_xlpm.block),
  _xlpm.ones, ROW(INDIRECT("1:"&amp;_xlpm.rCount))^0,
  _xlpm.colHas, MMULT(TRANSPOSE(_xlpm.ones), --(ABS(_xlpm.block)&gt;=_xlpm.th)),
  IF(MAX(_xlpm.colHas)=0,"", MIN(IF(_xlpm.colHas&gt;=1, _xlpm.dates)))
)</f>
        <v>46753</v>
      </c>
      <c r="D345" s="491">
        <f t="shared" ca="1" si="200"/>
        <v>3</v>
      </c>
      <c r="E345" s="495">
        <f t="shared" ca="1" si="198"/>
        <v>12.166666666666666</v>
      </c>
      <c r="F345" s="499">
        <f ca="1">G345/30</f>
        <v>36.5</v>
      </c>
      <c r="G345" s="503">
        <f ca="1">H345-C345</f>
        <v>1095</v>
      </c>
      <c r="H345" s="424" cm="1">
        <f t="array" aca="1" ref="H345" ca="1">_xlfn.LET(
  _xlpm.block, F180:AC180,
  _xlpm.dates, $F$173:$AC$173,
  _xlpm.th, 1,
  _xlpm.rCount, ROWS(_xlpm.block),
  _xlpm.ones, ROW(INDIRECT("1:"&amp;_xlpm.rCount))^0,
  _xlpm.colHas, MMULT(TRANSPOSE(_xlpm.ones), --(ABS(_xlpm.block)&gt;=_xlpm.th)),
  IF(MAX(_xlpm.colHas)=0,"",
     EDATE(
       MAX(IF(_xlpm.colHas&gt;=1, _xlpm.dates)),
       3
     )-1
  )
)</f>
        <v>47848</v>
      </c>
    </row>
    <row r="346" spans="1:8" ht="25.5" x14ac:dyDescent="0.25">
      <c r="B346" s="265" t="s">
        <v>472</v>
      </c>
      <c r="C346" s="266" cm="1">
        <f t="array" aca="1" ref="C346" ca="1">_xlfn.LET(
  _xlpm.block, F181:AC182,
  _xlpm.dates, $F$173:$AC$173,
  _xlpm.th, 1,
  _xlpm.rCount, ROWS(_xlpm.block),
  _xlpm.ones, ROW(INDIRECT("1:"&amp;_xlpm.rCount))^0,
  _xlpm.colHas, MMULT(TRANSPOSE(_xlpm.ones), --(ABS(_xlpm.block)&gt;=_xlpm.th)),
  IF(MAX(_xlpm.colHas)=0,"", MIN(IF(_xlpm.colHas&gt;=1, _xlpm.dates)))
)</f>
        <v>47849</v>
      </c>
      <c r="D346" s="490">
        <f t="shared" ca="1" si="200"/>
        <v>0.99726027397260275</v>
      </c>
      <c r="E346" s="494">
        <f t="shared" ca="1" si="198"/>
        <v>4.0444444444444443</v>
      </c>
      <c r="F346" s="498">
        <f t="shared" ca="1" si="201"/>
        <v>12.133333333333333</v>
      </c>
      <c r="G346" s="502">
        <f t="shared" ca="1" si="199"/>
        <v>364</v>
      </c>
      <c r="H346" s="267" cm="1">
        <f t="array" aca="1" ref="H346" ca="1">_xlfn.LET(
  _xlpm.block, F181:AC182,
  _xlpm.dates, $F$173:$AC$173,
  _xlpm.th, 1,
  _xlpm.rCount, ROWS(_xlpm.block),
  _xlpm.ones, ROW(INDIRECT("1:"&amp;_xlpm.rCount))^0,
  _xlpm.colHas, MMULT(TRANSPOSE(_xlpm.ones), --(ABS(_xlpm.block)&gt;=_xlpm.th)),
  IF(MAX(_xlpm.colHas)=0,"",
     EDATE(
       MAX(IF(_xlpm.colHas&gt;=1, _xlpm.dates)),
       3
     )-1
  )
)</f>
        <v>48213</v>
      </c>
    </row>
    <row r="347" spans="1:8" ht="25.5" x14ac:dyDescent="0.25">
      <c r="A347" s="172"/>
      <c r="B347" s="409" t="s">
        <v>157</v>
      </c>
      <c r="C347" s="423" t="str" cm="1">
        <f t="array" aca="1" ref="C347" ca="1">_xlfn.LET(
  _xlpm.block, F183:AC183,
  _xlpm.dates, $F$173:$AC$173,
  _xlpm.th, 1,
  _xlpm.rCount, ROWS(_xlpm.block),
  _xlpm.ones, ROW(INDIRECT("1:"&amp;_xlpm.rCount))^0,
  _xlpm.colHas, MMULT(TRANSPOSE(_xlpm.ones), --(ABS(_xlpm.block)&gt;=_xlpm.th)),
  IF(MAX(_xlpm.colHas)=0,"", MIN(IF(_xlpm.colHas&gt;=1, _xlpm.dates)))
)</f>
        <v/>
      </c>
      <c r="D347" s="491" t="e">
        <f t="shared" ca="1" si="200"/>
        <v>#VALUE!</v>
      </c>
      <c r="E347" s="495" t="e">
        <f t="shared" ca="1" si="198"/>
        <v>#VALUE!</v>
      </c>
      <c r="F347" s="499" t="e">
        <f t="shared" ca="1" si="201"/>
        <v>#VALUE!</v>
      </c>
      <c r="G347" s="503" t="e">
        <f t="shared" ca="1" si="199"/>
        <v>#VALUE!</v>
      </c>
      <c r="H347" s="424" t="str" cm="1">
        <f t="array" aca="1" ref="H347" ca="1">_xlfn.LET(
  _xlpm.block, F183:AC183,
  _xlpm.dates, $F$173:$AC$173,
  _xlpm.th, 1,
  _xlpm.rCount, ROWS(_xlpm.block),
  _xlpm.ones, ROW(INDIRECT("1:"&amp;_xlpm.rCount))^0,
  _xlpm.colHas, MMULT(TRANSPOSE(_xlpm.ones), --(ABS(_xlpm.block)&gt;=_xlpm.th)),
  IF(MAX(_xlpm.colHas)=0,"",
     EDATE(
       MAX(IF(_xlpm.colHas&gt;=1, _xlpm.dates)),
       3
     )-1
  )
)</f>
        <v/>
      </c>
    </row>
    <row r="348" spans="1:8" ht="26.25" thickBot="1" x14ac:dyDescent="0.3">
      <c r="A348" s="172"/>
      <c r="B348" s="484" t="s">
        <v>164</v>
      </c>
      <c r="C348" s="485" cm="1">
        <f t="array" aca="1" ref="C348" ca="1">_xlfn.LET(
  _xlpm.block, F184:AC184,
  _xlpm.dates, $F$173:$AC$173,
  _xlpm.th, 1,
  _xlpm.rCount, ROWS(_xlpm.block),
  _xlpm.ones, ROW(INDIRECT("1:"&amp;_xlpm.rCount))^0,
  _xlpm.colHas, MMULT(TRANSPOSE(_xlpm.ones), --(ABS(_xlpm.block)&gt;=_xlpm.th)),
  IF(MAX(_xlpm.colHas)=0,"", MIN(IF(_xlpm.colHas&gt;=1, _xlpm.dates)))
)</f>
        <v>48122</v>
      </c>
      <c r="D348" s="492">
        <f t="shared" ca="1" si="200"/>
        <v>0.24931506849315069</v>
      </c>
      <c r="E348" s="496">
        <f t="shared" ca="1" si="198"/>
        <v>1.0111111111111111</v>
      </c>
      <c r="F348" s="500">
        <f ca="1">G348/30</f>
        <v>3.0333333333333332</v>
      </c>
      <c r="G348" s="504">
        <f t="shared" ca="1" si="199"/>
        <v>91</v>
      </c>
      <c r="H348" s="486" cm="1">
        <f t="array" aca="1" ref="H348" ca="1">_xlfn.LET(
  _xlpm.block, F184:AC184,
  _xlpm.dates, $F$173:$AC$173,
  _xlpm.th, 1,
  _xlpm.rCount, ROWS(_xlpm.block),
  _xlpm.ones, ROW(INDIRECT("1:"&amp;_xlpm.rCount))^0,
  _xlpm.colHas, MMULT(TRANSPOSE(_xlpm.ones), --(ABS(_xlpm.block)&gt;=_xlpm.th)),
  IF(MAX(_xlpm.colHas)=0,"",
     EDATE(
       MAX(IF(_xlpm.colHas&gt;=1, _xlpm.dates)),
       3
     )-1
  )
)</f>
        <v>48213</v>
      </c>
    </row>
    <row r="349" spans="1:8" ht="12" thickBot="1" x14ac:dyDescent="0.3">
      <c r="A349" s="172"/>
      <c r="B349" s="225"/>
      <c r="C349" s="94"/>
      <c r="D349" s="94"/>
      <c r="E349" s="94"/>
      <c r="F349" s="94"/>
      <c r="G349" s="94"/>
      <c r="H349" s="404"/>
    </row>
    <row r="350" spans="1:8" ht="26.25" thickBot="1" x14ac:dyDescent="0.3">
      <c r="A350" s="172"/>
      <c r="B350" s="487" t="s">
        <v>508</v>
      </c>
      <c r="C350" s="488" cm="1">
        <f t="array" aca="1" ref="C350" ca="1">_xlfn.LET(
  _xlpm.block, F176:AC185,
  _xlpm.dates, $F$173:$AC$173,
  _xlpm.th, 10,
  _xlpm.rCount, ROWS(_xlpm.block),
  _xlpm.ones, ROW(INDIRECT("1:"&amp;_xlpm.rCount))^0,
  _xlpm.colHas, MMULT(TRANSPOSE(_xlpm.ones), --(ABS(_xlpm.block)&gt;=_xlpm.th)),
  IF(MAX(_xlpm.colHas)=0,"", MIN(IF(_xlpm.colHas&gt;=1, _xlpm.dates)))
)</f>
        <v>46388</v>
      </c>
      <c r="D350" s="493">
        <f ca="1">G350/365</f>
        <v>5</v>
      </c>
      <c r="E350" s="497">
        <f ca="1">F350/3</f>
        <v>20.277777777777779</v>
      </c>
      <c r="F350" s="501">
        <f ca="1">G350/30</f>
        <v>60.833333333333336</v>
      </c>
      <c r="G350" s="505">
        <f ca="1">H350-C350</f>
        <v>1825</v>
      </c>
      <c r="H350" s="489" cm="1">
        <f t="array" aca="1" ref="H350" ca="1">_xlfn.LET(
  _xlpm.block, F176:Y185,
  _xlpm.dates, $F$173:$Y$173,
  _xlpm.th, 1,
  _xlpm.rCount, ROWS(_xlpm.block),
  _xlpm.ones, ROW(INDIRECT("1:"&amp;_xlpm.rCount))^0,
  _xlpm.colHas, MMULT(TRANSPOSE(_xlpm.ones), --(ABS(_xlpm.block)&gt;=_xlpm.th)),
  IF(MAX(_xlpm.colHas)=0,"",
     EDATE(
       MAX(IF(_xlpm.colHas&gt;=1, _xlpm.dates)),
       3
     )-1
  )
)</f>
        <v>48213</v>
      </c>
    </row>
    <row r="351" spans="1:8" x14ac:dyDescent="0.25">
      <c r="A351" s="172"/>
    </row>
    <row r="352" spans="1:8" x14ac:dyDescent="0.25">
      <c r="A352" s="172"/>
    </row>
    <row r="353" spans="1:6" x14ac:dyDescent="0.25">
      <c r="A353" s="172"/>
    </row>
    <row r="354" spans="1:6" x14ac:dyDescent="0.25">
      <c r="A354" s="172"/>
    </row>
    <row r="355" spans="1:6" ht="15" x14ac:dyDescent="0.25">
      <c r="A355" s="172"/>
      <c r="B355"/>
      <c r="C355"/>
      <c r="D355" s="629"/>
      <c r="F355" s="730"/>
    </row>
    <row r="356" spans="1:6" x14ac:dyDescent="0.25">
      <c r="A356" s="172"/>
      <c r="E356" s="729"/>
    </row>
    <row r="357" spans="1:6" x14ac:dyDescent="0.25">
      <c r="A357" s="172"/>
    </row>
    <row r="358" spans="1:6" ht="15" x14ac:dyDescent="0.25">
      <c r="A358" s="172"/>
      <c r="B358"/>
      <c r="C358"/>
      <c r="D358"/>
    </row>
    <row r="359" spans="1:6" ht="15" x14ac:dyDescent="0.25">
      <c r="A359" s="172"/>
      <c r="B359"/>
      <c r="C359"/>
      <c r="D359"/>
    </row>
    <row r="360" spans="1:6" ht="15" x14ac:dyDescent="0.25">
      <c r="A360" s="172"/>
      <c r="B360"/>
      <c r="C360"/>
      <c r="D360"/>
    </row>
    <row r="361" spans="1:6" ht="15" x14ac:dyDescent="0.25">
      <c r="A361" s="172"/>
      <c r="B361"/>
      <c r="C361"/>
      <c r="D361"/>
    </row>
    <row r="362" spans="1:6" ht="15" x14ac:dyDescent="0.25">
      <c r="A362" s="172"/>
      <c r="B362"/>
      <c r="C362"/>
      <c r="D362"/>
    </row>
    <row r="363" spans="1:6" ht="15" x14ac:dyDescent="0.25">
      <c r="A363" s="172"/>
      <c r="B363"/>
      <c r="C363"/>
      <c r="D363"/>
    </row>
    <row r="364" spans="1:6" ht="15" x14ac:dyDescent="0.25">
      <c r="A364" s="172"/>
      <c r="B364"/>
      <c r="C364"/>
      <c r="D364"/>
    </row>
    <row r="365" spans="1:6" ht="15" x14ac:dyDescent="0.25">
      <c r="A365" s="172"/>
      <c r="B365" s="412"/>
    </row>
    <row r="366" spans="1:6" ht="15" x14ac:dyDescent="0.25">
      <c r="A366" s="172"/>
      <c r="B366" s="412"/>
    </row>
    <row r="367" spans="1:6" ht="15" x14ac:dyDescent="0.25">
      <c r="B367" s="412"/>
    </row>
    <row r="368" spans="1:6" ht="15" x14ac:dyDescent="0.25">
      <c r="B368" s="412"/>
    </row>
    <row r="369" spans="2:2" ht="15" x14ac:dyDescent="0.25">
      <c r="B369" s="412"/>
    </row>
    <row r="370" spans="2:2" ht="15" x14ac:dyDescent="0.25">
      <c r="B370" s="412"/>
    </row>
    <row r="371" spans="2:2" ht="15" x14ac:dyDescent="0.25">
      <c r="B371" s="412"/>
    </row>
    <row r="372" spans="2:2" ht="15" x14ac:dyDescent="0.25">
      <c r="B372" s="412"/>
    </row>
    <row r="373" spans="2:2" ht="15" x14ac:dyDescent="0.25">
      <c r="B373" s="412"/>
    </row>
    <row r="374" spans="2:2" ht="15" x14ac:dyDescent="0.25">
      <c r="B374" s="412"/>
    </row>
    <row r="463" spans="2:3" x14ac:dyDescent="0.25">
      <c r="B463" s="174"/>
      <c r="C463" s="174"/>
    </row>
    <row r="464" spans="2:3" x14ac:dyDescent="0.25">
      <c r="B464" s="174"/>
      <c r="C464" s="174"/>
    </row>
    <row r="465" spans="2:3" x14ac:dyDescent="0.25">
      <c r="B465" s="175"/>
      <c r="C465" s="174"/>
    </row>
    <row r="466" spans="2:3" x14ac:dyDescent="0.25">
      <c r="B466" s="175"/>
      <c r="C466" s="174"/>
    </row>
    <row r="467" spans="2:3" x14ac:dyDescent="0.25">
      <c r="B467" s="174"/>
      <c r="C467" s="174"/>
    </row>
    <row r="468" spans="2:3" x14ac:dyDescent="0.25">
      <c r="B468" s="174"/>
      <c r="C468" s="174"/>
    </row>
    <row r="469" spans="2:3" x14ac:dyDescent="0.25">
      <c r="B469" s="174"/>
      <c r="C469" s="174"/>
    </row>
    <row r="470" spans="2:3" x14ac:dyDescent="0.25">
      <c r="B470" s="174"/>
      <c r="C470" s="174"/>
    </row>
    <row r="471" spans="2:3" x14ac:dyDescent="0.25">
      <c r="B471" s="174"/>
      <c r="C471" s="174"/>
    </row>
    <row r="472" spans="2:3" x14ac:dyDescent="0.25">
      <c r="B472" s="174"/>
      <c r="C472" s="174"/>
    </row>
    <row r="473" spans="2:3" x14ac:dyDescent="0.25">
      <c r="B473" s="174"/>
      <c r="C473" s="174"/>
    </row>
    <row r="474" spans="2:3" x14ac:dyDescent="0.25">
      <c r="B474" s="174"/>
      <c r="C474" s="174"/>
    </row>
    <row r="475" spans="2:3" x14ac:dyDescent="0.25">
      <c r="B475" s="174"/>
      <c r="C475" s="174"/>
    </row>
    <row r="476" spans="2:3" x14ac:dyDescent="0.25">
      <c r="B476" s="174"/>
      <c r="C476" s="174"/>
    </row>
    <row r="477" spans="2:3" x14ac:dyDescent="0.25">
      <c r="B477" s="174"/>
      <c r="C477" s="174"/>
    </row>
    <row r="478" spans="2:3" x14ac:dyDescent="0.25">
      <c r="B478" s="174"/>
      <c r="C478" s="174"/>
    </row>
    <row r="479" spans="2:3" x14ac:dyDescent="0.25">
      <c r="B479" s="174"/>
      <c r="C479" s="174"/>
    </row>
    <row r="480" spans="2:3" x14ac:dyDescent="0.25">
      <c r="B480" s="174"/>
      <c r="C480" s="178"/>
    </row>
    <row r="481" spans="2:4" x14ac:dyDescent="0.25">
      <c r="B481" s="174"/>
      <c r="C481" s="178"/>
    </row>
    <row r="482" spans="2:4" x14ac:dyDescent="0.25">
      <c r="B482" s="174"/>
      <c r="C482" s="178"/>
    </row>
    <row r="483" spans="2:4" x14ac:dyDescent="0.25">
      <c r="B483" s="174"/>
      <c r="C483" s="178"/>
    </row>
    <row r="484" spans="2:4" x14ac:dyDescent="0.25">
      <c r="B484" s="174"/>
      <c r="C484" s="174"/>
    </row>
    <row r="485" spans="2:4" x14ac:dyDescent="0.25">
      <c r="B485" s="174"/>
      <c r="C485" s="174"/>
    </row>
    <row r="486" spans="2:4" x14ac:dyDescent="0.25">
      <c r="B486" s="174"/>
      <c r="C486" s="174"/>
    </row>
    <row r="487" spans="2:4" x14ac:dyDescent="0.25">
      <c r="B487" s="174"/>
      <c r="C487" s="174"/>
    </row>
    <row r="490" spans="2:4" x14ac:dyDescent="0.25">
      <c r="D490" s="97"/>
    </row>
    <row r="491" spans="2:4" x14ac:dyDescent="0.25">
      <c r="D491" s="97"/>
    </row>
    <row r="492" spans="2:4" x14ac:dyDescent="0.25">
      <c r="D492" s="97"/>
    </row>
    <row r="493" spans="2:4" x14ac:dyDescent="0.25">
      <c r="D493" s="97"/>
    </row>
    <row r="494" spans="2:4" x14ac:dyDescent="0.25">
      <c r="D494" s="97"/>
    </row>
    <row r="495" spans="2:4" x14ac:dyDescent="0.25">
      <c r="D495" s="97"/>
    </row>
    <row r="496" spans="2:4" x14ac:dyDescent="0.25">
      <c r="D496" s="97"/>
    </row>
    <row r="498" spans="2:4" x14ac:dyDescent="0.25">
      <c r="D498" s="97"/>
    </row>
    <row r="500" spans="2:4" x14ac:dyDescent="0.25">
      <c r="D500" s="97"/>
    </row>
    <row r="501" spans="2:4" x14ac:dyDescent="0.25">
      <c r="D501" s="97"/>
    </row>
    <row r="502" spans="2:4" x14ac:dyDescent="0.25">
      <c r="D502" s="97"/>
    </row>
    <row r="503" spans="2:4" x14ac:dyDescent="0.25">
      <c r="D503" s="97"/>
    </row>
    <row r="504" spans="2:4" x14ac:dyDescent="0.25">
      <c r="B504" s="174"/>
      <c r="C504" s="174"/>
      <c r="D504" s="97"/>
    </row>
    <row r="505" spans="2:4" x14ac:dyDescent="0.25">
      <c r="B505" s="174"/>
      <c r="C505" s="174"/>
      <c r="D505" s="97"/>
    </row>
    <row r="506" spans="2:4" x14ac:dyDescent="0.25">
      <c r="B506" s="174"/>
      <c r="C506" s="174"/>
      <c r="D506" s="97"/>
    </row>
    <row r="507" spans="2:4" x14ac:dyDescent="0.25">
      <c r="B507" s="174"/>
      <c r="C507" s="174"/>
      <c r="D507" s="97"/>
    </row>
    <row r="508" spans="2:4" x14ac:dyDescent="0.25">
      <c r="B508" s="174"/>
      <c r="C508" s="174"/>
      <c r="D508" s="97"/>
    </row>
    <row r="509" spans="2:4" x14ac:dyDescent="0.25">
      <c r="B509" s="174"/>
      <c r="C509" s="174"/>
      <c r="D509" s="97"/>
    </row>
    <row r="510" spans="2:4" x14ac:dyDescent="0.25">
      <c r="B510" s="174"/>
      <c r="C510" s="174"/>
      <c r="D510" s="97"/>
    </row>
    <row r="511" spans="2:4" x14ac:dyDescent="0.25">
      <c r="B511" s="174"/>
      <c r="C511" s="174"/>
      <c r="D511" s="97"/>
    </row>
    <row r="512" spans="2:4" x14ac:dyDescent="0.25">
      <c r="B512" s="174"/>
      <c r="C512" s="174"/>
      <c r="D512" s="97"/>
    </row>
    <row r="525" spans="2:3" x14ac:dyDescent="0.25">
      <c r="B525" s="174"/>
      <c r="C525" s="174"/>
    </row>
    <row r="526" spans="2:3" x14ac:dyDescent="0.25">
      <c r="B526" s="174"/>
      <c r="C526" s="174"/>
    </row>
    <row r="527" spans="2:3" x14ac:dyDescent="0.25">
      <c r="B527" s="174"/>
      <c r="C527" s="174"/>
    </row>
    <row r="528" spans="2:3" x14ac:dyDescent="0.25">
      <c r="B528" s="174"/>
      <c r="C528" s="174"/>
    </row>
    <row r="529" spans="2:3" x14ac:dyDescent="0.25">
      <c r="B529" s="174"/>
      <c r="C529" s="174"/>
    </row>
    <row r="530" spans="2:3" x14ac:dyDescent="0.25">
      <c r="B530" s="174"/>
      <c r="C530" s="174"/>
    </row>
    <row r="531" spans="2:3" x14ac:dyDescent="0.25">
      <c r="B531" s="174"/>
      <c r="C531" s="174"/>
    </row>
    <row r="532" spans="2:3" x14ac:dyDescent="0.25">
      <c r="B532" s="174"/>
      <c r="C532" s="174"/>
    </row>
    <row r="533" spans="2:3" x14ac:dyDescent="0.25">
      <c r="B533" s="174"/>
      <c r="C533" s="174"/>
    </row>
    <row r="534" spans="2:3" x14ac:dyDescent="0.25">
      <c r="B534" s="174"/>
      <c r="C534" s="174"/>
    </row>
    <row r="535" spans="2:3" x14ac:dyDescent="0.25">
      <c r="B535" s="174"/>
      <c r="C535" s="174"/>
    </row>
    <row r="536" spans="2:3" x14ac:dyDescent="0.25">
      <c r="B536" s="174"/>
      <c r="C536" s="174"/>
    </row>
    <row r="537" spans="2:3" x14ac:dyDescent="0.25">
      <c r="B537" s="174"/>
      <c r="C537" s="174"/>
    </row>
    <row r="538" spans="2:3" x14ac:dyDescent="0.25">
      <c r="B538" s="174"/>
      <c r="C538" s="174"/>
    </row>
    <row r="539" spans="2:3" x14ac:dyDescent="0.25">
      <c r="B539" s="174"/>
      <c r="C539" s="174"/>
    </row>
    <row r="541" spans="2:3" x14ac:dyDescent="0.25">
      <c r="B541" s="174"/>
      <c r="C541" s="174"/>
    </row>
    <row r="542" spans="2:3" x14ac:dyDescent="0.25">
      <c r="B542" s="174"/>
      <c r="C542" s="174"/>
    </row>
    <row r="543" spans="2:3" x14ac:dyDescent="0.25">
      <c r="B543" s="174"/>
      <c r="C543" s="174"/>
    </row>
    <row r="544" spans="2:3" x14ac:dyDescent="0.25">
      <c r="B544" s="174"/>
      <c r="C544" s="174"/>
    </row>
    <row r="546" spans="2:3" x14ac:dyDescent="0.25">
      <c r="B546" s="174"/>
      <c r="C546" s="174"/>
    </row>
    <row r="547" spans="2:3" x14ac:dyDescent="0.25">
      <c r="B547" s="174"/>
      <c r="C547" s="174"/>
    </row>
    <row r="548" spans="2:3" x14ac:dyDescent="0.25">
      <c r="B548" s="174"/>
      <c r="C548" s="174"/>
    </row>
    <row r="552" spans="2:3" x14ac:dyDescent="0.25">
      <c r="B552" s="174"/>
      <c r="C552" s="174"/>
    </row>
  </sheetData>
  <sheetProtection formatCells="0" selectLockedCells="1"/>
  <mergeCells count="744">
    <mergeCell ref="B337:H338"/>
    <mergeCell ref="BI7:BJ7"/>
    <mergeCell ref="BI6:BJ6"/>
    <mergeCell ref="BQ2:BS2"/>
    <mergeCell ref="BN2:BP2"/>
    <mergeCell ref="BH5:BJ5"/>
    <mergeCell ref="BH2:BJ4"/>
    <mergeCell ref="BL2:BL5"/>
    <mergeCell ref="B327:D327"/>
    <mergeCell ref="AP51:AQ51"/>
    <mergeCell ref="AP50:AQ50"/>
    <mergeCell ref="AP33:AQ33"/>
    <mergeCell ref="AP32:AQ32"/>
    <mergeCell ref="AP15:AQ15"/>
    <mergeCell ref="AP14:AQ14"/>
    <mergeCell ref="AE38:BD38"/>
    <mergeCell ref="I45:J45"/>
    <mergeCell ref="C107:D107"/>
    <mergeCell ref="G24:I24"/>
    <mergeCell ref="C26:C27"/>
    <mergeCell ref="B26:B27"/>
    <mergeCell ref="C24:C25"/>
    <mergeCell ref="B24:B25"/>
    <mergeCell ref="C106:D106"/>
    <mergeCell ref="AP16:AQ16"/>
    <mergeCell ref="K54:K55"/>
    <mergeCell ref="L54:L55"/>
    <mergeCell ref="AE2:BD2"/>
    <mergeCell ref="AE20:BD20"/>
    <mergeCell ref="C28:C29"/>
    <mergeCell ref="I41:J41"/>
    <mergeCell ref="I42:J42"/>
    <mergeCell ref="I43:J43"/>
    <mergeCell ref="I44:J44"/>
    <mergeCell ref="B38:L38"/>
    <mergeCell ref="I39:J39"/>
    <mergeCell ref="I40:J40"/>
    <mergeCell ref="H31:I31"/>
    <mergeCell ref="H30:I30"/>
    <mergeCell ref="C30:C31"/>
    <mergeCell ref="B30:B31"/>
    <mergeCell ref="B28:B29"/>
    <mergeCell ref="B11:C11"/>
    <mergeCell ref="G14:I14"/>
    <mergeCell ref="G12:I12"/>
    <mergeCell ref="G21:I21"/>
    <mergeCell ref="G22:G23"/>
    <mergeCell ref="H22:H23"/>
    <mergeCell ref="G28:I28"/>
    <mergeCell ref="BH42:BJ42"/>
    <mergeCell ref="BH19:BJ19"/>
    <mergeCell ref="BH25:BJ25"/>
    <mergeCell ref="BI20:BJ20"/>
    <mergeCell ref="BI23:BJ23"/>
    <mergeCell ref="BI39:BJ39"/>
    <mergeCell ref="BI38:BJ38"/>
    <mergeCell ref="BI37:BJ37"/>
    <mergeCell ref="BI40:BJ40"/>
    <mergeCell ref="BH35:BJ35"/>
    <mergeCell ref="BI34:BJ34"/>
    <mergeCell ref="BI32:BJ32"/>
    <mergeCell ref="BI30:BJ30"/>
    <mergeCell ref="BH26:BH30"/>
    <mergeCell ref="I22:I23"/>
    <mergeCell ref="B80:D80"/>
    <mergeCell ref="C98:D98"/>
    <mergeCell ref="B99:D99"/>
    <mergeCell ref="C103:D103"/>
    <mergeCell ref="C221:D221"/>
    <mergeCell ref="C222:D222"/>
    <mergeCell ref="B235:E237"/>
    <mergeCell ref="C102:D102"/>
    <mergeCell ref="B113:D113"/>
    <mergeCell ref="C161:E161"/>
    <mergeCell ref="B104:D104"/>
    <mergeCell ref="C105:D105"/>
    <mergeCell ref="B123:J123"/>
    <mergeCell ref="C114:D114"/>
    <mergeCell ref="B233:E234"/>
    <mergeCell ref="B159:E160"/>
    <mergeCell ref="F221:F222"/>
    <mergeCell ref="I221:I222"/>
    <mergeCell ref="H221:H222"/>
    <mergeCell ref="G221:G222"/>
    <mergeCell ref="C110:D110"/>
    <mergeCell ref="N219:N220"/>
    <mergeCell ref="O219:O220"/>
    <mergeCell ref="F161:I161"/>
    <mergeCell ref="C219:D219"/>
    <mergeCell ref="C220:D220"/>
    <mergeCell ref="G219:G220"/>
    <mergeCell ref="I219:I220"/>
    <mergeCell ref="J219:J220"/>
    <mergeCell ref="B141:M141"/>
    <mergeCell ref="B173:D173"/>
    <mergeCell ref="H219:H220"/>
    <mergeCell ref="L219:L220"/>
    <mergeCell ref="M219:M220"/>
    <mergeCell ref="F219:F220"/>
    <mergeCell ref="V161:Y161"/>
    <mergeCell ref="W221:W222"/>
    <mergeCell ref="V221:V222"/>
    <mergeCell ref="U221:U222"/>
    <mergeCell ref="T221:T222"/>
    <mergeCell ref="S221:S222"/>
    <mergeCell ref="R238:U239"/>
    <mergeCell ref="P219:P220"/>
    <mergeCell ref="R219:R220"/>
    <mergeCell ref="S219:S220"/>
    <mergeCell ref="T219:T220"/>
    <mergeCell ref="P221:P222"/>
    <mergeCell ref="Z268:Z269"/>
    <mergeCell ref="AA268:AA269"/>
    <mergeCell ref="Y270:Y271"/>
    <mergeCell ref="X270:X271"/>
    <mergeCell ref="W270:W271"/>
    <mergeCell ref="U270:U271"/>
    <mergeCell ref="V274:V275"/>
    <mergeCell ref="X272:X273"/>
    <mergeCell ref="U268:U269"/>
    <mergeCell ref="W274:W275"/>
    <mergeCell ref="V270:V271"/>
    <mergeCell ref="Z274:Z275"/>
    <mergeCell ref="AA274:AA275"/>
    <mergeCell ref="W268:W269"/>
    <mergeCell ref="Y268:Y269"/>
    <mergeCell ref="X268:X269"/>
    <mergeCell ref="V268:V269"/>
    <mergeCell ref="Z252:Z253"/>
    <mergeCell ref="AA252:AA253"/>
    <mergeCell ref="AA248:AA249"/>
    <mergeCell ref="AB276:AB277"/>
    <mergeCell ref="AC276:AC277"/>
    <mergeCell ref="Z272:Z273"/>
    <mergeCell ref="AA272:AA273"/>
    <mergeCell ref="Z270:Z271"/>
    <mergeCell ref="AB266:AB267"/>
    <mergeCell ref="AC266:AC267"/>
    <mergeCell ref="AB268:AB269"/>
    <mergeCell ref="AC268:AC269"/>
    <mergeCell ref="Z266:Z267"/>
    <mergeCell ref="AA266:AA267"/>
    <mergeCell ref="Z276:Z277"/>
    <mergeCell ref="AA276:AA277"/>
    <mergeCell ref="AB248:AB249"/>
    <mergeCell ref="AC248:AC249"/>
    <mergeCell ref="Z250:Z251"/>
    <mergeCell ref="AA250:AA251"/>
    <mergeCell ref="AB252:AB253"/>
    <mergeCell ref="AC252:AC253"/>
    <mergeCell ref="AB272:AB273"/>
    <mergeCell ref="AC272:AC273"/>
    <mergeCell ref="AB274:AB275"/>
    <mergeCell ref="AC274:AC275"/>
    <mergeCell ref="AA270:AA271"/>
    <mergeCell ref="AB270:AB271"/>
    <mergeCell ref="AC270:AC271"/>
    <mergeCell ref="AB250:AB251"/>
    <mergeCell ref="AC250:AC251"/>
    <mergeCell ref="Z248:Z249"/>
    <mergeCell ref="AA290:AA291"/>
    <mergeCell ref="AB290:AB291"/>
    <mergeCell ref="AC290:AC291"/>
    <mergeCell ref="Z290:Z291"/>
    <mergeCell ref="AC280:AC281"/>
    <mergeCell ref="AC278:AC279"/>
    <mergeCell ref="AB280:AB281"/>
    <mergeCell ref="AB278:AB279"/>
    <mergeCell ref="AA280:AA281"/>
    <mergeCell ref="AA278:AA279"/>
    <mergeCell ref="Z280:Z281"/>
    <mergeCell ref="Z278:Z279"/>
    <mergeCell ref="AC284:AC285"/>
    <mergeCell ref="Z282:Z283"/>
    <mergeCell ref="AA282:AA283"/>
    <mergeCell ref="AB282:AB283"/>
    <mergeCell ref="AC282:AC283"/>
    <mergeCell ref="Z286:Z287"/>
    <mergeCell ref="AA286:AA287"/>
    <mergeCell ref="AB286:AB287"/>
    <mergeCell ref="AC286:AC287"/>
    <mergeCell ref="AC288:AC289"/>
    <mergeCell ref="Z284:Z285"/>
    <mergeCell ref="Q123:AC123"/>
    <mergeCell ref="N161:Q161"/>
    <mergeCell ref="U246:U247"/>
    <mergeCell ref="T246:T247"/>
    <mergeCell ref="S246:S247"/>
    <mergeCell ref="Q219:Q220"/>
    <mergeCell ref="R161:U161"/>
    <mergeCell ref="U219:U220"/>
    <mergeCell ref="O272:O273"/>
    <mergeCell ref="O268:O269"/>
    <mergeCell ref="S276:S277"/>
    <mergeCell ref="T276:T277"/>
    <mergeCell ref="R252:R253"/>
    <mergeCell ref="P268:P269"/>
    <mergeCell ref="Q268:Q269"/>
    <mergeCell ref="T274:T275"/>
    <mergeCell ref="U274:U275"/>
    <mergeCell ref="AC240:AC241"/>
    <mergeCell ref="Z246:Z247"/>
    <mergeCell ref="AA246:AA247"/>
    <mergeCell ref="R235:U235"/>
    <mergeCell ref="N235:Q235"/>
    <mergeCell ref="AB246:AB247"/>
    <mergeCell ref="AC246:AC247"/>
    <mergeCell ref="AC244:AC245"/>
    <mergeCell ref="Y246:Y247"/>
    <mergeCell ref="W244:W245"/>
    <mergeCell ref="AB242:AB243"/>
    <mergeCell ref="AC242:AC243"/>
    <mergeCell ref="X240:X241"/>
    <mergeCell ref="R240:R241"/>
    <mergeCell ref="S240:S241"/>
    <mergeCell ref="T240:T241"/>
    <mergeCell ref="U240:U241"/>
    <mergeCell ref="V240:V241"/>
    <mergeCell ref="R246:R247"/>
    <mergeCell ref="Z244:Z245"/>
    <mergeCell ref="AA244:AA245"/>
    <mergeCell ref="AA242:AA243"/>
    <mergeCell ref="N244:N245"/>
    <mergeCell ref="R242:R243"/>
    <mergeCell ref="Z161:AC161"/>
    <mergeCell ref="AB221:AB222"/>
    <mergeCell ref="V219:V220"/>
    <mergeCell ref="Q141:AC141"/>
    <mergeCell ref="AB244:AB245"/>
    <mergeCell ref="Z219:Z220"/>
    <mergeCell ref="W219:W220"/>
    <mergeCell ref="X219:X220"/>
    <mergeCell ref="Y219:Y220"/>
    <mergeCell ref="X221:X222"/>
    <mergeCell ref="Z242:Z243"/>
    <mergeCell ref="Y240:Y241"/>
    <mergeCell ref="V238:Y239"/>
    <mergeCell ref="Y242:Y243"/>
    <mergeCell ref="W242:W243"/>
    <mergeCell ref="V235:Y235"/>
    <mergeCell ref="AB219:AB220"/>
    <mergeCell ref="AC221:AC222"/>
    <mergeCell ref="T242:T243"/>
    <mergeCell ref="W240:W241"/>
    <mergeCell ref="Z240:Z241"/>
    <mergeCell ref="AA240:AA241"/>
    <mergeCell ref="AB240:AB241"/>
    <mergeCell ref="AA221:AA222"/>
    <mergeCell ref="Z221:Z222"/>
    <mergeCell ref="Y221:Y222"/>
    <mergeCell ref="Z238:AC239"/>
    <mergeCell ref="R221:R222"/>
    <mergeCell ref="AC219:AC220"/>
    <mergeCell ref="AA219:AA220"/>
    <mergeCell ref="Z235:AC235"/>
    <mergeCell ref="Q221:Q222"/>
    <mergeCell ref="H250:H251"/>
    <mergeCell ref="H248:H249"/>
    <mergeCell ref="L248:L249"/>
    <mergeCell ref="K248:K249"/>
    <mergeCell ref="J250:J251"/>
    <mergeCell ref="L250:L251"/>
    <mergeCell ref="K250:K251"/>
    <mergeCell ref="Y248:Y249"/>
    <mergeCell ref="X248:X249"/>
    <mergeCell ref="N248:N249"/>
    <mergeCell ref="Q246:Q247"/>
    <mergeCell ref="R248:R249"/>
    <mergeCell ref="N240:N241"/>
    <mergeCell ref="N238:Q239"/>
    <mergeCell ref="O244:O245"/>
    <mergeCell ref="O240:O241"/>
    <mergeCell ref="K221:K222"/>
    <mergeCell ref="J221:J222"/>
    <mergeCell ref="K244:K245"/>
    <mergeCell ref="K240:K241"/>
    <mergeCell ref="L240:L241"/>
    <mergeCell ref="H242:H243"/>
    <mergeCell ref="I242:I243"/>
    <mergeCell ref="B240:E241"/>
    <mergeCell ref="G244:G245"/>
    <mergeCell ref="J244:J245"/>
    <mergeCell ref="G240:G241"/>
    <mergeCell ref="H240:H241"/>
    <mergeCell ref="I240:I241"/>
    <mergeCell ref="J240:J241"/>
    <mergeCell ref="H244:H245"/>
    <mergeCell ref="F244:F245"/>
    <mergeCell ref="J235:M235"/>
    <mergeCell ref="F235:I235"/>
    <mergeCell ref="G248:G249"/>
    <mergeCell ref="F248:F249"/>
    <mergeCell ref="I244:I245"/>
    <mergeCell ref="G250:G251"/>
    <mergeCell ref="F250:F251"/>
    <mergeCell ref="I250:I251"/>
    <mergeCell ref="I248:I249"/>
    <mergeCell ref="B242:E243"/>
    <mergeCell ref="B244:E245"/>
    <mergeCell ref="B250:E251"/>
    <mergeCell ref="B246:E247"/>
    <mergeCell ref="G246:G247"/>
    <mergeCell ref="B248:E249"/>
    <mergeCell ref="F246:F247"/>
    <mergeCell ref="F242:F243"/>
    <mergeCell ref="G242:G243"/>
    <mergeCell ref="F266:F267"/>
    <mergeCell ref="G266:G267"/>
    <mergeCell ref="F252:F253"/>
    <mergeCell ref="B252:E253"/>
    <mergeCell ref="G272:G273"/>
    <mergeCell ref="E264:E265"/>
    <mergeCell ref="B266:C267"/>
    <mergeCell ref="D266:D267"/>
    <mergeCell ref="E268:E269"/>
    <mergeCell ref="B268:C269"/>
    <mergeCell ref="D268:D269"/>
    <mergeCell ref="F268:F269"/>
    <mergeCell ref="D272:D273"/>
    <mergeCell ref="I252:I253"/>
    <mergeCell ref="B264:C265"/>
    <mergeCell ref="H266:H267"/>
    <mergeCell ref="G252:G253"/>
    <mergeCell ref="I266:I267"/>
    <mergeCell ref="B274:C275"/>
    <mergeCell ref="B272:C273"/>
    <mergeCell ref="E270:E271"/>
    <mergeCell ref="L268:L269"/>
    <mergeCell ref="K268:K269"/>
    <mergeCell ref="K266:K267"/>
    <mergeCell ref="D264:D265"/>
    <mergeCell ref="H252:H253"/>
    <mergeCell ref="H268:H269"/>
    <mergeCell ref="D274:D275"/>
    <mergeCell ref="E272:E273"/>
    <mergeCell ref="D270:D271"/>
    <mergeCell ref="J270:J271"/>
    <mergeCell ref="E266:E267"/>
    <mergeCell ref="G268:G269"/>
    <mergeCell ref="G270:G271"/>
    <mergeCell ref="F274:F275"/>
    <mergeCell ref="J266:J267"/>
    <mergeCell ref="I268:I269"/>
    <mergeCell ref="B282:C283"/>
    <mergeCell ref="L274:L275"/>
    <mergeCell ref="F272:F273"/>
    <mergeCell ref="H272:H273"/>
    <mergeCell ref="I272:I273"/>
    <mergeCell ref="H270:H271"/>
    <mergeCell ref="F270:F271"/>
    <mergeCell ref="L272:L273"/>
    <mergeCell ref="E276:E277"/>
    <mergeCell ref="K274:K275"/>
    <mergeCell ref="H276:H277"/>
    <mergeCell ref="J274:J275"/>
    <mergeCell ref="F276:F277"/>
    <mergeCell ref="E274:E275"/>
    <mergeCell ref="I276:I277"/>
    <mergeCell ref="J276:J277"/>
    <mergeCell ref="I274:I275"/>
    <mergeCell ref="G276:G277"/>
    <mergeCell ref="G274:G275"/>
    <mergeCell ref="H274:H275"/>
    <mergeCell ref="B270:C271"/>
    <mergeCell ref="I270:I271"/>
    <mergeCell ref="B276:C277"/>
    <mergeCell ref="D276:D277"/>
    <mergeCell ref="H292:H293"/>
    <mergeCell ref="I292:I293"/>
    <mergeCell ref="F292:F293"/>
    <mergeCell ref="F286:F287"/>
    <mergeCell ref="G286:G287"/>
    <mergeCell ref="B278:C279"/>
    <mergeCell ref="B284:C285"/>
    <mergeCell ref="G284:G285"/>
    <mergeCell ref="H284:H285"/>
    <mergeCell ref="I284:I285"/>
    <mergeCell ref="F284:F285"/>
    <mergeCell ref="F282:F283"/>
    <mergeCell ref="I282:I283"/>
    <mergeCell ref="G282:G283"/>
    <mergeCell ref="B280:C281"/>
    <mergeCell ref="H282:H283"/>
    <mergeCell ref="D284:D285"/>
    <mergeCell ref="D282:D283"/>
    <mergeCell ref="D278:D279"/>
    <mergeCell ref="D280:D281"/>
    <mergeCell ref="H280:H281"/>
    <mergeCell ref="E282:E283"/>
    <mergeCell ref="E280:E281"/>
    <mergeCell ref="E278:E279"/>
    <mergeCell ref="G292:G293"/>
    <mergeCell ref="B286:C287"/>
    <mergeCell ref="E286:E287"/>
    <mergeCell ref="B292:C293"/>
    <mergeCell ref="E288:E289"/>
    <mergeCell ref="D286:D287"/>
    <mergeCell ref="D288:D289"/>
    <mergeCell ref="B288:C289"/>
    <mergeCell ref="D292:D293"/>
    <mergeCell ref="E292:E293"/>
    <mergeCell ref="B290:C291"/>
    <mergeCell ref="D290:D291"/>
    <mergeCell ref="E290:E291"/>
    <mergeCell ref="F290:F291"/>
    <mergeCell ref="G290:G291"/>
    <mergeCell ref="E284:E285"/>
    <mergeCell ref="G288:G289"/>
    <mergeCell ref="F288:F289"/>
    <mergeCell ref="H278:H279"/>
    <mergeCell ref="K278:K279"/>
    <mergeCell ref="L278:L279"/>
    <mergeCell ref="J280:J281"/>
    <mergeCell ref="H286:H287"/>
    <mergeCell ref="I288:I289"/>
    <mergeCell ref="H288:H289"/>
    <mergeCell ref="F280:F281"/>
    <mergeCell ref="F278:F279"/>
    <mergeCell ref="G280:G281"/>
    <mergeCell ref="G278:G279"/>
    <mergeCell ref="H290:H291"/>
    <mergeCell ref="I290:I291"/>
    <mergeCell ref="J290:J291"/>
    <mergeCell ref="K288:K289"/>
    <mergeCell ref="J286:J287"/>
    <mergeCell ref="N290:N291"/>
    <mergeCell ref="N280:N281"/>
    <mergeCell ref="N278:N279"/>
    <mergeCell ref="M290:M291"/>
    <mergeCell ref="N288:N289"/>
    <mergeCell ref="N286:N287"/>
    <mergeCell ref="J282:J283"/>
    <mergeCell ref="K286:K287"/>
    <mergeCell ref="J288:J289"/>
    <mergeCell ref="K290:K291"/>
    <mergeCell ref="L290:L291"/>
    <mergeCell ref="M288:M289"/>
    <mergeCell ref="N282:N283"/>
    <mergeCell ref="K280:K281"/>
    <mergeCell ref="M284:M285"/>
    <mergeCell ref="L280:L281"/>
    <mergeCell ref="M278:M279"/>
    <mergeCell ref="L282:L283"/>
    <mergeCell ref="I280:I281"/>
    <mergeCell ref="O288:O289"/>
    <mergeCell ref="N284:N285"/>
    <mergeCell ref="O284:O285"/>
    <mergeCell ref="J272:J273"/>
    <mergeCell ref="L270:L271"/>
    <mergeCell ref="M272:M273"/>
    <mergeCell ref="M268:M269"/>
    <mergeCell ref="M252:M253"/>
    <mergeCell ref="M266:M267"/>
    <mergeCell ref="J268:J269"/>
    <mergeCell ref="O286:O287"/>
    <mergeCell ref="L286:L287"/>
    <mergeCell ref="M286:M287"/>
    <mergeCell ref="M280:M281"/>
    <mergeCell ref="O282:O283"/>
    <mergeCell ref="L284:L285"/>
    <mergeCell ref="J278:J279"/>
    <mergeCell ref="K272:K273"/>
    <mergeCell ref="N268:N269"/>
    <mergeCell ref="N266:N267"/>
    <mergeCell ref="L252:L253"/>
    <mergeCell ref="L266:L267"/>
    <mergeCell ref="K252:K253"/>
    <mergeCell ref="K270:K271"/>
    <mergeCell ref="M270:M271"/>
    <mergeCell ref="N252:N253"/>
    <mergeCell ref="N270:N271"/>
    <mergeCell ref="N272:N273"/>
    <mergeCell ref="R268:R269"/>
    <mergeCell ref="S268:S269"/>
    <mergeCell ref="T272:T273"/>
    <mergeCell ref="R270:R271"/>
    <mergeCell ref="O280:O281"/>
    <mergeCell ref="O278:O279"/>
    <mergeCell ref="Q280:Q281"/>
    <mergeCell ref="Q278:Q279"/>
    <mergeCell ref="Q272:Q273"/>
    <mergeCell ref="S272:S273"/>
    <mergeCell ref="Q274:Q275"/>
    <mergeCell ref="R276:R277"/>
    <mergeCell ref="M274:M275"/>
    <mergeCell ref="O290:O291"/>
    <mergeCell ref="L288:L289"/>
    <mergeCell ref="Q284:Q285"/>
    <mergeCell ref="W248:W249"/>
    <mergeCell ref="T268:T269"/>
    <mergeCell ref="T270:T271"/>
    <mergeCell ref="S270:S271"/>
    <mergeCell ref="V248:V249"/>
    <mergeCell ref="U248:U249"/>
    <mergeCell ref="T248:T249"/>
    <mergeCell ref="S248:S249"/>
    <mergeCell ref="W250:W251"/>
    <mergeCell ref="V250:V251"/>
    <mergeCell ref="U250:U251"/>
    <mergeCell ref="T250:T251"/>
    <mergeCell ref="S250:S251"/>
    <mergeCell ref="T252:T253"/>
    <mergeCell ref="S252:S253"/>
    <mergeCell ref="R250:R251"/>
    <mergeCell ref="V278:V279"/>
    <mergeCell ref="V282:V283"/>
    <mergeCell ref="S280:S281"/>
    <mergeCell ref="T282:T283"/>
    <mergeCell ref="V272:V273"/>
    <mergeCell ref="Y290:Y291"/>
    <mergeCell ref="U290:U291"/>
    <mergeCell ref="X290:X291"/>
    <mergeCell ref="V290:V291"/>
    <mergeCell ref="W290:W291"/>
    <mergeCell ref="X282:X283"/>
    <mergeCell ref="U288:U289"/>
    <mergeCell ref="N276:N277"/>
    <mergeCell ref="N274:N275"/>
    <mergeCell ref="R278:R279"/>
    <mergeCell ref="S274:S275"/>
    <mergeCell ref="O276:O277"/>
    <mergeCell ref="R282:R283"/>
    <mergeCell ref="Q282:Q283"/>
    <mergeCell ref="V288:V289"/>
    <mergeCell ref="U276:U277"/>
    <mergeCell ref="P288:P289"/>
    <mergeCell ref="T288:T289"/>
    <mergeCell ref="Q288:Q289"/>
    <mergeCell ref="P286:P287"/>
    <mergeCell ref="P274:P275"/>
    <mergeCell ref="Q290:Q291"/>
    <mergeCell ref="R290:R291"/>
    <mergeCell ref="P290:P291"/>
    <mergeCell ref="L292:L293"/>
    <mergeCell ref="M292:M293"/>
    <mergeCell ref="N292:N293"/>
    <mergeCell ref="O292:O293"/>
    <mergeCell ref="P292:P293"/>
    <mergeCell ref="Q292:Q293"/>
    <mergeCell ref="R292:R293"/>
    <mergeCell ref="S292:S293"/>
    <mergeCell ref="T292:T293"/>
    <mergeCell ref="AB284:AB285"/>
    <mergeCell ref="S284:S285"/>
    <mergeCell ref="T284:T285"/>
    <mergeCell ref="U284:U285"/>
    <mergeCell ref="X288:X289"/>
    <mergeCell ref="Z288:Z289"/>
    <mergeCell ref="AA288:AA289"/>
    <mergeCell ref="AB288:AB289"/>
    <mergeCell ref="AC292:AC293"/>
    <mergeCell ref="Z292:Z293"/>
    <mergeCell ref="AA292:AA293"/>
    <mergeCell ref="AB292:AB293"/>
    <mergeCell ref="U292:U293"/>
    <mergeCell ref="V292:V293"/>
    <mergeCell ref="W292:W293"/>
    <mergeCell ref="X292:X293"/>
    <mergeCell ref="Y292:Y293"/>
    <mergeCell ref="S290:S291"/>
    <mergeCell ref="T290:T291"/>
    <mergeCell ref="S288:S289"/>
    <mergeCell ref="Y286:Y287"/>
    <mergeCell ref="Y288:Y289"/>
    <mergeCell ref="X286:X287"/>
    <mergeCell ref="W284:W285"/>
    <mergeCell ref="AA284:AA285"/>
    <mergeCell ref="Y282:Y283"/>
    <mergeCell ref="W282:W283"/>
    <mergeCell ref="U282:U283"/>
    <mergeCell ref="X284:X285"/>
    <mergeCell ref="Y284:Y285"/>
    <mergeCell ref="W288:W289"/>
    <mergeCell ref="W286:W287"/>
    <mergeCell ref="U286:U287"/>
    <mergeCell ref="V286:V287"/>
    <mergeCell ref="V284:V285"/>
    <mergeCell ref="R288:R289"/>
    <mergeCell ref="R286:R287"/>
    <mergeCell ref="P266:P267"/>
    <mergeCell ref="U252:U253"/>
    <mergeCell ref="W266:W267"/>
    <mergeCell ref="Q250:Q251"/>
    <mergeCell ref="Q252:Q253"/>
    <mergeCell ref="T266:T267"/>
    <mergeCell ref="P252:P253"/>
    <mergeCell ref="S286:S287"/>
    <mergeCell ref="T286:T287"/>
    <mergeCell ref="U278:U279"/>
    <mergeCell ref="T278:T279"/>
    <mergeCell ref="S278:S279"/>
    <mergeCell ref="P276:P277"/>
    <mergeCell ref="P278:P279"/>
    <mergeCell ref="P280:P281"/>
    <mergeCell ref="R284:R285"/>
    <mergeCell ref="P284:P285"/>
    <mergeCell ref="P282:P283"/>
    <mergeCell ref="S282:S283"/>
    <mergeCell ref="Q286:Q287"/>
    <mergeCell ref="Q276:Q277"/>
    <mergeCell ref="S266:S267"/>
    <mergeCell ref="Y280:Y281"/>
    <mergeCell ref="Y278:Y279"/>
    <mergeCell ref="U280:U281"/>
    <mergeCell ref="T280:T281"/>
    <mergeCell ref="X280:X281"/>
    <mergeCell ref="X278:X279"/>
    <mergeCell ref="W280:W281"/>
    <mergeCell ref="Y272:Y273"/>
    <mergeCell ref="X274:X275"/>
    <mergeCell ref="Y274:Y275"/>
    <mergeCell ref="U272:U273"/>
    <mergeCell ref="W278:W279"/>
    <mergeCell ref="Y276:Y277"/>
    <mergeCell ref="W276:W277"/>
    <mergeCell ref="V276:V277"/>
    <mergeCell ref="V280:V281"/>
    <mergeCell ref="Y252:Y253"/>
    <mergeCell ref="X252:X253"/>
    <mergeCell ref="X266:X267"/>
    <mergeCell ref="Y266:Y267"/>
    <mergeCell ref="V266:V267"/>
    <mergeCell ref="W252:W253"/>
    <mergeCell ref="X250:X251"/>
    <mergeCell ref="V252:V253"/>
    <mergeCell ref="Y250:Y251"/>
    <mergeCell ref="Y244:Y245"/>
    <mergeCell ref="X244:X245"/>
    <mergeCell ref="U242:U243"/>
    <mergeCell ref="V242:V243"/>
    <mergeCell ref="S244:S245"/>
    <mergeCell ref="V244:V245"/>
    <mergeCell ref="U244:U245"/>
    <mergeCell ref="N246:N247"/>
    <mergeCell ref="V246:V247"/>
    <mergeCell ref="Q244:Q245"/>
    <mergeCell ref="W246:W247"/>
    <mergeCell ref="T244:T245"/>
    <mergeCell ref="P246:P247"/>
    <mergeCell ref="N242:N243"/>
    <mergeCell ref="O242:O243"/>
    <mergeCell ref="P242:P243"/>
    <mergeCell ref="Q242:Q243"/>
    <mergeCell ref="S242:S243"/>
    <mergeCell ref="P244:P245"/>
    <mergeCell ref="R244:R245"/>
    <mergeCell ref="O246:O247"/>
    <mergeCell ref="X246:X247"/>
    <mergeCell ref="X242:X243"/>
    <mergeCell ref="M248:M249"/>
    <mergeCell ref="J238:M239"/>
    <mergeCell ref="O252:O253"/>
    <mergeCell ref="P248:P249"/>
    <mergeCell ref="O248:O249"/>
    <mergeCell ref="Q248:Q249"/>
    <mergeCell ref="Q240:Q241"/>
    <mergeCell ref="L246:L247"/>
    <mergeCell ref="J242:J243"/>
    <mergeCell ref="K242:K243"/>
    <mergeCell ref="L242:L243"/>
    <mergeCell ref="M242:M243"/>
    <mergeCell ref="M244:M245"/>
    <mergeCell ref="L244:L245"/>
    <mergeCell ref="P240:P241"/>
    <mergeCell ref="M240:M241"/>
    <mergeCell ref="M246:M247"/>
    <mergeCell ref="P250:P251"/>
    <mergeCell ref="O250:O251"/>
    <mergeCell ref="J248:J249"/>
    <mergeCell ref="N250:N251"/>
    <mergeCell ref="J252:J253"/>
    <mergeCell ref="M250:M251"/>
    <mergeCell ref="B52:L53"/>
    <mergeCell ref="C101:D101"/>
    <mergeCell ref="B238:E239"/>
    <mergeCell ref="F238:I239"/>
    <mergeCell ref="K246:K247"/>
    <mergeCell ref="J246:J247"/>
    <mergeCell ref="I246:I247"/>
    <mergeCell ref="M221:M222"/>
    <mergeCell ref="O221:O222"/>
    <mergeCell ref="N221:N222"/>
    <mergeCell ref="H246:H247"/>
    <mergeCell ref="F240:F241"/>
    <mergeCell ref="B116:D116"/>
    <mergeCell ref="K219:K220"/>
    <mergeCell ref="C111:D111"/>
    <mergeCell ref="B161:B162"/>
    <mergeCell ref="B174:E174"/>
    <mergeCell ref="B218:D218"/>
    <mergeCell ref="C108:D108"/>
    <mergeCell ref="C109:D109"/>
    <mergeCell ref="C112:D112"/>
    <mergeCell ref="J161:M161"/>
    <mergeCell ref="L123:O123"/>
    <mergeCell ref="L221:L222"/>
    <mergeCell ref="N320:Q320"/>
    <mergeCell ref="R320:U320"/>
    <mergeCell ref="V320:Y320"/>
    <mergeCell ref="Z320:AC320"/>
    <mergeCell ref="F264:I264"/>
    <mergeCell ref="J264:M264"/>
    <mergeCell ref="N264:Q264"/>
    <mergeCell ref="R264:U264"/>
    <mergeCell ref="V264:Y264"/>
    <mergeCell ref="Z264:AC264"/>
    <mergeCell ref="O266:O267"/>
    <mergeCell ref="Q266:Q267"/>
    <mergeCell ref="Q270:Q271"/>
    <mergeCell ref="R274:R275"/>
    <mergeCell ref="P272:P273"/>
    <mergeCell ref="P270:P271"/>
    <mergeCell ref="O270:O271"/>
    <mergeCell ref="O274:O275"/>
    <mergeCell ref="R280:R281"/>
    <mergeCell ref="W272:W273"/>
    <mergeCell ref="R272:R273"/>
    <mergeCell ref="U266:U267"/>
    <mergeCell ref="R266:R267"/>
    <mergeCell ref="X276:X277"/>
    <mergeCell ref="B22:C22"/>
    <mergeCell ref="BV21:BW21"/>
    <mergeCell ref="BV20:BW20"/>
    <mergeCell ref="BV19:BW19"/>
    <mergeCell ref="B318:E319"/>
    <mergeCell ref="E320:E321"/>
    <mergeCell ref="D320:D321"/>
    <mergeCell ref="C320:C321"/>
    <mergeCell ref="B320:B321"/>
    <mergeCell ref="B297:C298"/>
    <mergeCell ref="B262:E263"/>
    <mergeCell ref="F320:I320"/>
    <mergeCell ref="J320:M320"/>
    <mergeCell ref="J292:J293"/>
    <mergeCell ref="M282:M283"/>
    <mergeCell ref="K282:K283"/>
    <mergeCell ref="K284:K285"/>
    <mergeCell ref="K292:K293"/>
    <mergeCell ref="M276:M277"/>
    <mergeCell ref="J284:J285"/>
    <mergeCell ref="I286:I287"/>
    <mergeCell ref="K276:K277"/>
    <mergeCell ref="L276:L277"/>
    <mergeCell ref="I278:I279"/>
  </mergeCells>
  <phoneticPr fontId="55" type="noConversion"/>
  <conditionalFormatting sqref="B40:B44 D40:L44">
    <cfRule type="expression" dxfId="71" priority="11">
      <formula>$C40=0</formula>
    </cfRule>
  </conditionalFormatting>
  <conditionalFormatting sqref="B55:C55">
    <cfRule type="expression" dxfId="70" priority="8">
      <formula>$C55=0</formula>
    </cfRule>
  </conditionalFormatting>
  <conditionalFormatting sqref="B82:C97 E82:E97">
    <cfRule type="expression" dxfId="69" priority="15">
      <formula>$D82=0</formula>
    </cfRule>
  </conditionalFormatting>
  <conditionalFormatting sqref="B264:C265">
    <cfRule type="dataBar" priority="71">
      <dataBar>
        <cfvo type="num" val="$R$135"/>
        <cfvo type="num" val="0"/>
        <color rgb="FFF0EAE4"/>
      </dataBar>
      <extLst>
        <ext xmlns:x14="http://schemas.microsoft.com/office/spreadsheetml/2009/9/main" uri="{B025F937-C7B1-47D3-B67F-A62EFF666E3E}">
          <x14:id>{52D739D3-4CB8-48B3-B24F-96557B44A07A}</x14:id>
        </ext>
      </extLst>
    </cfRule>
    <cfRule type="cellIs" dxfId="68" priority="51" operator="greaterThan">
      <formula>0</formula>
    </cfRule>
  </conditionalFormatting>
  <conditionalFormatting sqref="B143:D152 F143:M152">
    <cfRule type="expression" dxfId="67" priority="22">
      <formula>$E143=0</formula>
    </cfRule>
  </conditionalFormatting>
  <conditionalFormatting sqref="B125:G134 I125:J134">
    <cfRule type="expression" dxfId="66" priority="17">
      <formula>$H125=0</formula>
    </cfRule>
  </conditionalFormatting>
  <conditionalFormatting sqref="B55:J55">
    <cfRule type="expression" dxfId="65" priority="9">
      <formula>OR(AND(ISNUMBER(B55), ABS(B55) &lt; 0.0000001), B55="0", B55="0.00%")</formula>
    </cfRule>
  </conditionalFormatting>
  <conditionalFormatting sqref="C21 C24:C31 C219:D222">
    <cfRule type="cellIs" dxfId="64" priority="10" operator="lessThan">
      <formula>0</formula>
    </cfRule>
  </conditionalFormatting>
  <conditionalFormatting sqref="C67">
    <cfRule type="cellIs" dxfId="63" priority="12" operator="lessThan">
      <formula>-0.0001</formula>
    </cfRule>
  </conditionalFormatting>
  <conditionalFormatting sqref="F322:AC327">
    <cfRule type="expression" dxfId="62" priority="3">
      <formula>OR(AND(ISNUMBER(F322), ABS(F322) &lt; 0.0000001), F322="0", F322="0.00%")</formula>
    </cfRule>
  </conditionalFormatting>
  <conditionalFormatting sqref="H31:I31">
    <cfRule type="cellIs" dxfId="61" priority="26" operator="greaterThan">
      <formula>1</formula>
    </cfRule>
  </conditionalFormatting>
  <conditionalFormatting sqref="I29">
    <cfRule type="containsText" dxfId="60" priority="4" operator="containsText" text="TRUE">
      <formula>NOT(ISERROR(SEARCH("TRUE",I29)))</formula>
    </cfRule>
  </conditionalFormatting>
  <conditionalFormatting sqref="L25:L26">
    <cfRule type="cellIs" dxfId="59" priority="25" operator="equal">
      <formula>0</formula>
    </cfRule>
  </conditionalFormatting>
  <conditionalFormatting sqref="L125:M134">
    <cfRule type="expression" dxfId="58" priority="18">
      <formula>$O125=0</formula>
    </cfRule>
  </conditionalFormatting>
  <conditionalFormatting sqref="Q125:Q134 S125:AC134">
    <cfRule type="expression" dxfId="57" priority="19">
      <formula>$R125=0</formula>
    </cfRule>
  </conditionalFormatting>
  <conditionalFormatting sqref="Q143:T152 V143:AC152">
    <cfRule type="expression" dxfId="56" priority="20">
      <formula>$U143=0</formula>
    </cfRule>
  </conditionalFormatting>
  <conditionalFormatting sqref="AE4:AQ13">
    <cfRule type="expression" dxfId="55" priority="58">
      <formula>OR(AND(ISNUMBER(AE4), ABS(AE4) &lt; 0.0000001), AE4="0", AE4="0.00%")</formula>
    </cfRule>
  </conditionalFormatting>
  <conditionalFormatting sqref="AE40:AZ49">
    <cfRule type="expression" dxfId="54" priority="105">
      <formula>OR(AND(ISNUMBER(AE40), ABS(AE40) &lt; 0.0000001), AE40="0", AE40="0.00%")</formula>
    </cfRule>
  </conditionalFormatting>
  <conditionalFormatting sqref="AF22:AQ31">
    <cfRule type="expression" dxfId="53" priority="54">
      <formula>OR(AND(ISNUMBER(AF22), ABS(AF22) &lt; 0.0000001), AF22="0", AF22="0.00%")</formula>
    </cfRule>
  </conditionalFormatting>
  <conditionalFormatting sqref="AF15:BD15 AF33:BD33 AF51:BD51">
    <cfRule type="containsText" dxfId="52" priority="5" operator="containsText" text="FALSE">
      <formula>NOT(ISERROR(SEARCH("FALSE",AF15)))</formula>
    </cfRule>
    <cfRule type="containsText" dxfId="51" priority="6" operator="containsText" text="TRUE">
      <formula>NOT(ISERROR(SEARCH("TRUE",AF15)))</formula>
    </cfRule>
  </conditionalFormatting>
  <conditionalFormatting sqref="AO50:AP51 AR50:AZ51">
    <cfRule type="expression" dxfId="50" priority="109">
      <formula>OR(AND(ISNUMBER(AO50), ABS(AO50) &lt; 0.0000001), AO50="0", AO50="0.00%")</formula>
    </cfRule>
  </conditionalFormatting>
  <conditionalFormatting sqref="AR22:BA31 AO21:BA21">
    <cfRule type="expression" dxfId="49" priority="79">
      <formula>OR(AND(ISNUMBER(AO21), ABS(AO21) &lt; 0.0000001), AO21="0", AO21="0.00%")</formula>
    </cfRule>
  </conditionalFormatting>
  <conditionalFormatting sqref="AR4:BC15">
    <cfRule type="expression" dxfId="48" priority="116">
      <formula>OR(AND(ISNUMBER(AR4), ABS(AR4) &lt; 0.0000001), AR4="0", AR4="0.00%")</formula>
    </cfRule>
  </conditionalFormatting>
  <conditionalFormatting sqref="AY4:AY13 AY22:AY31 AY40:AY49">
    <cfRule type="containsText" dxfId="47" priority="50" operator="containsText" text="0.00">
      <formula>NOT(ISERROR(SEARCH("0.00",AY4)))</formula>
    </cfRule>
  </conditionalFormatting>
  <conditionalFormatting sqref="BA4:BA13 BA22:BA31 BA40:BA49">
    <cfRule type="containsText" dxfId="46" priority="75" operator="containsText" text="0.00">
      <formula>NOT(ISERROR(SEARCH("0.00",BA4)))</formula>
    </cfRule>
    <cfRule type="cellIs" dxfId="45" priority="76" operator="equal">
      <formula>0</formula>
    </cfRule>
    <cfRule type="cellIs" dxfId="44" priority="77" operator="lessThan">
      <formula>1</formula>
    </cfRule>
    <cfRule type="cellIs" dxfId="43" priority="78" operator="greaterThan">
      <formula>1</formula>
    </cfRule>
  </conditionalFormatting>
  <conditionalFormatting sqref="BA40:BD51">
    <cfRule type="expression" dxfId="42" priority="82">
      <formula>OR(AND(ISNUMBER(BA40), ABS(BA40) &lt; 0.0000001), BA40="0", BA40="0.00%")</formula>
    </cfRule>
  </conditionalFormatting>
  <conditionalFormatting sqref="BB22:BC33">
    <cfRule type="expression" dxfId="41" priority="91">
      <formula>OR(AND(ISNUMBER(BB22), ABS(BB22) &lt; 0.0000001), BB22="0", BB22="0.00%")</formula>
    </cfRule>
  </conditionalFormatting>
  <conditionalFormatting sqref="BB4:BD14 BB22:BD32 BB40:BD50">
    <cfRule type="cellIs" dxfId="40" priority="7" operator="lessThan">
      <formula>0</formula>
    </cfRule>
  </conditionalFormatting>
  <conditionalFormatting sqref="BD4:BD16 BD21:BD31 AO14:AP16 AP18:BA18 AP19:BB19 L56">
    <cfRule type="expression" dxfId="39" priority="153">
      <formula>OR(AND(ISNUMBER(L4), ABS(L4) &lt; 0.0000001), L4="0", L4="0.00%")</formula>
    </cfRule>
  </conditionalFormatting>
  <conditionalFormatting sqref="BN3:BS13">
    <cfRule type="expression" dxfId="38" priority="94">
      <formula>OR(AND(ISNUMBER(BN3), ABS(BN3) &lt; 0.0000001), BN3="0", BN3="0.00%")</formula>
    </cfRule>
  </conditionalFormatting>
  <conditionalFormatting sqref="BV10:CB17">
    <cfRule type="expression" dxfId="37" priority="60">
      <formula>OR(AND(ISNUMBER(BV10), ABS(BV10) &lt; 0.0000001), BV10="0", BV10="0.00%")</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52D739D3-4CB8-48B3-B24F-96557B44A07A}">
            <x14:dataBar minLength="0" maxLength="100">
              <x14:cfvo type="num">
                <xm:f>$R$135</xm:f>
              </x14:cfvo>
              <x14:cfvo type="num">
                <xm:f>0</xm:f>
              </x14:cfvo>
              <x14:negativeFillColor rgb="FFFF0000"/>
              <x14:axisColor rgb="FF000000"/>
            </x14:dataBar>
          </x14:cfRule>
          <xm:sqref>B264:C265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323B-D381-4623-80ED-3A7EF9817747}">
  <sheetPr codeName="Worksheet____2">
    <pageSetUpPr fitToPage="1"/>
  </sheetPr>
  <dimension ref="B1:BQ181"/>
  <sheetViews>
    <sheetView showGridLines="0" rightToLeft="1" view="pageBreakPreview" zoomScale="70" zoomScaleNormal="70" zoomScaleSheetLayoutView="70" workbookViewId="0">
      <selection activeCell="N2" sqref="N2"/>
    </sheetView>
  </sheetViews>
  <sheetFormatPr defaultColWidth="9" defaultRowHeight="18.75" x14ac:dyDescent="0.25"/>
  <cols>
    <col min="1" max="1" width="1.140625" style="52" customWidth="1"/>
    <col min="2" max="2" width="6.140625" style="52" customWidth="1"/>
    <col min="3" max="3" width="91.42578125" style="51" bestFit="1" customWidth="1"/>
    <col min="4" max="4" width="17.85546875" style="52" bestFit="1" customWidth="1"/>
    <col min="5" max="5" width="15.7109375" style="52" bestFit="1" customWidth="1"/>
    <col min="6" max="7" width="9.5703125" style="52" bestFit="1" customWidth="1"/>
    <col min="8" max="8" width="26.42578125" style="52" bestFit="1" customWidth="1"/>
    <col min="9" max="9" width="22.7109375" style="52" bestFit="1" customWidth="1"/>
    <col min="10" max="10" width="28" style="52" bestFit="1" customWidth="1"/>
    <col min="11" max="11" width="19.7109375" style="52" bestFit="1" customWidth="1"/>
    <col min="12" max="12" width="9" style="52" customWidth="1"/>
    <col min="13" max="13" width="9" style="78" customWidth="1"/>
    <col min="14" max="14" width="9" style="78"/>
    <col min="15" max="15" width="9" style="78" customWidth="1"/>
    <col min="16" max="17" width="9" style="78"/>
    <col min="18" max="18" width="13.140625" style="78" bestFit="1" customWidth="1"/>
    <col min="19" max="19" width="16" style="78" bestFit="1" customWidth="1"/>
    <col min="20" max="21" width="14.28515625" style="78" bestFit="1" customWidth="1"/>
    <col min="22" max="23" width="2.42578125" style="78" bestFit="1" customWidth="1"/>
    <col min="24" max="24" width="7.42578125" style="78" bestFit="1" customWidth="1"/>
    <col min="25" max="25" width="7.85546875" style="78" bestFit="1" customWidth="1"/>
    <col min="26" max="26" width="8.5703125" style="78" bestFit="1" customWidth="1"/>
    <col min="27" max="27" width="8.42578125" style="78" bestFit="1" customWidth="1"/>
    <col min="28" max="29" width="8.85546875" style="78" bestFit="1" customWidth="1"/>
    <col min="30" max="30" width="8.5703125" style="78" bestFit="1" customWidth="1"/>
    <col min="31" max="31" width="8.85546875" style="78" bestFit="1" customWidth="1"/>
    <col min="32" max="32" width="8.5703125" style="78" bestFit="1" customWidth="1"/>
    <col min="33" max="33" width="8.7109375" style="78" bestFit="1" customWidth="1"/>
    <col min="34" max="34" width="7.7109375" style="52" bestFit="1" customWidth="1"/>
    <col min="35" max="35" width="8.85546875" style="52" bestFit="1" customWidth="1"/>
    <col min="36" max="36" width="8.7109375" style="52" bestFit="1" customWidth="1"/>
    <col min="37" max="37" width="9" style="52" bestFit="1" customWidth="1"/>
    <col min="38" max="38" width="8.5703125" style="52" bestFit="1" customWidth="1"/>
    <col min="39" max="39" width="6.42578125" style="52" bestFit="1" customWidth="1"/>
    <col min="40" max="43" width="2.42578125" style="52" bestFit="1" customWidth="1"/>
    <col min="44" max="44" width="12.85546875" style="52" bestFit="1" customWidth="1"/>
    <col min="45" max="45" width="11.5703125" style="52" bestFit="1" customWidth="1"/>
    <col min="46" max="46" width="12.42578125" style="52" bestFit="1" customWidth="1"/>
    <col min="47" max="47" width="12" style="52" bestFit="1" customWidth="1"/>
    <col min="48" max="48" width="12.85546875" style="52" bestFit="1" customWidth="1"/>
    <col min="49" max="49" width="11.5703125" style="52" bestFit="1" customWidth="1"/>
    <col min="50" max="50" width="12.42578125" style="52" bestFit="1" customWidth="1"/>
    <col min="51" max="51" width="12" style="52" bestFit="1" customWidth="1"/>
    <col min="52" max="52" width="12.85546875" style="52" bestFit="1" customWidth="1"/>
    <col min="53" max="53" width="11.5703125" style="52" bestFit="1" customWidth="1"/>
    <col min="54" max="54" width="12.42578125" style="52" bestFit="1" customWidth="1"/>
    <col min="55" max="55" width="12" style="52" bestFit="1" customWidth="1"/>
    <col min="56" max="56" width="12.85546875" style="52" bestFit="1" customWidth="1"/>
    <col min="57" max="57" width="11.5703125" style="52" bestFit="1" customWidth="1"/>
    <col min="58" max="58" width="12.42578125" style="52" bestFit="1" customWidth="1"/>
    <col min="59" max="59" width="12" style="52" bestFit="1" customWidth="1"/>
    <col min="60" max="60" width="12.85546875" style="52" bestFit="1" customWidth="1"/>
    <col min="61" max="61" width="11.5703125" style="52" bestFit="1" customWidth="1"/>
    <col min="62" max="67" width="9" style="52"/>
    <col min="68" max="68" width="18.28515625" style="52" bestFit="1" customWidth="1"/>
    <col min="69" max="69" width="15.140625" style="52" bestFit="1" customWidth="1"/>
    <col min="70" max="109" width="9" style="52"/>
    <col min="110" max="110" width="9.140625" style="52" bestFit="1" customWidth="1"/>
    <col min="111" max="112" width="12.85546875" style="52" bestFit="1" customWidth="1"/>
    <col min="113" max="16384" width="9" style="52"/>
  </cols>
  <sheetData>
    <row r="1" spans="2:41" x14ac:dyDescent="0.25">
      <c r="B1" s="1087" t="s">
        <v>447</v>
      </c>
      <c r="C1" s="1088"/>
      <c r="D1" s="1088"/>
      <c r="E1" s="1088"/>
      <c r="F1" s="1088"/>
      <c r="G1" s="1088"/>
      <c r="H1" s="1088"/>
      <c r="I1" s="1088"/>
      <c r="J1" s="1088"/>
      <c r="K1" s="1088"/>
      <c r="L1" s="1089"/>
    </row>
    <row r="2" spans="2:41" x14ac:dyDescent="0.25">
      <c r="B2" s="1090"/>
      <c r="C2" s="1091"/>
      <c r="D2" s="1091"/>
      <c r="E2" s="1091"/>
      <c r="F2" s="1091"/>
      <c r="G2" s="1091"/>
      <c r="H2" s="1091"/>
      <c r="I2" s="1091"/>
      <c r="J2" s="1091"/>
      <c r="K2" s="1091"/>
      <c r="L2" s="1092"/>
    </row>
    <row r="3" spans="2:41" x14ac:dyDescent="0.25">
      <c r="B3" s="1090"/>
      <c r="C3" s="1091"/>
      <c r="D3" s="1091"/>
      <c r="E3" s="1091"/>
      <c r="F3" s="1091"/>
      <c r="G3" s="1091"/>
      <c r="H3" s="1091"/>
      <c r="I3" s="1091"/>
      <c r="J3" s="1091"/>
      <c r="K3" s="1091"/>
      <c r="L3" s="1092"/>
    </row>
    <row r="4" spans="2:41" x14ac:dyDescent="0.25">
      <c r="B4" s="1090"/>
      <c r="C4" s="1091"/>
      <c r="D4" s="1091"/>
      <c r="E4" s="1091"/>
      <c r="F4" s="1091"/>
      <c r="G4" s="1091"/>
      <c r="H4" s="1091"/>
      <c r="I4" s="1091"/>
      <c r="J4" s="1091"/>
      <c r="K4" s="1091"/>
      <c r="L4" s="1092"/>
      <c r="AH4" s="78"/>
      <c r="AI4" s="78"/>
      <c r="AJ4" s="78"/>
      <c r="AK4" s="78"/>
      <c r="AL4" s="78"/>
      <c r="AM4" s="78"/>
      <c r="AN4" s="78"/>
      <c r="AO4" s="78"/>
    </row>
    <row r="5" spans="2:41" x14ac:dyDescent="0.25">
      <c r="B5" s="1090"/>
      <c r="C5" s="1091"/>
      <c r="D5" s="1091"/>
      <c r="E5" s="1091"/>
      <c r="F5" s="1091"/>
      <c r="G5" s="1091"/>
      <c r="H5" s="1091"/>
      <c r="I5" s="1091"/>
      <c r="J5" s="1091"/>
      <c r="K5" s="1091"/>
      <c r="L5" s="1092"/>
      <c r="AH5" s="78"/>
      <c r="AI5" s="78"/>
      <c r="AJ5" s="78"/>
      <c r="AK5" s="78"/>
      <c r="AL5" s="78"/>
      <c r="AM5" s="78"/>
      <c r="AN5" s="78"/>
      <c r="AO5" s="78"/>
    </row>
    <row r="6" spans="2:41" x14ac:dyDescent="0.25">
      <c r="B6" s="1081" t="s">
        <v>480</v>
      </c>
      <c r="C6" s="1082"/>
      <c r="D6" s="1082"/>
      <c r="E6" s="1065" t="s">
        <v>479</v>
      </c>
      <c r="F6" s="1065"/>
      <c r="G6" s="1065"/>
      <c r="H6" s="1065"/>
      <c r="I6" s="1065"/>
      <c r="J6" s="1065"/>
      <c r="K6" s="1065"/>
      <c r="L6" s="1066"/>
      <c r="AH6" s="78"/>
      <c r="AI6" s="78"/>
      <c r="AJ6" s="78"/>
      <c r="AK6" s="78"/>
      <c r="AL6" s="78"/>
      <c r="AM6" s="78"/>
      <c r="AN6" s="78"/>
      <c r="AO6" s="78"/>
    </row>
    <row r="7" spans="2:41" x14ac:dyDescent="0.25">
      <c r="B7" s="1081"/>
      <c r="C7" s="1082"/>
      <c r="D7" s="1082"/>
      <c r="E7" s="1065"/>
      <c r="F7" s="1065"/>
      <c r="G7" s="1065"/>
      <c r="H7" s="1065"/>
      <c r="I7" s="1065"/>
      <c r="J7" s="1065"/>
      <c r="K7" s="1065"/>
      <c r="L7" s="1066"/>
      <c r="AH7" s="78"/>
      <c r="AI7" s="78"/>
      <c r="AJ7" s="78"/>
      <c r="AK7" s="78"/>
      <c r="AL7" s="78"/>
      <c r="AM7" s="78"/>
      <c r="AN7" s="78"/>
      <c r="AO7" s="78"/>
    </row>
    <row r="8" spans="2:41" x14ac:dyDescent="0.25">
      <c r="B8" s="1081"/>
      <c r="C8" s="1082"/>
      <c r="D8" s="1082"/>
      <c r="E8" s="1065"/>
      <c r="F8" s="1065"/>
      <c r="G8" s="1065"/>
      <c r="H8" s="1065"/>
      <c r="I8" s="1065"/>
      <c r="J8" s="1065"/>
      <c r="K8" s="1065"/>
      <c r="L8" s="1066"/>
      <c r="AH8" s="78"/>
      <c r="AI8" s="78"/>
      <c r="AJ8" s="78"/>
      <c r="AK8" s="78"/>
      <c r="AL8" s="78"/>
      <c r="AM8" s="78"/>
      <c r="AN8" s="78"/>
      <c r="AO8" s="78"/>
    </row>
    <row r="9" spans="2:41" x14ac:dyDescent="0.25">
      <c r="B9" s="580"/>
      <c r="C9" s="519"/>
      <c r="D9" s="506"/>
      <c r="E9" s="506"/>
      <c r="F9" s="506"/>
      <c r="G9" s="506"/>
      <c r="H9" s="506"/>
      <c r="I9" s="506"/>
      <c r="J9" s="506"/>
      <c r="K9" s="506"/>
      <c r="L9" s="573"/>
      <c r="AH9" s="78"/>
      <c r="AI9" s="78"/>
      <c r="AJ9" s="78"/>
      <c r="AK9" s="78"/>
      <c r="AL9" s="78"/>
      <c r="AM9" s="78"/>
      <c r="AN9" s="78"/>
      <c r="AO9" s="78"/>
    </row>
    <row r="10" spans="2:41" ht="24" thickBot="1" x14ac:dyDescent="0.3">
      <c r="B10" s="581"/>
      <c r="C10" s="620" t="s">
        <v>234</v>
      </c>
      <c r="D10" s="530"/>
      <c r="E10" s="530"/>
      <c r="F10" s="530"/>
      <c r="G10" s="530"/>
      <c r="H10" s="534"/>
      <c r="I10" s="534"/>
      <c r="J10" s="534"/>
      <c r="K10" s="534"/>
      <c r="L10" s="574"/>
      <c r="AH10" s="78"/>
      <c r="AI10" s="78"/>
      <c r="AJ10" s="78"/>
      <c r="AK10" s="78"/>
      <c r="AL10" s="78"/>
      <c r="AM10" s="78"/>
      <c r="AN10" s="78"/>
    </row>
    <row r="11" spans="2:41" x14ac:dyDescent="0.25">
      <c r="B11" s="583"/>
      <c r="C11" s="508"/>
      <c r="D11" s="507"/>
      <c r="E11" s="507"/>
      <c r="F11" s="507"/>
      <c r="G11" s="507"/>
      <c r="H11" s="506"/>
      <c r="I11" s="599"/>
      <c r="J11" s="599"/>
      <c r="K11" s="599"/>
      <c r="L11" s="598"/>
      <c r="AH11" s="78"/>
      <c r="AI11" s="78"/>
      <c r="AJ11" s="78"/>
      <c r="AK11" s="78"/>
      <c r="AL11" s="78"/>
      <c r="AM11" s="78"/>
      <c r="AN11" s="78"/>
    </row>
    <row r="12" spans="2:41" x14ac:dyDescent="0.25">
      <c r="B12" s="580"/>
      <c r="C12" s="519"/>
      <c r="D12" s="507"/>
      <c r="E12" s="507"/>
      <c r="F12" s="507"/>
      <c r="G12" s="507"/>
      <c r="H12" s="507"/>
      <c r="I12" s="597" t="s">
        <v>255</v>
      </c>
      <c r="J12" s="597" t="s">
        <v>256</v>
      </c>
      <c r="K12" s="1106" t="s">
        <v>206</v>
      </c>
      <c r="L12" s="1107"/>
      <c r="AM12" s="78"/>
      <c r="AN12" s="78"/>
      <c r="AO12" s="78"/>
    </row>
    <row r="13" spans="2:41" ht="30" x14ac:dyDescent="0.25">
      <c r="B13" s="580"/>
      <c r="C13" s="590" t="s">
        <v>506</v>
      </c>
      <c r="D13" s="507"/>
      <c r="E13" s="507"/>
      <c r="F13" s="507"/>
      <c r="G13" s="507"/>
      <c r="H13" s="507"/>
      <c r="I13" s="564">
        <f>Study!C45</f>
        <v>8216</v>
      </c>
      <c r="J13" s="562">
        <f>Study!D45</f>
        <v>10921.129503407985</v>
      </c>
      <c r="K13" s="1104">
        <f>I13*J13</f>
        <v>89728000</v>
      </c>
      <c r="L13" s="1105"/>
      <c r="AM13" s="78"/>
      <c r="AN13" s="78"/>
      <c r="AO13" s="78"/>
    </row>
    <row r="14" spans="2:41" ht="30" x14ac:dyDescent="0.25">
      <c r="B14" s="580"/>
      <c r="C14" s="590" t="s">
        <v>505</v>
      </c>
      <c r="D14" s="507"/>
      <c r="E14" s="507"/>
      <c r="F14" s="507"/>
      <c r="G14" s="507"/>
      <c r="H14" s="507"/>
      <c r="I14" s="565">
        <f>Study!G55</f>
        <v>31799.64</v>
      </c>
      <c r="J14" s="563">
        <f>K14/I14</f>
        <v>6941.5896042680997</v>
      </c>
      <c r="K14" s="1104">
        <f>Study!C19</f>
        <v>220740050.44346803</v>
      </c>
      <c r="L14" s="1105"/>
    </row>
    <row r="15" spans="2:41" ht="30" x14ac:dyDescent="0.25">
      <c r="B15" s="580"/>
      <c r="C15" s="590" t="s">
        <v>8</v>
      </c>
      <c r="D15" s="507"/>
      <c r="E15" s="507"/>
      <c r="F15" s="507"/>
      <c r="G15" s="507"/>
      <c r="H15" s="507"/>
      <c r="I15" s="591">
        <f>Study!J55</f>
        <v>9920.7939999999981</v>
      </c>
      <c r="J15" s="592">
        <f>K15/I15</f>
        <v>31568.298533034671</v>
      </c>
      <c r="K15" s="1102">
        <f>Study!C13</f>
        <v>313182586.6767391</v>
      </c>
      <c r="L15" s="1103"/>
    </row>
    <row r="16" spans="2:41" ht="19.5" thickBot="1" x14ac:dyDescent="0.3">
      <c r="B16" s="583"/>
      <c r="C16" s="506"/>
      <c r="D16" s="506"/>
      <c r="E16" s="506"/>
      <c r="F16" s="506"/>
      <c r="G16" s="506"/>
      <c r="H16" s="506"/>
      <c r="I16" s="596"/>
      <c r="J16" s="596"/>
      <c r="K16" s="596"/>
      <c r="L16" s="595"/>
    </row>
    <row r="17" spans="2:63" ht="21" x14ac:dyDescent="0.25">
      <c r="B17" s="593"/>
      <c r="C17" s="1093" t="s">
        <v>483</v>
      </c>
      <c r="D17" s="594"/>
      <c r="E17" s="594"/>
      <c r="F17" s="594"/>
      <c r="G17" s="594"/>
      <c r="H17" s="594"/>
      <c r="I17" s="1098" t="s">
        <v>260</v>
      </c>
      <c r="J17" s="1098" t="s">
        <v>258</v>
      </c>
      <c r="K17" s="1098" t="s">
        <v>259</v>
      </c>
      <c r="L17" s="1110"/>
    </row>
    <row r="18" spans="2:63" ht="21" x14ac:dyDescent="0.25">
      <c r="B18" s="580"/>
      <c r="C18" s="1094"/>
      <c r="D18" s="520"/>
      <c r="E18" s="520"/>
      <c r="F18" s="520"/>
      <c r="G18" s="520"/>
      <c r="H18" s="520"/>
      <c r="I18" s="1099"/>
      <c r="J18" s="1099"/>
      <c r="K18" s="1099"/>
      <c r="L18" s="1111"/>
      <c r="R18" s="48"/>
    </row>
    <row r="19" spans="2:63" ht="21" x14ac:dyDescent="0.25">
      <c r="B19" s="580"/>
      <c r="C19" s="1094"/>
      <c r="D19" s="520"/>
      <c r="E19" s="520"/>
      <c r="F19" s="520"/>
      <c r="G19" s="520"/>
      <c r="H19" s="520"/>
      <c r="I19" s="1096">
        <f>K95/I13</f>
        <v>5980.2823758519962</v>
      </c>
      <c r="J19" s="1100">
        <f>((K95/K14)*K15)/I13</f>
        <v>8484.7326063572746</v>
      </c>
      <c r="K19" s="1100">
        <f>J19-I19</f>
        <v>2504.4502305052783</v>
      </c>
      <c r="L19" s="1108"/>
    </row>
    <row r="20" spans="2:63" ht="21.75" thickBot="1" x14ac:dyDescent="0.3">
      <c r="B20" s="581"/>
      <c r="C20" s="1095"/>
      <c r="D20" s="543"/>
      <c r="E20" s="543"/>
      <c r="F20" s="543"/>
      <c r="G20" s="543"/>
      <c r="H20" s="543"/>
      <c r="I20" s="1097"/>
      <c r="J20" s="1101"/>
      <c r="K20" s="1101"/>
      <c r="L20" s="1109"/>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row>
    <row r="21" spans="2:63" ht="21" x14ac:dyDescent="0.25">
      <c r="B21" s="580"/>
      <c r="C21" s="1048" t="s">
        <v>181</v>
      </c>
      <c r="D21" s="544"/>
      <c r="E21" s="544"/>
      <c r="F21" s="545"/>
      <c r="G21" s="544"/>
      <c r="H21" s="1061" t="s">
        <v>498</v>
      </c>
      <c r="I21" s="1055" t="s">
        <v>238</v>
      </c>
      <c r="J21" s="1055" t="s">
        <v>239</v>
      </c>
      <c r="K21" s="1055" t="s">
        <v>240</v>
      </c>
      <c r="L21" s="1079"/>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row>
    <row r="22" spans="2:63" ht="21" x14ac:dyDescent="0.25">
      <c r="B22" s="580"/>
      <c r="C22" s="1049"/>
      <c r="D22" s="520"/>
      <c r="E22" s="520"/>
      <c r="F22" s="520"/>
      <c r="G22" s="520"/>
      <c r="H22" s="1062"/>
      <c r="I22" s="1056"/>
      <c r="J22" s="1056"/>
      <c r="K22" s="1056"/>
      <c r="L22" s="1080"/>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row>
    <row r="23" spans="2:63" ht="21" x14ac:dyDescent="0.25">
      <c r="B23" s="580"/>
      <c r="C23" s="1049"/>
      <c r="D23" s="520"/>
      <c r="E23" s="520"/>
      <c r="F23" s="520"/>
      <c r="G23" s="520"/>
      <c r="H23" s="1062"/>
      <c r="I23" s="1056"/>
      <c r="J23" s="1056"/>
      <c r="K23" s="1056"/>
      <c r="L23" s="1080"/>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row>
    <row r="24" spans="2:63" ht="21" x14ac:dyDescent="0.25">
      <c r="B24" s="580"/>
      <c r="C24" s="1049"/>
      <c r="D24" s="520"/>
      <c r="E24" s="520"/>
      <c r="F24" s="520"/>
      <c r="G24" s="520"/>
      <c r="H24" s="1063">
        <f>Study!C24</f>
        <v>0.13308131098747253</v>
      </c>
      <c r="I24" s="1057">
        <f>Study!C26</f>
        <v>0.38920540475854254</v>
      </c>
      <c r="J24" s="1057">
        <f>Study!C28</f>
        <v>0.79248720297161024</v>
      </c>
      <c r="K24" s="1057">
        <f ca="1">Study!C30</f>
        <v>0.15849744059432205</v>
      </c>
      <c r="L24" s="105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row>
    <row r="25" spans="2:63" ht="21" x14ac:dyDescent="0.25">
      <c r="B25" s="580"/>
      <c r="C25" s="1049"/>
      <c r="D25" s="546"/>
      <c r="E25" s="546"/>
      <c r="F25" s="546"/>
      <c r="G25" s="546"/>
      <c r="H25" s="1063"/>
      <c r="I25" s="1057"/>
      <c r="J25" s="1057"/>
      <c r="K25" s="1057"/>
      <c r="L25" s="105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row>
    <row r="26" spans="2:63" ht="21.75" thickBot="1" x14ac:dyDescent="0.3">
      <c r="B26" s="581"/>
      <c r="C26" s="1050"/>
      <c r="D26" s="541"/>
      <c r="E26" s="542"/>
      <c r="F26" s="542"/>
      <c r="G26" s="542"/>
      <c r="H26" s="1064"/>
      <c r="I26" s="1059"/>
      <c r="J26" s="1059"/>
      <c r="K26" s="1059"/>
      <c r="L26" s="1060"/>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row>
    <row r="27" spans="2:63" x14ac:dyDescent="0.25">
      <c r="B27" s="580"/>
      <c r="C27" s="1053" t="s">
        <v>264</v>
      </c>
      <c r="D27" s="1083" t="s">
        <v>60</v>
      </c>
      <c r="E27" s="1085" t="s">
        <v>514</v>
      </c>
      <c r="F27" s="529"/>
      <c r="G27" s="529"/>
      <c r="H27" s="1077" t="s">
        <v>481</v>
      </c>
      <c r="I27" s="1077" t="s">
        <v>482</v>
      </c>
      <c r="J27" s="1077" t="s">
        <v>63</v>
      </c>
      <c r="K27" s="1044" t="s">
        <v>64</v>
      </c>
      <c r="L27" s="1045"/>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row>
    <row r="28" spans="2:63" ht="19.5" thickBot="1" x14ac:dyDescent="0.3">
      <c r="B28" s="581"/>
      <c r="C28" s="1054"/>
      <c r="D28" s="1084"/>
      <c r="E28" s="1086"/>
      <c r="F28" s="540"/>
      <c r="G28" s="540"/>
      <c r="H28" s="1078"/>
      <c r="I28" s="1078"/>
      <c r="J28" s="1078"/>
      <c r="K28" s="1046"/>
      <c r="L28" s="1047"/>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row>
    <row r="29" spans="2:63" ht="31.5" x14ac:dyDescent="0.25">
      <c r="B29" s="580"/>
      <c r="C29" s="588" t="s">
        <v>493</v>
      </c>
      <c r="D29" s="560">
        <f>Study!G57</f>
        <v>12</v>
      </c>
      <c r="E29" s="600">
        <f>Study!H57</f>
        <v>251.14949999999999</v>
      </c>
      <c r="F29" s="547"/>
      <c r="G29" s="547"/>
      <c r="H29" s="548">
        <f>Study!AU40</f>
        <v>28494043.356095161</v>
      </c>
      <c r="I29" s="719">
        <f>Study!AY4</f>
        <v>1102.9575342259093</v>
      </c>
      <c r="J29" s="719">
        <f>Study!AZ4</f>
        <v>3324086.7989048399</v>
      </c>
      <c r="K29" s="1051">
        <f>Study!BD4</f>
        <v>0.11716710666957311</v>
      </c>
      <c r="L29" s="1052"/>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row>
    <row r="30" spans="2:63" ht="31.5" x14ac:dyDescent="0.25">
      <c r="B30" s="580"/>
      <c r="C30" s="589" t="s">
        <v>39</v>
      </c>
      <c r="D30" s="560">
        <f>Study!G58</f>
        <v>11</v>
      </c>
      <c r="E30" s="600">
        <f>Study!H58</f>
        <v>303.63636363636363</v>
      </c>
      <c r="F30" s="547"/>
      <c r="G30" s="547"/>
      <c r="H30" s="548">
        <f>Study!AU41</f>
        <v>32912706.774944291</v>
      </c>
      <c r="I30" s="720">
        <f>Study!AY5</f>
        <v>-9854.1038248336208</v>
      </c>
      <c r="J30" s="720">
        <f>Study!AZ5</f>
        <v>-32912706.774944291</v>
      </c>
      <c r="K30" s="1040">
        <f>Study!BD5</f>
        <v>-1</v>
      </c>
      <c r="L30" s="1041"/>
      <c r="AP30" s="78"/>
      <c r="AQ30" s="78"/>
      <c r="AR30" s="78"/>
      <c r="AS30" s="78"/>
      <c r="AT30" s="78"/>
      <c r="AU30" s="78"/>
      <c r="AV30" s="78"/>
      <c r="AW30" s="78"/>
      <c r="AX30" s="78"/>
      <c r="AY30" s="78"/>
      <c r="AZ30" s="78"/>
      <c r="BA30" s="78"/>
      <c r="BB30" s="78"/>
      <c r="BC30" s="78"/>
      <c r="BD30" s="78"/>
      <c r="BE30" s="78"/>
      <c r="BF30" s="78"/>
      <c r="BG30" s="78"/>
      <c r="BH30" s="78"/>
      <c r="BI30" s="78"/>
      <c r="BJ30" s="78"/>
      <c r="BK30" s="78"/>
    </row>
    <row r="31" spans="2:63" ht="31.5" hidden="1" x14ac:dyDescent="0.25">
      <c r="B31" s="580"/>
      <c r="C31" s="587" t="s">
        <v>40</v>
      </c>
      <c r="D31" s="560">
        <f>Study!G59</f>
        <v>0</v>
      </c>
      <c r="E31" s="600" t="str">
        <f>Study!H59</f>
        <v>0.00</v>
      </c>
      <c r="F31" s="547"/>
      <c r="G31" s="547"/>
      <c r="H31" s="548">
        <f>Study!AU42</f>
        <v>0</v>
      </c>
      <c r="I31" s="720" t="str">
        <f>Study!AY6</f>
        <v>0.00</v>
      </c>
      <c r="J31" s="720">
        <f>Study!AZ6</f>
        <v>0</v>
      </c>
      <c r="K31" s="1040" t="str">
        <f>Study!BD6</f>
        <v>0.00%</v>
      </c>
      <c r="L31" s="1041"/>
      <c r="AP31" s="207"/>
      <c r="AQ31" s="78"/>
      <c r="AR31" s="78"/>
      <c r="AS31" s="78"/>
      <c r="AT31" s="78"/>
      <c r="AU31" s="78"/>
      <c r="AV31" s="78"/>
      <c r="AW31" s="78"/>
      <c r="AX31" s="78"/>
      <c r="AY31" s="78"/>
      <c r="AZ31" s="78"/>
      <c r="BA31" s="78"/>
      <c r="BB31" s="78"/>
      <c r="BC31" s="78"/>
      <c r="BD31" s="78"/>
      <c r="BE31" s="78"/>
      <c r="BF31" s="78"/>
      <c r="BG31" s="78"/>
      <c r="BH31" s="78"/>
      <c r="BI31" s="78"/>
      <c r="BJ31" s="78"/>
      <c r="BK31" s="78"/>
    </row>
    <row r="32" spans="2:63" ht="31.5" hidden="1" x14ac:dyDescent="0.25">
      <c r="B32" s="580"/>
      <c r="C32" s="587" t="s">
        <v>41</v>
      </c>
      <c r="D32" s="560">
        <f>Study!G60</f>
        <v>0</v>
      </c>
      <c r="E32" s="600" t="str">
        <f>Study!H60</f>
        <v>0.00</v>
      </c>
      <c r="F32" s="547"/>
      <c r="G32" s="547"/>
      <c r="H32" s="548">
        <f>Study!AU43</f>
        <v>0</v>
      </c>
      <c r="I32" s="720" t="str">
        <f>Study!AY7</f>
        <v>0.00</v>
      </c>
      <c r="J32" s="720">
        <f>Study!AZ7</f>
        <v>0</v>
      </c>
      <c r="K32" s="1040" t="str">
        <f>Study!BD7</f>
        <v>0.00%</v>
      </c>
      <c r="L32" s="1041"/>
      <c r="AP32" s="79"/>
      <c r="AQ32" s="78"/>
      <c r="AR32" s="78"/>
      <c r="AS32" s="78"/>
      <c r="AT32" s="78"/>
      <c r="AU32" s="78"/>
      <c r="AV32" s="78"/>
      <c r="AW32" s="78"/>
      <c r="AX32" s="78"/>
      <c r="AY32" s="78"/>
      <c r="AZ32" s="78"/>
      <c r="BA32" s="78"/>
      <c r="BB32" s="78"/>
      <c r="BC32" s="78"/>
      <c r="BD32" s="78"/>
      <c r="BE32" s="78"/>
      <c r="BF32" s="78"/>
      <c r="BG32" s="78"/>
      <c r="BH32" s="78"/>
      <c r="BI32" s="78"/>
      <c r="BJ32" s="78"/>
      <c r="BK32" s="78"/>
    </row>
    <row r="33" spans="2:63" ht="31.5" hidden="1" x14ac:dyDescent="0.25">
      <c r="B33" s="580"/>
      <c r="C33" s="587" t="s">
        <v>65</v>
      </c>
      <c r="D33" s="560">
        <f>Study!G61</f>
        <v>0</v>
      </c>
      <c r="E33" s="600" t="str">
        <f>Study!H61</f>
        <v>0.00</v>
      </c>
      <c r="F33" s="547"/>
      <c r="G33" s="547"/>
      <c r="H33" s="548">
        <f>Study!AU44</f>
        <v>0</v>
      </c>
      <c r="I33" s="720" t="str">
        <f>Study!AY8</f>
        <v>0.00</v>
      </c>
      <c r="J33" s="720">
        <f>Study!AZ8</f>
        <v>0</v>
      </c>
      <c r="K33" s="1040" t="str">
        <f>Study!BD8</f>
        <v>0.00%</v>
      </c>
      <c r="L33" s="1041"/>
      <c r="AP33" s="78"/>
      <c r="AQ33" s="78"/>
      <c r="AR33" s="78"/>
      <c r="AS33" s="78"/>
      <c r="AT33" s="78"/>
      <c r="AU33" s="78"/>
      <c r="AV33" s="78"/>
      <c r="AW33" s="78"/>
      <c r="AX33" s="78"/>
      <c r="AY33" s="78"/>
      <c r="AZ33" s="78"/>
      <c r="BA33" s="78"/>
      <c r="BB33" s="78"/>
      <c r="BC33" s="78"/>
      <c r="BD33" s="78"/>
      <c r="BE33" s="78"/>
      <c r="BF33" s="78"/>
      <c r="BG33" s="78"/>
      <c r="BH33" s="78"/>
      <c r="BI33" s="78"/>
      <c r="BJ33" s="78"/>
      <c r="BK33" s="78"/>
    </row>
    <row r="34" spans="2:63" ht="31.5" hidden="1" x14ac:dyDescent="0.25">
      <c r="B34" s="580"/>
      <c r="C34" s="587" t="s">
        <v>494</v>
      </c>
      <c r="D34" s="560">
        <f>Study!G62</f>
        <v>0</v>
      </c>
      <c r="E34" s="600" t="str">
        <f>Study!H62</f>
        <v>0.00</v>
      </c>
      <c r="F34" s="547"/>
      <c r="G34" s="547"/>
      <c r="H34" s="548">
        <f>Study!AU45</f>
        <v>0</v>
      </c>
      <c r="I34" s="720" t="str">
        <f>Study!AY9</f>
        <v>0.00</v>
      </c>
      <c r="J34" s="720">
        <f>Study!AZ9</f>
        <v>0</v>
      </c>
      <c r="K34" s="1040" t="str">
        <f>Study!BD9</f>
        <v>0.00%</v>
      </c>
      <c r="L34" s="1041"/>
      <c r="AP34" s="78"/>
      <c r="AQ34" s="78"/>
      <c r="AR34" s="78"/>
      <c r="AS34" s="78"/>
      <c r="AT34" s="78"/>
      <c r="AU34" s="78"/>
      <c r="AV34" s="78"/>
      <c r="AW34" s="78"/>
      <c r="AX34" s="78"/>
      <c r="AY34" s="78"/>
      <c r="AZ34" s="78"/>
      <c r="BA34" s="78"/>
      <c r="BB34" s="78"/>
      <c r="BC34" s="78"/>
      <c r="BD34" s="78"/>
      <c r="BE34" s="78"/>
      <c r="BF34" s="78"/>
      <c r="BG34" s="78"/>
      <c r="BH34" s="78"/>
      <c r="BI34" s="78"/>
      <c r="BJ34" s="78"/>
      <c r="BK34" s="78"/>
    </row>
    <row r="35" spans="2:63" ht="31.5" hidden="1" x14ac:dyDescent="0.25">
      <c r="B35" s="580"/>
      <c r="C35" s="587" t="s">
        <v>495</v>
      </c>
      <c r="D35" s="560">
        <f>Study!G63</f>
        <v>0</v>
      </c>
      <c r="E35" s="600" t="str">
        <f>Study!H63</f>
        <v>0.00</v>
      </c>
      <c r="F35" s="547"/>
      <c r="G35" s="547"/>
      <c r="H35" s="548">
        <f>Study!AU46</f>
        <v>0</v>
      </c>
      <c r="I35" s="720" t="str">
        <f>Study!AY10</f>
        <v>0.00</v>
      </c>
      <c r="J35" s="720">
        <f>Study!AZ10</f>
        <v>0</v>
      </c>
      <c r="K35" s="1040" t="str">
        <f>Study!BD10</f>
        <v>0.00%</v>
      </c>
      <c r="L35" s="1041"/>
      <c r="AP35" s="78"/>
      <c r="AQ35" s="78"/>
      <c r="AR35" s="78"/>
      <c r="AS35" s="78"/>
      <c r="AT35" s="78"/>
      <c r="AU35" s="78"/>
      <c r="AV35" s="78"/>
      <c r="AW35" s="78"/>
      <c r="AX35" s="78"/>
      <c r="AY35" s="78"/>
      <c r="AZ35" s="78"/>
      <c r="BA35" s="78"/>
      <c r="BB35" s="78"/>
      <c r="BC35" s="78"/>
      <c r="BD35" s="78"/>
      <c r="BE35" s="78"/>
      <c r="BF35" s="78"/>
      <c r="BG35" s="78"/>
      <c r="BH35" s="78"/>
      <c r="BI35" s="78"/>
      <c r="BJ35" s="78"/>
      <c r="BK35" s="78"/>
    </row>
    <row r="36" spans="2:63" ht="31.5" x14ac:dyDescent="0.25">
      <c r="B36" s="580"/>
      <c r="C36" s="587" t="s">
        <v>496</v>
      </c>
      <c r="D36" s="560">
        <f>Study!G64</f>
        <v>100</v>
      </c>
      <c r="E36" s="600">
        <f>Study!H64</f>
        <v>35.669999999999987</v>
      </c>
      <c r="F36" s="547"/>
      <c r="G36" s="547"/>
      <c r="H36" s="548">
        <f>Study!AU47</f>
        <v>146992094.65554255</v>
      </c>
      <c r="I36" s="720">
        <f>Study!AY11</f>
        <v>24638.46519328776</v>
      </c>
      <c r="J36" s="720">
        <f>Study!AZ11</f>
        <v>87885405.344457418</v>
      </c>
      <c r="K36" s="1040">
        <f>Study!BD11</f>
        <v>0.62513472101283896</v>
      </c>
      <c r="L36" s="1041"/>
      <c r="AP36" s="78"/>
      <c r="AQ36" s="78"/>
      <c r="AR36" s="78"/>
      <c r="AS36" s="78"/>
      <c r="AT36" s="78"/>
      <c r="AU36" s="78"/>
      <c r="AV36" s="78"/>
      <c r="AW36" s="78"/>
      <c r="AX36" s="78"/>
      <c r="AY36" s="78"/>
      <c r="AZ36" s="78"/>
      <c r="BA36" s="78"/>
      <c r="BB36" s="78"/>
      <c r="BC36" s="78"/>
      <c r="BD36" s="78"/>
      <c r="BE36" s="78"/>
      <c r="BF36" s="78"/>
      <c r="BG36" s="78"/>
      <c r="BH36" s="78"/>
      <c r="BI36" s="78"/>
      <c r="BJ36" s="78"/>
      <c r="BK36" s="78"/>
    </row>
    <row r="37" spans="2:63" ht="31.5" hidden="1" x14ac:dyDescent="0.25">
      <c r="B37" s="580"/>
      <c r="C37" s="587" t="s">
        <v>497</v>
      </c>
      <c r="D37" s="560">
        <f>Study!G65</f>
        <v>0</v>
      </c>
      <c r="E37" s="600" t="str">
        <f>Study!H65</f>
        <v>0.00</v>
      </c>
      <c r="F37" s="547"/>
      <c r="G37" s="547"/>
      <c r="H37" s="548">
        <f>Study!AU48</f>
        <v>0</v>
      </c>
      <c r="I37" s="720" t="str">
        <f>Study!AY12</f>
        <v>0.00</v>
      </c>
      <c r="J37" s="720">
        <f>Study!AZ12</f>
        <v>0</v>
      </c>
      <c r="K37" s="1040" t="str">
        <f>Study!BD12</f>
        <v>0.00%</v>
      </c>
      <c r="L37" s="1041"/>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row>
    <row r="38" spans="2:63" ht="31.5" hidden="1" x14ac:dyDescent="0.25">
      <c r="B38" s="580"/>
      <c r="C38" s="587" t="s">
        <v>45</v>
      </c>
      <c r="D38" s="560">
        <f>Study!G66</f>
        <v>0</v>
      </c>
      <c r="E38" s="600" t="str">
        <f>Study!H66</f>
        <v>0.00</v>
      </c>
      <c r="F38" s="547"/>
      <c r="G38" s="547"/>
      <c r="H38" s="548">
        <f>Study!AU49</f>
        <v>0</v>
      </c>
      <c r="I38" s="720" t="str">
        <f>Study!AY13</f>
        <v>0.00</v>
      </c>
      <c r="J38" s="720">
        <f>Study!AZ13</f>
        <v>0</v>
      </c>
      <c r="K38" s="1040" t="str">
        <f>Study!BD13</f>
        <v>0.00%</v>
      </c>
      <c r="L38" s="1041"/>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row>
    <row r="39" spans="2:63" ht="19.5" thickBot="1" x14ac:dyDescent="0.3">
      <c r="B39" s="581"/>
      <c r="C39" s="540"/>
      <c r="D39" s="561"/>
      <c r="E39" s="566"/>
      <c r="F39" s="540"/>
      <c r="G39" s="540"/>
      <c r="H39" s="540"/>
      <c r="I39" s="721"/>
      <c r="J39" s="721"/>
      <c r="K39" s="1042"/>
      <c r="L39" s="1043"/>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row>
    <row r="40" spans="2:63" x14ac:dyDescent="0.25">
      <c r="B40" s="580"/>
      <c r="C40" s="519"/>
      <c r="D40" s="507"/>
      <c r="E40" s="507">
        <v>1</v>
      </c>
      <c r="F40" s="507">
        <v>2</v>
      </c>
      <c r="G40" s="507">
        <v>3</v>
      </c>
      <c r="H40" s="507">
        <v>4</v>
      </c>
      <c r="I40" s="507">
        <v>5</v>
      </c>
      <c r="J40" s="507">
        <v>6</v>
      </c>
      <c r="K40" s="1028">
        <f ca="1">Study!B118</f>
        <v>5</v>
      </c>
      <c r="L40" s="1029"/>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row>
    <row r="41" spans="2:63" x14ac:dyDescent="0.25">
      <c r="B41" s="580"/>
      <c r="C41" s="549"/>
      <c r="D41" s="507"/>
      <c r="E41" s="507"/>
      <c r="F41" s="507"/>
      <c r="G41" s="507"/>
      <c r="H41" s="507"/>
      <c r="I41" s="507"/>
      <c r="J41" s="507"/>
      <c r="K41" s="1030"/>
      <c r="L41" s="1031"/>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row>
    <row r="42" spans="2:63" ht="31.5" x14ac:dyDescent="0.25">
      <c r="B42" s="621"/>
      <c r="C42" s="587" t="s">
        <v>488</v>
      </c>
      <c r="D42" s="622">
        <f ca="1">Study!C340</f>
        <v>46388</v>
      </c>
      <c r="E42" s="509">
        <f ca="1">IF(ABS(SUM(OFFSET(Study!$F$196,0,(COLUMN()-COLUMN($E$42))*4,2,4)))&lt;0.01,"",SUM(OFFSET(Study!$F$196,0,(COLUMN()-COLUMN($E$42))*4,2,4)))</f>
        <v>-2608853.6</v>
      </c>
      <c r="F42" s="509">
        <f ca="1">IF(ABS(SUM(OFFSET(Study!$F$196,0,(COLUMN()-COLUMN($E$42))*4,2,4)))&lt;0.01,"",SUM(OFFSET(Study!$F$196,0,(COLUMN()-COLUMN($E$42))*4,2,4)))</f>
        <v>-1367257.3599999999</v>
      </c>
      <c r="G42" s="509" t="str">
        <f ca="1">IF(ABS(SUM(OFFSET(Study!$F$196,0,(COLUMN()-COLUMN($E$42))*4,2,4)))&lt;0.01,"",SUM(OFFSET(Study!$F$196,0,(COLUMN()-COLUMN($E$42))*4,2,4)))</f>
        <v/>
      </c>
      <c r="H42" s="509" t="str">
        <f ca="1">IF(ABS(SUM(OFFSET(Study!$F$196,0,(COLUMN()-COLUMN($E$42))*4,2,4)))&lt;0.01,"",SUM(OFFSET(Study!$F$196,0,(COLUMN()-COLUMN($E$42))*4,2,4)))</f>
        <v/>
      </c>
      <c r="I42" s="509" t="str">
        <f ca="1">IF(ABS(SUM(OFFSET(Study!$F$196,0,(COLUMN()-COLUMN($E$42))*4,2,4)))&lt;0.01,"",SUM(OFFSET(Study!$F$196,0,(COLUMN()-COLUMN($E$42))*4,2,4)))</f>
        <v/>
      </c>
      <c r="J42" s="567" t="str">
        <f ca="1">IF(ABS(SUM(OFFSET(Study!$F$196,0,(COLUMN()-COLUMN($E$42))*4,2,4)))&lt;0.01,"",SUM(OFFSET(Study!$F$196,0,(COLUMN()-COLUMN($E$42))*4,2,4)))</f>
        <v/>
      </c>
      <c r="K42" s="1032">
        <f ca="1">Study!H340</f>
        <v>46934</v>
      </c>
      <c r="L42" s="1033"/>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row>
    <row r="43" spans="2:63" ht="5.25" customHeight="1" x14ac:dyDescent="0.25">
      <c r="B43" s="621"/>
      <c r="C43" s="601" t="s">
        <v>492</v>
      </c>
      <c r="D43" s="506"/>
      <c r="E43" s="510"/>
      <c r="F43" s="510"/>
      <c r="G43" s="510"/>
      <c r="H43" s="510"/>
      <c r="I43" s="510"/>
      <c r="J43" s="568"/>
      <c r="K43" s="1034"/>
      <c r="L43" s="1035"/>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row>
    <row r="44" spans="2:63" ht="31.5" x14ac:dyDescent="0.25">
      <c r="B44" s="621"/>
      <c r="C44" s="587" t="s">
        <v>489</v>
      </c>
      <c r="D44" s="622">
        <f ca="1">Study!C341</f>
        <v>47027</v>
      </c>
      <c r="E44" s="509">
        <f ca="1">IF(ABS(SUM(OFFSET(Study!$F$188,0,(COLUMN()-COLUMN($E$44))*4,2,4)))&lt;0.0001,"",SUM(OFFSET(Study!$F$188,0,(COLUMN()-COLUMN($E$44))*4,2,4)))</f>
        <v>-271760.03000000003</v>
      </c>
      <c r="F44" s="509">
        <f ca="1">IF(ABS(SUM(OFFSET(Study!$F$188,0,(COLUMN()-COLUMN($E$44))*4,2,4)))&lt;0.0001,"",SUM(OFFSET(Study!$F$188,0,(COLUMN()-COLUMN($E$44))*4,2,4)))</f>
        <v>-46574.109499999999</v>
      </c>
      <c r="G44" s="509">
        <f ca="1">IF(ABS(SUM(OFFSET(Study!$F$188,0,(COLUMN()-COLUMN($E$44))*4,2,4)))&lt;0.0001,"",SUM(OFFSET(Study!$F$188,0,(COLUMN()-COLUMN($E$44))*4,2,4)))</f>
        <v>-551296.43799999997</v>
      </c>
      <c r="H44" s="509">
        <f ca="1">IF(ABS(SUM(OFFSET(Study!$F$188,0,(COLUMN()-COLUMN($E$44))*4,2,4)))&lt;0.0001,"",SUM(OFFSET(Study!$F$188,0,(COLUMN()-COLUMN($E$44))*4,2,4)))</f>
        <v>-2381771.4379999996</v>
      </c>
      <c r="I44" s="509">
        <f ca="1">IF(ABS(SUM(OFFSET(Study!$F$188,0,(COLUMN()-COLUMN($E$44))*4,2,4)))&lt;0.0001,"",SUM(OFFSET(Study!$F$188,0,(COLUMN()-COLUMN($E$44))*4,2,4)))</f>
        <v>-3890501.2582480386</v>
      </c>
      <c r="J44" s="567" t="str">
        <f ca="1">IF(ABS(SUM(OFFSET(Study!$F$188,0,(COLUMN()-COLUMN($E$44))*4,2,4)))&lt;0.0001,"",SUM(OFFSET(Study!$F$188,0,(COLUMN()-COLUMN($E$44))*4,2,4)))</f>
        <v/>
      </c>
      <c r="K44" s="1032">
        <f ca="1">Study!H341</f>
        <v>48213</v>
      </c>
      <c r="L44" s="1033"/>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row>
    <row r="45" spans="2:63" ht="5.25" customHeight="1" x14ac:dyDescent="0.25">
      <c r="B45" s="621"/>
      <c r="C45" s="601" t="s">
        <v>492</v>
      </c>
      <c r="D45" s="506"/>
      <c r="E45" s="510"/>
      <c r="F45" s="510"/>
      <c r="G45" s="510"/>
      <c r="H45" s="510"/>
      <c r="I45" s="510"/>
      <c r="J45" s="568"/>
      <c r="K45" s="1034"/>
      <c r="L45" s="1035"/>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row>
    <row r="46" spans="2:63" ht="31.5" x14ac:dyDescent="0.25">
      <c r="B46" s="621"/>
      <c r="C46" s="587" t="s">
        <v>444</v>
      </c>
      <c r="D46" s="622">
        <f ca="1">Study!C342</f>
        <v>46844</v>
      </c>
      <c r="E46" s="509" t="str">
        <f ca="1">IF(ABS(SUM(OFFSET(Study!$F$192,0,(COLUMN()-COLUMN($E$46))*4,1,4)))&lt;0.0001,"",SUM(OFFSET(Study!$F$192,0,(COLUMN()-COLUMN($E$46))*4,1,4)))</f>
        <v/>
      </c>
      <c r="F46" s="509">
        <f ca="1">IF(ABS(SUM(OFFSET(Study!$F$192,0,(COLUMN()-COLUMN($E$46))*4,1,4)))&lt;0.0001,"",SUM(OFFSET(Study!$F$192,0,(COLUMN()-COLUMN($E$46))*4,1,4)))</f>
        <v>-16435777.680000002</v>
      </c>
      <c r="G46" s="509">
        <f ca="1">IF(ABS(SUM(OFFSET(Study!$F$192,0,(COLUMN()-COLUMN($E$46))*4,1,4)))&lt;0.0001,"",SUM(OFFSET(Study!$F$192,0,(COLUMN()-COLUMN($E$46))*4,1,4)))</f>
        <v>-39915460.080000006</v>
      </c>
      <c r="H46" s="509">
        <f ca="1">IF(ABS(SUM(OFFSET(Study!$F$192,0,(COLUMN()-COLUMN($E$46))*4,1,4)))&lt;0.0001,"",SUM(OFFSET(Study!$F$192,0,(COLUMN()-COLUMN($E$46))*4,1,4)))</f>
        <v>-21914370.240000002</v>
      </c>
      <c r="I46" s="509" t="str">
        <f ca="1">IF(ABS(SUM(OFFSET(Study!$F$192,0,(COLUMN()-COLUMN($E$46))*4,1,4)))&lt;0.0001,"",SUM(OFFSET(Study!$F$192,0,(COLUMN()-COLUMN($E$46))*4,1,4)))</f>
        <v/>
      </c>
      <c r="J46" s="567" t="str">
        <f ca="1">IF(ABS(SUM(OFFSET(Study!$F$192,0,(COLUMN()-COLUMN($E$46))*4,1,4)))&lt;0.0001,"",SUM(OFFSET(Study!$F$192,0,(COLUMN()-COLUMN($E$46))*4,1,4)))</f>
        <v/>
      </c>
      <c r="K46" s="1032">
        <f ca="1">Study!H342</f>
        <v>47848</v>
      </c>
      <c r="L46" s="1033"/>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row>
    <row r="47" spans="2:63" ht="5.25" customHeight="1" x14ac:dyDescent="0.25">
      <c r="B47" s="621"/>
      <c r="C47" s="601" t="s">
        <v>492</v>
      </c>
      <c r="D47" s="506"/>
      <c r="E47" s="510"/>
      <c r="F47" s="510"/>
      <c r="G47" s="510"/>
      <c r="H47" s="510"/>
      <c r="I47" s="510"/>
      <c r="J47" s="568"/>
      <c r="K47" s="1034"/>
      <c r="L47" s="1035"/>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row>
    <row r="48" spans="2:63" ht="31.5" x14ac:dyDescent="0.25">
      <c r="B48" s="621"/>
      <c r="C48" s="587" t="s">
        <v>471</v>
      </c>
      <c r="D48" s="622">
        <f ca="1">Study!C343</f>
        <v>47757</v>
      </c>
      <c r="E48" s="509" t="str">
        <f ca="1">IF(ABS(SUM(OFFSET(Study!$F$200,0,(COLUMN()-COLUMN($E$48))*4,3,4)))&lt;0.0001,"",SUM(OFFSET(Study!$F$200,0,(COLUMN()-COLUMN($E$48))*4,3,4)))</f>
        <v/>
      </c>
      <c r="F48" s="509" t="str">
        <f ca="1">IF(ABS(SUM(OFFSET(Study!$F$200,0,(COLUMN()-COLUMN($E$48))*4,3,4)))&lt;0.0001,"",SUM(OFFSET(Study!$F$200,0,(COLUMN()-COLUMN($E$48))*4,3,4)))</f>
        <v/>
      </c>
      <c r="G48" s="509" t="str">
        <f ca="1">IF(ABS(SUM(OFFSET(Study!$F$200,0,(COLUMN()-COLUMN($E$48))*4,3,4)))&lt;0.0001,"",SUM(OFFSET(Study!$F$200,0,(COLUMN()-COLUMN($E$48))*4,3,4)))</f>
        <v/>
      </c>
      <c r="H48" s="509">
        <f ca="1">IF(ABS(SUM(OFFSET(Study!$F$200,0,(COLUMN()-COLUMN($E$48))*4,3,4)))&lt;0.0001,"",SUM(OFFSET(Study!$F$200,0,(COLUMN()-COLUMN($E$48))*4,3,4)))</f>
        <v>-1914500</v>
      </c>
      <c r="I48" s="509" t="str">
        <f ca="1">IF(ABS(SUM(OFFSET(Study!$F$200,0,(COLUMN()-COLUMN($E$48))*4,3,4)))&lt;0.0001,"",SUM(OFFSET(Study!$F$200,0,(COLUMN()-COLUMN($E$48))*4,3,4)))</f>
        <v/>
      </c>
      <c r="J48" s="567" t="str">
        <f ca="1">IF(ABS(SUM(OFFSET(Study!$F$200,0,(COLUMN()-COLUMN($E$48))*4,3,4)))&lt;0.0001,"",SUM(OFFSET(Study!$F$200,0,(COLUMN()-COLUMN($E$48))*4,3,4)))</f>
        <v/>
      </c>
      <c r="K48" s="1032">
        <f ca="1">Study!H343</f>
        <v>47848</v>
      </c>
      <c r="L48" s="1033"/>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row>
    <row r="49" spans="2:63" ht="5.25" customHeight="1" x14ac:dyDescent="0.25">
      <c r="B49" s="621"/>
      <c r="C49" s="601" t="s">
        <v>492</v>
      </c>
      <c r="D49" s="506"/>
      <c r="E49" s="511"/>
      <c r="F49" s="511"/>
      <c r="G49" s="511"/>
      <c r="H49" s="511"/>
      <c r="I49" s="511"/>
      <c r="J49" s="569"/>
      <c r="K49" s="1034"/>
      <c r="L49" s="1035"/>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row>
    <row r="50" spans="2:63" ht="31.5" x14ac:dyDescent="0.25">
      <c r="B50" s="621"/>
      <c r="C50" s="587" t="s">
        <v>490</v>
      </c>
      <c r="D50" s="622">
        <f ca="1">Study!C344</f>
        <v>47849</v>
      </c>
      <c r="E50" s="509" t="str">
        <f ca="1">IF(ABS(SUM(OFFSET(Study!$F$198,0,(COLUMN()-COLUMN($E$50))*4,2,4)))&lt;0.0001,"",SUM(OFFSET(Study!$F$198,0,(COLUMN()-COLUMN($E$50))*4,2,4)))</f>
        <v/>
      </c>
      <c r="F50" s="509" t="str">
        <f ca="1">IF(ABS(SUM(OFFSET(Study!$F$198,0,(COLUMN()-COLUMN($E$50))*4,2,4)))&lt;0.0001,"",SUM(OFFSET(Study!$F$198,0,(COLUMN()-COLUMN($E$50))*4,2,4)))</f>
        <v/>
      </c>
      <c r="G50" s="509" t="str">
        <f ca="1">IF(ABS(SUM(OFFSET(Study!$F$198,0,(COLUMN()-COLUMN($E$50))*4,2,4)))&lt;0.0001,"",SUM(OFFSET(Study!$F$198,0,(COLUMN()-COLUMN($E$50))*4,2,4)))</f>
        <v/>
      </c>
      <c r="H50" s="509" t="str">
        <f ca="1">IF(ABS(SUM(OFFSET(Study!$F$198,0,(COLUMN()-COLUMN($E$50))*4,2,4)))&lt;0.0001,"",SUM(OFFSET(Study!$F$198,0,(COLUMN()-COLUMN($E$50))*4,2,4)))</f>
        <v/>
      </c>
      <c r="I50" s="509">
        <f ca="1">IF(ABS(SUM(OFFSET(Study!$F$198,0,(COLUMN()-COLUMN($E$50))*4,2,4)))&lt;0.0001,"",SUM(OFFSET(Study!$F$198,0,(COLUMN()-COLUMN($E$50))*4,2,4)))</f>
        <v>-6149999.9999999991</v>
      </c>
      <c r="J50" s="567" t="str">
        <f ca="1">IF(ABS(SUM(OFFSET(Study!$F$198,0,(COLUMN()-COLUMN($E$50))*4,2,4)))&lt;0.0001,"",SUM(OFFSET(Study!$F$198,0,(COLUMN()-COLUMN($E$50))*4,2,4)))</f>
        <v/>
      </c>
      <c r="K50" s="1032">
        <f ca="1">Study!H344</f>
        <v>48029</v>
      </c>
      <c r="L50" s="1033"/>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row>
    <row r="51" spans="2:63" ht="5.25" customHeight="1" x14ac:dyDescent="0.25">
      <c r="B51" s="621"/>
      <c r="C51" s="601" t="s">
        <v>492</v>
      </c>
      <c r="D51" s="550"/>
      <c r="E51" s="511"/>
      <c r="F51" s="511"/>
      <c r="G51" s="511"/>
      <c r="H51" s="511"/>
      <c r="I51" s="511"/>
      <c r="J51" s="569"/>
      <c r="K51" s="1020"/>
      <c r="L51" s="1021"/>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row>
    <row r="52" spans="2:63" ht="31.5" hidden="1" x14ac:dyDescent="0.25">
      <c r="B52" s="621"/>
      <c r="C52" s="587" t="s">
        <v>209</v>
      </c>
      <c r="D52" s="623">
        <f ca="1">Study!C345</f>
        <v>46753</v>
      </c>
      <c r="E52" s="509" t="str">
        <f ca="1">IF(ABS(SUM(OFFSET(Study!$F$180,0,(COLUMN()-COLUMN($E$52))*4,1,4)))&lt;0.0001,"",SUM(OFFSET(Study!$F$180,0,(COLUMN()-COLUMN($E$52))*4,1,4)))</f>
        <v/>
      </c>
      <c r="F52" s="509">
        <f ca="1">IF(ABS(SUM(OFFSET(Study!$F$180,0,(COLUMN()-COLUMN($E$52))*4,1,4)))&lt;0.0001,"",SUM(OFFSET(Study!$F$180,0,(COLUMN()-COLUMN($E$52))*4,1,4)))</f>
        <v>14273086.539130438</v>
      </c>
      <c r="G52" s="509">
        <f ca="1">IF(ABS(SUM(OFFSET(Study!$F$180,0,(COLUMN()-COLUMN($E$52))*4,1,4)))&lt;0.0001,"",SUM(OFFSET(Study!$F$180,0,(COLUMN()-COLUMN($E$52))*4,1,4)))</f>
        <v>30956329.553456314</v>
      </c>
      <c r="H52" s="509">
        <f ca="1">IF(ABS(SUM(OFFSET(Study!$F$180,0,(COLUMN()-COLUMN($E$52))*4,1,4)))&lt;0.0001,"",SUM(OFFSET(Study!$F$180,0,(COLUMN()-COLUMN($E$52))*4,1,4)))</f>
        <v>1257540.4291523891</v>
      </c>
      <c r="I52" s="509" t="str">
        <f ca="1">IF(ABS(SUM(OFFSET(Study!$F$180,0,(COLUMN()-COLUMN($E$52))*4,1,4)))&lt;0.0001,"",SUM(OFFSET(Study!$F$180,0,(COLUMN()-COLUMN($E$52))*4,1,4)))</f>
        <v/>
      </c>
      <c r="J52" s="567" t="str">
        <f ca="1">IF(ABS(SUM(OFFSET(Study!$F$180,0,(COLUMN()-COLUMN($E$52))*4,1,4)))&lt;0.0001,"",SUM(OFFSET(Study!$F$180,0,(COLUMN()-COLUMN($E$52))*4,1,4)))</f>
        <v/>
      </c>
      <c r="K52" s="1022">
        <f ca="1">Study!H345</f>
        <v>47848</v>
      </c>
      <c r="L52" s="1023"/>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row>
    <row r="53" spans="2:63" ht="5.25" customHeight="1" x14ac:dyDescent="0.25">
      <c r="B53" s="621"/>
      <c r="C53" s="601" t="s">
        <v>492</v>
      </c>
      <c r="D53" s="550"/>
      <c r="E53" s="511"/>
      <c r="F53" s="511"/>
      <c r="G53" s="511"/>
      <c r="H53" s="511"/>
      <c r="I53" s="511"/>
      <c r="J53" s="569"/>
      <c r="K53" s="1020"/>
      <c r="L53" s="1021"/>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row>
    <row r="54" spans="2:63" ht="31.5" x14ac:dyDescent="0.25">
      <c r="B54" s="621"/>
      <c r="C54" s="587" t="s">
        <v>472</v>
      </c>
      <c r="D54" s="623">
        <f ca="1">Study!C346</f>
        <v>47849</v>
      </c>
      <c r="E54" s="509" t="str">
        <f ca="1">IF(ABS(SUM(OFFSET(Study!$F$181,0,(COLUMN()-COLUMN($E$54))*4,2,4)))&lt;0.0001,"",SUM(OFFSET(Study!$F$181,0,(COLUMN()-COLUMN($E$54))*4,2,4)))</f>
        <v/>
      </c>
      <c r="F54" s="509" t="str">
        <f ca="1">IF(ABS(SUM(OFFSET(Study!$F$181,0,(COLUMN()-COLUMN($E$54))*4,2,4)))&lt;0.0001,"",SUM(OFFSET(Study!$F$181,0,(COLUMN()-COLUMN($E$54))*4,2,4)))</f>
        <v/>
      </c>
      <c r="G54" s="509" t="str">
        <f ca="1">IF(ABS(SUM(OFFSET(Study!$F$181,0,(COLUMN()-COLUMN($E$54))*4,2,4)))&lt;0.0001,"",SUM(OFFSET(Study!$F$181,0,(COLUMN()-COLUMN($E$54))*4,2,4)))</f>
        <v/>
      </c>
      <c r="H54" s="509" t="str">
        <f ca="1">IF(ABS(SUM(OFFSET(Study!$F$181,0,(COLUMN()-COLUMN($E$54))*4,2,4)))&lt;0.0001,"",SUM(OFFSET(Study!$F$181,0,(COLUMN()-COLUMN($E$54))*4,2,4)))</f>
        <v/>
      </c>
      <c r="I54" s="509">
        <f ca="1">IF(ABS(SUM(OFFSET(Study!$F$181,0,(COLUMN()-COLUMN($E$54))*4,2,4)))&lt;0.0001,"",SUM(OFFSET(Study!$F$181,0,(COLUMN()-COLUMN($E$54))*4,2,4)))</f>
        <v>23823811.079999998</v>
      </c>
      <c r="J54" s="567" t="str">
        <f ca="1">IF(ABS(SUM(OFFSET(Study!$F$181,0,(COLUMN()-COLUMN($E$54))*4,2,4)))&lt;0.0001,"",SUM(OFFSET(Study!$F$181,0,(COLUMN()-COLUMN($E$54))*4,2,4)))</f>
        <v/>
      </c>
      <c r="K54" s="1022">
        <f ca="1">Study!H346</f>
        <v>48213</v>
      </c>
      <c r="L54" s="1023"/>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row>
    <row r="55" spans="2:63" ht="5.25" customHeight="1" x14ac:dyDescent="0.25">
      <c r="B55" s="621"/>
      <c r="C55" s="601" t="s">
        <v>492</v>
      </c>
      <c r="D55" s="550"/>
      <c r="E55" s="511"/>
      <c r="F55" s="511"/>
      <c r="G55" s="511"/>
      <c r="H55" s="511"/>
      <c r="I55" s="511"/>
      <c r="J55" s="569"/>
      <c r="K55" s="1020"/>
      <c r="L55" s="1021"/>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row>
    <row r="56" spans="2:63" ht="31.5" x14ac:dyDescent="0.25">
      <c r="B56" s="621"/>
      <c r="C56" s="587" t="s">
        <v>157</v>
      </c>
      <c r="D56" s="623" t="str">
        <f ca="1">Study!C347</f>
        <v/>
      </c>
      <c r="E56" s="509" t="str">
        <f ca="1">IF(ABS(SUM(OFFSET(Study!$F$183,0,(COLUMN()-COLUMN($E$56))*4,1,4)))&lt;0.0001,"",SUM(OFFSET(Study!$F$183,0,(COLUMN()-COLUMN($E$56))*4,1,4)))</f>
        <v/>
      </c>
      <c r="F56" s="509" t="str">
        <f ca="1">IF(ABS(SUM(OFFSET(Study!$F$183,0,(COLUMN()-COLUMN($E$56))*4,1,4)))&lt;0.0001,"",SUM(OFFSET(Study!$F$183,0,(COLUMN()-COLUMN($E$56))*4,1,4)))</f>
        <v/>
      </c>
      <c r="G56" s="509" t="str">
        <f ca="1">IF(ABS(SUM(OFFSET(Study!$F$183,0,(COLUMN()-COLUMN($E$56))*4,1,4)))&lt;0.0001,"",SUM(OFFSET(Study!$F$183,0,(COLUMN()-COLUMN($E$56))*4,1,4)))</f>
        <v/>
      </c>
      <c r="H56" s="509" t="str">
        <f ca="1">IF(ABS(SUM(OFFSET(Study!$F$183,0,(COLUMN()-COLUMN($E$56))*4,1,4)))&lt;0.0001,"",SUM(OFFSET(Study!$F$183,0,(COLUMN()-COLUMN($E$56))*4,1,4)))</f>
        <v/>
      </c>
      <c r="I56" s="509" t="str">
        <f ca="1">IF(ABS(SUM(OFFSET(Study!$F$183,0,(COLUMN()-COLUMN($E$56))*4,1,4)))&lt;0.0001,"",SUM(OFFSET(Study!$F$183,0,(COLUMN()-COLUMN($E$56))*4,1,4)))</f>
        <v/>
      </c>
      <c r="J56" s="567" t="str">
        <f ca="1">IF(ABS(SUM(OFFSET(Study!$F$183,0,(COLUMN()-COLUMN($E$56))*4,1,4)))&lt;0.0001,"",SUM(OFFSET(Study!$F$183,0,(COLUMN()-COLUMN($E$56))*4,1,4)))</f>
        <v/>
      </c>
      <c r="K56" s="1022" t="str">
        <f ca="1">Study!H347</f>
        <v/>
      </c>
      <c r="L56" s="1023"/>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row>
    <row r="57" spans="2:63" ht="5.25" customHeight="1" x14ac:dyDescent="0.25">
      <c r="B57" s="621"/>
      <c r="C57" s="601" t="s">
        <v>492</v>
      </c>
      <c r="D57" s="550"/>
      <c r="E57" s="511"/>
      <c r="F57" s="511"/>
      <c r="G57" s="511"/>
      <c r="H57" s="511"/>
      <c r="I57" s="511"/>
      <c r="J57" s="569"/>
      <c r="K57" s="1020"/>
      <c r="L57" s="1021"/>
      <c r="AH57" s="78"/>
      <c r="AI57" s="78"/>
      <c r="AJ57" s="78"/>
      <c r="AK57" s="78"/>
      <c r="AL57" s="78"/>
      <c r="AM57" s="78"/>
      <c r="AN57" s="78"/>
      <c r="AO57" s="78"/>
      <c r="AP57" s="78"/>
      <c r="AR57" s="78"/>
      <c r="AS57" s="78"/>
      <c r="AT57" s="78"/>
      <c r="AU57" s="78"/>
      <c r="AV57" s="78"/>
      <c r="AW57" s="78"/>
      <c r="AX57" s="78"/>
      <c r="AY57" s="78"/>
      <c r="AZ57" s="78"/>
      <c r="BA57" s="78"/>
      <c r="BB57" s="78"/>
      <c r="BC57" s="78"/>
      <c r="BD57" s="78"/>
      <c r="BE57" s="78"/>
      <c r="BF57" s="78"/>
      <c r="BG57" s="78"/>
      <c r="BH57" s="78"/>
      <c r="BI57" s="78"/>
      <c r="BJ57" s="78"/>
      <c r="BK57" s="78"/>
    </row>
    <row r="58" spans="2:63" ht="31.5" x14ac:dyDescent="0.25">
      <c r="B58" s="621"/>
      <c r="C58" s="587" t="s">
        <v>491</v>
      </c>
      <c r="D58" s="623">
        <f ca="1">Study!C348</f>
        <v>48122</v>
      </c>
      <c r="E58" s="509" t="str">
        <f ca="1">IF(ABS(SUM(OFFSET(Study!$F$184,0,(COLUMN()-COLUMN($E$58))*4,1,4)))&lt;0.0001,"",SUM(OFFSET(Study!$F$184,0,(COLUMN()-COLUMN($E$58))*4,1,4)))</f>
        <v/>
      </c>
      <c r="F58" s="509" t="str">
        <f ca="1">IF(ABS(SUM(OFFSET(Study!$F$184,0,(COLUMN()-COLUMN($E$58))*4,1,4)))&lt;0.0001,"",SUM(OFFSET(Study!$F$184,0,(COLUMN()-COLUMN($E$58))*4,1,4)))</f>
        <v/>
      </c>
      <c r="G58" s="509" t="str">
        <f ca="1">IF(ABS(SUM(OFFSET(Study!$F$184,0,(COLUMN()-COLUMN($E$58))*4,1,4)))&lt;0.0001,"",SUM(OFFSET(Study!$F$184,0,(COLUMN()-COLUMN($E$58))*4,1,4)))</f>
        <v/>
      </c>
      <c r="H58" s="509" t="str">
        <f ca="1">IF(ABS(SUM(OFFSET(Study!$F$184,0,(COLUMN()-COLUMN($E$58))*4,1,4)))&lt;0.0001,"",SUM(OFFSET(Study!$F$184,0,(COLUMN()-COLUMN($E$58))*4,1,4)))</f>
        <v/>
      </c>
      <c r="I58" s="509">
        <f ca="1">IF(ABS(SUM(OFFSET(Study!$F$184,0,(COLUMN()-COLUMN($E$58))*4,1,4)))&lt;0.0001,"",SUM(OFFSET(Study!$F$184,0,(COLUMN()-COLUMN($E$58))*4,1,4)))</f>
        <v>242871819.07499996</v>
      </c>
      <c r="J58" s="567" t="str">
        <f ca="1">IF(ABS(SUM(OFFSET(Study!$F$184,0,(COLUMN()-COLUMN($E$58))*4,1,4)))&lt;0.0001,"",SUM(OFFSET(Study!$F$184,0,(COLUMN()-COLUMN($E$58))*4,1,4)))</f>
        <v/>
      </c>
      <c r="K58" s="1022">
        <f ca="1">Study!H348</f>
        <v>48213</v>
      </c>
      <c r="L58" s="1023"/>
      <c r="AH58" s="78"/>
      <c r="AI58" s="78"/>
      <c r="AJ58" s="78"/>
      <c r="AK58" s="78"/>
      <c r="AL58" s="78"/>
      <c r="AM58" s="78"/>
      <c r="AN58" s="78"/>
      <c r="AO58" s="78"/>
      <c r="AP58" s="78"/>
      <c r="AR58" s="78"/>
      <c r="AS58" s="78"/>
      <c r="AT58" s="78"/>
      <c r="AU58" s="78"/>
      <c r="AV58" s="78"/>
      <c r="AW58" s="78"/>
      <c r="AX58" s="78"/>
      <c r="AY58" s="78"/>
      <c r="AZ58" s="78"/>
      <c r="BA58" s="78"/>
      <c r="BB58" s="78"/>
      <c r="BC58" s="78"/>
      <c r="BD58" s="78"/>
      <c r="BE58" s="78"/>
      <c r="BF58" s="78"/>
      <c r="BG58" s="78"/>
      <c r="BH58" s="78"/>
      <c r="BI58" s="78"/>
      <c r="BJ58" s="78"/>
      <c r="BK58" s="78"/>
    </row>
    <row r="59" spans="2:63" ht="19.5" thickBot="1" x14ac:dyDescent="0.3">
      <c r="B59" s="624"/>
      <c r="C59" s="603" t="s">
        <v>492</v>
      </c>
      <c r="D59" s="625"/>
      <c r="E59" s="604"/>
      <c r="F59" s="604"/>
      <c r="G59" s="604"/>
      <c r="H59" s="604"/>
      <c r="I59" s="604"/>
      <c r="J59" s="604"/>
      <c r="K59" s="1024"/>
      <c r="L59" s="1025"/>
      <c r="AH59" s="78"/>
      <c r="AI59" s="78"/>
      <c r="AJ59" s="78"/>
      <c r="AK59" s="78"/>
      <c r="AL59" s="78"/>
      <c r="AM59" s="78"/>
      <c r="AN59" s="78"/>
      <c r="AO59" s="78"/>
      <c r="AP59" s="78"/>
      <c r="AR59" s="78"/>
      <c r="AS59" s="78"/>
      <c r="AT59" s="78"/>
      <c r="AU59" s="78"/>
      <c r="AV59" s="78"/>
      <c r="AW59" s="78"/>
      <c r="AX59" s="78"/>
      <c r="AY59" s="78"/>
      <c r="AZ59" s="78"/>
      <c r="BA59" s="78"/>
      <c r="BB59" s="78"/>
      <c r="BC59" s="78"/>
      <c r="BD59" s="78"/>
      <c r="BE59" s="78"/>
      <c r="BF59" s="78"/>
      <c r="BG59" s="78"/>
      <c r="BH59" s="78"/>
      <c r="BI59" s="78"/>
      <c r="BJ59" s="78"/>
      <c r="BK59" s="78"/>
    </row>
    <row r="60" spans="2:63" x14ac:dyDescent="0.25">
      <c r="B60" s="583"/>
      <c r="C60" s="521" t="s">
        <v>235</v>
      </c>
      <c r="D60" s="507"/>
      <c r="E60" s="507"/>
      <c r="F60" s="507"/>
      <c r="G60" s="507"/>
      <c r="H60" s="506"/>
      <c r="I60" s="507"/>
      <c r="J60" s="507" t="s">
        <v>4</v>
      </c>
      <c r="K60" s="1026" t="s">
        <v>229</v>
      </c>
      <c r="L60" s="1027"/>
      <c r="AH60" s="78"/>
      <c r="AI60" s="78"/>
      <c r="AJ60" s="78"/>
      <c r="AK60" s="78"/>
      <c r="AL60" s="78"/>
      <c r="AM60" s="78"/>
      <c r="AN60" s="78"/>
      <c r="AO60" s="78"/>
      <c r="AP60" s="78"/>
      <c r="AR60" s="78"/>
      <c r="AS60" s="78"/>
      <c r="AT60" s="78"/>
      <c r="AU60" s="78"/>
      <c r="AV60" s="78"/>
      <c r="AW60" s="78"/>
      <c r="AX60" s="78"/>
      <c r="AY60" s="78"/>
      <c r="AZ60" s="78"/>
      <c r="BA60" s="78"/>
      <c r="BB60" s="78"/>
      <c r="BC60" s="78"/>
      <c r="BD60" s="78"/>
      <c r="BE60" s="78"/>
      <c r="BF60" s="78"/>
      <c r="BG60" s="78"/>
      <c r="BH60" s="78"/>
      <c r="BI60" s="78"/>
      <c r="BJ60" s="78"/>
      <c r="BK60" s="78"/>
    </row>
    <row r="61" spans="2:63" x14ac:dyDescent="0.25">
      <c r="B61" s="583"/>
      <c r="C61" s="601" t="s">
        <v>515</v>
      </c>
      <c r="D61" s="507"/>
      <c r="E61" s="507"/>
      <c r="F61" s="507"/>
      <c r="G61" s="507"/>
      <c r="H61" s="506"/>
      <c r="I61" s="507"/>
      <c r="J61" s="601" t="s">
        <v>492</v>
      </c>
      <c r="K61" s="1018" t="s">
        <v>492</v>
      </c>
      <c r="L61" s="1019"/>
      <c r="AH61" s="78"/>
      <c r="AI61" s="78"/>
      <c r="AJ61" s="78"/>
      <c r="AK61" s="78"/>
      <c r="AL61" s="78"/>
      <c r="AM61" s="78"/>
      <c r="AN61" s="78"/>
      <c r="AO61" s="78"/>
      <c r="AP61" s="78"/>
      <c r="AR61" s="78"/>
      <c r="AS61" s="78"/>
      <c r="AT61" s="78"/>
      <c r="AU61" s="78"/>
      <c r="AV61" s="78"/>
      <c r="AW61" s="78"/>
      <c r="AX61" s="78"/>
      <c r="AY61" s="78"/>
      <c r="AZ61" s="78"/>
      <c r="BA61" s="78"/>
      <c r="BB61" s="78"/>
      <c r="BC61" s="78"/>
      <c r="BD61" s="78"/>
      <c r="BE61" s="78"/>
      <c r="BF61" s="78"/>
      <c r="BG61" s="78"/>
      <c r="BH61" s="78"/>
      <c r="BI61" s="78"/>
      <c r="BJ61" s="78"/>
      <c r="BK61" s="78"/>
    </row>
    <row r="62" spans="2:63" x14ac:dyDescent="0.25">
      <c r="B62" s="580"/>
      <c r="C62" s="586" t="s">
        <v>473</v>
      </c>
      <c r="D62" s="507"/>
      <c r="E62" s="506"/>
      <c r="F62" s="506"/>
      <c r="G62" s="506"/>
      <c r="H62" s="506"/>
      <c r="I62" s="518"/>
      <c r="J62" s="527">
        <f t="shared" ref="J62:J69" si="0">K62/$K$71</f>
        <v>0.15629243506418206</v>
      </c>
      <c r="K62" s="1036">
        <f>Study!H15</f>
        <v>34500000</v>
      </c>
      <c r="L62" s="1037"/>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row>
    <row r="63" spans="2:63" hidden="1" x14ac:dyDescent="0.25">
      <c r="B63" s="580"/>
      <c r="C63" s="586" t="s">
        <v>474</v>
      </c>
      <c r="D63" s="507"/>
      <c r="E63" s="551"/>
      <c r="F63" s="551"/>
      <c r="G63" s="551"/>
      <c r="H63" s="506"/>
      <c r="I63" s="506"/>
      <c r="J63" s="527">
        <f t="shared" si="0"/>
        <v>0</v>
      </c>
      <c r="K63" s="1036">
        <f>Study!H16</f>
        <v>0</v>
      </c>
      <c r="L63" s="1037"/>
      <c r="AB63" s="80"/>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79"/>
      <c r="BB63" s="79"/>
      <c r="BC63" s="79"/>
      <c r="BD63" s="79"/>
      <c r="BE63" s="79"/>
      <c r="BF63" s="79"/>
      <c r="BG63" s="79"/>
      <c r="BH63" s="79"/>
      <c r="BI63" s="79"/>
      <c r="BJ63" s="78"/>
      <c r="BK63" s="78"/>
    </row>
    <row r="64" spans="2:63" hidden="1" x14ac:dyDescent="0.25">
      <c r="B64" s="580"/>
      <c r="C64" s="586" t="s">
        <v>475</v>
      </c>
      <c r="D64" s="506"/>
      <c r="E64" s="506"/>
      <c r="F64" s="506"/>
      <c r="G64" s="506"/>
      <c r="H64" s="506"/>
      <c r="I64" s="506"/>
      <c r="J64" s="527">
        <f t="shared" si="0"/>
        <v>5.0285392151084664E-2</v>
      </c>
      <c r="K64" s="1036">
        <f>Study!H17</f>
        <v>11100000</v>
      </c>
      <c r="L64" s="1037"/>
      <c r="AB64" s="80"/>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79"/>
      <c r="BB64" s="79"/>
      <c r="BC64" s="79"/>
      <c r="BD64" s="79"/>
      <c r="BE64" s="79"/>
      <c r="BF64" s="79"/>
      <c r="BG64" s="79"/>
      <c r="BH64" s="79"/>
      <c r="BI64" s="79"/>
      <c r="BJ64" s="78"/>
      <c r="BK64" s="78"/>
    </row>
    <row r="65" spans="2:63" x14ac:dyDescent="0.25">
      <c r="B65" s="580"/>
      <c r="C65" s="586" t="s">
        <v>476</v>
      </c>
      <c r="D65" s="506"/>
      <c r="E65" s="506"/>
      <c r="F65" s="506"/>
      <c r="G65" s="506"/>
      <c r="H65" s="506"/>
      <c r="I65" s="506"/>
      <c r="J65" s="527">
        <f t="shared" si="0"/>
        <v>0</v>
      </c>
      <c r="K65" s="1036">
        <f>Study!H18</f>
        <v>0</v>
      </c>
      <c r="L65" s="1037"/>
      <c r="AB65" s="80"/>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78"/>
      <c r="BC65" s="78"/>
      <c r="BD65" s="78"/>
      <c r="BE65" s="78"/>
      <c r="BF65" s="78"/>
      <c r="BG65" s="78"/>
      <c r="BH65" s="78"/>
      <c r="BI65" s="78"/>
      <c r="BJ65" s="78"/>
      <c r="BK65" s="78"/>
    </row>
    <row r="66" spans="2:63" x14ac:dyDescent="0.25">
      <c r="B66" s="580"/>
      <c r="C66" s="586" t="s">
        <v>477</v>
      </c>
      <c r="D66" s="506"/>
      <c r="E66" s="506"/>
      <c r="F66" s="506"/>
      <c r="G66" s="552"/>
      <c r="H66" s="506"/>
      <c r="I66" s="506"/>
      <c r="J66" s="527">
        <f t="shared" si="0"/>
        <v>0.28454102404078979</v>
      </c>
      <c r="K66" s="1036">
        <f>Study!H19</f>
        <v>62809599.999999993</v>
      </c>
      <c r="L66" s="1037"/>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8"/>
      <c r="BB66" s="78"/>
      <c r="BC66" s="78"/>
      <c r="BD66" s="78"/>
      <c r="BE66" s="78"/>
      <c r="BF66" s="78"/>
      <c r="BG66" s="78"/>
      <c r="BH66" s="78"/>
      <c r="BI66" s="78"/>
      <c r="BJ66" s="78"/>
      <c r="BK66" s="78"/>
    </row>
    <row r="67" spans="2:63" x14ac:dyDescent="0.25">
      <c r="B67" s="580"/>
      <c r="C67" s="553" t="s">
        <v>478</v>
      </c>
      <c r="D67" s="506"/>
      <c r="E67" s="506"/>
      <c r="F67" s="506"/>
      <c r="G67" s="552"/>
      <c r="H67" s="506"/>
      <c r="I67" s="507"/>
      <c r="J67" s="527">
        <f t="shared" si="0"/>
        <v>0.24622630053226185</v>
      </c>
      <c r="K67" s="1036">
        <f>Study!H22</f>
        <v>54352006</v>
      </c>
      <c r="L67" s="1037"/>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row>
    <row r="68" spans="2:63" hidden="1" x14ac:dyDescent="0.25">
      <c r="B68" s="580"/>
      <c r="C68" s="553" t="s">
        <v>429</v>
      </c>
      <c r="D68" s="507"/>
      <c r="E68" s="507"/>
      <c r="F68" s="507"/>
      <c r="G68" s="507"/>
      <c r="H68" s="526"/>
      <c r="I68" s="507"/>
      <c r="J68" s="527">
        <f t="shared" si="0"/>
        <v>0.21059593140595273</v>
      </c>
      <c r="K68" s="1036">
        <f>Study!H25</f>
        <v>46486956.52173914</v>
      </c>
      <c r="L68" s="1037"/>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row>
    <row r="69" spans="2:63" x14ac:dyDescent="0.25">
      <c r="B69" s="580"/>
      <c r="C69" s="553" t="s">
        <v>233</v>
      </c>
      <c r="D69" s="507"/>
      <c r="E69" s="507"/>
      <c r="F69" s="507"/>
      <c r="G69" s="507"/>
      <c r="H69" s="526"/>
      <c r="I69" s="526"/>
      <c r="J69" s="527">
        <f t="shared" si="0"/>
        <v>5.2058916805728925E-2</v>
      </c>
      <c r="K69" s="1036">
        <f>Study!H26</f>
        <v>11491487.921728909</v>
      </c>
      <c r="L69" s="1037"/>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row>
    <row r="70" spans="2:63" x14ac:dyDescent="0.25">
      <c r="B70" s="580"/>
      <c r="C70" s="601" t="s">
        <v>492</v>
      </c>
      <c r="D70" s="507"/>
      <c r="E70" s="507"/>
      <c r="F70" s="507"/>
      <c r="G70" s="507"/>
      <c r="H70" s="526"/>
      <c r="I70" s="507"/>
      <c r="J70" s="601" t="s">
        <v>492</v>
      </c>
      <c r="K70" s="1018" t="s">
        <v>492</v>
      </c>
      <c r="L70" s="1019"/>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row>
    <row r="71" spans="2:63" ht="19.5" thickBot="1" x14ac:dyDescent="0.3">
      <c r="B71" s="582"/>
      <c r="C71" s="570" t="s">
        <v>230</v>
      </c>
      <c r="D71" s="571"/>
      <c r="E71" s="571"/>
      <c r="F71" s="571"/>
      <c r="G71" s="571"/>
      <c r="H71" s="571"/>
      <c r="I71" s="571"/>
      <c r="J71" s="572">
        <f>SUM(J62:J70)</f>
        <v>0.99999999999999989</v>
      </c>
      <c r="K71" s="1038">
        <f>SUM(K62:K70)</f>
        <v>220740050.44346803</v>
      </c>
      <c r="L71" s="1039"/>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row>
    <row r="72" spans="2:63" x14ac:dyDescent="0.25">
      <c r="B72" s="583"/>
      <c r="C72" s="507"/>
      <c r="D72" s="507"/>
      <c r="E72" s="507"/>
      <c r="F72" s="507"/>
      <c r="G72" s="507"/>
      <c r="H72" s="526"/>
      <c r="I72" s="526"/>
      <c r="J72" s="527"/>
      <c r="K72" s="528"/>
      <c r="L72" s="573"/>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row>
    <row r="73" spans="2:63" x14ac:dyDescent="0.25">
      <c r="B73" s="580"/>
      <c r="C73" s="513"/>
      <c r="D73" s="513"/>
      <c r="E73" s="513"/>
      <c r="F73" s="513"/>
      <c r="G73" s="513"/>
      <c r="H73" s="514"/>
      <c r="I73" s="514"/>
      <c r="J73" s="512"/>
      <c r="K73" s="512"/>
      <c r="L73" s="573"/>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row>
    <row r="74" spans="2:63" x14ac:dyDescent="0.25">
      <c r="B74" s="580"/>
      <c r="C74" s="525"/>
      <c r="D74" s="513"/>
      <c r="E74" s="512"/>
      <c r="F74" s="517"/>
      <c r="G74" s="513"/>
      <c r="H74" s="514"/>
      <c r="I74" s="514"/>
      <c r="J74" s="514"/>
      <c r="K74" s="514"/>
      <c r="L74" s="573"/>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row>
    <row r="75" spans="2:63" x14ac:dyDescent="0.25">
      <c r="B75" s="580"/>
      <c r="C75" s="525"/>
      <c r="D75" s="513"/>
      <c r="E75" s="512"/>
      <c r="F75" s="517"/>
      <c r="G75" s="513"/>
      <c r="H75" s="514"/>
      <c r="I75" s="514"/>
      <c r="J75" s="514"/>
      <c r="K75" s="514"/>
      <c r="L75" s="573"/>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row>
    <row r="76" spans="2:63" x14ac:dyDescent="0.25">
      <c r="B76" s="580"/>
      <c r="C76" s="525"/>
      <c r="D76" s="513"/>
      <c r="E76" s="512"/>
      <c r="F76" s="517"/>
      <c r="G76" s="513"/>
      <c r="H76" s="514"/>
      <c r="I76" s="514"/>
      <c r="J76" s="514"/>
      <c r="K76" s="514"/>
      <c r="L76" s="573"/>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row>
    <row r="77" spans="2:63" x14ac:dyDescent="0.25">
      <c r="B77" s="580"/>
      <c r="C77" s="525"/>
      <c r="D77" s="513"/>
      <c r="E77" s="512"/>
      <c r="F77" s="517"/>
      <c r="G77" s="513"/>
      <c r="H77" s="514"/>
      <c r="I77" s="514"/>
      <c r="J77" s="514"/>
      <c r="K77" s="514"/>
      <c r="L77" s="573"/>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row>
    <row r="78" spans="2:63" x14ac:dyDescent="0.25">
      <c r="B78" s="580"/>
      <c r="C78" s="525"/>
      <c r="D78" s="513"/>
      <c r="E78" s="512"/>
      <c r="F78" s="517"/>
      <c r="G78" s="513"/>
      <c r="H78" s="514"/>
      <c r="I78" s="514"/>
      <c r="J78" s="514"/>
      <c r="K78" s="514"/>
      <c r="L78" s="573"/>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row>
    <row r="79" spans="2:63" x14ac:dyDescent="0.25">
      <c r="B79" s="580"/>
      <c r="C79" s="525"/>
      <c r="D79" s="513"/>
      <c r="E79" s="512"/>
      <c r="F79" s="517"/>
      <c r="G79" s="513"/>
      <c r="H79" s="514"/>
      <c r="I79" s="514"/>
      <c r="J79" s="514"/>
      <c r="K79" s="514"/>
      <c r="L79" s="573"/>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row>
    <row r="80" spans="2:63" x14ac:dyDescent="0.25">
      <c r="B80" s="580"/>
      <c r="C80" s="525"/>
      <c r="D80" s="513"/>
      <c r="E80" s="512"/>
      <c r="F80" s="517"/>
      <c r="G80" s="513"/>
      <c r="H80" s="514"/>
      <c r="I80" s="514"/>
      <c r="J80" s="514"/>
      <c r="K80" s="514"/>
      <c r="L80" s="573"/>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row>
    <row r="81" spans="2:69" x14ac:dyDescent="0.25">
      <c r="B81" s="580"/>
      <c r="C81" s="525"/>
      <c r="D81" s="513"/>
      <c r="E81" s="512"/>
      <c r="F81" s="517"/>
      <c r="G81" s="513"/>
      <c r="H81" s="514"/>
      <c r="I81" s="514"/>
      <c r="J81" s="514"/>
      <c r="K81" s="514"/>
      <c r="L81" s="573"/>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row>
    <row r="82" spans="2:69" x14ac:dyDescent="0.25">
      <c r="B82" s="580"/>
      <c r="C82" s="525"/>
      <c r="D82" s="513"/>
      <c r="E82" s="512"/>
      <c r="F82" s="517"/>
      <c r="G82" s="513"/>
      <c r="H82" s="514"/>
      <c r="I82" s="514"/>
      <c r="J82" s="514"/>
      <c r="K82" s="514"/>
      <c r="L82" s="573"/>
      <c r="R82" s="663"/>
      <c r="S82" s="663"/>
      <c r="T82" s="663"/>
      <c r="U82" s="663"/>
      <c r="V82" s="663"/>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row>
    <row r="83" spans="2:69" x14ac:dyDescent="0.25">
      <c r="B83" s="580"/>
      <c r="C83" s="525"/>
      <c r="D83" s="513"/>
      <c r="E83" s="512"/>
      <c r="F83" s="517"/>
      <c r="G83" s="513"/>
      <c r="H83" s="514"/>
      <c r="I83" s="514"/>
      <c r="J83" s="514"/>
      <c r="K83" s="514"/>
      <c r="L83" s="573"/>
      <c r="R83" s="663"/>
      <c r="S83" s="715" t="s">
        <v>233</v>
      </c>
      <c r="T83" s="716">
        <f>SUM(Summary!K68:K70)</f>
        <v>57978444.443468049</v>
      </c>
      <c r="U83" s="717">
        <f>T83/Summary!$K$71</f>
        <v>0.26265484821168167</v>
      </c>
      <c r="V83" s="663"/>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row>
    <row r="84" spans="2:69" x14ac:dyDescent="0.25">
      <c r="B84" s="580"/>
      <c r="C84" s="525"/>
      <c r="D84" s="513"/>
      <c r="E84" s="512"/>
      <c r="F84" s="517"/>
      <c r="G84" s="513"/>
      <c r="H84" s="514"/>
      <c r="I84" s="514"/>
      <c r="J84" s="514"/>
      <c r="K84" s="514"/>
      <c r="L84" s="573"/>
      <c r="R84" s="663"/>
      <c r="S84" s="715" t="s">
        <v>232</v>
      </c>
      <c r="T84" s="716">
        <f>Summary!K67</f>
        <v>54352006</v>
      </c>
      <c r="U84" s="717">
        <f>T84/Summary!$K$71</f>
        <v>0.24622630053226185</v>
      </c>
      <c r="V84" s="663"/>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row>
    <row r="85" spans="2:69" x14ac:dyDescent="0.25">
      <c r="B85" s="580"/>
      <c r="C85" s="525"/>
      <c r="D85" s="513"/>
      <c r="E85" s="512"/>
      <c r="F85" s="517"/>
      <c r="G85" s="513"/>
      <c r="H85" s="514"/>
      <c r="I85" s="514"/>
      <c r="J85" s="514"/>
      <c r="K85" s="514"/>
      <c r="L85" s="573"/>
      <c r="R85" s="663"/>
      <c r="S85" s="715" t="s">
        <v>262</v>
      </c>
      <c r="T85" s="716">
        <f>Summary!K64+Summary!K65</f>
        <v>11100000</v>
      </c>
      <c r="U85" s="717">
        <f>T85/Summary!K71</f>
        <v>5.0285392151084664E-2</v>
      </c>
      <c r="V85" s="663"/>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P85" s="53"/>
      <c r="BQ85" s="53"/>
    </row>
    <row r="86" spans="2:69" x14ac:dyDescent="0.25">
      <c r="B86" s="580"/>
      <c r="C86" s="525"/>
      <c r="D86" s="513"/>
      <c r="E86" s="512"/>
      <c r="F86" s="517"/>
      <c r="G86" s="513"/>
      <c r="H86" s="514"/>
      <c r="I86" s="514"/>
      <c r="J86" s="514"/>
      <c r="K86" s="514"/>
      <c r="L86" s="573"/>
      <c r="R86" s="663"/>
      <c r="S86" s="715" t="s">
        <v>261</v>
      </c>
      <c r="T86" s="716">
        <f>Summary!K62+Summary!K63+Summary!K66</f>
        <v>97309600</v>
      </c>
      <c r="U86" s="717">
        <f>T86/Summary!K71</f>
        <v>0.4408334591049719</v>
      </c>
      <c r="V86" s="663"/>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P86" s="53"/>
      <c r="BQ86" s="53"/>
    </row>
    <row r="87" spans="2:69" x14ac:dyDescent="0.25">
      <c r="B87" s="580"/>
      <c r="C87" s="525"/>
      <c r="D87" s="513"/>
      <c r="E87" s="512"/>
      <c r="F87" s="517"/>
      <c r="G87" s="513"/>
      <c r="H87" s="514"/>
      <c r="I87" s="514"/>
      <c r="J87" s="514"/>
      <c r="K87" s="514"/>
      <c r="L87" s="573"/>
      <c r="R87" s="663"/>
      <c r="S87" s="718"/>
      <c r="T87" s="718"/>
      <c r="U87" s="718"/>
      <c r="V87" s="663"/>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P87" s="53"/>
      <c r="BQ87" s="53"/>
    </row>
    <row r="88" spans="2:69" x14ac:dyDescent="0.25">
      <c r="B88" s="580"/>
      <c r="C88" s="525"/>
      <c r="D88" s="513"/>
      <c r="E88" s="512"/>
      <c r="F88" s="517"/>
      <c r="G88" s="513"/>
      <c r="H88" s="514"/>
      <c r="I88" s="514"/>
      <c r="J88" s="514"/>
      <c r="K88" s="514"/>
      <c r="L88" s="573"/>
      <c r="R88" s="663"/>
      <c r="S88" s="718"/>
      <c r="T88" s="715" t="str">
        <f>S83</f>
        <v>مصادر أخرى</v>
      </c>
      <c r="U88" s="716">
        <f>T83</f>
        <v>57978444.443468049</v>
      </c>
      <c r="V88" s="663"/>
      <c r="BJ88" s="78"/>
      <c r="BK88" s="78"/>
      <c r="BP88" s="53"/>
      <c r="BQ88" s="53"/>
    </row>
    <row r="89" spans="2:69" x14ac:dyDescent="0.25">
      <c r="B89" s="580"/>
      <c r="C89" s="525"/>
      <c r="D89" s="513"/>
      <c r="E89" s="512"/>
      <c r="F89" s="517"/>
      <c r="G89" s="513"/>
      <c r="H89" s="514"/>
      <c r="I89" s="514"/>
      <c r="J89" s="514"/>
      <c r="K89" s="514"/>
      <c r="L89" s="573"/>
      <c r="R89" s="663"/>
      <c r="S89" s="718"/>
      <c r="T89" s="715" t="str">
        <f>S84</f>
        <v>التمويل</v>
      </c>
      <c r="U89" s="716">
        <f>T84</f>
        <v>54352006</v>
      </c>
      <c r="V89" s="663"/>
      <c r="BJ89" s="78"/>
      <c r="BK89" s="78"/>
      <c r="BP89" s="53"/>
      <c r="BQ89" s="53"/>
    </row>
    <row r="90" spans="2:69" x14ac:dyDescent="0.25">
      <c r="B90" s="580"/>
      <c r="C90" s="525"/>
      <c r="D90" s="513"/>
      <c r="E90" s="512"/>
      <c r="F90" s="517"/>
      <c r="G90" s="513"/>
      <c r="H90" s="514"/>
      <c r="I90" s="514"/>
      <c r="J90" s="514"/>
      <c r="K90" s="514"/>
      <c r="L90" s="573"/>
      <c r="R90" s="663"/>
      <c r="S90" s="718"/>
      <c r="T90" s="715" t="s">
        <v>285</v>
      </c>
      <c r="U90" s="716">
        <f>T85+T86</f>
        <v>108409600</v>
      </c>
      <c r="V90" s="663"/>
      <c r="BJ90" s="78"/>
      <c r="BK90" s="78"/>
      <c r="BP90" s="53"/>
      <c r="BQ90" s="53"/>
    </row>
    <row r="91" spans="2:69" x14ac:dyDescent="0.25">
      <c r="B91" s="580"/>
      <c r="C91" s="525"/>
      <c r="D91" s="513"/>
      <c r="E91" s="512"/>
      <c r="F91" s="517"/>
      <c r="G91" s="513"/>
      <c r="H91" s="514"/>
      <c r="I91" s="514"/>
      <c r="J91" s="514"/>
      <c r="K91" s="514"/>
      <c r="L91" s="573"/>
      <c r="R91" s="663"/>
      <c r="S91" s="663"/>
      <c r="T91" s="663"/>
      <c r="U91" s="663"/>
      <c r="V91" s="663"/>
      <c r="BJ91" s="78"/>
      <c r="BK91" s="78"/>
      <c r="BP91" s="53"/>
      <c r="BQ91" s="53"/>
    </row>
    <row r="92" spans="2:69" x14ac:dyDescent="0.25">
      <c r="B92" s="580"/>
      <c r="C92" s="519"/>
      <c r="D92" s="506"/>
      <c r="E92" s="506"/>
      <c r="F92" s="506"/>
      <c r="G92" s="506"/>
      <c r="H92" s="506"/>
      <c r="I92" s="507"/>
      <c r="J92" s="507"/>
      <c r="K92" s="507"/>
      <c r="L92" s="573"/>
      <c r="BJ92" s="78"/>
      <c r="BK92" s="78"/>
      <c r="BP92" s="53"/>
      <c r="BQ92" s="53"/>
    </row>
    <row r="93" spans="2:69" x14ac:dyDescent="0.25">
      <c r="B93" s="580"/>
      <c r="C93" s="519"/>
      <c r="D93" s="506"/>
      <c r="E93" s="506"/>
      <c r="F93" s="506"/>
      <c r="G93" s="506"/>
      <c r="H93" s="506"/>
      <c r="I93" s="507"/>
      <c r="J93" s="507"/>
      <c r="K93" s="507"/>
      <c r="L93" s="573"/>
      <c r="BJ93" s="78"/>
      <c r="BK93" s="78"/>
      <c r="BP93" s="53"/>
      <c r="BQ93" s="53"/>
    </row>
    <row r="94" spans="2:69" ht="19.5" thickBot="1" x14ac:dyDescent="0.3">
      <c r="B94" s="581"/>
      <c r="C94" s="531" t="s">
        <v>236</v>
      </c>
      <c r="D94" s="530"/>
      <c r="E94" s="530"/>
      <c r="F94" s="530"/>
      <c r="G94" s="530"/>
      <c r="H94" s="534"/>
      <c r="I94" s="530"/>
      <c r="J94" s="530" t="s">
        <v>231</v>
      </c>
      <c r="K94" s="530" t="s">
        <v>229</v>
      </c>
      <c r="L94" s="574"/>
      <c r="BJ94" s="78"/>
      <c r="BK94" s="78"/>
      <c r="BP94" s="53"/>
      <c r="BQ94" s="53"/>
    </row>
    <row r="95" spans="2:69" x14ac:dyDescent="0.25">
      <c r="B95" s="580"/>
      <c r="C95" s="513" t="s">
        <v>241</v>
      </c>
      <c r="D95" s="507"/>
      <c r="E95" s="507"/>
      <c r="F95" s="507"/>
      <c r="G95" s="507"/>
      <c r="H95" s="506"/>
      <c r="I95" s="507"/>
      <c r="J95" s="702">
        <f>J96+J97+J98+J99</f>
        <v>5980.2823758519953</v>
      </c>
      <c r="K95" s="702">
        <f>K96+K97+K98+K99</f>
        <v>49134000</v>
      </c>
      <c r="L95" s="573"/>
      <c r="BJ95" s="78"/>
      <c r="BK95" s="78"/>
      <c r="BP95" s="53"/>
      <c r="BQ95" s="53"/>
    </row>
    <row r="96" spans="2:69" x14ac:dyDescent="0.25">
      <c r="B96" s="580"/>
      <c r="C96" s="553" t="s">
        <v>249</v>
      </c>
      <c r="D96" s="507"/>
      <c r="E96" s="507"/>
      <c r="F96" s="507"/>
      <c r="G96" s="507"/>
      <c r="H96" s="506"/>
      <c r="I96" s="507"/>
      <c r="J96" s="702">
        <f>K96/$I$13</f>
        <v>5842.2590068159689</v>
      </c>
      <c r="K96" s="702">
        <f>Study!E40</f>
        <v>48000000</v>
      </c>
      <c r="L96" s="573"/>
      <c r="BJ96" s="78"/>
      <c r="BK96" s="78"/>
      <c r="BP96" s="53"/>
      <c r="BQ96" s="53"/>
    </row>
    <row r="97" spans="2:69" x14ac:dyDescent="0.25">
      <c r="B97" s="580"/>
      <c r="C97" s="553" t="s">
        <v>465</v>
      </c>
      <c r="D97" s="507"/>
      <c r="E97" s="507"/>
      <c r="F97" s="507"/>
      <c r="G97" s="507"/>
      <c r="H97" s="506"/>
      <c r="I97" s="507"/>
      <c r="J97" s="702">
        <f>K97/$I$13</f>
        <v>43.816942551119766</v>
      </c>
      <c r="K97" s="702">
        <f>Study!G40</f>
        <v>360000</v>
      </c>
      <c r="L97" s="573"/>
      <c r="BJ97" s="78"/>
      <c r="BK97" s="78"/>
      <c r="BP97" s="53"/>
      <c r="BQ97" s="53"/>
    </row>
    <row r="98" spans="2:69" x14ac:dyDescent="0.25">
      <c r="B98" s="580"/>
      <c r="C98" s="553" t="s">
        <v>466</v>
      </c>
      <c r="D98" s="507"/>
      <c r="E98" s="507"/>
      <c r="F98" s="507"/>
      <c r="G98" s="507"/>
      <c r="H98" s="506"/>
      <c r="I98" s="507"/>
      <c r="J98" s="702">
        <f>K98/$I$13</f>
        <v>6.5725413826679651</v>
      </c>
      <c r="K98" s="702">
        <f>Study!H40</f>
        <v>54000</v>
      </c>
      <c r="L98" s="573"/>
      <c r="BJ98" s="78"/>
      <c r="BK98" s="78"/>
      <c r="BP98" s="53"/>
      <c r="BQ98" s="53"/>
    </row>
    <row r="99" spans="2:69" x14ac:dyDescent="0.25">
      <c r="B99" s="580"/>
      <c r="C99" s="553" t="s">
        <v>242</v>
      </c>
      <c r="D99" s="507"/>
      <c r="E99" s="507"/>
      <c r="F99" s="507"/>
      <c r="G99" s="507"/>
      <c r="H99" s="506"/>
      <c r="I99" s="507"/>
      <c r="J99" s="703">
        <f>K99/$I$13</f>
        <v>87.633885102239532</v>
      </c>
      <c r="K99" s="703">
        <f>Study!F40</f>
        <v>720000</v>
      </c>
      <c r="L99" s="573"/>
      <c r="BJ99" s="78"/>
      <c r="BK99" s="78"/>
      <c r="BP99" s="53"/>
      <c r="BQ99" s="53"/>
    </row>
    <row r="100" spans="2:69" x14ac:dyDescent="0.25">
      <c r="B100" s="580"/>
      <c r="C100" s="549" t="s">
        <v>499</v>
      </c>
      <c r="D100" s="507"/>
      <c r="E100" s="507"/>
      <c r="F100" s="507"/>
      <c r="G100" s="507"/>
      <c r="H100" s="506"/>
      <c r="I100" s="507"/>
      <c r="J100" s="554"/>
      <c r="K100" s="554"/>
      <c r="L100" s="573"/>
      <c r="BJ100" s="78"/>
      <c r="BK100" s="78"/>
      <c r="BP100" s="53"/>
      <c r="BQ100" s="53"/>
    </row>
    <row r="101" spans="2:69" x14ac:dyDescent="0.25">
      <c r="B101" s="580"/>
      <c r="C101" s="513" t="s">
        <v>243</v>
      </c>
      <c r="D101" s="507"/>
      <c r="E101" s="507"/>
      <c r="F101" s="507"/>
      <c r="G101" s="507"/>
      <c r="H101" s="506"/>
      <c r="I101" s="507"/>
      <c r="J101" s="702">
        <f>J102+J103+J104</f>
        <v>3494.6481236642931</v>
      </c>
      <c r="K101" s="702">
        <f>K102+K103+K104</f>
        <v>111128552.25920001</v>
      </c>
      <c r="L101" s="573"/>
      <c r="BJ101" s="78"/>
      <c r="BK101" s="78"/>
      <c r="BP101" s="53"/>
      <c r="BQ101" s="53"/>
    </row>
    <row r="102" spans="2:69" x14ac:dyDescent="0.25">
      <c r="B102" s="580"/>
      <c r="C102" s="553" t="s">
        <v>250</v>
      </c>
      <c r="D102" s="507"/>
      <c r="E102" s="507"/>
      <c r="F102" s="507"/>
      <c r="G102" s="507"/>
      <c r="H102" s="506"/>
      <c r="I102" s="507"/>
      <c r="J102" s="702">
        <f>K102/$I$14</f>
        <v>2461.2105042698595</v>
      </c>
      <c r="K102" s="702">
        <f>Study!C15</f>
        <v>78265608</v>
      </c>
      <c r="L102" s="573"/>
      <c r="BJ102" s="78"/>
      <c r="BK102" s="78"/>
      <c r="BP102" s="53"/>
      <c r="BQ102" s="53"/>
    </row>
    <row r="103" spans="2:69" x14ac:dyDescent="0.25">
      <c r="B103" s="580"/>
      <c r="C103" s="553" t="s">
        <v>251</v>
      </c>
      <c r="D103" s="507"/>
      <c r="E103" s="507"/>
      <c r="F103" s="507"/>
      <c r="G103" s="507"/>
      <c r="H103" s="506"/>
      <c r="I103" s="507"/>
      <c r="J103" s="702">
        <f>K103/$I$14</f>
        <v>664.25604375395449</v>
      </c>
      <c r="K103" s="702">
        <f>Study!C98-Study!C94-Study!C96</f>
        <v>21123103.0592</v>
      </c>
      <c r="L103" s="573"/>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P103" s="53"/>
      <c r="BQ103" s="53"/>
    </row>
    <row r="104" spans="2:69" x14ac:dyDescent="0.25">
      <c r="B104" s="580"/>
      <c r="C104" s="555">
        <f>Study!D100</f>
        <v>0.15</v>
      </c>
      <c r="D104" s="507"/>
      <c r="E104" s="507"/>
      <c r="F104" s="507"/>
      <c r="G104" s="507"/>
      <c r="H104" s="506"/>
      <c r="I104" s="507"/>
      <c r="J104" s="703">
        <f>K104/$I$14</f>
        <v>369.18157564047891</v>
      </c>
      <c r="K104" s="703">
        <f>Study!C100</f>
        <v>11739841.199999999</v>
      </c>
      <c r="L104" s="573"/>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P104" s="53"/>
      <c r="BQ104" s="53"/>
    </row>
    <row r="105" spans="2:69" x14ac:dyDescent="0.25">
      <c r="B105" s="580"/>
      <c r="C105" s="549" t="s">
        <v>499</v>
      </c>
      <c r="D105" s="507"/>
      <c r="E105" s="507"/>
      <c r="F105" s="507"/>
      <c r="G105" s="507"/>
      <c r="H105" s="506"/>
      <c r="I105" s="507"/>
      <c r="J105" s="554"/>
      <c r="K105" s="554"/>
      <c r="L105" s="573"/>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P105" s="53"/>
      <c r="BQ105" s="53"/>
    </row>
    <row r="106" spans="2:69" x14ac:dyDescent="0.25">
      <c r="B106" s="580"/>
      <c r="C106" s="513" t="s">
        <v>244</v>
      </c>
      <c r="D106" s="507"/>
      <c r="E106" s="507"/>
      <c r="F106" s="507"/>
      <c r="G106" s="507"/>
      <c r="H106" s="506"/>
      <c r="I106" s="507"/>
      <c r="J106" s="703">
        <f>K106/I15</f>
        <v>4.7329790861497596</v>
      </c>
      <c r="K106" s="703">
        <f>Study!C94+Study!C96</f>
        <v>46954.910520000005</v>
      </c>
      <c r="L106" s="573"/>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P106" s="53"/>
      <c r="BQ106" s="53"/>
    </row>
    <row r="107" spans="2:69" x14ac:dyDescent="0.25">
      <c r="B107" s="580"/>
      <c r="C107" s="549" t="s">
        <v>499</v>
      </c>
      <c r="D107" s="507"/>
      <c r="E107" s="507"/>
      <c r="F107" s="507"/>
      <c r="G107" s="507"/>
      <c r="H107" s="506"/>
      <c r="I107" s="507"/>
      <c r="J107" s="523"/>
      <c r="K107" s="523"/>
      <c r="L107" s="573"/>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P107" s="53"/>
      <c r="BQ107" s="53"/>
    </row>
    <row r="108" spans="2:69" x14ac:dyDescent="0.25">
      <c r="B108" s="580"/>
      <c r="C108" s="513" t="s">
        <v>252</v>
      </c>
      <c r="D108" s="507"/>
      <c r="E108" s="507"/>
      <c r="F108" s="507"/>
      <c r="G108" s="507"/>
      <c r="H108" s="506"/>
      <c r="I108" s="507"/>
      <c r="J108" s="702">
        <f>J110+J109</f>
        <v>224.5906957986958</v>
      </c>
      <c r="K108" s="702">
        <f>K109+K110</f>
        <v>7141903.2737480383</v>
      </c>
      <c r="L108" s="573"/>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P108" s="53"/>
      <c r="BQ108" s="53"/>
    </row>
    <row r="109" spans="2:69" x14ac:dyDescent="0.25">
      <c r="B109" s="580"/>
      <c r="C109" s="556">
        <f>Study!C188</f>
        <v>7.2999999999999995E-2</v>
      </c>
      <c r="D109" s="507"/>
      <c r="E109" s="507"/>
      <c r="F109" s="507"/>
      <c r="G109" s="507"/>
      <c r="H109" s="506"/>
      <c r="I109" s="507"/>
      <c r="J109" s="702">
        <f>K109/$I$14</f>
        <v>216.04468615833508</v>
      </c>
      <c r="K109" s="702">
        <f>-Study!E188</f>
        <v>6870143.2437480381</v>
      </c>
      <c r="L109" s="573"/>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P109" s="53"/>
      <c r="BQ109" s="53"/>
    </row>
    <row r="110" spans="2:69" x14ac:dyDescent="0.25">
      <c r="B110" s="580"/>
      <c r="C110" s="557">
        <f>Study!C189</f>
        <v>5.0000000000000001E-3</v>
      </c>
      <c r="D110" s="507"/>
      <c r="E110" s="507"/>
      <c r="F110" s="507"/>
      <c r="G110" s="507"/>
      <c r="H110" s="506"/>
      <c r="I110" s="507"/>
      <c r="J110" s="703">
        <f>K110/$I$14</f>
        <v>8.54600964036071</v>
      </c>
      <c r="K110" s="703">
        <f>-Study!F248</f>
        <v>271760.03000000003</v>
      </c>
      <c r="L110" s="573"/>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P110" s="53"/>
      <c r="BQ110" s="53"/>
    </row>
    <row r="111" spans="2:69" x14ac:dyDescent="0.25">
      <c r="B111" s="580"/>
      <c r="C111" s="549" t="s">
        <v>499</v>
      </c>
      <c r="D111" s="507"/>
      <c r="E111" s="507"/>
      <c r="F111" s="507"/>
      <c r="G111" s="507"/>
      <c r="H111" s="506"/>
      <c r="I111" s="507"/>
      <c r="J111" s="554"/>
      <c r="K111" s="554"/>
      <c r="L111" s="573"/>
      <c r="BK111" s="78"/>
      <c r="BP111" s="53"/>
      <c r="BQ111" s="53"/>
    </row>
    <row r="112" spans="2:69" x14ac:dyDescent="0.25">
      <c r="B112" s="580"/>
      <c r="C112" s="513" t="s">
        <v>245</v>
      </c>
      <c r="D112" s="507"/>
      <c r="E112" s="507"/>
      <c r="F112" s="507"/>
      <c r="G112" s="507"/>
      <c r="H112" s="506"/>
      <c r="I112" s="507"/>
      <c r="J112" s="702">
        <f>J113+J114</f>
        <v>332.54514830985511</v>
      </c>
      <c r="K112" s="702">
        <f>K113+K114</f>
        <v>10574816</v>
      </c>
      <c r="L112" s="573"/>
      <c r="BK112" s="78"/>
      <c r="BP112" s="53"/>
      <c r="BQ112" s="53"/>
    </row>
    <row r="113" spans="2:69" x14ac:dyDescent="0.25">
      <c r="B113" s="580"/>
      <c r="C113" s="558" t="s">
        <v>467</v>
      </c>
      <c r="D113" s="507"/>
      <c r="E113" s="507"/>
      <c r="F113" s="507"/>
      <c r="G113" s="507"/>
      <c r="H113" s="506"/>
      <c r="I113" s="507"/>
      <c r="J113" s="702">
        <f>K113/$I$14</f>
        <v>289.77736854882636</v>
      </c>
      <c r="K113" s="702">
        <f>Study!C101</f>
        <v>9214816</v>
      </c>
      <c r="L113" s="573"/>
      <c r="BK113" s="78"/>
      <c r="BP113" s="53"/>
      <c r="BQ113" s="53"/>
    </row>
    <row r="114" spans="2:69" x14ac:dyDescent="0.25">
      <c r="B114" s="580"/>
      <c r="C114" s="553" t="s">
        <v>246</v>
      </c>
      <c r="D114" s="507"/>
      <c r="E114" s="507"/>
      <c r="F114" s="507"/>
      <c r="G114" s="507"/>
      <c r="H114" s="506"/>
      <c r="I114" s="507"/>
      <c r="J114" s="703">
        <f>K114/$I$14</f>
        <v>42.767779761028741</v>
      </c>
      <c r="K114" s="703">
        <f>Study!C102</f>
        <v>1360000</v>
      </c>
      <c r="L114" s="573"/>
      <c r="BK114" s="78"/>
      <c r="BP114" s="53"/>
      <c r="BQ114" s="53"/>
    </row>
    <row r="115" spans="2:69" x14ac:dyDescent="0.25">
      <c r="B115" s="580"/>
      <c r="C115" s="549" t="s">
        <v>499</v>
      </c>
      <c r="D115" s="506"/>
      <c r="E115" s="506"/>
      <c r="F115" s="506"/>
      <c r="G115" s="506"/>
      <c r="H115" s="506"/>
      <c r="I115" s="506"/>
      <c r="J115" s="506"/>
      <c r="K115" s="506"/>
      <c r="L115" s="573"/>
      <c r="BK115" s="78"/>
      <c r="BP115" s="53"/>
      <c r="BQ115" s="53"/>
    </row>
    <row r="116" spans="2:69" x14ac:dyDescent="0.25">
      <c r="B116" s="580"/>
      <c r="C116" s="519"/>
      <c r="D116" s="506"/>
      <c r="E116" s="506"/>
      <c r="F116" s="506"/>
      <c r="G116" s="506"/>
      <c r="H116" s="506"/>
      <c r="I116" s="506"/>
      <c r="J116" s="506"/>
      <c r="K116" s="506"/>
      <c r="L116" s="602"/>
      <c r="R116" s="173"/>
      <c r="BK116" s="78"/>
      <c r="BP116" s="53"/>
      <c r="BQ116" s="53"/>
    </row>
    <row r="117" spans="2:69" x14ac:dyDescent="0.25">
      <c r="B117" s="580"/>
      <c r="C117" s="519"/>
      <c r="D117" s="506"/>
      <c r="E117" s="506"/>
      <c r="F117" s="506"/>
      <c r="G117" s="506"/>
      <c r="H117" s="506"/>
      <c r="I117" s="506"/>
      <c r="J117" s="506"/>
      <c r="K117" s="506"/>
      <c r="L117" s="602"/>
      <c r="R117" s="173"/>
      <c r="BK117" s="78"/>
      <c r="BP117" s="53"/>
      <c r="BQ117" s="53"/>
    </row>
    <row r="118" spans="2:69" x14ac:dyDescent="0.25">
      <c r="B118" s="580"/>
      <c r="C118" s="519"/>
      <c r="D118" s="506"/>
      <c r="E118" s="506"/>
      <c r="F118" s="506"/>
      <c r="G118" s="506"/>
      <c r="H118" s="506"/>
      <c r="I118" s="506"/>
      <c r="J118" s="506"/>
      <c r="K118" s="506"/>
      <c r="L118" s="602"/>
      <c r="R118" s="173"/>
      <c r="BK118" s="78"/>
      <c r="BP118" s="53"/>
      <c r="BQ118" s="53"/>
    </row>
    <row r="119" spans="2:69" x14ac:dyDescent="0.25">
      <c r="B119" s="580"/>
      <c r="C119" s="519"/>
      <c r="D119" s="506"/>
      <c r="E119" s="506"/>
      <c r="F119" s="506"/>
      <c r="G119" s="506"/>
      <c r="H119" s="506"/>
      <c r="I119" s="506"/>
      <c r="J119" s="506"/>
      <c r="K119" s="506"/>
      <c r="L119" s="602"/>
      <c r="R119" s="173"/>
      <c r="BK119" s="78"/>
      <c r="BP119" s="53"/>
      <c r="BQ119" s="53"/>
    </row>
    <row r="120" spans="2:69" x14ac:dyDescent="0.25">
      <c r="B120" s="580"/>
      <c r="C120" s="519"/>
      <c r="D120" s="506"/>
      <c r="E120" s="506"/>
      <c r="F120" s="506"/>
      <c r="G120" s="506"/>
      <c r="H120" s="506"/>
      <c r="I120" s="506"/>
      <c r="J120" s="506"/>
      <c r="K120" s="506"/>
      <c r="L120" s="602"/>
      <c r="R120" s="173"/>
      <c r="BK120" s="78"/>
      <c r="BP120" s="53"/>
      <c r="BQ120" s="53"/>
    </row>
    <row r="121" spans="2:69" x14ac:dyDescent="0.25">
      <c r="B121" s="580"/>
      <c r="C121" s="519"/>
      <c r="D121" s="506"/>
      <c r="E121" s="506"/>
      <c r="F121" s="506"/>
      <c r="G121" s="506"/>
      <c r="H121" s="506"/>
      <c r="I121" s="506"/>
      <c r="J121" s="506"/>
      <c r="K121" s="506"/>
      <c r="L121" s="602"/>
      <c r="R121" s="173"/>
      <c r="BK121" s="78"/>
      <c r="BP121" s="53"/>
      <c r="BQ121" s="53"/>
    </row>
    <row r="122" spans="2:69" x14ac:dyDescent="0.25">
      <c r="B122" s="580"/>
      <c r="C122" s="519"/>
      <c r="D122" s="506"/>
      <c r="E122" s="506"/>
      <c r="F122" s="506"/>
      <c r="G122" s="506"/>
      <c r="H122" s="506"/>
      <c r="I122" s="506"/>
      <c r="J122" s="506"/>
      <c r="K122" s="506"/>
      <c r="L122" s="602"/>
      <c r="R122" s="173"/>
      <c r="BK122" s="78"/>
      <c r="BP122" s="53"/>
      <c r="BQ122" s="53"/>
    </row>
    <row r="123" spans="2:69" x14ac:dyDescent="0.25">
      <c r="B123" s="580"/>
      <c r="C123" s="519"/>
      <c r="D123" s="506"/>
      <c r="E123" s="506"/>
      <c r="F123" s="506"/>
      <c r="G123" s="506"/>
      <c r="H123" s="506"/>
      <c r="I123" s="506"/>
      <c r="J123" s="506"/>
      <c r="K123" s="506"/>
      <c r="L123" s="602"/>
      <c r="R123" s="173"/>
      <c r="BK123" s="78"/>
      <c r="BP123" s="53"/>
      <c r="BQ123" s="53"/>
    </row>
    <row r="124" spans="2:69" x14ac:dyDescent="0.25">
      <c r="B124" s="580"/>
      <c r="C124" s="519"/>
      <c r="D124" s="506"/>
      <c r="E124" s="506"/>
      <c r="F124" s="506"/>
      <c r="G124" s="506"/>
      <c r="H124" s="506"/>
      <c r="I124" s="506"/>
      <c r="J124" s="506"/>
      <c r="K124" s="506"/>
      <c r="L124" s="602"/>
      <c r="R124" s="173"/>
      <c r="BK124" s="78"/>
      <c r="BP124" s="53"/>
      <c r="BQ124" s="53"/>
    </row>
    <row r="125" spans="2:69" x14ac:dyDescent="0.25">
      <c r="B125" s="580"/>
      <c r="C125" s="519"/>
      <c r="D125" s="506"/>
      <c r="E125" s="506"/>
      <c r="F125" s="506"/>
      <c r="G125" s="506"/>
      <c r="H125" s="506"/>
      <c r="I125" s="506"/>
      <c r="J125" s="506"/>
      <c r="K125" s="506"/>
      <c r="L125" s="602"/>
      <c r="R125" s="173"/>
      <c r="BK125" s="78"/>
      <c r="BP125" s="53"/>
      <c r="BQ125" s="53"/>
    </row>
    <row r="126" spans="2:69" x14ac:dyDescent="0.25">
      <c r="B126" s="580"/>
      <c r="C126" s="519"/>
      <c r="D126" s="506"/>
      <c r="E126" s="506"/>
      <c r="F126" s="506"/>
      <c r="G126" s="506"/>
      <c r="H126" s="506"/>
      <c r="I126" s="506"/>
      <c r="J126" s="506"/>
      <c r="K126" s="506"/>
      <c r="L126" s="602"/>
      <c r="R126" s="173"/>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P126" s="53"/>
      <c r="BQ126" s="53"/>
    </row>
    <row r="127" spans="2:69" x14ac:dyDescent="0.25">
      <c r="B127" s="580"/>
      <c r="C127" s="519"/>
      <c r="D127" s="506"/>
      <c r="E127" s="506"/>
      <c r="F127" s="506"/>
      <c r="G127" s="506"/>
      <c r="H127" s="506"/>
      <c r="I127" s="506"/>
      <c r="J127" s="506"/>
      <c r="K127" s="506"/>
      <c r="L127" s="602"/>
      <c r="R127" s="173"/>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P127" s="53"/>
      <c r="BQ127" s="53"/>
    </row>
    <row r="128" spans="2:69" x14ac:dyDescent="0.25">
      <c r="B128" s="580"/>
      <c r="C128" s="519"/>
      <c r="D128" s="506"/>
      <c r="E128" s="506"/>
      <c r="F128" s="506"/>
      <c r="G128" s="506"/>
      <c r="H128" s="506"/>
      <c r="I128" s="506"/>
      <c r="J128" s="506"/>
      <c r="K128" s="506"/>
      <c r="L128" s="602"/>
      <c r="R128" s="173"/>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P128" s="53"/>
      <c r="BQ128" s="53"/>
    </row>
    <row r="129" spans="2:69" x14ac:dyDescent="0.25">
      <c r="B129" s="580"/>
      <c r="C129" s="519"/>
      <c r="D129" s="506"/>
      <c r="E129" s="506"/>
      <c r="F129" s="506"/>
      <c r="G129" s="506"/>
      <c r="H129" s="506"/>
      <c r="I129" s="506"/>
      <c r="J129" s="506"/>
      <c r="K129" s="506"/>
      <c r="L129" s="602"/>
      <c r="R129" s="173"/>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P129" s="53"/>
      <c r="BQ129" s="53"/>
    </row>
    <row r="130" spans="2:69" x14ac:dyDescent="0.25">
      <c r="B130" s="580"/>
      <c r="C130" s="519"/>
      <c r="D130" s="506"/>
      <c r="E130" s="506"/>
      <c r="F130" s="506"/>
      <c r="G130" s="506"/>
      <c r="H130" s="506"/>
      <c r="I130" s="506"/>
      <c r="J130" s="506"/>
      <c r="K130" s="506"/>
      <c r="L130" s="602"/>
      <c r="R130" s="173"/>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P130" s="53"/>
      <c r="BQ130" s="53"/>
    </row>
    <row r="131" spans="2:69" x14ac:dyDescent="0.25">
      <c r="B131" s="580"/>
      <c r="C131" s="519"/>
      <c r="D131" s="506"/>
      <c r="E131" s="506"/>
      <c r="F131" s="506"/>
      <c r="G131" s="506"/>
      <c r="H131" s="506"/>
      <c r="I131" s="506"/>
      <c r="J131" s="506"/>
      <c r="K131" s="506"/>
      <c r="L131" s="602"/>
      <c r="R131" s="173"/>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P131" s="53"/>
      <c r="BQ131" s="53"/>
    </row>
    <row r="132" spans="2:69" x14ac:dyDescent="0.25">
      <c r="B132" s="580"/>
      <c r="C132" s="519"/>
      <c r="D132" s="506"/>
      <c r="E132" s="506"/>
      <c r="F132" s="506"/>
      <c r="G132" s="506"/>
      <c r="H132" s="506"/>
      <c r="I132" s="506"/>
      <c r="J132" s="506"/>
      <c r="K132" s="506"/>
      <c r="L132" s="602"/>
      <c r="R132" s="173"/>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P132" s="53"/>
      <c r="BQ132" s="53"/>
    </row>
    <row r="133" spans="2:69" x14ac:dyDescent="0.25">
      <c r="B133" s="580"/>
      <c r="C133" s="519"/>
      <c r="D133" s="506"/>
      <c r="E133" s="506"/>
      <c r="F133" s="506"/>
      <c r="G133" s="506"/>
      <c r="H133" s="506"/>
      <c r="I133" s="506"/>
      <c r="J133" s="506"/>
      <c r="K133" s="506"/>
      <c r="L133" s="573"/>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P133" s="53"/>
      <c r="BQ133" s="53"/>
    </row>
    <row r="134" spans="2:69" x14ac:dyDescent="0.25">
      <c r="B134" s="580"/>
      <c r="C134" s="519"/>
      <c r="D134" s="506"/>
      <c r="E134" s="506"/>
      <c r="F134" s="506"/>
      <c r="G134" s="506"/>
      <c r="H134" s="506"/>
      <c r="I134" s="506"/>
      <c r="J134" s="506"/>
      <c r="K134" s="506"/>
      <c r="L134" s="573"/>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P134" s="53"/>
    </row>
    <row r="135" spans="2:69" x14ac:dyDescent="0.25">
      <c r="B135" s="580"/>
      <c r="C135" s="519"/>
      <c r="D135" s="506"/>
      <c r="E135" s="506"/>
      <c r="F135" s="506"/>
      <c r="G135" s="506"/>
      <c r="H135" s="506"/>
      <c r="I135" s="506"/>
      <c r="J135" s="506"/>
      <c r="K135" s="506"/>
      <c r="L135" s="573"/>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P135" s="53"/>
    </row>
    <row r="136" spans="2:69" x14ac:dyDescent="0.25">
      <c r="B136" s="580"/>
      <c r="C136" s="519"/>
      <c r="D136" s="506"/>
      <c r="E136" s="506"/>
      <c r="F136" s="506"/>
      <c r="G136" s="506"/>
      <c r="H136" s="506"/>
      <c r="I136" s="506"/>
      <c r="J136" s="506"/>
      <c r="K136" s="506"/>
      <c r="L136" s="573"/>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P136" s="53"/>
    </row>
    <row r="137" spans="2:69" x14ac:dyDescent="0.25">
      <c r="B137" s="580"/>
      <c r="C137" s="519"/>
      <c r="D137" s="506"/>
      <c r="E137" s="506"/>
      <c r="F137" s="506"/>
      <c r="G137" s="506"/>
      <c r="H137" s="506"/>
      <c r="I137" s="506"/>
      <c r="J137" s="506"/>
      <c r="K137" s="506"/>
      <c r="L137" s="573"/>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P137" s="53"/>
    </row>
    <row r="138" spans="2:69" x14ac:dyDescent="0.25">
      <c r="B138" s="580"/>
      <c r="C138" s="519"/>
      <c r="D138" s="506"/>
      <c r="E138" s="506"/>
      <c r="F138" s="506"/>
      <c r="G138" s="506"/>
      <c r="H138" s="506"/>
      <c r="I138" s="506"/>
      <c r="J138" s="506"/>
      <c r="K138" s="506"/>
      <c r="L138" s="575"/>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P138" s="53"/>
    </row>
    <row r="139" spans="2:69" x14ac:dyDescent="0.25">
      <c r="B139" s="580"/>
      <c r="C139" s="519"/>
      <c r="D139" s="506"/>
      <c r="E139" s="506"/>
      <c r="F139" s="506"/>
      <c r="G139" s="506"/>
      <c r="H139" s="506"/>
      <c r="I139" s="506"/>
      <c r="J139" s="506"/>
      <c r="K139" s="506"/>
      <c r="L139" s="573"/>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P139" s="53"/>
    </row>
    <row r="140" spans="2:69" x14ac:dyDescent="0.25">
      <c r="B140" s="580"/>
      <c r="C140" s="519"/>
      <c r="D140" s="506"/>
      <c r="E140" s="506"/>
      <c r="F140" s="506"/>
      <c r="G140" s="506"/>
      <c r="H140" s="506"/>
      <c r="I140" s="506"/>
      <c r="J140" s="506"/>
      <c r="K140" s="506"/>
      <c r="L140" s="573"/>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row>
    <row r="141" spans="2:69" ht="19.5" thickBot="1" x14ac:dyDescent="0.3">
      <c r="B141" s="581"/>
      <c r="C141" s="537" t="s">
        <v>247</v>
      </c>
      <c r="D141" s="530"/>
      <c r="E141" s="530"/>
      <c r="F141" s="530"/>
      <c r="G141" s="530"/>
      <c r="H141" s="530"/>
      <c r="I141" s="530"/>
      <c r="J141" s="538">
        <f>K141/I14</f>
        <v>665.73262998323253</v>
      </c>
      <c r="K141" s="539">
        <f>Study!C98</f>
        <v>21170057.969719999</v>
      </c>
      <c r="L141" s="574"/>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row>
    <row r="142" spans="2:69" x14ac:dyDescent="0.25">
      <c r="B142" s="580"/>
      <c r="C142" s="519"/>
      <c r="D142" s="513"/>
      <c r="E142" s="513"/>
      <c r="F142" s="513"/>
      <c r="G142" s="513"/>
      <c r="H142" s="514"/>
      <c r="I142" s="513"/>
      <c r="J142" s="506"/>
      <c r="K142" s="506"/>
      <c r="L142" s="573"/>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row>
    <row r="143" spans="2:69" x14ac:dyDescent="0.25">
      <c r="B143" s="580"/>
      <c r="C143" s="525"/>
      <c r="D143" s="507"/>
      <c r="E143" s="507"/>
      <c r="F143" s="507"/>
      <c r="G143" s="507"/>
      <c r="H143" s="506"/>
      <c r="I143" s="507"/>
      <c r="J143" s="523"/>
      <c r="K143" s="523"/>
      <c r="L143" s="573"/>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row>
    <row r="144" spans="2:69" x14ac:dyDescent="0.25">
      <c r="B144" s="580"/>
      <c r="C144" s="525"/>
      <c r="D144" s="507"/>
      <c r="E144" s="507"/>
      <c r="F144" s="507"/>
      <c r="G144" s="507"/>
      <c r="H144" s="506"/>
      <c r="I144" s="507"/>
      <c r="J144" s="523"/>
      <c r="K144" s="523"/>
      <c r="L144" s="573"/>
      <c r="S144" s="708" t="s">
        <v>509</v>
      </c>
      <c r="T144" s="709" t="s">
        <v>510</v>
      </c>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row>
    <row r="145" spans="2:63" x14ac:dyDescent="0.25">
      <c r="B145" s="580"/>
      <c r="C145" s="525"/>
      <c r="D145" s="507"/>
      <c r="E145" s="507"/>
      <c r="F145" s="507"/>
      <c r="G145" s="507"/>
      <c r="H145" s="506"/>
      <c r="I145" s="507"/>
      <c r="J145" s="523"/>
      <c r="K145" s="523"/>
      <c r="L145" s="573"/>
      <c r="S145" s="710" t="s">
        <v>521</v>
      </c>
      <c r="T145" s="711">
        <f>Study!C82</f>
        <v>534040</v>
      </c>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row>
    <row r="146" spans="2:63" x14ac:dyDescent="0.25">
      <c r="B146" s="580"/>
      <c r="C146" s="525"/>
      <c r="D146" s="507"/>
      <c r="E146" s="507"/>
      <c r="F146" s="507"/>
      <c r="G146" s="507"/>
      <c r="H146" s="506"/>
      <c r="I146" s="507"/>
      <c r="J146" s="523"/>
      <c r="K146" s="523"/>
      <c r="L146" s="573"/>
      <c r="S146" s="710" t="s">
        <v>522</v>
      </c>
      <c r="T146" s="711">
        <f>Study!C83</f>
        <v>2835360</v>
      </c>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row>
    <row r="147" spans="2:63" x14ac:dyDescent="0.25">
      <c r="B147" s="580"/>
      <c r="C147" s="525"/>
      <c r="D147" s="507"/>
      <c r="E147" s="507"/>
      <c r="F147" s="507"/>
      <c r="G147" s="507"/>
      <c r="H147" s="506"/>
      <c r="I147" s="507"/>
      <c r="J147" s="523"/>
      <c r="K147" s="523"/>
      <c r="L147" s="573"/>
      <c r="S147" s="710" t="s">
        <v>523</v>
      </c>
      <c r="T147" s="711">
        <f>Study!C84</f>
        <v>1330515.3360000001</v>
      </c>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row>
    <row r="148" spans="2:63" x14ac:dyDescent="0.25">
      <c r="B148" s="580"/>
      <c r="C148" s="525"/>
      <c r="D148" s="507"/>
      <c r="E148" s="507"/>
      <c r="F148" s="507"/>
      <c r="G148" s="507"/>
      <c r="H148" s="506"/>
      <c r="I148" s="507"/>
      <c r="J148" s="523"/>
      <c r="K148" s="523"/>
      <c r="L148" s="573"/>
      <c r="S148" s="710" t="s">
        <v>524</v>
      </c>
      <c r="T148" s="711">
        <f>Study!C85</f>
        <v>62830.559999999998</v>
      </c>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row>
    <row r="149" spans="2:63" x14ac:dyDescent="0.25">
      <c r="B149" s="580"/>
      <c r="C149" s="525"/>
      <c r="D149" s="507"/>
      <c r="E149" s="507"/>
      <c r="F149" s="507"/>
      <c r="G149" s="507"/>
      <c r="H149" s="506"/>
      <c r="I149" s="507"/>
      <c r="J149" s="523"/>
      <c r="K149" s="523"/>
      <c r="L149" s="573"/>
      <c r="S149" s="710" t="s">
        <v>525</v>
      </c>
      <c r="T149" s="711">
        <f>Study!C86</f>
        <v>3913280.4000000004</v>
      </c>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row>
    <row r="150" spans="2:63" x14ac:dyDescent="0.25">
      <c r="B150" s="580"/>
      <c r="C150" s="525"/>
      <c r="D150" s="507"/>
      <c r="E150" s="507"/>
      <c r="F150" s="507"/>
      <c r="G150" s="507"/>
      <c r="H150" s="506"/>
      <c r="I150" s="507"/>
      <c r="J150" s="523"/>
      <c r="K150" s="523"/>
      <c r="L150" s="573"/>
      <c r="S150" s="710" t="s">
        <v>526</v>
      </c>
      <c r="T150" s="711">
        <f>Study!C87</f>
        <v>6149999.9999999991</v>
      </c>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row>
    <row r="151" spans="2:63" x14ac:dyDescent="0.25">
      <c r="B151" s="580"/>
      <c r="C151" s="525"/>
      <c r="D151" s="507"/>
      <c r="E151" s="507"/>
      <c r="F151" s="507"/>
      <c r="G151" s="507"/>
      <c r="H151" s="506"/>
      <c r="I151" s="507"/>
      <c r="J151" s="523"/>
      <c r="K151" s="523"/>
      <c r="L151" s="573"/>
      <c r="S151" s="710" t="s">
        <v>527</v>
      </c>
      <c r="T151" s="711">
        <f>Study!C88</f>
        <v>0</v>
      </c>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row>
    <row r="152" spans="2:63" x14ac:dyDescent="0.25">
      <c r="B152" s="580"/>
      <c r="C152" s="525"/>
      <c r="D152" s="507"/>
      <c r="E152" s="507"/>
      <c r="F152" s="507"/>
      <c r="G152" s="507"/>
      <c r="H152" s="506"/>
      <c r="I152" s="507"/>
      <c r="J152" s="523"/>
      <c r="K152" s="523"/>
      <c r="L152" s="573"/>
      <c r="S152" s="710" t="s">
        <v>528</v>
      </c>
      <c r="T152" s="711">
        <f>Study!C89</f>
        <v>912500</v>
      </c>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row>
    <row r="153" spans="2:63" x14ac:dyDescent="0.25">
      <c r="B153" s="580"/>
      <c r="C153" s="525"/>
      <c r="D153" s="507"/>
      <c r="E153" s="507"/>
      <c r="F153" s="507"/>
      <c r="G153" s="507"/>
      <c r="H153" s="506"/>
      <c r="I153" s="507"/>
      <c r="J153" s="523"/>
      <c r="K153" s="523"/>
      <c r="L153" s="573"/>
      <c r="S153" s="710" t="s">
        <v>529</v>
      </c>
      <c r="T153" s="711">
        <f>Study!C90</f>
        <v>984000</v>
      </c>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row>
    <row r="154" spans="2:63" x14ac:dyDescent="0.25">
      <c r="B154" s="580"/>
      <c r="C154" s="525"/>
      <c r="D154" s="507"/>
      <c r="E154" s="507"/>
      <c r="F154" s="507"/>
      <c r="G154" s="507"/>
      <c r="H154" s="506"/>
      <c r="I154" s="507"/>
      <c r="J154" s="523"/>
      <c r="K154" s="523"/>
      <c r="L154" s="573"/>
      <c r="S154" s="710" t="s">
        <v>530</v>
      </c>
      <c r="T154" s="711">
        <f>Study!C91</f>
        <v>18000</v>
      </c>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row>
    <row r="155" spans="2:63" x14ac:dyDescent="0.25">
      <c r="B155" s="580"/>
      <c r="C155" s="525"/>
      <c r="D155" s="507"/>
      <c r="E155" s="507"/>
      <c r="F155" s="507"/>
      <c r="G155" s="507"/>
      <c r="H155" s="506"/>
      <c r="I155" s="507"/>
      <c r="J155" s="523"/>
      <c r="K155" s="523"/>
      <c r="L155" s="573"/>
      <c r="S155" s="710" t="s">
        <v>531</v>
      </c>
      <c r="T155" s="711">
        <f>Study!C92</f>
        <v>299000</v>
      </c>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row>
    <row r="156" spans="2:63" x14ac:dyDescent="0.25">
      <c r="B156" s="580"/>
      <c r="C156" s="525"/>
      <c r="D156" s="507"/>
      <c r="E156" s="507"/>
      <c r="F156" s="507"/>
      <c r="G156" s="507"/>
      <c r="H156" s="506"/>
      <c r="I156" s="507"/>
      <c r="J156" s="523"/>
      <c r="K156" s="523"/>
      <c r="L156" s="573"/>
      <c r="S156" s="710" t="s">
        <v>532</v>
      </c>
      <c r="T156" s="711">
        <f>Study!C93</f>
        <v>1173984.1199999999</v>
      </c>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row>
    <row r="157" spans="2:63" x14ac:dyDescent="0.25">
      <c r="B157" s="580"/>
      <c r="C157" s="525"/>
      <c r="D157" s="507"/>
      <c r="E157" s="507"/>
      <c r="F157" s="507"/>
      <c r="G157" s="507"/>
      <c r="H157" s="506"/>
      <c r="I157" s="507"/>
      <c r="J157" s="523"/>
      <c r="K157" s="523"/>
      <c r="L157" s="573"/>
      <c r="S157" s="710" t="s">
        <v>533</v>
      </c>
      <c r="T157" s="711">
        <f>Study!C94</f>
        <v>46954.910520000005</v>
      </c>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row>
    <row r="158" spans="2:63" x14ac:dyDescent="0.25">
      <c r="B158" s="580"/>
      <c r="C158" s="525"/>
      <c r="D158" s="507"/>
      <c r="E158" s="507"/>
      <c r="F158" s="507"/>
      <c r="G158" s="507"/>
      <c r="H158" s="506"/>
      <c r="I158" s="507"/>
      <c r="J158" s="523"/>
      <c r="K158" s="523"/>
      <c r="L158" s="573"/>
      <c r="S158" s="710" t="s">
        <v>534</v>
      </c>
      <c r="T158" s="711">
        <f>Study!C95</f>
        <v>952952.44319999998</v>
      </c>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row>
    <row r="159" spans="2:63" x14ac:dyDescent="0.25">
      <c r="B159" s="580"/>
      <c r="C159" s="525"/>
      <c r="D159" s="507"/>
      <c r="E159" s="507"/>
      <c r="F159" s="507"/>
      <c r="G159" s="507"/>
      <c r="H159" s="506"/>
      <c r="I159" s="507"/>
      <c r="J159" s="523"/>
      <c r="K159" s="523"/>
      <c r="L159" s="573"/>
      <c r="S159" s="710" t="s">
        <v>535</v>
      </c>
      <c r="T159" s="711">
        <f>Study!C96</f>
        <v>0</v>
      </c>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row>
    <row r="160" spans="2:63" x14ac:dyDescent="0.25">
      <c r="B160" s="580"/>
      <c r="C160" s="525"/>
      <c r="D160" s="507"/>
      <c r="E160" s="507"/>
      <c r="F160" s="507"/>
      <c r="G160" s="507"/>
      <c r="H160" s="506"/>
      <c r="I160" s="507"/>
      <c r="J160" s="523"/>
      <c r="K160" s="523"/>
      <c r="L160" s="573"/>
      <c r="S160" s="712" t="s">
        <v>536</v>
      </c>
      <c r="T160" s="713">
        <f>Study!C97</f>
        <v>1956640.2000000002</v>
      </c>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row>
    <row r="161" spans="2:63" x14ac:dyDescent="0.25">
      <c r="B161" s="580"/>
      <c r="C161" s="525"/>
      <c r="D161" s="507"/>
      <c r="E161" s="507"/>
      <c r="F161" s="507"/>
      <c r="G161" s="507"/>
      <c r="H161" s="506"/>
      <c r="I161" s="507"/>
      <c r="J161" s="523"/>
      <c r="K161" s="523"/>
      <c r="L161" s="573"/>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row>
    <row r="162" spans="2:63" x14ac:dyDescent="0.25">
      <c r="B162" s="580"/>
      <c r="C162" s="525"/>
      <c r="D162" s="507"/>
      <c r="E162" s="507"/>
      <c r="F162" s="507"/>
      <c r="G162" s="507"/>
      <c r="H162" s="506"/>
      <c r="I162" s="507"/>
      <c r="J162" s="523"/>
      <c r="K162" s="523"/>
      <c r="L162" s="573"/>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row>
    <row r="163" spans="2:63" x14ac:dyDescent="0.25">
      <c r="B163" s="580"/>
      <c r="C163" s="525"/>
      <c r="D163" s="507"/>
      <c r="E163" s="507"/>
      <c r="F163" s="507"/>
      <c r="G163" s="507"/>
      <c r="H163" s="506"/>
      <c r="I163" s="507"/>
      <c r="J163" s="523"/>
      <c r="K163" s="523"/>
      <c r="L163" s="573"/>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row>
    <row r="164" spans="2:63" ht="19.5" thickBot="1" x14ac:dyDescent="0.3">
      <c r="B164" s="581"/>
      <c r="C164" s="531" t="s">
        <v>464</v>
      </c>
      <c r="D164" s="530"/>
      <c r="E164" s="530"/>
      <c r="F164" s="530"/>
      <c r="G164" s="530"/>
      <c r="H164" s="534"/>
      <c r="I164" s="530"/>
      <c r="J164" s="530"/>
      <c r="K164" s="530" t="s">
        <v>229</v>
      </c>
      <c r="L164" s="574"/>
      <c r="AH164" s="78"/>
      <c r="AI164" s="78"/>
      <c r="AJ164" s="78"/>
      <c r="AK164" s="78"/>
      <c r="AL164" s="78"/>
      <c r="AM164" s="78"/>
      <c r="AN164" s="78"/>
      <c r="AO164" s="78"/>
      <c r="AP164" s="78"/>
      <c r="AR164" s="78"/>
      <c r="AS164" s="78"/>
      <c r="AT164" s="78"/>
      <c r="AU164" s="78"/>
      <c r="AV164" s="78"/>
      <c r="AW164" s="78"/>
      <c r="AX164" s="78"/>
      <c r="AY164" s="78"/>
      <c r="AZ164" s="78"/>
      <c r="BA164" s="78"/>
      <c r="BB164" s="78"/>
      <c r="BC164" s="78"/>
      <c r="BD164" s="78"/>
      <c r="BE164" s="78"/>
      <c r="BF164" s="78"/>
      <c r="BG164" s="78"/>
      <c r="BH164" s="78"/>
      <c r="BI164" s="78"/>
      <c r="BJ164" s="78"/>
      <c r="BK164" s="78"/>
    </row>
    <row r="165" spans="2:63" ht="37.5" x14ac:dyDescent="0.25">
      <c r="B165" s="580"/>
      <c r="C165" s="559" t="s">
        <v>157</v>
      </c>
      <c r="D165" s="507"/>
      <c r="E165" s="507"/>
      <c r="F165" s="507"/>
      <c r="G165" s="507"/>
      <c r="H165" s="506"/>
      <c r="I165" s="507"/>
      <c r="J165" s="523"/>
      <c r="K165" s="524">
        <f>Study!C183</f>
        <v>0</v>
      </c>
      <c r="L165" s="573"/>
      <c r="S165" s="714" t="s">
        <v>511</v>
      </c>
      <c r="T165" s="605">
        <f>Study!F242</f>
        <v>0</v>
      </c>
      <c r="U165" s="605">
        <f>Study!G242</f>
        <v>0</v>
      </c>
      <c r="V165" s="605">
        <f>Study!H242</f>
        <v>0</v>
      </c>
      <c r="W165" s="605">
        <f>Study!I242</f>
        <v>0</v>
      </c>
      <c r="X165" s="605">
        <f>Study!J242</f>
        <v>0</v>
      </c>
      <c r="Y165" s="605">
        <f>Study!K242</f>
        <v>0</v>
      </c>
      <c r="Z165" s="605">
        <f>Study!L242</f>
        <v>2552006</v>
      </c>
      <c r="AA165" s="605">
        <f>Study!M242</f>
        <v>3352006</v>
      </c>
      <c r="AB165" s="605">
        <f>Study!N242</f>
        <v>5552006</v>
      </c>
      <c r="AC165" s="605">
        <f>Study!O242</f>
        <v>7752006</v>
      </c>
      <c r="AD165" s="605">
        <f>Study!P242</f>
        <v>13552006</v>
      </c>
      <c r="AE165" s="605">
        <f>Study!Q242</f>
        <v>22552006</v>
      </c>
      <c r="AF165" s="605">
        <f>Study!R242</f>
        <v>28652006</v>
      </c>
      <c r="AG165" s="605">
        <f>Study!S242</f>
        <v>36052006</v>
      </c>
      <c r="AH165" s="605">
        <f>Study!T242</f>
        <v>43252006</v>
      </c>
      <c r="AI165" s="605">
        <f>Study!U242</f>
        <v>53252006</v>
      </c>
      <c r="AJ165" s="605">
        <f>Study!V242</f>
        <v>53552006</v>
      </c>
      <c r="AK165" s="605">
        <f>Study!W242</f>
        <v>54352006</v>
      </c>
      <c r="AL165" s="605">
        <f>Study!X242</f>
        <v>52022133.136878826</v>
      </c>
      <c r="AM165" s="605">
        <f>Study!Y242</f>
        <v>0</v>
      </c>
      <c r="AN165" s="605">
        <f>Study!Z242</f>
        <v>0</v>
      </c>
      <c r="AO165" s="605">
        <f>Study!AA242</f>
        <v>0</v>
      </c>
      <c r="AP165" s="605">
        <f>Study!AB242</f>
        <v>0</v>
      </c>
      <c r="AQ165" s="605">
        <f>Study!AC242</f>
        <v>0</v>
      </c>
      <c r="AR165" s="78"/>
      <c r="AS165" s="78"/>
      <c r="AT165" s="78"/>
      <c r="AU165" s="78"/>
      <c r="AV165" s="78"/>
      <c r="AW165" s="78"/>
      <c r="AX165" s="78"/>
      <c r="AY165" s="78"/>
      <c r="AZ165" s="78"/>
      <c r="BA165" s="78"/>
      <c r="BB165" s="78"/>
      <c r="BC165" s="78"/>
      <c r="BD165" s="78"/>
      <c r="BE165" s="78"/>
      <c r="BF165" s="78"/>
      <c r="BG165" s="78"/>
      <c r="BH165" s="78"/>
      <c r="BI165" s="78"/>
      <c r="BJ165" s="78"/>
      <c r="BK165" s="78"/>
    </row>
    <row r="166" spans="2:63" ht="37.5" hidden="1" x14ac:dyDescent="0.25">
      <c r="B166" s="580"/>
      <c r="C166" s="522" t="s">
        <v>209</v>
      </c>
      <c r="D166" s="507"/>
      <c r="E166" s="507"/>
      <c r="F166" s="507"/>
      <c r="G166" s="507"/>
      <c r="H166" s="506"/>
      <c r="I166" s="507"/>
      <c r="J166" s="523"/>
      <c r="K166" s="524">
        <f>Study!C180</f>
        <v>46486956.52173914</v>
      </c>
      <c r="L166" s="573"/>
      <c r="S166" s="714" t="s">
        <v>512</v>
      </c>
      <c r="T166" s="605">
        <f>Study!F244</f>
        <v>0</v>
      </c>
      <c r="U166" s="605">
        <f>Study!G244</f>
        <v>0</v>
      </c>
      <c r="V166" s="605">
        <f>Study!H244</f>
        <v>0</v>
      </c>
      <c r="W166" s="605">
        <f>Study!I244</f>
        <v>0</v>
      </c>
      <c r="X166" s="605">
        <f>Study!J244</f>
        <v>0</v>
      </c>
      <c r="Y166" s="605">
        <f>Study!K244</f>
        <v>0</v>
      </c>
      <c r="Z166" s="605">
        <f>Study!L244</f>
        <v>2552006</v>
      </c>
      <c r="AA166" s="605">
        <f>Study!M244</f>
        <v>800000</v>
      </c>
      <c r="AB166" s="605">
        <f>Study!N244</f>
        <v>2200000</v>
      </c>
      <c r="AC166" s="605">
        <f>Study!O244</f>
        <v>2200000</v>
      </c>
      <c r="AD166" s="605">
        <f>Study!P244</f>
        <v>5800000</v>
      </c>
      <c r="AE166" s="605">
        <f>Study!Q244</f>
        <v>9000000</v>
      </c>
      <c r="AF166" s="605">
        <f>Study!R244</f>
        <v>6100000</v>
      </c>
      <c r="AG166" s="605">
        <f>Study!S244</f>
        <v>7400000</v>
      </c>
      <c r="AH166" s="605">
        <f>Study!T244</f>
        <v>7200000</v>
      </c>
      <c r="AI166" s="605">
        <f>Study!U244</f>
        <v>10000000</v>
      </c>
      <c r="AJ166" s="605">
        <f>Study!V244</f>
        <v>300000</v>
      </c>
      <c r="AK166" s="605">
        <f>Study!W244</f>
        <v>800000</v>
      </c>
      <c r="AL166" s="605">
        <f>Study!X244</f>
        <v>0</v>
      </c>
      <c r="AM166" s="605">
        <f>Study!Y244</f>
        <v>0</v>
      </c>
      <c r="AN166" s="605">
        <f>Study!Z244</f>
        <v>0</v>
      </c>
      <c r="AO166" s="605">
        <f>Study!AA244</f>
        <v>0</v>
      </c>
      <c r="AP166" s="605">
        <f>Study!AB244</f>
        <v>0</v>
      </c>
      <c r="AQ166" s="605">
        <f>Study!AC244</f>
        <v>0</v>
      </c>
      <c r="AR166" s="78"/>
      <c r="AS166" s="78"/>
      <c r="AT166" s="78"/>
      <c r="AU166" s="78"/>
      <c r="AV166" s="78"/>
      <c r="AW166" s="78"/>
      <c r="AX166" s="78"/>
      <c r="AY166" s="78"/>
      <c r="AZ166" s="78"/>
      <c r="BA166" s="78"/>
      <c r="BB166" s="78"/>
      <c r="BC166" s="78"/>
      <c r="BD166" s="78"/>
      <c r="BE166" s="78"/>
      <c r="BF166" s="78"/>
      <c r="BG166" s="78"/>
      <c r="BH166" s="78"/>
      <c r="BI166" s="78"/>
      <c r="BJ166" s="78"/>
      <c r="BK166" s="78"/>
    </row>
    <row r="167" spans="2:63" ht="37.5" x14ac:dyDescent="0.25">
      <c r="B167" s="580"/>
      <c r="C167" s="559" t="s">
        <v>125</v>
      </c>
      <c r="D167" s="507"/>
      <c r="E167" s="507"/>
      <c r="F167" s="507"/>
      <c r="G167" s="507"/>
      <c r="H167" s="506"/>
      <c r="I167" s="507"/>
      <c r="J167" s="523"/>
      <c r="K167" s="524">
        <f>Study!C181</f>
        <v>2471311.08</v>
      </c>
      <c r="L167" s="573"/>
      <c r="S167" s="714" t="s">
        <v>513</v>
      </c>
      <c r="T167" s="605">
        <f>-Study!F250</f>
        <v>271760.03000000003</v>
      </c>
      <c r="U167" s="605">
        <f>-Study!G250</f>
        <v>0</v>
      </c>
      <c r="V167" s="605">
        <f>-Study!H250</f>
        <v>0</v>
      </c>
      <c r="W167" s="605">
        <f>-Study!I250</f>
        <v>0</v>
      </c>
      <c r="X167" s="605">
        <f>-Study!J250</f>
        <v>0</v>
      </c>
      <c r="Y167" s="605">
        <f>-Study!K250</f>
        <v>0</v>
      </c>
      <c r="Z167" s="605">
        <f>-Study!L250</f>
        <v>0</v>
      </c>
      <c r="AA167" s="605">
        <f>-Study!M250</f>
        <v>46574.109499999999</v>
      </c>
      <c r="AB167" s="605">
        <f>-Study!N250</f>
        <v>61174.109499999999</v>
      </c>
      <c r="AC167" s="605">
        <f>-Study!O250</f>
        <v>101324.10949999999</v>
      </c>
      <c r="AD167" s="605">
        <f>-Study!P250</f>
        <v>141474.10949999999</v>
      </c>
      <c r="AE167" s="605">
        <f>-Study!Q250</f>
        <v>247324.10949999999</v>
      </c>
      <c r="AF167" s="605">
        <f>-Study!R250</f>
        <v>411574.10949999996</v>
      </c>
      <c r="AG167" s="605">
        <f>-Study!S250</f>
        <v>522899.10949999996</v>
      </c>
      <c r="AH167" s="605">
        <f>-Study!T250</f>
        <v>657949.1094999999</v>
      </c>
      <c r="AI167" s="605">
        <f>-Study!U250</f>
        <v>789349.1094999999</v>
      </c>
      <c r="AJ167" s="605">
        <f>-Study!V250</f>
        <v>971849.1094999999</v>
      </c>
      <c r="AK167" s="605">
        <f>-Study!W250</f>
        <v>977324.1094999999</v>
      </c>
      <c r="AL167" s="605">
        <f>-Study!X250</f>
        <v>991924.1094999999</v>
      </c>
      <c r="AM167" s="605">
        <f>-Study!Y250</f>
        <v>949403.92974803853</v>
      </c>
      <c r="AN167" s="605">
        <f>-Study!Z250</f>
        <v>0</v>
      </c>
      <c r="AO167" s="605">
        <f>-Study!AA250</f>
        <v>0</v>
      </c>
      <c r="AP167" s="605">
        <f>-Study!AB250</f>
        <v>0</v>
      </c>
      <c r="AQ167" s="605">
        <f>-Study!AC250</f>
        <v>0</v>
      </c>
      <c r="AR167" s="78"/>
      <c r="AS167" s="78"/>
      <c r="AT167" s="78"/>
      <c r="AU167" s="78"/>
      <c r="AV167" s="78"/>
      <c r="AW167" s="78"/>
      <c r="AX167" s="78"/>
      <c r="AY167" s="78"/>
      <c r="AZ167" s="78"/>
      <c r="BA167" s="78"/>
      <c r="BB167" s="78"/>
      <c r="BC167" s="78"/>
      <c r="BD167" s="78"/>
      <c r="BE167" s="78"/>
      <c r="BF167" s="78"/>
      <c r="BG167" s="78"/>
      <c r="BH167" s="78"/>
      <c r="BI167" s="78"/>
      <c r="BJ167" s="78"/>
      <c r="BK167" s="78"/>
    </row>
    <row r="168" spans="2:63" ht="37.5" x14ac:dyDescent="0.25">
      <c r="B168" s="580"/>
      <c r="C168" s="559" t="s">
        <v>163</v>
      </c>
      <c r="D168" s="507"/>
      <c r="E168" s="507"/>
      <c r="F168" s="507"/>
      <c r="G168" s="507"/>
      <c r="H168" s="506"/>
      <c r="I168" s="507"/>
      <c r="J168" s="523"/>
      <c r="K168" s="524">
        <f>Study!C182</f>
        <v>21352500</v>
      </c>
      <c r="L168" s="573"/>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row>
    <row r="169" spans="2:63" ht="38.25" thickBot="1" x14ac:dyDescent="0.3">
      <c r="B169" s="581"/>
      <c r="C169" s="533" t="s">
        <v>500</v>
      </c>
      <c r="D169" s="534"/>
      <c r="E169" s="534"/>
      <c r="F169" s="534"/>
      <c r="G169" s="534"/>
      <c r="H169" s="534"/>
      <c r="I169" s="534"/>
      <c r="J169" s="535"/>
      <c r="K169" s="536">
        <f>Study!C184</f>
        <v>242871819.07499996</v>
      </c>
      <c r="L169" s="574"/>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row>
    <row r="170" spans="2:63" x14ac:dyDescent="0.25">
      <c r="B170" s="580"/>
      <c r="C170" s="553" t="s">
        <v>248</v>
      </c>
      <c r="D170" s="513"/>
      <c r="E170" s="513"/>
      <c r="F170" s="513"/>
      <c r="G170" s="513"/>
      <c r="H170" s="514"/>
      <c r="I170" s="513"/>
      <c r="J170" s="515"/>
      <c r="K170" s="516">
        <f>SUM(K165:K169)</f>
        <v>313182586.6767391</v>
      </c>
      <c r="L170" s="573"/>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row>
    <row r="171" spans="2:63" x14ac:dyDescent="0.25">
      <c r="B171" s="580"/>
      <c r="C171" s="506"/>
      <c r="D171" s="506"/>
      <c r="E171" s="506"/>
      <c r="F171" s="506"/>
      <c r="G171" s="506"/>
      <c r="H171" s="506"/>
      <c r="I171" s="506"/>
      <c r="J171" s="506"/>
      <c r="K171" s="506"/>
      <c r="L171" s="573"/>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row>
    <row r="172" spans="2:63" x14ac:dyDescent="0.25">
      <c r="B172" s="580"/>
      <c r="C172" s="506"/>
      <c r="D172" s="506"/>
      <c r="E172" s="506"/>
      <c r="F172" s="506"/>
      <c r="G172" s="506"/>
      <c r="H172" s="506"/>
      <c r="I172" s="506"/>
      <c r="J172" s="506"/>
      <c r="K172" s="506"/>
      <c r="L172" s="573"/>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row>
    <row r="173" spans="2:63" x14ac:dyDescent="0.25">
      <c r="B173" s="580"/>
      <c r="C173" s="506"/>
      <c r="D173" s="506"/>
      <c r="E173" s="506"/>
      <c r="F173" s="506"/>
      <c r="G173" s="506"/>
      <c r="H173" s="506"/>
      <c r="I173" s="506"/>
      <c r="J173" s="506"/>
      <c r="K173" s="506"/>
      <c r="L173" s="573"/>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row>
    <row r="174" spans="2:63" ht="57" thickBot="1" x14ac:dyDescent="0.3">
      <c r="B174" s="581"/>
      <c r="C174" s="531" t="s">
        <v>237</v>
      </c>
      <c r="D174" s="532" t="s">
        <v>183</v>
      </c>
      <c r="E174" s="1069" t="s">
        <v>184</v>
      </c>
      <c r="F174" s="1069"/>
      <c r="G174" s="1075" t="s">
        <v>185</v>
      </c>
      <c r="H174" s="1075"/>
      <c r="I174" s="1075"/>
      <c r="J174" s="532" t="s">
        <v>186</v>
      </c>
      <c r="K174" s="532" t="s">
        <v>187</v>
      </c>
      <c r="L174" s="574"/>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row>
    <row r="175" spans="2:63" ht="37.5" x14ac:dyDescent="0.25">
      <c r="B175" s="580"/>
      <c r="C175" s="559" t="s">
        <v>257</v>
      </c>
      <c r="D175" s="614">
        <v>0.1</v>
      </c>
      <c r="E175" s="1070">
        <v>0.05</v>
      </c>
      <c r="F175" s="1071"/>
      <c r="G175" s="1076">
        <v>0</v>
      </c>
      <c r="H175" s="1076"/>
      <c r="I175" s="1076"/>
      <c r="J175" s="615">
        <v>0.05</v>
      </c>
      <c r="K175" s="615">
        <v>0.1</v>
      </c>
      <c r="L175" s="573"/>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row>
    <row r="176" spans="2:63" ht="37.5" x14ac:dyDescent="0.25">
      <c r="B176" s="580"/>
      <c r="C176" s="585" t="s">
        <v>501</v>
      </c>
      <c r="D176" s="616">
        <f>G176-(G176*$D$175)</f>
        <v>77321898.61134398</v>
      </c>
      <c r="E176" s="1072">
        <f>G176-(G176*$E$175)</f>
        <v>81617559.645307526</v>
      </c>
      <c r="F176" s="1073"/>
      <c r="G176" s="1074">
        <f>Study!C214</f>
        <v>85913220.679271087</v>
      </c>
      <c r="H176" s="1074"/>
      <c r="I176" s="1074"/>
      <c r="J176" s="617">
        <f>G176+(G176*$J$175)</f>
        <v>90208881.713234648</v>
      </c>
      <c r="K176" s="617">
        <f>G176+(G176*$K$175)</f>
        <v>94504542.747198194</v>
      </c>
      <c r="L176" s="573"/>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row>
    <row r="177" spans="2:63" ht="37.5" x14ac:dyDescent="0.25">
      <c r="B177" s="580"/>
      <c r="C177" s="559" t="s">
        <v>502</v>
      </c>
      <c r="D177" s="618">
        <f>G177-(G177*$D$175)</f>
        <v>0.3502848642826884</v>
      </c>
      <c r="E177" s="1067">
        <f>G177-(G177*$E$175)</f>
        <v>0.36974513452061553</v>
      </c>
      <c r="F177" s="1068"/>
      <c r="G177" s="1076">
        <f>Study!C220</f>
        <v>0.38920540475854265</v>
      </c>
      <c r="H177" s="1076"/>
      <c r="I177" s="1076"/>
      <c r="J177" s="619">
        <f>G177+(G177*$J$175)</f>
        <v>0.40866567499646977</v>
      </c>
      <c r="K177" s="619">
        <f>G177+(G177*$K$175)</f>
        <v>0.4281259452343969</v>
      </c>
      <c r="L177" s="573"/>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row>
    <row r="178" spans="2:63" ht="37.5" x14ac:dyDescent="0.25">
      <c r="B178" s="580"/>
      <c r="C178" s="559" t="s">
        <v>503</v>
      </c>
      <c r="D178" s="618">
        <f>G178-(G178*$D$175)</f>
        <v>0.71323848267444945</v>
      </c>
      <c r="E178" s="1067">
        <f>G178-(G178*$E$175)</f>
        <v>0.75286284282302995</v>
      </c>
      <c r="F178" s="1068"/>
      <c r="G178" s="1076">
        <f>Study!C221</f>
        <v>0.79248720297161046</v>
      </c>
      <c r="H178" s="1076"/>
      <c r="I178" s="1076"/>
      <c r="J178" s="619">
        <f>G178+(G178*$J$175)</f>
        <v>0.83211156312019097</v>
      </c>
      <c r="K178" s="619">
        <f>G178+(G178*$K$175)</f>
        <v>0.87173592326877147</v>
      </c>
      <c r="L178" s="573"/>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row>
    <row r="179" spans="2:63" ht="37.5" x14ac:dyDescent="0.25">
      <c r="B179" s="580"/>
      <c r="C179" s="559" t="s">
        <v>504</v>
      </c>
      <c r="D179" s="618">
        <f ca="1">G179-(G179*$D$175)</f>
        <v>0.14264769653488987</v>
      </c>
      <c r="E179" s="1067">
        <f ca="1">G179-(G179*$E$175)</f>
        <v>0.15057256856460599</v>
      </c>
      <c r="F179" s="1068"/>
      <c r="G179" s="1076">
        <f ca="1">Study!C222</f>
        <v>0.15849744059432208</v>
      </c>
      <c r="H179" s="1076"/>
      <c r="I179" s="1076"/>
      <c r="J179" s="619">
        <f ca="1">G179+(G179*$J$175)</f>
        <v>0.16642231262403817</v>
      </c>
      <c r="K179" s="619">
        <f ca="1">G179+(G179*$K$175)</f>
        <v>0.17434718465375429</v>
      </c>
      <c r="L179" s="573"/>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row>
    <row r="180" spans="2:63" x14ac:dyDescent="0.25">
      <c r="B180" s="580"/>
      <c r="C180" s="519"/>
      <c r="D180" s="610"/>
      <c r="E180" s="606"/>
      <c r="F180" s="607"/>
      <c r="G180" s="506"/>
      <c r="H180" s="506"/>
      <c r="I180" s="507"/>
      <c r="J180" s="610"/>
      <c r="K180" s="613"/>
      <c r="L180" s="602"/>
    </row>
    <row r="181" spans="2:63" ht="19.5" thickBot="1" x14ac:dyDescent="0.3">
      <c r="B181" s="584"/>
      <c r="C181" s="576"/>
      <c r="D181" s="611"/>
      <c r="E181" s="608"/>
      <c r="F181" s="609"/>
      <c r="G181" s="577"/>
      <c r="H181" s="577"/>
      <c r="I181" s="578"/>
      <c r="J181" s="612"/>
      <c r="K181" s="612"/>
      <c r="L181" s="579"/>
    </row>
  </sheetData>
  <mergeCells count="85">
    <mergeCell ref="B6:D8"/>
    <mergeCell ref="D27:D28"/>
    <mergeCell ref="E27:E28"/>
    <mergeCell ref="I27:I28"/>
    <mergeCell ref="B1:L5"/>
    <mergeCell ref="C17:C20"/>
    <mergeCell ref="I19:I20"/>
    <mergeCell ref="I17:I18"/>
    <mergeCell ref="J17:J18"/>
    <mergeCell ref="J19:J20"/>
    <mergeCell ref="K15:L15"/>
    <mergeCell ref="K14:L14"/>
    <mergeCell ref="K13:L13"/>
    <mergeCell ref="K12:L12"/>
    <mergeCell ref="K19:L20"/>
    <mergeCell ref="K17:L18"/>
    <mergeCell ref="E6:L8"/>
    <mergeCell ref="E179:F179"/>
    <mergeCell ref="E174:F174"/>
    <mergeCell ref="E175:F175"/>
    <mergeCell ref="E176:F176"/>
    <mergeCell ref="E177:F177"/>
    <mergeCell ref="E178:F178"/>
    <mergeCell ref="G176:I176"/>
    <mergeCell ref="G174:I174"/>
    <mergeCell ref="G179:I179"/>
    <mergeCell ref="G178:I178"/>
    <mergeCell ref="G177:I177"/>
    <mergeCell ref="G175:I175"/>
    <mergeCell ref="J27:J28"/>
    <mergeCell ref="H27:H28"/>
    <mergeCell ref="K21:L23"/>
    <mergeCell ref="J24:J26"/>
    <mergeCell ref="I21:I23"/>
    <mergeCell ref="I24:I26"/>
    <mergeCell ref="H21:H23"/>
    <mergeCell ref="H24:H26"/>
    <mergeCell ref="K38:L38"/>
    <mergeCell ref="K39:L39"/>
    <mergeCell ref="K27:L28"/>
    <mergeCell ref="C21:C26"/>
    <mergeCell ref="K33:L33"/>
    <mergeCell ref="K34:L34"/>
    <mergeCell ref="K35:L35"/>
    <mergeCell ref="K36:L36"/>
    <mergeCell ref="K37:L37"/>
    <mergeCell ref="K29:L29"/>
    <mergeCell ref="K30:L30"/>
    <mergeCell ref="K31:L31"/>
    <mergeCell ref="K32:L32"/>
    <mergeCell ref="C27:C28"/>
    <mergeCell ref="J21:J23"/>
    <mergeCell ref="K24:L26"/>
    <mergeCell ref="K62:L62"/>
    <mergeCell ref="K63:L63"/>
    <mergeCell ref="K64:L64"/>
    <mergeCell ref="K65:L65"/>
    <mergeCell ref="K66:L66"/>
    <mergeCell ref="K67:L67"/>
    <mergeCell ref="K68:L68"/>
    <mergeCell ref="K69:L69"/>
    <mergeCell ref="K70:L70"/>
    <mergeCell ref="K71:L71"/>
    <mergeCell ref="K50:L50"/>
    <mergeCell ref="K51:L51"/>
    <mergeCell ref="K52:L52"/>
    <mergeCell ref="K53:L53"/>
    <mergeCell ref="K54:L54"/>
    <mergeCell ref="K45:L45"/>
    <mergeCell ref="K46:L46"/>
    <mergeCell ref="K47:L47"/>
    <mergeCell ref="K48:L48"/>
    <mergeCell ref="K49:L49"/>
    <mergeCell ref="K40:L40"/>
    <mergeCell ref="K41:L41"/>
    <mergeCell ref="K42:L42"/>
    <mergeCell ref="K43:L43"/>
    <mergeCell ref="K44:L44"/>
    <mergeCell ref="K61:L61"/>
    <mergeCell ref="K55:L55"/>
    <mergeCell ref="K56:L56"/>
    <mergeCell ref="K57:L57"/>
    <mergeCell ref="K58:L58"/>
    <mergeCell ref="K59:L59"/>
    <mergeCell ref="K60:L60"/>
  </mergeCells>
  <phoneticPr fontId="55" type="noConversion"/>
  <conditionalFormatting sqref="C29:C38">
    <cfRule type="expression" dxfId="93" priority="14">
      <formula>OR(NOT(ISNUMBER(INDEX($H$29:$H$38,ROW()-29+1,COLUMN()-3+1))),INDEX($H$29:$H$38,ROW()-29+1,COLUMN()-3+1)=0)</formula>
    </cfRule>
  </conditionalFormatting>
  <conditionalFormatting sqref="C62:C69">
    <cfRule type="expression" dxfId="92" priority="15">
      <formula>OR(NOT(ISNUMBER(INDEX($J$62:$J$69,ROW()-62+1,COLUMN()-3+1))),INDEX($J$62:$J$69,ROW()-62+1,COLUMN()-3+1)=0)</formula>
    </cfRule>
  </conditionalFormatting>
  <conditionalFormatting sqref="C95:C114">
    <cfRule type="expression" dxfId="91" priority="17">
      <formula>OR(NOT(ISNUMBER(INDEX($K$95:$K$114,ROW()-95+1,COLUMN()-3+1))),INDEX($K$95:$K$114,ROW()-95+1,COLUMN()-3+1)=0)</formula>
    </cfRule>
  </conditionalFormatting>
  <conditionalFormatting sqref="C165:C169">
    <cfRule type="expression" dxfId="90" priority="16">
      <formula>OR(NOT(ISNUMBER(INDEX($K$165:$K$169,ROW()-165+1,COLUMN()-3+1))),INDEX($K$165:$K$169,ROW()-165+1,COLUMN()-3+1)=0)</formula>
    </cfRule>
  </conditionalFormatting>
  <conditionalFormatting sqref="D29:E38 H29:L38 J62:L69 J95:K114 K165:K169">
    <cfRule type="expression" dxfId="89" priority="18">
      <formula>OR(AND(ISNUMBER(D29),ABS(D29)&lt;=0.0001),D29="0",D29="0.00",D29="0%",D29="0.00%")</formula>
    </cfRule>
  </conditionalFormatting>
  <conditionalFormatting sqref="E42:J42 E59:J59">
    <cfRule type="cellIs" dxfId="88" priority="13" operator="lessThan">
      <formula>-100</formula>
    </cfRule>
  </conditionalFormatting>
  <conditionalFormatting sqref="E44:J44">
    <cfRule type="cellIs" dxfId="87" priority="9" operator="lessThan">
      <formula>-100</formula>
    </cfRule>
  </conditionalFormatting>
  <conditionalFormatting sqref="E46:J46">
    <cfRule type="cellIs" dxfId="86" priority="11" operator="lessThan">
      <formula>-100</formula>
    </cfRule>
  </conditionalFormatting>
  <conditionalFormatting sqref="E48:J48">
    <cfRule type="cellIs" dxfId="85" priority="12" operator="lessThan">
      <formula>-100</formula>
    </cfRule>
  </conditionalFormatting>
  <conditionalFormatting sqref="E50:J50">
    <cfRule type="cellIs" dxfId="84" priority="10" operator="lessThan">
      <formula>-100</formula>
    </cfRule>
  </conditionalFormatting>
  <conditionalFormatting sqref="E52:J52">
    <cfRule type="cellIs" dxfId="83" priority="8" operator="between">
      <formula>100</formula>
      <formula>10000000000000</formula>
    </cfRule>
  </conditionalFormatting>
  <conditionalFormatting sqref="E54:J54">
    <cfRule type="cellIs" dxfId="82" priority="7" operator="between">
      <formula>100</formula>
      <formula>10000000000000</formula>
    </cfRule>
  </conditionalFormatting>
  <conditionalFormatting sqref="E56:J56">
    <cfRule type="cellIs" dxfId="81" priority="6" operator="between">
      <formula>100</formula>
      <formula>10000000000000</formula>
    </cfRule>
  </conditionalFormatting>
  <conditionalFormatting sqref="E58:J58">
    <cfRule type="cellIs" dxfId="80" priority="5" operator="between">
      <formula>100</formula>
      <formula>10000000000000</formula>
    </cfRule>
  </conditionalFormatting>
  <conditionalFormatting sqref="H24:I24">
    <cfRule type="cellIs" dxfId="79" priority="3" operator="equal">
      <formula>0</formula>
    </cfRule>
  </conditionalFormatting>
  <printOptions horizontalCentered="1" verticalCentered="1"/>
  <pageMargins left="0" right="0" top="0" bottom="0" header="0" footer="0"/>
  <pageSetup paperSize="9" scale="24"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vt:i4>
      </vt:variant>
      <vt:variant>
        <vt:lpstr>النطاقات المسماة</vt:lpstr>
      </vt:variant>
      <vt:variant>
        <vt:i4>1</vt:i4>
      </vt:variant>
    </vt:vector>
  </HeadingPairs>
  <TitlesOfParts>
    <vt:vector size="4" baseType="lpstr">
      <vt:lpstr>Cover Page</vt:lpstr>
      <vt:lpstr>Study</vt:lpstr>
      <vt:lpstr>Summary</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alothman</dc:creator>
  <cp:lastModifiedBy>Abdullah alothman</cp:lastModifiedBy>
  <cp:lastPrinted>2026-02-05T11:09:17Z</cp:lastPrinted>
  <dcterms:created xsi:type="dcterms:W3CDTF">2025-03-23T09:18:25Z</dcterms:created>
  <dcterms:modified xsi:type="dcterms:W3CDTF">2026-05-10T14:57:41Z</dcterms:modified>
</cp:coreProperties>
</file>