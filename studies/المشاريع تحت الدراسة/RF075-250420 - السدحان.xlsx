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y work\الدراسات المالية - (عمر - عبدالله)\الدراسات\مرحلة الدراسة\RF075-241217 - السدحان\الدراسة المالية\"/>
    </mc:Choice>
  </mc:AlternateContent>
  <xr:revisionPtr revIDLastSave="0" documentId="13_ncr:1_{3C816C9E-45E7-4DFF-BC18-4AB8BA5CE7F7}" xr6:coauthVersionLast="47" xr6:coauthVersionMax="47" xr10:uidLastSave="{00000000-0000-0000-0000-000000000000}"/>
  <bookViews>
    <workbookView xWindow="6045" yWindow="4395" windowWidth="33090" windowHeight="11130" tabRatio="851" xr2:uid="{08494FB3-3157-40BF-A39A-1857DBA01C82}"/>
  </bookViews>
  <sheets>
    <sheet name="الدراسة" sheetId="1" r:id="rId1"/>
    <sheet name="الملخص" sheetId="2" r:id="rId2"/>
  </sheets>
  <definedNames>
    <definedName name="_xlnm._FilterDatabase" localSheetId="0" hidden="1">الدراسة!$AG$150:$AG$161</definedName>
    <definedName name="_xlchart.v1.0" hidden="1">الملخص!$AD$69:$AD$80</definedName>
    <definedName name="_xlchart.v1.1" hidden="1">الملخص!$AE$69:$AE$80</definedName>
    <definedName name="_xlnm.Print_Area" localSheetId="1">الملخص!$A$1:$K$151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" i="1" l="1"/>
  <c r="I29" i="1"/>
  <c r="I30" i="1"/>
  <c r="AK3" i="1" a="1"/>
  <c r="AK3" i="1" s="1"/>
  <c r="AJ3" i="1"/>
  <c r="F197" i="1"/>
  <c r="C71" i="1" l="1"/>
  <c r="C76" i="1" s="1"/>
  <c r="C77" i="1" s="1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A73" i="2"/>
  <c r="AA72" i="2"/>
  <c r="F257" i="1"/>
  <c r="F249" i="1"/>
  <c r="F247" i="1" s="1"/>
  <c r="F245" i="1"/>
  <c r="E271" i="1"/>
  <c r="Z249" i="1"/>
  <c r="Z253" i="1"/>
  <c r="W257" i="1"/>
  <c r="Y257" i="1"/>
  <c r="Z257" i="1"/>
  <c r="AA249" i="1"/>
  <c r="AB249" i="1"/>
  <c r="AC249" i="1"/>
  <c r="AA253" i="1"/>
  <c r="AB253" i="1"/>
  <c r="AC253" i="1"/>
  <c r="AA257" i="1"/>
  <c r="AB257" i="1"/>
  <c r="AC257" i="1"/>
  <c r="Y253" i="1"/>
  <c r="Y249" i="1"/>
  <c r="Z245" i="1"/>
  <c r="AA245" i="1"/>
  <c r="AB245" i="1"/>
  <c r="AC245" i="1"/>
  <c r="Y245" i="1"/>
  <c r="Z243" i="1"/>
  <c r="J267" i="1"/>
  <c r="K267" i="1"/>
  <c r="H267" i="1"/>
  <c r="I267" i="1"/>
  <c r="F267" i="1"/>
  <c r="E76" i="1"/>
  <c r="K44" i="1"/>
  <c r="F211" i="1"/>
  <c r="C93" i="1"/>
  <c r="E187" i="1"/>
  <c r="C187" i="1" s="1"/>
  <c r="G26" i="1" l="1"/>
  <c r="C189" i="1"/>
  <c r="U189" i="1" l="1"/>
  <c r="E189" i="1" s="1"/>
  <c r="D189" i="1" s="1"/>
  <c r="B8" i="2"/>
  <c r="I8" i="2" s="1"/>
  <c r="B81" i="2" l="1"/>
  <c r="B82" i="2"/>
  <c r="C32" i="2"/>
  <c r="C33" i="2"/>
  <c r="C34" i="2"/>
  <c r="C31" i="2"/>
  <c r="X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V243" i="1"/>
  <c r="R243" i="1"/>
  <c r="N243" i="1"/>
  <c r="J243" i="1"/>
  <c r="F243" i="1"/>
  <c r="F241" i="1"/>
  <c r="Z211" i="1"/>
  <c r="V211" i="1"/>
  <c r="R211" i="1"/>
  <c r="N211" i="1"/>
  <c r="J211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H197" i="1"/>
  <c r="AB168" i="1"/>
  <c r="C180" i="1"/>
  <c r="F180" i="1" s="1"/>
  <c r="C179" i="1"/>
  <c r="F179" i="1" s="1"/>
  <c r="F177" i="1"/>
  <c r="G176" i="1"/>
  <c r="H176" i="1" s="1"/>
  <c r="I176" i="1" s="1"/>
  <c r="E174" i="1"/>
  <c r="D174" i="1" s="1"/>
  <c r="E173" i="1"/>
  <c r="D173" i="1" s="1"/>
  <c r="E172" i="1"/>
  <c r="D172" i="1" s="1"/>
  <c r="E171" i="1"/>
  <c r="D171" i="1" s="1"/>
  <c r="E170" i="1"/>
  <c r="D170" i="1" s="1"/>
  <c r="AB158" i="1"/>
  <c r="R157" i="1"/>
  <c r="P157" i="1"/>
  <c r="J157" i="1"/>
  <c r="H157" i="1"/>
  <c r="D157" i="1"/>
  <c r="T156" i="1"/>
  <c r="Q156" i="1"/>
  <c r="S156" i="1" s="1"/>
  <c r="E156" i="1"/>
  <c r="T155" i="1"/>
  <c r="Q155" i="1"/>
  <c r="S155" i="1" s="1"/>
  <c r="X155" i="1" s="1"/>
  <c r="E155" i="1"/>
  <c r="T154" i="1"/>
  <c r="Q154" i="1"/>
  <c r="S154" i="1" s="1"/>
  <c r="E154" i="1"/>
  <c r="T153" i="1"/>
  <c r="Q153" i="1"/>
  <c r="S153" i="1" s="1"/>
  <c r="E153" i="1"/>
  <c r="T152" i="1"/>
  <c r="Q152" i="1"/>
  <c r="S152" i="1" s="1"/>
  <c r="E152" i="1"/>
  <c r="T151" i="1"/>
  <c r="Q151" i="1"/>
  <c r="S151" i="1" s="1"/>
  <c r="E151" i="1"/>
  <c r="T150" i="1"/>
  <c r="Q150" i="1"/>
  <c r="S150" i="1" s="1"/>
  <c r="X150" i="1" s="1"/>
  <c r="Z150" i="1" s="1"/>
  <c r="E150" i="1"/>
  <c r="T149" i="1"/>
  <c r="Q149" i="1"/>
  <c r="S149" i="1" s="1"/>
  <c r="W149" i="1" s="1"/>
  <c r="E149" i="1"/>
  <c r="T148" i="1"/>
  <c r="Q148" i="1"/>
  <c r="S148" i="1" s="1"/>
  <c r="X148" i="1" s="1"/>
  <c r="E148" i="1"/>
  <c r="T147" i="1"/>
  <c r="Q147" i="1"/>
  <c r="E147" i="1"/>
  <c r="T139" i="1"/>
  <c r="C139" i="1"/>
  <c r="Q138" i="1"/>
  <c r="P138" i="1"/>
  <c r="E138" i="1"/>
  <c r="D138" i="1"/>
  <c r="Q137" i="1"/>
  <c r="P137" i="1"/>
  <c r="E137" i="1"/>
  <c r="D137" i="1"/>
  <c r="Q136" i="1"/>
  <c r="P136" i="1"/>
  <c r="E136" i="1"/>
  <c r="D136" i="1"/>
  <c r="Q135" i="1"/>
  <c r="P135" i="1"/>
  <c r="E135" i="1"/>
  <c r="D135" i="1"/>
  <c r="Q134" i="1"/>
  <c r="P134" i="1"/>
  <c r="E134" i="1"/>
  <c r="D134" i="1"/>
  <c r="Q133" i="1"/>
  <c r="P133" i="1"/>
  <c r="E133" i="1"/>
  <c r="D133" i="1"/>
  <c r="Q132" i="1"/>
  <c r="P132" i="1"/>
  <c r="E132" i="1"/>
  <c r="D132" i="1"/>
  <c r="Q131" i="1"/>
  <c r="P131" i="1"/>
  <c r="E131" i="1"/>
  <c r="D131" i="1"/>
  <c r="Q130" i="1"/>
  <c r="P130" i="1"/>
  <c r="E130" i="1"/>
  <c r="D130" i="1"/>
  <c r="Q129" i="1"/>
  <c r="O139" i="1"/>
  <c r="E129" i="1"/>
  <c r="D129" i="1"/>
  <c r="G128" i="1"/>
  <c r="F128" i="1"/>
  <c r="E128" i="1"/>
  <c r="C202" i="1"/>
  <c r="P202" i="1" s="1"/>
  <c r="N92" i="1"/>
  <c r="M92" i="1"/>
  <c r="L92" i="1"/>
  <c r="K92" i="1"/>
  <c r="J92" i="1"/>
  <c r="I92" i="1"/>
  <c r="C86" i="1"/>
  <c r="H76" i="1"/>
  <c r="C95" i="1" s="1"/>
  <c r="C204" i="1" s="1"/>
  <c r="P204" i="1" s="1"/>
  <c r="K68" i="1"/>
  <c r="K65" i="1"/>
  <c r="K64" i="1"/>
  <c r="K63" i="1"/>
  <c r="K62" i="1"/>
  <c r="K61" i="1"/>
  <c r="K60" i="1"/>
  <c r="C49" i="1"/>
  <c r="H15" i="2" s="1"/>
  <c r="K48" i="1"/>
  <c r="E48" i="1"/>
  <c r="G48" i="1" s="1"/>
  <c r="H48" i="1" s="1"/>
  <c r="K47" i="1"/>
  <c r="E47" i="1"/>
  <c r="G47" i="1" s="1"/>
  <c r="H47" i="1" s="1"/>
  <c r="K46" i="1"/>
  <c r="E46" i="1"/>
  <c r="G46" i="1" s="1"/>
  <c r="H46" i="1" s="1"/>
  <c r="K45" i="1"/>
  <c r="E45" i="1"/>
  <c r="E44" i="1"/>
  <c r="AE74" i="2" l="1"/>
  <c r="F44" i="1"/>
  <c r="J70" i="2"/>
  <c r="AE76" i="2"/>
  <c r="AB260" i="1"/>
  <c r="AB261" i="1" s="1"/>
  <c r="K49" i="1"/>
  <c r="D66" i="1" s="1"/>
  <c r="D271" i="1"/>
  <c r="C302" i="1"/>
  <c r="B269" i="1"/>
  <c r="C195" i="1"/>
  <c r="O168" i="1"/>
  <c r="P168" i="1"/>
  <c r="L168" i="1"/>
  <c r="T168" i="1"/>
  <c r="U168" i="1"/>
  <c r="W155" i="1"/>
  <c r="W150" i="1"/>
  <c r="Y150" i="1"/>
  <c r="V150" i="1"/>
  <c r="I167" i="1"/>
  <c r="C23" i="1"/>
  <c r="J167" i="1"/>
  <c r="N167" i="1"/>
  <c r="O167" i="1"/>
  <c r="G44" i="1"/>
  <c r="H44" i="1" s="1"/>
  <c r="F48" i="1"/>
  <c r="I48" i="1" s="1"/>
  <c r="E49" i="1"/>
  <c r="G23" i="1" s="1"/>
  <c r="X154" i="1"/>
  <c r="W154" i="1"/>
  <c r="AI154" i="1" s="1"/>
  <c r="P167" i="1"/>
  <c r="I93" i="1"/>
  <c r="C105" i="1" s="1"/>
  <c r="J86" i="2" s="1"/>
  <c r="Q167" i="1"/>
  <c r="P129" i="1"/>
  <c r="R167" i="1"/>
  <c r="V168" i="1"/>
  <c r="F191" i="1"/>
  <c r="F253" i="1" s="1"/>
  <c r="G241" i="1"/>
  <c r="F47" i="1"/>
  <c r="I47" i="1" s="1"/>
  <c r="S167" i="1"/>
  <c r="W168" i="1"/>
  <c r="H241" i="1"/>
  <c r="T167" i="1"/>
  <c r="E179" i="1"/>
  <c r="D179" i="1" s="1"/>
  <c r="C94" i="1"/>
  <c r="C203" i="1" s="1"/>
  <c r="P203" i="1" s="1"/>
  <c r="U167" i="1"/>
  <c r="G247" i="1"/>
  <c r="H247" i="1" s="1"/>
  <c r="I247" i="1" s="1"/>
  <c r="J247" i="1" s="1"/>
  <c r="K247" i="1" s="1"/>
  <c r="L247" i="1" s="1"/>
  <c r="M247" i="1" s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 s="1"/>
  <c r="Z247" i="1" s="1"/>
  <c r="AA247" i="1" s="1"/>
  <c r="AB247" i="1" s="1"/>
  <c r="AC247" i="1" s="1"/>
  <c r="C96" i="1"/>
  <c r="C205" i="1" s="1"/>
  <c r="AA167" i="1"/>
  <c r="E180" i="1"/>
  <c r="D180" i="1" s="1"/>
  <c r="H167" i="1"/>
  <c r="AB167" i="1"/>
  <c r="K168" i="1"/>
  <c r="E211" i="1"/>
  <c r="X156" i="1"/>
  <c r="W156" i="1"/>
  <c r="X151" i="1"/>
  <c r="W151" i="1"/>
  <c r="AI151" i="1" s="1"/>
  <c r="X153" i="1"/>
  <c r="W153" i="1"/>
  <c r="AA148" i="1"/>
  <c r="Z148" i="1"/>
  <c r="Y148" i="1"/>
  <c r="V148" i="1"/>
  <c r="AA155" i="1"/>
  <c r="Z155" i="1"/>
  <c r="Y155" i="1"/>
  <c r="V155" i="1"/>
  <c r="D74" i="1"/>
  <c r="D73" i="1"/>
  <c r="J73" i="1" s="1"/>
  <c r="D75" i="1"/>
  <c r="F190" i="1"/>
  <c r="F251" i="1" s="1"/>
  <c r="G177" i="1"/>
  <c r="E202" i="1"/>
  <c r="D202" i="1" s="1"/>
  <c r="F45" i="1"/>
  <c r="Q157" i="1"/>
  <c r="G45" i="1"/>
  <c r="H45" i="1" s="1"/>
  <c r="S147" i="1"/>
  <c r="M168" i="1"/>
  <c r="N168" i="1"/>
  <c r="I241" i="1"/>
  <c r="J176" i="1"/>
  <c r="W148" i="1"/>
  <c r="S168" i="1"/>
  <c r="R168" i="1"/>
  <c r="Q168" i="1"/>
  <c r="J168" i="1"/>
  <c r="I168" i="1"/>
  <c r="H168" i="1"/>
  <c r="G168" i="1"/>
  <c r="F168" i="1"/>
  <c r="AC168" i="1"/>
  <c r="Z168" i="1"/>
  <c r="Y168" i="1"/>
  <c r="X168" i="1"/>
  <c r="AA168" i="1"/>
  <c r="AA150" i="1"/>
  <c r="W152" i="1"/>
  <c r="X152" i="1"/>
  <c r="F46" i="1"/>
  <c r="I46" i="1" s="1"/>
  <c r="E204" i="1"/>
  <c r="D204" i="1" s="1"/>
  <c r="X149" i="1"/>
  <c r="Y167" i="1"/>
  <c r="X167" i="1"/>
  <c r="W167" i="1"/>
  <c r="D187" i="1"/>
  <c r="M167" i="1"/>
  <c r="L167" i="1"/>
  <c r="K167" i="1"/>
  <c r="G167" i="1"/>
  <c r="F167" i="1"/>
  <c r="AC167" i="1"/>
  <c r="Z167" i="1"/>
  <c r="V167" i="1"/>
  <c r="C116" i="1"/>
  <c r="D64" i="1" l="1"/>
  <c r="AE77" i="2"/>
  <c r="T205" i="1"/>
  <c r="S205" i="1"/>
  <c r="Q205" i="1"/>
  <c r="R205" i="1"/>
  <c r="D65" i="1"/>
  <c r="D67" i="1"/>
  <c r="D69" i="1"/>
  <c r="D71" i="1"/>
  <c r="D68" i="1"/>
  <c r="D61" i="1"/>
  <c r="F61" i="1" s="1"/>
  <c r="G61" i="1" s="1"/>
  <c r="G147" i="1" s="1"/>
  <c r="I147" i="1" s="1"/>
  <c r="K147" i="1" s="1"/>
  <c r="L147" i="1" s="1"/>
  <c r="F255" i="1"/>
  <c r="F195" i="1"/>
  <c r="AE69" i="2"/>
  <c r="AE75" i="2"/>
  <c r="J49" i="1"/>
  <c r="D59" i="1" s="1"/>
  <c r="D62" i="1"/>
  <c r="D63" i="1"/>
  <c r="D70" i="1"/>
  <c r="AB150" i="1"/>
  <c r="AC150" i="1" s="1"/>
  <c r="AD150" i="1" s="1"/>
  <c r="AE150" i="1" s="1"/>
  <c r="D49" i="1"/>
  <c r="I15" i="2" s="1"/>
  <c r="F192" i="1"/>
  <c r="E192" i="1" s="1"/>
  <c r="E191" i="1"/>
  <c r="AB155" i="1"/>
  <c r="AC155" i="1" s="1"/>
  <c r="AD155" i="1" s="1"/>
  <c r="AE155" i="1" s="1"/>
  <c r="AA154" i="1"/>
  <c r="Y154" i="1"/>
  <c r="Z154" i="1"/>
  <c r="C211" i="1"/>
  <c r="D211" i="1" s="1"/>
  <c r="C182" i="1"/>
  <c r="F182" i="1" s="1"/>
  <c r="J15" i="2"/>
  <c r="C192" i="1"/>
  <c r="AE67" i="2" s="1"/>
  <c r="F49" i="1"/>
  <c r="V154" i="1"/>
  <c r="H49" i="1"/>
  <c r="G49" i="1"/>
  <c r="I45" i="1"/>
  <c r="E203" i="1"/>
  <c r="D203" i="1" s="1"/>
  <c r="AB148" i="1"/>
  <c r="AC148" i="1" s="1"/>
  <c r="AD148" i="1" s="1"/>
  <c r="AE148" i="1" s="1"/>
  <c r="I44" i="1"/>
  <c r="Y151" i="1"/>
  <c r="V151" i="1"/>
  <c r="AA151" i="1"/>
  <c r="Z151" i="1"/>
  <c r="G190" i="1"/>
  <c r="H177" i="1"/>
  <c r="E167" i="1"/>
  <c r="D167" i="1" s="1"/>
  <c r="J74" i="1"/>
  <c r="C87" i="1"/>
  <c r="K74" i="1"/>
  <c r="Z156" i="1"/>
  <c r="Y156" i="1"/>
  <c r="V156" i="1"/>
  <c r="AA156" i="1"/>
  <c r="Z152" i="1"/>
  <c r="Y152" i="1"/>
  <c r="V152" i="1"/>
  <c r="AA152" i="1"/>
  <c r="AA153" i="1"/>
  <c r="Z153" i="1"/>
  <c r="Y153" i="1"/>
  <c r="V153" i="1"/>
  <c r="J241" i="1"/>
  <c r="K176" i="1"/>
  <c r="AA149" i="1"/>
  <c r="V149" i="1"/>
  <c r="Y149" i="1"/>
  <c r="Z149" i="1"/>
  <c r="K75" i="1"/>
  <c r="J75" i="1"/>
  <c r="E168" i="1"/>
  <c r="D168" i="1" s="1"/>
  <c r="S157" i="1"/>
  <c r="X147" i="1"/>
  <c r="W147" i="1"/>
  <c r="H29" i="2"/>
  <c r="D191" i="1" l="1"/>
  <c r="J82" i="2"/>
  <c r="F59" i="1"/>
  <c r="H59" i="1"/>
  <c r="D76" i="1"/>
  <c r="E195" i="1"/>
  <c r="D195" i="1" s="1"/>
  <c r="G251" i="1"/>
  <c r="G255" i="1" s="1"/>
  <c r="C196" i="1"/>
  <c r="AB156" i="1"/>
  <c r="AC156" i="1" s="1"/>
  <c r="AD156" i="1" s="1"/>
  <c r="AE156" i="1" s="1"/>
  <c r="D192" i="1"/>
  <c r="F193" i="1"/>
  <c r="E193" i="1" s="1"/>
  <c r="L77" i="1"/>
  <c r="AB149" i="1"/>
  <c r="AC149" i="1" s="1"/>
  <c r="AD149" i="1" s="1"/>
  <c r="AE149" i="1" s="1"/>
  <c r="AB153" i="1"/>
  <c r="AC153" i="1" s="1"/>
  <c r="AD153" i="1" s="1"/>
  <c r="AE153" i="1" s="1"/>
  <c r="AB154" i="1"/>
  <c r="AC154" i="1" s="1"/>
  <c r="AD154" i="1" s="1"/>
  <c r="I49" i="1"/>
  <c r="K241" i="1"/>
  <c r="L176" i="1"/>
  <c r="AB151" i="1"/>
  <c r="AC151" i="1" s="1"/>
  <c r="AD151" i="1" s="1"/>
  <c r="AE151" i="1" s="1"/>
  <c r="X157" i="1"/>
  <c r="C184" i="1" s="1"/>
  <c r="AA147" i="1"/>
  <c r="AA157" i="1" s="1"/>
  <c r="Z147" i="1"/>
  <c r="Z157" i="1" s="1"/>
  <c r="Y147" i="1"/>
  <c r="V147" i="1"/>
  <c r="C193" i="1"/>
  <c r="H190" i="1"/>
  <c r="H251" i="1" s="1"/>
  <c r="H255" i="1" s="1"/>
  <c r="I177" i="1"/>
  <c r="E205" i="1"/>
  <c r="D205" i="1" s="1"/>
  <c r="E182" i="1"/>
  <c r="D182" i="1" s="1"/>
  <c r="AB152" i="1"/>
  <c r="AC152" i="1" s="1"/>
  <c r="AD152" i="1" s="1"/>
  <c r="AE152" i="1" s="1"/>
  <c r="B85" i="2"/>
  <c r="G29" i="2"/>
  <c r="F196" i="1" l="1"/>
  <c r="AE70" i="2"/>
  <c r="C18" i="1"/>
  <c r="C108" i="1"/>
  <c r="AB147" i="1"/>
  <c r="AC147" i="1" s="1"/>
  <c r="AC157" i="1" s="1"/>
  <c r="F184" i="1"/>
  <c r="AE154" i="1"/>
  <c r="D193" i="1"/>
  <c r="AJ151" i="1"/>
  <c r="Y157" i="1"/>
  <c r="P184" i="1"/>
  <c r="O184" i="1"/>
  <c r="N184" i="1"/>
  <c r="L184" i="1"/>
  <c r="K184" i="1"/>
  <c r="J184" i="1"/>
  <c r="U184" i="1"/>
  <c r="T184" i="1"/>
  <c r="Q184" i="1"/>
  <c r="H184" i="1"/>
  <c r="G184" i="1"/>
  <c r="I184" i="1"/>
  <c r="AA184" i="1"/>
  <c r="Z184" i="1"/>
  <c r="Y184" i="1"/>
  <c r="AC184" i="1"/>
  <c r="AB184" i="1"/>
  <c r="S184" i="1"/>
  <c r="R184" i="1"/>
  <c r="M184" i="1"/>
  <c r="W184" i="1"/>
  <c r="V184" i="1"/>
  <c r="X184" i="1"/>
  <c r="G196" i="1"/>
  <c r="I190" i="1"/>
  <c r="J177" i="1"/>
  <c r="L241" i="1"/>
  <c r="M176" i="1"/>
  <c r="AJ154" i="1" l="1"/>
  <c r="AB157" i="1"/>
  <c r="AD147" i="1"/>
  <c r="M241" i="1"/>
  <c r="N176" i="1"/>
  <c r="E184" i="1"/>
  <c r="D184" i="1" s="1"/>
  <c r="J190" i="1"/>
  <c r="J251" i="1" s="1"/>
  <c r="J255" i="1" s="1"/>
  <c r="K177" i="1"/>
  <c r="I251" i="1"/>
  <c r="I255" i="1" s="1"/>
  <c r="E196" i="1"/>
  <c r="D196" i="1" s="1"/>
  <c r="O176" i="1" l="1"/>
  <c r="N241" i="1"/>
  <c r="AD157" i="1"/>
  <c r="AD159" i="1" s="1"/>
  <c r="AE147" i="1"/>
  <c r="K190" i="1"/>
  <c r="L177" i="1"/>
  <c r="E201" i="1" l="1"/>
  <c r="L190" i="1"/>
  <c r="L251" i="1" s="1"/>
  <c r="L255" i="1" s="1"/>
  <c r="M177" i="1"/>
  <c r="K251" i="1"/>
  <c r="K255" i="1" s="1"/>
  <c r="P176" i="1"/>
  <c r="O241" i="1"/>
  <c r="AE157" i="1"/>
  <c r="N177" i="1" l="1"/>
  <c r="M190" i="1"/>
  <c r="M251" i="1" s="1"/>
  <c r="M255" i="1" s="1"/>
  <c r="Q176" i="1"/>
  <c r="P241" i="1"/>
  <c r="I197" i="1"/>
  <c r="O177" i="1" l="1"/>
  <c r="N190" i="1"/>
  <c r="N251" i="1" s="1"/>
  <c r="N255" i="1" s="1"/>
  <c r="R176" i="1"/>
  <c r="Q241" i="1"/>
  <c r="J71" i="2"/>
  <c r="J69" i="2" s="1"/>
  <c r="S176" i="1" l="1"/>
  <c r="R241" i="1"/>
  <c r="P177" i="1"/>
  <c r="O190" i="1"/>
  <c r="O251" i="1" s="1"/>
  <c r="O255" i="1" s="1"/>
  <c r="J44" i="2"/>
  <c r="AB70" i="2" s="1"/>
  <c r="AB74" i="2" s="1"/>
  <c r="J45" i="2"/>
  <c r="AB68" i="2" s="1"/>
  <c r="AB73" i="2" s="1"/>
  <c r="H21" i="2"/>
  <c r="Q177" i="1" l="1"/>
  <c r="P190" i="1"/>
  <c r="P251" i="1" s="1"/>
  <c r="P255" i="1" s="1"/>
  <c r="T176" i="1"/>
  <c r="S241" i="1"/>
  <c r="R177" i="1" l="1"/>
  <c r="Q190" i="1"/>
  <c r="Q251" i="1" s="1"/>
  <c r="Q255" i="1" s="1"/>
  <c r="T241" i="1"/>
  <c r="U176" i="1"/>
  <c r="C120" i="1" s="1"/>
  <c r="U241" i="1" l="1"/>
  <c r="V176" i="1"/>
  <c r="S177" i="1"/>
  <c r="R190" i="1"/>
  <c r="R251" i="1" s="1"/>
  <c r="R255" i="1" s="1"/>
  <c r="V241" i="1" l="1"/>
  <c r="W176" i="1"/>
  <c r="E117" i="1" s="1"/>
  <c r="T177" i="1"/>
  <c r="S190" i="1"/>
  <c r="S251" i="1" s="1"/>
  <c r="S255" i="1" s="1"/>
  <c r="W241" i="1" l="1"/>
  <c r="X176" i="1"/>
  <c r="T190" i="1"/>
  <c r="T251" i="1" s="1"/>
  <c r="T255" i="1" s="1"/>
  <c r="U177" i="1"/>
  <c r="U190" i="1" s="1"/>
  <c r="D120" i="1" l="1"/>
  <c r="I37" i="2" s="1"/>
  <c r="V177" i="1"/>
  <c r="U251" i="1"/>
  <c r="U255" i="1" s="1"/>
  <c r="Y176" i="1"/>
  <c r="X241" i="1"/>
  <c r="E120" i="1" l="1"/>
  <c r="C26" i="1"/>
  <c r="E104" i="1"/>
  <c r="Y241" i="1"/>
  <c r="Z176" i="1"/>
  <c r="W177" i="1"/>
  <c r="V190" i="1"/>
  <c r="V251" i="1" s="1"/>
  <c r="V255" i="1" s="1"/>
  <c r="AA176" i="1" l="1"/>
  <c r="Z241" i="1"/>
  <c r="X177" i="1"/>
  <c r="W190" i="1"/>
  <c r="W251" i="1" s="1"/>
  <c r="W255" i="1" s="1"/>
  <c r="AB176" i="1" l="1"/>
  <c r="AA241" i="1"/>
  <c r="Y177" i="1"/>
  <c r="X190" i="1"/>
  <c r="X251" i="1" s="1"/>
  <c r="X255" i="1" s="1"/>
  <c r="AC176" i="1" l="1"/>
  <c r="AC241" i="1" s="1"/>
  <c r="AB241" i="1"/>
  <c r="Z177" i="1"/>
  <c r="Y190" i="1"/>
  <c r="Y251" i="1" s="1"/>
  <c r="Y255" i="1" s="1"/>
  <c r="AA177" i="1" l="1"/>
  <c r="Z190" i="1"/>
  <c r="Z251" i="1" s="1"/>
  <c r="Z255" i="1" s="1"/>
  <c r="AA190" i="1" l="1"/>
  <c r="AA251" i="1" s="1"/>
  <c r="AA255" i="1" s="1"/>
  <c r="AB177" i="1"/>
  <c r="AB190" i="1" l="1"/>
  <c r="AB251" i="1" s="1"/>
  <c r="AB255" i="1" s="1"/>
  <c r="AC177" i="1"/>
  <c r="AC190" i="1" s="1"/>
  <c r="AC251" i="1" s="1"/>
  <c r="AC255" i="1" s="1"/>
  <c r="AC260" i="1" l="1"/>
  <c r="E190" i="1"/>
  <c r="J81" i="2" s="1"/>
  <c r="D190" i="1" l="1"/>
  <c r="C117" i="1"/>
  <c r="AC261" i="1"/>
  <c r="C22" i="1" l="1"/>
  <c r="J80" i="2" l="1"/>
  <c r="D31" i="2"/>
  <c r="F129" i="1"/>
  <c r="G129" i="1" s="1"/>
  <c r="I129" i="1" s="1"/>
  <c r="J61" i="1"/>
  <c r="R129" i="1"/>
  <c r="S129" i="1" s="1"/>
  <c r="F147" i="1" l="1"/>
  <c r="U129" i="1"/>
  <c r="V129" i="1" l="1"/>
  <c r="Z129" i="1" l="1"/>
  <c r="X129" i="1"/>
  <c r="Y129" i="1"/>
  <c r="W129" i="1"/>
  <c r="AI147" i="1"/>
  <c r="AA129" i="1" l="1"/>
  <c r="AJ147" i="1"/>
  <c r="R130" i="1" l="1"/>
  <c r="S130" i="1" s="1"/>
  <c r="U130" i="1" s="1"/>
  <c r="V130" i="1" s="1"/>
  <c r="X130" i="1" s="1"/>
  <c r="R132" i="1"/>
  <c r="S132" i="1" s="1"/>
  <c r="U132" i="1" s="1"/>
  <c r="V132" i="1" s="1"/>
  <c r="X132" i="1" s="1"/>
  <c r="C91" i="1"/>
  <c r="C200" i="1" s="1"/>
  <c r="E59" i="1"/>
  <c r="H16" i="2" s="1"/>
  <c r="F70" i="1"/>
  <c r="F156" i="1" s="1"/>
  <c r="R131" i="1"/>
  <c r="S131" i="1" s="1"/>
  <c r="U131" i="1" s="1"/>
  <c r="V131" i="1" s="1"/>
  <c r="R136" i="1"/>
  <c r="S136" i="1" s="1"/>
  <c r="U136" i="1" s="1"/>
  <c r="V136" i="1" s="1"/>
  <c r="R133" i="1"/>
  <c r="S133" i="1" s="1"/>
  <c r="U133" i="1" s="1"/>
  <c r="V133" i="1" s="1"/>
  <c r="J62" i="1"/>
  <c r="R134" i="1"/>
  <c r="S134" i="1" s="1"/>
  <c r="U134" i="1" s="1"/>
  <c r="V134" i="1" s="1"/>
  <c r="F66" i="1"/>
  <c r="F134" i="1" s="1"/>
  <c r="G134" i="1" s="1"/>
  <c r="I134" i="1" s="1"/>
  <c r="J134" i="1" s="1"/>
  <c r="J63" i="1"/>
  <c r="R137" i="1"/>
  <c r="S137" i="1" s="1"/>
  <c r="U137" i="1" s="1"/>
  <c r="V137" i="1" s="1"/>
  <c r="R135" i="1"/>
  <c r="S135" i="1" s="1"/>
  <c r="U135" i="1" s="1"/>
  <c r="V135" i="1" s="1"/>
  <c r="R138" i="1"/>
  <c r="S138" i="1" s="1"/>
  <c r="U138" i="1" s="1"/>
  <c r="V138" i="1" s="1"/>
  <c r="J70" i="1"/>
  <c r="J66" i="1"/>
  <c r="J71" i="1"/>
  <c r="F67" i="1"/>
  <c r="F68" i="1"/>
  <c r="F64" i="1"/>
  <c r="J64" i="1"/>
  <c r="J65" i="1"/>
  <c r="J67" i="1"/>
  <c r="F63" i="1"/>
  <c r="F62" i="1"/>
  <c r="J69" i="1"/>
  <c r="F69" i="1"/>
  <c r="F155" i="1" s="1"/>
  <c r="K50" i="1"/>
  <c r="F65" i="1"/>
  <c r="G65" i="1" s="1"/>
  <c r="C89" i="1"/>
  <c r="C198" i="1" s="1"/>
  <c r="G198" i="1" s="1"/>
  <c r="J68" i="1"/>
  <c r="I70" i="2" l="1"/>
  <c r="I71" i="2"/>
  <c r="W138" i="1"/>
  <c r="X138" i="1"/>
  <c r="W134" i="1"/>
  <c r="X134" i="1"/>
  <c r="W131" i="1"/>
  <c r="X131" i="1"/>
  <c r="AE72" i="2"/>
  <c r="G267" i="1"/>
  <c r="W133" i="1"/>
  <c r="X133" i="1"/>
  <c r="W137" i="1"/>
  <c r="X137" i="1"/>
  <c r="W136" i="1"/>
  <c r="X136" i="1"/>
  <c r="W135" i="1"/>
  <c r="V139" i="1"/>
  <c r="C300" i="1" s="1"/>
  <c r="X135" i="1"/>
  <c r="F76" i="1"/>
  <c r="G76" i="1" s="1"/>
  <c r="Z132" i="1"/>
  <c r="W132" i="1"/>
  <c r="Z130" i="1"/>
  <c r="W130" i="1"/>
  <c r="G67" i="1"/>
  <c r="F138" i="1"/>
  <c r="G138" i="1" s="1"/>
  <c r="I138" i="1" s="1"/>
  <c r="J138" i="1" s="1"/>
  <c r="G66" i="1"/>
  <c r="G152" i="1" s="1"/>
  <c r="I152" i="1" s="1"/>
  <c r="AI152" i="1" s="1"/>
  <c r="F137" i="1"/>
  <c r="G137" i="1" s="1"/>
  <c r="I137" i="1" s="1"/>
  <c r="J137" i="1" s="1"/>
  <c r="F148" i="1"/>
  <c r="F149" i="1"/>
  <c r="G70" i="1"/>
  <c r="F151" i="1"/>
  <c r="I82" i="2"/>
  <c r="K67" i="1"/>
  <c r="G62" i="1"/>
  <c r="F135" i="1"/>
  <c r="G135" i="1" s="1"/>
  <c r="I135" i="1" s="1"/>
  <c r="J135" i="1" s="1"/>
  <c r="K69" i="1"/>
  <c r="R139" i="1"/>
  <c r="F153" i="1"/>
  <c r="G63" i="1"/>
  <c r="G149" i="1" s="1"/>
  <c r="G69" i="1"/>
  <c r="F133" i="1"/>
  <c r="G133" i="1" s="1"/>
  <c r="I133" i="1" s="1"/>
  <c r="J133" i="1" s="1"/>
  <c r="Y131" i="1"/>
  <c r="Z138" i="1"/>
  <c r="Y138" i="1"/>
  <c r="F131" i="1"/>
  <c r="G131" i="1" s="1"/>
  <c r="I131" i="1" s="1"/>
  <c r="J131" i="1" s="1"/>
  <c r="F132" i="1"/>
  <c r="G132" i="1" s="1"/>
  <c r="I132" i="1" s="1"/>
  <c r="J132" i="1" s="1"/>
  <c r="G64" i="1"/>
  <c r="F150" i="1"/>
  <c r="Y135" i="1"/>
  <c r="Z135" i="1"/>
  <c r="G68" i="1"/>
  <c r="F154" i="1"/>
  <c r="Y136" i="1"/>
  <c r="Z136" i="1"/>
  <c r="G151" i="1"/>
  <c r="I151" i="1" s="1"/>
  <c r="K151" i="1" s="1"/>
  <c r="Z133" i="1"/>
  <c r="J76" i="1"/>
  <c r="Z131" i="1"/>
  <c r="F152" i="1"/>
  <c r="K66" i="1"/>
  <c r="F136" i="1"/>
  <c r="G136" i="1" s="1"/>
  <c r="I136" i="1" s="1"/>
  <c r="J136" i="1" s="1"/>
  <c r="Y133" i="1"/>
  <c r="E198" i="1"/>
  <c r="D198" i="1" s="1"/>
  <c r="U139" i="1"/>
  <c r="Z137" i="1"/>
  <c r="Y137" i="1"/>
  <c r="Z134" i="1"/>
  <c r="Y134" i="1"/>
  <c r="Y130" i="1"/>
  <c r="I81" i="2"/>
  <c r="I86" i="2"/>
  <c r="Y132" i="1"/>
  <c r="S139" i="1"/>
  <c r="F130" i="1"/>
  <c r="AA132" i="1" l="1"/>
  <c r="X139" i="1"/>
  <c r="I69" i="2"/>
  <c r="C303" i="1"/>
  <c r="J279" i="1" s="1"/>
  <c r="AA133" i="1"/>
  <c r="AA131" i="1"/>
  <c r="AA134" i="1"/>
  <c r="Z139" i="1"/>
  <c r="AA136" i="1"/>
  <c r="AA137" i="1"/>
  <c r="Y139" i="1"/>
  <c r="AA138" i="1"/>
  <c r="AC297" i="1"/>
  <c r="C305" i="1"/>
  <c r="C306" i="1"/>
  <c r="C304" i="1"/>
  <c r="G153" i="1"/>
  <c r="I153" i="1" s="1"/>
  <c r="AI153" i="1" s="1"/>
  <c r="AA135" i="1"/>
  <c r="AA130" i="1"/>
  <c r="W139" i="1"/>
  <c r="C19" i="1"/>
  <c r="D32" i="2"/>
  <c r="D33" i="2"/>
  <c r="K152" i="1"/>
  <c r="AJ152" i="1" s="1"/>
  <c r="G156" i="1"/>
  <c r="I156" i="1" s="1"/>
  <c r="K156" i="1" s="1"/>
  <c r="C92" i="1"/>
  <c r="C201" i="1" s="1"/>
  <c r="I80" i="2"/>
  <c r="C109" i="1"/>
  <c r="F157" i="1"/>
  <c r="G148" i="1"/>
  <c r="I148" i="1" s="1"/>
  <c r="D34" i="2"/>
  <c r="G155" i="1"/>
  <c r="I155" i="1" s="1"/>
  <c r="C194" i="1"/>
  <c r="I76" i="1"/>
  <c r="G154" i="1"/>
  <c r="I154" i="1" s="1"/>
  <c r="K154" i="1" s="1"/>
  <c r="G150" i="1"/>
  <c r="I150" i="1" s="1"/>
  <c r="I149" i="1"/>
  <c r="L151" i="1"/>
  <c r="L76" i="1"/>
  <c r="J59" i="1"/>
  <c r="C99" i="1"/>
  <c r="G130" i="1"/>
  <c r="F139" i="1"/>
  <c r="E200" i="1"/>
  <c r="D200" i="1" s="1"/>
  <c r="C308" i="1" l="1"/>
  <c r="AC279" i="1"/>
  <c r="AC285" i="1" s="1"/>
  <c r="AB279" i="1"/>
  <c r="AB287" i="1" s="1"/>
  <c r="AA279" i="1"/>
  <c r="AA287" i="1" s="1"/>
  <c r="Y279" i="1"/>
  <c r="Y281" i="1" s="1"/>
  <c r="Z279" i="1"/>
  <c r="D201" i="1"/>
  <c r="AE73" i="2"/>
  <c r="AE68" i="2"/>
  <c r="K153" i="1"/>
  <c r="AA139" i="1"/>
  <c r="AA140" i="1" s="1"/>
  <c r="AB285" i="1"/>
  <c r="AB283" i="1"/>
  <c r="AA285" i="1"/>
  <c r="AC283" i="1"/>
  <c r="J281" i="1"/>
  <c r="J285" i="1"/>
  <c r="J283" i="1"/>
  <c r="J287" i="1"/>
  <c r="AC287" i="1"/>
  <c r="AB281" i="1"/>
  <c r="Y287" i="1"/>
  <c r="AI156" i="1"/>
  <c r="L152" i="1"/>
  <c r="L78" i="1"/>
  <c r="G157" i="1"/>
  <c r="K155" i="1"/>
  <c r="AI155" i="1"/>
  <c r="K148" i="1"/>
  <c r="AI148" i="1"/>
  <c r="AI150" i="1"/>
  <c r="K150" i="1"/>
  <c r="AI149" i="1"/>
  <c r="K149" i="1"/>
  <c r="I157" i="1"/>
  <c r="AJ156" i="1"/>
  <c r="L156" i="1"/>
  <c r="AA194" i="1"/>
  <c r="Q194" i="1"/>
  <c r="J194" i="1"/>
  <c r="O194" i="1"/>
  <c r="AC194" i="1"/>
  <c r="AC273" i="1" s="1"/>
  <c r="AC275" i="1" s="1"/>
  <c r="U194" i="1"/>
  <c r="N194" i="1"/>
  <c r="X194" i="1"/>
  <c r="M194" i="1"/>
  <c r="F194" i="1"/>
  <c r="W194" i="1"/>
  <c r="L194" i="1"/>
  <c r="V194" i="1"/>
  <c r="G194" i="1"/>
  <c r="S194" i="1"/>
  <c r="Z194" i="1"/>
  <c r="K194" i="1"/>
  <c r="P194" i="1"/>
  <c r="Y194" i="1"/>
  <c r="I194" i="1"/>
  <c r="T194" i="1"/>
  <c r="H194" i="1"/>
  <c r="R194" i="1"/>
  <c r="AB194" i="1"/>
  <c r="C90" i="1"/>
  <c r="C100" i="1"/>
  <c r="C97" i="1"/>
  <c r="C88" i="1"/>
  <c r="C307" i="1"/>
  <c r="J74" i="2"/>
  <c r="G139" i="1"/>
  <c r="L154" i="1"/>
  <c r="M279" i="1"/>
  <c r="S279" i="1"/>
  <c r="T279" i="1"/>
  <c r="W279" i="1"/>
  <c r="H279" i="1"/>
  <c r="L279" i="1"/>
  <c r="I279" i="1"/>
  <c r="R279" i="1"/>
  <c r="P279" i="1"/>
  <c r="V279" i="1"/>
  <c r="O279" i="1"/>
  <c r="X279" i="1"/>
  <c r="G279" i="1"/>
  <c r="N279" i="1"/>
  <c r="U279" i="1"/>
  <c r="K279" i="1"/>
  <c r="F279" i="1"/>
  <c r="Q279" i="1"/>
  <c r="H17" i="2"/>
  <c r="O267" i="1" l="1"/>
  <c r="Q267" i="1"/>
  <c r="P267" i="1"/>
  <c r="W267" i="1"/>
  <c r="S267" i="1"/>
  <c r="M267" i="1"/>
  <c r="AB273" i="1"/>
  <c r="AB275" i="1" s="1"/>
  <c r="X267" i="1"/>
  <c r="AA273" i="1"/>
  <c r="AA275" i="1" s="1"/>
  <c r="L267" i="1"/>
  <c r="U267" i="1"/>
  <c r="T267" i="1"/>
  <c r="AA283" i="1"/>
  <c r="AA281" i="1"/>
  <c r="AA289" i="1" s="1"/>
  <c r="G287" i="1"/>
  <c r="Z287" i="1"/>
  <c r="Y283" i="1"/>
  <c r="AC281" i="1"/>
  <c r="AC289" i="1" s="1"/>
  <c r="AJ153" i="1"/>
  <c r="L153" i="1"/>
  <c r="Z283" i="1"/>
  <c r="Z281" i="1"/>
  <c r="Z289" i="1" s="1"/>
  <c r="Z285" i="1"/>
  <c r="Y285" i="1"/>
  <c r="D39" i="2"/>
  <c r="Z273" i="1"/>
  <c r="Z275" i="1" s="1"/>
  <c r="H39" i="2"/>
  <c r="F181" i="1"/>
  <c r="C39" i="2"/>
  <c r="V267" i="1"/>
  <c r="G39" i="2"/>
  <c r="R267" i="1"/>
  <c r="F39" i="2"/>
  <c r="N267" i="1"/>
  <c r="E39" i="2"/>
  <c r="E279" i="1"/>
  <c r="D279" i="1" s="1"/>
  <c r="C301" i="1"/>
  <c r="AB289" i="1"/>
  <c r="Y289" i="1"/>
  <c r="J289" i="1"/>
  <c r="U285" i="1"/>
  <c r="U283" i="1"/>
  <c r="F283" i="1"/>
  <c r="F285" i="1"/>
  <c r="W285" i="1"/>
  <c r="W283" i="1"/>
  <c r="Q285" i="1"/>
  <c r="Q283" i="1"/>
  <c r="N283" i="1"/>
  <c r="N285" i="1"/>
  <c r="G281" i="1"/>
  <c r="G285" i="1"/>
  <c r="G283" i="1"/>
  <c r="I283" i="1"/>
  <c r="I285" i="1"/>
  <c r="H285" i="1"/>
  <c r="H283" i="1"/>
  <c r="K285" i="1"/>
  <c r="K283" i="1"/>
  <c r="T285" i="1"/>
  <c r="T283" i="1"/>
  <c r="S283" i="1"/>
  <c r="S285" i="1"/>
  <c r="M285" i="1"/>
  <c r="M283" i="1"/>
  <c r="P285" i="1"/>
  <c r="P283" i="1"/>
  <c r="R285" i="1"/>
  <c r="R283" i="1"/>
  <c r="L283" i="1"/>
  <c r="L285" i="1"/>
  <c r="X283" i="1"/>
  <c r="X285" i="1"/>
  <c r="O285" i="1"/>
  <c r="O283" i="1"/>
  <c r="V283" i="1"/>
  <c r="V285" i="1"/>
  <c r="Y267" i="1"/>
  <c r="Y273" i="1"/>
  <c r="Y275" i="1" s="1"/>
  <c r="G29" i="1"/>
  <c r="AI157" i="1"/>
  <c r="L148" i="1"/>
  <c r="AJ148" i="1"/>
  <c r="AJ155" i="1"/>
  <c r="L155" i="1"/>
  <c r="V281" i="1"/>
  <c r="V287" i="1"/>
  <c r="R281" i="1"/>
  <c r="R287" i="1"/>
  <c r="C197" i="1"/>
  <c r="G197" i="1" s="1"/>
  <c r="O208" i="1"/>
  <c r="O273" i="1"/>
  <c r="O275" i="1" s="1"/>
  <c r="I281" i="1"/>
  <c r="I287" i="1"/>
  <c r="K208" i="1"/>
  <c r="K273" i="1"/>
  <c r="K275" i="1" s="1"/>
  <c r="C206" i="1"/>
  <c r="W287" i="1"/>
  <c r="W281" i="1"/>
  <c r="U273" i="1"/>
  <c r="U275" i="1" s="1"/>
  <c r="U181" i="1"/>
  <c r="U208" i="1"/>
  <c r="U212" i="1" s="1"/>
  <c r="Q181" i="1"/>
  <c r="Q208" i="1"/>
  <c r="Q273" i="1"/>
  <c r="Q275" i="1" s="1"/>
  <c r="O287" i="1"/>
  <c r="O281" i="1"/>
  <c r="AC212" i="1"/>
  <c r="AC208" i="1"/>
  <c r="AC181" i="1"/>
  <c r="J208" i="1"/>
  <c r="J273" i="1"/>
  <c r="J275" i="1" s="1"/>
  <c r="L287" i="1"/>
  <c r="L281" i="1"/>
  <c r="T273" i="1"/>
  <c r="T275" i="1" s="1"/>
  <c r="T181" i="1"/>
  <c r="T208" i="1"/>
  <c r="T212" i="1" s="1"/>
  <c r="H281" i="1"/>
  <c r="H287" i="1"/>
  <c r="Y181" i="1"/>
  <c r="Y208" i="1"/>
  <c r="Y212" i="1" s="1"/>
  <c r="T281" i="1"/>
  <c r="T287" i="1"/>
  <c r="P208" i="1"/>
  <c r="P273" i="1"/>
  <c r="P275" i="1" s="1"/>
  <c r="S281" i="1"/>
  <c r="S287" i="1"/>
  <c r="Z181" i="1"/>
  <c r="Z208" i="1"/>
  <c r="Z212" i="1" s="1"/>
  <c r="M287" i="1"/>
  <c r="M281" i="1"/>
  <c r="S273" i="1"/>
  <c r="S275" i="1" s="1"/>
  <c r="S181" i="1"/>
  <c r="S208" i="1"/>
  <c r="Q287" i="1"/>
  <c r="Q281" i="1"/>
  <c r="G273" i="1"/>
  <c r="G275" i="1" s="1"/>
  <c r="G181" i="1"/>
  <c r="G208" i="1"/>
  <c r="F281" i="1"/>
  <c r="F287" i="1"/>
  <c r="V181" i="1"/>
  <c r="V273" i="1"/>
  <c r="V275" i="1" s="1"/>
  <c r="V208" i="1"/>
  <c r="V212" i="1" s="1"/>
  <c r="K281" i="1"/>
  <c r="K287" i="1"/>
  <c r="L208" i="1"/>
  <c r="L273" i="1"/>
  <c r="L275" i="1" s="1"/>
  <c r="W208" i="1"/>
  <c r="W212" i="1" s="1"/>
  <c r="W273" i="1"/>
  <c r="W275" i="1" s="1"/>
  <c r="W181" i="1"/>
  <c r="C208" i="1"/>
  <c r="AE80" i="2" s="1"/>
  <c r="M273" i="1"/>
  <c r="M275" i="1" s="1"/>
  <c r="M208" i="1"/>
  <c r="L150" i="1"/>
  <c r="AJ150" i="1"/>
  <c r="L149" i="1"/>
  <c r="AJ149" i="1"/>
  <c r="K157" i="1"/>
  <c r="C199" i="1"/>
  <c r="X181" i="1"/>
  <c r="X208" i="1"/>
  <c r="X212" i="1" s="1"/>
  <c r="X273" i="1"/>
  <c r="X275" i="1" s="1"/>
  <c r="P287" i="1"/>
  <c r="P281" i="1"/>
  <c r="P289" i="1" s="1"/>
  <c r="AB181" i="1"/>
  <c r="AB208" i="1"/>
  <c r="AB212" i="1" s="1"/>
  <c r="R181" i="1"/>
  <c r="R208" i="1"/>
  <c r="R273" i="1"/>
  <c r="R275" i="1" s="1"/>
  <c r="H273" i="1"/>
  <c r="H275" i="1" s="1"/>
  <c r="H208" i="1"/>
  <c r="H181" i="1"/>
  <c r="I74" i="2"/>
  <c r="I273" i="1"/>
  <c r="I275" i="1" s="1"/>
  <c r="I208" i="1"/>
  <c r="I212" i="1" s="1"/>
  <c r="AA208" i="1"/>
  <c r="AA212" i="1" s="1"/>
  <c r="AA181" i="1"/>
  <c r="U281" i="1"/>
  <c r="U287" i="1"/>
  <c r="E194" i="1"/>
  <c r="F273" i="1"/>
  <c r="F208" i="1"/>
  <c r="N287" i="1"/>
  <c r="N281" i="1"/>
  <c r="X287" i="1"/>
  <c r="X281" i="1"/>
  <c r="N273" i="1"/>
  <c r="N275" i="1" s="1"/>
  <c r="N208" i="1"/>
  <c r="E181" i="1" l="1"/>
  <c r="H199" i="1"/>
  <c r="H212" i="1" s="1"/>
  <c r="G199" i="1"/>
  <c r="G212" i="1" s="1"/>
  <c r="F199" i="1"/>
  <c r="F212" i="1" s="1"/>
  <c r="AE78" i="2"/>
  <c r="M206" i="1"/>
  <c r="M212" i="1" s="1"/>
  <c r="P206" i="1"/>
  <c r="K206" i="1"/>
  <c r="K212" i="1" s="1"/>
  <c r="N206" i="1"/>
  <c r="O206" i="1"/>
  <c r="J206" i="1"/>
  <c r="J212" i="1" s="1"/>
  <c r="L206" i="1"/>
  <c r="L212" i="1" s="1"/>
  <c r="G289" i="1"/>
  <c r="H38" i="2"/>
  <c r="E281" i="1"/>
  <c r="D281" i="1" s="1"/>
  <c r="R289" i="1"/>
  <c r="AE71" i="2"/>
  <c r="O289" i="1"/>
  <c r="S289" i="1"/>
  <c r="N289" i="1"/>
  <c r="E285" i="1"/>
  <c r="D285" i="1" s="1"/>
  <c r="E283" i="1"/>
  <c r="D283" i="1" s="1"/>
  <c r="U289" i="1"/>
  <c r="T289" i="1"/>
  <c r="E287" i="1"/>
  <c r="D287" i="1" s="1"/>
  <c r="E273" i="1"/>
  <c r="D273" i="1" s="1"/>
  <c r="X289" i="1"/>
  <c r="H289" i="1"/>
  <c r="W289" i="1"/>
  <c r="M289" i="1"/>
  <c r="L289" i="1"/>
  <c r="K289" i="1"/>
  <c r="Q289" i="1"/>
  <c r="I289" i="1"/>
  <c r="V289" i="1"/>
  <c r="F289" i="1"/>
  <c r="E197" i="1"/>
  <c r="E188" i="1"/>
  <c r="AJ157" i="1"/>
  <c r="C186" i="1" s="1"/>
  <c r="C183" i="1"/>
  <c r="F183" i="1" s="1"/>
  <c r="K159" i="1"/>
  <c r="C209" i="1" s="1"/>
  <c r="L157" i="1"/>
  <c r="F275" i="1"/>
  <c r="E275" i="1" s="1"/>
  <c r="E208" i="1"/>
  <c r="D208" i="1" s="1"/>
  <c r="C181" i="1"/>
  <c r="D194" i="1"/>
  <c r="D38" i="2" l="1"/>
  <c r="E289" i="1"/>
  <c r="D289" i="1" s="1"/>
  <c r="D308" i="1"/>
  <c r="F291" i="1"/>
  <c r="F277" i="1"/>
  <c r="G277" i="1" s="1"/>
  <c r="H277" i="1" s="1"/>
  <c r="I277" i="1" s="1"/>
  <c r="D275" i="1"/>
  <c r="P183" i="1"/>
  <c r="P209" i="1" s="1"/>
  <c r="Z183" i="1"/>
  <c r="S183" i="1"/>
  <c r="S209" i="1" s="1"/>
  <c r="K183" i="1"/>
  <c r="K209" i="1" s="1"/>
  <c r="Q183" i="1"/>
  <c r="Q209" i="1" s="1"/>
  <c r="Y183" i="1"/>
  <c r="Y209" i="1" s="1"/>
  <c r="V183" i="1"/>
  <c r="AA183" i="1"/>
  <c r="O183" i="1"/>
  <c r="O209" i="1" s="1"/>
  <c r="R183" i="1"/>
  <c r="H183" i="1"/>
  <c r="H209" i="1" s="1"/>
  <c r="T183" i="1"/>
  <c r="N183" i="1"/>
  <c r="M183" i="1"/>
  <c r="M209" i="1" s="1"/>
  <c r="W183" i="1"/>
  <c r="W209" i="1" s="1"/>
  <c r="U183" i="1"/>
  <c r="U209" i="1" s="1"/>
  <c r="J138" i="2"/>
  <c r="G183" i="1"/>
  <c r="G209" i="1" s="1"/>
  <c r="J183" i="1"/>
  <c r="X183" i="1"/>
  <c r="X209" i="1" s="1"/>
  <c r="I183" i="1"/>
  <c r="I209" i="1" s="1"/>
  <c r="AB183" i="1"/>
  <c r="L183" i="1"/>
  <c r="L209" i="1" s="1"/>
  <c r="AC183" i="1"/>
  <c r="E206" i="1"/>
  <c r="D206" i="1" s="1"/>
  <c r="D197" i="1"/>
  <c r="P186" i="1"/>
  <c r="R186" i="1"/>
  <c r="U186" i="1"/>
  <c r="J186" i="1"/>
  <c r="AA186" i="1"/>
  <c r="I186" i="1"/>
  <c r="N186" i="1"/>
  <c r="T186" i="1"/>
  <c r="Y186" i="1"/>
  <c r="AC186" i="1"/>
  <c r="G186" i="1"/>
  <c r="O186" i="1"/>
  <c r="F186" i="1"/>
  <c r="J139" i="2"/>
  <c r="Z186" i="1"/>
  <c r="K186" i="1"/>
  <c r="X186" i="1"/>
  <c r="H186" i="1"/>
  <c r="AB186" i="1"/>
  <c r="Q186" i="1"/>
  <c r="W186" i="1"/>
  <c r="M186" i="1"/>
  <c r="S186" i="1"/>
  <c r="L186" i="1"/>
  <c r="V186" i="1"/>
  <c r="G24" i="1"/>
  <c r="D181" i="1"/>
  <c r="J140" i="2" l="1"/>
  <c r="V209" i="1"/>
  <c r="N209" i="1"/>
  <c r="R209" i="1"/>
  <c r="J209" i="1"/>
  <c r="J277" i="1"/>
  <c r="K277" i="1" s="1"/>
  <c r="L277" i="1" s="1"/>
  <c r="M277" i="1" s="1"/>
  <c r="N277" i="1" s="1"/>
  <c r="O277" i="1" s="1"/>
  <c r="P277" i="1" s="1"/>
  <c r="Q277" i="1" s="1"/>
  <c r="R277" i="1" s="1"/>
  <c r="S277" i="1" s="1"/>
  <c r="T277" i="1" s="1"/>
  <c r="U277" i="1" s="1"/>
  <c r="V277" i="1" s="1"/>
  <c r="W277" i="1" s="1"/>
  <c r="X277" i="1" s="1"/>
  <c r="Y277" i="1" s="1"/>
  <c r="Z277" i="1" s="1"/>
  <c r="AA277" i="1" s="1"/>
  <c r="AB277" i="1" s="1"/>
  <c r="AC277" i="1" s="1"/>
  <c r="F293" i="1"/>
  <c r="AA209" i="1"/>
  <c r="F209" i="1"/>
  <c r="E183" i="1"/>
  <c r="Z209" i="1"/>
  <c r="AC209" i="1"/>
  <c r="AB209" i="1"/>
  <c r="E186" i="1"/>
  <c r="D186" i="1" s="1"/>
  <c r="T209" i="1"/>
  <c r="C114" i="1"/>
  <c r="G291" i="1" l="1"/>
  <c r="G293" i="1" s="1"/>
  <c r="H291" i="1" s="1"/>
  <c r="D183" i="1"/>
  <c r="E209" i="1"/>
  <c r="D209" i="1" s="1"/>
  <c r="H293" i="1" l="1"/>
  <c r="I291" i="1" l="1"/>
  <c r="I293" i="1" s="1"/>
  <c r="J291" i="1" l="1"/>
  <c r="J293" i="1" s="1"/>
  <c r="K291" i="1" l="1"/>
  <c r="K293" i="1" s="1"/>
  <c r="L291" i="1" l="1"/>
  <c r="L293" i="1" s="1"/>
  <c r="M291" i="1" l="1"/>
  <c r="M293" i="1" s="1"/>
  <c r="N291" i="1" l="1"/>
  <c r="N293" i="1" s="1"/>
  <c r="O291" i="1" l="1"/>
  <c r="O293" i="1" s="1"/>
  <c r="P291" i="1" l="1"/>
  <c r="P293" i="1" s="1"/>
  <c r="Q291" i="1" l="1"/>
  <c r="Q293" i="1" s="1"/>
  <c r="R291" i="1" l="1"/>
  <c r="R293" i="1" l="1"/>
  <c r="S291" i="1" l="1"/>
  <c r="S293" i="1" l="1"/>
  <c r="T291" i="1" l="1"/>
  <c r="T293" i="1" s="1"/>
  <c r="U291" i="1" s="1"/>
  <c r="U293" i="1" l="1"/>
  <c r="V291" i="1" s="1"/>
  <c r="V293" i="1" s="1"/>
  <c r="W291" i="1" l="1"/>
  <c r="W293" i="1" s="1"/>
  <c r="X291" i="1" l="1"/>
  <c r="X293" i="1" l="1"/>
  <c r="Y291" i="1" l="1"/>
  <c r="Y293" i="1" l="1"/>
  <c r="Z291" i="1" s="1"/>
  <c r="Z293" i="1" l="1"/>
  <c r="AA291" i="1" l="1"/>
  <c r="AA293" i="1" s="1"/>
  <c r="AB291" i="1" l="1"/>
  <c r="AB293" i="1" s="1"/>
  <c r="AC291" i="1" l="1"/>
  <c r="AC293" i="1" s="1"/>
  <c r="E293" i="1" s="1"/>
  <c r="D293" i="1" l="1"/>
  <c r="AC295" i="1"/>
  <c r="AC298" i="1" s="1"/>
  <c r="J129" i="1" l="1"/>
  <c r="H139" i="1" l="1"/>
  <c r="I130" i="1"/>
  <c r="J130" i="1" s="1"/>
  <c r="I139" i="1" l="1"/>
  <c r="J139" i="1"/>
  <c r="C185" i="1" l="1"/>
  <c r="C98" i="1"/>
  <c r="C103" i="1" l="1"/>
  <c r="C101" i="1"/>
  <c r="C110" i="1" s="1"/>
  <c r="C111" i="1" s="1"/>
  <c r="J78" i="2"/>
  <c r="I78" i="2" s="1"/>
  <c r="C207" i="1"/>
  <c r="R185" i="1"/>
  <c r="Y185" i="1"/>
  <c r="L185" i="1"/>
  <c r="T185" i="1"/>
  <c r="U185" i="1"/>
  <c r="J185" i="1"/>
  <c r="AA185" i="1"/>
  <c r="Z185" i="1"/>
  <c r="I185" i="1"/>
  <c r="W185" i="1"/>
  <c r="H185" i="1"/>
  <c r="X185" i="1"/>
  <c r="O185" i="1"/>
  <c r="S185" i="1"/>
  <c r="AB185" i="1"/>
  <c r="N185" i="1"/>
  <c r="V185" i="1"/>
  <c r="AC185" i="1"/>
  <c r="F185" i="1"/>
  <c r="K185" i="1"/>
  <c r="P185" i="1"/>
  <c r="G185" i="1"/>
  <c r="Q185" i="1"/>
  <c r="M185" i="1"/>
  <c r="C212" i="1" l="1"/>
  <c r="J76" i="2"/>
  <c r="I76" i="2" s="1"/>
  <c r="AE79" i="2"/>
  <c r="P207" i="1"/>
  <c r="P212" i="1" s="1"/>
  <c r="Q207" i="1"/>
  <c r="Q212" i="1" s="1"/>
  <c r="R207" i="1"/>
  <c r="R212" i="1" s="1"/>
  <c r="S207" i="1"/>
  <c r="S212" i="1" s="1"/>
  <c r="N207" i="1"/>
  <c r="N212" i="1" s="1"/>
  <c r="O207" i="1"/>
  <c r="O212" i="1" s="1"/>
  <c r="C40" i="2"/>
  <c r="F40" i="2"/>
  <c r="E40" i="2"/>
  <c r="H40" i="2"/>
  <c r="D40" i="2"/>
  <c r="G40" i="2"/>
  <c r="C20" i="1"/>
  <c r="E95" i="1"/>
  <c r="E89" i="1"/>
  <c r="E97" i="1"/>
  <c r="E92" i="1"/>
  <c r="E99" i="1"/>
  <c r="E100" i="1"/>
  <c r="E88" i="1"/>
  <c r="E87" i="1"/>
  <c r="E91" i="1"/>
  <c r="E96" i="1"/>
  <c r="E93" i="1"/>
  <c r="E86" i="1"/>
  <c r="E94" i="1"/>
  <c r="E90" i="1"/>
  <c r="J75" i="2"/>
  <c r="W214" i="1"/>
  <c r="W219" i="1"/>
  <c r="AA219" i="1"/>
  <c r="AA214" i="1"/>
  <c r="Y214" i="1"/>
  <c r="Y219" i="1"/>
  <c r="X219" i="1"/>
  <c r="X214" i="1"/>
  <c r="U214" i="1"/>
  <c r="G38" i="2"/>
  <c r="E185" i="1"/>
  <c r="AC219" i="1"/>
  <c r="AC214" i="1"/>
  <c r="E98" i="1"/>
  <c r="Z214" i="1"/>
  <c r="Z219" i="1"/>
  <c r="AB214" i="1"/>
  <c r="AB219" i="1"/>
  <c r="E212" i="1" l="1"/>
  <c r="D212" i="1" s="1"/>
  <c r="E38" i="2"/>
  <c r="E207" i="1"/>
  <c r="D207" i="1" s="1"/>
  <c r="F38" i="2"/>
  <c r="V214" i="1"/>
  <c r="V219" i="1"/>
  <c r="U219" i="1"/>
  <c r="C104" i="1"/>
  <c r="C17" i="1"/>
  <c r="D185" i="1"/>
  <c r="I75" i="2"/>
  <c r="I73" i="2" s="1"/>
  <c r="J73" i="2"/>
  <c r="C216" i="1" l="1"/>
  <c r="J17" i="2"/>
  <c r="I17" i="2" s="1"/>
  <c r="C106" i="1"/>
  <c r="C210" i="1"/>
  <c r="J85" i="2"/>
  <c r="J84" i="2" l="1"/>
  <c r="J114" i="2" s="1"/>
  <c r="I85" i="2"/>
  <c r="I84" i="2" s="1"/>
  <c r="V169" i="1"/>
  <c r="AB169" i="1"/>
  <c r="I210" i="1"/>
  <c r="AA169" i="1"/>
  <c r="P210" i="1"/>
  <c r="X169" i="1"/>
  <c r="J210" i="1"/>
  <c r="AC169" i="1"/>
  <c r="K210" i="1"/>
  <c r="Q210" i="1"/>
  <c r="O210" i="1"/>
  <c r="U169" i="1"/>
  <c r="Z169" i="1"/>
  <c r="H210" i="1"/>
  <c r="M210" i="1"/>
  <c r="Y169" i="1"/>
  <c r="N210" i="1"/>
  <c r="F210" i="1"/>
  <c r="F219" i="1" s="1"/>
  <c r="T210" i="1"/>
  <c r="L210" i="1"/>
  <c r="R210" i="1"/>
  <c r="G210" i="1"/>
  <c r="S210" i="1"/>
  <c r="W169" i="1"/>
  <c r="C21" i="1"/>
  <c r="C112" i="1"/>
  <c r="C113" i="1" s="1"/>
  <c r="G34" i="1" s="1"/>
  <c r="O169" i="1" l="1"/>
  <c r="O214" i="1"/>
  <c r="O219" i="1"/>
  <c r="K169" i="1"/>
  <c r="K214" i="1"/>
  <c r="K219" i="1"/>
  <c r="J169" i="1"/>
  <c r="J219" i="1"/>
  <c r="J214" i="1"/>
  <c r="G169" i="1"/>
  <c r="G214" i="1"/>
  <c r="G219" i="1"/>
  <c r="G34" i="2"/>
  <c r="G32" i="2"/>
  <c r="P169" i="1"/>
  <c r="P219" i="1"/>
  <c r="P214" i="1"/>
  <c r="N169" i="1"/>
  <c r="N214" i="1"/>
  <c r="N219" i="1"/>
  <c r="H169" i="1"/>
  <c r="H214" i="1"/>
  <c r="H219" i="1"/>
  <c r="C24" i="1"/>
  <c r="Q169" i="1"/>
  <c r="Q219" i="1"/>
  <c r="Q214" i="1"/>
  <c r="R169" i="1"/>
  <c r="R214" i="1"/>
  <c r="R219" i="1"/>
  <c r="L169" i="1"/>
  <c r="L219" i="1"/>
  <c r="L214" i="1"/>
  <c r="I169" i="1"/>
  <c r="I219" i="1"/>
  <c r="I214" i="1"/>
  <c r="G33" i="2"/>
  <c r="S169" i="1"/>
  <c r="S219" i="1"/>
  <c r="S214" i="1"/>
  <c r="T169" i="1"/>
  <c r="T219" i="1"/>
  <c r="T214" i="1"/>
  <c r="F169" i="1"/>
  <c r="E210" i="1"/>
  <c r="F221" i="1"/>
  <c r="F214" i="1"/>
  <c r="M169" i="1"/>
  <c r="M214" i="1"/>
  <c r="M219" i="1"/>
  <c r="I114" i="2"/>
  <c r="I21" i="2"/>
  <c r="J21" i="2" s="1"/>
  <c r="H29" i="1" l="1"/>
  <c r="C219" i="1"/>
  <c r="G221" i="1"/>
  <c r="H221" i="1" s="1"/>
  <c r="I221" i="1" s="1"/>
  <c r="J221" i="1" s="1"/>
  <c r="K221" i="1" s="1"/>
  <c r="L221" i="1" s="1"/>
  <c r="M221" i="1" s="1"/>
  <c r="N221" i="1" s="1"/>
  <c r="E169" i="1"/>
  <c r="D169" i="1" s="1"/>
  <c r="H33" i="2"/>
  <c r="J33" i="2"/>
  <c r="I33" i="2"/>
  <c r="I32" i="2"/>
  <c r="J32" i="2"/>
  <c r="H32" i="2"/>
  <c r="G31" i="2"/>
  <c r="J16" i="2"/>
  <c r="I16" i="2" s="1"/>
  <c r="C25" i="1"/>
  <c r="E214" i="1"/>
  <c r="F215" i="1"/>
  <c r="G215" i="1" s="1"/>
  <c r="H215" i="1" s="1"/>
  <c r="I215" i="1" s="1"/>
  <c r="J215" i="1" s="1"/>
  <c r="K215" i="1" s="1"/>
  <c r="L215" i="1" s="1"/>
  <c r="M215" i="1" s="1"/>
  <c r="N215" i="1" s="1"/>
  <c r="O215" i="1" s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 s="1"/>
  <c r="AA215" i="1" s="1"/>
  <c r="AB215" i="1" s="1"/>
  <c r="AC215" i="1" s="1"/>
  <c r="I34" i="2"/>
  <c r="H34" i="2"/>
  <c r="J34" i="2"/>
  <c r="H23" i="1"/>
  <c r="H22" i="1"/>
  <c r="H26" i="1"/>
  <c r="H20" i="1"/>
  <c r="H24" i="1"/>
  <c r="H19" i="1"/>
  <c r="H21" i="1"/>
  <c r="D210" i="1"/>
  <c r="J31" i="2" l="1"/>
  <c r="C221" i="1"/>
  <c r="F148" i="2" s="1"/>
  <c r="C220" i="1"/>
  <c r="F147" i="2" s="1"/>
  <c r="N223" i="1"/>
  <c r="O221" i="1"/>
  <c r="C28" i="1"/>
  <c r="E26" i="2" s="1"/>
  <c r="C29" i="1"/>
  <c r="C27" i="1"/>
  <c r="C26" i="2" s="1"/>
  <c r="I31" i="2"/>
  <c r="I147" i="2" l="1"/>
  <c r="C147" i="2"/>
  <c r="J147" i="2"/>
  <c r="D147" i="2"/>
  <c r="J148" i="2"/>
  <c r="C148" i="2"/>
  <c r="D148" i="2"/>
  <c r="I148" i="2"/>
  <c r="P221" i="1"/>
  <c r="O223" i="1"/>
  <c r="C30" i="1"/>
  <c r="I26" i="2" s="1"/>
  <c r="G26" i="2"/>
  <c r="C222" i="1"/>
  <c r="F149" i="2" s="1"/>
  <c r="H31" i="2"/>
  <c r="J149" i="2" l="1"/>
  <c r="C149" i="2"/>
  <c r="D149" i="2"/>
  <c r="I149" i="2"/>
  <c r="B223" i="1"/>
  <c r="P223" i="1"/>
  <c r="Q221" i="1"/>
  <c r="R221" i="1" l="1"/>
  <c r="Q223" i="1"/>
  <c r="R223" i="1" l="1"/>
  <c r="S221" i="1"/>
  <c r="T221" i="1" l="1"/>
  <c r="S223" i="1"/>
  <c r="U221" i="1" l="1"/>
  <c r="T223" i="1"/>
  <c r="V221" i="1" l="1"/>
  <c r="U223" i="1"/>
  <c r="W221" i="1" l="1"/>
  <c r="V223" i="1"/>
  <c r="X221" i="1" l="1"/>
  <c r="W223" i="1"/>
  <c r="X223" i="1" l="1"/>
  <c r="Y221" i="1"/>
  <c r="Z221" i="1" l="1"/>
  <c r="Y223" i="1"/>
  <c r="AA221" i="1" l="1"/>
  <c r="Z223" i="1"/>
  <c r="AB221" i="1" l="1"/>
  <c r="AA223" i="1"/>
  <c r="AB223" i="1" l="1"/>
  <c r="AC221" i="1"/>
  <c r="AC223" i="1" s="1"/>
  <c r="C38" i="2"/>
  <c r="E199" i="1"/>
  <c r="C215" i="1" l="1"/>
  <c r="D215" i="1" s="1"/>
  <c r="C214" i="1"/>
  <c r="D199" i="1"/>
  <c r="C217" i="1" l="1"/>
  <c r="B217" i="1" s="1"/>
  <c r="F146" i="2"/>
  <c r="D213" i="1"/>
  <c r="D214" i="1"/>
  <c r="I146" i="2" l="1"/>
  <c r="D146" i="2"/>
  <c r="C146" i="2"/>
  <c r="J146" i="2"/>
  <c r="AK5" i="1"/>
  <c r="AK4" i="1"/>
  <c r="G30" i="1" l="1"/>
  <c r="J46" i="2" l="1"/>
  <c r="H30" i="1"/>
  <c r="G31" i="1"/>
  <c r="AB67" i="2"/>
  <c r="J47" i="2" l="1"/>
  <c r="H31" i="1"/>
  <c r="H33" i="1" s="1"/>
  <c r="G33" i="1"/>
  <c r="G35" i="1" s="1"/>
  <c r="AB72" i="2"/>
  <c r="AC67" i="2" l="1"/>
  <c r="AC68" i="2"/>
  <c r="AC70" i="2"/>
  <c r="I45" i="2"/>
  <c r="I44" i="2"/>
  <c r="I46" i="2"/>
  <c r="K30" i="1"/>
  <c r="K29" i="1"/>
  <c r="I47" i="2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<sst xmlns="http://schemas.openxmlformats.org/spreadsheetml/2006/main" count="681" uniqueCount="372">
  <si>
    <t>كود الوان الحدود</t>
  </si>
  <si>
    <t>الاكواد</t>
  </si>
  <si>
    <t>#DAD2CC</t>
  </si>
  <si>
    <t>#A4907E</t>
  </si>
  <si>
    <t>العناوين</t>
  </si>
  <si>
    <t>الجميع بدون حساب رموز الأخطاء</t>
  </si>
  <si>
    <t>المتوسط الحسابي بدون حساب القيم الصفرية و رموز الأخطاء</t>
  </si>
  <si>
    <t>حجم خط العناوين 10</t>
  </si>
  <si>
    <t>بدون تعبئة</t>
  </si>
  <si>
    <t>شكل 1</t>
  </si>
  <si>
    <t>حجم خط الخلايا العادية 8</t>
  </si>
  <si>
    <t>#F0EAE4</t>
  </si>
  <si>
    <t>شكل 2</t>
  </si>
  <si>
    <t>حجم خط الخلايا المنبثقة 7</t>
  </si>
  <si>
    <t>#EDE4D6</t>
  </si>
  <si>
    <t>خلايا الأدخال و الخلايا المتغيرة</t>
  </si>
  <si>
    <t>في حالات نادرة يكون حجم الخلايا العادية 7 او 6 بحال عدم وجود مساحة</t>
  </si>
  <si>
    <t>اول لون بدرجات الأخضر</t>
  </si>
  <si>
    <t>تعقيب</t>
  </si>
  <si>
    <t>Financial Structuring | الهيكلة المالية</t>
  </si>
  <si>
    <t xml:space="preserve"> Feasibility Study Summary | ملخص دراسة الجدوى</t>
  </si>
  <si>
    <t>المصدر
(Source)</t>
  </si>
  <si>
    <t>SAR</t>
  </si>
  <si>
    <t>%</t>
  </si>
  <si>
    <t>البند
(Item)</t>
  </si>
  <si>
    <t>القيمة
(Value)</t>
  </si>
  <si>
    <t>(Equity) - الملكية</t>
  </si>
  <si>
    <t>إجمالي الإيرادات
(Total Revenue)</t>
  </si>
  <si>
    <t xml:space="preserve"> رأس المال - (capital)</t>
  </si>
  <si>
    <t>إجمالي تكلفة الأرض
(Total Land Cost)</t>
  </si>
  <si>
    <t xml:space="preserve"> الاشتراكات النقدية
 (Cash Subscription)</t>
  </si>
  <si>
    <t>إجمالي تكلفة البناء
 (Total Construction Cost)</t>
  </si>
  <si>
    <t xml:space="preserve"> الاشتراك من مدير الصندوق
 (fund manager's Subscription)</t>
  </si>
  <si>
    <t>إجمالي التكاليف الأخرى
 (Total Other cost)</t>
  </si>
  <si>
    <t>الأشتراك النقدي من المطور
(Cash Subscription from Developer)</t>
  </si>
  <si>
    <t>إجمالي رسوم الصندوق
(Total Fund Fees)</t>
  </si>
  <si>
    <t>الأشتراك العيني من المطور
(In-Kind Subscription from Developer)</t>
  </si>
  <si>
    <t>فوائد التمويل
 (Interest)</t>
  </si>
  <si>
    <t xml:space="preserve"> التمويل البنكي
 (Bank Financing)</t>
  </si>
  <si>
    <t xml:space="preserve"> الإشتراك العيني من مالك الأرض
 (In-Kind Subscription from Landowner)</t>
  </si>
  <si>
    <t>إجمالي الملكية 
(Total Equity)</t>
  </si>
  <si>
    <t>صافي الدخل
(Net Income)</t>
  </si>
  <si>
    <t xml:space="preserve"> التمويل - (Finance)</t>
  </si>
  <si>
    <r>
      <t xml:space="preserve">معدل العائد الداخلي
</t>
    </r>
    <r>
      <rPr>
        <sz val="8"/>
        <color theme="5" tint="-0.249977111117893"/>
        <rFont val="Calibri"/>
        <family val="2"/>
      </rPr>
      <t>(IRR)</t>
    </r>
  </si>
  <si>
    <r>
      <t xml:space="preserve">العائد على الإستثمار
</t>
    </r>
    <r>
      <rPr>
        <sz val="8"/>
        <color theme="5" tint="-0.249977111117893"/>
        <rFont val="Calibri"/>
        <family val="2"/>
      </rPr>
      <t xml:space="preserve">(ROI) </t>
    </r>
    <r>
      <rPr>
        <sz val="8"/>
        <color theme="1"/>
        <rFont val="Calibri"/>
        <family val="2"/>
      </rPr>
      <t xml:space="preserve"> </t>
    </r>
  </si>
  <si>
    <t>تمويل المبيعات - (Sales Financing)</t>
  </si>
  <si>
    <r>
      <t xml:space="preserve">العائد على الملكية
</t>
    </r>
    <r>
      <rPr>
        <sz val="8"/>
        <color theme="5" tint="-0.249977111117893"/>
        <rFont val="Calibri"/>
        <family val="2"/>
      </rPr>
      <t xml:space="preserve">(ROE) </t>
    </r>
  </si>
  <si>
    <t>البيع على الخارطة
(Off-Plan Sales)</t>
  </si>
  <si>
    <r>
      <t xml:space="preserve">  العائد على الملكية السنوي
</t>
    </r>
    <r>
      <rPr>
        <sz val="8"/>
        <color theme="5" tint="-0.24994659260841701"/>
        <rFont val="Calibri"/>
        <family val="2"/>
      </rPr>
      <t>(ROE Annually</t>
    </r>
    <r>
      <rPr>
        <sz val="8"/>
        <color theme="5" tint="-0.249977111117893"/>
        <rFont val="Calibri"/>
        <family val="2"/>
      </rPr>
      <t>)</t>
    </r>
  </si>
  <si>
    <t>مصادر أخرى
(Other Sources)</t>
  </si>
  <si>
    <t>إجمالي تمويل المبيعات
(Total Sales Financing)</t>
  </si>
  <si>
    <t>إجمالي مصادر التمويل 
(Total Financing Sources)</t>
  </si>
  <si>
    <t xml:space="preserve"> الفرق
 (Difference)</t>
  </si>
  <si>
    <t>تفاصيل الأرض | Land Details</t>
  </si>
  <si>
    <t>رقم الأرض
(Land Number)</t>
  </si>
  <si>
    <t>المساحة الأرض
(Land Area)</t>
  </si>
  <si>
    <t>التكلفة للمتر
(Cost per SQM)</t>
  </si>
  <si>
    <t>معامل البناء
(FAR)</t>
  </si>
  <si>
    <r>
      <t>إجمالي مسطحات البناء فوق الأرض
(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 xml:space="preserve">bove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rade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B</t>
    </r>
    <r>
      <rPr>
        <sz val="8"/>
        <color theme="0"/>
        <rFont val="Calibri"/>
        <family val="2"/>
      </rPr>
      <t xml:space="preserve">uilding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</si>
  <si>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t>الإجمالي
 (Total)</t>
  </si>
  <si>
    <t>المكون
(Component)</t>
  </si>
  <si>
    <t>سكني 
(Apartments)</t>
  </si>
  <si>
    <t>فلل
(Villas)</t>
  </si>
  <si>
    <t>تاون هاوس
(Townhouse)</t>
  </si>
  <si>
    <t>أدوار
(Floors)</t>
  </si>
  <si>
    <t>تجاري
 (Retail)</t>
  </si>
  <si>
    <t>فندقي 
(Hotel)</t>
  </si>
  <si>
    <t>صحي 
(health)</t>
  </si>
  <si>
    <t>شاليهات
(Chalets)</t>
  </si>
  <si>
    <t>Construction Details and Costs | تفاصيل البناء و تكاليفة</t>
  </si>
  <si>
    <t>طول الأرض على الشارع
(Land Frontage)</t>
  </si>
  <si>
    <t>عمق الأرض
(Land Depth)</t>
  </si>
  <si>
    <r>
      <t>إجمالي المساحة التطويرية 
(</t>
    </r>
    <r>
      <rPr>
        <sz val="8"/>
        <color theme="5" tint="0.59999389629810485"/>
        <rFont val="Calibri"/>
        <family val="2"/>
      </rPr>
      <t>T</t>
    </r>
    <r>
      <rPr>
        <sz val="8"/>
        <color theme="0"/>
        <rFont val="Calibri"/>
        <family val="2"/>
      </rPr>
      <t xml:space="preserve">otal </t>
    </r>
    <r>
      <rPr>
        <sz val="8"/>
        <color theme="5" tint="0.59999389629810485"/>
        <rFont val="Calibri"/>
        <family val="2"/>
      </rPr>
      <t>D</t>
    </r>
    <r>
      <rPr>
        <sz val="8"/>
        <color theme="0"/>
        <rFont val="Calibri"/>
        <family val="2"/>
      </rPr>
      <t xml:space="preserve">evelopment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</si>
  <si>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r>
      <t>إجمالي المساحة المبنية
(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B</t>
    </r>
    <r>
      <rPr>
        <sz val="8"/>
        <color theme="0"/>
        <rFont val="Calibri"/>
        <family val="2"/>
      </rPr>
      <t xml:space="preserve">uilt-Up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</si>
  <si>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r>
      <t>إجمالي المساحة البنائية فوق مستوى الأرض
(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 xml:space="preserve">bove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rade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B</t>
    </r>
    <r>
      <rPr>
        <sz val="8"/>
        <color theme="0"/>
        <rFont val="Calibri"/>
        <family val="2"/>
      </rPr>
      <t xml:space="preserve">uilding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</si>
  <si>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r>
      <t>إجمالي المساحات القابلة للبيع
(</t>
    </r>
    <r>
      <rPr>
        <sz val="8"/>
        <color theme="5" tint="0.59999389629810485"/>
        <rFont val="Calibri"/>
        <family val="2"/>
      </rPr>
      <t>N</t>
    </r>
    <r>
      <rPr>
        <sz val="8"/>
        <color theme="0"/>
        <rFont val="Calibri"/>
        <family val="2"/>
      </rPr>
      <t xml:space="preserve">et </t>
    </r>
    <r>
      <rPr>
        <sz val="8"/>
        <color theme="5" tint="0.59999389629810485"/>
        <rFont val="Calibri"/>
        <family val="2"/>
      </rPr>
      <t>S</t>
    </r>
    <r>
      <rPr>
        <sz val="8"/>
        <color theme="0"/>
        <rFont val="Calibri"/>
        <family val="2"/>
      </rPr>
      <t xml:space="preserve">ellable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</si>
  <si>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t>المواقف
(Parking)</t>
  </si>
  <si>
    <t>معيار المواقف
(Parking Standards)</t>
  </si>
  <si>
    <t>توزيع تكاليف المشروع على المكونات | Cost Breakdown by Component</t>
  </si>
  <si>
    <t>نسبة المكون من المساحة البنائية
(GBA-%)</t>
  </si>
  <si>
    <t>إجمالي المساحة البنائية للمكون 
(GBA)</t>
  </si>
  <si>
    <t>نسبة المساحات الصافية القابلة للبيع
  (NSA-%)</t>
  </si>
  <si>
    <t>المساحات الصافية القابلة للبيع
(NSA)</t>
  </si>
  <si>
    <t>مساحة الوحدة
(Unit Area)</t>
  </si>
  <si>
    <t>عدد الوحدات
(Number of Units)</t>
  </si>
  <si>
    <t>تكلفة متر البناء
 (Construction cost Per m²)</t>
  </si>
  <si>
    <t>اجمالي التكاليف
(Total Costs)</t>
  </si>
  <si>
    <t>إجمالي تكاليف كل مكون
(Total Cost per Component)</t>
  </si>
  <si>
    <t>توزيع التكلفة لكل م²
(Cost per m² Allocation)</t>
  </si>
  <si>
    <t>إجمالي إيراد كل مكون
(Total Revenue per Component)</t>
  </si>
  <si>
    <t>العائد لكل م²
(Return per m²)</t>
  </si>
  <si>
    <t>صافي دخل كل مكون
(Net Income per Component)</t>
  </si>
  <si>
    <t>نسبة عائد كل مكون
(Return % per Component)</t>
  </si>
  <si>
    <t>أستوديوهات
(Studios)</t>
  </si>
  <si>
    <t xml:space="preserve">مكتبي + تجاري </t>
  </si>
  <si>
    <t>لا يــــنــطــبــق</t>
  </si>
  <si>
    <t>-</t>
  </si>
  <si>
    <t>لاند سكيب* 
(Landscape)</t>
  </si>
  <si>
    <t>قبو *
(Basement)</t>
  </si>
  <si>
    <t>بوديوم*
 (Podium)</t>
  </si>
  <si>
    <t>إجمالي المواقف المتوفرة
(Total Available Parking Spaces)</t>
  </si>
  <si>
    <t>من مساحة الأرض*
(Based on Land Area)</t>
  </si>
  <si>
    <t>إجمالي وحدات المشروع
(Total Project Units)</t>
  </si>
  <si>
    <t>إجمالي المواقف المطلوبة
(Total Required Parking Spaces)</t>
  </si>
  <si>
    <t xml:space="preserve">فارق المواقف
(Parking Deficit) </t>
  </si>
  <si>
    <t>Other Cost | التكاليف الأخرى</t>
  </si>
  <si>
    <t>نسبة البند من الإجمالي
(Proportion of Item to Total)</t>
  </si>
  <si>
    <t>المعيار
(Standard)</t>
  </si>
  <si>
    <t>التسوير 
 (Fencing)</t>
  </si>
  <si>
    <t>الحفر والمسح والاختبار 
 (Excavation, surveying, and testing)</t>
  </si>
  <si>
    <t>التأمين 
 (Insurance)</t>
  </si>
  <si>
    <t>الرخصة 
 (License)</t>
  </si>
  <si>
    <t>التصميم
(Design)</t>
  </si>
  <si>
    <t>أثاث الوحدات الفندقية 
 (Hotel Furniture Units)</t>
  </si>
  <si>
    <t>أثاث الوحدات
 (Furniture Units)</t>
  </si>
  <si>
    <t>رسوم الكهرباء 
 (Electricity fees)</t>
  </si>
  <si>
    <t>رسوم الماء وصرف الصحي 
 (Water and sewer fees)</t>
  </si>
  <si>
    <t>الفرز 
 (Sorting)</t>
  </si>
  <si>
    <t>الصيانة و التشغيل 
 (Maintenance and Operation)</t>
  </si>
  <si>
    <t>الاحتياطي 
 (Contingency)</t>
  </si>
  <si>
    <t>الإشراف الهندسي 
 (Engineering Supervision)</t>
  </si>
  <si>
    <t>إجمالي التكاليف الأخرى 
 (Total Other Cost)</t>
  </si>
  <si>
    <t>تفاصيل تكاليف الصندوق | Fund Cost Details</t>
  </si>
  <si>
    <t>تكاليف المطور 
 (Developer costs)</t>
  </si>
  <si>
    <t>رسوم الصندوق 
 (Fund fees)</t>
  </si>
  <si>
    <t>التكاليف الأخرى للصندوق
 (Other costs)</t>
  </si>
  <si>
    <t>الإجمالي
(Total)</t>
  </si>
  <si>
    <t>ملخص تكاليف المشروع | Project Costs</t>
  </si>
  <si>
    <t>التكاليف الأخرى للصندوق | Other Fund Costs</t>
  </si>
  <si>
    <t>اجمالي تكلفة الأرض
(Total Land Cost)</t>
  </si>
  <si>
    <t>السنة
(Year)</t>
  </si>
  <si>
    <t xml:space="preserve"> رسوم انشاء شركة ذات غرض خاص  
(Custodian - SPV Establishment fee)</t>
  </si>
  <si>
    <t xml:space="preserve"> رسوم أمين الحفظ 
(Custodian Fees)</t>
  </si>
  <si>
    <t xml:space="preserve"> مراجع الحسابات 
(Auditor)</t>
  </si>
  <si>
    <t xml:space="preserve"> مستشار الضريبة 
(Tax advisor)</t>
  </si>
  <si>
    <t xml:space="preserve"> مستشار شرعي 
(Shariya consultant fee)</t>
  </si>
  <si>
    <t xml:space="preserve"> مكافأت أعضاء مجلس الإدارة 
(Board Members' Compensation)</t>
  </si>
  <si>
    <t xml:space="preserve"> اجمالي تكلفة البناء
 (Total construction cost)</t>
  </si>
  <si>
    <t>Y1</t>
  </si>
  <si>
    <t>إجمالي التكاليف الأخرى 
 (Total other costs)</t>
  </si>
  <si>
    <t>Y2</t>
  </si>
  <si>
    <t>إجمالي تكلفة التطوير  
 (Total development cost)</t>
  </si>
  <si>
    <t>Y3</t>
  </si>
  <si>
    <t xml:space="preserve">إجمالي تكاليف الصندوق 
 (Total fund costs)  </t>
  </si>
  <si>
    <t>Y4</t>
  </si>
  <si>
    <t xml:space="preserve">  إجمالي تكاليف المشروع 
 (Total project cost)</t>
  </si>
  <si>
    <t>Y5</t>
  </si>
  <si>
    <t>الملكية
(Equity)</t>
  </si>
  <si>
    <t>Y6</t>
  </si>
  <si>
    <t>الإجمالي لكل بند
 (Total for Each Item)</t>
  </si>
  <si>
    <t>إجمالي الكل
(Grand Total)</t>
  </si>
  <si>
    <t>التمويل | Finance</t>
  </si>
  <si>
    <t>التمويل المطلوب 
 (Required financing)</t>
  </si>
  <si>
    <t>الإطار الزمني | Time frame</t>
  </si>
  <si>
    <t>بالأشهر - Months</t>
  </si>
  <si>
    <t>بالسنين - Years</t>
  </si>
  <si>
    <t>ربع سنوي - Quarterly</t>
  </si>
  <si>
    <t>البيع المباشر | Direct Sale</t>
  </si>
  <si>
    <t>البيع على الخارطة | Off-Plan Sale</t>
  </si>
  <si>
    <t>عدد الوحدات
(Number of units)</t>
  </si>
  <si>
    <t>نسبة البيع
 (Selling-%)</t>
  </si>
  <si>
    <t>سعر بيع المتر 
(Sale Price per m²)</t>
  </si>
  <si>
    <t>قيمة الوحدة 
(Unit Value)</t>
  </si>
  <si>
    <t>اجمالي المبيعات  
(Total Sales)</t>
  </si>
  <si>
    <t xml:space="preserve"> CAP-RATE | معدل الرسملة    </t>
  </si>
  <si>
    <t xml:space="preserve">  التأجير اليومي | Daily leasing</t>
  </si>
  <si>
    <t>النماذج
(Models)</t>
  </si>
  <si>
    <t>عدد الوحدات
(Number Of Units)</t>
  </si>
  <si>
    <t>نسب المساحات الصافية القابلة للتأجير  
(%-NLA)</t>
  </si>
  <si>
    <t>المساحات الصافية القابلة للتأجير
(NLA)</t>
  </si>
  <si>
    <t>مساحة الوحدة
(Unit area)</t>
  </si>
  <si>
    <t>تأجير المتر
(Meter Rental)</t>
  </si>
  <si>
    <t xml:space="preserve">قيمة تأجير الوحدة السنوي
(Unit Value) </t>
  </si>
  <si>
    <t>نسبة الإشغال
(Occupancy Rate)</t>
  </si>
  <si>
    <t>إجمالي إيرادات التأجير السنوي
(Total Annual Rental Revenue)</t>
  </si>
  <si>
    <t>عدد الوحدات المتاحة السنوي
(Number of Units Available Annually)</t>
  </si>
  <si>
    <t>عدد الوحدات المشغولة السنوي
(Number of Occupied Units Annually)</t>
  </si>
  <si>
    <r>
      <t>متوسط السعر اليومي للغرفة المشغولة
(</t>
    </r>
    <r>
      <rPr>
        <sz val="7"/>
        <color theme="5" tint="0.59999389629810485"/>
        <rFont val="Calibri"/>
        <family val="2"/>
      </rPr>
      <t>A</t>
    </r>
    <r>
      <rPr>
        <sz val="7"/>
        <color theme="0"/>
        <rFont val="Calibri"/>
        <family val="2"/>
      </rPr>
      <t xml:space="preserve">verage </t>
    </r>
    <r>
      <rPr>
        <sz val="7"/>
        <color theme="5" tint="0.59999389629810485"/>
        <rFont val="Calibri"/>
        <family val="2"/>
      </rPr>
      <t>D</t>
    </r>
    <r>
      <rPr>
        <sz val="7"/>
        <color theme="0"/>
        <rFont val="Calibri"/>
        <family val="2"/>
      </rPr>
      <t xml:space="preserve">aily </t>
    </r>
    <r>
      <rPr>
        <sz val="7"/>
        <color theme="5" tint="0.59999389629810485"/>
        <rFont val="Calibri"/>
        <family val="2"/>
      </rPr>
      <t>R</t>
    </r>
    <r>
      <rPr>
        <sz val="7"/>
        <color theme="0"/>
        <rFont val="Calibri"/>
        <family val="2"/>
      </rPr>
      <t>ate)</t>
    </r>
  </si>
  <si>
    <r>
      <t>الإيراد لكل غرفة متاحة 
 (</t>
    </r>
    <r>
      <rPr>
        <sz val="7"/>
        <color theme="5" tint="0.59999389629810485"/>
        <rFont val="Calibri"/>
        <family val="2"/>
      </rPr>
      <t>Rev</t>
    </r>
    <r>
      <rPr>
        <sz val="7"/>
        <color theme="0"/>
        <rFont val="Calibri"/>
        <family val="2"/>
      </rPr>
      <t xml:space="preserve">enue </t>
    </r>
    <r>
      <rPr>
        <sz val="7"/>
        <color theme="5" tint="0.59999389629810485"/>
        <rFont val="Calibri"/>
        <family val="2"/>
      </rPr>
      <t>P</t>
    </r>
    <r>
      <rPr>
        <sz val="7"/>
        <color theme="0"/>
        <rFont val="Calibri"/>
        <family val="2"/>
      </rPr>
      <t xml:space="preserve">er </t>
    </r>
    <r>
      <rPr>
        <sz val="7"/>
        <color theme="5" tint="0.59999389629810485"/>
        <rFont val="Calibri"/>
        <family val="2"/>
      </rPr>
      <t>A</t>
    </r>
    <r>
      <rPr>
        <sz val="7"/>
        <color theme="0"/>
        <rFont val="Calibri"/>
        <family val="2"/>
      </rPr>
      <t xml:space="preserve">vailable </t>
    </r>
    <r>
      <rPr>
        <sz val="7"/>
        <color theme="5" tint="0.59999389629810485"/>
        <rFont val="Calibri"/>
        <family val="2"/>
      </rPr>
      <t>R</t>
    </r>
    <r>
      <rPr>
        <sz val="7"/>
        <color theme="0"/>
        <rFont val="Calibri"/>
        <family val="2"/>
      </rPr>
      <t>oom)</t>
    </r>
  </si>
  <si>
    <r>
      <t xml:space="preserve"> الإيراد الفعلي للوحدة السنوي
(</t>
    </r>
    <r>
      <rPr>
        <sz val="7"/>
        <color theme="5" tint="0.59999389629810485"/>
        <rFont val="Calibri"/>
        <family val="2"/>
      </rPr>
      <t>E</t>
    </r>
    <r>
      <rPr>
        <sz val="7"/>
        <color theme="0"/>
        <rFont val="Calibri"/>
        <family val="2"/>
      </rPr>
      <t xml:space="preserve">ffective </t>
    </r>
    <r>
      <rPr>
        <sz val="7"/>
        <color theme="5" tint="0.59999389629810485"/>
        <rFont val="Calibri"/>
        <family val="2"/>
      </rPr>
      <t>G</t>
    </r>
    <r>
      <rPr>
        <sz val="7"/>
        <color theme="0"/>
        <rFont val="Calibri"/>
        <family val="2"/>
      </rPr>
      <t xml:space="preserve">ross </t>
    </r>
    <r>
      <rPr>
        <sz val="7"/>
        <color theme="5" tint="0.59999389629810485"/>
        <rFont val="Calibri"/>
        <family val="2"/>
      </rPr>
      <t>I</t>
    </r>
    <r>
      <rPr>
        <sz val="7"/>
        <color theme="0"/>
        <rFont val="Calibri"/>
        <family val="2"/>
      </rPr>
      <t>ncome per Unit)</t>
    </r>
  </si>
  <si>
    <t>المصاريف التشغيلية
(Operating Expenses)</t>
  </si>
  <si>
    <t>الصيانة و الإهلاك
(Maintenance and Depreciation)</t>
  </si>
  <si>
    <t>التكاليف الأخرى
(Other Cost)</t>
  </si>
  <si>
    <t>الإجمالي بعد خصم البنود السابقة
(Total after deducting the previous items)</t>
  </si>
  <si>
    <t>تكاليف الإدارة
(Management Costs)</t>
  </si>
  <si>
    <t>اجمالي تكاليف الصيانة و التشغيل
(Total M&amp;O Costs)</t>
  </si>
  <si>
    <t>إجمالي نسبة المصاريف التشغيلية
(OPEX)</t>
  </si>
  <si>
    <t>الإطار الزمني (بالسنوات) - Time frame (Years)</t>
  </si>
  <si>
    <t>المجموع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</si>
  <si>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</si>
  <si>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</si>
  <si>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</si>
  <si>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</si>
  <si>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</si>
  <si>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</si>
  <si>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</si>
  <si>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</si>
  <si>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</si>
  <si>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</si>
  <si>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</si>
  <si>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</si>
  <si>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</si>
  <si>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</si>
  <si>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</si>
  <si>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</si>
  <si>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</si>
  <si>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</si>
  <si>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</si>
  <si>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</si>
  <si>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</si>
  <si>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</si>
  <si>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</si>
  <si>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</si>
  <si>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أصل التمويل 
(Principal)</t>
  </si>
  <si>
    <t>سداد أصل التمويل
 (Principal Repayment)</t>
  </si>
  <si>
    <t>رسوم الصندوق
 (Fund costs)</t>
  </si>
  <si>
    <t>البيع المباشر
(Direct Sale)</t>
  </si>
  <si>
    <t>المخارجة 
(Buyout)</t>
  </si>
  <si>
    <t>تكاليف مسطحات البناء
(Construction Costs)</t>
  </si>
  <si>
    <t>التدفقات النقدية الداخلة - (Cash Inflows)</t>
  </si>
  <si>
    <t>الإطار الزمني - Time frame</t>
  </si>
  <si>
    <t>القيمة الإجمالية
(Total Value)</t>
  </si>
  <si>
    <t>إجمالي إيرادات التأجير اليومي
(Total Daily Rental Revenue)</t>
  </si>
  <si>
    <t xml:space="preserve">المخارجة 
(Buyout) </t>
  </si>
  <si>
    <t>التدفقات النقدية الخارجة - (Cash Outflows)</t>
  </si>
  <si>
    <t>رسوم ترتيب التمويل 
(Arrangement Fee)</t>
  </si>
  <si>
    <t>تكلفة الأرض
 (Land Cost)</t>
  </si>
  <si>
    <t>تكاليف مسطحات البناء 
(Construction Costs)</t>
  </si>
  <si>
    <t>التسوير 
 (Fence - surrounding the land)</t>
  </si>
  <si>
    <t>الرخصة
 (License)</t>
  </si>
  <si>
    <t>التصميم
 (Design)</t>
  </si>
  <si>
    <t>أثاث الوحدات الفندقية 
 (Apartment furniture)</t>
  </si>
  <si>
    <t>أثاث الوحدات 
 (Apartment furniture)</t>
  </si>
  <si>
    <t>رسوم كهرباء 
 (Electricity fees)</t>
  </si>
  <si>
    <t>رسوم وافي
(Wafi Fees)</t>
  </si>
  <si>
    <t>تكاليف التشغيل والصيانة الخاصة بالإجار
(O&amp;M Costs for Leasing)</t>
  </si>
  <si>
    <t>رسوم الصندوق
 (Fund fees)</t>
  </si>
  <si>
    <t>التكاليف الأخرى للصندوق
(Other Fund Costs)</t>
  </si>
  <si>
    <t>تكاليف المطور 
(Developer costs)</t>
  </si>
  <si>
    <t xml:space="preserve"> صافي التدفق النقدي
(Net cash flow)</t>
  </si>
  <si>
    <t>إجمالي الإرادات
(Total Revenue)</t>
  </si>
  <si>
    <t>المؤشرات المالية | Financial Indicators</t>
  </si>
  <si>
    <r>
      <t xml:space="preserve">  العائد على الملكية السنوي
</t>
    </r>
    <r>
      <rPr>
        <sz val="8"/>
        <color rgb="FFC65911"/>
        <rFont val="Calibri"/>
        <family val="2"/>
      </rPr>
      <t>(ROE Annually)</t>
    </r>
  </si>
  <si>
    <t>متشائم
(Pessimistic)</t>
  </si>
  <si>
    <t>منخفض
(Low)</t>
  </si>
  <si>
    <t>متوسط
(Normal)</t>
  </si>
  <si>
    <t>متفائل 
(Optimistic)</t>
  </si>
  <si>
    <t>متفائل جداً 
(Very optimistic)</t>
  </si>
  <si>
    <t>جدول التسهيلات المصرفية | Bank Facilities Table</t>
  </si>
  <si>
    <t>الإطار الزمني
(Time frame)</t>
  </si>
  <si>
    <t>إجمالي مبلغ التمويل</t>
  </si>
  <si>
    <t>إجمالي الفوائد</t>
  </si>
  <si>
    <t>البيع على  الخارطة | Off-Plan Sale</t>
  </si>
  <si>
    <t>عدد الوحدات المباعة خلال الفترة 
 (Number of Units Sold During the Period)</t>
  </si>
  <si>
    <t>إجمالي تكاليف مسطحات البناء
(Total Construction Costs)</t>
  </si>
  <si>
    <t>نسب الإنجاز - ربع سنوي 
 (Progress Percentage Quarterly)</t>
  </si>
  <si>
    <t>نسبة الإنجاز التراكمية 
 (Cumulative Progress Percentage)</t>
  </si>
  <si>
    <t>إجمالي قيمة أستقطاع الضمان
(Total Retention Guarantee Amount)</t>
  </si>
  <si>
    <t>صافي القيمة بعد استقطاع البنود بالأعلى 
 (Net Value After Deducting the Above Items)</t>
  </si>
  <si>
    <t>حساب الضمان
(Escrow Account)</t>
  </si>
  <si>
    <t>دفعات مراحل الإنجاز
(Milestone Payments)</t>
  </si>
  <si>
    <t>إجمالي قيمة أستقطاع الضمان</t>
  </si>
  <si>
    <t>ملخص البيع على الخارطة | Off-Plan Sale Summary</t>
  </si>
  <si>
    <t>عدد الوحدات المباعة
(Number of Units Sold)</t>
  </si>
  <si>
    <t>متوسط سعر بيع الوحدة
(Average Units Sales Value)</t>
  </si>
  <si>
    <t>إجمالي قيمة رسوم وافي
(Total Wafi Fees)</t>
  </si>
  <si>
    <t xml:space="preserve"> التمويل البنكي - (Bank Financing)</t>
  </si>
  <si>
    <t xml:space="preserve">العائد على الإستثمار - (ROI)  </t>
  </si>
  <si>
    <t xml:space="preserve">العائد على الملكية - (ROE) </t>
  </si>
  <si>
    <t xml:space="preserve"> الإشتراك العيني من مالك الأرض - (In-Kind Subscription from Landowner)</t>
  </si>
  <si>
    <t>مصادر أخرى - (Other Sources)</t>
  </si>
  <si>
    <t>الإجمالي - (Total)</t>
  </si>
  <si>
    <r>
      <t>إجمالي الربح التشغيلي
(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O</t>
    </r>
    <r>
      <rPr>
        <sz val="8"/>
        <color theme="0"/>
        <rFont val="Calibri"/>
        <family val="2"/>
      </rPr>
      <t xml:space="preserve">perating </t>
    </r>
    <r>
      <rPr>
        <sz val="8"/>
        <color theme="5" tint="0.59999389629810485"/>
        <rFont val="Calibri"/>
        <family val="2"/>
      </rPr>
      <t>P</t>
    </r>
    <r>
      <rPr>
        <sz val="8"/>
        <color theme="0"/>
        <rFont val="Calibri"/>
        <family val="2"/>
      </rPr>
      <t>rofit)</t>
    </r>
  </si>
  <si>
    <r>
      <t>إجمالي الربح التشغيلي
(</t>
    </r>
    <r>
      <rPr>
        <sz val="7"/>
        <color theme="5" tint="0.59999389629810485"/>
        <rFont val="Calibri"/>
        <family val="2"/>
      </rPr>
      <t>G</t>
    </r>
    <r>
      <rPr>
        <sz val="7"/>
        <color theme="0"/>
        <rFont val="Calibri"/>
        <family val="2"/>
      </rPr>
      <t xml:space="preserve">ross </t>
    </r>
    <r>
      <rPr>
        <sz val="7"/>
        <color theme="5" tint="0.59999389629810485"/>
        <rFont val="Calibri"/>
        <family val="2"/>
      </rPr>
      <t>O</t>
    </r>
    <r>
      <rPr>
        <sz val="7"/>
        <color theme="0"/>
        <rFont val="Calibri"/>
        <family val="2"/>
      </rPr>
      <t xml:space="preserve">perating </t>
    </r>
    <r>
      <rPr>
        <sz val="7"/>
        <color theme="5" tint="0.59999389629810485"/>
        <rFont val="Calibri"/>
        <family val="2"/>
      </rPr>
      <t>P</t>
    </r>
    <r>
      <rPr>
        <sz val="7"/>
        <color theme="0"/>
        <rFont val="Calibri"/>
        <family val="2"/>
      </rPr>
      <t>rofit)</t>
    </r>
  </si>
  <si>
    <t>التأجير السنوي | Annual Leasing</t>
  </si>
  <si>
    <t xml:space="preserve"> إيرادات التأجير السنوي
 (Annual Leasing income)</t>
  </si>
  <si>
    <t>إيرادات التأجير اليومي 
(Daily leasing income)</t>
  </si>
  <si>
    <t>أصل التمويل
(Principal)</t>
  </si>
  <si>
    <t>حجم التمويل للفترة - (Principal amount for the period)</t>
  </si>
  <si>
    <t>ضريبة التصرفات العقارية
(RETT)</t>
  </si>
  <si>
    <t>السعي
(Commission)</t>
  </si>
  <si>
    <t>ضريبة السعي
(Commission tax)</t>
  </si>
  <si>
    <t>قيمة بيع الوحدات
(Units Sales Value)</t>
  </si>
  <si>
    <t>مدة المشروع المتوقعة
  (Estimated Project Duration)</t>
  </si>
  <si>
    <t>المساحات الحركية والخدمية
(Circulation &amp; Service Areas)</t>
  </si>
  <si>
    <t xml:space="preserve">SR </t>
  </si>
  <si>
    <t xml:space="preserve">Total Funding الإجمالي </t>
  </si>
  <si>
    <t>RASF Investment Co.</t>
  </si>
  <si>
    <t>شركة رصف للاستثمار</t>
  </si>
  <si>
    <t>التمويل</t>
  </si>
  <si>
    <t>مصادر أخرى</t>
  </si>
  <si>
    <t>Summary | ملخص</t>
  </si>
  <si>
    <t>Capital Structure | هيكل رأس المال</t>
  </si>
  <si>
    <t>Cost Breakdown | توزيع التكلفة</t>
  </si>
  <si>
    <t>صافي الربح - (Net Income)</t>
  </si>
  <si>
    <t xml:space="preserve"> جدول تحليل الحساسية | Sensitivity Analysis Table</t>
  </si>
  <si>
    <t>Fund Economics | اقتصاديات الصندوق</t>
  </si>
  <si>
    <t>العائد على الإستثمار
ROI</t>
  </si>
  <si>
    <t xml:space="preserve">العائد على الملكية
ROE </t>
  </si>
  <si>
    <t xml:space="preserve">العائد على الملكية سنوياَ
ROE Annualy </t>
  </si>
  <si>
    <t>العائد على الملكية سنويا - (ROE Annualy)</t>
  </si>
  <si>
    <t xml:space="preserve"> التكاليف الأخرى - ( Other costs)</t>
  </si>
  <si>
    <t xml:space="preserve"> تكاليف البناء - (Construction cost)</t>
  </si>
  <si>
    <t xml:space="preserve">(Lease-up and wholesale) - التأجير والبيع </t>
  </si>
  <si>
    <t>إجمالي تكلفة الأرض بعد الضرائب - (Tota Land Cost After TAX)</t>
  </si>
  <si>
    <t>(Commissions) - العمولة</t>
  </si>
  <si>
    <t xml:space="preserve">(Development) - التطوير </t>
  </si>
  <si>
    <t xml:space="preserve">Marketing (RASF) - التسويق </t>
  </si>
  <si>
    <t>(TotaI Fund expenses) - إجمالي تكاليف الصندوق</t>
  </si>
  <si>
    <t>التكاليف الأخرى للصندوق - (Other costs)</t>
  </si>
  <si>
    <t>Total Costs - إجمالي التكاليف</t>
  </si>
  <si>
    <t>إجمالي إيرادات التأجير السنوي - (Total Annual Rental Revenue)</t>
  </si>
  <si>
    <t>إجمالي الإيرادات - (Total Revenue)</t>
  </si>
  <si>
    <t>تجاري - (Retail)</t>
  </si>
  <si>
    <t>صحي  - (health)</t>
  </si>
  <si>
    <t>(Land Cost Before TAX) - تكلفة الأرض قبل الضرائب</t>
  </si>
  <si>
    <t>(Hard Cost - Construction) - تكلفة البناء</t>
  </si>
  <si>
    <t>Soft Costs (Fees,Consultants, Insurance, Permits, Overheads etc) - التكاليف الأخرى</t>
  </si>
  <si>
    <t>إجمالي تكاليف التمويل - (Total Financing Costs)</t>
  </si>
  <si>
    <t>المخارجة - (Buyout)</t>
  </si>
  <si>
    <t>معدل العائد الداخلي 
IRR</t>
  </si>
  <si>
    <t>Land purchase cost - base price (excl. taxes &amp; commissions) - تكلفة شراء الأرض - السعر الأساسي (باستثناء الضرائب والعمولات)</t>
  </si>
  <si>
    <t xml:space="preserve">    (Apartments) - سكني</t>
  </si>
  <si>
    <t>Units shown are SAR except where stated | الوحدات المعروضة هي بالريال سعودي باستثناء ما هو مذكور</t>
  </si>
  <si>
    <t xml:space="preserve">تكلفة الأرض قبل الضرائب
(Land Cost Before Taxes) </t>
  </si>
  <si>
    <t>إجمالي تكلفة الأرض بعد الضرائب 
 (Total Land Cost After Taxes)</t>
  </si>
  <si>
    <t>(Total project cost - including land, works, overheads and fees) - التكلفة الإجمالية للمشروع - بما في ذلك الأرض والأعمال والنفقات العامة والرسوم</t>
  </si>
  <si>
    <t>(Area) - المساحة</t>
  </si>
  <si>
    <t>(SR/m²) - ر.س/م²</t>
  </si>
  <si>
    <t>نسبة الارتفاع او الانخفاض 
 (Rate of Increase or Decrease)</t>
  </si>
  <si>
    <t>وقت البيع</t>
  </si>
  <si>
    <t>الفارق</t>
  </si>
  <si>
    <t>وقت الشراء</t>
  </si>
  <si>
    <t>مكتبي 
(Office)</t>
  </si>
  <si>
    <t>مكتبي - (Office)</t>
  </si>
  <si>
    <t>نمو قيمة الأرض - Land Value Uplift</t>
  </si>
  <si>
    <t xml:space="preserve"> التفاصيل الفنية و المالية لجميع للمكونات | Technical and Financial Details For All Components</t>
  </si>
  <si>
    <t xml:space="preserve">NSA.m² : Net Sellable Area|TDA.m² : Total Development Area|LA.m² : Total Land Area 
 NSA.m² | المساحات الصافية القابلة للبيع | TDA.m² : إجمالي المساحة التطويرية | LA.m² : مساحة الأرض الإجمالية </t>
  </si>
  <si>
    <t>نسبة فوائد التمويل السنوية
 (Annual Interest)</t>
  </si>
  <si>
    <t>نسبة فوائد التمويل الربع السنوية
 (QER)</t>
  </si>
  <si>
    <t>حجم التمويل للفترة 
 (Principal amount for the period)</t>
  </si>
  <si>
    <t>أصل التمويل 
 (Principal)</t>
  </si>
  <si>
    <t>فوائد التمويل 
(Interest)</t>
  </si>
  <si>
    <t xml:space="preserve">فوائد التمويل + رسوم ترتيب التمويل 
(Arrangement Fee + Interest) </t>
  </si>
  <si>
    <t>رسوم وافي 
 (Wafi fees)</t>
  </si>
  <si>
    <t>التسويق المبيعات والتأجير
 (Sales and Leasing Marketing)</t>
  </si>
  <si>
    <t>تسويق البيع على الخارطة
 (Off-Plan Sales Marketing)</t>
  </si>
  <si>
    <t>ضريبة التصرفات العقارية + السعي + ضريبة السعي 
-
(RETT + Commission + Commission tax)</t>
  </si>
  <si>
    <t>متوسط السعر اليومي للغرفة المشغولة
 (شامل الضريبة وتكاليف التسويق)
-
Gross ADR 
(With VAT &amp; Marketing Costs)</t>
  </si>
  <si>
    <t>إزالة رموز الخطاء من القسمة</t>
  </si>
  <si>
    <t>المجموع بناء على التدفقات النقدية
(Total Based on Cash Flows)</t>
  </si>
  <si>
    <t>صافي المبيعات على الخارطة 
 (Net Off-Plan Sales)</t>
  </si>
  <si>
    <t>قيمة أستقطاع الضمان 
(Retention Guarantee Amount)</t>
  </si>
  <si>
    <t>صافي المبيعات على الخارطة قبل استرداد قيمة الضمان 
 (Net Off-Plan Sales before Guarantee Refund Recovery)</t>
  </si>
  <si>
    <t>اجمالي المبيعات
(Total Sales)</t>
  </si>
  <si>
    <t>تسويق المبيعات والتأجير
 (Sales and Leasing Marketing)</t>
  </si>
  <si>
    <t>.</t>
  </si>
  <si>
    <t>مدة المشروع المتوقعة - سنوي
  (Estimated Project Duration - Years)</t>
  </si>
  <si>
    <t>النسب المئوية للتدفقات النقدية
(Percentage Breakdown of Cash Flows)</t>
  </si>
  <si>
    <t>جـــــــــدول تفاصيل التدفـــــــــــــقات النقديــــــــــــــــــــــــة | Cash Flow Details</t>
  </si>
  <si>
    <t>إجمالي إيرادات البيع على الخارطة
(Total Off-Plan Sales Revenue)</t>
  </si>
  <si>
    <t>إجمالي دفعات مراحل الإنجاز
(Total Milestone Payments)</t>
  </si>
  <si>
    <t>تكاليف المحاسب القانوني المعتمد
(Certified Accountant Fees)</t>
  </si>
  <si>
    <t>أتعاب المكتب الاستشاري الهندسي
(Engineering Supervision Fees)</t>
  </si>
  <si>
    <t>أتعاب المحاسب القانوني والاستشاري الهندسي
(Certified Accountant &amp; Engineering Supervision Fees)</t>
  </si>
  <si>
    <t>الملكية</t>
  </si>
  <si>
    <t>اشتراكات نقدية من مالك الأرض</t>
  </si>
  <si>
    <t>SR/TDA.m²</t>
  </si>
  <si>
    <t>0</t>
  </si>
  <si>
    <t>0.00%</t>
  </si>
  <si>
    <t>السدحان 2025-04-20</t>
  </si>
  <si>
    <t>الموقع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</si>
</sst>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43" formatCode="_(* #,##0.00_);_(* \(#,##0.00\);_(* &quot;-&quot;??_);_(@_)"/>
    <numFmt numFmtId="164" formatCode="0%&quot; نسبة الأشتراك العيني من المطور&quot;"/>
    <numFmt numFmtId="165" formatCode="0%\ &quot;نسبة الأشتراك العيني من مالك الأرض&quot;"/>
    <numFmt numFmtId="166" formatCode="#,##0.0"/>
    <numFmt numFmtId="167" formatCode="#,##0&quot; m²&quot;"/>
    <numFmt numFmtId="168" formatCode="0%\ &quot;نسبة التحمل&quot;"/>
    <numFmt numFmtId="169" formatCode="#,##0.00_ ;[Red]\-#,##0.00\ "/>
    <numFmt numFmtId="170" formatCode="0.00%\ &quot;متوسط العوائد للمكونات&quot;"/>
    <numFmt numFmtId="171" formatCode="#,##0.000000000000000000000000000000000000000"/>
    <numFmt numFmtId="172" formatCode="#,##0\ &quot;إجمالي تكاليف البناء&quot;"/>
    <numFmt numFmtId="173" formatCode="#,##0_ ;[Red]\-#,##0\ "/>
    <numFmt numFmtId="174" formatCode="0.0%"/>
    <numFmt numFmtId="175" formatCode="0.00%\ &quot;نسبة رسوم المطور&quot;"/>
    <numFmt numFmtId="176" formatCode="0.00%\ &quot;رسوم الصندوق (سنوي)&quot;"/>
    <numFmt numFmtId="177" formatCode="0.00%\ &quot;إجمالي نسبة رسوم الصندوق&quot;"/>
    <numFmt numFmtId="178" formatCode="#,##0.00\ &quot;الفترة الزمنية للتمويل (سنوي)&quot;"/>
    <numFmt numFmtId="179" formatCode="0.00%\ &quot;المتوسط&quot;"/>
    <numFmt numFmtId="180" formatCode="0%\ &quot; نسبة تكاليف الصيانة السنوية&quot;"/>
    <numFmt numFmtId="181" formatCode="#,##0\ &quot;المتبقي من الحد الأعلى للتمويل&quot;"/>
    <numFmt numFmtId="182" formatCode="0.00%\ &quot;(Low) منخفض&quot;"/>
    <numFmt numFmtId="183" formatCode="#,##0\ \ &quot;عدد الوحدات المتبقية&quot;"/>
    <numFmt numFmtId="184" formatCode="#,##0\ &quot;بيع الخارطة&quot;"/>
    <numFmt numFmtId="185" formatCode="&quot;Avg&quot;\ #,##0"/>
    <numFmt numFmtId="186" formatCode="&quot;Avg&quot;\ #,##0&quot; m²&quot;"/>
    <numFmt numFmtId="187" formatCode="&quot;Avg&quot;\ 0%"/>
    <numFmt numFmtId="188" formatCode="&quot;Avg&quot;\ 0.00%"/>
    <numFmt numFmtId="189" formatCode="#,##0\ \ &quot;إجمالي قيمة الصيانة السنوية&quot;"/>
    <numFmt numFmtId="190" formatCode="#,##0\ &quot;N.sqm  &quot;"/>
    <numFmt numFmtId="191" formatCode="#,##0\ &quot;/N.sqm  &quot;"/>
    <numFmt numFmtId="192" formatCode="\ &quot;Investment Duration&quot;\ 0.0\ &quot;yrs&quot;"/>
    <numFmt numFmtId="193" formatCode="0\ \م\خ\ل\ص"/>
    <numFmt numFmtId="194" formatCode="0.00%\ &quot;(Developer costs) - تكاليف المطور &quot;"/>
    <numFmt numFmtId="195" formatCode="0.00%\ &quot;(Interest) -  فوائد التمويل&quot;"/>
    <numFmt numFmtId="196" formatCode="0.00%\ &quot;(Arrangement Fee) -  رسوم ترتيب التمويل&quot;"/>
    <numFmt numFmtId="197" formatCode="0.00%\ &quot;(Annual Fund fees) -  رسوم الصندوق السنوية&quot;"/>
    <numFmt numFmtId="198" formatCode="#,##0\ &quot;NSA.m²&quot;"/>
    <numFmt numFmtId="199" formatCode="#,##0\ &quot; LA.m²&quot;"/>
    <numFmt numFmtId="200" formatCode="#,##0\ &quot;TDA.m²&quot;"/>
    <numFmt numFmtId="201" formatCode="#,##0\ &quot;/ LA.m²&quot;"/>
    <numFmt numFmtId="202" formatCode="#,##0\ &quot;/ TDA.m²&quot;"/>
    <numFmt numFmtId="203" formatCode="#,##0\ &quot; / NSA.m²&quot;"/>
    <numFmt numFmtId="204" formatCode="#,##0\ &quot;صافي المبيعات على الخارطة بعد استرداد قيمة الضمان&quot;"/>
    <numFmt numFmtId="205" formatCode="0.00000000000000000%"/>
    <numFmt numFmtId="206" formatCode="0.00000000000000000000000000000000000000000000000000%"/>
    <numFmt numFmtId="207" formatCode="#,##0.000000000000000000000000000000000000000000000000000000000000000000000000000000000000000000000000000000000000000"/>
    <numFmt numFmtId="208" formatCode="0.00%\ &quot;نسبة الرسوم&quot;"/>
    <numFmt numFmtId="209" formatCode="0.000%"/>
  </numFmts>
  <fonts count="5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color theme="1"/>
      <name val="Calibri"/>
      <family val="2"/>
    </font>
    <font>
      <sz val="6"/>
      <color theme="1"/>
      <name val="Calibri"/>
      <family val="2"/>
    </font>
    <font>
      <sz val="6"/>
      <color theme="0"/>
      <name val="Calibri"/>
      <family val="2"/>
    </font>
    <font>
      <sz val="7"/>
      <color theme="1"/>
      <name val="Calibri"/>
      <family val="2"/>
    </font>
    <font>
      <sz val="10"/>
      <color theme="0"/>
      <name val="Calibri"/>
      <family val="2"/>
    </font>
    <font>
      <sz val="8"/>
      <color theme="0"/>
      <name val="Calibri"/>
      <family val="2"/>
    </font>
    <font>
      <sz val="8"/>
      <color rgb="FFD60000"/>
      <name val="Calibri"/>
      <family val="2"/>
    </font>
    <font>
      <sz val="8"/>
      <color theme="5" tint="-0.249977111117893"/>
      <name val="Calibri"/>
      <family val="2"/>
    </font>
    <font>
      <sz val="7"/>
      <color theme="0" tint="-4.9989318521683403E-2"/>
      <name val="Calibri"/>
      <family val="2"/>
    </font>
    <font>
      <sz val="8"/>
      <color theme="5" tint="-0.24994659260841701"/>
      <name val="Calibri"/>
      <family val="2"/>
    </font>
    <font>
      <sz val="8"/>
      <name val="Calibri"/>
      <family val="2"/>
    </font>
    <font>
      <sz val="8"/>
      <color theme="5" tint="0.59999389629810485"/>
      <name val="Calibri"/>
      <family val="2"/>
    </font>
    <font>
      <sz val="7"/>
      <name val="Calibri"/>
      <family val="2"/>
    </font>
    <font>
      <sz val="6"/>
      <name val="Calibri"/>
      <family val="2"/>
    </font>
    <font>
      <sz val="8"/>
      <color rgb="FFFF0000"/>
      <name val="Calibri"/>
      <family val="2"/>
    </font>
    <font>
      <sz val="8"/>
      <color rgb="FF00B050"/>
      <name val="Calibri"/>
      <family val="2"/>
    </font>
    <font>
      <sz val="7"/>
      <color theme="0" tint="-0.14999847407452621"/>
      <name val="Calibri"/>
      <family val="2"/>
    </font>
    <font>
      <sz val="7"/>
      <color theme="0"/>
      <name val="Calibri"/>
      <family val="2"/>
    </font>
    <font>
      <sz val="7"/>
      <color theme="5" tint="0.59999389629810485"/>
      <name val="Calibri"/>
      <family val="2"/>
    </font>
    <font>
      <sz val="11"/>
      <name val="Calibri"/>
      <family val="2"/>
    </font>
    <font>
      <sz val="6"/>
      <color rgb="FFD5D5D5"/>
      <name val="Calibri"/>
      <family val="2"/>
    </font>
    <font>
      <sz val="8"/>
      <color rgb="FFC65911"/>
      <name val="Calibri"/>
      <family val="2"/>
    </font>
    <font>
      <sz val="7"/>
      <color theme="0" tint="-0.249977111117893"/>
      <name val="Calibri"/>
      <family val="2"/>
    </font>
    <font>
      <sz val="8"/>
      <color rgb="FF0C2340"/>
      <name val="Calibri"/>
      <family val="2"/>
    </font>
    <font>
      <sz val="5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sz val="12"/>
      <name val="Calibri"/>
      <family val="2"/>
    </font>
    <font>
      <sz val="14"/>
      <color theme="0"/>
      <name val="Calibri"/>
      <family val="2"/>
    </font>
    <font>
      <sz val="14"/>
      <color rgb="FF7F7F7F"/>
      <name val="Calibri"/>
      <family val="2"/>
    </font>
    <font>
      <b/>
      <sz val="14"/>
      <color rgb="FFA37953"/>
      <name val="Calibri"/>
      <family val="2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rgb="FFC00000"/>
      <name val="Calibri"/>
      <family val="2"/>
    </font>
    <font>
      <sz val="14"/>
      <color theme="9" tint="-0.249977111117893"/>
      <name val="Calibri"/>
      <family val="2"/>
    </font>
    <font>
      <sz val="16"/>
      <color theme="1"/>
      <name val="Calibri"/>
      <family val="2"/>
    </font>
    <font>
      <b/>
      <sz val="16"/>
      <color theme="0"/>
      <name val="Calibri"/>
      <family val="2"/>
    </font>
    <font>
      <b/>
      <sz val="16"/>
      <color rgb="FF7F7F7F"/>
      <name val="Calibri"/>
      <family val="2"/>
    </font>
    <font>
      <sz val="16"/>
      <color rgb="FF7F7F7F"/>
      <name val="Calibri"/>
      <family val="2"/>
    </font>
    <font>
      <sz val="16"/>
      <color theme="0"/>
      <name val="Calibri"/>
      <family val="2"/>
    </font>
    <font>
      <vertAlign val="subscript"/>
      <sz val="16"/>
      <color theme="1"/>
      <name val="Calibri"/>
      <family val="2"/>
    </font>
    <font>
      <sz val="14"/>
      <color rgb="FFFF0000"/>
      <name val="Calibri"/>
      <family val="2"/>
    </font>
    <font>
      <sz val="8"/>
      <color theme="0" tint="-0.14999847407452621"/>
      <name val="Calibri"/>
      <family val="2"/>
    </font>
    <font>
      <sz val="6"/>
      <color theme="0" tint="-0.14999847407452621"/>
      <name val="Calibri"/>
      <family val="2"/>
    </font>
    <font>
      <sz val="7"/>
      <color rgb="FF00B050"/>
      <name val="Calibri"/>
      <family val="2"/>
    </font>
    <font>
      <sz val="8"/>
      <color theme="9" tint="-0.249977111117893"/>
      <name val="Calibri"/>
      <family val="2"/>
    </font>
    <font>
      <sz val="7"/>
      <color theme="9" tint="-0.249977111117893"/>
      <name val="Calibri"/>
      <family val="2"/>
    </font>
    <font>
      <sz val="7"/>
      <color rgb="FFFF0000"/>
      <name val="Calibri"/>
      <family val="2"/>
    </font>
    <font>
      <sz val="12"/>
      <color theme="0"/>
      <name val="Calibri"/>
      <family val="2"/>
    </font>
    <font>
      <sz val="8"/>
      <name val="Arial"/>
      <family val="2"/>
      <scheme val="minor"/>
    </font>
    <font>
      <sz val="8"/>
      <color rgb="FFF0E8E3"/>
      <name val="Calibri"/>
      <family val="2"/>
    </font>
    <font>
      <u/>
      <sz val="11"/>
      <color theme="1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A4907E"/>
        <bgColor indexed="64"/>
      </patternFill>
    </fill>
    <fill>
      <patternFill patternType="solid">
        <fgColor rgb="FFF0EAE4"/>
        <bgColor indexed="64"/>
      </patternFill>
    </fill>
    <fill>
      <patternFill patternType="solid">
        <fgColor rgb="FFEDE4D6"/>
        <bgColor indexed="64"/>
      </patternFill>
    </fill>
    <fill>
      <patternFill patternType="solid">
        <fgColor rgb="FFAC9A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rgb="FFA4907E"/>
        <bgColor rgb="FFCDB49E"/>
      </patternFill>
    </fill>
    <fill>
      <patternFill patternType="solid">
        <fgColor rgb="FFC00000"/>
        <bgColor indexed="64"/>
      </patternFill>
    </fill>
  </fills>
  <borders count="53">
    <border>
      <left/>
      <right/>
      <top/>
      <bottom/>
      <diagonal/>
    </border>
    <border>
      <left style="medium">
        <color rgb="FFDAD2CC"/>
      </left>
      <right style="thin">
        <color rgb="FFDAD2CC"/>
      </right>
      <top style="medium">
        <color rgb="FFDAD2CC"/>
      </top>
      <bottom style="thin">
        <color rgb="FFDAD2CC"/>
      </bottom>
      <diagonal/>
    </border>
    <border>
      <left style="thin">
        <color rgb="FFDAD2CC"/>
      </left>
      <right style="thin">
        <color rgb="FFDAD2CC"/>
      </right>
      <top style="medium">
        <color rgb="FFDAD2CC"/>
      </top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 style="medium">
        <color rgb="FFDAD2CC"/>
      </top>
      <bottom style="thin">
        <color rgb="FFDAD2CC"/>
      </bottom>
      <diagonal/>
    </border>
    <border>
      <left style="medium">
        <color rgb="FFDAD2CC"/>
      </left>
      <right style="thin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thin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 style="thin">
        <color rgb="FFDAD2CC"/>
      </top>
      <bottom style="thin">
        <color rgb="FFDAD2CC"/>
      </bottom>
      <diagonal/>
    </border>
    <border>
      <left style="medium">
        <color rgb="FFDAD2CC"/>
      </left>
      <right style="thin">
        <color rgb="FFDAD2CC"/>
      </right>
      <top style="thin">
        <color rgb="FFDAD2CC"/>
      </top>
      <bottom style="medium">
        <color rgb="FFDAD2CC"/>
      </bottom>
      <diagonal/>
    </border>
    <border>
      <left style="thin">
        <color rgb="FFDAD2CC"/>
      </left>
      <right style="thin">
        <color rgb="FFDAD2CC"/>
      </right>
      <top style="thin">
        <color rgb="FFDAD2CC"/>
      </top>
      <bottom style="medium">
        <color rgb="FFDAD2CC"/>
      </bottom>
      <diagonal/>
    </border>
    <border>
      <left style="thin">
        <color rgb="FFDAD2CC"/>
      </left>
      <right style="medium">
        <color rgb="FFDAD2CC"/>
      </right>
      <top style="thin">
        <color rgb="FFDAD2CC"/>
      </top>
      <bottom style="medium">
        <color rgb="FFDAD2CC"/>
      </bottom>
      <diagonal/>
    </border>
    <border>
      <left style="medium">
        <color rgb="FFDAD2CC"/>
      </left>
      <right style="medium">
        <color rgb="FFDAD2CC"/>
      </right>
      <top style="medium">
        <color rgb="FFDAD2CC"/>
      </top>
      <bottom style="medium">
        <color rgb="FFDAD2CC"/>
      </bottom>
      <diagonal/>
    </border>
    <border>
      <left style="medium">
        <color rgb="FFDAD2CC"/>
      </left>
      <right style="thin">
        <color rgb="FFDAD2CC"/>
      </right>
      <top style="medium">
        <color rgb="FFDAD2CC"/>
      </top>
      <bottom style="medium">
        <color rgb="FFDAD2CC"/>
      </bottom>
      <diagonal/>
    </border>
    <border>
      <left style="thin">
        <color rgb="FFDAD2CC"/>
      </left>
      <right style="thin">
        <color rgb="FFDAD2CC"/>
      </right>
      <top style="medium">
        <color rgb="FFDAD2CC"/>
      </top>
      <bottom style="medium">
        <color rgb="FFDAD2CC"/>
      </bottom>
      <diagonal/>
    </border>
    <border>
      <left style="thin">
        <color rgb="FFDAD2CC"/>
      </left>
      <right style="medium">
        <color rgb="FFDAD2CC"/>
      </right>
      <top style="medium">
        <color rgb="FFDAD2CC"/>
      </top>
      <bottom style="medium">
        <color rgb="FFDAD2CC"/>
      </bottom>
      <diagonal/>
    </border>
    <border>
      <left style="medium">
        <color rgb="FFDAD2CC"/>
      </left>
      <right style="medium">
        <color rgb="FFDAD2CC"/>
      </right>
      <top style="medium">
        <color rgb="FFDAD2CC"/>
      </top>
      <bottom style="thin">
        <color rgb="FFDAD2CC"/>
      </bottom>
      <diagonal/>
    </border>
    <border>
      <left style="medium">
        <color rgb="FFDAD2CC"/>
      </left>
      <right style="medium">
        <color rgb="FFDAD2CC"/>
      </right>
      <top style="thin">
        <color rgb="FFDAD2CC"/>
      </top>
      <bottom style="medium">
        <color rgb="FFDAD2CC"/>
      </bottom>
      <diagonal/>
    </border>
    <border>
      <left/>
      <right/>
      <top style="medium">
        <color rgb="FFDAD2CC"/>
      </top>
      <bottom/>
      <diagonal/>
    </border>
    <border>
      <left style="thin">
        <color rgb="FFDAD2CC"/>
      </left>
      <right style="thin">
        <color rgb="FFDAD2CC"/>
      </right>
      <top style="thin">
        <color rgb="FFDAD2CC"/>
      </top>
      <bottom/>
      <diagonal/>
    </border>
    <border>
      <left style="medium">
        <color rgb="FFDAD2CC"/>
      </left>
      <right style="medium">
        <color rgb="FFDAD2CC"/>
      </right>
      <top style="thin">
        <color rgb="FFDAD2CC"/>
      </top>
      <bottom style="thin">
        <color rgb="FFDAD2CC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7F7F7F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DAD2CC"/>
      </left>
      <right style="thin">
        <color rgb="FFDAD2CC"/>
      </right>
      <top/>
      <bottom style="thin">
        <color rgb="FFDAD2CC"/>
      </bottom>
      <diagonal/>
    </border>
    <border>
      <left/>
      <right/>
      <top/>
      <bottom style="medium">
        <color rgb="FFDAD2CC"/>
      </bottom>
      <diagonal/>
    </border>
    <border>
      <left style="medium">
        <color rgb="FFDAD2CC"/>
      </left>
      <right style="thin">
        <color rgb="FFDAD2CC"/>
      </right>
      <top style="thin">
        <color rgb="FFDAD2CC"/>
      </top>
      <bottom/>
      <diagonal/>
    </border>
    <border>
      <left style="thin">
        <color rgb="FFDAD2CC"/>
      </left>
      <right style="medium">
        <color rgb="FFDAD2CC"/>
      </right>
      <top style="thin">
        <color rgb="FFDAD2CC"/>
      </top>
      <bottom/>
      <diagonal/>
    </border>
    <border>
      <left style="medium">
        <color rgb="FFDAD2CC"/>
      </left>
      <right style="thin">
        <color rgb="FFDAD2CC"/>
      </right>
      <top/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/>
      <bottom style="thin">
        <color rgb="FFDAD2CC"/>
      </bottom>
      <diagonal/>
    </border>
    <border>
      <left/>
      <right style="medium">
        <color rgb="FFDAD2CC"/>
      </right>
      <top style="medium">
        <color rgb="FFDAD2CC"/>
      </top>
      <bottom/>
      <diagonal/>
    </border>
    <border>
      <left/>
      <right style="medium">
        <color rgb="FFDAD2CC"/>
      </right>
      <top/>
      <bottom style="medium">
        <color rgb="FFDAD2CC"/>
      </bottom>
      <diagonal/>
    </border>
    <border>
      <left style="thin">
        <color rgb="FFDAD2CC"/>
      </left>
      <right/>
      <top style="thin">
        <color rgb="FFDAD2CC"/>
      </top>
      <bottom style="medium">
        <color rgb="FFDAD2CC"/>
      </bottom>
      <diagonal/>
    </border>
    <border>
      <left/>
      <right style="medium">
        <color rgb="FFDAD2CC"/>
      </right>
      <top/>
      <bottom/>
      <diagonal/>
    </border>
    <border>
      <left style="thin">
        <color rgb="FFDAD2CC"/>
      </left>
      <right/>
      <top style="thin">
        <color rgb="FFDAD2CC"/>
      </top>
      <bottom style="thin">
        <color rgb="FFDAD2CC"/>
      </bottom>
      <diagonal/>
    </border>
    <border>
      <left/>
      <right style="thin">
        <color rgb="FFDAD2CC"/>
      </right>
      <top style="thin">
        <color rgb="FFDAD2CC"/>
      </top>
      <bottom/>
      <diagonal/>
    </border>
    <border>
      <left/>
      <right style="thin">
        <color rgb="FFDAD2CC"/>
      </right>
      <top/>
      <bottom style="thin">
        <color rgb="FFDAD2CC"/>
      </bottom>
      <diagonal/>
    </border>
    <border>
      <left/>
      <right style="thin">
        <color rgb="FFDAD2CC"/>
      </right>
      <top style="thin">
        <color rgb="FFDAD2CC"/>
      </top>
      <bottom style="thin">
        <color rgb="FFDAD2CC"/>
      </bottom>
      <diagonal/>
    </border>
    <border>
      <left/>
      <right style="thin">
        <color rgb="FFDAD2CC"/>
      </right>
      <top style="thin">
        <color rgb="FFDAD2CC"/>
      </top>
      <bottom style="medium">
        <color rgb="FFDAD2CC"/>
      </bottom>
      <diagonal/>
    </border>
    <border>
      <left style="medium">
        <color rgb="FFDAD2CC"/>
      </left>
      <right style="medium">
        <color rgb="FFDAD2CC"/>
      </right>
      <top/>
      <bottom/>
      <diagonal/>
    </border>
    <border>
      <left style="medium">
        <color rgb="FFDAD2CC"/>
      </left>
      <right style="medium">
        <color rgb="FFDAD2CC"/>
      </right>
      <top/>
      <bottom style="medium">
        <color rgb="FFDAD2CC"/>
      </bottom>
      <diagonal/>
    </border>
    <border>
      <left style="thin">
        <color rgb="FFDAD2CC"/>
      </left>
      <right/>
      <top/>
      <bottom style="thin">
        <color rgb="FFDAD2CC"/>
      </bottom>
      <diagonal/>
    </border>
    <border>
      <left style="medium">
        <color rgb="FFDAD2CC"/>
      </left>
      <right style="medium">
        <color rgb="FFDAD2CC"/>
      </right>
      <top/>
      <bottom style="thin">
        <color rgb="FFDAD2CC"/>
      </bottom>
      <diagonal/>
    </border>
    <border>
      <left/>
      <right/>
      <top/>
      <bottom style="thin">
        <color rgb="FFDAD2CC"/>
      </bottom>
      <diagonal/>
    </border>
    <border>
      <left/>
      <right/>
      <top style="thin">
        <color rgb="FFDAD2CC"/>
      </top>
      <bottom/>
      <diagonal/>
    </border>
    <border>
      <left/>
      <right style="thin">
        <color rgb="FFDAD2CC"/>
      </right>
      <top/>
      <bottom/>
      <diagonal/>
    </border>
    <border>
      <left/>
      <right style="medium">
        <color rgb="FFDAD2CC"/>
      </right>
      <top style="thin">
        <color rgb="FFDAD2CC"/>
      </top>
      <bottom style="medium">
        <color rgb="FFDAD2CC"/>
      </bottom>
      <diagonal/>
    </border>
    <border>
      <left/>
      <right style="medium">
        <color rgb="FFDAD2CC"/>
      </right>
      <top style="thin">
        <color rgb="FFDAD2CC"/>
      </top>
      <bottom style="thin">
        <color rgb="FFDAD2CC"/>
      </bottom>
      <diagonal/>
    </border>
    <border>
      <left style="medium">
        <color rgb="FFDAD2CC"/>
      </left>
      <right/>
      <top/>
      <bottom style="thin">
        <color rgb="FFDAD2CC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5" fillId="0" borderId="0" applyNumberFormat="0" applyFill="0" applyBorder="0" applyAlignment="0" applyProtection="0"/>
  </cellStyleXfs>
  <cellXfs count="598">
    <xf numFmtId="0" fontId="0" fillId="0" borderId="0" xfId="0"/>
    <xf numFmtId="3" fontId="2" fillId="2" borderId="0" xfId="0" applyNumberFormat="1" applyFont="1" applyFill="1" applyAlignment="1">
      <alignment horizontal="center" vertical="center" wrapText="1" shrinkToFit="1"/>
    </xf>
    <xf numFmtId="3" fontId="3" fillId="0" borderId="1" xfId="0" applyNumberFormat="1" applyFont="1" applyBorder="1" applyAlignment="1">
      <alignment horizontal="center" vertical="center" wrapText="1" shrinkToFit="1"/>
    </xf>
    <xf numFmtId="3" fontId="3" fillId="0" borderId="2" xfId="0" applyNumberFormat="1" applyFont="1" applyBorder="1" applyAlignment="1">
      <alignment horizontal="center" vertical="center" wrapText="1" shrinkToFit="1"/>
    </xf>
    <xf numFmtId="3" fontId="3" fillId="0" borderId="3" xfId="0" applyNumberFormat="1" applyFont="1" applyBorder="1" applyAlignment="1">
      <alignment horizontal="center" vertical="center" wrapText="1" shrinkToFit="1"/>
    </xf>
    <xf numFmtId="3" fontId="3" fillId="0" borderId="4" xfId="0" applyNumberFormat="1" applyFont="1" applyBorder="1" applyAlignment="1">
      <alignment horizontal="center" vertical="center" wrapText="1" shrinkToFit="1"/>
    </xf>
    <xf numFmtId="3" fontId="4" fillId="2" borderId="5" xfId="0" applyNumberFormat="1" applyFont="1" applyFill="1" applyBorder="1" applyAlignment="1">
      <alignment horizontal="center" vertical="center" wrapText="1" shrinkToFit="1"/>
    </xf>
    <xf numFmtId="3" fontId="3" fillId="2" borderId="5" xfId="0" applyNumberFormat="1" applyFont="1" applyFill="1" applyBorder="1" applyAlignment="1">
      <alignment horizontal="center" vertical="center" wrapText="1" shrinkToFit="1"/>
    </xf>
    <xf numFmtId="9" fontId="3" fillId="2" borderId="6" xfId="2" applyFont="1" applyFill="1" applyBorder="1" applyAlignment="1">
      <alignment horizontal="center" vertical="center" wrapText="1" shrinkToFit="1"/>
    </xf>
    <xf numFmtId="3" fontId="3" fillId="0" borderId="5" xfId="0" applyNumberFormat="1" applyFont="1" applyBorder="1" applyAlignment="1">
      <alignment horizontal="center" vertical="center" wrapText="1" shrinkToFit="1"/>
    </xf>
    <xf numFmtId="10" fontId="3" fillId="0" borderId="5" xfId="2" applyNumberFormat="1" applyFont="1" applyFill="1" applyBorder="1" applyAlignment="1">
      <alignment horizontal="center" vertical="center" wrapText="1" shrinkToFit="1"/>
    </xf>
    <xf numFmtId="9" fontId="3" fillId="0" borderId="6" xfId="2" applyFont="1" applyFill="1" applyBorder="1" applyAlignment="1">
      <alignment horizontal="center" vertical="center" wrapText="1" shrinkToFit="1"/>
    </xf>
    <xf numFmtId="3" fontId="3" fillId="3" borderId="5" xfId="0" applyNumberFormat="1" applyFont="1" applyFill="1" applyBorder="1" applyAlignment="1">
      <alignment horizontal="center" vertical="center" wrapText="1" shrinkToFit="1"/>
    </xf>
    <xf numFmtId="9" fontId="3" fillId="3" borderId="6" xfId="2" applyFont="1" applyFill="1" applyBorder="1" applyAlignment="1">
      <alignment horizontal="center" vertical="center" wrapText="1" shrinkToFit="1"/>
    </xf>
    <xf numFmtId="3" fontId="3" fillId="4" borderId="5" xfId="0" applyNumberFormat="1" applyFont="1" applyFill="1" applyBorder="1" applyAlignment="1">
      <alignment horizontal="center" vertical="center" wrapText="1" shrinkToFit="1"/>
    </xf>
    <xf numFmtId="9" fontId="3" fillId="4" borderId="6" xfId="0" applyNumberFormat="1" applyFont="1" applyFill="1" applyBorder="1" applyAlignment="1">
      <alignment horizontal="center" vertical="center" wrapText="1" shrinkToFit="1"/>
    </xf>
    <xf numFmtId="3" fontId="3" fillId="0" borderId="7" xfId="0" applyNumberFormat="1" applyFont="1" applyBorder="1" applyAlignment="1">
      <alignment horizontal="center" vertical="center" wrapText="1" shrinkToFit="1"/>
    </xf>
    <xf numFmtId="3" fontId="3" fillId="0" borderId="8" xfId="0" applyNumberFormat="1" applyFont="1" applyBorder="1" applyAlignment="1">
      <alignment horizontal="center" vertical="center" wrapText="1" shrinkToFit="1"/>
    </xf>
    <xf numFmtId="3" fontId="2" fillId="4" borderId="5" xfId="0" applyNumberFormat="1" applyFont="1" applyFill="1" applyBorder="1" applyAlignment="1">
      <alignment horizontal="center" vertical="center" wrapText="1" shrinkToFit="1"/>
    </xf>
    <xf numFmtId="9" fontId="2" fillId="3" borderId="6" xfId="2" applyFont="1" applyFill="1" applyBorder="1" applyAlignment="1">
      <alignment horizontal="center" vertical="center" wrapText="1" shrinkToFit="1"/>
    </xf>
    <xf numFmtId="3" fontId="5" fillId="0" borderId="1" xfId="0" applyNumberFormat="1" applyFont="1" applyBorder="1" applyAlignment="1">
      <alignment horizontal="center" vertical="center" wrapText="1" shrinkToFit="1"/>
    </xf>
    <xf numFmtId="10" fontId="5" fillId="4" borderId="3" xfId="2" applyNumberFormat="1" applyFont="1" applyFill="1" applyBorder="1" applyAlignment="1">
      <alignment horizontal="center" vertical="center" wrapText="1" shrinkToFit="1"/>
    </xf>
    <xf numFmtId="10" fontId="5" fillId="4" borderId="9" xfId="2" applyNumberFormat="1" applyFont="1" applyFill="1" applyBorder="1" applyAlignment="1">
      <alignment horizontal="center" vertical="center" wrapText="1" shrinkToFit="1"/>
    </xf>
    <xf numFmtId="9" fontId="2" fillId="0" borderId="6" xfId="2" applyFont="1" applyFill="1" applyBorder="1" applyAlignment="1">
      <alignment horizontal="center" vertical="center" wrapText="1" shrinkToFit="1"/>
    </xf>
    <xf numFmtId="3" fontId="2" fillId="2" borderId="7" xfId="0" applyNumberFormat="1" applyFont="1" applyFill="1" applyBorder="1" applyAlignment="1">
      <alignment horizontal="center" vertical="center" wrapText="1" shrinkToFit="1"/>
    </xf>
    <xf numFmtId="3" fontId="12" fillId="0" borderId="4" xfId="0" applyNumberFormat="1" applyFont="1" applyBorder="1" applyAlignment="1">
      <alignment horizontal="center" vertical="center" wrapText="1" shrinkToFit="1"/>
    </xf>
    <xf numFmtId="167" fontId="12" fillId="4" borderId="5" xfId="0" applyNumberFormat="1" applyFont="1" applyFill="1" applyBorder="1" applyAlignment="1">
      <alignment horizontal="center" vertical="center" wrapText="1" shrinkToFit="1"/>
    </xf>
    <xf numFmtId="4" fontId="12" fillId="4" borderId="5" xfId="0" applyNumberFormat="1" applyFont="1" applyFill="1" applyBorder="1" applyAlignment="1">
      <alignment horizontal="center" vertical="center" wrapText="1" shrinkToFit="1"/>
    </xf>
    <xf numFmtId="3" fontId="12" fillId="3" borderId="4" xfId="0" applyNumberFormat="1" applyFont="1" applyFill="1" applyBorder="1" applyAlignment="1">
      <alignment horizontal="center" vertical="center" wrapText="1" shrinkToFit="1"/>
    </xf>
    <xf numFmtId="3" fontId="12" fillId="2" borderId="7" xfId="0" applyNumberFormat="1" applyFont="1" applyFill="1" applyBorder="1" applyAlignment="1">
      <alignment horizontal="center" vertical="center" wrapText="1" shrinkToFit="1"/>
    </xf>
    <xf numFmtId="167" fontId="12" fillId="2" borderId="8" xfId="0" applyNumberFormat="1" applyFont="1" applyFill="1" applyBorder="1" applyAlignment="1">
      <alignment horizontal="center" vertical="center" wrapText="1" shrinkToFit="1"/>
    </xf>
    <xf numFmtId="3" fontId="12" fillId="2" borderId="8" xfId="0" applyNumberFormat="1" applyFont="1" applyFill="1" applyBorder="1" applyAlignment="1">
      <alignment horizontal="center" vertical="center" wrapText="1" shrinkToFit="1"/>
    </xf>
    <xf numFmtId="4" fontId="12" fillId="2" borderId="8" xfId="0" applyNumberFormat="1" applyFont="1" applyFill="1" applyBorder="1" applyAlignment="1">
      <alignment horizontal="center" vertical="center" wrapText="1" shrinkToFit="1"/>
    </xf>
    <xf numFmtId="3" fontId="12" fillId="2" borderId="9" xfId="0" applyNumberFormat="1" applyFont="1" applyFill="1" applyBorder="1" applyAlignment="1">
      <alignment horizontal="center" vertical="center" wrapText="1" shrinkToFit="1"/>
    </xf>
    <xf numFmtId="10" fontId="5" fillId="3" borderId="1" xfId="2" applyNumberFormat="1" applyFont="1" applyFill="1" applyBorder="1" applyAlignment="1">
      <alignment horizontal="center" vertical="center" wrapText="1" shrinkToFit="1"/>
    </xf>
    <xf numFmtId="10" fontId="5" fillId="3" borderId="2" xfId="2" applyNumberFormat="1" applyFont="1" applyFill="1" applyBorder="1" applyAlignment="1">
      <alignment horizontal="center" vertical="center" wrapText="1" shrinkToFit="1"/>
    </xf>
    <xf numFmtId="10" fontId="5" fillId="3" borderId="3" xfId="2" applyNumberFormat="1" applyFont="1" applyFill="1" applyBorder="1" applyAlignment="1">
      <alignment horizontal="center" vertical="center" wrapText="1" shrinkToFit="1"/>
    </xf>
    <xf numFmtId="168" fontId="5" fillId="4" borderId="7" xfId="2" applyNumberFormat="1" applyFont="1" applyFill="1" applyBorder="1" applyAlignment="1">
      <alignment horizontal="center" vertical="center" wrapText="1" shrinkToFit="1"/>
    </xf>
    <xf numFmtId="168" fontId="5" fillId="4" borderId="8" xfId="2" applyNumberFormat="1" applyFont="1" applyFill="1" applyBorder="1" applyAlignment="1">
      <alignment horizontal="center" vertical="center" wrapText="1" shrinkToFit="1"/>
    </xf>
    <xf numFmtId="168" fontId="5" fillId="4" borderId="9" xfId="2" applyNumberFormat="1" applyFont="1" applyFill="1" applyBorder="1" applyAlignment="1">
      <alignment horizontal="center" vertical="center" wrapText="1" shrinkToFit="1"/>
    </xf>
    <xf numFmtId="169" fontId="12" fillId="4" borderId="4" xfId="0" applyNumberFormat="1" applyFont="1" applyFill="1" applyBorder="1" applyAlignment="1">
      <alignment horizontal="center" vertical="center" wrapText="1" shrinkToFit="1"/>
    </xf>
    <xf numFmtId="169" fontId="12" fillId="4" borderId="5" xfId="0" applyNumberFormat="1" applyFont="1" applyFill="1" applyBorder="1" applyAlignment="1">
      <alignment horizontal="center" vertical="center" wrapText="1" shrinkToFit="1"/>
    </xf>
    <xf numFmtId="4" fontId="12" fillId="0" borderId="5" xfId="0" applyNumberFormat="1" applyFont="1" applyBorder="1" applyAlignment="1">
      <alignment horizontal="center" vertical="center" wrapText="1" shrinkToFit="1"/>
    </xf>
    <xf numFmtId="3" fontId="7" fillId="2" borderId="4" xfId="0" applyNumberFormat="1" applyFont="1" applyFill="1" applyBorder="1" applyAlignment="1">
      <alignment horizontal="center" vertical="center" wrapText="1" shrinkToFit="1" readingOrder="1"/>
    </xf>
    <xf numFmtId="3" fontId="7" fillId="2" borderId="5" xfId="0" applyNumberFormat="1" applyFont="1" applyFill="1" applyBorder="1" applyAlignment="1">
      <alignment horizontal="center" vertical="center" wrapText="1" shrinkToFit="1" readingOrder="1"/>
    </xf>
    <xf numFmtId="4" fontId="12" fillId="4" borderId="6" xfId="0" applyNumberFormat="1" applyFont="1" applyFill="1" applyBorder="1" applyAlignment="1">
      <alignment horizontal="center" vertical="center" wrapText="1" shrinkToFit="1"/>
    </xf>
    <xf numFmtId="3" fontId="4" fillId="2" borderId="4" xfId="0" applyNumberFormat="1" applyFont="1" applyFill="1" applyBorder="1" applyAlignment="1">
      <alignment horizontal="center" vertical="center" wrapText="1" shrinkToFit="1"/>
    </xf>
    <xf numFmtId="167" fontId="12" fillId="0" borderId="4" xfId="0" applyNumberFormat="1" applyFont="1" applyBorder="1" applyAlignment="1">
      <alignment horizontal="center" vertical="center" wrapText="1" shrinkToFit="1"/>
    </xf>
    <xf numFmtId="10" fontId="2" fillId="4" borderId="5" xfId="2" applyNumberFormat="1" applyFont="1" applyFill="1" applyBorder="1" applyAlignment="1">
      <alignment horizontal="center" vertical="center" wrapText="1" shrinkToFit="1"/>
    </xf>
    <xf numFmtId="167" fontId="12" fillId="3" borderId="4" xfId="0" applyNumberFormat="1" applyFont="1" applyFill="1" applyBorder="1" applyAlignment="1">
      <alignment horizontal="center" vertical="center" wrapText="1" shrinkToFit="1"/>
    </xf>
    <xf numFmtId="10" fontId="2" fillId="4" borderId="5" xfId="0" applyNumberFormat="1" applyFont="1" applyFill="1" applyBorder="1" applyAlignment="1">
      <alignment horizontal="center" vertical="center" wrapText="1" shrinkToFit="1"/>
    </xf>
    <xf numFmtId="167" fontId="12" fillId="3" borderId="5" xfId="0" applyNumberFormat="1" applyFont="1" applyFill="1" applyBorder="1" applyAlignment="1">
      <alignment horizontal="center" vertical="center" wrapText="1" shrinkToFit="1"/>
    </xf>
    <xf numFmtId="3" fontId="16" fillId="3" borderId="5" xfId="0" applyNumberFormat="1" applyFont="1" applyFill="1" applyBorder="1" applyAlignment="1">
      <alignment horizontal="center" vertical="center" wrapText="1" shrinkToFit="1"/>
    </xf>
    <xf numFmtId="3" fontId="15" fillId="3" borderId="5" xfId="0" applyNumberFormat="1" applyFont="1" applyFill="1" applyBorder="1" applyAlignment="1">
      <alignment horizontal="center" vertical="center" wrapText="1" shrinkToFit="1"/>
    </xf>
    <xf numFmtId="3" fontId="15" fillId="0" borderId="5" xfId="0" applyNumberFormat="1" applyFont="1" applyBorder="1" applyAlignment="1">
      <alignment horizontal="center" vertical="center" wrapText="1" shrinkToFit="1"/>
    </xf>
    <xf numFmtId="167" fontId="12" fillId="2" borderId="7" xfId="0" applyNumberFormat="1" applyFont="1" applyFill="1" applyBorder="1" applyAlignment="1">
      <alignment horizontal="center" vertical="center" wrapText="1" shrinkToFit="1"/>
    </xf>
    <xf numFmtId="10" fontId="12" fillId="2" borderId="8" xfId="0" applyNumberFormat="1" applyFont="1" applyFill="1" applyBorder="1" applyAlignment="1">
      <alignment horizontal="center" vertical="center" wrapText="1" shrinkToFit="1"/>
    </xf>
    <xf numFmtId="167" fontId="2" fillId="2" borderId="8" xfId="0" applyNumberFormat="1" applyFont="1" applyFill="1" applyBorder="1" applyAlignment="1">
      <alignment horizontal="center" vertical="center" wrapText="1" shrinkToFit="1"/>
    </xf>
    <xf numFmtId="3" fontId="5" fillId="3" borderId="10" xfId="0" applyNumberFormat="1" applyFont="1" applyFill="1" applyBorder="1" applyAlignment="1">
      <alignment horizontal="center" vertical="center" wrapText="1" shrinkToFit="1"/>
    </xf>
    <xf numFmtId="3" fontId="14" fillId="3" borderId="1" xfId="0" applyNumberFormat="1" applyFont="1" applyFill="1" applyBorder="1" applyAlignment="1">
      <alignment horizontal="center" vertical="center" wrapText="1" shrinkToFit="1"/>
    </xf>
    <xf numFmtId="173" fontId="5" fillId="3" borderId="7" xfId="0" applyNumberFormat="1" applyFont="1" applyFill="1" applyBorder="1" applyAlignment="1">
      <alignment horizontal="center" vertical="center" wrapText="1" shrinkToFit="1"/>
    </xf>
    <xf numFmtId="38" fontId="14" fillId="3" borderId="9" xfId="0" applyNumberFormat="1" applyFont="1" applyFill="1" applyBorder="1" applyAlignment="1">
      <alignment horizontal="center" vertical="center" wrapText="1" shrinkToFit="1"/>
    </xf>
    <xf numFmtId="10" fontId="2" fillId="0" borderId="4" xfId="2" applyNumberFormat="1" applyFont="1" applyFill="1" applyBorder="1" applyAlignment="1">
      <alignment horizontal="center" vertical="center" wrapText="1" shrinkToFit="1"/>
    </xf>
    <xf numFmtId="10" fontId="2" fillId="3" borderId="4" xfId="0" applyNumberFormat="1" applyFont="1" applyFill="1" applyBorder="1" applyAlignment="1">
      <alignment horizontal="center" vertical="center" wrapText="1" shrinkToFit="1"/>
    </xf>
    <xf numFmtId="10" fontId="2" fillId="0" borderId="4" xfId="0" applyNumberFormat="1" applyFont="1" applyBorder="1" applyAlignment="1">
      <alignment horizontal="center" vertical="center" wrapText="1" shrinkToFit="1"/>
    </xf>
    <xf numFmtId="175" fontId="12" fillId="4" borderId="6" xfId="0" applyNumberFormat="1" applyFont="1" applyFill="1" applyBorder="1" applyAlignment="1">
      <alignment horizontal="center" vertical="center" wrapText="1" shrinkToFit="1"/>
    </xf>
    <xf numFmtId="10" fontId="2" fillId="3" borderId="4" xfId="2" applyNumberFormat="1" applyFont="1" applyFill="1" applyBorder="1" applyAlignment="1">
      <alignment horizontal="center" vertical="center" wrapText="1" shrinkToFit="1"/>
    </xf>
    <xf numFmtId="176" fontId="2" fillId="4" borderId="6" xfId="2" applyNumberFormat="1" applyFont="1" applyFill="1" applyBorder="1" applyAlignment="1">
      <alignment horizontal="center" vertical="center" wrapText="1" shrinkToFit="1"/>
    </xf>
    <xf numFmtId="0" fontId="7" fillId="2" borderId="4" xfId="2" applyNumberFormat="1" applyFont="1" applyFill="1" applyBorder="1" applyAlignment="1">
      <alignment horizontal="center" vertical="center" wrapText="1" shrinkToFit="1"/>
    </xf>
    <xf numFmtId="0" fontId="7" fillId="2" borderId="5" xfId="2" applyNumberFormat="1" applyFont="1" applyFill="1" applyBorder="1" applyAlignment="1">
      <alignment horizontal="center" vertical="center" wrapText="1" shrinkToFit="1"/>
    </xf>
    <xf numFmtId="0" fontId="7" fillId="2" borderId="6" xfId="2" applyNumberFormat="1" applyFont="1" applyFill="1" applyBorder="1" applyAlignment="1">
      <alignment horizontal="center" vertical="center" wrapText="1" shrinkToFit="1"/>
    </xf>
    <xf numFmtId="0" fontId="2" fillId="0" borderId="4" xfId="2" applyNumberFormat="1" applyFont="1" applyFill="1" applyBorder="1" applyAlignment="1">
      <alignment horizontal="center" vertical="center" wrapText="1" shrinkToFit="1"/>
    </xf>
    <xf numFmtId="0" fontId="2" fillId="3" borderId="4" xfId="0" applyFont="1" applyFill="1" applyBorder="1" applyAlignment="1">
      <alignment horizontal="center" vertical="center" wrapText="1" shrinkToFit="1"/>
    </xf>
    <xf numFmtId="0" fontId="12" fillId="4" borderId="5" xfId="0" applyFont="1" applyFill="1" applyBorder="1" applyAlignment="1">
      <alignment horizontal="center" vertical="center" wrapText="1" shrinkToFit="1"/>
    </xf>
    <xf numFmtId="0" fontId="12" fillId="4" borderId="6" xfId="0" applyFont="1" applyFill="1" applyBorder="1" applyAlignment="1">
      <alignment horizontal="center" vertical="center" wrapText="1" shrinkToFit="1"/>
    </xf>
    <xf numFmtId="0" fontId="2" fillId="2" borderId="7" xfId="0" applyFont="1" applyFill="1" applyBorder="1" applyAlignment="1">
      <alignment horizontal="center" vertical="center" wrapText="1" shrinkToFit="1"/>
    </xf>
    <xf numFmtId="3" fontId="5" fillId="3" borderId="14" xfId="0" applyNumberFormat="1" applyFont="1" applyFill="1" applyBorder="1" applyAlignment="1">
      <alignment horizontal="center" vertical="center" shrinkToFit="1"/>
    </xf>
    <xf numFmtId="3" fontId="2" fillId="4" borderId="8" xfId="0" applyNumberFormat="1" applyFont="1" applyFill="1" applyBorder="1" applyAlignment="1">
      <alignment horizontal="center" vertical="center" wrapText="1" shrinkToFit="1"/>
    </xf>
    <xf numFmtId="10" fontId="7" fillId="2" borderId="4" xfId="2" applyNumberFormat="1" applyFont="1" applyFill="1" applyBorder="1" applyAlignment="1">
      <alignment horizontal="center" vertical="center" wrapText="1" shrinkToFit="1"/>
    </xf>
    <xf numFmtId="10" fontId="7" fillId="2" borderId="5" xfId="2" applyNumberFormat="1" applyFont="1" applyFill="1" applyBorder="1" applyAlignment="1">
      <alignment horizontal="center" vertical="center" wrapText="1" shrinkToFit="1"/>
    </xf>
    <xf numFmtId="9" fontId="7" fillId="2" borderId="5" xfId="2" applyFont="1" applyFill="1" applyBorder="1" applyAlignment="1">
      <alignment horizontal="center" vertical="center" wrapText="1" shrinkToFit="1" readingOrder="1"/>
    </xf>
    <xf numFmtId="10" fontId="7" fillId="2" borderId="5" xfId="2" applyNumberFormat="1" applyFont="1" applyFill="1" applyBorder="1" applyAlignment="1">
      <alignment horizontal="center" vertical="center" wrapText="1" shrinkToFit="1" readingOrder="1"/>
    </xf>
    <xf numFmtId="10" fontId="7" fillId="2" borderId="6" xfId="2" applyNumberFormat="1" applyFont="1" applyFill="1" applyBorder="1" applyAlignment="1">
      <alignment horizontal="center" vertical="center" wrapText="1" shrinkToFit="1"/>
    </xf>
    <xf numFmtId="10" fontId="12" fillId="0" borderId="5" xfId="0" applyNumberFormat="1" applyFont="1" applyBorder="1" applyAlignment="1">
      <alignment horizontal="center" vertical="center" wrapText="1" shrinkToFit="1"/>
    </xf>
    <xf numFmtId="10" fontId="12" fillId="0" borderId="5" xfId="2" applyNumberFormat="1" applyFont="1" applyBorder="1" applyAlignment="1">
      <alignment horizontal="center" vertical="center" wrapText="1" shrinkToFit="1"/>
    </xf>
    <xf numFmtId="10" fontId="12" fillId="3" borderId="5" xfId="2" applyNumberFormat="1" applyFont="1" applyFill="1" applyBorder="1" applyAlignment="1">
      <alignment horizontal="center" vertical="center" wrapText="1" shrinkToFit="1"/>
    </xf>
    <xf numFmtId="9" fontId="12" fillId="0" borderId="5" xfId="2" applyFont="1" applyBorder="1" applyAlignment="1">
      <alignment horizontal="center" vertical="center" wrapText="1" shrinkToFit="1"/>
    </xf>
    <xf numFmtId="9" fontId="12" fillId="2" borderId="8" xfId="2" applyFont="1" applyFill="1" applyBorder="1" applyAlignment="1">
      <alignment horizontal="center" vertical="center" wrapText="1" shrinkToFit="1"/>
    </xf>
    <xf numFmtId="3" fontId="5" fillId="2" borderId="9" xfId="0" applyNumberFormat="1" applyFont="1" applyFill="1" applyBorder="1" applyAlignment="1">
      <alignment horizontal="center" vertical="center" wrapText="1" shrinkToFit="1"/>
    </xf>
    <xf numFmtId="0" fontId="7" fillId="2" borderId="6" xfId="0" applyFont="1" applyFill="1" applyBorder="1" applyAlignment="1">
      <alignment horizontal="center" vertical="center" wrapText="1" shrinkToFit="1"/>
    </xf>
    <xf numFmtId="3" fontId="19" fillId="2" borderId="4" xfId="0" applyNumberFormat="1" applyFont="1" applyFill="1" applyBorder="1" applyAlignment="1">
      <alignment horizontal="center" vertical="center" wrapText="1" shrinkToFit="1"/>
    </xf>
    <xf numFmtId="3" fontId="19" fillId="2" borderId="5" xfId="0" applyNumberFormat="1" applyFont="1" applyFill="1" applyBorder="1" applyAlignment="1">
      <alignment horizontal="center" vertical="center" wrapText="1" shrinkToFit="1"/>
    </xf>
    <xf numFmtId="3" fontId="19" fillId="2" borderId="6" xfId="0" applyNumberFormat="1" applyFont="1" applyFill="1" applyBorder="1" applyAlignment="1">
      <alignment horizontal="center" vertical="center" wrapText="1" shrinkToFit="1"/>
    </xf>
    <xf numFmtId="10" fontId="12" fillId="4" borderId="5" xfId="2" applyNumberFormat="1" applyFont="1" applyFill="1" applyBorder="1" applyAlignment="1">
      <alignment horizontal="center" vertical="center" wrapText="1" shrinkToFit="1"/>
    </xf>
    <xf numFmtId="3" fontId="15" fillId="2" borderId="8" xfId="0" applyNumberFormat="1" applyFont="1" applyFill="1" applyBorder="1" applyAlignment="1">
      <alignment horizontal="center" vertical="center" wrapText="1" shrinkToFit="1"/>
    </xf>
    <xf numFmtId="179" fontId="2" fillId="2" borderId="8" xfId="2" applyNumberFormat="1" applyFont="1" applyFill="1" applyBorder="1" applyAlignment="1">
      <alignment horizontal="center" vertical="center" wrapText="1" shrinkToFit="1"/>
    </xf>
    <xf numFmtId="179" fontId="12" fillId="2" borderId="8" xfId="2" applyNumberFormat="1" applyFont="1" applyFill="1" applyBorder="1" applyAlignment="1">
      <alignment horizontal="center" vertical="center" wrapText="1" shrinkToFit="1"/>
    </xf>
    <xf numFmtId="10" fontId="14" fillId="3" borderId="11" xfId="2" applyNumberFormat="1" applyFont="1" applyFill="1" applyBorder="1" applyAlignment="1">
      <alignment horizontal="center" vertical="center" shrinkToFit="1"/>
    </xf>
    <xf numFmtId="10" fontId="14" fillId="3" borderId="12" xfId="2" applyNumberFormat="1" applyFont="1" applyFill="1" applyBorder="1" applyAlignment="1">
      <alignment horizontal="center" vertical="center" shrinkToFit="1"/>
    </xf>
    <xf numFmtId="10" fontId="14" fillId="3" borderId="12" xfId="2" applyNumberFormat="1" applyFont="1" applyFill="1" applyBorder="1" applyAlignment="1">
      <alignment horizontal="center" vertical="center" shrinkToFit="1" readingOrder="1"/>
    </xf>
    <xf numFmtId="10" fontId="14" fillId="3" borderId="13" xfId="2" applyNumberFormat="1" applyFont="1" applyFill="1" applyBorder="1" applyAlignment="1">
      <alignment horizontal="center" vertical="center" shrinkToFit="1"/>
    </xf>
    <xf numFmtId="3" fontId="5" fillId="3" borderId="14" xfId="0" applyNumberFormat="1" applyFont="1" applyFill="1" applyBorder="1" applyAlignment="1">
      <alignment horizontal="center" vertical="center" wrapText="1" shrinkToFit="1"/>
    </xf>
    <xf numFmtId="40" fontId="22" fillId="3" borderId="5" xfId="0" applyNumberFormat="1" applyFont="1" applyFill="1" applyBorder="1" applyAlignment="1">
      <alignment horizontal="center" vertical="center" wrapText="1" shrinkToFit="1"/>
    </xf>
    <xf numFmtId="3" fontId="21" fillId="3" borderId="5" xfId="0" applyNumberFormat="1" applyFont="1" applyFill="1" applyBorder="1" applyAlignment="1">
      <alignment horizontal="center" vertical="center" wrapText="1" shrinkToFit="1"/>
    </xf>
    <xf numFmtId="3" fontId="21" fillId="3" borderId="6" xfId="0" applyNumberFormat="1" applyFont="1" applyFill="1" applyBorder="1" applyAlignment="1">
      <alignment horizontal="center" vertical="center" wrapText="1" shrinkToFit="1"/>
    </xf>
    <xf numFmtId="9" fontId="12" fillId="4" borderId="5" xfId="2" applyFont="1" applyFill="1" applyBorder="1" applyAlignment="1">
      <alignment horizontal="center" vertical="center" wrapText="1" shrinkToFit="1"/>
    </xf>
    <xf numFmtId="9" fontId="12" fillId="4" borderId="6" xfId="2" applyFont="1" applyFill="1" applyBorder="1" applyAlignment="1">
      <alignment horizontal="center" vertical="center" wrapText="1" shrinkToFit="1"/>
    </xf>
    <xf numFmtId="3" fontId="7" fillId="2" borderId="7" xfId="0" applyNumberFormat="1" applyFont="1" applyFill="1" applyBorder="1" applyAlignment="1">
      <alignment horizontal="center" vertical="center" wrapText="1" shrinkToFit="1"/>
    </xf>
    <xf numFmtId="3" fontId="15" fillId="3" borderId="8" xfId="0" applyNumberFormat="1" applyFont="1" applyFill="1" applyBorder="1" applyAlignment="1">
      <alignment horizontal="center" vertical="center" wrapText="1" shrinkToFit="1"/>
    </xf>
    <xf numFmtId="9" fontId="12" fillId="3" borderId="8" xfId="2" applyFont="1" applyFill="1" applyBorder="1" applyAlignment="1">
      <alignment horizontal="center" vertical="center" wrapText="1" shrinkToFit="1"/>
    </xf>
    <xf numFmtId="9" fontId="12" fillId="4" borderId="8" xfId="2" applyFont="1" applyFill="1" applyBorder="1" applyAlignment="1">
      <alignment horizontal="center" vertical="center" wrapText="1" shrinkToFit="1"/>
    </xf>
    <xf numFmtId="9" fontId="12" fillId="4" borderId="9" xfId="2" applyFont="1" applyFill="1" applyBorder="1" applyAlignment="1">
      <alignment horizontal="center" vertical="center" wrapText="1" shrinkToFit="1"/>
    </xf>
    <xf numFmtId="3" fontId="12" fillId="0" borderId="2" xfId="0" applyNumberFormat="1" applyFont="1" applyBorder="1" applyAlignment="1">
      <alignment horizontal="center" vertical="center" wrapText="1" shrinkToFit="1"/>
    </xf>
    <xf numFmtId="14" fontId="12" fillId="4" borderId="2" xfId="0" applyNumberFormat="1" applyFont="1" applyFill="1" applyBorder="1" applyAlignment="1">
      <alignment horizontal="center" vertical="center" wrapText="1" shrinkToFit="1"/>
    </xf>
    <xf numFmtId="14" fontId="12" fillId="4" borderId="3" xfId="0" applyNumberFormat="1" applyFont="1" applyFill="1" applyBorder="1" applyAlignment="1">
      <alignment horizontal="center" vertical="center" wrapText="1" shrinkToFit="1"/>
    </xf>
    <xf numFmtId="3" fontId="7" fillId="5" borderId="4" xfId="0" applyNumberFormat="1" applyFont="1" applyFill="1" applyBorder="1" applyAlignment="1">
      <alignment horizontal="center" vertical="center" wrapText="1" shrinkToFit="1"/>
    </xf>
    <xf numFmtId="38" fontId="12" fillId="3" borderId="2" xfId="0" applyNumberFormat="1" applyFont="1" applyFill="1" applyBorder="1" applyAlignment="1">
      <alignment horizontal="center" vertical="center" wrapText="1" shrinkToFit="1"/>
    </xf>
    <xf numFmtId="38" fontId="12" fillId="4" borderId="5" xfId="1" applyNumberFormat="1" applyFont="1" applyFill="1" applyBorder="1" applyAlignment="1">
      <alignment horizontal="center" vertical="center" wrapText="1" shrinkToFit="1"/>
    </xf>
    <xf numFmtId="3" fontId="5" fillId="3" borderId="18" xfId="0" applyNumberFormat="1" applyFont="1" applyFill="1" applyBorder="1" applyAlignment="1">
      <alignment horizontal="center" vertical="center" wrapText="1" shrinkToFit="1"/>
    </xf>
    <xf numFmtId="10" fontId="5" fillId="3" borderId="14" xfId="2" applyNumberFormat="1" applyFont="1" applyFill="1" applyBorder="1" applyAlignment="1">
      <alignment horizontal="center" vertical="center" wrapText="1" shrinkToFit="1"/>
    </xf>
    <xf numFmtId="185" fontId="2" fillId="2" borderId="8" xfId="0" applyNumberFormat="1" applyFont="1" applyFill="1" applyBorder="1" applyAlignment="1">
      <alignment horizontal="center" vertical="center" wrapText="1" shrinkToFit="1"/>
    </xf>
    <xf numFmtId="186" fontId="2" fillId="2" borderId="8" xfId="0" applyNumberFormat="1" applyFont="1" applyFill="1" applyBorder="1" applyAlignment="1">
      <alignment horizontal="center" vertical="center" wrapText="1" shrinkToFit="1"/>
    </xf>
    <xf numFmtId="186" fontId="12" fillId="2" borderId="8" xfId="0" applyNumberFormat="1" applyFont="1" applyFill="1" applyBorder="1" applyAlignment="1">
      <alignment horizontal="center" vertical="center" wrapText="1" shrinkToFit="1"/>
    </xf>
    <xf numFmtId="185" fontId="12" fillId="2" borderId="8" xfId="0" applyNumberFormat="1" applyFont="1" applyFill="1" applyBorder="1" applyAlignment="1">
      <alignment horizontal="center" vertical="center" wrapText="1" shrinkToFit="1"/>
    </xf>
    <xf numFmtId="187" fontId="2" fillId="2" borderId="8" xfId="2" applyNumberFormat="1" applyFont="1" applyFill="1" applyBorder="1" applyAlignment="1">
      <alignment horizontal="center" vertical="center" wrapText="1" shrinkToFit="1"/>
    </xf>
    <xf numFmtId="188" fontId="2" fillId="2" borderId="8" xfId="0" applyNumberFormat="1" applyFont="1" applyFill="1" applyBorder="1" applyAlignment="1">
      <alignment horizontal="center" vertical="center" wrapText="1" shrinkToFit="1"/>
    </xf>
    <xf numFmtId="3" fontId="5" fillId="0" borderId="7" xfId="0" applyNumberFormat="1" applyFont="1" applyBorder="1" applyAlignment="1">
      <alignment horizontal="center" vertical="center" wrapText="1" shrinkToFit="1"/>
    </xf>
    <xf numFmtId="174" fontId="12" fillId="4" borderId="5" xfId="0" applyNumberFormat="1" applyFont="1" applyFill="1" applyBorder="1" applyAlignment="1">
      <alignment horizontal="center" vertical="center" wrapText="1" shrinkToFit="1"/>
    </xf>
    <xf numFmtId="177" fontId="14" fillId="3" borderId="15" xfId="0" applyNumberFormat="1" applyFont="1" applyFill="1" applyBorder="1" applyAlignment="1">
      <alignment horizontal="center" vertical="center" wrapText="1" shrinkToFit="1"/>
    </xf>
    <xf numFmtId="3" fontId="5" fillId="6" borderId="15" xfId="0" applyNumberFormat="1" applyFont="1" applyFill="1" applyBorder="1" applyAlignment="1">
      <alignment horizontal="center" vertical="center" wrapText="1" shrinkToFit="1"/>
    </xf>
    <xf numFmtId="166" fontId="2" fillId="6" borderId="9" xfId="0" applyNumberFormat="1" applyFont="1" applyFill="1" applyBorder="1" applyAlignment="1">
      <alignment horizontal="center" vertical="center" wrapText="1" shrinkToFit="1"/>
    </xf>
    <xf numFmtId="190" fontId="27" fillId="7" borderId="0" xfId="0" applyNumberFormat="1" applyFont="1" applyFill="1" applyAlignment="1">
      <alignment horizontal="center" vertical="center"/>
    </xf>
    <xf numFmtId="191" fontId="27" fillId="7" borderId="0" xfId="0" applyNumberFormat="1" applyFont="1" applyFill="1" applyAlignment="1">
      <alignment horizontal="center" vertical="center"/>
    </xf>
    <xf numFmtId="3" fontId="28" fillId="6" borderId="0" xfId="0" applyNumberFormat="1" applyFont="1" applyFill="1" applyAlignment="1">
      <alignment horizontal="center" vertical="center" wrapText="1" shrinkToFit="1"/>
    </xf>
    <xf numFmtId="3" fontId="27" fillId="6" borderId="23" xfId="0" applyNumberFormat="1" applyFont="1" applyFill="1" applyBorder="1" applyAlignment="1">
      <alignment horizontal="center" vertical="center" wrapText="1" shrinkToFit="1"/>
    </xf>
    <xf numFmtId="164" fontId="5" fillId="4" borderId="14" xfId="0" applyNumberFormat="1" applyFont="1" applyFill="1" applyBorder="1" applyAlignment="1">
      <alignment horizontal="center" vertical="center" wrapText="1" shrinkToFit="1"/>
    </xf>
    <xf numFmtId="3" fontId="5" fillId="0" borderId="0" xfId="0" applyNumberFormat="1" applyFont="1" applyAlignment="1">
      <alignment horizontal="center" vertical="center" wrapText="1" shrinkToFit="1"/>
    </xf>
    <xf numFmtId="3" fontId="2" fillId="0" borderId="0" xfId="0" applyNumberFormat="1" applyFont="1" applyAlignment="1">
      <alignment horizontal="center" vertical="center" wrapText="1" shrinkToFit="1"/>
    </xf>
    <xf numFmtId="10" fontId="2" fillId="0" borderId="0" xfId="2" applyNumberFormat="1" applyFont="1" applyFill="1" applyAlignment="1">
      <alignment horizontal="center" vertical="center" wrapText="1" shrinkToFit="1"/>
    </xf>
    <xf numFmtId="3" fontId="12" fillId="0" borderId="0" xfId="0" applyNumberFormat="1" applyFont="1" applyAlignment="1">
      <alignment horizontal="center" vertical="center" wrapText="1" shrinkToFit="1"/>
    </xf>
    <xf numFmtId="3" fontId="14" fillId="0" borderId="0" xfId="0" applyNumberFormat="1" applyFont="1" applyAlignment="1">
      <alignment horizontal="center" vertical="center" wrapText="1" shrinkToFit="1"/>
    </xf>
    <xf numFmtId="3" fontId="7" fillId="0" borderId="0" xfId="0" applyNumberFormat="1" applyFont="1" applyAlignment="1">
      <alignment horizontal="center" vertical="center" wrapText="1" shrinkToFit="1"/>
    </xf>
    <xf numFmtId="3" fontId="26" fillId="0" borderId="0" xfId="0" applyNumberFormat="1" applyFont="1" applyAlignment="1">
      <alignment horizontal="center" vertical="center" shrinkToFit="1" readingOrder="2"/>
    </xf>
    <xf numFmtId="4" fontId="26" fillId="0" borderId="0" xfId="0" applyNumberFormat="1" applyFont="1" applyAlignment="1">
      <alignment horizontal="center" vertical="center" wrapText="1" shrinkToFit="1"/>
    </xf>
    <xf numFmtId="10" fontId="26" fillId="0" borderId="0" xfId="2" applyNumberFormat="1" applyFont="1" applyFill="1" applyAlignment="1">
      <alignment horizontal="center" vertical="center" wrapText="1" shrinkToFit="1"/>
    </xf>
    <xf numFmtId="9" fontId="12" fillId="0" borderId="0" xfId="2" applyFont="1" applyFill="1" applyAlignment="1">
      <alignment horizontal="center" vertical="center" wrapText="1" shrinkToFit="1"/>
    </xf>
    <xf numFmtId="3" fontId="25" fillId="0" borderId="0" xfId="2" applyNumberFormat="1" applyFont="1" applyFill="1" applyBorder="1" applyAlignment="1">
      <alignment horizontal="center" vertical="center" wrapText="1" shrinkToFit="1"/>
    </xf>
    <xf numFmtId="9" fontId="2" fillId="0" borderId="0" xfId="2" applyFont="1" applyFill="1" applyBorder="1" applyAlignment="1">
      <alignment horizontal="center" vertical="center" wrapText="1" shrinkToFit="1"/>
    </xf>
    <xf numFmtId="3" fontId="18" fillId="0" borderId="0" xfId="0" applyNumberFormat="1" applyFont="1" applyAlignment="1">
      <alignment horizontal="center" vertical="center" wrapText="1" shrinkToFit="1"/>
    </xf>
    <xf numFmtId="38" fontId="5" fillId="0" borderId="0" xfId="0" applyNumberFormat="1" applyFont="1" applyAlignment="1">
      <alignment horizontal="center" vertical="center" wrapText="1" shrinkToFit="1"/>
    </xf>
    <xf numFmtId="10" fontId="5" fillId="0" borderId="0" xfId="2" applyNumberFormat="1" applyFont="1" applyFill="1" applyAlignment="1">
      <alignment horizontal="center" vertical="center" wrapText="1" shrinkToFit="1"/>
    </xf>
    <xf numFmtId="3" fontId="24" fillId="0" borderId="0" xfId="0" applyNumberFormat="1" applyFont="1" applyAlignment="1">
      <alignment horizontal="center" vertical="center" wrapText="1" shrinkToFit="1"/>
    </xf>
    <xf numFmtId="10" fontId="5" fillId="0" borderId="0" xfId="2" applyNumberFormat="1" applyFont="1" applyFill="1" applyBorder="1" applyAlignment="1">
      <alignment horizontal="center" vertical="center" wrapText="1" shrinkToFit="1"/>
    </xf>
    <xf numFmtId="3" fontId="2" fillId="0" borderId="0" xfId="2" applyNumberFormat="1" applyFont="1" applyFill="1" applyAlignment="1">
      <alignment horizontal="center" vertical="center" wrapText="1" shrinkToFit="1"/>
    </xf>
    <xf numFmtId="3" fontId="3" fillId="0" borderId="0" xfId="0" applyNumberFormat="1" applyFont="1" applyAlignment="1">
      <alignment horizontal="center" vertical="center" wrapText="1" shrinkToFit="1"/>
    </xf>
    <xf numFmtId="3" fontId="15" fillId="0" borderId="0" xfId="0" applyNumberFormat="1" applyFont="1" applyAlignment="1">
      <alignment horizontal="center" vertical="center" wrapText="1" shrinkToFit="1"/>
    </xf>
    <xf numFmtId="10" fontId="3" fillId="0" borderId="0" xfId="2" applyNumberFormat="1" applyFont="1" applyFill="1" applyAlignment="1">
      <alignment horizontal="center" vertical="center" wrapText="1" shrinkToFit="1"/>
    </xf>
    <xf numFmtId="170" fontId="17" fillId="0" borderId="0" xfId="2" applyNumberFormat="1" applyFont="1" applyFill="1" applyAlignment="1">
      <alignment horizontal="center" vertical="center" wrapText="1" shrinkToFit="1"/>
    </xf>
    <xf numFmtId="171" fontId="2" fillId="0" borderId="0" xfId="0" applyNumberFormat="1" applyFont="1" applyAlignment="1">
      <alignment horizontal="center" vertical="center" wrapText="1" shrinkToFit="1"/>
    </xf>
    <xf numFmtId="3" fontId="10" fillId="0" borderId="0" xfId="0" applyNumberFormat="1" applyFont="1" applyAlignment="1">
      <alignment horizontal="center" vertical="center" wrapText="1" shrinkToFit="1"/>
    </xf>
    <xf numFmtId="9" fontId="5" fillId="0" borderId="0" xfId="2" applyFont="1" applyFill="1" applyBorder="1" applyAlignment="1">
      <alignment horizontal="center" vertical="center" wrapText="1" shrinkToFit="1"/>
    </xf>
    <xf numFmtId="9" fontId="5" fillId="0" borderId="0" xfId="2" applyFont="1" applyFill="1" applyAlignment="1">
      <alignment horizontal="center" vertical="center" wrapText="1" shrinkToFit="1"/>
    </xf>
    <xf numFmtId="9" fontId="18" fillId="0" borderId="0" xfId="2" applyFont="1" applyFill="1" applyAlignment="1">
      <alignment horizontal="center" vertical="center" wrapText="1" shrinkToFit="1"/>
    </xf>
    <xf numFmtId="0" fontId="30" fillId="12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22" xfId="0" applyFont="1" applyFill="1" applyBorder="1" applyAlignment="1">
      <alignment horizontal="right" vertical="center"/>
    </xf>
    <xf numFmtId="0" fontId="27" fillId="7" borderId="22" xfId="0" applyFont="1" applyFill="1" applyBorder="1" applyAlignment="1">
      <alignment horizontal="center" vertical="center"/>
    </xf>
    <xf numFmtId="3" fontId="27" fillId="7" borderId="0" xfId="0" applyNumberFormat="1" applyFont="1" applyFill="1" applyAlignment="1">
      <alignment horizontal="center" vertical="center"/>
    </xf>
    <xf numFmtId="0" fontId="27" fillId="7" borderId="20" xfId="0" applyFont="1" applyFill="1" applyBorder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174" fontId="34" fillId="7" borderId="0" xfId="0" applyNumberFormat="1" applyFont="1" applyFill="1" applyAlignment="1">
      <alignment horizontal="center" vertical="center"/>
    </xf>
    <xf numFmtId="0" fontId="27" fillId="7" borderId="20" xfId="0" applyFont="1" applyFill="1" applyBorder="1" applyAlignment="1">
      <alignment horizontal="right" vertical="center" readingOrder="1"/>
    </xf>
    <xf numFmtId="9" fontId="27" fillId="7" borderId="0" xfId="2" applyFont="1" applyFill="1" applyAlignment="1">
      <alignment horizontal="center" vertical="center"/>
    </xf>
    <xf numFmtId="0" fontId="27" fillId="7" borderId="20" xfId="0" applyFont="1" applyFill="1" applyBorder="1" applyAlignment="1">
      <alignment horizontal="right" vertical="center"/>
    </xf>
    <xf numFmtId="38" fontId="27" fillId="7" borderId="0" xfId="0" applyNumberFormat="1" applyFont="1" applyFill="1" applyAlignment="1">
      <alignment horizontal="center" vertical="center"/>
    </xf>
    <xf numFmtId="0" fontId="27" fillId="7" borderId="19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right" vertical="center" readingOrder="2"/>
    </xf>
    <xf numFmtId="0" fontId="27" fillId="7" borderId="0" xfId="0" applyFont="1" applyFill="1" applyAlignment="1">
      <alignment horizontal="right" vertical="center"/>
    </xf>
    <xf numFmtId="0" fontId="27" fillId="7" borderId="0" xfId="0" applyFont="1" applyFill="1" applyAlignment="1">
      <alignment horizontal="left" vertical="center"/>
    </xf>
    <xf numFmtId="0" fontId="34" fillId="7" borderId="21" xfId="0" applyFont="1" applyFill="1" applyBorder="1" applyAlignment="1">
      <alignment horizontal="center" vertical="center"/>
    </xf>
    <xf numFmtId="9" fontId="34" fillId="7" borderId="21" xfId="2" applyFont="1" applyFill="1" applyBorder="1" applyAlignment="1">
      <alignment horizontal="center" vertical="center"/>
    </xf>
    <xf numFmtId="3" fontId="34" fillId="7" borderId="21" xfId="0" applyNumberFormat="1" applyFont="1" applyFill="1" applyBorder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9" fontId="34" fillId="7" borderId="0" xfId="2" applyFont="1" applyFill="1" applyBorder="1" applyAlignment="1">
      <alignment horizontal="center" vertical="center"/>
    </xf>
    <xf numFmtId="3" fontId="34" fillId="7" borderId="0" xfId="0" applyNumberFormat="1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32" fillId="7" borderId="19" xfId="0" applyFont="1" applyFill="1" applyBorder="1" applyAlignment="1">
      <alignment horizontal="right" vertical="center"/>
    </xf>
    <xf numFmtId="0" fontId="34" fillId="7" borderId="0" xfId="0" applyFont="1" applyFill="1" applyAlignment="1">
      <alignment horizontal="right" vertical="center"/>
    </xf>
    <xf numFmtId="0" fontId="31" fillId="7" borderId="0" xfId="0" applyFont="1" applyFill="1" applyAlignment="1">
      <alignment horizontal="right" vertical="center"/>
    </xf>
    <xf numFmtId="38" fontId="31" fillId="7" borderId="0" xfId="0" applyNumberFormat="1" applyFont="1" applyFill="1" applyAlignment="1">
      <alignment horizontal="center" vertical="center"/>
    </xf>
    <xf numFmtId="194" fontId="31" fillId="7" borderId="0" xfId="0" applyNumberFormat="1" applyFont="1" applyFill="1" applyAlignment="1">
      <alignment horizontal="right" vertical="center"/>
    </xf>
    <xf numFmtId="195" fontId="31" fillId="7" borderId="0" xfId="0" applyNumberFormat="1" applyFont="1" applyFill="1" applyAlignment="1">
      <alignment horizontal="right" vertical="center"/>
    </xf>
    <xf numFmtId="196" fontId="31" fillId="7" borderId="0" xfId="0" applyNumberFormat="1" applyFont="1" applyFill="1" applyAlignment="1">
      <alignment horizontal="right" vertical="center"/>
    </xf>
    <xf numFmtId="197" fontId="31" fillId="7" borderId="0" xfId="0" applyNumberFormat="1" applyFont="1" applyFill="1" applyAlignment="1">
      <alignment horizontal="right" vertical="center"/>
    </xf>
    <xf numFmtId="0" fontId="34" fillId="7" borderId="21" xfId="0" applyFont="1" applyFill="1" applyBorder="1" applyAlignment="1">
      <alignment horizontal="right" vertical="center"/>
    </xf>
    <xf numFmtId="38" fontId="34" fillId="7" borderId="21" xfId="0" applyNumberFormat="1" applyFont="1" applyFill="1" applyBorder="1" applyAlignment="1">
      <alignment horizontal="center" vertical="center"/>
    </xf>
    <xf numFmtId="3" fontId="31" fillId="7" borderId="0" xfId="0" applyNumberFormat="1" applyFont="1" applyFill="1" applyAlignment="1">
      <alignment horizontal="right" vertical="center"/>
    </xf>
    <xf numFmtId="3" fontId="37" fillId="6" borderId="0" xfId="0" applyNumberFormat="1" applyFont="1" applyFill="1" applyAlignment="1">
      <alignment horizontal="center" vertical="center" wrapText="1" shrinkToFit="1"/>
    </xf>
    <xf numFmtId="3" fontId="38" fillId="6" borderId="0" xfId="0" applyNumberFormat="1" applyFont="1" applyFill="1" applyAlignment="1">
      <alignment horizontal="center" vertical="center" wrapText="1" shrinkToFit="1"/>
    </xf>
    <xf numFmtId="0" fontId="27" fillId="6" borderId="0" xfId="0" applyFont="1" applyFill="1" applyAlignment="1">
      <alignment horizontal="right" vertical="center"/>
    </xf>
    <xf numFmtId="0" fontId="27" fillId="6" borderId="0" xfId="0" applyFont="1" applyFill="1" applyAlignment="1">
      <alignment vertical="center"/>
    </xf>
    <xf numFmtId="0" fontId="30" fillId="12" borderId="0" xfId="0" applyFont="1" applyFill="1" applyAlignment="1">
      <alignment horizontal="left" vertical="center"/>
    </xf>
    <xf numFmtId="0" fontId="27" fillId="7" borderId="0" xfId="0" applyFont="1" applyFill="1" applyAlignment="1">
      <alignment vertical="center"/>
    </xf>
    <xf numFmtId="0" fontId="27" fillId="7" borderId="0" xfId="0" applyFont="1" applyFill="1" applyAlignment="1">
      <alignment horizontal="right" vertical="center" wrapText="1"/>
    </xf>
    <xf numFmtId="38" fontId="27" fillId="6" borderId="0" xfId="0" applyNumberFormat="1" applyFont="1" applyFill="1" applyAlignment="1">
      <alignment horizontal="center" vertical="center"/>
    </xf>
    <xf numFmtId="0" fontId="27" fillId="7" borderId="19" xfId="0" applyFont="1" applyFill="1" applyBorder="1" applyAlignment="1">
      <alignment vertical="center"/>
    </xf>
    <xf numFmtId="0" fontId="34" fillId="7" borderId="21" xfId="0" applyFont="1" applyFill="1" applyBorder="1" applyAlignment="1">
      <alignment vertical="center"/>
    </xf>
    <xf numFmtId="0" fontId="34" fillId="7" borderId="0" xfId="0" applyFont="1" applyFill="1" applyAlignment="1">
      <alignment vertical="center"/>
    </xf>
    <xf numFmtId="0" fontId="40" fillId="12" borderId="0" xfId="0" applyFont="1" applyFill="1" applyAlignment="1">
      <alignment horizontal="right" vertical="center"/>
    </xf>
    <xf numFmtId="0" fontId="40" fillId="12" borderId="0" xfId="0" applyFont="1" applyFill="1" applyAlignment="1">
      <alignment vertical="center"/>
    </xf>
    <xf numFmtId="193" fontId="41" fillId="12" borderId="0" xfId="0" applyNumberFormat="1" applyFont="1" applyFill="1" applyAlignment="1">
      <alignment horizontal="right" vertical="center"/>
    </xf>
    <xf numFmtId="0" fontId="42" fillId="12" borderId="0" xfId="0" applyFont="1" applyFill="1" applyAlignment="1">
      <alignment horizontal="center" vertical="center"/>
    </xf>
    <xf numFmtId="0" fontId="43" fillId="12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center" vertical="center"/>
    </xf>
    <xf numFmtId="199" fontId="27" fillId="7" borderId="0" xfId="0" applyNumberFormat="1" applyFont="1" applyFill="1" applyAlignment="1">
      <alignment horizontal="center" vertical="center"/>
    </xf>
    <xf numFmtId="0" fontId="32" fillId="7" borderId="23" xfId="0" applyFont="1" applyFill="1" applyBorder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9" fontId="27" fillId="9" borderId="0" xfId="0" applyNumberFormat="1" applyFont="1" applyFill="1" applyAlignment="1">
      <alignment horizontal="center" vertical="center" wrapText="1"/>
    </xf>
    <xf numFmtId="0" fontId="27" fillId="9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 wrapText="1"/>
    </xf>
    <xf numFmtId="9" fontId="37" fillId="8" borderId="0" xfId="0" applyNumberFormat="1" applyFont="1" applyFill="1" applyAlignment="1">
      <alignment horizontal="center" vertical="center"/>
    </xf>
    <xf numFmtId="3" fontId="37" fillId="9" borderId="0" xfId="0" applyNumberFormat="1" applyFont="1" applyFill="1" applyAlignment="1">
      <alignment horizontal="center" vertical="center"/>
    </xf>
    <xf numFmtId="9" fontId="37" fillId="9" borderId="0" xfId="0" applyNumberFormat="1" applyFont="1" applyFill="1" applyAlignment="1">
      <alignment horizontal="center" vertical="center"/>
    </xf>
    <xf numFmtId="9" fontId="38" fillId="8" borderId="0" xfId="0" applyNumberFormat="1" applyFont="1" applyFill="1" applyAlignment="1">
      <alignment horizontal="center" vertical="center"/>
    </xf>
    <xf numFmtId="3" fontId="38" fillId="9" borderId="0" xfId="0" applyNumberFormat="1" applyFont="1" applyFill="1" applyAlignment="1">
      <alignment horizontal="center" vertical="center"/>
    </xf>
    <xf numFmtId="9" fontId="38" fillId="9" borderId="0" xfId="0" applyNumberFormat="1" applyFont="1" applyFill="1" applyAlignment="1">
      <alignment horizontal="center" vertical="center"/>
    </xf>
    <xf numFmtId="0" fontId="45" fillId="7" borderId="0" xfId="0" applyFont="1" applyFill="1" applyAlignment="1">
      <alignment horizontal="center" vertical="center"/>
    </xf>
    <xf numFmtId="3" fontId="27" fillId="6" borderId="0" xfId="0" applyNumberFormat="1" applyFont="1" applyFill="1" applyAlignment="1">
      <alignment vertical="center"/>
    </xf>
    <xf numFmtId="43" fontId="3" fillId="0" borderId="0" xfId="1" applyFont="1" applyFill="1" applyAlignment="1">
      <alignment horizontal="center" vertical="center" wrapText="1" shrinkToFit="1"/>
    </xf>
    <xf numFmtId="10" fontId="46" fillId="3" borderId="6" xfId="2" applyNumberFormat="1" applyFont="1" applyFill="1" applyBorder="1" applyAlignment="1">
      <alignment horizontal="center" vertical="center" wrapText="1" shrinkToFit="1"/>
    </xf>
    <xf numFmtId="14" fontId="12" fillId="0" borderId="5" xfId="0" applyNumberFormat="1" applyFont="1" applyBorder="1" applyAlignment="1">
      <alignment horizontal="center" vertical="center" wrapText="1" shrinkToFit="1"/>
    </xf>
    <xf numFmtId="14" fontId="12" fillId="0" borderId="6" xfId="0" applyNumberFormat="1" applyFont="1" applyBorder="1" applyAlignment="1">
      <alignment horizontal="center" vertical="center" wrapText="1" shrinkToFit="1"/>
    </xf>
    <xf numFmtId="200" fontId="27" fillId="7" borderId="0" xfId="0" applyNumberFormat="1" applyFont="1" applyFill="1" applyAlignment="1">
      <alignment horizontal="center" vertical="center"/>
    </xf>
    <xf numFmtId="201" fontId="27" fillId="7" borderId="0" xfId="0" applyNumberFormat="1" applyFont="1" applyFill="1" applyAlignment="1">
      <alignment horizontal="center" vertical="center"/>
    </xf>
    <xf numFmtId="202" fontId="27" fillId="7" borderId="0" xfId="0" applyNumberFormat="1" applyFont="1" applyFill="1" applyAlignment="1">
      <alignment horizontal="center" vertical="center"/>
    </xf>
    <xf numFmtId="0" fontId="32" fillId="0" borderId="19" xfId="0" applyFont="1" applyBorder="1" applyAlignment="1">
      <alignment horizontal="right" vertical="center"/>
    </xf>
    <xf numFmtId="3" fontId="16" fillId="0" borderId="0" xfId="0" applyNumberFormat="1" applyFont="1" applyAlignment="1">
      <alignment horizontal="center" vertical="center" wrapText="1" shrinkToFit="1"/>
    </xf>
    <xf numFmtId="9" fontId="2" fillId="0" borderId="0" xfId="2" applyFont="1" applyAlignment="1">
      <alignment horizontal="center" vertical="center" wrapText="1" shrinkToFit="1"/>
    </xf>
    <xf numFmtId="174" fontId="2" fillId="0" borderId="0" xfId="2" applyNumberFormat="1" applyFont="1" applyAlignment="1">
      <alignment horizontal="center" vertical="center" wrapText="1" shrinkToFit="1"/>
    </xf>
    <xf numFmtId="9" fontId="2" fillId="4" borderId="5" xfId="2" applyFont="1" applyFill="1" applyBorder="1" applyAlignment="1">
      <alignment horizontal="center" vertical="center" wrapText="1" shrinkToFit="1"/>
    </xf>
    <xf numFmtId="40" fontId="46" fillId="0" borderId="2" xfId="0" applyNumberFormat="1" applyFont="1" applyBorder="1" applyAlignment="1">
      <alignment horizontal="center" vertical="center" wrapText="1" shrinkToFit="1"/>
    </xf>
    <xf numFmtId="40" fontId="46" fillId="0" borderId="5" xfId="0" applyNumberFormat="1" applyFont="1" applyBorder="1" applyAlignment="1">
      <alignment horizontal="center" vertical="center" wrapText="1" shrinkToFit="1"/>
    </xf>
    <xf numFmtId="40" fontId="46" fillId="0" borderId="8" xfId="0" applyNumberFormat="1" applyFont="1" applyBorder="1" applyAlignment="1">
      <alignment horizontal="center" vertical="center" wrapText="1" shrinkToFit="1"/>
    </xf>
    <xf numFmtId="198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203" fontId="27" fillId="6" borderId="0" xfId="0" applyNumberFormat="1" applyFont="1" applyFill="1" applyAlignment="1">
      <alignment horizontal="center" vertical="center"/>
    </xf>
    <xf numFmtId="3" fontId="12" fillId="0" borderId="6" xfId="0" applyNumberFormat="1" applyFont="1" applyBorder="1" applyAlignment="1">
      <alignment horizontal="center" vertical="center" wrapText="1" shrinkToFit="1"/>
    </xf>
    <xf numFmtId="3" fontId="47" fillId="0" borderId="0" xfId="0" applyNumberFormat="1" applyFont="1" applyAlignment="1">
      <alignment horizontal="center" vertical="center" wrapText="1" shrinkToFit="1"/>
    </xf>
    <xf numFmtId="4" fontId="7" fillId="2" borderId="5" xfId="0" applyNumberFormat="1" applyFont="1" applyFill="1" applyBorder="1" applyAlignment="1">
      <alignment horizontal="center" vertical="center" wrapText="1" shrinkToFit="1"/>
    </xf>
    <xf numFmtId="3" fontId="2" fillId="0" borderId="4" xfId="0" applyNumberFormat="1" applyFont="1" applyBorder="1" applyAlignment="1">
      <alignment horizontal="center" vertical="center" wrapText="1" shrinkToFit="1"/>
    </xf>
    <xf numFmtId="9" fontId="12" fillId="0" borderId="5" xfId="2" applyFont="1" applyFill="1" applyBorder="1" applyAlignment="1">
      <alignment horizontal="center" vertical="center" wrapText="1" shrinkToFit="1"/>
    </xf>
    <xf numFmtId="9" fontId="12" fillId="0" borderId="6" xfId="2" applyFont="1" applyFill="1" applyBorder="1" applyAlignment="1">
      <alignment horizontal="center" vertical="center" wrapText="1" shrinkToFit="1"/>
    </xf>
    <xf numFmtId="9" fontId="12" fillId="3" borderId="5" xfId="2" applyFont="1" applyFill="1" applyBorder="1" applyAlignment="1">
      <alignment horizontal="center" vertical="center" wrapText="1" shrinkToFit="1"/>
    </xf>
    <xf numFmtId="3" fontId="12" fillId="4" borderId="5" xfId="0" applyNumberFormat="1" applyFont="1" applyFill="1" applyBorder="1" applyAlignment="1">
      <alignment horizontal="center" vertical="center" wrapText="1" shrinkToFit="1"/>
    </xf>
    <xf numFmtId="3" fontId="12" fillId="4" borderId="6" xfId="0" applyNumberFormat="1" applyFont="1" applyFill="1" applyBorder="1" applyAlignment="1">
      <alignment horizontal="center" vertical="center" wrapText="1" shrinkToFit="1"/>
    </xf>
    <xf numFmtId="10" fontId="12" fillId="3" borderId="5" xfId="0" applyNumberFormat="1" applyFont="1" applyFill="1" applyBorder="1" applyAlignment="1">
      <alignment horizontal="center" vertical="center" wrapText="1" shrinkToFit="1"/>
    </xf>
    <xf numFmtId="3" fontId="2" fillId="3" borderId="4" xfId="0" applyNumberFormat="1" applyFont="1" applyFill="1" applyBorder="1" applyAlignment="1">
      <alignment horizontal="center" vertical="center" wrapText="1" shrinkToFit="1"/>
    </xf>
    <xf numFmtId="3" fontId="2" fillId="3" borderId="5" xfId="0" applyNumberFormat="1" applyFont="1" applyFill="1" applyBorder="1" applyAlignment="1">
      <alignment horizontal="center" vertical="center" wrapText="1" shrinkToFit="1"/>
    </xf>
    <xf numFmtId="3" fontId="2" fillId="3" borderId="6" xfId="0" applyNumberFormat="1" applyFont="1" applyFill="1" applyBorder="1" applyAlignment="1">
      <alignment horizontal="center" vertical="center" wrapText="1" shrinkToFit="1"/>
    </xf>
    <xf numFmtId="3" fontId="2" fillId="0" borderId="5" xfId="0" applyNumberFormat="1" applyFont="1" applyBorder="1" applyAlignment="1">
      <alignment horizontal="center" vertical="center" wrapText="1" shrinkToFit="1"/>
    </xf>
    <xf numFmtId="3" fontId="2" fillId="0" borderId="6" xfId="0" applyNumberFormat="1" applyFont="1" applyBorder="1" applyAlignment="1">
      <alignment horizontal="center" vertical="center" wrapText="1" shrinkToFit="1"/>
    </xf>
    <xf numFmtId="3" fontId="7" fillId="2" borderId="5" xfId="0" applyNumberFormat="1" applyFont="1" applyFill="1" applyBorder="1" applyAlignment="1">
      <alignment horizontal="center" vertical="center" wrapText="1" shrinkToFit="1"/>
    </xf>
    <xf numFmtId="3" fontId="7" fillId="2" borderId="6" xfId="0" applyNumberFormat="1" applyFont="1" applyFill="1" applyBorder="1" applyAlignment="1">
      <alignment horizontal="center" vertical="center" wrapText="1" shrinkToFit="1"/>
    </xf>
    <xf numFmtId="167" fontId="12" fillId="0" borderId="5" xfId="0" applyNumberFormat="1" applyFont="1" applyBorder="1" applyAlignment="1">
      <alignment horizontal="center" vertical="center" wrapText="1" shrinkToFit="1"/>
    </xf>
    <xf numFmtId="3" fontId="7" fillId="2" borderId="4" xfId="0" applyNumberFormat="1" applyFont="1" applyFill="1" applyBorder="1" applyAlignment="1">
      <alignment horizontal="center" vertical="center" wrapText="1" shrinkToFit="1"/>
    </xf>
    <xf numFmtId="9" fontId="2" fillId="0" borderId="6" xfId="2" applyFont="1" applyBorder="1" applyAlignment="1">
      <alignment horizontal="center" vertical="center" wrapText="1" shrinkToFit="1"/>
    </xf>
    <xf numFmtId="3" fontId="12" fillId="0" borderId="5" xfId="0" applyNumberFormat="1" applyFont="1" applyBorder="1" applyAlignment="1">
      <alignment horizontal="center" vertical="center" wrapText="1" shrinkToFit="1"/>
    </xf>
    <xf numFmtId="3" fontId="12" fillId="3" borderId="5" xfId="0" applyNumberFormat="1" applyFont="1" applyFill="1" applyBorder="1" applyAlignment="1">
      <alignment horizontal="center" vertical="center" wrapText="1" shrinkToFit="1"/>
    </xf>
    <xf numFmtId="3" fontId="12" fillId="3" borderId="6" xfId="0" applyNumberFormat="1" applyFont="1" applyFill="1" applyBorder="1" applyAlignment="1">
      <alignment horizontal="center" vertical="center" wrapText="1" shrinkToFit="1"/>
    </xf>
    <xf numFmtId="3" fontId="2" fillId="2" borderId="8" xfId="0" applyNumberFormat="1" applyFont="1" applyFill="1" applyBorder="1" applyAlignment="1">
      <alignment horizontal="center" vertical="center" wrapText="1" shrinkToFit="1"/>
    </xf>
    <xf numFmtId="3" fontId="2" fillId="2" borderId="9" xfId="0" applyNumberFormat="1" applyFont="1" applyFill="1" applyBorder="1" applyAlignment="1">
      <alignment horizontal="center" vertical="center" wrapText="1" shrinkToFit="1"/>
    </xf>
    <xf numFmtId="0" fontId="7" fillId="2" borderId="4" xfId="0" applyFont="1" applyFill="1" applyBorder="1" applyAlignment="1">
      <alignment horizontal="center" vertical="center" wrapText="1" shrinkToFit="1"/>
    </xf>
    <xf numFmtId="0" fontId="7" fillId="2" borderId="5" xfId="0" applyFont="1" applyFill="1" applyBorder="1" applyAlignment="1">
      <alignment horizontal="center" vertical="center" wrapText="1" shrinkToFit="1"/>
    </xf>
    <xf numFmtId="9" fontId="12" fillId="4" borderId="5" xfId="0" applyNumberFormat="1" applyFont="1" applyFill="1" applyBorder="1" applyAlignment="1">
      <alignment horizontal="center" vertical="center" wrapText="1" shrinkToFit="1"/>
    </xf>
    <xf numFmtId="3" fontId="2" fillId="3" borderId="7" xfId="0" applyNumberFormat="1" applyFont="1" applyFill="1" applyBorder="1" applyAlignment="1">
      <alignment horizontal="center" vertical="center" wrapText="1" shrinkToFit="1"/>
    </xf>
    <xf numFmtId="3" fontId="26" fillId="0" borderId="0" xfId="0" applyNumberFormat="1" applyFont="1" applyAlignment="1">
      <alignment horizontal="center" vertical="center" wrapText="1" shrinkToFit="1"/>
    </xf>
    <xf numFmtId="10" fontId="47" fillId="0" borderId="0" xfId="2" applyNumberFormat="1" applyFont="1" applyFill="1" applyBorder="1" applyAlignment="1">
      <alignment horizontal="center" vertical="center" wrapText="1" shrinkToFit="1"/>
    </xf>
    <xf numFmtId="10" fontId="47" fillId="4" borderId="5" xfId="2" applyNumberFormat="1" applyFont="1" applyFill="1" applyBorder="1" applyAlignment="1">
      <alignment horizontal="center" vertical="center" wrapText="1" shrinkToFit="1"/>
    </xf>
    <xf numFmtId="167" fontId="47" fillId="0" borderId="5" xfId="0" applyNumberFormat="1" applyFont="1" applyBorder="1" applyAlignment="1">
      <alignment horizontal="center" vertical="center" wrapText="1" shrinkToFit="1"/>
    </xf>
    <xf numFmtId="3" fontId="47" fillId="4" borderId="5" xfId="0" applyNumberFormat="1" applyFont="1" applyFill="1" applyBorder="1" applyAlignment="1">
      <alignment horizontal="center" vertical="center" wrapText="1" shrinkToFit="1"/>
    </xf>
    <xf numFmtId="167" fontId="47" fillId="3" borderId="5" xfId="0" applyNumberFormat="1" applyFont="1" applyFill="1" applyBorder="1" applyAlignment="1">
      <alignment horizontal="center" vertical="center" wrapText="1" shrinkToFit="1"/>
    </xf>
    <xf numFmtId="3" fontId="47" fillId="3" borderId="5" xfId="0" applyNumberFormat="1" applyFont="1" applyFill="1" applyBorder="1" applyAlignment="1">
      <alignment horizontal="center" vertical="center" wrapText="1" shrinkToFit="1"/>
    </xf>
    <xf numFmtId="10" fontId="47" fillId="4" borderId="5" xfId="0" applyNumberFormat="1" applyFont="1" applyFill="1" applyBorder="1" applyAlignment="1">
      <alignment horizontal="center" vertical="center" wrapText="1" shrinkToFit="1"/>
    </xf>
    <xf numFmtId="4" fontId="47" fillId="4" borderId="6" xfId="0" applyNumberFormat="1" applyFont="1" applyFill="1" applyBorder="1" applyAlignment="1">
      <alignment horizontal="center" vertical="center" wrapText="1" shrinkToFit="1"/>
    </xf>
    <xf numFmtId="3" fontId="47" fillId="0" borderId="5" xfId="0" applyNumberFormat="1" applyFont="1" applyBorder="1" applyAlignment="1">
      <alignment horizontal="center" vertical="center" wrapText="1" shrinkToFit="1"/>
    </xf>
    <xf numFmtId="10" fontId="14" fillId="4" borderId="14" xfId="0" applyNumberFormat="1" applyFont="1" applyFill="1" applyBorder="1" applyAlignment="1">
      <alignment horizontal="center" vertical="center" wrapText="1" shrinkToFit="1"/>
    </xf>
    <xf numFmtId="10" fontId="38" fillId="7" borderId="0" xfId="2" applyNumberFormat="1" applyFont="1" applyFill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 wrapText="1" shrinkToFit="1"/>
    </xf>
    <xf numFmtId="38" fontId="12" fillId="2" borderId="5" xfId="0" applyNumberFormat="1" applyFont="1" applyFill="1" applyBorder="1" applyAlignment="1">
      <alignment horizontal="center" vertical="center" wrapText="1" shrinkToFit="1"/>
    </xf>
    <xf numFmtId="3" fontId="12" fillId="2" borderId="5" xfId="0" applyNumberFormat="1" applyFont="1" applyFill="1" applyBorder="1" applyAlignment="1">
      <alignment horizontal="center" vertical="center" wrapText="1" shrinkToFit="1"/>
    </xf>
    <xf numFmtId="9" fontId="5" fillId="0" borderId="0" xfId="2" applyFont="1" applyAlignment="1">
      <alignment horizontal="center" vertical="center" wrapText="1" shrinkToFit="1"/>
    </xf>
    <xf numFmtId="3" fontId="2" fillId="4" borderId="4" xfId="0" applyNumberFormat="1" applyFont="1" applyFill="1" applyBorder="1" applyAlignment="1">
      <alignment horizontal="center" vertical="center" wrapText="1" shrinkToFit="1"/>
    </xf>
    <xf numFmtId="3" fontId="19" fillId="2" borderId="27" xfId="0" applyNumberFormat="1" applyFont="1" applyFill="1" applyBorder="1" applyAlignment="1">
      <alignment horizontal="center" vertical="center" wrapText="1" shrinkToFit="1"/>
    </xf>
    <xf numFmtId="38" fontId="12" fillId="3" borderId="17" xfId="0" applyNumberFormat="1" applyFont="1" applyFill="1" applyBorder="1" applyAlignment="1">
      <alignment horizontal="center" vertical="center" wrapText="1" shrinkToFit="1"/>
    </xf>
    <xf numFmtId="40" fontId="46" fillId="0" borderId="17" xfId="0" applyNumberFormat="1" applyFont="1" applyBorder="1" applyAlignment="1">
      <alignment horizontal="center" vertical="center" wrapText="1" shrinkToFit="1"/>
    </xf>
    <xf numFmtId="3" fontId="7" fillId="2" borderId="29" xfId="0" applyNumberFormat="1" applyFont="1" applyFill="1" applyBorder="1" applyAlignment="1">
      <alignment horizontal="center" vertical="center" wrapText="1" shrinkToFit="1" readingOrder="1"/>
    </xf>
    <xf numFmtId="38" fontId="12" fillId="3" borderId="25" xfId="0" applyNumberFormat="1" applyFont="1" applyFill="1" applyBorder="1" applyAlignment="1">
      <alignment horizontal="center" vertical="center" wrapText="1" shrinkToFit="1"/>
    </xf>
    <xf numFmtId="40" fontId="46" fillId="0" borderId="25" xfId="0" applyNumberFormat="1" applyFont="1" applyBorder="1" applyAlignment="1">
      <alignment horizontal="center" vertical="center" wrapText="1" shrinkToFit="1"/>
    </xf>
    <xf numFmtId="0" fontId="7" fillId="2" borderId="11" xfId="0" applyFont="1" applyFill="1" applyBorder="1" applyAlignment="1">
      <alignment horizontal="center" vertical="center" wrapText="1" shrinkToFit="1"/>
    </xf>
    <xf numFmtId="0" fontId="46" fillId="0" borderId="12" xfId="0" applyFont="1" applyBorder="1" applyAlignment="1">
      <alignment horizontal="center" vertical="center" wrapText="1" shrinkToFit="1"/>
    </xf>
    <xf numFmtId="3" fontId="48" fillId="3" borderId="3" xfId="0" applyNumberFormat="1" applyFont="1" applyFill="1" applyBorder="1" applyAlignment="1">
      <alignment horizontal="center" vertical="center" wrapText="1" shrinkToFit="1"/>
    </xf>
    <xf numFmtId="4" fontId="7" fillId="2" borderId="6" xfId="0" applyNumberFormat="1" applyFont="1" applyFill="1" applyBorder="1" applyAlignment="1">
      <alignment horizontal="center" vertical="center" wrapText="1" shrinkToFit="1"/>
    </xf>
    <xf numFmtId="10" fontId="2" fillId="4" borderId="4" xfId="2" applyNumberFormat="1" applyFont="1" applyFill="1" applyBorder="1" applyAlignment="1">
      <alignment horizontal="center" vertical="center" wrapText="1" shrinkToFit="1"/>
    </xf>
    <xf numFmtId="10" fontId="5" fillId="3" borderId="18" xfId="2" applyNumberFormat="1" applyFont="1" applyFill="1" applyBorder="1" applyAlignment="1">
      <alignment horizontal="center" vertical="center" wrapText="1" shrinkToFit="1"/>
    </xf>
    <xf numFmtId="174" fontId="14" fillId="3" borderId="18" xfId="0" applyNumberFormat="1" applyFont="1" applyFill="1" applyBorder="1" applyAlignment="1">
      <alignment horizontal="center" vertical="center" wrapText="1" shrinkToFit="1"/>
    </xf>
    <xf numFmtId="174" fontId="14" fillId="3" borderId="15" xfId="0" applyNumberFormat="1" applyFont="1" applyFill="1" applyBorder="1" applyAlignment="1">
      <alignment horizontal="center" vertical="center" wrapText="1" shrinkToFit="1"/>
    </xf>
    <xf numFmtId="178" fontId="5" fillId="4" borderId="10" xfId="0" applyNumberFormat="1" applyFont="1" applyFill="1" applyBorder="1" applyAlignment="1">
      <alignment horizontal="center" vertical="center" wrapText="1" shrinkToFit="1"/>
    </xf>
    <xf numFmtId="174" fontId="12" fillId="4" borderId="6" xfId="0" applyNumberFormat="1" applyFont="1" applyFill="1" applyBorder="1" applyAlignment="1">
      <alignment horizontal="center" vertical="center" wrapText="1" shrinkToFit="1"/>
    </xf>
    <xf numFmtId="180" fontId="5" fillId="4" borderId="14" xfId="2" applyNumberFormat="1" applyFont="1" applyFill="1" applyBorder="1" applyAlignment="1">
      <alignment horizontal="center" vertical="center" wrapText="1" shrinkToFit="1"/>
    </xf>
    <xf numFmtId="40" fontId="12" fillId="3" borderId="12" xfId="0" applyNumberFormat="1" applyFont="1" applyFill="1" applyBorder="1" applyAlignment="1">
      <alignment horizontal="center" vertical="center" wrapText="1" shrinkToFit="1"/>
    </xf>
    <xf numFmtId="3" fontId="7" fillId="2" borderId="27" xfId="0" applyNumberFormat="1" applyFont="1" applyFill="1" applyBorder="1" applyAlignment="1">
      <alignment horizontal="center" vertical="center" wrapText="1" shrinkToFit="1" readingOrder="1"/>
    </xf>
    <xf numFmtId="3" fontId="7" fillId="2" borderId="1" xfId="0" applyNumberFormat="1" applyFont="1" applyFill="1" applyBorder="1" applyAlignment="1">
      <alignment horizontal="center" vertical="center" wrapText="1" shrinkToFit="1" readingOrder="1"/>
    </xf>
    <xf numFmtId="38" fontId="12" fillId="0" borderId="2" xfId="1" applyNumberFormat="1" applyFont="1" applyFill="1" applyBorder="1" applyAlignment="1">
      <alignment horizontal="center" vertical="center" wrapText="1" shrinkToFit="1"/>
    </xf>
    <xf numFmtId="38" fontId="12" fillId="0" borderId="3" xfId="1" applyNumberFormat="1" applyFont="1" applyFill="1" applyBorder="1" applyAlignment="1">
      <alignment horizontal="center" vertical="center" wrapText="1" shrinkToFit="1"/>
    </xf>
    <xf numFmtId="3" fontId="49" fillId="0" borderId="9" xfId="0" applyNumberFormat="1" applyFont="1" applyBorder="1" applyAlignment="1">
      <alignment horizontal="center" vertical="center" wrapText="1" shrinkToFit="1"/>
    </xf>
    <xf numFmtId="10" fontId="19" fillId="2" borderId="6" xfId="2" applyNumberFormat="1" applyFont="1" applyFill="1" applyBorder="1" applyAlignment="1">
      <alignment horizontal="center" vertical="center" wrapText="1" shrinkToFit="1"/>
    </xf>
    <xf numFmtId="38" fontId="12" fillId="0" borderId="12" xfId="1" applyNumberFormat="1" applyFont="1" applyFill="1" applyBorder="1" applyAlignment="1">
      <alignment horizontal="center" vertical="center" wrapText="1" shrinkToFit="1"/>
    </xf>
    <xf numFmtId="38" fontId="12" fillId="0" borderId="13" xfId="1" applyNumberFormat="1" applyFont="1" applyFill="1" applyBorder="1" applyAlignment="1">
      <alignment horizontal="center" vertical="center" wrapText="1" shrinkToFit="1"/>
    </xf>
    <xf numFmtId="38" fontId="12" fillId="2" borderId="6" xfId="0" applyNumberFormat="1" applyFont="1" applyFill="1" applyBorder="1" applyAlignment="1">
      <alignment horizontal="center" vertical="center" wrapText="1" shrinkToFit="1"/>
    </xf>
    <xf numFmtId="38" fontId="12" fillId="3" borderId="12" xfId="0" applyNumberFormat="1" applyFont="1" applyFill="1" applyBorder="1" applyAlignment="1">
      <alignment horizontal="center" vertical="center" wrapText="1" shrinkToFit="1"/>
    </xf>
    <xf numFmtId="3" fontId="16" fillId="3" borderId="6" xfId="0" applyNumberFormat="1" applyFont="1" applyFill="1" applyBorder="1" applyAlignment="1">
      <alignment horizontal="center" vertical="center" wrapText="1" shrinkToFit="1"/>
    </xf>
    <xf numFmtId="38" fontId="12" fillId="0" borderId="5" xfId="1" applyNumberFormat="1" applyFont="1" applyFill="1" applyBorder="1" applyAlignment="1">
      <alignment horizontal="center" vertical="center" wrapText="1" shrinkToFit="1"/>
    </xf>
    <xf numFmtId="38" fontId="12" fillId="0" borderId="6" xfId="1" applyNumberFormat="1" applyFont="1" applyFill="1" applyBorder="1" applyAlignment="1">
      <alignment horizontal="center" vertical="center" wrapText="1" shrinkToFit="1"/>
    </xf>
    <xf numFmtId="38" fontId="12" fillId="3" borderId="5" xfId="1" applyNumberFormat="1" applyFont="1" applyFill="1" applyBorder="1" applyAlignment="1">
      <alignment horizontal="center" vertical="center" wrapText="1" shrinkToFit="1"/>
    </xf>
    <xf numFmtId="38" fontId="12" fillId="3" borderId="6" xfId="1" applyNumberFormat="1" applyFont="1" applyFill="1" applyBorder="1" applyAlignment="1">
      <alignment horizontal="center" vertical="center" wrapText="1" shrinkToFit="1"/>
    </xf>
    <xf numFmtId="38" fontId="12" fillId="3" borderId="17" xfId="1" applyNumberFormat="1" applyFont="1" applyFill="1" applyBorder="1" applyAlignment="1">
      <alignment horizontal="center" vertical="center" wrapText="1" shrinkToFit="1"/>
    </xf>
    <xf numFmtId="38" fontId="12" fillId="3" borderId="25" xfId="1" applyNumberFormat="1" applyFont="1" applyFill="1" applyBorder="1" applyAlignment="1">
      <alignment horizontal="center" vertical="center" wrapText="1" shrinkToFit="1"/>
    </xf>
    <xf numFmtId="38" fontId="12" fillId="3" borderId="28" xfId="1" applyNumberFormat="1" applyFont="1" applyFill="1" applyBorder="1" applyAlignment="1">
      <alignment horizontal="center" vertical="center" wrapText="1" shrinkToFit="1"/>
    </xf>
    <xf numFmtId="38" fontId="12" fillId="3" borderId="30" xfId="1" applyNumberFormat="1" applyFont="1" applyFill="1" applyBorder="1" applyAlignment="1">
      <alignment horizontal="center" vertical="center" wrapText="1" shrinkToFit="1"/>
    </xf>
    <xf numFmtId="38" fontId="12" fillId="3" borderId="5" xfId="0" applyNumberFormat="1" applyFont="1" applyFill="1" applyBorder="1" applyAlignment="1">
      <alignment horizontal="center" vertical="center" wrapText="1" shrinkToFit="1"/>
    </xf>
    <xf numFmtId="10" fontId="19" fillId="2" borderId="5" xfId="2" applyNumberFormat="1" applyFont="1" applyFill="1" applyBorder="1" applyAlignment="1">
      <alignment horizontal="center" vertical="center" wrapText="1" shrinkToFit="1"/>
    </xf>
    <xf numFmtId="38" fontId="12" fillId="6" borderId="0" xfId="1" applyNumberFormat="1" applyFont="1" applyFill="1" applyBorder="1" applyAlignment="1">
      <alignment vertical="center" wrapText="1" shrinkToFit="1"/>
    </xf>
    <xf numFmtId="3" fontId="12" fillId="3" borderId="1" xfId="0" applyNumberFormat="1" applyFont="1" applyFill="1" applyBorder="1" applyAlignment="1">
      <alignment horizontal="center" vertical="center" wrapText="1" shrinkToFit="1"/>
    </xf>
    <xf numFmtId="40" fontId="12" fillId="3" borderId="7" xfId="0" applyNumberFormat="1" applyFont="1" applyFill="1" applyBorder="1" applyAlignment="1">
      <alignment horizontal="center" vertical="center" wrapText="1" shrinkToFit="1"/>
    </xf>
    <xf numFmtId="3" fontId="12" fillId="0" borderId="4" xfId="0" applyNumberFormat="1" applyFont="1" applyBorder="1" applyAlignment="1">
      <alignment horizontal="right" vertical="center" wrapText="1" shrinkToFit="1"/>
    </xf>
    <xf numFmtId="38" fontId="12" fillId="0" borderId="5" xfId="0" applyNumberFormat="1" applyFont="1" applyBorder="1" applyAlignment="1">
      <alignment horizontal="center" vertical="center" wrapText="1" shrinkToFit="1"/>
    </xf>
    <xf numFmtId="38" fontId="12" fillId="0" borderId="6" xfId="0" applyNumberFormat="1" applyFont="1" applyBorder="1" applyAlignment="1">
      <alignment horizontal="center" vertical="center" wrapText="1" shrinkToFit="1"/>
    </xf>
    <xf numFmtId="38" fontId="8" fillId="3" borderId="5" xfId="0" applyNumberFormat="1" applyFont="1" applyFill="1" applyBorder="1" applyAlignment="1">
      <alignment horizontal="center" vertical="center" wrapText="1" shrinkToFit="1"/>
    </xf>
    <xf numFmtId="38" fontId="12" fillId="4" borderId="6" xfId="1" applyNumberFormat="1" applyFont="1" applyFill="1" applyBorder="1" applyAlignment="1">
      <alignment horizontal="center" vertical="center" wrapText="1" shrinkToFit="1"/>
    </xf>
    <xf numFmtId="38" fontId="12" fillId="6" borderId="16" xfId="1" applyNumberFormat="1" applyFont="1" applyFill="1" applyBorder="1" applyAlignment="1">
      <alignment vertical="center" wrapText="1" shrinkToFit="1"/>
    </xf>
    <xf numFmtId="38" fontId="12" fillId="6" borderId="31" xfId="1" applyNumberFormat="1" applyFont="1" applyFill="1" applyBorder="1" applyAlignment="1">
      <alignment vertical="center" wrapText="1" shrinkToFit="1"/>
    </xf>
    <xf numFmtId="38" fontId="12" fillId="6" borderId="26" xfId="1" applyNumberFormat="1" applyFont="1" applyFill="1" applyBorder="1" applyAlignment="1">
      <alignment vertical="center" wrapText="1" shrinkToFit="1"/>
    </xf>
    <xf numFmtId="38" fontId="12" fillId="6" borderId="32" xfId="1" applyNumberFormat="1" applyFont="1" applyFill="1" applyBorder="1" applyAlignment="1">
      <alignment vertical="center" wrapText="1" shrinkToFit="1"/>
    </xf>
    <xf numFmtId="38" fontId="12" fillId="6" borderId="34" xfId="1" applyNumberFormat="1" applyFont="1" applyFill="1" applyBorder="1" applyAlignment="1">
      <alignment vertical="center" wrapText="1" shrinkToFit="1"/>
    </xf>
    <xf numFmtId="3" fontId="16" fillId="0" borderId="5" xfId="0" applyNumberFormat="1" applyFont="1" applyBorder="1" applyAlignment="1">
      <alignment horizontal="center" vertical="center" wrapText="1" shrinkToFit="1"/>
    </xf>
    <xf numFmtId="3" fontId="16" fillId="2" borderId="8" xfId="0" applyNumberFormat="1" applyFont="1" applyFill="1" applyBorder="1" applyAlignment="1">
      <alignment horizontal="center" vertical="center" wrapText="1" shrinkToFit="1"/>
    </xf>
    <xf numFmtId="3" fontId="49" fillId="0" borderId="6" xfId="0" applyNumberFormat="1" applyFont="1" applyBorder="1" applyAlignment="1">
      <alignment horizontal="center" vertical="center" wrapText="1" shrinkToFit="1"/>
    </xf>
    <xf numFmtId="3" fontId="49" fillId="3" borderId="6" xfId="0" applyNumberFormat="1" applyFont="1" applyFill="1" applyBorder="1" applyAlignment="1">
      <alignment horizontal="center" vertical="center" wrapText="1" shrinkToFit="1"/>
    </xf>
    <xf numFmtId="3" fontId="49" fillId="2" borderId="9" xfId="0" applyNumberFormat="1" applyFont="1" applyFill="1" applyBorder="1" applyAlignment="1">
      <alignment horizontal="center" vertical="center" wrapText="1" shrinkToFit="1"/>
    </xf>
    <xf numFmtId="204" fontId="50" fillId="0" borderId="0" xfId="0" applyNumberFormat="1" applyFont="1" applyAlignment="1">
      <alignment horizontal="center" vertical="center" wrapText="1" shrinkToFit="1"/>
    </xf>
    <xf numFmtId="10" fontId="5" fillId="3" borderId="15" xfId="2" applyNumberFormat="1" applyFont="1" applyFill="1" applyBorder="1" applyAlignment="1">
      <alignment horizontal="center" vertical="center" wrapText="1" shrinkToFit="1"/>
    </xf>
    <xf numFmtId="3" fontId="16" fillId="0" borderId="6" xfId="0" applyNumberFormat="1" applyFont="1" applyBorder="1" applyAlignment="1">
      <alignment horizontal="center" vertical="center" wrapText="1" shrinkToFit="1"/>
    </xf>
    <xf numFmtId="172" fontId="16" fillId="2" borderId="8" xfId="0" applyNumberFormat="1" applyFont="1" applyFill="1" applyBorder="1" applyAlignment="1">
      <alignment horizontal="center" vertical="center" wrapText="1" shrinkToFit="1"/>
    </xf>
    <xf numFmtId="3" fontId="16" fillId="2" borderId="9" xfId="0" applyNumberFormat="1" applyFont="1" applyFill="1" applyBorder="1" applyAlignment="1">
      <alignment horizontal="center" vertical="center" wrapText="1" shrinkToFit="1"/>
    </xf>
    <xf numFmtId="3" fontId="51" fillId="3" borderId="3" xfId="0" applyNumberFormat="1" applyFont="1" applyFill="1" applyBorder="1" applyAlignment="1">
      <alignment horizontal="center" vertical="center" wrapText="1" shrinkToFit="1"/>
    </xf>
    <xf numFmtId="38" fontId="51" fillId="3" borderId="9" xfId="0" applyNumberFormat="1" applyFont="1" applyFill="1" applyBorder="1" applyAlignment="1">
      <alignment horizontal="center" vertical="center" wrapText="1" shrinkToFit="1"/>
    </xf>
    <xf numFmtId="3" fontId="18" fillId="0" borderId="0" xfId="0" applyNumberFormat="1" applyFont="1" applyAlignment="1">
      <alignment vertical="center" wrapText="1" shrinkToFit="1"/>
    </xf>
    <xf numFmtId="9" fontId="12" fillId="0" borderId="0" xfId="2" applyFont="1" applyAlignment="1">
      <alignment horizontal="center" vertical="center" wrapText="1" shrinkToFit="1"/>
    </xf>
    <xf numFmtId="174" fontId="12" fillId="0" borderId="0" xfId="2" applyNumberFormat="1" applyFont="1" applyAlignment="1">
      <alignment horizontal="center" vertical="center" wrapText="1" shrinkToFit="1"/>
    </xf>
    <xf numFmtId="3" fontId="49" fillId="3" borderId="5" xfId="0" applyNumberFormat="1" applyFont="1" applyFill="1" applyBorder="1" applyAlignment="1">
      <alignment horizontal="center" vertical="center" wrapText="1" shrinkToFit="1"/>
    </xf>
    <xf numFmtId="10" fontId="49" fillId="3" borderId="6" xfId="2" applyNumberFormat="1" applyFont="1" applyFill="1" applyBorder="1" applyAlignment="1">
      <alignment horizontal="center" vertical="center" wrapText="1" shrinkToFit="1"/>
    </xf>
    <xf numFmtId="3" fontId="49" fillId="0" borderId="5" xfId="0" applyNumberFormat="1" applyFont="1" applyBorder="1" applyAlignment="1">
      <alignment horizontal="center" vertical="center" wrapText="1" shrinkToFit="1"/>
    </xf>
    <xf numFmtId="10" fontId="49" fillId="0" borderId="6" xfId="2" applyNumberFormat="1" applyFont="1" applyBorder="1" applyAlignment="1">
      <alignment horizontal="center" vertical="center" wrapText="1" shrinkToFit="1"/>
    </xf>
    <xf numFmtId="10" fontId="49" fillId="3" borderId="9" xfId="2" applyNumberFormat="1" applyFont="1" applyFill="1" applyBorder="1" applyAlignment="1">
      <alignment horizontal="center" vertical="center" wrapText="1" shrinkToFit="1"/>
    </xf>
    <xf numFmtId="181" fontId="50" fillId="0" borderId="5" xfId="0" applyNumberFormat="1" applyFont="1" applyBorder="1" applyAlignment="1">
      <alignment horizontal="center" vertical="center" wrapText="1" shrinkToFit="1"/>
    </xf>
    <xf numFmtId="38" fontId="50" fillId="3" borderId="1" xfId="0" applyNumberFormat="1" applyFont="1" applyFill="1" applyBorder="1" applyAlignment="1">
      <alignment horizontal="center" vertical="center" wrapText="1" shrinkToFit="1"/>
    </xf>
    <xf numFmtId="3" fontId="50" fillId="3" borderId="7" xfId="0" applyNumberFormat="1" applyFont="1" applyFill="1" applyBorder="1" applyAlignment="1">
      <alignment horizontal="center" vertical="center" wrapText="1" shrinkToFit="1"/>
    </xf>
    <xf numFmtId="3" fontId="50" fillId="3" borderId="15" xfId="0" applyNumberFormat="1" applyFont="1" applyFill="1" applyBorder="1" applyAlignment="1">
      <alignment horizontal="center" vertical="center" wrapText="1" shrinkToFit="1"/>
    </xf>
    <xf numFmtId="166" fontId="2" fillId="3" borderId="6" xfId="0" applyNumberFormat="1" applyFont="1" applyFill="1" applyBorder="1" applyAlignment="1">
      <alignment horizontal="center" vertical="center" shrinkToFit="1"/>
    </xf>
    <xf numFmtId="3" fontId="3" fillId="13" borderId="8" xfId="0" applyNumberFormat="1" applyFont="1" applyFill="1" applyBorder="1" applyAlignment="1">
      <alignment horizontal="center" vertical="center" wrapText="1" shrinkToFit="1"/>
    </xf>
    <xf numFmtId="9" fontId="3" fillId="13" borderId="9" xfId="2" applyFont="1" applyFill="1" applyBorder="1" applyAlignment="1">
      <alignment horizontal="center" vertical="center" wrapText="1" shrinkToFit="1"/>
    </xf>
    <xf numFmtId="38" fontId="12" fillId="3" borderId="36" xfId="1" applyNumberFormat="1" applyFont="1" applyFill="1" applyBorder="1" applyAlignment="1">
      <alignment horizontal="center" vertical="center" wrapText="1" shrinkToFit="1"/>
    </xf>
    <xf numFmtId="38" fontId="12" fillId="3" borderId="36" xfId="0" applyNumberFormat="1" applyFont="1" applyFill="1" applyBorder="1" applyAlignment="1">
      <alignment horizontal="center" vertical="center" wrapText="1" shrinkToFit="1"/>
    </xf>
    <xf numFmtId="3" fontId="12" fillId="2" borderId="27" xfId="0" applyNumberFormat="1" applyFont="1" applyFill="1" applyBorder="1" applyAlignment="1">
      <alignment horizontal="center" vertical="center" wrapText="1" shrinkToFit="1"/>
    </xf>
    <xf numFmtId="38" fontId="12" fillId="2" borderId="17" xfId="0" applyNumberFormat="1" applyFont="1" applyFill="1" applyBorder="1" applyAlignment="1">
      <alignment horizontal="center" vertical="center" wrapText="1" shrinkToFit="1"/>
    </xf>
    <xf numFmtId="3" fontId="51" fillId="2" borderId="17" xfId="0" applyNumberFormat="1" applyFont="1" applyFill="1" applyBorder="1" applyAlignment="1">
      <alignment horizontal="center" vertical="center" wrapText="1" shrinkToFit="1"/>
    </xf>
    <xf numFmtId="40" fontId="46" fillId="0" borderId="3" xfId="0" applyNumberFormat="1" applyFont="1" applyBorder="1" applyAlignment="1">
      <alignment horizontal="center" vertical="center" wrapText="1" shrinkToFit="1"/>
    </xf>
    <xf numFmtId="40" fontId="46" fillId="0" borderId="6" xfId="0" applyNumberFormat="1" applyFont="1" applyBorder="1" applyAlignment="1">
      <alignment horizontal="center" vertical="center" wrapText="1" shrinkToFit="1"/>
    </xf>
    <xf numFmtId="10" fontId="2" fillId="0" borderId="0" xfId="2" applyNumberFormat="1" applyFont="1" applyAlignment="1">
      <alignment horizontal="center" vertical="center" wrapText="1" shrinkToFit="1"/>
    </xf>
    <xf numFmtId="10" fontId="5" fillId="0" borderId="0" xfId="2" applyNumberFormat="1" applyFont="1" applyAlignment="1">
      <alignment horizontal="center" vertical="center" wrapText="1" shrinkToFit="1"/>
    </xf>
    <xf numFmtId="205" fontId="12" fillId="0" borderId="0" xfId="2" applyNumberFormat="1" applyFont="1" applyAlignment="1">
      <alignment horizontal="center" vertical="center" wrapText="1" shrinkToFit="1"/>
    </xf>
    <xf numFmtId="206" fontId="12" fillId="0" borderId="0" xfId="2" applyNumberFormat="1" applyFont="1" applyAlignment="1">
      <alignment horizontal="center" vertical="center" wrapText="1" shrinkToFit="1"/>
    </xf>
    <xf numFmtId="38" fontId="14" fillId="0" borderId="17" xfId="0" applyNumberFormat="1" applyFont="1" applyBorder="1" applyAlignment="1">
      <alignment horizontal="center" vertical="center" wrapText="1" shrinkToFit="1"/>
    </xf>
    <xf numFmtId="0" fontId="14" fillId="0" borderId="0" xfId="0" applyFont="1" applyAlignment="1">
      <alignment horizontal="center" vertical="center" wrapText="1" shrinkToFit="1"/>
    </xf>
    <xf numFmtId="3" fontId="14" fillId="3" borderId="18" xfId="0" applyNumberFormat="1" applyFont="1" applyFill="1" applyBorder="1" applyAlignment="1">
      <alignment horizontal="center" vertical="center" wrapText="1" shrinkToFit="1"/>
    </xf>
    <xf numFmtId="3" fontId="6" fillId="2" borderId="1" xfId="0" applyNumberFormat="1" applyFont="1" applyFill="1" applyBorder="1" applyAlignment="1">
      <alignment horizontal="centerContinuous" vertical="center" wrapText="1" shrinkToFit="1"/>
    </xf>
    <xf numFmtId="3" fontId="6" fillId="2" borderId="2" xfId="0" applyNumberFormat="1" applyFont="1" applyFill="1" applyBorder="1" applyAlignment="1">
      <alignment horizontal="centerContinuous" vertical="center" wrapText="1" shrinkToFit="1"/>
    </xf>
    <xf numFmtId="3" fontId="6" fillId="2" borderId="3" xfId="0" applyNumberFormat="1" applyFont="1" applyFill="1" applyBorder="1" applyAlignment="1">
      <alignment horizontal="centerContinuous" vertical="center" wrapText="1" shrinkToFit="1"/>
    </xf>
    <xf numFmtId="3" fontId="12" fillId="0" borderId="5" xfId="0" applyNumberFormat="1" applyFont="1" applyBorder="1" applyAlignment="1">
      <alignment horizontal="centerContinuous" vertical="center" wrapText="1" shrinkToFit="1"/>
    </xf>
    <xf numFmtId="207" fontId="2" fillId="0" borderId="0" xfId="0" applyNumberFormat="1" applyFont="1" applyAlignment="1">
      <alignment horizontal="center" vertical="center" wrapText="1" shrinkToFit="1"/>
    </xf>
    <xf numFmtId="3" fontId="2" fillId="0" borderId="5" xfId="0" applyNumberFormat="1" applyFont="1" applyBorder="1" applyAlignment="1">
      <alignment horizontal="centerContinuous" vertical="center" wrapText="1" shrinkToFit="1"/>
    </xf>
    <xf numFmtId="3" fontId="2" fillId="0" borderId="6" xfId="0" applyNumberFormat="1" applyFont="1" applyBorder="1" applyAlignment="1">
      <alignment horizontal="centerContinuous" vertical="center" wrapText="1" shrinkToFit="1"/>
    </xf>
    <xf numFmtId="10" fontId="19" fillId="13" borderId="5" xfId="2" applyNumberFormat="1" applyFont="1" applyFill="1" applyBorder="1" applyAlignment="1">
      <alignment horizontal="center" vertical="center" wrapText="1" shrinkToFit="1"/>
    </xf>
    <xf numFmtId="189" fontId="16" fillId="3" borderId="15" xfId="0" applyNumberFormat="1" applyFont="1" applyFill="1" applyBorder="1" applyAlignment="1">
      <alignment horizontal="center" vertical="center" wrapText="1" shrinkToFit="1"/>
    </xf>
    <xf numFmtId="208" fontId="2" fillId="4" borderId="18" xfId="2" applyNumberFormat="1" applyFont="1" applyFill="1" applyBorder="1" applyAlignment="1">
      <alignment horizontal="center" vertical="center" wrapText="1" shrinkToFit="1"/>
    </xf>
    <xf numFmtId="208" fontId="2" fillId="4" borderId="14" xfId="2" applyNumberFormat="1" applyFont="1" applyFill="1" applyBorder="1" applyAlignment="1">
      <alignment horizontal="center" vertical="center" wrapText="1" shrinkToFit="1"/>
    </xf>
    <xf numFmtId="3" fontId="2" fillId="0" borderId="15" xfId="0" applyNumberFormat="1" applyFont="1" applyBorder="1" applyAlignment="1">
      <alignment horizontal="center" vertical="center" wrapText="1" shrinkToFit="1"/>
    </xf>
    <xf numFmtId="184" fontId="14" fillId="3" borderId="43" xfId="0" applyNumberFormat="1" applyFont="1" applyFill="1" applyBorder="1" applyAlignment="1">
      <alignment horizontal="center" vertical="center" wrapText="1" shrinkToFit="1"/>
    </xf>
    <xf numFmtId="10" fontId="2" fillId="6" borderId="5" xfId="2" applyNumberFormat="1" applyFont="1" applyFill="1" applyBorder="1" applyAlignment="1">
      <alignment horizontal="center" vertical="center" wrapText="1" shrinkToFit="1"/>
    </xf>
    <xf numFmtId="10" fontId="47" fillId="0" borderId="5" xfId="2" applyNumberFormat="1" applyFont="1" applyFill="1" applyBorder="1" applyAlignment="1">
      <alignment horizontal="center" vertical="center" wrapText="1" shrinkToFit="1"/>
    </xf>
    <xf numFmtId="4" fontId="47" fillId="0" borderId="6" xfId="0" applyNumberFormat="1" applyFont="1" applyBorder="1" applyAlignment="1">
      <alignment horizontal="center" vertical="center" wrapText="1" shrinkToFit="1"/>
    </xf>
    <xf numFmtId="10" fontId="3" fillId="3" borderId="5" xfId="0" applyNumberFormat="1" applyFont="1" applyFill="1" applyBorder="1" applyAlignment="1">
      <alignment horizontal="center" vertical="center" wrapText="1" shrinkToFit="1"/>
    </xf>
    <xf numFmtId="167" fontId="15" fillId="3" borderId="5" xfId="0" applyNumberFormat="1" applyFont="1" applyFill="1" applyBorder="1" applyAlignment="1">
      <alignment horizontal="center" vertical="center" wrapText="1" shrinkToFit="1"/>
    </xf>
    <xf numFmtId="10" fontId="47" fillId="3" borderId="5" xfId="0" applyNumberFormat="1" applyFont="1" applyFill="1" applyBorder="1" applyAlignment="1">
      <alignment horizontal="center" vertical="center" wrapText="1" shrinkToFit="1"/>
    </xf>
    <xf numFmtId="4" fontId="47" fillId="3" borderId="6" xfId="0" applyNumberFormat="1" applyFont="1" applyFill="1" applyBorder="1" applyAlignment="1">
      <alignment horizontal="center" vertical="center" wrapText="1" shrinkToFit="1"/>
    </xf>
    <xf numFmtId="3" fontId="12" fillId="2" borderId="12" xfId="0" applyNumberFormat="1" applyFont="1" applyFill="1" applyBorder="1" applyAlignment="1">
      <alignment horizontal="center" vertical="center" wrapText="1" shrinkToFit="1"/>
    </xf>
    <xf numFmtId="3" fontId="16" fillId="2" borderId="12" xfId="0" applyNumberFormat="1" applyFont="1" applyFill="1" applyBorder="1" applyAlignment="1">
      <alignment horizontal="center" vertical="center" wrapText="1" shrinkToFit="1"/>
    </xf>
    <xf numFmtId="185" fontId="16" fillId="2" borderId="12" xfId="0" applyNumberFormat="1" applyFont="1" applyFill="1" applyBorder="1" applyAlignment="1">
      <alignment horizontal="center" vertical="center" wrapText="1" shrinkToFit="1"/>
    </xf>
    <xf numFmtId="185" fontId="49" fillId="2" borderId="12" xfId="0" applyNumberFormat="1" applyFont="1" applyFill="1" applyBorder="1" applyAlignment="1">
      <alignment horizontal="center" vertical="center" wrapText="1" shrinkToFit="1"/>
    </xf>
    <xf numFmtId="3" fontId="49" fillId="2" borderId="12" xfId="0" applyNumberFormat="1" applyFont="1" applyFill="1" applyBorder="1" applyAlignment="1">
      <alignment horizontal="center" vertical="center" wrapText="1" shrinkToFit="1"/>
    </xf>
    <xf numFmtId="187" fontId="49" fillId="2" borderId="13" xfId="2" applyNumberFormat="1" applyFont="1" applyFill="1" applyBorder="1" applyAlignment="1">
      <alignment horizontal="center" vertical="center" wrapText="1" shrinkToFit="1"/>
    </xf>
    <xf numFmtId="3" fontId="12" fillId="2" borderId="10" xfId="0" applyNumberFormat="1" applyFont="1" applyFill="1" applyBorder="1" applyAlignment="1">
      <alignment horizontal="center" vertical="center" wrapText="1" shrinkToFit="1"/>
    </xf>
    <xf numFmtId="3" fontId="12" fillId="0" borderId="7" xfId="0" applyNumberFormat="1" applyFont="1" applyBorder="1" applyAlignment="1">
      <alignment horizontal="center" vertical="center" wrapText="1" shrinkToFit="1"/>
    </xf>
    <xf numFmtId="3" fontId="12" fillId="0" borderId="8" xfId="0" applyNumberFormat="1" applyFont="1" applyBorder="1" applyAlignment="1">
      <alignment horizontal="center" vertical="center" wrapText="1" shrinkToFit="1"/>
    </xf>
    <xf numFmtId="3" fontId="16" fillId="0" borderId="8" xfId="0" applyNumberFormat="1" applyFont="1" applyBorder="1" applyAlignment="1">
      <alignment horizontal="center" vertical="center" wrapText="1" shrinkToFit="1"/>
    </xf>
    <xf numFmtId="3" fontId="49" fillId="0" borderId="8" xfId="0" applyNumberFormat="1" applyFont="1" applyBorder="1" applyAlignment="1">
      <alignment horizontal="center" vertical="center" wrapText="1" shrinkToFit="1"/>
    </xf>
    <xf numFmtId="165" fontId="5" fillId="4" borderId="15" xfId="2" applyNumberFormat="1" applyFont="1" applyFill="1" applyBorder="1" applyAlignment="1">
      <alignment horizontal="center" vertical="center" wrapText="1" shrinkToFit="1"/>
    </xf>
    <xf numFmtId="9" fontId="37" fillId="8" borderId="24" xfId="0" applyNumberFormat="1" applyFont="1" applyFill="1" applyBorder="1" applyAlignment="1">
      <alignment horizontal="center" vertical="center"/>
    </xf>
    <xf numFmtId="0" fontId="28" fillId="6" borderId="0" xfId="0" applyFont="1" applyFill="1" applyAlignment="1">
      <alignment vertical="center"/>
    </xf>
    <xf numFmtId="3" fontId="28" fillId="6" borderId="0" xfId="0" applyNumberFormat="1" applyFont="1" applyFill="1" applyAlignment="1">
      <alignment vertical="center"/>
    </xf>
    <xf numFmtId="3" fontId="12" fillId="0" borderId="27" xfId="0" applyNumberFormat="1" applyFont="1" applyBorder="1" applyAlignment="1">
      <alignment horizontal="center" vertical="center" wrapText="1" shrinkToFit="1"/>
    </xf>
    <xf numFmtId="3" fontId="2" fillId="2" borderId="4" xfId="0" applyNumberFormat="1" applyFont="1" applyFill="1" applyBorder="1" applyAlignment="1">
      <alignment horizontal="center" vertical="center" wrapText="1" shrinkToFit="1"/>
    </xf>
    <xf numFmtId="3" fontId="2" fillId="2" borderId="5" xfId="0" applyNumberFormat="1" applyFont="1" applyFill="1" applyBorder="1" applyAlignment="1">
      <alignment horizontal="center" vertical="center" wrapText="1" shrinkToFit="1"/>
    </xf>
    <xf numFmtId="9" fontId="2" fillId="2" borderId="6" xfId="2" applyFont="1" applyFill="1" applyBorder="1" applyAlignment="1">
      <alignment horizontal="center" vertical="center" wrapText="1" shrinkToFit="1"/>
    </xf>
    <xf numFmtId="38" fontId="34" fillId="7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3" fontId="30" fillId="7" borderId="0" xfId="0" applyNumberFormat="1" applyFont="1" applyFill="1" applyAlignment="1">
      <alignment horizontal="center" vertical="center"/>
    </xf>
    <xf numFmtId="9" fontId="30" fillId="7" borderId="0" xfId="2" applyFont="1" applyFill="1" applyAlignment="1">
      <alignment horizontal="center" vertical="center"/>
    </xf>
    <xf numFmtId="3" fontId="30" fillId="6" borderId="0" xfId="0" applyNumberFormat="1" applyFont="1" applyFill="1" applyAlignment="1">
      <alignment vertical="center"/>
    </xf>
    <xf numFmtId="38" fontId="30" fillId="6" borderId="0" xfId="0" applyNumberFormat="1" applyFont="1" applyFill="1" applyAlignment="1">
      <alignment vertical="center"/>
    </xf>
    <xf numFmtId="0" fontId="30" fillId="6" borderId="0" xfId="0" applyFont="1" applyFill="1" applyAlignment="1">
      <alignment vertical="center"/>
    </xf>
    <xf numFmtId="40" fontId="30" fillId="6" borderId="0" xfId="0" applyNumberFormat="1" applyFont="1" applyFill="1" applyAlignment="1">
      <alignment vertical="center"/>
    </xf>
    <xf numFmtId="0" fontId="30" fillId="7" borderId="0" xfId="0" applyFont="1" applyFill="1" applyAlignment="1">
      <alignment vertical="center"/>
    </xf>
    <xf numFmtId="3" fontId="30" fillId="7" borderId="0" xfId="0" applyNumberFormat="1" applyFont="1" applyFill="1" applyAlignment="1">
      <alignment vertical="center"/>
    </xf>
    <xf numFmtId="209" fontId="27" fillId="7" borderId="50" xfId="0" applyNumberFormat="1" applyFont="1" applyFill="1" applyBorder="1" applyAlignment="1">
      <alignment horizontal="right" vertical="center"/>
    </xf>
    <xf numFmtId="209" fontId="27" fillId="6" borderId="50" xfId="0" applyNumberFormat="1" applyFont="1" applyFill="1" applyBorder="1" applyAlignment="1">
      <alignment horizontal="center" vertical="center"/>
    </xf>
    <xf numFmtId="209" fontId="27" fillId="7" borderId="50" xfId="0" applyNumberFormat="1" applyFont="1" applyFill="1" applyBorder="1" applyAlignment="1">
      <alignment horizontal="center" vertical="center"/>
    </xf>
    <xf numFmtId="209" fontId="27" fillId="6" borderId="52" xfId="0" applyNumberFormat="1" applyFont="1" applyFill="1" applyBorder="1" applyAlignment="1">
      <alignment horizontal="center" vertical="center"/>
    </xf>
    <xf numFmtId="209" fontId="27" fillId="6" borderId="51" xfId="0" applyNumberFormat="1" applyFont="1" applyFill="1" applyBorder="1" applyAlignment="1">
      <alignment horizontal="center" vertical="center"/>
    </xf>
    <xf numFmtId="209" fontId="27" fillId="7" borderId="52" xfId="0" applyNumberFormat="1" applyFont="1" applyFill="1" applyBorder="1" applyAlignment="1">
      <alignment horizontal="center" vertical="center"/>
    </xf>
    <xf numFmtId="209" fontId="27" fillId="7" borderId="51" xfId="0" applyNumberFormat="1" applyFont="1" applyFill="1" applyBorder="1" applyAlignment="1">
      <alignment horizontal="center" vertical="center"/>
    </xf>
    <xf numFmtId="38" fontId="12" fillId="0" borderId="5" xfId="1" applyNumberFormat="1" applyFont="1" applyFill="1" applyBorder="1" applyAlignment="1">
      <alignment horizontal="center" vertical="center" wrapText="1" shrinkToFit="1"/>
    </xf>
    <xf numFmtId="38" fontId="12" fillId="3" borderId="5" xfId="1" applyNumberFormat="1" applyFont="1" applyFill="1" applyBorder="1" applyAlignment="1">
      <alignment horizontal="center" vertical="center" wrapText="1" shrinkToFit="1"/>
    </xf>
    <xf numFmtId="38" fontId="12" fillId="0" borderId="8" xfId="1" applyNumberFormat="1" applyFont="1" applyFill="1" applyBorder="1" applyAlignment="1">
      <alignment horizontal="center" vertical="center" wrapText="1" shrinkToFit="1"/>
    </xf>
    <xf numFmtId="38" fontId="12" fillId="0" borderId="6" xfId="1" applyNumberFormat="1" applyFont="1" applyFill="1" applyBorder="1" applyAlignment="1">
      <alignment horizontal="center" vertical="center" wrapText="1" shrinkToFit="1"/>
    </xf>
    <xf numFmtId="38" fontId="12" fillId="0" borderId="9" xfId="1" applyNumberFormat="1" applyFont="1" applyFill="1" applyBorder="1" applyAlignment="1">
      <alignment horizontal="center" vertical="center" wrapText="1" shrinkToFit="1"/>
    </xf>
    <xf numFmtId="38" fontId="16" fillId="3" borderId="5" xfId="1" applyNumberFormat="1" applyFont="1" applyFill="1" applyBorder="1" applyAlignment="1">
      <alignment horizontal="center" vertical="center" wrapText="1" shrinkToFit="1"/>
    </xf>
    <xf numFmtId="38" fontId="12" fillId="3" borderId="6" xfId="1" applyNumberFormat="1" applyFont="1" applyFill="1" applyBorder="1" applyAlignment="1">
      <alignment horizontal="center" vertical="center" wrapText="1" shrinkToFit="1"/>
    </xf>
    <xf numFmtId="3" fontId="12" fillId="4" borderId="5" xfId="0" applyNumberFormat="1" applyFont="1" applyFill="1" applyBorder="1" applyAlignment="1">
      <alignment horizontal="center" vertical="center" wrapText="1" shrinkToFit="1"/>
    </xf>
    <xf numFmtId="3" fontId="12" fillId="4" borderId="6" xfId="0" applyNumberFormat="1" applyFont="1" applyFill="1" applyBorder="1" applyAlignment="1">
      <alignment horizontal="center" vertical="center" wrapText="1" shrinkToFit="1"/>
    </xf>
    <xf numFmtId="9" fontId="12" fillId="3" borderId="5" xfId="2" applyFont="1" applyFill="1" applyBorder="1" applyAlignment="1">
      <alignment horizontal="center" vertical="center" wrapText="1" shrinkToFit="1"/>
    </xf>
    <xf numFmtId="9" fontId="12" fillId="3" borderId="6" xfId="2" applyFont="1" applyFill="1" applyBorder="1" applyAlignment="1">
      <alignment horizontal="center" vertical="center" wrapText="1" shrinkToFit="1"/>
    </xf>
    <xf numFmtId="9" fontId="12" fillId="0" borderId="5" xfId="2" applyFont="1" applyFill="1" applyBorder="1" applyAlignment="1">
      <alignment horizontal="center" vertical="center" wrapText="1" shrinkToFit="1"/>
    </xf>
    <xf numFmtId="9" fontId="12" fillId="0" borderId="6" xfId="2" applyFont="1" applyFill="1" applyBorder="1" applyAlignment="1">
      <alignment horizontal="center" vertical="center" wrapText="1" shrinkToFit="1"/>
    </xf>
    <xf numFmtId="3" fontId="2" fillId="0" borderId="5" xfId="0" applyNumberFormat="1" applyFont="1" applyBorder="1" applyAlignment="1">
      <alignment horizontal="center" vertical="center" wrapText="1" shrinkToFit="1"/>
    </xf>
    <xf numFmtId="38" fontId="12" fillId="0" borderId="25" xfId="1" applyNumberFormat="1" applyFont="1" applyFill="1" applyBorder="1" applyAlignment="1">
      <alignment horizontal="center" vertical="center" wrapText="1" shrinkToFit="1"/>
    </xf>
    <xf numFmtId="38" fontId="12" fillId="3" borderId="8" xfId="1" applyNumberFormat="1" applyFont="1" applyFill="1" applyBorder="1" applyAlignment="1">
      <alignment horizontal="center" vertical="center" wrapText="1" shrinkToFit="1"/>
    </xf>
    <xf numFmtId="10" fontId="2" fillId="0" borderId="5" xfId="2" applyNumberFormat="1" applyFont="1" applyFill="1" applyBorder="1" applyAlignment="1">
      <alignment horizontal="center" vertical="center" wrapText="1" shrinkToFit="1"/>
    </xf>
    <xf numFmtId="10" fontId="2" fillId="0" borderId="6" xfId="2" applyNumberFormat="1" applyFont="1" applyFill="1" applyBorder="1" applyAlignment="1">
      <alignment horizontal="center" vertical="center" wrapText="1" shrinkToFit="1"/>
    </xf>
    <xf numFmtId="3" fontId="6" fillId="2" borderId="1" xfId="0" applyNumberFormat="1" applyFont="1" applyFill="1" applyBorder="1" applyAlignment="1">
      <alignment horizontal="center" vertical="center" wrapText="1" shrinkToFit="1"/>
    </xf>
    <xf numFmtId="3" fontId="6" fillId="2" borderId="2" xfId="0" applyNumberFormat="1" applyFont="1" applyFill="1" applyBorder="1" applyAlignment="1">
      <alignment horizontal="center" vertical="center" wrapText="1" shrinkToFit="1"/>
    </xf>
    <xf numFmtId="3" fontId="6" fillId="2" borderId="3" xfId="0" applyNumberFormat="1" applyFont="1" applyFill="1" applyBorder="1" applyAlignment="1">
      <alignment horizontal="center" vertical="center" wrapText="1" shrinkToFit="1"/>
    </xf>
    <xf numFmtId="3" fontId="2" fillId="0" borderId="6" xfId="0" applyNumberFormat="1" applyFont="1" applyBorder="1" applyAlignment="1">
      <alignment horizontal="center" vertical="center" wrapText="1" shrinkToFit="1"/>
    </xf>
    <xf numFmtId="10" fontId="12" fillId="3" borderId="5" xfId="0" applyNumberFormat="1" applyFont="1" applyFill="1" applyBorder="1" applyAlignment="1">
      <alignment horizontal="center" vertical="center" wrapText="1" shrinkToFit="1"/>
    </xf>
    <xf numFmtId="10" fontId="12" fillId="3" borderId="6" xfId="0" applyNumberFormat="1" applyFont="1" applyFill="1" applyBorder="1" applyAlignment="1">
      <alignment horizontal="center" vertical="center" wrapText="1" shrinkToFit="1"/>
    </xf>
    <xf numFmtId="3" fontId="2" fillId="2" borderId="8" xfId="0" applyNumberFormat="1" applyFont="1" applyFill="1" applyBorder="1" applyAlignment="1">
      <alignment horizontal="center" vertical="center" wrapText="1" shrinkToFit="1"/>
    </xf>
    <xf numFmtId="3" fontId="2" fillId="2" borderId="9" xfId="0" applyNumberFormat="1" applyFont="1" applyFill="1" applyBorder="1" applyAlignment="1">
      <alignment horizontal="center" vertical="center" wrapText="1" shrinkToFit="1"/>
    </xf>
    <xf numFmtId="3" fontId="7" fillId="2" borderId="4" xfId="0" applyNumberFormat="1" applyFont="1" applyFill="1" applyBorder="1" applyAlignment="1">
      <alignment horizontal="center" vertical="center" wrapText="1" shrinkToFit="1"/>
    </xf>
    <xf numFmtId="3" fontId="7" fillId="2" borderId="5" xfId="0" applyNumberFormat="1" applyFont="1" applyFill="1" applyBorder="1" applyAlignment="1">
      <alignment horizontal="center" vertical="center" wrapText="1" shrinkToFit="1"/>
    </xf>
    <xf numFmtId="3" fontId="7" fillId="2" borderId="6" xfId="0" applyNumberFormat="1" applyFont="1" applyFill="1" applyBorder="1" applyAlignment="1">
      <alignment horizontal="center" vertical="center" wrapText="1" shrinkToFit="1"/>
    </xf>
    <xf numFmtId="3" fontId="12" fillId="0" borderId="5" xfId="0" applyNumberFormat="1" applyFont="1" applyBorder="1" applyAlignment="1">
      <alignment horizontal="center" vertical="center" wrapText="1" shrinkToFit="1"/>
    </xf>
    <xf numFmtId="3" fontId="12" fillId="0" borderId="6" xfId="0" applyNumberFormat="1" applyFont="1" applyBorder="1" applyAlignment="1">
      <alignment horizontal="center" vertical="center" wrapText="1" shrinkToFit="1"/>
    </xf>
    <xf numFmtId="3" fontId="12" fillId="3" borderId="5" xfId="0" applyNumberFormat="1" applyFont="1" applyFill="1" applyBorder="1" applyAlignment="1">
      <alignment horizontal="center" vertical="center" wrapText="1" shrinkToFit="1"/>
    </xf>
    <xf numFmtId="3" fontId="12" fillId="3" borderId="6" xfId="0" applyNumberFormat="1" applyFont="1" applyFill="1" applyBorder="1" applyAlignment="1">
      <alignment horizontal="center" vertical="center" wrapText="1" shrinkToFit="1"/>
    </xf>
    <xf numFmtId="3" fontId="2" fillId="3" borderId="5" xfId="0" applyNumberFormat="1" applyFont="1" applyFill="1" applyBorder="1" applyAlignment="1">
      <alignment horizontal="center" vertical="center" wrapText="1" shrinkToFit="1"/>
    </xf>
    <xf numFmtId="3" fontId="2" fillId="3" borderId="6" xfId="0" applyNumberFormat="1" applyFont="1" applyFill="1" applyBorder="1" applyAlignment="1">
      <alignment horizontal="center" vertical="center" wrapText="1" shrinkToFit="1"/>
    </xf>
    <xf numFmtId="49" fontId="2" fillId="3" borderId="4" xfId="0" applyNumberFormat="1" applyFont="1" applyFill="1" applyBorder="1" applyAlignment="1">
      <alignment horizontal="center" vertical="center" wrapText="1" shrinkToFit="1"/>
    </xf>
    <xf numFmtId="49" fontId="2" fillId="3" borderId="5" xfId="0" applyNumberFormat="1" applyFont="1" applyFill="1" applyBorder="1" applyAlignment="1">
      <alignment horizontal="center" vertical="center" wrapText="1" shrinkToFit="1"/>
    </xf>
    <xf numFmtId="49" fontId="2" fillId="0" borderId="4" xfId="0" applyNumberFormat="1" applyFont="1" applyBorder="1" applyAlignment="1">
      <alignment horizontal="center" vertical="center" wrapText="1" shrinkToFit="1"/>
    </xf>
    <xf numFmtId="49" fontId="2" fillId="0" borderId="5" xfId="0" applyNumberFormat="1" applyFont="1" applyBorder="1" applyAlignment="1">
      <alignment horizontal="center" vertical="center" wrapText="1" shrinkToFit="1"/>
    </xf>
    <xf numFmtId="49" fontId="2" fillId="0" borderId="4" xfId="2" applyNumberFormat="1" applyFont="1" applyFill="1" applyBorder="1" applyAlignment="1">
      <alignment horizontal="center" vertical="center" wrapText="1" shrinkToFit="1"/>
    </xf>
    <xf numFmtId="49" fontId="2" fillId="0" borderId="5" xfId="2" applyNumberFormat="1" applyFont="1" applyFill="1" applyBorder="1" applyAlignment="1">
      <alignment horizontal="center" vertical="center" wrapText="1" shrinkToFit="1"/>
    </xf>
    <xf numFmtId="3" fontId="16" fillId="3" borderId="5" xfId="0" applyNumberFormat="1" applyFont="1" applyFill="1" applyBorder="1" applyAlignment="1">
      <alignment horizontal="center" vertical="center" wrapText="1" shrinkToFit="1"/>
    </xf>
    <xf numFmtId="3" fontId="16" fillId="3" borderId="6" xfId="0" applyNumberFormat="1" applyFont="1" applyFill="1" applyBorder="1" applyAlignment="1">
      <alignment horizontal="center" vertical="center" wrapText="1" shrinkToFit="1"/>
    </xf>
    <xf numFmtId="49" fontId="2" fillId="0" borderId="45" xfId="0" applyNumberFormat="1" applyFont="1" applyBorder="1" applyAlignment="1">
      <alignment horizontal="center" vertical="center" wrapText="1" shrinkToFit="1"/>
    </xf>
    <xf numFmtId="49" fontId="2" fillId="0" borderId="36" xfId="0" applyNumberFormat="1" applyFont="1" applyBorder="1" applyAlignment="1">
      <alignment horizontal="center" vertical="center" wrapText="1" shrinkToFit="1"/>
    </xf>
    <xf numFmtId="49" fontId="2" fillId="0" borderId="0" xfId="0" applyNumberFormat="1" applyFont="1" applyAlignment="1">
      <alignment horizontal="center" vertical="center" wrapText="1" shrinkToFit="1"/>
    </xf>
    <xf numFmtId="49" fontId="2" fillId="0" borderId="46" xfId="0" applyNumberFormat="1" applyFont="1" applyBorder="1" applyAlignment="1">
      <alignment horizontal="center" vertical="center" wrapText="1" shrinkToFit="1"/>
    </xf>
    <xf numFmtId="49" fontId="2" fillId="0" borderId="44" xfId="0" applyNumberFormat="1" applyFont="1" applyBorder="1" applyAlignment="1">
      <alignment horizontal="center" vertical="center" wrapText="1" shrinkToFit="1"/>
    </xf>
    <xf numFmtId="49" fontId="2" fillId="0" borderId="37" xfId="0" applyNumberFormat="1" applyFont="1" applyBorder="1" applyAlignment="1">
      <alignment horizontal="center" vertical="center" wrapText="1" shrinkToFit="1"/>
    </xf>
    <xf numFmtId="38" fontId="12" fillId="3" borderId="33" xfId="0" applyNumberFormat="1" applyFont="1" applyFill="1" applyBorder="1" applyAlignment="1">
      <alignment horizontal="center" vertical="center" wrapText="1" shrinkToFit="1"/>
    </xf>
    <xf numFmtId="38" fontId="12" fillId="3" borderId="47" xfId="0" applyNumberFormat="1" applyFont="1" applyFill="1" applyBorder="1" applyAlignment="1">
      <alignment horizontal="center" vertical="center" wrapText="1" shrinkToFit="1"/>
    </xf>
    <xf numFmtId="3" fontId="12" fillId="3" borderId="35" xfId="2" applyNumberFormat="1" applyFont="1" applyFill="1" applyBorder="1" applyAlignment="1">
      <alignment horizontal="center" vertical="center" wrapText="1" shrinkToFit="1"/>
    </xf>
    <xf numFmtId="3" fontId="12" fillId="3" borderId="48" xfId="2" applyNumberFormat="1" applyFont="1" applyFill="1" applyBorder="1" applyAlignment="1">
      <alignment horizontal="center" vertical="center" wrapText="1" shrinkToFit="1"/>
    </xf>
    <xf numFmtId="3" fontId="2" fillId="0" borderId="4" xfId="0" applyNumberFormat="1" applyFont="1" applyBorder="1" applyAlignment="1">
      <alignment horizontal="center" vertical="center" wrapText="1" shrinkToFit="1"/>
    </xf>
    <xf numFmtId="3" fontId="2" fillId="3" borderId="4" xfId="0" applyNumberFormat="1" applyFont="1" applyFill="1" applyBorder="1" applyAlignment="1">
      <alignment horizontal="center" vertical="center" wrapText="1" shrinkToFit="1"/>
    </xf>
    <xf numFmtId="9" fontId="2" fillId="0" borderId="6" xfId="2" applyFont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 wrapText="1" shrinkToFit="1"/>
    </xf>
    <xf numFmtId="3" fontId="7" fillId="2" borderId="5" xfId="0" applyNumberFormat="1" applyFont="1" applyFill="1" applyBorder="1" applyAlignment="1">
      <alignment horizontal="center" vertical="center" shrinkToFit="1"/>
    </xf>
    <xf numFmtId="167" fontId="12" fillId="0" borderId="5" xfId="0" applyNumberFormat="1" applyFont="1" applyBorder="1" applyAlignment="1">
      <alignment horizontal="center" vertical="center" wrapText="1" shrinkToFit="1"/>
    </xf>
    <xf numFmtId="38" fontId="54" fillId="2" borderId="8" xfId="0" applyNumberFormat="1" applyFont="1" applyFill="1" applyBorder="1" applyAlignment="1">
      <alignment horizontal="center" vertical="center" wrapText="1" shrinkToFit="1"/>
    </xf>
    <xf numFmtId="38" fontId="54" fillId="2" borderId="9" xfId="0" applyNumberFormat="1" applyFont="1" applyFill="1" applyBorder="1" applyAlignment="1">
      <alignment horizontal="center" vertical="center" wrapText="1" shrinkToFit="1"/>
    </xf>
    <xf numFmtId="49" fontId="2" fillId="0" borderId="7" xfId="0" applyNumberFormat="1" applyFont="1" applyBorder="1" applyAlignment="1">
      <alignment horizontal="center" vertical="center" wrapText="1" shrinkToFit="1"/>
    </xf>
    <xf numFmtId="49" fontId="2" fillId="0" borderId="8" xfId="0" applyNumberFormat="1" applyFont="1" applyBorder="1" applyAlignment="1">
      <alignment horizontal="center" vertical="center" wrapText="1" shrinkToFit="1"/>
    </xf>
    <xf numFmtId="0" fontId="46" fillId="3" borderId="5" xfId="0" applyFont="1" applyFill="1" applyBorder="1" applyAlignment="1">
      <alignment horizontal="center" vertical="center" wrapText="1" shrinkToFit="1"/>
    </xf>
    <xf numFmtId="183" fontId="16" fillId="0" borderId="4" xfId="0" applyNumberFormat="1" applyFont="1" applyBorder="1" applyAlignment="1">
      <alignment horizontal="center" vertical="center" wrapText="1" shrinkToFit="1"/>
    </xf>
    <xf numFmtId="183" fontId="16" fillId="0" borderId="5" xfId="0" applyNumberFormat="1" applyFont="1" applyBorder="1" applyAlignment="1">
      <alignment horizontal="center" vertical="center" wrapText="1" shrinkToFit="1"/>
    </xf>
    <xf numFmtId="49" fontId="12" fillId="3" borderId="4" xfId="0" applyNumberFormat="1" applyFont="1" applyFill="1" applyBorder="1" applyAlignment="1">
      <alignment horizontal="center" vertical="center" wrapText="1" shrinkToFit="1"/>
    </xf>
    <xf numFmtId="49" fontId="12" fillId="3" borderId="5" xfId="0" applyNumberFormat="1" applyFont="1" applyFill="1" applyBorder="1" applyAlignment="1">
      <alignment horizontal="center" vertical="center" wrapText="1" shrinkToFit="1"/>
    </xf>
    <xf numFmtId="3" fontId="16" fillId="3" borderId="5" xfId="1" applyNumberFormat="1" applyFont="1" applyFill="1" applyBorder="1" applyAlignment="1">
      <alignment horizontal="center" vertical="center" wrapText="1" shrinkToFit="1"/>
    </xf>
    <xf numFmtId="0" fontId="46" fillId="0" borderId="5" xfId="0" applyFont="1" applyBorder="1" applyAlignment="1">
      <alignment horizontal="center" vertical="center" wrapText="1" shrinkToFit="1"/>
    </xf>
    <xf numFmtId="0" fontId="46" fillId="0" borderId="8" xfId="0" applyFont="1" applyBorder="1" applyAlignment="1">
      <alignment horizontal="center" vertical="center" wrapText="1" shrinkToFit="1"/>
    </xf>
    <xf numFmtId="3" fontId="7" fillId="2" borderId="4" xfId="0" applyNumberFormat="1" applyFont="1" applyFill="1" applyBorder="1" applyAlignment="1">
      <alignment horizontal="center" vertical="center" shrinkToFit="1"/>
    </xf>
    <xf numFmtId="3" fontId="7" fillId="2" borderId="6" xfId="0" applyNumberFormat="1" applyFont="1" applyFill="1" applyBorder="1" applyAlignment="1">
      <alignment horizontal="center" vertical="center" shrinkToFit="1"/>
    </xf>
    <xf numFmtId="3" fontId="2" fillId="3" borderId="7" xfId="0" applyNumberFormat="1" applyFont="1" applyFill="1" applyBorder="1" applyAlignment="1">
      <alignment horizontal="center" vertical="center" wrapText="1" shrinkToFit="1"/>
    </xf>
    <xf numFmtId="3" fontId="6" fillId="2" borderId="1" xfId="0" applyNumberFormat="1" applyFont="1" applyFill="1" applyBorder="1" applyAlignment="1">
      <alignment horizontal="center" vertical="center" shrinkToFit="1" readingOrder="2"/>
    </xf>
    <xf numFmtId="3" fontId="6" fillId="2" borderId="2" xfId="0" applyNumberFormat="1" applyFont="1" applyFill="1" applyBorder="1" applyAlignment="1">
      <alignment horizontal="center" vertical="center" shrinkToFit="1" readingOrder="2"/>
    </xf>
    <xf numFmtId="3" fontId="6" fillId="2" borderId="3" xfId="0" applyNumberFormat="1" applyFont="1" applyFill="1" applyBorder="1" applyAlignment="1">
      <alignment horizontal="center" vertical="center" shrinkToFit="1" readingOrder="2"/>
    </xf>
    <xf numFmtId="3" fontId="12" fillId="0" borderId="1" xfId="0" applyNumberFormat="1" applyFont="1" applyBorder="1" applyAlignment="1">
      <alignment horizontal="right" vertical="center" wrapText="1" shrinkToFit="1"/>
    </xf>
    <xf numFmtId="3" fontId="12" fillId="0" borderId="2" xfId="0" applyNumberFormat="1" applyFont="1" applyBorder="1" applyAlignment="1">
      <alignment horizontal="right" vertical="center" wrapText="1" shrinkToFit="1"/>
    </xf>
    <xf numFmtId="3" fontId="12" fillId="3" borderId="4" xfId="0" applyNumberFormat="1" applyFont="1" applyFill="1" applyBorder="1" applyAlignment="1">
      <alignment horizontal="right" vertical="center" wrapText="1" shrinkToFit="1"/>
    </xf>
    <xf numFmtId="3" fontId="12" fillId="3" borderId="5" xfId="0" applyNumberFormat="1" applyFont="1" applyFill="1" applyBorder="1" applyAlignment="1">
      <alignment horizontal="right" vertical="center" wrapText="1" shrinkToFit="1"/>
    </xf>
    <xf numFmtId="0" fontId="7" fillId="2" borderId="29" xfId="0" applyFont="1" applyFill="1" applyBorder="1" applyAlignment="1">
      <alignment horizontal="center" vertical="center" wrapText="1" shrinkToFit="1"/>
    </xf>
    <xf numFmtId="0" fontId="7" fillId="2" borderId="25" xfId="0" applyFont="1" applyFill="1" applyBorder="1" applyAlignment="1">
      <alignment horizontal="center" vertical="center" wrapText="1" shrinkToFit="1"/>
    </xf>
    <xf numFmtId="0" fontId="7" fillId="2" borderId="42" xfId="0" applyFont="1" applyFill="1" applyBorder="1" applyAlignment="1">
      <alignment horizontal="center" vertical="center" wrapText="1" shrinkToFit="1"/>
    </xf>
    <xf numFmtId="10" fontId="12" fillId="4" borderId="5" xfId="0" applyNumberFormat="1" applyFont="1" applyFill="1" applyBorder="1" applyAlignment="1">
      <alignment horizontal="center" vertical="center" wrapText="1" shrinkToFit="1"/>
    </xf>
    <xf numFmtId="10" fontId="12" fillId="4" borderId="35" xfId="0" applyNumberFormat="1" applyFont="1" applyFill="1" applyBorder="1" applyAlignment="1">
      <alignment horizontal="center" vertical="center" wrapText="1" shrinkToFit="1"/>
    </xf>
    <xf numFmtId="10" fontId="12" fillId="3" borderId="35" xfId="0" applyNumberFormat="1" applyFont="1" applyFill="1" applyBorder="1" applyAlignment="1">
      <alignment horizontal="center" vertical="center" wrapText="1" shrinkToFit="1"/>
    </xf>
    <xf numFmtId="10" fontId="12" fillId="0" borderId="5" xfId="0" applyNumberFormat="1" applyFont="1" applyBorder="1" applyAlignment="1">
      <alignment horizontal="center" vertical="center" wrapText="1" shrinkToFit="1"/>
    </xf>
    <xf numFmtId="10" fontId="12" fillId="0" borderId="35" xfId="0" applyNumberFormat="1" applyFont="1" applyBorder="1" applyAlignment="1">
      <alignment horizontal="center" vertical="center" wrapText="1" shrinkToFit="1"/>
    </xf>
    <xf numFmtId="10" fontId="12" fillId="3" borderId="8" xfId="0" applyNumberFormat="1" applyFont="1" applyFill="1" applyBorder="1" applyAlignment="1">
      <alignment horizontal="center" vertical="center" wrapText="1" shrinkToFit="1"/>
    </xf>
    <xf numFmtId="10" fontId="12" fillId="3" borderId="33" xfId="0" applyNumberFormat="1" applyFont="1" applyFill="1" applyBorder="1" applyAlignment="1">
      <alignment horizontal="center" vertical="center" wrapText="1" shrinkToFit="1"/>
    </xf>
    <xf numFmtId="3" fontId="18" fillId="0" borderId="16" xfId="0" applyNumberFormat="1" applyFont="1" applyBorder="1" applyAlignment="1">
      <alignment horizontal="center" vertical="center" wrapText="1" shrinkToFit="1"/>
    </xf>
    <xf numFmtId="38" fontId="12" fillId="3" borderId="31" xfId="0" applyNumberFormat="1" applyFont="1" applyFill="1" applyBorder="1" applyAlignment="1">
      <alignment horizontal="center" vertical="center" wrapText="1" shrinkToFit="1"/>
    </xf>
    <xf numFmtId="38" fontId="12" fillId="3" borderId="34" xfId="0" applyNumberFormat="1" applyFont="1" applyFill="1" applyBorder="1" applyAlignment="1">
      <alignment horizontal="center" vertical="center" wrapText="1" shrinkToFit="1"/>
    </xf>
    <xf numFmtId="38" fontId="12" fillId="3" borderId="40" xfId="0" applyNumberFormat="1" applyFont="1" applyFill="1" applyBorder="1" applyAlignment="1">
      <alignment horizontal="center" vertical="center" wrapText="1" shrinkToFit="1"/>
    </xf>
    <xf numFmtId="38" fontId="12" fillId="3" borderId="41" xfId="0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3" fontId="21" fillId="0" borderId="5" xfId="0" applyNumberFormat="1" applyFont="1" applyBorder="1" applyAlignment="1">
      <alignment horizontal="center" vertical="center" wrapText="1" shrinkToFit="1"/>
    </xf>
    <xf numFmtId="3" fontId="21" fillId="0" borderId="6" xfId="0" applyNumberFormat="1" applyFont="1" applyBorder="1" applyAlignment="1">
      <alignment horizontal="center" vertical="center" wrapText="1" shrinkToFit="1"/>
    </xf>
    <xf numFmtId="38" fontId="12" fillId="0" borderId="37" xfId="1" applyNumberFormat="1" applyFont="1" applyFill="1" applyBorder="1" applyAlignment="1">
      <alignment horizontal="center" vertical="center" wrapText="1" shrinkToFit="1"/>
    </xf>
    <xf numFmtId="38" fontId="12" fillId="0" borderId="38" xfId="1" applyNumberFormat="1" applyFont="1" applyFill="1" applyBorder="1" applyAlignment="1">
      <alignment horizontal="center" vertical="center" wrapText="1" shrinkToFit="1"/>
    </xf>
    <xf numFmtId="38" fontId="12" fillId="3" borderId="38" xfId="1" applyNumberFormat="1" applyFont="1" applyFill="1" applyBorder="1" applyAlignment="1">
      <alignment horizontal="center" vertical="center" wrapText="1" shrinkToFit="1"/>
    </xf>
    <xf numFmtId="38" fontId="12" fillId="3" borderId="39" xfId="1" applyNumberFormat="1" applyFont="1" applyFill="1" applyBorder="1" applyAlignment="1">
      <alignment horizontal="center" vertical="center" wrapText="1" shrinkToFit="1"/>
    </xf>
    <xf numFmtId="3" fontId="26" fillId="0" borderId="0" xfId="0" applyNumberFormat="1" applyFont="1" applyAlignment="1">
      <alignment horizontal="center" vertical="center" wrapText="1" shrinkToFit="1"/>
    </xf>
    <xf numFmtId="3" fontId="6" fillId="2" borderId="49" xfId="0" applyNumberFormat="1" applyFont="1" applyFill="1" applyBorder="1" applyAlignment="1">
      <alignment horizontal="center" vertical="center" wrapText="1" shrinkToFit="1"/>
    </xf>
    <xf numFmtId="3" fontId="6" fillId="2" borderId="44" xfId="0" applyNumberFormat="1" applyFont="1" applyFill="1" applyBorder="1" applyAlignment="1">
      <alignment horizontal="center" vertical="center" wrapText="1" shrinkToFit="1"/>
    </xf>
    <xf numFmtId="10" fontId="5" fillId="0" borderId="0" xfId="2" applyNumberFormat="1" applyFont="1" applyFill="1" applyBorder="1" applyAlignment="1">
      <alignment horizontal="center" vertical="center" wrapText="1" shrinkToFit="1"/>
    </xf>
    <xf numFmtId="3" fontId="52" fillId="2" borderId="1" xfId="0" applyNumberFormat="1" applyFont="1" applyFill="1" applyBorder="1" applyAlignment="1">
      <alignment horizontal="right" vertical="center" shrinkToFit="1"/>
    </xf>
    <xf numFmtId="3" fontId="52" fillId="2" borderId="2" xfId="0" applyNumberFormat="1" applyFont="1" applyFill="1" applyBorder="1" applyAlignment="1">
      <alignment horizontal="right" vertical="center" shrinkToFit="1"/>
    </xf>
    <xf numFmtId="3" fontId="52" fillId="2" borderId="3" xfId="0" applyNumberFormat="1" applyFont="1" applyFill="1" applyBorder="1" applyAlignment="1">
      <alignment horizontal="right" vertical="center" shrinkToFit="1"/>
    </xf>
    <xf numFmtId="3" fontId="52" fillId="2" borderId="4" xfId="0" applyNumberFormat="1" applyFont="1" applyFill="1" applyBorder="1" applyAlignment="1">
      <alignment horizontal="right" vertical="center" shrinkToFit="1"/>
    </xf>
    <xf numFmtId="3" fontId="52" fillId="2" borderId="5" xfId="0" applyNumberFormat="1" applyFont="1" applyFill="1" applyBorder="1" applyAlignment="1">
      <alignment horizontal="right" vertical="center" shrinkToFit="1"/>
    </xf>
    <xf numFmtId="3" fontId="52" fillId="2" borderId="6" xfId="0" applyNumberFormat="1" applyFont="1" applyFill="1" applyBorder="1" applyAlignment="1">
      <alignment horizontal="right" vertical="center" shrinkToFit="1"/>
    </xf>
    <xf numFmtId="38" fontId="12" fillId="0" borderId="30" xfId="1" applyNumberFormat="1" applyFont="1" applyFill="1" applyBorder="1" applyAlignment="1">
      <alignment horizontal="center" vertical="center" wrapText="1" shrinkToFit="1"/>
    </xf>
    <xf numFmtId="38" fontId="12" fillId="3" borderId="9" xfId="1" applyNumberFormat="1" applyFont="1" applyFill="1" applyBorder="1" applyAlignment="1">
      <alignment horizontal="center" vertical="center" wrapText="1" shrinkToFit="1"/>
    </xf>
    <xf numFmtId="3" fontId="41" fillId="12" borderId="0" xfId="0" applyNumberFormat="1" applyFont="1" applyFill="1" applyAlignment="1">
      <alignment horizontal="left" vertical="center"/>
    </xf>
    <xf numFmtId="0" fontId="41" fillId="12" borderId="0" xfId="0" applyFont="1" applyFill="1" applyAlignment="1">
      <alignment horizontal="left" vertical="center"/>
    </xf>
    <xf numFmtId="0" fontId="39" fillId="7" borderId="20" xfId="0" applyFont="1" applyFill="1" applyBorder="1" applyAlignment="1">
      <alignment horizontal="center" vertical="center" wrapText="1"/>
    </xf>
    <xf numFmtId="0" fontId="39" fillId="7" borderId="0" xfId="0" applyFont="1" applyFill="1" applyAlignment="1">
      <alignment horizontal="center" vertical="center" wrapText="1"/>
    </xf>
    <xf numFmtId="0" fontId="44" fillId="12" borderId="0" xfId="0" applyFont="1" applyFill="1" applyAlignment="1">
      <alignment horizontal="left" vertical="center" wrapText="1"/>
    </xf>
    <xf numFmtId="0" fontId="39" fillId="6" borderId="24" xfId="0" applyFont="1" applyFill="1" applyBorder="1" applyAlignment="1">
      <alignment horizontal="right" vertical="center" wrapText="1"/>
    </xf>
    <xf numFmtId="0" fontId="39" fillId="6" borderId="0" xfId="0" applyFont="1" applyFill="1" applyAlignment="1">
      <alignment horizontal="right" vertical="center" wrapText="1"/>
    </xf>
    <xf numFmtId="0" fontId="39" fillId="6" borderId="19" xfId="0" applyFont="1" applyFill="1" applyBorder="1" applyAlignment="1">
      <alignment horizontal="right" vertical="center" wrapText="1"/>
    </xf>
    <xf numFmtId="3" fontId="37" fillId="6" borderId="0" xfId="0" applyNumberFormat="1" applyFont="1" applyFill="1" applyAlignment="1">
      <alignment horizontal="center" vertical="top" wrapText="1" shrinkToFit="1"/>
    </xf>
    <xf numFmtId="3" fontId="37" fillId="6" borderId="19" xfId="0" applyNumberFormat="1" applyFont="1" applyFill="1" applyBorder="1" applyAlignment="1">
      <alignment horizontal="center" vertical="top" wrapText="1" shrinkToFit="1"/>
    </xf>
    <xf numFmtId="190" fontId="27" fillId="6" borderId="24" xfId="0" applyNumberFormat="1" applyFont="1" applyFill="1" applyBorder="1" applyAlignment="1">
      <alignment horizontal="center" vertical="center"/>
    </xf>
    <xf numFmtId="190" fontId="27" fillId="6" borderId="0" xfId="0" applyNumberFormat="1" applyFont="1" applyFill="1" applyAlignment="1">
      <alignment horizontal="center" vertical="center"/>
    </xf>
    <xf numFmtId="3" fontId="38" fillId="6" borderId="0" xfId="0" applyNumberFormat="1" applyFont="1" applyFill="1" applyAlignment="1">
      <alignment horizontal="center" vertical="top" wrapText="1" shrinkToFit="1"/>
    </xf>
    <xf numFmtId="3" fontId="38" fillId="6" borderId="19" xfId="0" applyNumberFormat="1" applyFont="1" applyFill="1" applyBorder="1" applyAlignment="1">
      <alignment horizontal="center" vertical="top" wrapText="1" shrinkToFit="1"/>
    </xf>
    <xf numFmtId="0" fontId="27" fillId="12" borderId="0" xfId="0" applyFont="1" applyFill="1" applyAlignment="1">
      <alignment horizontal="right" vertical="center"/>
    </xf>
    <xf numFmtId="192" fontId="36" fillId="7" borderId="20" xfId="0" applyNumberFormat="1" applyFont="1" applyFill="1" applyBorder="1" applyAlignment="1">
      <alignment horizontal="left" vertical="center"/>
    </xf>
    <xf numFmtId="9" fontId="35" fillId="7" borderId="0" xfId="2" applyFont="1" applyFill="1" applyBorder="1" applyAlignment="1">
      <alignment horizontal="center" vertical="center" wrapText="1"/>
    </xf>
    <xf numFmtId="9" fontId="35" fillId="7" borderId="23" xfId="2" applyFont="1" applyFill="1" applyBorder="1" applyAlignment="1">
      <alignment horizontal="center" vertical="center" wrapText="1"/>
    </xf>
    <xf numFmtId="3" fontId="29" fillId="6" borderId="0" xfId="0" applyNumberFormat="1" applyFont="1" applyFill="1" applyAlignment="1">
      <alignment horizontal="center" vertical="center" wrapText="1" shrinkToFit="1"/>
    </xf>
    <xf numFmtId="3" fontId="29" fillId="6" borderId="23" xfId="0" applyNumberFormat="1" applyFont="1" applyFill="1" applyBorder="1" applyAlignment="1">
      <alignment horizontal="center" vertical="center" wrapText="1" shrinkToFit="1"/>
    </xf>
    <xf numFmtId="0" fontId="33" fillId="7" borderId="20" xfId="0" applyFont="1" applyFill="1" applyBorder="1" applyAlignment="1">
      <alignment horizontal="center" vertical="center" wrapText="1"/>
    </xf>
    <xf numFmtId="0" fontId="33" fillId="7" borderId="0" xfId="0" applyFont="1" applyFill="1" applyAlignment="1">
      <alignment horizontal="center" vertical="center" wrapText="1"/>
    </xf>
    <xf numFmtId="0" fontId="33" fillId="7" borderId="19" xfId="0" applyFont="1" applyFill="1" applyBorder="1" applyAlignment="1">
      <alignment horizontal="center" vertical="center" wrapText="1"/>
    </xf>
    <xf numFmtId="0" fontId="39" fillId="7" borderId="20" xfId="0" applyFont="1" applyFill="1" applyBorder="1" applyAlignment="1">
      <alignment horizontal="center" vertical="center" wrapText="1" readingOrder="2"/>
    </xf>
    <xf numFmtId="0" fontId="39" fillId="7" borderId="0" xfId="0" applyFont="1" applyFill="1" applyAlignment="1">
      <alignment horizontal="center" vertical="center" wrapText="1" readingOrder="2"/>
    </xf>
    <xf numFmtId="10" fontId="39" fillId="7" borderId="0" xfId="0" applyNumberFormat="1" applyFont="1" applyFill="1" applyAlignment="1">
      <alignment horizontal="center" vertical="center"/>
    </xf>
    <xf numFmtId="10" fontId="39" fillId="7" borderId="19" xfId="0" applyNumberFormat="1" applyFont="1" applyFill="1" applyBorder="1" applyAlignment="1">
      <alignment horizontal="center" vertical="center"/>
    </xf>
    <xf numFmtId="3" fontId="27" fillId="10" borderId="0" xfId="0" applyNumberFormat="1" applyFont="1" applyFill="1" applyAlignment="1">
      <alignment horizontal="center" vertical="center" wrapText="1"/>
    </xf>
    <xf numFmtId="3" fontId="27" fillId="6" borderId="23" xfId="0" applyNumberFormat="1" applyFont="1" applyFill="1" applyBorder="1" applyAlignment="1">
      <alignment horizontal="center" vertical="center" wrapText="1" shrinkToFit="1"/>
    </xf>
    <xf numFmtId="9" fontId="27" fillId="11" borderId="0" xfId="0" applyNumberFormat="1" applyFont="1" applyFill="1" applyAlignment="1">
      <alignment horizontal="center" vertical="center" wrapText="1"/>
    </xf>
    <xf numFmtId="9" fontId="27" fillId="10" borderId="0" xfId="0" applyNumberFormat="1" applyFont="1" applyFill="1" applyAlignment="1">
      <alignment horizontal="center" vertical="center" wrapText="1"/>
    </xf>
    <xf numFmtId="9" fontId="27" fillId="11" borderId="24" xfId="0" applyNumberFormat="1" applyFont="1" applyFill="1" applyBorder="1" applyAlignment="1">
      <alignment horizontal="center" vertical="center" wrapText="1"/>
    </xf>
    <xf numFmtId="9" fontId="37" fillId="8" borderId="0" xfId="0" applyNumberFormat="1" applyFont="1" applyFill="1" applyAlignment="1">
      <alignment horizontal="center" vertical="center"/>
    </xf>
    <xf numFmtId="182" fontId="27" fillId="6" borderId="23" xfId="0" applyNumberFormat="1" applyFont="1" applyFill="1" applyBorder="1" applyAlignment="1">
      <alignment horizontal="center" vertical="center" wrapText="1" shrinkToFit="1"/>
    </xf>
    <xf numFmtId="9" fontId="37" fillId="8" borderId="24" xfId="0" applyNumberFormat="1" applyFont="1" applyFill="1" applyBorder="1" applyAlignment="1">
      <alignment horizontal="center" vertical="center"/>
    </xf>
    <xf numFmtId="3" fontId="37" fillId="9" borderId="0" xfId="0" applyNumberFormat="1" applyFont="1" applyFill="1" applyAlignment="1">
      <alignment horizontal="center" vertical="center"/>
    </xf>
    <xf numFmtId="9" fontId="37" fillId="9" borderId="0" xfId="0" applyNumberFormat="1" applyFont="1" applyFill="1" applyAlignment="1">
      <alignment horizontal="center" vertical="center"/>
    </xf>
    <xf numFmtId="3" fontId="55" fillId="0" borderId="0" xfId="3" applyNumberFormat="1" applyAlignment="1">
      <alignment horizontal="center" vertical="center" wrapText="1" shrinkToFi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9">
    <dxf>
      <font>
        <color rgb="FFCDB49E"/>
      </font>
      <fill>
        <patternFill>
          <bgColor rgb="FFCDB49E"/>
        </patternFill>
      </fill>
    </dxf>
    <dxf>
      <font>
        <color rgb="FFDAD2CC"/>
      </font>
      <fill>
        <patternFill>
          <bgColor rgb="FFDAD2CC"/>
        </patternFill>
      </fill>
    </dxf>
    <dxf>
      <font>
        <color rgb="FFA4907E"/>
      </font>
      <fill>
        <patternFill>
          <fgColor rgb="FFA4907E"/>
        </patternFill>
      </fill>
    </dxf>
    <dxf>
      <fill>
        <patternFill patternType="solid">
          <fgColor auto="1"/>
          <bgColor rgb="FFA4907E"/>
        </patternFill>
      </fill>
    </dxf>
    <dxf>
      <font>
        <color rgb="FFBFBFBF"/>
      </font>
      <fill>
        <patternFill>
          <bgColor rgb="FFBFBFBF"/>
        </patternFill>
      </fill>
    </dxf>
    <dxf>
      <font>
        <color theme="0"/>
      </font>
    </dxf>
    <dxf>
      <font>
        <color theme="6" tint="0.79998168889431442"/>
      </font>
      <fill>
        <patternFill>
          <bgColor theme="6" tint="0.79998168889431442"/>
        </patternFill>
      </fill>
    </dxf>
    <dxf>
      <font>
        <color rgb="FFA4907E"/>
      </font>
      <fill>
        <patternFill>
          <bgColor rgb="FFA4907E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866C60"/>
      <color rgb="FFA4907E"/>
      <color rgb="FFF0E8E3"/>
      <color rgb="FFE0D5CB"/>
      <color rgb="FFD1C2B4"/>
      <color rgb="FFC1AF9C"/>
      <color rgb="FFB29C85"/>
      <color rgb="FF957E6F"/>
      <color rgb="FF2C0007"/>
      <color rgb="FF775A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b="1" baseline="0">
                <a:solidFill>
                  <a:srgbClr val="A4907E"/>
                </a:solidFill>
              </a:rPr>
              <a:t>تفصيل العناصر</a:t>
            </a:r>
            <a:r>
              <a:rPr lang="en-US" b="1" baseline="0">
                <a:solidFill>
                  <a:srgbClr val="A4907E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الملخص!$J$43</c:f>
              <c:strCache>
                <c:ptCount val="1"/>
                <c:pt idx="0">
                  <c:v>SR </c:v>
                </c:pt>
              </c:strCache>
            </c:strRef>
          </c:tx>
          <c:spPr>
            <a:solidFill>
              <a:srgbClr val="A4907E"/>
            </a:solidFill>
            <a:ln>
              <a:noFill/>
            </a:ln>
            <a:effectLst/>
          </c:spPr>
          <c:invertIfNegative val="0"/>
          <c:cat>
            <c:strRef>
              <c:f>الملخص!$B$44:$B$46</c:f>
              <c:strCache>
                <c:ptCount val="3"/>
                <c:pt idx="0">
                  <c:v> الإشتراك العيني من مالك الأرض - (In-Kind Subscription from Landowner)</c:v>
                </c:pt>
                <c:pt idx="1">
                  <c:v> التمويل البنكي - (Bank Financing)</c:v>
                </c:pt>
                <c:pt idx="2">
                  <c:v>مصادر أخرى - (Other Sources)</c:v>
                </c:pt>
              </c:strCache>
            </c:strRef>
          </c:cat>
          <c:val>
            <c:numRef>
              <c:f>الملخص!$J$44:$J$46</c:f>
              <c:numCache>
                <c:formatCode>#,##0</c:formatCode>
                <c:ptCount val="3"/>
                <c:pt idx="0">
                  <c:v>220500000</c:v>
                </c:pt>
                <c:pt idx="1">
                  <c:v>259300000</c:v>
                </c:pt>
                <c:pt idx="2">
                  <c:v>24832715.28103834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8-42F2-A367-7EAEAE323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578704"/>
        <c:axId val="1881564304"/>
      </c:barChart>
      <c:catAx>
        <c:axId val="188157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564304"/>
        <c:crosses val="autoZero"/>
        <c:auto val="1"/>
        <c:lblAlgn val="ctr"/>
        <c:lblOffset val="100"/>
        <c:noMultiLvlLbl val="0"/>
      </c:catAx>
      <c:valAx>
        <c:axId val="18815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A4907E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57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ar-SA" sz="1400" b="0" i="0" u="none" strike="noStrike" kern="1200" spc="0" baseline="0">
                <a:solidFill>
                  <a:srgbClr val="A4907E"/>
                </a:solidFill>
                <a:latin typeface="+mn-lt"/>
                <a:ea typeface="+mn-ea"/>
                <a:cs typeface="+mn-cs"/>
              </a:defRPr>
            </a:pPr>
            <a:r>
              <a:rPr lang="ar-SA" sz="1400" b="1" i="0" u="none" strike="noStrike" kern="1200" spc="0" baseline="0">
                <a:solidFill>
                  <a:srgbClr val="A4907E"/>
                </a:solidFill>
                <a:latin typeface="+mn-lt"/>
                <a:ea typeface="+mn-ea"/>
                <a:cs typeface="+mn-cs"/>
              </a:rPr>
              <a:t>العناصر الاساسية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ar-SA" sz="1400" b="0" i="0" u="none" strike="noStrike" kern="1200" spc="0" baseline="0">
              <a:solidFill>
                <a:srgbClr val="A4907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A4907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384-48FF-B1A0-EB326A5FED8A}"/>
              </c:ext>
            </c:extLst>
          </c:dPt>
          <c:dPt>
            <c:idx val="1"/>
            <c:bubble3D val="0"/>
            <c:spPr>
              <a:solidFill>
                <a:srgbClr val="E0D0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84-48FF-B1A0-EB326A5FED8A}"/>
              </c:ext>
            </c:extLst>
          </c:dPt>
          <c:dPt>
            <c:idx val="2"/>
            <c:bubble3D val="0"/>
            <c:spPr>
              <a:solidFill>
                <a:srgbClr val="CDB4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B06-4487-B8CB-B8D2B424AB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الملخص!$AA$72:$AA$74</c:f>
              <c:strCache>
                <c:ptCount val="3"/>
                <c:pt idx="0">
                  <c:v>مصادر أخرى</c:v>
                </c:pt>
                <c:pt idx="1">
                  <c:v>التمويل</c:v>
                </c:pt>
                <c:pt idx="2">
                  <c:v>الملكية</c:v>
                </c:pt>
              </c:strCache>
            </c:strRef>
          </c:cat>
          <c:val>
            <c:numRef>
              <c:f>الملخص!$AB$72:$AB$74</c:f>
              <c:numCache>
                <c:formatCode>#,##0</c:formatCode>
                <c:ptCount val="3"/>
                <c:pt idx="0">
                  <c:v>24832715.28103834</c:v>
                </c:pt>
                <c:pt idx="1">
                  <c:v>259300000</c:v>
                </c:pt>
                <c:pt idx="2">
                  <c:v>220500000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4-48FF-B1A0-EB326A5FED8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71-41D5-978E-C017F547D4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71-41D5-978E-C017F547D4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الملخص!$AA$72:$AA$74</c:f>
              <c:strCache>
                <c:ptCount val="3"/>
                <c:pt idx="0">
                  <c:v>مصادر أخرى</c:v>
                </c:pt>
                <c:pt idx="1">
                  <c:v>التمويل</c:v>
                </c:pt>
                <c:pt idx="2">
                  <c:v>الملكية</c:v>
                </c:pt>
              </c:strCache>
            </c:strRef>
          </c:cat>
          <c:val>
            <c:numRef>
              <c:f>الملخص!$AC$67:$AC$68</c:f>
              <c:numCache>
                <c:formatCode>0%</c:formatCode>
                <c:ptCount val="2"/>
                <c:pt idx="0">
                  <c:v>4.9209483509622613E-2</c:v>
                </c:pt>
                <c:pt idx="1">
                  <c:v>0.51383905987068534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4-48FF-B1A0-EB326A5FE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ar-SA" sz="1400" b="0" i="0" u="none" strike="noStrike" kern="1200" spc="0" baseline="0">
                <a:solidFill>
                  <a:srgbClr val="A4907E"/>
                </a:solidFill>
                <a:latin typeface="+mn-lt"/>
                <a:ea typeface="+mn-ea"/>
                <a:cs typeface="+mn-cs"/>
              </a:defRPr>
            </a:pPr>
            <a:r>
              <a:rPr lang="ar-SA" sz="1400" b="1" i="0" u="none" strike="noStrike" kern="1200" spc="0" baseline="0">
                <a:solidFill>
                  <a:srgbClr val="A4907E"/>
                </a:solidFill>
                <a:latin typeface="+mn-lt"/>
                <a:ea typeface="+mn-ea"/>
                <a:cs typeface="+mn-cs"/>
              </a:rPr>
              <a:t>تفاصيل الملكية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ar-SA" sz="1400" b="0" i="0" u="none" strike="noStrike" kern="1200" spc="0" baseline="0">
              <a:solidFill>
                <a:srgbClr val="A4907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DB4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E2-4B58-B8AB-DECD57A74324}"/>
              </c:ext>
            </c:extLst>
          </c:dPt>
          <c:dPt>
            <c:idx val="1"/>
            <c:bubble3D val="0"/>
            <c:spPr>
              <a:solidFill>
                <a:srgbClr val="E0D0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E2-4B58-B8AB-DECD57A74324}"/>
              </c:ext>
            </c:extLst>
          </c:dPt>
          <c:dLbls>
            <c:dLbl>
              <c:idx val="0"/>
              <c:layout>
                <c:manualLayout>
                  <c:x val="-0.18411577118994865"/>
                  <c:y val="0.238879725737705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5594223802157238"/>
                      <c:h val="0.245923587286648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E2-4B58-B8AB-DECD57A7432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031777504719195"/>
                      <c:h val="0.202994282772769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E2-4B58-B8AB-DECD57A743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الملخص!$AA$69:$AA$70</c:f>
              <c:strCache>
                <c:ptCount val="2"/>
                <c:pt idx="1">
                  <c:v>اشتراكات نقدية من مالك الأرض</c:v>
                </c:pt>
              </c:strCache>
            </c:strRef>
          </c:cat>
          <c:val>
            <c:numRef>
              <c:f>الملخص!$AB$69:$AB$70</c:f>
              <c:numCache>
                <c:formatCode>#,##0</c:formatCode>
                <c:ptCount val="2"/>
                <c:pt idx="1">
                  <c:v>220500000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E2-4B58-B8AB-DECD57A7432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5E2-4B58-B8AB-DECD57A74324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5E2-4B58-B8AB-DECD57A743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الملخص!$AA$69:$AA$70</c:f>
              <c:strCache>
                <c:ptCount val="2"/>
                <c:pt idx="1">
                  <c:v>اشتراكات نقدية من مالك الأرض</c:v>
                </c:pt>
              </c:strCache>
            </c:strRef>
          </c:cat>
          <c:val>
            <c:numRef>
              <c:f>الملخص!$AC$69:$AC$70</c:f>
              <c:numCache>
                <c:formatCode>0%</c:formatCode>
                <c:ptCount val="2"/>
                <c:pt idx="1">
                  <c:v>0.43695145661969198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5E2-4B58-B8AB-DECD57A74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A4907E"/>
            </a:solidFill>
            <a:ln>
              <a:noFill/>
            </a:ln>
            <a:effectLst/>
          </c:spPr>
          <c:invertIfNegative val="0"/>
          <c:cat>
            <c:strRef>
              <c:f>الدراسة!$F$178:$AC$178</c:f>
              <c:strCache>
                <c:ptCount val="2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  <c:pt idx="22">
                  <c:v>Q23</c:v>
                </c:pt>
                <c:pt idx="23">
                  <c:v>Q24</c:v>
                </c:pt>
              </c:strCache>
            </c:strRef>
          </c:cat>
          <c:val>
            <c:numRef>
              <c:f>الدراسة!$F$214:$AC$214</c:f>
              <c:numCache>
                <c:formatCode>#,##0_);[Red]\(#,##0\)</c:formatCode>
                <c:ptCount val="24"/>
                <c:pt idx="0">
                  <c:v>-219477985.0127359</c:v>
                </c:pt>
                <c:pt idx="1">
                  <c:v>54909.987264109659</c:v>
                </c:pt>
                <c:pt idx="2">
                  <c:v>415839.98726410966</c:v>
                </c:pt>
                <c:pt idx="3">
                  <c:v>150186.98726410978</c:v>
                </c:pt>
                <c:pt idx="4">
                  <c:v>653522.98726410978</c:v>
                </c:pt>
                <c:pt idx="5">
                  <c:v>89822.987264109775</c:v>
                </c:pt>
                <c:pt idx="6">
                  <c:v>51822.987264109775</c:v>
                </c:pt>
                <c:pt idx="7">
                  <c:v>6522.9872641097754</c:v>
                </c:pt>
                <c:pt idx="8">
                  <c:v>62845.072264109738</c:v>
                </c:pt>
                <c:pt idx="9">
                  <c:v>190129.87226411002</c:v>
                </c:pt>
                <c:pt idx="10">
                  <c:v>-2646476.5277358904</c:v>
                </c:pt>
                <c:pt idx="11">
                  <c:v>734386.4722641093</c:v>
                </c:pt>
                <c:pt idx="12">
                  <c:v>467386.4722641093</c:v>
                </c:pt>
                <c:pt idx="13">
                  <c:v>4194545.9722641092</c:v>
                </c:pt>
                <c:pt idx="14">
                  <c:v>4321418.4872641098</c:v>
                </c:pt>
                <c:pt idx="15">
                  <c:v>358585625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B-450D-884F-942C287B8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927999"/>
        <c:axId val="324951039"/>
      </c:barChart>
      <c:catAx>
        <c:axId val="32492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51039"/>
        <c:crosses val="autoZero"/>
        <c:auto val="1"/>
        <c:lblAlgn val="ctr"/>
        <c:lblOffset val="100"/>
        <c:noMultiLvlLbl val="0"/>
      </c:catAx>
      <c:valAx>
        <c:axId val="32495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2799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ar-SA" sz="1400" b="1" i="0" u="none" strike="noStrike" kern="1200" cap="all" spc="0" baseline="0">
                <a:solidFill>
                  <a:srgbClr val="A4907E"/>
                </a:solidFill>
                <a:latin typeface="+mn-lt"/>
                <a:ea typeface="+mn-ea"/>
                <a:cs typeface="+mn-cs"/>
              </a:defRPr>
            </a:pPr>
            <a:r>
              <a:rPr lang="ar-SA" sz="1400" b="1" i="0" u="none" strike="noStrike" kern="1200" cap="all" spc="0" baseline="0" dirty="0" err="1">
                <a:solidFill>
                  <a:srgbClr val="A4907E"/>
                </a:solidFill>
                <a:latin typeface="+mn-lt"/>
                <a:ea typeface="+mn-ea"/>
                <a:cs typeface="+mn-cs"/>
              </a:rPr>
              <a:t> التسهيلات المصرفية </a:t>
            </a:r>
            <a:endParaRPr lang="ar-SA" sz="1400" b="1" i="0" u="none" strike="noStrike" kern="1200" cap="all" spc="0" baseline="0" dirty="0">
              <a:solidFill>
                <a:srgbClr val="A4907E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ar-SA" sz="1400" b="1" i="0" u="none" strike="noStrike" kern="1200" cap="all" spc="0" baseline="0">
              <a:solidFill>
                <a:srgbClr val="A4907E"/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الدراسة!$B$247</c:f>
              <c:strCache>
                <c:ptCount val="1"/>
                <c:pt idx="0">
                  <c:v>حجم التمويل للفترة 
 (Principal amount for the period)</c:v>
                </c:pt>
              </c:strCache>
            </c:strRef>
          </c:tx>
          <c:spPr>
            <a:ln w="28575" cap="rnd">
              <a:solidFill>
                <a:srgbClr val="A4907E"/>
              </a:solidFill>
              <a:round/>
            </a:ln>
            <a:effectLst/>
          </c:spPr>
          <c:marker>
            <c:symbol val="none"/>
          </c:marker>
          <c:cat>
            <c:strRef>
              <c:f>الدراسة!$C$242:$AC$242</c:f>
              <c:strCache>
                <c:ptCount val="27"/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7">
                  <c:v>Q5</c:v>
                </c:pt>
                <c:pt idx="8">
                  <c:v>Q6</c:v>
                </c:pt>
                <c:pt idx="9">
                  <c:v>Q7</c:v>
                </c:pt>
                <c:pt idx="10">
                  <c:v>Q8</c:v>
                </c:pt>
                <c:pt idx="11">
                  <c:v>Q9</c:v>
                </c:pt>
                <c:pt idx="12">
                  <c:v>Q10</c:v>
                </c:pt>
                <c:pt idx="13">
                  <c:v>Q11</c:v>
                </c:pt>
                <c:pt idx="14">
                  <c:v>Q12</c:v>
                </c:pt>
                <c:pt idx="15">
                  <c:v>Q13</c:v>
                </c:pt>
                <c:pt idx="16">
                  <c:v>Q14</c:v>
                </c:pt>
                <c:pt idx="17">
                  <c:v>Q15</c:v>
                </c:pt>
                <c:pt idx="18">
                  <c:v>Q16</c:v>
                </c:pt>
                <c:pt idx="19">
                  <c:v>Q17</c:v>
                </c:pt>
                <c:pt idx="20">
                  <c:v>Q18</c:v>
                </c:pt>
                <c:pt idx="21">
                  <c:v>Q19</c:v>
                </c:pt>
                <c:pt idx="22">
                  <c:v>Q20</c:v>
                </c:pt>
                <c:pt idx="23">
                  <c:v>Q21</c:v>
                </c:pt>
                <c:pt idx="24">
                  <c:v>Q22</c:v>
                </c:pt>
                <c:pt idx="25">
                  <c:v>Q23</c:v>
                </c:pt>
                <c:pt idx="26">
                  <c:v>Q24</c:v>
                </c:pt>
              </c:strCache>
            </c:strRef>
          </c:cat>
          <c:val>
            <c:numRef>
              <c:f>الدراسة!$C$247:$AC$247</c:f>
              <c:numCache>
                <c:formatCode>@</c:formatCode>
                <c:ptCount val="27"/>
                <c:pt idx="3" formatCode="#,##0_);[Red]\(#,##0\)">
                  <c:v>10000000</c:v>
                </c:pt>
                <c:pt idx="4" formatCode="#,##0_);[Red]\(#,##0\)">
                  <c:v>17500000</c:v>
                </c:pt>
                <c:pt idx="5" formatCode="#,##0_);[Red]\(#,##0\)">
                  <c:v>20500000</c:v>
                </c:pt>
                <c:pt idx="6" formatCode="#,##0_);[Red]\(#,##0\)">
                  <c:v>53000000</c:v>
                </c:pt>
                <c:pt idx="7" formatCode="#,##0_);[Red]\(#,##0\)">
                  <c:v>77000000</c:v>
                </c:pt>
                <c:pt idx="8" formatCode="#,##0_);[Red]\(#,##0\)">
                  <c:v>100600000</c:v>
                </c:pt>
                <c:pt idx="9" formatCode="#,##0_);[Red]\(#,##0\)">
                  <c:v>124600000</c:v>
                </c:pt>
                <c:pt idx="10" formatCode="#,##0_);[Red]\(#,##0\)">
                  <c:v>149000000</c:v>
                </c:pt>
                <c:pt idx="11" formatCode="#,##0_);[Red]\(#,##0\)">
                  <c:v>178500000</c:v>
                </c:pt>
                <c:pt idx="12" formatCode="#,##0_);[Red]\(#,##0\)">
                  <c:v>210500000</c:v>
                </c:pt>
                <c:pt idx="13" formatCode="#,##0_);[Red]\(#,##0\)">
                  <c:v>259300000</c:v>
                </c:pt>
                <c:pt idx="14" formatCode="#,##0_);[Red]\(#,##0\)">
                  <c:v>259300000</c:v>
                </c:pt>
                <c:pt idx="15" formatCode="#,##0_);[Red]\(#,##0\)">
                  <c:v>259300000</c:v>
                </c:pt>
                <c:pt idx="16" formatCode="#,##0_);[Red]\(#,##0\)">
                  <c:v>259300000</c:v>
                </c:pt>
                <c:pt idx="17" formatCode="#,##0_);[Red]\(#,##0\)">
                  <c:v>259300000</c:v>
                </c:pt>
                <c:pt idx="18" formatCode="#,##0_);[Red]\(#,##0\)">
                  <c:v>0</c:v>
                </c:pt>
                <c:pt idx="19" formatCode="#,##0_);[Red]\(#,##0\)">
                  <c:v>0</c:v>
                </c:pt>
                <c:pt idx="20" formatCode="#,##0_);[Red]\(#,##0\)">
                  <c:v>0</c:v>
                </c:pt>
                <c:pt idx="21" formatCode="#,##0_);[Red]\(#,##0\)">
                  <c:v>0</c:v>
                </c:pt>
                <c:pt idx="22" formatCode="#,##0_);[Red]\(#,##0\)">
                  <c:v>0</c:v>
                </c:pt>
                <c:pt idx="23" formatCode="#,##0_);[Red]\(#,##0\)">
                  <c:v>0</c:v>
                </c:pt>
                <c:pt idx="24" formatCode="#,##0_);[Red]\(#,##0\)">
                  <c:v>0</c:v>
                </c:pt>
                <c:pt idx="25" formatCode="#,##0_);[Red]\(#,##0\)">
                  <c:v>0</c:v>
                </c:pt>
                <c:pt idx="26" formatCode="#,##0_);[Red]\(#,##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0-4D64-8868-16643E64D69E}"/>
            </c:ext>
          </c:extLst>
        </c:ser>
        <c:ser>
          <c:idx val="1"/>
          <c:order val="1"/>
          <c:tx>
            <c:strRef>
              <c:f>الدراسة!$B$248</c:f>
              <c:strCache>
                <c:ptCount val="1"/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الدراسة!$C$242:$AC$242</c:f>
              <c:strCache>
                <c:ptCount val="27"/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7">
                  <c:v>Q5</c:v>
                </c:pt>
                <c:pt idx="8">
                  <c:v>Q6</c:v>
                </c:pt>
                <c:pt idx="9">
                  <c:v>Q7</c:v>
                </c:pt>
                <c:pt idx="10">
                  <c:v>Q8</c:v>
                </c:pt>
                <c:pt idx="11">
                  <c:v>Q9</c:v>
                </c:pt>
                <c:pt idx="12">
                  <c:v>Q10</c:v>
                </c:pt>
                <c:pt idx="13">
                  <c:v>Q11</c:v>
                </c:pt>
                <c:pt idx="14">
                  <c:v>Q12</c:v>
                </c:pt>
                <c:pt idx="15">
                  <c:v>Q13</c:v>
                </c:pt>
                <c:pt idx="16">
                  <c:v>Q14</c:v>
                </c:pt>
                <c:pt idx="17">
                  <c:v>Q15</c:v>
                </c:pt>
                <c:pt idx="18">
                  <c:v>Q16</c:v>
                </c:pt>
                <c:pt idx="19">
                  <c:v>Q17</c:v>
                </c:pt>
                <c:pt idx="20">
                  <c:v>Q18</c:v>
                </c:pt>
                <c:pt idx="21">
                  <c:v>Q19</c:v>
                </c:pt>
                <c:pt idx="22">
                  <c:v>Q20</c:v>
                </c:pt>
                <c:pt idx="23">
                  <c:v>Q21</c:v>
                </c:pt>
                <c:pt idx="24">
                  <c:v>Q22</c:v>
                </c:pt>
                <c:pt idx="25">
                  <c:v>Q23</c:v>
                </c:pt>
                <c:pt idx="26">
                  <c:v>Q24</c:v>
                </c:pt>
              </c:strCache>
            </c:strRef>
          </c:cat>
          <c:val>
            <c:numRef>
              <c:f>الدراسة!$C$248:$AC$248</c:f>
              <c:numCache>
                <c:formatCode>@</c:formatCode>
                <c:ptCount val="2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10-4D64-8868-16643E64D69E}"/>
            </c:ext>
          </c:extLst>
        </c:ser>
        <c:ser>
          <c:idx val="2"/>
          <c:order val="2"/>
          <c:tx>
            <c:strRef>
              <c:f>الدراسة!$B$249</c:f>
              <c:strCache>
                <c:ptCount val="1"/>
                <c:pt idx="0">
                  <c:v>أصل التمويل 
 (Principal)</c:v>
                </c:pt>
              </c:strCache>
            </c:strRef>
          </c:tx>
          <c:spPr>
            <a:ln w="28575" cap="rnd">
              <a:solidFill>
                <a:srgbClr val="E0D0C2"/>
              </a:solidFill>
              <a:round/>
            </a:ln>
            <a:effectLst/>
          </c:spPr>
          <c:marker>
            <c:symbol val="none"/>
          </c:marker>
          <c:cat>
            <c:strRef>
              <c:f>الدراسة!$C$242:$AC$242</c:f>
              <c:strCache>
                <c:ptCount val="27"/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7">
                  <c:v>Q5</c:v>
                </c:pt>
                <c:pt idx="8">
                  <c:v>Q6</c:v>
                </c:pt>
                <c:pt idx="9">
                  <c:v>Q7</c:v>
                </c:pt>
                <c:pt idx="10">
                  <c:v>Q8</c:v>
                </c:pt>
                <c:pt idx="11">
                  <c:v>Q9</c:v>
                </c:pt>
                <c:pt idx="12">
                  <c:v>Q10</c:v>
                </c:pt>
                <c:pt idx="13">
                  <c:v>Q11</c:v>
                </c:pt>
                <c:pt idx="14">
                  <c:v>Q12</c:v>
                </c:pt>
                <c:pt idx="15">
                  <c:v>Q13</c:v>
                </c:pt>
                <c:pt idx="16">
                  <c:v>Q14</c:v>
                </c:pt>
                <c:pt idx="17">
                  <c:v>Q15</c:v>
                </c:pt>
                <c:pt idx="18">
                  <c:v>Q16</c:v>
                </c:pt>
                <c:pt idx="19">
                  <c:v>Q17</c:v>
                </c:pt>
                <c:pt idx="20">
                  <c:v>Q18</c:v>
                </c:pt>
                <c:pt idx="21">
                  <c:v>Q19</c:v>
                </c:pt>
                <c:pt idx="22">
                  <c:v>Q20</c:v>
                </c:pt>
                <c:pt idx="23">
                  <c:v>Q21</c:v>
                </c:pt>
                <c:pt idx="24">
                  <c:v>Q22</c:v>
                </c:pt>
                <c:pt idx="25">
                  <c:v>Q23</c:v>
                </c:pt>
                <c:pt idx="26">
                  <c:v>Q24</c:v>
                </c:pt>
              </c:strCache>
            </c:strRef>
          </c:cat>
          <c:val>
            <c:numRef>
              <c:f>الدراسة!$C$249:$AC$249</c:f>
              <c:numCache>
                <c:formatCode>@</c:formatCode>
                <c:ptCount val="27"/>
                <c:pt idx="3" formatCode="#,##0_);[Red]\(#,##0\)">
                  <c:v>10000000</c:v>
                </c:pt>
                <c:pt idx="4" formatCode="#,##0_);[Red]\(#,##0\)">
                  <c:v>7500000</c:v>
                </c:pt>
                <c:pt idx="5" formatCode="#,##0_);[Red]\(#,##0\)">
                  <c:v>3000000</c:v>
                </c:pt>
                <c:pt idx="6" formatCode="#,##0_);[Red]\(#,##0\)">
                  <c:v>32500000</c:v>
                </c:pt>
                <c:pt idx="7" formatCode="#,##0_);[Red]\(#,##0\)">
                  <c:v>24000000</c:v>
                </c:pt>
                <c:pt idx="8" formatCode="#,##0_);[Red]\(#,##0\)">
                  <c:v>23600000</c:v>
                </c:pt>
                <c:pt idx="9" formatCode="#,##0_);[Red]\(#,##0\)">
                  <c:v>24000000</c:v>
                </c:pt>
                <c:pt idx="10" formatCode="#,##0_);[Red]\(#,##0\)">
                  <c:v>24400000</c:v>
                </c:pt>
                <c:pt idx="11" formatCode="#,##0_);[Red]\(#,##0\)">
                  <c:v>29500000</c:v>
                </c:pt>
                <c:pt idx="12" formatCode="#,##0_);[Red]\(#,##0\)">
                  <c:v>32000000</c:v>
                </c:pt>
                <c:pt idx="13" formatCode="#,##0_);[Red]\(#,##0\)">
                  <c:v>48800000</c:v>
                </c:pt>
                <c:pt idx="14" formatCode="#,##0_);[Red]\(#,##0\)">
                  <c:v>0</c:v>
                </c:pt>
                <c:pt idx="15" formatCode="#,##0_);[Red]\(#,##0\)">
                  <c:v>0</c:v>
                </c:pt>
                <c:pt idx="16" formatCode="#,##0_);[Red]\(#,##0\)">
                  <c:v>0</c:v>
                </c:pt>
                <c:pt idx="17" formatCode="#,##0_);[Red]\(#,##0\)">
                  <c:v>0</c:v>
                </c:pt>
                <c:pt idx="18" formatCode="#,##0_);[Red]\(#,##0\)">
                  <c:v>0</c:v>
                </c:pt>
                <c:pt idx="19" formatCode="#,##0_);[Red]\(#,##0\)">
                  <c:v>0</c:v>
                </c:pt>
                <c:pt idx="20" formatCode="#,##0_);[Red]\(#,##0\)">
                  <c:v>0</c:v>
                </c:pt>
                <c:pt idx="21" formatCode="#,##0_);[Red]\(#,##0\)">
                  <c:v>0</c:v>
                </c:pt>
                <c:pt idx="22" formatCode="#,##0_);[Red]\(#,##0\)">
                  <c:v>0</c:v>
                </c:pt>
                <c:pt idx="23" formatCode="#,##0_);[Red]\(#,##0\)">
                  <c:v>0</c:v>
                </c:pt>
                <c:pt idx="24" formatCode="#,##0_);[Red]\(#,##0\)">
                  <c:v>0</c:v>
                </c:pt>
                <c:pt idx="25" formatCode="#,##0_);[Red]\(#,##0\)">
                  <c:v>0</c:v>
                </c:pt>
                <c:pt idx="26" formatCode="#,##0_);[Red]\(#,##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10-4D64-8868-16643E64D69E}"/>
            </c:ext>
          </c:extLst>
        </c:ser>
        <c:ser>
          <c:idx val="3"/>
          <c:order val="3"/>
          <c:tx>
            <c:strRef>
              <c:f>الدراسة!$B$250</c:f>
              <c:strCache>
                <c:ptCount val="1"/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الدراسة!$C$242:$AC$242</c:f>
              <c:strCache>
                <c:ptCount val="27"/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7">
                  <c:v>Q5</c:v>
                </c:pt>
                <c:pt idx="8">
                  <c:v>Q6</c:v>
                </c:pt>
                <c:pt idx="9">
                  <c:v>Q7</c:v>
                </c:pt>
                <c:pt idx="10">
                  <c:v>Q8</c:v>
                </c:pt>
                <c:pt idx="11">
                  <c:v>Q9</c:v>
                </c:pt>
                <c:pt idx="12">
                  <c:v>Q10</c:v>
                </c:pt>
                <c:pt idx="13">
                  <c:v>Q11</c:v>
                </c:pt>
                <c:pt idx="14">
                  <c:v>Q12</c:v>
                </c:pt>
                <c:pt idx="15">
                  <c:v>Q13</c:v>
                </c:pt>
                <c:pt idx="16">
                  <c:v>Q14</c:v>
                </c:pt>
                <c:pt idx="17">
                  <c:v>Q15</c:v>
                </c:pt>
                <c:pt idx="18">
                  <c:v>Q16</c:v>
                </c:pt>
                <c:pt idx="19">
                  <c:v>Q17</c:v>
                </c:pt>
                <c:pt idx="20">
                  <c:v>Q18</c:v>
                </c:pt>
                <c:pt idx="21">
                  <c:v>Q19</c:v>
                </c:pt>
                <c:pt idx="22">
                  <c:v>Q20</c:v>
                </c:pt>
                <c:pt idx="23">
                  <c:v>Q21</c:v>
                </c:pt>
                <c:pt idx="24">
                  <c:v>Q22</c:v>
                </c:pt>
                <c:pt idx="25">
                  <c:v>Q23</c:v>
                </c:pt>
                <c:pt idx="26">
                  <c:v>Q24</c:v>
                </c:pt>
              </c:strCache>
            </c:strRef>
          </c:cat>
          <c:val>
            <c:numRef>
              <c:f>الدراسة!$C$250:$AC$250</c:f>
              <c:numCache>
                <c:formatCode>@</c:formatCode>
                <c:ptCount val="2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10-4D64-8868-16643E64D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5317103"/>
        <c:axId val="1775318063"/>
      </c:lineChart>
      <c:catAx>
        <c:axId val="177531710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318063"/>
        <c:crosses val="autoZero"/>
        <c:auto val="1"/>
        <c:lblAlgn val="ctr"/>
        <c:lblOffset val="100"/>
        <c:noMultiLvlLbl val="0"/>
      </c:catAx>
      <c:valAx>
        <c:axId val="177531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31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ar-SA" sz="1400" b="1" i="0" u="none" strike="noStrike" kern="1200" cap="all" spc="0" baseline="0">
                <a:solidFill>
                  <a:srgbClr val="A4907E"/>
                </a:solidFill>
                <a:latin typeface="+mn-lt"/>
                <a:ea typeface="+mn-ea"/>
                <a:cs typeface="+mn-cs"/>
              </a:rPr>
              <a:t>التكاليف</a:t>
            </a:r>
            <a:r>
              <a:rPr lang="ar-SA" sz="1600" b="1" i="0" u="none" strike="noStrike" cap="all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  <a:r>
              <a:rPr lang="ar-SA" sz="1400" b="1" i="0" u="none" strike="noStrike" kern="1200" spc="0" baseline="0" dirty="0">
                <a:solidFill>
                  <a:srgbClr val="A4907E"/>
                </a:solidFill>
                <a:latin typeface="+mn-lt"/>
                <a:ea typeface="+mn-ea"/>
                <a:cs typeface="+mn-cs"/>
              </a:rPr>
              <a:t>الاخرى</a:t>
            </a:r>
          </a:p>
        </cx:rich>
      </cx:tx>
    </cx:title>
    <cx:plotArea>
      <cx:plotAreaRegion>
        <cx:series layoutId="treemap" uniqueId="{4A216023-3C54-4CDC-9254-CF23CED93CAC}">
          <cx:spPr>
            <a:solidFill>
              <a:schemeClr val="tx1"/>
            </a:solidFill>
          </cx:spPr>
          <cx:dataPt idx="0">
            <cx:spPr>
              <a:solidFill>
                <a:srgbClr val="957E6F"/>
              </a:solidFill>
            </cx:spPr>
          </cx:dataPt>
          <cx:dataPt idx="1">
            <cx:spPr>
              <a:solidFill>
                <a:srgbClr val="B29C85"/>
              </a:solidFill>
            </cx:spPr>
          </cx:dataPt>
          <cx:dataPt idx="2">
            <cx:spPr>
              <a:solidFill>
                <a:srgbClr val="D1C2B4"/>
              </a:solidFill>
            </cx:spPr>
          </cx:dataPt>
          <cx:dataPt idx="3">
            <cx:spPr>
              <a:solidFill>
                <a:srgbClr val="866C60"/>
              </a:solidFill>
            </cx:spPr>
          </cx:dataPt>
          <cx:dataPt idx="5">
            <cx:spPr>
              <a:solidFill>
                <a:srgbClr val="D1C2B4"/>
              </a:solidFill>
            </cx:spPr>
          </cx:dataPt>
          <cx:dataPt idx="6">
            <cx:spPr>
              <a:solidFill>
                <a:srgbClr val="B29C85"/>
              </a:solidFill>
            </cx:spPr>
          </cx:dataPt>
          <cx:dataPt idx="7">
            <cx:spPr>
              <a:solidFill>
                <a:srgbClr val="A4907E"/>
              </a:solidFill>
            </cx:spPr>
          </cx:dataPt>
          <cx:dataPt idx="8">
            <cx:spPr>
              <a:solidFill>
                <a:srgbClr val="C1AF9C"/>
              </a:solidFill>
            </cx:spPr>
          </cx:dataPt>
          <cx:dataPt idx="9">
            <cx:spPr>
              <a:solidFill>
                <a:srgbClr val="E0D5CB"/>
              </a:solidFill>
            </cx:spPr>
          </cx:dataPt>
          <cx:dataPt idx="10">
            <cx:spPr>
              <a:solidFill>
                <a:srgbClr val="C1AF9C"/>
              </a:solidFill>
            </cx:spPr>
          </cx:dataPt>
          <cx:dataPt idx="11">
            <cx:spPr>
              <a:solidFill>
                <a:srgbClr val="866C60"/>
              </a:solidFill>
            </cx:spPr>
          </cx:dataPt>
          <cx:dataPt idx="12">
            <cx:spPr>
              <a:solidFill>
                <a:srgbClr val="A4907E"/>
              </a:solidFill>
            </cx:spPr>
          </cx:dataPt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/>
                </a:pPr>
                <a:endParaRPr lang="en-US" sz="16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89647</xdr:rowOff>
    </xdr:from>
    <xdr:to>
      <xdr:col>2</xdr:col>
      <xdr:colOff>1137191</xdr:colOff>
      <xdr:row>8</xdr:row>
      <xdr:rowOff>56029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9FD846B1-D5E8-47BF-B7C8-4A9EFA162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75261309" y="89647"/>
          <a:ext cx="3299926" cy="1277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398319</xdr:colOff>
      <xdr:row>48</xdr:row>
      <xdr:rowOff>0</xdr:rowOff>
    </xdr:from>
    <xdr:to>
      <xdr:col>3</xdr:col>
      <xdr:colOff>201706</xdr:colOff>
      <xdr:row>65</xdr:row>
      <xdr:rowOff>212913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7E0C52-DD0F-886D-7F10-79F53BFF1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243471</xdr:colOff>
      <xdr:row>47</xdr:row>
      <xdr:rowOff>219024</xdr:rowOff>
    </xdr:from>
    <xdr:to>
      <xdr:col>7</xdr:col>
      <xdr:colOff>1297842</xdr:colOff>
      <xdr:row>65</xdr:row>
      <xdr:rowOff>196614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22972C-FCD9-9462-DEEF-6050FAE4C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42788</xdr:colOff>
      <xdr:row>48</xdr:row>
      <xdr:rowOff>28526</xdr:rowOff>
    </xdr:from>
    <xdr:to>
      <xdr:col>9</xdr:col>
      <xdr:colOff>1932710</xdr:colOff>
      <xdr:row>65</xdr:row>
      <xdr:rowOff>126423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9C721F8-E00E-4CF5-A952-3080CAC61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68</xdr:col>
      <xdr:colOff>512008</xdr:colOff>
      <xdr:row>60</xdr:row>
      <xdr:rowOff>46263</xdr:rowOff>
    </xdr:from>
    <xdr:to>
      <xdr:col>104</xdr:col>
      <xdr:colOff>647090</xdr:colOff>
      <xdr:row>81</xdr:row>
      <xdr:rowOff>136711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582E4-2BAF-419F-8A3C-0826904E9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403412</xdr:colOff>
      <xdr:row>116</xdr:row>
      <xdr:rowOff>33618</xdr:rowOff>
    </xdr:from>
    <xdr:to>
      <xdr:col>9</xdr:col>
      <xdr:colOff>1311088</xdr:colOff>
      <xdr:row>132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FFE428-315B-43F7-A4CC-F48B79C2A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353723</xdr:colOff>
      <xdr:row>88</xdr:row>
      <xdr:rowOff>138546</xdr:rowOff>
    </xdr:from>
    <xdr:to>
      <xdr:col>9</xdr:col>
      <xdr:colOff>1212273</xdr:colOff>
      <xdr:row>110</xdr:row>
      <xdr:rowOff>225137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9B28599-C2C8-ECB6-3762-B12EE312A5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40659452" y="22017471"/>
              <a:ext cx="26147425" cy="53253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ar-S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428625</xdr:colOff>
      <xdr:row>1</xdr:row>
      <xdr:rowOff>47625</xdr:rowOff>
    </xdr:from>
    <xdr:to>
      <xdr:col>1</xdr:col>
      <xdr:colOff>3620041</xdr:colOff>
      <xdr:row>5</xdr:row>
      <xdr:rowOff>245595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8FDBE5EC-2563-4FBD-A21D-06D816C24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15550434" y="158750"/>
          <a:ext cx="3613691" cy="1277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7RPXTLGYpy4zuwyj9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DC33-B640-40D5-8D09-0ED98AAC20BF}">
  <dimension ref="A1:DS640"/>
  <sheetViews>
    <sheetView showGridLines="0" rightToLeft="1" tabSelected="1" zoomScale="85" zoomScaleNormal="85" workbookViewId="0">
      <selection activeCell="K15" sqref="K15"/>
    </sheetView>
  </sheetViews>
  <sheetFormatPr defaultColWidth="19.75" defaultRowHeight="11.25" x14ac:dyDescent="0.2"/>
  <cols>
    <col min="1" max="1" width="4.125" style="137" bestFit="1" customWidth="1"/>
    <col min="2" max="2" width="28.625" style="137" bestFit="1" customWidth="1"/>
    <col min="3" max="3" width="17.125" style="137" bestFit="1" customWidth="1"/>
    <col min="4" max="4" width="17.875" style="137" bestFit="1" customWidth="1"/>
    <col min="5" max="5" width="22.25" style="137" bestFit="1" customWidth="1"/>
    <col min="6" max="6" width="28.625" style="137" bestFit="1" customWidth="1"/>
    <col min="7" max="7" width="11.25" style="137" bestFit="1" customWidth="1"/>
    <col min="8" max="8" width="16" style="137" bestFit="1" customWidth="1"/>
    <col min="9" max="9" width="27.125" style="137" bestFit="1" customWidth="1"/>
    <col min="10" max="10" width="20.125" style="137" bestFit="1" customWidth="1"/>
    <col min="11" max="11" width="26.375" style="137" bestFit="1" customWidth="1"/>
    <col min="12" max="12" width="16.875" style="137" bestFit="1" customWidth="1"/>
    <col min="13" max="13" width="17.875" style="137" bestFit="1" customWidth="1"/>
    <col min="14" max="14" width="25.125" style="137" bestFit="1" customWidth="1"/>
    <col min="15" max="15" width="10.375" style="137" bestFit="1" customWidth="1"/>
    <col min="16" max="16" width="32.25" style="137" bestFit="1" customWidth="1"/>
    <col min="17" max="17" width="29" style="137" bestFit="1" customWidth="1"/>
    <col min="18" max="18" width="22.25" style="137" bestFit="1" customWidth="1"/>
    <col min="19" max="19" width="14.125" style="137" bestFit="1" customWidth="1"/>
    <col min="20" max="20" width="20.25" style="137" bestFit="1" customWidth="1"/>
    <col min="21" max="22" width="21" style="137" bestFit="1" customWidth="1"/>
    <col min="23" max="23" width="20.75" style="137" bestFit="1" customWidth="1"/>
    <col min="24" max="24" width="15.625" style="137" bestFit="1" customWidth="1"/>
    <col min="25" max="25" width="12.75" style="137" bestFit="1" customWidth="1"/>
    <col min="26" max="26" width="17.25" style="137" bestFit="1" customWidth="1"/>
    <col min="27" max="27" width="29.625" style="137" bestFit="1" customWidth="1"/>
    <col min="28" max="28" width="16.125" style="137" bestFit="1" customWidth="1"/>
    <col min="29" max="29" width="20.375" style="137" bestFit="1" customWidth="1"/>
    <col min="30" max="30" width="15.625" style="137" bestFit="1" customWidth="1"/>
    <col min="31" max="31" width="23" style="137" bestFit="1" customWidth="1"/>
    <col min="32" max="32" width="10.375" style="137" bestFit="1" customWidth="1"/>
    <col min="33" max="33" width="12.75" style="137" bestFit="1" customWidth="1"/>
    <col min="34" max="34" width="4.625" style="137" bestFit="1" customWidth="1"/>
    <col min="35" max="35" width="10.625" style="137" bestFit="1" customWidth="1"/>
    <col min="36" max="36" width="20.75" style="137" bestFit="1" customWidth="1"/>
    <col min="37" max="37" width="9.625" style="137" bestFit="1" customWidth="1"/>
    <col min="38" max="16384" width="19.75" style="137"/>
  </cols>
  <sheetData>
    <row r="1" spans="1:37" x14ac:dyDescent="0.2">
      <c r="A1" s="1"/>
      <c r="B1" s="1"/>
      <c r="C1" s="1"/>
      <c r="E1" s="137" t="s">
        <v>370</v>
      </c>
      <c r="AE1" s="2" t="s">
        <v>0</v>
      </c>
      <c r="AF1" s="3" t="s">
        <v>1</v>
      </c>
      <c r="AG1" s="3"/>
      <c r="AH1" s="4"/>
      <c r="AI1" s="154"/>
      <c r="AJ1" s="154"/>
    </row>
    <row r="2" spans="1:37" ht="16.5" x14ac:dyDescent="0.2">
      <c r="A2" s="1"/>
      <c r="B2" s="1"/>
      <c r="C2" s="1"/>
      <c r="E2" s="597" t="s">
        <v>371</v>
      </c>
      <c r="AE2" s="5" t="s">
        <v>2</v>
      </c>
      <c r="AF2" s="6" t="s">
        <v>3</v>
      </c>
      <c r="AG2" s="7" t="s">
        <v>4</v>
      </c>
      <c r="AH2" s="8">
        <v>0</v>
      </c>
      <c r="AI2" s="154" t="s">
        <v>5</v>
      </c>
      <c r="AJ2" s="154" t="s">
        <v>6</v>
      </c>
      <c r="AK2" s="154" t="s">
        <v>349</v>
      </c>
    </row>
    <row r="3" spans="1:37" x14ac:dyDescent="0.2">
      <c r="A3" s="1"/>
      <c r="B3" s="1"/>
      <c r="C3" s="1"/>
      <c r="AE3" s="5" t="s">
        <v>7</v>
      </c>
      <c r="AF3" s="9" t="s">
        <v>8</v>
      </c>
      <c r="AG3" s="10" t="s">
        <v>9</v>
      </c>
      <c r="AH3" s="11">
        <v>0</v>
      </c>
      <c r="AI3" s="154">
        <f>SUMIF(AO1:AO7, "&lt;&gt;#DIV/0!")</f>
        <v>0</v>
      </c>
      <c r="AJ3" s="154" t="e">
        <f>AVERAGEIFS(AS1:AS7, AS1:AS7, "&lt;&gt;0", AS1:AS7, "&lt;&gt;#DIV/0!")</f>
        <v>#DIV/0!</v>
      </c>
      <c r="AK3" s="137" t="str" cm="1">
        <f t="array" ref="AK3:AK5">IFERROR(AN3:AN5/AM3:AM5, "0")</f>
        <v>0</v>
      </c>
    </row>
    <row r="4" spans="1:37" x14ac:dyDescent="0.2">
      <c r="A4" s="1"/>
      <c r="B4" s="1"/>
      <c r="C4" s="1"/>
      <c r="AE4" s="5" t="s">
        <v>10</v>
      </c>
      <c r="AF4" s="9" t="s">
        <v>11</v>
      </c>
      <c r="AG4" s="12" t="s">
        <v>12</v>
      </c>
      <c r="AH4" s="13">
        <v>0</v>
      </c>
      <c r="AI4" s="154"/>
      <c r="AJ4" s="154"/>
      <c r="AK4" s="137" t="str">
        <v>0</v>
      </c>
    </row>
    <row r="5" spans="1:37" x14ac:dyDescent="0.2">
      <c r="A5" s="1"/>
      <c r="B5" s="1"/>
      <c r="C5" s="1"/>
      <c r="AE5" s="5" t="s">
        <v>13</v>
      </c>
      <c r="AF5" s="14" t="s">
        <v>14</v>
      </c>
      <c r="AG5" s="14" t="s">
        <v>15</v>
      </c>
      <c r="AH5" s="15">
        <v>0</v>
      </c>
      <c r="AI5" s="154"/>
      <c r="AJ5" s="154"/>
      <c r="AK5" s="137" t="str">
        <v>0</v>
      </c>
    </row>
    <row r="6" spans="1:37" ht="17.25" thickBot="1" x14ac:dyDescent="0.25">
      <c r="A6" s="1"/>
      <c r="B6" s="1"/>
      <c r="C6" s="1"/>
      <c r="AE6" s="16" t="s">
        <v>16</v>
      </c>
      <c r="AF6" s="17" t="s">
        <v>17</v>
      </c>
      <c r="AG6" s="369" t="s">
        <v>18</v>
      </c>
      <c r="AH6" s="370">
        <v>0</v>
      </c>
      <c r="AI6" s="154"/>
      <c r="AJ6" s="154"/>
    </row>
    <row r="7" spans="1:37" x14ac:dyDescent="0.2">
      <c r="A7" s="1"/>
      <c r="B7" s="1"/>
      <c r="C7" s="1"/>
    </row>
    <row r="8" spans="1:37" x14ac:dyDescent="0.2">
      <c r="A8" s="1"/>
      <c r="B8" s="1"/>
      <c r="C8" s="1"/>
    </row>
    <row r="9" spans="1:37" x14ac:dyDescent="0.2">
      <c r="A9" s="1"/>
      <c r="B9" s="1"/>
      <c r="C9" s="1"/>
    </row>
    <row r="14" spans="1:37" ht="12" thickBot="1" x14ac:dyDescent="0.25">
      <c r="A14" s="136"/>
    </row>
    <row r="15" spans="1:37" ht="12.75" x14ac:dyDescent="0.2">
      <c r="A15" s="136"/>
      <c r="B15" s="459" t="s">
        <v>20</v>
      </c>
      <c r="C15" s="461"/>
      <c r="D15" s="136"/>
      <c r="E15" s="136"/>
      <c r="F15" s="459" t="s">
        <v>19</v>
      </c>
      <c r="G15" s="460"/>
      <c r="H15" s="461"/>
      <c r="I15" s="136"/>
      <c r="J15" s="136"/>
      <c r="K15" s="136"/>
    </row>
    <row r="16" spans="1:37" ht="22.5" x14ac:dyDescent="0.2">
      <c r="A16" s="136"/>
      <c r="B16" s="264" t="s">
        <v>24</v>
      </c>
      <c r="C16" s="262" t="s">
        <v>25</v>
      </c>
      <c r="D16" s="136"/>
      <c r="E16" s="136"/>
      <c r="F16" s="467" t="s">
        <v>28</v>
      </c>
      <c r="G16" s="468"/>
      <c r="H16" s="469"/>
      <c r="I16" s="136"/>
      <c r="J16" s="136"/>
      <c r="K16" s="136"/>
    </row>
    <row r="17" spans="1:32" ht="22.5" x14ac:dyDescent="0.2">
      <c r="A17" s="136"/>
      <c r="B17" s="249" t="s">
        <v>27</v>
      </c>
      <c r="C17" s="260">
        <f>SUM(E183:E186)</f>
        <v>667316475</v>
      </c>
      <c r="D17" s="136"/>
      <c r="E17" s="136"/>
      <c r="F17" s="264" t="s">
        <v>21</v>
      </c>
      <c r="G17" s="261" t="s">
        <v>22</v>
      </c>
      <c r="H17" s="262" t="s">
        <v>23</v>
      </c>
    </row>
    <row r="18" spans="1:32" ht="22.5" x14ac:dyDescent="0.2">
      <c r="A18" s="136"/>
      <c r="B18" s="256" t="s">
        <v>29</v>
      </c>
      <c r="C18" s="320">
        <f>I49</f>
        <v>223256250</v>
      </c>
      <c r="D18" s="136"/>
      <c r="E18" s="136"/>
      <c r="F18" s="494" t="s">
        <v>26</v>
      </c>
      <c r="G18" s="454"/>
      <c r="H18" s="462"/>
    </row>
    <row r="19" spans="1:32" ht="22.5" x14ac:dyDescent="0.2">
      <c r="A19" s="136"/>
      <c r="B19" s="249" t="s">
        <v>31</v>
      </c>
      <c r="C19" s="351">
        <f>J76</f>
        <v>181440000</v>
      </c>
      <c r="D19" s="136"/>
      <c r="E19" s="136"/>
      <c r="F19" s="256" t="s">
        <v>30</v>
      </c>
      <c r="G19" s="18"/>
      <c r="H19" s="19">
        <f t="shared" ref="H19:H22" si="0">G19/$G$34</f>
        <v>0</v>
      </c>
      <c r="I19" s="136"/>
      <c r="J19" s="136"/>
      <c r="K19" s="136"/>
    </row>
    <row r="20" spans="1:32" ht="22.5" x14ac:dyDescent="0.2">
      <c r="A20" s="136"/>
      <c r="B20" s="256" t="s">
        <v>33</v>
      </c>
      <c r="C20" s="320">
        <f>C101</f>
        <v>28577511.899999999</v>
      </c>
      <c r="D20" s="136"/>
      <c r="E20" s="136"/>
      <c r="F20" s="249" t="s">
        <v>32</v>
      </c>
      <c r="G20" s="18"/>
      <c r="H20" s="23">
        <f t="shared" si="0"/>
        <v>0</v>
      </c>
      <c r="I20" s="136"/>
      <c r="J20" s="136"/>
      <c r="K20" s="136"/>
    </row>
    <row r="21" spans="1:32" ht="23.25" thickBot="1" x14ac:dyDescent="0.25">
      <c r="A21" s="136"/>
      <c r="B21" s="249" t="s">
        <v>35</v>
      </c>
      <c r="C21" s="351">
        <f>C106</f>
        <v>29224428.381038357</v>
      </c>
      <c r="D21" s="136"/>
      <c r="E21" s="136"/>
      <c r="F21" s="256" t="s">
        <v>34</v>
      </c>
      <c r="G21" s="18"/>
      <c r="H21" s="19">
        <f t="shared" si="0"/>
        <v>0</v>
      </c>
      <c r="I21" s="136"/>
      <c r="J21" s="136"/>
      <c r="K21" s="161"/>
      <c r="S21" s="139"/>
    </row>
    <row r="22" spans="1:32" ht="22.5" x14ac:dyDescent="0.2">
      <c r="A22" s="136"/>
      <c r="B22" s="256" t="s">
        <v>37</v>
      </c>
      <c r="C22" s="320">
        <f>C117</f>
        <v>42134525</v>
      </c>
      <c r="D22" s="136"/>
      <c r="E22" s="136"/>
      <c r="F22" s="249" t="s">
        <v>36</v>
      </c>
      <c r="G22" s="259">
        <v>0</v>
      </c>
      <c r="H22" s="23">
        <f t="shared" si="0"/>
        <v>0</v>
      </c>
      <c r="I22" s="135">
        <v>1</v>
      </c>
      <c r="J22" s="136"/>
      <c r="K22" s="161"/>
    </row>
    <row r="23" spans="1:32" ht="23.25" thickBot="1" x14ac:dyDescent="0.25">
      <c r="A23" s="136"/>
      <c r="B23" s="249" t="s">
        <v>38</v>
      </c>
      <c r="C23" s="260">
        <f>G26</f>
        <v>259300000</v>
      </c>
      <c r="D23" s="136"/>
      <c r="F23" s="256" t="s">
        <v>39</v>
      </c>
      <c r="G23" s="257">
        <f>I23*E49</f>
        <v>220500000</v>
      </c>
      <c r="H23" s="19">
        <f>G23/$G$34</f>
        <v>0.43695145661969198</v>
      </c>
      <c r="I23" s="416">
        <v>1</v>
      </c>
      <c r="K23" s="136"/>
      <c r="O23" s="136"/>
      <c r="X23" s="139"/>
      <c r="Y23" s="139"/>
      <c r="Z23" s="139"/>
      <c r="AA23" s="139"/>
      <c r="AB23" s="139"/>
      <c r="AC23" s="139"/>
      <c r="AD23" s="139"/>
      <c r="AE23" s="139"/>
      <c r="AF23" s="139"/>
    </row>
    <row r="24" spans="1:32" ht="22.5" x14ac:dyDescent="0.2">
      <c r="A24" s="136"/>
      <c r="B24" s="256" t="s">
        <v>145</v>
      </c>
      <c r="C24" s="320">
        <f>SUM(C18:C22)</f>
        <v>504632715.28103834</v>
      </c>
      <c r="D24" s="379"/>
      <c r="E24" s="136"/>
      <c r="F24" s="421" t="s">
        <v>40</v>
      </c>
      <c r="G24" s="422">
        <f>SUM(G19:G23)</f>
        <v>220500000</v>
      </c>
      <c r="H24" s="423">
        <f>G24/$G$34</f>
        <v>0.43695145661969198</v>
      </c>
      <c r="J24" s="136"/>
      <c r="K24" s="136"/>
      <c r="X24" s="139"/>
      <c r="Y24" s="139"/>
      <c r="Z24" s="139"/>
      <c r="AA24" s="139"/>
      <c r="AB24" s="139"/>
      <c r="AC24" s="139"/>
      <c r="AD24" s="139"/>
      <c r="AE24" s="139"/>
      <c r="AF24" s="139"/>
    </row>
    <row r="25" spans="1:32" ht="22.5" x14ac:dyDescent="0.2">
      <c r="A25" s="136"/>
      <c r="B25" s="249" t="s">
        <v>41</v>
      </c>
      <c r="C25" s="346">
        <f>C17-C24</f>
        <v>162683759.71896166</v>
      </c>
      <c r="D25" s="136"/>
      <c r="E25" s="136"/>
      <c r="F25" s="495" t="s">
        <v>42</v>
      </c>
      <c r="G25" s="474"/>
      <c r="H25" s="475"/>
      <c r="X25" s="139"/>
      <c r="Y25" s="139"/>
      <c r="Z25" s="139"/>
      <c r="AA25" s="139"/>
      <c r="AB25" s="139"/>
      <c r="AC25" s="139"/>
      <c r="AD25" s="139"/>
      <c r="AE25" s="139"/>
      <c r="AF25" s="139"/>
    </row>
    <row r="26" spans="1:32" ht="22.5" x14ac:dyDescent="0.2">
      <c r="A26" s="136"/>
      <c r="B26" s="256" t="s">
        <v>357</v>
      </c>
      <c r="C26" s="368">
        <f>D120</f>
        <v>3.7863013698630135</v>
      </c>
      <c r="D26" s="136"/>
      <c r="E26" s="136"/>
      <c r="F26" s="494" t="s">
        <v>38</v>
      </c>
      <c r="G26" s="454">
        <f>E187</f>
        <v>259300000</v>
      </c>
      <c r="H26" s="496">
        <f>G26/$G$34</f>
        <v>0.51383905987068534</v>
      </c>
      <c r="X26" s="139"/>
      <c r="Y26" s="139"/>
      <c r="Z26" s="139"/>
      <c r="AA26" s="139"/>
      <c r="AB26" s="139"/>
      <c r="AC26" s="139"/>
      <c r="AD26" s="139"/>
      <c r="AE26" s="139"/>
      <c r="AF26" s="139"/>
    </row>
    <row r="27" spans="1:32" ht="22.5" x14ac:dyDescent="0.2">
      <c r="A27" s="136"/>
      <c r="B27" s="249" t="s">
        <v>43</v>
      </c>
      <c r="C27" s="362">
        <f>C219</f>
        <v>0.14642062783241275</v>
      </c>
      <c r="D27" s="136"/>
      <c r="E27" s="136"/>
      <c r="F27" s="494"/>
      <c r="G27" s="454"/>
      <c r="H27" s="496"/>
      <c r="X27" s="139"/>
      <c r="Y27" s="139"/>
      <c r="Z27" s="139"/>
      <c r="AA27" s="139"/>
      <c r="AB27" s="139"/>
      <c r="AC27" s="139"/>
      <c r="AD27" s="139"/>
      <c r="AE27" s="139"/>
      <c r="AF27" s="139"/>
    </row>
    <row r="28" spans="1:32" ht="23.25" thickBot="1" x14ac:dyDescent="0.25">
      <c r="A28" s="136"/>
      <c r="B28" s="256" t="s">
        <v>44</v>
      </c>
      <c r="C28" s="360">
        <f>C25/C24</f>
        <v>0.32238052506833681</v>
      </c>
      <c r="D28" s="136"/>
      <c r="E28" s="136"/>
      <c r="F28" s="495" t="s">
        <v>45</v>
      </c>
      <c r="G28" s="474"/>
      <c r="H28" s="475"/>
      <c r="I28" s="136"/>
      <c r="J28" s="136"/>
      <c r="K28" s="136"/>
      <c r="T28" s="139"/>
      <c r="X28" s="139"/>
      <c r="Y28" s="139"/>
      <c r="Z28" s="139"/>
      <c r="AA28" s="139"/>
      <c r="AB28" s="139"/>
      <c r="AC28" s="139"/>
      <c r="AD28" s="139"/>
      <c r="AE28" s="139"/>
      <c r="AF28" s="139"/>
    </row>
    <row r="29" spans="1:32" ht="22.5" x14ac:dyDescent="0.2">
      <c r="A29" s="136"/>
      <c r="B29" s="249" t="s">
        <v>46</v>
      </c>
      <c r="C29" s="362">
        <f>C25/G24</f>
        <v>0.73779482865742252</v>
      </c>
      <c r="D29" s="136"/>
      <c r="E29" s="136"/>
      <c r="F29" s="249" t="s">
        <v>47</v>
      </c>
      <c r="G29" s="259">
        <f>J29*I29</f>
        <v>0</v>
      </c>
      <c r="H29" s="265">
        <f>G29/$G$34</f>
        <v>0</v>
      </c>
      <c r="I29" s="20">
        <f>AA140</f>
        <v>0</v>
      </c>
      <c r="J29" s="21">
        <v>1</v>
      </c>
      <c r="K29" s="162" t="e">
        <f>-G35/I29</f>
        <v>#DIV/0!</v>
      </c>
      <c r="T29" s="139"/>
      <c r="X29" s="139"/>
      <c r="Y29" s="139"/>
      <c r="Z29" s="139"/>
      <c r="AA29" s="139"/>
      <c r="AB29" s="139"/>
      <c r="AC29" s="139"/>
      <c r="AD29" s="139"/>
      <c r="AE29" s="139"/>
      <c r="AF29" s="139"/>
    </row>
    <row r="30" spans="1:32" ht="23.25" thickBot="1" x14ac:dyDescent="0.25">
      <c r="A30" s="136"/>
      <c r="B30" s="274" t="s">
        <v>48</v>
      </c>
      <c r="C30" s="363">
        <f>C29/C26</f>
        <v>0.1948589815195074</v>
      </c>
      <c r="D30" s="136"/>
      <c r="E30" s="136"/>
      <c r="F30" s="256" t="s">
        <v>49</v>
      </c>
      <c r="G30" s="257">
        <f>I30*J30</f>
        <v>24832715.28103834</v>
      </c>
      <c r="H30" s="19">
        <f>G30/$G$34</f>
        <v>4.9209483509622613E-2</v>
      </c>
      <c r="I30" s="126">
        <f>SUM(J139,L157,AE157)</f>
        <v>34601595</v>
      </c>
      <c r="J30" s="22">
        <v>0.71767545054031012</v>
      </c>
      <c r="K30" s="162">
        <f>-G35/I30</f>
        <v>0</v>
      </c>
      <c r="T30" s="139"/>
      <c r="X30" s="139"/>
      <c r="Y30" s="139"/>
      <c r="Z30" s="139"/>
      <c r="AA30" s="139"/>
      <c r="AB30" s="139"/>
      <c r="AC30" s="139"/>
      <c r="AD30" s="139"/>
      <c r="AE30" s="139"/>
      <c r="AF30" s="139"/>
    </row>
    <row r="31" spans="1:32" ht="22.5" x14ac:dyDescent="0.2">
      <c r="A31" s="136"/>
      <c r="B31" s="136"/>
      <c r="C31" s="136"/>
      <c r="D31" s="136"/>
      <c r="E31" s="136"/>
      <c r="F31" s="249" t="s">
        <v>50</v>
      </c>
      <c r="G31" s="259">
        <f>G30+G29</f>
        <v>24832715.28103834</v>
      </c>
      <c r="H31" s="23">
        <f>G31/$G$34</f>
        <v>4.9209483509622613E-2</v>
      </c>
      <c r="I31" s="136"/>
      <c r="J31" s="136"/>
      <c r="K31" s="136"/>
      <c r="T31" s="139"/>
      <c r="X31" s="139"/>
      <c r="Y31" s="139"/>
      <c r="Z31" s="139"/>
      <c r="AA31" s="139"/>
      <c r="AB31" s="139"/>
      <c r="AC31" s="139"/>
      <c r="AD31" s="139"/>
      <c r="AE31" s="139"/>
      <c r="AF31" s="139"/>
    </row>
    <row r="32" spans="1:32" x14ac:dyDescent="0.2">
      <c r="A32" s="136"/>
      <c r="B32" s="136"/>
      <c r="C32" s="136"/>
      <c r="D32" s="136"/>
      <c r="E32" s="136"/>
      <c r="F32" s="495" t="s">
        <v>271</v>
      </c>
      <c r="G32" s="474"/>
      <c r="H32" s="475"/>
      <c r="J32" s="136"/>
      <c r="K32" s="136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</row>
    <row r="33" spans="1:32" ht="22.5" x14ac:dyDescent="0.2">
      <c r="A33" s="136"/>
      <c r="B33" s="136"/>
      <c r="C33" s="136"/>
      <c r="D33" s="136"/>
      <c r="E33" s="136"/>
      <c r="F33" s="256" t="s">
        <v>51</v>
      </c>
      <c r="G33" s="257">
        <f>G24+G26+G31</f>
        <v>504632715.28103834</v>
      </c>
      <c r="H33" s="229" t="b">
        <f>100%=SUM(H24,H26,H31)</f>
        <v>1</v>
      </c>
      <c r="I33" s="161"/>
      <c r="J33" s="136"/>
      <c r="K33" s="136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</row>
    <row r="34" spans="1:32" ht="22.5" x14ac:dyDescent="0.2">
      <c r="A34" s="136"/>
      <c r="B34" s="136"/>
      <c r="C34" s="136"/>
      <c r="D34" s="136"/>
      <c r="E34" s="136"/>
      <c r="F34" s="249" t="s">
        <v>145</v>
      </c>
      <c r="G34" s="454">
        <f>C113</f>
        <v>504632715.28103834</v>
      </c>
      <c r="H34" s="462"/>
      <c r="I34" s="159"/>
      <c r="J34" s="136"/>
      <c r="K34" s="136"/>
      <c r="N34" s="139"/>
      <c r="O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</row>
    <row r="35" spans="1:32" ht="23.25" thickBot="1" x14ac:dyDescent="0.25">
      <c r="A35" s="136"/>
      <c r="E35" s="136"/>
      <c r="F35" s="24" t="s">
        <v>52</v>
      </c>
      <c r="G35" s="502">
        <f>G33-G34</f>
        <v>0</v>
      </c>
      <c r="H35" s="503"/>
      <c r="I35" s="136"/>
      <c r="J35" s="136"/>
      <c r="K35" s="161"/>
      <c r="N35" s="139"/>
      <c r="O35" s="139"/>
      <c r="S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</row>
    <row r="36" spans="1:32" x14ac:dyDescent="0.2">
      <c r="A36" s="136"/>
      <c r="O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</row>
    <row r="37" spans="1:32" x14ac:dyDescent="0.2">
      <c r="A37" s="136"/>
      <c r="I37" s="147"/>
      <c r="N37" s="139"/>
      <c r="O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</row>
    <row r="38" spans="1:32" x14ac:dyDescent="0.2">
      <c r="A38" s="136"/>
      <c r="I38" s="147"/>
      <c r="N38" s="139"/>
      <c r="O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</row>
    <row r="39" spans="1:32" x14ac:dyDescent="0.2">
      <c r="A39" s="136"/>
      <c r="I39" s="147"/>
      <c r="N39" s="139"/>
      <c r="O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</row>
    <row r="40" spans="1:32" x14ac:dyDescent="0.2">
      <c r="A40" s="136"/>
      <c r="I40" s="147"/>
      <c r="N40" s="139"/>
      <c r="O40" s="139"/>
      <c r="P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</row>
    <row r="41" spans="1:32" ht="12" thickBot="1" x14ac:dyDescent="0.25">
      <c r="A41" s="136"/>
      <c r="B41" s="136"/>
      <c r="C41" s="136"/>
      <c r="D41" s="136"/>
      <c r="E41" s="136"/>
      <c r="F41" s="136"/>
      <c r="G41" s="136"/>
      <c r="H41" s="136"/>
      <c r="I41" s="160"/>
      <c r="J41" s="136"/>
      <c r="K41" s="136"/>
      <c r="L41" s="136"/>
      <c r="N41" s="139"/>
      <c r="O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</row>
    <row r="42" spans="1:32" ht="12.75" x14ac:dyDescent="0.2">
      <c r="A42" s="136"/>
      <c r="B42" s="459" t="s">
        <v>53</v>
      </c>
      <c r="C42" s="460"/>
      <c r="D42" s="460"/>
      <c r="E42" s="460"/>
      <c r="F42" s="460"/>
      <c r="G42" s="460"/>
      <c r="H42" s="460"/>
      <c r="I42" s="460"/>
      <c r="J42" s="460"/>
      <c r="K42" s="461"/>
      <c r="L42" s="136"/>
      <c r="N42" s="139"/>
      <c r="O42" s="139"/>
      <c r="P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</row>
    <row r="43" spans="1:32" ht="22.5" x14ac:dyDescent="0.2">
      <c r="A43" s="136"/>
      <c r="B43" s="264" t="s">
        <v>54</v>
      </c>
      <c r="C43" s="261" t="s">
        <v>55</v>
      </c>
      <c r="D43" s="261" t="s">
        <v>56</v>
      </c>
      <c r="E43" s="261" t="s">
        <v>324</v>
      </c>
      <c r="F43" s="261" t="s">
        <v>279</v>
      </c>
      <c r="G43" s="261" t="s">
        <v>280</v>
      </c>
      <c r="H43" s="261" t="s">
        <v>281</v>
      </c>
      <c r="I43" s="261" t="s">
        <v>325</v>
      </c>
      <c r="J43" s="261" t="s">
        <v>57</v>
      </c>
      <c r="K43" s="262" t="s">
        <v>58</v>
      </c>
      <c r="L43" s="136"/>
      <c r="N43" s="139"/>
      <c r="O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</row>
    <row r="44" spans="1:32" x14ac:dyDescent="0.2">
      <c r="A44" s="136"/>
      <c r="B44" s="25">
        <v>1</v>
      </c>
      <c r="C44" s="26">
        <v>10500</v>
      </c>
      <c r="D44" s="253">
        <v>21000</v>
      </c>
      <c r="E44" s="266">
        <f>D44*C44</f>
        <v>220500000</v>
      </c>
      <c r="F44" s="266">
        <f>(E44*$F$50)*$F$51</f>
        <v>0</v>
      </c>
      <c r="G44" s="266">
        <f>(E44*$G$50)*$G$51</f>
        <v>2756250</v>
      </c>
      <c r="H44" s="266">
        <f>(G44*$H$50)*$H$51</f>
        <v>0</v>
      </c>
      <c r="I44" s="266">
        <f>SUM(E44:H44)</f>
        <v>223256250</v>
      </c>
      <c r="J44" s="27">
        <v>4</v>
      </c>
      <c r="K44" s="246">
        <f>J44*C44</f>
        <v>42000</v>
      </c>
      <c r="L44" s="136"/>
      <c r="N44" s="139"/>
      <c r="O44" s="139"/>
      <c r="AA44" s="139"/>
      <c r="AB44" s="139"/>
      <c r="AC44" s="139"/>
    </row>
    <row r="45" spans="1:32" x14ac:dyDescent="0.2">
      <c r="A45" s="136"/>
      <c r="B45" s="28">
        <v>2</v>
      </c>
      <c r="C45" s="26"/>
      <c r="D45" s="253"/>
      <c r="E45" s="267">
        <f>D45*C45</f>
        <v>0</v>
      </c>
      <c r="F45" s="267">
        <f>(E45*$F$50)*$F$51</f>
        <v>0</v>
      </c>
      <c r="G45" s="267">
        <f>(E45*$G$50)*$G$51</f>
        <v>0</v>
      </c>
      <c r="H45" s="267">
        <f>(G45*$H$50)*$H$51</f>
        <v>0</v>
      </c>
      <c r="I45" s="267">
        <f>SUM(E45:H45)</f>
        <v>0</v>
      </c>
      <c r="J45" s="27"/>
      <c r="K45" s="268">
        <f>J45*C45</f>
        <v>0</v>
      </c>
      <c r="L45" s="136"/>
      <c r="N45" s="139"/>
      <c r="O45" s="139"/>
    </row>
    <row r="46" spans="1:32" x14ac:dyDescent="0.2">
      <c r="A46" s="136"/>
      <c r="B46" s="25">
        <v>3</v>
      </c>
      <c r="C46" s="26"/>
      <c r="D46" s="253"/>
      <c r="E46" s="266">
        <f>D46*C46</f>
        <v>0</v>
      </c>
      <c r="F46" s="266">
        <f>(E46*$F$50)*$F$51</f>
        <v>0</v>
      </c>
      <c r="G46" s="266">
        <f>(E46*$G$50)*$G$51</f>
        <v>0</v>
      </c>
      <c r="H46" s="266">
        <f>(G46*$H$50)*$H$51</f>
        <v>0</v>
      </c>
      <c r="I46" s="266">
        <f>SUM(E46:H46)</f>
        <v>0</v>
      </c>
      <c r="J46" s="27"/>
      <c r="K46" s="246">
        <f>J46*C46</f>
        <v>0</v>
      </c>
      <c r="L46" s="136"/>
      <c r="N46" s="139"/>
      <c r="O46" s="139"/>
    </row>
    <row r="47" spans="1:32" x14ac:dyDescent="0.2">
      <c r="A47" s="136"/>
      <c r="B47" s="28">
        <v>4</v>
      </c>
      <c r="C47" s="26"/>
      <c r="D47" s="253"/>
      <c r="E47" s="267">
        <f>D47*C47</f>
        <v>0</v>
      </c>
      <c r="F47" s="267">
        <f>(E47*$F$50)*$F$51</f>
        <v>0</v>
      </c>
      <c r="G47" s="267">
        <f>(E47*$G$50)*$G$51</f>
        <v>0</v>
      </c>
      <c r="H47" s="267">
        <f>(G47*$H$50)*$H$51</f>
        <v>0</v>
      </c>
      <c r="I47" s="267">
        <f>SUM(E47:H47)</f>
        <v>0</v>
      </c>
      <c r="J47" s="27"/>
      <c r="K47" s="268">
        <f>J47*C47</f>
        <v>0</v>
      </c>
      <c r="L47" s="136"/>
      <c r="N47" s="139"/>
      <c r="O47" s="139"/>
    </row>
    <row r="48" spans="1:32" x14ac:dyDescent="0.2">
      <c r="A48" s="136"/>
      <c r="B48" s="25">
        <v>5</v>
      </c>
      <c r="C48" s="26"/>
      <c r="D48" s="253"/>
      <c r="E48" s="266">
        <f>D48*C48</f>
        <v>0</v>
      </c>
      <c r="F48" s="266">
        <f>(E48*$F$50)*$F$51</f>
        <v>0</v>
      </c>
      <c r="G48" s="266">
        <f>(E48*$G$50)*$G$51</f>
        <v>0</v>
      </c>
      <c r="H48" s="266">
        <f>(G48*$H$50)*$H$51</f>
        <v>0</v>
      </c>
      <c r="I48" s="266">
        <f>SUM(E48:H48)</f>
        <v>0</v>
      </c>
      <c r="J48" s="27"/>
      <c r="K48" s="246">
        <f>J48*C48</f>
        <v>0</v>
      </c>
      <c r="L48" s="136"/>
      <c r="N48" s="139"/>
      <c r="O48" s="139"/>
    </row>
    <row r="49" spans="1:76" ht="23.25" thickBot="1" x14ac:dyDescent="0.25">
      <c r="B49" s="29" t="s">
        <v>59</v>
      </c>
      <c r="C49" s="30">
        <f>SUM(C44:C48)</f>
        <v>10500</v>
      </c>
      <c r="D49" s="31">
        <f>E49/C49</f>
        <v>21000</v>
      </c>
      <c r="E49" s="31">
        <f>SUM(E44:E48)</f>
        <v>220500000</v>
      </c>
      <c r="F49" s="31">
        <f>SUM(F44:F48)</f>
        <v>0</v>
      </c>
      <c r="G49" s="31">
        <f>SUM(G44:G48)</f>
        <v>2756250</v>
      </c>
      <c r="H49" s="31">
        <f>SUM(H44:H48)</f>
        <v>0</v>
      </c>
      <c r="I49" s="31">
        <f>SUM(I44:I48)</f>
        <v>223256250</v>
      </c>
      <c r="J49" s="32">
        <f>K49/C49</f>
        <v>4</v>
      </c>
      <c r="K49" s="33">
        <f>SUM(K44:K48)</f>
        <v>42000</v>
      </c>
      <c r="L49" s="136"/>
      <c r="N49" s="139"/>
      <c r="O49" s="139"/>
    </row>
    <row r="50" spans="1:76" x14ac:dyDescent="0.2">
      <c r="A50" s="136"/>
      <c r="B50" s="136"/>
      <c r="C50" s="136"/>
      <c r="D50" s="136"/>
      <c r="E50" s="136"/>
      <c r="F50" s="34">
        <v>0.05</v>
      </c>
      <c r="G50" s="35">
        <v>2.5000000000000001E-2</v>
      </c>
      <c r="H50" s="36">
        <v>0.15</v>
      </c>
      <c r="I50" s="136"/>
      <c r="J50" s="140"/>
      <c r="K50" s="159" t="b">
        <f>SUM(D61:D71)=K49</f>
        <v>1</v>
      </c>
      <c r="L50" s="136"/>
      <c r="N50" s="139"/>
      <c r="O50" s="139"/>
      <c r="P50" s="139"/>
      <c r="Q50" s="139"/>
      <c r="R50" s="238"/>
    </row>
    <row r="51" spans="1:76" ht="12" thickBot="1" x14ac:dyDescent="0.25">
      <c r="A51" s="136"/>
      <c r="B51" s="136"/>
      <c r="C51" s="136"/>
      <c r="D51" s="136"/>
      <c r="E51" s="136"/>
      <c r="F51" s="37">
        <v>0</v>
      </c>
      <c r="G51" s="38">
        <v>0.5</v>
      </c>
      <c r="H51" s="39">
        <v>0</v>
      </c>
      <c r="I51" s="136"/>
      <c r="J51" s="140"/>
      <c r="K51" s="140"/>
      <c r="L51" s="136"/>
      <c r="N51" s="139"/>
      <c r="O51" s="139"/>
      <c r="P51" s="139"/>
      <c r="Q51" s="139"/>
      <c r="R51" s="378"/>
    </row>
    <row r="52" spans="1:76" s="139" customFormat="1" x14ac:dyDescent="0.2">
      <c r="A52" s="140"/>
    </row>
    <row r="53" spans="1:76" s="139" customFormat="1" x14ac:dyDescent="0.2">
      <c r="A53" s="140"/>
      <c r="R53" s="381"/>
    </row>
    <row r="54" spans="1:76" s="139" customFormat="1" x14ac:dyDescent="0.2">
      <c r="A54" s="140"/>
    </row>
    <row r="55" spans="1:76" s="139" customFormat="1" x14ac:dyDescent="0.2">
      <c r="A55" s="140"/>
      <c r="F55" s="358"/>
      <c r="H55" s="357"/>
      <c r="R55" s="380"/>
    </row>
    <row r="56" spans="1:76" s="139" customFormat="1" ht="12" thickBot="1" x14ac:dyDescent="0.25">
      <c r="A56" s="140"/>
      <c r="F56" s="357"/>
    </row>
    <row r="57" spans="1:76" ht="12.75" x14ac:dyDescent="0.2">
      <c r="B57" s="459" t="s">
        <v>69</v>
      </c>
      <c r="C57" s="460"/>
      <c r="D57" s="460"/>
      <c r="E57" s="460"/>
      <c r="F57" s="460"/>
      <c r="G57" s="460"/>
      <c r="H57" s="460"/>
      <c r="I57" s="460"/>
      <c r="J57" s="460"/>
      <c r="K57" s="460"/>
      <c r="L57" s="461"/>
      <c r="N57" s="139"/>
      <c r="O57" s="139"/>
      <c r="P57" s="139"/>
      <c r="Q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  <c r="BG57" s="139"/>
      <c r="BH57" s="139"/>
      <c r="BI57" s="139"/>
      <c r="BJ57" s="139"/>
      <c r="BK57" s="139"/>
      <c r="BL57" s="139"/>
    </row>
    <row r="58" spans="1:76" ht="22.5" x14ac:dyDescent="0.2">
      <c r="B58" s="264" t="s">
        <v>70</v>
      </c>
      <c r="C58" s="261" t="s">
        <v>71</v>
      </c>
      <c r="D58" s="261" t="s">
        <v>57</v>
      </c>
      <c r="E58" s="261" t="s">
        <v>72</v>
      </c>
      <c r="F58" s="468" t="s">
        <v>73</v>
      </c>
      <c r="G58" s="500"/>
      <c r="H58" s="468" t="s">
        <v>74</v>
      </c>
      <c r="I58" s="468"/>
      <c r="J58" s="261" t="s">
        <v>75</v>
      </c>
      <c r="K58" s="468" t="s">
        <v>76</v>
      </c>
      <c r="L58" s="469" t="s">
        <v>77</v>
      </c>
      <c r="N58" s="140"/>
      <c r="O58" s="140"/>
      <c r="S58" s="140"/>
      <c r="T58" s="140"/>
      <c r="U58" s="139"/>
      <c r="V58" s="139"/>
      <c r="W58" s="139"/>
      <c r="X58" s="139"/>
      <c r="Y58" s="139"/>
      <c r="Z58" s="139"/>
      <c r="AA58" s="139"/>
      <c r="AB58" s="139"/>
      <c r="AC58" s="139"/>
      <c r="AD58" s="140"/>
      <c r="AE58" s="140"/>
      <c r="AG58" s="139"/>
      <c r="AH58" s="139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39"/>
      <c r="BJ58" s="139"/>
      <c r="BK58" s="139"/>
      <c r="BL58" s="139"/>
      <c r="BM58" s="139"/>
      <c r="BN58" s="139"/>
      <c r="BO58" s="139"/>
      <c r="BP58" s="139"/>
      <c r="BQ58" s="139"/>
      <c r="BR58" s="139"/>
      <c r="BS58" s="139"/>
      <c r="BT58" s="139"/>
      <c r="BU58" s="139"/>
      <c r="BV58" s="139"/>
      <c r="BW58" s="139"/>
      <c r="BX58" s="139"/>
    </row>
    <row r="59" spans="1:76" ht="12.75" customHeight="1" x14ac:dyDescent="0.2">
      <c r="B59" s="40">
        <v>0</v>
      </c>
      <c r="C59" s="41">
        <v>0</v>
      </c>
      <c r="D59" s="42">
        <f>J49</f>
        <v>4</v>
      </c>
      <c r="E59" s="263">
        <f>SUM(D61:D75)</f>
        <v>68250</v>
      </c>
      <c r="F59" s="501">
        <f>SUM(D61:D71,D74:D75)</f>
        <v>63000</v>
      </c>
      <c r="G59" s="501"/>
      <c r="H59" s="501">
        <f>SUM(D61:D71)</f>
        <v>42000</v>
      </c>
      <c r="I59" s="501"/>
      <c r="J59" s="263">
        <f>F76</f>
        <v>35385</v>
      </c>
      <c r="K59" s="468"/>
      <c r="L59" s="469"/>
      <c r="P59" s="549" t="s">
        <v>78</v>
      </c>
      <c r="Q59" s="550"/>
      <c r="R59" s="550"/>
      <c r="S59" s="550"/>
      <c r="T59" s="550"/>
      <c r="U59" s="550"/>
      <c r="V59" s="550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139"/>
      <c r="BJ59" s="139"/>
      <c r="BK59" s="139"/>
      <c r="BL59" s="139"/>
      <c r="BM59" s="139"/>
      <c r="BN59" s="139"/>
      <c r="BO59" s="139"/>
      <c r="BP59" s="139"/>
      <c r="BQ59" s="139"/>
      <c r="BR59" s="139"/>
      <c r="BS59" s="139"/>
      <c r="BT59" s="139"/>
      <c r="BU59" s="139"/>
      <c r="BV59" s="139"/>
      <c r="BW59" s="139"/>
      <c r="BX59" s="139"/>
    </row>
    <row r="60" spans="1:76" ht="24.75" x14ac:dyDescent="0.2">
      <c r="B60" s="43" t="s">
        <v>60</v>
      </c>
      <c r="C60" s="44" t="s">
        <v>79</v>
      </c>
      <c r="D60" s="261" t="s">
        <v>80</v>
      </c>
      <c r="E60" s="44" t="s">
        <v>81</v>
      </c>
      <c r="F60" s="261" t="s">
        <v>82</v>
      </c>
      <c r="G60" s="261" t="s">
        <v>83</v>
      </c>
      <c r="H60" s="261" t="s">
        <v>84</v>
      </c>
      <c r="I60" s="261" t="s">
        <v>85</v>
      </c>
      <c r="J60" s="261" t="s">
        <v>86</v>
      </c>
      <c r="K60" s="248">
        <f>B59/L60</f>
        <v>0</v>
      </c>
      <c r="L60" s="301">
        <v>3.5</v>
      </c>
      <c r="P60" s="46" t="s">
        <v>60</v>
      </c>
      <c r="Q60" s="6" t="s">
        <v>87</v>
      </c>
      <c r="R60" s="6" t="s">
        <v>88</v>
      </c>
      <c r="S60" s="6" t="s">
        <v>89</v>
      </c>
      <c r="T60" s="6" t="s">
        <v>90</v>
      </c>
      <c r="U60" s="6" t="s">
        <v>91</v>
      </c>
      <c r="V60" s="6" t="s">
        <v>92</v>
      </c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39"/>
      <c r="BF60" s="139"/>
      <c r="BG60" s="139"/>
      <c r="BH60" s="139"/>
      <c r="BI60" s="139"/>
      <c r="BJ60" s="139"/>
      <c r="BK60" s="139"/>
      <c r="BL60" s="139"/>
      <c r="BM60" s="139"/>
    </row>
    <row r="61" spans="1:76" ht="22.5" x14ac:dyDescent="0.2">
      <c r="B61" s="47" t="s">
        <v>61</v>
      </c>
      <c r="C61" s="48">
        <v>0.6</v>
      </c>
      <c r="D61" s="263">
        <f>$K$49*C61</f>
        <v>25200</v>
      </c>
      <c r="E61" s="239">
        <v>0.8</v>
      </c>
      <c r="F61" s="263">
        <f>E61*D61</f>
        <v>20160</v>
      </c>
      <c r="G61" s="263">
        <f>IFERROR(F61/H61, "0")</f>
        <v>100.8</v>
      </c>
      <c r="H61" s="27">
        <v>200</v>
      </c>
      <c r="I61" s="253">
        <v>3200</v>
      </c>
      <c r="J61" s="266">
        <f>I61*D61</f>
        <v>80640000</v>
      </c>
      <c r="K61" s="266">
        <f>L61*H61</f>
        <v>300</v>
      </c>
      <c r="L61" s="45">
        <v>1.5</v>
      </c>
      <c r="P61" s="28" t="s">
        <v>61</v>
      </c>
      <c r="Q61" s="52">
        <v>282940175.38161987</v>
      </c>
      <c r="R61" s="52">
        <v>14034.730921707334</v>
      </c>
      <c r="S61" s="267">
        <v>300736800</v>
      </c>
      <c r="T61" s="359">
        <v>14917.5</v>
      </c>
      <c r="U61" s="359">
        <v>17796624.618380129</v>
      </c>
      <c r="V61" s="360">
        <v>6.2898895833285826E-2</v>
      </c>
      <c r="W61" s="247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139"/>
      <c r="BI61" s="139"/>
      <c r="BJ61" s="139"/>
      <c r="BK61" s="139"/>
      <c r="BL61" s="139"/>
      <c r="BM61" s="139"/>
    </row>
    <row r="62" spans="1:76" ht="22.5" x14ac:dyDescent="0.2">
      <c r="B62" s="49" t="s">
        <v>62</v>
      </c>
      <c r="C62" s="50"/>
      <c r="D62" s="51">
        <f t="shared" ref="D62:D70" si="1">$K$49*C62</f>
        <v>0</v>
      </c>
      <c r="E62" s="50"/>
      <c r="F62" s="51">
        <f>E62*D62</f>
        <v>0</v>
      </c>
      <c r="G62" s="51" t="str">
        <f>IFERROR(F62/H62, "0")</f>
        <v>0</v>
      </c>
      <c r="H62" s="27"/>
      <c r="I62" s="253"/>
      <c r="J62" s="267">
        <f>I62*D62</f>
        <v>0</v>
      </c>
      <c r="K62" s="267">
        <f>L62*H62</f>
        <v>0</v>
      </c>
      <c r="L62" s="45">
        <v>0</v>
      </c>
      <c r="P62" s="25" t="s">
        <v>62</v>
      </c>
      <c r="Q62" s="344">
        <v>0</v>
      </c>
      <c r="R62" s="344" t="s">
        <v>368</v>
      </c>
      <c r="S62" s="266">
        <v>0</v>
      </c>
      <c r="T62" s="361" t="s">
        <v>368</v>
      </c>
      <c r="U62" s="361">
        <v>0</v>
      </c>
      <c r="V62" s="362" t="s">
        <v>369</v>
      </c>
      <c r="W62" s="247"/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9"/>
      <c r="BF62" s="139"/>
      <c r="BG62" s="139"/>
      <c r="BH62" s="139"/>
      <c r="BI62" s="139"/>
      <c r="BJ62" s="139"/>
      <c r="BK62" s="139"/>
      <c r="BL62" s="139"/>
      <c r="BM62" s="139"/>
    </row>
    <row r="63" spans="1:76" ht="22.5" x14ac:dyDescent="0.2">
      <c r="B63" s="47" t="s">
        <v>63</v>
      </c>
      <c r="C63" s="48"/>
      <c r="D63" s="263">
        <f t="shared" si="1"/>
        <v>0</v>
      </c>
      <c r="E63" s="48"/>
      <c r="F63" s="263">
        <f t="shared" ref="F63:F69" si="2">E63*D63</f>
        <v>0</v>
      </c>
      <c r="G63" s="263" t="str">
        <f t="shared" ref="G63:G70" si="3">IFERROR(F63/H63, "0")</f>
        <v>0</v>
      </c>
      <c r="H63" s="27"/>
      <c r="I63" s="253"/>
      <c r="J63" s="266">
        <f t="shared" ref="J63:J69" si="4">I63*D63</f>
        <v>0</v>
      </c>
      <c r="K63" s="266">
        <f>L63*H63</f>
        <v>0</v>
      </c>
      <c r="L63" s="45">
        <v>0</v>
      </c>
      <c r="P63" s="28" t="s">
        <v>63</v>
      </c>
      <c r="Q63" s="52">
        <v>0</v>
      </c>
      <c r="R63" s="52" t="s">
        <v>368</v>
      </c>
      <c r="S63" s="267">
        <v>0</v>
      </c>
      <c r="T63" s="359" t="s">
        <v>368</v>
      </c>
      <c r="U63" s="359">
        <v>0</v>
      </c>
      <c r="V63" s="360" t="s">
        <v>369</v>
      </c>
      <c r="W63" s="247"/>
      <c r="AH63" s="139"/>
      <c r="AI63" s="139"/>
      <c r="AJ63" s="139"/>
      <c r="AK63" s="139"/>
      <c r="AL63" s="139"/>
      <c r="AM63" s="139"/>
      <c r="AN63" s="139"/>
      <c r="AO63" s="139"/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AZ63" s="139"/>
      <c r="BA63" s="139"/>
      <c r="BB63" s="139"/>
      <c r="BC63" s="139"/>
      <c r="BD63" s="139"/>
      <c r="BE63" s="139"/>
      <c r="BF63" s="139"/>
      <c r="BG63" s="139"/>
      <c r="BH63" s="139"/>
      <c r="BI63" s="139"/>
      <c r="BJ63" s="139"/>
      <c r="BK63" s="139"/>
      <c r="BL63" s="139"/>
      <c r="BM63" s="139"/>
    </row>
    <row r="64" spans="1:76" ht="22.5" x14ac:dyDescent="0.2">
      <c r="B64" s="49" t="s">
        <v>64</v>
      </c>
      <c r="C64" s="50"/>
      <c r="D64" s="51">
        <f t="shared" si="1"/>
        <v>0</v>
      </c>
      <c r="E64" s="50"/>
      <c r="F64" s="51">
        <f t="shared" si="2"/>
        <v>0</v>
      </c>
      <c r="G64" s="51" t="str">
        <f t="shared" si="3"/>
        <v>0</v>
      </c>
      <c r="H64" s="27"/>
      <c r="I64" s="253"/>
      <c r="J64" s="267">
        <f t="shared" si="4"/>
        <v>0</v>
      </c>
      <c r="K64" s="267">
        <f>L64*H64</f>
        <v>0</v>
      </c>
      <c r="L64" s="45">
        <v>0</v>
      </c>
      <c r="P64" s="25" t="s">
        <v>64</v>
      </c>
      <c r="Q64" s="344">
        <v>0</v>
      </c>
      <c r="R64" s="344" t="s">
        <v>368</v>
      </c>
      <c r="S64" s="266">
        <v>0</v>
      </c>
      <c r="T64" s="361" t="s">
        <v>368</v>
      </c>
      <c r="U64" s="361">
        <v>0</v>
      </c>
      <c r="V64" s="362" t="s">
        <v>369</v>
      </c>
      <c r="W64" s="247"/>
      <c r="AH64" s="139"/>
      <c r="AI64" s="139"/>
      <c r="AJ64" s="139"/>
      <c r="AK64" s="139"/>
      <c r="AL64" s="139"/>
      <c r="AM64" s="139"/>
      <c r="AN64" s="139"/>
      <c r="AO64" s="139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39"/>
      <c r="BF64" s="139"/>
      <c r="BG64" s="139"/>
      <c r="BH64" s="139"/>
      <c r="BI64" s="139"/>
      <c r="BJ64" s="139"/>
      <c r="BK64" s="139"/>
      <c r="BL64" s="139"/>
      <c r="BM64" s="139"/>
    </row>
    <row r="65" spans="1:76" ht="22.5" x14ac:dyDescent="0.2">
      <c r="B65" s="47" t="s">
        <v>93</v>
      </c>
      <c r="C65" s="48"/>
      <c r="D65" s="263">
        <f t="shared" si="1"/>
        <v>0</v>
      </c>
      <c r="E65" s="48"/>
      <c r="F65" s="263">
        <f t="shared" si="2"/>
        <v>0</v>
      </c>
      <c r="G65" s="263" t="str">
        <f t="shared" si="3"/>
        <v>0</v>
      </c>
      <c r="H65" s="27"/>
      <c r="I65" s="253"/>
      <c r="J65" s="266">
        <f t="shared" si="4"/>
        <v>0</v>
      </c>
      <c r="K65" s="266">
        <f>L65*H65</f>
        <v>0</v>
      </c>
      <c r="L65" s="45">
        <v>1</v>
      </c>
      <c r="P65" s="28" t="s">
        <v>93</v>
      </c>
      <c r="Q65" s="52">
        <v>0</v>
      </c>
      <c r="R65" s="52" t="s">
        <v>368</v>
      </c>
      <c r="S65" s="267">
        <v>0</v>
      </c>
      <c r="T65" s="359" t="s">
        <v>368</v>
      </c>
      <c r="U65" s="359">
        <v>0</v>
      </c>
      <c r="V65" s="360" t="s">
        <v>369</v>
      </c>
      <c r="W65" s="247"/>
      <c r="AH65" s="139"/>
      <c r="AI65" s="139"/>
      <c r="AJ65" s="139"/>
      <c r="AK65" s="139"/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139"/>
      <c r="BJ65" s="139"/>
      <c r="BK65" s="139"/>
      <c r="BL65" s="139"/>
      <c r="BM65" s="139"/>
    </row>
    <row r="66" spans="1:76" ht="22.5" x14ac:dyDescent="0.2">
      <c r="B66" s="49" t="s">
        <v>333</v>
      </c>
      <c r="C66" s="50">
        <v>0.25</v>
      </c>
      <c r="D66" s="51">
        <f t="shared" si="1"/>
        <v>10500</v>
      </c>
      <c r="E66" s="50">
        <v>0.9</v>
      </c>
      <c r="F66" s="51">
        <f t="shared" si="2"/>
        <v>9450</v>
      </c>
      <c r="G66" s="51">
        <f>IFERROR(F66/H66, "0")</f>
        <v>555.88235294117646</v>
      </c>
      <c r="H66" s="27">
        <v>17</v>
      </c>
      <c r="I66" s="253">
        <v>2500</v>
      </c>
      <c r="J66" s="267">
        <f>I66*D66</f>
        <v>26250000</v>
      </c>
      <c r="K66" s="267">
        <f>F66/L66</f>
        <v>378</v>
      </c>
      <c r="L66" s="45">
        <v>25</v>
      </c>
      <c r="P66" s="25" t="s">
        <v>333</v>
      </c>
      <c r="Q66" s="344">
        <v>140564724.79004595</v>
      </c>
      <c r="R66" s="344">
        <v>14874.574051856715</v>
      </c>
      <c r="S66" s="266">
        <v>224532000</v>
      </c>
      <c r="T66" s="361">
        <v>23760</v>
      </c>
      <c r="U66" s="361">
        <v>83967275.209954053</v>
      </c>
      <c r="V66" s="362">
        <v>0.59735666494827566</v>
      </c>
      <c r="W66" s="247"/>
      <c r="AH66" s="139"/>
      <c r="AI66" s="139"/>
      <c r="AJ66" s="139"/>
      <c r="AK66" s="139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39"/>
      <c r="BF66" s="139"/>
      <c r="BG66" s="139"/>
      <c r="BH66" s="139"/>
      <c r="BI66" s="139"/>
      <c r="BJ66" s="139"/>
      <c r="BK66" s="139"/>
      <c r="BL66" s="139"/>
      <c r="BM66" s="139"/>
    </row>
    <row r="67" spans="1:76" ht="22.5" x14ac:dyDescent="0.2">
      <c r="B67" s="47" t="s">
        <v>65</v>
      </c>
      <c r="C67" s="48">
        <v>0.1</v>
      </c>
      <c r="D67" s="263">
        <f t="shared" si="1"/>
        <v>4200</v>
      </c>
      <c r="E67" s="48">
        <v>0.95</v>
      </c>
      <c r="F67" s="263">
        <f t="shared" si="2"/>
        <v>3990</v>
      </c>
      <c r="G67" s="263">
        <f t="shared" si="3"/>
        <v>190</v>
      </c>
      <c r="H67" s="27">
        <v>21</v>
      </c>
      <c r="I67" s="253">
        <v>2500</v>
      </c>
      <c r="J67" s="266">
        <f>I67*D67</f>
        <v>10500000</v>
      </c>
      <c r="K67" s="266">
        <f>F67/L67</f>
        <v>88.666666666666671</v>
      </c>
      <c r="L67" s="45">
        <v>45</v>
      </c>
      <c r="P67" s="28" t="s">
        <v>65</v>
      </c>
      <c r="Q67" s="52">
        <v>52464566.966592982</v>
      </c>
      <c r="R67" s="52">
        <v>13149.014277341599</v>
      </c>
      <c r="S67" s="267">
        <v>92647800</v>
      </c>
      <c r="T67" s="359">
        <v>23220</v>
      </c>
      <c r="U67" s="359">
        <v>40183233.033407018</v>
      </c>
      <c r="V67" s="360">
        <v>0.76591184025199044</v>
      </c>
      <c r="W67" s="247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E67" s="139"/>
      <c r="BF67" s="139"/>
      <c r="BG67" s="139"/>
      <c r="BH67" s="139"/>
      <c r="BI67" s="139"/>
      <c r="BJ67" s="139"/>
      <c r="BK67" s="139"/>
      <c r="BL67" s="139"/>
      <c r="BM67" s="139"/>
    </row>
    <row r="68" spans="1:76" ht="22.5" x14ac:dyDescent="0.2">
      <c r="B68" s="49" t="s">
        <v>66</v>
      </c>
      <c r="C68" s="50"/>
      <c r="D68" s="51">
        <f t="shared" si="1"/>
        <v>0</v>
      </c>
      <c r="E68" s="50"/>
      <c r="F68" s="51">
        <f>E68*D68</f>
        <v>0</v>
      </c>
      <c r="G68" s="51" t="str">
        <f t="shared" si="3"/>
        <v>0</v>
      </c>
      <c r="H68" s="27"/>
      <c r="I68" s="253"/>
      <c r="J68" s="267">
        <f>I68*D68</f>
        <v>0</v>
      </c>
      <c r="K68" s="267">
        <f>H68/L68</f>
        <v>0</v>
      </c>
      <c r="L68" s="45">
        <v>2</v>
      </c>
      <c r="P68" s="25" t="s">
        <v>66</v>
      </c>
      <c r="Q68" s="344">
        <v>0</v>
      </c>
      <c r="R68" s="344" t="s">
        <v>368</v>
      </c>
      <c r="S68" s="266">
        <v>0</v>
      </c>
      <c r="T68" s="361">
        <v>0</v>
      </c>
      <c r="U68" s="361">
        <v>0</v>
      </c>
      <c r="V68" s="362" t="s">
        <v>369</v>
      </c>
      <c r="W68" s="247"/>
      <c r="AH68" s="139"/>
      <c r="AI68" s="13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39"/>
      <c r="BJ68" s="139"/>
      <c r="BK68" s="139"/>
      <c r="BL68" s="139"/>
      <c r="BM68" s="139"/>
    </row>
    <row r="69" spans="1:76" ht="22.5" x14ac:dyDescent="0.2">
      <c r="B69" s="47" t="s">
        <v>67</v>
      </c>
      <c r="C69" s="48">
        <v>0.05</v>
      </c>
      <c r="D69" s="263">
        <f t="shared" si="1"/>
        <v>2100</v>
      </c>
      <c r="E69" s="48">
        <v>0.85</v>
      </c>
      <c r="F69" s="263">
        <f t="shared" si="2"/>
        <v>1785</v>
      </c>
      <c r="G69" s="263">
        <f t="shared" si="3"/>
        <v>892.5</v>
      </c>
      <c r="H69" s="27">
        <v>2</v>
      </c>
      <c r="I69" s="253">
        <v>2500</v>
      </c>
      <c r="J69" s="266">
        <f t="shared" si="4"/>
        <v>5250000</v>
      </c>
      <c r="K69" s="266">
        <f>F69/L69</f>
        <v>51</v>
      </c>
      <c r="L69" s="45">
        <v>35</v>
      </c>
      <c r="P69" s="28" t="s">
        <v>67</v>
      </c>
      <c r="Q69" s="52">
        <v>28728535.96991523</v>
      </c>
      <c r="R69" s="52">
        <v>16094.417910316655</v>
      </c>
      <c r="S69" s="267">
        <v>49399875</v>
      </c>
      <c r="T69" s="359">
        <v>27675</v>
      </c>
      <c r="U69" s="359">
        <v>20671339.03008477</v>
      </c>
      <c r="V69" s="360">
        <v>0.71954028745954801</v>
      </c>
      <c r="W69" s="247"/>
      <c r="AH69" s="139"/>
      <c r="AI69" s="139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139"/>
      <c r="BI69" s="139"/>
      <c r="BJ69" s="139"/>
      <c r="BK69" s="139"/>
      <c r="BL69" s="139"/>
      <c r="BM69" s="139"/>
    </row>
    <row r="70" spans="1:76" ht="23.25" thickBot="1" x14ac:dyDescent="0.25">
      <c r="B70" s="49" t="s">
        <v>68</v>
      </c>
      <c r="C70" s="50"/>
      <c r="D70" s="51">
        <f t="shared" si="1"/>
        <v>0</v>
      </c>
      <c r="E70" s="50"/>
      <c r="F70" s="51">
        <f>E70*D70</f>
        <v>0</v>
      </c>
      <c r="G70" s="51" t="str">
        <f t="shared" si="3"/>
        <v>0</v>
      </c>
      <c r="H70" s="27"/>
      <c r="I70" s="253"/>
      <c r="J70" s="267">
        <f>I70*D70</f>
        <v>0</v>
      </c>
      <c r="K70" s="281" t="s">
        <v>95</v>
      </c>
      <c r="L70" s="283" t="s">
        <v>95</v>
      </c>
      <c r="P70" s="412" t="s">
        <v>68</v>
      </c>
      <c r="Q70" s="414">
        <v>0</v>
      </c>
      <c r="R70" s="414" t="s">
        <v>368</v>
      </c>
      <c r="S70" s="413">
        <v>0</v>
      </c>
      <c r="T70" s="415" t="s">
        <v>368</v>
      </c>
      <c r="U70" s="415">
        <v>0</v>
      </c>
      <c r="V70" s="362" t="s">
        <v>369</v>
      </c>
      <c r="W70" s="247"/>
      <c r="AH70" s="139"/>
      <c r="AI70" s="139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/>
      <c r="BF70" s="139"/>
      <c r="BG70" s="139"/>
      <c r="BH70" s="139"/>
      <c r="BI70" s="139"/>
      <c r="BJ70" s="139"/>
      <c r="BK70" s="139"/>
      <c r="BL70" s="139"/>
      <c r="BM70" s="139"/>
    </row>
    <row r="71" spans="1:76" ht="23.25" thickBot="1" x14ac:dyDescent="0.25">
      <c r="B71" s="47" t="s">
        <v>284</v>
      </c>
      <c r="C71" s="398">
        <f>1-SUM(C61:C70)</f>
        <v>0</v>
      </c>
      <c r="D71" s="263">
        <f>$K$49*C71</f>
        <v>0</v>
      </c>
      <c r="E71" s="399" t="s">
        <v>95</v>
      </c>
      <c r="F71" s="278" t="s">
        <v>95</v>
      </c>
      <c r="G71" s="278" t="s">
        <v>95</v>
      </c>
      <c r="H71" s="284" t="s">
        <v>95</v>
      </c>
      <c r="I71" s="253"/>
      <c r="J71" s="266">
        <f>I71*D71</f>
        <v>0</v>
      </c>
      <c r="K71" s="284" t="s">
        <v>95</v>
      </c>
      <c r="L71" s="400" t="s">
        <v>95</v>
      </c>
      <c r="P71" s="411" t="s">
        <v>59</v>
      </c>
      <c r="Q71" s="406">
        <v>504698003.10817397</v>
      </c>
      <c r="R71" s="407">
        <v>14263.049402520106</v>
      </c>
      <c r="S71" s="405">
        <v>667316475</v>
      </c>
      <c r="T71" s="408">
        <v>3871.8683783768083</v>
      </c>
      <c r="U71" s="409">
        <v>162618471.89182594</v>
      </c>
      <c r="V71" s="410">
        <v>0.32220946167875197</v>
      </c>
      <c r="AH71" s="139"/>
      <c r="AI71" s="139"/>
      <c r="AJ71" s="139"/>
      <c r="AK71" s="139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39"/>
      <c r="BI71" s="139"/>
      <c r="BJ71" s="139"/>
      <c r="BK71" s="139"/>
      <c r="BL71" s="139"/>
      <c r="BM71" s="139"/>
    </row>
    <row r="72" spans="1:76" x14ac:dyDescent="0.2">
      <c r="B72" s="49"/>
      <c r="C72" s="401"/>
      <c r="D72" s="402"/>
      <c r="E72" s="403"/>
      <c r="F72" s="280"/>
      <c r="G72" s="280"/>
      <c r="H72" s="281"/>
      <c r="I72" s="53"/>
      <c r="J72" s="53"/>
      <c r="K72" s="281"/>
      <c r="L72" s="404"/>
      <c r="P72" s="148"/>
      <c r="Q72" s="148"/>
      <c r="R72" s="148"/>
      <c r="S72" s="148"/>
      <c r="T72" s="148"/>
      <c r="U72" s="148"/>
      <c r="V72" s="148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  <c r="AK72" s="139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139"/>
      <c r="BC72" s="139"/>
      <c r="BD72" s="139"/>
      <c r="BE72" s="139"/>
      <c r="BF72" s="139"/>
      <c r="BG72" s="139"/>
      <c r="BH72" s="139"/>
      <c r="BI72" s="139"/>
      <c r="BJ72" s="139"/>
      <c r="BK72" s="139"/>
      <c r="BL72" s="139"/>
      <c r="BM72" s="139"/>
    </row>
    <row r="73" spans="1:76" ht="22.5" x14ac:dyDescent="0.2">
      <c r="B73" s="47" t="s">
        <v>97</v>
      </c>
      <c r="C73" s="48">
        <v>0.5</v>
      </c>
      <c r="D73" s="263">
        <f>$C$49*C73</f>
        <v>5250</v>
      </c>
      <c r="E73" s="277" t="s">
        <v>95</v>
      </c>
      <c r="F73" s="278" t="s">
        <v>95</v>
      </c>
      <c r="G73" s="278" t="s">
        <v>95</v>
      </c>
      <c r="H73" s="279" t="s">
        <v>95</v>
      </c>
      <c r="I73" s="253">
        <v>1200</v>
      </c>
      <c r="J73" s="266">
        <f>I73*D73</f>
        <v>6300000</v>
      </c>
      <c r="K73" s="284" t="s">
        <v>95</v>
      </c>
      <c r="L73" s="283" t="s">
        <v>95</v>
      </c>
      <c r="AC73" s="157"/>
      <c r="AG73" s="139"/>
      <c r="AH73" s="139"/>
      <c r="AI73" s="139"/>
      <c r="AJ73" s="139"/>
      <c r="AK73" s="139"/>
      <c r="AL73" s="139"/>
      <c r="AM73" s="139"/>
      <c r="AN73" s="139"/>
      <c r="AO73" s="139"/>
      <c r="AP73" s="139"/>
      <c r="AQ73" s="139"/>
      <c r="AR73" s="139"/>
      <c r="AS73" s="139"/>
      <c r="AT73" s="139"/>
      <c r="AU73" s="139"/>
      <c r="AV73" s="139"/>
      <c r="AW73" s="139"/>
      <c r="AX73" s="139"/>
      <c r="AY73" s="139"/>
      <c r="AZ73" s="139"/>
      <c r="BA73" s="139"/>
      <c r="BB73" s="139"/>
      <c r="BC73" s="139"/>
      <c r="BD73" s="139"/>
      <c r="BE73" s="139"/>
      <c r="BF73" s="139"/>
      <c r="BG73" s="139"/>
      <c r="BH73" s="139"/>
      <c r="BI73" s="139"/>
      <c r="BJ73" s="139"/>
      <c r="BK73" s="139"/>
      <c r="BL73" s="139"/>
      <c r="BM73" s="139"/>
      <c r="BN73" s="139"/>
      <c r="BO73" s="139"/>
      <c r="BP73" s="139"/>
      <c r="BQ73" s="139"/>
      <c r="BR73" s="139"/>
      <c r="BS73" s="139"/>
      <c r="BT73" s="139"/>
      <c r="BU73" s="139"/>
      <c r="BV73" s="139"/>
      <c r="BW73" s="139"/>
      <c r="BX73" s="139"/>
    </row>
    <row r="74" spans="1:76" ht="22.5" x14ac:dyDescent="0.2">
      <c r="B74" s="49" t="s">
        <v>98</v>
      </c>
      <c r="C74" s="50">
        <v>2</v>
      </c>
      <c r="D74" s="51">
        <f>$C$49*C74</f>
        <v>21000</v>
      </c>
      <c r="E74" s="282" t="s">
        <v>95</v>
      </c>
      <c r="F74" s="280" t="s">
        <v>95</v>
      </c>
      <c r="G74" s="280" t="s">
        <v>95</v>
      </c>
      <c r="H74" s="279" t="s">
        <v>95</v>
      </c>
      <c r="I74" s="253">
        <v>2500</v>
      </c>
      <c r="J74" s="267">
        <f>I74*D74</f>
        <v>52500000</v>
      </c>
      <c r="K74" s="267">
        <f>D74/L74</f>
        <v>466.66666666666669</v>
      </c>
      <c r="L74" s="45">
        <v>45</v>
      </c>
      <c r="AC74" s="139"/>
      <c r="AE74" s="378"/>
      <c r="AG74" s="139"/>
      <c r="AH74" s="139"/>
      <c r="AI74" s="139"/>
      <c r="AJ74" s="139"/>
      <c r="AK74" s="139"/>
      <c r="AL74" s="139"/>
      <c r="AM74" s="139"/>
      <c r="AN74" s="139"/>
      <c r="AO74" s="139"/>
      <c r="AP74" s="139"/>
      <c r="AQ74" s="139"/>
      <c r="AR74" s="139"/>
      <c r="AS74" s="139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139"/>
      <c r="BH74" s="139"/>
      <c r="BI74" s="139"/>
      <c r="BJ74" s="139"/>
      <c r="BK74" s="139"/>
      <c r="BL74" s="139"/>
      <c r="BM74" s="139"/>
      <c r="BN74" s="139"/>
      <c r="BO74" s="139"/>
      <c r="BP74" s="139"/>
      <c r="BQ74" s="139"/>
      <c r="BR74" s="139"/>
      <c r="BS74" s="139"/>
      <c r="BT74" s="139"/>
      <c r="BU74" s="139"/>
      <c r="BV74" s="139"/>
      <c r="BW74" s="139"/>
      <c r="BX74" s="139"/>
    </row>
    <row r="75" spans="1:76" ht="22.5" x14ac:dyDescent="0.2">
      <c r="B75" s="47" t="s">
        <v>99</v>
      </c>
      <c r="C75" s="48"/>
      <c r="D75" s="263">
        <f>$C$49*C75</f>
        <v>0</v>
      </c>
      <c r="E75" s="277" t="s">
        <v>95</v>
      </c>
      <c r="F75" s="278" t="s">
        <v>95</v>
      </c>
      <c r="G75" s="278" t="s">
        <v>95</v>
      </c>
      <c r="H75" s="279" t="s">
        <v>95</v>
      </c>
      <c r="I75" s="253"/>
      <c r="J75" s="266">
        <f>I75*D75</f>
        <v>0</v>
      </c>
      <c r="K75" s="266">
        <f>D75/L75</f>
        <v>0</v>
      </c>
      <c r="L75" s="45">
        <v>45</v>
      </c>
      <c r="Q75" s="237"/>
      <c r="AG75" s="139"/>
      <c r="AH75" s="139"/>
      <c r="AI75" s="139"/>
      <c r="AJ75" s="139"/>
      <c r="AK75" s="139"/>
      <c r="AL75" s="139"/>
      <c r="AM75" s="139"/>
      <c r="AN75" s="139"/>
      <c r="AO75" s="139"/>
      <c r="AP75" s="139"/>
      <c r="AQ75" s="139"/>
      <c r="AR75" s="139"/>
      <c r="AS75" s="139"/>
      <c r="AT75" s="139"/>
      <c r="AU75" s="139"/>
      <c r="AV75" s="139"/>
      <c r="AW75" s="139"/>
      <c r="AX75" s="139"/>
      <c r="AY75" s="139"/>
      <c r="AZ75" s="139"/>
      <c r="BA75" s="139"/>
      <c r="BB75" s="139"/>
      <c r="BC75" s="139"/>
      <c r="BD75" s="139"/>
      <c r="BE75" s="139"/>
      <c r="BF75" s="139"/>
      <c r="BG75" s="139"/>
      <c r="BH75" s="139"/>
      <c r="BI75" s="139"/>
      <c r="BJ75" s="139"/>
      <c r="BK75" s="139"/>
      <c r="BL75" s="139"/>
      <c r="BM75" s="139"/>
      <c r="BN75" s="139"/>
      <c r="BO75" s="139"/>
      <c r="BP75" s="139"/>
      <c r="BQ75" s="139"/>
      <c r="BR75" s="139"/>
      <c r="BS75" s="139"/>
      <c r="BT75" s="139"/>
      <c r="BU75" s="139"/>
      <c r="BV75" s="139"/>
      <c r="BW75" s="139"/>
      <c r="BX75" s="139"/>
    </row>
    <row r="76" spans="1:76" ht="23.25" thickBot="1" x14ac:dyDescent="0.25">
      <c r="B76" s="55" t="s">
        <v>59</v>
      </c>
      <c r="C76" s="56">
        <f>SUM(C61:C71)</f>
        <v>1</v>
      </c>
      <c r="D76" s="30">
        <f>SUM(D61:D75)</f>
        <v>68250</v>
      </c>
      <c r="E76" s="125">
        <f>AVERAGEIFS(E61:E75, E61:E75, "&lt;&gt;0", E61:E75, "&lt;&gt;#DIV/0!")</f>
        <v>0.87500000000000011</v>
      </c>
      <c r="F76" s="30">
        <f>SUMIF(F61:F70, "&lt;&gt;#DIV/0!")</f>
        <v>35385</v>
      </c>
      <c r="G76" s="121">
        <f>IFERROR(F76/H76, "0")</f>
        <v>147.4375</v>
      </c>
      <c r="H76" s="31">
        <f>SUMIF(H61:H75, "&lt;&gt;#DIV/0!")</f>
        <v>240</v>
      </c>
      <c r="I76" s="31">
        <f>J76/D76</f>
        <v>2658.4615384615386</v>
      </c>
      <c r="J76" s="352">
        <f>SUM(J61:J75)</f>
        <v>181440000</v>
      </c>
      <c r="K76" s="31" t="s">
        <v>103</v>
      </c>
      <c r="L76" s="353">
        <f>SUMIF(K61:K69, "&lt;&gt;#DIV/0!")</f>
        <v>817.66666666666663</v>
      </c>
      <c r="Q76" s="237"/>
      <c r="AG76" s="139"/>
      <c r="AH76" s="139"/>
      <c r="AI76" s="139"/>
      <c r="AJ76" s="139"/>
      <c r="AK76" s="139"/>
      <c r="AL76" s="139"/>
      <c r="AM76" s="139"/>
      <c r="AN76" s="139"/>
      <c r="AO76" s="139"/>
      <c r="AP76" s="139"/>
      <c r="AQ76" s="139"/>
      <c r="AR76" s="139"/>
      <c r="AS76" s="139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39"/>
      <c r="BF76" s="139"/>
      <c r="BG76" s="139"/>
      <c r="BH76" s="139"/>
      <c r="BI76" s="139"/>
      <c r="BJ76" s="139"/>
    </row>
    <row r="77" spans="1:76" ht="18.75" thickBot="1" x14ac:dyDescent="0.25">
      <c r="B77" s="276" t="s">
        <v>101</v>
      </c>
      <c r="C77" s="276" t="b">
        <f>C76=100%</f>
        <v>1</v>
      </c>
      <c r="E77" s="136"/>
      <c r="F77" s="136"/>
      <c r="G77" s="136"/>
      <c r="H77" s="58" t="s">
        <v>102</v>
      </c>
      <c r="I77" s="136"/>
      <c r="J77" s="136"/>
      <c r="K77" s="59" t="s">
        <v>100</v>
      </c>
      <c r="L77" s="300">
        <f>SUM(K60,K74:K75)</f>
        <v>466.66666666666669</v>
      </c>
      <c r="Q77" s="237"/>
      <c r="AG77" s="139"/>
      <c r="AH77" s="139"/>
      <c r="AI77" s="139"/>
      <c r="AJ77" s="139"/>
      <c r="AK77" s="139"/>
      <c r="AL77" s="139"/>
      <c r="AM77" s="139"/>
      <c r="AN77" s="139"/>
      <c r="AO77" s="139"/>
      <c r="AP77" s="139"/>
      <c r="AQ77" s="139"/>
      <c r="AR77" s="139"/>
      <c r="AS77" s="139"/>
      <c r="AT77" s="139"/>
      <c r="AU77" s="139"/>
      <c r="AV77" s="139"/>
      <c r="AW77" s="139"/>
      <c r="AX77" s="139"/>
      <c r="AY77" s="139"/>
      <c r="AZ77" s="139"/>
      <c r="BA77" s="139"/>
      <c r="BB77" s="139"/>
      <c r="BC77" s="139"/>
      <c r="BD77" s="139"/>
      <c r="BE77" s="139"/>
      <c r="BF77" s="139"/>
      <c r="BG77" s="139"/>
      <c r="BH77" s="139"/>
      <c r="BI77" s="139"/>
      <c r="BJ77" s="139"/>
    </row>
    <row r="78" spans="1:76" ht="18.75" thickBot="1" x14ac:dyDescent="0.25">
      <c r="C78" s="136"/>
      <c r="D78" s="136"/>
      <c r="E78" s="136"/>
      <c r="F78" s="136"/>
      <c r="G78" s="136"/>
      <c r="H78" s="136"/>
      <c r="I78" s="136"/>
      <c r="J78" s="136"/>
      <c r="K78" s="60" t="s">
        <v>104</v>
      </c>
      <c r="L78" s="61">
        <f>L77-L76</f>
        <v>-350.99999999999994</v>
      </c>
      <c r="AJ78" s="236"/>
    </row>
    <row r="79" spans="1:76" x14ac:dyDescent="0.2">
      <c r="A79" s="136"/>
      <c r="D79" s="158"/>
      <c r="O79" s="139"/>
      <c r="P79" s="139"/>
      <c r="Q79" s="139"/>
      <c r="R79" s="139"/>
      <c r="S79" s="139"/>
      <c r="T79" s="139"/>
      <c r="AD79" s="155"/>
      <c r="AJ79" s="236"/>
    </row>
    <row r="80" spans="1:76" x14ac:dyDescent="0.2">
      <c r="A80" s="136"/>
      <c r="O80" s="139"/>
      <c r="P80" s="139"/>
      <c r="AJ80" s="236"/>
    </row>
    <row r="81" spans="1:36" x14ac:dyDescent="0.2">
      <c r="A81" s="136"/>
      <c r="O81" s="139"/>
      <c r="P81" s="139"/>
      <c r="AJ81" s="236"/>
    </row>
    <row r="82" spans="1:36" x14ac:dyDescent="0.2">
      <c r="A82" s="136"/>
      <c r="O82" s="139"/>
      <c r="P82" s="139"/>
      <c r="AJ82" s="236"/>
    </row>
    <row r="83" spans="1:36" ht="12" thickBot="1" x14ac:dyDescent="0.25">
      <c r="A83" s="136"/>
      <c r="O83" s="139"/>
      <c r="P83" s="139"/>
      <c r="AJ83" s="236"/>
    </row>
    <row r="84" spans="1:36" ht="18" x14ac:dyDescent="0.2">
      <c r="A84" s="136"/>
      <c r="B84" s="459" t="s">
        <v>105</v>
      </c>
      <c r="C84" s="460"/>
      <c r="D84" s="461"/>
      <c r="E84" s="119" t="s">
        <v>106</v>
      </c>
      <c r="G84" s="140"/>
      <c r="H84" s="497" t="s">
        <v>128</v>
      </c>
      <c r="I84" s="498"/>
      <c r="J84" s="498"/>
      <c r="K84" s="498"/>
      <c r="L84" s="498"/>
      <c r="M84" s="498"/>
      <c r="N84" s="499"/>
      <c r="AJ84" s="236"/>
    </row>
    <row r="85" spans="1:36" ht="22.5" x14ac:dyDescent="0.2">
      <c r="A85" s="136"/>
      <c r="B85" s="264" t="s">
        <v>24</v>
      </c>
      <c r="C85" s="261" t="s">
        <v>25</v>
      </c>
      <c r="D85" s="262" t="s">
        <v>107</v>
      </c>
      <c r="E85" s="303" t="s">
        <v>23</v>
      </c>
      <c r="G85" s="140"/>
      <c r="H85" s="68" t="s">
        <v>130</v>
      </c>
      <c r="I85" s="69" t="s">
        <v>131</v>
      </c>
      <c r="J85" s="69" t="s">
        <v>132</v>
      </c>
      <c r="K85" s="69" t="s">
        <v>133</v>
      </c>
      <c r="L85" s="69" t="s">
        <v>134</v>
      </c>
      <c r="M85" s="69" t="s">
        <v>135</v>
      </c>
      <c r="N85" s="70" t="s">
        <v>136</v>
      </c>
      <c r="AJ85" s="236"/>
    </row>
    <row r="86" spans="1:36" ht="22.5" x14ac:dyDescent="0.2">
      <c r="A86" s="136"/>
      <c r="B86" s="62" t="s">
        <v>108</v>
      </c>
      <c r="C86" s="266">
        <f>D86*C44</f>
        <v>525000</v>
      </c>
      <c r="D86" s="254">
        <v>50</v>
      </c>
      <c r="E86" s="304">
        <f>C86/$C$101</f>
        <v>1.8371088492137064E-2</v>
      </c>
      <c r="G86" s="140"/>
      <c r="H86" s="71" t="s">
        <v>138</v>
      </c>
      <c r="I86" s="253">
        <v>25000</v>
      </c>
      <c r="J86" s="253">
        <v>65000</v>
      </c>
      <c r="K86" s="253">
        <v>40000</v>
      </c>
      <c r="L86" s="253">
        <v>100000</v>
      </c>
      <c r="M86" s="253">
        <v>50000</v>
      </c>
      <c r="N86" s="254">
        <v>12000</v>
      </c>
      <c r="AJ86" s="236"/>
    </row>
    <row r="87" spans="1:36" ht="22.5" x14ac:dyDescent="0.2">
      <c r="A87" s="136"/>
      <c r="B87" s="63" t="s">
        <v>109</v>
      </c>
      <c r="C87" s="267">
        <f>(D74)*4.5*D87</f>
        <v>3024000</v>
      </c>
      <c r="D87" s="254">
        <v>32</v>
      </c>
      <c r="E87" s="304">
        <f t="shared" ref="E87:E100" si="5">C87/$C$101</f>
        <v>0.1058174697147095</v>
      </c>
      <c r="G87" s="140"/>
      <c r="H87" s="72" t="s">
        <v>140</v>
      </c>
      <c r="I87" s="281" t="s">
        <v>95</v>
      </c>
      <c r="J87" s="253">
        <v>65000</v>
      </c>
      <c r="K87" s="253">
        <v>40000</v>
      </c>
      <c r="L87" s="253">
        <v>100000</v>
      </c>
      <c r="M87" s="253">
        <v>50000</v>
      </c>
      <c r="N87" s="254">
        <v>12000</v>
      </c>
      <c r="AJ87" s="236"/>
    </row>
    <row r="88" spans="1:36" ht="22.5" x14ac:dyDescent="0.2">
      <c r="A88" s="136"/>
      <c r="B88" s="62" t="s">
        <v>110</v>
      </c>
      <c r="C88" s="266">
        <f>D88*C109</f>
        <v>3084480</v>
      </c>
      <c r="D88" s="307">
        <v>1.7000000000000001E-2</v>
      </c>
      <c r="E88" s="304">
        <f t="shared" si="5"/>
        <v>0.10793381910900368</v>
      </c>
      <c r="G88" s="140"/>
      <c r="H88" s="71" t="s">
        <v>142</v>
      </c>
      <c r="I88" s="284" t="s">
        <v>95</v>
      </c>
      <c r="J88" s="253">
        <v>65000</v>
      </c>
      <c r="K88" s="253">
        <v>40000</v>
      </c>
      <c r="L88" s="253">
        <v>100000</v>
      </c>
      <c r="M88" s="253">
        <v>50000</v>
      </c>
      <c r="N88" s="254">
        <v>12000</v>
      </c>
      <c r="X88" s="140"/>
      <c r="AJ88" s="236"/>
    </row>
    <row r="89" spans="1:36" ht="22.5" x14ac:dyDescent="0.2">
      <c r="A89" s="136"/>
      <c r="B89" s="63" t="s">
        <v>111</v>
      </c>
      <c r="C89" s="267">
        <f>D89*H59</f>
        <v>168000</v>
      </c>
      <c r="D89" s="254">
        <v>4</v>
      </c>
      <c r="E89" s="304">
        <f t="shared" si="5"/>
        <v>5.8787483174838609E-3</v>
      </c>
      <c r="G89" s="140"/>
      <c r="H89" s="72" t="s">
        <v>144</v>
      </c>
      <c r="I89" s="281" t="s">
        <v>95</v>
      </c>
      <c r="J89" s="253">
        <v>65000</v>
      </c>
      <c r="K89" s="253">
        <v>40000</v>
      </c>
      <c r="L89" s="253">
        <v>100000</v>
      </c>
      <c r="M89" s="253">
        <v>50000</v>
      </c>
      <c r="N89" s="254">
        <v>12000</v>
      </c>
      <c r="AJ89" s="236"/>
    </row>
    <row r="90" spans="1:36" ht="22.5" x14ac:dyDescent="0.2">
      <c r="A90" s="136"/>
      <c r="B90" s="62" t="s">
        <v>112</v>
      </c>
      <c r="C90" s="266">
        <f>D90*C109</f>
        <v>4536000</v>
      </c>
      <c r="D90" s="307">
        <v>2.5000000000000001E-2</v>
      </c>
      <c r="E90" s="304">
        <f t="shared" si="5"/>
        <v>0.15872620457206424</v>
      </c>
      <c r="G90" s="140"/>
      <c r="H90" s="71" t="s">
        <v>146</v>
      </c>
      <c r="I90" s="284" t="s">
        <v>95</v>
      </c>
      <c r="J90" s="253"/>
      <c r="K90" s="253"/>
      <c r="L90" s="253"/>
      <c r="M90" s="253"/>
      <c r="N90" s="254"/>
      <c r="AJ90" s="236"/>
    </row>
    <row r="91" spans="1:36" ht="22.5" x14ac:dyDescent="0.2">
      <c r="A91" s="136"/>
      <c r="B91" s="63" t="s">
        <v>113</v>
      </c>
      <c r="C91" s="267">
        <f>D91*D68</f>
        <v>0</v>
      </c>
      <c r="D91" s="254">
        <v>1000</v>
      </c>
      <c r="E91" s="304">
        <f t="shared" si="5"/>
        <v>0</v>
      </c>
      <c r="G91" s="140"/>
      <c r="H91" s="72" t="s">
        <v>148</v>
      </c>
      <c r="I91" s="281" t="s">
        <v>95</v>
      </c>
      <c r="J91" s="73"/>
      <c r="K91" s="73"/>
      <c r="L91" s="73"/>
      <c r="M91" s="73"/>
      <c r="N91" s="74"/>
      <c r="AJ91" s="236"/>
    </row>
    <row r="92" spans="1:36" ht="22.5" x14ac:dyDescent="0.2">
      <c r="A92" s="136"/>
      <c r="B92" s="302" t="s">
        <v>114</v>
      </c>
      <c r="C92" s="253">
        <f>D92*SUM(G61,G65,G66)</f>
        <v>0</v>
      </c>
      <c r="D92" s="254">
        <v>0</v>
      </c>
      <c r="E92" s="304">
        <f t="shared" si="5"/>
        <v>0</v>
      </c>
      <c r="G92" s="140"/>
      <c r="H92" s="71" t="s">
        <v>149</v>
      </c>
      <c r="I92" s="266">
        <f>SUM(I86)</f>
        <v>25000</v>
      </c>
      <c r="J92" s="266">
        <f>SUM(J86:J91)</f>
        <v>260000</v>
      </c>
      <c r="K92" s="266">
        <f>SUM(K86:K91)</f>
        <v>160000</v>
      </c>
      <c r="L92" s="266">
        <f>SUM(L86:L91)</f>
        <v>400000</v>
      </c>
      <c r="M92" s="266">
        <f>SUM(M86:M91)</f>
        <v>200000</v>
      </c>
      <c r="N92" s="246">
        <f>SUM(N86:N91)</f>
        <v>48000</v>
      </c>
      <c r="AC92" s="139"/>
      <c r="AD92" s="139"/>
      <c r="AE92" s="139"/>
    </row>
    <row r="93" spans="1:36" ht="23.25" thickBot="1" x14ac:dyDescent="0.25">
      <c r="A93" s="136"/>
      <c r="B93" s="63" t="s">
        <v>115</v>
      </c>
      <c r="C93" s="267">
        <f>D93*SUM(H61:H67,H69:H70)+(D93*(H68/2))</f>
        <v>2676000</v>
      </c>
      <c r="D93" s="254">
        <v>11150</v>
      </c>
      <c r="E93" s="304">
        <f t="shared" si="5"/>
        <v>9.3640062485635778E-2</v>
      </c>
      <c r="G93" s="140"/>
      <c r="H93" s="75" t="s">
        <v>150</v>
      </c>
      <c r="I93" s="465">
        <f>SUM(I92:N92)</f>
        <v>1093000</v>
      </c>
      <c r="J93" s="465"/>
      <c r="K93" s="465"/>
      <c r="L93" s="465"/>
      <c r="M93" s="465"/>
      <c r="N93" s="466"/>
      <c r="AC93" s="139"/>
      <c r="AD93" s="139"/>
      <c r="AE93" s="139"/>
    </row>
    <row r="94" spans="1:36" ht="22.5" x14ac:dyDescent="0.2">
      <c r="A94" s="136"/>
      <c r="B94" s="62" t="s">
        <v>116</v>
      </c>
      <c r="C94" s="266">
        <f>D94*$H$76</f>
        <v>1440000</v>
      </c>
      <c r="D94" s="254">
        <v>6000</v>
      </c>
      <c r="E94" s="304">
        <f t="shared" si="5"/>
        <v>5.0389271292718807E-2</v>
      </c>
      <c r="G94" s="140"/>
      <c r="AC94" s="139"/>
      <c r="AD94" s="139"/>
      <c r="AE94" s="139"/>
    </row>
    <row r="95" spans="1:36" ht="22.5" x14ac:dyDescent="0.2">
      <c r="A95" s="136"/>
      <c r="B95" s="63" t="s">
        <v>117</v>
      </c>
      <c r="C95" s="267">
        <f>D95*$H$76</f>
        <v>240000</v>
      </c>
      <c r="D95" s="254">
        <v>1000</v>
      </c>
      <c r="E95" s="304">
        <f t="shared" si="5"/>
        <v>8.3982118821198017E-3</v>
      </c>
      <c r="G95" s="140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</row>
    <row r="96" spans="1:36" ht="22.5" x14ac:dyDescent="0.2">
      <c r="A96" s="136"/>
      <c r="B96" s="62" t="s">
        <v>118</v>
      </c>
      <c r="C96" s="266">
        <f>D96*H76</f>
        <v>3120000</v>
      </c>
      <c r="D96" s="254">
        <v>13000</v>
      </c>
      <c r="E96" s="304">
        <f t="shared" si="5"/>
        <v>0.10917675446755741</v>
      </c>
      <c r="G96" s="140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  <c r="AA96" s="139"/>
      <c r="AB96" s="139"/>
      <c r="AC96" s="139"/>
      <c r="AD96" s="139"/>
      <c r="AE96" s="139"/>
    </row>
    <row r="97" spans="1:31" ht="22.5" x14ac:dyDescent="0.2">
      <c r="A97" s="136"/>
      <c r="B97" s="63" t="s">
        <v>119</v>
      </c>
      <c r="C97" s="267">
        <f>D97*C109</f>
        <v>3628800</v>
      </c>
      <c r="D97" s="307">
        <v>0.02</v>
      </c>
      <c r="E97" s="304">
        <f t="shared" si="5"/>
        <v>0.12698096365765138</v>
      </c>
      <c r="G97" s="140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  <c r="AA97" s="139"/>
      <c r="AB97" s="139"/>
      <c r="AC97" s="139"/>
      <c r="AD97" s="139"/>
      <c r="AE97" s="139"/>
    </row>
    <row r="98" spans="1:31" ht="22.5" x14ac:dyDescent="0.2">
      <c r="A98" s="136"/>
      <c r="B98" s="63" t="s">
        <v>355</v>
      </c>
      <c r="C98" s="267">
        <f>D98*(J139+L157)</f>
        <v>692031.9</v>
      </c>
      <c r="D98" s="307">
        <v>0.02</v>
      </c>
      <c r="E98" s="304">
        <f t="shared" si="5"/>
        <v>2.4215960522441425E-2</v>
      </c>
      <c r="G98" s="140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</row>
    <row r="99" spans="1:31" ht="22.5" x14ac:dyDescent="0.2">
      <c r="A99" s="136"/>
      <c r="B99" s="62" t="s">
        <v>346</v>
      </c>
      <c r="C99" s="266">
        <f>D99*V139</f>
        <v>0</v>
      </c>
      <c r="D99" s="307">
        <v>0.03</v>
      </c>
      <c r="E99" s="304">
        <f t="shared" si="5"/>
        <v>0</v>
      </c>
      <c r="G99" s="140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</row>
    <row r="100" spans="1:31" ht="23.25" thickBot="1" x14ac:dyDescent="0.25">
      <c r="A100" s="136"/>
      <c r="B100" s="63" t="s">
        <v>120</v>
      </c>
      <c r="C100" s="267">
        <f>D100*C109</f>
        <v>5443200</v>
      </c>
      <c r="D100" s="307">
        <v>0.03</v>
      </c>
      <c r="E100" s="305">
        <f t="shared" si="5"/>
        <v>0.1904714454864771</v>
      </c>
      <c r="G100" s="140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</row>
    <row r="101" spans="1:31" ht="22.5" x14ac:dyDescent="0.2">
      <c r="A101" s="136"/>
      <c r="B101" s="62" t="s">
        <v>121</v>
      </c>
      <c r="C101" s="470">
        <f>SUMIF(C86:C100, "&lt;&gt;#DIV/0!")</f>
        <v>28577511.899999999</v>
      </c>
      <c r="D101" s="471"/>
      <c r="G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</row>
    <row r="102" spans="1:31" ht="12" thickBot="1" x14ac:dyDescent="0.25">
      <c r="A102" s="136"/>
      <c r="B102" s="467" t="s">
        <v>122</v>
      </c>
      <c r="C102" s="468"/>
      <c r="D102" s="46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</row>
    <row r="103" spans="1:31" ht="22.5" x14ac:dyDescent="0.2">
      <c r="A103" s="136"/>
      <c r="B103" s="64" t="s">
        <v>123</v>
      </c>
      <c r="C103" s="266">
        <f>D103*(C109+C86+C87+C90+C97+C100+C98)</f>
        <v>19928903.190000001</v>
      </c>
      <c r="D103" s="65">
        <v>0.1</v>
      </c>
      <c r="E103" s="285">
        <v>0</v>
      </c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</row>
    <row r="104" spans="1:31" ht="23.25" thickBot="1" x14ac:dyDescent="0.25">
      <c r="A104" s="136"/>
      <c r="B104" s="66" t="s">
        <v>124</v>
      </c>
      <c r="C104" s="267">
        <f>E104*(C108+C109+C110)</f>
        <v>8202525.1910383552</v>
      </c>
      <c r="D104" s="67">
        <v>5.0000000000000001E-3</v>
      </c>
      <c r="E104" s="128">
        <f>D104*D120</f>
        <v>1.8931506849315067E-2</v>
      </c>
    </row>
    <row r="105" spans="1:31" ht="22.5" x14ac:dyDescent="0.2">
      <c r="A105" s="136"/>
      <c r="B105" s="62" t="s">
        <v>125</v>
      </c>
      <c r="C105" s="470">
        <f>I93</f>
        <v>1093000</v>
      </c>
      <c r="D105" s="471"/>
      <c r="E105" s="136"/>
      <c r="U105" s="139"/>
      <c r="V105" s="139"/>
      <c r="W105" s="139"/>
      <c r="X105" s="139"/>
    </row>
    <row r="106" spans="1:31" ht="22.5" x14ac:dyDescent="0.2">
      <c r="A106" s="136"/>
      <c r="B106" s="63" t="s">
        <v>126</v>
      </c>
      <c r="C106" s="474">
        <f>SUM(C103:C105)</f>
        <v>29224428.381038357</v>
      </c>
      <c r="D106" s="475"/>
      <c r="E106" s="154"/>
      <c r="G106" s="155"/>
      <c r="I106" s="136"/>
      <c r="J106" s="136"/>
      <c r="K106" s="136"/>
      <c r="L106" s="136"/>
      <c r="M106" s="136"/>
      <c r="N106" s="136"/>
      <c r="O106" s="136"/>
      <c r="P106" s="136"/>
      <c r="Q106" s="136"/>
      <c r="U106" s="139"/>
      <c r="V106" s="139"/>
      <c r="W106" s="139"/>
      <c r="X106" s="139"/>
    </row>
    <row r="107" spans="1:31" x14ac:dyDescent="0.2">
      <c r="A107" s="136"/>
      <c r="B107" s="467" t="s">
        <v>127</v>
      </c>
      <c r="C107" s="468"/>
      <c r="D107" s="469"/>
      <c r="E107" s="154"/>
      <c r="G107" s="155"/>
      <c r="I107" s="136"/>
      <c r="Q107" s="136"/>
      <c r="U107" s="139"/>
    </row>
    <row r="108" spans="1:31" ht="22.5" x14ac:dyDescent="0.2">
      <c r="A108" s="136"/>
      <c r="B108" s="62" t="s">
        <v>129</v>
      </c>
      <c r="C108" s="470">
        <f>I49</f>
        <v>223256250</v>
      </c>
      <c r="D108" s="471"/>
      <c r="E108" s="156"/>
      <c r="G108" s="228"/>
      <c r="Q108" s="136"/>
      <c r="U108" s="139"/>
    </row>
    <row r="109" spans="1:31" ht="22.5" x14ac:dyDescent="0.2">
      <c r="A109" s="136"/>
      <c r="B109" s="63" t="s">
        <v>137</v>
      </c>
      <c r="C109" s="472">
        <f>J76</f>
        <v>181440000</v>
      </c>
      <c r="D109" s="473"/>
      <c r="E109" s="136"/>
      <c r="I109" s="136"/>
      <c r="Q109" s="136"/>
      <c r="U109" s="139"/>
    </row>
    <row r="110" spans="1:31" ht="22.5" x14ac:dyDescent="0.2">
      <c r="A110" s="136"/>
      <c r="B110" s="62" t="s">
        <v>139</v>
      </c>
      <c r="C110" s="470">
        <f>C101</f>
        <v>28577511.899999999</v>
      </c>
      <c r="D110" s="471"/>
      <c r="E110" s="136"/>
      <c r="I110" s="136"/>
      <c r="Q110" s="136"/>
      <c r="U110" s="139"/>
    </row>
    <row r="111" spans="1:31" ht="22.5" x14ac:dyDescent="0.2">
      <c r="A111" s="136"/>
      <c r="B111" s="63" t="s">
        <v>141</v>
      </c>
      <c r="C111" s="472">
        <f>C109+C110</f>
        <v>210017511.90000001</v>
      </c>
      <c r="D111" s="473"/>
      <c r="E111" s="136"/>
      <c r="I111" s="136"/>
      <c r="Q111" s="136"/>
    </row>
    <row r="112" spans="1:31" ht="22.5" x14ac:dyDescent="0.2">
      <c r="A112" s="136"/>
      <c r="B112" s="62" t="s">
        <v>143</v>
      </c>
      <c r="C112" s="470">
        <f>C106</f>
        <v>29224428.381038357</v>
      </c>
      <c r="D112" s="471"/>
      <c r="E112" s="136"/>
      <c r="I112" s="136"/>
      <c r="Q112" s="136"/>
    </row>
    <row r="113" spans="1:27" ht="22.5" x14ac:dyDescent="0.2">
      <c r="A113" s="136"/>
      <c r="B113" s="63" t="s">
        <v>145</v>
      </c>
      <c r="C113" s="482">
        <f>C108+C111+C112+C117</f>
        <v>504632715.28103834</v>
      </c>
      <c r="D113" s="483"/>
      <c r="E113" s="136"/>
      <c r="I113" s="136"/>
    </row>
    <row r="114" spans="1:27" ht="22.5" x14ac:dyDescent="0.2">
      <c r="A114" s="136"/>
      <c r="B114" s="62" t="s">
        <v>147</v>
      </c>
      <c r="C114" s="470">
        <f>G24</f>
        <v>220500000</v>
      </c>
      <c r="D114" s="471"/>
      <c r="E114" s="136"/>
      <c r="I114" s="136"/>
    </row>
    <row r="115" spans="1:27" x14ac:dyDescent="0.2">
      <c r="A115" s="136"/>
      <c r="B115" s="514" t="s">
        <v>151</v>
      </c>
      <c r="C115" s="500"/>
      <c r="D115" s="515"/>
      <c r="E115" s="136"/>
      <c r="G115" s="153"/>
    </row>
    <row r="116" spans="1:27" ht="23.25" thickBot="1" x14ac:dyDescent="0.25">
      <c r="A116" s="136"/>
      <c r="B116" s="62" t="s">
        <v>152</v>
      </c>
      <c r="C116" s="470">
        <f>E187</f>
        <v>259300000</v>
      </c>
      <c r="D116" s="471"/>
      <c r="E116" s="136"/>
      <c r="G116" s="153"/>
    </row>
    <row r="117" spans="1:27" ht="23.25" thickBot="1" x14ac:dyDescent="0.25">
      <c r="A117" s="136"/>
      <c r="B117" s="63" t="s">
        <v>37</v>
      </c>
      <c r="C117" s="482">
        <f>-SUM(E190:E191)</f>
        <v>42134525</v>
      </c>
      <c r="D117" s="483"/>
      <c r="E117" s="306">
        <f>(W176-G176)/365</f>
        <v>4.0027397260273974</v>
      </c>
    </row>
    <row r="118" spans="1:27" ht="12" thickBot="1" x14ac:dyDescent="0.25">
      <c r="A118" s="136"/>
      <c r="B118" s="467" t="s">
        <v>153</v>
      </c>
      <c r="C118" s="468"/>
      <c r="D118" s="469"/>
      <c r="E118" s="136" t="s">
        <v>356</v>
      </c>
    </row>
    <row r="119" spans="1:27" x14ac:dyDescent="0.2">
      <c r="A119" s="136"/>
      <c r="B119" s="495" t="s">
        <v>283</v>
      </c>
      <c r="C119" s="257" t="s">
        <v>154</v>
      </c>
      <c r="D119" s="258" t="s">
        <v>155</v>
      </c>
      <c r="E119" s="76" t="s">
        <v>156</v>
      </c>
    </row>
    <row r="120" spans="1:27" ht="12" thickBot="1" x14ac:dyDescent="0.25">
      <c r="A120" s="136"/>
      <c r="B120" s="516"/>
      <c r="C120" s="77">
        <f>((U176-F176)/365)*12</f>
        <v>45.435616438356163</v>
      </c>
      <c r="D120" s="130">
        <f>C120/12</f>
        <v>3.7863013698630135</v>
      </c>
      <c r="E120" s="129">
        <f>C120/3</f>
        <v>15.145205479452054</v>
      </c>
    </row>
    <row r="121" spans="1:27" x14ac:dyDescent="0.2">
      <c r="A121" s="136"/>
      <c r="K121" s="136"/>
    </row>
    <row r="122" spans="1:27" x14ac:dyDescent="0.2">
      <c r="A122" s="136"/>
      <c r="K122" s="136"/>
    </row>
    <row r="123" spans="1:27" x14ac:dyDescent="0.2">
      <c r="A123" s="136"/>
      <c r="K123" s="136"/>
    </row>
    <row r="124" spans="1:27" x14ac:dyDescent="0.2">
      <c r="A124" s="136"/>
      <c r="K124" s="136"/>
    </row>
    <row r="125" spans="1:27" x14ac:dyDescent="0.2">
      <c r="A125" s="136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</row>
    <row r="126" spans="1:27" ht="12" thickBot="1" x14ac:dyDescent="0.25">
      <c r="A126" s="136"/>
      <c r="K126" s="136"/>
    </row>
    <row r="127" spans="1:27" ht="12.75" x14ac:dyDescent="0.2">
      <c r="A127" s="136"/>
      <c r="B127" s="459" t="s">
        <v>157</v>
      </c>
      <c r="C127" s="460"/>
      <c r="D127" s="460"/>
      <c r="E127" s="460"/>
      <c r="F127" s="460"/>
      <c r="G127" s="460"/>
      <c r="H127" s="460"/>
      <c r="I127" s="460"/>
      <c r="J127" s="461"/>
      <c r="N127" s="459" t="s">
        <v>158</v>
      </c>
      <c r="O127" s="460"/>
      <c r="P127" s="460"/>
      <c r="Q127" s="460"/>
      <c r="R127" s="460"/>
      <c r="S127" s="460"/>
      <c r="T127" s="460"/>
      <c r="U127" s="460"/>
      <c r="V127" s="460"/>
      <c r="W127" s="460"/>
      <c r="X127" s="460"/>
      <c r="Y127" s="460"/>
      <c r="Z127" s="460"/>
      <c r="AA127" s="461"/>
    </row>
    <row r="128" spans="1:27" ht="45" x14ac:dyDescent="0.2">
      <c r="A128" s="136"/>
      <c r="B128" s="78" t="s">
        <v>60</v>
      </c>
      <c r="C128" s="79" t="s">
        <v>159</v>
      </c>
      <c r="D128" s="80" t="s">
        <v>160</v>
      </c>
      <c r="E128" s="81" t="str">
        <f>E60</f>
        <v>نسبة المساحات الصافية القابلة للبيع
  (NSA-%)</v>
      </c>
      <c r="F128" s="79" t="str">
        <f>F60</f>
        <v>المساحات الصافية القابلة للبيع
(NSA)</v>
      </c>
      <c r="G128" s="79" t="str">
        <f>G60</f>
        <v>مساحة الوحدة
(Unit Area)</v>
      </c>
      <c r="H128" s="79" t="s">
        <v>161</v>
      </c>
      <c r="I128" s="79" t="s">
        <v>162</v>
      </c>
      <c r="J128" s="82" t="s">
        <v>163</v>
      </c>
      <c r="K128" s="238"/>
      <c r="N128" s="78" t="s">
        <v>60</v>
      </c>
      <c r="O128" s="79" t="s">
        <v>159</v>
      </c>
      <c r="P128" s="80" t="s">
        <v>160</v>
      </c>
      <c r="Q128" s="81" t="s">
        <v>81</v>
      </c>
      <c r="R128" s="79" t="s">
        <v>82</v>
      </c>
      <c r="S128" s="79" t="s">
        <v>83</v>
      </c>
      <c r="T128" s="79" t="s">
        <v>161</v>
      </c>
      <c r="U128" s="79" t="s">
        <v>162</v>
      </c>
      <c r="V128" s="79" t="s">
        <v>354</v>
      </c>
      <c r="W128" s="330" t="s">
        <v>344</v>
      </c>
      <c r="X128" s="330" t="s">
        <v>364</v>
      </c>
      <c r="Y128" s="330" t="s">
        <v>352</v>
      </c>
      <c r="Z128" s="392" t="s">
        <v>346</v>
      </c>
      <c r="AA128" s="315" t="s">
        <v>353</v>
      </c>
    </row>
    <row r="129" spans="1:46" ht="22.5" x14ac:dyDescent="0.2">
      <c r="A129" s="136"/>
      <c r="B129" s="25" t="s">
        <v>61</v>
      </c>
      <c r="C129" s="253"/>
      <c r="D129" s="83">
        <f t="shared" ref="D129:D138" si="6">IFERROR(C129/H61, "0.00%")</f>
        <v>0</v>
      </c>
      <c r="E129" s="83">
        <f t="shared" ref="E129:E138" si="7">E61</f>
        <v>0.8</v>
      </c>
      <c r="F129" s="263">
        <f>E129*D129*D61</f>
        <v>0</v>
      </c>
      <c r="G129" s="263" t="str">
        <f>IFERROR(F129/C129, "0")</f>
        <v>0</v>
      </c>
      <c r="H129" s="253"/>
      <c r="I129" s="266">
        <f>H129*G129</f>
        <v>0</v>
      </c>
      <c r="J129" s="246">
        <f>I129*C129</f>
        <v>0</v>
      </c>
      <c r="N129" s="25" t="s">
        <v>61</v>
      </c>
      <c r="O129" s="253"/>
      <c r="P129" s="84">
        <f t="shared" ref="P129:P138" si="8">IFERROR(O129/H61, "0.00%")</f>
        <v>0</v>
      </c>
      <c r="Q129" s="83">
        <f t="shared" ref="Q129:Q138" si="9">E61</f>
        <v>0.8</v>
      </c>
      <c r="R129" s="263">
        <f t="shared" ref="R129:R138" si="10">Q129*P129*D61</f>
        <v>0</v>
      </c>
      <c r="S129" s="263" t="str">
        <f>IFERROR(R129/O129, "0")</f>
        <v>0</v>
      </c>
      <c r="T129" s="253"/>
      <c r="U129" s="266">
        <f>T129*S129</f>
        <v>0</v>
      </c>
      <c r="V129" s="266">
        <f>(U129*O129)</f>
        <v>0</v>
      </c>
      <c r="W129" s="344">
        <f t="shared" ref="W129:W138" si="11">V129*$D$304</f>
        <v>0</v>
      </c>
      <c r="X129" s="344">
        <f t="shared" ref="X129:X138" si="12">(V129*$D$305)+(V129*$D$306)</f>
        <v>0</v>
      </c>
      <c r="Y129" s="344">
        <f t="shared" ref="Y129:Y138" si="13">V129*$D$307</f>
        <v>0</v>
      </c>
      <c r="Z129" s="344">
        <f t="shared" ref="Z129:Z138" si="14">V129*$D$99</f>
        <v>0</v>
      </c>
      <c r="AA129" s="346">
        <f>V129-(SUM(W129:Y129))</f>
        <v>0</v>
      </c>
    </row>
    <row r="130" spans="1:46" ht="22.5" x14ac:dyDescent="0.2">
      <c r="A130" s="136"/>
      <c r="B130" s="28" t="s">
        <v>62</v>
      </c>
      <c r="C130" s="253"/>
      <c r="D130" s="252" t="str">
        <f t="shared" si="6"/>
        <v>0.00%</v>
      </c>
      <c r="E130" s="85">
        <f t="shared" si="7"/>
        <v>0</v>
      </c>
      <c r="F130" s="51">
        <f t="shared" ref="F130:F138" si="15">F62</f>
        <v>0</v>
      </c>
      <c r="G130" s="51" t="str">
        <f t="shared" ref="G130:G138" si="16">IFERROR(F130/C130, "0")</f>
        <v>0</v>
      </c>
      <c r="H130" s="253"/>
      <c r="I130" s="267">
        <f>H130*G130</f>
        <v>0</v>
      </c>
      <c r="J130" s="268">
        <f t="shared" ref="J130:J138" si="17">I130*C130</f>
        <v>0</v>
      </c>
      <c r="N130" s="28" t="s">
        <v>62</v>
      </c>
      <c r="O130" s="253"/>
      <c r="P130" s="85" t="str">
        <f t="shared" si="8"/>
        <v>0.00%</v>
      </c>
      <c r="Q130" s="85">
        <f t="shared" si="9"/>
        <v>0</v>
      </c>
      <c r="R130" s="51">
        <f t="shared" si="10"/>
        <v>0</v>
      </c>
      <c r="S130" s="51" t="str">
        <f>IFERROR(R130/O130, "0")</f>
        <v>0</v>
      </c>
      <c r="T130" s="253"/>
      <c r="U130" s="267">
        <f>T130*S130</f>
        <v>0</v>
      </c>
      <c r="V130" s="267">
        <f t="shared" ref="V130:V138" si="18">(U130*O130)</f>
        <v>0</v>
      </c>
      <c r="W130" s="52">
        <f t="shared" si="11"/>
        <v>0</v>
      </c>
      <c r="X130" s="52">
        <f t="shared" si="12"/>
        <v>0</v>
      </c>
      <c r="Y130" s="52">
        <f t="shared" si="13"/>
        <v>0</v>
      </c>
      <c r="Z130" s="52">
        <f t="shared" si="14"/>
        <v>0</v>
      </c>
      <c r="AA130" s="347">
        <f>V130-(SUM(W130:Y130))</f>
        <v>0</v>
      </c>
    </row>
    <row r="131" spans="1:46" ht="22.5" x14ac:dyDescent="0.2">
      <c r="A131" s="136"/>
      <c r="B131" s="25" t="s">
        <v>63</v>
      </c>
      <c r="C131" s="253"/>
      <c r="D131" s="86" t="str">
        <f t="shared" si="6"/>
        <v>0.00%</v>
      </c>
      <c r="E131" s="84">
        <f t="shared" si="7"/>
        <v>0</v>
      </c>
      <c r="F131" s="263">
        <f t="shared" si="15"/>
        <v>0</v>
      </c>
      <c r="G131" s="263" t="str">
        <f t="shared" si="16"/>
        <v>0</v>
      </c>
      <c r="H131" s="253"/>
      <c r="I131" s="266">
        <f>H131*G131</f>
        <v>0</v>
      </c>
      <c r="J131" s="246">
        <f t="shared" si="17"/>
        <v>0</v>
      </c>
      <c r="N131" s="25" t="s">
        <v>63</v>
      </c>
      <c r="O131" s="253"/>
      <c r="P131" s="84" t="str">
        <f t="shared" si="8"/>
        <v>0.00%</v>
      </c>
      <c r="Q131" s="84">
        <f t="shared" si="9"/>
        <v>0</v>
      </c>
      <c r="R131" s="263">
        <f t="shared" si="10"/>
        <v>0</v>
      </c>
      <c r="S131" s="263" t="str">
        <f t="shared" ref="S131:S138" si="19">IFERROR(R131/O131, "0")</f>
        <v>0</v>
      </c>
      <c r="T131" s="253"/>
      <c r="U131" s="266">
        <f t="shared" ref="U131:U138" si="20">T131*S131</f>
        <v>0</v>
      </c>
      <c r="V131" s="266">
        <f t="shared" si="18"/>
        <v>0</v>
      </c>
      <c r="W131" s="344">
        <f t="shared" si="11"/>
        <v>0</v>
      </c>
      <c r="X131" s="344">
        <f t="shared" si="12"/>
        <v>0</v>
      </c>
      <c r="Y131" s="344">
        <f t="shared" si="13"/>
        <v>0</v>
      </c>
      <c r="Z131" s="344">
        <f t="shared" si="14"/>
        <v>0</v>
      </c>
      <c r="AA131" s="346">
        <f t="shared" ref="AA131:AA138" si="21">V131-(SUM(W131:Y131))</f>
        <v>0</v>
      </c>
    </row>
    <row r="132" spans="1:46" ht="22.5" x14ac:dyDescent="0.2">
      <c r="A132" s="136"/>
      <c r="B132" s="28" t="s">
        <v>64</v>
      </c>
      <c r="C132" s="253"/>
      <c r="D132" s="252" t="str">
        <f t="shared" si="6"/>
        <v>0.00%</v>
      </c>
      <c r="E132" s="85">
        <f t="shared" si="7"/>
        <v>0</v>
      </c>
      <c r="F132" s="51">
        <f t="shared" si="15"/>
        <v>0</v>
      </c>
      <c r="G132" s="51" t="str">
        <f t="shared" si="16"/>
        <v>0</v>
      </c>
      <c r="H132" s="253"/>
      <c r="I132" s="267">
        <f t="shared" ref="I132:I137" si="22">H132*G132</f>
        <v>0</v>
      </c>
      <c r="J132" s="268">
        <f t="shared" si="17"/>
        <v>0</v>
      </c>
      <c r="N132" s="28" t="s">
        <v>64</v>
      </c>
      <c r="O132" s="253"/>
      <c r="P132" s="85" t="str">
        <f t="shared" si="8"/>
        <v>0.00%</v>
      </c>
      <c r="Q132" s="85">
        <f t="shared" si="9"/>
        <v>0</v>
      </c>
      <c r="R132" s="51">
        <f t="shared" si="10"/>
        <v>0</v>
      </c>
      <c r="S132" s="51" t="str">
        <f t="shared" si="19"/>
        <v>0</v>
      </c>
      <c r="T132" s="253"/>
      <c r="U132" s="267">
        <f t="shared" si="20"/>
        <v>0</v>
      </c>
      <c r="V132" s="267">
        <f t="shared" si="18"/>
        <v>0</v>
      </c>
      <c r="W132" s="52">
        <f t="shared" si="11"/>
        <v>0</v>
      </c>
      <c r="X132" s="52">
        <f t="shared" si="12"/>
        <v>0</v>
      </c>
      <c r="Y132" s="52">
        <f t="shared" si="13"/>
        <v>0</v>
      </c>
      <c r="Z132" s="52">
        <f t="shared" si="14"/>
        <v>0</v>
      </c>
      <c r="AA132" s="347">
        <f t="shared" si="21"/>
        <v>0</v>
      </c>
    </row>
    <row r="133" spans="1:46" ht="22.5" x14ac:dyDescent="0.2">
      <c r="A133" s="136"/>
      <c r="B133" s="25" t="s">
        <v>93</v>
      </c>
      <c r="C133" s="253"/>
      <c r="D133" s="86" t="str">
        <f t="shared" si="6"/>
        <v>0.00%</v>
      </c>
      <c r="E133" s="84">
        <f t="shared" si="7"/>
        <v>0</v>
      </c>
      <c r="F133" s="263">
        <f t="shared" si="15"/>
        <v>0</v>
      </c>
      <c r="G133" s="263" t="str">
        <f t="shared" si="16"/>
        <v>0</v>
      </c>
      <c r="H133" s="253"/>
      <c r="I133" s="266">
        <f>H133*G133</f>
        <v>0</v>
      </c>
      <c r="J133" s="246">
        <f t="shared" si="17"/>
        <v>0</v>
      </c>
      <c r="N133" s="25" t="s">
        <v>93</v>
      </c>
      <c r="O133" s="253"/>
      <c r="P133" s="84" t="str">
        <f t="shared" si="8"/>
        <v>0.00%</v>
      </c>
      <c r="Q133" s="84">
        <f t="shared" si="9"/>
        <v>0</v>
      </c>
      <c r="R133" s="263">
        <f t="shared" si="10"/>
        <v>0</v>
      </c>
      <c r="S133" s="263" t="str">
        <f t="shared" si="19"/>
        <v>0</v>
      </c>
      <c r="T133" s="253"/>
      <c r="U133" s="266">
        <f t="shared" si="20"/>
        <v>0</v>
      </c>
      <c r="V133" s="266">
        <f t="shared" si="18"/>
        <v>0</v>
      </c>
      <c r="W133" s="344">
        <f t="shared" si="11"/>
        <v>0</v>
      </c>
      <c r="X133" s="344">
        <f t="shared" si="12"/>
        <v>0</v>
      </c>
      <c r="Y133" s="344">
        <f t="shared" si="13"/>
        <v>0</v>
      </c>
      <c r="Z133" s="344">
        <f t="shared" si="14"/>
        <v>0</v>
      </c>
      <c r="AA133" s="346">
        <f t="shared" si="21"/>
        <v>0</v>
      </c>
    </row>
    <row r="134" spans="1:46" ht="22.5" x14ac:dyDescent="0.2">
      <c r="A134" s="136"/>
      <c r="B134" s="28" t="s">
        <v>333</v>
      </c>
      <c r="C134" s="253"/>
      <c r="D134" s="252">
        <f t="shared" si="6"/>
        <v>0</v>
      </c>
      <c r="E134" s="85">
        <f t="shared" si="7"/>
        <v>0.9</v>
      </c>
      <c r="F134" s="51">
        <f t="shared" si="15"/>
        <v>9450</v>
      </c>
      <c r="G134" s="51" t="str">
        <f>IFERROR(F134/C134, "0")</f>
        <v>0</v>
      </c>
      <c r="H134" s="253"/>
      <c r="I134" s="267">
        <f>H134*G134</f>
        <v>0</v>
      </c>
      <c r="J134" s="268">
        <f t="shared" si="17"/>
        <v>0</v>
      </c>
      <c r="N134" s="28" t="s">
        <v>333</v>
      </c>
      <c r="O134" s="253"/>
      <c r="P134" s="85">
        <f t="shared" si="8"/>
        <v>0</v>
      </c>
      <c r="Q134" s="85">
        <f t="shared" si="9"/>
        <v>0.9</v>
      </c>
      <c r="R134" s="51">
        <f t="shared" si="10"/>
        <v>0</v>
      </c>
      <c r="S134" s="51" t="str">
        <f t="shared" si="19"/>
        <v>0</v>
      </c>
      <c r="T134" s="253"/>
      <c r="U134" s="267">
        <f t="shared" si="20"/>
        <v>0</v>
      </c>
      <c r="V134" s="267">
        <f t="shared" si="18"/>
        <v>0</v>
      </c>
      <c r="W134" s="52">
        <f t="shared" si="11"/>
        <v>0</v>
      </c>
      <c r="X134" s="52">
        <f t="shared" si="12"/>
        <v>0</v>
      </c>
      <c r="Y134" s="52">
        <f t="shared" si="13"/>
        <v>0</v>
      </c>
      <c r="Z134" s="52">
        <f t="shared" si="14"/>
        <v>0</v>
      </c>
      <c r="AA134" s="347">
        <f t="shared" si="21"/>
        <v>0</v>
      </c>
    </row>
    <row r="135" spans="1:46" ht="22.5" x14ac:dyDescent="0.2">
      <c r="A135" s="136"/>
      <c r="B135" s="25" t="s">
        <v>65</v>
      </c>
      <c r="C135" s="253"/>
      <c r="D135" s="86">
        <f t="shared" si="6"/>
        <v>0</v>
      </c>
      <c r="E135" s="84">
        <f t="shared" si="7"/>
        <v>0.95</v>
      </c>
      <c r="F135" s="263">
        <f t="shared" si="15"/>
        <v>3990</v>
      </c>
      <c r="G135" s="263" t="str">
        <f t="shared" si="16"/>
        <v>0</v>
      </c>
      <c r="H135" s="253"/>
      <c r="I135" s="266">
        <f>H135*G135</f>
        <v>0</v>
      </c>
      <c r="J135" s="246">
        <f>I135*C135</f>
        <v>0</v>
      </c>
      <c r="N135" s="25" t="s">
        <v>65</v>
      </c>
      <c r="O135" s="253"/>
      <c r="P135" s="84">
        <f t="shared" si="8"/>
        <v>0</v>
      </c>
      <c r="Q135" s="84">
        <f t="shared" si="9"/>
        <v>0.95</v>
      </c>
      <c r="R135" s="263">
        <f t="shared" si="10"/>
        <v>0</v>
      </c>
      <c r="S135" s="263" t="str">
        <f t="shared" si="19"/>
        <v>0</v>
      </c>
      <c r="T135" s="253"/>
      <c r="U135" s="266">
        <f t="shared" si="20"/>
        <v>0</v>
      </c>
      <c r="V135" s="266">
        <f t="shared" si="18"/>
        <v>0</v>
      </c>
      <c r="W135" s="344">
        <f t="shared" si="11"/>
        <v>0</v>
      </c>
      <c r="X135" s="344">
        <f t="shared" si="12"/>
        <v>0</v>
      </c>
      <c r="Y135" s="344">
        <f t="shared" si="13"/>
        <v>0</v>
      </c>
      <c r="Z135" s="344">
        <f t="shared" si="14"/>
        <v>0</v>
      </c>
      <c r="AA135" s="346">
        <f t="shared" si="21"/>
        <v>0</v>
      </c>
    </row>
    <row r="136" spans="1:46" ht="22.5" x14ac:dyDescent="0.2">
      <c r="A136" s="136"/>
      <c r="B136" s="28" t="s">
        <v>66</v>
      </c>
      <c r="C136" s="253"/>
      <c r="D136" s="252" t="str">
        <f t="shared" si="6"/>
        <v>0.00%</v>
      </c>
      <c r="E136" s="85">
        <f t="shared" si="7"/>
        <v>0</v>
      </c>
      <c r="F136" s="51">
        <f t="shared" si="15"/>
        <v>0</v>
      </c>
      <c r="G136" s="51" t="str">
        <f t="shared" si="16"/>
        <v>0</v>
      </c>
      <c r="H136" s="253"/>
      <c r="I136" s="267">
        <f t="shared" si="22"/>
        <v>0</v>
      </c>
      <c r="J136" s="268">
        <f t="shared" si="17"/>
        <v>0</v>
      </c>
      <c r="N136" s="28" t="s">
        <v>66</v>
      </c>
      <c r="O136" s="253"/>
      <c r="P136" s="85" t="str">
        <f t="shared" si="8"/>
        <v>0.00%</v>
      </c>
      <c r="Q136" s="85">
        <f t="shared" si="9"/>
        <v>0</v>
      </c>
      <c r="R136" s="51">
        <f t="shared" si="10"/>
        <v>0</v>
      </c>
      <c r="S136" s="51" t="str">
        <f t="shared" si="19"/>
        <v>0</v>
      </c>
      <c r="T136" s="253"/>
      <c r="U136" s="267">
        <f t="shared" si="20"/>
        <v>0</v>
      </c>
      <c r="V136" s="267">
        <f t="shared" si="18"/>
        <v>0</v>
      </c>
      <c r="W136" s="52">
        <f t="shared" si="11"/>
        <v>0</v>
      </c>
      <c r="X136" s="52">
        <f t="shared" si="12"/>
        <v>0</v>
      </c>
      <c r="Y136" s="52">
        <f t="shared" si="13"/>
        <v>0</v>
      </c>
      <c r="Z136" s="52">
        <f t="shared" si="14"/>
        <v>0</v>
      </c>
      <c r="AA136" s="347">
        <f t="shared" si="21"/>
        <v>0</v>
      </c>
    </row>
    <row r="137" spans="1:46" ht="22.5" x14ac:dyDescent="0.2">
      <c r="A137" s="136"/>
      <c r="B137" s="25" t="s">
        <v>67</v>
      </c>
      <c r="C137" s="253"/>
      <c r="D137" s="86">
        <f t="shared" si="6"/>
        <v>0</v>
      </c>
      <c r="E137" s="84">
        <f t="shared" si="7"/>
        <v>0.85</v>
      </c>
      <c r="F137" s="263">
        <f t="shared" si="15"/>
        <v>1785</v>
      </c>
      <c r="G137" s="263" t="str">
        <f t="shared" si="16"/>
        <v>0</v>
      </c>
      <c r="H137" s="253"/>
      <c r="I137" s="266">
        <f t="shared" si="22"/>
        <v>0</v>
      </c>
      <c r="J137" s="246">
        <f t="shared" si="17"/>
        <v>0</v>
      </c>
      <c r="N137" s="25" t="s">
        <v>67</v>
      </c>
      <c r="O137" s="253"/>
      <c r="P137" s="84">
        <f t="shared" si="8"/>
        <v>0</v>
      </c>
      <c r="Q137" s="84">
        <f t="shared" si="9"/>
        <v>0.85</v>
      </c>
      <c r="R137" s="263">
        <f t="shared" si="10"/>
        <v>0</v>
      </c>
      <c r="S137" s="263" t="str">
        <f t="shared" si="19"/>
        <v>0</v>
      </c>
      <c r="T137" s="253"/>
      <c r="U137" s="266">
        <f t="shared" si="20"/>
        <v>0</v>
      </c>
      <c r="V137" s="266">
        <f t="shared" si="18"/>
        <v>0</v>
      </c>
      <c r="W137" s="344">
        <f t="shared" si="11"/>
        <v>0</v>
      </c>
      <c r="X137" s="344">
        <f t="shared" si="12"/>
        <v>0</v>
      </c>
      <c r="Y137" s="344">
        <f t="shared" si="13"/>
        <v>0</v>
      </c>
      <c r="Z137" s="344">
        <f t="shared" si="14"/>
        <v>0</v>
      </c>
      <c r="AA137" s="346">
        <f t="shared" si="21"/>
        <v>0</v>
      </c>
    </row>
    <row r="138" spans="1:46" ht="22.5" x14ac:dyDescent="0.2">
      <c r="A138" s="136"/>
      <c r="B138" s="28" t="s">
        <v>68</v>
      </c>
      <c r="C138" s="253"/>
      <c r="D138" s="252" t="str">
        <f t="shared" si="6"/>
        <v>0.00%</v>
      </c>
      <c r="E138" s="85">
        <f t="shared" si="7"/>
        <v>0</v>
      </c>
      <c r="F138" s="51">
        <f t="shared" si="15"/>
        <v>0</v>
      </c>
      <c r="G138" s="51" t="str">
        <f t="shared" si="16"/>
        <v>0</v>
      </c>
      <c r="H138" s="253"/>
      <c r="I138" s="267">
        <f>H138*G138</f>
        <v>0</v>
      </c>
      <c r="J138" s="268">
        <f t="shared" si="17"/>
        <v>0</v>
      </c>
      <c r="N138" s="28" t="s">
        <v>68</v>
      </c>
      <c r="O138" s="253"/>
      <c r="P138" s="85" t="str">
        <f t="shared" si="8"/>
        <v>0.00%</v>
      </c>
      <c r="Q138" s="85">
        <f t="shared" si="9"/>
        <v>0</v>
      </c>
      <c r="R138" s="51">
        <f t="shared" si="10"/>
        <v>0</v>
      </c>
      <c r="S138" s="51" t="str">
        <f t="shared" si="19"/>
        <v>0</v>
      </c>
      <c r="T138" s="253"/>
      <c r="U138" s="267">
        <f t="shared" si="20"/>
        <v>0</v>
      </c>
      <c r="V138" s="267">
        <f t="shared" si="18"/>
        <v>0</v>
      </c>
      <c r="W138" s="52">
        <f t="shared" si="11"/>
        <v>0</v>
      </c>
      <c r="X138" s="52">
        <f t="shared" si="12"/>
        <v>0</v>
      </c>
      <c r="Y138" s="52">
        <f t="shared" si="13"/>
        <v>0</v>
      </c>
      <c r="Z138" s="52">
        <f t="shared" si="14"/>
        <v>0</v>
      </c>
      <c r="AA138" s="347">
        <f t="shared" si="21"/>
        <v>0</v>
      </c>
    </row>
    <row r="139" spans="1:46" ht="23.25" thickBot="1" x14ac:dyDescent="0.25">
      <c r="A139" s="136"/>
      <c r="B139" s="29" t="s">
        <v>126</v>
      </c>
      <c r="C139" s="31">
        <f>SUM(C129:C138)</f>
        <v>0</v>
      </c>
      <c r="D139" s="87" t="s">
        <v>96</v>
      </c>
      <c r="E139" s="87" t="s">
        <v>96</v>
      </c>
      <c r="F139" s="30">
        <f>SUM(F129:F138)</f>
        <v>15225</v>
      </c>
      <c r="G139" s="122" t="e">
        <f>AVERAGEIFS(G129:G138, G129:G138, "&lt;&gt;0", G129:G138, "&lt;&gt;#DIV/0!")</f>
        <v>#DIV/0!</v>
      </c>
      <c r="H139" s="123" t="e">
        <f>AVERAGEIFS(H129:H138, H129:H138, "&lt;&gt;0", H129:H138, "&lt;&gt;#DIV/0!")</f>
        <v>#DIV/0!</v>
      </c>
      <c r="I139" s="123" t="e">
        <f>AVERAGEIFS(I129:I138, I129:I138, "&lt;&gt;0", I129:I138, "&lt;&gt;#DIV/0!")</f>
        <v>#DIV/0!</v>
      </c>
      <c r="J139" s="88">
        <f>SUMIF(J129:J138, "&lt;&gt;#DIV/0!")</f>
        <v>0</v>
      </c>
      <c r="N139" s="29" t="s">
        <v>126</v>
      </c>
      <c r="O139" s="31">
        <f>SUM(O129:O138)</f>
        <v>0</v>
      </c>
      <c r="P139" s="87" t="s">
        <v>96</v>
      </c>
      <c r="Q139" s="87" t="s">
        <v>96</v>
      </c>
      <c r="R139" s="30">
        <f>SUMIF(R129:R138, "&lt;&gt;#DIV/0!")</f>
        <v>0</v>
      </c>
      <c r="S139" s="122" t="e">
        <f>AVERAGEIFS(S129:S138, S129:S138, "&lt;&gt;0", S129:S138, "&lt;&gt;#DIV/0!")</f>
        <v>#DIV/0!</v>
      </c>
      <c r="T139" s="31">
        <f>SUM(T129:T138)</f>
        <v>0</v>
      </c>
      <c r="U139" s="31">
        <f>SUMIF(U129:U138,"&lt;&gt;#DIV/0!")</f>
        <v>0</v>
      </c>
      <c r="V139" s="31">
        <f t="shared" ref="V139:AA139" si="23">SUMIF(V129:V138, "&lt;&gt;#DIV/0!")</f>
        <v>0</v>
      </c>
      <c r="W139" s="345">
        <f t="shared" si="23"/>
        <v>0</v>
      </c>
      <c r="X139" s="345">
        <f t="shared" si="23"/>
        <v>0</v>
      </c>
      <c r="Y139" s="345">
        <f t="shared" si="23"/>
        <v>0</v>
      </c>
      <c r="Z139" s="345">
        <f t="shared" si="23"/>
        <v>0</v>
      </c>
      <c r="AA139" s="348">
        <f t="shared" si="23"/>
        <v>0</v>
      </c>
    </row>
    <row r="140" spans="1:46" x14ac:dyDescent="0.2">
      <c r="AA140" s="349">
        <f>AA139+Y139</f>
        <v>0</v>
      </c>
    </row>
    <row r="143" spans="1:46" x14ac:dyDescent="0.2"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J143" s="136"/>
    </row>
    <row r="144" spans="1:46" ht="12" thickBot="1" x14ac:dyDescent="0.25"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40"/>
      <c r="AK144" s="139"/>
      <c r="AL144" s="139"/>
      <c r="AM144" s="139"/>
      <c r="AN144" s="139"/>
      <c r="AO144" s="139"/>
      <c r="AP144" s="139"/>
      <c r="AQ144" s="139"/>
      <c r="AR144" s="139"/>
      <c r="AS144" s="139"/>
      <c r="AT144" s="139"/>
    </row>
    <row r="145" spans="1:47" ht="12.75" x14ac:dyDescent="0.2">
      <c r="B145" s="517" t="s">
        <v>274</v>
      </c>
      <c r="C145" s="518"/>
      <c r="D145" s="518"/>
      <c r="E145" s="518"/>
      <c r="F145" s="518"/>
      <c r="G145" s="518"/>
      <c r="H145" s="518"/>
      <c r="I145" s="518"/>
      <c r="J145" s="518"/>
      <c r="K145" s="518"/>
      <c r="L145" s="519"/>
      <c r="M145" s="136"/>
      <c r="N145" s="459" t="s">
        <v>165</v>
      </c>
      <c r="O145" s="460"/>
      <c r="P145" s="460"/>
      <c r="Q145" s="460"/>
      <c r="R145" s="460"/>
      <c r="S145" s="460"/>
      <c r="T145" s="460"/>
      <c r="U145" s="460"/>
      <c r="V145" s="460"/>
      <c r="W145" s="460"/>
      <c r="X145" s="460"/>
      <c r="Y145" s="460"/>
      <c r="Z145" s="460"/>
      <c r="AA145" s="460"/>
      <c r="AB145" s="460"/>
      <c r="AC145" s="460"/>
      <c r="AD145" s="460"/>
      <c r="AE145" s="461"/>
      <c r="AG145" s="539" t="s">
        <v>164</v>
      </c>
      <c r="AH145" s="540"/>
      <c r="AI145" s="540"/>
      <c r="AJ145" s="541"/>
      <c r="AK145" s="139"/>
      <c r="AL145" s="139"/>
      <c r="AM145" s="139"/>
      <c r="AN145" s="139"/>
      <c r="AO145" s="139"/>
      <c r="AP145" s="139"/>
      <c r="AQ145" s="139"/>
      <c r="AR145" s="139"/>
      <c r="AS145" s="139"/>
      <c r="AT145" s="139"/>
    </row>
    <row r="146" spans="1:47" ht="45" x14ac:dyDescent="0.2">
      <c r="B146" s="264" t="s">
        <v>60</v>
      </c>
      <c r="C146" s="261" t="s">
        <v>166</v>
      </c>
      <c r="D146" s="261" t="s">
        <v>167</v>
      </c>
      <c r="E146" s="261" t="s">
        <v>168</v>
      </c>
      <c r="F146" s="261" t="s">
        <v>169</v>
      </c>
      <c r="G146" s="261" t="s">
        <v>170</v>
      </c>
      <c r="H146" s="261" t="s">
        <v>171</v>
      </c>
      <c r="I146" s="261" t="s">
        <v>172</v>
      </c>
      <c r="J146" s="261" t="s">
        <v>173</v>
      </c>
      <c r="K146" s="261" t="s">
        <v>174</v>
      </c>
      <c r="L146" s="262" t="s">
        <v>272</v>
      </c>
      <c r="M146" s="136"/>
      <c r="N146" s="90" t="s">
        <v>60</v>
      </c>
      <c r="O146" s="91" t="s">
        <v>166</v>
      </c>
      <c r="P146" s="91" t="s">
        <v>167</v>
      </c>
      <c r="Q146" s="91" t="s">
        <v>175</v>
      </c>
      <c r="R146" s="91" t="s">
        <v>173</v>
      </c>
      <c r="S146" s="91" t="s">
        <v>176</v>
      </c>
      <c r="T146" s="91" t="s">
        <v>348</v>
      </c>
      <c r="U146" s="91" t="s">
        <v>177</v>
      </c>
      <c r="V146" s="91" t="s">
        <v>178</v>
      </c>
      <c r="W146" s="91" t="s">
        <v>179</v>
      </c>
      <c r="X146" s="91" t="s">
        <v>27</v>
      </c>
      <c r="Y146" s="91" t="s">
        <v>180</v>
      </c>
      <c r="Z146" s="91" t="s">
        <v>181</v>
      </c>
      <c r="AA146" s="91" t="s">
        <v>182</v>
      </c>
      <c r="AB146" s="91" t="s">
        <v>183</v>
      </c>
      <c r="AC146" s="91" t="s">
        <v>184</v>
      </c>
      <c r="AD146" s="91" t="s">
        <v>185</v>
      </c>
      <c r="AE146" s="92" t="s">
        <v>273</v>
      </c>
      <c r="AF146" s="238"/>
      <c r="AG146" s="271" t="s">
        <v>60</v>
      </c>
      <c r="AH146" s="272" t="s">
        <v>23</v>
      </c>
      <c r="AI146" s="272" t="s">
        <v>25</v>
      </c>
      <c r="AJ146" s="89" t="s">
        <v>126</v>
      </c>
      <c r="AK146" s="140"/>
      <c r="AL146" s="139"/>
      <c r="AM146" s="139"/>
      <c r="AN146" s="139"/>
      <c r="AO146" s="139"/>
      <c r="AP146" s="139"/>
      <c r="AQ146" s="139"/>
      <c r="AR146" s="139"/>
      <c r="AS146" s="139"/>
      <c r="AT146" s="139"/>
      <c r="AU146" s="139"/>
    </row>
    <row r="147" spans="1:47" ht="22.5" x14ac:dyDescent="0.2">
      <c r="B147" s="420" t="s">
        <v>61</v>
      </c>
      <c r="C147" s="54" t="s">
        <v>96</v>
      </c>
      <c r="D147" s="253">
        <v>200</v>
      </c>
      <c r="E147" s="83">
        <f t="shared" ref="E147:F147" si="24">E61</f>
        <v>0.8</v>
      </c>
      <c r="F147" s="263">
        <f t="shared" si="24"/>
        <v>20160</v>
      </c>
      <c r="G147" s="263">
        <f t="shared" ref="G147:G156" si="25">G61</f>
        <v>100.8</v>
      </c>
      <c r="H147" s="253">
        <v>1300</v>
      </c>
      <c r="I147" s="266">
        <f>H147*G147</f>
        <v>131040</v>
      </c>
      <c r="J147" s="93">
        <v>0.85</v>
      </c>
      <c r="K147" s="266">
        <f>(I147*D147)*J147</f>
        <v>22276800</v>
      </c>
      <c r="L147" s="246">
        <f t="shared" ref="L147:L156" si="26">K147-(K147*$K$158)</f>
        <v>15593760</v>
      </c>
      <c r="M147" s="136"/>
      <c r="N147" s="25" t="s">
        <v>61</v>
      </c>
      <c r="O147" s="54" t="s">
        <v>96</v>
      </c>
      <c r="P147" s="253"/>
      <c r="Q147" s="266">
        <f>P147*365</f>
        <v>0</v>
      </c>
      <c r="R147" s="273"/>
      <c r="S147" s="266">
        <f t="shared" ref="S147:S156" si="27">Q147*R147</f>
        <v>0</v>
      </c>
      <c r="T147" s="266">
        <f>U147+(15%*U147)+(15%*U147)</f>
        <v>0</v>
      </c>
      <c r="U147" s="253"/>
      <c r="V147" s="266" t="str">
        <f t="shared" ref="V147:V156" si="28">IFERROR((X147/P147)/365, "0")</f>
        <v>0</v>
      </c>
      <c r="W147" s="266" t="str">
        <f t="shared" ref="W147:W156" si="29">IFERROR((U147*S147)/P147, "0")</f>
        <v>0</v>
      </c>
      <c r="X147" s="266">
        <f t="shared" ref="X147:X156" si="30">U147*S147</f>
        <v>0</v>
      </c>
      <c r="Y147" s="344">
        <f t="shared" ref="Y147:Y156" si="31">X147*$Y$158</f>
        <v>0</v>
      </c>
      <c r="Z147" s="344">
        <f t="shared" ref="Z147:Z156" si="32">X147*$Z$158</f>
        <v>0</v>
      </c>
      <c r="AA147" s="344">
        <f t="shared" ref="AA147:AA156" si="33">X147*$AA$158</f>
        <v>0</v>
      </c>
      <c r="AB147" s="266">
        <f>X147-Y147-Z147-AA147</f>
        <v>0</v>
      </c>
      <c r="AC147" s="344">
        <f t="shared" ref="AC147:AC156" si="34">AB147*$AC$158</f>
        <v>0</v>
      </c>
      <c r="AD147" s="344">
        <f>SUM(Y147:AA147,AC147)</f>
        <v>0</v>
      </c>
      <c r="AE147" s="346">
        <f>X147-AD147</f>
        <v>0</v>
      </c>
      <c r="AG147" s="25" t="s">
        <v>61</v>
      </c>
      <c r="AH147" s="127">
        <v>0.08</v>
      </c>
      <c r="AI147" s="266">
        <f>SUM(I147)/AH147</f>
        <v>1638000</v>
      </c>
      <c r="AJ147" s="246">
        <f>K147/AH147</f>
        <v>278460000</v>
      </c>
      <c r="AK147" s="140"/>
      <c r="AL147" s="139"/>
      <c r="AM147" s="139"/>
      <c r="AN147" s="139"/>
      <c r="AO147" s="139"/>
      <c r="AP147" s="139"/>
      <c r="AQ147" s="139"/>
      <c r="AR147" s="139"/>
      <c r="AS147" s="139"/>
      <c r="AT147" s="139"/>
      <c r="AU147" s="139"/>
    </row>
    <row r="148" spans="1:47" ht="22.5" x14ac:dyDescent="0.2">
      <c r="B148" s="28" t="s">
        <v>62</v>
      </c>
      <c r="C148" s="53" t="s">
        <v>96</v>
      </c>
      <c r="D148" s="253"/>
      <c r="E148" s="255">
        <f t="shared" ref="E148:F156" si="35">E62</f>
        <v>0</v>
      </c>
      <c r="F148" s="51">
        <f t="shared" si="35"/>
        <v>0</v>
      </c>
      <c r="G148" s="51" t="str">
        <f t="shared" si="25"/>
        <v>0</v>
      </c>
      <c r="H148" s="253"/>
      <c r="I148" s="267">
        <f t="shared" ref="I148:I156" si="36">H148*G148</f>
        <v>0</v>
      </c>
      <c r="J148" s="93"/>
      <c r="K148" s="267">
        <f t="shared" ref="K148:K156" si="37">(I148*D148)*J148</f>
        <v>0</v>
      </c>
      <c r="L148" s="268">
        <f t="shared" si="26"/>
        <v>0</v>
      </c>
      <c r="M148" s="136"/>
      <c r="N148" s="28" t="s">
        <v>62</v>
      </c>
      <c r="O148" s="53" t="s">
        <v>96</v>
      </c>
      <c r="P148" s="253"/>
      <c r="Q148" s="267">
        <f>P148*365</f>
        <v>0</v>
      </c>
      <c r="R148" s="273"/>
      <c r="S148" s="267">
        <f t="shared" si="27"/>
        <v>0</v>
      </c>
      <c r="T148" s="267">
        <f t="shared" ref="T148:T156" si="38">U148+(15%*U148)+(15%*U148)</f>
        <v>0</v>
      </c>
      <c r="U148" s="253"/>
      <c r="V148" s="267" t="str">
        <f t="shared" si="28"/>
        <v>0</v>
      </c>
      <c r="W148" s="267" t="str">
        <f t="shared" si="29"/>
        <v>0</v>
      </c>
      <c r="X148" s="267">
        <f t="shared" si="30"/>
        <v>0</v>
      </c>
      <c r="Y148" s="52">
        <f t="shared" si="31"/>
        <v>0</v>
      </c>
      <c r="Z148" s="52">
        <f t="shared" si="32"/>
        <v>0</v>
      </c>
      <c r="AA148" s="52">
        <f t="shared" si="33"/>
        <v>0</v>
      </c>
      <c r="AB148" s="267">
        <f t="shared" ref="AB148:AB156" si="39">X148-Y148-Z148-AA148</f>
        <v>0</v>
      </c>
      <c r="AC148" s="52">
        <f t="shared" si="34"/>
        <v>0</v>
      </c>
      <c r="AD148" s="52">
        <f t="shared" ref="AD148:AD156" si="40">SUM(Y148:AA148,AC148)</f>
        <v>0</v>
      </c>
      <c r="AE148" s="347">
        <f t="shared" ref="AE148:AE153" si="41">X148-AD148</f>
        <v>0</v>
      </c>
      <c r="AG148" s="28" t="s">
        <v>62</v>
      </c>
      <c r="AH148" s="127">
        <v>0.08</v>
      </c>
      <c r="AI148" s="267">
        <f>SUM(I148)/AH148</f>
        <v>0</v>
      </c>
      <c r="AJ148" s="268">
        <f>K148/AH148</f>
        <v>0</v>
      </c>
      <c r="AK148" s="140"/>
      <c r="AL148" s="139"/>
      <c r="AM148" s="139"/>
      <c r="AN148" s="139"/>
      <c r="AO148" s="139"/>
      <c r="AP148" s="139"/>
      <c r="AQ148" s="139"/>
      <c r="AR148" s="139"/>
      <c r="AS148" s="139"/>
      <c r="AT148" s="139"/>
      <c r="AU148" s="139"/>
    </row>
    <row r="149" spans="1:47" ht="22.5" x14ac:dyDescent="0.2">
      <c r="B149" s="25" t="s">
        <v>63</v>
      </c>
      <c r="C149" s="54" t="s">
        <v>96</v>
      </c>
      <c r="D149" s="253"/>
      <c r="E149" s="83">
        <f t="shared" si="35"/>
        <v>0</v>
      </c>
      <c r="F149" s="263">
        <f t="shared" si="35"/>
        <v>0</v>
      </c>
      <c r="G149" s="263" t="str">
        <f t="shared" si="25"/>
        <v>0</v>
      </c>
      <c r="H149" s="253"/>
      <c r="I149" s="266">
        <f t="shared" si="36"/>
        <v>0</v>
      </c>
      <c r="J149" s="93"/>
      <c r="K149" s="266">
        <f t="shared" si="37"/>
        <v>0</v>
      </c>
      <c r="L149" s="246">
        <f t="shared" si="26"/>
        <v>0</v>
      </c>
      <c r="M149" s="136"/>
      <c r="N149" s="25" t="s">
        <v>63</v>
      </c>
      <c r="O149" s="54" t="s">
        <v>96</v>
      </c>
      <c r="P149" s="253"/>
      <c r="Q149" s="266">
        <f t="shared" ref="Q149:Q156" si="42">P149*365</f>
        <v>0</v>
      </c>
      <c r="R149" s="273"/>
      <c r="S149" s="266">
        <f t="shared" si="27"/>
        <v>0</v>
      </c>
      <c r="T149" s="266">
        <f t="shared" si="38"/>
        <v>0</v>
      </c>
      <c r="U149" s="253"/>
      <c r="V149" s="266" t="str">
        <f t="shared" si="28"/>
        <v>0</v>
      </c>
      <c r="W149" s="266" t="str">
        <f t="shared" si="29"/>
        <v>0</v>
      </c>
      <c r="X149" s="266">
        <f t="shared" si="30"/>
        <v>0</v>
      </c>
      <c r="Y149" s="344">
        <f t="shared" si="31"/>
        <v>0</v>
      </c>
      <c r="Z149" s="344">
        <f t="shared" si="32"/>
        <v>0</v>
      </c>
      <c r="AA149" s="344">
        <f t="shared" si="33"/>
        <v>0</v>
      </c>
      <c r="AB149" s="266">
        <f t="shared" si="39"/>
        <v>0</v>
      </c>
      <c r="AC149" s="344">
        <f t="shared" si="34"/>
        <v>0</v>
      </c>
      <c r="AD149" s="344">
        <f t="shared" si="40"/>
        <v>0</v>
      </c>
      <c r="AE149" s="346">
        <f t="shared" si="41"/>
        <v>0</v>
      </c>
      <c r="AG149" s="25" t="s">
        <v>63</v>
      </c>
      <c r="AH149" s="127">
        <v>0.08</v>
      </c>
      <c r="AI149" s="266">
        <f>SUM(I149)/AH149</f>
        <v>0</v>
      </c>
      <c r="AJ149" s="246">
        <f>K149/AH149</f>
        <v>0</v>
      </c>
      <c r="AK149" s="140"/>
      <c r="AL149" s="139"/>
      <c r="AM149" s="139"/>
      <c r="AN149" s="139"/>
      <c r="AO149" s="139"/>
      <c r="AP149" s="139"/>
      <c r="AQ149" s="139"/>
      <c r="AR149" s="139"/>
      <c r="AS149" s="139"/>
      <c r="AT149" s="139"/>
      <c r="AU149" s="139"/>
    </row>
    <row r="150" spans="1:47" ht="22.5" x14ac:dyDescent="0.2">
      <c r="B150" s="28" t="s">
        <v>64</v>
      </c>
      <c r="C150" s="53" t="s">
        <v>96</v>
      </c>
      <c r="D150" s="253"/>
      <c r="E150" s="255">
        <f t="shared" si="35"/>
        <v>0</v>
      </c>
      <c r="F150" s="51">
        <f t="shared" si="35"/>
        <v>0</v>
      </c>
      <c r="G150" s="51" t="str">
        <f t="shared" si="25"/>
        <v>0</v>
      </c>
      <c r="H150" s="253"/>
      <c r="I150" s="267">
        <f t="shared" si="36"/>
        <v>0</v>
      </c>
      <c r="J150" s="93"/>
      <c r="K150" s="267">
        <f t="shared" si="37"/>
        <v>0</v>
      </c>
      <c r="L150" s="268">
        <f t="shared" si="26"/>
        <v>0</v>
      </c>
      <c r="M150" s="136"/>
      <c r="N150" s="28" t="s">
        <v>64</v>
      </c>
      <c r="O150" s="53" t="s">
        <v>96</v>
      </c>
      <c r="P150" s="253"/>
      <c r="Q150" s="267">
        <f t="shared" si="42"/>
        <v>0</v>
      </c>
      <c r="R150" s="273"/>
      <c r="S150" s="267">
        <f t="shared" si="27"/>
        <v>0</v>
      </c>
      <c r="T150" s="267">
        <f t="shared" si="38"/>
        <v>0</v>
      </c>
      <c r="U150" s="253"/>
      <c r="V150" s="267" t="str">
        <f t="shared" si="28"/>
        <v>0</v>
      </c>
      <c r="W150" s="267" t="str">
        <f t="shared" si="29"/>
        <v>0</v>
      </c>
      <c r="X150" s="267">
        <f t="shared" si="30"/>
        <v>0</v>
      </c>
      <c r="Y150" s="52">
        <f t="shared" si="31"/>
        <v>0</v>
      </c>
      <c r="Z150" s="52">
        <f t="shared" si="32"/>
        <v>0</v>
      </c>
      <c r="AA150" s="52">
        <f t="shared" si="33"/>
        <v>0</v>
      </c>
      <c r="AB150" s="267">
        <f t="shared" si="39"/>
        <v>0</v>
      </c>
      <c r="AC150" s="52">
        <f t="shared" si="34"/>
        <v>0</v>
      </c>
      <c r="AD150" s="52">
        <f t="shared" si="40"/>
        <v>0</v>
      </c>
      <c r="AE150" s="347">
        <f t="shared" si="41"/>
        <v>0</v>
      </c>
      <c r="AG150" s="28" t="s">
        <v>64</v>
      </c>
      <c r="AH150" s="127">
        <v>0.08</v>
      </c>
      <c r="AI150" s="267">
        <f>SUM(I150)/AH150</f>
        <v>0</v>
      </c>
      <c r="AJ150" s="268">
        <f>K150/AH150</f>
        <v>0</v>
      </c>
      <c r="AK150" s="140"/>
      <c r="AL150" s="139"/>
      <c r="AM150" s="139"/>
      <c r="AN150" s="139"/>
      <c r="AO150" s="139"/>
      <c r="AP150" s="139"/>
      <c r="AQ150" s="139"/>
      <c r="AR150" s="139"/>
      <c r="AS150" s="139"/>
      <c r="AT150" s="139"/>
      <c r="AU150" s="139"/>
    </row>
    <row r="151" spans="1:47" ht="22.5" x14ac:dyDescent="0.2">
      <c r="B151" s="25" t="s">
        <v>93</v>
      </c>
      <c r="C151" s="54" t="s">
        <v>96</v>
      </c>
      <c r="D151" s="253"/>
      <c r="E151" s="83">
        <f t="shared" si="35"/>
        <v>0</v>
      </c>
      <c r="F151" s="263">
        <f t="shared" si="35"/>
        <v>0</v>
      </c>
      <c r="G151" s="263" t="str">
        <f t="shared" si="25"/>
        <v>0</v>
      </c>
      <c r="H151" s="253"/>
      <c r="I151" s="266">
        <f t="shared" si="36"/>
        <v>0</v>
      </c>
      <c r="J151" s="93"/>
      <c r="K151" s="266">
        <f t="shared" si="37"/>
        <v>0</v>
      </c>
      <c r="L151" s="246">
        <f t="shared" si="26"/>
        <v>0</v>
      </c>
      <c r="M151" s="136"/>
      <c r="N151" s="25" t="s">
        <v>93</v>
      </c>
      <c r="O151" s="54" t="s">
        <v>96</v>
      </c>
      <c r="P151" s="253"/>
      <c r="Q151" s="266">
        <f t="shared" si="42"/>
        <v>0</v>
      </c>
      <c r="R151" s="273"/>
      <c r="S151" s="266">
        <f t="shared" si="27"/>
        <v>0</v>
      </c>
      <c r="T151" s="266">
        <f t="shared" si="38"/>
        <v>0</v>
      </c>
      <c r="U151" s="253"/>
      <c r="V151" s="266" t="str">
        <f t="shared" si="28"/>
        <v>0</v>
      </c>
      <c r="W151" s="266" t="str">
        <f t="shared" si="29"/>
        <v>0</v>
      </c>
      <c r="X151" s="266">
        <f t="shared" si="30"/>
        <v>0</v>
      </c>
      <c r="Y151" s="344">
        <f t="shared" si="31"/>
        <v>0</v>
      </c>
      <c r="Z151" s="344">
        <f t="shared" si="32"/>
        <v>0</v>
      </c>
      <c r="AA151" s="344">
        <f t="shared" si="33"/>
        <v>0</v>
      </c>
      <c r="AB151" s="266">
        <f t="shared" si="39"/>
        <v>0</v>
      </c>
      <c r="AC151" s="344">
        <f t="shared" si="34"/>
        <v>0</v>
      </c>
      <c r="AD151" s="344">
        <f>SUM(Y151:AA151,AC151)</f>
        <v>0</v>
      </c>
      <c r="AE151" s="346">
        <f>X151-AD151</f>
        <v>0</v>
      </c>
      <c r="AG151" s="25" t="s">
        <v>93</v>
      </c>
      <c r="AH151" s="127">
        <v>7.0000000000000007E-2</v>
      </c>
      <c r="AI151" s="266">
        <f>SUM(W151)/AH151</f>
        <v>0</v>
      </c>
      <c r="AJ151" s="246">
        <f>AE151/AH151</f>
        <v>0</v>
      </c>
      <c r="AK151" s="140"/>
      <c r="AL151" s="139"/>
      <c r="AM151" s="139"/>
      <c r="AN151" s="139"/>
      <c r="AO151" s="139"/>
      <c r="AP151" s="139"/>
      <c r="AQ151" s="139"/>
      <c r="AR151" s="139"/>
      <c r="AS151" s="139"/>
      <c r="AT151" s="139"/>
      <c r="AU151" s="139"/>
    </row>
    <row r="152" spans="1:47" ht="22.5" x14ac:dyDescent="0.2">
      <c r="B152" s="28" t="s">
        <v>333</v>
      </c>
      <c r="C152" s="53" t="s">
        <v>96</v>
      </c>
      <c r="D152" s="253">
        <v>17</v>
      </c>
      <c r="E152" s="255">
        <f t="shared" si="35"/>
        <v>0.9</v>
      </c>
      <c r="F152" s="51">
        <f t="shared" si="35"/>
        <v>9450</v>
      </c>
      <c r="G152" s="51">
        <f t="shared" si="25"/>
        <v>555.88235294117646</v>
      </c>
      <c r="H152" s="253">
        <v>2200</v>
      </c>
      <c r="I152" s="267">
        <f>H152*G152</f>
        <v>1222941.1764705882</v>
      </c>
      <c r="J152" s="93">
        <v>0.8</v>
      </c>
      <c r="K152" s="267">
        <f>(I152*D152)*J152</f>
        <v>16632000</v>
      </c>
      <c r="L152" s="268">
        <f t="shared" si="26"/>
        <v>11642400</v>
      </c>
      <c r="M152" s="136"/>
      <c r="N152" s="28" t="s">
        <v>333</v>
      </c>
      <c r="O152" s="53" t="s">
        <v>96</v>
      </c>
      <c r="P152" s="253"/>
      <c r="Q152" s="267">
        <f t="shared" si="42"/>
        <v>0</v>
      </c>
      <c r="R152" s="273"/>
      <c r="S152" s="267">
        <f t="shared" si="27"/>
        <v>0</v>
      </c>
      <c r="T152" s="267">
        <f t="shared" si="38"/>
        <v>0</v>
      </c>
      <c r="U152" s="253"/>
      <c r="V152" s="267" t="str">
        <f t="shared" si="28"/>
        <v>0</v>
      </c>
      <c r="W152" s="267" t="str">
        <f t="shared" si="29"/>
        <v>0</v>
      </c>
      <c r="X152" s="267">
        <f t="shared" si="30"/>
        <v>0</v>
      </c>
      <c r="Y152" s="52">
        <f t="shared" si="31"/>
        <v>0</v>
      </c>
      <c r="Z152" s="52">
        <f t="shared" si="32"/>
        <v>0</v>
      </c>
      <c r="AA152" s="52">
        <f t="shared" si="33"/>
        <v>0</v>
      </c>
      <c r="AB152" s="267">
        <f t="shared" si="39"/>
        <v>0</v>
      </c>
      <c r="AC152" s="52">
        <f t="shared" si="34"/>
        <v>0</v>
      </c>
      <c r="AD152" s="52">
        <f t="shared" si="40"/>
        <v>0</v>
      </c>
      <c r="AE152" s="347">
        <f>X152-AD152</f>
        <v>0</v>
      </c>
      <c r="AG152" s="28" t="s">
        <v>94</v>
      </c>
      <c r="AH152" s="127">
        <v>0.08</v>
      </c>
      <c r="AI152" s="267">
        <f>I152/AH152</f>
        <v>15286764.705882352</v>
      </c>
      <c r="AJ152" s="268">
        <f>K152/AH152</f>
        <v>207900000</v>
      </c>
      <c r="AK152" s="140"/>
      <c r="AL152" s="139"/>
      <c r="AM152" s="139"/>
      <c r="AN152" s="139"/>
      <c r="AO152" s="139"/>
      <c r="AP152" s="139"/>
      <c r="AQ152" s="139"/>
      <c r="AR152" s="139"/>
      <c r="AS152" s="139"/>
      <c r="AT152" s="139"/>
      <c r="AU152" s="139"/>
    </row>
    <row r="153" spans="1:47" ht="22.5" x14ac:dyDescent="0.2">
      <c r="B153" s="25" t="s">
        <v>65</v>
      </c>
      <c r="C153" s="54" t="s">
        <v>96</v>
      </c>
      <c r="D153" s="253">
        <v>21</v>
      </c>
      <c r="E153" s="83">
        <f t="shared" si="35"/>
        <v>0.95</v>
      </c>
      <c r="F153" s="263">
        <f t="shared" si="35"/>
        <v>3990</v>
      </c>
      <c r="G153" s="263">
        <f t="shared" si="25"/>
        <v>190</v>
      </c>
      <c r="H153" s="253">
        <v>2150</v>
      </c>
      <c r="I153" s="266">
        <f t="shared" si="36"/>
        <v>408500</v>
      </c>
      <c r="J153" s="93">
        <v>0.8</v>
      </c>
      <c r="K153" s="266">
        <f>(I153*D153)*J153</f>
        <v>6862800</v>
      </c>
      <c r="L153" s="246">
        <f t="shared" si="26"/>
        <v>4803960</v>
      </c>
      <c r="M153" s="136"/>
      <c r="N153" s="25" t="s">
        <v>65</v>
      </c>
      <c r="O153" s="54" t="s">
        <v>96</v>
      </c>
      <c r="P153" s="253"/>
      <c r="Q153" s="266">
        <f>P153*365</f>
        <v>0</v>
      </c>
      <c r="R153" s="273"/>
      <c r="S153" s="266">
        <f t="shared" si="27"/>
        <v>0</v>
      </c>
      <c r="T153" s="266">
        <f t="shared" si="38"/>
        <v>0</v>
      </c>
      <c r="U153" s="253"/>
      <c r="V153" s="266" t="str">
        <f t="shared" si="28"/>
        <v>0</v>
      </c>
      <c r="W153" s="266" t="str">
        <f t="shared" si="29"/>
        <v>0</v>
      </c>
      <c r="X153" s="266">
        <f t="shared" si="30"/>
        <v>0</v>
      </c>
      <c r="Y153" s="344">
        <f t="shared" si="31"/>
        <v>0</v>
      </c>
      <c r="Z153" s="344">
        <f t="shared" si="32"/>
        <v>0</v>
      </c>
      <c r="AA153" s="344">
        <f t="shared" si="33"/>
        <v>0</v>
      </c>
      <c r="AB153" s="266">
        <f t="shared" si="39"/>
        <v>0</v>
      </c>
      <c r="AC153" s="344">
        <f t="shared" si="34"/>
        <v>0</v>
      </c>
      <c r="AD153" s="344">
        <f t="shared" si="40"/>
        <v>0</v>
      </c>
      <c r="AE153" s="346">
        <f t="shared" si="41"/>
        <v>0</v>
      </c>
      <c r="AG153" s="25" t="s">
        <v>65</v>
      </c>
      <c r="AH153" s="127">
        <v>0.08</v>
      </c>
      <c r="AI153" s="266">
        <f>I153/AH153</f>
        <v>5106250</v>
      </c>
      <c r="AJ153" s="246">
        <f>K153/AH153</f>
        <v>85785000</v>
      </c>
      <c r="AK153" s="140"/>
      <c r="AL153" s="139"/>
      <c r="AM153" s="139"/>
      <c r="AN153" s="139"/>
      <c r="AO153" s="139"/>
      <c r="AP153" s="139"/>
      <c r="AQ153" s="139"/>
      <c r="AR153" s="139"/>
      <c r="AS153" s="139"/>
      <c r="AT153" s="139"/>
      <c r="AU153" s="139"/>
    </row>
    <row r="154" spans="1:47" ht="22.5" x14ac:dyDescent="0.2">
      <c r="B154" s="28" t="s">
        <v>66</v>
      </c>
      <c r="C154" s="53" t="s">
        <v>96</v>
      </c>
      <c r="D154" s="253"/>
      <c r="E154" s="255">
        <f t="shared" si="35"/>
        <v>0</v>
      </c>
      <c r="F154" s="51">
        <f t="shared" si="35"/>
        <v>0</v>
      </c>
      <c r="G154" s="51" t="str">
        <f t="shared" si="25"/>
        <v>0</v>
      </c>
      <c r="H154" s="253"/>
      <c r="I154" s="267">
        <f>H154*G154</f>
        <v>0</v>
      </c>
      <c r="J154" s="93"/>
      <c r="K154" s="267">
        <f t="shared" si="37"/>
        <v>0</v>
      </c>
      <c r="L154" s="268">
        <f t="shared" si="26"/>
        <v>0</v>
      </c>
      <c r="M154" s="136"/>
      <c r="N154" s="28" t="s">
        <v>66</v>
      </c>
      <c r="O154" s="53" t="s">
        <v>96</v>
      </c>
      <c r="P154" s="253"/>
      <c r="Q154" s="267">
        <f>P154*365</f>
        <v>0</v>
      </c>
      <c r="R154" s="273"/>
      <c r="S154" s="267">
        <f t="shared" si="27"/>
        <v>0</v>
      </c>
      <c r="T154" s="267">
        <f t="shared" si="38"/>
        <v>0</v>
      </c>
      <c r="U154" s="253"/>
      <c r="V154" s="267" t="str">
        <f t="shared" si="28"/>
        <v>0</v>
      </c>
      <c r="W154" s="267" t="str">
        <f t="shared" si="29"/>
        <v>0</v>
      </c>
      <c r="X154" s="267">
        <f t="shared" si="30"/>
        <v>0</v>
      </c>
      <c r="Y154" s="52">
        <f t="shared" si="31"/>
        <v>0</v>
      </c>
      <c r="Z154" s="52">
        <f t="shared" si="32"/>
        <v>0</v>
      </c>
      <c r="AA154" s="52">
        <f t="shared" si="33"/>
        <v>0</v>
      </c>
      <c r="AB154" s="267">
        <f>X154-Y154-Z154-AA154</f>
        <v>0</v>
      </c>
      <c r="AC154" s="52">
        <f t="shared" si="34"/>
        <v>0</v>
      </c>
      <c r="AD154" s="52">
        <f>SUM(Y154:AA154,AC154)</f>
        <v>0</v>
      </c>
      <c r="AE154" s="347">
        <f>X154-AD154</f>
        <v>0</v>
      </c>
      <c r="AG154" s="28" t="s">
        <v>66</v>
      </c>
      <c r="AH154" s="127">
        <v>6.8000000000000005E-2</v>
      </c>
      <c r="AI154" s="267">
        <f>W154/AH154</f>
        <v>0</v>
      </c>
      <c r="AJ154" s="268">
        <f>AE154/AH154</f>
        <v>0</v>
      </c>
      <c r="AK154" s="140"/>
      <c r="AL154" s="139"/>
      <c r="AM154" s="139"/>
      <c r="AN154" s="139"/>
      <c r="AO154" s="139"/>
      <c r="AP154" s="139"/>
      <c r="AQ154" s="139"/>
      <c r="AR154" s="139"/>
      <c r="AS154" s="139"/>
      <c r="AT154" s="139"/>
      <c r="AU154" s="139"/>
    </row>
    <row r="155" spans="1:47" ht="22.5" x14ac:dyDescent="0.2">
      <c r="B155" s="25" t="s">
        <v>67</v>
      </c>
      <c r="C155" s="54" t="s">
        <v>96</v>
      </c>
      <c r="D155" s="253">
        <v>2</v>
      </c>
      <c r="E155" s="83">
        <f t="shared" si="35"/>
        <v>0.85</v>
      </c>
      <c r="F155" s="263">
        <f t="shared" si="35"/>
        <v>1785</v>
      </c>
      <c r="G155" s="263">
        <f t="shared" si="25"/>
        <v>892.5</v>
      </c>
      <c r="H155" s="253">
        <v>2050</v>
      </c>
      <c r="I155" s="266">
        <f t="shared" si="36"/>
        <v>1829625</v>
      </c>
      <c r="J155" s="93">
        <v>1</v>
      </c>
      <c r="K155" s="266">
        <f t="shared" si="37"/>
        <v>3659250</v>
      </c>
      <c r="L155" s="246">
        <f t="shared" si="26"/>
        <v>2561475</v>
      </c>
      <c r="M155" s="136"/>
      <c r="N155" s="25" t="s">
        <v>67</v>
      </c>
      <c r="O155" s="54" t="s">
        <v>96</v>
      </c>
      <c r="P155" s="253"/>
      <c r="Q155" s="266">
        <f t="shared" si="42"/>
        <v>0</v>
      </c>
      <c r="R155" s="273"/>
      <c r="S155" s="266">
        <f t="shared" si="27"/>
        <v>0</v>
      </c>
      <c r="T155" s="266">
        <f t="shared" si="38"/>
        <v>0</v>
      </c>
      <c r="U155" s="253"/>
      <c r="V155" s="266" t="str">
        <f t="shared" si="28"/>
        <v>0</v>
      </c>
      <c r="W155" s="266" t="str">
        <f t="shared" si="29"/>
        <v>0</v>
      </c>
      <c r="X155" s="266">
        <f t="shared" si="30"/>
        <v>0</v>
      </c>
      <c r="Y155" s="344">
        <f t="shared" si="31"/>
        <v>0</v>
      </c>
      <c r="Z155" s="344">
        <f t="shared" si="32"/>
        <v>0</v>
      </c>
      <c r="AA155" s="344">
        <f t="shared" si="33"/>
        <v>0</v>
      </c>
      <c r="AB155" s="266">
        <f t="shared" si="39"/>
        <v>0</v>
      </c>
      <c r="AC155" s="344">
        <f t="shared" si="34"/>
        <v>0</v>
      </c>
      <c r="AD155" s="344">
        <f t="shared" si="40"/>
        <v>0</v>
      </c>
      <c r="AE155" s="346">
        <f>X155-AD155</f>
        <v>0</v>
      </c>
      <c r="AG155" s="25" t="s">
        <v>67</v>
      </c>
      <c r="AH155" s="127">
        <v>0.08</v>
      </c>
      <c r="AI155" s="266">
        <f>I155/AH155</f>
        <v>22870312.5</v>
      </c>
      <c r="AJ155" s="246">
        <f>K155/AH155</f>
        <v>45740625</v>
      </c>
      <c r="AK155" s="140"/>
      <c r="AL155" s="139"/>
      <c r="AM155" s="139"/>
      <c r="AN155" s="139"/>
      <c r="AO155" s="139"/>
      <c r="AP155" s="139"/>
      <c r="AQ155" s="139"/>
      <c r="AR155" s="139"/>
      <c r="AS155" s="139"/>
      <c r="AT155" s="139"/>
      <c r="AU155" s="139"/>
    </row>
    <row r="156" spans="1:47" ht="22.5" x14ac:dyDescent="0.2">
      <c r="B156" s="28" t="s">
        <v>68</v>
      </c>
      <c r="C156" s="53" t="s">
        <v>96</v>
      </c>
      <c r="D156" s="253"/>
      <c r="E156" s="255">
        <f t="shared" si="35"/>
        <v>0</v>
      </c>
      <c r="F156" s="51">
        <f t="shared" si="35"/>
        <v>0</v>
      </c>
      <c r="G156" s="51" t="str">
        <f t="shared" si="25"/>
        <v>0</v>
      </c>
      <c r="H156" s="253"/>
      <c r="I156" s="267">
        <f t="shared" si="36"/>
        <v>0</v>
      </c>
      <c r="J156" s="93"/>
      <c r="K156" s="267">
        <f t="shared" si="37"/>
        <v>0</v>
      </c>
      <c r="L156" s="268">
        <f t="shared" si="26"/>
        <v>0</v>
      </c>
      <c r="M156" s="136"/>
      <c r="N156" s="28" t="s">
        <v>68</v>
      </c>
      <c r="O156" s="53" t="s">
        <v>96</v>
      </c>
      <c r="P156" s="253"/>
      <c r="Q156" s="267">
        <f t="shared" si="42"/>
        <v>0</v>
      </c>
      <c r="R156" s="273"/>
      <c r="S156" s="267">
        <f t="shared" si="27"/>
        <v>0</v>
      </c>
      <c r="T156" s="267">
        <f t="shared" si="38"/>
        <v>0</v>
      </c>
      <c r="U156" s="253"/>
      <c r="V156" s="267" t="str">
        <f t="shared" si="28"/>
        <v>0</v>
      </c>
      <c r="W156" s="267" t="str">
        <f t="shared" si="29"/>
        <v>0</v>
      </c>
      <c r="X156" s="267">
        <f t="shared" si="30"/>
        <v>0</v>
      </c>
      <c r="Y156" s="52">
        <f t="shared" si="31"/>
        <v>0</v>
      </c>
      <c r="Z156" s="52">
        <f t="shared" si="32"/>
        <v>0</v>
      </c>
      <c r="AA156" s="52">
        <f t="shared" si="33"/>
        <v>0</v>
      </c>
      <c r="AB156" s="267">
        <f t="shared" si="39"/>
        <v>0</v>
      </c>
      <c r="AC156" s="52">
        <f t="shared" si="34"/>
        <v>0</v>
      </c>
      <c r="AD156" s="52">
        <f t="shared" si="40"/>
        <v>0</v>
      </c>
      <c r="AE156" s="347">
        <f>X156-AD156</f>
        <v>0</v>
      </c>
      <c r="AG156" s="28" t="s">
        <v>68</v>
      </c>
      <c r="AH156" s="127">
        <v>7.0000000000000007E-2</v>
      </c>
      <c r="AI156" s="267">
        <f>I156/AH156</f>
        <v>0</v>
      </c>
      <c r="AJ156" s="268">
        <f>K156/AH156</f>
        <v>0</v>
      </c>
      <c r="AK156" s="140"/>
      <c r="AL156" s="139"/>
      <c r="AM156" s="139"/>
      <c r="AN156" s="139"/>
      <c r="AO156" s="139"/>
      <c r="AP156" s="139"/>
      <c r="AQ156" s="139"/>
      <c r="AR156" s="139"/>
      <c r="AS156" s="139"/>
      <c r="AT156" s="139"/>
      <c r="AU156" s="139"/>
    </row>
    <row r="157" spans="1:47" ht="23.25" thickBot="1" x14ac:dyDescent="0.25">
      <c r="B157" s="29" t="s">
        <v>126</v>
      </c>
      <c r="C157" s="94" t="s">
        <v>96</v>
      </c>
      <c r="D157" s="31">
        <f>SUM(D147:D156)</f>
        <v>240</v>
      </c>
      <c r="E157" s="95" t="s">
        <v>96</v>
      </c>
      <c r="F157" s="57">
        <f>SUM(F147:F156)</f>
        <v>35385</v>
      </c>
      <c r="G157" s="121">
        <f>AVERAGEIFS(G147:G156, G147:G156, "&lt;&gt;0", G147:G156, "&lt;&gt;#DIV/0!")</f>
        <v>434.79558823529408</v>
      </c>
      <c r="H157" s="120">
        <f>AVERAGEIFS(H147:H156, H147:H156, "&lt;&gt;0", H147:H156, "&lt;&gt;#DIV/0!")</f>
        <v>1925</v>
      </c>
      <c r="I157" s="269">
        <f>SUMIF(I147:I156, "&lt;&gt;#DIV/0!")</f>
        <v>3592106.176470588</v>
      </c>
      <c r="J157" s="124">
        <f>AVERAGEIFS(J147:J156, J147:J156, "&lt;&gt;0", J147:J156, "&lt;&gt;#DIV/0!")</f>
        <v>0.86250000000000004</v>
      </c>
      <c r="K157" s="269">
        <f>SUMIF(K147:K156, "&lt;&gt;#DIV/0!")</f>
        <v>49430850</v>
      </c>
      <c r="L157" s="270">
        <f>SUMIF(L147:L156, "&lt;&gt;#DIV/0!")</f>
        <v>34601595</v>
      </c>
      <c r="M157" s="136"/>
      <c r="N157" s="29" t="s">
        <v>126</v>
      </c>
      <c r="O157" s="94" t="s">
        <v>96</v>
      </c>
      <c r="P157" s="31">
        <f>SUM(P147:P156)</f>
        <v>0</v>
      </c>
      <c r="Q157" s="31">
        <f>SUM(Q147:Q156)</f>
        <v>0</v>
      </c>
      <c r="R157" s="124" t="e">
        <f>AVERAGE(R147:R156)</f>
        <v>#DIV/0!</v>
      </c>
      <c r="S157" s="31">
        <f>SUM(S147:S156)</f>
        <v>0</v>
      </c>
      <c r="T157" s="31" t="s">
        <v>96</v>
      </c>
      <c r="U157" s="31" t="s">
        <v>96</v>
      </c>
      <c r="V157" s="31" t="s">
        <v>96</v>
      </c>
      <c r="W157" s="31" t="s">
        <v>96</v>
      </c>
      <c r="X157" s="31">
        <f t="shared" ref="X157:AE157" si="43">SUM(X147:X156)</f>
        <v>0</v>
      </c>
      <c r="Y157" s="345">
        <f t="shared" si="43"/>
        <v>0</v>
      </c>
      <c r="Z157" s="345">
        <f t="shared" si="43"/>
        <v>0</v>
      </c>
      <c r="AA157" s="345">
        <f t="shared" si="43"/>
        <v>0</v>
      </c>
      <c r="AB157" s="31">
        <f t="shared" si="43"/>
        <v>0</v>
      </c>
      <c r="AC157" s="345">
        <f t="shared" si="43"/>
        <v>0</v>
      </c>
      <c r="AD157" s="345">
        <f t="shared" si="43"/>
        <v>0</v>
      </c>
      <c r="AE157" s="348">
        <f t="shared" si="43"/>
        <v>0</v>
      </c>
      <c r="AG157" s="29" t="s">
        <v>126</v>
      </c>
      <c r="AH157" s="96" t="s">
        <v>96</v>
      </c>
      <c r="AI157" s="31">
        <f>SUMIF(AI147:AI156, "&lt;&gt;#DIV/0!")</f>
        <v>44901327.205882356</v>
      </c>
      <c r="AJ157" s="33">
        <f>SUMIF(AJ147:AJ156, "&lt;&gt;#DIV/0!")</f>
        <v>617885625</v>
      </c>
      <c r="AK157" s="140"/>
      <c r="AL157" s="139"/>
      <c r="AM157" s="139"/>
      <c r="AN157" s="139"/>
      <c r="AO157" s="139"/>
      <c r="AP157" s="139"/>
      <c r="AQ157" s="139"/>
      <c r="AR157" s="139"/>
      <c r="AS157" s="139"/>
      <c r="AT157" s="139"/>
      <c r="AU157" s="139"/>
    </row>
    <row r="158" spans="1:47" ht="18.75" thickBot="1" x14ac:dyDescent="0.25">
      <c r="C158" s="136"/>
      <c r="D158" s="136"/>
      <c r="E158" s="136"/>
      <c r="F158" s="136"/>
      <c r="G158" s="136"/>
      <c r="H158" s="136"/>
      <c r="I158" s="136"/>
      <c r="J158" s="136"/>
      <c r="K158" s="308">
        <v>0.3</v>
      </c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97">
        <v>0.1</v>
      </c>
      <c r="Z158" s="98">
        <v>2.5000000000000001E-2</v>
      </c>
      <c r="AA158" s="98">
        <v>2.5000000000000001E-2</v>
      </c>
      <c r="AB158" s="99">
        <f>SUM(Y158:AA158)</f>
        <v>0.15</v>
      </c>
      <c r="AC158" s="100">
        <v>0.15</v>
      </c>
      <c r="AD158" s="101" t="s">
        <v>186</v>
      </c>
      <c r="AE158" s="136"/>
      <c r="AG158" s="136"/>
      <c r="AH158" s="136"/>
      <c r="AI158" s="136"/>
      <c r="AK158" s="140"/>
      <c r="AL158" s="139"/>
      <c r="AM158" s="139"/>
      <c r="AN158" s="139"/>
      <c r="AO158" s="139"/>
      <c r="AP158" s="139"/>
      <c r="AQ158" s="139"/>
      <c r="AR158" s="139"/>
      <c r="AS158" s="139"/>
      <c r="AT158" s="139"/>
      <c r="AU158" s="139"/>
    </row>
    <row r="159" spans="1:47" ht="12" thickBot="1" x14ac:dyDescent="0.25">
      <c r="C159" s="136"/>
      <c r="D159" s="136"/>
      <c r="E159" s="136"/>
      <c r="F159" s="136"/>
      <c r="G159" s="136"/>
      <c r="H159" s="136"/>
      <c r="I159" s="136"/>
      <c r="J159" s="136"/>
      <c r="K159" s="393">
        <f>K157*K158</f>
        <v>14829255</v>
      </c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350" t="str">
        <f>IFERROR(AD157/X157, "0.00")</f>
        <v>0.00</v>
      </c>
      <c r="AE159" s="136"/>
      <c r="AK159" s="140"/>
      <c r="AL159" s="139"/>
      <c r="AM159" s="139"/>
      <c r="AN159" s="139"/>
      <c r="AO159" s="139"/>
      <c r="AP159" s="139"/>
      <c r="AQ159" s="139"/>
      <c r="AR159" s="139"/>
      <c r="AS159" s="139"/>
      <c r="AT159" s="139"/>
      <c r="AU159" s="139"/>
    </row>
    <row r="160" spans="1:47" x14ac:dyDescent="0.2">
      <c r="A160" s="136"/>
    </row>
    <row r="161" spans="1:30" x14ac:dyDescent="0.2">
      <c r="A161" s="136"/>
    </row>
    <row r="162" spans="1:30" ht="12" thickBot="1" x14ac:dyDescent="0.25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</row>
    <row r="163" spans="1:30" x14ac:dyDescent="0.2">
      <c r="A163" s="136"/>
      <c r="B163" s="552" t="s">
        <v>359</v>
      </c>
      <c r="C163" s="553"/>
      <c r="D163" s="553"/>
      <c r="E163" s="553"/>
      <c r="F163" s="553"/>
      <c r="G163" s="553"/>
      <c r="H163" s="553"/>
      <c r="I163" s="553"/>
      <c r="J163" s="553"/>
      <c r="K163" s="553"/>
      <c r="L163" s="553"/>
      <c r="M163" s="553"/>
      <c r="N163" s="553"/>
      <c r="O163" s="553"/>
      <c r="P163" s="553"/>
      <c r="Q163" s="553"/>
      <c r="R163" s="553"/>
      <c r="S163" s="553"/>
      <c r="T163" s="553"/>
      <c r="U163" s="553"/>
      <c r="V163" s="553"/>
      <c r="W163" s="553"/>
      <c r="X163" s="553"/>
      <c r="Y163" s="553"/>
      <c r="Z163" s="553"/>
      <c r="AA163" s="553"/>
      <c r="AB163" s="553"/>
      <c r="AC163" s="554"/>
      <c r="AD163" s="136"/>
    </row>
    <row r="164" spans="1:30" x14ac:dyDescent="0.2">
      <c r="A164" s="136"/>
      <c r="B164" s="555"/>
      <c r="C164" s="556"/>
      <c r="D164" s="556"/>
      <c r="E164" s="556"/>
      <c r="F164" s="556"/>
      <c r="G164" s="556"/>
      <c r="H164" s="556"/>
      <c r="I164" s="556"/>
      <c r="J164" s="556"/>
      <c r="K164" s="556"/>
      <c r="L164" s="556"/>
      <c r="M164" s="556"/>
      <c r="N164" s="556"/>
      <c r="O164" s="556"/>
      <c r="P164" s="556"/>
      <c r="Q164" s="556"/>
      <c r="R164" s="556"/>
      <c r="S164" s="556"/>
      <c r="T164" s="556"/>
      <c r="U164" s="556"/>
      <c r="V164" s="556"/>
      <c r="W164" s="556"/>
      <c r="X164" s="556"/>
      <c r="Y164" s="556"/>
      <c r="Z164" s="556"/>
      <c r="AA164" s="556"/>
      <c r="AB164" s="556"/>
      <c r="AC164" s="557"/>
      <c r="AD164" s="136"/>
    </row>
    <row r="165" spans="1:30" ht="15" x14ac:dyDescent="0.2">
      <c r="A165" s="136"/>
      <c r="B165" s="467" t="s">
        <v>358</v>
      </c>
      <c r="C165" s="470" t="s">
        <v>187</v>
      </c>
      <c r="D165" s="470"/>
      <c r="E165" s="470"/>
      <c r="F165" s="542" t="s">
        <v>138</v>
      </c>
      <c r="G165" s="542"/>
      <c r="H165" s="542"/>
      <c r="I165" s="542"/>
      <c r="J165" s="542" t="s">
        <v>140</v>
      </c>
      <c r="K165" s="542"/>
      <c r="L165" s="542"/>
      <c r="M165" s="542"/>
      <c r="N165" s="542" t="s">
        <v>142</v>
      </c>
      <c r="O165" s="542"/>
      <c r="P165" s="542"/>
      <c r="Q165" s="542"/>
      <c r="R165" s="542" t="s">
        <v>144</v>
      </c>
      <c r="S165" s="542"/>
      <c r="T165" s="542"/>
      <c r="U165" s="542"/>
      <c r="V165" s="542" t="s">
        <v>146</v>
      </c>
      <c r="W165" s="542"/>
      <c r="X165" s="542"/>
      <c r="Y165" s="542"/>
      <c r="Z165" s="542" t="s">
        <v>148</v>
      </c>
      <c r="AA165" s="542"/>
      <c r="AB165" s="542"/>
      <c r="AC165" s="543"/>
      <c r="AD165" s="136"/>
    </row>
    <row r="166" spans="1:30" ht="15" x14ac:dyDescent="0.2">
      <c r="A166" s="136"/>
      <c r="B166" s="467"/>
      <c r="C166" s="53" t="s">
        <v>96</v>
      </c>
      <c r="D166" s="102" t="s">
        <v>96</v>
      </c>
      <c r="E166" s="267" t="s">
        <v>188</v>
      </c>
      <c r="F166" s="103" t="s">
        <v>189</v>
      </c>
      <c r="G166" s="103" t="s">
        <v>190</v>
      </c>
      <c r="H166" s="103" t="s">
        <v>191</v>
      </c>
      <c r="I166" s="103" t="s">
        <v>192</v>
      </c>
      <c r="J166" s="103" t="s">
        <v>193</v>
      </c>
      <c r="K166" s="103" t="s">
        <v>194</v>
      </c>
      <c r="L166" s="103" t="s">
        <v>195</v>
      </c>
      <c r="M166" s="103" t="s">
        <v>196</v>
      </c>
      <c r="N166" s="103" t="s">
        <v>197</v>
      </c>
      <c r="O166" s="103" t="s">
        <v>198</v>
      </c>
      <c r="P166" s="103" t="s">
        <v>199</v>
      </c>
      <c r="Q166" s="103" t="s">
        <v>200</v>
      </c>
      <c r="R166" s="103" t="s">
        <v>201</v>
      </c>
      <c r="S166" s="103" t="s">
        <v>202</v>
      </c>
      <c r="T166" s="103" t="s">
        <v>203</v>
      </c>
      <c r="U166" s="103" t="s">
        <v>204</v>
      </c>
      <c r="V166" s="103" t="s">
        <v>205</v>
      </c>
      <c r="W166" s="103" t="s">
        <v>206</v>
      </c>
      <c r="X166" s="103" t="s">
        <v>207</v>
      </c>
      <c r="Y166" s="103" t="s">
        <v>208</v>
      </c>
      <c r="Z166" s="103" t="s">
        <v>209</v>
      </c>
      <c r="AA166" s="103" t="s">
        <v>210</v>
      </c>
      <c r="AB166" s="103" t="s">
        <v>211</v>
      </c>
      <c r="AC166" s="104" t="s">
        <v>212</v>
      </c>
      <c r="AD166" s="136"/>
    </row>
    <row r="167" spans="1:30" ht="22.5" x14ac:dyDescent="0.2">
      <c r="A167" s="136"/>
      <c r="B167" s="264" t="s">
        <v>213</v>
      </c>
      <c r="C167" s="53" t="s">
        <v>96</v>
      </c>
      <c r="D167" s="241" t="b">
        <f t="shared" ref="D167:D171" si="44">E167=100%</f>
        <v>1</v>
      </c>
      <c r="E167" s="252">
        <f t="shared" ref="E167:E173" si="45">SUM(F167:AC167)</f>
        <v>1</v>
      </c>
      <c r="F167" s="250">
        <f t="shared" ref="F167:AC167" si="46">F187/$E$187</f>
        <v>3.8565368299267259E-2</v>
      </c>
      <c r="G167" s="250">
        <f t="shared" si="46"/>
        <v>2.8924026224450443E-2</v>
      </c>
      <c r="H167" s="250">
        <f t="shared" si="46"/>
        <v>1.1569610489780177E-2</v>
      </c>
      <c r="I167" s="250">
        <f t="shared" si="46"/>
        <v>0.12533744697261859</v>
      </c>
      <c r="J167" s="250">
        <f t="shared" si="46"/>
        <v>9.255688391824142E-2</v>
      </c>
      <c r="K167" s="250">
        <f t="shared" si="46"/>
        <v>9.101426918627073E-2</v>
      </c>
      <c r="L167" s="250">
        <f t="shared" si="46"/>
        <v>9.255688391824142E-2</v>
      </c>
      <c r="M167" s="250">
        <f t="shared" si="46"/>
        <v>9.409949865021211E-2</v>
      </c>
      <c r="N167" s="250">
        <f t="shared" si="46"/>
        <v>0.11376783648283841</v>
      </c>
      <c r="O167" s="250">
        <f t="shared" si="46"/>
        <v>0.12340917855765522</v>
      </c>
      <c r="P167" s="250">
        <f t="shared" si="46"/>
        <v>0.18819899730042422</v>
      </c>
      <c r="Q167" s="250">
        <f t="shared" si="46"/>
        <v>0</v>
      </c>
      <c r="R167" s="250">
        <f t="shared" si="46"/>
        <v>0</v>
      </c>
      <c r="S167" s="250">
        <f t="shared" si="46"/>
        <v>0</v>
      </c>
      <c r="T167" s="250">
        <f t="shared" si="46"/>
        <v>0</v>
      </c>
      <c r="U167" s="250">
        <f t="shared" si="46"/>
        <v>0</v>
      </c>
      <c r="V167" s="250">
        <f t="shared" si="46"/>
        <v>0</v>
      </c>
      <c r="W167" s="250">
        <f t="shared" si="46"/>
        <v>0</v>
      </c>
      <c r="X167" s="250">
        <f t="shared" si="46"/>
        <v>0</v>
      </c>
      <c r="Y167" s="250">
        <f t="shared" si="46"/>
        <v>0</v>
      </c>
      <c r="Z167" s="250">
        <f t="shared" si="46"/>
        <v>0</v>
      </c>
      <c r="AA167" s="250">
        <f t="shared" si="46"/>
        <v>0</v>
      </c>
      <c r="AB167" s="250">
        <f t="shared" si="46"/>
        <v>0</v>
      </c>
      <c r="AC167" s="251">
        <f t="shared" si="46"/>
        <v>0</v>
      </c>
      <c r="AD167" s="136"/>
    </row>
    <row r="168" spans="1:30" ht="22.5" x14ac:dyDescent="0.2">
      <c r="A168" s="136"/>
      <c r="B168" s="264" t="s">
        <v>214</v>
      </c>
      <c r="C168" s="53" t="s">
        <v>96</v>
      </c>
      <c r="D168" s="241" t="b">
        <f t="shared" si="44"/>
        <v>1</v>
      </c>
      <c r="E168" s="252">
        <f t="shared" si="45"/>
        <v>1</v>
      </c>
      <c r="F168" s="250">
        <f t="shared" ref="F168:AC168" si="47">F189/$E$189</f>
        <v>0</v>
      </c>
      <c r="G168" s="250">
        <f t="shared" si="47"/>
        <v>0</v>
      </c>
      <c r="H168" s="250">
        <f t="shared" si="47"/>
        <v>0</v>
      </c>
      <c r="I168" s="250">
        <f t="shared" si="47"/>
        <v>0</v>
      </c>
      <c r="J168" s="250">
        <f t="shared" si="47"/>
        <v>0</v>
      </c>
      <c r="K168" s="250">
        <f t="shared" si="47"/>
        <v>0</v>
      </c>
      <c r="L168" s="250">
        <f t="shared" si="47"/>
        <v>0</v>
      </c>
      <c r="M168" s="250">
        <f t="shared" si="47"/>
        <v>0</v>
      </c>
      <c r="N168" s="250">
        <f t="shared" si="47"/>
        <v>0</v>
      </c>
      <c r="O168" s="250">
        <f t="shared" si="47"/>
        <v>0</v>
      </c>
      <c r="P168" s="250">
        <f t="shared" si="47"/>
        <v>0</v>
      </c>
      <c r="Q168" s="250">
        <f t="shared" si="47"/>
        <v>0</v>
      </c>
      <c r="R168" s="250">
        <f t="shared" si="47"/>
        <v>0</v>
      </c>
      <c r="S168" s="250">
        <f t="shared" si="47"/>
        <v>0</v>
      </c>
      <c r="T168" s="250">
        <f>T189/$E$189</f>
        <v>0</v>
      </c>
      <c r="U168" s="250">
        <f>U189/$E$189</f>
        <v>1</v>
      </c>
      <c r="V168" s="250">
        <f>V189/$E$189</f>
        <v>0</v>
      </c>
      <c r="W168" s="250">
        <f>W189/$E$189</f>
        <v>0</v>
      </c>
      <c r="X168" s="250">
        <f t="shared" si="47"/>
        <v>0</v>
      </c>
      <c r="Y168" s="250">
        <f t="shared" si="47"/>
        <v>0</v>
      </c>
      <c r="Z168" s="250">
        <f t="shared" si="47"/>
        <v>0</v>
      </c>
      <c r="AA168" s="250">
        <f t="shared" si="47"/>
        <v>0</v>
      </c>
      <c r="AB168" s="250">
        <f t="shared" si="47"/>
        <v>0</v>
      </c>
      <c r="AC168" s="251">
        <f t="shared" si="47"/>
        <v>0</v>
      </c>
      <c r="AD168" s="136"/>
    </row>
    <row r="169" spans="1:30" ht="22.5" x14ac:dyDescent="0.2">
      <c r="A169" s="136"/>
      <c r="B169" s="264" t="s">
        <v>215</v>
      </c>
      <c r="C169" s="53" t="s">
        <v>96</v>
      </c>
      <c r="D169" s="241" t="b">
        <f t="shared" si="44"/>
        <v>1</v>
      </c>
      <c r="E169" s="252">
        <f t="shared" si="45"/>
        <v>0.99999999999999989</v>
      </c>
      <c r="F169" s="250">
        <f t="shared" ref="F169:AC169" si="48">F210/$C$210</f>
        <v>6.6666666666666666E-2</v>
      </c>
      <c r="G169" s="250">
        <f t="shared" si="48"/>
        <v>6.6666666666666666E-2</v>
      </c>
      <c r="H169" s="250">
        <f t="shared" si="48"/>
        <v>6.6666666666666666E-2</v>
      </c>
      <c r="I169" s="250">
        <f t="shared" si="48"/>
        <v>6.6666666666666666E-2</v>
      </c>
      <c r="J169" s="250">
        <f t="shared" si="48"/>
        <v>6.6666666666666666E-2</v>
      </c>
      <c r="K169" s="250">
        <f t="shared" si="48"/>
        <v>6.6666666666666666E-2</v>
      </c>
      <c r="L169" s="250">
        <f t="shared" si="48"/>
        <v>6.6666666666666666E-2</v>
      </c>
      <c r="M169" s="250">
        <f t="shared" si="48"/>
        <v>6.6666666666666666E-2</v>
      </c>
      <c r="N169" s="250">
        <f t="shared" si="48"/>
        <v>6.6666666666666666E-2</v>
      </c>
      <c r="O169" s="250">
        <f t="shared" si="48"/>
        <v>6.6666666666666666E-2</v>
      </c>
      <c r="P169" s="250">
        <f t="shared" si="48"/>
        <v>6.6666666666666666E-2</v>
      </c>
      <c r="Q169" s="250">
        <f t="shared" si="48"/>
        <v>6.6666666666666666E-2</v>
      </c>
      <c r="R169" s="250">
        <f t="shared" si="48"/>
        <v>6.6666666666666666E-2</v>
      </c>
      <c r="S169" s="250">
        <f t="shared" si="48"/>
        <v>6.6666666666666666E-2</v>
      </c>
      <c r="T169" s="250">
        <f t="shared" si="48"/>
        <v>6.6666666666666666E-2</v>
      </c>
      <c r="U169" s="250">
        <f t="shared" si="48"/>
        <v>0</v>
      </c>
      <c r="V169" s="250">
        <f t="shared" si="48"/>
        <v>0</v>
      </c>
      <c r="W169" s="250">
        <f t="shared" si="48"/>
        <v>0</v>
      </c>
      <c r="X169" s="250">
        <f t="shared" si="48"/>
        <v>0</v>
      </c>
      <c r="Y169" s="250">
        <f t="shared" si="48"/>
        <v>0</v>
      </c>
      <c r="Z169" s="250">
        <f t="shared" si="48"/>
        <v>0</v>
      </c>
      <c r="AA169" s="250">
        <f t="shared" si="48"/>
        <v>0</v>
      </c>
      <c r="AB169" s="250">
        <f t="shared" si="48"/>
        <v>0</v>
      </c>
      <c r="AC169" s="251">
        <f t="shared" si="48"/>
        <v>0</v>
      </c>
      <c r="AD169" s="136"/>
    </row>
    <row r="170" spans="1:30" ht="22.5" x14ac:dyDescent="0.2">
      <c r="A170" s="136"/>
      <c r="B170" s="264" t="s">
        <v>275</v>
      </c>
      <c r="C170" s="53" t="s">
        <v>96</v>
      </c>
      <c r="D170" s="241" t="b">
        <f>E170=100%</f>
        <v>1</v>
      </c>
      <c r="E170" s="252">
        <f t="shared" si="45"/>
        <v>1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0.2</v>
      </c>
      <c r="R170" s="105">
        <v>0.2</v>
      </c>
      <c r="S170" s="105">
        <v>0.3</v>
      </c>
      <c r="T170" s="105">
        <v>0.3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Z170" s="105">
        <v>0</v>
      </c>
      <c r="AA170" s="105">
        <v>0</v>
      </c>
      <c r="AB170" s="105">
        <v>0</v>
      </c>
      <c r="AC170" s="106">
        <v>0</v>
      </c>
      <c r="AD170" s="136"/>
    </row>
    <row r="171" spans="1:30" ht="22.5" x14ac:dyDescent="0.2">
      <c r="A171" s="136"/>
      <c r="B171" s="264" t="s">
        <v>276</v>
      </c>
      <c r="C171" s="53" t="s">
        <v>96</v>
      </c>
      <c r="D171" s="241" t="b">
        <f t="shared" si="44"/>
        <v>0</v>
      </c>
      <c r="E171" s="252">
        <f t="shared" si="45"/>
        <v>0</v>
      </c>
      <c r="F171" s="105">
        <v>0</v>
      </c>
      <c r="G171" s="105">
        <v>0</v>
      </c>
      <c r="H171" s="105">
        <v>0</v>
      </c>
      <c r="I171" s="105">
        <v>0</v>
      </c>
      <c r="J171" s="105">
        <v>0</v>
      </c>
      <c r="K171" s="105">
        <v>0</v>
      </c>
      <c r="L171" s="105">
        <v>0</v>
      </c>
      <c r="M171" s="105">
        <v>0</v>
      </c>
      <c r="N171" s="105">
        <v>0</v>
      </c>
      <c r="O171" s="105">
        <v>0</v>
      </c>
      <c r="P171" s="105">
        <v>0</v>
      </c>
      <c r="Q171" s="105">
        <v>0</v>
      </c>
      <c r="R171" s="105">
        <v>0</v>
      </c>
      <c r="S171" s="105">
        <v>0</v>
      </c>
      <c r="T171" s="105">
        <v>0</v>
      </c>
      <c r="U171" s="105">
        <v>0</v>
      </c>
      <c r="V171" s="105">
        <v>0</v>
      </c>
      <c r="W171" s="105">
        <v>0</v>
      </c>
      <c r="X171" s="105">
        <v>0</v>
      </c>
      <c r="Y171" s="105">
        <v>0</v>
      </c>
      <c r="Z171" s="105">
        <v>0</v>
      </c>
      <c r="AA171" s="105">
        <v>0</v>
      </c>
      <c r="AB171" s="105">
        <v>0</v>
      </c>
      <c r="AC171" s="106">
        <v>0</v>
      </c>
      <c r="AD171" s="136"/>
    </row>
    <row r="172" spans="1:30" ht="22.5" x14ac:dyDescent="0.2">
      <c r="A172" s="136"/>
      <c r="B172" s="264" t="s">
        <v>216</v>
      </c>
      <c r="C172" s="53" t="s">
        <v>96</v>
      </c>
      <c r="D172" s="241" t="b">
        <f>E172=100%</f>
        <v>0</v>
      </c>
      <c r="E172" s="252">
        <f t="shared" si="45"/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Z172" s="105">
        <v>0</v>
      </c>
      <c r="AA172" s="105">
        <v>0</v>
      </c>
      <c r="AB172" s="105">
        <v>0</v>
      </c>
      <c r="AC172" s="106">
        <v>0</v>
      </c>
      <c r="AD172" s="136"/>
    </row>
    <row r="173" spans="1:30" ht="22.5" x14ac:dyDescent="0.2">
      <c r="A173" s="136"/>
      <c r="B173" s="264" t="s">
        <v>217</v>
      </c>
      <c r="C173" s="53" t="s">
        <v>96</v>
      </c>
      <c r="D173" s="241" t="b">
        <f>E173=100%</f>
        <v>1</v>
      </c>
      <c r="E173" s="252">
        <f t="shared" si="45"/>
        <v>1</v>
      </c>
      <c r="F173" s="105">
        <v>0</v>
      </c>
      <c r="G173" s="105">
        <v>0</v>
      </c>
      <c r="H173" s="105">
        <v>0</v>
      </c>
      <c r="I173" s="105">
        <v>0</v>
      </c>
      <c r="J173" s="105">
        <v>0</v>
      </c>
      <c r="K173" s="105">
        <v>0</v>
      </c>
      <c r="L173" s="105">
        <v>0</v>
      </c>
      <c r="M173" s="105">
        <v>0</v>
      </c>
      <c r="N173" s="105">
        <v>0</v>
      </c>
      <c r="O173" s="105">
        <v>0</v>
      </c>
      <c r="P173" s="105">
        <v>0</v>
      </c>
      <c r="Q173" s="105">
        <v>0</v>
      </c>
      <c r="R173" s="105">
        <v>0</v>
      </c>
      <c r="S173" s="105">
        <v>0</v>
      </c>
      <c r="T173" s="105">
        <v>0</v>
      </c>
      <c r="U173" s="105">
        <v>1</v>
      </c>
      <c r="V173" s="105">
        <v>0</v>
      </c>
      <c r="W173" s="105">
        <v>0</v>
      </c>
      <c r="X173" s="105">
        <v>0</v>
      </c>
      <c r="Y173" s="105">
        <v>0</v>
      </c>
      <c r="Z173" s="105">
        <v>0</v>
      </c>
      <c r="AA173" s="105">
        <v>0</v>
      </c>
      <c r="AB173" s="105">
        <v>0</v>
      </c>
      <c r="AC173" s="106">
        <v>0</v>
      </c>
      <c r="AD173" s="136"/>
    </row>
    <row r="174" spans="1:30" ht="23.25" thickBot="1" x14ac:dyDescent="0.25">
      <c r="A174" s="136"/>
      <c r="B174" s="107" t="s">
        <v>218</v>
      </c>
      <c r="C174" s="108" t="s">
        <v>96</v>
      </c>
      <c r="D174" s="242" t="b">
        <f>E174=100%</f>
        <v>1</v>
      </c>
      <c r="E174" s="109">
        <f>SUM(F174:AC174)</f>
        <v>1</v>
      </c>
      <c r="F174" s="110">
        <v>0</v>
      </c>
      <c r="G174" s="110">
        <v>0</v>
      </c>
      <c r="H174" s="110">
        <v>0</v>
      </c>
      <c r="I174" s="110">
        <v>0.15</v>
      </c>
      <c r="J174" s="110">
        <v>0.1</v>
      </c>
      <c r="K174" s="110">
        <v>0.1</v>
      </c>
      <c r="L174" s="110">
        <v>0.1</v>
      </c>
      <c r="M174" s="110">
        <v>0.1</v>
      </c>
      <c r="N174" s="110">
        <v>0.12</v>
      </c>
      <c r="O174" s="110">
        <v>0.13</v>
      </c>
      <c r="P174" s="110">
        <v>0.2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Z174" s="110">
        <v>0</v>
      </c>
      <c r="AA174" s="110">
        <v>0</v>
      </c>
      <c r="AB174" s="110">
        <v>0</v>
      </c>
      <c r="AC174" s="111">
        <v>0</v>
      </c>
      <c r="AD174" s="136"/>
    </row>
    <row r="175" spans="1:30" ht="12" thickBot="1" x14ac:dyDescent="0.25">
      <c r="A175" s="136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  <c r="AA175" s="139"/>
      <c r="AB175" s="139"/>
      <c r="AC175" s="139"/>
      <c r="AD175" s="136"/>
    </row>
    <row r="176" spans="1:30" x14ac:dyDescent="0.2">
      <c r="A176" s="136"/>
      <c r="B176" s="520" t="s">
        <v>219</v>
      </c>
      <c r="C176" s="521"/>
      <c r="D176" s="521"/>
      <c r="E176" s="112" t="s">
        <v>220</v>
      </c>
      <c r="F176" s="113">
        <v>46191</v>
      </c>
      <c r="G176" s="113">
        <f>EOMONTH(F176,3)</f>
        <v>46295</v>
      </c>
      <c r="H176" s="113">
        <f t="shared" ref="H176:AC176" si="49">EOMONTH(G176,3)</f>
        <v>46387</v>
      </c>
      <c r="I176" s="113">
        <f t="shared" si="49"/>
        <v>46477</v>
      </c>
      <c r="J176" s="113">
        <f t="shared" si="49"/>
        <v>46568</v>
      </c>
      <c r="K176" s="113">
        <f t="shared" si="49"/>
        <v>46660</v>
      </c>
      <c r="L176" s="113">
        <f t="shared" si="49"/>
        <v>46752</v>
      </c>
      <c r="M176" s="113">
        <f t="shared" si="49"/>
        <v>46843</v>
      </c>
      <c r="N176" s="113">
        <f t="shared" si="49"/>
        <v>46934</v>
      </c>
      <c r="O176" s="113">
        <f t="shared" si="49"/>
        <v>47026</v>
      </c>
      <c r="P176" s="113">
        <f t="shared" si="49"/>
        <v>47118</v>
      </c>
      <c r="Q176" s="113">
        <f t="shared" si="49"/>
        <v>47208</v>
      </c>
      <c r="R176" s="113">
        <f t="shared" si="49"/>
        <v>47299</v>
      </c>
      <c r="S176" s="113">
        <f t="shared" si="49"/>
        <v>47391</v>
      </c>
      <c r="T176" s="113">
        <f t="shared" si="49"/>
        <v>47483</v>
      </c>
      <c r="U176" s="113">
        <f t="shared" si="49"/>
        <v>47573</v>
      </c>
      <c r="V176" s="113">
        <f t="shared" si="49"/>
        <v>47664</v>
      </c>
      <c r="W176" s="113">
        <f t="shared" si="49"/>
        <v>47756</v>
      </c>
      <c r="X176" s="113">
        <f t="shared" si="49"/>
        <v>47848</v>
      </c>
      <c r="Y176" s="113">
        <f t="shared" si="49"/>
        <v>47938</v>
      </c>
      <c r="Z176" s="113">
        <f t="shared" si="49"/>
        <v>48029</v>
      </c>
      <c r="AA176" s="113">
        <f t="shared" si="49"/>
        <v>48121</v>
      </c>
      <c r="AB176" s="113">
        <f t="shared" si="49"/>
        <v>48213</v>
      </c>
      <c r="AC176" s="114">
        <f t="shared" si="49"/>
        <v>48304</v>
      </c>
      <c r="AD176" s="136"/>
    </row>
    <row r="177" spans="1:30" x14ac:dyDescent="0.2">
      <c r="A177" s="136"/>
      <c r="B177" s="522" t="s">
        <v>278</v>
      </c>
      <c r="C177" s="523"/>
      <c r="D177" s="523"/>
      <c r="E177" s="523"/>
      <c r="F177" s="267">
        <f>F187</f>
        <v>10000000</v>
      </c>
      <c r="G177" s="267">
        <f t="shared" ref="G177:AC177" si="50">F177+G187+G189</f>
        <v>17500000</v>
      </c>
      <c r="H177" s="267">
        <f t="shared" si="50"/>
        <v>20500000</v>
      </c>
      <c r="I177" s="267">
        <f t="shared" si="50"/>
        <v>53000000</v>
      </c>
      <c r="J177" s="267">
        <f t="shared" si="50"/>
        <v>77000000</v>
      </c>
      <c r="K177" s="267">
        <f t="shared" si="50"/>
        <v>100600000</v>
      </c>
      <c r="L177" s="267">
        <f t="shared" si="50"/>
        <v>124600000</v>
      </c>
      <c r="M177" s="267">
        <f t="shared" si="50"/>
        <v>149000000</v>
      </c>
      <c r="N177" s="267">
        <f t="shared" si="50"/>
        <v>178500000</v>
      </c>
      <c r="O177" s="267">
        <f t="shared" si="50"/>
        <v>210500000</v>
      </c>
      <c r="P177" s="267">
        <f t="shared" si="50"/>
        <v>259300000</v>
      </c>
      <c r="Q177" s="267">
        <f t="shared" si="50"/>
        <v>259300000</v>
      </c>
      <c r="R177" s="267">
        <f t="shared" si="50"/>
        <v>259300000</v>
      </c>
      <c r="S177" s="267">
        <f t="shared" si="50"/>
        <v>259300000</v>
      </c>
      <c r="T177" s="267">
        <f t="shared" si="50"/>
        <v>259300000</v>
      </c>
      <c r="U177" s="267">
        <f t="shared" si="50"/>
        <v>0</v>
      </c>
      <c r="V177" s="267">
        <f t="shared" si="50"/>
        <v>0</v>
      </c>
      <c r="W177" s="267">
        <f t="shared" si="50"/>
        <v>0</v>
      </c>
      <c r="X177" s="267">
        <f t="shared" si="50"/>
        <v>0</v>
      </c>
      <c r="Y177" s="267">
        <f t="shared" si="50"/>
        <v>0</v>
      </c>
      <c r="Z177" s="267">
        <f t="shared" si="50"/>
        <v>0</v>
      </c>
      <c r="AA177" s="267">
        <f t="shared" si="50"/>
        <v>0</v>
      </c>
      <c r="AB177" s="267">
        <f t="shared" si="50"/>
        <v>0</v>
      </c>
      <c r="AC177" s="268">
        <f t="shared" si="50"/>
        <v>0</v>
      </c>
      <c r="AD177" s="136"/>
    </row>
    <row r="178" spans="1:30" ht="22.5" x14ac:dyDescent="0.2">
      <c r="A178" s="136"/>
      <c r="B178" s="264" t="s">
        <v>24</v>
      </c>
      <c r="C178" s="267" t="s">
        <v>221</v>
      </c>
      <c r="D178" s="102" t="s">
        <v>96</v>
      </c>
      <c r="E178" s="267" t="s">
        <v>350</v>
      </c>
      <c r="F178" s="103" t="s">
        <v>189</v>
      </c>
      <c r="G178" s="103" t="s">
        <v>190</v>
      </c>
      <c r="H178" s="103" t="s">
        <v>191</v>
      </c>
      <c r="I178" s="103" t="s">
        <v>192</v>
      </c>
      <c r="J178" s="103" t="s">
        <v>193</v>
      </c>
      <c r="K178" s="103" t="s">
        <v>194</v>
      </c>
      <c r="L178" s="103" t="s">
        <v>195</v>
      </c>
      <c r="M178" s="103" t="s">
        <v>196</v>
      </c>
      <c r="N178" s="103" t="s">
        <v>197</v>
      </c>
      <c r="O178" s="103" t="s">
        <v>198</v>
      </c>
      <c r="P178" s="103" t="s">
        <v>199</v>
      </c>
      <c r="Q178" s="103" t="s">
        <v>200</v>
      </c>
      <c r="R178" s="103" t="s">
        <v>201</v>
      </c>
      <c r="S178" s="103" t="s">
        <v>202</v>
      </c>
      <c r="T178" s="103" t="s">
        <v>203</v>
      </c>
      <c r="U178" s="103" t="s">
        <v>204</v>
      </c>
      <c r="V178" s="103" t="s">
        <v>205</v>
      </c>
      <c r="W178" s="103" t="s">
        <v>206</v>
      </c>
      <c r="X178" s="103" t="s">
        <v>207</v>
      </c>
      <c r="Y178" s="103" t="s">
        <v>208</v>
      </c>
      <c r="Z178" s="103" t="s">
        <v>209</v>
      </c>
      <c r="AA178" s="103" t="s">
        <v>210</v>
      </c>
      <c r="AB178" s="103" t="s">
        <v>211</v>
      </c>
      <c r="AC178" s="104" t="s">
        <v>212</v>
      </c>
      <c r="AD178" s="136"/>
    </row>
    <row r="179" spans="1:30" ht="22.5" x14ac:dyDescent="0.2">
      <c r="A179" s="136"/>
      <c r="B179" s="115" t="s">
        <v>30</v>
      </c>
      <c r="C179" s="329">
        <f>G19</f>
        <v>0</v>
      </c>
      <c r="D179" s="241" t="b">
        <f t="shared" ref="D179:D186" si="51">C179=E179</f>
        <v>1</v>
      </c>
      <c r="E179" s="329">
        <f>SUM(F179:AC179)</f>
        <v>0</v>
      </c>
      <c r="F179" s="266">
        <f>C179</f>
        <v>0</v>
      </c>
      <c r="G179" s="266">
        <v>0</v>
      </c>
      <c r="H179" s="266">
        <v>0</v>
      </c>
      <c r="I179" s="266">
        <v>0</v>
      </c>
      <c r="J179" s="266">
        <v>0</v>
      </c>
      <c r="K179" s="266">
        <v>0</v>
      </c>
      <c r="L179" s="266">
        <v>0</v>
      </c>
      <c r="M179" s="266">
        <v>0</v>
      </c>
      <c r="N179" s="266">
        <v>0</v>
      </c>
      <c r="O179" s="266">
        <v>0</v>
      </c>
      <c r="P179" s="266">
        <v>0</v>
      </c>
      <c r="Q179" s="266">
        <v>0</v>
      </c>
      <c r="R179" s="266">
        <v>0</v>
      </c>
      <c r="S179" s="266">
        <v>0</v>
      </c>
      <c r="T179" s="266">
        <v>0</v>
      </c>
      <c r="U179" s="266">
        <v>0</v>
      </c>
      <c r="V179" s="266">
        <v>0</v>
      </c>
      <c r="W179" s="266">
        <v>0</v>
      </c>
      <c r="X179" s="266">
        <v>0</v>
      </c>
      <c r="Y179" s="266">
        <v>0</v>
      </c>
      <c r="Z179" s="266">
        <v>0</v>
      </c>
      <c r="AA179" s="266">
        <v>0</v>
      </c>
      <c r="AB179" s="266">
        <v>0</v>
      </c>
      <c r="AC179" s="246">
        <v>0</v>
      </c>
      <c r="AD179" s="136"/>
    </row>
    <row r="180" spans="1:30" ht="22.5" x14ac:dyDescent="0.2">
      <c r="A180" s="136"/>
      <c r="B180" s="115" t="s">
        <v>34</v>
      </c>
      <c r="C180" s="329">
        <f>G21</f>
        <v>0</v>
      </c>
      <c r="D180" s="241" t="b">
        <f t="shared" si="51"/>
        <v>1</v>
      </c>
      <c r="E180" s="329">
        <f t="shared" ref="E180:E185" si="52">SUM(F180:AC180)</f>
        <v>0</v>
      </c>
      <c r="F180" s="266">
        <f>C180</f>
        <v>0</v>
      </c>
      <c r="G180" s="321">
        <v>0</v>
      </c>
      <c r="H180" s="321">
        <v>0</v>
      </c>
      <c r="I180" s="321">
        <v>0</v>
      </c>
      <c r="J180" s="321">
        <v>0</v>
      </c>
      <c r="K180" s="321">
        <v>0</v>
      </c>
      <c r="L180" s="321">
        <v>0</v>
      </c>
      <c r="M180" s="321">
        <v>0</v>
      </c>
      <c r="N180" s="321">
        <v>0</v>
      </c>
      <c r="O180" s="321">
        <v>0</v>
      </c>
      <c r="P180" s="321">
        <v>0</v>
      </c>
      <c r="Q180" s="321">
        <v>0</v>
      </c>
      <c r="R180" s="321">
        <v>0</v>
      </c>
      <c r="S180" s="321">
        <v>0</v>
      </c>
      <c r="T180" s="321">
        <v>0</v>
      </c>
      <c r="U180" s="321">
        <v>0</v>
      </c>
      <c r="V180" s="321">
        <v>0</v>
      </c>
      <c r="W180" s="321">
        <v>0</v>
      </c>
      <c r="X180" s="321">
        <v>0</v>
      </c>
      <c r="Y180" s="321">
        <v>0</v>
      </c>
      <c r="Z180" s="321">
        <v>0</v>
      </c>
      <c r="AA180" s="321">
        <v>0</v>
      </c>
      <c r="AB180" s="321">
        <v>0</v>
      </c>
      <c r="AC180" s="322">
        <v>0</v>
      </c>
      <c r="AD180" s="136"/>
    </row>
    <row r="181" spans="1:30" ht="22.5" x14ac:dyDescent="0.2">
      <c r="A181" s="136"/>
      <c r="B181" s="115" t="s">
        <v>36</v>
      </c>
      <c r="C181" s="329">
        <f>G22</f>
        <v>0</v>
      </c>
      <c r="D181" s="241" t="b">
        <f>C181=E181</f>
        <v>1</v>
      </c>
      <c r="E181" s="329">
        <f>SUM(F181:AC181)</f>
        <v>0</v>
      </c>
      <c r="F181" s="266">
        <f t="shared" ref="F181:AB181" si="53">(-$D$103*F194)+(-$E$103*F194)</f>
        <v>0</v>
      </c>
      <c r="G181" s="266">
        <f t="shared" si="53"/>
        <v>0</v>
      </c>
      <c r="H181" s="266">
        <f t="shared" si="53"/>
        <v>0</v>
      </c>
      <c r="I181" s="266"/>
      <c r="J181" s="266"/>
      <c r="K181" s="266"/>
      <c r="L181" s="266"/>
      <c r="M181" s="266"/>
      <c r="N181" s="266"/>
      <c r="O181" s="266"/>
      <c r="P181" s="266"/>
      <c r="Q181" s="266">
        <f t="shared" si="53"/>
        <v>0</v>
      </c>
      <c r="R181" s="266">
        <f t="shared" si="53"/>
        <v>0</v>
      </c>
      <c r="S181" s="266">
        <f t="shared" si="53"/>
        <v>0</v>
      </c>
      <c r="T181" s="266">
        <f t="shared" si="53"/>
        <v>0</v>
      </c>
      <c r="U181" s="266">
        <f t="shared" si="53"/>
        <v>0</v>
      </c>
      <c r="V181" s="266">
        <f t="shared" si="53"/>
        <v>0</v>
      </c>
      <c r="W181" s="266">
        <f t="shared" si="53"/>
        <v>0</v>
      </c>
      <c r="X181" s="266">
        <f t="shared" si="53"/>
        <v>0</v>
      </c>
      <c r="Y181" s="266">
        <f t="shared" si="53"/>
        <v>0</v>
      </c>
      <c r="Z181" s="266">
        <f t="shared" si="53"/>
        <v>0</v>
      </c>
      <c r="AA181" s="266">
        <f t="shared" si="53"/>
        <v>0</v>
      </c>
      <c r="AB181" s="266">
        <f t="shared" si="53"/>
        <v>0</v>
      </c>
      <c r="AC181" s="322">
        <f>-$D$103*AC194</f>
        <v>0</v>
      </c>
      <c r="AD181" s="136"/>
    </row>
    <row r="182" spans="1:30" ht="22.5" x14ac:dyDescent="0.2">
      <c r="A182" s="136"/>
      <c r="B182" s="115" t="s">
        <v>39</v>
      </c>
      <c r="C182" s="329">
        <f>G23</f>
        <v>220500000</v>
      </c>
      <c r="D182" s="241" t="b">
        <f>C182=E182</f>
        <v>1</v>
      </c>
      <c r="E182" s="329">
        <f>SUM(F182:AC182)</f>
        <v>220500000</v>
      </c>
      <c r="F182" s="266">
        <f>C182</f>
        <v>220500000</v>
      </c>
      <c r="G182" s="321">
        <v>0</v>
      </c>
      <c r="H182" s="321">
        <v>0</v>
      </c>
      <c r="I182" s="321">
        <v>0</v>
      </c>
      <c r="J182" s="321">
        <v>0</v>
      </c>
      <c r="K182" s="321">
        <v>0</v>
      </c>
      <c r="L182" s="321">
        <v>0</v>
      </c>
      <c r="M182" s="321">
        <v>0</v>
      </c>
      <c r="N182" s="321">
        <v>0</v>
      </c>
      <c r="O182" s="321">
        <v>0</v>
      </c>
      <c r="P182" s="321">
        <v>0</v>
      </c>
      <c r="Q182" s="321">
        <v>0</v>
      </c>
      <c r="R182" s="321">
        <v>0</v>
      </c>
      <c r="S182" s="321">
        <v>0</v>
      </c>
      <c r="T182" s="321">
        <v>0</v>
      </c>
      <c r="U182" s="321">
        <v>0</v>
      </c>
      <c r="V182" s="321">
        <v>0</v>
      </c>
      <c r="W182" s="321">
        <v>0</v>
      </c>
      <c r="X182" s="321">
        <v>0</v>
      </c>
      <c r="Y182" s="321">
        <v>0</v>
      </c>
      <c r="Z182" s="321">
        <v>0</v>
      </c>
      <c r="AA182" s="321">
        <v>0</v>
      </c>
      <c r="AB182" s="321">
        <v>0</v>
      </c>
      <c r="AC182" s="322">
        <v>0</v>
      </c>
      <c r="AD182" s="136"/>
    </row>
    <row r="183" spans="1:30" ht="22.5" x14ac:dyDescent="0.2">
      <c r="A183" s="136"/>
      <c r="B183" s="264" t="s">
        <v>174</v>
      </c>
      <c r="C183" s="329">
        <f>K157</f>
        <v>49430850</v>
      </c>
      <c r="D183" s="241" t="b">
        <f t="shared" si="51"/>
        <v>1</v>
      </c>
      <c r="E183" s="329">
        <f t="shared" si="52"/>
        <v>49430850</v>
      </c>
      <c r="F183" s="323">
        <f t="shared" ref="F183:AC183" si="54">$C$183*F170</f>
        <v>0</v>
      </c>
      <c r="G183" s="323">
        <f t="shared" si="54"/>
        <v>0</v>
      </c>
      <c r="H183" s="323">
        <f t="shared" si="54"/>
        <v>0</v>
      </c>
      <c r="I183" s="323">
        <f t="shared" si="54"/>
        <v>0</v>
      </c>
      <c r="J183" s="323">
        <f t="shared" si="54"/>
        <v>0</v>
      </c>
      <c r="K183" s="323">
        <f t="shared" si="54"/>
        <v>0</v>
      </c>
      <c r="L183" s="323">
        <f t="shared" si="54"/>
        <v>0</v>
      </c>
      <c r="M183" s="323">
        <f t="shared" si="54"/>
        <v>0</v>
      </c>
      <c r="N183" s="323">
        <f t="shared" si="54"/>
        <v>0</v>
      </c>
      <c r="O183" s="323">
        <f t="shared" si="54"/>
        <v>0</v>
      </c>
      <c r="P183" s="323">
        <f t="shared" si="54"/>
        <v>0</v>
      </c>
      <c r="Q183" s="323">
        <f t="shared" si="54"/>
        <v>9886170</v>
      </c>
      <c r="R183" s="323">
        <f t="shared" si="54"/>
        <v>9886170</v>
      </c>
      <c r="S183" s="323">
        <f t="shared" si="54"/>
        <v>14829255</v>
      </c>
      <c r="T183" s="323">
        <f t="shared" si="54"/>
        <v>14829255</v>
      </c>
      <c r="U183" s="323">
        <f t="shared" si="54"/>
        <v>0</v>
      </c>
      <c r="V183" s="323">
        <f t="shared" si="54"/>
        <v>0</v>
      </c>
      <c r="W183" s="323">
        <f t="shared" si="54"/>
        <v>0</v>
      </c>
      <c r="X183" s="323">
        <f t="shared" si="54"/>
        <v>0</v>
      </c>
      <c r="Y183" s="323">
        <f t="shared" si="54"/>
        <v>0</v>
      </c>
      <c r="Z183" s="323">
        <f t="shared" si="54"/>
        <v>0</v>
      </c>
      <c r="AA183" s="323">
        <f t="shared" si="54"/>
        <v>0</v>
      </c>
      <c r="AB183" s="323">
        <f t="shared" si="54"/>
        <v>0</v>
      </c>
      <c r="AC183" s="324">
        <f t="shared" si="54"/>
        <v>0</v>
      </c>
      <c r="AD183" s="136"/>
    </row>
    <row r="184" spans="1:30" ht="22.5" x14ac:dyDescent="0.2">
      <c r="A184" s="136"/>
      <c r="B184" s="264" t="s">
        <v>222</v>
      </c>
      <c r="C184" s="329">
        <f>X157</f>
        <v>0</v>
      </c>
      <c r="D184" s="241" t="b">
        <f t="shared" si="51"/>
        <v>1</v>
      </c>
      <c r="E184" s="329">
        <f>SUM(F184:AC184)</f>
        <v>0</v>
      </c>
      <c r="F184" s="267">
        <f t="shared" ref="F184:AC184" si="55">F171*$C$184</f>
        <v>0</v>
      </c>
      <c r="G184" s="267">
        <f t="shared" si="55"/>
        <v>0</v>
      </c>
      <c r="H184" s="267">
        <f t="shared" si="55"/>
        <v>0</v>
      </c>
      <c r="I184" s="267">
        <f t="shared" si="55"/>
        <v>0</v>
      </c>
      <c r="J184" s="267">
        <f t="shared" si="55"/>
        <v>0</v>
      </c>
      <c r="K184" s="267">
        <f t="shared" si="55"/>
        <v>0</v>
      </c>
      <c r="L184" s="267">
        <f t="shared" si="55"/>
        <v>0</v>
      </c>
      <c r="M184" s="267">
        <f t="shared" si="55"/>
        <v>0</v>
      </c>
      <c r="N184" s="267">
        <f t="shared" si="55"/>
        <v>0</v>
      </c>
      <c r="O184" s="267">
        <f t="shared" si="55"/>
        <v>0</v>
      </c>
      <c r="P184" s="267">
        <f t="shared" si="55"/>
        <v>0</v>
      </c>
      <c r="Q184" s="267">
        <f t="shared" si="55"/>
        <v>0</v>
      </c>
      <c r="R184" s="267">
        <f t="shared" si="55"/>
        <v>0</v>
      </c>
      <c r="S184" s="267">
        <f t="shared" si="55"/>
        <v>0</v>
      </c>
      <c r="T184" s="267">
        <f t="shared" si="55"/>
        <v>0</v>
      </c>
      <c r="U184" s="267">
        <f t="shared" si="55"/>
        <v>0</v>
      </c>
      <c r="V184" s="267">
        <f t="shared" si="55"/>
        <v>0</v>
      </c>
      <c r="W184" s="267">
        <f t="shared" si="55"/>
        <v>0</v>
      </c>
      <c r="X184" s="267">
        <f t="shared" si="55"/>
        <v>0</v>
      </c>
      <c r="Y184" s="267">
        <f t="shared" si="55"/>
        <v>0</v>
      </c>
      <c r="Z184" s="267">
        <f t="shared" si="55"/>
        <v>0</v>
      </c>
      <c r="AA184" s="267">
        <f t="shared" si="55"/>
        <v>0</v>
      </c>
      <c r="AB184" s="267">
        <f t="shared" si="55"/>
        <v>0</v>
      </c>
      <c r="AC184" s="268">
        <f t="shared" si="55"/>
        <v>0</v>
      </c>
      <c r="AD184" s="136"/>
    </row>
    <row r="185" spans="1:30" ht="22.5" x14ac:dyDescent="0.2">
      <c r="A185" s="136"/>
      <c r="B185" s="264" t="s">
        <v>216</v>
      </c>
      <c r="C185" s="329">
        <f>J139</f>
        <v>0</v>
      </c>
      <c r="D185" s="241" t="b">
        <f t="shared" si="51"/>
        <v>1</v>
      </c>
      <c r="E185" s="329">
        <f t="shared" si="52"/>
        <v>0</v>
      </c>
      <c r="F185" s="267">
        <f t="shared" ref="F185:AC185" si="56">F172*$C$185</f>
        <v>0</v>
      </c>
      <c r="G185" s="267">
        <f t="shared" si="56"/>
        <v>0</v>
      </c>
      <c r="H185" s="267">
        <f t="shared" si="56"/>
        <v>0</v>
      </c>
      <c r="I185" s="267">
        <f t="shared" si="56"/>
        <v>0</v>
      </c>
      <c r="J185" s="267">
        <f t="shared" si="56"/>
        <v>0</v>
      </c>
      <c r="K185" s="267">
        <f t="shared" si="56"/>
        <v>0</v>
      </c>
      <c r="L185" s="267">
        <f t="shared" si="56"/>
        <v>0</v>
      </c>
      <c r="M185" s="267">
        <f t="shared" si="56"/>
        <v>0</v>
      </c>
      <c r="N185" s="267">
        <f t="shared" si="56"/>
        <v>0</v>
      </c>
      <c r="O185" s="267">
        <f t="shared" si="56"/>
        <v>0</v>
      </c>
      <c r="P185" s="267">
        <f t="shared" si="56"/>
        <v>0</v>
      </c>
      <c r="Q185" s="267">
        <f t="shared" si="56"/>
        <v>0</v>
      </c>
      <c r="R185" s="267">
        <f t="shared" si="56"/>
        <v>0</v>
      </c>
      <c r="S185" s="267">
        <f t="shared" si="56"/>
        <v>0</v>
      </c>
      <c r="T185" s="267">
        <f t="shared" si="56"/>
        <v>0</v>
      </c>
      <c r="U185" s="267">
        <f t="shared" si="56"/>
        <v>0</v>
      </c>
      <c r="V185" s="267">
        <f t="shared" si="56"/>
        <v>0</v>
      </c>
      <c r="W185" s="267">
        <f t="shared" si="56"/>
        <v>0</v>
      </c>
      <c r="X185" s="267">
        <f t="shared" si="56"/>
        <v>0</v>
      </c>
      <c r="Y185" s="267">
        <f t="shared" si="56"/>
        <v>0</v>
      </c>
      <c r="Z185" s="267">
        <f t="shared" si="56"/>
        <v>0</v>
      </c>
      <c r="AA185" s="267">
        <f t="shared" si="56"/>
        <v>0</v>
      </c>
      <c r="AB185" s="267">
        <f t="shared" si="56"/>
        <v>0</v>
      </c>
      <c r="AC185" s="268">
        <f t="shared" si="56"/>
        <v>0</v>
      </c>
      <c r="AD185" s="136"/>
    </row>
    <row r="186" spans="1:30" ht="22.5" x14ac:dyDescent="0.2">
      <c r="A186" s="136"/>
      <c r="B186" s="264" t="s">
        <v>223</v>
      </c>
      <c r="C186" s="329">
        <f>AJ157</f>
        <v>617885625</v>
      </c>
      <c r="D186" s="241" t="b">
        <f t="shared" si="51"/>
        <v>1</v>
      </c>
      <c r="E186" s="329">
        <f>SUM(F186:AC186)</f>
        <v>617885625</v>
      </c>
      <c r="F186" s="323">
        <f t="shared" ref="F186:AC186" si="57">F173*$C$186</f>
        <v>0</v>
      </c>
      <c r="G186" s="323">
        <f t="shared" si="57"/>
        <v>0</v>
      </c>
      <c r="H186" s="323">
        <f t="shared" si="57"/>
        <v>0</v>
      </c>
      <c r="I186" s="323">
        <f t="shared" si="57"/>
        <v>0</v>
      </c>
      <c r="J186" s="323">
        <f t="shared" si="57"/>
        <v>0</v>
      </c>
      <c r="K186" s="323">
        <f t="shared" si="57"/>
        <v>0</v>
      </c>
      <c r="L186" s="323">
        <f t="shared" si="57"/>
        <v>0</v>
      </c>
      <c r="M186" s="323">
        <f t="shared" si="57"/>
        <v>0</v>
      </c>
      <c r="N186" s="323">
        <f t="shared" si="57"/>
        <v>0</v>
      </c>
      <c r="O186" s="323">
        <f t="shared" si="57"/>
        <v>0</v>
      </c>
      <c r="P186" s="323">
        <f t="shared" si="57"/>
        <v>0</v>
      </c>
      <c r="Q186" s="323">
        <f t="shared" si="57"/>
        <v>0</v>
      </c>
      <c r="R186" s="323">
        <f t="shared" si="57"/>
        <v>0</v>
      </c>
      <c r="S186" s="323">
        <f t="shared" si="57"/>
        <v>0</v>
      </c>
      <c r="T186" s="323">
        <f t="shared" si="57"/>
        <v>0</v>
      </c>
      <c r="U186" s="323">
        <f t="shared" si="57"/>
        <v>617885625</v>
      </c>
      <c r="V186" s="323">
        <f t="shared" si="57"/>
        <v>0</v>
      </c>
      <c r="W186" s="323">
        <f t="shared" si="57"/>
        <v>0</v>
      </c>
      <c r="X186" s="323">
        <f t="shared" si="57"/>
        <v>0</v>
      </c>
      <c r="Y186" s="323">
        <f t="shared" si="57"/>
        <v>0</v>
      </c>
      <c r="Z186" s="323">
        <f t="shared" si="57"/>
        <v>0</v>
      </c>
      <c r="AA186" s="323">
        <f t="shared" si="57"/>
        <v>0</v>
      </c>
      <c r="AB186" s="323">
        <f t="shared" si="57"/>
        <v>0</v>
      </c>
      <c r="AC186" s="324">
        <f t="shared" si="57"/>
        <v>0</v>
      </c>
      <c r="AD186" s="136"/>
    </row>
    <row r="187" spans="1:30" ht="22.5" x14ac:dyDescent="0.2">
      <c r="A187" s="136"/>
      <c r="B187" s="264" t="s">
        <v>277</v>
      </c>
      <c r="C187" s="329">
        <f>E187</f>
        <v>259300000</v>
      </c>
      <c r="D187" s="241" t="b">
        <f>C187=E187</f>
        <v>1</v>
      </c>
      <c r="E187" s="329">
        <f>SUM(F187:AC187)</f>
        <v>259300000</v>
      </c>
      <c r="F187" s="253">
        <v>10000000</v>
      </c>
      <c r="G187" s="253">
        <v>7500000</v>
      </c>
      <c r="H187" s="253">
        <v>3000000</v>
      </c>
      <c r="I187" s="253">
        <v>32500000</v>
      </c>
      <c r="J187" s="253">
        <v>24000000</v>
      </c>
      <c r="K187" s="253">
        <v>23600000</v>
      </c>
      <c r="L187" s="253">
        <v>24000000</v>
      </c>
      <c r="M187" s="253">
        <v>24400000</v>
      </c>
      <c r="N187" s="253">
        <v>29500000</v>
      </c>
      <c r="O187" s="253">
        <v>32000000</v>
      </c>
      <c r="P187" s="253">
        <v>48800000</v>
      </c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  <c r="AA187" s="253"/>
      <c r="AB187" s="253"/>
      <c r="AC187" s="254"/>
      <c r="AD187" s="136"/>
    </row>
    <row r="188" spans="1:30" x14ac:dyDescent="0.2">
      <c r="A188" s="136"/>
      <c r="B188" s="334" t="s">
        <v>224</v>
      </c>
      <c r="C188" s="335"/>
      <c r="D188" s="266"/>
      <c r="E188" s="364" t="e">
        <f>#REF!</f>
        <v>#REF!</v>
      </c>
      <c r="F188" s="335"/>
      <c r="G188" s="335"/>
      <c r="H188" s="335"/>
      <c r="I188" s="335"/>
      <c r="J188" s="335"/>
      <c r="K188" s="335"/>
      <c r="L188" s="335"/>
      <c r="M188" s="335"/>
      <c r="N188" s="335"/>
      <c r="O188" s="335"/>
      <c r="P188" s="335"/>
      <c r="Q188" s="335"/>
      <c r="R188" s="335"/>
      <c r="S188" s="335"/>
      <c r="T188" s="335"/>
      <c r="U188" s="335"/>
      <c r="V188" s="335"/>
      <c r="W188" s="335"/>
      <c r="X188" s="335"/>
      <c r="Y188" s="335"/>
      <c r="Z188" s="335"/>
      <c r="AA188" s="335"/>
      <c r="AB188" s="335"/>
      <c r="AC188" s="336"/>
      <c r="AD188" s="136"/>
    </row>
    <row r="189" spans="1:30" ht="22.5" x14ac:dyDescent="0.2">
      <c r="A189" s="136"/>
      <c r="B189" s="264" t="s">
        <v>214</v>
      </c>
      <c r="C189" s="337">
        <f>-E187</f>
        <v>-259300000</v>
      </c>
      <c r="D189" s="241">
        <f>C189-E189</f>
        <v>0</v>
      </c>
      <c r="E189" s="329">
        <f>SUM(F189:AC189)</f>
        <v>-259300000</v>
      </c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>
        <f>C189</f>
        <v>-259300000</v>
      </c>
      <c r="V189" s="117"/>
      <c r="W189" s="117"/>
      <c r="X189" s="117"/>
      <c r="Y189" s="117"/>
      <c r="Z189" s="117"/>
      <c r="AA189" s="117"/>
      <c r="AB189" s="117"/>
      <c r="AC189" s="338"/>
      <c r="AD189" s="136"/>
    </row>
    <row r="190" spans="1:30" ht="22.5" x14ac:dyDescent="0.2">
      <c r="A190" s="152"/>
      <c r="B190" s="264" t="s">
        <v>37</v>
      </c>
      <c r="C190" s="93">
        <v>7.2999999999999995E-2</v>
      </c>
      <c r="D190" s="241" t="b">
        <f>E190+E191=AC260</f>
        <v>1</v>
      </c>
      <c r="E190" s="329">
        <f>SUM(F190:AC190)</f>
        <v>-40838025</v>
      </c>
      <c r="F190" s="321">
        <f t="shared" ref="F190:AC190" si="58">-(F177*$C$190)/4</f>
        <v>-182500</v>
      </c>
      <c r="G190" s="321">
        <f t="shared" si="58"/>
        <v>-319375</v>
      </c>
      <c r="H190" s="321">
        <f t="shared" si="58"/>
        <v>-374125</v>
      </c>
      <c r="I190" s="321">
        <f t="shared" si="58"/>
        <v>-967249.99999999988</v>
      </c>
      <c r="J190" s="321">
        <f t="shared" si="58"/>
        <v>-1405250</v>
      </c>
      <c r="K190" s="321">
        <f t="shared" si="58"/>
        <v>-1835950</v>
      </c>
      <c r="L190" s="321">
        <f t="shared" si="58"/>
        <v>-2273950</v>
      </c>
      <c r="M190" s="321">
        <f t="shared" si="58"/>
        <v>-2719250</v>
      </c>
      <c r="N190" s="321">
        <f t="shared" si="58"/>
        <v>-3257625</v>
      </c>
      <c r="O190" s="321">
        <f t="shared" si="58"/>
        <v>-3841624.9999999995</v>
      </c>
      <c r="P190" s="321">
        <f t="shared" si="58"/>
        <v>-4732225</v>
      </c>
      <c r="Q190" s="321">
        <f t="shared" si="58"/>
        <v>-4732225</v>
      </c>
      <c r="R190" s="321">
        <f t="shared" si="58"/>
        <v>-4732225</v>
      </c>
      <c r="S190" s="321">
        <f t="shared" si="58"/>
        <v>-4732225</v>
      </c>
      <c r="T190" s="321">
        <f t="shared" si="58"/>
        <v>-4732225</v>
      </c>
      <c r="U190" s="321">
        <f>-(U177*$C$190)/4</f>
        <v>0</v>
      </c>
      <c r="V190" s="321">
        <f t="shared" si="58"/>
        <v>0</v>
      </c>
      <c r="W190" s="321">
        <f t="shared" si="58"/>
        <v>0</v>
      </c>
      <c r="X190" s="321">
        <f t="shared" si="58"/>
        <v>0</v>
      </c>
      <c r="Y190" s="321">
        <f t="shared" si="58"/>
        <v>0</v>
      </c>
      <c r="Z190" s="321">
        <f t="shared" si="58"/>
        <v>0</v>
      </c>
      <c r="AA190" s="321">
        <f t="shared" si="58"/>
        <v>0</v>
      </c>
      <c r="AB190" s="321">
        <f t="shared" si="58"/>
        <v>0</v>
      </c>
      <c r="AC190" s="322">
        <f t="shared" si="58"/>
        <v>0</v>
      </c>
      <c r="AD190" s="136"/>
    </row>
    <row r="191" spans="1:30" ht="22.5" x14ac:dyDescent="0.2">
      <c r="A191" s="136"/>
      <c r="B191" s="264" t="s">
        <v>225</v>
      </c>
      <c r="C191" s="93">
        <v>5.0000000000000001E-3</v>
      </c>
      <c r="D191" s="241" t="b">
        <f>F191=E191</f>
        <v>1</v>
      </c>
      <c r="E191" s="329">
        <f t="shared" ref="E191:E193" si="59">SUM(F191:AC191)</f>
        <v>-1296500</v>
      </c>
      <c r="F191" s="323">
        <f>-C191*E187</f>
        <v>-1296500</v>
      </c>
      <c r="G191" s="323">
        <v>0</v>
      </c>
      <c r="H191" s="323">
        <v>0</v>
      </c>
      <c r="I191" s="323">
        <v>0</v>
      </c>
      <c r="J191" s="323">
        <v>0</v>
      </c>
      <c r="K191" s="323">
        <v>0</v>
      </c>
      <c r="L191" s="323">
        <v>0</v>
      </c>
      <c r="M191" s="323">
        <v>0</v>
      </c>
      <c r="N191" s="323">
        <v>0</v>
      </c>
      <c r="O191" s="323">
        <v>0</v>
      </c>
      <c r="P191" s="323">
        <v>0</v>
      </c>
      <c r="Q191" s="323">
        <v>0</v>
      </c>
      <c r="R191" s="323">
        <v>0</v>
      </c>
      <c r="S191" s="323">
        <v>0</v>
      </c>
      <c r="T191" s="323">
        <v>0</v>
      </c>
      <c r="U191" s="323">
        <v>0</v>
      </c>
      <c r="V191" s="323">
        <v>0</v>
      </c>
      <c r="W191" s="323">
        <v>0</v>
      </c>
      <c r="X191" s="323">
        <v>0</v>
      </c>
      <c r="Y191" s="323">
        <v>0</v>
      </c>
      <c r="Z191" s="323">
        <v>0</v>
      </c>
      <c r="AA191" s="323">
        <v>0</v>
      </c>
      <c r="AB191" s="323">
        <v>0</v>
      </c>
      <c r="AC191" s="324">
        <v>0</v>
      </c>
      <c r="AD191" s="136"/>
    </row>
    <row r="192" spans="1:30" ht="22.5" x14ac:dyDescent="0.2">
      <c r="A192" s="136"/>
      <c r="B192" s="264" t="s">
        <v>226</v>
      </c>
      <c r="C192" s="329">
        <f>-E49</f>
        <v>-220500000</v>
      </c>
      <c r="D192" s="241" t="b">
        <f t="shared" ref="D192:D212" si="60">C192=E192</f>
        <v>1</v>
      </c>
      <c r="E192" s="329">
        <f t="shared" si="59"/>
        <v>-220500000</v>
      </c>
      <c r="F192" s="321">
        <f>-E49</f>
        <v>-220500000</v>
      </c>
      <c r="G192" s="321">
        <v>0</v>
      </c>
      <c r="H192" s="321">
        <v>0</v>
      </c>
      <c r="I192" s="321">
        <v>0</v>
      </c>
      <c r="J192" s="321">
        <v>0</v>
      </c>
      <c r="K192" s="321">
        <v>0</v>
      </c>
      <c r="L192" s="321">
        <v>0</v>
      </c>
      <c r="M192" s="321">
        <v>0</v>
      </c>
      <c r="N192" s="321">
        <v>0</v>
      </c>
      <c r="O192" s="321">
        <v>0</v>
      </c>
      <c r="P192" s="321">
        <v>0</v>
      </c>
      <c r="Q192" s="321">
        <v>0</v>
      </c>
      <c r="R192" s="321">
        <v>0</v>
      </c>
      <c r="S192" s="321">
        <v>0</v>
      </c>
      <c r="T192" s="321">
        <v>0</v>
      </c>
      <c r="U192" s="321">
        <v>0</v>
      </c>
      <c r="V192" s="321">
        <v>0</v>
      </c>
      <c r="W192" s="321">
        <v>0</v>
      </c>
      <c r="X192" s="321">
        <v>0</v>
      </c>
      <c r="Y192" s="321">
        <v>0</v>
      </c>
      <c r="Z192" s="321">
        <v>0</v>
      </c>
      <c r="AA192" s="321">
        <v>0</v>
      </c>
      <c r="AB192" s="321">
        <v>0</v>
      </c>
      <c r="AC192" s="322">
        <v>0</v>
      </c>
      <c r="AD192" s="136"/>
    </row>
    <row r="193" spans="1:30" ht="27.75" thickBot="1" x14ac:dyDescent="0.25">
      <c r="A193" s="136"/>
      <c r="B193" s="292" t="s">
        <v>347</v>
      </c>
      <c r="C193" s="293">
        <f>-SUM(F49:H49)</f>
        <v>-2756250</v>
      </c>
      <c r="D193" s="294" t="b">
        <f t="shared" si="60"/>
        <v>1</v>
      </c>
      <c r="E193" s="293">
        <f t="shared" si="59"/>
        <v>-2756250</v>
      </c>
      <c r="F193" s="325">
        <f>-SUM(F49:H49)</f>
        <v>-2756250</v>
      </c>
      <c r="G193" s="325">
        <v>0</v>
      </c>
      <c r="H193" s="325">
        <v>0</v>
      </c>
      <c r="I193" s="325">
        <v>0</v>
      </c>
      <c r="J193" s="325">
        <v>0</v>
      </c>
      <c r="K193" s="325">
        <v>0</v>
      </c>
      <c r="L193" s="325">
        <v>0</v>
      </c>
      <c r="M193" s="325">
        <v>0</v>
      </c>
      <c r="N193" s="325">
        <v>0</v>
      </c>
      <c r="O193" s="325">
        <v>0</v>
      </c>
      <c r="P193" s="325">
        <v>0</v>
      </c>
      <c r="Q193" s="325">
        <v>0</v>
      </c>
      <c r="R193" s="325">
        <v>0</v>
      </c>
      <c r="S193" s="325">
        <v>0</v>
      </c>
      <c r="T193" s="325">
        <v>0</v>
      </c>
      <c r="U193" s="325">
        <v>0</v>
      </c>
      <c r="V193" s="325">
        <v>0</v>
      </c>
      <c r="W193" s="325">
        <v>0</v>
      </c>
      <c r="X193" s="325">
        <v>0</v>
      </c>
      <c r="Y193" s="325">
        <v>0</v>
      </c>
      <c r="Z193" s="325">
        <v>0</v>
      </c>
      <c r="AA193" s="325">
        <v>0</v>
      </c>
      <c r="AB193" s="325">
        <v>0</v>
      </c>
      <c r="AC193" s="327">
        <v>0</v>
      </c>
      <c r="AD193" s="136"/>
    </row>
    <row r="194" spans="1:30" ht="23.25" thickBot="1" x14ac:dyDescent="0.25">
      <c r="A194" s="136"/>
      <c r="B194" s="298" t="s">
        <v>227</v>
      </c>
      <c r="C194" s="309">
        <f>-J76</f>
        <v>-181440000</v>
      </c>
      <c r="D194" s="299" t="b">
        <f t="shared" si="60"/>
        <v>1</v>
      </c>
      <c r="E194" s="319">
        <f>SUM(F194:AC194)</f>
        <v>-181440000</v>
      </c>
      <c r="F194" s="316">
        <f t="shared" ref="F194:AC194" si="61">F174*$C$194</f>
        <v>0</v>
      </c>
      <c r="G194" s="316">
        <f t="shared" si="61"/>
        <v>0</v>
      </c>
      <c r="H194" s="316">
        <f t="shared" si="61"/>
        <v>0</v>
      </c>
      <c r="I194" s="316">
        <f t="shared" si="61"/>
        <v>-27216000</v>
      </c>
      <c r="J194" s="316">
        <f t="shared" si="61"/>
        <v>-18144000</v>
      </c>
      <c r="K194" s="316">
        <f t="shared" si="61"/>
        <v>-18144000</v>
      </c>
      <c r="L194" s="316">
        <f t="shared" si="61"/>
        <v>-18144000</v>
      </c>
      <c r="M194" s="316">
        <f t="shared" si="61"/>
        <v>-18144000</v>
      </c>
      <c r="N194" s="316">
        <f t="shared" si="61"/>
        <v>-21772800</v>
      </c>
      <c r="O194" s="316">
        <f t="shared" si="61"/>
        <v>-23587200</v>
      </c>
      <c r="P194" s="316">
        <f t="shared" si="61"/>
        <v>-36288000</v>
      </c>
      <c r="Q194" s="316">
        <f t="shared" si="61"/>
        <v>0</v>
      </c>
      <c r="R194" s="316">
        <f t="shared" si="61"/>
        <v>0</v>
      </c>
      <c r="S194" s="316">
        <f t="shared" si="61"/>
        <v>0</v>
      </c>
      <c r="T194" s="316">
        <f t="shared" si="61"/>
        <v>0</v>
      </c>
      <c r="U194" s="316">
        <f t="shared" si="61"/>
        <v>0</v>
      </c>
      <c r="V194" s="316">
        <f t="shared" si="61"/>
        <v>0</v>
      </c>
      <c r="W194" s="316">
        <f t="shared" si="61"/>
        <v>0</v>
      </c>
      <c r="X194" s="316">
        <f t="shared" si="61"/>
        <v>0</v>
      </c>
      <c r="Y194" s="316">
        <f t="shared" si="61"/>
        <v>0</v>
      </c>
      <c r="Z194" s="316">
        <f t="shared" si="61"/>
        <v>0</v>
      </c>
      <c r="AA194" s="316">
        <f t="shared" si="61"/>
        <v>0</v>
      </c>
      <c r="AB194" s="316">
        <f t="shared" si="61"/>
        <v>0</v>
      </c>
      <c r="AC194" s="317">
        <f t="shared" si="61"/>
        <v>0</v>
      </c>
      <c r="AD194" s="136"/>
    </row>
    <row r="195" spans="1:30" ht="22.5" x14ac:dyDescent="0.2">
      <c r="A195" s="136"/>
      <c r="B195" s="295" t="s">
        <v>228</v>
      </c>
      <c r="C195" s="296">
        <f t="shared" ref="C195:C207" si="62">-C86</f>
        <v>-525000</v>
      </c>
      <c r="D195" s="297" t="b">
        <f t="shared" si="60"/>
        <v>1</v>
      </c>
      <c r="E195" s="296">
        <f>SUM(F195:AC195)</f>
        <v>-525000</v>
      </c>
      <c r="F195" s="326">
        <f>C195</f>
        <v>-525000</v>
      </c>
      <c r="G195" s="326">
        <v>0</v>
      </c>
      <c r="H195" s="326">
        <v>0</v>
      </c>
      <c r="I195" s="326">
        <v>0</v>
      </c>
      <c r="J195" s="326">
        <v>0</v>
      </c>
      <c r="K195" s="326">
        <v>0</v>
      </c>
      <c r="L195" s="326">
        <v>0</v>
      </c>
      <c r="M195" s="326">
        <v>0</v>
      </c>
      <c r="N195" s="326">
        <v>0</v>
      </c>
      <c r="O195" s="326">
        <v>0</v>
      </c>
      <c r="P195" s="326">
        <v>0</v>
      </c>
      <c r="Q195" s="326">
        <v>0</v>
      </c>
      <c r="R195" s="326">
        <v>0</v>
      </c>
      <c r="S195" s="326">
        <v>0</v>
      </c>
      <c r="T195" s="326">
        <v>0</v>
      </c>
      <c r="U195" s="326">
        <v>0</v>
      </c>
      <c r="V195" s="326">
        <v>0</v>
      </c>
      <c r="W195" s="326">
        <v>0</v>
      </c>
      <c r="X195" s="326">
        <v>0</v>
      </c>
      <c r="Y195" s="326">
        <v>0</v>
      </c>
      <c r="Z195" s="326">
        <v>0</v>
      </c>
      <c r="AA195" s="326">
        <v>0</v>
      </c>
      <c r="AB195" s="326">
        <v>0</v>
      </c>
      <c r="AC195" s="328">
        <v>0</v>
      </c>
      <c r="AD195" s="136"/>
    </row>
    <row r="196" spans="1:30" ht="22.5" x14ac:dyDescent="0.2">
      <c r="A196" s="136"/>
      <c r="B196" s="43" t="s">
        <v>109</v>
      </c>
      <c r="C196" s="329">
        <f t="shared" si="62"/>
        <v>-3024000</v>
      </c>
      <c r="D196" s="241" t="b">
        <f t="shared" si="60"/>
        <v>1</v>
      </c>
      <c r="E196" s="329">
        <f>SUM(F196:AC196)</f>
        <v>-3024000</v>
      </c>
      <c r="F196" s="321">
        <f>$C$196/2</f>
        <v>-1512000</v>
      </c>
      <c r="G196" s="321">
        <f>$C$196/2</f>
        <v>-1512000</v>
      </c>
      <c r="H196" s="321">
        <v>0</v>
      </c>
      <c r="I196" s="321">
        <v>0</v>
      </c>
      <c r="J196" s="321">
        <v>0</v>
      </c>
      <c r="K196" s="321">
        <v>0</v>
      </c>
      <c r="L196" s="321">
        <v>0</v>
      </c>
      <c r="M196" s="321">
        <v>0</v>
      </c>
      <c r="N196" s="321">
        <v>0</v>
      </c>
      <c r="O196" s="321">
        <v>0</v>
      </c>
      <c r="P196" s="321">
        <v>0</v>
      </c>
      <c r="Q196" s="321">
        <v>0</v>
      </c>
      <c r="R196" s="321">
        <v>0</v>
      </c>
      <c r="S196" s="321">
        <v>0</v>
      </c>
      <c r="T196" s="321">
        <v>0</v>
      </c>
      <c r="U196" s="321">
        <v>0</v>
      </c>
      <c r="V196" s="321">
        <v>0</v>
      </c>
      <c r="W196" s="321">
        <v>0</v>
      </c>
      <c r="X196" s="321">
        <v>0</v>
      </c>
      <c r="Y196" s="321">
        <v>0</v>
      </c>
      <c r="Z196" s="321">
        <v>0</v>
      </c>
      <c r="AA196" s="321">
        <v>0</v>
      </c>
      <c r="AB196" s="321">
        <v>0</v>
      </c>
      <c r="AC196" s="322">
        <v>0</v>
      </c>
      <c r="AD196" s="136"/>
    </row>
    <row r="197" spans="1:30" ht="22.5" x14ac:dyDescent="0.2">
      <c r="A197" s="136"/>
      <c r="B197" s="43" t="s">
        <v>110</v>
      </c>
      <c r="C197" s="329">
        <f t="shared" si="62"/>
        <v>-3084480</v>
      </c>
      <c r="D197" s="241" t="b">
        <f t="shared" si="60"/>
        <v>1</v>
      </c>
      <c r="E197" s="329">
        <f>SUM(F197:AC197)</f>
        <v>-3084480</v>
      </c>
      <c r="F197" s="323">
        <f>IF(F198&lt;0,$C$197,0)</f>
        <v>0</v>
      </c>
      <c r="G197" s="323">
        <f>IF(G198&lt;0,$C$197,0)</f>
        <v>-3084480</v>
      </c>
      <c r="H197" s="323">
        <f>IF(H198&lt;0,$C$197,0)</f>
        <v>0</v>
      </c>
      <c r="I197" s="323">
        <f>IF(I198&lt;0,$C$197,0)</f>
        <v>0</v>
      </c>
      <c r="J197" s="323">
        <f t="shared" ref="J197:AC197" si="63">IF(J198&lt;0,$C$197,0)</f>
        <v>0</v>
      </c>
      <c r="K197" s="323">
        <f t="shared" si="63"/>
        <v>0</v>
      </c>
      <c r="L197" s="323">
        <f t="shared" si="63"/>
        <v>0</v>
      </c>
      <c r="M197" s="323">
        <f t="shared" si="63"/>
        <v>0</v>
      </c>
      <c r="N197" s="323">
        <f t="shared" si="63"/>
        <v>0</v>
      </c>
      <c r="O197" s="323">
        <f t="shared" si="63"/>
        <v>0</v>
      </c>
      <c r="P197" s="323">
        <f t="shared" si="63"/>
        <v>0</v>
      </c>
      <c r="Q197" s="323">
        <f t="shared" si="63"/>
        <v>0</v>
      </c>
      <c r="R197" s="323">
        <f t="shared" si="63"/>
        <v>0</v>
      </c>
      <c r="S197" s="323">
        <f t="shared" si="63"/>
        <v>0</v>
      </c>
      <c r="T197" s="323">
        <f t="shared" si="63"/>
        <v>0</v>
      </c>
      <c r="U197" s="323">
        <f t="shared" si="63"/>
        <v>0</v>
      </c>
      <c r="V197" s="323">
        <f t="shared" si="63"/>
        <v>0</v>
      </c>
      <c r="W197" s="323">
        <f t="shared" si="63"/>
        <v>0</v>
      </c>
      <c r="X197" s="323">
        <f t="shared" si="63"/>
        <v>0</v>
      </c>
      <c r="Y197" s="323">
        <f t="shared" si="63"/>
        <v>0</v>
      </c>
      <c r="Z197" s="323">
        <f t="shared" si="63"/>
        <v>0</v>
      </c>
      <c r="AA197" s="323">
        <f t="shared" si="63"/>
        <v>0</v>
      </c>
      <c r="AB197" s="323">
        <f t="shared" si="63"/>
        <v>0</v>
      </c>
      <c r="AC197" s="324">
        <f t="shared" si="63"/>
        <v>0</v>
      </c>
      <c r="AD197" s="136"/>
    </row>
    <row r="198" spans="1:30" ht="22.5" x14ac:dyDescent="0.2">
      <c r="A198" s="136"/>
      <c r="B198" s="43" t="s">
        <v>229</v>
      </c>
      <c r="C198" s="329">
        <f t="shared" si="62"/>
        <v>-168000</v>
      </c>
      <c r="D198" s="241" t="b">
        <f t="shared" si="60"/>
        <v>1</v>
      </c>
      <c r="E198" s="329">
        <f>SUM(F198:AC198)</f>
        <v>-168000</v>
      </c>
      <c r="F198" s="117">
        <v>0</v>
      </c>
      <c r="G198" s="321">
        <f>C198</f>
        <v>-168000</v>
      </c>
      <c r="H198" s="321">
        <v>0</v>
      </c>
      <c r="I198" s="321">
        <v>0</v>
      </c>
      <c r="J198" s="321">
        <v>0</v>
      </c>
      <c r="K198" s="321">
        <v>0</v>
      </c>
      <c r="L198" s="321">
        <v>0</v>
      </c>
      <c r="M198" s="321">
        <v>0</v>
      </c>
      <c r="N198" s="321">
        <v>0</v>
      </c>
      <c r="O198" s="321">
        <v>0</v>
      </c>
      <c r="P198" s="321">
        <v>0</v>
      </c>
      <c r="Q198" s="321">
        <v>0</v>
      </c>
      <c r="R198" s="321">
        <v>0</v>
      </c>
      <c r="S198" s="321">
        <v>0</v>
      </c>
      <c r="T198" s="321">
        <v>0</v>
      </c>
      <c r="U198" s="321">
        <v>0</v>
      </c>
      <c r="V198" s="321">
        <v>0</v>
      </c>
      <c r="W198" s="321">
        <v>0</v>
      </c>
      <c r="X198" s="321">
        <v>0</v>
      </c>
      <c r="Y198" s="321">
        <v>0</v>
      </c>
      <c r="Z198" s="321">
        <v>0</v>
      </c>
      <c r="AA198" s="321">
        <v>0</v>
      </c>
      <c r="AB198" s="321">
        <v>0</v>
      </c>
      <c r="AC198" s="322">
        <v>0</v>
      </c>
      <c r="AD198" s="136"/>
    </row>
    <row r="199" spans="1:30" ht="22.5" x14ac:dyDescent="0.2">
      <c r="A199" s="136"/>
      <c r="B199" s="43" t="s">
        <v>230</v>
      </c>
      <c r="C199" s="329">
        <f t="shared" si="62"/>
        <v>-4536000</v>
      </c>
      <c r="D199" s="241" t="b">
        <f t="shared" si="60"/>
        <v>1</v>
      </c>
      <c r="E199" s="329">
        <f t="shared" ref="E199:E212" si="64">SUM(F199:AC199)</f>
        <v>-4536000</v>
      </c>
      <c r="F199" s="117">
        <f>$C$199/3</f>
        <v>-1512000</v>
      </c>
      <c r="G199" s="323">
        <f t="shared" ref="G199:H199" si="65">$C$199/3</f>
        <v>-1512000</v>
      </c>
      <c r="H199" s="323">
        <f t="shared" si="65"/>
        <v>-1512000</v>
      </c>
      <c r="I199" s="323">
        <v>0</v>
      </c>
      <c r="J199" s="323">
        <v>0</v>
      </c>
      <c r="K199" s="323">
        <v>0</v>
      </c>
      <c r="L199" s="323">
        <v>0</v>
      </c>
      <c r="M199" s="323">
        <v>0</v>
      </c>
      <c r="N199" s="323">
        <v>0</v>
      </c>
      <c r="O199" s="323">
        <v>0</v>
      </c>
      <c r="P199" s="323">
        <v>0</v>
      </c>
      <c r="Q199" s="323">
        <v>0</v>
      </c>
      <c r="R199" s="323">
        <v>0</v>
      </c>
      <c r="S199" s="323">
        <v>0</v>
      </c>
      <c r="T199" s="323">
        <v>0</v>
      </c>
      <c r="U199" s="323">
        <v>0</v>
      </c>
      <c r="V199" s="323">
        <v>0</v>
      </c>
      <c r="W199" s="323">
        <v>0</v>
      </c>
      <c r="X199" s="323">
        <v>0</v>
      </c>
      <c r="Y199" s="323">
        <v>0</v>
      </c>
      <c r="Z199" s="323">
        <v>0</v>
      </c>
      <c r="AA199" s="323">
        <v>0</v>
      </c>
      <c r="AB199" s="323">
        <v>0</v>
      </c>
      <c r="AC199" s="324">
        <v>0</v>
      </c>
      <c r="AD199" s="136"/>
    </row>
    <row r="200" spans="1:30" ht="22.5" x14ac:dyDescent="0.2">
      <c r="A200" s="136"/>
      <c r="B200" s="43" t="s">
        <v>231</v>
      </c>
      <c r="C200" s="329">
        <f t="shared" si="62"/>
        <v>0</v>
      </c>
      <c r="D200" s="241" t="b">
        <f t="shared" si="60"/>
        <v>1</v>
      </c>
      <c r="E200" s="329">
        <f t="shared" si="64"/>
        <v>0</v>
      </c>
      <c r="F200" s="117">
        <v>0</v>
      </c>
      <c r="G200" s="321">
        <v>0</v>
      </c>
      <c r="H200" s="321">
        <v>0</v>
      </c>
      <c r="I200" s="321">
        <v>0</v>
      </c>
      <c r="J200" s="321">
        <v>0</v>
      </c>
      <c r="K200" s="321">
        <v>0</v>
      </c>
      <c r="L200" s="321">
        <v>0</v>
      </c>
      <c r="M200" s="321">
        <v>0</v>
      </c>
      <c r="N200" s="321">
        <v>0</v>
      </c>
      <c r="O200" s="321">
        <v>0</v>
      </c>
      <c r="P200" s="321">
        <v>0</v>
      </c>
      <c r="Q200" s="321">
        <v>0</v>
      </c>
      <c r="R200" s="321">
        <v>0</v>
      </c>
      <c r="S200" s="321">
        <v>0</v>
      </c>
      <c r="T200" s="321">
        <v>0</v>
      </c>
      <c r="U200" s="321">
        <v>0</v>
      </c>
      <c r="V200" s="321">
        <v>0</v>
      </c>
      <c r="W200" s="321">
        <v>0</v>
      </c>
      <c r="X200" s="321">
        <v>0</v>
      </c>
      <c r="Y200" s="321">
        <v>0</v>
      </c>
      <c r="Z200" s="321">
        <v>0</v>
      </c>
      <c r="AA200" s="321">
        <v>0</v>
      </c>
      <c r="AB200" s="321">
        <v>0</v>
      </c>
      <c r="AC200" s="322">
        <v>0</v>
      </c>
      <c r="AD200" s="136"/>
    </row>
    <row r="201" spans="1:30" ht="22.5" x14ac:dyDescent="0.2">
      <c r="A201" s="136"/>
      <c r="B201" s="43" t="s">
        <v>232</v>
      </c>
      <c r="C201" s="329">
        <f t="shared" si="62"/>
        <v>0</v>
      </c>
      <c r="D201" s="241" t="b">
        <f t="shared" si="60"/>
        <v>1</v>
      </c>
      <c r="E201" s="329">
        <f t="shared" si="64"/>
        <v>0</v>
      </c>
      <c r="F201" s="117">
        <v>0</v>
      </c>
      <c r="G201" s="323">
        <v>0</v>
      </c>
      <c r="H201" s="323">
        <v>0</v>
      </c>
      <c r="I201" s="323">
        <v>0</v>
      </c>
      <c r="J201" s="323">
        <v>0</v>
      </c>
      <c r="K201" s="323">
        <v>0</v>
      </c>
      <c r="L201" s="323">
        <v>0</v>
      </c>
      <c r="M201" s="323">
        <v>0</v>
      </c>
      <c r="N201" s="323">
        <v>0</v>
      </c>
      <c r="O201" s="323">
        <v>0</v>
      </c>
      <c r="P201" s="323">
        <v>0</v>
      </c>
      <c r="Q201" s="323">
        <v>0</v>
      </c>
      <c r="R201" s="323">
        <v>0</v>
      </c>
      <c r="S201" s="323">
        <v>0</v>
      </c>
      <c r="T201" s="323">
        <v>0</v>
      </c>
      <c r="U201" s="323">
        <v>0</v>
      </c>
      <c r="V201" s="323">
        <v>0</v>
      </c>
      <c r="W201" s="323">
        <v>0</v>
      </c>
      <c r="X201" s="323">
        <v>0</v>
      </c>
      <c r="Y201" s="323">
        <v>0</v>
      </c>
      <c r="Z201" s="323">
        <v>0</v>
      </c>
      <c r="AA201" s="323">
        <v>0</v>
      </c>
      <c r="AB201" s="323">
        <v>0</v>
      </c>
      <c r="AC201" s="324">
        <v>0</v>
      </c>
      <c r="AD201" s="136"/>
    </row>
    <row r="202" spans="1:30" ht="22.5" x14ac:dyDescent="0.2">
      <c r="A202" s="136"/>
      <c r="B202" s="43" t="s">
        <v>233</v>
      </c>
      <c r="C202" s="329">
        <f t="shared" si="62"/>
        <v>-2676000</v>
      </c>
      <c r="D202" s="241" t="b">
        <f t="shared" si="60"/>
        <v>1</v>
      </c>
      <c r="E202" s="329">
        <f t="shared" si="64"/>
        <v>-2676000</v>
      </c>
      <c r="F202" s="117">
        <v>0</v>
      </c>
      <c r="G202" s="321">
        <v>0</v>
      </c>
      <c r="H202" s="321">
        <v>0</v>
      </c>
      <c r="I202" s="321">
        <v>0</v>
      </c>
      <c r="J202" s="321">
        <v>0</v>
      </c>
      <c r="K202" s="321">
        <v>0</v>
      </c>
      <c r="L202" s="321">
        <v>0</v>
      </c>
      <c r="M202" s="321">
        <v>0</v>
      </c>
      <c r="N202" s="321">
        <v>0</v>
      </c>
      <c r="O202" s="321">
        <v>0</v>
      </c>
      <c r="P202" s="321">
        <f>C202</f>
        <v>-2676000</v>
      </c>
      <c r="Q202" s="321">
        <v>0</v>
      </c>
      <c r="R202" s="321">
        <v>0</v>
      </c>
      <c r="S202" s="321">
        <v>0</v>
      </c>
      <c r="T202" s="321">
        <v>0</v>
      </c>
      <c r="U202" s="321">
        <v>0</v>
      </c>
      <c r="V202" s="321">
        <v>0</v>
      </c>
      <c r="W202" s="321">
        <v>0</v>
      </c>
      <c r="X202" s="321">
        <v>0</v>
      </c>
      <c r="Y202" s="321">
        <v>0</v>
      </c>
      <c r="Z202" s="321">
        <v>0</v>
      </c>
      <c r="AA202" s="321">
        <v>0</v>
      </c>
      <c r="AB202" s="321">
        <v>0</v>
      </c>
      <c r="AC202" s="322">
        <v>0</v>
      </c>
      <c r="AD202" s="136"/>
    </row>
    <row r="203" spans="1:30" ht="22.5" x14ac:dyDescent="0.2">
      <c r="A203" s="136"/>
      <c r="B203" s="43" t="s">
        <v>116</v>
      </c>
      <c r="C203" s="329">
        <f t="shared" si="62"/>
        <v>-1440000</v>
      </c>
      <c r="D203" s="241" t="b">
        <f t="shared" si="60"/>
        <v>1</v>
      </c>
      <c r="E203" s="329">
        <f t="shared" si="64"/>
        <v>-1440000</v>
      </c>
      <c r="F203" s="117">
        <v>0</v>
      </c>
      <c r="G203" s="323">
        <v>0</v>
      </c>
      <c r="H203" s="323">
        <v>0</v>
      </c>
      <c r="I203" s="323">
        <v>0</v>
      </c>
      <c r="J203" s="323">
        <v>0</v>
      </c>
      <c r="K203" s="323">
        <v>0</v>
      </c>
      <c r="L203" s="323">
        <v>0</v>
      </c>
      <c r="M203" s="323">
        <v>0</v>
      </c>
      <c r="N203" s="323">
        <v>0</v>
      </c>
      <c r="O203" s="323">
        <v>0</v>
      </c>
      <c r="P203" s="323">
        <f t="shared" ref="P203:P204" si="66">C203</f>
        <v>-1440000</v>
      </c>
      <c r="Q203" s="323">
        <v>0</v>
      </c>
      <c r="R203" s="323">
        <v>0</v>
      </c>
      <c r="S203" s="323">
        <v>0</v>
      </c>
      <c r="T203" s="323">
        <v>0</v>
      </c>
      <c r="U203" s="323">
        <v>0</v>
      </c>
      <c r="V203" s="323">
        <v>0</v>
      </c>
      <c r="W203" s="323">
        <v>0</v>
      </c>
      <c r="X203" s="323">
        <v>0</v>
      </c>
      <c r="Y203" s="323">
        <v>0</v>
      </c>
      <c r="Z203" s="323">
        <v>0</v>
      </c>
      <c r="AA203" s="323">
        <v>0</v>
      </c>
      <c r="AB203" s="323">
        <v>0</v>
      </c>
      <c r="AC203" s="324">
        <v>0</v>
      </c>
      <c r="AD203" s="136"/>
    </row>
    <row r="204" spans="1:30" ht="22.5" x14ac:dyDescent="0.2">
      <c r="A204" s="136"/>
      <c r="B204" s="43" t="s">
        <v>117</v>
      </c>
      <c r="C204" s="329">
        <f t="shared" si="62"/>
        <v>-240000</v>
      </c>
      <c r="D204" s="241" t="b">
        <f t="shared" si="60"/>
        <v>1</v>
      </c>
      <c r="E204" s="329">
        <f t="shared" si="64"/>
        <v>-240000</v>
      </c>
      <c r="F204" s="117">
        <v>0</v>
      </c>
      <c r="G204" s="321">
        <v>0</v>
      </c>
      <c r="H204" s="321">
        <v>0</v>
      </c>
      <c r="I204" s="321">
        <v>0</v>
      </c>
      <c r="J204" s="321">
        <v>0</v>
      </c>
      <c r="K204" s="321">
        <v>0</v>
      </c>
      <c r="L204" s="321">
        <v>0</v>
      </c>
      <c r="M204" s="321">
        <v>0</v>
      </c>
      <c r="N204" s="321">
        <v>0</v>
      </c>
      <c r="O204" s="321">
        <v>0</v>
      </c>
      <c r="P204" s="321">
        <f t="shared" si="66"/>
        <v>-240000</v>
      </c>
      <c r="Q204" s="321">
        <v>0</v>
      </c>
      <c r="R204" s="321">
        <v>0</v>
      </c>
      <c r="S204" s="321">
        <v>0</v>
      </c>
      <c r="T204" s="321">
        <v>0</v>
      </c>
      <c r="U204" s="321">
        <v>0</v>
      </c>
      <c r="V204" s="321">
        <v>0</v>
      </c>
      <c r="W204" s="321">
        <v>0</v>
      </c>
      <c r="X204" s="321">
        <v>0</v>
      </c>
      <c r="Y204" s="321">
        <v>0</v>
      </c>
      <c r="Z204" s="321">
        <v>0</v>
      </c>
      <c r="AA204" s="321">
        <v>0</v>
      </c>
      <c r="AB204" s="321">
        <v>0</v>
      </c>
      <c r="AC204" s="322">
        <v>0</v>
      </c>
      <c r="AD204" s="136"/>
    </row>
    <row r="205" spans="1:30" ht="22.5" x14ac:dyDescent="0.2">
      <c r="A205" s="136"/>
      <c r="B205" s="43" t="s">
        <v>118</v>
      </c>
      <c r="C205" s="329">
        <f t="shared" si="62"/>
        <v>-3120000</v>
      </c>
      <c r="D205" s="241" t="b">
        <f t="shared" si="60"/>
        <v>1</v>
      </c>
      <c r="E205" s="329">
        <f t="shared" si="64"/>
        <v>-3120000</v>
      </c>
      <c r="F205" s="117">
        <v>0</v>
      </c>
      <c r="G205" s="323">
        <v>0</v>
      </c>
      <c r="H205" s="323">
        <v>0</v>
      </c>
      <c r="I205" s="323">
        <v>0</v>
      </c>
      <c r="J205" s="323">
        <v>0</v>
      </c>
      <c r="K205" s="323">
        <v>0</v>
      </c>
      <c r="L205" s="323">
        <v>0</v>
      </c>
      <c r="M205" s="323">
        <v>0</v>
      </c>
      <c r="N205" s="323">
        <v>0</v>
      </c>
      <c r="O205" s="323">
        <v>0</v>
      </c>
      <c r="P205" s="323">
        <v>0</v>
      </c>
      <c r="Q205" s="323">
        <f>$C$205/4</f>
        <v>-780000</v>
      </c>
      <c r="R205" s="323">
        <f t="shared" ref="R205:T205" si="67">$C$205/4</f>
        <v>-780000</v>
      </c>
      <c r="S205" s="323">
        <f t="shared" si="67"/>
        <v>-780000</v>
      </c>
      <c r="T205" s="323">
        <f t="shared" si="67"/>
        <v>-780000</v>
      </c>
      <c r="U205" s="323">
        <v>0</v>
      </c>
      <c r="V205" s="323">
        <v>0</v>
      </c>
      <c r="W205" s="323">
        <v>0</v>
      </c>
      <c r="X205" s="323">
        <v>0</v>
      </c>
      <c r="Y205" s="323">
        <v>0</v>
      </c>
      <c r="Z205" s="323">
        <v>0</v>
      </c>
      <c r="AA205" s="323">
        <v>0</v>
      </c>
      <c r="AB205" s="323">
        <v>0</v>
      </c>
      <c r="AC205" s="324">
        <v>0</v>
      </c>
      <c r="AD205" s="136"/>
    </row>
    <row r="206" spans="1:30" ht="22.5" x14ac:dyDescent="0.2">
      <c r="A206" s="136"/>
      <c r="B206" s="43" t="s">
        <v>119</v>
      </c>
      <c r="C206" s="329">
        <f t="shared" si="62"/>
        <v>-3628800</v>
      </c>
      <c r="D206" s="241" t="b">
        <f t="shared" si="60"/>
        <v>1</v>
      </c>
      <c r="E206" s="329">
        <f>SUM(F206:AC206)</f>
        <v>-3628800</v>
      </c>
      <c r="F206" s="117">
        <v>0</v>
      </c>
      <c r="G206" s="321">
        <v>0</v>
      </c>
      <c r="H206" s="321">
        <v>0</v>
      </c>
      <c r="I206" s="321">
        <v>0</v>
      </c>
      <c r="J206" s="321">
        <f>$C$206/7</f>
        <v>-518400</v>
      </c>
      <c r="K206" s="321">
        <f t="shared" ref="K206:P206" si="68">$C$206/7</f>
        <v>-518400</v>
      </c>
      <c r="L206" s="321">
        <f t="shared" si="68"/>
        <v>-518400</v>
      </c>
      <c r="M206" s="321">
        <f t="shared" si="68"/>
        <v>-518400</v>
      </c>
      <c r="N206" s="321">
        <f t="shared" si="68"/>
        <v>-518400</v>
      </c>
      <c r="O206" s="321">
        <f t="shared" si="68"/>
        <v>-518400</v>
      </c>
      <c r="P206" s="321">
        <f t="shared" si="68"/>
        <v>-518400</v>
      </c>
      <c r="Q206" s="321">
        <v>0</v>
      </c>
      <c r="R206" s="321">
        <v>0</v>
      </c>
      <c r="S206" s="321">
        <v>0</v>
      </c>
      <c r="T206" s="321">
        <v>0</v>
      </c>
      <c r="U206" s="321">
        <v>0</v>
      </c>
      <c r="V206" s="321">
        <v>0</v>
      </c>
      <c r="W206" s="321">
        <v>0</v>
      </c>
      <c r="X206" s="321">
        <v>0</v>
      </c>
      <c r="Y206" s="321">
        <v>0</v>
      </c>
      <c r="Z206" s="321">
        <v>0</v>
      </c>
      <c r="AA206" s="321">
        <v>0</v>
      </c>
      <c r="AB206" s="321">
        <v>0</v>
      </c>
      <c r="AC206" s="322">
        <v>0</v>
      </c>
      <c r="AD206" s="136"/>
    </row>
    <row r="207" spans="1:30" ht="22.5" x14ac:dyDescent="0.2">
      <c r="A207" s="136"/>
      <c r="B207" s="43" t="s">
        <v>345</v>
      </c>
      <c r="C207" s="329">
        <f t="shared" si="62"/>
        <v>-692031.9</v>
      </c>
      <c r="D207" s="241" t="b">
        <f>C207=E207</f>
        <v>1</v>
      </c>
      <c r="E207" s="329">
        <f>SUM(F207:AC207)</f>
        <v>-692031.9</v>
      </c>
      <c r="F207" s="117">
        <v>0</v>
      </c>
      <c r="G207" s="323">
        <v>0</v>
      </c>
      <c r="H207" s="323">
        <v>0</v>
      </c>
      <c r="I207" s="323">
        <v>0</v>
      </c>
      <c r="J207" s="323">
        <v>0</v>
      </c>
      <c r="K207" s="323">
        <v>0</v>
      </c>
      <c r="L207" s="323">
        <v>0</v>
      </c>
      <c r="M207" s="323">
        <v>0</v>
      </c>
      <c r="N207" s="323">
        <f>$C$207/6</f>
        <v>-115338.65000000001</v>
      </c>
      <c r="O207" s="323">
        <f t="shared" ref="O207:S207" si="69">$C$207/6</f>
        <v>-115338.65000000001</v>
      </c>
      <c r="P207" s="323">
        <f t="shared" si="69"/>
        <v>-115338.65000000001</v>
      </c>
      <c r="Q207" s="323">
        <f t="shared" si="69"/>
        <v>-115338.65000000001</v>
      </c>
      <c r="R207" s="323">
        <f t="shared" si="69"/>
        <v>-115338.65000000001</v>
      </c>
      <c r="S207" s="323">
        <f t="shared" si="69"/>
        <v>-115338.65000000001</v>
      </c>
      <c r="T207" s="323">
        <v>0</v>
      </c>
      <c r="U207" s="323">
        <v>0</v>
      </c>
      <c r="V207" s="323">
        <v>0</v>
      </c>
      <c r="W207" s="323">
        <v>0</v>
      </c>
      <c r="X207" s="323">
        <v>0</v>
      </c>
      <c r="Y207" s="323">
        <v>0</v>
      </c>
      <c r="Z207" s="323">
        <v>0</v>
      </c>
      <c r="AA207" s="323">
        <v>0</v>
      </c>
      <c r="AB207" s="323">
        <v>0</v>
      </c>
      <c r="AC207" s="324">
        <v>0</v>
      </c>
      <c r="AD207" s="136"/>
    </row>
    <row r="208" spans="1:30" ht="23.25" thickBot="1" x14ac:dyDescent="0.25">
      <c r="A208" s="136"/>
      <c r="B208" s="310" t="s">
        <v>120</v>
      </c>
      <c r="C208" s="293">
        <f>-C100</f>
        <v>-5443200</v>
      </c>
      <c r="D208" s="294" t="b">
        <f t="shared" si="60"/>
        <v>1</v>
      </c>
      <c r="E208" s="293">
        <f>SUM(F208:AC208)</f>
        <v>-5443200</v>
      </c>
      <c r="F208" s="325">
        <f t="shared" ref="F208:AC208" si="70">$D$100*F194</f>
        <v>0</v>
      </c>
      <c r="G208" s="325">
        <f t="shared" si="70"/>
        <v>0</v>
      </c>
      <c r="H208" s="325">
        <f t="shared" si="70"/>
        <v>0</v>
      </c>
      <c r="I208" s="325">
        <f t="shared" si="70"/>
        <v>-816480</v>
      </c>
      <c r="J208" s="325">
        <f t="shared" si="70"/>
        <v>-544320</v>
      </c>
      <c r="K208" s="325">
        <f t="shared" si="70"/>
        <v>-544320</v>
      </c>
      <c r="L208" s="325">
        <f t="shared" si="70"/>
        <v>-544320</v>
      </c>
      <c r="M208" s="325">
        <f t="shared" si="70"/>
        <v>-544320</v>
      </c>
      <c r="N208" s="325">
        <f t="shared" si="70"/>
        <v>-653184</v>
      </c>
      <c r="O208" s="325">
        <f t="shared" si="70"/>
        <v>-707616</v>
      </c>
      <c r="P208" s="325">
        <f t="shared" si="70"/>
        <v>-1088640</v>
      </c>
      <c r="Q208" s="325">
        <f t="shared" si="70"/>
        <v>0</v>
      </c>
      <c r="R208" s="325">
        <f t="shared" si="70"/>
        <v>0</v>
      </c>
      <c r="S208" s="325">
        <f t="shared" si="70"/>
        <v>0</v>
      </c>
      <c r="T208" s="325">
        <f t="shared" si="70"/>
        <v>0</v>
      </c>
      <c r="U208" s="325">
        <f t="shared" si="70"/>
        <v>0</v>
      </c>
      <c r="V208" s="325">
        <f t="shared" si="70"/>
        <v>0</v>
      </c>
      <c r="W208" s="325">
        <f t="shared" si="70"/>
        <v>0</v>
      </c>
      <c r="X208" s="325">
        <f t="shared" si="70"/>
        <v>0</v>
      </c>
      <c r="Y208" s="325">
        <f t="shared" si="70"/>
        <v>0</v>
      </c>
      <c r="Z208" s="325">
        <f t="shared" si="70"/>
        <v>0</v>
      </c>
      <c r="AA208" s="325">
        <f t="shared" si="70"/>
        <v>0</v>
      </c>
      <c r="AB208" s="325">
        <f t="shared" si="70"/>
        <v>0</v>
      </c>
      <c r="AC208" s="327">
        <f t="shared" si="70"/>
        <v>0</v>
      </c>
      <c r="AD208" s="136"/>
    </row>
    <row r="209" spans="1:74" ht="22.5" x14ac:dyDescent="0.2">
      <c r="A209" s="136"/>
      <c r="B209" s="311" t="s">
        <v>235</v>
      </c>
      <c r="C209" s="116">
        <f>-K159+-AD157</f>
        <v>-14829255</v>
      </c>
      <c r="D209" s="240" t="b">
        <f>C209=E209</f>
        <v>1</v>
      </c>
      <c r="E209" s="116">
        <f>SUM(F209:AC209)</f>
        <v>-14829255</v>
      </c>
      <c r="F209" s="312">
        <f t="shared" ref="F209:AC209" si="71">-($K$158*F183)+-($AD$159*F184)</f>
        <v>0</v>
      </c>
      <c r="G209" s="312">
        <f t="shared" si="71"/>
        <v>0</v>
      </c>
      <c r="H209" s="312">
        <f t="shared" si="71"/>
        <v>0</v>
      </c>
      <c r="I209" s="312">
        <f t="shared" si="71"/>
        <v>0</v>
      </c>
      <c r="J209" s="312">
        <f t="shared" si="71"/>
        <v>0</v>
      </c>
      <c r="K209" s="312">
        <f t="shared" si="71"/>
        <v>0</v>
      </c>
      <c r="L209" s="312">
        <f t="shared" si="71"/>
        <v>0</v>
      </c>
      <c r="M209" s="312">
        <f t="shared" si="71"/>
        <v>0</v>
      </c>
      <c r="N209" s="312">
        <f t="shared" si="71"/>
        <v>0</v>
      </c>
      <c r="O209" s="312">
        <f t="shared" si="71"/>
        <v>0</v>
      </c>
      <c r="P209" s="312">
        <f t="shared" si="71"/>
        <v>0</v>
      </c>
      <c r="Q209" s="312">
        <f>-($K$158*Q183)+-($AD$159*Q184)</f>
        <v>-2965851</v>
      </c>
      <c r="R209" s="312">
        <f t="shared" si="71"/>
        <v>-2965851</v>
      </c>
      <c r="S209" s="312">
        <f t="shared" si="71"/>
        <v>-4448776.5</v>
      </c>
      <c r="T209" s="312">
        <f t="shared" si="71"/>
        <v>-4448776.5</v>
      </c>
      <c r="U209" s="312">
        <f t="shared" si="71"/>
        <v>0</v>
      </c>
      <c r="V209" s="312">
        <f t="shared" si="71"/>
        <v>0</v>
      </c>
      <c r="W209" s="312">
        <f t="shared" si="71"/>
        <v>0</v>
      </c>
      <c r="X209" s="312">
        <f t="shared" si="71"/>
        <v>0</v>
      </c>
      <c r="Y209" s="312">
        <f t="shared" si="71"/>
        <v>0</v>
      </c>
      <c r="Z209" s="312">
        <f t="shared" si="71"/>
        <v>0</v>
      </c>
      <c r="AA209" s="312">
        <f t="shared" si="71"/>
        <v>0</v>
      </c>
      <c r="AB209" s="312">
        <f t="shared" si="71"/>
        <v>0</v>
      </c>
      <c r="AC209" s="313">
        <f t="shared" si="71"/>
        <v>0</v>
      </c>
      <c r="AD209" s="136"/>
    </row>
    <row r="210" spans="1:74" ht="22.5" x14ac:dyDescent="0.2">
      <c r="A210" s="136"/>
      <c r="B210" s="43" t="s">
        <v>236</v>
      </c>
      <c r="C210" s="329">
        <f>-C104</f>
        <v>-8202525.1910383552</v>
      </c>
      <c r="D210" s="241" t="b">
        <f>C210=E210</f>
        <v>0</v>
      </c>
      <c r="E210" s="329">
        <f t="shared" si="64"/>
        <v>-8202525.1910383543</v>
      </c>
      <c r="F210" s="117">
        <f>$C$210/15</f>
        <v>-546835.01273589034</v>
      </c>
      <c r="G210" s="323">
        <f t="shared" ref="G210:T210" si="72">$C$210/15</f>
        <v>-546835.01273589034</v>
      </c>
      <c r="H210" s="323">
        <f t="shared" si="72"/>
        <v>-546835.01273589034</v>
      </c>
      <c r="I210" s="323">
        <f t="shared" si="72"/>
        <v>-546835.01273589034</v>
      </c>
      <c r="J210" s="323">
        <f t="shared" si="72"/>
        <v>-546835.01273589034</v>
      </c>
      <c r="K210" s="323">
        <f t="shared" si="72"/>
        <v>-546835.01273589034</v>
      </c>
      <c r="L210" s="323">
        <f t="shared" si="72"/>
        <v>-546835.01273589034</v>
      </c>
      <c r="M210" s="323">
        <f t="shared" si="72"/>
        <v>-546835.01273589034</v>
      </c>
      <c r="N210" s="323">
        <f t="shared" si="72"/>
        <v>-546835.01273589034</v>
      </c>
      <c r="O210" s="323">
        <f t="shared" si="72"/>
        <v>-546835.01273589034</v>
      </c>
      <c r="P210" s="323">
        <f t="shared" si="72"/>
        <v>-546835.01273589034</v>
      </c>
      <c r="Q210" s="323">
        <f t="shared" si="72"/>
        <v>-546835.01273589034</v>
      </c>
      <c r="R210" s="323">
        <f t="shared" si="72"/>
        <v>-546835.01273589034</v>
      </c>
      <c r="S210" s="323">
        <f t="shared" si="72"/>
        <v>-546835.01273589034</v>
      </c>
      <c r="T210" s="323">
        <f t="shared" si="72"/>
        <v>-546835.01273589034</v>
      </c>
      <c r="U210" s="323">
        <v>0</v>
      </c>
      <c r="V210" s="323">
        <v>0</v>
      </c>
      <c r="W210" s="323">
        <v>0</v>
      </c>
      <c r="X210" s="323">
        <v>0</v>
      </c>
      <c r="Y210" s="323">
        <v>0</v>
      </c>
      <c r="Z210" s="323">
        <v>0</v>
      </c>
      <c r="AA210" s="323">
        <v>0</v>
      </c>
      <c r="AB210" s="323">
        <v>0</v>
      </c>
      <c r="AC210" s="324">
        <v>0</v>
      </c>
      <c r="AD210" s="136"/>
    </row>
    <row r="211" spans="1:74" ht="22.5" x14ac:dyDescent="0.2">
      <c r="A211" s="136"/>
      <c r="B211" s="264" t="s">
        <v>237</v>
      </c>
      <c r="C211" s="329">
        <f>-I93</f>
        <v>-1093000</v>
      </c>
      <c r="D211" s="241" t="b">
        <f t="shared" si="60"/>
        <v>1</v>
      </c>
      <c r="E211" s="329">
        <f t="shared" si="64"/>
        <v>-1093000</v>
      </c>
      <c r="F211" s="321">
        <f>-SUM(I86:N86)</f>
        <v>-292000</v>
      </c>
      <c r="G211" s="321">
        <v>0</v>
      </c>
      <c r="H211" s="321">
        <v>0</v>
      </c>
      <c r="I211" s="321">
        <v>0</v>
      </c>
      <c r="J211" s="321">
        <f>-SUM(J87:N87)</f>
        <v>-267000</v>
      </c>
      <c r="K211" s="321">
        <v>0</v>
      </c>
      <c r="L211" s="321">
        <v>0</v>
      </c>
      <c r="M211" s="321">
        <v>0</v>
      </c>
      <c r="N211" s="321">
        <f>-SUM(J88:N88)</f>
        <v>-267000</v>
      </c>
      <c r="O211" s="321">
        <v>0</v>
      </c>
      <c r="P211" s="321">
        <v>0</v>
      </c>
      <c r="Q211" s="321">
        <v>0</v>
      </c>
      <c r="R211" s="321">
        <f>-SUM(J89:N89)</f>
        <v>-267000</v>
      </c>
      <c r="S211" s="321">
        <v>0</v>
      </c>
      <c r="T211" s="321">
        <v>0</v>
      </c>
      <c r="U211" s="321">
        <v>0</v>
      </c>
      <c r="V211" s="321">
        <f>-SUM(J90:N90)</f>
        <v>0</v>
      </c>
      <c r="W211" s="321">
        <v>0</v>
      </c>
      <c r="X211" s="321">
        <v>0</v>
      </c>
      <c r="Y211" s="321">
        <v>0</v>
      </c>
      <c r="Z211" s="321">
        <f>SUM(J91:N91)</f>
        <v>0</v>
      </c>
      <c r="AA211" s="321">
        <v>0</v>
      </c>
      <c r="AB211" s="321">
        <v>0</v>
      </c>
      <c r="AC211" s="322">
        <v>0</v>
      </c>
      <c r="AD211" s="136"/>
    </row>
    <row r="212" spans="1:74" ht="22.5" x14ac:dyDescent="0.2">
      <c r="A212" s="136"/>
      <c r="B212" s="264" t="s">
        <v>238</v>
      </c>
      <c r="C212" s="329">
        <f>-C103</f>
        <v>-19928903.190000001</v>
      </c>
      <c r="D212" s="241" t="b">
        <f t="shared" si="60"/>
        <v>1</v>
      </c>
      <c r="E212" s="329">
        <f t="shared" si="64"/>
        <v>-19928903.189999994</v>
      </c>
      <c r="F212" s="323">
        <f>$D$103*(F194+F195+F196+F199+F200+F201+F206+F207+F208)</f>
        <v>-354900</v>
      </c>
      <c r="G212" s="323">
        <f t="shared" ref="G212:AB212" si="73">$D$103*(G194+G195+G196+G199+G200+G201+G206+G207+G208)</f>
        <v>-302400</v>
      </c>
      <c r="H212" s="323">
        <f t="shared" si="73"/>
        <v>-151200</v>
      </c>
      <c r="I212" s="323">
        <f t="shared" si="73"/>
        <v>-2803248</v>
      </c>
      <c r="J212" s="323">
        <f t="shared" si="73"/>
        <v>-1920672</v>
      </c>
      <c r="K212" s="323">
        <f t="shared" si="73"/>
        <v>-1920672</v>
      </c>
      <c r="L212" s="323">
        <f t="shared" si="73"/>
        <v>-1920672</v>
      </c>
      <c r="M212" s="323">
        <f t="shared" si="73"/>
        <v>-1920672</v>
      </c>
      <c r="N212" s="323">
        <f t="shared" si="73"/>
        <v>-2305972.2650000001</v>
      </c>
      <c r="O212" s="323">
        <f t="shared" si="73"/>
        <v>-2492855.4649999999</v>
      </c>
      <c r="P212" s="323">
        <f t="shared" si="73"/>
        <v>-3801037.8650000002</v>
      </c>
      <c r="Q212" s="323">
        <f t="shared" si="73"/>
        <v>-11533.865000000002</v>
      </c>
      <c r="R212" s="323">
        <f t="shared" si="73"/>
        <v>-11533.865000000002</v>
      </c>
      <c r="S212" s="323">
        <f t="shared" si="73"/>
        <v>-11533.865000000002</v>
      </c>
      <c r="T212" s="323">
        <f t="shared" si="73"/>
        <v>0</v>
      </c>
      <c r="U212" s="323">
        <f t="shared" si="73"/>
        <v>0</v>
      </c>
      <c r="V212" s="323">
        <f t="shared" si="73"/>
        <v>0</v>
      </c>
      <c r="W212" s="323">
        <f t="shared" si="73"/>
        <v>0</v>
      </c>
      <c r="X212" s="323">
        <f t="shared" si="73"/>
        <v>0</v>
      </c>
      <c r="Y212" s="323">
        <f t="shared" si="73"/>
        <v>0</v>
      </c>
      <c r="Z212" s="323">
        <f t="shared" si="73"/>
        <v>0</v>
      </c>
      <c r="AA212" s="323">
        <f t="shared" si="73"/>
        <v>0</v>
      </c>
      <c r="AB212" s="323">
        <f t="shared" si="73"/>
        <v>0</v>
      </c>
      <c r="AC212" s="324">
        <f t="shared" ref="AC212" si="74">AC194*$D$103</f>
        <v>0</v>
      </c>
      <c r="AD212" s="136"/>
    </row>
    <row r="213" spans="1:74" ht="12" thickBot="1" x14ac:dyDescent="0.25">
      <c r="A213" s="136"/>
      <c r="B213" s="373"/>
      <c r="C213" s="374"/>
      <c r="D213" s="375">
        <f>E214-C214</f>
        <v>0</v>
      </c>
      <c r="E213" s="289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88"/>
      <c r="AB213" s="288"/>
      <c r="AC213" s="318"/>
      <c r="AD213" s="136"/>
    </row>
    <row r="214" spans="1:74" ht="23.25" thickBot="1" x14ac:dyDescent="0.25">
      <c r="A214" s="136"/>
      <c r="B214" s="332" t="s">
        <v>239</v>
      </c>
      <c r="C214" s="116">
        <f>SUM(E183:E187,E189:E212)</f>
        <v>147854504.71896166</v>
      </c>
      <c r="D214" s="376" t="b">
        <f>E214=C214</f>
        <v>1</v>
      </c>
      <c r="E214" s="372">
        <f>SUM(F214:AC214)</f>
        <v>147854504.71896154</v>
      </c>
      <c r="F214" s="321">
        <f t="shared" ref="F214:AC214" si="75">SUM(F183:F187,F189:F212)</f>
        <v>-219477985.0127359</v>
      </c>
      <c r="G214" s="321">
        <f t="shared" si="75"/>
        <v>54909.987264109659</v>
      </c>
      <c r="H214" s="321">
        <f t="shared" si="75"/>
        <v>415839.98726410966</v>
      </c>
      <c r="I214" s="321">
        <f t="shared" si="75"/>
        <v>150186.98726410978</v>
      </c>
      <c r="J214" s="321">
        <f t="shared" si="75"/>
        <v>653522.98726410978</v>
      </c>
      <c r="K214" s="321">
        <f t="shared" si="75"/>
        <v>89822.987264109775</v>
      </c>
      <c r="L214" s="321">
        <f t="shared" si="75"/>
        <v>51822.987264109775</v>
      </c>
      <c r="M214" s="321">
        <f t="shared" si="75"/>
        <v>6522.9872641097754</v>
      </c>
      <c r="N214" s="321">
        <f t="shared" si="75"/>
        <v>62845.072264109738</v>
      </c>
      <c r="O214" s="321">
        <f t="shared" si="75"/>
        <v>190129.87226411002</v>
      </c>
      <c r="P214" s="321">
        <f t="shared" si="75"/>
        <v>-2646476.5277358904</v>
      </c>
      <c r="Q214" s="321">
        <f t="shared" si="75"/>
        <v>734386.4722641093</v>
      </c>
      <c r="R214" s="321">
        <f t="shared" si="75"/>
        <v>467386.4722641093</v>
      </c>
      <c r="S214" s="321">
        <f t="shared" si="75"/>
        <v>4194545.9722641092</v>
      </c>
      <c r="T214" s="321">
        <f t="shared" si="75"/>
        <v>4321418.4872641098</v>
      </c>
      <c r="U214" s="321">
        <f t="shared" si="75"/>
        <v>358585625</v>
      </c>
      <c r="V214" s="321">
        <f t="shared" si="75"/>
        <v>0</v>
      </c>
      <c r="W214" s="321">
        <f t="shared" si="75"/>
        <v>0</v>
      </c>
      <c r="X214" s="321">
        <f t="shared" si="75"/>
        <v>0</v>
      </c>
      <c r="Y214" s="321">
        <f t="shared" si="75"/>
        <v>0</v>
      </c>
      <c r="Z214" s="321">
        <f t="shared" si="75"/>
        <v>0</v>
      </c>
      <c r="AA214" s="321">
        <f t="shared" si="75"/>
        <v>0</v>
      </c>
      <c r="AB214" s="321">
        <f t="shared" si="75"/>
        <v>0</v>
      </c>
      <c r="AC214" s="322">
        <f t="shared" si="75"/>
        <v>0</v>
      </c>
      <c r="AD214" s="136"/>
    </row>
    <row r="215" spans="1:74" ht="23.25" thickBot="1" x14ac:dyDescent="0.25">
      <c r="A215" s="136"/>
      <c r="B215" s="28" t="s">
        <v>145</v>
      </c>
      <c r="C215" s="329">
        <f>SUM(E190:E194,E195:E208,E210:E212)</f>
        <v>-504632715.28103834</v>
      </c>
      <c r="D215" s="377" t="b">
        <f>C113=-C215</f>
        <v>1</v>
      </c>
      <c r="E215" s="535"/>
      <c r="F215" s="371">
        <f>F214</f>
        <v>-219477985.0127359</v>
      </c>
      <c r="G215" s="325">
        <f>F215+G214</f>
        <v>-219423075.02547181</v>
      </c>
      <c r="H215" s="325">
        <f>G215+H214</f>
        <v>-219007235.03820771</v>
      </c>
      <c r="I215" s="325">
        <f>H215+I214</f>
        <v>-218857048.05094361</v>
      </c>
      <c r="J215" s="325">
        <f t="shared" ref="J215:AC215" si="76">I215+J214</f>
        <v>-218203525.06367952</v>
      </c>
      <c r="K215" s="325">
        <f t="shared" si="76"/>
        <v>-218113702.07641542</v>
      </c>
      <c r="L215" s="325">
        <f t="shared" si="76"/>
        <v>-218061879.08915132</v>
      </c>
      <c r="M215" s="325">
        <f t="shared" si="76"/>
        <v>-218055356.10188723</v>
      </c>
      <c r="N215" s="325">
        <f t="shared" si="76"/>
        <v>-217992511.02962312</v>
      </c>
      <c r="O215" s="325">
        <f t="shared" si="76"/>
        <v>-217802381.157359</v>
      </c>
      <c r="P215" s="325">
        <f t="shared" si="76"/>
        <v>-220448857.68509489</v>
      </c>
      <c r="Q215" s="325">
        <f t="shared" si="76"/>
        <v>-219714471.21283078</v>
      </c>
      <c r="R215" s="325">
        <f t="shared" si="76"/>
        <v>-219247084.74056667</v>
      </c>
      <c r="S215" s="325">
        <f t="shared" si="76"/>
        <v>-215052538.76830256</v>
      </c>
      <c r="T215" s="325">
        <f>S215+T214</f>
        <v>-210731120.28103846</v>
      </c>
      <c r="U215" s="325">
        <f t="shared" si="76"/>
        <v>147854504.71896154</v>
      </c>
      <c r="V215" s="325">
        <f t="shared" si="76"/>
        <v>147854504.71896154</v>
      </c>
      <c r="W215" s="325">
        <f t="shared" si="76"/>
        <v>147854504.71896154</v>
      </c>
      <c r="X215" s="325">
        <f t="shared" si="76"/>
        <v>147854504.71896154</v>
      </c>
      <c r="Y215" s="325">
        <f t="shared" si="76"/>
        <v>147854504.71896154</v>
      </c>
      <c r="Z215" s="325">
        <f t="shared" si="76"/>
        <v>147854504.71896154</v>
      </c>
      <c r="AA215" s="325">
        <f t="shared" si="76"/>
        <v>147854504.71896154</v>
      </c>
      <c r="AB215" s="325">
        <f t="shared" si="76"/>
        <v>147854504.71896154</v>
      </c>
      <c r="AC215" s="327">
        <f t="shared" si="76"/>
        <v>147854504.71896154</v>
      </c>
      <c r="AD215" s="136"/>
    </row>
    <row r="216" spans="1:74" ht="22.5" x14ac:dyDescent="0.2">
      <c r="A216" s="136"/>
      <c r="B216" s="28" t="s">
        <v>240</v>
      </c>
      <c r="C216" s="492">
        <f>C17</f>
        <v>667316475</v>
      </c>
      <c r="D216" s="493"/>
      <c r="E216" s="536"/>
      <c r="F216" s="339"/>
      <c r="G216" s="339"/>
      <c r="H216" s="339"/>
      <c r="I216" s="339"/>
      <c r="J216" s="339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  <c r="AA216" s="339"/>
      <c r="AB216" s="339"/>
      <c r="AC216" s="340"/>
      <c r="AD216" s="136"/>
    </row>
    <row r="217" spans="1:74" ht="15.75" customHeight="1" thickBot="1" x14ac:dyDescent="0.25">
      <c r="A217" s="136"/>
      <c r="B217" s="333" t="b">
        <f>C217=E214</f>
        <v>1</v>
      </c>
      <c r="C217" s="490">
        <f>C216+(C215+C209)</f>
        <v>147854504.71896166</v>
      </c>
      <c r="D217" s="491"/>
      <c r="E217" s="536"/>
      <c r="F217" s="331"/>
      <c r="G217" s="331"/>
      <c r="H217" s="331"/>
      <c r="I217" s="331"/>
      <c r="J217" s="331"/>
      <c r="K217" s="331"/>
      <c r="L217" s="331"/>
      <c r="M217" s="331"/>
      <c r="N217" s="331"/>
      <c r="O217" s="331"/>
      <c r="P217" s="331"/>
      <c r="Q217" s="331"/>
      <c r="R217" s="331"/>
      <c r="S217" s="331"/>
      <c r="T217" s="331"/>
      <c r="U217" s="331"/>
      <c r="V217" s="331"/>
      <c r="W217" s="331"/>
      <c r="X217" s="331"/>
      <c r="Y217" s="331"/>
      <c r="Z217" s="331"/>
      <c r="AA217" s="331"/>
      <c r="AB217" s="331"/>
      <c r="AC217" s="343"/>
      <c r="AD217" s="136"/>
    </row>
    <row r="218" spans="1:74" ht="12" thickBot="1" x14ac:dyDescent="0.25">
      <c r="A218" s="136"/>
      <c r="B218" s="524" t="s">
        <v>241</v>
      </c>
      <c r="C218" s="525"/>
      <c r="D218" s="526"/>
      <c r="E218" s="537"/>
      <c r="F218" s="341"/>
      <c r="G218" s="341"/>
      <c r="H218" s="341"/>
      <c r="I218" s="341"/>
      <c r="J218" s="341"/>
      <c r="K218" s="341"/>
      <c r="L218" s="341"/>
      <c r="M218" s="341"/>
      <c r="N218" s="341"/>
      <c r="O218" s="341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  <c r="AA218" s="341"/>
      <c r="AB218" s="341"/>
      <c r="AC218" s="342"/>
      <c r="AD218" s="136"/>
    </row>
    <row r="219" spans="1:74" ht="22.5" x14ac:dyDescent="0.2">
      <c r="A219" s="136"/>
      <c r="B219" s="291" t="s">
        <v>43</v>
      </c>
      <c r="C219" s="527">
        <f>XIRR(F214:U214,F176:U176)</f>
        <v>0.14642062783241275</v>
      </c>
      <c r="D219" s="528"/>
      <c r="E219" s="537"/>
      <c r="F219" s="544">
        <f t="shared" ref="F219:AC219" si="77">SUM(F179:F187,F189:F212)</f>
        <v>1022014.9872641098</v>
      </c>
      <c r="G219" s="455">
        <f t="shared" si="77"/>
        <v>54909.987264109659</v>
      </c>
      <c r="H219" s="455">
        <f t="shared" si="77"/>
        <v>415839.98726410966</v>
      </c>
      <c r="I219" s="455">
        <f t="shared" si="77"/>
        <v>150186.98726410978</v>
      </c>
      <c r="J219" s="455">
        <f t="shared" si="77"/>
        <v>653522.98726410978</v>
      </c>
      <c r="K219" s="455">
        <f t="shared" si="77"/>
        <v>89822.987264109775</v>
      </c>
      <c r="L219" s="455">
        <f t="shared" si="77"/>
        <v>51822.987264109775</v>
      </c>
      <c r="M219" s="455">
        <f t="shared" si="77"/>
        <v>6522.9872641097754</v>
      </c>
      <c r="N219" s="455">
        <f t="shared" si="77"/>
        <v>62845.072264109738</v>
      </c>
      <c r="O219" s="455">
        <f t="shared" si="77"/>
        <v>190129.87226411002</v>
      </c>
      <c r="P219" s="455">
        <f t="shared" si="77"/>
        <v>-2646476.5277358904</v>
      </c>
      <c r="Q219" s="455">
        <f t="shared" si="77"/>
        <v>734386.4722641093</v>
      </c>
      <c r="R219" s="455">
        <f t="shared" si="77"/>
        <v>467386.4722641093</v>
      </c>
      <c r="S219" s="455">
        <f t="shared" si="77"/>
        <v>4194545.9722641092</v>
      </c>
      <c r="T219" s="455">
        <f t="shared" si="77"/>
        <v>4321418.4872641098</v>
      </c>
      <c r="U219" s="455">
        <f t="shared" si="77"/>
        <v>358585625</v>
      </c>
      <c r="V219" s="455">
        <f t="shared" si="77"/>
        <v>0</v>
      </c>
      <c r="W219" s="455">
        <f t="shared" si="77"/>
        <v>0</v>
      </c>
      <c r="X219" s="455">
        <f t="shared" si="77"/>
        <v>0</v>
      </c>
      <c r="Y219" s="455">
        <f t="shared" si="77"/>
        <v>0</v>
      </c>
      <c r="Z219" s="455">
        <f t="shared" si="77"/>
        <v>0</v>
      </c>
      <c r="AA219" s="455">
        <f t="shared" si="77"/>
        <v>0</v>
      </c>
      <c r="AB219" s="455">
        <f t="shared" si="77"/>
        <v>0</v>
      </c>
      <c r="AC219" s="558">
        <f t="shared" si="77"/>
        <v>0</v>
      </c>
      <c r="AD219" s="136"/>
    </row>
    <row r="220" spans="1:74" ht="22.5" x14ac:dyDescent="0.2">
      <c r="A220" s="136"/>
      <c r="B220" s="256" t="s">
        <v>44</v>
      </c>
      <c r="C220" s="463">
        <f>(E214-E209)/C113</f>
        <v>0.32238052506833659</v>
      </c>
      <c r="D220" s="529"/>
      <c r="E220" s="537"/>
      <c r="F220" s="545"/>
      <c r="G220" s="441"/>
      <c r="H220" s="441"/>
      <c r="I220" s="441"/>
      <c r="J220" s="441"/>
      <c r="K220" s="441"/>
      <c r="L220" s="441"/>
      <c r="M220" s="441"/>
      <c r="N220" s="441"/>
      <c r="O220" s="441"/>
      <c r="P220" s="441"/>
      <c r="Q220" s="441"/>
      <c r="R220" s="441"/>
      <c r="S220" s="441"/>
      <c r="T220" s="441"/>
      <c r="U220" s="441"/>
      <c r="V220" s="441"/>
      <c r="W220" s="441"/>
      <c r="X220" s="441"/>
      <c r="Y220" s="441"/>
      <c r="Z220" s="441"/>
      <c r="AA220" s="441"/>
      <c r="AB220" s="441"/>
      <c r="AC220" s="444"/>
      <c r="AD220" s="136"/>
    </row>
    <row r="221" spans="1:74" ht="22.5" x14ac:dyDescent="0.2">
      <c r="A221" s="136"/>
      <c r="B221" s="249" t="s">
        <v>46</v>
      </c>
      <c r="C221" s="530">
        <f>(E214-E209)/G24</f>
        <v>0.73779482865742196</v>
      </c>
      <c r="D221" s="531"/>
      <c r="E221" s="537"/>
      <c r="F221" s="546">
        <f>F219</f>
        <v>1022014.9872641098</v>
      </c>
      <c r="G221" s="442">
        <f>F221+G219</f>
        <v>1076924.9745282196</v>
      </c>
      <c r="H221" s="442">
        <f t="shared" ref="H221:AC221" si="78">G221+H219</f>
        <v>1492764.9617923293</v>
      </c>
      <c r="I221" s="442">
        <f t="shared" si="78"/>
        <v>1642951.9490564391</v>
      </c>
      <c r="J221" s="442">
        <f t="shared" si="78"/>
        <v>2296474.9363205489</v>
      </c>
      <c r="K221" s="442">
        <f t="shared" si="78"/>
        <v>2386297.9235846587</v>
      </c>
      <c r="L221" s="442">
        <f t="shared" si="78"/>
        <v>2438120.9108487684</v>
      </c>
      <c r="M221" s="442">
        <f t="shared" si="78"/>
        <v>2444643.8981128782</v>
      </c>
      <c r="N221" s="442">
        <f>M221+N219</f>
        <v>2507488.9703769879</v>
      </c>
      <c r="O221" s="442">
        <f t="shared" si="78"/>
        <v>2697618.842641098</v>
      </c>
      <c r="P221" s="442">
        <f t="shared" si="78"/>
        <v>51142.314905207604</v>
      </c>
      <c r="Q221" s="442">
        <f t="shared" si="78"/>
        <v>785528.7871693169</v>
      </c>
      <c r="R221" s="442">
        <f t="shared" si="78"/>
        <v>1252915.2594334262</v>
      </c>
      <c r="S221" s="442">
        <f t="shared" si="78"/>
        <v>5447461.2316975351</v>
      </c>
      <c r="T221" s="442">
        <f t="shared" si="78"/>
        <v>9768879.7189616449</v>
      </c>
      <c r="U221" s="442">
        <f t="shared" si="78"/>
        <v>368354504.71896166</v>
      </c>
      <c r="V221" s="442">
        <f t="shared" si="78"/>
        <v>368354504.71896166</v>
      </c>
      <c r="W221" s="442">
        <f t="shared" si="78"/>
        <v>368354504.71896166</v>
      </c>
      <c r="X221" s="442">
        <f t="shared" si="78"/>
        <v>368354504.71896166</v>
      </c>
      <c r="Y221" s="442">
        <f t="shared" si="78"/>
        <v>368354504.71896166</v>
      </c>
      <c r="Z221" s="442">
        <f t="shared" si="78"/>
        <v>368354504.71896166</v>
      </c>
      <c r="AA221" s="442">
        <f t="shared" si="78"/>
        <v>368354504.71896166</v>
      </c>
      <c r="AB221" s="442">
        <f t="shared" si="78"/>
        <v>368354504.71896166</v>
      </c>
      <c r="AC221" s="447">
        <f t="shared" si="78"/>
        <v>368354504.71896166</v>
      </c>
      <c r="AD221" s="136"/>
    </row>
    <row r="222" spans="1:74" ht="23.25" thickBot="1" x14ac:dyDescent="0.25">
      <c r="A222" s="136"/>
      <c r="B222" s="274" t="s">
        <v>242</v>
      </c>
      <c r="C222" s="532">
        <f>C221/D120</f>
        <v>0.19485898151950726</v>
      </c>
      <c r="D222" s="533"/>
      <c r="E222" s="538"/>
      <c r="F222" s="547"/>
      <c r="G222" s="456"/>
      <c r="H222" s="456"/>
      <c r="I222" s="456"/>
      <c r="J222" s="456"/>
      <c r="K222" s="456"/>
      <c r="L222" s="456"/>
      <c r="M222" s="456"/>
      <c r="N222" s="456"/>
      <c r="O222" s="456"/>
      <c r="P222" s="456"/>
      <c r="Q222" s="456"/>
      <c r="R222" s="456"/>
      <c r="S222" s="456"/>
      <c r="T222" s="456"/>
      <c r="U222" s="456"/>
      <c r="V222" s="456"/>
      <c r="W222" s="456"/>
      <c r="X222" s="456"/>
      <c r="Y222" s="456"/>
      <c r="Z222" s="456"/>
      <c r="AA222" s="456"/>
      <c r="AB222" s="456"/>
      <c r="AC222" s="559"/>
      <c r="AD222" s="136"/>
    </row>
    <row r="223" spans="1:74" x14ac:dyDescent="0.2">
      <c r="A223" s="136"/>
      <c r="B223" s="534" t="b">
        <f>SUM(C219:D222)=SUM(C27:C30)</f>
        <v>1</v>
      </c>
      <c r="C223" s="534"/>
      <c r="D223" s="534"/>
      <c r="E223" s="356"/>
      <c r="F223" s="151"/>
      <c r="G223" s="151"/>
      <c r="H223" s="151"/>
      <c r="I223" s="151"/>
      <c r="J223" s="151"/>
      <c r="K223" s="151"/>
      <c r="L223" s="151"/>
      <c r="M223" s="151"/>
      <c r="N223" s="151">
        <f>N221*70%</f>
        <v>1755242.2792638915</v>
      </c>
      <c r="O223" s="151">
        <f>O221*70%</f>
        <v>1888333.1898487685</v>
      </c>
      <c r="P223" s="151">
        <f>P221*70%</f>
        <v>35799.620433645323</v>
      </c>
      <c r="Q223" s="151">
        <f>Q221*70%</f>
        <v>549870.15101852175</v>
      </c>
      <c r="R223" s="151">
        <f t="shared" ref="R223:AC223" si="79">R221*70%</f>
        <v>877040.68160339829</v>
      </c>
      <c r="S223" s="151">
        <f t="shared" si="79"/>
        <v>3813222.8621882745</v>
      </c>
      <c r="T223" s="151">
        <f t="shared" si="79"/>
        <v>6838215.8032731507</v>
      </c>
      <c r="U223" s="151">
        <f t="shared" si="79"/>
        <v>257848153.30327314</v>
      </c>
      <c r="V223" s="151">
        <f t="shared" si="79"/>
        <v>257848153.30327314</v>
      </c>
      <c r="W223" s="151">
        <f t="shared" si="79"/>
        <v>257848153.30327314</v>
      </c>
      <c r="X223" s="151">
        <f t="shared" si="79"/>
        <v>257848153.30327314</v>
      </c>
      <c r="Y223" s="151">
        <f t="shared" si="79"/>
        <v>257848153.30327314</v>
      </c>
      <c r="Z223" s="151">
        <f t="shared" si="79"/>
        <v>257848153.30327314</v>
      </c>
      <c r="AA223" s="151">
        <f t="shared" si="79"/>
        <v>257848153.30327314</v>
      </c>
      <c r="AB223" s="151">
        <f t="shared" si="79"/>
        <v>257848153.30327314</v>
      </c>
      <c r="AC223" s="151">
        <f t="shared" si="79"/>
        <v>257848153.30327314</v>
      </c>
      <c r="AD223" s="136"/>
    </row>
    <row r="224" spans="1:74" x14ac:dyDescent="0.2">
      <c r="A224" s="136"/>
      <c r="AD224" s="139"/>
      <c r="AE224" s="139"/>
      <c r="AF224" s="139"/>
      <c r="AG224" s="139"/>
      <c r="AH224" s="139"/>
      <c r="AI224" s="139"/>
      <c r="AJ224" s="139"/>
      <c r="AK224" s="139"/>
      <c r="AL224" s="139"/>
      <c r="AM224" s="139"/>
      <c r="AN224" s="139"/>
      <c r="AO224" s="139"/>
      <c r="AP224" s="139"/>
      <c r="AQ224" s="139"/>
      <c r="AR224" s="139"/>
      <c r="AS224" s="139"/>
      <c r="AT224" s="139"/>
      <c r="AU224" s="139"/>
      <c r="AV224" s="139"/>
      <c r="AW224" s="139"/>
      <c r="AX224" s="139"/>
      <c r="AY224" s="139"/>
      <c r="AZ224" s="139"/>
      <c r="BA224" s="139"/>
      <c r="BB224" s="139"/>
      <c r="BC224" s="139"/>
      <c r="BD224" s="139"/>
      <c r="BE224" s="139"/>
      <c r="BF224" s="139"/>
      <c r="BG224" s="139"/>
      <c r="BH224" s="139"/>
      <c r="BI224" s="139"/>
      <c r="BJ224" s="139"/>
      <c r="BK224" s="139"/>
      <c r="BL224" s="139"/>
      <c r="BM224" s="139"/>
      <c r="BN224" s="139"/>
      <c r="BO224" s="139"/>
      <c r="BP224" s="139"/>
      <c r="BQ224" s="139"/>
      <c r="BR224" s="139"/>
      <c r="BS224" s="139"/>
      <c r="BT224" s="139"/>
      <c r="BU224" s="139"/>
      <c r="BV224" s="139"/>
    </row>
    <row r="225" spans="1:74" x14ac:dyDescent="0.2">
      <c r="A225" s="136"/>
      <c r="AD225" s="139"/>
      <c r="AE225" s="139"/>
      <c r="AF225" s="139"/>
      <c r="AG225" s="139"/>
      <c r="AH225" s="139"/>
      <c r="AI225" s="139"/>
      <c r="AJ225" s="139"/>
      <c r="AK225" s="139"/>
      <c r="AL225" s="139"/>
      <c r="AM225" s="139"/>
      <c r="AN225" s="139"/>
      <c r="AO225" s="139"/>
      <c r="AP225" s="139"/>
      <c r="AQ225" s="139"/>
      <c r="AR225" s="139"/>
      <c r="AS225" s="139"/>
      <c r="AT225" s="139"/>
      <c r="AU225" s="139"/>
      <c r="AV225" s="139"/>
      <c r="AW225" s="139"/>
      <c r="AX225" s="139"/>
      <c r="AY225" s="139"/>
      <c r="AZ225" s="139"/>
      <c r="BA225" s="139"/>
      <c r="BB225" s="139"/>
      <c r="BC225" s="139"/>
      <c r="BD225" s="139"/>
      <c r="BE225" s="139"/>
      <c r="BF225" s="139"/>
      <c r="BG225" s="139"/>
      <c r="BH225" s="139"/>
      <c r="BI225" s="139"/>
      <c r="BJ225" s="139"/>
      <c r="BK225" s="139"/>
      <c r="BL225" s="139"/>
      <c r="BM225" s="139"/>
      <c r="BN225" s="139"/>
      <c r="BO225" s="139"/>
      <c r="BP225" s="139"/>
      <c r="BQ225" s="139"/>
      <c r="BR225" s="139"/>
      <c r="BS225" s="139"/>
      <c r="BT225" s="139"/>
      <c r="BU225" s="139"/>
      <c r="BV225" s="139"/>
    </row>
    <row r="226" spans="1:74" x14ac:dyDescent="0.2">
      <c r="A226" s="136"/>
      <c r="AD226" s="139"/>
      <c r="AE226" s="139"/>
      <c r="AF226" s="139"/>
      <c r="AG226" s="139"/>
      <c r="AH226" s="139"/>
      <c r="AI226" s="139"/>
      <c r="AJ226" s="139"/>
      <c r="AK226" s="139"/>
      <c r="AL226" s="139"/>
      <c r="AM226" s="139"/>
      <c r="AN226" s="139"/>
      <c r="AO226" s="139"/>
      <c r="AP226" s="139"/>
      <c r="AQ226" s="139"/>
      <c r="AR226" s="139"/>
      <c r="AS226" s="139"/>
      <c r="AT226" s="139"/>
      <c r="AU226" s="139"/>
      <c r="AV226" s="139"/>
      <c r="AW226" s="139"/>
      <c r="AX226" s="139"/>
      <c r="AY226" s="139"/>
      <c r="AZ226" s="139"/>
      <c r="BA226" s="139"/>
      <c r="BB226" s="139"/>
      <c r="BC226" s="139"/>
      <c r="BD226" s="139"/>
      <c r="BE226" s="139"/>
      <c r="BF226" s="139"/>
      <c r="BG226" s="139"/>
      <c r="BH226" s="139"/>
      <c r="BI226" s="139"/>
      <c r="BJ226" s="139"/>
      <c r="BK226" s="139"/>
      <c r="BL226" s="139"/>
      <c r="BM226" s="139"/>
      <c r="BN226" s="139"/>
      <c r="BO226" s="139"/>
      <c r="BP226" s="139"/>
      <c r="BQ226" s="139"/>
      <c r="BR226" s="139"/>
      <c r="BS226" s="139"/>
      <c r="BT226" s="139"/>
      <c r="BU226" s="139"/>
      <c r="BV226" s="139"/>
    </row>
    <row r="227" spans="1:74" x14ac:dyDescent="0.2">
      <c r="A227" s="136"/>
      <c r="B227" s="136"/>
      <c r="C227" s="136"/>
      <c r="D227" s="136"/>
      <c r="E227" s="136"/>
      <c r="F227" s="136"/>
      <c r="G227" s="136"/>
      <c r="H227" s="136"/>
      <c r="I227" s="136"/>
      <c r="AC227" s="139"/>
      <c r="AD227" s="139"/>
      <c r="AE227" s="139"/>
      <c r="AF227" s="139"/>
      <c r="AG227" s="139"/>
      <c r="AH227" s="139"/>
      <c r="AI227" s="139"/>
      <c r="AJ227" s="139"/>
      <c r="AK227" s="139"/>
      <c r="AL227" s="139"/>
      <c r="AM227" s="139"/>
      <c r="AN227" s="139"/>
      <c r="AO227" s="139"/>
      <c r="AP227" s="139"/>
      <c r="AQ227" s="139"/>
      <c r="AR227" s="139"/>
      <c r="AS227" s="139"/>
      <c r="AT227" s="139"/>
      <c r="AU227" s="139"/>
      <c r="AV227" s="139"/>
      <c r="AW227" s="139"/>
      <c r="AX227" s="139"/>
      <c r="AY227" s="139"/>
      <c r="AZ227" s="139"/>
      <c r="BA227" s="139"/>
      <c r="BB227" s="139"/>
      <c r="BC227" s="139"/>
      <c r="BD227" s="139"/>
      <c r="BE227" s="139"/>
      <c r="BF227" s="139"/>
      <c r="BG227" s="139"/>
      <c r="BH227" s="139"/>
      <c r="BI227" s="139"/>
      <c r="BJ227" s="139"/>
      <c r="BK227" s="139"/>
      <c r="BL227" s="139"/>
      <c r="BM227" s="139"/>
      <c r="BN227" s="139"/>
      <c r="BO227" s="139"/>
      <c r="BP227" s="139"/>
      <c r="BQ227" s="139"/>
      <c r="BR227" s="139"/>
      <c r="BS227" s="139"/>
      <c r="BT227" s="139"/>
      <c r="BU227" s="139"/>
      <c r="BV227" s="139"/>
    </row>
    <row r="228" spans="1:74" x14ac:dyDescent="0.2">
      <c r="A228" s="136"/>
      <c r="I228" s="136"/>
      <c r="AC228" s="139"/>
      <c r="AD228" s="139"/>
      <c r="AE228" s="139"/>
      <c r="AF228" s="139"/>
      <c r="AG228" s="139"/>
      <c r="AH228" s="139"/>
      <c r="AI228" s="139"/>
      <c r="AJ228" s="139"/>
      <c r="AK228" s="139"/>
      <c r="AL228" s="139"/>
      <c r="AM228" s="139"/>
      <c r="AN228" s="139"/>
      <c r="AO228" s="139"/>
      <c r="AP228" s="139"/>
      <c r="AQ228" s="139"/>
      <c r="AR228" s="139"/>
      <c r="AS228" s="139"/>
      <c r="AT228" s="139"/>
      <c r="AU228" s="139"/>
      <c r="AV228" s="139"/>
      <c r="AW228" s="139"/>
      <c r="AX228" s="139"/>
      <c r="AY228" s="139"/>
      <c r="AZ228" s="139"/>
      <c r="BA228" s="139"/>
      <c r="BB228" s="139"/>
      <c r="BC228" s="139"/>
      <c r="BD228" s="139"/>
      <c r="BE228" s="139"/>
      <c r="BF228" s="139"/>
      <c r="BG228" s="139"/>
      <c r="BH228" s="139"/>
      <c r="BI228" s="139"/>
      <c r="BJ228" s="139"/>
      <c r="BK228" s="139"/>
      <c r="BL228" s="139"/>
      <c r="BM228" s="139"/>
      <c r="BN228" s="139"/>
      <c r="BO228" s="139"/>
      <c r="BP228" s="139"/>
      <c r="BQ228" s="139"/>
      <c r="BR228" s="139"/>
      <c r="BS228" s="139"/>
      <c r="BT228" s="139"/>
      <c r="BU228" s="139"/>
      <c r="BV228" s="139"/>
    </row>
    <row r="229" spans="1:74" x14ac:dyDescent="0.2">
      <c r="A229" s="136"/>
      <c r="I229" s="290"/>
      <c r="AC229" s="139"/>
      <c r="AD229" s="139"/>
      <c r="AE229" s="139"/>
      <c r="AF229" s="139"/>
      <c r="AG229" s="139"/>
      <c r="AH229" s="139"/>
      <c r="AI229" s="139"/>
      <c r="AJ229" s="139"/>
      <c r="AK229" s="139"/>
      <c r="AL229" s="139"/>
      <c r="AM229" s="139"/>
      <c r="AN229" s="139"/>
      <c r="AO229" s="139"/>
      <c r="AP229" s="139"/>
      <c r="AQ229" s="139"/>
      <c r="AR229" s="139"/>
      <c r="AS229" s="139"/>
      <c r="AT229" s="139"/>
      <c r="AU229" s="139"/>
      <c r="AV229" s="139"/>
      <c r="AW229" s="139"/>
      <c r="AX229" s="139"/>
      <c r="AY229" s="139"/>
      <c r="AZ229" s="139"/>
      <c r="BA229" s="139"/>
      <c r="BB229" s="139"/>
      <c r="BC229" s="139"/>
      <c r="BD229" s="139"/>
      <c r="BE229" s="139"/>
      <c r="BF229" s="139"/>
      <c r="BG229" s="139"/>
      <c r="BH229" s="139"/>
      <c r="BI229" s="139"/>
      <c r="BJ229" s="139"/>
      <c r="BK229" s="139"/>
      <c r="BL229" s="139"/>
      <c r="BM229" s="139"/>
      <c r="BN229" s="139"/>
      <c r="BO229" s="139"/>
      <c r="BP229" s="139"/>
      <c r="BQ229" s="139"/>
      <c r="BR229" s="139"/>
      <c r="BS229" s="139"/>
      <c r="BT229" s="139"/>
      <c r="BU229" s="139"/>
      <c r="BV229" s="139"/>
    </row>
    <row r="230" spans="1:74" x14ac:dyDescent="0.2">
      <c r="A230" s="136"/>
      <c r="I230" s="290"/>
      <c r="AC230" s="139"/>
      <c r="AD230" s="139"/>
      <c r="AE230" s="139"/>
      <c r="AF230" s="139"/>
      <c r="AG230" s="139"/>
      <c r="AH230" s="139"/>
      <c r="AI230" s="139"/>
      <c r="AJ230" s="139"/>
      <c r="AK230" s="139"/>
      <c r="AL230" s="139"/>
      <c r="AM230" s="139"/>
      <c r="AN230" s="139"/>
      <c r="AO230" s="139"/>
      <c r="AP230" s="139"/>
      <c r="AQ230" s="139"/>
      <c r="AR230" s="139"/>
      <c r="AS230" s="139"/>
      <c r="AT230" s="139"/>
      <c r="AU230" s="139"/>
      <c r="AV230" s="139"/>
      <c r="AW230" s="139"/>
      <c r="AX230" s="139"/>
      <c r="AY230" s="139"/>
      <c r="AZ230" s="139"/>
      <c r="BA230" s="139"/>
      <c r="BB230" s="139"/>
      <c r="BC230" s="139"/>
      <c r="BD230" s="139"/>
      <c r="BE230" s="139"/>
      <c r="BF230" s="139"/>
      <c r="BG230" s="139"/>
      <c r="BH230" s="139"/>
      <c r="BI230" s="139"/>
      <c r="BJ230" s="139"/>
      <c r="BK230" s="139"/>
      <c r="BL230" s="139"/>
      <c r="BM230" s="139"/>
      <c r="BN230" s="139"/>
      <c r="BO230" s="139"/>
      <c r="BP230" s="139"/>
      <c r="BQ230" s="139"/>
      <c r="BR230" s="139"/>
      <c r="BS230" s="139"/>
      <c r="BT230" s="139"/>
      <c r="BU230" s="139"/>
      <c r="BV230" s="139"/>
    </row>
    <row r="231" spans="1:74" x14ac:dyDescent="0.2">
      <c r="A231" s="136"/>
      <c r="I231" s="290"/>
      <c r="AC231" s="139"/>
      <c r="AD231" s="139"/>
      <c r="AE231" s="139"/>
      <c r="AF231" s="139"/>
      <c r="AG231" s="139"/>
      <c r="AH231" s="139"/>
      <c r="AI231" s="139"/>
      <c r="AJ231" s="139"/>
      <c r="AK231" s="139"/>
      <c r="AL231" s="139"/>
      <c r="AM231" s="139"/>
      <c r="AN231" s="139"/>
      <c r="AO231" s="139"/>
      <c r="AP231" s="139"/>
      <c r="AQ231" s="139"/>
      <c r="AR231" s="139"/>
      <c r="AS231" s="139"/>
      <c r="AT231" s="139"/>
      <c r="AU231" s="139"/>
      <c r="AV231" s="139"/>
      <c r="AW231" s="139"/>
      <c r="AX231" s="139"/>
      <c r="AY231" s="139"/>
      <c r="AZ231" s="139"/>
      <c r="BA231" s="139"/>
      <c r="BB231" s="139"/>
      <c r="BC231" s="139"/>
      <c r="BD231" s="139"/>
      <c r="BE231" s="139"/>
      <c r="BF231" s="139"/>
      <c r="BG231" s="139"/>
      <c r="BH231" s="139"/>
      <c r="BI231" s="139"/>
      <c r="BJ231" s="139"/>
      <c r="BK231" s="139"/>
      <c r="BL231" s="139"/>
      <c r="BM231" s="139"/>
      <c r="BN231" s="139"/>
      <c r="BO231" s="139"/>
      <c r="BP231" s="139"/>
      <c r="BQ231" s="139"/>
      <c r="BR231" s="139"/>
      <c r="BS231" s="139"/>
      <c r="BT231" s="139"/>
      <c r="BU231" s="139"/>
      <c r="BV231" s="139"/>
    </row>
    <row r="232" spans="1:74" x14ac:dyDescent="0.2">
      <c r="A232" s="136"/>
      <c r="I232" s="290"/>
      <c r="AC232" s="139"/>
      <c r="AD232" s="139"/>
      <c r="AE232" s="139"/>
      <c r="AF232" s="139"/>
      <c r="AG232" s="139"/>
      <c r="AH232" s="139"/>
      <c r="AI232" s="139"/>
      <c r="AJ232" s="139"/>
      <c r="AK232" s="139"/>
      <c r="AL232" s="139"/>
      <c r="AM232" s="139"/>
      <c r="AN232" s="139"/>
      <c r="AO232" s="139"/>
      <c r="AP232" s="139"/>
      <c r="AQ232" s="139"/>
      <c r="AR232" s="139"/>
      <c r="AS232" s="139"/>
      <c r="AT232" s="139"/>
      <c r="AU232" s="139"/>
      <c r="AV232" s="139"/>
      <c r="AW232" s="139"/>
      <c r="AX232" s="139"/>
      <c r="AY232" s="139"/>
      <c r="AZ232" s="139"/>
      <c r="BA232" s="139"/>
      <c r="BB232" s="139"/>
      <c r="BC232" s="139"/>
      <c r="BD232" s="139"/>
      <c r="BE232" s="139"/>
      <c r="BF232" s="139"/>
      <c r="BG232" s="139"/>
      <c r="BH232" s="139"/>
      <c r="BI232" s="139"/>
      <c r="BJ232" s="139"/>
      <c r="BK232" s="139"/>
      <c r="BL232" s="139"/>
      <c r="BM232" s="139"/>
      <c r="BN232" s="139"/>
      <c r="BO232" s="139"/>
      <c r="BP232" s="139"/>
      <c r="BQ232" s="139"/>
      <c r="BR232" s="139"/>
      <c r="BS232" s="139"/>
      <c r="BT232" s="139"/>
      <c r="BU232" s="139"/>
      <c r="BV232" s="139"/>
    </row>
    <row r="233" spans="1:74" x14ac:dyDescent="0.2">
      <c r="A233" s="136"/>
      <c r="I233" s="136"/>
      <c r="AC233" s="139"/>
      <c r="AD233" s="139"/>
      <c r="AE233" s="139"/>
      <c r="AF233" s="139"/>
      <c r="AG233" s="139"/>
      <c r="AH233" s="139"/>
      <c r="AI233" s="139"/>
      <c r="AJ233" s="139"/>
      <c r="AK233" s="139"/>
      <c r="AL233" s="139"/>
      <c r="AM233" s="139"/>
      <c r="AN233" s="139"/>
      <c r="AO233" s="139"/>
      <c r="AP233" s="139"/>
      <c r="AQ233" s="139"/>
      <c r="AR233" s="139"/>
      <c r="AS233" s="139"/>
      <c r="AT233" s="139"/>
      <c r="AU233" s="139"/>
      <c r="AV233" s="139"/>
      <c r="AW233" s="139"/>
      <c r="AX233" s="139"/>
      <c r="AY233" s="139"/>
      <c r="AZ233" s="139"/>
      <c r="BA233" s="139"/>
      <c r="BB233" s="139"/>
      <c r="BC233" s="139"/>
      <c r="BD233" s="139"/>
      <c r="BE233" s="139"/>
      <c r="BF233" s="139"/>
      <c r="BG233" s="139"/>
      <c r="BH233" s="139"/>
      <c r="BI233" s="139"/>
      <c r="BJ233" s="139"/>
      <c r="BK233" s="139"/>
      <c r="BL233" s="139"/>
      <c r="BM233" s="139"/>
      <c r="BN233" s="139"/>
      <c r="BO233" s="139"/>
      <c r="BP233" s="139"/>
      <c r="BQ233" s="139"/>
      <c r="BR233" s="139"/>
      <c r="BS233" s="139"/>
      <c r="BT233" s="139"/>
      <c r="BU233" s="139"/>
      <c r="BV233" s="139"/>
    </row>
    <row r="234" spans="1:74" x14ac:dyDescent="0.2">
      <c r="A234" s="136"/>
      <c r="I234" s="136"/>
      <c r="AC234" s="139"/>
      <c r="AD234" s="139"/>
      <c r="AE234" s="139"/>
      <c r="AF234" s="139"/>
      <c r="AG234" s="139"/>
      <c r="AH234" s="139"/>
      <c r="AI234" s="139"/>
      <c r="AJ234" s="139"/>
      <c r="AK234" s="139"/>
      <c r="AL234" s="139"/>
      <c r="AM234" s="139"/>
      <c r="AN234" s="139"/>
      <c r="AO234" s="139"/>
      <c r="AP234" s="139"/>
      <c r="AQ234" s="139"/>
      <c r="AR234" s="139"/>
      <c r="AS234" s="139"/>
      <c r="AT234" s="139"/>
      <c r="AU234" s="139"/>
      <c r="AV234" s="139"/>
      <c r="AW234" s="139"/>
      <c r="AX234" s="139"/>
      <c r="AY234" s="139"/>
      <c r="AZ234" s="139"/>
      <c r="BA234" s="139"/>
      <c r="BB234" s="139"/>
      <c r="BC234" s="139"/>
      <c r="BD234" s="139"/>
      <c r="BE234" s="139"/>
      <c r="BF234" s="139"/>
      <c r="BG234" s="139"/>
      <c r="BH234" s="139"/>
      <c r="BI234" s="139"/>
      <c r="BJ234" s="139"/>
      <c r="BK234" s="139"/>
      <c r="BL234" s="139"/>
      <c r="BM234" s="139"/>
      <c r="BN234" s="139"/>
      <c r="BO234" s="139"/>
      <c r="BP234" s="139"/>
      <c r="BQ234" s="139"/>
      <c r="BR234" s="139"/>
      <c r="BS234" s="139"/>
      <c r="BT234" s="139"/>
      <c r="BU234" s="139"/>
      <c r="BV234" s="139"/>
    </row>
    <row r="235" spans="1:74" x14ac:dyDescent="0.2">
      <c r="A235" s="136"/>
      <c r="B235" s="136"/>
      <c r="C235" s="136"/>
      <c r="D235" s="136"/>
      <c r="E235" s="136"/>
      <c r="F235" s="136"/>
      <c r="G235" s="136"/>
      <c r="H235" s="136"/>
      <c r="I235" s="136"/>
      <c r="AC235" s="139"/>
      <c r="AD235" s="139"/>
      <c r="AE235" s="139"/>
      <c r="AF235" s="139"/>
      <c r="AG235" s="139"/>
      <c r="AH235" s="139"/>
      <c r="AI235" s="139"/>
      <c r="AJ235" s="139"/>
      <c r="AK235" s="139"/>
      <c r="AL235" s="139"/>
      <c r="AM235" s="139"/>
      <c r="AN235" s="139"/>
      <c r="AO235" s="139"/>
      <c r="AP235" s="139"/>
      <c r="AQ235" s="139"/>
      <c r="AR235" s="139"/>
      <c r="AS235" s="139"/>
      <c r="AT235" s="139"/>
      <c r="AU235" s="139"/>
      <c r="AV235" s="139"/>
      <c r="AW235" s="139"/>
      <c r="AX235" s="139"/>
      <c r="AY235" s="139"/>
      <c r="AZ235" s="139"/>
      <c r="BA235" s="139"/>
      <c r="BB235" s="139"/>
      <c r="BC235" s="139"/>
      <c r="BD235" s="139"/>
      <c r="BE235" s="139"/>
      <c r="BF235" s="139"/>
      <c r="BG235" s="139"/>
      <c r="BH235" s="139"/>
      <c r="BI235" s="139"/>
      <c r="BJ235" s="139"/>
      <c r="BK235" s="139"/>
      <c r="BL235" s="139"/>
      <c r="BM235" s="139"/>
      <c r="BN235" s="139"/>
      <c r="BO235" s="139"/>
      <c r="BP235" s="139"/>
      <c r="BQ235" s="139"/>
      <c r="BR235" s="139"/>
      <c r="BS235" s="139"/>
      <c r="BT235" s="139"/>
      <c r="BU235" s="139"/>
      <c r="BV235" s="139"/>
    </row>
    <row r="236" spans="1:74" x14ac:dyDescent="0.2">
      <c r="A236" s="136"/>
      <c r="B236" s="136"/>
      <c r="C236" s="136"/>
      <c r="D236" s="136"/>
      <c r="E236" s="136"/>
      <c r="F236" s="136"/>
      <c r="G236" s="136"/>
      <c r="H236" s="136"/>
      <c r="I236" s="136"/>
      <c r="AC236" s="139"/>
      <c r="AD236" s="139"/>
      <c r="AE236" s="139"/>
      <c r="AF236" s="139"/>
      <c r="AG236" s="139"/>
      <c r="AH236" s="139"/>
      <c r="AI236" s="139"/>
      <c r="AJ236" s="139"/>
      <c r="AK236" s="139"/>
      <c r="AL236" s="139"/>
      <c r="AM236" s="139"/>
      <c r="AN236" s="139"/>
      <c r="AO236" s="139"/>
      <c r="AP236" s="139"/>
      <c r="AQ236" s="139"/>
      <c r="AR236" s="139"/>
      <c r="AS236" s="139"/>
      <c r="AT236" s="139"/>
      <c r="AU236" s="139"/>
      <c r="AV236" s="139"/>
      <c r="AW236" s="139"/>
      <c r="AX236" s="139"/>
      <c r="AY236" s="139"/>
      <c r="AZ236" s="139"/>
      <c r="BA236" s="139"/>
      <c r="BB236" s="139"/>
      <c r="BC236" s="139"/>
      <c r="BD236" s="139"/>
      <c r="BE236" s="139"/>
      <c r="BF236" s="139"/>
      <c r="BG236" s="139"/>
      <c r="BH236" s="139"/>
      <c r="BI236" s="139"/>
      <c r="BJ236" s="139"/>
      <c r="BK236" s="139"/>
      <c r="BL236" s="139"/>
      <c r="BM236" s="139"/>
      <c r="BN236" s="139"/>
      <c r="BO236" s="139"/>
      <c r="BP236" s="139"/>
      <c r="BQ236" s="139"/>
      <c r="BR236" s="139"/>
      <c r="BS236" s="139"/>
      <c r="BT236" s="139"/>
      <c r="BU236" s="139"/>
      <c r="BV236" s="139"/>
    </row>
    <row r="237" spans="1:74" x14ac:dyDescent="0.2">
      <c r="A237" s="136"/>
      <c r="B237" s="136"/>
      <c r="C237" s="136"/>
      <c r="D237" s="136"/>
      <c r="E237" s="136"/>
      <c r="F237" s="136"/>
      <c r="G237" s="136"/>
      <c r="H237" s="136"/>
      <c r="I237" s="136"/>
      <c r="AC237" s="139"/>
      <c r="AD237" s="139"/>
      <c r="AE237" s="139"/>
      <c r="AF237" s="139"/>
      <c r="AG237" s="139"/>
      <c r="AH237" s="139"/>
      <c r="AI237" s="139"/>
      <c r="AJ237" s="139"/>
      <c r="AK237" s="139"/>
      <c r="AL237" s="139"/>
      <c r="AM237" s="139"/>
      <c r="AN237" s="139"/>
      <c r="AO237" s="139"/>
      <c r="AP237" s="139"/>
      <c r="AQ237" s="139"/>
      <c r="AR237" s="139"/>
      <c r="AS237" s="139"/>
      <c r="AT237" s="139"/>
      <c r="AU237" s="139"/>
      <c r="AV237" s="139"/>
      <c r="AW237" s="139"/>
      <c r="AX237" s="139"/>
      <c r="AY237" s="139"/>
      <c r="AZ237" s="139"/>
      <c r="BA237" s="139"/>
      <c r="BB237" s="139"/>
      <c r="BC237" s="139"/>
      <c r="BD237" s="139"/>
      <c r="BE237" s="139"/>
      <c r="BF237" s="139"/>
      <c r="BG237" s="139"/>
      <c r="BH237" s="139"/>
      <c r="BI237" s="139"/>
      <c r="BJ237" s="139"/>
      <c r="BK237" s="139"/>
      <c r="BL237" s="139"/>
      <c r="BM237" s="139"/>
      <c r="BN237" s="139"/>
      <c r="BO237" s="139"/>
      <c r="BP237" s="139"/>
      <c r="BQ237" s="139"/>
      <c r="BR237" s="139"/>
      <c r="BS237" s="139"/>
      <c r="BT237" s="139"/>
      <c r="BU237" s="139"/>
      <c r="BV237" s="139"/>
    </row>
    <row r="238" spans="1:74" ht="12" thickBot="1" x14ac:dyDescent="0.25">
      <c r="A238" s="136"/>
      <c r="AC238" s="139"/>
      <c r="AD238" s="139"/>
      <c r="AE238" s="139"/>
      <c r="AF238" s="139"/>
      <c r="AG238" s="139"/>
      <c r="AH238" s="139"/>
      <c r="AI238" s="139"/>
      <c r="AJ238" s="139"/>
      <c r="AK238" s="139"/>
      <c r="AL238" s="139"/>
      <c r="AM238" s="139"/>
      <c r="AN238" s="139"/>
      <c r="AO238" s="139"/>
      <c r="AP238" s="139"/>
      <c r="AQ238" s="139"/>
      <c r="AR238" s="139"/>
      <c r="AS238" s="139"/>
      <c r="AT238" s="139"/>
      <c r="AU238" s="139"/>
      <c r="AV238" s="139"/>
      <c r="AW238" s="139"/>
      <c r="AX238" s="139"/>
      <c r="AY238" s="139"/>
      <c r="AZ238" s="139"/>
      <c r="BA238" s="139"/>
      <c r="BB238" s="139"/>
      <c r="BC238" s="139"/>
      <c r="BD238" s="139"/>
      <c r="BE238" s="139"/>
      <c r="BF238" s="139"/>
      <c r="BG238" s="139"/>
      <c r="BH238" s="139"/>
      <c r="BI238" s="139"/>
      <c r="BJ238" s="139"/>
      <c r="BK238" s="139"/>
      <c r="BL238" s="139"/>
      <c r="BM238" s="139"/>
      <c r="BN238" s="139"/>
      <c r="BO238" s="139"/>
      <c r="BP238" s="139"/>
      <c r="BQ238" s="139"/>
      <c r="BR238" s="139"/>
      <c r="BS238" s="139"/>
      <c r="BT238" s="139"/>
      <c r="BU238" s="139"/>
      <c r="BV238" s="139"/>
    </row>
    <row r="239" spans="1:74" ht="12.75" x14ac:dyDescent="0.2">
      <c r="A239" s="136"/>
      <c r="B239" s="459" t="s">
        <v>248</v>
      </c>
      <c r="C239" s="460"/>
      <c r="D239" s="460"/>
      <c r="E239" s="460"/>
      <c r="F239" s="460"/>
      <c r="G239" s="460"/>
      <c r="H239" s="460"/>
      <c r="I239" s="460"/>
      <c r="J239" s="460"/>
      <c r="K239" s="460"/>
      <c r="L239" s="460"/>
      <c r="M239" s="460"/>
      <c r="N239" s="460"/>
      <c r="O239" s="460"/>
      <c r="P239" s="460"/>
      <c r="Q239" s="460"/>
      <c r="R239" s="460"/>
      <c r="S239" s="460"/>
      <c r="T239" s="460"/>
      <c r="U239" s="460"/>
      <c r="V239" s="460"/>
      <c r="W239" s="460"/>
      <c r="X239" s="460"/>
      <c r="Y239" s="460"/>
      <c r="Z239" s="460"/>
      <c r="AA239" s="460"/>
      <c r="AB239" s="460"/>
      <c r="AC239" s="461"/>
      <c r="AD239" s="139"/>
      <c r="AE239" s="139"/>
      <c r="AF239" s="139"/>
      <c r="AG239" s="139"/>
      <c r="AH239" s="139"/>
      <c r="AI239" s="139"/>
      <c r="AJ239" s="139"/>
      <c r="AK239" s="139"/>
      <c r="AL239" s="139"/>
      <c r="AM239" s="139"/>
      <c r="AN239" s="139"/>
      <c r="AO239" s="139"/>
      <c r="AP239" s="139"/>
      <c r="AQ239" s="139"/>
      <c r="AR239" s="139"/>
      <c r="AS239" s="139"/>
      <c r="AT239" s="139"/>
      <c r="AU239" s="139"/>
      <c r="AV239" s="139"/>
      <c r="AW239" s="139"/>
      <c r="AX239" s="139"/>
      <c r="AY239" s="139"/>
      <c r="AZ239" s="139"/>
      <c r="BA239" s="139"/>
      <c r="BB239" s="139"/>
      <c r="BC239" s="139"/>
      <c r="BD239" s="139"/>
      <c r="BE239" s="139"/>
      <c r="BF239" s="139"/>
      <c r="BG239" s="139"/>
      <c r="BH239" s="139"/>
      <c r="BI239" s="139"/>
      <c r="BJ239" s="139"/>
      <c r="BK239" s="139"/>
      <c r="BL239" s="139"/>
      <c r="BM239" s="139"/>
      <c r="BN239" s="139"/>
      <c r="BO239" s="139"/>
      <c r="BP239" s="139"/>
      <c r="BQ239" s="139"/>
      <c r="BR239" s="139"/>
      <c r="BS239" s="139"/>
      <c r="BT239" s="139"/>
      <c r="BU239" s="139"/>
      <c r="BV239" s="139"/>
    </row>
    <row r="240" spans="1:74" x14ac:dyDescent="0.2">
      <c r="A240" s="136"/>
      <c r="B240" s="484" t="s">
        <v>249</v>
      </c>
      <c r="C240" s="484"/>
      <c r="D240" s="484"/>
      <c r="E240" s="485"/>
      <c r="F240" s="454" t="s">
        <v>138</v>
      </c>
      <c r="G240" s="454"/>
      <c r="H240" s="454"/>
      <c r="I240" s="454"/>
      <c r="J240" s="454" t="s">
        <v>140</v>
      </c>
      <c r="K240" s="454"/>
      <c r="L240" s="454"/>
      <c r="M240" s="454"/>
      <c r="N240" s="454" t="s">
        <v>142</v>
      </c>
      <c r="O240" s="454"/>
      <c r="P240" s="454"/>
      <c r="Q240" s="454"/>
      <c r="R240" s="454" t="s">
        <v>144</v>
      </c>
      <c r="S240" s="454"/>
      <c r="T240" s="454"/>
      <c r="U240" s="454"/>
      <c r="V240" s="454" t="s">
        <v>146</v>
      </c>
      <c r="W240" s="454"/>
      <c r="X240" s="454"/>
      <c r="Y240" s="454"/>
      <c r="Z240" s="454" t="s">
        <v>148</v>
      </c>
      <c r="AA240" s="454"/>
      <c r="AB240" s="454"/>
      <c r="AC240" s="462"/>
      <c r="AD240" s="139"/>
      <c r="AE240" s="139"/>
      <c r="AF240" s="139"/>
      <c r="AG240" s="139"/>
      <c r="AH240" s="139"/>
      <c r="AI240" s="139"/>
      <c r="AJ240" s="139"/>
      <c r="AK240" s="139"/>
      <c r="AL240" s="139"/>
      <c r="AM240" s="139"/>
      <c r="AN240" s="139"/>
      <c r="AO240" s="139"/>
      <c r="AP240" s="139"/>
      <c r="AQ240" s="139"/>
      <c r="AR240" s="139"/>
      <c r="AS240" s="139"/>
      <c r="AT240" s="139"/>
      <c r="AU240" s="139"/>
      <c r="AV240" s="139"/>
      <c r="AW240" s="139"/>
      <c r="AX240" s="139"/>
      <c r="AY240" s="139"/>
      <c r="AZ240" s="139"/>
      <c r="BA240" s="139"/>
      <c r="BB240" s="139"/>
      <c r="BC240" s="139"/>
      <c r="BD240" s="139"/>
      <c r="BE240" s="139"/>
      <c r="BF240" s="139"/>
      <c r="BG240" s="139"/>
      <c r="BH240" s="139"/>
      <c r="BI240" s="139"/>
      <c r="BJ240" s="139"/>
      <c r="BK240" s="139"/>
      <c r="BL240" s="139"/>
      <c r="BM240" s="139"/>
      <c r="BN240" s="139"/>
      <c r="BO240" s="139"/>
      <c r="BP240" s="139"/>
      <c r="BQ240" s="139"/>
      <c r="BR240" s="139"/>
      <c r="BS240" s="139"/>
      <c r="BT240" s="139"/>
      <c r="BU240" s="139"/>
      <c r="BV240" s="139"/>
    </row>
    <row r="241" spans="1:74" x14ac:dyDescent="0.2">
      <c r="A241" s="136"/>
      <c r="B241" s="486"/>
      <c r="C241" s="486"/>
      <c r="D241" s="486"/>
      <c r="E241" s="487"/>
      <c r="F241" s="230">
        <f t="shared" ref="F241:AC241" si="80">F176</f>
        <v>46191</v>
      </c>
      <c r="G241" s="230">
        <f t="shared" si="80"/>
        <v>46295</v>
      </c>
      <c r="H241" s="230">
        <f t="shared" si="80"/>
        <v>46387</v>
      </c>
      <c r="I241" s="230">
        <f t="shared" si="80"/>
        <v>46477</v>
      </c>
      <c r="J241" s="230">
        <f t="shared" si="80"/>
        <v>46568</v>
      </c>
      <c r="K241" s="230">
        <f t="shared" si="80"/>
        <v>46660</v>
      </c>
      <c r="L241" s="230">
        <f t="shared" si="80"/>
        <v>46752</v>
      </c>
      <c r="M241" s="230">
        <f t="shared" si="80"/>
        <v>46843</v>
      </c>
      <c r="N241" s="230">
        <f t="shared" si="80"/>
        <v>46934</v>
      </c>
      <c r="O241" s="230">
        <f t="shared" si="80"/>
        <v>47026</v>
      </c>
      <c r="P241" s="230">
        <f t="shared" si="80"/>
        <v>47118</v>
      </c>
      <c r="Q241" s="230">
        <f t="shared" si="80"/>
        <v>47208</v>
      </c>
      <c r="R241" s="230">
        <f t="shared" si="80"/>
        <v>47299</v>
      </c>
      <c r="S241" s="230">
        <f t="shared" si="80"/>
        <v>47391</v>
      </c>
      <c r="T241" s="230">
        <f t="shared" si="80"/>
        <v>47483</v>
      </c>
      <c r="U241" s="230">
        <f t="shared" si="80"/>
        <v>47573</v>
      </c>
      <c r="V241" s="230">
        <f t="shared" si="80"/>
        <v>47664</v>
      </c>
      <c r="W241" s="230">
        <f t="shared" si="80"/>
        <v>47756</v>
      </c>
      <c r="X241" s="230">
        <f t="shared" si="80"/>
        <v>47848</v>
      </c>
      <c r="Y241" s="230">
        <f t="shared" si="80"/>
        <v>47938</v>
      </c>
      <c r="Z241" s="230">
        <f t="shared" si="80"/>
        <v>48029</v>
      </c>
      <c r="AA241" s="230">
        <f t="shared" si="80"/>
        <v>48121</v>
      </c>
      <c r="AB241" s="230">
        <f t="shared" si="80"/>
        <v>48213</v>
      </c>
      <c r="AC241" s="231">
        <f t="shared" si="80"/>
        <v>48304</v>
      </c>
      <c r="AD241" s="139"/>
      <c r="AE241" s="139"/>
      <c r="AF241" s="139"/>
      <c r="AG241" s="139"/>
      <c r="AH241" s="139"/>
      <c r="AI241" s="139"/>
      <c r="AJ241" s="139"/>
      <c r="AK241" s="139"/>
      <c r="AL241" s="139"/>
      <c r="AM241" s="139"/>
      <c r="AN241" s="139"/>
      <c r="AO241" s="139"/>
      <c r="AP241" s="139"/>
      <c r="AQ241" s="139"/>
      <c r="AR241" s="139"/>
      <c r="AS241" s="139"/>
      <c r="AT241" s="139"/>
      <c r="AU241" s="139"/>
      <c r="AV241" s="139"/>
      <c r="AW241" s="139"/>
      <c r="AX241" s="139"/>
      <c r="AY241" s="139"/>
      <c r="AZ241" s="139"/>
      <c r="BA241" s="139"/>
      <c r="BB241" s="139"/>
      <c r="BC241" s="139"/>
      <c r="BD241" s="139"/>
      <c r="BE241" s="139"/>
      <c r="BF241" s="139"/>
      <c r="BG241" s="139"/>
      <c r="BH241" s="139"/>
      <c r="BI241" s="139"/>
      <c r="BJ241" s="139"/>
      <c r="BK241" s="139"/>
      <c r="BL241" s="139"/>
      <c r="BM241" s="139"/>
      <c r="BN241" s="139"/>
      <c r="BO241" s="139"/>
      <c r="BP241" s="139"/>
      <c r="BQ241" s="139"/>
      <c r="BR241" s="139"/>
      <c r="BS241" s="139"/>
      <c r="BT241" s="139"/>
      <c r="BU241" s="139"/>
      <c r="BV241" s="139"/>
    </row>
    <row r="242" spans="1:74" x14ac:dyDescent="0.2">
      <c r="A242" s="136"/>
      <c r="B242" s="488"/>
      <c r="C242" s="488"/>
      <c r="D242" s="488"/>
      <c r="E242" s="489"/>
      <c r="F242" s="259" t="s">
        <v>189</v>
      </c>
      <c r="G242" s="259" t="s">
        <v>190</v>
      </c>
      <c r="H242" s="259" t="s">
        <v>191</v>
      </c>
      <c r="I242" s="259" t="s">
        <v>192</v>
      </c>
      <c r="J242" s="259" t="s">
        <v>193</v>
      </c>
      <c r="K242" s="259" t="s">
        <v>194</v>
      </c>
      <c r="L242" s="259" t="s">
        <v>195</v>
      </c>
      <c r="M242" s="259" t="s">
        <v>196</v>
      </c>
      <c r="N242" s="259" t="s">
        <v>197</v>
      </c>
      <c r="O242" s="259" t="s">
        <v>198</v>
      </c>
      <c r="P242" s="259" t="s">
        <v>199</v>
      </c>
      <c r="Q242" s="259" t="s">
        <v>200</v>
      </c>
      <c r="R242" s="259" t="s">
        <v>201</v>
      </c>
      <c r="S242" s="259" t="s">
        <v>202</v>
      </c>
      <c r="T242" s="259" t="s">
        <v>203</v>
      </c>
      <c r="U242" s="259" t="s">
        <v>204</v>
      </c>
      <c r="V242" s="259" t="s">
        <v>205</v>
      </c>
      <c r="W242" s="259" t="s">
        <v>206</v>
      </c>
      <c r="X242" s="259" t="s">
        <v>207</v>
      </c>
      <c r="Y242" s="259" t="s">
        <v>208</v>
      </c>
      <c r="Z242" s="259" t="s">
        <v>209</v>
      </c>
      <c r="AA242" s="259" t="s">
        <v>210</v>
      </c>
      <c r="AB242" s="259" t="s">
        <v>211</v>
      </c>
      <c r="AC242" s="260" t="s">
        <v>212</v>
      </c>
      <c r="AD242" s="139"/>
      <c r="AE242" s="139"/>
      <c r="AF242" s="139"/>
      <c r="AG242" s="139"/>
      <c r="AH242" s="139"/>
      <c r="AI242" s="139"/>
      <c r="AJ242" s="139"/>
      <c r="AK242" s="139"/>
      <c r="AL242" s="139"/>
      <c r="AM242" s="139"/>
      <c r="AN242" s="139"/>
      <c r="AO242" s="139"/>
      <c r="AP242" s="139"/>
      <c r="AQ242" s="139"/>
      <c r="AR242" s="139"/>
      <c r="AS242" s="139"/>
      <c r="AT242" s="139"/>
      <c r="AU242" s="139"/>
      <c r="AV242" s="139"/>
      <c r="AW242" s="139"/>
      <c r="AX242" s="139"/>
      <c r="AY242" s="139"/>
      <c r="AZ242" s="139"/>
      <c r="BA242" s="139"/>
      <c r="BB242" s="139"/>
      <c r="BC242" s="139"/>
      <c r="BD242" s="139"/>
      <c r="BE242" s="139"/>
      <c r="BF242" s="139"/>
      <c r="BG242" s="139"/>
      <c r="BH242" s="139"/>
      <c r="BI242" s="139"/>
      <c r="BJ242" s="139"/>
      <c r="BK242" s="139"/>
      <c r="BL242" s="139"/>
      <c r="BM242" s="139"/>
      <c r="BN242" s="139"/>
      <c r="BO242" s="139"/>
      <c r="BP242" s="139"/>
      <c r="BQ242" s="139"/>
      <c r="BR242" s="139"/>
      <c r="BS242" s="139"/>
      <c r="BT242" s="139"/>
      <c r="BU242" s="139"/>
      <c r="BV242" s="139"/>
    </row>
    <row r="243" spans="1:74" x14ac:dyDescent="0.2">
      <c r="A243" s="136"/>
      <c r="B243" s="509" t="s">
        <v>338</v>
      </c>
      <c r="C243" s="510"/>
      <c r="D243" s="510"/>
      <c r="E243" s="510"/>
      <c r="F243" s="463">
        <f>$C$190</f>
        <v>7.2999999999999995E-2</v>
      </c>
      <c r="G243" s="463"/>
      <c r="H243" s="463"/>
      <c r="I243" s="463"/>
      <c r="J243" s="463">
        <f>$C$190</f>
        <v>7.2999999999999995E-2</v>
      </c>
      <c r="K243" s="463"/>
      <c r="L243" s="463"/>
      <c r="M243" s="463"/>
      <c r="N243" s="463">
        <f>$C$190</f>
        <v>7.2999999999999995E-2</v>
      </c>
      <c r="O243" s="463"/>
      <c r="P243" s="463"/>
      <c r="Q243" s="463"/>
      <c r="R243" s="463">
        <f>$C$190</f>
        <v>7.2999999999999995E-2</v>
      </c>
      <c r="S243" s="463"/>
      <c r="T243" s="463"/>
      <c r="U243" s="463"/>
      <c r="V243" s="463">
        <f>$C$190</f>
        <v>7.2999999999999995E-2</v>
      </c>
      <c r="W243" s="463"/>
      <c r="X243" s="463"/>
      <c r="Y243" s="463"/>
      <c r="Z243" s="463">
        <f>$C$190</f>
        <v>7.2999999999999995E-2</v>
      </c>
      <c r="AA243" s="463"/>
      <c r="AB243" s="463"/>
      <c r="AC243" s="464"/>
      <c r="AD243" s="139"/>
      <c r="AE243" s="139"/>
      <c r="AF243" s="139"/>
      <c r="AG243" s="139"/>
      <c r="AH243" s="139"/>
      <c r="AI243" s="139"/>
      <c r="AJ243" s="139"/>
      <c r="AK243" s="139"/>
      <c r="AL243" s="139"/>
      <c r="AM243" s="139"/>
      <c r="AN243" s="139"/>
      <c r="AO243" s="139"/>
      <c r="AP243" s="139"/>
      <c r="AQ243" s="139"/>
      <c r="AR243" s="139"/>
      <c r="AS243" s="139"/>
      <c r="AT243" s="139"/>
      <c r="AU243" s="139"/>
      <c r="AV243" s="139"/>
      <c r="AW243" s="139"/>
      <c r="AX243" s="139"/>
      <c r="AY243" s="139"/>
      <c r="AZ243" s="139"/>
      <c r="BA243" s="139"/>
      <c r="BB243" s="139"/>
      <c r="BC243" s="139"/>
      <c r="BD243" s="139"/>
      <c r="BE243" s="139"/>
      <c r="BF243" s="139"/>
      <c r="BG243" s="139"/>
      <c r="BH243" s="139"/>
      <c r="BI243" s="139"/>
      <c r="BJ243" s="139"/>
      <c r="BK243" s="139"/>
      <c r="BL243" s="139"/>
      <c r="BM243" s="139"/>
      <c r="BN243" s="139"/>
      <c r="BO243" s="139"/>
      <c r="BP243" s="139"/>
      <c r="BQ243" s="139"/>
      <c r="BR243" s="139"/>
      <c r="BS243" s="139"/>
      <c r="BT243" s="139"/>
      <c r="BU243" s="139"/>
      <c r="BV243" s="139"/>
    </row>
    <row r="244" spans="1:74" x14ac:dyDescent="0.2">
      <c r="A244" s="136"/>
      <c r="B244" s="509"/>
      <c r="C244" s="510"/>
      <c r="D244" s="510"/>
      <c r="E244" s="510"/>
      <c r="F244" s="463"/>
      <c r="G244" s="463"/>
      <c r="H244" s="463"/>
      <c r="I244" s="463"/>
      <c r="J244" s="463"/>
      <c r="K244" s="463"/>
      <c r="L244" s="463"/>
      <c r="M244" s="463"/>
      <c r="N244" s="463"/>
      <c r="O244" s="463"/>
      <c r="P244" s="463"/>
      <c r="Q244" s="463"/>
      <c r="R244" s="463"/>
      <c r="S244" s="463"/>
      <c r="T244" s="463"/>
      <c r="U244" s="463"/>
      <c r="V244" s="463"/>
      <c r="W244" s="463"/>
      <c r="X244" s="463"/>
      <c r="Y244" s="463"/>
      <c r="Z244" s="463"/>
      <c r="AA244" s="463"/>
      <c r="AB244" s="463"/>
      <c r="AC244" s="464"/>
      <c r="AD244" s="139"/>
      <c r="AE244" s="139"/>
      <c r="AF244" s="139"/>
      <c r="AG244" s="139"/>
      <c r="AH244" s="139"/>
      <c r="AI244" s="139"/>
      <c r="AJ244" s="139"/>
      <c r="AK244" s="139"/>
      <c r="AL244" s="139"/>
      <c r="AM244" s="139"/>
      <c r="AN244" s="139"/>
      <c r="AO244" s="139"/>
      <c r="AP244" s="139"/>
      <c r="AQ244" s="139"/>
      <c r="AR244" s="139"/>
      <c r="AS244" s="139"/>
      <c r="AT244" s="139"/>
      <c r="AU244" s="139"/>
      <c r="AV244" s="139"/>
      <c r="AW244" s="139"/>
      <c r="AX244" s="139"/>
      <c r="AY244" s="139"/>
      <c r="AZ244" s="139"/>
      <c r="BA244" s="139"/>
      <c r="BB244" s="139"/>
      <c r="BC244" s="139"/>
      <c r="BD244" s="139"/>
      <c r="BE244" s="139"/>
      <c r="BF244" s="139"/>
      <c r="BG244" s="139"/>
      <c r="BH244" s="139"/>
      <c r="BI244" s="139"/>
      <c r="BJ244" s="139"/>
      <c r="BK244" s="139"/>
      <c r="BL244" s="139"/>
      <c r="BM244" s="139"/>
      <c r="BN244" s="139"/>
      <c r="BO244" s="139"/>
      <c r="BP244" s="139"/>
      <c r="BQ244" s="139"/>
      <c r="BR244" s="139"/>
      <c r="BS244" s="139"/>
      <c r="BT244" s="139"/>
      <c r="BU244" s="139"/>
      <c r="BV244" s="139"/>
    </row>
    <row r="245" spans="1:74" x14ac:dyDescent="0.2">
      <c r="A245" s="136"/>
      <c r="B245" s="478" t="s">
        <v>339</v>
      </c>
      <c r="C245" s="479"/>
      <c r="D245" s="479"/>
      <c r="E245" s="479"/>
      <c r="F245" s="457">
        <f>$C$190/4</f>
        <v>1.8249999999999999E-2</v>
      </c>
      <c r="G245" s="457">
        <f>$C$190/4</f>
        <v>1.8249999999999999E-2</v>
      </c>
      <c r="H245" s="457">
        <f t="shared" ref="H245:X245" si="81">$C$190/4</f>
        <v>1.8249999999999999E-2</v>
      </c>
      <c r="I245" s="457">
        <f t="shared" si="81"/>
        <v>1.8249999999999999E-2</v>
      </c>
      <c r="J245" s="457">
        <f t="shared" si="81"/>
        <v>1.8249999999999999E-2</v>
      </c>
      <c r="K245" s="457">
        <f t="shared" si="81"/>
        <v>1.8249999999999999E-2</v>
      </c>
      <c r="L245" s="457">
        <f t="shared" si="81"/>
        <v>1.8249999999999999E-2</v>
      </c>
      <c r="M245" s="457">
        <f t="shared" si="81"/>
        <v>1.8249999999999999E-2</v>
      </c>
      <c r="N245" s="457">
        <f t="shared" si="81"/>
        <v>1.8249999999999999E-2</v>
      </c>
      <c r="O245" s="457">
        <f t="shared" si="81"/>
        <v>1.8249999999999999E-2</v>
      </c>
      <c r="P245" s="457">
        <f t="shared" si="81"/>
        <v>1.8249999999999999E-2</v>
      </c>
      <c r="Q245" s="457">
        <f t="shared" si="81"/>
        <v>1.8249999999999999E-2</v>
      </c>
      <c r="R245" s="457">
        <f t="shared" si="81"/>
        <v>1.8249999999999999E-2</v>
      </c>
      <c r="S245" s="457">
        <f t="shared" si="81"/>
        <v>1.8249999999999999E-2</v>
      </c>
      <c r="T245" s="457">
        <f t="shared" si="81"/>
        <v>1.8249999999999999E-2</v>
      </c>
      <c r="U245" s="457">
        <f t="shared" si="81"/>
        <v>1.8249999999999999E-2</v>
      </c>
      <c r="V245" s="457">
        <f t="shared" si="81"/>
        <v>1.8249999999999999E-2</v>
      </c>
      <c r="W245" s="457">
        <f t="shared" si="81"/>
        <v>1.8249999999999999E-2</v>
      </c>
      <c r="X245" s="457">
        <f t="shared" si="81"/>
        <v>1.8249999999999999E-2</v>
      </c>
      <c r="Y245" s="457">
        <f>$C$190/4</f>
        <v>1.8249999999999999E-2</v>
      </c>
      <c r="Z245" s="457">
        <f t="shared" ref="Z245:AC245" si="82">$C$190/4</f>
        <v>1.8249999999999999E-2</v>
      </c>
      <c r="AA245" s="457">
        <f t="shared" si="82"/>
        <v>1.8249999999999999E-2</v>
      </c>
      <c r="AB245" s="457">
        <f t="shared" si="82"/>
        <v>1.8249999999999999E-2</v>
      </c>
      <c r="AC245" s="458">
        <f t="shared" si="82"/>
        <v>1.8249999999999999E-2</v>
      </c>
      <c r="AD245" s="139"/>
      <c r="AE245" s="139"/>
      <c r="AF245" s="139"/>
      <c r="AG245" s="139"/>
      <c r="AH245" s="139"/>
      <c r="AI245" s="139"/>
      <c r="AJ245" s="139"/>
      <c r="AK245" s="139"/>
      <c r="AL245" s="139"/>
      <c r="AM245" s="139"/>
      <c r="AN245" s="139"/>
      <c r="AO245" s="139"/>
      <c r="AP245" s="139"/>
      <c r="AQ245" s="139"/>
      <c r="AR245" s="139"/>
      <c r="AS245" s="139"/>
      <c r="AT245" s="139"/>
      <c r="AU245" s="139"/>
      <c r="AV245" s="139"/>
      <c r="AW245" s="139"/>
      <c r="AX245" s="139"/>
      <c r="AY245" s="139"/>
      <c r="AZ245" s="139"/>
      <c r="BA245" s="139"/>
      <c r="BB245" s="139"/>
      <c r="BC245" s="139"/>
      <c r="BD245" s="139"/>
      <c r="BE245" s="139"/>
      <c r="BF245" s="139"/>
      <c r="BG245" s="139"/>
      <c r="BH245" s="139"/>
      <c r="BI245" s="139"/>
      <c r="BJ245" s="139"/>
      <c r="BK245" s="139"/>
      <c r="BL245" s="139"/>
      <c r="BM245" s="139"/>
      <c r="BN245" s="139"/>
      <c r="BO245" s="139"/>
      <c r="BP245" s="139"/>
      <c r="BQ245" s="139"/>
      <c r="BR245" s="139"/>
      <c r="BS245" s="139"/>
      <c r="BT245" s="139"/>
      <c r="BU245" s="139"/>
      <c r="BV245" s="139"/>
    </row>
    <row r="246" spans="1:74" x14ac:dyDescent="0.2">
      <c r="A246" s="136"/>
      <c r="B246" s="478"/>
      <c r="C246" s="479"/>
      <c r="D246" s="479"/>
      <c r="E246" s="479"/>
      <c r="F246" s="457"/>
      <c r="G246" s="457"/>
      <c r="H246" s="457"/>
      <c r="I246" s="457"/>
      <c r="J246" s="457"/>
      <c r="K246" s="457"/>
      <c r="L246" s="457"/>
      <c r="M246" s="457"/>
      <c r="N246" s="457"/>
      <c r="O246" s="457"/>
      <c r="P246" s="457"/>
      <c r="Q246" s="457"/>
      <c r="R246" s="457"/>
      <c r="S246" s="457"/>
      <c r="T246" s="457"/>
      <c r="U246" s="457"/>
      <c r="V246" s="457"/>
      <c r="W246" s="457"/>
      <c r="X246" s="457"/>
      <c r="Y246" s="457"/>
      <c r="Z246" s="457"/>
      <c r="AA246" s="457"/>
      <c r="AB246" s="457"/>
      <c r="AC246" s="458"/>
      <c r="AD246" s="139"/>
      <c r="AE246" s="139"/>
      <c r="AF246" s="139"/>
      <c r="AG246" s="139"/>
      <c r="AH246" s="139"/>
      <c r="AI246" s="139"/>
      <c r="AJ246" s="139"/>
      <c r="AK246" s="139"/>
      <c r="AL246" s="139"/>
      <c r="AM246" s="139"/>
      <c r="AN246" s="139"/>
      <c r="AO246" s="139"/>
      <c r="AP246" s="139"/>
      <c r="AQ246" s="139"/>
      <c r="AR246" s="139"/>
      <c r="AS246" s="139"/>
      <c r="AT246" s="139"/>
      <c r="AU246" s="139"/>
      <c r="AV246" s="139"/>
      <c r="AW246" s="139"/>
      <c r="AX246" s="139"/>
      <c r="AY246" s="139"/>
      <c r="AZ246" s="139"/>
      <c r="BA246" s="139"/>
      <c r="BB246" s="139"/>
      <c r="BC246" s="139"/>
      <c r="BD246" s="139"/>
      <c r="BE246" s="139"/>
      <c r="BF246" s="139"/>
      <c r="BG246" s="139"/>
      <c r="BH246" s="139"/>
      <c r="BI246" s="139"/>
      <c r="BJ246" s="139"/>
      <c r="BK246" s="139"/>
      <c r="BL246" s="139"/>
      <c r="BM246" s="139"/>
      <c r="BN246" s="139"/>
      <c r="BO246" s="139"/>
      <c r="BP246" s="139"/>
      <c r="BQ246" s="139"/>
      <c r="BR246" s="139"/>
      <c r="BS246" s="139"/>
      <c r="BT246" s="139"/>
      <c r="BU246" s="139"/>
      <c r="BV246" s="139"/>
    </row>
    <row r="247" spans="1:74" x14ac:dyDescent="0.2">
      <c r="A247" s="136"/>
      <c r="B247" s="476" t="s">
        <v>340</v>
      </c>
      <c r="C247" s="477"/>
      <c r="D247" s="477"/>
      <c r="E247" s="477"/>
      <c r="F247" s="442">
        <f>F249</f>
        <v>10000000</v>
      </c>
      <c r="G247" s="442">
        <f t="shared" ref="G247:X247" si="83">F247+G249+G257</f>
        <v>17500000</v>
      </c>
      <c r="H247" s="442">
        <f t="shared" si="83"/>
        <v>20500000</v>
      </c>
      <c r="I247" s="442">
        <f t="shared" si="83"/>
        <v>53000000</v>
      </c>
      <c r="J247" s="442">
        <f t="shared" si="83"/>
        <v>77000000</v>
      </c>
      <c r="K247" s="442">
        <f t="shared" si="83"/>
        <v>100600000</v>
      </c>
      <c r="L247" s="442">
        <f t="shared" si="83"/>
        <v>124600000</v>
      </c>
      <c r="M247" s="442">
        <f t="shared" si="83"/>
        <v>149000000</v>
      </c>
      <c r="N247" s="442">
        <f t="shared" si="83"/>
        <v>178500000</v>
      </c>
      <c r="O247" s="442">
        <f t="shared" si="83"/>
        <v>210500000</v>
      </c>
      <c r="P247" s="442">
        <f t="shared" si="83"/>
        <v>259300000</v>
      </c>
      <c r="Q247" s="442">
        <f t="shared" si="83"/>
        <v>259300000</v>
      </c>
      <c r="R247" s="442">
        <f t="shared" si="83"/>
        <v>259300000</v>
      </c>
      <c r="S247" s="442">
        <f t="shared" si="83"/>
        <v>259300000</v>
      </c>
      <c r="T247" s="442">
        <f t="shared" si="83"/>
        <v>259300000</v>
      </c>
      <c r="U247" s="442">
        <f t="shared" si="83"/>
        <v>0</v>
      </c>
      <c r="V247" s="442">
        <f t="shared" si="83"/>
        <v>0</v>
      </c>
      <c r="W247" s="442">
        <f t="shared" si="83"/>
        <v>0</v>
      </c>
      <c r="X247" s="442">
        <f t="shared" si="83"/>
        <v>0</v>
      </c>
      <c r="Y247" s="442">
        <f>X247+Y249+Y257</f>
        <v>0</v>
      </c>
      <c r="Z247" s="442">
        <f>Y247+Z249+Z257</f>
        <v>0</v>
      </c>
      <c r="AA247" s="442">
        <f t="shared" ref="AA247:AC247" si="84">Z247+AA249+AA257</f>
        <v>0</v>
      </c>
      <c r="AB247" s="442">
        <f t="shared" si="84"/>
        <v>0</v>
      </c>
      <c r="AC247" s="447">
        <f t="shared" si="84"/>
        <v>0</v>
      </c>
      <c r="AD247" s="139"/>
      <c r="AE247" s="139"/>
      <c r="AF247" s="139"/>
      <c r="AG247" s="139"/>
      <c r="AH247" s="139"/>
      <c r="AI247" s="139"/>
      <c r="AJ247" s="139"/>
      <c r="AK247" s="139"/>
      <c r="AL247" s="139"/>
      <c r="AM247" s="139"/>
      <c r="AN247" s="139"/>
      <c r="AO247" s="139"/>
      <c r="AP247" s="139"/>
      <c r="AQ247" s="139"/>
      <c r="AR247" s="139"/>
      <c r="AS247" s="139"/>
      <c r="AT247" s="139"/>
      <c r="AU247" s="139"/>
      <c r="AV247" s="139"/>
      <c r="AW247" s="139"/>
      <c r="AX247" s="139"/>
      <c r="AY247" s="139"/>
      <c r="AZ247" s="139"/>
      <c r="BA247" s="139"/>
      <c r="BB247" s="139"/>
      <c r="BC247" s="139"/>
      <c r="BD247" s="139"/>
      <c r="BE247" s="139"/>
      <c r="BF247" s="139"/>
      <c r="BG247" s="139"/>
      <c r="BH247" s="139"/>
      <c r="BI247" s="139"/>
      <c r="BJ247" s="139"/>
      <c r="BK247" s="139"/>
      <c r="BL247" s="139"/>
      <c r="BM247" s="139"/>
      <c r="BN247" s="139"/>
      <c r="BO247" s="139"/>
      <c r="BP247" s="139"/>
      <c r="BQ247" s="139"/>
      <c r="BR247" s="139"/>
      <c r="BS247" s="139"/>
      <c r="BT247" s="139"/>
      <c r="BU247" s="139"/>
      <c r="BV247" s="139"/>
    </row>
    <row r="248" spans="1:74" x14ac:dyDescent="0.2">
      <c r="A248" s="150"/>
      <c r="B248" s="476"/>
      <c r="C248" s="477"/>
      <c r="D248" s="477"/>
      <c r="E248" s="477"/>
      <c r="F248" s="442"/>
      <c r="G248" s="442"/>
      <c r="H248" s="442"/>
      <c r="I248" s="442"/>
      <c r="J248" s="442"/>
      <c r="K248" s="442"/>
      <c r="L248" s="442"/>
      <c r="M248" s="442"/>
      <c r="N248" s="442"/>
      <c r="O248" s="442"/>
      <c r="P248" s="442"/>
      <c r="Q248" s="442"/>
      <c r="R248" s="442"/>
      <c r="S248" s="442"/>
      <c r="T248" s="442"/>
      <c r="U248" s="442"/>
      <c r="V248" s="442"/>
      <c r="W248" s="442"/>
      <c r="X248" s="442"/>
      <c r="Y248" s="442"/>
      <c r="Z248" s="442"/>
      <c r="AA248" s="442"/>
      <c r="AB248" s="442"/>
      <c r="AC248" s="447"/>
      <c r="AD248" s="139"/>
      <c r="AE248" s="139"/>
      <c r="AF248" s="139"/>
      <c r="AG248" s="139"/>
      <c r="AH248" s="139"/>
      <c r="AI248" s="139"/>
      <c r="AJ248" s="139"/>
      <c r="AK248" s="139"/>
      <c r="AL248" s="139"/>
      <c r="AM248" s="139"/>
      <c r="AN248" s="139"/>
      <c r="AO248" s="139"/>
      <c r="AP248" s="139"/>
      <c r="AQ248" s="139"/>
      <c r="AR248" s="139"/>
      <c r="AS248" s="139"/>
      <c r="AT248" s="139"/>
      <c r="AU248" s="139"/>
      <c r="AV248" s="139"/>
      <c r="AW248" s="139"/>
      <c r="AX248" s="139"/>
      <c r="AY248" s="139"/>
      <c r="AZ248" s="139"/>
      <c r="BA248" s="139"/>
      <c r="BB248" s="139"/>
      <c r="BC248" s="139"/>
      <c r="BD248" s="139"/>
      <c r="BE248" s="139"/>
      <c r="BF248" s="139"/>
      <c r="BG248" s="139"/>
      <c r="BH248" s="139"/>
      <c r="BI248" s="139"/>
      <c r="BJ248" s="139"/>
      <c r="BK248" s="139"/>
      <c r="BL248" s="139"/>
      <c r="BM248" s="139"/>
      <c r="BN248" s="139"/>
      <c r="BO248" s="139"/>
      <c r="BP248" s="139"/>
      <c r="BQ248" s="139"/>
      <c r="BR248" s="139"/>
      <c r="BS248" s="139"/>
      <c r="BT248" s="139"/>
      <c r="BU248" s="139"/>
      <c r="BV248" s="139"/>
    </row>
    <row r="249" spans="1:74" x14ac:dyDescent="0.2">
      <c r="A249" s="150"/>
      <c r="B249" s="478" t="s">
        <v>341</v>
      </c>
      <c r="C249" s="479"/>
      <c r="D249" s="479"/>
      <c r="E249" s="479"/>
      <c r="F249" s="441">
        <f t="shared" ref="F249:AC249" si="85">F187</f>
        <v>10000000</v>
      </c>
      <c r="G249" s="441">
        <f t="shared" si="85"/>
        <v>7500000</v>
      </c>
      <c r="H249" s="441">
        <f t="shared" si="85"/>
        <v>3000000</v>
      </c>
      <c r="I249" s="441">
        <f t="shared" si="85"/>
        <v>32500000</v>
      </c>
      <c r="J249" s="441">
        <f t="shared" si="85"/>
        <v>24000000</v>
      </c>
      <c r="K249" s="441">
        <f t="shared" si="85"/>
        <v>23600000</v>
      </c>
      <c r="L249" s="441">
        <f t="shared" si="85"/>
        <v>24000000</v>
      </c>
      <c r="M249" s="441">
        <f t="shared" si="85"/>
        <v>24400000</v>
      </c>
      <c r="N249" s="441">
        <f t="shared" si="85"/>
        <v>29500000</v>
      </c>
      <c r="O249" s="441">
        <f t="shared" si="85"/>
        <v>32000000</v>
      </c>
      <c r="P249" s="441">
        <f t="shared" si="85"/>
        <v>48800000</v>
      </c>
      <c r="Q249" s="441">
        <f t="shared" si="85"/>
        <v>0</v>
      </c>
      <c r="R249" s="441">
        <f t="shared" si="85"/>
        <v>0</v>
      </c>
      <c r="S249" s="441">
        <f t="shared" si="85"/>
        <v>0</v>
      </c>
      <c r="T249" s="441">
        <f t="shared" si="85"/>
        <v>0</v>
      </c>
      <c r="U249" s="441">
        <f t="shared" si="85"/>
        <v>0</v>
      </c>
      <c r="V249" s="441">
        <f t="shared" si="85"/>
        <v>0</v>
      </c>
      <c r="W249" s="441">
        <f t="shared" si="85"/>
        <v>0</v>
      </c>
      <c r="X249" s="441">
        <f t="shared" si="85"/>
        <v>0</v>
      </c>
      <c r="Y249" s="441">
        <f t="shared" si="85"/>
        <v>0</v>
      </c>
      <c r="Z249" s="441">
        <f t="shared" si="85"/>
        <v>0</v>
      </c>
      <c r="AA249" s="441">
        <f t="shared" si="85"/>
        <v>0</v>
      </c>
      <c r="AB249" s="441">
        <f t="shared" si="85"/>
        <v>0</v>
      </c>
      <c r="AC249" s="444">
        <f t="shared" si="85"/>
        <v>0</v>
      </c>
      <c r="AD249" s="139"/>
      <c r="AE249" s="139"/>
      <c r="AF249" s="139"/>
      <c r="AG249" s="139"/>
      <c r="AH249" s="139"/>
      <c r="AI249" s="139"/>
      <c r="AJ249" s="139"/>
      <c r="AK249" s="139"/>
      <c r="AL249" s="139"/>
      <c r="AM249" s="139"/>
      <c r="AN249" s="139"/>
      <c r="AO249" s="139"/>
      <c r="AP249" s="139"/>
      <c r="AQ249" s="139"/>
      <c r="AR249" s="139"/>
      <c r="AS249" s="139"/>
      <c r="AT249" s="139"/>
      <c r="AU249" s="139"/>
      <c r="AV249" s="139"/>
      <c r="AW249" s="139"/>
      <c r="AX249" s="139"/>
      <c r="AY249" s="139"/>
      <c r="AZ249" s="139"/>
      <c r="BA249" s="139"/>
      <c r="BB249" s="139"/>
      <c r="BC249" s="139"/>
      <c r="BD249" s="139"/>
      <c r="BE249" s="139"/>
      <c r="BF249" s="139"/>
      <c r="BG249" s="139"/>
      <c r="BH249" s="139"/>
      <c r="BI249" s="139"/>
      <c r="BJ249" s="139"/>
      <c r="BK249" s="139"/>
      <c r="BL249" s="139"/>
      <c r="BM249" s="139"/>
      <c r="BN249" s="139"/>
      <c r="BO249" s="139"/>
      <c r="BP249" s="139"/>
      <c r="BQ249" s="139"/>
      <c r="BR249" s="139"/>
      <c r="BS249" s="139"/>
      <c r="BT249" s="139"/>
      <c r="BU249" s="139"/>
      <c r="BV249" s="139"/>
    </row>
    <row r="250" spans="1:74" x14ac:dyDescent="0.2">
      <c r="A250" s="150"/>
      <c r="B250" s="478"/>
      <c r="C250" s="479"/>
      <c r="D250" s="479"/>
      <c r="E250" s="479"/>
      <c r="F250" s="441"/>
      <c r="G250" s="441"/>
      <c r="H250" s="441"/>
      <c r="I250" s="441"/>
      <c r="J250" s="441"/>
      <c r="K250" s="441"/>
      <c r="L250" s="441"/>
      <c r="M250" s="441"/>
      <c r="N250" s="441"/>
      <c r="O250" s="441"/>
      <c r="P250" s="441"/>
      <c r="Q250" s="441"/>
      <c r="R250" s="441"/>
      <c r="S250" s="441"/>
      <c r="T250" s="441"/>
      <c r="U250" s="441"/>
      <c r="V250" s="441"/>
      <c r="W250" s="441"/>
      <c r="X250" s="441"/>
      <c r="Y250" s="441"/>
      <c r="Z250" s="441"/>
      <c r="AA250" s="441"/>
      <c r="AB250" s="441"/>
      <c r="AC250" s="444"/>
      <c r="AD250" s="139"/>
      <c r="AE250" s="139"/>
      <c r="AF250" s="139"/>
      <c r="AG250" s="139"/>
      <c r="AH250" s="139"/>
      <c r="AI250" s="139"/>
      <c r="AJ250" s="139"/>
      <c r="AK250" s="139"/>
      <c r="AL250" s="139"/>
      <c r="AM250" s="139"/>
      <c r="AN250" s="139"/>
      <c r="AO250" s="139"/>
      <c r="AP250" s="139"/>
      <c r="AQ250" s="139"/>
      <c r="AR250" s="139"/>
      <c r="AS250" s="139"/>
      <c r="AT250" s="139"/>
      <c r="AU250" s="139"/>
      <c r="AV250" s="139"/>
      <c r="AW250" s="139"/>
      <c r="AX250" s="139"/>
      <c r="AY250" s="139"/>
      <c r="AZ250" s="139"/>
      <c r="BA250" s="139"/>
      <c r="BB250" s="139"/>
      <c r="BC250" s="139"/>
      <c r="BD250" s="139"/>
      <c r="BE250" s="139"/>
      <c r="BF250" s="139"/>
      <c r="BG250" s="139"/>
      <c r="BH250" s="139"/>
      <c r="BI250" s="139"/>
      <c r="BJ250" s="139"/>
      <c r="BK250" s="139"/>
      <c r="BL250" s="139"/>
      <c r="BM250" s="139"/>
      <c r="BN250" s="139"/>
      <c r="BO250" s="139"/>
      <c r="BP250" s="139"/>
      <c r="BQ250" s="139"/>
      <c r="BR250" s="139"/>
      <c r="BS250" s="139"/>
      <c r="BT250" s="139"/>
      <c r="BU250" s="139"/>
      <c r="BV250" s="139"/>
    </row>
    <row r="251" spans="1:74" x14ac:dyDescent="0.2">
      <c r="A251" s="150"/>
      <c r="B251" s="476" t="s">
        <v>342</v>
      </c>
      <c r="C251" s="477"/>
      <c r="D251" s="477"/>
      <c r="E251" s="477"/>
      <c r="F251" s="442">
        <f t="shared" ref="F251:AC251" si="86">F190</f>
        <v>-182500</v>
      </c>
      <c r="G251" s="442">
        <f t="shared" si="86"/>
        <v>-319375</v>
      </c>
      <c r="H251" s="442">
        <f t="shared" si="86"/>
        <v>-374125</v>
      </c>
      <c r="I251" s="442">
        <f t="shared" si="86"/>
        <v>-967249.99999999988</v>
      </c>
      <c r="J251" s="442">
        <f t="shared" si="86"/>
        <v>-1405250</v>
      </c>
      <c r="K251" s="442">
        <f t="shared" si="86"/>
        <v>-1835950</v>
      </c>
      <c r="L251" s="442">
        <f t="shared" si="86"/>
        <v>-2273950</v>
      </c>
      <c r="M251" s="442">
        <f t="shared" si="86"/>
        <v>-2719250</v>
      </c>
      <c r="N251" s="442">
        <f t="shared" si="86"/>
        <v>-3257625</v>
      </c>
      <c r="O251" s="442">
        <f t="shared" si="86"/>
        <v>-3841624.9999999995</v>
      </c>
      <c r="P251" s="442">
        <f t="shared" si="86"/>
        <v>-4732225</v>
      </c>
      <c r="Q251" s="442">
        <f t="shared" si="86"/>
        <v>-4732225</v>
      </c>
      <c r="R251" s="442">
        <f t="shared" si="86"/>
        <v>-4732225</v>
      </c>
      <c r="S251" s="442">
        <f t="shared" si="86"/>
        <v>-4732225</v>
      </c>
      <c r="T251" s="442">
        <f t="shared" si="86"/>
        <v>-4732225</v>
      </c>
      <c r="U251" s="442">
        <f t="shared" si="86"/>
        <v>0</v>
      </c>
      <c r="V251" s="442">
        <f t="shared" si="86"/>
        <v>0</v>
      </c>
      <c r="W251" s="442">
        <f t="shared" si="86"/>
        <v>0</v>
      </c>
      <c r="X251" s="442">
        <f t="shared" si="86"/>
        <v>0</v>
      </c>
      <c r="Y251" s="442">
        <f t="shared" si="86"/>
        <v>0</v>
      </c>
      <c r="Z251" s="442">
        <f t="shared" si="86"/>
        <v>0</v>
      </c>
      <c r="AA251" s="442">
        <f t="shared" si="86"/>
        <v>0</v>
      </c>
      <c r="AB251" s="442">
        <f t="shared" si="86"/>
        <v>0</v>
      </c>
      <c r="AC251" s="447">
        <f t="shared" si="86"/>
        <v>0</v>
      </c>
      <c r="AD251" s="139"/>
      <c r="AE251" s="139"/>
      <c r="AF251" s="139"/>
      <c r="AG251" s="139"/>
      <c r="AH251" s="139"/>
      <c r="AI251" s="139"/>
      <c r="AJ251" s="139"/>
      <c r="AK251" s="139"/>
      <c r="AL251" s="139"/>
      <c r="AM251" s="139"/>
      <c r="AN251" s="139"/>
      <c r="AO251" s="139"/>
      <c r="AP251" s="139"/>
      <c r="AQ251" s="139"/>
      <c r="AR251" s="139"/>
      <c r="AS251" s="139"/>
      <c r="AT251" s="139"/>
      <c r="AU251" s="139"/>
      <c r="AV251" s="139"/>
      <c r="AW251" s="139"/>
      <c r="AX251" s="139"/>
      <c r="AY251" s="139"/>
      <c r="AZ251" s="139"/>
      <c r="BA251" s="139"/>
      <c r="BB251" s="139"/>
      <c r="BC251" s="139"/>
      <c r="BD251" s="139"/>
      <c r="BE251" s="139"/>
      <c r="BF251" s="139"/>
      <c r="BG251" s="139"/>
      <c r="BH251" s="139"/>
      <c r="BI251" s="139"/>
      <c r="BJ251" s="139"/>
      <c r="BK251" s="139"/>
      <c r="BL251" s="139"/>
      <c r="BM251" s="139"/>
      <c r="BN251" s="139"/>
      <c r="BO251" s="139"/>
      <c r="BP251" s="139"/>
      <c r="BQ251" s="139"/>
      <c r="BR251" s="139"/>
      <c r="BS251" s="139"/>
      <c r="BT251" s="139"/>
      <c r="BU251" s="139"/>
      <c r="BV251" s="139"/>
    </row>
    <row r="252" spans="1:74" x14ac:dyDescent="0.2">
      <c r="B252" s="476"/>
      <c r="C252" s="477"/>
      <c r="D252" s="477"/>
      <c r="E252" s="477"/>
      <c r="F252" s="442"/>
      <c r="G252" s="442"/>
      <c r="H252" s="442"/>
      <c r="I252" s="442"/>
      <c r="J252" s="442"/>
      <c r="K252" s="442"/>
      <c r="L252" s="442"/>
      <c r="M252" s="442"/>
      <c r="N252" s="442"/>
      <c r="O252" s="442"/>
      <c r="P252" s="442"/>
      <c r="Q252" s="442"/>
      <c r="R252" s="442"/>
      <c r="S252" s="442"/>
      <c r="T252" s="442"/>
      <c r="U252" s="442"/>
      <c r="V252" s="442"/>
      <c r="W252" s="442"/>
      <c r="X252" s="442"/>
      <c r="Y252" s="442"/>
      <c r="Z252" s="442"/>
      <c r="AA252" s="442"/>
      <c r="AB252" s="442"/>
      <c r="AC252" s="447"/>
      <c r="AD252" s="139"/>
      <c r="AE252" s="139"/>
      <c r="AF252" s="139"/>
      <c r="AG252" s="139"/>
      <c r="AH252" s="139"/>
      <c r="AI252" s="139"/>
      <c r="AJ252" s="139"/>
      <c r="AK252" s="139"/>
      <c r="AL252" s="139"/>
      <c r="AM252" s="139"/>
      <c r="AN252" s="139"/>
      <c r="AO252" s="139"/>
      <c r="AP252" s="139"/>
      <c r="AQ252" s="139"/>
      <c r="AR252" s="139"/>
      <c r="AS252" s="139"/>
      <c r="AT252" s="139"/>
      <c r="AU252" s="139"/>
      <c r="AV252" s="139"/>
      <c r="AW252" s="139"/>
      <c r="AX252" s="139"/>
      <c r="AY252" s="139"/>
      <c r="AZ252" s="139"/>
      <c r="BA252" s="139"/>
      <c r="BB252" s="139"/>
      <c r="BC252" s="139"/>
      <c r="BD252" s="139"/>
      <c r="BE252" s="139"/>
      <c r="BF252" s="139"/>
      <c r="BG252" s="139"/>
      <c r="BH252" s="139"/>
      <c r="BI252" s="139"/>
      <c r="BJ252" s="139"/>
      <c r="BK252" s="139"/>
      <c r="BL252" s="139"/>
      <c r="BM252" s="139"/>
      <c r="BN252" s="139"/>
      <c r="BO252" s="139"/>
      <c r="BP252" s="139"/>
      <c r="BQ252" s="139"/>
      <c r="BR252" s="139"/>
      <c r="BS252" s="139"/>
      <c r="BT252" s="139"/>
      <c r="BU252" s="139"/>
      <c r="BV252" s="139"/>
    </row>
    <row r="253" spans="1:74" x14ac:dyDescent="0.2">
      <c r="A253" s="551"/>
      <c r="B253" s="480" t="s">
        <v>225</v>
      </c>
      <c r="C253" s="481"/>
      <c r="D253" s="481"/>
      <c r="E253" s="481"/>
      <c r="F253" s="441">
        <f t="shared" ref="F253:AC253" si="87">F191</f>
        <v>-1296500</v>
      </c>
      <c r="G253" s="441">
        <f t="shared" si="87"/>
        <v>0</v>
      </c>
      <c r="H253" s="441">
        <f t="shared" si="87"/>
        <v>0</v>
      </c>
      <c r="I253" s="441">
        <f t="shared" si="87"/>
        <v>0</v>
      </c>
      <c r="J253" s="441">
        <f t="shared" si="87"/>
        <v>0</v>
      </c>
      <c r="K253" s="441">
        <f t="shared" si="87"/>
        <v>0</v>
      </c>
      <c r="L253" s="441">
        <f t="shared" si="87"/>
        <v>0</v>
      </c>
      <c r="M253" s="441">
        <f t="shared" si="87"/>
        <v>0</v>
      </c>
      <c r="N253" s="441">
        <f t="shared" si="87"/>
        <v>0</v>
      </c>
      <c r="O253" s="441">
        <f t="shared" si="87"/>
        <v>0</v>
      </c>
      <c r="P253" s="441">
        <f t="shared" si="87"/>
        <v>0</v>
      </c>
      <c r="Q253" s="441">
        <f t="shared" si="87"/>
        <v>0</v>
      </c>
      <c r="R253" s="441">
        <f t="shared" si="87"/>
        <v>0</v>
      </c>
      <c r="S253" s="441">
        <f t="shared" si="87"/>
        <v>0</v>
      </c>
      <c r="T253" s="441">
        <f t="shared" si="87"/>
        <v>0</v>
      </c>
      <c r="U253" s="441">
        <f t="shared" si="87"/>
        <v>0</v>
      </c>
      <c r="V253" s="441">
        <f t="shared" si="87"/>
        <v>0</v>
      </c>
      <c r="W253" s="441">
        <f t="shared" si="87"/>
        <v>0</v>
      </c>
      <c r="X253" s="441">
        <f t="shared" si="87"/>
        <v>0</v>
      </c>
      <c r="Y253" s="441">
        <f t="shared" si="87"/>
        <v>0</v>
      </c>
      <c r="Z253" s="441">
        <f t="shared" si="87"/>
        <v>0</v>
      </c>
      <c r="AA253" s="441">
        <f t="shared" si="87"/>
        <v>0</v>
      </c>
      <c r="AB253" s="441">
        <f t="shared" si="87"/>
        <v>0</v>
      </c>
      <c r="AC253" s="444">
        <f t="shared" si="87"/>
        <v>0</v>
      </c>
      <c r="AD253" s="139"/>
      <c r="AE253" s="139"/>
      <c r="AF253" s="139"/>
      <c r="AG253" s="139"/>
      <c r="AH253" s="139"/>
      <c r="AI253" s="139"/>
      <c r="AJ253" s="139"/>
      <c r="AK253" s="139"/>
      <c r="AL253" s="139"/>
      <c r="AM253" s="139"/>
      <c r="AN253" s="139"/>
      <c r="AO253" s="139"/>
      <c r="AP253" s="139"/>
      <c r="AQ253" s="139"/>
      <c r="AR253" s="139"/>
      <c r="AS253" s="139"/>
      <c r="AT253" s="139"/>
      <c r="AU253" s="139"/>
      <c r="AV253" s="139"/>
      <c r="AW253" s="139"/>
      <c r="AX253" s="139"/>
      <c r="AY253" s="139"/>
      <c r="AZ253" s="139"/>
      <c r="BA253" s="139"/>
      <c r="BB253" s="139"/>
      <c r="BC253" s="139"/>
      <c r="BD253" s="139"/>
      <c r="BE253" s="139"/>
      <c r="BF253" s="139"/>
      <c r="BG253" s="139"/>
      <c r="BH253" s="139"/>
      <c r="BI253" s="139"/>
      <c r="BJ253" s="139"/>
      <c r="BK253" s="139"/>
      <c r="BL253" s="139"/>
      <c r="BM253" s="139"/>
      <c r="BN253" s="139"/>
      <c r="BO253" s="139"/>
      <c r="BP253" s="139"/>
      <c r="BQ253" s="139"/>
      <c r="BR253" s="139"/>
      <c r="BS253" s="139"/>
      <c r="BT253" s="139"/>
      <c r="BU253" s="139"/>
      <c r="BV253" s="139"/>
    </row>
    <row r="254" spans="1:74" x14ac:dyDescent="0.2">
      <c r="A254" s="551"/>
      <c r="B254" s="480"/>
      <c r="C254" s="481"/>
      <c r="D254" s="481"/>
      <c r="E254" s="481"/>
      <c r="F254" s="441"/>
      <c r="G254" s="441"/>
      <c r="H254" s="441"/>
      <c r="I254" s="441"/>
      <c r="J254" s="441"/>
      <c r="K254" s="441"/>
      <c r="L254" s="441"/>
      <c r="M254" s="441"/>
      <c r="N254" s="441"/>
      <c r="O254" s="441"/>
      <c r="P254" s="441"/>
      <c r="Q254" s="441"/>
      <c r="R254" s="441"/>
      <c r="S254" s="441"/>
      <c r="T254" s="441"/>
      <c r="U254" s="441"/>
      <c r="V254" s="441"/>
      <c r="W254" s="441"/>
      <c r="X254" s="441"/>
      <c r="Y254" s="441"/>
      <c r="Z254" s="441"/>
      <c r="AA254" s="441"/>
      <c r="AB254" s="441"/>
      <c r="AC254" s="444"/>
      <c r="AD254" s="139"/>
      <c r="AE254" s="139"/>
      <c r="AF254" s="139"/>
      <c r="AG254" s="139"/>
      <c r="AH254" s="139"/>
      <c r="AI254" s="139"/>
      <c r="AJ254" s="139"/>
      <c r="AK254" s="139"/>
      <c r="AL254" s="139"/>
      <c r="AM254" s="139"/>
      <c r="AN254" s="139"/>
      <c r="AO254" s="139"/>
      <c r="AP254" s="139"/>
      <c r="AQ254" s="139"/>
      <c r="AR254" s="139"/>
      <c r="AS254" s="139"/>
      <c r="AT254" s="139"/>
      <c r="AU254" s="139"/>
      <c r="AV254" s="139"/>
      <c r="AW254" s="139"/>
      <c r="AX254" s="139"/>
      <c r="AY254" s="139"/>
      <c r="AZ254" s="139"/>
      <c r="BA254" s="139"/>
      <c r="BB254" s="139"/>
      <c r="BC254" s="139"/>
      <c r="BD254" s="139"/>
      <c r="BE254" s="139"/>
      <c r="BF254" s="139"/>
      <c r="BG254" s="139"/>
      <c r="BH254" s="139"/>
      <c r="BI254" s="139"/>
      <c r="BJ254" s="139"/>
      <c r="BK254" s="139"/>
      <c r="BL254" s="139"/>
      <c r="BM254" s="139"/>
      <c r="BN254" s="139"/>
      <c r="BO254" s="139"/>
      <c r="BP254" s="139"/>
      <c r="BQ254" s="139"/>
      <c r="BR254" s="139"/>
      <c r="BS254" s="139"/>
      <c r="BT254" s="139"/>
      <c r="BU254" s="139"/>
      <c r="BV254" s="139"/>
    </row>
    <row r="255" spans="1:74" x14ac:dyDescent="0.2">
      <c r="A255" s="136"/>
      <c r="B255" s="476" t="s">
        <v>343</v>
      </c>
      <c r="C255" s="477"/>
      <c r="D255" s="477"/>
      <c r="E255" s="477"/>
      <c r="F255" s="442">
        <f>F251+F253</f>
        <v>-1479000</v>
      </c>
      <c r="G255" s="442">
        <f t="shared" ref="G255:X255" si="88">G251+G253</f>
        <v>-319375</v>
      </c>
      <c r="H255" s="442">
        <f t="shared" si="88"/>
        <v>-374125</v>
      </c>
      <c r="I255" s="442">
        <f t="shared" si="88"/>
        <v>-967249.99999999988</v>
      </c>
      <c r="J255" s="442">
        <f t="shared" si="88"/>
        <v>-1405250</v>
      </c>
      <c r="K255" s="442">
        <f t="shared" si="88"/>
        <v>-1835950</v>
      </c>
      <c r="L255" s="442">
        <f t="shared" si="88"/>
        <v>-2273950</v>
      </c>
      <c r="M255" s="442">
        <f t="shared" si="88"/>
        <v>-2719250</v>
      </c>
      <c r="N255" s="442">
        <f t="shared" si="88"/>
        <v>-3257625</v>
      </c>
      <c r="O255" s="442">
        <f t="shared" si="88"/>
        <v>-3841624.9999999995</v>
      </c>
      <c r="P255" s="442">
        <f t="shared" si="88"/>
        <v>-4732225</v>
      </c>
      <c r="Q255" s="442">
        <f t="shared" si="88"/>
        <v>-4732225</v>
      </c>
      <c r="R255" s="442">
        <f t="shared" si="88"/>
        <v>-4732225</v>
      </c>
      <c r="S255" s="442">
        <f t="shared" si="88"/>
        <v>-4732225</v>
      </c>
      <c r="T255" s="442">
        <f t="shared" si="88"/>
        <v>-4732225</v>
      </c>
      <c r="U255" s="442">
        <f t="shared" si="88"/>
        <v>0</v>
      </c>
      <c r="V255" s="442">
        <f t="shared" si="88"/>
        <v>0</v>
      </c>
      <c r="W255" s="442">
        <f t="shared" si="88"/>
        <v>0</v>
      </c>
      <c r="X255" s="442">
        <f t="shared" si="88"/>
        <v>0</v>
      </c>
      <c r="Y255" s="442">
        <f>Y251+Y253</f>
        <v>0</v>
      </c>
      <c r="Z255" s="442">
        <f>Z251+Z253</f>
        <v>0</v>
      </c>
      <c r="AA255" s="442">
        <f t="shared" ref="AA255:AC255" si="89">AA251+AA253</f>
        <v>0</v>
      </c>
      <c r="AB255" s="442">
        <f t="shared" si="89"/>
        <v>0</v>
      </c>
      <c r="AC255" s="447">
        <f t="shared" si="89"/>
        <v>0</v>
      </c>
      <c r="AD255" s="139"/>
      <c r="AE255" s="139"/>
      <c r="AF255" s="139"/>
      <c r="AG255" s="139"/>
      <c r="AH255" s="139"/>
      <c r="AI255" s="139"/>
      <c r="AJ255" s="139"/>
      <c r="AK255" s="139"/>
      <c r="AL255" s="139"/>
      <c r="AM255" s="139"/>
      <c r="AN255" s="139"/>
      <c r="AO255" s="139"/>
      <c r="AP255" s="139"/>
      <c r="AQ255" s="139"/>
      <c r="AR255" s="139"/>
      <c r="AS255" s="139"/>
      <c r="AT255" s="139"/>
      <c r="AU255" s="139"/>
      <c r="AV255" s="139"/>
      <c r="AW255" s="139"/>
      <c r="AX255" s="139"/>
      <c r="AY255" s="139"/>
      <c r="AZ255" s="139"/>
      <c r="BA255" s="139"/>
      <c r="BB255" s="139"/>
      <c r="BC255" s="139"/>
      <c r="BD255" s="139"/>
      <c r="BE255" s="139"/>
      <c r="BF255" s="139"/>
      <c r="BG255" s="139"/>
      <c r="BH255" s="139"/>
      <c r="BI255" s="139"/>
      <c r="BJ255" s="139"/>
      <c r="BK255" s="139"/>
      <c r="BL255" s="139"/>
      <c r="BM255" s="139"/>
      <c r="BN255" s="139"/>
      <c r="BO255" s="139"/>
      <c r="BP255" s="139"/>
      <c r="BQ255" s="139"/>
      <c r="BR255" s="139"/>
      <c r="BS255" s="139"/>
      <c r="BT255" s="139"/>
      <c r="BU255" s="139"/>
      <c r="BV255" s="139"/>
    </row>
    <row r="256" spans="1:74" x14ac:dyDescent="0.2">
      <c r="A256" s="136"/>
      <c r="B256" s="476"/>
      <c r="C256" s="477"/>
      <c r="D256" s="477"/>
      <c r="E256" s="477"/>
      <c r="F256" s="442"/>
      <c r="G256" s="442"/>
      <c r="H256" s="442"/>
      <c r="I256" s="442"/>
      <c r="J256" s="442"/>
      <c r="K256" s="442"/>
      <c r="L256" s="442"/>
      <c r="M256" s="442"/>
      <c r="N256" s="442"/>
      <c r="O256" s="442"/>
      <c r="P256" s="442"/>
      <c r="Q256" s="442"/>
      <c r="R256" s="442"/>
      <c r="S256" s="442"/>
      <c r="T256" s="442"/>
      <c r="U256" s="442"/>
      <c r="V256" s="442"/>
      <c r="W256" s="442"/>
      <c r="X256" s="442"/>
      <c r="Y256" s="442"/>
      <c r="Z256" s="442"/>
      <c r="AA256" s="442"/>
      <c r="AB256" s="442"/>
      <c r="AC256" s="447"/>
      <c r="AD256" s="139"/>
      <c r="AE256" s="139"/>
      <c r="AF256" s="139"/>
      <c r="AG256" s="139"/>
      <c r="AH256" s="139"/>
      <c r="AI256" s="139"/>
      <c r="AJ256" s="139"/>
      <c r="AK256" s="139"/>
      <c r="AL256" s="139"/>
      <c r="AM256" s="139"/>
      <c r="AN256" s="139"/>
      <c r="AO256" s="139"/>
      <c r="AP256" s="139"/>
      <c r="AQ256" s="139"/>
      <c r="AR256" s="139"/>
      <c r="AS256" s="139"/>
      <c r="AT256" s="139"/>
      <c r="AU256" s="139"/>
      <c r="AV256" s="139"/>
      <c r="AW256" s="139"/>
      <c r="AX256" s="139"/>
      <c r="AY256" s="139"/>
      <c r="AZ256" s="139"/>
      <c r="BA256" s="139"/>
      <c r="BB256" s="139"/>
      <c r="BC256" s="139"/>
      <c r="BD256" s="139"/>
      <c r="BE256" s="139"/>
      <c r="BF256" s="139"/>
      <c r="BG256" s="139"/>
      <c r="BH256" s="139"/>
      <c r="BI256" s="139"/>
      <c r="BJ256" s="139"/>
      <c r="BK256" s="139"/>
      <c r="BL256" s="139"/>
      <c r="BM256" s="139"/>
      <c r="BN256" s="139"/>
      <c r="BO256" s="139"/>
      <c r="BP256" s="139"/>
      <c r="BQ256" s="139"/>
      <c r="BR256" s="139"/>
      <c r="BS256" s="139"/>
      <c r="BT256" s="139"/>
      <c r="BU256" s="139"/>
      <c r="BV256" s="139"/>
    </row>
    <row r="257" spans="1:75" x14ac:dyDescent="0.2">
      <c r="A257" s="136"/>
      <c r="B257" s="478" t="s">
        <v>214</v>
      </c>
      <c r="C257" s="479"/>
      <c r="D257" s="479"/>
      <c r="E257" s="479"/>
      <c r="F257" s="441">
        <f t="shared" ref="F257:AC257" si="90">F189</f>
        <v>0</v>
      </c>
      <c r="G257" s="441">
        <f t="shared" si="90"/>
        <v>0</v>
      </c>
      <c r="H257" s="441">
        <f t="shared" si="90"/>
        <v>0</v>
      </c>
      <c r="I257" s="441">
        <f t="shared" si="90"/>
        <v>0</v>
      </c>
      <c r="J257" s="441">
        <f t="shared" si="90"/>
        <v>0</v>
      </c>
      <c r="K257" s="441">
        <f t="shared" si="90"/>
        <v>0</v>
      </c>
      <c r="L257" s="441">
        <f t="shared" si="90"/>
        <v>0</v>
      </c>
      <c r="M257" s="441">
        <f t="shared" si="90"/>
        <v>0</v>
      </c>
      <c r="N257" s="441">
        <f t="shared" si="90"/>
        <v>0</v>
      </c>
      <c r="O257" s="441">
        <f t="shared" si="90"/>
        <v>0</v>
      </c>
      <c r="P257" s="441">
        <f t="shared" si="90"/>
        <v>0</v>
      </c>
      <c r="Q257" s="441">
        <f t="shared" si="90"/>
        <v>0</v>
      </c>
      <c r="R257" s="441">
        <f t="shared" si="90"/>
        <v>0</v>
      </c>
      <c r="S257" s="441">
        <f t="shared" si="90"/>
        <v>0</v>
      </c>
      <c r="T257" s="441">
        <f t="shared" si="90"/>
        <v>0</v>
      </c>
      <c r="U257" s="441">
        <f t="shared" si="90"/>
        <v>-259300000</v>
      </c>
      <c r="V257" s="441">
        <f t="shared" si="90"/>
        <v>0</v>
      </c>
      <c r="W257" s="441">
        <f t="shared" si="90"/>
        <v>0</v>
      </c>
      <c r="X257" s="441">
        <f t="shared" si="90"/>
        <v>0</v>
      </c>
      <c r="Y257" s="441">
        <f t="shared" si="90"/>
        <v>0</v>
      </c>
      <c r="Z257" s="441">
        <f t="shared" si="90"/>
        <v>0</v>
      </c>
      <c r="AA257" s="441">
        <f t="shared" si="90"/>
        <v>0</v>
      </c>
      <c r="AB257" s="441">
        <f t="shared" si="90"/>
        <v>0</v>
      </c>
      <c r="AC257" s="444">
        <f t="shared" si="90"/>
        <v>0</v>
      </c>
      <c r="AD257" s="139"/>
      <c r="AE257" s="139"/>
      <c r="AF257" s="139"/>
      <c r="AG257" s="139"/>
      <c r="AH257" s="139"/>
      <c r="AI257" s="139"/>
      <c r="AJ257" s="139"/>
      <c r="AK257" s="139"/>
      <c r="AL257" s="139"/>
      <c r="AM257" s="139"/>
      <c r="AN257" s="139"/>
      <c r="AO257" s="139"/>
      <c r="AP257" s="139"/>
      <c r="AQ257" s="139"/>
      <c r="AR257" s="139"/>
      <c r="AS257" s="139"/>
      <c r="AT257" s="139"/>
      <c r="AU257" s="139"/>
      <c r="AV257" s="139"/>
      <c r="AW257" s="139"/>
      <c r="AX257" s="139"/>
      <c r="AY257" s="139"/>
      <c r="AZ257" s="139"/>
      <c r="BA257" s="139"/>
      <c r="BB257" s="139"/>
      <c r="BC257" s="139"/>
      <c r="BD257" s="139"/>
      <c r="BE257" s="139"/>
      <c r="BF257" s="139"/>
      <c r="BG257" s="139"/>
      <c r="BH257" s="139"/>
      <c r="BI257" s="139"/>
      <c r="BJ257" s="139"/>
      <c r="BK257" s="139"/>
      <c r="BL257" s="139"/>
      <c r="BM257" s="139"/>
      <c r="BN257" s="139"/>
      <c r="BO257" s="139"/>
      <c r="BP257" s="139"/>
      <c r="BQ257" s="139"/>
      <c r="BR257" s="139"/>
      <c r="BS257" s="139"/>
      <c r="BT257" s="139"/>
      <c r="BU257" s="139"/>
      <c r="BV257" s="139"/>
    </row>
    <row r="258" spans="1:75" ht="12" thickBot="1" x14ac:dyDescent="0.25">
      <c r="B258" s="504"/>
      <c r="C258" s="505"/>
      <c r="D258" s="505"/>
      <c r="E258" s="505"/>
      <c r="F258" s="443"/>
      <c r="G258" s="443"/>
      <c r="H258" s="443"/>
      <c r="I258" s="443"/>
      <c r="J258" s="443"/>
      <c r="K258" s="443"/>
      <c r="L258" s="443"/>
      <c r="M258" s="443"/>
      <c r="N258" s="443"/>
      <c r="O258" s="443"/>
      <c r="P258" s="443"/>
      <c r="Q258" s="443"/>
      <c r="R258" s="443"/>
      <c r="S258" s="443"/>
      <c r="T258" s="443"/>
      <c r="U258" s="443"/>
      <c r="V258" s="443"/>
      <c r="W258" s="443"/>
      <c r="X258" s="443"/>
      <c r="Y258" s="443"/>
      <c r="Z258" s="443"/>
      <c r="AA258" s="443"/>
      <c r="AB258" s="443"/>
      <c r="AC258" s="445"/>
      <c r="AD258" s="139"/>
      <c r="AE258" s="139"/>
      <c r="AF258" s="139"/>
      <c r="AG258" s="139"/>
      <c r="AH258" s="139"/>
      <c r="AI258" s="139"/>
      <c r="AJ258" s="139"/>
      <c r="AK258" s="139"/>
      <c r="AL258" s="139"/>
      <c r="AM258" s="139"/>
      <c r="AN258" s="139"/>
      <c r="AO258" s="139"/>
      <c r="AP258" s="139"/>
      <c r="AQ258" s="139"/>
      <c r="AR258" s="139"/>
      <c r="AS258" s="139"/>
      <c r="AT258" s="139"/>
      <c r="AU258" s="139"/>
      <c r="AV258" s="139"/>
      <c r="AW258" s="139"/>
      <c r="AX258" s="139"/>
      <c r="AY258" s="139"/>
      <c r="AZ258" s="139"/>
      <c r="BA258" s="139"/>
      <c r="BB258" s="139"/>
      <c r="BC258" s="139"/>
      <c r="BD258" s="139"/>
      <c r="BE258" s="139"/>
      <c r="BF258" s="139"/>
      <c r="BG258" s="139"/>
      <c r="BH258" s="139"/>
      <c r="BI258" s="139"/>
      <c r="BJ258" s="139"/>
      <c r="BK258" s="139"/>
      <c r="BL258" s="139"/>
      <c r="BM258" s="139"/>
      <c r="BN258" s="139"/>
      <c r="BO258" s="139"/>
      <c r="BP258" s="139"/>
      <c r="BQ258" s="139"/>
      <c r="BR258" s="139"/>
      <c r="BS258" s="139"/>
      <c r="BT258" s="139"/>
      <c r="BU258" s="139"/>
      <c r="BV258" s="139"/>
    </row>
    <row r="259" spans="1:75" x14ac:dyDescent="0.2">
      <c r="A259" s="136"/>
      <c r="E259" s="136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AB259" s="365" t="s">
        <v>250</v>
      </c>
      <c r="AC259" s="354" t="s">
        <v>251</v>
      </c>
      <c r="AD259" s="139"/>
      <c r="AE259" s="139"/>
      <c r="AF259" s="139"/>
      <c r="AG259" s="139"/>
      <c r="AH259" s="139"/>
      <c r="AI259" s="139"/>
      <c r="AJ259" s="139"/>
      <c r="AK259" s="139"/>
      <c r="AL259" s="139"/>
      <c r="AM259" s="139"/>
      <c r="AN259" s="139"/>
      <c r="AO259" s="139"/>
      <c r="AP259" s="139"/>
      <c r="AQ259" s="139"/>
      <c r="AR259" s="139"/>
      <c r="AS259" s="139"/>
      <c r="AT259" s="139"/>
      <c r="AU259" s="139"/>
      <c r="AV259" s="139"/>
      <c r="AW259" s="139"/>
      <c r="AX259" s="139"/>
      <c r="AY259" s="139"/>
      <c r="AZ259" s="139"/>
      <c r="BA259" s="139"/>
      <c r="BB259" s="139"/>
      <c r="BC259" s="139"/>
      <c r="BD259" s="139"/>
      <c r="BE259" s="139"/>
      <c r="BF259" s="139"/>
      <c r="BG259" s="139"/>
      <c r="BH259" s="139"/>
      <c r="BI259" s="139"/>
      <c r="BJ259" s="139"/>
      <c r="BK259" s="139"/>
      <c r="BL259" s="139"/>
      <c r="BM259" s="139"/>
      <c r="BN259" s="139"/>
      <c r="BO259" s="139"/>
      <c r="BP259" s="139"/>
      <c r="BQ259" s="139"/>
      <c r="BR259" s="139"/>
      <c r="BS259" s="139"/>
      <c r="BT259" s="139"/>
      <c r="BU259" s="139"/>
      <c r="BV259" s="139"/>
    </row>
    <row r="260" spans="1:75" ht="12" thickBot="1" x14ac:dyDescent="0.25">
      <c r="A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AB260" s="366">
        <f>SUM(F249:AC250)</f>
        <v>259300000</v>
      </c>
      <c r="AC260" s="355">
        <f>SUM(F255:AC256)</f>
        <v>-42134525</v>
      </c>
      <c r="AD260" s="139"/>
      <c r="AE260" s="139"/>
      <c r="AF260" s="139"/>
      <c r="AG260" s="139"/>
      <c r="AH260" s="139"/>
      <c r="AI260" s="139"/>
      <c r="AJ260" s="139"/>
      <c r="AK260" s="139"/>
      <c r="AL260" s="139"/>
      <c r="AM260" s="139"/>
      <c r="AN260" s="139"/>
      <c r="AO260" s="139"/>
      <c r="AP260" s="139"/>
      <c r="AQ260" s="139"/>
      <c r="AR260" s="139"/>
      <c r="AS260" s="139"/>
      <c r="AT260" s="139"/>
      <c r="AU260" s="139"/>
      <c r="AV260" s="139"/>
      <c r="AW260" s="139"/>
      <c r="AX260" s="139"/>
      <c r="AY260" s="139"/>
      <c r="AZ260" s="139"/>
      <c r="BA260" s="139"/>
      <c r="BB260" s="139"/>
      <c r="BC260" s="139"/>
      <c r="BD260" s="139"/>
      <c r="BE260" s="139"/>
      <c r="BF260" s="139"/>
      <c r="BG260" s="139"/>
      <c r="BH260" s="139"/>
      <c r="BI260" s="139"/>
      <c r="BJ260" s="139"/>
      <c r="BK260" s="139"/>
      <c r="BL260" s="139"/>
      <c r="BM260" s="139"/>
      <c r="BN260" s="139"/>
      <c r="BO260" s="139"/>
      <c r="BP260" s="139"/>
      <c r="BQ260" s="139"/>
      <c r="BR260" s="139"/>
      <c r="BS260" s="139"/>
      <c r="BT260" s="139"/>
      <c r="BU260" s="139"/>
      <c r="BV260" s="139"/>
    </row>
    <row r="261" spans="1:75" x14ac:dyDescent="0.2">
      <c r="A261" s="136"/>
      <c r="AB261" s="148" t="b">
        <f>AB260=E187</f>
        <v>1</v>
      </c>
      <c r="AC261" s="148" t="b">
        <f>AC260=SUM(E190:E191)</f>
        <v>1</v>
      </c>
      <c r="AD261" s="139"/>
      <c r="AE261" s="139"/>
      <c r="AF261" s="139"/>
      <c r="AG261" s="139"/>
      <c r="AH261" s="139"/>
      <c r="AI261" s="139"/>
      <c r="AJ261" s="139"/>
      <c r="AK261" s="139"/>
      <c r="AL261" s="139"/>
      <c r="AM261" s="139"/>
      <c r="AN261" s="139"/>
      <c r="AO261" s="139"/>
      <c r="AP261" s="139"/>
      <c r="AQ261" s="139"/>
      <c r="AR261" s="139"/>
      <c r="AS261" s="139"/>
      <c r="AT261" s="139"/>
      <c r="AU261" s="139"/>
      <c r="AV261" s="139"/>
      <c r="AW261" s="139"/>
      <c r="AX261" s="139"/>
      <c r="AY261" s="139"/>
      <c r="AZ261" s="139"/>
      <c r="BA261" s="139"/>
      <c r="BB261" s="139"/>
      <c r="BC261" s="139"/>
      <c r="BD261" s="139"/>
      <c r="BE261" s="139"/>
      <c r="BF261" s="139"/>
      <c r="BG261" s="139"/>
      <c r="BH261" s="139"/>
      <c r="BI261" s="139"/>
      <c r="BJ261" s="139"/>
      <c r="BK261" s="139"/>
      <c r="BL261" s="139"/>
      <c r="BM261" s="139"/>
      <c r="BN261" s="139"/>
      <c r="BO261" s="139"/>
      <c r="BP261" s="139"/>
      <c r="BQ261" s="139"/>
      <c r="BR261" s="139"/>
      <c r="BS261" s="139"/>
      <c r="BT261" s="139"/>
      <c r="BU261" s="139"/>
      <c r="BV261" s="139"/>
    </row>
    <row r="262" spans="1:75" x14ac:dyDescent="0.2">
      <c r="A262" s="136"/>
      <c r="W262" s="136"/>
      <c r="AC262" s="139"/>
      <c r="AD262" s="139"/>
      <c r="AE262" s="139"/>
      <c r="AF262" s="139"/>
      <c r="AG262" s="139"/>
      <c r="AH262" s="139"/>
      <c r="AI262" s="139"/>
      <c r="AJ262" s="139"/>
      <c r="AK262" s="139"/>
      <c r="AL262" s="139"/>
      <c r="AM262" s="139"/>
      <c r="AN262" s="139"/>
      <c r="AO262" s="139"/>
      <c r="AP262" s="139"/>
      <c r="AQ262" s="139"/>
      <c r="AR262" s="139"/>
      <c r="AS262" s="139"/>
      <c r="AT262" s="139"/>
      <c r="AU262" s="139"/>
      <c r="AV262" s="139"/>
      <c r="AW262" s="139"/>
      <c r="AX262" s="139"/>
      <c r="AY262" s="139"/>
      <c r="AZ262" s="139"/>
      <c r="BA262" s="139"/>
      <c r="BB262" s="139"/>
      <c r="BC262" s="139"/>
      <c r="BD262" s="139"/>
      <c r="BE262" s="139"/>
      <c r="BF262" s="139"/>
      <c r="BG262" s="139"/>
      <c r="BH262" s="139"/>
      <c r="BI262" s="139"/>
      <c r="BJ262" s="139"/>
      <c r="BK262" s="139"/>
      <c r="BL262" s="139"/>
      <c r="BM262" s="139"/>
      <c r="BN262" s="139"/>
      <c r="BO262" s="139"/>
      <c r="BP262" s="139"/>
      <c r="BQ262" s="139"/>
      <c r="BR262" s="139"/>
      <c r="BS262" s="139"/>
      <c r="BT262" s="139"/>
      <c r="BU262" s="139"/>
      <c r="BV262" s="139"/>
    </row>
    <row r="263" spans="1:75" x14ac:dyDescent="0.2">
      <c r="A263" s="136"/>
      <c r="W263" s="136"/>
      <c r="AC263" s="139"/>
      <c r="AD263" s="139"/>
      <c r="AE263" s="139"/>
      <c r="AF263" s="139"/>
      <c r="AG263" s="139"/>
      <c r="AH263" s="139"/>
      <c r="AI263" s="139"/>
      <c r="AJ263" s="139"/>
      <c r="AK263" s="139"/>
      <c r="AL263" s="139"/>
      <c r="AM263" s="139"/>
      <c r="AN263" s="139"/>
      <c r="AO263" s="139"/>
      <c r="AP263" s="139"/>
      <c r="AQ263" s="139"/>
      <c r="AR263" s="139"/>
      <c r="AS263" s="139"/>
      <c r="AT263" s="139"/>
      <c r="AU263" s="139"/>
      <c r="AV263" s="139"/>
      <c r="AW263" s="139"/>
      <c r="AX263" s="139"/>
      <c r="AY263" s="139"/>
      <c r="AZ263" s="139"/>
      <c r="BA263" s="139"/>
      <c r="BB263" s="139"/>
      <c r="BC263" s="139"/>
      <c r="BD263" s="139"/>
      <c r="BE263" s="139"/>
      <c r="BF263" s="139"/>
      <c r="BG263" s="139"/>
      <c r="BH263" s="139"/>
      <c r="BI263" s="139"/>
      <c r="BJ263" s="139"/>
      <c r="BK263" s="139"/>
      <c r="BL263" s="139"/>
      <c r="BM263" s="139"/>
      <c r="BN263" s="139"/>
      <c r="BO263" s="139"/>
      <c r="BP263" s="139"/>
      <c r="BQ263" s="139"/>
      <c r="BR263" s="139"/>
      <c r="BS263" s="139"/>
      <c r="BT263" s="139"/>
      <c r="BU263" s="139"/>
      <c r="BV263" s="139"/>
    </row>
    <row r="264" spans="1:75" x14ac:dyDescent="0.2">
      <c r="A264" s="136"/>
      <c r="T264" s="139"/>
      <c r="U264" s="139"/>
      <c r="V264" s="139"/>
      <c r="W264" s="140"/>
      <c r="X264" s="139"/>
      <c r="Y264" s="139"/>
      <c r="AC264" s="139"/>
      <c r="AD264" s="139"/>
      <c r="AE264" s="139"/>
      <c r="AF264" s="139"/>
      <c r="AG264" s="139"/>
      <c r="AH264" s="139"/>
      <c r="AI264" s="139"/>
      <c r="AJ264" s="139"/>
      <c r="AK264" s="139"/>
      <c r="AL264" s="139"/>
      <c r="AM264" s="139"/>
      <c r="AN264" s="139"/>
      <c r="AO264" s="139"/>
      <c r="AP264" s="139"/>
      <c r="AQ264" s="139"/>
      <c r="AR264" s="139"/>
      <c r="AS264" s="139"/>
      <c r="AT264" s="139"/>
      <c r="AU264" s="139"/>
      <c r="AV264" s="139"/>
      <c r="AW264" s="139"/>
      <c r="AX264" s="139"/>
      <c r="AY264" s="139"/>
      <c r="AZ264" s="139"/>
      <c r="BA264" s="139"/>
      <c r="BB264" s="139"/>
      <c r="BC264" s="139"/>
      <c r="BD264" s="139"/>
      <c r="BE264" s="139"/>
      <c r="BF264" s="139"/>
      <c r="BG264" s="139"/>
      <c r="BH264" s="139"/>
      <c r="BI264" s="139"/>
      <c r="BJ264" s="139"/>
      <c r="BK264" s="139"/>
      <c r="BL264" s="139"/>
      <c r="BM264" s="139"/>
      <c r="BN264" s="139"/>
      <c r="BO264" s="139"/>
      <c r="BP264" s="139"/>
      <c r="BQ264" s="139"/>
      <c r="BR264" s="139"/>
      <c r="BS264" s="139"/>
      <c r="BT264" s="139"/>
      <c r="BU264" s="139"/>
      <c r="BV264" s="139"/>
    </row>
    <row r="265" spans="1:75" x14ac:dyDescent="0.2">
      <c r="A265" s="136"/>
      <c r="T265" s="139"/>
      <c r="U265" s="139"/>
      <c r="V265" s="139"/>
      <c r="W265" s="140"/>
      <c r="X265" s="139"/>
      <c r="Y265" s="139"/>
      <c r="AC265" s="139"/>
      <c r="AD265" s="139"/>
      <c r="AE265" s="139"/>
      <c r="AF265" s="139"/>
      <c r="AG265" s="139"/>
      <c r="AH265" s="139"/>
      <c r="AI265" s="139"/>
      <c r="AJ265" s="139"/>
      <c r="AK265" s="139"/>
      <c r="AL265" s="139"/>
      <c r="AM265" s="139"/>
      <c r="AN265" s="139"/>
      <c r="AO265" s="139"/>
      <c r="AP265" s="139"/>
      <c r="AQ265" s="139"/>
      <c r="AR265" s="139"/>
      <c r="AS265" s="139"/>
      <c r="AT265" s="139"/>
      <c r="AU265" s="139"/>
      <c r="AV265" s="139"/>
      <c r="AW265" s="139"/>
      <c r="AX265" s="139"/>
      <c r="AY265" s="139"/>
      <c r="AZ265" s="139"/>
      <c r="BA265" s="139"/>
      <c r="BB265" s="139"/>
      <c r="BC265" s="139"/>
      <c r="BD265" s="139"/>
      <c r="BE265" s="139"/>
      <c r="BF265" s="139"/>
      <c r="BG265" s="139"/>
      <c r="BH265" s="139"/>
      <c r="BI265" s="139"/>
      <c r="BJ265" s="139"/>
      <c r="BK265" s="139"/>
      <c r="BL265" s="139"/>
      <c r="BM265" s="139"/>
      <c r="BN265" s="139"/>
      <c r="BO265" s="139"/>
      <c r="BP265" s="139"/>
      <c r="BQ265" s="139"/>
      <c r="BR265" s="139"/>
      <c r="BS265" s="139"/>
      <c r="BT265" s="139"/>
      <c r="BU265" s="139"/>
      <c r="BV265" s="139"/>
    </row>
    <row r="266" spans="1:75" x14ac:dyDescent="0.2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40"/>
      <c r="T266" s="140"/>
      <c r="U266" s="140"/>
      <c r="V266" s="140"/>
      <c r="W266" s="140"/>
      <c r="X266" s="140"/>
      <c r="Y266" s="139"/>
      <c r="AC266" s="139"/>
      <c r="AD266" s="139"/>
      <c r="AE266" s="139"/>
      <c r="AF266" s="139"/>
      <c r="AG266" s="139"/>
      <c r="AH266" s="139"/>
      <c r="AI266" s="139"/>
      <c r="AJ266" s="139"/>
      <c r="AK266" s="139"/>
      <c r="AL266" s="139"/>
      <c r="AM266" s="139"/>
      <c r="AN266" s="139"/>
      <c r="AO266" s="139"/>
      <c r="AP266" s="139"/>
      <c r="AQ266" s="139"/>
      <c r="AR266" s="139"/>
      <c r="AS266" s="139"/>
      <c r="AT266" s="139"/>
      <c r="AU266" s="139"/>
      <c r="AV266" s="139"/>
      <c r="AW266" s="139"/>
      <c r="AX266" s="139"/>
      <c r="AY266" s="139"/>
      <c r="AZ266" s="139"/>
      <c r="BA266" s="139"/>
      <c r="BB266" s="139"/>
      <c r="BC266" s="139"/>
      <c r="BD266" s="139"/>
      <c r="BE266" s="139"/>
      <c r="BF266" s="139"/>
      <c r="BG266" s="139"/>
      <c r="BH266" s="139"/>
      <c r="BI266" s="139"/>
      <c r="BJ266" s="139"/>
      <c r="BK266" s="139"/>
      <c r="BL266" s="139"/>
      <c r="BM266" s="139"/>
      <c r="BN266" s="139"/>
      <c r="BO266" s="139"/>
      <c r="BP266" s="139"/>
      <c r="BQ266" s="139"/>
      <c r="BR266" s="139"/>
      <c r="BS266" s="139"/>
      <c r="BT266" s="139"/>
      <c r="BU266" s="139"/>
      <c r="BV266" s="139"/>
    </row>
    <row r="267" spans="1:75" s="139" customFormat="1" ht="12" thickBot="1" x14ac:dyDescent="0.25">
      <c r="B267" s="382"/>
      <c r="D267" s="383"/>
      <c r="E267" s="140"/>
      <c r="F267" s="148" t="str">
        <f t="shared" ref="F267:K267" si="91">IF(AND(F198&lt;&gt;"", F198&lt;&gt;0), 1, "")</f>
        <v/>
      </c>
      <c r="G267" s="148">
        <f t="shared" si="91"/>
        <v>1</v>
      </c>
      <c r="H267" s="148" t="str">
        <f t="shared" si="91"/>
        <v/>
      </c>
      <c r="I267" s="148" t="str">
        <f t="shared" si="91"/>
        <v/>
      </c>
      <c r="J267" s="148" t="str">
        <f t="shared" si="91"/>
        <v/>
      </c>
      <c r="K267" s="148" t="str">
        <f t="shared" si="91"/>
        <v/>
      </c>
      <c r="L267" s="148">
        <f t="shared" ref="L267:Y267" si="92">IF(AND(L194&lt;&gt;"", L194&lt;&gt;0), 1, "")</f>
        <v>1</v>
      </c>
      <c r="M267" s="148">
        <f t="shared" si="92"/>
        <v>1</v>
      </c>
      <c r="N267" s="148">
        <f t="shared" si="92"/>
        <v>1</v>
      </c>
      <c r="O267" s="148">
        <f t="shared" si="92"/>
        <v>1</v>
      </c>
      <c r="P267" s="148">
        <f t="shared" si="92"/>
        <v>1</v>
      </c>
      <c r="Q267" s="148" t="str">
        <f t="shared" si="92"/>
        <v/>
      </c>
      <c r="R267" s="148" t="str">
        <f t="shared" si="92"/>
        <v/>
      </c>
      <c r="S267" s="148" t="str">
        <f t="shared" si="92"/>
        <v/>
      </c>
      <c r="T267" s="148" t="str">
        <f t="shared" si="92"/>
        <v/>
      </c>
      <c r="U267" s="148" t="str">
        <f t="shared" si="92"/>
        <v/>
      </c>
      <c r="V267" s="148" t="str">
        <f t="shared" si="92"/>
        <v/>
      </c>
      <c r="W267" s="148" t="str">
        <f t="shared" si="92"/>
        <v/>
      </c>
      <c r="X267" s="148" t="str">
        <f t="shared" si="92"/>
        <v/>
      </c>
      <c r="Y267" s="148" t="str">
        <f t="shared" si="92"/>
        <v/>
      </c>
    </row>
    <row r="268" spans="1:75" ht="12.75" x14ac:dyDescent="0.2">
      <c r="B268" s="385" t="s">
        <v>252</v>
      </c>
      <c r="C268" s="386"/>
      <c r="D268" s="386"/>
      <c r="E268" s="386"/>
      <c r="F268" s="386"/>
      <c r="G268" s="386"/>
      <c r="H268" s="386"/>
      <c r="I268" s="386"/>
      <c r="J268" s="386"/>
      <c r="K268" s="386"/>
      <c r="L268" s="386"/>
      <c r="M268" s="386"/>
      <c r="N268" s="386"/>
      <c r="O268" s="386"/>
      <c r="P268" s="386"/>
      <c r="Q268" s="386"/>
      <c r="R268" s="386"/>
      <c r="S268" s="386"/>
      <c r="T268" s="386"/>
      <c r="U268" s="386"/>
      <c r="V268" s="386"/>
      <c r="W268" s="386"/>
      <c r="X268" s="386"/>
      <c r="Y268" s="386"/>
      <c r="Z268" s="386"/>
      <c r="AA268" s="386"/>
      <c r="AB268" s="386"/>
      <c r="AC268" s="387"/>
      <c r="AD268" s="139"/>
      <c r="AZ268" s="139"/>
      <c r="BA268" s="139"/>
      <c r="BB268" s="139"/>
      <c r="BC268" s="139"/>
      <c r="BD268" s="139"/>
      <c r="BE268" s="139"/>
      <c r="BF268" s="139"/>
      <c r="BG268" s="139"/>
      <c r="BH268" s="139"/>
      <c r="BI268" s="139"/>
      <c r="BJ268" s="139"/>
      <c r="BK268" s="139"/>
      <c r="BL268" s="139"/>
      <c r="BM268" s="139"/>
      <c r="BN268" s="139"/>
      <c r="BO268" s="139"/>
      <c r="BP268" s="139"/>
      <c r="BQ268" s="139"/>
      <c r="BR268" s="139"/>
      <c r="BS268" s="139"/>
      <c r="BT268" s="139"/>
      <c r="BU268" s="139"/>
      <c r="BV268" s="139"/>
      <c r="BW268" s="139"/>
    </row>
    <row r="269" spans="1:75" x14ac:dyDescent="0.2">
      <c r="B269" s="507">
        <f>O139-SUM(F271:Y272)</f>
        <v>0</v>
      </c>
      <c r="C269" s="508"/>
      <c r="D269" s="508"/>
      <c r="E269" s="454" t="s">
        <v>249</v>
      </c>
      <c r="F269" s="388" t="s">
        <v>138</v>
      </c>
      <c r="G269" s="388"/>
      <c r="H269" s="388"/>
      <c r="I269" s="388"/>
      <c r="J269" s="388" t="s">
        <v>140</v>
      </c>
      <c r="K269" s="388"/>
      <c r="L269" s="388"/>
      <c r="M269" s="388"/>
      <c r="N269" s="388" t="s">
        <v>142</v>
      </c>
      <c r="O269" s="388"/>
      <c r="P269" s="388"/>
      <c r="Q269" s="388"/>
      <c r="R269" s="388" t="s">
        <v>144</v>
      </c>
      <c r="S269" s="388"/>
      <c r="T269" s="388"/>
      <c r="U269" s="388"/>
      <c r="V269" s="388" t="s">
        <v>146</v>
      </c>
      <c r="W269" s="388"/>
      <c r="X269" s="388"/>
      <c r="Y269" s="388"/>
      <c r="Z269" s="390" t="s">
        <v>148</v>
      </c>
      <c r="AA269" s="390"/>
      <c r="AB269" s="390"/>
      <c r="AC269" s="391"/>
      <c r="AD269" s="139"/>
      <c r="AZ269" s="139"/>
      <c r="BA269" s="139"/>
      <c r="BB269" s="139"/>
      <c r="BC269" s="139"/>
      <c r="BD269" s="139"/>
      <c r="BE269" s="139"/>
      <c r="BF269" s="139"/>
      <c r="BG269" s="139"/>
      <c r="BH269" s="139"/>
      <c r="BI269" s="139"/>
      <c r="BJ269" s="139"/>
      <c r="BK269" s="139"/>
      <c r="BL269" s="139"/>
      <c r="BM269" s="139"/>
      <c r="BN269" s="139"/>
      <c r="BO269" s="139"/>
      <c r="BP269" s="139"/>
      <c r="BQ269" s="139"/>
      <c r="BR269" s="139"/>
      <c r="BS269" s="139"/>
      <c r="BT269" s="139"/>
      <c r="BU269" s="139"/>
      <c r="BV269" s="139"/>
      <c r="BW269" s="139"/>
    </row>
    <row r="270" spans="1:75" x14ac:dyDescent="0.2">
      <c r="B270" s="507"/>
      <c r="C270" s="508"/>
      <c r="D270" s="508"/>
      <c r="E270" s="454"/>
      <c r="F270" s="266" t="s">
        <v>189</v>
      </c>
      <c r="G270" s="266" t="s">
        <v>190</v>
      </c>
      <c r="H270" s="266" t="s">
        <v>191</v>
      </c>
      <c r="I270" s="266" t="s">
        <v>192</v>
      </c>
      <c r="J270" s="266" t="s">
        <v>193</v>
      </c>
      <c r="K270" s="266" t="s">
        <v>194</v>
      </c>
      <c r="L270" s="266" t="s">
        <v>195</v>
      </c>
      <c r="M270" s="266" t="s">
        <v>196</v>
      </c>
      <c r="N270" s="266" t="s">
        <v>197</v>
      </c>
      <c r="O270" s="266" t="s">
        <v>198</v>
      </c>
      <c r="P270" s="266" t="s">
        <v>199</v>
      </c>
      <c r="Q270" s="266" t="s">
        <v>200</v>
      </c>
      <c r="R270" s="266" t="s">
        <v>201</v>
      </c>
      <c r="S270" s="266" t="s">
        <v>202</v>
      </c>
      <c r="T270" s="266" t="s">
        <v>203</v>
      </c>
      <c r="U270" s="266" t="s">
        <v>204</v>
      </c>
      <c r="V270" s="266" t="s">
        <v>205</v>
      </c>
      <c r="W270" s="266" t="s">
        <v>206</v>
      </c>
      <c r="X270" s="266" t="s">
        <v>207</v>
      </c>
      <c r="Y270" s="266" t="s">
        <v>208</v>
      </c>
      <c r="Z270" s="266" t="s">
        <v>209</v>
      </c>
      <c r="AA270" s="266" t="s">
        <v>210</v>
      </c>
      <c r="AB270" s="266" t="s">
        <v>211</v>
      </c>
      <c r="AC270" s="246" t="s">
        <v>212</v>
      </c>
      <c r="AD270" s="139"/>
      <c r="AZ270" s="139"/>
      <c r="BA270" s="139"/>
      <c r="BB270" s="139"/>
      <c r="BC270" s="139"/>
      <c r="BD270" s="139"/>
      <c r="BE270" s="139"/>
      <c r="BF270" s="139"/>
      <c r="BG270" s="139"/>
      <c r="BH270" s="139"/>
      <c r="BI270" s="139"/>
      <c r="BJ270" s="139"/>
      <c r="BK270" s="139"/>
      <c r="BL270" s="139"/>
      <c r="BM270" s="139"/>
      <c r="BN270" s="139"/>
      <c r="BO270" s="139"/>
      <c r="BP270" s="139"/>
      <c r="BQ270" s="139"/>
      <c r="BR270" s="139"/>
      <c r="BS270" s="139"/>
      <c r="BT270" s="139"/>
      <c r="BU270" s="139"/>
      <c r="BV270" s="139"/>
      <c r="BW270" s="139"/>
    </row>
    <row r="271" spans="1:75" x14ac:dyDescent="0.2">
      <c r="B271" s="509" t="s">
        <v>253</v>
      </c>
      <c r="C271" s="510"/>
      <c r="D271" s="506" t="b">
        <f>E271=O139</f>
        <v>1</v>
      </c>
      <c r="E271" s="442">
        <f>SUM(F271:Y272)</f>
        <v>0</v>
      </c>
      <c r="F271" s="448"/>
      <c r="G271" s="448"/>
      <c r="H271" s="448"/>
      <c r="I271" s="448"/>
      <c r="J271" s="448"/>
      <c r="K271" s="448"/>
      <c r="L271" s="448"/>
      <c r="M271" s="448"/>
      <c r="N271" s="448"/>
      <c r="O271" s="448"/>
      <c r="P271" s="448"/>
      <c r="Q271" s="448"/>
      <c r="R271" s="448"/>
      <c r="S271" s="448"/>
      <c r="T271" s="448"/>
      <c r="U271" s="448"/>
      <c r="V271" s="448"/>
      <c r="W271" s="448"/>
      <c r="X271" s="448"/>
      <c r="Y271" s="448"/>
      <c r="Z271" s="448"/>
      <c r="AA271" s="448"/>
      <c r="AB271" s="448"/>
      <c r="AC271" s="449"/>
      <c r="AD271" s="139"/>
      <c r="AZ271" s="139"/>
      <c r="BA271" s="139"/>
      <c r="BB271" s="139"/>
      <c r="BC271" s="139"/>
      <c r="BD271" s="139"/>
      <c r="BE271" s="139"/>
      <c r="BF271" s="139"/>
      <c r="BG271" s="139"/>
      <c r="BH271" s="139"/>
      <c r="BI271" s="139"/>
      <c r="BJ271" s="139"/>
      <c r="BK271" s="139"/>
      <c r="BL271" s="139"/>
      <c r="BM271" s="139"/>
      <c r="BN271" s="139"/>
      <c r="BO271" s="139"/>
      <c r="BP271" s="139"/>
      <c r="BQ271" s="139"/>
      <c r="BR271" s="139"/>
      <c r="BS271" s="139"/>
      <c r="BT271" s="139"/>
      <c r="BU271" s="139"/>
      <c r="BV271" s="139"/>
      <c r="BW271" s="139"/>
    </row>
    <row r="272" spans="1:75" x14ac:dyDescent="0.2">
      <c r="B272" s="509"/>
      <c r="C272" s="510"/>
      <c r="D272" s="506"/>
      <c r="E272" s="442"/>
      <c r="F272" s="448"/>
      <c r="G272" s="448"/>
      <c r="H272" s="448"/>
      <c r="I272" s="448"/>
      <c r="J272" s="448"/>
      <c r="K272" s="448"/>
      <c r="L272" s="448"/>
      <c r="M272" s="448"/>
      <c r="N272" s="448"/>
      <c r="O272" s="448"/>
      <c r="P272" s="448"/>
      <c r="Q272" s="448"/>
      <c r="R272" s="448"/>
      <c r="S272" s="448"/>
      <c r="T272" s="448"/>
      <c r="U272" s="448"/>
      <c r="V272" s="448"/>
      <c r="W272" s="448"/>
      <c r="X272" s="448"/>
      <c r="Y272" s="448"/>
      <c r="Z272" s="448"/>
      <c r="AA272" s="448"/>
      <c r="AB272" s="448"/>
      <c r="AC272" s="449"/>
      <c r="AD272" s="139"/>
      <c r="AZ272" s="139"/>
      <c r="BA272" s="139"/>
      <c r="BB272" s="139"/>
      <c r="BC272" s="139"/>
      <c r="BD272" s="139"/>
      <c r="BE272" s="139"/>
      <c r="BF272" s="139"/>
      <c r="BG272" s="139"/>
      <c r="BH272" s="139"/>
      <c r="BI272" s="139"/>
      <c r="BJ272" s="139"/>
      <c r="BK272" s="139"/>
      <c r="BL272" s="139"/>
      <c r="BM272" s="139"/>
      <c r="BN272" s="139"/>
      <c r="BO272" s="139"/>
      <c r="BP272" s="139"/>
      <c r="BQ272" s="139"/>
      <c r="BR272" s="139"/>
      <c r="BS272" s="139"/>
      <c r="BT272" s="139"/>
      <c r="BU272" s="139"/>
      <c r="BV272" s="139"/>
      <c r="BW272" s="139"/>
    </row>
    <row r="273" spans="2:75" x14ac:dyDescent="0.2">
      <c r="B273" s="478" t="s">
        <v>254</v>
      </c>
      <c r="C273" s="479"/>
      <c r="D273" s="512" t="b">
        <f>E273=C194</f>
        <v>1</v>
      </c>
      <c r="E273" s="446">
        <f>SUM(F273:AC274)</f>
        <v>-181440000</v>
      </c>
      <c r="F273" s="441">
        <f t="shared" ref="F273:AC273" si="93">F194</f>
        <v>0</v>
      </c>
      <c r="G273" s="441">
        <f t="shared" si="93"/>
        <v>0</v>
      </c>
      <c r="H273" s="441">
        <f t="shared" si="93"/>
        <v>0</v>
      </c>
      <c r="I273" s="441">
        <f t="shared" si="93"/>
        <v>-27216000</v>
      </c>
      <c r="J273" s="441">
        <f t="shared" si="93"/>
        <v>-18144000</v>
      </c>
      <c r="K273" s="441">
        <f t="shared" si="93"/>
        <v>-18144000</v>
      </c>
      <c r="L273" s="441">
        <f t="shared" si="93"/>
        <v>-18144000</v>
      </c>
      <c r="M273" s="441">
        <f t="shared" si="93"/>
        <v>-18144000</v>
      </c>
      <c r="N273" s="441">
        <f t="shared" si="93"/>
        <v>-21772800</v>
      </c>
      <c r="O273" s="441">
        <f t="shared" si="93"/>
        <v>-23587200</v>
      </c>
      <c r="P273" s="441">
        <f t="shared" si="93"/>
        <v>-36288000</v>
      </c>
      <c r="Q273" s="441">
        <f t="shared" si="93"/>
        <v>0</v>
      </c>
      <c r="R273" s="441">
        <f t="shared" si="93"/>
        <v>0</v>
      </c>
      <c r="S273" s="441">
        <f t="shared" si="93"/>
        <v>0</v>
      </c>
      <c r="T273" s="441">
        <f t="shared" si="93"/>
        <v>0</v>
      </c>
      <c r="U273" s="441">
        <f t="shared" si="93"/>
        <v>0</v>
      </c>
      <c r="V273" s="441">
        <f t="shared" si="93"/>
        <v>0</v>
      </c>
      <c r="W273" s="441">
        <f t="shared" si="93"/>
        <v>0</v>
      </c>
      <c r="X273" s="441">
        <f t="shared" si="93"/>
        <v>0</v>
      </c>
      <c r="Y273" s="441">
        <f t="shared" si="93"/>
        <v>0</v>
      </c>
      <c r="Z273" s="441">
        <f t="shared" si="93"/>
        <v>0</v>
      </c>
      <c r="AA273" s="441">
        <f t="shared" si="93"/>
        <v>0</v>
      </c>
      <c r="AB273" s="441">
        <f t="shared" si="93"/>
        <v>0</v>
      </c>
      <c r="AC273" s="444">
        <f t="shared" si="93"/>
        <v>0</v>
      </c>
      <c r="AD273" s="139"/>
      <c r="AZ273" s="139"/>
      <c r="BA273" s="139"/>
      <c r="BB273" s="139"/>
      <c r="BC273" s="139"/>
      <c r="BD273" s="139"/>
      <c r="BE273" s="139"/>
      <c r="BF273" s="139"/>
      <c r="BG273" s="139"/>
      <c r="BH273" s="139"/>
      <c r="BI273" s="139"/>
      <c r="BJ273" s="139"/>
      <c r="BK273" s="139"/>
      <c r="BL273" s="139"/>
      <c r="BM273" s="139"/>
      <c r="BN273" s="139"/>
      <c r="BO273" s="139"/>
      <c r="BP273" s="139"/>
      <c r="BQ273" s="139"/>
      <c r="BR273" s="139"/>
      <c r="BS273" s="139"/>
      <c r="BT273" s="139"/>
      <c r="BU273" s="139"/>
      <c r="BV273" s="139"/>
      <c r="BW273" s="139"/>
    </row>
    <row r="274" spans="2:75" x14ac:dyDescent="0.2">
      <c r="B274" s="478"/>
      <c r="C274" s="479"/>
      <c r="D274" s="512"/>
      <c r="E274" s="446"/>
      <c r="F274" s="441"/>
      <c r="G274" s="441"/>
      <c r="H274" s="441"/>
      <c r="I274" s="441"/>
      <c r="J274" s="441"/>
      <c r="K274" s="441"/>
      <c r="L274" s="441"/>
      <c r="M274" s="441"/>
      <c r="N274" s="441"/>
      <c r="O274" s="441"/>
      <c r="P274" s="441"/>
      <c r="Q274" s="441"/>
      <c r="R274" s="441"/>
      <c r="S274" s="441"/>
      <c r="T274" s="441"/>
      <c r="U274" s="441"/>
      <c r="V274" s="441"/>
      <c r="W274" s="441"/>
      <c r="X274" s="441"/>
      <c r="Y274" s="441"/>
      <c r="Z274" s="441"/>
      <c r="AA274" s="441"/>
      <c r="AB274" s="441"/>
      <c r="AC274" s="444"/>
      <c r="AD274" s="139"/>
      <c r="AZ274" s="139"/>
      <c r="BA274" s="139"/>
      <c r="BB274" s="139"/>
      <c r="BC274" s="139"/>
      <c r="BD274" s="139"/>
      <c r="BE274" s="139"/>
      <c r="BF274" s="139"/>
      <c r="BG274" s="139"/>
      <c r="BH274" s="139"/>
      <c r="BI274" s="139"/>
      <c r="BJ274" s="139"/>
      <c r="BK274" s="139"/>
      <c r="BL274" s="139"/>
      <c r="BM274" s="139"/>
      <c r="BN274" s="139"/>
      <c r="BO274" s="139"/>
      <c r="BP274" s="139"/>
      <c r="BQ274" s="139"/>
      <c r="BR274" s="139"/>
      <c r="BS274" s="139"/>
      <c r="BT274" s="139"/>
      <c r="BU274" s="139"/>
      <c r="BV274" s="139"/>
      <c r="BW274" s="139"/>
    </row>
    <row r="275" spans="2:75" x14ac:dyDescent="0.2">
      <c r="B275" s="509" t="s">
        <v>255</v>
      </c>
      <c r="C275" s="510"/>
      <c r="D275" s="506" t="b">
        <f>E275=100%</f>
        <v>1</v>
      </c>
      <c r="E275" s="450">
        <f>SUM(F275:AC276)</f>
        <v>1</v>
      </c>
      <c r="F275" s="450">
        <f>F273/$C$194</f>
        <v>0</v>
      </c>
      <c r="G275" s="450">
        <f t="shared" ref="G275:K275" si="94">G273/$C$194</f>
        <v>0</v>
      </c>
      <c r="H275" s="450">
        <f t="shared" si="94"/>
        <v>0</v>
      </c>
      <c r="I275" s="450">
        <f t="shared" si="94"/>
        <v>0.15</v>
      </c>
      <c r="J275" s="450">
        <f t="shared" si="94"/>
        <v>0.1</v>
      </c>
      <c r="K275" s="450">
        <f t="shared" si="94"/>
        <v>0.1</v>
      </c>
      <c r="L275" s="450">
        <f t="shared" ref="L275:X275" si="95">L273/$C$194</f>
        <v>0.1</v>
      </c>
      <c r="M275" s="450">
        <f t="shared" si="95"/>
        <v>0.1</v>
      </c>
      <c r="N275" s="450">
        <f t="shared" si="95"/>
        <v>0.12</v>
      </c>
      <c r="O275" s="450">
        <f t="shared" si="95"/>
        <v>0.13</v>
      </c>
      <c r="P275" s="450">
        <f t="shared" si="95"/>
        <v>0.2</v>
      </c>
      <c r="Q275" s="450">
        <f t="shared" si="95"/>
        <v>0</v>
      </c>
      <c r="R275" s="450">
        <f t="shared" si="95"/>
        <v>0</v>
      </c>
      <c r="S275" s="450">
        <f t="shared" si="95"/>
        <v>0</v>
      </c>
      <c r="T275" s="450">
        <f t="shared" si="95"/>
        <v>0</v>
      </c>
      <c r="U275" s="450">
        <f t="shared" si="95"/>
        <v>0</v>
      </c>
      <c r="V275" s="450">
        <f t="shared" si="95"/>
        <v>0</v>
      </c>
      <c r="W275" s="450">
        <f t="shared" si="95"/>
        <v>0</v>
      </c>
      <c r="X275" s="450">
        <f t="shared" si="95"/>
        <v>0</v>
      </c>
      <c r="Y275" s="450">
        <f>Y273/$C$194</f>
        <v>0</v>
      </c>
      <c r="Z275" s="450">
        <f t="shared" ref="Z275:AC275" si="96">Z273/$C$194</f>
        <v>0</v>
      </c>
      <c r="AA275" s="450">
        <f t="shared" si="96"/>
        <v>0</v>
      </c>
      <c r="AB275" s="450">
        <f t="shared" si="96"/>
        <v>0</v>
      </c>
      <c r="AC275" s="451">
        <f t="shared" si="96"/>
        <v>0</v>
      </c>
      <c r="AD275" s="139"/>
      <c r="AZ275" s="139"/>
      <c r="BA275" s="139"/>
      <c r="BB275" s="139"/>
      <c r="BC275" s="139"/>
      <c r="BD275" s="139"/>
      <c r="BE275" s="139"/>
      <c r="BF275" s="139"/>
      <c r="BG275" s="139"/>
      <c r="BH275" s="139"/>
      <c r="BI275" s="139"/>
      <c r="BJ275" s="139"/>
      <c r="BK275" s="139"/>
      <c r="BL275" s="139"/>
      <c r="BM275" s="139"/>
      <c r="BN275" s="139"/>
      <c r="BO275" s="139"/>
      <c r="BP275" s="139"/>
      <c r="BQ275" s="139"/>
      <c r="BR275" s="139"/>
      <c r="BS275" s="139"/>
      <c r="BT275" s="139"/>
      <c r="BU275" s="139"/>
      <c r="BV275" s="139"/>
      <c r="BW275" s="139"/>
    </row>
    <row r="276" spans="2:75" x14ac:dyDescent="0.2">
      <c r="B276" s="509"/>
      <c r="C276" s="510"/>
      <c r="D276" s="506"/>
      <c r="E276" s="450"/>
      <c r="F276" s="450"/>
      <c r="G276" s="450"/>
      <c r="H276" s="450"/>
      <c r="I276" s="450"/>
      <c r="J276" s="450"/>
      <c r="K276" s="450"/>
      <c r="L276" s="450"/>
      <c r="M276" s="450"/>
      <c r="N276" s="450"/>
      <c r="O276" s="450"/>
      <c r="P276" s="450"/>
      <c r="Q276" s="450"/>
      <c r="R276" s="450"/>
      <c r="S276" s="450"/>
      <c r="T276" s="450"/>
      <c r="U276" s="450"/>
      <c r="V276" s="450"/>
      <c r="W276" s="450"/>
      <c r="X276" s="450"/>
      <c r="Y276" s="450"/>
      <c r="Z276" s="450"/>
      <c r="AA276" s="450"/>
      <c r="AB276" s="450"/>
      <c r="AC276" s="451"/>
      <c r="AD276" s="139"/>
      <c r="AZ276" s="139"/>
      <c r="BA276" s="139"/>
      <c r="BB276" s="139"/>
      <c r="BC276" s="139"/>
      <c r="BD276" s="139"/>
      <c r="BE276" s="139"/>
      <c r="BF276" s="139"/>
      <c r="BG276" s="139"/>
      <c r="BH276" s="139"/>
      <c r="BI276" s="139"/>
      <c r="BJ276" s="139"/>
      <c r="BK276" s="139"/>
      <c r="BL276" s="139"/>
      <c r="BM276" s="139"/>
      <c r="BN276" s="139"/>
      <c r="BO276" s="139"/>
      <c r="BP276" s="139"/>
      <c r="BQ276" s="139"/>
      <c r="BR276" s="139"/>
      <c r="BS276" s="139"/>
      <c r="BT276" s="139"/>
      <c r="BU276" s="139"/>
      <c r="BV276" s="139"/>
      <c r="BW276" s="139"/>
    </row>
    <row r="277" spans="2:75" x14ac:dyDescent="0.2">
      <c r="B277" s="478" t="s">
        <v>256</v>
      </c>
      <c r="C277" s="479"/>
      <c r="D277" s="512" t="s">
        <v>96</v>
      </c>
      <c r="E277" s="442" t="s">
        <v>96</v>
      </c>
      <c r="F277" s="452">
        <f>F275</f>
        <v>0</v>
      </c>
      <c r="G277" s="452">
        <f t="shared" ref="G277:U277" si="97">G275+F277</f>
        <v>0</v>
      </c>
      <c r="H277" s="452">
        <f>H275+G277</f>
        <v>0</v>
      </c>
      <c r="I277" s="452">
        <f t="shared" si="97"/>
        <v>0.15</v>
      </c>
      <c r="J277" s="452">
        <f>J275+I277</f>
        <v>0.25</v>
      </c>
      <c r="K277" s="452">
        <f t="shared" si="97"/>
        <v>0.35</v>
      </c>
      <c r="L277" s="452">
        <f t="shared" si="97"/>
        <v>0.44999999999999996</v>
      </c>
      <c r="M277" s="452">
        <f t="shared" si="97"/>
        <v>0.54999999999999993</v>
      </c>
      <c r="N277" s="452">
        <f>N275+M277</f>
        <v>0.66999999999999993</v>
      </c>
      <c r="O277" s="452">
        <f t="shared" si="97"/>
        <v>0.79999999999999993</v>
      </c>
      <c r="P277" s="452">
        <f t="shared" si="97"/>
        <v>1</v>
      </c>
      <c r="Q277" s="452">
        <f>Q275+P277</f>
        <v>1</v>
      </c>
      <c r="R277" s="452">
        <f t="shared" si="97"/>
        <v>1</v>
      </c>
      <c r="S277" s="452">
        <f t="shared" si="97"/>
        <v>1</v>
      </c>
      <c r="T277" s="452">
        <f t="shared" si="97"/>
        <v>1</v>
      </c>
      <c r="U277" s="452">
        <f t="shared" si="97"/>
        <v>1</v>
      </c>
      <c r="V277" s="452">
        <f>V275+U277</f>
        <v>1</v>
      </c>
      <c r="W277" s="452">
        <f>W275+V277</f>
        <v>1</v>
      </c>
      <c r="X277" s="452">
        <f>X275+W277</f>
        <v>1</v>
      </c>
      <c r="Y277" s="452">
        <f>Y275+X277</f>
        <v>1</v>
      </c>
      <c r="Z277" s="452">
        <f t="shared" ref="Z277:AC277" si="98">Z275+Y277</f>
        <v>1</v>
      </c>
      <c r="AA277" s="452">
        <f t="shared" si="98"/>
        <v>1</v>
      </c>
      <c r="AB277" s="452">
        <f t="shared" si="98"/>
        <v>1</v>
      </c>
      <c r="AC277" s="453">
        <f t="shared" si="98"/>
        <v>1</v>
      </c>
      <c r="AD277" s="139"/>
      <c r="AZ277" s="139"/>
      <c r="BA277" s="139"/>
      <c r="BB277" s="139"/>
      <c r="BC277" s="139"/>
      <c r="BD277" s="139"/>
      <c r="BE277" s="139"/>
      <c r="BF277" s="139"/>
      <c r="BG277" s="139"/>
      <c r="BH277" s="139"/>
      <c r="BI277" s="139"/>
      <c r="BJ277" s="139"/>
      <c r="BK277" s="139"/>
      <c r="BL277" s="139"/>
      <c r="BM277" s="139"/>
      <c r="BN277" s="139"/>
      <c r="BO277" s="139"/>
      <c r="BP277" s="139"/>
      <c r="BQ277" s="139"/>
      <c r="BR277" s="139"/>
      <c r="BS277" s="139"/>
      <c r="BT277" s="139"/>
      <c r="BU277" s="139"/>
      <c r="BV277" s="139"/>
      <c r="BW277" s="139"/>
    </row>
    <row r="278" spans="2:75" x14ac:dyDescent="0.2">
      <c r="B278" s="478"/>
      <c r="C278" s="479"/>
      <c r="D278" s="512"/>
      <c r="E278" s="442"/>
      <c r="F278" s="452"/>
      <c r="G278" s="452"/>
      <c r="H278" s="452"/>
      <c r="I278" s="452"/>
      <c r="J278" s="452"/>
      <c r="K278" s="452"/>
      <c r="L278" s="452"/>
      <c r="M278" s="452"/>
      <c r="N278" s="452"/>
      <c r="O278" s="452"/>
      <c r="P278" s="452"/>
      <c r="Q278" s="452"/>
      <c r="R278" s="452"/>
      <c r="S278" s="452"/>
      <c r="T278" s="452"/>
      <c r="U278" s="452"/>
      <c r="V278" s="452"/>
      <c r="W278" s="452"/>
      <c r="X278" s="452"/>
      <c r="Y278" s="452"/>
      <c r="Z278" s="452"/>
      <c r="AA278" s="452"/>
      <c r="AB278" s="452"/>
      <c r="AC278" s="453"/>
      <c r="AD278" s="139"/>
      <c r="AZ278" s="139"/>
      <c r="BA278" s="139"/>
      <c r="BB278" s="139"/>
      <c r="BC278" s="139"/>
      <c r="BD278" s="139"/>
      <c r="BE278" s="139"/>
      <c r="BF278" s="139"/>
      <c r="BG278" s="139"/>
      <c r="BH278" s="139"/>
      <c r="BI278" s="139"/>
      <c r="BJ278" s="139"/>
      <c r="BK278" s="139"/>
      <c r="BL278" s="139"/>
      <c r="BM278" s="139"/>
      <c r="BN278" s="139"/>
      <c r="BO278" s="139"/>
      <c r="BP278" s="139"/>
      <c r="BQ278" s="139"/>
      <c r="BR278" s="139"/>
      <c r="BS278" s="139"/>
      <c r="BT278" s="139"/>
      <c r="BU278" s="139"/>
      <c r="BV278" s="139"/>
      <c r="BW278" s="139"/>
    </row>
    <row r="279" spans="2:75" x14ac:dyDescent="0.2">
      <c r="B279" s="509" t="s">
        <v>282</v>
      </c>
      <c r="C279" s="510"/>
      <c r="D279" s="506" t="e">
        <f>E279=C300</f>
        <v>#DIV/0!</v>
      </c>
      <c r="E279" s="442" t="e">
        <f>SUM(F279:AC280)</f>
        <v>#DIV/0!</v>
      </c>
      <c r="F279" s="442" t="e">
        <f t="shared" ref="F279:Y279" si="99">F271*$C$303</f>
        <v>#DIV/0!</v>
      </c>
      <c r="G279" s="442" t="e">
        <f t="shared" si="99"/>
        <v>#DIV/0!</v>
      </c>
      <c r="H279" s="442" t="e">
        <f t="shared" si="99"/>
        <v>#DIV/0!</v>
      </c>
      <c r="I279" s="442" t="e">
        <f t="shared" si="99"/>
        <v>#DIV/0!</v>
      </c>
      <c r="J279" s="442" t="e">
        <f t="shared" si="99"/>
        <v>#DIV/0!</v>
      </c>
      <c r="K279" s="442" t="e">
        <f t="shared" si="99"/>
        <v>#DIV/0!</v>
      </c>
      <c r="L279" s="442" t="e">
        <f t="shared" si="99"/>
        <v>#DIV/0!</v>
      </c>
      <c r="M279" s="442" t="e">
        <f t="shared" si="99"/>
        <v>#DIV/0!</v>
      </c>
      <c r="N279" s="442" t="e">
        <f t="shared" si="99"/>
        <v>#DIV/0!</v>
      </c>
      <c r="O279" s="442" t="e">
        <f t="shared" si="99"/>
        <v>#DIV/0!</v>
      </c>
      <c r="P279" s="442" t="e">
        <f t="shared" si="99"/>
        <v>#DIV/0!</v>
      </c>
      <c r="Q279" s="442" t="e">
        <f t="shared" si="99"/>
        <v>#DIV/0!</v>
      </c>
      <c r="R279" s="442" t="e">
        <f t="shared" si="99"/>
        <v>#DIV/0!</v>
      </c>
      <c r="S279" s="442" t="e">
        <f t="shared" si="99"/>
        <v>#DIV/0!</v>
      </c>
      <c r="T279" s="442" t="e">
        <f t="shared" si="99"/>
        <v>#DIV/0!</v>
      </c>
      <c r="U279" s="442" t="e">
        <f t="shared" si="99"/>
        <v>#DIV/0!</v>
      </c>
      <c r="V279" s="442" t="e">
        <f t="shared" si="99"/>
        <v>#DIV/0!</v>
      </c>
      <c r="W279" s="442" t="e">
        <f t="shared" si="99"/>
        <v>#DIV/0!</v>
      </c>
      <c r="X279" s="442" t="e">
        <f t="shared" si="99"/>
        <v>#DIV/0!</v>
      </c>
      <c r="Y279" s="442" t="e">
        <f t="shared" si="99"/>
        <v>#DIV/0!</v>
      </c>
      <c r="Z279" s="442" t="e">
        <f t="shared" ref="Z279:AC279" si="100">Z271*$C$303</f>
        <v>#DIV/0!</v>
      </c>
      <c r="AA279" s="442" t="e">
        <f t="shared" si="100"/>
        <v>#DIV/0!</v>
      </c>
      <c r="AB279" s="442" t="e">
        <f t="shared" si="100"/>
        <v>#DIV/0!</v>
      </c>
      <c r="AC279" s="447" t="e">
        <f t="shared" si="100"/>
        <v>#DIV/0!</v>
      </c>
      <c r="AD279" s="139"/>
      <c r="AZ279" s="139"/>
      <c r="BA279" s="139"/>
      <c r="BB279" s="139"/>
      <c r="BC279" s="139"/>
      <c r="BD279" s="139"/>
      <c r="BE279" s="139"/>
      <c r="BF279" s="139"/>
      <c r="BG279" s="139"/>
      <c r="BH279" s="139"/>
      <c r="BI279" s="139"/>
      <c r="BJ279" s="139"/>
      <c r="BK279" s="139"/>
      <c r="BL279" s="139"/>
      <c r="BM279" s="139"/>
      <c r="BN279" s="139"/>
      <c r="BO279" s="139"/>
      <c r="BP279" s="139"/>
      <c r="BQ279" s="139"/>
      <c r="BR279" s="139"/>
      <c r="BS279" s="139"/>
      <c r="BT279" s="139"/>
      <c r="BU279" s="139"/>
      <c r="BV279" s="139"/>
      <c r="BW279" s="139"/>
    </row>
    <row r="280" spans="2:75" x14ac:dyDescent="0.2">
      <c r="B280" s="509"/>
      <c r="C280" s="510"/>
      <c r="D280" s="506"/>
      <c r="E280" s="442"/>
      <c r="F280" s="442"/>
      <c r="G280" s="442"/>
      <c r="H280" s="442"/>
      <c r="I280" s="442"/>
      <c r="J280" s="442"/>
      <c r="K280" s="442"/>
      <c r="L280" s="442"/>
      <c r="M280" s="442"/>
      <c r="N280" s="442"/>
      <c r="O280" s="442"/>
      <c r="P280" s="442"/>
      <c r="Q280" s="442"/>
      <c r="R280" s="442"/>
      <c r="S280" s="442"/>
      <c r="T280" s="442"/>
      <c r="U280" s="442"/>
      <c r="V280" s="442"/>
      <c r="W280" s="442"/>
      <c r="X280" s="442"/>
      <c r="Y280" s="442"/>
      <c r="Z280" s="442"/>
      <c r="AA280" s="442"/>
      <c r="AB280" s="442"/>
      <c r="AC280" s="447"/>
      <c r="AD280" s="139"/>
      <c r="AZ280" s="139"/>
      <c r="BA280" s="139"/>
      <c r="BB280" s="139"/>
      <c r="BC280" s="139"/>
      <c r="BD280" s="139"/>
      <c r="BE280" s="139"/>
      <c r="BF280" s="139"/>
      <c r="BG280" s="139"/>
      <c r="BH280" s="139"/>
      <c r="BI280" s="139"/>
      <c r="BJ280" s="139"/>
      <c r="BK280" s="139"/>
      <c r="BL280" s="139"/>
      <c r="BM280" s="139"/>
      <c r="BN280" s="139"/>
      <c r="BO280" s="139"/>
      <c r="BP280" s="139"/>
      <c r="BQ280" s="139"/>
      <c r="BR280" s="139"/>
      <c r="BS280" s="139"/>
      <c r="BT280" s="139"/>
      <c r="BU280" s="139"/>
      <c r="BV280" s="139"/>
      <c r="BW280" s="139"/>
    </row>
    <row r="281" spans="2:75" x14ac:dyDescent="0.2">
      <c r="B281" s="478" t="s">
        <v>234</v>
      </c>
      <c r="C281" s="479"/>
      <c r="D281" s="512" t="e">
        <f>E281=C304</f>
        <v>#DIV/0!</v>
      </c>
      <c r="E281" s="446" t="e">
        <f>-SUM(F281:AC282)</f>
        <v>#DIV/0!</v>
      </c>
      <c r="F281" s="441" t="e">
        <f t="shared" ref="F281:AC281" si="101">$D$304*-F279</f>
        <v>#DIV/0!</v>
      </c>
      <c r="G281" s="441" t="e">
        <f t="shared" si="101"/>
        <v>#DIV/0!</v>
      </c>
      <c r="H281" s="441" t="e">
        <f t="shared" si="101"/>
        <v>#DIV/0!</v>
      </c>
      <c r="I281" s="441" t="e">
        <f t="shared" si="101"/>
        <v>#DIV/0!</v>
      </c>
      <c r="J281" s="441" t="e">
        <f t="shared" si="101"/>
        <v>#DIV/0!</v>
      </c>
      <c r="K281" s="441" t="e">
        <f t="shared" si="101"/>
        <v>#DIV/0!</v>
      </c>
      <c r="L281" s="441" t="e">
        <f t="shared" si="101"/>
        <v>#DIV/0!</v>
      </c>
      <c r="M281" s="441" t="e">
        <f t="shared" si="101"/>
        <v>#DIV/0!</v>
      </c>
      <c r="N281" s="441" t="e">
        <f t="shared" si="101"/>
        <v>#DIV/0!</v>
      </c>
      <c r="O281" s="441" t="e">
        <f t="shared" si="101"/>
        <v>#DIV/0!</v>
      </c>
      <c r="P281" s="441" t="e">
        <f t="shared" si="101"/>
        <v>#DIV/0!</v>
      </c>
      <c r="Q281" s="441" t="e">
        <f t="shared" si="101"/>
        <v>#DIV/0!</v>
      </c>
      <c r="R281" s="441" t="e">
        <f t="shared" si="101"/>
        <v>#DIV/0!</v>
      </c>
      <c r="S281" s="441" t="e">
        <f t="shared" si="101"/>
        <v>#DIV/0!</v>
      </c>
      <c r="T281" s="441" t="e">
        <f t="shared" si="101"/>
        <v>#DIV/0!</v>
      </c>
      <c r="U281" s="441" t="e">
        <f t="shared" si="101"/>
        <v>#DIV/0!</v>
      </c>
      <c r="V281" s="441" t="e">
        <f t="shared" si="101"/>
        <v>#DIV/0!</v>
      </c>
      <c r="W281" s="441" t="e">
        <f t="shared" si="101"/>
        <v>#DIV/0!</v>
      </c>
      <c r="X281" s="441" t="e">
        <f t="shared" si="101"/>
        <v>#DIV/0!</v>
      </c>
      <c r="Y281" s="441" t="e">
        <f t="shared" si="101"/>
        <v>#DIV/0!</v>
      </c>
      <c r="Z281" s="441" t="e">
        <f t="shared" si="101"/>
        <v>#DIV/0!</v>
      </c>
      <c r="AA281" s="441" t="e">
        <f t="shared" si="101"/>
        <v>#DIV/0!</v>
      </c>
      <c r="AB281" s="441" t="e">
        <f t="shared" si="101"/>
        <v>#DIV/0!</v>
      </c>
      <c r="AC281" s="444" t="e">
        <f t="shared" si="101"/>
        <v>#DIV/0!</v>
      </c>
      <c r="AD281" s="139"/>
      <c r="AZ281" s="139"/>
      <c r="BA281" s="139"/>
      <c r="BB281" s="139"/>
      <c r="BC281" s="139"/>
      <c r="BD281" s="139"/>
      <c r="BE281" s="139"/>
      <c r="BF281" s="139"/>
      <c r="BG281" s="139"/>
      <c r="BH281" s="139"/>
      <c r="BI281" s="139"/>
      <c r="BJ281" s="139"/>
      <c r="BK281" s="139"/>
      <c r="BL281" s="139"/>
      <c r="BM281" s="139"/>
      <c r="BN281" s="139"/>
      <c r="BO281" s="139"/>
      <c r="BP281" s="139"/>
      <c r="BQ281" s="139"/>
      <c r="BR281" s="139"/>
      <c r="BS281" s="139"/>
      <c r="BT281" s="139"/>
      <c r="BU281" s="139"/>
      <c r="BV281" s="139"/>
      <c r="BW281" s="139"/>
    </row>
    <row r="282" spans="2:75" x14ac:dyDescent="0.2">
      <c r="B282" s="478"/>
      <c r="C282" s="479"/>
      <c r="D282" s="512"/>
      <c r="E282" s="446"/>
      <c r="F282" s="441"/>
      <c r="G282" s="441"/>
      <c r="H282" s="441"/>
      <c r="I282" s="441"/>
      <c r="J282" s="441"/>
      <c r="K282" s="441"/>
      <c r="L282" s="441"/>
      <c r="M282" s="441"/>
      <c r="N282" s="441"/>
      <c r="O282" s="441"/>
      <c r="P282" s="441"/>
      <c r="Q282" s="441"/>
      <c r="R282" s="441"/>
      <c r="S282" s="441"/>
      <c r="T282" s="441"/>
      <c r="U282" s="441"/>
      <c r="V282" s="441"/>
      <c r="W282" s="441"/>
      <c r="X282" s="441"/>
      <c r="Y282" s="441"/>
      <c r="Z282" s="441"/>
      <c r="AA282" s="441"/>
      <c r="AB282" s="441"/>
      <c r="AC282" s="444"/>
      <c r="AD282" s="139"/>
      <c r="AZ282" s="139"/>
      <c r="BA282" s="139"/>
      <c r="BB282" s="139"/>
      <c r="BC282" s="139"/>
      <c r="BD282" s="139"/>
      <c r="BE282" s="139"/>
      <c r="BF282" s="139"/>
      <c r="BG282" s="139"/>
      <c r="BH282" s="139"/>
      <c r="BI282" s="139"/>
      <c r="BJ282" s="139"/>
      <c r="BK282" s="139"/>
      <c r="BL282" s="139"/>
      <c r="BM282" s="139"/>
      <c r="BN282" s="139"/>
      <c r="BO282" s="139"/>
      <c r="BP282" s="139"/>
      <c r="BQ282" s="139"/>
      <c r="BR282" s="139"/>
      <c r="BS282" s="139"/>
      <c r="BT282" s="139"/>
      <c r="BU282" s="139"/>
      <c r="BV282" s="139"/>
      <c r="BW282" s="139"/>
    </row>
    <row r="283" spans="2:75" x14ac:dyDescent="0.2">
      <c r="B283" s="509" t="s">
        <v>363</v>
      </c>
      <c r="C283" s="510"/>
      <c r="D283" s="506" t="e">
        <f>E283=C305</f>
        <v>#DIV/0!</v>
      </c>
      <c r="E283" s="446" t="e">
        <f>-SUM(F283:AC284)</f>
        <v>#DIV/0!</v>
      </c>
      <c r="F283" s="442" t="e">
        <f>F279*-$D$305</f>
        <v>#DIV/0!</v>
      </c>
      <c r="G283" s="442" t="e">
        <f>G279*-$D$305</f>
        <v>#DIV/0!</v>
      </c>
      <c r="H283" s="442" t="e">
        <f t="shared" ref="H283:AC283" si="102">H279*-$D$305</f>
        <v>#DIV/0!</v>
      </c>
      <c r="I283" s="442" t="e">
        <f t="shared" si="102"/>
        <v>#DIV/0!</v>
      </c>
      <c r="J283" s="442" t="e">
        <f t="shared" si="102"/>
        <v>#DIV/0!</v>
      </c>
      <c r="K283" s="442" t="e">
        <f t="shared" si="102"/>
        <v>#DIV/0!</v>
      </c>
      <c r="L283" s="442" t="e">
        <f t="shared" si="102"/>
        <v>#DIV/0!</v>
      </c>
      <c r="M283" s="442" t="e">
        <f t="shared" si="102"/>
        <v>#DIV/0!</v>
      </c>
      <c r="N283" s="442" t="e">
        <f t="shared" si="102"/>
        <v>#DIV/0!</v>
      </c>
      <c r="O283" s="442" t="e">
        <f t="shared" si="102"/>
        <v>#DIV/0!</v>
      </c>
      <c r="P283" s="442" t="e">
        <f t="shared" si="102"/>
        <v>#DIV/0!</v>
      </c>
      <c r="Q283" s="442" t="e">
        <f t="shared" si="102"/>
        <v>#DIV/0!</v>
      </c>
      <c r="R283" s="442" t="e">
        <f t="shared" si="102"/>
        <v>#DIV/0!</v>
      </c>
      <c r="S283" s="442" t="e">
        <f t="shared" si="102"/>
        <v>#DIV/0!</v>
      </c>
      <c r="T283" s="442" t="e">
        <f t="shared" si="102"/>
        <v>#DIV/0!</v>
      </c>
      <c r="U283" s="442" t="e">
        <f t="shared" si="102"/>
        <v>#DIV/0!</v>
      </c>
      <c r="V283" s="442" t="e">
        <f t="shared" si="102"/>
        <v>#DIV/0!</v>
      </c>
      <c r="W283" s="442" t="e">
        <f t="shared" si="102"/>
        <v>#DIV/0!</v>
      </c>
      <c r="X283" s="442" t="e">
        <f t="shared" si="102"/>
        <v>#DIV/0!</v>
      </c>
      <c r="Y283" s="442" t="e">
        <f t="shared" si="102"/>
        <v>#DIV/0!</v>
      </c>
      <c r="Z283" s="442" t="e">
        <f t="shared" si="102"/>
        <v>#DIV/0!</v>
      </c>
      <c r="AA283" s="442" t="e">
        <f t="shared" si="102"/>
        <v>#DIV/0!</v>
      </c>
      <c r="AB283" s="442" t="e">
        <f t="shared" si="102"/>
        <v>#DIV/0!</v>
      </c>
      <c r="AC283" s="447" t="e">
        <f t="shared" si="102"/>
        <v>#DIV/0!</v>
      </c>
      <c r="AD283" s="139"/>
      <c r="AZ283" s="139"/>
      <c r="BA283" s="139"/>
      <c r="BB283" s="139"/>
      <c r="BC283" s="139"/>
      <c r="BD283" s="139"/>
      <c r="BE283" s="139"/>
      <c r="BF283" s="139"/>
      <c r="BG283" s="139"/>
      <c r="BH283" s="139"/>
      <c r="BI283" s="139"/>
      <c r="BJ283" s="139"/>
      <c r="BK283" s="139"/>
      <c r="BL283" s="139"/>
      <c r="BM283" s="139"/>
      <c r="BN283" s="139"/>
      <c r="BO283" s="139"/>
      <c r="BP283" s="139"/>
      <c r="BQ283" s="139"/>
      <c r="BR283" s="139"/>
      <c r="BS283" s="139"/>
      <c r="BT283" s="139"/>
      <c r="BU283" s="139"/>
      <c r="BV283" s="139"/>
      <c r="BW283" s="139"/>
    </row>
    <row r="284" spans="2:75" x14ac:dyDescent="0.2">
      <c r="B284" s="509"/>
      <c r="C284" s="510"/>
      <c r="D284" s="506"/>
      <c r="E284" s="446"/>
      <c r="F284" s="442"/>
      <c r="G284" s="442"/>
      <c r="H284" s="442"/>
      <c r="I284" s="442"/>
      <c r="J284" s="442"/>
      <c r="K284" s="442"/>
      <c r="L284" s="442"/>
      <c r="M284" s="442"/>
      <c r="N284" s="442"/>
      <c r="O284" s="442"/>
      <c r="P284" s="442"/>
      <c r="Q284" s="442"/>
      <c r="R284" s="442"/>
      <c r="S284" s="442"/>
      <c r="T284" s="442"/>
      <c r="U284" s="442"/>
      <c r="V284" s="442"/>
      <c r="W284" s="442"/>
      <c r="X284" s="442"/>
      <c r="Y284" s="442"/>
      <c r="Z284" s="442"/>
      <c r="AA284" s="442"/>
      <c r="AB284" s="442"/>
      <c r="AC284" s="447"/>
      <c r="AD284" s="139"/>
      <c r="AZ284" s="139"/>
      <c r="BA284" s="139"/>
      <c r="BB284" s="139"/>
      <c r="BC284" s="139"/>
      <c r="BD284" s="139"/>
      <c r="BE284" s="139"/>
      <c r="BF284" s="139"/>
      <c r="BG284" s="139"/>
      <c r="BH284" s="139"/>
      <c r="BI284" s="139"/>
      <c r="BJ284" s="139"/>
      <c r="BK284" s="139"/>
      <c r="BL284" s="139"/>
      <c r="BM284" s="139"/>
      <c r="BN284" s="139"/>
      <c r="BO284" s="139"/>
      <c r="BP284" s="139"/>
      <c r="BQ284" s="139"/>
      <c r="BR284" s="139"/>
      <c r="BS284" s="139"/>
      <c r="BT284" s="139"/>
      <c r="BU284" s="139"/>
      <c r="BV284" s="139"/>
      <c r="BW284" s="139"/>
    </row>
    <row r="285" spans="2:75" x14ac:dyDescent="0.2">
      <c r="B285" s="478" t="s">
        <v>362</v>
      </c>
      <c r="C285" s="479"/>
      <c r="D285" s="512" t="e">
        <f>E285=C306</f>
        <v>#DIV/0!</v>
      </c>
      <c r="E285" s="446" t="e">
        <f>-SUM(F285:AC286)</f>
        <v>#DIV/0!</v>
      </c>
      <c r="F285" s="441" t="e">
        <f>F279*-$D$306</f>
        <v>#DIV/0!</v>
      </c>
      <c r="G285" s="441" t="e">
        <f t="shared" ref="G285:AC285" si="103">G279*-$D$306</f>
        <v>#DIV/0!</v>
      </c>
      <c r="H285" s="441" t="e">
        <f t="shared" si="103"/>
        <v>#DIV/0!</v>
      </c>
      <c r="I285" s="441" t="e">
        <f t="shared" si="103"/>
        <v>#DIV/0!</v>
      </c>
      <c r="J285" s="441" t="e">
        <f t="shared" si="103"/>
        <v>#DIV/0!</v>
      </c>
      <c r="K285" s="441" t="e">
        <f t="shared" si="103"/>
        <v>#DIV/0!</v>
      </c>
      <c r="L285" s="441" t="e">
        <f t="shared" si="103"/>
        <v>#DIV/0!</v>
      </c>
      <c r="M285" s="441" t="e">
        <f t="shared" si="103"/>
        <v>#DIV/0!</v>
      </c>
      <c r="N285" s="441" t="e">
        <f t="shared" si="103"/>
        <v>#DIV/0!</v>
      </c>
      <c r="O285" s="441" t="e">
        <f t="shared" si="103"/>
        <v>#DIV/0!</v>
      </c>
      <c r="P285" s="441" t="e">
        <f t="shared" si="103"/>
        <v>#DIV/0!</v>
      </c>
      <c r="Q285" s="441" t="e">
        <f t="shared" si="103"/>
        <v>#DIV/0!</v>
      </c>
      <c r="R285" s="441" t="e">
        <f t="shared" si="103"/>
        <v>#DIV/0!</v>
      </c>
      <c r="S285" s="441" t="e">
        <f t="shared" si="103"/>
        <v>#DIV/0!</v>
      </c>
      <c r="T285" s="441" t="e">
        <f t="shared" si="103"/>
        <v>#DIV/0!</v>
      </c>
      <c r="U285" s="441" t="e">
        <f t="shared" si="103"/>
        <v>#DIV/0!</v>
      </c>
      <c r="V285" s="441" t="e">
        <f t="shared" si="103"/>
        <v>#DIV/0!</v>
      </c>
      <c r="W285" s="441" t="e">
        <f t="shared" si="103"/>
        <v>#DIV/0!</v>
      </c>
      <c r="X285" s="441" t="e">
        <f t="shared" si="103"/>
        <v>#DIV/0!</v>
      </c>
      <c r="Y285" s="441" t="e">
        <f t="shared" si="103"/>
        <v>#DIV/0!</v>
      </c>
      <c r="Z285" s="441" t="e">
        <f t="shared" si="103"/>
        <v>#DIV/0!</v>
      </c>
      <c r="AA285" s="441" t="e">
        <f t="shared" si="103"/>
        <v>#DIV/0!</v>
      </c>
      <c r="AB285" s="441" t="e">
        <f t="shared" si="103"/>
        <v>#DIV/0!</v>
      </c>
      <c r="AC285" s="444" t="e">
        <f t="shared" si="103"/>
        <v>#DIV/0!</v>
      </c>
      <c r="AD285" s="139"/>
      <c r="AZ285" s="139"/>
      <c r="BA285" s="139"/>
      <c r="BB285" s="139"/>
      <c r="BC285" s="139"/>
      <c r="BD285" s="139"/>
      <c r="BE285" s="139"/>
      <c r="BF285" s="139"/>
      <c r="BG285" s="139"/>
      <c r="BH285" s="139"/>
      <c r="BI285" s="139"/>
      <c r="BJ285" s="139"/>
      <c r="BK285" s="139"/>
      <c r="BL285" s="139"/>
      <c r="BM285" s="139"/>
      <c r="BN285" s="139"/>
      <c r="BO285" s="139"/>
      <c r="BP285" s="139"/>
      <c r="BQ285" s="139"/>
      <c r="BR285" s="139"/>
      <c r="BS285" s="139"/>
      <c r="BT285" s="139"/>
      <c r="BU285" s="139"/>
      <c r="BV285" s="139"/>
      <c r="BW285" s="139"/>
    </row>
    <row r="286" spans="2:75" x14ac:dyDescent="0.2">
      <c r="B286" s="478"/>
      <c r="C286" s="479"/>
      <c r="D286" s="512"/>
      <c r="E286" s="446"/>
      <c r="F286" s="441"/>
      <c r="G286" s="441"/>
      <c r="H286" s="441"/>
      <c r="I286" s="441"/>
      <c r="J286" s="441"/>
      <c r="K286" s="441"/>
      <c r="L286" s="441"/>
      <c r="M286" s="441"/>
      <c r="N286" s="441"/>
      <c r="O286" s="441"/>
      <c r="P286" s="441"/>
      <c r="Q286" s="441"/>
      <c r="R286" s="441"/>
      <c r="S286" s="441"/>
      <c r="T286" s="441"/>
      <c r="U286" s="441"/>
      <c r="V286" s="441"/>
      <c r="W286" s="441"/>
      <c r="X286" s="441"/>
      <c r="Y286" s="441"/>
      <c r="Z286" s="441"/>
      <c r="AA286" s="441"/>
      <c r="AB286" s="441"/>
      <c r="AC286" s="444"/>
      <c r="AD286" s="139"/>
      <c r="AZ286" s="139"/>
      <c r="BA286" s="139"/>
      <c r="BB286" s="139"/>
      <c r="BC286" s="139"/>
      <c r="BD286" s="139"/>
      <c r="BE286" s="139"/>
      <c r="BF286" s="139"/>
      <c r="BG286" s="139"/>
      <c r="BH286" s="139"/>
      <c r="BI286" s="139"/>
      <c r="BJ286" s="139"/>
      <c r="BK286" s="139"/>
      <c r="BL286" s="139"/>
      <c r="BM286" s="139"/>
      <c r="BN286" s="139"/>
      <c r="BO286" s="139"/>
      <c r="BP286" s="139"/>
      <c r="BQ286" s="139"/>
      <c r="BR286" s="139"/>
      <c r="BS286" s="139"/>
      <c r="BT286" s="139"/>
      <c r="BU286" s="139"/>
      <c r="BV286" s="139"/>
      <c r="BW286" s="139"/>
    </row>
    <row r="287" spans="2:75" x14ac:dyDescent="0.2">
      <c r="B287" s="509" t="s">
        <v>257</v>
      </c>
      <c r="C287" s="510"/>
      <c r="D287" s="506" t="e">
        <f>E287=AC297</f>
        <v>#DIV/0!</v>
      </c>
      <c r="E287" s="511" t="e">
        <f>-SUM(F287:AC288)</f>
        <v>#DIV/0!</v>
      </c>
      <c r="F287" s="442" t="e">
        <f t="shared" ref="F287:AC287" si="104">$D$307*-F279</f>
        <v>#DIV/0!</v>
      </c>
      <c r="G287" s="442" t="e">
        <f t="shared" si="104"/>
        <v>#DIV/0!</v>
      </c>
      <c r="H287" s="442" t="e">
        <f t="shared" si="104"/>
        <v>#DIV/0!</v>
      </c>
      <c r="I287" s="442" t="e">
        <f t="shared" si="104"/>
        <v>#DIV/0!</v>
      </c>
      <c r="J287" s="442" t="e">
        <f t="shared" si="104"/>
        <v>#DIV/0!</v>
      </c>
      <c r="K287" s="442" t="e">
        <f t="shared" si="104"/>
        <v>#DIV/0!</v>
      </c>
      <c r="L287" s="442" t="e">
        <f t="shared" si="104"/>
        <v>#DIV/0!</v>
      </c>
      <c r="M287" s="442" t="e">
        <f t="shared" si="104"/>
        <v>#DIV/0!</v>
      </c>
      <c r="N287" s="442" t="e">
        <f t="shared" si="104"/>
        <v>#DIV/0!</v>
      </c>
      <c r="O287" s="442" t="e">
        <f t="shared" si="104"/>
        <v>#DIV/0!</v>
      </c>
      <c r="P287" s="442" t="e">
        <f t="shared" si="104"/>
        <v>#DIV/0!</v>
      </c>
      <c r="Q287" s="442" t="e">
        <f t="shared" si="104"/>
        <v>#DIV/0!</v>
      </c>
      <c r="R287" s="442" t="e">
        <f t="shared" si="104"/>
        <v>#DIV/0!</v>
      </c>
      <c r="S287" s="442" t="e">
        <f t="shared" si="104"/>
        <v>#DIV/0!</v>
      </c>
      <c r="T287" s="442" t="e">
        <f t="shared" si="104"/>
        <v>#DIV/0!</v>
      </c>
      <c r="U287" s="442" t="e">
        <f t="shared" si="104"/>
        <v>#DIV/0!</v>
      </c>
      <c r="V287" s="442" t="e">
        <f t="shared" si="104"/>
        <v>#DIV/0!</v>
      </c>
      <c r="W287" s="442" t="e">
        <f t="shared" si="104"/>
        <v>#DIV/0!</v>
      </c>
      <c r="X287" s="442" t="e">
        <f t="shared" si="104"/>
        <v>#DIV/0!</v>
      </c>
      <c r="Y287" s="442" t="e">
        <f t="shared" si="104"/>
        <v>#DIV/0!</v>
      </c>
      <c r="Z287" s="442" t="e">
        <f t="shared" si="104"/>
        <v>#DIV/0!</v>
      </c>
      <c r="AA287" s="442" t="e">
        <f t="shared" si="104"/>
        <v>#DIV/0!</v>
      </c>
      <c r="AB287" s="442" t="e">
        <f t="shared" si="104"/>
        <v>#DIV/0!</v>
      </c>
      <c r="AC287" s="447" t="e">
        <f t="shared" si="104"/>
        <v>#DIV/0!</v>
      </c>
      <c r="AD287" s="139"/>
      <c r="AZ287" s="139"/>
      <c r="BA287" s="139"/>
      <c r="BB287" s="139"/>
      <c r="BC287" s="139"/>
      <c r="BD287" s="139"/>
      <c r="BE287" s="139"/>
      <c r="BF287" s="139"/>
      <c r="BG287" s="139"/>
      <c r="BH287" s="139"/>
      <c r="BI287" s="139"/>
      <c r="BJ287" s="139"/>
      <c r="BK287" s="139"/>
      <c r="BL287" s="139"/>
      <c r="BM287" s="139"/>
      <c r="BN287" s="139"/>
      <c r="BO287" s="139"/>
      <c r="BP287" s="139"/>
      <c r="BQ287" s="139"/>
      <c r="BR287" s="139"/>
      <c r="BS287" s="139"/>
      <c r="BT287" s="139"/>
      <c r="BU287" s="139"/>
      <c r="BV287" s="139"/>
      <c r="BW287" s="139"/>
    </row>
    <row r="288" spans="2:75" x14ac:dyDescent="0.2">
      <c r="B288" s="509"/>
      <c r="C288" s="510"/>
      <c r="D288" s="506"/>
      <c r="E288" s="511"/>
      <c r="F288" s="442"/>
      <c r="G288" s="442"/>
      <c r="H288" s="442"/>
      <c r="I288" s="442"/>
      <c r="J288" s="442"/>
      <c r="K288" s="442"/>
      <c r="L288" s="442"/>
      <c r="M288" s="442"/>
      <c r="N288" s="442"/>
      <c r="O288" s="442"/>
      <c r="P288" s="442"/>
      <c r="Q288" s="442"/>
      <c r="R288" s="442"/>
      <c r="S288" s="442"/>
      <c r="T288" s="442"/>
      <c r="U288" s="442"/>
      <c r="V288" s="442"/>
      <c r="W288" s="442"/>
      <c r="X288" s="442"/>
      <c r="Y288" s="442"/>
      <c r="Z288" s="442"/>
      <c r="AA288" s="442"/>
      <c r="AB288" s="442"/>
      <c r="AC288" s="447"/>
      <c r="AD288" s="139"/>
      <c r="AZ288" s="139"/>
      <c r="BA288" s="139"/>
      <c r="BB288" s="139"/>
      <c r="BC288" s="139"/>
      <c r="BD288" s="139"/>
      <c r="BE288" s="139"/>
      <c r="BF288" s="139"/>
      <c r="BG288" s="139"/>
      <c r="BH288" s="139"/>
      <c r="BI288" s="139"/>
      <c r="BJ288" s="139"/>
      <c r="BK288" s="139"/>
      <c r="BL288" s="139"/>
      <c r="BM288" s="139"/>
      <c r="BN288" s="139"/>
      <c r="BO288" s="139"/>
      <c r="BP288" s="139"/>
      <c r="BQ288" s="139"/>
      <c r="BR288" s="139"/>
      <c r="BS288" s="139"/>
      <c r="BT288" s="139"/>
      <c r="BU288" s="139"/>
      <c r="BV288" s="139"/>
      <c r="BW288" s="139"/>
    </row>
    <row r="289" spans="2:75" x14ac:dyDescent="0.2">
      <c r="B289" s="478" t="s">
        <v>258</v>
      </c>
      <c r="C289" s="479"/>
      <c r="D289" s="512" t="e">
        <f>E289=C301</f>
        <v>#DIV/0!</v>
      </c>
      <c r="E289" s="442" t="e">
        <f>SUM(F289:AC290)</f>
        <v>#DIV/0!</v>
      </c>
      <c r="F289" s="441" t="e">
        <f>F279+SUM(F281:F288)</f>
        <v>#DIV/0!</v>
      </c>
      <c r="G289" s="441" t="e">
        <f>G279+SUM(G281:G288)</f>
        <v>#DIV/0!</v>
      </c>
      <c r="H289" s="441" t="e">
        <f>H279+SUM(H281:H288)</f>
        <v>#DIV/0!</v>
      </c>
      <c r="I289" s="441" t="e">
        <f t="shared" ref="I289:AC289" si="105">I279+SUM(I281:I288)</f>
        <v>#DIV/0!</v>
      </c>
      <c r="J289" s="441" t="e">
        <f t="shared" si="105"/>
        <v>#DIV/0!</v>
      </c>
      <c r="K289" s="441" t="e">
        <f t="shared" si="105"/>
        <v>#DIV/0!</v>
      </c>
      <c r="L289" s="441" t="e">
        <f t="shared" si="105"/>
        <v>#DIV/0!</v>
      </c>
      <c r="M289" s="441" t="e">
        <f t="shared" si="105"/>
        <v>#DIV/0!</v>
      </c>
      <c r="N289" s="441" t="e">
        <f t="shared" si="105"/>
        <v>#DIV/0!</v>
      </c>
      <c r="O289" s="441" t="e">
        <f t="shared" si="105"/>
        <v>#DIV/0!</v>
      </c>
      <c r="P289" s="441" t="e">
        <f t="shared" si="105"/>
        <v>#DIV/0!</v>
      </c>
      <c r="Q289" s="441" t="e">
        <f t="shared" si="105"/>
        <v>#DIV/0!</v>
      </c>
      <c r="R289" s="441" t="e">
        <f t="shared" si="105"/>
        <v>#DIV/0!</v>
      </c>
      <c r="S289" s="441" t="e">
        <f t="shared" si="105"/>
        <v>#DIV/0!</v>
      </c>
      <c r="T289" s="441" t="e">
        <f t="shared" si="105"/>
        <v>#DIV/0!</v>
      </c>
      <c r="U289" s="441" t="e">
        <f t="shared" si="105"/>
        <v>#DIV/0!</v>
      </c>
      <c r="V289" s="441" t="e">
        <f t="shared" si="105"/>
        <v>#DIV/0!</v>
      </c>
      <c r="W289" s="441" t="e">
        <f t="shared" si="105"/>
        <v>#DIV/0!</v>
      </c>
      <c r="X289" s="441" t="e">
        <f t="shared" si="105"/>
        <v>#DIV/0!</v>
      </c>
      <c r="Y289" s="441" t="e">
        <f t="shared" si="105"/>
        <v>#DIV/0!</v>
      </c>
      <c r="Z289" s="441" t="e">
        <f t="shared" si="105"/>
        <v>#DIV/0!</v>
      </c>
      <c r="AA289" s="441" t="e">
        <f t="shared" si="105"/>
        <v>#DIV/0!</v>
      </c>
      <c r="AB289" s="441" t="e">
        <f t="shared" si="105"/>
        <v>#DIV/0!</v>
      </c>
      <c r="AC289" s="444" t="e">
        <f t="shared" si="105"/>
        <v>#DIV/0!</v>
      </c>
      <c r="AD289" s="139"/>
      <c r="AZ289" s="139"/>
      <c r="BA289" s="139"/>
      <c r="BB289" s="139"/>
      <c r="BC289" s="139"/>
      <c r="BD289" s="139"/>
      <c r="BE289" s="139"/>
      <c r="BF289" s="139"/>
      <c r="BG289" s="139"/>
      <c r="BH289" s="139"/>
      <c r="BI289" s="139"/>
      <c r="BJ289" s="139"/>
      <c r="BK289" s="139"/>
      <c r="BL289" s="139"/>
      <c r="BM289" s="139"/>
      <c r="BN289" s="139"/>
      <c r="BO289" s="139"/>
      <c r="BP289" s="139"/>
      <c r="BQ289" s="139"/>
      <c r="BR289" s="139"/>
      <c r="BS289" s="139"/>
      <c r="BT289" s="139"/>
      <c r="BU289" s="139"/>
      <c r="BV289" s="139"/>
      <c r="BW289" s="139"/>
    </row>
    <row r="290" spans="2:75" x14ac:dyDescent="0.2">
      <c r="B290" s="478"/>
      <c r="C290" s="479"/>
      <c r="D290" s="512"/>
      <c r="E290" s="442"/>
      <c r="F290" s="441"/>
      <c r="G290" s="441"/>
      <c r="H290" s="441"/>
      <c r="I290" s="441"/>
      <c r="J290" s="441"/>
      <c r="K290" s="441"/>
      <c r="L290" s="441"/>
      <c r="M290" s="441"/>
      <c r="N290" s="441"/>
      <c r="O290" s="441"/>
      <c r="P290" s="441"/>
      <c r="Q290" s="441"/>
      <c r="R290" s="441"/>
      <c r="S290" s="441"/>
      <c r="T290" s="441"/>
      <c r="U290" s="441"/>
      <c r="V290" s="441"/>
      <c r="W290" s="441"/>
      <c r="X290" s="441"/>
      <c r="Y290" s="441"/>
      <c r="Z290" s="441"/>
      <c r="AA290" s="441"/>
      <c r="AB290" s="441"/>
      <c r="AC290" s="444"/>
      <c r="AD290" s="139"/>
      <c r="AZ290" s="139"/>
      <c r="BA290" s="139"/>
      <c r="BB290" s="139"/>
      <c r="BC290" s="139"/>
      <c r="BD290" s="139"/>
      <c r="BE290" s="139"/>
      <c r="BF290" s="139"/>
      <c r="BG290" s="139"/>
      <c r="BH290" s="139"/>
      <c r="BI290" s="139"/>
      <c r="BJ290" s="139"/>
      <c r="BK290" s="139"/>
      <c r="BL290" s="139"/>
      <c r="BM290" s="139"/>
      <c r="BN290" s="139"/>
      <c r="BO290" s="139"/>
      <c r="BP290" s="139"/>
      <c r="BQ290" s="139"/>
      <c r="BR290" s="139"/>
      <c r="BS290" s="139"/>
      <c r="BT290" s="139"/>
      <c r="BU290" s="139"/>
      <c r="BV290" s="139"/>
      <c r="BW290" s="139"/>
    </row>
    <row r="291" spans="2:75" x14ac:dyDescent="0.2">
      <c r="B291" s="509" t="s">
        <v>259</v>
      </c>
      <c r="C291" s="510"/>
      <c r="D291" s="506" t="s">
        <v>96</v>
      </c>
      <c r="E291" s="442" t="s">
        <v>96</v>
      </c>
      <c r="F291" s="442" t="e">
        <f>F289</f>
        <v>#DIV/0!</v>
      </c>
      <c r="G291" s="442" t="e">
        <f>(G289+F291)-F293</f>
        <v>#DIV/0!</v>
      </c>
      <c r="H291" s="442" t="e">
        <f>(H289+G291)-G293</f>
        <v>#DIV/0!</v>
      </c>
      <c r="I291" s="442" t="e">
        <f t="shared" ref="I291:X291" si="106">(I289+H291)-H293</f>
        <v>#DIV/0!</v>
      </c>
      <c r="J291" s="442" t="e">
        <f>(J289+I291)-I293</f>
        <v>#DIV/0!</v>
      </c>
      <c r="K291" s="442" t="e">
        <f t="shared" si="106"/>
        <v>#DIV/0!</v>
      </c>
      <c r="L291" s="442" t="e">
        <f t="shared" si="106"/>
        <v>#DIV/0!</v>
      </c>
      <c r="M291" s="442" t="e">
        <f t="shared" si="106"/>
        <v>#DIV/0!</v>
      </c>
      <c r="N291" s="442" t="e">
        <f t="shared" si="106"/>
        <v>#DIV/0!</v>
      </c>
      <c r="O291" s="442" t="e">
        <f t="shared" si="106"/>
        <v>#DIV/0!</v>
      </c>
      <c r="P291" s="442" t="e">
        <f t="shared" si="106"/>
        <v>#DIV/0!</v>
      </c>
      <c r="Q291" s="442" t="e">
        <f t="shared" si="106"/>
        <v>#DIV/0!</v>
      </c>
      <c r="R291" s="442" t="e">
        <f t="shared" si="106"/>
        <v>#DIV/0!</v>
      </c>
      <c r="S291" s="442" t="e">
        <f t="shared" si="106"/>
        <v>#DIV/0!</v>
      </c>
      <c r="T291" s="442" t="e">
        <f t="shared" si="106"/>
        <v>#DIV/0!</v>
      </c>
      <c r="U291" s="442" t="e">
        <f t="shared" si="106"/>
        <v>#DIV/0!</v>
      </c>
      <c r="V291" s="442" t="e">
        <f t="shared" si="106"/>
        <v>#DIV/0!</v>
      </c>
      <c r="W291" s="442" t="e">
        <f t="shared" si="106"/>
        <v>#DIV/0!</v>
      </c>
      <c r="X291" s="442" t="e">
        <f t="shared" si="106"/>
        <v>#DIV/0!</v>
      </c>
      <c r="Y291" s="442" t="e">
        <f>(Y289+X291)-X293</f>
        <v>#DIV/0!</v>
      </c>
      <c r="Z291" s="442" t="e">
        <f t="shared" ref="Z291" si="107">(Z289+Y291)-Y293</f>
        <v>#DIV/0!</v>
      </c>
      <c r="AA291" s="442" t="e">
        <f t="shared" ref="AA291" si="108">(AA289+Z291)-Z293</f>
        <v>#DIV/0!</v>
      </c>
      <c r="AB291" s="442" t="e">
        <f t="shared" ref="AB291" si="109">(AB289+AA291)-AA293</f>
        <v>#DIV/0!</v>
      </c>
      <c r="AC291" s="447" t="e">
        <f t="shared" ref="AC291" si="110">(AC289+AB291)-AB293</f>
        <v>#DIV/0!</v>
      </c>
      <c r="AD291" s="139"/>
      <c r="AZ291" s="139"/>
      <c r="BA291" s="139"/>
      <c r="BB291" s="139"/>
      <c r="BC291" s="139"/>
      <c r="BD291" s="139"/>
      <c r="BE291" s="139"/>
      <c r="BF291" s="139"/>
      <c r="BG291" s="139"/>
      <c r="BH291" s="139"/>
      <c r="BI291" s="139"/>
      <c r="BJ291" s="139"/>
      <c r="BK291" s="139"/>
      <c r="BL291" s="139"/>
      <c r="BM291" s="139"/>
      <c r="BN291" s="139"/>
      <c r="BO291" s="139"/>
      <c r="BP291" s="139"/>
      <c r="BQ291" s="139"/>
      <c r="BR291" s="139"/>
      <c r="BS291" s="139"/>
      <c r="BT291" s="139"/>
      <c r="BU291" s="139"/>
      <c r="BV291" s="139"/>
      <c r="BW291" s="139"/>
    </row>
    <row r="292" spans="2:75" x14ac:dyDescent="0.2">
      <c r="B292" s="509"/>
      <c r="C292" s="510"/>
      <c r="D292" s="506"/>
      <c r="E292" s="442"/>
      <c r="F292" s="442"/>
      <c r="G292" s="442"/>
      <c r="H292" s="442"/>
      <c r="I292" s="442"/>
      <c r="J292" s="442"/>
      <c r="K292" s="442"/>
      <c r="L292" s="442"/>
      <c r="M292" s="442"/>
      <c r="N292" s="442"/>
      <c r="O292" s="442"/>
      <c r="P292" s="442"/>
      <c r="Q292" s="442"/>
      <c r="R292" s="442"/>
      <c r="S292" s="442"/>
      <c r="T292" s="442"/>
      <c r="U292" s="442"/>
      <c r="V292" s="442"/>
      <c r="W292" s="442"/>
      <c r="X292" s="442"/>
      <c r="Y292" s="442"/>
      <c r="Z292" s="442"/>
      <c r="AA292" s="442"/>
      <c r="AB292" s="442"/>
      <c r="AC292" s="447"/>
      <c r="AD292" s="139"/>
      <c r="AZ292" s="139"/>
      <c r="BA292" s="139"/>
      <c r="BB292" s="139"/>
      <c r="BC292" s="139"/>
      <c r="BD292" s="139"/>
      <c r="BE292" s="139"/>
      <c r="BF292" s="139"/>
      <c r="BG292" s="139"/>
      <c r="BH292" s="139"/>
      <c r="BI292" s="139"/>
      <c r="BJ292" s="139"/>
      <c r="BK292" s="139"/>
      <c r="BL292" s="139"/>
      <c r="BM292" s="139"/>
      <c r="BN292" s="139"/>
      <c r="BO292" s="139"/>
      <c r="BP292" s="139"/>
      <c r="BQ292" s="139"/>
      <c r="BR292" s="139"/>
      <c r="BS292" s="139"/>
      <c r="BT292" s="139"/>
      <c r="BU292" s="139"/>
      <c r="BV292" s="139"/>
      <c r="BW292" s="139"/>
    </row>
    <row r="293" spans="2:75" x14ac:dyDescent="0.2">
      <c r="B293" s="478" t="s">
        <v>260</v>
      </c>
      <c r="C293" s="479"/>
      <c r="D293" s="512" t="e">
        <f>E293=AA139</f>
        <v>#DIV/0!</v>
      </c>
      <c r="E293" s="442" t="e">
        <f>SUM(F293:AC294)</f>
        <v>#DIV/0!</v>
      </c>
      <c r="F293" s="441" t="e">
        <f t="shared" ref="F293:Y293" si="111">F291*F277</f>
        <v>#DIV/0!</v>
      </c>
      <c r="G293" s="441" t="e">
        <f t="shared" si="111"/>
        <v>#DIV/0!</v>
      </c>
      <c r="H293" s="441" t="e">
        <f t="shared" si="111"/>
        <v>#DIV/0!</v>
      </c>
      <c r="I293" s="441" t="e">
        <f t="shared" si="111"/>
        <v>#DIV/0!</v>
      </c>
      <c r="J293" s="441" t="e">
        <f t="shared" si="111"/>
        <v>#DIV/0!</v>
      </c>
      <c r="K293" s="441" t="e">
        <f t="shared" si="111"/>
        <v>#DIV/0!</v>
      </c>
      <c r="L293" s="441" t="e">
        <f t="shared" si="111"/>
        <v>#DIV/0!</v>
      </c>
      <c r="M293" s="441" t="e">
        <f t="shared" si="111"/>
        <v>#DIV/0!</v>
      </c>
      <c r="N293" s="441" t="e">
        <f t="shared" si="111"/>
        <v>#DIV/0!</v>
      </c>
      <c r="O293" s="441" t="e">
        <f t="shared" si="111"/>
        <v>#DIV/0!</v>
      </c>
      <c r="P293" s="441" t="e">
        <f t="shared" si="111"/>
        <v>#DIV/0!</v>
      </c>
      <c r="Q293" s="441" t="e">
        <f t="shared" si="111"/>
        <v>#DIV/0!</v>
      </c>
      <c r="R293" s="441" t="e">
        <f t="shared" si="111"/>
        <v>#DIV/0!</v>
      </c>
      <c r="S293" s="441" t="e">
        <f t="shared" si="111"/>
        <v>#DIV/0!</v>
      </c>
      <c r="T293" s="441" t="e">
        <f t="shared" si="111"/>
        <v>#DIV/0!</v>
      </c>
      <c r="U293" s="441" t="e">
        <f t="shared" si="111"/>
        <v>#DIV/0!</v>
      </c>
      <c r="V293" s="441" t="e">
        <f t="shared" si="111"/>
        <v>#DIV/0!</v>
      </c>
      <c r="W293" s="441" t="e">
        <f t="shared" si="111"/>
        <v>#DIV/0!</v>
      </c>
      <c r="X293" s="441" t="e">
        <f t="shared" si="111"/>
        <v>#DIV/0!</v>
      </c>
      <c r="Y293" s="441" t="e">
        <f t="shared" si="111"/>
        <v>#DIV/0!</v>
      </c>
      <c r="Z293" s="441" t="e">
        <f t="shared" ref="Z293:AC293" si="112">Z291*Z277</f>
        <v>#DIV/0!</v>
      </c>
      <c r="AA293" s="441" t="e">
        <f t="shared" si="112"/>
        <v>#DIV/0!</v>
      </c>
      <c r="AB293" s="441" t="e">
        <f t="shared" si="112"/>
        <v>#DIV/0!</v>
      </c>
      <c r="AC293" s="444" t="e">
        <f t="shared" si="112"/>
        <v>#DIV/0!</v>
      </c>
      <c r="AD293" s="139"/>
      <c r="AZ293" s="139"/>
      <c r="BA293" s="139"/>
      <c r="BB293" s="139"/>
      <c r="BC293" s="139"/>
      <c r="BD293" s="139"/>
      <c r="BE293" s="139"/>
      <c r="BF293" s="139"/>
      <c r="BG293" s="139"/>
      <c r="BH293" s="139"/>
      <c r="BI293" s="139"/>
      <c r="BJ293" s="139"/>
      <c r="BK293" s="139"/>
      <c r="BL293" s="139"/>
      <c r="BM293" s="139"/>
      <c r="BN293" s="139"/>
      <c r="BO293" s="139"/>
      <c r="BP293" s="139"/>
      <c r="BQ293" s="139"/>
      <c r="BR293" s="139"/>
      <c r="BS293" s="139"/>
      <c r="BT293" s="139"/>
      <c r="BU293" s="139"/>
      <c r="BV293" s="139"/>
      <c r="BW293" s="139"/>
    </row>
    <row r="294" spans="2:75" ht="12" thickBot="1" x14ac:dyDescent="0.25">
      <c r="B294" s="504"/>
      <c r="C294" s="505"/>
      <c r="D294" s="513"/>
      <c r="E294" s="456"/>
      <c r="F294" s="443"/>
      <c r="G294" s="443"/>
      <c r="H294" s="443"/>
      <c r="I294" s="443"/>
      <c r="J294" s="443"/>
      <c r="K294" s="443"/>
      <c r="L294" s="443"/>
      <c r="M294" s="443"/>
      <c r="N294" s="443"/>
      <c r="O294" s="443"/>
      <c r="P294" s="443"/>
      <c r="Q294" s="443"/>
      <c r="R294" s="443"/>
      <c r="S294" s="443"/>
      <c r="T294" s="443"/>
      <c r="U294" s="443"/>
      <c r="V294" s="443"/>
      <c r="W294" s="443"/>
      <c r="X294" s="443"/>
      <c r="Y294" s="443"/>
      <c r="Z294" s="443"/>
      <c r="AA294" s="443"/>
      <c r="AB294" s="443"/>
      <c r="AC294" s="445"/>
      <c r="AD294" s="139"/>
      <c r="AZ294" s="139"/>
      <c r="BA294" s="139"/>
      <c r="BB294" s="139"/>
      <c r="BC294" s="139"/>
      <c r="BD294" s="139"/>
      <c r="BE294" s="139"/>
      <c r="BF294" s="139"/>
      <c r="BG294" s="139"/>
      <c r="BH294" s="139"/>
      <c r="BI294" s="139"/>
      <c r="BJ294" s="139"/>
      <c r="BK294" s="139"/>
      <c r="BL294" s="139"/>
      <c r="BM294" s="139"/>
      <c r="BN294" s="139"/>
      <c r="BO294" s="139"/>
      <c r="BP294" s="139"/>
      <c r="BQ294" s="139"/>
      <c r="BR294" s="139"/>
      <c r="BS294" s="139"/>
      <c r="BT294" s="139"/>
      <c r="BU294" s="139"/>
      <c r="BV294" s="139"/>
      <c r="BW294" s="139"/>
    </row>
    <row r="295" spans="2:75" x14ac:dyDescent="0.2"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AC295" s="397" t="e">
        <f>SUM(F293:AC294)</f>
        <v>#DIV/0!</v>
      </c>
      <c r="AD295" s="139"/>
      <c r="AZ295" s="139"/>
      <c r="BA295" s="139"/>
      <c r="BB295" s="139"/>
      <c r="BC295" s="139"/>
      <c r="BD295" s="139"/>
      <c r="BE295" s="139"/>
      <c r="BF295" s="139"/>
      <c r="BG295" s="139"/>
      <c r="BH295" s="139"/>
      <c r="BI295" s="139"/>
      <c r="BJ295" s="139"/>
      <c r="BK295" s="139"/>
      <c r="BL295" s="139"/>
      <c r="BM295" s="139"/>
      <c r="BN295" s="139"/>
      <c r="BO295" s="139"/>
      <c r="BP295" s="139"/>
      <c r="BQ295" s="139"/>
      <c r="BR295" s="139"/>
      <c r="BS295" s="139"/>
      <c r="BT295" s="139"/>
      <c r="BU295" s="139"/>
      <c r="BV295" s="139"/>
      <c r="BW295" s="139"/>
    </row>
    <row r="296" spans="2:75" x14ac:dyDescent="0.2"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AC296" s="118" t="s">
        <v>261</v>
      </c>
      <c r="AD296" s="139"/>
      <c r="AZ296" s="139"/>
      <c r="BA296" s="139"/>
      <c r="BB296" s="139"/>
      <c r="BC296" s="139"/>
      <c r="BD296" s="139"/>
      <c r="BE296" s="139"/>
      <c r="BF296" s="139"/>
      <c r="BG296" s="139"/>
      <c r="BH296" s="139"/>
      <c r="BI296" s="139"/>
      <c r="BJ296" s="139"/>
      <c r="BK296" s="139"/>
      <c r="BL296" s="139"/>
      <c r="BM296" s="139"/>
      <c r="BN296" s="139"/>
      <c r="BO296" s="139"/>
      <c r="BP296" s="139"/>
      <c r="BQ296" s="139"/>
      <c r="BR296" s="139"/>
      <c r="BS296" s="139"/>
      <c r="BT296" s="139"/>
      <c r="BU296" s="139"/>
      <c r="BV296" s="139"/>
      <c r="BW296" s="139"/>
    </row>
    <row r="297" spans="2:75" x14ac:dyDescent="0.2"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AC297" s="384">
        <f>C300*D305</f>
        <v>0</v>
      </c>
      <c r="AD297" s="139"/>
      <c r="AZ297" s="139"/>
      <c r="BA297" s="139"/>
      <c r="BB297" s="139"/>
      <c r="BC297" s="139"/>
      <c r="BD297" s="139"/>
      <c r="BE297" s="139"/>
      <c r="BF297" s="139"/>
      <c r="BG297" s="139"/>
      <c r="BH297" s="139"/>
      <c r="BI297" s="139"/>
      <c r="BJ297" s="139"/>
      <c r="BK297" s="139"/>
      <c r="BL297" s="139"/>
      <c r="BM297" s="139"/>
      <c r="BN297" s="139"/>
      <c r="BO297" s="139"/>
      <c r="BP297" s="139"/>
      <c r="BQ297" s="139"/>
      <c r="BR297" s="139"/>
      <c r="BS297" s="139"/>
      <c r="BT297" s="139"/>
      <c r="BU297" s="139"/>
      <c r="BV297" s="139"/>
      <c r="BW297" s="139"/>
    </row>
    <row r="298" spans="2:75" ht="12" thickBot="1" x14ac:dyDescent="0.25">
      <c r="E298" s="136"/>
      <c r="F298" s="136"/>
      <c r="G298" s="136"/>
      <c r="H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AC298" s="367" t="e">
        <f>AC295+AC297</f>
        <v>#DIV/0!</v>
      </c>
      <c r="AD298" s="139"/>
      <c r="AE298" s="139"/>
      <c r="AF298" s="139"/>
      <c r="AG298" s="139"/>
      <c r="AH298" s="139"/>
      <c r="AI298" s="139"/>
      <c r="AJ298" s="139"/>
      <c r="AK298" s="139"/>
      <c r="AL298" s="139"/>
      <c r="AM298" s="139"/>
      <c r="AN298" s="139"/>
      <c r="AO298" s="139"/>
      <c r="AP298" s="139"/>
      <c r="AQ298" s="139"/>
      <c r="AR298" s="139"/>
      <c r="AS298" s="139"/>
      <c r="AT298" s="139"/>
      <c r="AU298" s="139"/>
      <c r="AV298" s="139"/>
      <c r="AW298" s="139"/>
      <c r="AX298" s="139"/>
      <c r="AY298" s="139"/>
      <c r="AZ298" s="139"/>
      <c r="BA298" s="139"/>
      <c r="BB298" s="139"/>
      <c r="BC298" s="139"/>
      <c r="BD298" s="139"/>
      <c r="BE298" s="139"/>
      <c r="BF298" s="139"/>
      <c r="BG298" s="139"/>
      <c r="BH298" s="139"/>
      <c r="BI298" s="139"/>
      <c r="BJ298" s="139"/>
      <c r="BK298" s="139"/>
      <c r="BL298" s="139"/>
      <c r="BM298" s="139"/>
      <c r="BN298" s="139"/>
      <c r="BO298" s="139"/>
      <c r="BP298" s="139"/>
      <c r="BQ298" s="139"/>
      <c r="BR298" s="139"/>
      <c r="BS298" s="139"/>
      <c r="BT298" s="139"/>
      <c r="BU298" s="139"/>
      <c r="BV298" s="139"/>
      <c r="BW298" s="139"/>
    </row>
    <row r="299" spans="2:75" ht="12.75" x14ac:dyDescent="0.2">
      <c r="B299" s="497" t="s">
        <v>262</v>
      </c>
      <c r="C299" s="499"/>
      <c r="D299" s="136"/>
      <c r="AD299" s="139"/>
      <c r="AE299" s="139"/>
      <c r="AF299" s="139"/>
      <c r="AG299" s="139"/>
      <c r="AH299" s="139"/>
      <c r="AI299" s="139"/>
      <c r="AJ299" s="139"/>
      <c r="AK299" s="139"/>
      <c r="AL299" s="139"/>
      <c r="AM299" s="139"/>
      <c r="AN299" s="139"/>
      <c r="AO299" s="139"/>
      <c r="AP299" s="139"/>
      <c r="AQ299" s="139"/>
      <c r="AR299" s="139"/>
      <c r="AS299" s="139"/>
      <c r="AT299" s="139"/>
      <c r="AU299" s="139"/>
      <c r="AV299" s="139"/>
      <c r="AW299" s="139"/>
      <c r="AX299" s="139"/>
      <c r="AY299" s="139"/>
      <c r="AZ299" s="139"/>
      <c r="BA299" s="139"/>
      <c r="BB299" s="139"/>
      <c r="BC299" s="139"/>
      <c r="BD299" s="139"/>
      <c r="BE299" s="139"/>
      <c r="BF299" s="139"/>
      <c r="BG299" s="139"/>
      <c r="BH299" s="139"/>
      <c r="BI299" s="139"/>
      <c r="BJ299" s="139"/>
      <c r="BK299" s="139"/>
      <c r="BL299" s="139"/>
      <c r="BM299" s="139"/>
      <c r="BN299" s="139"/>
      <c r="BO299" s="139"/>
      <c r="BP299" s="139"/>
      <c r="BQ299" s="139"/>
      <c r="BR299" s="139"/>
      <c r="BS299" s="139"/>
      <c r="BT299" s="139"/>
      <c r="BU299" s="139"/>
      <c r="BV299" s="139"/>
      <c r="BW299" s="139"/>
    </row>
    <row r="300" spans="2:75" ht="22.5" x14ac:dyDescent="0.2">
      <c r="B300" s="249" t="s">
        <v>360</v>
      </c>
      <c r="C300" s="260">
        <f>V139</f>
        <v>0</v>
      </c>
      <c r="AD300" s="139"/>
      <c r="AE300" s="139"/>
      <c r="AF300" s="139"/>
      <c r="AG300" s="139"/>
      <c r="AH300" s="139"/>
      <c r="AI300" s="139"/>
      <c r="AJ300" s="139"/>
      <c r="AK300" s="139"/>
      <c r="AL300" s="139"/>
      <c r="AM300" s="139"/>
      <c r="AN300" s="139"/>
      <c r="AO300" s="139"/>
      <c r="AP300" s="139"/>
      <c r="AQ300" s="139"/>
      <c r="AR300" s="139"/>
      <c r="AS300" s="139"/>
      <c r="AT300" s="139"/>
      <c r="AU300" s="139"/>
      <c r="AV300" s="139"/>
      <c r="AW300" s="139"/>
      <c r="AX300" s="139"/>
      <c r="AY300" s="139"/>
      <c r="AZ300" s="139"/>
      <c r="BA300" s="139"/>
      <c r="BB300" s="139"/>
      <c r="BC300" s="139"/>
      <c r="BD300" s="139"/>
      <c r="BE300" s="139"/>
      <c r="BF300" s="139"/>
      <c r="BG300" s="139"/>
      <c r="BH300" s="139"/>
      <c r="BI300" s="139"/>
      <c r="BJ300" s="139"/>
      <c r="BK300" s="139"/>
      <c r="BL300" s="139"/>
      <c r="BM300" s="139"/>
      <c r="BN300" s="139"/>
      <c r="BO300" s="139"/>
      <c r="BP300" s="139"/>
      <c r="BQ300" s="139"/>
      <c r="BR300" s="139"/>
      <c r="BS300" s="139"/>
      <c r="BT300" s="139"/>
      <c r="BU300" s="139"/>
      <c r="BV300" s="139"/>
      <c r="BW300" s="139"/>
    </row>
    <row r="301" spans="2:75" ht="22.5" x14ac:dyDescent="0.2">
      <c r="B301" s="256" t="s">
        <v>361</v>
      </c>
      <c r="C301" s="258">
        <f>C300-(SUM(C304:C307))</f>
        <v>0</v>
      </c>
      <c r="F301" s="389"/>
      <c r="AD301" s="139"/>
      <c r="AE301" s="139"/>
      <c r="AF301" s="139"/>
      <c r="AG301" s="139"/>
      <c r="AH301" s="139"/>
      <c r="AI301" s="139"/>
      <c r="AJ301" s="139"/>
      <c r="AK301" s="139"/>
      <c r="AL301" s="139"/>
      <c r="AM301" s="139"/>
      <c r="AN301" s="139"/>
      <c r="AO301" s="139"/>
      <c r="AP301" s="139"/>
      <c r="AQ301" s="139"/>
      <c r="AR301" s="139"/>
      <c r="AS301" s="139"/>
      <c r="AT301" s="139"/>
      <c r="AU301" s="139"/>
      <c r="AV301" s="139"/>
      <c r="AW301" s="139"/>
      <c r="AX301" s="139"/>
      <c r="AY301" s="139"/>
      <c r="AZ301" s="139"/>
      <c r="BA301" s="139"/>
      <c r="BB301" s="139"/>
      <c r="BC301" s="139"/>
      <c r="BD301" s="139"/>
      <c r="BE301" s="139"/>
      <c r="BF301" s="139"/>
      <c r="BG301" s="139"/>
      <c r="BH301" s="139"/>
      <c r="BI301" s="139"/>
      <c r="BJ301" s="139"/>
      <c r="BK301" s="139"/>
      <c r="BL301" s="139"/>
      <c r="BM301" s="139"/>
      <c r="BN301" s="139"/>
      <c r="BO301" s="139"/>
      <c r="BP301" s="139"/>
      <c r="BQ301" s="139"/>
      <c r="BR301" s="139"/>
      <c r="BS301" s="139"/>
      <c r="BT301" s="139"/>
      <c r="BU301" s="139"/>
      <c r="BV301" s="139"/>
      <c r="BW301" s="139"/>
    </row>
    <row r="302" spans="2:75" ht="22.5" x14ac:dyDescent="0.2">
      <c r="B302" s="249" t="s">
        <v>263</v>
      </c>
      <c r="C302" s="260">
        <f>O139</f>
        <v>0</v>
      </c>
      <c r="G302" s="147"/>
      <c r="AD302" s="139"/>
      <c r="AE302" s="139"/>
      <c r="AF302" s="139"/>
      <c r="AG302" s="139"/>
      <c r="AH302" s="139"/>
      <c r="AI302" s="139"/>
      <c r="AJ302" s="139"/>
      <c r="AK302" s="139"/>
      <c r="AL302" s="139"/>
      <c r="AM302" s="139"/>
      <c r="AN302" s="139"/>
      <c r="AO302" s="139"/>
      <c r="AP302" s="139"/>
      <c r="AQ302" s="139"/>
      <c r="AR302" s="139"/>
      <c r="AS302" s="139"/>
      <c r="AT302" s="139"/>
      <c r="AU302" s="139"/>
      <c r="AV302" s="139"/>
      <c r="AW302" s="139"/>
      <c r="AX302" s="139"/>
      <c r="AY302" s="139"/>
      <c r="AZ302" s="139"/>
      <c r="BA302" s="139"/>
      <c r="BB302" s="139"/>
      <c r="BC302" s="139"/>
      <c r="BD302" s="139"/>
      <c r="BE302" s="139"/>
      <c r="BF302" s="139"/>
      <c r="BG302" s="139"/>
      <c r="BH302" s="139"/>
      <c r="BI302" s="139"/>
      <c r="BJ302" s="139"/>
      <c r="BK302" s="139"/>
      <c r="BL302" s="139"/>
      <c r="BM302" s="139"/>
      <c r="BN302" s="139"/>
      <c r="BO302" s="139"/>
      <c r="BP302" s="139"/>
      <c r="BQ302" s="139"/>
      <c r="BR302" s="139"/>
      <c r="BS302" s="139"/>
      <c r="BT302" s="139"/>
      <c r="BU302" s="139"/>
      <c r="BV302" s="139"/>
      <c r="BW302" s="139"/>
    </row>
    <row r="303" spans="2:75" ht="23.25" thickBot="1" x14ac:dyDescent="0.25">
      <c r="B303" s="256" t="s">
        <v>264</v>
      </c>
      <c r="C303" s="258" t="e">
        <f>V139/O139</f>
        <v>#DIV/0!</v>
      </c>
      <c r="D303" s="146"/>
      <c r="AD303" s="139"/>
      <c r="AE303" s="139"/>
      <c r="AF303" s="139"/>
      <c r="AG303" s="139"/>
      <c r="AH303" s="139"/>
      <c r="AI303" s="139"/>
      <c r="AJ303" s="139"/>
      <c r="AK303" s="139"/>
      <c r="AL303" s="139"/>
      <c r="AM303" s="139"/>
      <c r="AN303" s="139"/>
      <c r="AO303" s="139"/>
      <c r="AP303" s="139"/>
      <c r="AQ303" s="139"/>
      <c r="AR303" s="139"/>
      <c r="AS303" s="139"/>
      <c r="AT303" s="139"/>
      <c r="AU303" s="139"/>
      <c r="AV303" s="139"/>
      <c r="AW303" s="139"/>
      <c r="AX303" s="139"/>
      <c r="AY303" s="139"/>
      <c r="AZ303" s="139"/>
      <c r="BA303" s="139"/>
      <c r="BB303" s="139"/>
      <c r="BC303" s="139"/>
      <c r="BD303" s="139"/>
      <c r="BE303" s="139"/>
      <c r="BF303" s="139"/>
      <c r="BG303" s="139"/>
      <c r="BH303" s="139"/>
      <c r="BI303" s="139"/>
      <c r="BJ303" s="139"/>
      <c r="BK303" s="139"/>
      <c r="BL303" s="139"/>
      <c r="BM303" s="139"/>
      <c r="BN303" s="139"/>
      <c r="BO303" s="139"/>
      <c r="BP303" s="139"/>
      <c r="BQ303" s="139"/>
      <c r="BR303" s="139"/>
      <c r="BS303" s="139"/>
      <c r="BT303" s="139"/>
      <c r="BU303" s="139"/>
      <c r="BV303" s="139"/>
      <c r="BW303" s="139"/>
    </row>
    <row r="304" spans="2:75" ht="22.5" x14ac:dyDescent="0.2">
      <c r="B304" s="249" t="s">
        <v>265</v>
      </c>
      <c r="C304" s="351">
        <f>C300*D304</f>
        <v>0</v>
      </c>
      <c r="D304" s="395">
        <v>1.4999999999999999E-2</v>
      </c>
      <c r="AD304" s="139"/>
      <c r="AE304" s="139"/>
      <c r="AF304" s="139"/>
      <c r="AG304" s="139"/>
      <c r="AH304" s="139"/>
      <c r="AI304" s="139"/>
      <c r="AJ304" s="139"/>
      <c r="AK304" s="139"/>
      <c r="AL304" s="139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  <c r="AW304" s="139"/>
      <c r="AX304" s="139"/>
      <c r="AY304" s="139"/>
      <c r="AZ304" s="139"/>
      <c r="BA304" s="139"/>
      <c r="BB304" s="139"/>
      <c r="BC304" s="139"/>
      <c r="BD304" s="139"/>
      <c r="BE304" s="139"/>
      <c r="BF304" s="139"/>
      <c r="BG304" s="139"/>
      <c r="BH304" s="139"/>
      <c r="BI304" s="139"/>
      <c r="BJ304" s="139"/>
      <c r="BK304" s="139"/>
      <c r="BL304" s="139"/>
      <c r="BM304" s="139"/>
      <c r="BN304" s="139"/>
      <c r="BO304" s="139"/>
      <c r="BP304" s="139"/>
      <c r="BQ304" s="139"/>
      <c r="BR304" s="139"/>
      <c r="BS304" s="139"/>
      <c r="BT304" s="139"/>
      <c r="BU304" s="139"/>
      <c r="BV304" s="139"/>
      <c r="BW304" s="139"/>
    </row>
    <row r="305" spans="1:123" ht="22.5" x14ac:dyDescent="0.2">
      <c r="B305" s="256" t="s">
        <v>363</v>
      </c>
      <c r="C305" s="320">
        <f>D305*C300</f>
        <v>0</v>
      </c>
      <c r="D305" s="394">
        <v>0.01</v>
      </c>
      <c r="N305" s="138"/>
      <c r="AD305" s="139"/>
      <c r="AE305" s="139"/>
      <c r="AF305" s="139"/>
      <c r="AG305" s="139"/>
      <c r="AH305" s="139"/>
      <c r="AI305" s="139"/>
      <c r="AJ305" s="139"/>
      <c r="AK305" s="139"/>
      <c r="AL305" s="139"/>
      <c r="AM305" s="139"/>
      <c r="AN305" s="139"/>
      <c r="AO305" s="139"/>
      <c r="AP305" s="139"/>
      <c r="AQ305" s="139"/>
      <c r="AR305" s="139"/>
      <c r="AS305" s="139"/>
      <c r="AT305" s="139"/>
      <c r="AU305" s="139"/>
      <c r="AV305" s="139"/>
      <c r="AW305" s="139"/>
      <c r="AX305" s="139"/>
      <c r="AY305" s="139"/>
      <c r="AZ305" s="139"/>
      <c r="BA305" s="139"/>
      <c r="BB305" s="139"/>
      <c r="BC305" s="139"/>
      <c r="BD305" s="139"/>
      <c r="BE305" s="139"/>
      <c r="BF305" s="139"/>
      <c r="BG305" s="139"/>
      <c r="BH305" s="139"/>
      <c r="BI305" s="139"/>
      <c r="BJ305" s="139"/>
      <c r="BK305" s="139"/>
      <c r="BL305" s="139"/>
      <c r="BM305" s="139"/>
      <c r="BN305" s="139"/>
      <c r="BO305" s="139"/>
      <c r="BP305" s="139"/>
      <c r="BQ305" s="139"/>
      <c r="BR305" s="139"/>
      <c r="BS305" s="139"/>
      <c r="BT305" s="139"/>
      <c r="BU305" s="139"/>
      <c r="BV305" s="139"/>
      <c r="BW305" s="139"/>
    </row>
    <row r="306" spans="1:123" ht="22.5" x14ac:dyDescent="0.2">
      <c r="B306" s="249" t="s">
        <v>362</v>
      </c>
      <c r="C306" s="351">
        <f>D306*C300</f>
        <v>0</v>
      </c>
      <c r="D306" s="394">
        <v>3.0000000000000001E-3</v>
      </c>
      <c r="N306" s="138"/>
      <c r="AD306" s="139"/>
      <c r="AE306" s="139"/>
      <c r="AF306" s="139"/>
      <c r="AG306" s="139"/>
      <c r="AH306" s="139"/>
      <c r="AI306" s="139"/>
      <c r="AJ306" s="139"/>
      <c r="AK306" s="139"/>
      <c r="AL306" s="139"/>
      <c r="AM306" s="139"/>
      <c r="AN306" s="139"/>
      <c r="AO306" s="139"/>
      <c r="AP306" s="139"/>
      <c r="AQ306" s="139"/>
      <c r="AR306" s="139"/>
      <c r="AS306" s="139"/>
      <c r="AT306" s="139"/>
      <c r="AU306" s="139"/>
      <c r="AV306" s="139"/>
      <c r="AW306" s="139"/>
      <c r="AX306" s="139"/>
      <c r="AY306" s="139"/>
      <c r="AZ306" s="139"/>
      <c r="BA306" s="139"/>
      <c r="BB306" s="139"/>
      <c r="BC306" s="139"/>
      <c r="BD306" s="139"/>
      <c r="BE306" s="139"/>
      <c r="BF306" s="139"/>
      <c r="BG306" s="139"/>
      <c r="BH306" s="139"/>
      <c r="BI306" s="139"/>
      <c r="BJ306" s="139"/>
      <c r="BK306" s="139"/>
      <c r="BL306" s="139"/>
      <c r="BM306" s="139"/>
      <c r="BN306" s="139"/>
      <c r="BO306" s="139"/>
      <c r="BP306" s="139"/>
      <c r="BQ306" s="139"/>
      <c r="BR306" s="139"/>
      <c r="BS306" s="139"/>
      <c r="BT306" s="139"/>
      <c r="BU306" s="139"/>
      <c r="BV306" s="139"/>
      <c r="BW306" s="139"/>
    </row>
    <row r="307" spans="1:123" ht="22.5" x14ac:dyDescent="0.2">
      <c r="B307" s="256" t="s">
        <v>257</v>
      </c>
      <c r="C307" s="320">
        <f>C300*D307</f>
        <v>0</v>
      </c>
      <c r="D307" s="394">
        <v>0.05</v>
      </c>
      <c r="AD307" s="139"/>
      <c r="AE307" s="139"/>
      <c r="AF307" s="139"/>
      <c r="AG307" s="139"/>
      <c r="AH307" s="139"/>
      <c r="AI307" s="139"/>
      <c r="AJ307" s="139"/>
      <c r="AK307" s="139"/>
      <c r="AL307" s="139"/>
      <c r="AM307" s="139"/>
      <c r="AN307" s="139"/>
      <c r="AO307" s="139"/>
      <c r="AP307" s="139"/>
      <c r="AQ307" s="139"/>
      <c r="AR307" s="139"/>
      <c r="AS307" s="139"/>
      <c r="AT307" s="139"/>
      <c r="AU307" s="139"/>
      <c r="AV307" s="139"/>
      <c r="AW307" s="139"/>
      <c r="AX307" s="139"/>
      <c r="AY307" s="139"/>
      <c r="AZ307" s="139"/>
      <c r="BA307" s="139"/>
      <c r="BB307" s="139"/>
      <c r="BC307" s="139"/>
      <c r="BD307" s="139"/>
      <c r="BE307" s="139"/>
      <c r="BF307" s="139"/>
      <c r="BG307" s="139"/>
      <c r="BH307" s="139"/>
      <c r="BI307" s="139"/>
      <c r="BJ307" s="139"/>
      <c r="BK307" s="139"/>
      <c r="BL307" s="139"/>
      <c r="BM307" s="139"/>
      <c r="BN307" s="139"/>
      <c r="BO307" s="139"/>
      <c r="BP307" s="139"/>
      <c r="BQ307" s="139"/>
      <c r="BR307" s="139"/>
      <c r="BS307" s="139"/>
      <c r="BT307" s="139"/>
      <c r="BU307" s="139"/>
      <c r="BV307" s="139"/>
      <c r="BW307" s="139"/>
    </row>
    <row r="308" spans="1:123" ht="23.25" thickBot="1" x14ac:dyDescent="0.25">
      <c r="A308" s="136"/>
      <c r="B308" s="287" t="s">
        <v>351</v>
      </c>
      <c r="C308" s="314">
        <f>C300-(SUM(C304:C306))</f>
        <v>0</v>
      </c>
      <c r="D308" s="396" t="e">
        <f>C308=E279-SUM(E281:E286)</f>
        <v>#DIV/0!</v>
      </c>
      <c r="AC308" s="139"/>
      <c r="AD308" s="139"/>
      <c r="AE308" s="139"/>
      <c r="AF308" s="139"/>
      <c r="AG308" s="139"/>
      <c r="AH308" s="139"/>
      <c r="AI308" s="139"/>
      <c r="AJ308" s="139"/>
      <c r="AK308" s="139"/>
      <c r="AL308" s="139"/>
      <c r="AM308" s="139"/>
      <c r="AN308" s="139"/>
      <c r="AO308" s="139"/>
      <c r="AP308" s="139"/>
      <c r="AQ308" s="139"/>
      <c r="AR308" s="139"/>
      <c r="AS308" s="139"/>
      <c r="AT308" s="139"/>
      <c r="AU308" s="139"/>
      <c r="AV308" s="139"/>
      <c r="AW308" s="139"/>
      <c r="AX308" s="139"/>
      <c r="AY308" s="139"/>
      <c r="AZ308" s="139"/>
      <c r="BA308" s="139"/>
      <c r="BB308" s="139"/>
      <c r="BC308" s="139"/>
      <c r="BD308" s="139"/>
      <c r="BE308" s="139"/>
      <c r="BF308" s="139"/>
      <c r="BG308" s="139"/>
      <c r="BH308" s="139"/>
      <c r="BI308" s="139"/>
      <c r="BJ308" s="139"/>
      <c r="BK308" s="139"/>
      <c r="BL308" s="139"/>
      <c r="BM308" s="139"/>
      <c r="BN308" s="139"/>
      <c r="BO308" s="139"/>
      <c r="BP308" s="139"/>
      <c r="BQ308" s="139"/>
      <c r="BR308" s="139"/>
      <c r="BS308" s="139"/>
      <c r="BT308" s="139"/>
      <c r="BU308" s="139"/>
      <c r="BV308" s="139"/>
    </row>
    <row r="309" spans="1:123" x14ac:dyDescent="0.2">
      <c r="A309" s="136"/>
      <c r="B309" s="136"/>
      <c r="C309" s="136"/>
      <c r="D309" s="136"/>
      <c r="AC309" s="139"/>
      <c r="AD309" s="139"/>
      <c r="AE309" s="139"/>
      <c r="AF309" s="139"/>
      <c r="AG309" s="139"/>
      <c r="AH309" s="139"/>
      <c r="AI309" s="139"/>
      <c r="AJ309" s="139"/>
      <c r="AK309" s="139"/>
      <c r="AL309" s="139"/>
      <c r="AM309" s="139"/>
      <c r="AN309" s="139"/>
      <c r="AO309" s="139"/>
      <c r="AP309" s="139"/>
      <c r="AQ309" s="139"/>
      <c r="AR309" s="139"/>
      <c r="AS309" s="139"/>
      <c r="AT309" s="139"/>
      <c r="AU309" s="139"/>
      <c r="AV309" s="139"/>
      <c r="AW309" s="139"/>
      <c r="AX309" s="139"/>
      <c r="AY309" s="139"/>
      <c r="AZ309" s="139"/>
      <c r="BA309" s="139"/>
      <c r="BB309" s="139"/>
      <c r="BC309" s="139"/>
      <c r="BD309" s="139"/>
      <c r="BE309" s="139"/>
      <c r="BF309" s="139"/>
      <c r="BG309" s="139"/>
      <c r="BH309" s="139"/>
      <c r="BI309" s="139"/>
      <c r="BJ309" s="139"/>
      <c r="BK309" s="139"/>
      <c r="BL309" s="139"/>
      <c r="BM309" s="139"/>
      <c r="BN309" s="139"/>
      <c r="BO309" s="139"/>
      <c r="BP309" s="139"/>
      <c r="BQ309" s="139"/>
      <c r="BR309" s="139"/>
      <c r="BS309" s="139"/>
      <c r="BT309" s="139"/>
      <c r="BU309" s="139"/>
      <c r="BV309" s="139"/>
    </row>
    <row r="310" spans="1:123" x14ac:dyDescent="0.2">
      <c r="A310" s="136"/>
      <c r="AC310" s="139"/>
      <c r="AD310" s="139"/>
      <c r="AE310" s="139"/>
      <c r="AF310" s="139"/>
      <c r="AG310" s="139"/>
      <c r="AH310" s="139"/>
      <c r="AI310" s="139"/>
      <c r="AJ310" s="139"/>
      <c r="AK310" s="139"/>
      <c r="AL310" s="139"/>
      <c r="AM310" s="139"/>
      <c r="AN310" s="139"/>
      <c r="AO310" s="139"/>
      <c r="AP310" s="139"/>
      <c r="AQ310" s="139"/>
      <c r="AR310" s="139"/>
      <c r="AS310" s="139"/>
      <c r="AT310" s="139"/>
      <c r="AU310" s="139"/>
      <c r="AV310" s="139"/>
      <c r="AW310" s="139"/>
      <c r="AX310" s="139"/>
      <c r="AY310" s="139"/>
      <c r="AZ310" s="139"/>
      <c r="BA310" s="139"/>
      <c r="BB310" s="139"/>
      <c r="BC310" s="139"/>
      <c r="BD310" s="139"/>
      <c r="BE310" s="139"/>
      <c r="BF310" s="139"/>
      <c r="BG310" s="139"/>
      <c r="BH310" s="139"/>
      <c r="BI310" s="139"/>
      <c r="BJ310" s="139"/>
      <c r="BK310" s="139"/>
      <c r="BL310" s="139"/>
      <c r="BM310" s="139"/>
      <c r="BN310" s="139"/>
      <c r="BO310" s="139"/>
      <c r="BP310" s="139"/>
      <c r="BQ310" s="139"/>
      <c r="BR310" s="139"/>
      <c r="BS310" s="139"/>
      <c r="BT310" s="139"/>
      <c r="BU310" s="139"/>
      <c r="BV310" s="139"/>
    </row>
    <row r="311" spans="1:123" x14ac:dyDescent="0.2">
      <c r="A311" s="140"/>
      <c r="E311" s="139"/>
      <c r="F311" s="139"/>
      <c r="G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39"/>
      <c r="AD311" s="139"/>
      <c r="AE311" s="139"/>
      <c r="AF311" s="139"/>
      <c r="AG311" s="139"/>
      <c r="AH311" s="139"/>
      <c r="AI311" s="139"/>
      <c r="AJ311" s="139"/>
      <c r="AK311" s="139"/>
      <c r="AL311" s="139"/>
      <c r="AM311" s="139"/>
      <c r="AN311" s="139"/>
      <c r="AO311" s="139"/>
      <c r="AP311" s="139"/>
      <c r="AQ311" s="139"/>
      <c r="AR311" s="139"/>
      <c r="AS311" s="139"/>
      <c r="AT311" s="139"/>
      <c r="AU311" s="139"/>
      <c r="AV311" s="139"/>
      <c r="AW311" s="139"/>
      <c r="AX311" s="139"/>
      <c r="AY311" s="139"/>
      <c r="AZ311" s="139"/>
      <c r="BA311" s="139"/>
      <c r="BB311" s="139"/>
      <c r="BC311" s="139"/>
      <c r="BD311" s="139"/>
      <c r="BE311" s="139"/>
      <c r="BF311" s="139"/>
      <c r="BG311" s="139"/>
      <c r="BH311" s="139"/>
      <c r="BI311" s="139"/>
      <c r="BJ311" s="139"/>
      <c r="BK311" s="139"/>
      <c r="BL311" s="139"/>
      <c r="BM311" s="139"/>
      <c r="BN311" s="139"/>
      <c r="BO311" s="139"/>
      <c r="BP311" s="139"/>
      <c r="BQ311" s="139"/>
      <c r="BR311" s="139"/>
      <c r="BS311" s="139"/>
      <c r="BT311" s="139"/>
      <c r="BU311" s="139"/>
      <c r="BV311" s="139"/>
    </row>
    <row r="312" spans="1:123" x14ac:dyDescent="0.2">
      <c r="A312" s="140"/>
      <c r="B312" s="139"/>
      <c r="C312" s="139"/>
      <c r="D312" s="139"/>
      <c r="E312" s="139"/>
      <c r="F312" s="139"/>
      <c r="G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39"/>
      <c r="AG312" s="139"/>
      <c r="AH312" s="139"/>
      <c r="AI312" s="139"/>
      <c r="AJ312" s="139"/>
      <c r="AK312" s="139"/>
      <c r="AL312" s="139"/>
      <c r="AM312" s="139"/>
      <c r="AN312" s="139"/>
      <c r="AO312" s="139"/>
      <c r="AP312" s="139"/>
      <c r="AQ312" s="139"/>
      <c r="AR312" s="139"/>
      <c r="AS312" s="139"/>
      <c r="AT312" s="139"/>
      <c r="AU312" s="139"/>
      <c r="AV312" s="139"/>
      <c r="AW312" s="139"/>
      <c r="AX312" s="139"/>
      <c r="AY312" s="139"/>
      <c r="AZ312" s="139"/>
      <c r="BA312" s="139"/>
      <c r="BB312" s="139"/>
      <c r="BC312" s="139"/>
      <c r="BD312" s="139"/>
      <c r="BE312" s="139"/>
      <c r="BF312" s="139"/>
      <c r="BG312" s="139"/>
      <c r="BH312" s="139"/>
      <c r="BI312" s="139"/>
      <c r="BJ312" s="139"/>
      <c r="BK312" s="139"/>
      <c r="BL312" s="139"/>
      <c r="BM312" s="139"/>
      <c r="BN312" s="139"/>
      <c r="BO312" s="139"/>
      <c r="BP312" s="139"/>
      <c r="BQ312" s="139"/>
      <c r="BR312" s="139"/>
      <c r="BS312" s="139"/>
      <c r="BT312" s="139"/>
      <c r="BU312" s="139"/>
      <c r="BV312" s="139"/>
    </row>
    <row r="313" spans="1:123" x14ac:dyDescent="0.2">
      <c r="A313" s="140"/>
      <c r="B313" s="139"/>
      <c r="C313" s="139"/>
      <c r="D313" s="139"/>
      <c r="E313" s="139"/>
      <c r="F313" s="139"/>
      <c r="G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  <c r="AF313" s="139"/>
      <c r="AG313" s="139"/>
      <c r="AH313" s="139"/>
      <c r="AI313" s="139"/>
      <c r="AJ313" s="139"/>
      <c r="AK313" s="139"/>
      <c r="AL313" s="139"/>
      <c r="AM313" s="139"/>
      <c r="AN313" s="139"/>
      <c r="AO313" s="139"/>
      <c r="AP313" s="139"/>
      <c r="AQ313" s="139"/>
      <c r="AR313" s="139"/>
      <c r="AS313" s="139"/>
      <c r="AT313" s="139"/>
      <c r="AU313" s="139"/>
      <c r="AV313" s="139"/>
      <c r="AW313" s="139"/>
      <c r="AX313" s="139"/>
      <c r="AY313" s="139"/>
      <c r="AZ313" s="139"/>
      <c r="BA313" s="139"/>
      <c r="BB313" s="139"/>
      <c r="BC313" s="139"/>
      <c r="BD313" s="139"/>
      <c r="BE313" s="139"/>
      <c r="BF313" s="139"/>
      <c r="BG313" s="139"/>
      <c r="BH313" s="139"/>
      <c r="BI313" s="139"/>
      <c r="BJ313" s="139"/>
      <c r="BK313" s="139"/>
      <c r="BL313" s="139"/>
      <c r="BM313" s="139"/>
      <c r="BN313" s="139"/>
      <c r="BO313" s="139"/>
      <c r="BP313" s="139"/>
      <c r="BQ313" s="139"/>
      <c r="BR313" s="139"/>
      <c r="BS313" s="139"/>
      <c r="BT313" s="139"/>
      <c r="BU313" s="139"/>
      <c r="BV313" s="139"/>
    </row>
    <row r="314" spans="1:123" x14ac:dyDescent="0.2">
      <c r="A314" s="140"/>
      <c r="B314" s="139"/>
      <c r="C314" s="139"/>
      <c r="D314" s="139"/>
      <c r="E314" s="139"/>
      <c r="F314" s="139"/>
      <c r="G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  <c r="AF314" s="139"/>
      <c r="AG314" s="139"/>
      <c r="AH314" s="139"/>
      <c r="AI314" s="139"/>
      <c r="AJ314" s="139"/>
      <c r="AK314" s="139"/>
      <c r="AL314" s="139"/>
      <c r="AM314" s="139"/>
      <c r="AN314" s="139"/>
      <c r="AO314" s="139"/>
      <c r="AP314" s="139"/>
      <c r="AQ314" s="139"/>
      <c r="AR314" s="139"/>
      <c r="AS314" s="139"/>
      <c r="AT314" s="139"/>
      <c r="AU314" s="139"/>
      <c r="AV314" s="139"/>
      <c r="AW314" s="139"/>
      <c r="AX314" s="139"/>
      <c r="AY314" s="139"/>
      <c r="AZ314" s="139"/>
      <c r="BA314" s="139"/>
      <c r="BB314" s="139"/>
      <c r="BC314" s="139"/>
      <c r="BD314" s="139"/>
      <c r="BE314" s="139"/>
      <c r="BF314" s="139"/>
      <c r="BG314" s="139"/>
      <c r="BH314" s="139"/>
      <c r="BI314" s="139"/>
      <c r="BJ314" s="139"/>
      <c r="BK314" s="139"/>
      <c r="BL314" s="139"/>
      <c r="BM314" s="139"/>
      <c r="BN314" s="139"/>
      <c r="BO314" s="139"/>
      <c r="BP314" s="139"/>
      <c r="BQ314" s="139"/>
      <c r="BR314" s="139"/>
      <c r="BS314" s="139"/>
      <c r="BT314" s="139"/>
      <c r="BU314" s="139"/>
      <c r="BV314" s="139"/>
    </row>
    <row r="315" spans="1:123" x14ac:dyDescent="0.2">
      <c r="A315" s="140"/>
      <c r="B315" s="139"/>
      <c r="C315" s="139"/>
      <c r="D315" s="139"/>
      <c r="E315" s="139"/>
      <c r="F315" s="139"/>
      <c r="G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  <c r="AF315" s="139"/>
      <c r="AG315" s="139"/>
      <c r="AH315" s="139"/>
      <c r="AI315" s="139"/>
      <c r="AJ315" s="139"/>
      <c r="AK315" s="139"/>
      <c r="AL315" s="139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  <c r="AW315" s="139"/>
      <c r="AX315" s="139"/>
      <c r="AY315" s="139"/>
      <c r="AZ315" s="139"/>
      <c r="BA315" s="139"/>
      <c r="BB315" s="139"/>
      <c r="BC315" s="139"/>
      <c r="BD315" s="139"/>
      <c r="BE315" s="139"/>
      <c r="BF315" s="139"/>
      <c r="BG315" s="139"/>
      <c r="BH315" s="139"/>
      <c r="BI315" s="139"/>
      <c r="BJ315" s="139"/>
      <c r="BK315" s="139"/>
      <c r="BL315" s="139"/>
      <c r="BM315" s="139"/>
      <c r="BN315" s="139"/>
      <c r="BO315" s="139"/>
      <c r="BP315" s="139"/>
      <c r="BQ315" s="139"/>
      <c r="BR315" s="139"/>
      <c r="BS315" s="139"/>
      <c r="BT315" s="139"/>
      <c r="BU315" s="139"/>
      <c r="BV315" s="139"/>
    </row>
    <row r="316" spans="1:123" x14ac:dyDescent="0.2">
      <c r="A316" s="140"/>
      <c r="B316" s="139"/>
      <c r="C316" s="139"/>
      <c r="D316" s="139"/>
      <c r="E316" s="139"/>
      <c r="F316" s="139"/>
      <c r="G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  <c r="AA316" s="139"/>
      <c r="AB316" s="139"/>
      <c r="AC316" s="139"/>
      <c r="AD316" s="139"/>
      <c r="AE316" s="139"/>
      <c r="AF316" s="139"/>
      <c r="AG316" s="139"/>
      <c r="AH316" s="139"/>
      <c r="AI316" s="139"/>
      <c r="AJ316" s="139"/>
      <c r="AK316" s="139"/>
      <c r="AL316" s="139"/>
      <c r="AM316" s="139"/>
      <c r="AN316" s="139"/>
      <c r="AO316" s="139"/>
      <c r="AP316" s="139"/>
      <c r="AQ316" s="139"/>
      <c r="AR316" s="139"/>
      <c r="AS316" s="139"/>
      <c r="AT316" s="139"/>
      <c r="AU316" s="139"/>
      <c r="AV316" s="139"/>
      <c r="AW316" s="139"/>
      <c r="AX316" s="139"/>
      <c r="AY316" s="139"/>
      <c r="AZ316" s="139"/>
      <c r="BA316" s="139"/>
      <c r="BB316" s="139"/>
      <c r="BC316" s="139"/>
      <c r="BD316" s="139"/>
      <c r="BE316" s="139"/>
      <c r="BF316" s="139"/>
      <c r="BG316" s="139"/>
      <c r="BH316" s="139"/>
      <c r="BI316" s="139"/>
      <c r="BJ316" s="139"/>
      <c r="BK316" s="139"/>
      <c r="BL316" s="139"/>
      <c r="BM316" s="139"/>
      <c r="BN316" s="139"/>
      <c r="BO316" s="139"/>
      <c r="BP316" s="139"/>
      <c r="BQ316" s="139"/>
      <c r="BR316" s="139"/>
      <c r="BS316" s="139"/>
      <c r="BT316" s="139"/>
      <c r="BU316" s="139"/>
      <c r="BV316" s="139"/>
    </row>
    <row r="317" spans="1:123" x14ac:dyDescent="0.2">
      <c r="A317" s="140"/>
      <c r="B317" s="139"/>
      <c r="C317" s="139"/>
      <c r="D317" s="139"/>
      <c r="E317" s="139"/>
      <c r="F317" s="139"/>
      <c r="G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  <c r="AA317" s="139"/>
      <c r="AB317" s="139"/>
      <c r="AC317" s="139"/>
      <c r="AD317" s="139"/>
      <c r="AE317" s="139"/>
      <c r="AF317" s="139"/>
      <c r="AG317" s="139"/>
      <c r="AH317" s="139"/>
      <c r="AI317" s="139"/>
      <c r="AJ317" s="139"/>
      <c r="AK317" s="139"/>
      <c r="AL317" s="139"/>
      <c r="AM317" s="139"/>
      <c r="AN317" s="139"/>
      <c r="AO317" s="139"/>
      <c r="AP317" s="139"/>
      <c r="AQ317" s="139"/>
      <c r="AR317" s="139"/>
      <c r="AS317" s="139"/>
      <c r="AT317" s="139"/>
      <c r="AU317" s="139"/>
      <c r="AV317" s="139"/>
      <c r="AW317" s="139"/>
      <c r="AX317" s="139"/>
      <c r="AY317" s="139"/>
      <c r="AZ317" s="139"/>
      <c r="BA317" s="139"/>
      <c r="BB317" s="139"/>
      <c r="BC317" s="139"/>
      <c r="BD317" s="139"/>
      <c r="BE317" s="139"/>
      <c r="BF317" s="139"/>
      <c r="BG317" s="139"/>
      <c r="BH317" s="139"/>
      <c r="BI317" s="139"/>
      <c r="BJ317" s="139"/>
      <c r="BK317" s="139"/>
      <c r="BL317" s="139"/>
      <c r="BM317" s="139"/>
      <c r="BN317" s="139"/>
      <c r="BO317" s="139"/>
      <c r="BP317" s="139"/>
      <c r="BQ317" s="139"/>
      <c r="BR317" s="139"/>
      <c r="BS317" s="139"/>
      <c r="BT317" s="139"/>
      <c r="BU317" s="139"/>
      <c r="BV317" s="139"/>
    </row>
    <row r="318" spans="1:123" x14ac:dyDescent="0.2">
      <c r="A318" s="140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39"/>
      <c r="AG318" s="139"/>
      <c r="AH318" s="139"/>
      <c r="AI318" s="139"/>
      <c r="AJ318" s="139"/>
      <c r="AK318" s="139"/>
      <c r="AL318" s="139"/>
      <c r="AM318" s="139"/>
      <c r="AN318" s="139"/>
      <c r="AO318" s="139"/>
      <c r="AP318" s="139"/>
      <c r="AQ318" s="139"/>
      <c r="AR318" s="139"/>
      <c r="AS318" s="139"/>
      <c r="AT318" s="139"/>
      <c r="AU318" s="139"/>
      <c r="AV318" s="139"/>
      <c r="AW318" s="139"/>
      <c r="AX318" s="139"/>
      <c r="AY318" s="139"/>
      <c r="AZ318" s="139"/>
      <c r="BA318" s="139"/>
      <c r="BB318" s="139"/>
      <c r="BC318" s="139"/>
      <c r="BD318" s="139"/>
      <c r="BE318" s="139"/>
      <c r="BF318" s="139"/>
      <c r="BG318" s="139"/>
      <c r="BH318" s="139"/>
      <c r="BI318" s="139"/>
      <c r="BJ318" s="139"/>
      <c r="BK318" s="139"/>
      <c r="BL318" s="139"/>
      <c r="BM318" s="139"/>
      <c r="BN318" s="139"/>
      <c r="BO318" s="139"/>
      <c r="BP318" s="139"/>
      <c r="BQ318" s="139"/>
      <c r="BR318" s="139"/>
      <c r="BS318" s="139"/>
      <c r="BT318" s="139"/>
      <c r="BU318" s="139"/>
      <c r="BV318" s="139"/>
      <c r="DR318" s="139"/>
      <c r="DS318" s="139"/>
    </row>
    <row r="319" spans="1:123" x14ac:dyDescent="0.2">
      <c r="A319" s="140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39"/>
      <c r="AD319" s="139"/>
      <c r="AE319" s="139"/>
      <c r="AF319" s="139"/>
      <c r="AG319" s="139"/>
      <c r="AH319" s="139"/>
      <c r="AI319" s="139"/>
      <c r="AJ319" s="139"/>
      <c r="AK319" s="139"/>
      <c r="AL319" s="139"/>
      <c r="AM319" s="139"/>
      <c r="AN319" s="139"/>
      <c r="AO319" s="139"/>
      <c r="AP319" s="139"/>
      <c r="AQ319" s="139"/>
      <c r="AR319" s="139"/>
      <c r="AS319" s="139"/>
      <c r="AT319" s="139"/>
      <c r="AU319" s="139"/>
      <c r="AV319" s="139"/>
      <c r="AW319" s="139"/>
      <c r="AX319" s="139"/>
      <c r="AY319" s="139"/>
      <c r="AZ319" s="139"/>
      <c r="BA319" s="139"/>
      <c r="BB319" s="139"/>
      <c r="BC319" s="139"/>
      <c r="BD319" s="139"/>
      <c r="BE319" s="139"/>
      <c r="BF319" s="139"/>
      <c r="BG319" s="139"/>
      <c r="BH319" s="139"/>
      <c r="BI319" s="139"/>
      <c r="BJ319" s="139"/>
      <c r="BK319" s="139"/>
      <c r="BL319" s="139"/>
      <c r="BM319" s="139"/>
      <c r="BN319" s="139"/>
      <c r="BO319" s="139"/>
      <c r="BP319" s="139"/>
      <c r="BQ319" s="139"/>
      <c r="BR319" s="139"/>
      <c r="BS319" s="139"/>
      <c r="BT319" s="139"/>
      <c r="BU319" s="139"/>
      <c r="BV319" s="139"/>
      <c r="DR319" s="139"/>
      <c r="DS319" s="139"/>
    </row>
    <row r="320" spans="1:123" x14ac:dyDescent="0.2">
      <c r="A320" s="140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  <c r="AF320" s="139"/>
      <c r="AG320" s="139"/>
      <c r="AH320" s="139"/>
      <c r="AI320" s="139"/>
      <c r="AJ320" s="139"/>
      <c r="AK320" s="139"/>
      <c r="AL320" s="139"/>
      <c r="AM320" s="139"/>
      <c r="AN320" s="139"/>
      <c r="AO320" s="139"/>
      <c r="AP320" s="139"/>
      <c r="AQ320" s="139"/>
      <c r="AR320" s="139"/>
      <c r="AS320" s="139"/>
      <c r="AT320" s="139"/>
      <c r="AU320" s="139"/>
      <c r="AV320" s="139"/>
      <c r="AW320" s="139"/>
      <c r="AX320" s="139"/>
      <c r="AY320" s="139"/>
      <c r="AZ320" s="139"/>
      <c r="BA320" s="139"/>
      <c r="BB320" s="139"/>
      <c r="BC320" s="139"/>
      <c r="BD320" s="139"/>
      <c r="BE320" s="139"/>
      <c r="BF320" s="139"/>
      <c r="BG320" s="139"/>
      <c r="BH320" s="139"/>
      <c r="BI320" s="139"/>
      <c r="BJ320" s="139"/>
      <c r="BK320" s="139"/>
      <c r="BL320" s="139"/>
      <c r="BM320" s="139"/>
      <c r="BN320" s="139"/>
      <c r="BO320" s="139"/>
      <c r="BP320" s="139"/>
      <c r="BQ320" s="139"/>
      <c r="BR320" s="139"/>
      <c r="BS320" s="139"/>
      <c r="BT320" s="139"/>
      <c r="BU320" s="139"/>
      <c r="BV320" s="139"/>
      <c r="DR320" s="139"/>
      <c r="DS320" s="139"/>
    </row>
    <row r="321" spans="1:123" x14ac:dyDescent="0.2">
      <c r="A321" s="140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  <c r="AF321" s="139"/>
      <c r="AG321" s="139"/>
      <c r="AH321" s="139"/>
      <c r="AI321" s="139"/>
      <c r="AJ321" s="139"/>
      <c r="AK321" s="139"/>
      <c r="AL321" s="139"/>
      <c r="AM321" s="139"/>
      <c r="AN321" s="139"/>
      <c r="AO321" s="139"/>
      <c r="AP321" s="139"/>
      <c r="AQ321" s="139"/>
      <c r="AR321" s="139"/>
      <c r="AS321" s="139"/>
      <c r="AT321" s="139"/>
      <c r="AU321" s="139"/>
      <c r="AV321" s="139"/>
      <c r="AW321" s="139"/>
      <c r="AX321" s="139"/>
      <c r="AY321" s="139"/>
      <c r="AZ321" s="139"/>
      <c r="BA321" s="139"/>
      <c r="BB321" s="139"/>
      <c r="BC321" s="139"/>
      <c r="BD321" s="139"/>
      <c r="BE321" s="139"/>
      <c r="BF321" s="139"/>
      <c r="BG321" s="139"/>
      <c r="BH321" s="139"/>
      <c r="BI321" s="139"/>
      <c r="BJ321" s="139"/>
      <c r="BK321" s="139"/>
      <c r="BL321" s="139"/>
      <c r="BM321" s="139"/>
      <c r="BN321" s="139"/>
      <c r="BO321" s="139"/>
      <c r="BP321" s="139"/>
      <c r="BQ321" s="139"/>
      <c r="BR321" s="139"/>
      <c r="BS321" s="139"/>
      <c r="BT321" s="139"/>
      <c r="BU321" s="139"/>
      <c r="BV321" s="139"/>
      <c r="DR321" s="139"/>
      <c r="DS321" s="139"/>
    </row>
    <row r="322" spans="1:123" x14ac:dyDescent="0.2">
      <c r="A322" s="140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39"/>
      <c r="AG322" s="139"/>
      <c r="AH322" s="139"/>
      <c r="AI322" s="139"/>
      <c r="AJ322" s="139"/>
      <c r="AK322" s="139"/>
      <c r="AL322" s="139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  <c r="AW322" s="139"/>
      <c r="AX322" s="139"/>
      <c r="AY322" s="139"/>
      <c r="AZ322" s="139"/>
      <c r="BA322" s="139"/>
      <c r="BB322" s="139"/>
      <c r="BC322" s="139"/>
      <c r="BD322" s="139"/>
      <c r="BE322" s="139"/>
      <c r="BF322" s="139"/>
      <c r="BG322" s="139"/>
      <c r="BH322" s="139"/>
      <c r="BI322" s="139"/>
      <c r="BJ322" s="139"/>
      <c r="BK322" s="139"/>
      <c r="BL322" s="139"/>
      <c r="BM322" s="139"/>
      <c r="BN322" s="139"/>
      <c r="BO322" s="139"/>
      <c r="BP322" s="139"/>
      <c r="BQ322" s="139"/>
      <c r="BR322" s="139"/>
      <c r="BS322" s="139"/>
      <c r="BT322" s="139"/>
      <c r="BU322" s="139"/>
      <c r="BV322" s="139"/>
      <c r="DR322" s="139"/>
      <c r="DS322" s="139"/>
    </row>
    <row r="323" spans="1:123" x14ac:dyDescent="0.2">
      <c r="A323" s="140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  <c r="AA323" s="139"/>
      <c r="AB323" s="139"/>
      <c r="AC323" s="139"/>
      <c r="AD323" s="139"/>
      <c r="AE323" s="139"/>
      <c r="AF323" s="139"/>
      <c r="AG323" s="139"/>
      <c r="AH323" s="139"/>
      <c r="AI323" s="139"/>
      <c r="AJ323" s="139"/>
      <c r="AK323" s="139"/>
      <c r="AL323" s="139"/>
      <c r="AM323" s="139"/>
      <c r="AN323" s="139"/>
      <c r="AO323" s="139"/>
      <c r="AP323" s="139"/>
      <c r="AQ323" s="139"/>
      <c r="AR323" s="139"/>
      <c r="AS323" s="139"/>
      <c r="AT323" s="139"/>
      <c r="AU323" s="139"/>
      <c r="AV323" s="139"/>
      <c r="AW323" s="139"/>
      <c r="AX323" s="139"/>
      <c r="AY323" s="139"/>
      <c r="AZ323" s="139"/>
      <c r="BA323" s="139"/>
      <c r="BB323" s="139"/>
      <c r="BC323" s="139"/>
      <c r="BD323" s="139"/>
      <c r="BE323" s="139"/>
      <c r="BF323" s="139"/>
      <c r="BG323" s="139"/>
      <c r="BH323" s="139"/>
      <c r="BI323" s="139"/>
      <c r="BJ323" s="139"/>
      <c r="BK323" s="139"/>
      <c r="BL323" s="139"/>
      <c r="BM323" s="139"/>
      <c r="BN323" s="139"/>
      <c r="BO323" s="139"/>
      <c r="BP323" s="139"/>
      <c r="BQ323" s="139"/>
      <c r="BR323" s="139"/>
      <c r="BS323" s="139"/>
      <c r="BT323" s="139"/>
      <c r="BU323" s="139"/>
      <c r="BV323" s="139"/>
      <c r="DR323" s="139"/>
      <c r="DS323" s="139"/>
    </row>
    <row r="324" spans="1:123" x14ac:dyDescent="0.2">
      <c r="A324" s="140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39"/>
      <c r="AG324" s="139"/>
      <c r="AH324" s="139"/>
      <c r="AI324" s="139"/>
      <c r="AJ324" s="139"/>
      <c r="AK324" s="139"/>
      <c r="AL324" s="139"/>
      <c r="AM324" s="139"/>
      <c r="AN324" s="139"/>
      <c r="AO324" s="139"/>
      <c r="AP324" s="139"/>
      <c r="AQ324" s="139"/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139"/>
      <c r="BB324" s="139"/>
      <c r="BC324" s="139"/>
      <c r="BD324" s="139"/>
      <c r="BE324" s="139"/>
      <c r="BF324" s="139"/>
      <c r="BG324" s="139"/>
      <c r="BH324" s="139"/>
      <c r="BI324" s="139"/>
      <c r="BJ324" s="139"/>
      <c r="BK324" s="139"/>
      <c r="BL324" s="139"/>
      <c r="BM324" s="139"/>
      <c r="BN324" s="139"/>
      <c r="BO324" s="139"/>
      <c r="BP324" s="139"/>
      <c r="BQ324" s="139"/>
      <c r="BR324" s="139"/>
      <c r="BS324" s="139"/>
      <c r="BT324" s="139"/>
      <c r="BU324" s="139"/>
      <c r="BV324" s="139"/>
      <c r="DR324" s="139"/>
      <c r="DS324" s="139"/>
    </row>
    <row r="325" spans="1:123" x14ac:dyDescent="0.2">
      <c r="A325" s="140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39"/>
      <c r="AG325" s="139"/>
      <c r="AH325" s="139"/>
      <c r="AI325" s="139"/>
      <c r="AJ325" s="139"/>
      <c r="AK325" s="139"/>
      <c r="AL325" s="139"/>
      <c r="AM325" s="139"/>
      <c r="AN325" s="139"/>
      <c r="AO325" s="139"/>
      <c r="AP325" s="139"/>
      <c r="AQ325" s="139"/>
      <c r="AR325" s="139"/>
      <c r="AS325" s="139"/>
      <c r="AT325" s="139"/>
      <c r="AU325" s="139"/>
      <c r="AV325" s="139"/>
      <c r="AW325" s="139"/>
      <c r="AX325" s="139"/>
      <c r="AY325" s="139"/>
      <c r="AZ325" s="139"/>
      <c r="BA325" s="139"/>
      <c r="BB325" s="139"/>
      <c r="BC325" s="139"/>
      <c r="BD325" s="139"/>
      <c r="BE325" s="139"/>
      <c r="BF325" s="139"/>
      <c r="BG325" s="139"/>
      <c r="BH325" s="139"/>
      <c r="BI325" s="139"/>
      <c r="BJ325" s="139"/>
      <c r="BK325" s="139"/>
      <c r="BL325" s="139"/>
      <c r="BM325" s="139"/>
      <c r="BN325" s="139"/>
      <c r="BO325" s="139"/>
      <c r="BP325" s="139"/>
      <c r="BQ325" s="139"/>
      <c r="BR325" s="139"/>
      <c r="BS325" s="139"/>
      <c r="BT325" s="139"/>
      <c r="BU325" s="139"/>
      <c r="BV325" s="139"/>
      <c r="DR325" s="139"/>
      <c r="DS325" s="139"/>
    </row>
    <row r="326" spans="1:123" x14ac:dyDescent="0.2">
      <c r="A326" s="140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139"/>
      <c r="AG326" s="139"/>
      <c r="AH326" s="139"/>
      <c r="AI326" s="139"/>
      <c r="AJ326" s="139"/>
      <c r="AK326" s="139"/>
      <c r="AL326" s="139"/>
      <c r="AM326" s="139"/>
      <c r="AN326" s="139"/>
      <c r="AO326" s="139"/>
      <c r="AP326" s="139"/>
      <c r="AQ326" s="139"/>
      <c r="AR326" s="139"/>
      <c r="AS326" s="139"/>
      <c r="AT326" s="139"/>
      <c r="AU326" s="139"/>
      <c r="AV326" s="139"/>
      <c r="AW326" s="139"/>
      <c r="AX326" s="139"/>
      <c r="AY326" s="139"/>
      <c r="AZ326" s="139"/>
      <c r="BA326" s="139"/>
      <c r="BB326" s="139"/>
      <c r="BC326" s="139"/>
      <c r="BD326" s="139"/>
      <c r="BE326" s="139"/>
      <c r="BF326" s="139"/>
      <c r="BG326" s="139"/>
      <c r="BH326" s="139"/>
      <c r="BI326" s="139"/>
      <c r="BJ326" s="139"/>
      <c r="BK326" s="139"/>
      <c r="BL326" s="139"/>
      <c r="BM326" s="139"/>
      <c r="BN326" s="139"/>
      <c r="BO326" s="139"/>
      <c r="BP326" s="139"/>
      <c r="BQ326" s="139"/>
      <c r="BR326" s="139"/>
      <c r="BS326" s="139"/>
      <c r="BT326" s="139"/>
      <c r="BU326" s="139"/>
      <c r="BV326" s="139"/>
      <c r="DR326" s="139"/>
      <c r="DS326" s="139"/>
    </row>
    <row r="327" spans="1:123" x14ac:dyDescent="0.2">
      <c r="A327" s="140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  <c r="AA327" s="139"/>
      <c r="AB327" s="139"/>
      <c r="AC327" s="139"/>
      <c r="AD327" s="139"/>
      <c r="AE327" s="139"/>
      <c r="AF327" s="139"/>
      <c r="AG327" s="139"/>
      <c r="AH327" s="139"/>
      <c r="AI327" s="139"/>
      <c r="AJ327" s="139"/>
      <c r="AK327" s="139"/>
      <c r="AL327" s="139"/>
      <c r="AM327" s="139"/>
      <c r="AN327" s="139"/>
      <c r="AO327" s="139"/>
      <c r="AP327" s="139"/>
      <c r="AQ327" s="139"/>
      <c r="AR327" s="139"/>
      <c r="AS327" s="139"/>
      <c r="AT327" s="139"/>
      <c r="AU327" s="139"/>
      <c r="AV327" s="139"/>
      <c r="AW327" s="139"/>
      <c r="AX327" s="139"/>
      <c r="AY327" s="139"/>
      <c r="AZ327" s="139"/>
      <c r="BA327" s="139"/>
      <c r="BB327" s="139"/>
      <c r="BC327" s="139"/>
      <c r="BD327" s="139"/>
      <c r="BE327" s="139"/>
      <c r="BF327" s="139"/>
      <c r="BG327" s="139"/>
      <c r="BH327" s="139"/>
      <c r="BI327" s="139"/>
      <c r="BJ327" s="139"/>
      <c r="BK327" s="139"/>
      <c r="BL327" s="139"/>
      <c r="BM327" s="139"/>
      <c r="BN327" s="139"/>
      <c r="BO327" s="139"/>
      <c r="BP327" s="139"/>
      <c r="BQ327" s="139"/>
      <c r="BR327" s="139"/>
      <c r="BS327" s="139"/>
      <c r="BT327" s="139"/>
      <c r="BU327" s="139"/>
      <c r="BV327" s="139"/>
      <c r="DR327" s="139"/>
      <c r="DS327" s="139"/>
    </row>
    <row r="328" spans="1:123" x14ac:dyDescent="0.2">
      <c r="A328" s="140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  <c r="AA328" s="139"/>
      <c r="AB328" s="139"/>
      <c r="AC328" s="139"/>
      <c r="AD328" s="139"/>
      <c r="AE328" s="139"/>
      <c r="AF328" s="139"/>
      <c r="AG328" s="139"/>
      <c r="AH328" s="139"/>
      <c r="AI328" s="139"/>
      <c r="AJ328" s="139"/>
      <c r="AK328" s="139"/>
      <c r="AL328" s="139"/>
      <c r="AM328" s="139"/>
      <c r="AN328" s="139"/>
      <c r="AO328" s="139"/>
      <c r="AP328" s="139"/>
      <c r="AQ328" s="139"/>
      <c r="AR328" s="139"/>
      <c r="AS328" s="139"/>
      <c r="AT328" s="139"/>
      <c r="AU328" s="139"/>
      <c r="AV328" s="139"/>
      <c r="AW328" s="139"/>
      <c r="AX328" s="139"/>
      <c r="AY328" s="139"/>
      <c r="AZ328" s="139"/>
      <c r="BA328" s="139"/>
      <c r="BB328" s="139"/>
      <c r="BC328" s="139"/>
      <c r="BD328" s="139"/>
      <c r="BE328" s="139"/>
      <c r="BF328" s="139"/>
      <c r="BG328" s="139"/>
      <c r="BH328" s="139"/>
      <c r="BI328" s="139"/>
      <c r="BJ328" s="139"/>
      <c r="BK328" s="139"/>
      <c r="BL328" s="139"/>
      <c r="BM328" s="139"/>
      <c r="BN328" s="139"/>
      <c r="BO328" s="139"/>
      <c r="BP328" s="139"/>
      <c r="BQ328" s="139"/>
      <c r="BR328" s="139"/>
      <c r="BS328" s="139"/>
      <c r="BT328" s="139"/>
      <c r="BU328" s="139"/>
      <c r="BV328" s="139"/>
      <c r="DR328" s="139"/>
      <c r="DS328" s="139"/>
    </row>
    <row r="329" spans="1:123" x14ac:dyDescent="0.2">
      <c r="A329" s="136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139"/>
      <c r="AG329" s="139"/>
      <c r="AH329" s="139"/>
      <c r="AI329" s="139"/>
      <c r="AJ329" s="139"/>
      <c r="AK329" s="139"/>
      <c r="AL329" s="139"/>
      <c r="AM329" s="139"/>
      <c r="AN329" s="139"/>
      <c r="AO329" s="139"/>
      <c r="AP329" s="139"/>
      <c r="AQ329" s="139"/>
      <c r="AR329" s="139"/>
      <c r="AS329" s="139"/>
      <c r="AT329" s="139"/>
      <c r="AU329" s="139"/>
      <c r="AV329" s="139"/>
      <c r="AW329" s="139"/>
      <c r="AX329" s="139"/>
      <c r="AY329" s="139"/>
      <c r="AZ329" s="139"/>
      <c r="BA329" s="139"/>
      <c r="BB329" s="139"/>
      <c r="BC329" s="139"/>
      <c r="BD329" s="139"/>
      <c r="BE329" s="139"/>
      <c r="BF329" s="139"/>
      <c r="BG329" s="139"/>
      <c r="BH329" s="139"/>
      <c r="BI329" s="139"/>
      <c r="BJ329" s="139"/>
      <c r="BK329" s="139"/>
      <c r="BL329" s="139"/>
      <c r="BM329" s="139"/>
      <c r="BN329" s="139"/>
      <c r="BO329" s="139"/>
      <c r="BP329" s="139"/>
      <c r="BQ329" s="139"/>
      <c r="BR329" s="139"/>
      <c r="BS329" s="139"/>
      <c r="BT329" s="139"/>
      <c r="BU329" s="139"/>
      <c r="BV329" s="139"/>
      <c r="DR329" s="139"/>
      <c r="DS329" s="139"/>
    </row>
    <row r="330" spans="1:123" x14ac:dyDescent="0.2">
      <c r="A330" s="136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39"/>
      <c r="AG330" s="139"/>
      <c r="AH330" s="139"/>
      <c r="AI330" s="139"/>
      <c r="AJ330" s="139"/>
      <c r="AK330" s="139"/>
      <c r="AL330" s="139"/>
      <c r="AM330" s="139"/>
      <c r="AN330" s="139"/>
      <c r="AO330" s="139"/>
      <c r="AP330" s="139"/>
      <c r="AQ330" s="139"/>
      <c r="AR330" s="139"/>
      <c r="AS330" s="139"/>
      <c r="AT330" s="139"/>
      <c r="AU330" s="139"/>
      <c r="AV330" s="139"/>
      <c r="AW330" s="139"/>
      <c r="AX330" s="139"/>
      <c r="AY330" s="139"/>
      <c r="AZ330" s="139"/>
      <c r="BA330" s="139"/>
      <c r="BB330" s="139"/>
      <c r="BC330" s="139"/>
      <c r="BD330" s="139"/>
      <c r="BE330" s="139"/>
      <c r="BF330" s="139"/>
      <c r="BG330" s="139"/>
      <c r="BH330" s="139"/>
      <c r="BI330" s="139"/>
      <c r="BJ330" s="139"/>
      <c r="BK330" s="139"/>
      <c r="BL330" s="139"/>
      <c r="BM330" s="139"/>
      <c r="BN330" s="139"/>
      <c r="BO330" s="139"/>
      <c r="BP330" s="139"/>
      <c r="BQ330" s="139"/>
      <c r="BR330" s="139"/>
      <c r="BS330" s="139"/>
      <c r="BT330" s="139"/>
      <c r="BU330" s="139"/>
      <c r="BV330" s="139"/>
      <c r="DR330" s="139"/>
      <c r="DS330" s="139"/>
    </row>
    <row r="331" spans="1:123" x14ac:dyDescent="0.2">
      <c r="A331" s="136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  <c r="AA331" s="139"/>
      <c r="AB331" s="139"/>
      <c r="AC331" s="139"/>
      <c r="AD331" s="139"/>
      <c r="AE331" s="139"/>
      <c r="AF331" s="139"/>
      <c r="AG331" s="139"/>
      <c r="AH331" s="139"/>
      <c r="AI331" s="139"/>
      <c r="AJ331" s="139"/>
      <c r="AK331" s="139"/>
      <c r="AL331" s="139"/>
      <c r="AM331" s="139"/>
      <c r="AN331" s="139"/>
      <c r="AO331" s="139"/>
      <c r="AP331" s="139"/>
      <c r="AQ331" s="139"/>
      <c r="AR331" s="139"/>
      <c r="AS331" s="139"/>
      <c r="AT331" s="139"/>
      <c r="AU331" s="139"/>
      <c r="AV331" s="139"/>
      <c r="AW331" s="139"/>
      <c r="AX331" s="139"/>
      <c r="AY331" s="139"/>
      <c r="AZ331" s="139"/>
      <c r="BA331" s="139"/>
      <c r="BB331" s="139"/>
      <c r="BC331" s="139"/>
      <c r="BD331" s="139"/>
      <c r="BE331" s="139"/>
      <c r="BF331" s="139"/>
      <c r="BG331" s="139"/>
      <c r="BH331" s="139"/>
      <c r="BI331" s="139"/>
      <c r="BJ331" s="139"/>
      <c r="BK331" s="139"/>
      <c r="BL331" s="139"/>
      <c r="BM331" s="139"/>
      <c r="BN331" s="139"/>
      <c r="BO331" s="139"/>
      <c r="BP331" s="139"/>
      <c r="BQ331" s="139"/>
      <c r="BR331" s="139"/>
      <c r="BS331" s="139"/>
      <c r="BT331" s="139"/>
      <c r="BU331" s="139"/>
      <c r="BV331" s="139"/>
      <c r="DR331" s="139"/>
      <c r="DS331" s="139"/>
    </row>
    <row r="332" spans="1:123" x14ac:dyDescent="0.2">
      <c r="A332" s="136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39"/>
      <c r="AG332" s="139"/>
      <c r="AH332" s="139"/>
      <c r="AI332" s="139"/>
      <c r="AJ332" s="139"/>
      <c r="AK332" s="139"/>
      <c r="AL332" s="139"/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39"/>
      <c r="BB332" s="139"/>
      <c r="BC332" s="139"/>
      <c r="BD332" s="139"/>
      <c r="BE332" s="139"/>
      <c r="BF332" s="139"/>
      <c r="BG332" s="139"/>
      <c r="BH332" s="139"/>
      <c r="BI332" s="139"/>
      <c r="BJ332" s="139"/>
      <c r="BK332" s="139"/>
      <c r="BL332" s="139"/>
      <c r="BM332" s="139"/>
      <c r="BN332" s="139"/>
      <c r="BO332" s="139"/>
      <c r="BP332" s="139"/>
      <c r="BQ332" s="139"/>
      <c r="BR332" s="139"/>
      <c r="BS332" s="139"/>
      <c r="BT332" s="139"/>
      <c r="BU332" s="139"/>
      <c r="BV332" s="139"/>
      <c r="DR332" s="139"/>
      <c r="DS332" s="139"/>
    </row>
    <row r="333" spans="1:123" x14ac:dyDescent="0.2">
      <c r="A333" s="136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39"/>
      <c r="AG333" s="139"/>
      <c r="AH333" s="139"/>
      <c r="AI333" s="139"/>
      <c r="AJ333" s="139"/>
      <c r="AK333" s="139"/>
      <c r="AL333" s="139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39"/>
      <c r="BB333" s="139"/>
      <c r="BC333" s="139"/>
      <c r="BD333" s="139"/>
      <c r="BE333" s="139"/>
      <c r="BF333" s="139"/>
      <c r="BG333" s="139"/>
      <c r="BH333" s="139"/>
      <c r="BI333" s="139"/>
      <c r="BJ333" s="139"/>
      <c r="BK333" s="139"/>
      <c r="BL333" s="139"/>
      <c r="BM333" s="139"/>
      <c r="BN333" s="139"/>
      <c r="BO333" s="139"/>
      <c r="BP333" s="139"/>
      <c r="BQ333" s="139"/>
      <c r="BR333" s="139"/>
      <c r="BS333" s="139"/>
      <c r="BT333" s="139"/>
      <c r="BU333" s="139"/>
      <c r="BV333" s="139"/>
      <c r="DR333" s="139"/>
      <c r="DS333" s="139"/>
    </row>
    <row r="334" spans="1:123" x14ac:dyDescent="0.2">
      <c r="A334" s="136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  <c r="AA334" s="139"/>
      <c r="AB334" s="139"/>
      <c r="AC334" s="139"/>
      <c r="AD334" s="139"/>
      <c r="AE334" s="139"/>
      <c r="AF334" s="139"/>
      <c r="AG334" s="139"/>
      <c r="AH334" s="139"/>
      <c r="AI334" s="139"/>
      <c r="AJ334" s="139"/>
      <c r="AK334" s="139"/>
      <c r="AL334" s="139"/>
      <c r="AM334" s="139"/>
      <c r="AN334" s="139"/>
      <c r="AO334" s="139"/>
      <c r="AP334" s="139"/>
      <c r="AQ334" s="139"/>
      <c r="AR334" s="139"/>
      <c r="AS334" s="139"/>
      <c r="AT334" s="139"/>
      <c r="AU334" s="139"/>
      <c r="AV334" s="139"/>
      <c r="AW334" s="139"/>
      <c r="AX334" s="139"/>
      <c r="AY334" s="139"/>
      <c r="AZ334" s="139"/>
      <c r="BA334" s="139"/>
      <c r="BB334" s="139"/>
      <c r="BC334" s="139"/>
      <c r="BD334" s="139"/>
      <c r="BE334" s="139"/>
      <c r="BF334" s="139"/>
      <c r="BG334" s="139"/>
      <c r="BH334" s="139"/>
      <c r="BI334" s="139"/>
      <c r="BJ334" s="139"/>
      <c r="BK334" s="139"/>
      <c r="BL334" s="139"/>
      <c r="BM334" s="139"/>
      <c r="BN334" s="139"/>
      <c r="BO334" s="139"/>
      <c r="BP334" s="139"/>
      <c r="BQ334" s="139"/>
      <c r="BR334" s="139"/>
      <c r="BS334" s="139"/>
      <c r="BT334" s="139"/>
      <c r="BU334" s="139"/>
      <c r="BV334" s="139"/>
      <c r="DR334" s="139"/>
      <c r="DS334" s="139"/>
    </row>
    <row r="335" spans="1:123" x14ac:dyDescent="0.2">
      <c r="A335" s="136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  <c r="AA335" s="139"/>
      <c r="AB335" s="139"/>
      <c r="AC335" s="139"/>
      <c r="AD335" s="139"/>
      <c r="AE335" s="139"/>
      <c r="AF335" s="139"/>
      <c r="AG335" s="139"/>
      <c r="AH335" s="139"/>
      <c r="AI335" s="139"/>
      <c r="AJ335" s="139"/>
      <c r="AK335" s="139"/>
      <c r="AL335" s="139"/>
      <c r="AM335" s="139"/>
      <c r="AN335" s="139"/>
      <c r="AO335" s="139"/>
      <c r="AP335" s="139"/>
      <c r="AQ335" s="139"/>
      <c r="AR335" s="139"/>
      <c r="AS335" s="139"/>
      <c r="AT335" s="139"/>
      <c r="AU335" s="139"/>
      <c r="AV335" s="139"/>
      <c r="AW335" s="139"/>
      <c r="AX335" s="139"/>
      <c r="AY335" s="139"/>
      <c r="AZ335" s="139"/>
      <c r="BA335" s="139"/>
      <c r="BB335" s="139"/>
      <c r="BC335" s="139"/>
      <c r="BD335" s="139"/>
      <c r="BE335" s="139"/>
      <c r="BF335" s="139"/>
      <c r="BG335" s="139"/>
      <c r="BH335" s="139"/>
      <c r="BI335" s="139"/>
      <c r="BJ335" s="139"/>
      <c r="BK335" s="139"/>
      <c r="BL335" s="139"/>
      <c r="BM335" s="139"/>
      <c r="BN335" s="139"/>
      <c r="BO335" s="139"/>
      <c r="BP335" s="139"/>
      <c r="BQ335" s="139"/>
      <c r="BR335" s="139"/>
      <c r="BS335" s="139"/>
      <c r="BT335" s="139"/>
      <c r="BU335" s="139"/>
      <c r="BV335" s="139"/>
      <c r="DR335" s="139"/>
      <c r="DS335" s="139"/>
    </row>
    <row r="336" spans="1:123" x14ac:dyDescent="0.2">
      <c r="A336" s="136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  <c r="AA336" s="139"/>
      <c r="AB336" s="139"/>
      <c r="AC336" s="139"/>
      <c r="AD336" s="139"/>
      <c r="AE336" s="139"/>
      <c r="AF336" s="139"/>
      <c r="AG336" s="139"/>
      <c r="AH336" s="139"/>
      <c r="AI336" s="139"/>
      <c r="AJ336" s="139"/>
      <c r="AK336" s="139"/>
      <c r="AL336" s="139"/>
      <c r="AM336" s="139"/>
      <c r="AN336" s="139"/>
      <c r="AO336" s="139"/>
      <c r="AP336" s="139"/>
      <c r="AQ336" s="139"/>
      <c r="AR336" s="139"/>
      <c r="AS336" s="139"/>
      <c r="AT336" s="139"/>
      <c r="AU336" s="139"/>
      <c r="AV336" s="139"/>
      <c r="AW336" s="139"/>
      <c r="AX336" s="139"/>
      <c r="AY336" s="139"/>
      <c r="AZ336" s="139"/>
      <c r="BA336" s="139"/>
      <c r="BB336" s="139"/>
      <c r="BC336" s="139"/>
      <c r="BD336" s="139"/>
      <c r="BE336" s="139"/>
      <c r="BF336" s="139"/>
      <c r="BG336" s="139"/>
      <c r="BH336" s="139"/>
      <c r="BI336" s="139"/>
      <c r="BJ336" s="139"/>
      <c r="BK336" s="139"/>
      <c r="BL336" s="139"/>
      <c r="BM336" s="139"/>
      <c r="BN336" s="139"/>
      <c r="BO336" s="139"/>
      <c r="BP336" s="139"/>
      <c r="BQ336" s="139"/>
      <c r="BR336" s="139"/>
      <c r="BS336" s="139"/>
      <c r="BT336" s="139"/>
      <c r="BU336" s="139"/>
      <c r="BV336" s="139"/>
      <c r="DR336" s="139"/>
      <c r="DS336" s="139"/>
    </row>
    <row r="337" spans="1:123" x14ac:dyDescent="0.2">
      <c r="A337" s="136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  <c r="AF337" s="139"/>
      <c r="AG337" s="139"/>
      <c r="AH337" s="139"/>
      <c r="AI337" s="139"/>
      <c r="AJ337" s="139"/>
      <c r="AK337" s="139"/>
      <c r="AL337" s="139"/>
      <c r="AM337" s="139"/>
      <c r="AN337" s="139"/>
      <c r="AO337" s="139"/>
      <c r="AP337" s="139"/>
      <c r="AQ337" s="139"/>
      <c r="AR337" s="139"/>
      <c r="AS337" s="139"/>
      <c r="AT337" s="139"/>
      <c r="AU337" s="139"/>
      <c r="AV337" s="139"/>
      <c r="AW337" s="139"/>
      <c r="AX337" s="139"/>
      <c r="AY337" s="139"/>
      <c r="AZ337" s="139"/>
      <c r="BA337" s="139"/>
      <c r="BB337" s="139"/>
      <c r="BC337" s="139"/>
      <c r="BD337" s="139"/>
      <c r="BE337" s="139"/>
      <c r="BF337" s="139"/>
      <c r="BG337" s="139"/>
      <c r="BH337" s="139"/>
      <c r="BI337" s="139"/>
      <c r="BJ337" s="139"/>
      <c r="BK337" s="139"/>
      <c r="BL337" s="139"/>
      <c r="BM337" s="139"/>
      <c r="BN337" s="139"/>
      <c r="BO337" s="139"/>
      <c r="BP337" s="139"/>
      <c r="BQ337" s="139"/>
      <c r="BR337" s="139"/>
      <c r="BS337" s="139"/>
      <c r="BT337" s="139"/>
      <c r="BU337" s="139"/>
      <c r="BV337" s="139"/>
      <c r="DR337" s="139"/>
      <c r="DS337" s="139"/>
    </row>
    <row r="338" spans="1:123" x14ac:dyDescent="0.2">
      <c r="A338" s="136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39"/>
      <c r="AG338" s="139"/>
      <c r="AH338" s="139"/>
      <c r="AI338" s="139"/>
      <c r="AJ338" s="139"/>
      <c r="AK338" s="139"/>
      <c r="AL338" s="139"/>
      <c r="AM338" s="139"/>
      <c r="AN338" s="139"/>
      <c r="AO338" s="139"/>
      <c r="AP338" s="139"/>
      <c r="AQ338" s="139"/>
      <c r="AR338" s="139"/>
      <c r="AS338" s="139"/>
      <c r="AT338" s="139"/>
      <c r="AU338" s="139"/>
      <c r="AV338" s="139"/>
      <c r="AW338" s="139"/>
      <c r="AX338" s="139"/>
      <c r="AY338" s="139"/>
      <c r="AZ338" s="139"/>
      <c r="BA338" s="139"/>
      <c r="BB338" s="139"/>
      <c r="BC338" s="139"/>
      <c r="BD338" s="139"/>
      <c r="BE338" s="139"/>
      <c r="BF338" s="139"/>
      <c r="BG338" s="139"/>
      <c r="BH338" s="139"/>
      <c r="BI338" s="139"/>
      <c r="BJ338" s="139"/>
      <c r="BK338" s="139"/>
      <c r="BL338" s="139"/>
      <c r="BM338" s="139"/>
      <c r="BN338" s="139"/>
      <c r="BO338" s="139"/>
      <c r="BP338" s="139"/>
      <c r="BQ338" s="139"/>
      <c r="BR338" s="139"/>
      <c r="BS338" s="139"/>
      <c r="BT338" s="139"/>
      <c r="BU338" s="139"/>
      <c r="BV338" s="139"/>
      <c r="DR338" s="139"/>
      <c r="DS338" s="139"/>
    </row>
    <row r="339" spans="1:123" x14ac:dyDescent="0.2">
      <c r="A339" s="136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  <c r="AF339" s="139"/>
      <c r="AG339" s="139"/>
      <c r="AH339" s="139"/>
      <c r="AI339" s="139"/>
      <c r="AJ339" s="139"/>
      <c r="AK339" s="139"/>
      <c r="AL339" s="139"/>
      <c r="AM339" s="139"/>
      <c r="AN339" s="139"/>
      <c r="AO339" s="139"/>
      <c r="AP339" s="139"/>
      <c r="AQ339" s="139"/>
      <c r="AR339" s="139"/>
      <c r="AS339" s="139"/>
      <c r="AT339" s="139"/>
      <c r="AU339" s="139"/>
      <c r="AV339" s="139"/>
      <c r="AW339" s="139"/>
      <c r="AX339" s="139"/>
      <c r="AY339" s="139"/>
      <c r="AZ339" s="139"/>
      <c r="BA339" s="139"/>
      <c r="BB339" s="139"/>
      <c r="BC339" s="139"/>
      <c r="BD339" s="139"/>
      <c r="BE339" s="139"/>
      <c r="BF339" s="139"/>
      <c r="BG339" s="139"/>
      <c r="BH339" s="139"/>
      <c r="BI339" s="139"/>
      <c r="BJ339" s="139"/>
      <c r="BK339" s="139"/>
      <c r="BL339" s="139"/>
      <c r="BM339" s="139"/>
      <c r="BN339" s="139"/>
      <c r="BO339" s="139"/>
      <c r="BP339" s="139"/>
      <c r="BQ339" s="139"/>
      <c r="BR339" s="139"/>
      <c r="BS339" s="139"/>
      <c r="BT339" s="139"/>
      <c r="BU339" s="139"/>
      <c r="BV339" s="139"/>
      <c r="DR339" s="139"/>
      <c r="DS339" s="139"/>
    </row>
    <row r="340" spans="1:123" x14ac:dyDescent="0.2">
      <c r="A340" s="136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39"/>
      <c r="AG340" s="139"/>
      <c r="AH340" s="139"/>
      <c r="AI340" s="139"/>
      <c r="AJ340" s="139"/>
      <c r="AK340" s="139"/>
      <c r="AL340" s="139"/>
      <c r="AM340" s="139"/>
      <c r="AN340" s="139"/>
      <c r="AO340" s="139"/>
      <c r="AP340" s="139"/>
      <c r="AQ340" s="139"/>
      <c r="AR340" s="139"/>
      <c r="AS340" s="139"/>
      <c r="AT340" s="139"/>
      <c r="AU340" s="139"/>
      <c r="AV340" s="139"/>
      <c r="AW340" s="139"/>
      <c r="AX340" s="139"/>
      <c r="AY340" s="139"/>
      <c r="AZ340" s="139"/>
      <c r="BA340" s="139"/>
      <c r="BB340" s="139"/>
      <c r="BC340" s="139"/>
      <c r="BD340" s="139"/>
      <c r="BE340" s="139"/>
      <c r="BF340" s="139"/>
      <c r="BG340" s="139"/>
      <c r="BH340" s="139"/>
      <c r="BI340" s="139"/>
      <c r="BJ340" s="139"/>
      <c r="BK340" s="139"/>
      <c r="BL340" s="139"/>
      <c r="BM340" s="139"/>
      <c r="BN340" s="139"/>
      <c r="BO340" s="139"/>
      <c r="BP340" s="139"/>
      <c r="BQ340" s="139"/>
      <c r="BR340" s="139"/>
      <c r="BS340" s="139"/>
      <c r="BT340" s="139"/>
      <c r="BU340" s="139"/>
      <c r="BV340" s="139"/>
      <c r="DR340" s="139"/>
      <c r="DS340" s="139"/>
    </row>
    <row r="341" spans="1:123" x14ac:dyDescent="0.2">
      <c r="A341" s="136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39"/>
      <c r="AD341" s="139"/>
      <c r="AE341" s="139"/>
      <c r="AF341" s="139"/>
      <c r="AG341" s="139"/>
      <c r="AH341" s="139"/>
      <c r="AI341" s="139"/>
      <c r="AJ341" s="139"/>
      <c r="AK341" s="139"/>
      <c r="AL341" s="139"/>
      <c r="AM341" s="139"/>
      <c r="AN341" s="139"/>
      <c r="AO341" s="139"/>
      <c r="AP341" s="139"/>
      <c r="AQ341" s="139"/>
      <c r="AR341" s="139"/>
      <c r="AS341" s="139"/>
      <c r="AT341" s="139"/>
      <c r="AU341" s="139"/>
      <c r="AV341" s="139"/>
      <c r="AW341" s="139"/>
      <c r="AX341" s="139"/>
      <c r="AY341" s="139"/>
      <c r="AZ341" s="139"/>
      <c r="BA341" s="139"/>
      <c r="BB341" s="139"/>
      <c r="BC341" s="139"/>
      <c r="BD341" s="139"/>
      <c r="BE341" s="139"/>
      <c r="BF341" s="139"/>
      <c r="BG341" s="139"/>
      <c r="BH341" s="139"/>
      <c r="BI341" s="139"/>
      <c r="BJ341" s="139"/>
      <c r="BK341" s="139"/>
      <c r="BL341" s="139"/>
      <c r="BM341" s="139"/>
      <c r="BN341" s="139"/>
      <c r="BO341" s="139"/>
      <c r="BP341" s="139"/>
      <c r="BQ341" s="139"/>
      <c r="BR341" s="139"/>
      <c r="BS341" s="139"/>
      <c r="BT341" s="139"/>
      <c r="BU341" s="139"/>
      <c r="BV341" s="139"/>
      <c r="DR341" s="139"/>
      <c r="DS341" s="139"/>
    </row>
    <row r="342" spans="1:123" x14ac:dyDescent="0.2">
      <c r="A342" s="136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39"/>
      <c r="AG342" s="139"/>
      <c r="AH342" s="139"/>
      <c r="AI342" s="139"/>
      <c r="AJ342" s="139"/>
      <c r="AK342" s="139"/>
      <c r="AL342" s="139"/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39"/>
      <c r="BB342" s="139"/>
      <c r="BC342" s="139"/>
      <c r="BD342" s="139"/>
      <c r="BE342" s="139"/>
      <c r="BF342" s="139"/>
      <c r="BG342" s="139"/>
      <c r="BH342" s="139"/>
      <c r="BI342" s="139"/>
      <c r="BJ342" s="139"/>
      <c r="BK342" s="139"/>
      <c r="BL342" s="139"/>
      <c r="BM342" s="139"/>
      <c r="BN342" s="139"/>
      <c r="BO342" s="139"/>
      <c r="BP342" s="139"/>
      <c r="BQ342" s="139"/>
      <c r="BR342" s="139"/>
      <c r="BS342" s="139"/>
      <c r="BT342" s="139"/>
      <c r="BU342" s="139"/>
      <c r="BV342" s="139"/>
      <c r="DR342" s="139"/>
      <c r="DS342" s="139"/>
    </row>
    <row r="343" spans="1:123" x14ac:dyDescent="0.2">
      <c r="A343" s="136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  <c r="AA343" s="139"/>
      <c r="AB343" s="139"/>
      <c r="AC343" s="139"/>
      <c r="AD343" s="139"/>
      <c r="AE343" s="139"/>
      <c r="AF343" s="139"/>
      <c r="AG343" s="139"/>
      <c r="AH343" s="139"/>
      <c r="AI343" s="139"/>
      <c r="AJ343" s="139"/>
      <c r="AK343" s="139"/>
      <c r="AL343" s="139"/>
      <c r="AM343" s="139"/>
      <c r="AN343" s="139"/>
      <c r="AO343" s="139"/>
      <c r="AP343" s="139"/>
      <c r="AQ343" s="139"/>
      <c r="AR343" s="139"/>
      <c r="AS343" s="139"/>
      <c r="AT343" s="139"/>
      <c r="AU343" s="139"/>
      <c r="AV343" s="139"/>
      <c r="AW343" s="139"/>
      <c r="AX343" s="139"/>
      <c r="AY343" s="139"/>
      <c r="AZ343" s="139"/>
      <c r="BA343" s="139"/>
      <c r="BB343" s="139"/>
      <c r="BC343" s="139"/>
      <c r="BD343" s="139"/>
      <c r="BE343" s="139"/>
      <c r="BF343" s="139"/>
      <c r="BG343" s="139"/>
      <c r="BH343" s="139"/>
      <c r="BI343" s="139"/>
      <c r="BJ343" s="139"/>
      <c r="BK343" s="139"/>
      <c r="BL343" s="139"/>
      <c r="BM343" s="139"/>
      <c r="BN343" s="139"/>
      <c r="BO343" s="139"/>
      <c r="BP343" s="139"/>
      <c r="BQ343" s="139"/>
      <c r="BR343" s="139"/>
      <c r="BS343" s="139"/>
      <c r="BT343" s="139"/>
      <c r="BU343" s="139"/>
      <c r="BV343" s="139"/>
      <c r="DR343" s="139"/>
      <c r="DS343" s="139"/>
    </row>
    <row r="344" spans="1:123" x14ac:dyDescent="0.2">
      <c r="A344" s="136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  <c r="AA344" s="139"/>
      <c r="AB344" s="139"/>
      <c r="AC344" s="139"/>
      <c r="AD344" s="139"/>
      <c r="AE344" s="139"/>
      <c r="AF344" s="139"/>
      <c r="AG344" s="139"/>
      <c r="AH344" s="139"/>
      <c r="AI344" s="139"/>
      <c r="AJ344" s="139"/>
      <c r="AK344" s="139"/>
      <c r="AL344" s="139"/>
      <c r="AM344" s="139"/>
      <c r="AN344" s="139"/>
      <c r="AO344" s="139"/>
      <c r="AP344" s="139"/>
      <c r="AQ344" s="139"/>
      <c r="AR344" s="139"/>
      <c r="AS344" s="139"/>
      <c r="AT344" s="139"/>
      <c r="AU344" s="139"/>
      <c r="AV344" s="139"/>
      <c r="AW344" s="139"/>
      <c r="AX344" s="139"/>
      <c r="AY344" s="139"/>
      <c r="AZ344" s="139"/>
      <c r="BA344" s="139"/>
      <c r="BB344" s="139"/>
      <c r="BC344" s="139"/>
      <c r="BD344" s="139"/>
      <c r="BE344" s="139"/>
      <c r="BF344" s="139"/>
      <c r="BG344" s="139"/>
      <c r="BH344" s="139"/>
      <c r="BI344" s="139"/>
      <c r="BJ344" s="139"/>
      <c r="BK344" s="139"/>
      <c r="BL344" s="139"/>
      <c r="BM344" s="139"/>
      <c r="BN344" s="139"/>
      <c r="BO344" s="139"/>
      <c r="BP344" s="139"/>
      <c r="BQ344" s="139"/>
      <c r="BR344" s="139"/>
      <c r="BS344" s="139"/>
      <c r="BT344" s="139"/>
      <c r="BU344" s="139"/>
      <c r="BV344" s="139"/>
      <c r="DR344" s="139"/>
      <c r="DS344" s="139"/>
    </row>
    <row r="345" spans="1:123" x14ac:dyDescent="0.2">
      <c r="A345" s="136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39"/>
      <c r="AG345" s="139"/>
      <c r="AH345" s="139"/>
      <c r="AI345" s="139"/>
      <c r="AJ345" s="139"/>
      <c r="AK345" s="139"/>
      <c r="AL345" s="139"/>
      <c r="AM345" s="139"/>
      <c r="AN345" s="139"/>
      <c r="AO345" s="139"/>
      <c r="AP345" s="139"/>
      <c r="AQ345" s="139"/>
      <c r="AR345" s="139"/>
      <c r="AS345" s="139"/>
      <c r="AT345" s="139"/>
      <c r="AU345" s="139"/>
      <c r="AV345" s="139"/>
      <c r="AW345" s="139"/>
      <c r="AX345" s="139"/>
      <c r="AY345" s="139"/>
      <c r="AZ345" s="139"/>
      <c r="BA345" s="139"/>
      <c r="BB345" s="139"/>
      <c r="BC345" s="139"/>
      <c r="BD345" s="139"/>
      <c r="BE345" s="139"/>
      <c r="BF345" s="139"/>
      <c r="BG345" s="139"/>
      <c r="BH345" s="139"/>
      <c r="BI345" s="139"/>
      <c r="BJ345" s="139"/>
      <c r="BK345" s="139"/>
      <c r="BL345" s="139"/>
      <c r="BM345" s="139"/>
      <c r="BN345" s="139"/>
      <c r="BO345" s="139"/>
      <c r="BP345" s="139"/>
      <c r="BQ345" s="139"/>
      <c r="BR345" s="139"/>
      <c r="BS345" s="139"/>
      <c r="BT345" s="139"/>
      <c r="BU345" s="139"/>
      <c r="BV345" s="139"/>
      <c r="DR345" s="139"/>
      <c r="DS345" s="139"/>
    </row>
    <row r="346" spans="1:123" x14ac:dyDescent="0.2">
      <c r="A346" s="136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39"/>
      <c r="AG346" s="139"/>
      <c r="AH346" s="139"/>
      <c r="AI346" s="139"/>
      <c r="AJ346" s="139"/>
      <c r="AK346" s="139"/>
      <c r="AL346" s="139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39"/>
      <c r="BB346" s="139"/>
      <c r="BC346" s="139"/>
      <c r="BD346" s="139"/>
      <c r="BE346" s="139"/>
      <c r="BF346" s="139"/>
      <c r="BG346" s="139"/>
      <c r="BH346" s="139"/>
      <c r="BI346" s="139"/>
      <c r="BJ346" s="139"/>
      <c r="BK346" s="139"/>
      <c r="BL346" s="139"/>
      <c r="BM346" s="139"/>
      <c r="BN346" s="139"/>
      <c r="BO346" s="139"/>
      <c r="BP346" s="139"/>
      <c r="BQ346" s="139"/>
      <c r="BR346" s="139"/>
      <c r="BS346" s="139"/>
      <c r="BT346" s="139"/>
      <c r="BU346" s="139"/>
      <c r="BV346" s="139"/>
      <c r="DR346" s="139"/>
      <c r="DS346" s="139"/>
    </row>
    <row r="347" spans="1:123" x14ac:dyDescent="0.2">
      <c r="A347" s="136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  <c r="AA347" s="139"/>
      <c r="AB347" s="139"/>
      <c r="AC347" s="139"/>
      <c r="AD347" s="139"/>
      <c r="AE347" s="139"/>
      <c r="AF347" s="139"/>
      <c r="AG347" s="139"/>
      <c r="AH347" s="139"/>
      <c r="AI347" s="139"/>
      <c r="AJ347" s="139"/>
      <c r="AK347" s="139"/>
      <c r="AL347" s="139"/>
      <c r="AM347" s="139"/>
      <c r="AN347" s="139"/>
      <c r="AO347" s="139"/>
      <c r="AP347" s="139"/>
      <c r="AQ347" s="139"/>
      <c r="AR347" s="139"/>
      <c r="AS347" s="139"/>
      <c r="AT347" s="139"/>
      <c r="AU347" s="139"/>
      <c r="AV347" s="139"/>
      <c r="AW347" s="139"/>
      <c r="AX347" s="139"/>
      <c r="AY347" s="139"/>
      <c r="AZ347" s="139"/>
      <c r="BA347" s="139"/>
      <c r="BB347" s="139"/>
      <c r="BC347" s="139"/>
      <c r="BD347" s="139"/>
      <c r="BE347" s="139"/>
      <c r="BF347" s="139"/>
      <c r="BG347" s="139"/>
      <c r="BH347" s="139"/>
      <c r="BI347" s="139"/>
      <c r="BJ347" s="139"/>
      <c r="BK347" s="139"/>
      <c r="BL347" s="139"/>
      <c r="BM347" s="139"/>
      <c r="BN347" s="139"/>
      <c r="BO347" s="139"/>
      <c r="BP347" s="139"/>
      <c r="BQ347" s="139"/>
      <c r="BR347" s="139"/>
      <c r="BS347" s="139"/>
      <c r="BT347" s="139"/>
      <c r="BU347" s="139"/>
      <c r="BV347" s="139"/>
      <c r="DR347" s="139"/>
      <c r="DS347" s="139"/>
    </row>
    <row r="348" spans="1:123" x14ac:dyDescent="0.2">
      <c r="A348" s="136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39"/>
      <c r="AG348" s="139"/>
      <c r="AH348" s="139"/>
      <c r="AI348" s="139"/>
      <c r="AJ348" s="139"/>
      <c r="AK348" s="139"/>
      <c r="AL348" s="139"/>
      <c r="AM348" s="139"/>
      <c r="AN348" s="139"/>
      <c r="AO348" s="139"/>
      <c r="AP348" s="139"/>
      <c r="AQ348" s="139"/>
      <c r="AR348" s="139"/>
      <c r="AS348" s="139"/>
      <c r="AT348" s="139"/>
      <c r="AU348" s="139"/>
      <c r="AV348" s="139"/>
      <c r="AW348" s="139"/>
      <c r="AX348" s="139"/>
      <c r="AY348" s="139"/>
      <c r="AZ348" s="139"/>
      <c r="BA348" s="139"/>
      <c r="BB348" s="139"/>
      <c r="BC348" s="139"/>
      <c r="BD348" s="139"/>
      <c r="BE348" s="139"/>
      <c r="BF348" s="139"/>
      <c r="BG348" s="139"/>
      <c r="BH348" s="139"/>
      <c r="BI348" s="139"/>
      <c r="BJ348" s="139"/>
      <c r="BK348" s="139"/>
      <c r="BL348" s="139"/>
      <c r="BM348" s="139"/>
      <c r="BN348" s="139"/>
      <c r="BO348" s="139"/>
      <c r="BP348" s="139"/>
      <c r="BQ348" s="139"/>
      <c r="BR348" s="139"/>
      <c r="BS348" s="139"/>
      <c r="BT348" s="139"/>
      <c r="BU348" s="139"/>
      <c r="BV348" s="139"/>
      <c r="DR348" s="139"/>
      <c r="DS348" s="139"/>
    </row>
    <row r="349" spans="1:123" x14ac:dyDescent="0.2">
      <c r="A349" s="136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39"/>
      <c r="AG349" s="139"/>
      <c r="AH349" s="139"/>
      <c r="AI349" s="139"/>
      <c r="AJ349" s="139"/>
      <c r="AK349" s="139"/>
      <c r="AL349" s="139"/>
      <c r="AM349" s="139"/>
      <c r="AN349" s="139"/>
      <c r="AO349" s="139"/>
      <c r="AP349" s="139"/>
      <c r="AQ349" s="139"/>
      <c r="AR349" s="139"/>
      <c r="AS349" s="139"/>
      <c r="AT349" s="139"/>
      <c r="AU349" s="139"/>
      <c r="AV349" s="139"/>
      <c r="AW349" s="139"/>
      <c r="AX349" s="139"/>
      <c r="AY349" s="139"/>
      <c r="AZ349" s="139"/>
      <c r="BA349" s="139"/>
      <c r="BB349" s="139"/>
      <c r="BC349" s="139"/>
      <c r="BD349" s="139"/>
      <c r="BE349" s="139"/>
      <c r="BF349" s="139"/>
      <c r="BG349" s="139"/>
      <c r="BH349" s="139"/>
      <c r="BI349" s="139"/>
      <c r="BJ349" s="139"/>
      <c r="BK349" s="139"/>
      <c r="BL349" s="139"/>
      <c r="BM349" s="139"/>
      <c r="BN349" s="139"/>
      <c r="BO349" s="139"/>
      <c r="BP349" s="139"/>
      <c r="BQ349" s="139"/>
      <c r="BR349" s="139"/>
      <c r="BS349" s="139"/>
      <c r="BT349" s="139"/>
      <c r="BU349" s="139"/>
      <c r="BV349" s="139"/>
      <c r="DR349" s="139"/>
      <c r="DS349" s="139"/>
    </row>
    <row r="350" spans="1:123" x14ac:dyDescent="0.2">
      <c r="A350" s="136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39"/>
      <c r="AG350" s="139"/>
      <c r="AH350" s="139"/>
      <c r="AI350" s="139"/>
      <c r="AJ350" s="139"/>
      <c r="AK350" s="139"/>
      <c r="AL350" s="139"/>
      <c r="AM350" s="139"/>
      <c r="AN350" s="139"/>
      <c r="AO350" s="139"/>
      <c r="AP350" s="139"/>
      <c r="AQ350" s="139"/>
      <c r="AR350" s="139"/>
      <c r="AS350" s="139"/>
      <c r="AT350" s="139"/>
      <c r="AU350" s="139"/>
      <c r="AV350" s="139"/>
      <c r="AW350" s="139"/>
      <c r="AX350" s="139"/>
      <c r="AY350" s="139"/>
      <c r="AZ350" s="139"/>
      <c r="BA350" s="139"/>
      <c r="BB350" s="139"/>
      <c r="BC350" s="139"/>
      <c r="BD350" s="139"/>
      <c r="BE350" s="139"/>
      <c r="BF350" s="139"/>
      <c r="BG350" s="139"/>
      <c r="BH350" s="139"/>
      <c r="BI350" s="139"/>
      <c r="BJ350" s="139"/>
      <c r="BK350" s="139"/>
      <c r="BL350" s="139"/>
      <c r="BM350" s="139"/>
      <c r="BN350" s="139"/>
      <c r="BO350" s="139"/>
      <c r="BP350" s="139"/>
      <c r="BQ350" s="139"/>
      <c r="BR350" s="139"/>
      <c r="BS350" s="139"/>
      <c r="BT350" s="139"/>
      <c r="BU350" s="139"/>
      <c r="BV350" s="139"/>
      <c r="DR350" s="139"/>
      <c r="DS350" s="139"/>
    </row>
    <row r="351" spans="1:123" x14ac:dyDescent="0.2">
      <c r="A351" s="136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  <c r="AF351" s="139"/>
      <c r="AG351" s="139"/>
      <c r="AH351" s="139"/>
      <c r="AI351" s="139"/>
      <c r="AJ351" s="139"/>
      <c r="AK351" s="139"/>
      <c r="AL351" s="139"/>
      <c r="AM351" s="139"/>
      <c r="AN351" s="139"/>
      <c r="AO351" s="139"/>
      <c r="AP351" s="139"/>
      <c r="AQ351" s="139"/>
      <c r="AR351" s="139"/>
      <c r="AS351" s="139"/>
      <c r="AT351" s="139"/>
      <c r="AU351" s="139"/>
      <c r="AV351" s="139"/>
      <c r="AW351" s="139"/>
      <c r="AX351" s="139"/>
      <c r="AY351" s="139"/>
      <c r="AZ351" s="139"/>
      <c r="BA351" s="139"/>
      <c r="BB351" s="139"/>
      <c r="BC351" s="139"/>
      <c r="BD351" s="139"/>
      <c r="BE351" s="139"/>
      <c r="BF351" s="139"/>
      <c r="BG351" s="139"/>
      <c r="BH351" s="139"/>
      <c r="BI351" s="139"/>
      <c r="BJ351" s="139"/>
      <c r="BK351" s="139"/>
      <c r="BL351" s="139"/>
      <c r="BM351" s="139"/>
      <c r="BN351" s="139"/>
      <c r="BO351" s="139"/>
      <c r="BP351" s="139"/>
      <c r="BQ351" s="139"/>
      <c r="BR351" s="139"/>
      <c r="BS351" s="139"/>
      <c r="BT351" s="139"/>
      <c r="BU351" s="139"/>
      <c r="BV351" s="139"/>
      <c r="DR351" s="139"/>
      <c r="DS351" s="139"/>
    </row>
    <row r="352" spans="1:123" x14ac:dyDescent="0.2">
      <c r="A352" s="136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  <c r="AA352" s="139"/>
      <c r="AB352" s="139"/>
      <c r="AC352" s="139"/>
      <c r="AD352" s="139"/>
      <c r="AE352" s="139"/>
      <c r="AF352" s="139"/>
      <c r="AG352" s="139"/>
      <c r="AH352" s="139"/>
      <c r="AI352" s="139"/>
      <c r="AJ352" s="139"/>
      <c r="AK352" s="139"/>
      <c r="AL352" s="139"/>
      <c r="AM352" s="139"/>
      <c r="AN352" s="139"/>
      <c r="AO352" s="139"/>
      <c r="AP352" s="139"/>
      <c r="AQ352" s="139"/>
      <c r="AR352" s="139"/>
      <c r="AS352" s="139"/>
      <c r="AT352" s="139"/>
      <c r="AU352" s="139"/>
      <c r="AV352" s="139"/>
      <c r="AW352" s="139"/>
      <c r="AX352" s="139"/>
      <c r="AY352" s="139"/>
      <c r="AZ352" s="139"/>
      <c r="BA352" s="139"/>
      <c r="BB352" s="139"/>
      <c r="BC352" s="139"/>
      <c r="BD352" s="139"/>
      <c r="BE352" s="139"/>
      <c r="BF352" s="139"/>
      <c r="BG352" s="139"/>
      <c r="BH352" s="139"/>
      <c r="BI352" s="139"/>
      <c r="BJ352" s="139"/>
      <c r="BK352" s="139"/>
      <c r="BL352" s="139"/>
      <c r="BM352" s="139"/>
      <c r="BN352" s="139"/>
      <c r="BO352" s="139"/>
      <c r="BP352" s="139"/>
      <c r="BQ352" s="139"/>
      <c r="BR352" s="139"/>
      <c r="BS352" s="139"/>
      <c r="BT352" s="139"/>
      <c r="BU352" s="139"/>
      <c r="BV352" s="139"/>
      <c r="DR352" s="139"/>
      <c r="DS352" s="139"/>
    </row>
    <row r="353" spans="1:123" x14ac:dyDescent="0.2">
      <c r="A353" s="136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  <c r="AF353" s="139"/>
      <c r="AG353" s="139"/>
      <c r="AH353" s="139"/>
      <c r="AI353" s="139"/>
      <c r="AJ353" s="139"/>
      <c r="AK353" s="139"/>
      <c r="AL353" s="139"/>
      <c r="AM353" s="139"/>
      <c r="AN353" s="139"/>
      <c r="AO353" s="139"/>
      <c r="AP353" s="139"/>
      <c r="AQ353" s="139"/>
      <c r="AR353" s="139"/>
      <c r="AS353" s="139"/>
      <c r="AT353" s="139"/>
      <c r="AU353" s="139"/>
      <c r="AV353" s="139"/>
      <c r="AW353" s="139"/>
      <c r="AX353" s="139"/>
      <c r="AY353" s="139"/>
      <c r="AZ353" s="139"/>
      <c r="BA353" s="139"/>
      <c r="BB353" s="139"/>
      <c r="BC353" s="139"/>
      <c r="BD353" s="139"/>
      <c r="BE353" s="139"/>
      <c r="BF353" s="139"/>
      <c r="BG353" s="139"/>
      <c r="BH353" s="139"/>
      <c r="BI353" s="139"/>
      <c r="BJ353" s="139"/>
      <c r="BK353" s="139"/>
      <c r="BL353" s="139"/>
      <c r="BM353" s="139"/>
      <c r="BN353" s="139"/>
      <c r="BO353" s="139"/>
      <c r="BP353" s="139"/>
      <c r="BQ353" s="139"/>
      <c r="BR353" s="139"/>
      <c r="BS353" s="139"/>
      <c r="BT353" s="139"/>
      <c r="BU353" s="139"/>
      <c r="BV353" s="139"/>
      <c r="DR353" s="139"/>
      <c r="DS353" s="139"/>
    </row>
    <row r="354" spans="1:123" x14ac:dyDescent="0.2">
      <c r="A354" s="136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39"/>
      <c r="AG354" s="139"/>
      <c r="AH354" s="139"/>
      <c r="AI354" s="139"/>
      <c r="AJ354" s="139"/>
      <c r="AK354" s="139"/>
      <c r="AL354" s="139"/>
      <c r="AM354" s="139"/>
      <c r="AN354" s="139"/>
      <c r="AO354" s="139"/>
      <c r="AP354" s="139"/>
      <c r="AQ354" s="139"/>
      <c r="AR354" s="139"/>
      <c r="AS354" s="139"/>
      <c r="AT354" s="139"/>
      <c r="AU354" s="139"/>
      <c r="AV354" s="139"/>
      <c r="AW354" s="139"/>
      <c r="AX354" s="139"/>
      <c r="AY354" s="139"/>
      <c r="AZ354" s="139"/>
      <c r="BA354" s="139"/>
      <c r="BB354" s="139"/>
      <c r="BC354" s="139"/>
      <c r="BD354" s="139"/>
      <c r="BE354" s="139"/>
      <c r="BF354" s="139"/>
      <c r="BG354" s="139"/>
      <c r="BH354" s="139"/>
      <c r="BI354" s="139"/>
      <c r="BJ354" s="139"/>
      <c r="BK354" s="139"/>
      <c r="BL354" s="139"/>
      <c r="BM354" s="139"/>
      <c r="BN354" s="139"/>
      <c r="BO354" s="139"/>
      <c r="BP354" s="139"/>
      <c r="BQ354" s="139"/>
      <c r="BR354" s="139"/>
      <c r="BS354" s="139"/>
      <c r="BT354" s="139"/>
      <c r="BU354" s="139"/>
      <c r="BV354" s="139"/>
      <c r="DR354" s="139"/>
      <c r="DS354" s="139"/>
    </row>
    <row r="355" spans="1:123" x14ac:dyDescent="0.2">
      <c r="A355" s="136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  <c r="AF355" s="139"/>
      <c r="AG355" s="139"/>
      <c r="AH355" s="139"/>
      <c r="AI355" s="139"/>
      <c r="AJ355" s="139"/>
      <c r="AK355" s="139"/>
      <c r="AL355" s="139"/>
      <c r="AM355" s="139"/>
      <c r="AN355" s="139"/>
      <c r="AO355" s="139"/>
      <c r="AP355" s="139"/>
      <c r="AQ355" s="139"/>
      <c r="AR355" s="139"/>
      <c r="AS355" s="139"/>
      <c r="AT355" s="139"/>
      <c r="AU355" s="139"/>
      <c r="AV355" s="139"/>
      <c r="AW355" s="139"/>
      <c r="AX355" s="139"/>
      <c r="AY355" s="139"/>
      <c r="AZ355" s="139"/>
      <c r="BA355" s="139"/>
      <c r="BB355" s="139"/>
      <c r="BC355" s="139"/>
      <c r="BD355" s="139"/>
      <c r="BE355" s="139"/>
      <c r="BF355" s="139"/>
      <c r="BG355" s="139"/>
      <c r="BH355" s="139"/>
      <c r="BI355" s="139"/>
      <c r="BJ355" s="139"/>
      <c r="BK355" s="139"/>
      <c r="BL355" s="139"/>
      <c r="BM355" s="139"/>
      <c r="BN355" s="139"/>
      <c r="BO355" s="139"/>
      <c r="BP355" s="139"/>
      <c r="BQ355" s="139"/>
      <c r="BR355" s="139"/>
      <c r="BS355" s="139"/>
      <c r="BT355" s="139"/>
      <c r="BU355" s="139"/>
      <c r="BV355" s="139"/>
      <c r="DR355" s="139"/>
      <c r="DS355" s="139"/>
    </row>
    <row r="356" spans="1:123" x14ac:dyDescent="0.2">
      <c r="A356" s="136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  <c r="AF356" s="139"/>
      <c r="AG356" s="139"/>
      <c r="AH356" s="139"/>
      <c r="AI356" s="139"/>
      <c r="AJ356" s="139"/>
      <c r="AK356" s="139"/>
      <c r="AL356" s="139"/>
      <c r="AM356" s="139"/>
      <c r="AN356" s="139"/>
      <c r="AO356" s="139"/>
      <c r="AP356" s="139"/>
      <c r="AQ356" s="139"/>
      <c r="AR356" s="139"/>
      <c r="AS356" s="139"/>
      <c r="AT356" s="139"/>
      <c r="AU356" s="139"/>
      <c r="AV356" s="139"/>
      <c r="AW356" s="139"/>
      <c r="AX356" s="139"/>
      <c r="AY356" s="139"/>
      <c r="AZ356" s="139"/>
      <c r="BA356" s="139"/>
      <c r="BB356" s="139"/>
      <c r="BC356" s="139"/>
      <c r="BD356" s="139"/>
      <c r="BE356" s="139"/>
      <c r="BF356" s="139"/>
      <c r="BG356" s="139"/>
      <c r="BH356" s="139"/>
      <c r="BI356" s="139"/>
      <c r="BJ356" s="139"/>
      <c r="BK356" s="139"/>
      <c r="BL356" s="139"/>
      <c r="BM356" s="139"/>
      <c r="BN356" s="139"/>
      <c r="BO356" s="139"/>
      <c r="BP356" s="139"/>
      <c r="BQ356" s="139"/>
      <c r="BR356" s="139"/>
      <c r="BS356" s="139"/>
      <c r="BT356" s="139"/>
      <c r="BU356" s="139"/>
      <c r="BV356" s="139"/>
      <c r="DR356" s="139"/>
      <c r="DS356" s="139"/>
    </row>
    <row r="357" spans="1:123" x14ac:dyDescent="0.2">
      <c r="A357" s="136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39"/>
      <c r="AG357" s="139"/>
      <c r="AH357" s="139"/>
      <c r="AI357" s="139"/>
      <c r="AJ357" s="139"/>
      <c r="AK357" s="139"/>
      <c r="AL357" s="139"/>
      <c r="AM357" s="139"/>
      <c r="AN357" s="139"/>
      <c r="AO357" s="139"/>
      <c r="AP357" s="139"/>
      <c r="AQ357" s="139"/>
      <c r="AR357" s="139"/>
      <c r="AS357" s="139"/>
      <c r="AT357" s="139"/>
      <c r="AU357" s="139"/>
      <c r="AV357" s="139"/>
      <c r="AW357" s="139"/>
      <c r="AX357" s="139"/>
      <c r="AY357" s="139"/>
      <c r="AZ357" s="139"/>
      <c r="BA357" s="139"/>
      <c r="BB357" s="139"/>
      <c r="BC357" s="139"/>
      <c r="BD357" s="139"/>
      <c r="BE357" s="139"/>
      <c r="BF357" s="139"/>
      <c r="BG357" s="139"/>
      <c r="BH357" s="139"/>
      <c r="BI357" s="139"/>
      <c r="BJ357" s="139"/>
      <c r="BK357" s="139"/>
      <c r="BL357" s="139"/>
      <c r="BM357" s="139"/>
      <c r="BN357" s="139"/>
      <c r="BO357" s="139"/>
      <c r="BP357" s="139"/>
      <c r="BQ357" s="139"/>
      <c r="BR357" s="139"/>
      <c r="BS357" s="139"/>
      <c r="BT357" s="139"/>
      <c r="BU357" s="139"/>
      <c r="BV357" s="139"/>
      <c r="DR357" s="139"/>
      <c r="DS357" s="139"/>
    </row>
    <row r="358" spans="1:123" x14ac:dyDescent="0.2">
      <c r="A358" s="136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139"/>
      <c r="AG358" s="139"/>
      <c r="AH358" s="139"/>
      <c r="AI358" s="139"/>
      <c r="AJ358" s="139"/>
      <c r="AK358" s="139"/>
      <c r="AL358" s="139"/>
      <c r="AM358" s="139"/>
      <c r="AN358" s="139"/>
      <c r="AO358" s="139"/>
      <c r="AP358" s="139"/>
      <c r="AQ358" s="139"/>
      <c r="AR358" s="139"/>
      <c r="AS358" s="139"/>
      <c r="AT358" s="139"/>
      <c r="AU358" s="139"/>
      <c r="AV358" s="139"/>
      <c r="AW358" s="139"/>
      <c r="AX358" s="139"/>
      <c r="AY358" s="139"/>
      <c r="AZ358" s="139"/>
      <c r="BA358" s="139"/>
      <c r="BB358" s="139"/>
      <c r="BC358" s="139"/>
      <c r="BD358" s="139"/>
      <c r="BE358" s="139"/>
      <c r="BF358" s="139"/>
      <c r="BG358" s="139"/>
      <c r="BH358" s="139"/>
      <c r="BI358" s="139"/>
      <c r="BJ358" s="139"/>
      <c r="BK358" s="139"/>
      <c r="BL358" s="139"/>
      <c r="BM358" s="139"/>
      <c r="BN358" s="139"/>
      <c r="BO358" s="139"/>
      <c r="BP358" s="139"/>
      <c r="BQ358" s="139"/>
      <c r="BR358" s="139"/>
      <c r="BS358" s="139"/>
      <c r="BT358" s="139"/>
      <c r="BU358" s="139"/>
      <c r="BV358" s="139"/>
      <c r="DR358" s="139"/>
      <c r="DS358" s="139"/>
    </row>
    <row r="359" spans="1:123" x14ac:dyDescent="0.2">
      <c r="A359" s="136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  <c r="AF359" s="139"/>
      <c r="AG359" s="139"/>
      <c r="AH359" s="139"/>
      <c r="AI359" s="139"/>
      <c r="AJ359" s="139"/>
      <c r="AK359" s="139"/>
      <c r="AL359" s="139"/>
      <c r="AM359" s="139"/>
      <c r="AN359" s="139"/>
      <c r="AO359" s="139"/>
      <c r="AP359" s="139"/>
      <c r="AQ359" s="139"/>
      <c r="AR359" s="139"/>
      <c r="AS359" s="139"/>
      <c r="AT359" s="139"/>
      <c r="AU359" s="139"/>
      <c r="AV359" s="139"/>
      <c r="AW359" s="139"/>
      <c r="AX359" s="139"/>
      <c r="AY359" s="139"/>
      <c r="AZ359" s="139"/>
      <c r="BA359" s="139"/>
      <c r="BB359" s="139"/>
      <c r="BC359" s="139"/>
      <c r="BD359" s="139"/>
      <c r="BE359" s="139"/>
      <c r="BF359" s="139"/>
      <c r="BG359" s="139"/>
      <c r="BH359" s="139"/>
      <c r="BI359" s="139"/>
      <c r="BJ359" s="139"/>
      <c r="BK359" s="139"/>
      <c r="BL359" s="139"/>
      <c r="BM359" s="139"/>
      <c r="BN359" s="139"/>
      <c r="BO359" s="139"/>
      <c r="BP359" s="139"/>
      <c r="BQ359" s="139"/>
      <c r="BR359" s="139"/>
      <c r="BS359" s="139"/>
      <c r="BT359" s="139"/>
      <c r="BU359" s="139"/>
      <c r="BV359" s="139"/>
      <c r="DR359" s="139"/>
      <c r="DS359" s="139"/>
    </row>
    <row r="360" spans="1:123" x14ac:dyDescent="0.2">
      <c r="A360" s="136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139"/>
      <c r="AG360" s="139"/>
      <c r="AH360" s="139"/>
      <c r="AI360" s="139"/>
      <c r="AJ360" s="139"/>
      <c r="AK360" s="139"/>
      <c r="AL360" s="139"/>
      <c r="AM360" s="139"/>
      <c r="AN360" s="139"/>
      <c r="AO360" s="139"/>
      <c r="AP360" s="139"/>
      <c r="AQ360" s="139"/>
      <c r="AR360" s="139"/>
      <c r="AS360" s="139"/>
      <c r="AT360" s="139"/>
      <c r="AU360" s="139"/>
      <c r="AV360" s="139"/>
      <c r="AW360" s="139"/>
      <c r="AX360" s="139"/>
      <c r="AY360" s="139"/>
      <c r="AZ360" s="139"/>
      <c r="BA360" s="139"/>
      <c r="BB360" s="139"/>
      <c r="BC360" s="139"/>
      <c r="BD360" s="139"/>
      <c r="BE360" s="139"/>
      <c r="BF360" s="139"/>
      <c r="BG360" s="139"/>
      <c r="BH360" s="139"/>
      <c r="BI360" s="139"/>
      <c r="BJ360" s="139"/>
      <c r="BK360" s="139"/>
      <c r="BL360" s="139"/>
      <c r="BM360" s="139"/>
      <c r="BN360" s="139"/>
      <c r="BO360" s="139"/>
      <c r="BP360" s="139"/>
      <c r="BQ360" s="139"/>
      <c r="BR360" s="139"/>
      <c r="BS360" s="139"/>
      <c r="BT360" s="139"/>
      <c r="BU360" s="139"/>
      <c r="BV360" s="139"/>
      <c r="DR360" s="139"/>
      <c r="DS360" s="139"/>
    </row>
    <row r="361" spans="1:123" x14ac:dyDescent="0.2"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139"/>
      <c r="AG361" s="139"/>
      <c r="AH361" s="139"/>
      <c r="AI361" s="139"/>
      <c r="AJ361" s="139"/>
      <c r="AK361" s="139"/>
      <c r="AL361" s="139"/>
      <c r="AM361" s="139"/>
      <c r="AN361" s="139"/>
      <c r="AO361" s="139"/>
      <c r="AP361" s="139"/>
      <c r="AQ361" s="139"/>
      <c r="AR361" s="139"/>
      <c r="AS361" s="139"/>
      <c r="AT361" s="139"/>
      <c r="AU361" s="139"/>
      <c r="AV361" s="139"/>
      <c r="AW361" s="139"/>
      <c r="AX361" s="139"/>
      <c r="AY361" s="139"/>
      <c r="AZ361" s="139"/>
      <c r="BA361" s="139"/>
      <c r="BB361" s="139"/>
      <c r="BC361" s="139"/>
      <c r="BD361" s="139"/>
      <c r="BE361" s="139"/>
      <c r="BF361" s="139"/>
      <c r="BG361" s="139"/>
      <c r="BH361" s="139"/>
      <c r="BI361" s="139"/>
      <c r="BJ361" s="139"/>
      <c r="BK361" s="139"/>
      <c r="BL361" s="139"/>
      <c r="BM361" s="139"/>
      <c r="BN361" s="139"/>
      <c r="BO361" s="139"/>
      <c r="BP361" s="139"/>
      <c r="BQ361" s="139"/>
      <c r="BR361" s="139"/>
      <c r="BS361" s="139"/>
      <c r="BT361" s="139"/>
      <c r="BU361" s="139"/>
      <c r="BV361" s="139"/>
      <c r="DR361" s="139"/>
      <c r="DS361" s="139"/>
    </row>
    <row r="362" spans="1:123" x14ac:dyDescent="0.2"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39"/>
      <c r="AG362" s="139"/>
      <c r="AH362" s="139"/>
      <c r="AI362" s="139"/>
      <c r="AJ362" s="139"/>
      <c r="AK362" s="139"/>
      <c r="AL362" s="139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  <c r="AW362" s="139"/>
      <c r="AX362" s="139"/>
      <c r="AY362" s="139"/>
      <c r="AZ362" s="139"/>
      <c r="BA362" s="139"/>
      <c r="BB362" s="139"/>
      <c r="BC362" s="139"/>
      <c r="BD362" s="139"/>
      <c r="BE362" s="139"/>
      <c r="BF362" s="139"/>
      <c r="BG362" s="139"/>
      <c r="BH362" s="139"/>
      <c r="BI362" s="139"/>
      <c r="BJ362" s="139"/>
      <c r="BK362" s="139"/>
      <c r="BL362" s="139"/>
      <c r="BM362" s="139"/>
      <c r="BN362" s="139"/>
      <c r="BO362" s="139"/>
      <c r="BP362" s="139"/>
      <c r="BQ362" s="139"/>
      <c r="BR362" s="139"/>
      <c r="BS362" s="139"/>
      <c r="BT362" s="139"/>
      <c r="BU362" s="139"/>
      <c r="BV362" s="139"/>
      <c r="DR362" s="139"/>
      <c r="DS362" s="139"/>
    </row>
    <row r="363" spans="1:123" x14ac:dyDescent="0.2"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139"/>
      <c r="AG363" s="139"/>
      <c r="AH363" s="139"/>
      <c r="AI363" s="139"/>
      <c r="AJ363" s="139"/>
      <c r="AK363" s="139"/>
      <c r="AL363" s="139"/>
      <c r="AM363" s="139"/>
      <c r="AN363" s="139"/>
      <c r="AO363" s="139"/>
      <c r="AP363" s="139"/>
      <c r="AQ363" s="139"/>
      <c r="AR363" s="139"/>
      <c r="AS363" s="139"/>
      <c r="AT363" s="139"/>
      <c r="AU363" s="139"/>
      <c r="AV363" s="139"/>
      <c r="AW363" s="139"/>
      <c r="AX363" s="139"/>
      <c r="AY363" s="139"/>
      <c r="AZ363" s="139"/>
      <c r="BA363" s="139"/>
      <c r="BB363" s="139"/>
      <c r="BC363" s="139"/>
      <c r="BD363" s="139"/>
      <c r="BE363" s="139"/>
      <c r="BF363" s="139"/>
      <c r="BG363" s="139"/>
      <c r="BH363" s="139"/>
      <c r="BI363" s="139"/>
      <c r="BJ363" s="139"/>
      <c r="BK363" s="139"/>
      <c r="BL363" s="139"/>
      <c r="BM363" s="139"/>
      <c r="BN363" s="139"/>
      <c r="BO363" s="139"/>
      <c r="BP363" s="139"/>
      <c r="BQ363" s="139"/>
      <c r="BR363" s="139"/>
      <c r="BS363" s="139"/>
      <c r="BT363" s="139"/>
      <c r="BU363" s="139"/>
      <c r="BV363" s="139"/>
      <c r="DR363" s="139"/>
      <c r="DS363" s="139"/>
    </row>
    <row r="364" spans="1:123" x14ac:dyDescent="0.2"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139"/>
      <c r="AG364" s="139"/>
      <c r="AH364" s="139"/>
      <c r="AI364" s="139"/>
      <c r="AJ364" s="139"/>
      <c r="AK364" s="139"/>
      <c r="AL364" s="139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/>
      <c r="BB364" s="139"/>
      <c r="BC364" s="139"/>
      <c r="BD364" s="139"/>
      <c r="BE364" s="139"/>
      <c r="BF364" s="139"/>
      <c r="BG364" s="139"/>
      <c r="BH364" s="139"/>
      <c r="BI364" s="139"/>
      <c r="BJ364" s="139"/>
      <c r="BK364" s="139"/>
      <c r="BL364" s="139"/>
      <c r="BM364" s="139"/>
      <c r="BN364" s="139"/>
      <c r="BO364" s="139"/>
      <c r="BP364" s="139"/>
      <c r="BQ364" s="139"/>
      <c r="BR364" s="139"/>
      <c r="BS364" s="139"/>
      <c r="BT364" s="139"/>
      <c r="BU364" s="139"/>
      <c r="BV364" s="139"/>
      <c r="DR364" s="139"/>
      <c r="DS364" s="139"/>
    </row>
    <row r="365" spans="1:123" x14ac:dyDescent="0.2"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  <c r="AF365" s="139"/>
      <c r="AG365" s="139"/>
      <c r="AH365" s="139"/>
      <c r="AI365" s="139"/>
      <c r="AJ365" s="139"/>
      <c r="AK365" s="139"/>
      <c r="AL365" s="139"/>
      <c r="AM365" s="139"/>
      <c r="AN365" s="139"/>
      <c r="AO365" s="139"/>
      <c r="AP365" s="139"/>
      <c r="AQ365" s="139"/>
      <c r="AR365" s="139"/>
      <c r="AS365" s="139"/>
      <c r="AT365" s="139"/>
      <c r="AU365" s="139"/>
      <c r="AV365" s="139"/>
      <c r="AW365" s="139"/>
      <c r="AX365" s="139"/>
      <c r="AY365" s="139"/>
      <c r="AZ365" s="139"/>
      <c r="BA365" s="139"/>
      <c r="BB365" s="139"/>
      <c r="BC365" s="139"/>
      <c r="BD365" s="139"/>
      <c r="BE365" s="139"/>
      <c r="BF365" s="139"/>
      <c r="BG365" s="139"/>
      <c r="BH365" s="139"/>
      <c r="BI365" s="139"/>
      <c r="BJ365" s="139"/>
      <c r="BK365" s="139"/>
      <c r="BL365" s="139"/>
      <c r="BM365" s="139"/>
      <c r="BN365" s="139"/>
      <c r="BO365" s="139"/>
      <c r="BP365" s="139"/>
      <c r="BQ365" s="139"/>
      <c r="BR365" s="139"/>
      <c r="BS365" s="139"/>
      <c r="BT365" s="139"/>
      <c r="BU365" s="139"/>
      <c r="BV365" s="139"/>
      <c r="DR365" s="139"/>
      <c r="DS365" s="139"/>
    </row>
    <row r="366" spans="1:123" x14ac:dyDescent="0.2"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39"/>
      <c r="AG366" s="139"/>
      <c r="AH366" s="139"/>
      <c r="AI366" s="139"/>
      <c r="AJ366" s="139"/>
      <c r="AK366" s="139"/>
      <c r="AL366" s="139"/>
      <c r="AM366" s="139"/>
      <c r="AN366" s="139"/>
      <c r="AO366" s="139"/>
      <c r="AP366" s="139"/>
      <c r="AQ366" s="139"/>
      <c r="AR366" s="139"/>
      <c r="AS366" s="139"/>
      <c r="AT366" s="139"/>
      <c r="AU366" s="139"/>
      <c r="AV366" s="139"/>
      <c r="AW366" s="139"/>
      <c r="AX366" s="139"/>
      <c r="AY366" s="139"/>
      <c r="AZ366" s="139"/>
      <c r="BA366" s="139"/>
      <c r="BB366" s="139"/>
      <c r="BC366" s="139"/>
      <c r="BD366" s="139"/>
      <c r="BE366" s="139"/>
      <c r="BF366" s="139"/>
      <c r="BG366" s="139"/>
      <c r="BH366" s="139"/>
      <c r="BI366" s="139"/>
      <c r="BJ366" s="139"/>
      <c r="BK366" s="139"/>
      <c r="BL366" s="139"/>
      <c r="BM366" s="139"/>
      <c r="BN366" s="139"/>
      <c r="BO366" s="139"/>
      <c r="BP366" s="139"/>
      <c r="BQ366" s="139"/>
      <c r="BR366" s="139"/>
      <c r="BS366" s="139"/>
      <c r="BT366" s="139"/>
      <c r="BU366" s="139"/>
      <c r="BV366" s="139"/>
      <c r="DR366" s="139"/>
      <c r="DS366" s="139"/>
    </row>
    <row r="367" spans="1:123" x14ac:dyDescent="0.2"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  <c r="AF367" s="139"/>
      <c r="AG367" s="139"/>
      <c r="AH367" s="139"/>
      <c r="AI367" s="139"/>
      <c r="AJ367" s="139"/>
      <c r="AK367" s="139"/>
      <c r="AL367" s="139"/>
      <c r="AM367" s="139"/>
      <c r="AN367" s="139"/>
      <c r="AO367" s="139"/>
      <c r="AP367" s="139"/>
      <c r="AQ367" s="139"/>
      <c r="AR367" s="139"/>
      <c r="AS367" s="139"/>
      <c r="AT367" s="139"/>
      <c r="AU367" s="139"/>
      <c r="AV367" s="139"/>
      <c r="AW367" s="139"/>
      <c r="AX367" s="139"/>
      <c r="AY367" s="139"/>
      <c r="AZ367" s="139"/>
      <c r="BA367" s="139"/>
      <c r="BB367" s="139"/>
      <c r="BC367" s="139"/>
      <c r="BD367" s="139"/>
      <c r="BE367" s="139"/>
      <c r="BF367" s="139"/>
      <c r="BG367" s="139"/>
      <c r="BH367" s="139"/>
      <c r="BI367" s="139"/>
      <c r="BJ367" s="139"/>
      <c r="BK367" s="139"/>
      <c r="BL367" s="139"/>
      <c r="BM367" s="139"/>
      <c r="BN367" s="139"/>
      <c r="BO367" s="139"/>
      <c r="BP367" s="139"/>
      <c r="BQ367" s="139"/>
      <c r="BR367" s="139"/>
      <c r="BS367" s="139"/>
      <c r="BT367" s="139"/>
      <c r="BU367" s="139"/>
      <c r="BV367" s="139"/>
      <c r="DR367" s="139"/>
      <c r="DS367" s="139"/>
    </row>
    <row r="368" spans="1:123" x14ac:dyDescent="0.2"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39"/>
      <c r="AG368" s="139"/>
      <c r="AH368" s="139"/>
      <c r="AI368" s="139"/>
      <c r="AJ368" s="139"/>
      <c r="AK368" s="139"/>
      <c r="AL368" s="139"/>
      <c r="AM368" s="139"/>
      <c r="AN368" s="139"/>
      <c r="AO368" s="139"/>
      <c r="AP368" s="139"/>
      <c r="AQ368" s="139"/>
      <c r="AR368" s="139"/>
      <c r="AS368" s="139"/>
      <c r="AT368" s="139"/>
      <c r="AU368" s="139"/>
      <c r="AV368" s="139"/>
      <c r="AW368" s="139"/>
      <c r="AX368" s="139"/>
      <c r="AY368" s="139"/>
      <c r="AZ368" s="139"/>
      <c r="BA368" s="139"/>
      <c r="BB368" s="139"/>
      <c r="BC368" s="139"/>
      <c r="BD368" s="139"/>
      <c r="BE368" s="139"/>
      <c r="BF368" s="139"/>
      <c r="BG368" s="139"/>
      <c r="BH368" s="139"/>
      <c r="BI368" s="139"/>
      <c r="BJ368" s="139"/>
      <c r="BK368" s="139"/>
      <c r="BL368" s="139"/>
      <c r="BM368" s="139"/>
      <c r="BN368" s="139"/>
      <c r="BO368" s="139"/>
      <c r="BP368" s="139"/>
      <c r="BQ368" s="139"/>
      <c r="BR368" s="139"/>
      <c r="BS368" s="139"/>
      <c r="BT368" s="139"/>
      <c r="BU368" s="139"/>
      <c r="BV368" s="139"/>
      <c r="DR368" s="139"/>
      <c r="DS368" s="139"/>
    </row>
    <row r="369" spans="1:123" x14ac:dyDescent="0.2"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  <c r="AF369" s="139"/>
      <c r="AG369" s="139"/>
      <c r="AH369" s="139"/>
      <c r="AI369" s="139"/>
      <c r="AJ369" s="139"/>
      <c r="AK369" s="139"/>
      <c r="AL369" s="139"/>
      <c r="AM369" s="139"/>
      <c r="AN369" s="139"/>
      <c r="AO369" s="139"/>
      <c r="AP369" s="139"/>
      <c r="AQ369" s="139"/>
      <c r="AR369" s="139"/>
      <c r="AS369" s="139"/>
      <c r="AT369" s="139"/>
      <c r="AU369" s="139"/>
      <c r="AV369" s="139"/>
      <c r="AW369" s="139"/>
      <c r="AX369" s="139"/>
      <c r="AY369" s="139"/>
      <c r="AZ369" s="139"/>
      <c r="BA369" s="139"/>
      <c r="BB369" s="139"/>
      <c r="BC369" s="139"/>
      <c r="BD369" s="139"/>
      <c r="BE369" s="139"/>
      <c r="BF369" s="139"/>
      <c r="BG369" s="139"/>
      <c r="BH369" s="139"/>
      <c r="BI369" s="139"/>
      <c r="BJ369" s="139"/>
      <c r="BK369" s="139"/>
      <c r="BL369" s="139"/>
      <c r="BM369" s="139"/>
      <c r="BN369" s="139"/>
      <c r="BO369" s="139"/>
      <c r="BP369" s="139"/>
      <c r="BQ369" s="139"/>
      <c r="BR369" s="139"/>
      <c r="BS369" s="139"/>
      <c r="BT369" s="139"/>
      <c r="BU369" s="139"/>
      <c r="BV369" s="139"/>
      <c r="DR369" s="139"/>
      <c r="DS369" s="139"/>
    </row>
    <row r="370" spans="1:123" x14ac:dyDescent="0.2"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39"/>
      <c r="AG370" s="139"/>
      <c r="AH370" s="139"/>
      <c r="AI370" s="139"/>
      <c r="AJ370" s="139"/>
      <c r="AK370" s="139"/>
      <c r="AL370" s="139"/>
      <c r="AM370" s="139"/>
      <c r="AN370" s="139"/>
      <c r="AO370" s="139"/>
      <c r="AP370" s="139"/>
      <c r="AQ370" s="139"/>
      <c r="AR370" s="139"/>
      <c r="AS370" s="139"/>
      <c r="AT370" s="139"/>
      <c r="AU370" s="139"/>
      <c r="AV370" s="139"/>
      <c r="AW370" s="139"/>
      <c r="AX370" s="139"/>
      <c r="AY370" s="139"/>
      <c r="AZ370" s="139"/>
      <c r="BA370" s="139"/>
      <c r="BB370" s="139"/>
      <c r="BC370" s="139"/>
      <c r="BD370" s="139"/>
      <c r="BE370" s="139"/>
      <c r="BF370" s="139"/>
      <c r="BG370" s="139"/>
      <c r="BH370" s="139"/>
      <c r="BI370" s="139"/>
      <c r="BJ370" s="139"/>
      <c r="BK370" s="139"/>
      <c r="BL370" s="139"/>
      <c r="BM370" s="139"/>
      <c r="BN370" s="139"/>
      <c r="BO370" s="139"/>
      <c r="BP370" s="139"/>
      <c r="BQ370" s="139"/>
      <c r="BR370" s="139"/>
      <c r="BS370" s="139"/>
      <c r="BT370" s="139"/>
      <c r="BU370" s="139"/>
      <c r="BV370" s="139"/>
      <c r="DR370" s="139"/>
      <c r="DS370" s="139"/>
    </row>
    <row r="371" spans="1:123" x14ac:dyDescent="0.2"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  <c r="AA371" s="139"/>
      <c r="AB371" s="139"/>
      <c r="AC371" s="139"/>
      <c r="AD371" s="139"/>
      <c r="AE371" s="139"/>
      <c r="AF371" s="139"/>
      <c r="AG371" s="139"/>
      <c r="AH371" s="139"/>
      <c r="AI371" s="139"/>
      <c r="AJ371" s="139"/>
      <c r="AK371" s="139"/>
      <c r="AL371" s="139"/>
      <c r="AM371" s="139"/>
      <c r="AN371" s="139"/>
      <c r="AO371" s="139"/>
      <c r="AP371" s="139"/>
      <c r="AQ371" s="139"/>
      <c r="AR371" s="139"/>
      <c r="AS371" s="139"/>
      <c r="AT371" s="139"/>
      <c r="AU371" s="139"/>
      <c r="AV371" s="139"/>
      <c r="AW371" s="139"/>
      <c r="AX371" s="139"/>
      <c r="AY371" s="139"/>
      <c r="AZ371" s="139"/>
      <c r="BA371" s="139"/>
      <c r="BB371" s="139"/>
      <c r="BC371" s="139"/>
      <c r="BD371" s="139"/>
      <c r="BE371" s="139"/>
      <c r="BF371" s="139"/>
      <c r="BG371" s="139"/>
      <c r="BH371" s="139"/>
      <c r="BI371" s="139"/>
      <c r="BJ371" s="139"/>
      <c r="BK371" s="139"/>
      <c r="BL371" s="139"/>
      <c r="BM371" s="139"/>
      <c r="BN371" s="139"/>
      <c r="BO371" s="139"/>
      <c r="BP371" s="139"/>
      <c r="BQ371" s="139"/>
      <c r="BR371" s="139"/>
      <c r="BS371" s="139"/>
      <c r="BT371" s="139"/>
      <c r="BU371" s="139"/>
      <c r="BV371" s="139"/>
      <c r="DR371" s="139"/>
      <c r="DS371" s="139"/>
    </row>
    <row r="372" spans="1:123" x14ac:dyDescent="0.2"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  <c r="AA372" s="139"/>
      <c r="AB372" s="139"/>
      <c r="AC372" s="139"/>
      <c r="AD372" s="139"/>
      <c r="AE372" s="139"/>
      <c r="AF372" s="139"/>
      <c r="AG372" s="139"/>
      <c r="AH372" s="139"/>
      <c r="AI372" s="139"/>
      <c r="AJ372" s="139"/>
      <c r="AK372" s="139"/>
      <c r="AL372" s="139"/>
      <c r="AM372" s="139"/>
      <c r="AN372" s="139"/>
      <c r="AO372" s="139"/>
      <c r="AP372" s="139"/>
      <c r="AQ372" s="139"/>
      <c r="AR372" s="139"/>
      <c r="AS372" s="139"/>
      <c r="AT372" s="139"/>
      <c r="AU372" s="139"/>
      <c r="AV372" s="139"/>
      <c r="AW372" s="139"/>
      <c r="AX372" s="139"/>
      <c r="AY372" s="139"/>
      <c r="AZ372" s="139"/>
      <c r="BA372" s="139"/>
      <c r="BB372" s="139"/>
      <c r="BC372" s="139"/>
      <c r="BD372" s="139"/>
      <c r="BE372" s="139"/>
      <c r="BF372" s="139"/>
      <c r="BG372" s="139"/>
      <c r="BH372" s="139"/>
      <c r="BI372" s="139"/>
      <c r="BJ372" s="139"/>
      <c r="BK372" s="139"/>
      <c r="BL372" s="139"/>
      <c r="BM372" s="139"/>
      <c r="BN372" s="139"/>
      <c r="BO372" s="139"/>
      <c r="BP372" s="139"/>
      <c r="BQ372" s="139"/>
      <c r="BR372" s="139"/>
      <c r="BS372" s="139"/>
      <c r="BT372" s="139"/>
      <c r="BU372" s="139"/>
      <c r="BV372" s="139"/>
      <c r="DR372" s="139"/>
      <c r="DS372" s="139"/>
    </row>
    <row r="373" spans="1:123" x14ac:dyDescent="0.2"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  <c r="AA373" s="139"/>
      <c r="AB373" s="139"/>
      <c r="AC373" s="139"/>
      <c r="AD373" s="139"/>
      <c r="AE373" s="139"/>
      <c r="AF373" s="139"/>
      <c r="AG373" s="139"/>
      <c r="AH373" s="139"/>
      <c r="AI373" s="139"/>
      <c r="AJ373" s="139"/>
      <c r="AK373" s="139"/>
      <c r="AL373" s="139"/>
      <c r="AM373" s="139"/>
      <c r="AN373" s="139"/>
      <c r="AO373" s="139"/>
      <c r="AP373" s="139"/>
      <c r="AQ373" s="139"/>
      <c r="AR373" s="139"/>
      <c r="AS373" s="139"/>
      <c r="AT373" s="139"/>
      <c r="AU373" s="139"/>
      <c r="AV373" s="139"/>
      <c r="AW373" s="139"/>
      <c r="AX373" s="139"/>
      <c r="AY373" s="139"/>
      <c r="AZ373" s="139"/>
      <c r="BA373" s="139"/>
      <c r="BB373" s="139"/>
      <c r="BC373" s="139"/>
      <c r="BD373" s="139"/>
      <c r="BE373" s="139"/>
      <c r="BF373" s="139"/>
      <c r="BG373" s="139"/>
      <c r="BH373" s="139"/>
      <c r="BI373" s="139"/>
      <c r="BJ373" s="139"/>
      <c r="BK373" s="139"/>
      <c r="BL373" s="139"/>
      <c r="BM373" s="139"/>
      <c r="BN373" s="139"/>
      <c r="BO373" s="139"/>
      <c r="BP373" s="139"/>
      <c r="BQ373" s="139"/>
      <c r="BR373" s="139"/>
      <c r="BS373" s="139"/>
      <c r="BT373" s="139"/>
      <c r="BU373" s="139"/>
      <c r="BV373" s="139"/>
      <c r="DR373" s="139"/>
      <c r="DS373" s="139"/>
    </row>
    <row r="374" spans="1:123" x14ac:dyDescent="0.2"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  <c r="AA374" s="139"/>
      <c r="AB374" s="139"/>
      <c r="AC374" s="139"/>
      <c r="AD374" s="139"/>
      <c r="AE374" s="139"/>
      <c r="AF374" s="139"/>
      <c r="AG374" s="139"/>
      <c r="AH374" s="139"/>
      <c r="AI374" s="139"/>
      <c r="AJ374" s="139"/>
      <c r="AK374" s="139"/>
      <c r="AL374" s="139"/>
      <c r="AM374" s="139"/>
      <c r="AN374" s="139"/>
      <c r="AO374" s="139"/>
      <c r="AP374" s="139"/>
      <c r="AQ374" s="139"/>
      <c r="AR374" s="139"/>
      <c r="AS374" s="139"/>
      <c r="AT374" s="139"/>
      <c r="AU374" s="139"/>
      <c r="AV374" s="139"/>
      <c r="AW374" s="139"/>
      <c r="AX374" s="139"/>
      <c r="AY374" s="139"/>
      <c r="AZ374" s="139"/>
      <c r="BA374" s="139"/>
      <c r="BB374" s="139"/>
      <c r="BC374" s="139"/>
      <c r="BD374" s="139"/>
      <c r="BE374" s="139"/>
      <c r="BF374" s="139"/>
      <c r="BG374" s="139"/>
      <c r="BH374" s="139"/>
      <c r="BI374" s="139"/>
      <c r="BJ374" s="139"/>
      <c r="BK374" s="139"/>
      <c r="BL374" s="139"/>
      <c r="BM374" s="139"/>
      <c r="BN374" s="139"/>
      <c r="BO374" s="139"/>
      <c r="BP374" s="139"/>
      <c r="BQ374" s="139"/>
      <c r="BR374" s="139"/>
      <c r="BS374" s="139"/>
      <c r="BT374" s="139"/>
      <c r="BU374" s="139"/>
      <c r="BV374" s="139"/>
      <c r="DR374" s="139"/>
      <c r="DS374" s="139"/>
    </row>
    <row r="375" spans="1:123" x14ac:dyDescent="0.2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  <c r="AA375" s="139"/>
      <c r="AB375" s="139"/>
      <c r="AC375" s="139"/>
      <c r="AD375" s="139"/>
      <c r="AE375" s="139"/>
      <c r="AF375" s="139"/>
      <c r="AG375" s="139"/>
      <c r="AH375" s="139"/>
      <c r="AI375" s="139"/>
      <c r="AJ375" s="139"/>
      <c r="AK375" s="139"/>
      <c r="AL375" s="139"/>
      <c r="AM375" s="139"/>
      <c r="AN375" s="139"/>
      <c r="AO375" s="139"/>
      <c r="AP375" s="139"/>
      <c r="AQ375" s="139"/>
      <c r="AR375" s="139"/>
      <c r="AS375" s="139"/>
      <c r="AT375" s="139"/>
      <c r="AU375" s="139"/>
      <c r="AV375" s="139"/>
      <c r="AW375" s="139"/>
      <c r="AX375" s="139"/>
      <c r="AY375" s="139"/>
      <c r="AZ375" s="139"/>
      <c r="BA375" s="139"/>
      <c r="BB375" s="139"/>
      <c r="BC375" s="139"/>
      <c r="BD375" s="139"/>
      <c r="BE375" s="139"/>
      <c r="BF375" s="139"/>
      <c r="BG375" s="139"/>
      <c r="BH375" s="139"/>
      <c r="BI375" s="139"/>
      <c r="BJ375" s="139"/>
      <c r="BK375" s="139"/>
      <c r="BL375" s="139"/>
      <c r="BM375" s="139"/>
      <c r="BN375" s="139"/>
      <c r="BO375" s="139"/>
      <c r="BP375" s="139"/>
      <c r="BQ375" s="139"/>
      <c r="BR375" s="139"/>
      <c r="BS375" s="139"/>
      <c r="BT375" s="139"/>
      <c r="BU375" s="139"/>
      <c r="BV375" s="139"/>
      <c r="DR375" s="139"/>
      <c r="DS375" s="139"/>
    </row>
    <row r="376" spans="1:123" x14ac:dyDescent="0.2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  <c r="AA376" s="139"/>
      <c r="AB376" s="139"/>
      <c r="AC376" s="139"/>
      <c r="AD376" s="139"/>
      <c r="AE376" s="139"/>
      <c r="AF376" s="139"/>
      <c r="AG376" s="139"/>
      <c r="AH376" s="139"/>
      <c r="AI376" s="139"/>
      <c r="AJ376" s="139"/>
      <c r="AK376" s="139"/>
      <c r="AL376" s="139"/>
      <c r="AM376" s="139"/>
      <c r="AN376" s="139"/>
      <c r="AO376" s="139"/>
      <c r="AP376" s="139"/>
      <c r="AQ376" s="139"/>
      <c r="AR376" s="139"/>
      <c r="AS376" s="139"/>
      <c r="AT376" s="139"/>
      <c r="AU376" s="139"/>
      <c r="AV376" s="139"/>
      <c r="AW376" s="139"/>
      <c r="AX376" s="139"/>
      <c r="AY376" s="139"/>
      <c r="AZ376" s="139"/>
      <c r="BA376" s="139"/>
      <c r="BB376" s="139"/>
      <c r="BC376" s="139"/>
      <c r="BD376" s="139"/>
      <c r="BE376" s="139"/>
      <c r="BF376" s="139"/>
      <c r="BG376" s="139"/>
      <c r="BH376" s="139"/>
      <c r="BI376" s="139"/>
      <c r="BJ376" s="139"/>
      <c r="BK376" s="139"/>
      <c r="BL376" s="139"/>
      <c r="BM376" s="139"/>
      <c r="BN376" s="139"/>
      <c r="BO376" s="139"/>
      <c r="BP376" s="139"/>
      <c r="BQ376" s="139"/>
      <c r="BR376" s="139"/>
      <c r="BS376" s="139"/>
      <c r="BT376" s="139"/>
      <c r="BU376" s="139"/>
      <c r="BV376" s="139"/>
      <c r="DR376" s="139"/>
      <c r="DS376" s="139"/>
    </row>
    <row r="377" spans="1:123" x14ac:dyDescent="0.2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  <c r="AA377" s="139"/>
      <c r="AB377" s="139"/>
      <c r="AC377" s="139"/>
      <c r="AD377" s="139"/>
      <c r="AE377" s="139"/>
      <c r="AF377" s="139"/>
      <c r="AG377" s="139"/>
      <c r="AH377" s="139"/>
      <c r="AI377" s="139"/>
      <c r="AJ377" s="139"/>
      <c r="AK377" s="139"/>
      <c r="AL377" s="139"/>
      <c r="AM377" s="139"/>
      <c r="AN377" s="139"/>
      <c r="AO377" s="139"/>
      <c r="AP377" s="139"/>
      <c r="AQ377" s="139"/>
      <c r="AR377" s="139"/>
      <c r="AS377" s="139"/>
      <c r="AT377" s="139"/>
      <c r="AU377" s="139"/>
      <c r="AV377" s="139"/>
      <c r="AW377" s="139"/>
      <c r="AX377" s="139"/>
      <c r="AY377" s="139"/>
      <c r="AZ377" s="139"/>
      <c r="BA377" s="139"/>
      <c r="BB377" s="139"/>
      <c r="BC377" s="139"/>
      <c r="BD377" s="139"/>
      <c r="BE377" s="139"/>
      <c r="BF377" s="139"/>
      <c r="BG377" s="139"/>
      <c r="BH377" s="139"/>
      <c r="BI377" s="139"/>
      <c r="BJ377" s="139"/>
      <c r="BK377" s="139"/>
      <c r="BL377" s="139"/>
      <c r="BM377" s="139"/>
      <c r="BN377" s="139"/>
      <c r="BO377" s="139"/>
      <c r="BP377" s="139"/>
      <c r="BQ377" s="139"/>
      <c r="BR377" s="139"/>
      <c r="BS377" s="139"/>
      <c r="BT377" s="139"/>
      <c r="BU377" s="139"/>
      <c r="BV377" s="139"/>
      <c r="DR377" s="139"/>
      <c r="DS377" s="139"/>
    </row>
    <row r="378" spans="1:123" x14ac:dyDescent="0.2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  <c r="AA378" s="139"/>
      <c r="AB378" s="139"/>
      <c r="AC378" s="139"/>
      <c r="AD378" s="139"/>
      <c r="AE378" s="139"/>
      <c r="AF378" s="139"/>
      <c r="AG378" s="139"/>
      <c r="AH378" s="139"/>
      <c r="AI378" s="139"/>
      <c r="AJ378" s="139"/>
      <c r="AK378" s="139"/>
      <c r="AL378" s="139"/>
      <c r="AM378" s="139"/>
      <c r="AN378" s="139"/>
      <c r="AO378" s="139"/>
      <c r="AP378" s="139"/>
      <c r="AQ378" s="139"/>
      <c r="AR378" s="139"/>
      <c r="AS378" s="139"/>
      <c r="AT378" s="139"/>
      <c r="AU378" s="139"/>
      <c r="AV378" s="139"/>
      <c r="AW378" s="139"/>
      <c r="AX378" s="139"/>
      <c r="AY378" s="139"/>
      <c r="AZ378" s="139"/>
      <c r="BA378" s="139"/>
      <c r="BB378" s="139"/>
      <c r="BC378" s="139"/>
      <c r="BD378" s="139"/>
      <c r="BE378" s="139"/>
      <c r="BF378" s="139"/>
      <c r="BG378" s="139"/>
      <c r="BH378" s="139"/>
      <c r="BI378" s="139"/>
      <c r="BJ378" s="139"/>
      <c r="BK378" s="139"/>
      <c r="BL378" s="139"/>
      <c r="BM378" s="139"/>
      <c r="BN378" s="139"/>
      <c r="BO378" s="139"/>
      <c r="BP378" s="139"/>
      <c r="BQ378" s="139"/>
      <c r="BR378" s="139"/>
      <c r="BS378" s="139"/>
      <c r="BT378" s="139"/>
      <c r="BU378" s="139"/>
      <c r="BV378" s="139"/>
      <c r="DR378" s="139"/>
      <c r="DS378" s="139"/>
    </row>
    <row r="379" spans="1:123" x14ac:dyDescent="0.2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  <c r="AA379" s="139"/>
      <c r="AB379" s="139"/>
      <c r="AC379" s="139"/>
      <c r="AD379" s="139"/>
      <c r="AE379" s="139"/>
      <c r="AF379" s="139"/>
      <c r="AG379" s="139"/>
      <c r="AH379" s="139"/>
      <c r="AI379" s="139"/>
      <c r="AJ379" s="139"/>
      <c r="AK379" s="139"/>
      <c r="AL379" s="139"/>
      <c r="AM379" s="139"/>
      <c r="AN379" s="139"/>
      <c r="AO379" s="139"/>
      <c r="AP379" s="139"/>
      <c r="AQ379" s="139"/>
      <c r="AR379" s="139"/>
      <c r="AS379" s="139"/>
      <c r="AT379" s="139"/>
      <c r="AU379" s="139"/>
      <c r="AV379" s="139"/>
      <c r="AW379" s="139"/>
      <c r="AX379" s="139"/>
      <c r="AY379" s="139"/>
      <c r="AZ379" s="139"/>
      <c r="BA379" s="139"/>
      <c r="BB379" s="139"/>
      <c r="BC379" s="139"/>
      <c r="BD379" s="139"/>
      <c r="BE379" s="139"/>
      <c r="BF379" s="139"/>
      <c r="BG379" s="139"/>
      <c r="BH379" s="139"/>
      <c r="BI379" s="139"/>
      <c r="BJ379" s="139"/>
      <c r="BK379" s="139"/>
      <c r="BL379" s="139"/>
      <c r="BM379" s="139"/>
      <c r="BN379" s="139"/>
      <c r="BO379" s="139"/>
      <c r="BP379" s="139"/>
      <c r="BQ379" s="139"/>
      <c r="BR379" s="139"/>
      <c r="BS379" s="139"/>
      <c r="BT379" s="139"/>
      <c r="BU379" s="139"/>
      <c r="BV379" s="139"/>
      <c r="DR379" s="139"/>
      <c r="DS379" s="139"/>
    </row>
    <row r="380" spans="1:123" x14ac:dyDescent="0.2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  <c r="AA380" s="139"/>
      <c r="AB380" s="139"/>
      <c r="AC380" s="139"/>
      <c r="AD380" s="139"/>
      <c r="AE380" s="139"/>
      <c r="AF380" s="139"/>
      <c r="AG380" s="139"/>
      <c r="AH380" s="139"/>
      <c r="AI380" s="139"/>
      <c r="AJ380" s="139"/>
      <c r="AK380" s="139"/>
      <c r="AL380" s="139"/>
      <c r="AM380" s="139"/>
      <c r="AN380" s="139"/>
      <c r="AO380" s="139"/>
      <c r="AP380" s="139"/>
      <c r="AQ380" s="139"/>
      <c r="AR380" s="139"/>
      <c r="AS380" s="139"/>
      <c r="AT380" s="139"/>
      <c r="AU380" s="139"/>
      <c r="AV380" s="139"/>
      <c r="AW380" s="139"/>
      <c r="AX380" s="139"/>
      <c r="AY380" s="139"/>
      <c r="AZ380" s="139"/>
      <c r="BA380" s="139"/>
      <c r="BB380" s="139"/>
      <c r="BC380" s="139"/>
      <c r="BD380" s="139"/>
      <c r="BE380" s="139"/>
      <c r="BF380" s="139"/>
      <c r="BG380" s="139"/>
      <c r="BH380" s="139"/>
      <c r="BI380" s="139"/>
      <c r="BJ380" s="139"/>
      <c r="BK380" s="139"/>
      <c r="BL380" s="139"/>
      <c r="BM380" s="139"/>
      <c r="BN380" s="139"/>
      <c r="BO380" s="139"/>
      <c r="BP380" s="139"/>
      <c r="BQ380" s="139"/>
      <c r="BR380" s="139"/>
      <c r="BS380" s="139"/>
      <c r="BT380" s="139"/>
      <c r="BU380" s="139"/>
      <c r="BV380" s="139"/>
      <c r="DR380" s="139"/>
      <c r="DS380" s="139"/>
    </row>
    <row r="381" spans="1:123" x14ac:dyDescent="0.2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  <c r="AA381" s="139"/>
      <c r="AB381" s="139"/>
      <c r="AC381" s="139"/>
      <c r="AD381" s="139"/>
      <c r="AE381" s="139"/>
      <c r="AF381" s="139"/>
      <c r="AG381" s="139"/>
      <c r="AH381" s="139"/>
      <c r="AI381" s="139"/>
      <c r="AJ381" s="139"/>
      <c r="AK381" s="139"/>
      <c r="AL381" s="139"/>
      <c r="AM381" s="139"/>
      <c r="AN381" s="139"/>
      <c r="AO381" s="139"/>
      <c r="AP381" s="139"/>
      <c r="AQ381" s="139"/>
      <c r="AR381" s="139"/>
      <c r="AS381" s="139"/>
      <c r="AT381" s="139"/>
      <c r="AU381" s="139"/>
      <c r="AV381" s="139"/>
      <c r="AW381" s="139"/>
      <c r="AX381" s="139"/>
      <c r="AY381" s="139"/>
      <c r="AZ381" s="139"/>
      <c r="BA381" s="139"/>
      <c r="BB381" s="139"/>
      <c r="BC381" s="139"/>
      <c r="BD381" s="139"/>
      <c r="BE381" s="139"/>
      <c r="BF381" s="139"/>
      <c r="BG381" s="139"/>
      <c r="BH381" s="139"/>
      <c r="BI381" s="139"/>
      <c r="BJ381" s="139"/>
      <c r="BK381" s="139"/>
      <c r="BL381" s="139"/>
      <c r="BM381" s="139"/>
      <c r="BN381" s="139"/>
      <c r="BO381" s="139"/>
      <c r="BP381" s="139"/>
      <c r="BQ381" s="139"/>
      <c r="BR381" s="139"/>
      <c r="BS381" s="139"/>
      <c r="BT381" s="139"/>
      <c r="BU381" s="139"/>
      <c r="BV381" s="139"/>
      <c r="DR381" s="139"/>
      <c r="DS381" s="139"/>
    </row>
    <row r="382" spans="1:123" x14ac:dyDescent="0.2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  <c r="AA382" s="139"/>
      <c r="AB382" s="139"/>
      <c r="AC382" s="139"/>
      <c r="AD382" s="139"/>
      <c r="AE382" s="139"/>
      <c r="AF382" s="139"/>
      <c r="AG382" s="139"/>
      <c r="AH382" s="139"/>
      <c r="AI382" s="139"/>
      <c r="AJ382" s="139"/>
      <c r="AK382" s="139"/>
      <c r="AL382" s="139"/>
      <c r="AM382" s="139"/>
      <c r="AN382" s="139"/>
      <c r="AO382" s="139"/>
      <c r="AP382" s="139"/>
      <c r="AQ382" s="139"/>
      <c r="AR382" s="139"/>
      <c r="AS382" s="139"/>
      <c r="AT382" s="139"/>
      <c r="AU382" s="139"/>
      <c r="AV382" s="139"/>
      <c r="AW382" s="139"/>
      <c r="AX382" s="139"/>
      <c r="AY382" s="139"/>
      <c r="AZ382" s="139"/>
      <c r="BA382" s="139"/>
      <c r="BB382" s="139"/>
      <c r="BC382" s="139"/>
      <c r="BD382" s="139"/>
      <c r="BE382" s="139"/>
      <c r="BF382" s="139"/>
      <c r="BG382" s="139"/>
      <c r="BH382" s="139"/>
      <c r="BI382" s="139"/>
      <c r="BJ382" s="139"/>
      <c r="BK382" s="139"/>
      <c r="BL382" s="139"/>
      <c r="BM382" s="139"/>
      <c r="BN382" s="139"/>
      <c r="BO382" s="139"/>
      <c r="BP382" s="139"/>
      <c r="BQ382" s="139"/>
      <c r="BR382" s="139"/>
      <c r="BS382" s="139"/>
      <c r="BT382" s="139"/>
      <c r="BU382" s="139"/>
      <c r="BV382" s="139"/>
      <c r="DR382" s="139"/>
      <c r="DS382" s="139"/>
    </row>
    <row r="383" spans="1:123" x14ac:dyDescent="0.2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  <c r="AA383" s="139"/>
      <c r="AB383" s="139"/>
      <c r="AC383" s="139"/>
      <c r="AD383" s="139"/>
      <c r="AE383" s="139"/>
      <c r="AF383" s="139"/>
      <c r="AG383" s="139"/>
      <c r="AH383" s="139"/>
      <c r="AI383" s="139"/>
      <c r="AJ383" s="139"/>
      <c r="AK383" s="139"/>
      <c r="AL383" s="139"/>
      <c r="AM383" s="139"/>
      <c r="AN383" s="139"/>
      <c r="AO383" s="139"/>
      <c r="AP383" s="139"/>
      <c r="AQ383" s="139"/>
      <c r="AR383" s="139"/>
      <c r="AS383" s="139"/>
      <c r="AT383" s="139"/>
      <c r="AU383" s="139"/>
      <c r="AV383" s="139"/>
      <c r="AW383" s="139"/>
      <c r="AX383" s="139"/>
      <c r="AY383" s="139"/>
      <c r="AZ383" s="139"/>
      <c r="BA383" s="139"/>
      <c r="BB383" s="139"/>
      <c r="BC383" s="139"/>
      <c r="BD383" s="139"/>
      <c r="BE383" s="139"/>
      <c r="BF383" s="139"/>
      <c r="BG383" s="139"/>
      <c r="BH383" s="139"/>
      <c r="BI383" s="139"/>
      <c r="BJ383" s="139"/>
      <c r="BK383" s="139"/>
      <c r="BL383" s="139"/>
      <c r="BM383" s="139"/>
      <c r="BN383" s="139"/>
      <c r="BO383" s="139"/>
      <c r="BP383" s="139"/>
      <c r="BQ383" s="139"/>
      <c r="BR383" s="139"/>
      <c r="BS383" s="139"/>
      <c r="BT383" s="139"/>
      <c r="BU383" s="139"/>
      <c r="BV383" s="139"/>
      <c r="DR383" s="139"/>
      <c r="DS383" s="139"/>
    </row>
    <row r="384" spans="1:123" x14ac:dyDescent="0.2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  <c r="AA384" s="139"/>
      <c r="AB384" s="139"/>
      <c r="AC384" s="139"/>
      <c r="AD384" s="139"/>
      <c r="AE384" s="139"/>
      <c r="AF384" s="139"/>
      <c r="AG384" s="139"/>
      <c r="AH384" s="139"/>
      <c r="AI384" s="139"/>
      <c r="AJ384" s="139"/>
      <c r="AK384" s="139"/>
      <c r="AL384" s="139"/>
      <c r="AM384" s="139"/>
      <c r="AN384" s="139"/>
      <c r="AO384" s="139"/>
      <c r="AP384" s="139"/>
      <c r="AQ384" s="139"/>
      <c r="AR384" s="139"/>
      <c r="AS384" s="139"/>
      <c r="AT384" s="139"/>
      <c r="AU384" s="139"/>
      <c r="AV384" s="139"/>
      <c r="AW384" s="139"/>
      <c r="AX384" s="139"/>
      <c r="AY384" s="139"/>
      <c r="AZ384" s="139"/>
      <c r="BA384" s="139"/>
      <c r="BB384" s="139"/>
      <c r="BC384" s="139"/>
      <c r="BD384" s="139"/>
      <c r="BE384" s="139"/>
      <c r="BF384" s="139"/>
      <c r="BG384" s="139"/>
      <c r="BH384" s="139"/>
      <c r="BI384" s="139"/>
      <c r="BJ384" s="139"/>
      <c r="BK384" s="139"/>
      <c r="BL384" s="139"/>
      <c r="BM384" s="139"/>
      <c r="BN384" s="139"/>
      <c r="BO384" s="139"/>
      <c r="BP384" s="139"/>
      <c r="BQ384" s="139"/>
      <c r="BR384" s="139"/>
      <c r="BS384" s="139"/>
      <c r="BT384" s="139"/>
      <c r="BU384" s="139"/>
      <c r="BV384" s="139"/>
      <c r="DR384" s="139"/>
      <c r="DS384" s="139"/>
    </row>
    <row r="385" spans="1:123" x14ac:dyDescent="0.2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  <c r="AA385" s="139"/>
      <c r="AB385" s="139"/>
      <c r="AC385" s="139"/>
      <c r="AD385" s="139"/>
      <c r="AE385" s="139"/>
      <c r="AF385" s="139"/>
      <c r="AG385" s="139"/>
      <c r="AH385" s="139"/>
      <c r="AI385" s="139"/>
      <c r="AJ385" s="139"/>
      <c r="AK385" s="139"/>
      <c r="AL385" s="139"/>
      <c r="AM385" s="139"/>
      <c r="AN385" s="139"/>
      <c r="AO385" s="139"/>
      <c r="AP385" s="139"/>
      <c r="AQ385" s="139"/>
      <c r="AR385" s="139"/>
      <c r="AS385" s="139"/>
      <c r="AT385" s="139"/>
      <c r="AU385" s="139"/>
      <c r="AV385" s="139"/>
      <c r="AW385" s="139"/>
      <c r="AX385" s="139"/>
      <c r="AY385" s="139"/>
      <c r="AZ385" s="139"/>
      <c r="BA385" s="139"/>
      <c r="BB385" s="139"/>
      <c r="BC385" s="139"/>
      <c r="BD385" s="139"/>
      <c r="BE385" s="139"/>
      <c r="BF385" s="139"/>
      <c r="BG385" s="139"/>
      <c r="BH385" s="139"/>
      <c r="BI385" s="139"/>
      <c r="BJ385" s="139"/>
      <c r="BK385" s="139"/>
      <c r="BL385" s="139"/>
      <c r="BM385" s="139"/>
      <c r="BN385" s="139"/>
      <c r="BO385" s="139"/>
      <c r="BP385" s="139"/>
      <c r="BQ385" s="139"/>
      <c r="BR385" s="139"/>
      <c r="BS385" s="139"/>
      <c r="BT385" s="139"/>
      <c r="BU385" s="139"/>
      <c r="BV385" s="139"/>
      <c r="DR385" s="139"/>
      <c r="DS385" s="139"/>
    </row>
    <row r="386" spans="1:123" x14ac:dyDescent="0.2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  <c r="AA386" s="139"/>
      <c r="AB386" s="139"/>
      <c r="AC386" s="139"/>
      <c r="AD386" s="139"/>
      <c r="AE386" s="139"/>
      <c r="AF386" s="139"/>
      <c r="AG386" s="139"/>
      <c r="AH386" s="139"/>
      <c r="AI386" s="139"/>
      <c r="AJ386" s="139"/>
      <c r="AK386" s="139"/>
      <c r="AL386" s="139"/>
      <c r="AM386" s="139"/>
      <c r="AN386" s="139"/>
      <c r="AO386" s="139"/>
      <c r="AP386" s="139"/>
      <c r="AQ386" s="139"/>
      <c r="AR386" s="139"/>
      <c r="AS386" s="139"/>
      <c r="AT386" s="139"/>
      <c r="AU386" s="139"/>
      <c r="AV386" s="139"/>
      <c r="AW386" s="139"/>
      <c r="AX386" s="139"/>
      <c r="AY386" s="139"/>
      <c r="AZ386" s="139"/>
      <c r="BA386" s="139"/>
      <c r="BB386" s="139"/>
      <c r="BC386" s="139"/>
      <c r="BD386" s="139"/>
      <c r="BE386" s="139"/>
      <c r="BF386" s="139"/>
      <c r="BG386" s="139"/>
      <c r="BH386" s="139"/>
      <c r="BI386" s="139"/>
      <c r="BJ386" s="139"/>
      <c r="BK386" s="139"/>
      <c r="BL386" s="139"/>
      <c r="BM386" s="139"/>
      <c r="BN386" s="139"/>
      <c r="BO386" s="139"/>
      <c r="BP386" s="139"/>
      <c r="BQ386" s="139"/>
      <c r="BR386" s="139"/>
      <c r="BS386" s="139"/>
      <c r="BT386" s="139"/>
      <c r="BU386" s="139"/>
      <c r="BV386" s="139"/>
      <c r="DR386" s="139"/>
      <c r="DS386" s="139"/>
    </row>
    <row r="387" spans="1:123" x14ac:dyDescent="0.2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  <c r="AA387" s="139"/>
      <c r="AB387" s="139"/>
      <c r="AC387" s="139"/>
      <c r="AD387" s="139"/>
      <c r="AE387" s="139"/>
      <c r="AF387" s="139"/>
      <c r="AG387" s="139"/>
      <c r="AH387" s="139"/>
      <c r="AI387" s="139"/>
      <c r="AJ387" s="139"/>
      <c r="AK387" s="139"/>
      <c r="AL387" s="139"/>
      <c r="AM387" s="139"/>
      <c r="AN387" s="139"/>
      <c r="AO387" s="139"/>
      <c r="AP387" s="139"/>
      <c r="AQ387" s="139"/>
      <c r="AR387" s="139"/>
      <c r="AS387" s="139"/>
      <c r="AT387" s="139"/>
      <c r="AU387" s="139"/>
      <c r="AV387" s="139"/>
      <c r="AW387" s="139"/>
      <c r="AX387" s="139"/>
      <c r="AY387" s="139"/>
      <c r="AZ387" s="139"/>
      <c r="BA387" s="139"/>
      <c r="BB387" s="139"/>
      <c r="BC387" s="139"/>
      <c r="BD387" s="139"/>
      <c r="BE387" s="139"/>
      <c r="BF387" s="139"/>
      <c r="BG387" s="139"/>
      <c r="BH387" s="139"/>
      <c r="BI387" s="139"/>
      <c r="BJ387" s="139"/>
      <c r="BK387" s="139"/>
      <c r="BL387" s="139"/>
      <c r="BM387" s="139"/>
      <c r="BN387" s="139"/>
      <c r="BO387" s="139"/>
      <c r="BP387" s="139"/>
      <c r="BQ387" s="139"/>
      <c r="BR387" s="139"/>
      <c r="BS387" s="139"/>
      <c r="BT387" s="139"/>
      <c r="BU387" s="139"/>
      <c r="BV387" s="139"/>
      <c r="DR387" s="139"/>
      <c r="DS387" s="139"/>
    </row>
    <row r="388" spans="1:123" x14ac:dyDescent="0.2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  <c r="AA388" s="139"/>
      <c r="AB388" s="139"/>
      <c r="AC388" s="139"/>
      <c r="AD388" s="139"/>
      <c r="AE388" s="139"/>
      <c r="AF388" s="139"/>
      <c r="AG388" s="139"/>
      <c r="AH388" s="139"/>
      <c r="AI388" s="139"/>
      <c r="AJ388" s="139"/>
      <c r="AK388" s="139"/>
      <c r="AL388" s="139"/>
      <c r="AM388" s="139"/>
      <c r="AN388" s="139"/>
      <c r="AO388" s="139"/>
      <c r="AP388" s="139"/>
      <c r="AQ388" s="139"/>
      <c r="AR388" s="139"/>
      <c r="AS388" s="139"/>
      <c r="AT388" s="139"/>
      <c r="AU388" s="139"/>
      <c r="AV388" s="139"/>
      <c r="AW388" s="139"/>
      <c r="AX388" s="139"/>
      <c r="AY388" s="139"/>
      <c r="AZ388" s="139"/>
      <c r="BA388" s="139"/>
      <c r="BB388" s="139"/>
      <c r="BC388" s="139"/>
      <c r="BD388" s="139"/>
      <c r="BE388" s="139"/>
      <c r="BF388" s="139"/>
      <c r="BG388" s="139"/>
      <c r="BH388" s="139"/>
      <c r="BI388" s="139"/>
      <c r="BJ388" s="139"/>
      <c r="BK388" s="139"/>
      <c r="BL388" s="139"/>
      <c r="BM388" s="139"/>
      <c r="BN388" s="139"/>
      <c r="BO388" s="139"/>
      <c r="BP388" s="139"/>
      <c r="BQ388" s="139"/>
      <c r="BR388" s="139"/>
      <c r="BS388" s="139"/>
      <c r="BT388" s="139"/>
      <c r="BU388" s="139"/>
      <c r="BV388" s="139"/>
      <c r="DR388" s="139"/>
      <c r="DS388" s="139"/>
    </row>
    <row r="389" spans="1:123" x14ac:dyDescent="0.2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  <c r="AA389" s="139"/>
      <c r="AB389" s="139"/>
      <c r="AC389" s="139"/>
      <c r="AD389" s="139"/>
      <c r="AE389" s="139"/>
      <c r="AF389" s="139"/>
      <c r="AG389" s="139"/>
      <c r="AH389" s="139"/>
      <c r="AI389" s="139"/>
      <c r="AJ389" s="139"/>
      <c r="AK389" s="139"/>
      <c r="AL389" s="139"/>
      <c r="AM389" s="139"/>
      <c r="AN389" s="139"/>
      <c r="AO389" s="139"/>
      <c r="AP389" s="139"/>
      <c r="AQ389" s="139"/>
      <c r="AR389" s="139"/>
      <c r="AS389" s="139"/>
      <c r="AT389" s="139"/>
      <c r="AU389" s="139"/>
      <c r="AV389" s="139"/>
      <c r="AW389" s="139"/>
      <c r="AX389" s="139"/>
      <c r="AY389" s="139"/>
      <c r="AZ389" s="139"/>
      <c r="BA389" s="139"/>
      <c r="BB389" s="139"/>
      <c r="BC389" s="139"/>
      <c r="BD389" s="139"/>
      <c r="BE389" s="139"/>
      <c r="BF389" s="139"/>
      <c r="BG389" s="139"/>
      <c r="BH389" s="139"/>
      <c r="BI389" s="139"/>
      <c r="BJ389" s="139"/>
      <c r="BK389" s="139"/>
      <c r="BL389" s="139"/>
      <c r="BM389" s="139"/>
      <c r="BN389" s="139"/>
      <c r="BO389" s="139"/>
      <c r="BP389" s="139"/>
      <c r="BQ389" s="139"/>
      <c r="BR389" s="139"/>
      <c r="BS389" s="139"/>
      <c r="BT389" s="139"/>
      <c r="BU389" s="139"/>
      <c r="BV389" s="139"/>
      <c r="DR389" s="139"/>
      <c r="DS389" s="139"/>
    </row>
    <row r="390" spans="1:123" x14ac:dyDescent="0.2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  <c r="AA390" s="139"/>
      <c r="AB390" s="139"/>
      <c r="AC390" s="139"/>
      <c r="AD390" s="139"/>
      <c r="AE390" s="139"/>
      <c r="AF390" s="139"/>
      <c r="AG390" s="139"/>
      <c r="AH390" s="139"/>
      <c r="AI390" s="139"/>
      <c r="AJ390" s="139"/>
      <c r="AK390" s="139"/>
      <c r="AL390" s="139"/>
      <c r="AM390" s="139"/>
      <c r="AN390" s="139"/>
      <c r="AO390" s="139"/>
      <c r="AP390" s="139"/>
      <c r="AQ390" s="139"/>
      <c r="AR390" s="139"/>
      <c r="AS390" s="139"/>
      <c r="AT390" s="139"/>
      <c r="AU390" s="139"/>
      <c r="AV390" s="139"/>
      <c r="AW390" s="139"/>
      <c r="AX390" s="139"/>
      <c r="AY390" s="139"/>
      <c r="AZ390" s="139"/>
      <c r="BA390" s="139"/>
      <c r="BB390" s="139"/>
      <c r="BC390" s="139"/>
      <c r="BD390" s="139"/>
      <c r="BE390" s="139"/>
      <c r="BF390" s="139"/>
      <c r="BG390" s="139"/>
      <c r="BH390" s="139"/>
      <c r="BI390" s="139"/>
      <c r="BJ390" s="139"/>
      <c r="BK390" s="139"/>
      <c r="BL390" s="139"/>
      <c r="BM390" s="139"/>
      <c r="BN390" s="139"/>
      <c r="BO390" s="139"/>
      <c r="BP390" s="139"/>
      <c r="BQ390" s="139"/>
      <c r="BR390" s="139"/>
      <c r="BS390" s="139"/>
      <c r="BT390" s="139"/>
      <c r="BU390" s="139"/>
      <c r="BV390" s="139"/>
      <c r="DR390" s="139"/>
      <c r="DS390" s="139"/>
    </row>
    <row r="391" spans="1:123" x14ac:dyDescent="0.2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  <c r="AA391" s="139"/>
      <c r="AB391" s="139"/>
      <c r="AC391" s="139"/>
      <c r="AD391" s="139"/>
      <c r="AE391" s="139"/>
      <c r="AF391" s="139"/>
      <c r="AG391" s="139"/>
      <c r="AH391" s="139"/>
      <c r="AI391" s="139"/>
      <c r="AJ391" s="139"/>
      <c r="AK391" s="139"/>
      <c r="AL391" s="139"/>
      <c r="AM391" s="139"/>
      <c r="AN391" s="139"/>
      <c r="AO391" s="139"/>
      <c r="AP391" s="139"/>
      <c r="AQ391" s="139"/>
      <c r="AR391" s="139"/>
      <c r="AS391" s="139"/>
      <c r="AT391" s="139"/>
      <c r="AU391" s="139"/>
      <c r="AV391" s="139"/>
      <c r="AW391" s="139"/>
      <c r="AX391" s="139"/>
      <c r="AY391" s="139"/>
      <c r="AZ391" s="139"/>
      <c r="BA391" s="139"/>
      <c r="BB391" s="139"/>
      <c r="BC391" s="139"/>
      <c r="BD391" s="139"/>
      <c r="BE391" s="139"/>
      <c r="BF391" s="139"/>
      <c r="BG391" s="139"/>
      <c r="BH391" s="139"/>
      <c r="BI391" s="139"/>
      <c r="BJ391" s="139"/>
      <c r="BK391" s="139"/>
      <c r="BL391" s="139"/>
      <c r="BM391" s="139"/>
      <c r="BN391" s="139"/>
      <c r="BO391" s="139"/>
      <c r="BP391" s="139"/>
      <c r="BQ391" s="139"/>
      <c r="BR391" s="139"/>
      <c r="BS391" s="139"/>
      <c r="BT391" s="139"/>
      <c r="BU391" s="139"/>
      <c r="BV391" s="139"/>
      <c r="DR391" s="139"/>
      <c r="DS391" s="139"/>
    </row>
    <row r="392" spans="1:123" x14ac:dyDescent="0.2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  <c r="AA392" s="139"/>
      <c r="AB392" s="139"/>
      <c r="AC392" s="139"/>
      <c r="AD392" s="139"/>
      <c r="AE392" s="139"/>
      <c r="AF392" s="139"/>
      <c r="AG392" s="139"/>
      <c r="AH392" s="139"/>
      <c r="AI392" s="139"/>
      <c r="AJ392" s="139"/>
      <c r="AK392" s="139"/>
      <c r="AL392" s="139"/>
      <c r="AM392" s="139"/>
      <c r="AN392" s="139"/>
      <c r="AO392" s="139"/>
      <c r="AP392" s="139"/>
      <c r="AQ392" s="139"/>
      <c r="AR392" s="139"/>
      <c r="AS392" s="139"/>
      <c r="AT392" s="139"/>
      <c r="AU392" s="139"/>
      <c r="AV392" s="139"/>
      <c r="AW392" s="139"/>
      <c r="AX392" s="139"/>
      <c r="AY392" s="139"/>
      <c r="AZ392" s="139"/>
      <c r="BA392" s="139"/>
      <c r="BB392" s="139"/>
      <c r="BC392" s="139"/>
      <c r="BD392" s="139"/>
      <c r="BE392" s="139"/>
      <c r="BF392" s="139"/>
      <c r="BG392" s="139"/>
      <c r="BH392" s="139"/>
      <c r="BI392" s="139"/>
      <c r="BJ392" s="139"/>
      <c r="BK392" s="139"/>
      <c r="BL392" s="139"/>
      <c r="BM392" s="139"/>
      <c r="BN392" s="139"/>
      <c r="BO392" s="139"/>
      <c r="BP392" s="139"/>
      <c r="BQ392" s="139"/>
      <c r="BR392" s="139"/>
      <c r="BS392" s="139"/>
      <c r="BT392" s="139"/>
      <c r="BU392" s="139"/>
      <c r="BV392" s="139"/>
      <c r="DR392" s="139"/>
      <c r="DS392" s="139"/>
    </row>
    <row r="393" spans="1:123" x14ac:dyDescent="0.2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  <c r="AA393" s="139"/>
      <c r="AB393" s="139"/>
      <c r="AC393" s="139"/>
      <c r="AD393" s="139"/>
      <c r="AE393" s="139"/>
      <c r="AF393" s="139"/>
      <c r="AG393" s="139"/>
      <c r="AH393" s="139"/>
      <c r="AI393" s="139"/>
      <c r="AJ393" s="139"/>
      <c r="AK393" s="139"/>
      <c r="AL393" s="139"/>
      <c r="AM393" s="139"/>
      <c r="AN393" s="139"/>
      <c r="AO393" s="139"/>
      <c r="AP393" s="139"/>
      <c r="AQ393" s="139"/>
      <c r="AR393" s="139"/>
      <c r="AS393" s="139"/>
      <c r="AT393" s="139"/>
      <c r="AU393" s="139"/>
      <c r="AV393" s="139"/>
      <c r="AW393" s="139"/>
      <c r="AX393" s="139"/>
      <c r="AY393" s="139"/>
      <c r="AZ393" s="139"/>
      <c r="BA393" s="139"/>
      <c r="BB393" s="139"/>
      <c r="BC393" s="139"/>
      <c r="BD393" s="139"/>
      <c r="BE393" s="139"/>
      <c r="BF393" s="139"/>
      <c r="BG393" s="139"/>
      <c r="BH393" s="139"/>
      <c r="BI393" s="139"/>
      <c r="BJ393" s="139"/>
      <c r="BK393" s="139"/>
      <c r="BL393" s="139"/>
      <c r="BM393" s="139"/>
      <c r="BN393" s="139"/>
      <c r="BO393" s="139"/>
      <c r="BP393" s="139"/>
      <c r="BQ393" s="139"/>
      <c r="BR393" s="139"/>
      <c r="BS393" s="139"/>
      <c r="BT393" s="139"/>
      <c r="BU393" s="139"/>
      <c r="BV393" s="139"/>
      <c r="DR393" s="139"/>
      <c r="DS393" s="139"/>
    </row>
    <row r="394" spans="1:123" x14ac:dyDescent="0.2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  <c r="AA394" s="139"/>
      <c r="AB394" s="139"/>
      <c r="AC394" s="139"/>
      <c r="AD394" s="139"/>
      <c r="AE394" s="139"/>
      <c r="AF394" s="139"/>
      <c r="AG394" s="139"/>
      <c r="AH394" s="139"/>
      <c r="AI394" s="139"/>
      <c r="AJ394" s="139"/>
      <c r="AK394" s="139"/>
      <c r="AL394" s="139"/>
      <c r="AM394" s="139"/>
      <c r="AN394" s="139"/>
      <c r="AO394" s="139"/>
      <c r="AP394" s="139"/>
      <c r="AQ394" s="139"/>
      <c r="AR394" s="139"/>
      <c r="AS394" s="139"/>
      <c r="AT394" s="139"/>
      <c r="AU394" s="139"/>
      <c r="AV394" s="139"/>
      <c r="AW394" s="139"/>
      <c r="AX394" s="139"/>
      <c r="AY394" s="139"/>
      <c r="AZ394" s="139"/>
      <c r="BA394" s="139"/>
      <c r="BB394" s="139"/>
      <c r="BC394" s="139"/>
      <c r="BD394" s="139"/>
      <c r="BE394" s="139"/>
      <c r="BF394" s="139"/>
      <c r="BG394" s="139"/>
      <c r="BH394" s="139"/>
      <c r="BI394" s="139"/>
      <c r="BJ394" s="139"/>
      <c r="BK394" s="139"/>
      <c r="BL394" s="139"/>
      <c r="BM394" s="139"/>
      <c r="BN394" s="139"/>
      <c r="BO394" s="139"/>
      <c r="BP394" s="139"/>
      <c r="BQ394" s="139"/>
      <c r="BR394" s="139"/>
      <c r="BS394" s="139"/>
      <c r="BT394" s="139"/>
      <c r="BU394" s="139"/>
      <c r="BV394" s="139"/>
      <c r="DR394" s="139"/>
      <c r="DS394" s="139"/>
    </row>
    <row r="395" spans="1:123" x14ac:dyDescent="0.2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  <c r="AA395" s="139"/>
      <c r="AB395" s="139"/>
      <c r="AC395" s="139"/>
      <c r="AD395" s="139"/>
      <c r="AE395" s="139"/>
      <c r="AF395" s="139"/>
      <c r="AG395" s="139"/>
      <c r="AH395" s="139"/>
      <c r="AI395" s="139"/>
      <c r="AJ395" s="139"/>
      <c r="AK395" s="139"/>
      <c r="AL395" s="139"/>
      <c r="AM395" s="139"/>
      <c r="AN395" s="139"/>
      <c r="AO395" s="139"/>
      <c r="AP395" s="139"/>
      <c r="AQ395" s="139"/>
      <c r="AR395" s="139"/>
      <c r="AS395" s="139"/>
      <c r="AT395" s="139"/>
      <c r="AU395" s="139"/>
      <c r="AV395" s="139"/>
      <c r="AW395" s="139"/>
      <c r="AX395" s="139"/>
      <c r="AY395" s="139"/>
      <c r="AZ395" s="139"/>
      <c r="BA395" s="139"/>
      <c r="BB395" s="139"/>
      <c r="BC395" s="139"/>
      <c r="BD395" s="139"/>
      <c r="BE395" s="139"/>
      <c r="BF395" s="139"/>
      <c r="BG395" s="139"/>
      <c r="BH395" s="139"/>
      <c r="BI395" s="139"/>
      <c r="BJ395" s="139"/>
      <c r="BK395" s="139"/>
      <c r="BL395" s="139"/>
      <c r="BM395" s="139"/>
      <c r="BN395" s="139"/>
      <c r="BO395" s="139"/>
      <c r="BP395" s="139"/>
      <c r="BQ395" s="139"/>
      <c r="BR395" s="139"/>
      <c r="BS395" s="139"/>
      <c r="BT395" s="139"/>
      <c r="BU395" s="139"/>
      <c r="BV395" s="139"/>
      <c r="DR395" s="139"/>
      <c r="DS395" s="139"/>
    </row>
    <row r="396" spans="1:123" x14ac:dyDescent="0.2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  <c r="AA396" s="139"/>
      <c r="AB396" s="139"/>
      <c r="AC396" s="139"/>
      <c r="AD396" s="139"/>
      <c r="AE396" s="139"/>
      <c r="AF396" s="139"/>
      <c r="AG396" s="139"/>
      <c r="AH396" s="139"/>
      <c r="AI396" s="139"/>
      <c r="AJ396" s="139"/>
      <c r="AK396" s="139"/>
      <c r="AL396" s="139"/>
      <c r="AM396" s="139"/>
      <c r="AN396" s="139"/>
      <c r="AO396" s="139"/>
      <c r="AP396" s="139"/>
      <c r="AQ396" s="139"/>
      <c r="AR396" s="139"/>
      <c r="AS396" s="139"/>
      <c r="AT396" s="139"/>
      <c r="AU396" s="139"/>
      <c r="AV396" s="139"/>
      <c r="AW396" s="139"/>
      <c r="AX396" s="139"/>
      <c r="AY396" s="139"/>
      <c r="AZ396" s="139"/>
      <c r="BA396" s="139"/>
      <c r="BB396" s="139"/>
      <c r="BC396" s="139"/>
      <c r="BD396" s="139"/>
      <c r="BE396" s="139"/>
      <c r="BF396" s="139"/>
      <c r="BG396" s="139"/>
      <c r="BH396" s="139"/>
      <c r="BI396" s="139"/>
      <c r="BJ396" s="139"/>
      <c r="BK396" s="139"/>
      <c r="BL396" s="139"/>
      <c r="BM396" s="139"/>
      <c r="BN396" s="139"/>
      <c r="BO396" s="139"/>
      <c r="BP396" s="139"/>
      <c r="BQ396" s="139"/>
      <c r="BR396" s="139"/>
      <c r="BS396" s="139"/>
      <c r="BT396" s="139"/>
      <c r="BU396" s="139"/>
      <c r="BV396" s="139"/>
      <c r="DR396" s="139"/>
      <c r="DS396" s="139"/>
    </row>
    <row r="397" spans="1:123" x14ac:dyDescent="0.2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  <c r="AA397" s="139"/>
      <c r="AB397" s="139"/>
      <c r="AC397" s="139"/>
      <c r="AD397" s="139"/>
      <c r="AE397" s="139"/>
      <c r="AF397" s="139"/>
      <c r="AG397" s="139"/>
      <c r="AH397" s="139"/>
      <c r="AI397" s="139"/>
      <c r="AJ397" s="139"/>
      <c r="AK397" s="139"/>
      <c r="AL397" s="139"/>
      <c r="AM397" s="139"/>
      <c r="AN397" s="139"/>
      <c r="AO397" s="139"/>
      <c r="AP397" s="139"/>
      <c r="AQ397" s="139"/>
      <c r="AR397" s="139"/>
      <c r="AS397" s="139"/>
      <c r="AT397" s="139"/>
      <c r="AU397" s="139"/>
      <c r="AV397" s="139"/>
      <c r="AW397" s="139"/>
      <c r="AX397" s="139"/>
      <c r="AY397" s="139"/>
      <c r="AZ397" s="139"/>
      <c r="BA397" s="139"/>
      <c r="BB397" s="139"/>
      <c r="BC397" s="139"/>
      <c r="BD397" s="139"/>
      <c r="BE397" s="139"/>
      <c r="BF397" s="139"/>
      <c r="BG397" s="139"/>
      <c r="BH397" s="139"/>
      <c r="BI397" s="139"/>
      <c r="BJ397" s="139"/>
      <c r="BK397" s="139"/>
      <c r="BL397" s="139"/>
      <c r="BM397" s="139"/>
      <c r="BN397" s="139"/>
      <c r="BO397" s="139"/>
      <c r="BP397" s="139"/>
      <c r="BQ397" s="139"/>
      <c r="BR397" s="139"/>
      <c r="BS397" s="139"/>
      <c r="BT397" s="139"/>
      <c r="BU397" s="139"/>
      <c r="BV397" s="139"/>
      <c r="DR397" s="139"/>
      <c r="DS397" s="139"/>
    </row>
    <row r="398" spans="1:123" x14ac:dyDescent="0.2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  <c r="AA398" s="139"/>
      <c r="AB398" s="139"/>
      <c r="AC398" s="139"/>
      <c r="AD398" s="139"/>
      <c r="AE398" s="139"/>
      <c r="AF398" s="139"/>
      <c r="AG398" s="139"/>
      <c r="AH398" s="139"/>
      <c r="AI398" s="139"/>
      <c r="AJ398" s="139"/>
      <c r="AK398" s="139"/>
      <c r="AL398" s="139"/>
      <c r="AM398" s="139"/>
      <c r="AN398" s="139"/>
      <c r="AO398" s="139"/>
      <c r="AP398" s="139"/>
      <c r="AQ398" s="139"/>
      <c r="AR398" s="139"/>
      <c r="AS398" s="139"/>
      <c r="AT398" s="139"/>
      <c r="AU398" s="139"/>
      <c r="AV398" s="139"/>
      <c r="AW398" s="139"/>
      <c r="AX398" s="139"/>
      <c r="AY398" s="139"/>
      <c r="AZ398" s="139"/>
      <c r="BA398" s="139"/>
      <c r="BB398" s="139"/>
      <c r="BC398" s="139"/>
      <c r="BD398" s="139"/>
      <c r="BE398" s="139"/>
      <c r="BF398" s="139"/>
      <c r="BG398" s="139"/>
      <c r="BH398" s="139"/>
      <c r="BI398" s="139"/>
      <c r="BJ398" s="139"/>
      <c r="BK398" s="139"/>
      <c r="BL398" s="139"/>
      <c r="BM398" s="139"/>
      <c r="BN398" s="139"/>
      <c r="BO398" s="139"/>
      <c r="BP398" s="139"/>
      <c r="BQ398" s="139"/>
      <c r="BR398" s="139"/>
      <c r="BS398" s="139"/>
      <c r="BT398" s="139"/>
      <c r="BU398" s="139"/>
      <c r="BV398" s="139"/>
      <c r="DR398" s="139"/>
      <c r="DS398" s="139"/>
    </row>
    <row r="399" spans="1:123" x14ac:dyDescent="0.2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  <c r="AA399" s="139"/>
      <c r="AB399" s="139"/>
      <c r="AC399" s="139"/>
      <c r="AD399" s="139"/>
      <c r="AE399" s="139"/>
      <c r="AF399" s="139"/>
      <c r="AG399" s="139"/>
      <c r="AH399" s="139"/>
      <c r="AI399" s="139"/>
      <c r="AJ399" s="139"/>
      <c r="AK399" s="139"/>
      <c r="AL399" s="139"/>
      <c r="AM399" s="139"/>
      <c r="AN399" s="139"/>
      <c r="AO399" s="139"/>
      <c r="AP399" s="139"/>
      <c r="AQ399" s="139"/>
      <c r="AR399" s="139"/>
      <c r="AS399" s="139"/>
      <c r="AT399" s="139"/>
      <c r="AU399" s="139"/>
      <c r="AV399" s="139"/>
      <c r="AW399" s="139"/>
      <c r="AX399" s="139"/>
      <c r="AY399" s="139"/>
      <c r="AZ399" s="139"/>
      <c r="BA399" s="139"/>
      <c r="BB399" s="139"/>
      <c r="BC399" s="139"/>
      <c r="BD399" s="139"/>
      <c r="BE399" s="139"/>
      <c r="BF399" s="139"/>
      <c r="BG399" s="139"/>
      <c r="BH399" s="139"/>
      <c r="BI399" s="139"/>
      <c r="BJ399" s="139"/>
      <c r="BK399" s="139"/>
      <c r="BL399" s="139"/>
      <c r="BM399" s="139"/>
      <c r="BN399" s="139"/>
      <c r="BO399" s="139"/>
      <c r="BP399" s="139"/>
      <c r="BQ399" s="139"/>
      <c r="BR399" s="139"/>
      <c r="BS399" s="139"/>
      <c r="BT399" s="139"/>
      <c r="BU399" s="139"/>
      <c r="BV399" s="139"/>
      <c r="DR399" s="139"/>
      <c r="DS399" s="139"/>
    </row>
    <row r="400" spans="1:123" x14ac:dyDescent="0.2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  <c r="AA400" s="139"/>
      <c r="AB400" s="139"/>
      <c r="AC400" s="139"/>
      <c r="AD400" s="139"/>
      <c r="AE400" s="139"/>
      <c r="AF400" s="139"/>
      <c r="AG400" s="139"/>
      <c r="AH400" s="139"/>
      <c r="AI400" s="139"/>
      <c r="AJ400" s="139"/>
      <c r="AK400" s="139"/>
      <c r="AL400" s="139"/>
      <c r="AM400" s="139"/>
      <c r="AN400" s="139"/>
      <c r="AO400" s="139"/>
      <c r="AP400" s="139"/>
      <c r="AQ400" s="139"/>
      <c r="AR400" s="139"/>
      <c r="AS400" s="139"/>
      <c r="AT400" s="139"/>
      <c r="AU400" s="139"/>
      <c r="AV400" s="139"/>
      <c r="AW400" s="139"/>
      <c r="AX400" s="139"/>
      <c r="AY400" s="139"/>
      <c r="AZ400" s="139"/>
      <c r="BA400" s="139"/>
      <c r="BB400" s="139"/>
      <c r="BC400" s="139"/>
      <c r="BD400" s="139"/>
      <c r="BE400" s="139"/>
      <c r="BF400" s="139"/>
      <c r="BG400" s="139"/>
      <c r="BH400" s="139"/>
      <c r="BI400" s="139"/>
      <c r="BJ400" s="139"/>
      <c r="BK400" s="139"/>
      <c r="BL400" s="139"/>
      <c r="BM400" s="139"/>
      <c r="BN400" s="139"/>
      <c r="BO400" s="139"/>
      <c r="BP400" s="139"/>
      <c r="BQ400" s="139"/>
      <c r="BR400" s="139"/>
      <c r="BS400" s="139"/>
      <c r="BT400" s="139"/>
      <c r="BU400" s="139"/>
      <c r="BV400" s="139"/>
      <c r="DR400" s="139"/>
      <c r="DS400" s="139"/>
    </row>
    <row r="401" spans="1:123" x14ac:dyDescent="0.2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  <c r="AA401" s="139"/>
      <c r="AB401" s="139"/>
      <c r="AC401" s="139"/>
      <c r="AD401" s="139"/>
      <c r="AE401" s="139"/>
      <c r="AF401" s="139"/>
      <c r="AG401" s="139"/>
      <c r="AH401" s="139"/>
      <c r="AI401" s="139"/>
      <c r="AJ401" s="139"/>
      <c r="AK401" s="139"/>
      <c r="AL401" s="139"/>
      <c r="AM401" s="139"/>
      <c r="AN401" s="139"/>
      <c r="AO401" s="139"/>
      <c r="AP401" s="139"/>
      <c r="AQ401" s="139"/>
      <c r="AR401" s="139"/>
      <c r="AS401" s="139"/>
      <c r="AT401" s="139"/>
      <c r="AU401" s="139"/>
      <c r="AV401" s="139"/>
      <c r="AW401" s="139"/>
      <c r="AX401" s="139"/>
      <c r="AY401" s="139"/>
      <c r="AZ401" s="139"/>
      <c r="BA401" s="139"/>
      <c r="BB401" s="139"/>
      <c r="BC401" s="139"/>
      <c r="BD401" s="139"/>
      <c r="BE401" s="139"/>
      <c r="BF401" s="139"/>
      <c r="BG401" s="139"/>
      <c r="BH401" s="139"/>
      <c r="BI401" s="139"/>
      <c r="BJ401" s="139"/>
      <c r="BK401" s="139"/>
      <c r="BL401" s="139"/>
      <c r="BM401" s="139"/>
      <c r="BN401" s="139"/>
      <c r="BO401" s="139"/>
      <c r="BP401" s="139"/>
      <c r="BQ401" s="139"/>
      <c r="BR401" s="139"/>
      <c r="BS401" s="139"/>
      <c r="BT401" s="139"/>
      <c r="BU401" s="139"/>
      <c r="BV401" s="139"/>
      <c r="DR401" s="139"/>
      <c r="DS401" s="139"/>
    </row>
    <row r="402" spans="1:123" x14ac:dyDescent="0.2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  <c r="AA402" s="139"/>
      <c r="AB402" s="139"/>
      <c r="AC402" s="139"/>
      <c r="AD402" s="139"/>
      <c r="AE402" s="139"/>
      <c r="AF402" s="139"/>
      <c r="AG402" s="139"/>
      <c r="AH402" s="139"/>
      <c r="AI402" s="139"/>
      <c r="AJ402" s="139"/>
      <c r="AK402" s="139"/>
      <c r="AL402" s="139"/>
      <c r="AM402" s="139"/>
      <c r="AN402" s="139"/>
      <c r="AO402" s="139"/>
      <c r="AP402" s="139"/>
      <c r="AQ402" s="139"/>
      <c r="AR402" s="139"/>
      <c r="AS402" s="139"/>
      <c r="AT402" s="139"/>
      <c r="AU402" s="139"/>
      <c r="AV402" s="139"/>
      <c r="AW402" s="139"/>
      <c r="AX402" s="139"/>
      <c r="AY402" s="139"/>
      <c r="AZ402" s="139"/>
      <c r="BA402" s="139"/>
      <c r="BB402" s="139"/>
      <c r="BC402" s="139"/>
      <c r="BD402" s="139"/>
      <c r="BE402" s="139"/>
      <c r="BF402" s="139"/>
      <c r="BG402" s="139"/>
      <c r="BH402" s="139"/>
      <c r="BI402" s="139"/>
      <c r="BJ402" s="139"/>
      <c r="BK402" s="139"/>
      <c r="BL402" s="139"/>
      <c r="BM402" s="139"/>
      <c r="BN402" s="139"/>
      <c r="BO402" s="139"/>
      <c r="BP402" s="139"/>
      <c r="BQ402" s="139"/>
      <c r="BR402" s="139"/>
      <c r="BS402" s="139"/>
      <c r="BT402" s="139"/>
      <c r="BU402" s="139"/>
      <c r="BV402" s="139"/>
      <c r="DR402" s="139"/>
      <c r="DS402" s="139"/>
    </row>
    <row r="403" spans="1:123" x14ac:dyDescent="0.2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  <c r="AA403" s="139"/>
      <c r="AB403" s="139"/>
      <c r="AC403" s="139"/>
      <c r="AD403" s="139"/>
      <c r="AE403" s="139"/>
      <c r="AF403" s="139"/>
      <c r="AG403" s="139"/>
      <c r="AH403" s="139"/>
      <c r="AI403" s="139"/>
      <c r="AJ403" s="139"/>
      <c r="AK403" s="139"/>
      <c r="AL403" s="139"/>
      <c r="AM403" s="139"/>
      <c r="AN403" s="139"/>
      <c r="AO403" s="139"/>
      <c r="AP403" s="139"/>
      <c r="AQ403" s="139"/>
      <c r="AR403" s="139"/>
      <c r="AS403" s="139"/>
      <c r="AT403" s="139"/>
      <c r="AU403" s="139"/>
      <c r="AV403" s="139"/>
      <c r="AW403" s="139"/>
      <c r="AX403" s="139"/>
      <c r="AY403" s="139"/>
      <c r="AZ403" s="139"/>
      <c r="BA403" s="139"/>
      <c r="BB403" s="139"/>
      <c r="BC403" s="139"/>
      <c r="BD403" s="139"/>
      <c r="BE403" s="139"/>
      <c r="BF403" s="139"/>
      <c r="BG403" s="139"/>
      <c r="BH403" s="139"/>
      <c r="BI403" s="139"/>
      <c r="BJ403" s="139"/>
      <c r="BK403" s="139"/>
      <c r="BL403" s="139"/>
      <c r="BM403" s="139"/>
      <c r="BN403" s="139"/>
      <c r="BO403" s="139"/>
      <c r="BP403" s="139"/>
      <c r="BQ403" s="139"/>
      <c r="BR403" s="139"/>
      <c r="BS403" s="139"/>
      <c r="BT403" s="139"/>
      <c r="BU403" s="139"/>
      <c r="BV403" s="139"/>
      <c r="DR403" s="139"/>
      <c r="DS403" s="139"/>
    </row>
    <row r="404" spans="1:123" x14ac:dyDescent="0.2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  <c r="AA404" s="139"/>
      <c r="AB404" s="139"/>
      <c r="AC404" s="139"/>
      <c r="AD404" s="139"/>
      <c r="AE404" s="139"/>
      <c r="AF404" s="139"/>
      <c r="AG404" s="139"/>
      <c r="AH404" s="139"/>
      <c r="AI404" s="139"/>
      <c r="AJ404" s="139"/>
      <c r="AK404" s="139"/>
      <c r="AL404" s="139"/>
      <c r="AM404" s="139"/>
      <c r="AN404" s="139"/>
      <c r="AO404" s="139"/>
      <c r="AP404" s="139"/>
      <c r="AQ404" s="139"/>
      <c r="AR404" s="139"/>
      <c r="AS404" s="139"/>
      <c r="AT404" s="139"/>
      <c r="AU404" s="139"/>
      <c r="AV404" s="139"/>
      <c r="AW404" s="139"/>
      <c r="AX404" s="139"/>
      <c r="AY404" s="139"/>
      <c r="AZ404" s="139"/>
      <c r="BA404" s="139"/>
      <c r="BB404" s="139"/>
      <c r="BC404" s="139"/>
      <c r="BD404" s="139"/>
      <c r="BE404" s="139"/>
      <c r="BF404" s="139"/>
      <c r="BG404" s="139"/>
      <c r="BH404" s="139"/>
      <c r="BI404" s="139"/>
      <c r="BJ404" s="139"/>
      <c r="BK404" s="139"/>
      <c r="BL404" s="139"/>
      <c r="BM404" s="139"/>
      <c r="BN404" s="139"/>
      <c r="BO404" s="139"/>
      <c r="BP404" s="139"/>
      <c r="BQ404" s="139"/>
      <c r="BR404" s="139"/>
      <c r="BS404" s="139"/>
      <c r="BT404" s="139"/>
      <c r="BU404" s="139"/>
      <c r="BV404" s="139"/>
      <c r="DR404" s="139"/>
      <c r="DS404" s="139"/>
    </row>
    <row r="405" spans="1:123" x14ac:dyDescent="0.2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  <c r="AA405" s="139"/>
      <c r="AB405" s="139"/>
      <c r="AC405" s="139"/>
      <c r="AD405" s="139"/>
      <c r="AE405" s="139"/>
      <c r="AF405" s="139"/>
      <c r="AG405" s="139"/>
      <c r="AH405" s="139"/>
      <c r="AI405" s="139"/>
      <c r="AJ405" s="139"/>
      <c r="AK405" s="139"/>
      <c r="AL405" s="139"/>
      <c r="AM405" s="139"/>
      <c r="AN405" s="139"/>
      <c r="AO405" s="139"/>
      <c r="AP405" s="139"/>
      <c r="AQ405" s="139"/>
      <c r="AR405" s="139"/>
      <c r="AS405" s="139"/>
      <c r="AT405" s="139"/>
      <c r="AU405" s="139"/>
      <c r="AV405" s="139"/>
      <c r="AW405" s="139"/>
      <c r="AX405" s="139"/>
      <c r="AY405" s="139"/>
      <c r="AZ405" s="139"/>
      <c r="BA405" s="139"/>
      <c r="BB405" s="139"/>
      <c r="BC405" s="139"/>
      <c r="BD405" s="139"/>
      <c r="BE405" s="139"/>
      <c r="BF405" s="139"/>
      <c r="BG405" s="139"/>
      <c r="BH405" s="139"/>
      <c r="BI405" s="139"/>
      <c r="BJ405" s="139"/>
      <c r="BK405" s="139"/>
      <c r="BL405" s="139"/>
      <c r="BM405" s="139"/>
      <c r="BN405" s="139"/>
      <c r="BO405" s="139"/>
      <c r="BP405" s="139"/>
      <c r="BQ405" s="139"/>
      <c r="BR405" s="139"/>
      <c r="BS405" s="139"/>
      <c r="BT405" s="139"/>
      <c r="BU405" s="139"/>
      <c r="BV405" s="139"/>
      <c r="DR405" s="139"/>
      <c r="DS405" s="139"/>
    </row>
    <row r="406" spans="1:123" x14ac:dyDescent="0.2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  <c r="AA406" s="139"/>
      <c r="AB406" s="139"/>
      <c r="AC406" s="139"/>
      <c r="AD406" s="139"/>
      <c r="AE406" s="139"/>
      <c r="AF406" s="139"/>
      <c r="AG406" s="139"/>
      <c r="AH406" s="139"/>
      <c r="AI406" s="139"/>
      <c r="AJ406" s="139"/>
      <c r="AK406" s="139"/>
      <c r="AL406" s="139"/>
      <c r="AM406" s="139"/>
      <c r="AN406" s="139"/>
      <c r="AO406" s="139"/>
      <c r="AP406" s="139"/>
      <c r="AQ406" s="139"/>
      <c r="AR406" s="139"/>
      <c r="AS406" s="139"/>
      <c r="AT406" s="139"/>
      <c r="AU406" s="139"/>
      <c r="AV406" s="139"/>
      <c r="AW406" s="139"/>
      <c r="AX406" s="139"/>
      <c r="AY406" s="139"/>
      <c r="AZ406" s="139"/>
      <c r="BA406" s="139"/>
      <c r="BB406" s="139"/>
      <c r="BC406" s="139"/>
      <c r="BD406" s="139"/>
      <c r="BE406" s="139"/>
      <c r="BF406" s="139"/>
      <c r="BG406" s="139"/>
      <c r="BH406" s="139"/>
      <c r="BI406" s="139"/>
      <c r="BJ406" s="139"/>
      <c r="BK406" s="139"/>
      <c r="BL406" s="139"/>
      <c r="BM406" s="139"/>
      <c r="BN406" s="139"/>
      <c r="BO406" s="139"/>
      <c r="BP406" s="139"/>
      <c r="BQ406" s="139"/>
      <c r="BR406" s="139"/>
      <c r="BS406" s="139"/>
      <c r="BT406" s="139"/>
      <c r="BU406" s="139"/>
      <c r="BV406" s="139"/>
      <c r="DR406" s="139"/>
      <c r="DS406" s="139"/>
    </row>
    <row r="407" spans="1:123" x14ac:dyDescent="0.2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  <c r="AA407" s="139"/>
      <c r="AB407" s="139"/>
      <c r="AC407" s="139"/>
      <c r="AD407" s="139"/>
      <c r="AE407" s="139"/>
      <c r="AF407" s="139"/>
      <c r="AG407" s="139"/>
      <c r="AH407" s="139"/>
      <c r="AI407" s="139"/>
      <c r="AJ407" s="139"/>
      <c r="AK407" s="139"/>
      <c r="AL407" s="139"/>
      <c r="AM407" s="139"/>
      <c r="AN407" s="139"/>
      <c r="AO407" s="139"/>
      <c r="AP407" s="139"/>
      <c r="AQ407" s="139"/>
      <c r="AR407" s="139"/>
      <c r="AS407" s="139"/>
      <c r="AT407" s="139"/>
      <c r="AU407" s="139"/>
      <c r="AV407" s="139"/>
      <c r="AW407" s="139"/>
      <c r="AX407" s="139"/>
      <c r="AY407" s="139"/>
      <c r="AZ407" s="139"/>
      <c r="BA407" s="139"/>
      <c r="BB407" s="139"/>
      <c r="BC407" s="139"/>
      <c r="BD407" s="139"/>
      <c r="BE407" s="139"/>
      <c r="BF407" s="139"/>
      <c r="BG407" s="139"/>
      <c r="BH407" s="139"/>
      <c r="BI407" s="139"/>
      <c r="BJ407" s="139"/>
      <c r="BK407" s="139"/>
      <c r="BL407" s="139"/>
      <c r="BM407" s="139"/>
      <c r="BN407" s="139"/>
      <c r="BO407" s="139"/>
      <c r="BP407" s="139"/>
      <c r="BQ407" s="139"/>
      <c r="BR407" s="139"/>
      <c r="BS407" s="139"/>
      <c r="BT407" s="139"/>
      <c r="BU407" s="139"/>
      <c r="BV407" s="139"/>
      <c r="DR407" s="139"/>
      <c r="DS407" s="139"/>
    </row>
    <row r="408" spans="1:123" x14ac:dyDescent="0.2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  <c r="AA408" s="139"/>
      <c r="AB408" s="139"/>
      <c r="AC408" s="139"/>
      <c r="AD408" s="139"/>
      <c r="AE408" s="139"/>
      <c r="AF408" s="139"/>
      <c r="AG408" s="139"/>
      <c r="AH408" s="139"/>
      <c r="AI408" s="139"/>
      <c r="AJ408" s="139"/>
      <c r="AK408" s="139"/>
      <c r="AL408" s="139"/>
      <c r="AM408" s="139"/>
      <c r="AN408" s="139"/>
      <c r="AO408" s="139"/>
      <c r="AP408" s="139"/>
      <c r="AQ408" s="139"/>
      <c r="AR408" s="139"/>
      <c r="AS408" s="139"/>
      <c r="AT408" s="139"/>
      <c r="AU408" s="139"/>
      <c r="AV408" s="139"/>
      <c r="AW408" s="139"/>
      <c r="AX408" s="139"/>
      <c r="AY408" s="139"/>
      <c r="AZ408" s="139"/>
      <c r="BA408" s="139"/>
      <c r="BB408" s="139"/>
      <c r="BC408" s="139"/>
      <c r="BD408" s="139"/>
      <c r="BE408" s="139"/>
      <c r="BF408" s="139"/>
      <c r="BG408" s="139"/>
      <c r="BH408" s="139"/>
      <c r="BI408" s="139"/>
      <c r="BJ408" s="139"/>
      <c r="BK408" s="139"/>
      <c r="BL408" s="139"/>
      <c r="BM408" s="139"/>
      <c r="BN408" s="139"/>
      <c r="BO408" s="139"/>
      <c r="BP408" s="139"/>
      <c r="BQ408" s="139"/>
      <c r="BR408" s="139"/>
      <c r="BS408" s="139"/>
      <c r="BT408" s="139"/>
      <c r="BU408" s="139"/>
      <c r="BV408" s="139"/>
      <c r="DR408" s="139"/>
      <c r="DS408" s="139"/>
    </row>
    <row r="409" spans="1:123" x14ac:dyDescent="0.2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  <c r="AA409" s="139"/>
      <c r="AB409" s="139"/>
      <c r="AC409" s="139"/>
      <c r="AD409" s="139"/>
      <c r="AE409" s="139"/>
      <c r="AF409" s="139"/>
      <c r="AG409" s="139"/>
      <c r="AH409" s="139"/>
      <c r="AI409" s="139"/>
      <c r="AJ409" s="139"/>
      <c r="AK409" s="139"/>
      <c r="AL409" s="139"/>
      <c r="AM409" s="139"/>
      <c r="AN409" s="139"/>
      <c r="AO409" s="139"/>
      <c r="AP409" s="139"/>
      <c r="AQ409" s="139"/>
      <c r="AR409" s="139"/>
      <c r="AS409" s="139"/>
      <c r="AT409" s="139"/>
      <c r="AU409" s="139"/>
      <c r="AV409" s="139"/>
      <c r="AW409" s="139"/>
      <c r="AX409" s="139"/>
      <c r="AY409" s="139"/>
      <c r="AZ409" s="139"/>
      <c r="BA409" s="139"/>
      <c r="BB409" s="139"/>
      <c r="BC409" s="139"/>
      <c r="BD409" s="139"/>
      <c r="BE409" s="139"/>
      <c r="BF409" s="139"/>
      <c r="BG409" s="139"/>
      <c r="BH409" s="139"/>
      <c r="BI409" s="139"/>
      <c r="BJ409" s="139"/>
      <c r="BK409" s="139"/>
      <c r="BL409" s="139"/>
      <c r="BM409" s="139"/>
      <c r="BN409" s="139"/>
      <c r="BO409" s="139"/>
      <c r="BP409" s="139"/>
      <c r="BQ409" s="139"/>
      <c r="BR409" s="139"/>
      <c r="BS409" s="139"/>
      <c r="BT409" s="139"/>
      <c r="BU409" s="139"/>
      <c r="BV409" s="139"/>
      <c r="DR409" s="139"/>
      <c r="DS409" s="139"/>
    </row>
    <row r="410" spans="1:123" x14ac:dyDescent="0.2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  <c r="AA410" s="139"/>
      <c r="AB410" s="139"/>
      <c r="AC410" s="139"/>
      <c r="AD410" s="139"/>
      <c r="AE410" s="139"/>
      <c r="AF410" s="139"/>
      <c r="AG410" s="139"/>
      <c r="AH410" s="139"/>
      <c r="AI410" s="139"/>
      <c r="AJ410" s="139"/>
      <c r="AK410" s="139"/>
      <c r="AL410" s="139"/>
      <c r="AM410" s="139"/>
      <c r="AN410" s="139"/>
      <c r="AO410" s="139"/>
      <c r="AP410" s="139"/>
      <c r="AQ410" s="139"/>
      <c r="AR410" s="139"/>
      <c r="AS410" s="139"/>
      <c r="AT410" s="139"/>
      <c r="AU410" s="139"/>
      <c r="AV410" s="139"/>
      <c r="AW410" s="139"/>
      <c r="AX410" s="139"/>
      <c r="AY410" s="139"/>
      <c r="AZ410" s="139"/>
      <c r="BA410" s="139"/>
      <c r="BB410" s="139"/>
      <c r="BC410" s="139"/>
      <c r="BD410" s="139"/>
      <c r="BE410" s="139"/>
      <c r="BF410" s="139"/>
      <c r="BG410" s="139"/>
      <c r="BH410" s="139"/>
      <c r="BI410" s="139"/>
      <c r="BJ410" s="139"/>
      <c r="BK410" s="139"/>
      <c r="BL410" s="139"/>
      <c r="BM410" s="139"/>
      <c r="BN410" s="139"/>
      <c r="BO410" s="139"/>
      <c r="BP410" s="139"/>
      <c r="BQ410" s="139"/>
      <c r="BR410" s="139"/>
      <c r="BS410" s="139"/>
      <c r="BT410" s="139"/>
      <c r="BU410" s="139"/>
      <c r="BV410" s="139"/>
      <c r="DR410" s="139"/>
      <c r="DS410" s="139"/>
    </row>
    <row r="411" spans="1:123" x14ac:dyDescent="0.2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  <c r="AA411" s="139"/>
      <c r="AB411" s="139"/>
      <c r="AC411" s="139"/>
      <c r="AD411" s="139"/>
      <c r="AE411" s="139"/>
      <c r="AF411" s="139"/>
      <c r="AG411" s="139"/>
      <c r="AH411" s="139"/>
      <c r="AI411" s="139"/>
      <c r="AJ411" s="139"/>
      <c r="AK411" s="139"/>
      <c r="AL411" s="139"/>
      <c r="AM411" s="139"/>
      <c r="AN411" s="139"/>
      <c r="AO411" s="139"/>
      <c r="AP411" s="139"/>
      <c r="AQ411" s="139"/>
      <c r="AR411" s="139"/>
      <c r="AS411" s="139"/>
      <c r="AT411" s="139"/>
      <c r="AU411" s="139"/>
      <c r="AV411" s="139"/>
      <c r="AW411" s="139"/>
      <c r="AX411" s="139"/>
      <c r="AY411" s="139"/>
      <c r="AZ411" s="139"/>
      <c r="BA411" s="139"/>
      <c r="BB411" s="139"/>
      <c r="BC411" s="139"/>
      <c r="BD411" s="139"/>
      <c r="BE411" s="139"/>
      <c r="BF411" s="139"/>
      <c r="BG411" s="139"/>
      <c r="BH411" s="139"/>
      <c r="BI411" s="139"/>
      <c r="BJ411" s="139"/>
      <c r="BK411" s="139"/>
      <c r="BL411" s="139"/>
      <c r="BM411" s="139"/>
      <c r="BN411" s="139"/>
      <c r="BO411" s="139"/>
      <c r="BP411" s="139"/>
      <c r="BQ411" s="139"/>
      <c r="BR411" s="139"/>
      <c r="BS411" s="139"/>
      <c r="BT411" s="139"/>
      <c r="BU411" s="139"/>
      <c r="BV411" s="139"/>
      <c r="DR411" s="139"/>
      <c r="DS411" s="139"/>
    </row>
    <row r="412" spans="1:123" x14ac:dyDescent="0.2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  <c r="AA412" s="139"/>
      <c r="AB412" s="139"/>
      <c r="AC412" s="139"/>
      <c r="AD412" s="139"/>
      <c r="AE412" s="139"/>
      <c r="AF412" s="139"/>
      <c r="AG412" s="139"/>
      <c r="AH412" s="139"/>
      <c r="AI412" s="139"/>
      <c r="AJ412" s="139"/>
      <c r="AK412" s="139"/>
      <c r="AL412" s="139"/>
      <c r="AM412" s="139"/>
      <c r="AN412" s="139"/>
      <c r="AO412" s="139"/>
      <c r="AP412" s="139"/>
      <c r="AQ412" s="139"/>
      <c r="AR412" s="139"/>
      <c r="AS412" s="139"/>
      <c r="AT412" s="139"/>
      <c r="AU412" s="139"/>
      <c r="AV412" s="139"/>
      <c r="AW412" s="139"/>
      <c r="AX412" s="139"/>
      <c r="AY412" s="139"/>
      <c r="AZ412" s="139"/>
      <c r="BA412" s="139"/>
      <c r="BB412" s="139"/>
      <c r="BC412" s="139"/>
      <c r="BD412" s="139"/>
      <c r="BE412" s="139"/>
      <c r="BF412" s="139"/>
      <c r="BG412" s="139"/>
      <c r="BH412" s="139"/>
      <c r="BI412" s="139"/>
      <c r="BJ412" s="139"/>
      <c r="BK412" s="139"/>
      <c r="BL412" s="139"/>
      <c r="BM412" s="139"/>
      <c r="BN412" s="139"/>
      <c r="BO412" s="139"/>
      <c r="BP412" s="139"/>
      <c r="BQ412" s="139"/>
      <c r="BR412" s="139"/>
      <c r="BS412" s="139"/>
      <c r="BT412" s="139"/>
      <c r="BU412" s="139"/>
      <c r="BV412" s="139"/>
      <c r="DR412" s="139"/>
      <c r="DS412" s="139"/>
    </row>
    <row r="413" spans="1:123" x14ac:dyDescent="0.2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  <c r="AA413" s="139"/>
      <c r="AB413" s="139"/>
      <c r="AC413" s="139"/>
      <c r="AD413" s="139"/>
      <c r="AE413" s="139"/>
      <c r="AF413" s="139"/>
      <c r="AG413" s="139"/>
      <c r="AH413" s="139"/>
      <c r="AI413" s="139"/>
      <c r="AJ413" s="139"/>
      <c r="AK413" s="139"/>
      <c r="AL413" s="139"/>
      <c r="AM413" s="139"/>
      <c r="AN413" s="139"/>
      <c r="AO413" s="139"/>
      <c r="AP413" s="139"/>
      <c r="AQ413" s="139"/>
      <c r="AR413" s="139"/>
      <c r="AS413" s="139"/>
      <c r="AT413" s="139"/>
      <c r="AU413" s="139"/>
      <c r="AV413" s="139"/>
      <c r="AW413" s="139"/>
      <c r="AX413" s="139"/>
      <c r="AY413" s="139"/>
      <c r="AZ413" s="139"/>
      <c r="BA413" s="139"/>
      <c r="BB413" s="139"/>
      <c r="BC413" s="139"/>
      <c r="BD413" s="139"/>
      <c r="BE413" s="139"/>
      <c r="BF413" s="139"/>
      <c r="BG413" s="139"/>
      <c r="BH413" s="139"/>
      <c r="BI413" s="139"/>
      <c r="BJ413" s="139"/>
      <c r="BK413" s="139"/>
      <c r="BL413" s="139"/>
      <c r="BM413" s="139"/>
      <c r="BN413" s="139"/>
      <c r="BO413" s="139"/>
      <c r="BP413" s="139"/>
      <c r="BQ413" s="139"/>
      <c r="BR413" s="139"/>
      <c r="BS413" s="139"/>
      <c r="BT413" s="139"/>
      <c r="BU413" s="139"/>
      <c r="BV413" s="139"/>
      <c r="DR413" s="139"/>
      <c r="DS413" s="139"/>
    </row>
    <row r="414" spans="1:123" x14ac:dyDescent="0.2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  <c r="AA414" s="139"/>
      <c r="AB414" s="139"/>
      <c r="AC414" s="139"/>
      <c r="AD414" s="139"/>
      <c r="AE414" s="139"/>
      <c r="AF414" s="139"/>
      <c r="AG414" s="139"/>
      <c r="AH414" s="139"/>
      <c r="AI414" s="139"/>
      <c r="AJ414" s="139"/>
      <c r="AK414" s="139"/>
      <c r="AL414" s="139"/>
      <c r="AM414" s="139"/>
      <c r="AN414" s="139"/>
      <c r="AO414" s="139"/>
      <c r="AP414" s="139"/>
      <c r="AQ414" s="139"/>
      <c r="AR414" s="139"/>
      <c r="AS414" s="139"/>
      <c r="AT414" s="139"/>
      <c r="AU414" s="139"/>
      <c r="AV414" s="139"/>
      <c r="AW414" s="139"/>
      <c r="AX414" s="139"/>
      <c r="AY414" s="139"/>
      <c r="AZ414" s="139"/>
      <c r="BA414" s="139"/>
      <c r="BB414" s="139"/>
      <c r="BC414" s="139"/>
      <c r="BD414" s="139"/>
      <c r="BE414" s="139"/>
      <c r="BF414" s="139"/>
      <c r="BG414" s="139"/>
      <c r="BH414" s="139"/>
      <c r="BI414" s="139"/>
      <c r="BJ414" s="139"/>
      <c r="BK414" s="139"/>
      <c r="BL414" s="139"/>
      <c r="BM414" s="139"/>
      <c r="BN414" s="139"/>
      <c r="BO414" s="139"/>
      <c r="BP414" s="139"/>
      <c r="BQ414" s="139"/>
      <c r="BR414" s="139"/>
      <c r="BS414" s="139"/>
      <c r="BT414" s="139"/>
      <c r="BU414" s="139"/>
      <c r="BV414" s="139"/>
      <c r="DR414" s="139"/>
      <c r="DS414" s="139"/>
    </row>
    <row r="415" spans="1:123" x14ac:dyDescent="0.2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  <c r="AA415" s="139"/>
      <c r="AB415" s="139"/>
      <c r="AC415" s="139"/>
      <c r="AD415" s="139"/>
      <c r="AE415" s="139"/>
      <c r="AF415" s="139"/>
      <c r="AG415" s="139"/>
      <c r="AH415" s="139"/>
      <c r="AI415" s="139"/>
      <c r="AJ415" s="139"/>
      <c r="AK415" s="139"/>
      <c r="AL415" s="139"/>
      <c r="AM415" s="139"/>
      <c r="AN415" s="139"/>
      <c r="AO415" s="139"/>
      <c r="AP415" s="139"/>
      <c r="AQ415" s="139"/>
      <c r="AR415" s="139"/>
      <c r="AS415" s="139"/>
      <c r="AT415" s="139"/>
      <c r="AU415" s="139"/>
      <c r="AV415" s="139"/>
      <c r="AW415" s="139"/>
      <c r="AX415" s="139"/>
      <c r="AY415" s="139"/>
      <c r="AZ415" s="139"/>
      <c r="BA415" s="139"/>
      <c r="BB415" s="139"/>
      <c r="BC415" s="139"/>
      <c r="BD415" s="139"/>
      <c r="BE415" s="139"/>
      <c r="BF415" s="139"/>
      <c r="BG415" s="139"/>
      <c r="BH415" s="139"/>
      <c r="BI415" s="139"/>
      <c r="BJ415" s="139"/>
      <c r="BK415" s="139"/>
      <c r="BL415" s="139"/>
      <c r="BM415" s="139"/>
      <c r="BN415" s="139"/>
      <c r="BO415" s="139"/>
      <c r="BP415" s="139"/>
      <c r="BQ415" s="139"/>
      <c r="BR415" s="139"/>
      <c r="BS415" s="139"/>
      <c r="BT415" s="139"/>
      <c r="BU415" s="139"/>
      <c r="BV415" s="139"/>
      <c r="DR415" s="139"/>
      <c r="DS415" s="139"/>
    </row>
    <row r="416" spans="1:123" x14ac:dyDescent="0.2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  <c r="AA416" s="139"/>
      <c r="AB416" s="139"/>
      <c r="AC416" s="139"/>
      <c r="AD416" s="139"/>
      <c r="AE416" s="139"/>
      <c r="AF416" s="139"/>
      <c r="AG416" s="139"/>
      <c r="AH416" s="139"/>
      <c r="AI416" s="139"/>
      <c r="AJ416" s="139"/>
      <c r="AK416" s="139"/>
      <c r="AL416" s="139"/>
      <c r="AM416" s="139"/>
      <c r="AN416" s="139"/>
      <c r="AO416" s="139"/>
      <c r="AP416" s="139"/>
      <c r="AQ416" s="139"/>
      <c r="AR416" s="139"/>
      <c r="AS416" s="139"/>
      <c r="AT416" s="139"/>
      <c r="AU416" s="139"/>
      <c r="AV416" s="139"/>
      <c r="AW416" s="139"/>
      <c r="AX416" s="139"/>
      <c r="AY416" s="139"/>
      <c r="AZ416" s="139"/>
      <c r="BA416" s="139"/>
      <c r="BB416" s="139"/>
      <c r="BC416" s="139"/>
      <c r="BD416" s="139"/>
      <c r="BE416" s="139"/>
      <c r="BF416" s="139"/>
      <c r="BG416" s="139"/>
      <c r="BH416" s="139"/>
      <c r="BI416" s="139"/>
      <c r="BJ416" s="139"/>
      <c r="BK416" s="139"/>
      <c r="BL416" s="139"/>
      <c r="DR416" s="139"/>
      <c r="DS416" s="139"/>
    </row>
    <row r="417" spans="1:123" x14ac:dyDescent="0.2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  <c r="AB417" s="139"/>
      <c r="AC417" s="139"/>
      <c r="AD417" s="139"/>
      <c r="AE417" s="139"/>
      <c r="AF417" s="139"/>
      <c r="AG417" s="139"/>
      <c r="AH417" s="139"/>
      <c r="AI417" s="139"/>
      <c r="AJ417" s="139"/>
      <c r="AK417" s="139"/>
      <c r="AL417" s="139"/>
      <c r="AM417" s="139"/>
      <c r="AN417" s="139"/>
      <c r="AO417" s="139"/>
      <c r="AP417" s="139"/>
      <c r="AQ417" s="139"/>
      <c r="AR417" s="139"/>
      <c r="AS417" s="139"/>
      <c r="AT417" s="139"/>
      <c r="AU417" s="139"/>
      <c r="AV417" s="139"/>
      <c r="AW417" s="139"/>
      <c r="AX417" s="139"/>
      <c r="AY417" s="139"/>
      <c r="AZ417" s="139"/>
      <c r="BA417" s="139"/>
      <c r="BB417" s="139"/>
      <c r="BC417" s="139"/>
      <c r="BD417" s="139"/>
      <c r="BE417" s="139"/>
      <c r="BF417" s="139"/>
      <c r="BG417" s="139"/>
      <c r="BH417" s="139"/>
      <c r="BI417" s="139"/>
      <c r="BJ417" s="139"/>
      <c r="BK417" s="139"/>
      <c r="BL417" s="139"/>
      <c r="DR417" s="139"/>
      <c r="DS417" s="139"/>
    </row>
    <row r="418" spans="1:123" x14ac:dyDescent="0.2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  <c r="AA418" s="139"/>
      <c r="AB418" s="139"/>
      <c r="AC418" s="139"/>
      <c r="AD418" s="139"/>
      <c r="AE418" s="139"/>
      <c r="AF418" s="139"/>
      <c r="AG418" s="139"/>
      <c r="AH418" s="139"/>
      <c r="AI418" s="139"/>
      <c r="AJ418" s="139"/>
      <c r="AK418" s="139"/>
      <c r="AL418" s="139"/>
      <c r="AM418" s="139"/>
      <c r="AN418" s="139"/>
      <c r="AO418" s="139"/>
      <c r="AP418" s="139"/>
      <c r="AQ418" s="139"/>
      <c r="AR418" s="139"/>
      <c r="AS418" s="139"/>
      <c r="AT418" s="139"/>
      <c r="AU418" s="139"/>
      <c r="AV418" s="139"/>
      <c r="AW418" s="139"/>
      <c r="AX418" s="139"/>
      <c r="AY418" s="139"/>
      <c r="AZ418" s="139"/>
      <c r="BA418" s="139"/>
      <c r="BB418" s="139"/>
      <c r="BC418" s="139"/>
      <c r="BD418" s="139"/>
      <c r="BE418" s="139"/>
      <c r="BF418" s="139"/>
      <c r="BG418" s="139"/>
      <c r="BH418" s="139"/>
      <c r="BI418" s="139"/>
      <c r="BJ418" s="139"/>
      <c r="BK418" s="139"/>
      <c r="BL418" s="139"/>
      <c r="DR418" s="139"/>
      <c r="DS418" s="139"/>
    </row>
    <row r="419" spans="1:123" x14ac:dyDescent="0.2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  <c r="AA419" s="139"/>
      <c r="AB419" s="139"/>
      <c r="AC419" s="139"/>
      <c r="AD419" s="139"/>
      <c r="AE419" s="139"/>
      <c r="AF419" s="139"/>
      <c r="AG419" s="139"/>
      <c r="AH419" s="139"/>
      <c r="AI419" s="139"/>
      <c r="AJ419" s="139"/>
      <c r="AK419" s="139"/>
      <c r="AL419" s="139"/>
      <c r="AM419" s="139"/>
      <c r="AN419" s="139"/>
      <c r="AO419" s="139"/>
      <c r="AP419" s="139"/>
      <c r="AQ419" s="139"/>
      <c r="AR419" s="139"/>
      <c r="AS419" s="139"/>
      <c r="AT419" s="139"/>
      <c r="AU419" s="139"/>
      <c r="AV419" s="139"/>
      <c r="AW419" s="139"/>
      <c r="AX419" s="139"/>
      <c r="AY419" s="139"/>
      <c r="AZ419" s="139"/>
      <c r="BA419" s="139"/>
      <c r="BB419" s="139"/>
      <c r="BC419" s="139"/>
      <c r="BD419" s="139"/>
      <c r="BE419" s="139"/>
      <c r="BF419" s="139"/>
      <c r="BG419" s="139"/>
      <c r="BH419" s="139"/>
      <c r="BI419" s="139"/>
      <c r="BJ419" s="139"/>
      <c r="BK419" s="139"/>
      <c r="BL419" s="139"/>
      <c r="DR419" s="139"/>
      <c r="DS419" s="139"/>
    </row>
    <row r="420" spans="1:123" x14ac:dyDescent="0.2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  <c r="AA420" s="139"/>
      <c r="AB420" s="139"/>
      <c r="AC420" s="139"/>
      <c r="AD420" s="139"/>
      <c r="AE420" s="139"/>
      <c r="AF420" s="139"/>
      <c r="AG420" s="139"/>
      <c r="AH420" s="139"/>
      <c r="AI420" s="139"/>
      <c r="AJ420" s="139"/>
      <c r="AK420" s="139"/>
      <c r="AL420" s="139"/>
      <c r="AM420" s="139"/>
      <c r="AN420" s="139"/>
      <c r="AO420" s="139"/>
      <c r="AP420" s="139"/>
      <c r="AQ420" s="139"/>
      <c r="AR420" s="139"/>
      <c r="AS420" s="139"/>
      <c r="AT420" s="139"/>
      <c r="AU420" s="139"/>
      <c r="AV420" s="139"/>
      <c r="AW420" s="139"/>
      <c r="AX420" s="139"/>
      <c r="AY420" s="139"/>
      <c r="AZ420" s="139"/>
      <c r="BA420" s="139"/>
      <c r="BB420" s="139"/>
      <c r="BC420" s="139"/>
      <c r="BD420" s="139"/>
      <c r="BE420" s="139"/>
      <c r="BF420" s="139"/>
      <c r="BG420" s="139"/>
      <c r="BH420" s="139"/>
      <c r="BI420" s="139"/>
      <c r="BJ420" s="139"/>
      <c r="BK420" s="139"/>
      <c r="BL420" s="139"/>
      <c r="DR420" s="139"/>
      <c r="DS420" s="139"/>
    </row>
    <row r="421" spans="1:123" x14ac:dyDescent="0.2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  <c r="AA421" s="139"/>
      <c r="AB421" s="139"/>
      <c r="AC421" s="139"/>
      <c r="AD421" s="139"/>
      <c r="AE421" s="139"/>
      <c r="AF421" s="139"/>
      <c r="AG421" s="139"/>
      <c r="AH421" s="139"/>
      <c r="AI421" s="139"/>
      <c r="AJ421" s="139"/>
      <c r="AK421" s="139"/>
      <c r="AL421" s="139"/>
      <c r="AM421" s="139"/>
      <c r="AN421" s="139"/>
      <c r="AO421" s="139"/>
      <c r="AP421" s="139"/>
      <c r="AQ421" s="139"/>
      <c r="AR421" s="139"/>
      <c r="AS421" s="139"/>
      <c r="AT421" s="139"/>
      <c r="AU421" s="139"/>
      <c r="AV421" s="139"/>
      <c r="AW421" s="139"/>
      <c r="AX421" s="139"/>
      <c r="AY421" s="139"/>
      <c r="AZ421" s="139"/>
      <c r="BA421" s="139"/>
      <c r="BB421" s="139"/>
      <c r="BC421" s="139"/>
      <c r="BD421" s="139"/>
      <c r="BE421" s="139"/>
      <c r="BF421" s="139"/>
      <c r="BG421" s="139"/>
      <c r="BH421" s="139"/>
      <c r="BI421" s="139"/>
      <c r="BJ421" s="139"/>
      <c r="BK421" s="139"/>
      <c r="BL421" s="139"/>
      <c r="DR421" s="139"/>
      <c r="DS421" s="139"/>
    </row>
    <row r="422" spans="1:123" x14ac:dyDescent="0.2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  <c r="AA422" s="139"/>
      <c r="AB422" s="139"/>
      <c r="AC422" s="139"/>
      <c r="AD422" s="139"/>
      <c r="AE422" s="139"/>
      <c r="AF422" s="139"/>
      <c r="AG422" s="139"/>
      <c r="AH422" s="139"/>
      <c r="AI422" s="139"/>
      <c r="AJ422" s="139"/>
      <c r="AK422" s="139"/>
      <c r="AL422" s="139"/>
      <c r="AM422" s="139"/>
      <c r="AN422" s="139"/>
      <c r="AO422" s="139"/>
      <c r="AP422" s="139"/>
      <c r="AQ422" s="139"/>
      <c r="AR422" s="139"/>
      <c r="AS422" s="139"/>
      <c r="AT422" s="139"/>
      <c r="AU422" s="139"/>
      <c r="AV422" s="139"/>
      <c r="AW422" s="139"/>
      <c r="AX422" s="139"/>
      <c r="AY422" s="139"/>
      <c r="AZ422" s="139"/>
      <c r="BA422" s="139"/>
      <c r="BB422" s="139"/>
      <c r="BC422" s="139"/>
      <c r="BD422" s="139"/>
      <c r="BE422" s="139"/>
      <c r="BF422" s="139"/>
      <c r="BG422" s="139"/>
      <c r="BH422" s="139"/>
      <c r="BI422" s="139"/>
      <c r="BJ422" s="139"/>
      <c r="BK422" s="139"/>
      <c r="BL422" s="139"/>
      <c r="DR422" s="139"/>
      <c r="DS422" s="139"/>
    </row>
    <row r="423" spans="1:123" x14ac:dyDescent="0.2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  <c r="AA423" s="139"/>
      <c r="AB423" s="139"/>
      <c r="AC423" s="139"/>
      <c r="AD423" s="139"/>
      <c r="AE423" s="139"/>
      <c r="AF423" s="139"/>
      <c r="AG423" s="139"/>
      <c r="AH423" s="139"/>
      <c r="AI423" s="139"/>
      <c r="AJ423" s="139"/>
      <c r="AK423" s="139"/>
      <c r="AL423" s="139"/>
      <c r="AM423" s="139"/>
      <c r="AN423" s="139"/>
      <c r="AO423" s="139"/>
      <c r="AP423" s="139"/>
      <c r="AQ423" s="139"/>
      <c r="AR423" s="139"/>
      <c r="AS423" s="139"/>
      <c r="AT423" s="139"/>
      <c r="AU423" s="139"/>
      <c r="AV423" s="139"/>
      <c r="AW423" s="139"/>
      <c r="AX423" s="139"/>
      <c r="AY423" s="139"/>
      <c r="AZ423" s="139"/>
      <c r="BA423" s="139"/>
      <c r="BB423" s="139"/>
      <c r="BC423" s="139"/>
      <c r="BD423" s="139"/>
      <c r="BE423" s="139"/>
      <c r="BF423" s="139"/>
      <c r="BG423" s="139"/>
      <c r="BH423" s="139"/>
      <c r="BI423" s="139"/>
      <c r="BJ423" s="139"/>
      <c r="BK423" s="139"/>
      <c r="BL423" s="139"/>
      <c r="DR423" s="139"/>
      <c r="DS423" s="139"/>
    </row>
    <row r="424" spans="1:123" x14ac:dyDescent="0.2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  <c r="AA424" s="139"/>
      <c r="AB424" s="139"/>
      <c r="AC424" s="139"/>
      <c r="AD424" s="139"/>
      <c r="AE424" s="139"/>
      <c r="AF424" s="139"/>
      <c r="AG424" s="139"/>
      <c r="AH424" s="139"/>
      <c r="AI424" s="139"/>
      <c r="AJ424" s="139"/>
      <c r="AK424" s="139"/>
      <c r="AL424" s="139"/>
      <c r="AM424" s="139"/>
      <c r="AN424" s="139"/>
      <c r="AO424" s="139"/>
      <c r="AP424" s="139"/>
      <c r="AQ424" s="139"/>
      <c r="AR424" s="139"/>
      <c r="AS424" s="139"/>
      <c r="AT424" s="139"/>
      <c r="AU424" s="139"/>
      <c r="AV424" s="139"/>
      <c r="AW424" s="139"/>
      <c r="AX424" s="139"/>
      <c r="AY424" s="139"/>
      <c r="AZ424" s="139"/>
      <c r="BA424" s="139"/>
      <c r="BB424" s="139"/>
      <c r="BC424" s="139"/>
      <c r="BD424" s="139"/>
      <c r="BE424" s="139"/>
      <c r="BF424" s="139"/>
      <c r="BG424" s="139"/>
      <c r="BH424" s="139"/>
      <c r="BI424" s="139"/>
      <c r="BJ424" s="139"/>
      <c r="BK424" s="139"/>
      <c r="BL424" s="139"/>
      <c r="DR424" s="139"/>
      <c r="DS424" s="139"/>
    </row>
    <row r="425" spans="1:123" x14ac:dyDescent="0.2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  <c r="AA425" s="139"/>
      <c r="AB425" s="139"/>
      <c r="AC425" s="139"/>
      <c r="AD425" s="139"/>
      <c r="AE425" s="139"/>
      <c r="AF425" s="139"/>
      <c r="AG425" s="139"/>
      <c r="AH425" s="139"/>
      <c r="AI425" s="139"/>
      <c r="AJ425" s="139"/>
      <c r="AK425" s="139"/>
      <c r="AL425" s="139"/>
      <c r="AM425" s="139"/>
      <c r="AN425" s="139"/>
      <c r="AO425" s="139"/>
      <c r="AP425" s="139"/>
      <c r="AQ425" s="139"/>
      <c r="AR425" s="139"/>
      <c r="AS425" s="139"/>
      <c r="AT425" s="139"/>
      <c r="AU425" s="139"/>
      <c r="AV425" s="139"/>
      <c r="AW425" s="139"/>
      <c r="AX425" s="139"/>
      <c r="AY425" s="139"/>
      <c r="AZ425" s="139"/>
      <c r="BA425" s="139"/>
      <c r="BB425" s="139"/>
      <c r="BC425" s="139"/>
      <c r="BD425" s="139"/>
      <c r="BE425" s="139"/>
      <c r="BF425" s="139"/>
      <c r="BG425" s="139"/>
      <c r="BH425" s="139"/>
      <c r="BI425" s="139"/>
      <c r="BJ425" s="139"/>
      <c r="BK425" s="139"/>
      <c r="BL425" s="139"/>
      <c r="DR425" s="139"/>
      <c r="DS425" s="139"/>
    </row>
    <row r="426" spans="1:123" x14ac:dyDescent="0.2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  <c r="AA426" s="139"/>
      <c r="AB426" s="139"/>
      <c r="AC426" s="139"/>
      <c r="AD426" s="139"/>
      <c r="AE426" s="139"/>
      <c r="AF426" s="139"/>
      <c r="AG426" s="139"/>
      <c r="AH426" s="139"/>
      <c r="AI426" s="139"/>
      <c r="AJ426" s="139"/>
      <c r="AK426" s="139"/>
      <c r="AL426" s="139"/>
      <c r="AM426" s="139"/>
      <c r="AN426" s="139"/>
      <c r="AO426" s="139"/>
      <c r="AP426" s="139"/>
      <c r="AQ426" s="139"/>
      <c r="AR426" s="139"/>
      <c r="AS426" s="139"/>
      <c r="AT426" s="139"/>
      <c r="AU426" s="139"/>
      <c r="AV426" s="139"/>
      <c r="AW426" s="139"/>
      <c r="AX426" s="139"/>
      <c r="AY426" s="139"/>
      <c r="AZ426" s="139"/>
      <c r="BA426" s="139"/>
      <c r="BB426" s="139"/>
      <c r="BC426" s="139"/>
      <c r="BD426" s="139"/>
      <c r="BE426" s="139"/>
      <c r="BF426" s="139"/>
      <c r="BG426" s="139"/>
      <c r="BH426" s="139"/>
      <c r="BI426" s="139"/>
      <c r="BJ426" s="139"/>
      <c r="BK426" s="139"/>
      <c r="BL426" s="139"/>
      <c r="DR426" s="139"/>
      <c r="DS426" s="139"/>
    </row>
    <row r="427" spans="1:123" x14ac:dyDescent="0.2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  <c r="AA427" s="139"/>
      <c r="AB427" s="139"/>
      <c r="AC427" s="139"/>
      <c r="AD427" s="139"/>
      <c r="AE427" s="139"/>
      <c r="AF427" s="139"/>
      <c r="AG427" s="139"/>
      <c r="AH427" s="139"/>
      <c r="AI427" s="139"/>
      <c r="AJ427" s="139"/>
      <c r="AK427" s="139"/>
      <c r="AL427" s="139"/>
      <c r="AM427" s="139"/>
      <c r="AN427" s="139"/>
      <c r="AO427" s="139"/>
      <c r="AP427" s="139"/>
      <c r="AQ427" s="139"/>
      <c r="AR427" s="139"/>
      <c r="AS427" s="139"/>
      <c r="AT427" s="139"/>
      <c r="AU427" s="139"/>
      <c r="AV427" s="139"/>
      <c r="AW427" s="139"/>
      <c r="AX427" s="139"/>
      <c r="AY427" s="139"/>
      <c r="AZ427" s="139"/>
      <c r="BA427" s="139"/>
      <c r="BB427" s="139"/>
      <c r="BC427" s="139"/>
      <c r="BD427" s="139"/>
      <c r="BE427" s="139"/>
      <c r="BF427" s="139"/>
      <c r="BG427" s="139"/>
      <c r="BH427" s="139"/>
      <c r="BI427" s="139"/>
      <c r="BJ427" s="139"/>
      <c r="BK427" s="139"/>
      <c r="BL427" s="139"/>
      <c r="DR427" s="139"/>
      <c r="DS427" s="139"/>
    </row>
    <row r="428" spans="1:123" x14ac:dyDescent="0.2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  <c r="AA428" s="139"/>
      <c r="AB428" s="139"/>
      <c r="AC428" s="139"/>
      <c r="AD428" s="139"/>
      <c r="AE428" s="139"/>
      <c r="AF428" s="139"/>
      <c r="AG428" s="139"/>
      <c r="AH428" s="139"/>
      <c r="AI428" s="139"/>
      <c r="AJ428" s="139"/>
      <c r="AK428" s="139"/>
      <c r="AL428" s="139"/>
      <c r="AM428" s="139"/>
      <c r="AN428" s="139"/>
      <c r="AO428" s="139"/>
      <c r="AP428" s="139"/>
      <c r="AQ428" s="139"/>
      <c r="AR428" s="139"/>
      <c r="AS428" s="139"/>
      <c r="AT428" s="139"/>
      <c r="AU428" s="139"/>
      <c r="AV428" s="139"/>
      <c r="AW428" s="139"/>
      <c r="AX428" s="139"/>
      <c r="AY428" s="139"/>
      <c r="AZ428" s="139"/>
      <c r="BA428" s="139"/>
      <c r="BB428" s="139"/>
      <c r="BC428" s="139"/>
      <c r="BD428" s="139"/>
      <c r="BE428" s="139"/>
      <c r="BF428" s="139"/>
      <c r="BG428" s="139"/>
      <c r="BH428" s="139"/>
      <c r="BI428" s="139"/>
      <c r="BJ428" s="139"/>
      <c r="BK428" s="139"/>
      <c r="BL428" s="139"/>
      <c r="DR428" s="139"/>
      <c r="DS428" s="139"/>
    </row>
    <row r="429" spans="1:123" x14ac:dyDescent="0.2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  <c r="AA429" s="139"/>
      <c r="AB429" s="139"/>
      <c r="AC429" s="139"/>
      <c r="AD429" s="139"/>
      <c r="AE429" s="139"/>
      <c r="AF429" s="139"/>
      <c r="AG429" s="139"/>
      <c r="AH429" s="139"/>
      <c r="AI429" s="139"/>
      <c r="AJ429" s="139"/>
      <c r="AK429" s="139"/>
      <c r="AL429" s="139"/>
      <c r="AM429" s="139"/>
      <c r="AN429" s="139"/>
      <c r="AO429" s="139"/>
      <c r="AP429" s="139"/>
      <c r="AQ429" s="139"/>
      <c r="AR429" s="139"/>
      <c r="AS429" s="139"/>
      <c r="AT429" s="139"/>
      <c r="AU429" s="139"/>
      <c r="AV429" s="139"/>
      <c r="AW429" s="139"/>
      <c r="AX429" s="139"/>
      <c r="AY429" s="139"/>
      <c r="AZ429" s="139"/>
      <c r="BA429" s="139"/>
      <c r="BB429" s="139"/>
      <c r="BC429" s="139"/>
      <c r="BD429" s="139"/>
      <c r="BE429" s="139"/>
      <c r="BF429" s="139"/>
      <c r="BG429" s="139"/>
      <c r="BH429" s="139"/>
      <c r="BI429" s="139"/>
      <c r="BJ429" s="139"/>
      <c r="BK429" s="139"/>
      <c r="BL429" s="139"/>
      <c r="DR429" s="139"/>
      <c r="DS429" s="139"/>
    </row>
    <row r="430" spans="1:123" x14ac:dyDescent="0.2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  <c r="AA430" s="139"/>
      <c r="AB430" s="139"/>
      <c r="AC430" s="139"/>
      <c r="AD430" s="139"/>
      <c r="AE430" s="139"/>
      <c r="AF430" s="139"/>
      <c r="AG430" s="139"/>
      <c r="AH430" s="139"/>
      <c r="AI430" s="139"/>
      <c r="AJ430" s="139"/>
      <c r="AK430" s="139"/>
      <c r="AL430" s="139"/>
      <c r="AM430" s="139"/>
      <c r="AN430" s="139"/>
      <c r="AO430" s="139"/>
      <c r="AP430" s="139"/>
      <c r="AQ430" s="139"/>
      <c r="AR430" s="139"/>
      <c r="AS430" s="139"/>
      <c r="AT430" s="139"/>
      <c r="AU430" s="139"/>
      <c r="AV430" s="139"/>
      <c r="AW430" s="139"/>
      <c r="AX430" s="139"/>
      <c r="AY430" s="139"/>
      <c r="AZ430" s="139"/>
      <c r="BA430" s="139"/>
      <c r="BB430" s="139"/>
      <c r="BC430" s="139"/>
      <c r="BD430" s="139"/>
      <c r="BE430" s="139"/>
      <c r="BF430" s="139"/>
      <c r="BG430" s="139"/>
      <c r="BH430" s="139"/>
      <c r="BI430" s="139"/>
      <c r="BJ430" s="139"/>
      <c r="BK430" s="139"/>
      <c r="BL430" s="139"/>
      <c r="DR430" s="139"/>
      <c r="DS430" s="139"/>
    </row>
    <row r="431" spans="1:123" x14ac:dyDescent="0.2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  <c r="AA431" s="139"/>
      <c r="AB431" s="139"/>
      <c r="AC431" s="139"/>
      <c r="AD431" s="139"/>
      <c r="AE431" s="139"/>
      <c r="AF431" s="139"/>
      <c r="AG431" s="139"/>
      <c r="AH431" s="139"/>
      <c r="AI431" s="139"/>
      <c r="AJ431" s="139"/>
      <c r="AK431" s="139"/>
      <c r="AL431" s="139"/>
      <c r="AM431" s="139"/>
      <c r="AN431" s="139"/>
      <c r="AO431" s="139"/>
      <c r="AP431" s="139"/>
      <c r="AQ431" s="139"/>
      <c r="AR431" s="139"/>
      <c r="AS431" s="139"/>
      <c r="AT431" s="139"/>
      <c r="AU431" s="139"/>
      <c r="AV431" s="139"/>
      <c r="AW431" s="139"/>
      <c r="AX431" s="139"/>
      <c r="AY431" s="139"/>
      <c r="AZ431" s="139"/>
      <c r="BA431" s="139"/>
      <c r="BB431" s="139"/>
      <c r="BC431" s="139"/>
      <c r="BD431" s="139"/>
      <c r="BE431" s="139"/>
      <c r="BF431" s="139"/>
      <c r="BG431" s="139"/>
      <c r="BH431" s="139"/>
      <c r="BI431" s="139"/>
      <c r="BJ431" s="139"/>
      <c r="BK431" s="139"/>
      <c r="BL431" s="139"/>
      <c r="DR431" s="139"/>
      <c r="DS431" s="139"/>
    </row>
    <row r="432" spans="1:123" x14ac:dyDescent="0.2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  <c r="AA432" s="139"/>
      <c r="AB432" s="139"/>
      <c r="AC432" s="139"/>
      <c r="AD432" s="139"/>
      <c r="AE432" s="139"/>
      <c r="AF432" s="139"/>
      <c r="AG432" s="139"/>
      <c r="AH432" s="139"/>
      <c r="AI432" s="139"/>
      <c r="AJ432" s="139"/>
      <c r="AK432" s="139"/>
      <c r="AL432" s="139"/>
      <c r="AM432" s="139"/>
      <c r="AN432" s="139"/>
      <c r="AO432" s="139"/>
      <c r="AP432" s="139"/>
      <c r="AQ432" s="139"/>
      <c r="AR432" s="139"/>
      <c r="AS432" s="139"/>
      <c r="AT432" s="139"/>
      <c r="AU432" s="139"/>
      <c r="AV432" s="139"/>
      <c r="AW432" s="139"/>
      <c r="AX432" s="139"/>
      <c r="AY432" s="139"/>
      <c r="AZ432" s="139"/>
      <c r="BA432" s="139"/>
      <c r="BB432" s="139"/>
      <c r="BC432" s="139"/>
      <c r="BD432" s="139"/>
      <c r="BE432" s="139"/>
      <c r="BF432" s="139"/>
      <c r="BG432" s="139"/>
      <c r="BH432" s="139"/>
      <c r="BI432" s="139"/>
      <c r="BJ432" s="139"/>
      <c r="BK432" s="139"/>
      <c r="BL432" s="139"/>
      <c r="DR432" s="139"/>
      <c r="DS432" s="139"/>
    </row>
    <row r="433" spans="1:123" x14ac:dyDescent="0.2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  <c r="AA433" s="139"/>
      <c r="AB433" s="139"/>
      <c r="AC433" s="139"/>
      <c r="AD433" s="139"/>
      <c r="AE433" s="139"/>
      <c r="AF433" s="139"/>
      <c r="AG433" s="139"/>
      <c r="AH433" s="139"/>
      <c r="AI433" s="139"/>
      <c r="AJ433" s="139"/>
      <c r="AK433" s="139"/>
      <c r="AL433" s="139"/>
      <c r="AM433" s="139"/>
      <c r="AN433" s="139"/>
      <c r="AO433" s="139"/>
      <c r="AP433" s="139"/>
      <c r="AQ433" s="139"/>
      <c r="AR433" s="139"/>
      <c r="AS433" s="139"/>
      <c r="AT433" s="139"/>
      <c r="AU433" s="139"/>
      <c r="AV433" s="139"/>
      <c r="AW433" s="139"/>
      <c r="AX433" s="139"/>
      <c r="AY433" s="139"/>
      <c r="AZ433" s="139"/>
      <c r="BA433" s="139"/>
      <c r="BB433" s="139"/>
      <c r="BC433" s="139"/>
      <c r="BD433" s="139"/>
      <c r="BE433" s="139"/>
      <c r="BF433" s="139"/>
      <c r="BG433" s="139"/>
      <c r="BH433" s="139"/>
      <c r="BI433" s="139"/>
      <c r="BJ433" s="139"/>
      <c r="BK433" s="139"/>
      <c r="BL433" s="139"/>
      <c r="DR433" s="139"/>
      <c r="DS433" s="139"/>
    </row>
    <row r="434" spans="1:123" x14ac:dyDescent="0.2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  <c r="AA434" s="139"/>
      <c r="AB434" s="139"/>
      <c r="AC434" s="139"/>
      <c r="AD434" s="139"/>
      <c r="AE434" s="139"/>
      <c r="AF434" s="139"/>
      <c r="AG434" s="139"/>
      <c r="AH434" s="139"/>
      <c r="AI434" s="139"/>
      <c r="AJ434" s="139"/>
      <c r="AK434" s="139"/>
      <c r="AL434" s="139"/>
      <c r="AM434" s="139"/>
      <c r="AN434" s="139"/>
      <c r="AO434" s="139"/>
      <c r="AP434" s="139"/>
      <c r="AQ434" s="139"/>
      <c r="AR434" s="139"/>
      <c r="AS434" s="139"/>
      <c r="AT434" s="139"/>
      <c r="AU434" s="139"/>
      <c r="AV434" s="139"/>
      <c r="AW434" s="139"/>
      <c r="AX434" s="139"/>
      <c r="AY434" s="139"/>
      <c r="AZ434" s="139"/>
      <c r="BA434" s="139"/>
      <c r="BB434" s="139"/>
      <c r="BC434" s="139"/>
      <c r="BD434" s="139"/>
      <c r="BE434" s="139"/>
      <c r="BF434" s="139"/>
      <c r="BG434" s="139"/>
      <c r="BH434" s="139"/>
      <c r="BI434" s="139"/>
      <c r="BJ434" s="139"/>
      <c r="BK434" s="139"/>
      <c r="BL434" s="139"/>
      <c r="DR434" s="139"/>
      <c r="DS434" s="139"/>
    </row>
    <row r="435" spans="1:123" x14ac:dyDescent="0.2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  <c r="AA435" s="139"/>
      <c r="AB435" s="139"/>
      <c r="AC435" s="139"/>
      <c r="AD435" s="139"/>
      <c r="AE435" s="139"/>
      <c r="AF435" s="139"/>
      <c r="AG435" s="139"/>
      <c r="AH435" s="139"/>
      <c r="AI435" s="139"/>
      <c r="AJ435" s="139"/>
      <c r="AK435" s="139"/>
      <c r="AL435" s="139"/>
      <c r="AM435" s="139"/>
      <c r="AN435" s="139"/>
      <c r="AO435" s="139"/>
      <c r="AP435" s="139"/>
      <c r="AQ435" s="139"/>
      <c r="AR435" s="139"/>
      <c r="AS435" s="139"/>
      <c r="AT435" s="139"/>
      <c r="AU435" s="139"/>
      <c r="AV435" s="139"/>
      <c r="AW435" s="139"/>
      <c r="AX435" s="139"/>
      <c r="AY435" s="139"/>
      <c r="AZ435" s="139"/>
      <c r="BA435" s="139"/>
      <c r="BB435" s="139"/>
      <c r="BC435" s="139"/>
      <c r="BD435" s="139"/>
      <c r="BE435" s="139"/>
      <c r="BF435" s="139"/>
      <c r="BG435" s="139"/>
      <c r="BH435" s="139"/>
      <c r="BI435" s="139"/>
      <c r="BJ435" s="139"/>
      <c r="BK435" s="139"/>
      <c r="BL435" s="139"/>
      <c r="DR435" s="139"/>
      <c r="DS435" s="139"/>
    </row>
    <row r="436" spans="1:123" x14ac:dyDescent="0.2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  <c r="AA436" s="139"/>
      <c r="AB436" s="139"/>
      <c r="AC436" s="139"/>
      <c r="AD436" s="139"/>
      <c r="AE436" s="139"/>
      <c r="AF436" s="139"/>
      <c r="AG436" s="139"/>
      <c r="AH436" s="139"/>
      <c r="AI436" s="139"/>
      <c r="AJ436" s="139"/>
      <c r="AK436" s="139"/>
      <c r="AL436" s="139"/>
      <c r="AM436" s="139"/>
      <c r="AN436" s="139"/>
      <c r="AO436" s="139"/>
      <c r="AP436" s="139"/>
      <c r="AQ436" s="139"/>
      <c r="AR436" s="139"/>
      <c r="AS436" s="139"/>
      <c r="AT436" s="139"/>
      <c r="AU436" s="139"/>
      <c r="AV436" s="139"/>
      <c r="AW436" s="139"/>
      <c r="AX436" s="139"/>
      <c r="AY436" s="139"/>
      <c r="AZ436" s="139"/>
      <c r="BA436" s="139"/>
      <c r="BB436" s="139"/>
      <c r="BC436" s="139"/>
      <c r="BD436" s="139"/>
      <c r="BE436" s="139"/>
      <c r="BF436" s="139"/>
      <c r="BG436" s="139"/>
      <c r="BH436" s="139"/>
      <c r="BI436" s="139"/>
      <c r="BJ436" s="139"/>
      <c r="BK436" s="139"/>
      <c r="BL436" s="139"/>
      <c r="DR436" s="139"/>
      <c r="DS436" s="139"/>
    </row>
    <row r="437" spans="1:123" x14ac:dyDescent="0.2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  <c r="AA437" s="139"/>
      <c r="AB437" s="139"/>
      <c r="AC437" s="139"/>
      <c r="AD437" s="139"/>
      <c r="AE437" s="139"/>
      <c r="AF437" s="139"/>
      <c r="AG437" s="139"/>
      <c r="AH437" s="139"/>
      <c r="AI437" s="139"/>
      <c r="AJ437" s="139"/>
      <c r="AK437" s="139"/>
      <c r="AL437" s="139"/>
      <c r="AM437" s="139"/>
      <c r="AN437" s="139"/>
      <c r="AO437" s="139"/>
      <c r="AP437" s="139"/>
      <c r="AQ437" s="139"/>
      <c r="AR437" s="139"/>
      <c r="AS437" s="139"/>
      <c r="AT437" s="139"/>
      <c r="AU437" s="139"/>
      <c r="AV437" s="139"/>
      <c r="AW437" s="139"/>
      <c r="AX437" s="139"/>
      <c r="AY437" s="139"/>
      <c r="AZ437" s="139"/>
      <c r="BA437" s="139"/>
      <c r="BB437" s="139"/>
      <c r="BC437" s="139"/>
      <c r="BD437" s="139"/>
      <c r="BE437" s="139"/>
      <c r="BF437" s="139"/>
      <c r="BG437" s="139"/>
      <c r="BH437" s="139"/>
      <c r="BI437" s="139"/>
      <c r="BJ437" s="139"/>
      <c r="BK437" s="139"/>
      <c r="BL437" s="139"/>
      <c r="DR437" s="139"/>
      <c r="DS437" s="139"/>
    </row>
    <row r="438" spans="1:123" x14ac:dyDescent="0.2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  <c r="AA438" s="139"/>
      <c r="AB438" s="139"/>
      <c r="AC438" s="139"/>
      <c r="AD438" s="139"/>
      <c r="AE438" s="139"/>
      <c r="AF438" s="139"/>
      <c r="AG438" s="139"/>
      <c r="AH438" s="139"/>
      <c r="AI438" s="139"/>
      <c r="AJ438" s="139"/>
      <c r="AK438" s="139"/>
      <c r="AL438" s="139"/>
      <c r="AM438" s="139"/>
      <c r="AN438" s="139"/>
      <c r="AO438" s="139"/>
      <c r="AP438" s="139"/>
      <c r="AQ438" s="139"/>
      <c r="AR438" s="139"/>
      <c r="AS438" s="139"/>
      <c r="AT438" s="139"/>
      <c r="AU438" s="139"/>
      <c r="AV438" s="139"/>
      <c r="AW438" s="139"/>
      <c r="AX438" s="139"/>
      <c r="AY438" s="139"/>
      <c r="AZ438" s="139"/>
      <c r="BA438" s="139"/>
      <c r="BB438" s="139"/>
      <c r="BC438" s="139"/>
      <c r="BD438" s="139"/>
      <c r="BE438" s="139"/>
      <c r="BF438" s="139"/>
      <c r="BG438" s="139"/>
      <c r="BH438" s="139"/>
      <c r="BI438" s="139"/>
      <c r="BJ438" s="139"/>
      <c r="BK438" s="139"/>
      <c r="BL438" s="139"/>
      <c r="DR438" s="139"/>
      <c r="DS438" s="139"/>
    </row>
    <row r="439" spans="1:123" x14ac:dyDescent="0.2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  <c r="AA439" s="139"/>
      <c r="AB439" s="139"/>
      <c r="AC439" s="139"/>
      <c r="AD439" s="139"/>
      <c r="AE439" s="139"/>
      <c r="AF439" s="139"/>
      <c r="AG439" s="139"/>
      <c r="AH439" s="139"/>
      <c r="AI439" s="139"/>
      <c r="AJ439" s="139"/>
      <c r="AK439" s="139"/>
      <c r="AL439" s="139"/>
      <c r="AM439" s="139"/>
      <c r="AN439" s="139"/>
      <c r="AO439" s="139"/>
      <c r="AP439" s="139"/>
      <c r="AQ439" s="139"/>
      <c r="AR439" s="139"/>
      <c r="AS439" s="139"/>
      <c r="AT439" s="139"/>
      <c r="AU439" s="139"/>
      <c r="AV439" s="139"/>
      <c r="AW439" s="139"/>
      <c r="AX439" s="139"/>
      <c r="AY439" s="139"/>
      <c r="AZ439" s="139"/>
      <c r="BA439" s="139"/>
      <c r="BB439" s="139"/>
      <c r="BC439" s="139"/>
      <c r="BD439" s="139"/>
      <c r="BE439" s="139"/>
      <c r="BF439" s="139"/>
      <c r="BG439" s="139"/>
      <c r="BH439" s="139"/>
      <c r="BI439" s="139"/>
      <c r="BJ439" s="139"/>
      <c r="BK439" s="139"/>
      <c r="BL439" s="139"/>
      <c r="DR439" s="139"/>
      <c r="DS439" s="139"/>
    </row>
    <row r="440" spans="1:123" x14ac:dyDescent="0.2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  <c r="AA440" s="139"/>
      <c r="AB440" s="139"/>
      <c r="AC440" s="139"/>
      <c r="AD440" s="139"/>
      <c r="AE440" s="139"/>
      <c r="AF440" s="139"/>
      <c r="AG440" s="139"/>
      <c r="AH440" s="139"/>
      <c r="AI440" s="139"/>
      <c r="AJ440" s="139"/>
      <c r="AK440" s="139"/>
      <c r="AL440" s="139"/>
      <c r="AM440" s="139"/>
      <c r="AN440" s="139"/>
      <c r="AO440" s="139"/>
      <c r="AP440" s="139"/>
      <c r="AQ440" s="139"/>
      <c r="AR440" s="139"/>
      <c r="AS440" s="139"/>
      <c r="AT440" s="139"/>
      <c r="AU440" s="139"/>
      <c r="AV440" s="139"/>
      <c r="AW440" s="139"/>
      <c r="AX440" s="139"/>
      <c r="AY440" s="139"/>
      <c r="AZ440" s="139"/>
      <c r="BA440" s="139"/>
      <c r="BB440" s="139"/>
      <c r="BC440" s="139"/>
      <c r="BD440" s="139"/>
      <c r="BE440" s="139"/>
      <c r="BF440" s="139"/>
      <c r="BG440" s="139"/>
      <c r="BH440" s="139"/>
      <c r="BI440" s="139"/>
      <c r="BJ440" s="139"/>
      <c r="BK440" s="139"/>
      <c r="BL440" s="139"/>
      <c r="DR440" s="139"/>
      <c r="DS440" s="139"/>
    </row>
    <row r="441" spans="1:123" x14ac:dyDescent="0.2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  <c r="AA441" s="139"/>
      <c r="AB441" s="139"/>
      <c r="AC441" s="139"/>
      <c r="AD441" s="139"/>
      <c r="AE441" s="139"/>
      <c r="AF441" s="139"/>
      <c r="AG441" s="139"/>
      <c r="AH441" s="139"/>
      <c r="AI441" s="139"/>
      <c r="AJ441" s="139"/>
      <c r="AK441" s="139"/>
      <c r="AL441" s="139"/>
      <c r="AM441" s="139"/>
      <c r="AN441" s="139"/>
      <c r="AO441" s="139"/>
      <c r="AP441" s="139"/>
      <c r="AQ441" s="139"/>
      <c r="AR441" s="139"/>
      <c r="AS441" s="139"/>
      <c r="AT441" s="139"/>
      <c r="AU441" s="139"/>
      <c r="AV441" s="139"/>
      <c r="AW441" s="139"/>
      <c r="AX441" s="139"/>
      <c r="AY441" s="139"/>
      <c r="AZ441" s="139"/>
      <c r="BA441" s="139"/>
      <c r="BB441" s="139"/>
      <c r="BC441" s="139"/>
      <c r="BD441" s="139"/>
      <c r="BE441" s="139"/>
      <c r="BF441" s="139"/>
      <c r="BG441" s="139"/>
      <c r="BH441" s="139"/>
      <c r="BI441" s="139"/>
      <c r="BJ441" s="139"/>
      <c r="BK441" s="139"/>
      <c r="BL441" s="139"/>
      <c r="DR441" s="139"/>
      <c r="DS441" s="139"/>
    </row>
    <row r="442" spans="1:123" x14ac:dyDescent="0.2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  <c r="AA442" s="139"/>
      <c r="AB442" s="139"/>
      <c r="AC442" s="139"/>
      <c r="AD442" s="139"/>
      <c r="AE442" s="139"/>
      <c r="AF442" s="139"/>
      <c r="AG442" s="139"/>
      <c r="AH442" s="139"/>
      <c r="AI442" s="139"/>
      <c r="AJ442" s="139"/>
      <c r="AK442" s="139"/>
      <c r="AL442" s="139"/>
      <c r="AM442" s="139"/>
      <c r="AN442" s="139"/>
      <c r="AO442" s="139"/>
      <c r="AP442" s="139"/>
      <c r="AQ442" s="139"/>
      <c r="AR442" s="139"/>
      <c r="AS442" s="139"/>
      <c r="AT442" s="139"/>
      <c r="AU442" s="139"/>
      <c r="AV442" s="139"/>
      <c r="AW442" s="139"/>
      <c r="AX442" s="139"/>
      <c r="AY442" s="139"/>
      <c r="AZ442" s="139"/>
      <c r="BA442" s="139"/>
      <c r="BB442" s="139"/>
      <c r="BC442" s="139"/>
      <c r="BD442" s="139"/>
      <c r="BE442" s="139"/>
      <c r="BF442" s="139"/>
      <c r="BG442" s="139"/>
      <c r="BH442" s="139"/>
      <c r="BI442" s="139"/>
      <c r="BJ442" s="139"/>
      <c r="BK442" s="139"/>
      <c r="BL442" s="139"/>
      <c r="DR442" s="139"/>
      <c r="DS442" s="139"/>
    </row>
    <row r="443" spans="1:123" x14ac:dyDescent="0.2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  <c r="AA443" s="139"/>
      <c r="AB443" s="139"/>
      <c r="AC443" s="139"/>
      <c r="AD443" s="139"/>
      <c r="AE443" s="139"/>
      <c r="AF443" s="139"/>
      <c r="AG443" s="139"/>
      <c r="AH443" s="139"/>
      <c r="AI443" s="139"/>
      <c r="AJ443" s="139"/>
      <c r="AK443" s="139"/>
      <c r="AL443" s="139"/>
      <c r="AM443" s="139"/>
      <c r="AN443" s="139"/>
      <c r="AO443" s="139"/>
      <c r="AP443" s="139"/>
      <c r="AQ443" s="139"/>
      <c r="AR443" s="139"/>
      <c r="AS443" s="139"/>
      <c r="AT443" s="139"/>
      <c r="AU443" s="139"/>
      <c r="AV443" s="139"/>
      <c r="AW443" s="139"/>
      <c r="AX443" s="139"/>
      <c r="AY443" s="139"/>
      <c r="AZ443" s="139"/>
      <c r="BA443" s="139"/>
      <c r="BB443" s="139"/>
      <c r="BC443" s="139"/>
      <c r="BD443" s="139"/>
      <c r="BE443" s="139"/>
      <c r="BF443" s="139"/>
      <c r="BG443" s="139"/>
      <c r="BH443" s="139"/>
      <c r="BI443" s="139"/>
      <c r="BJ443" s="139"/>
      <c r="BK443" s="139"/>
      <c r="BL443" s="139"/>
      <c r="DR443" s="139"/>
      <c r="DS443" s="139"/>
    </row>
    <row r="444" spans="1:123" x14ac:dyDescent="0.2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  <c r="AA444" s="139"/>
      <c r="AB444" s="139"/>
      <c r="AC444" s="139"/>
      <c r="AD444" s="139"/>
      <c r="AE444" s="139"/>
      <c r="AF444" s="139"/>
      <c r="AG444" s="139"/>
      <c r="AH444" s="139"/>
      <c r="AI444" s="139"/>
      <c r="AJ444" s="139"/>
      <c r="AK444" s="139"/>
      <c r="AL444" s="139"/>
      <c r="AM444" s="139"/>
      <c r="AN444" s="139"/>
      <c r="AO444" s="139"/>
      <c r="AP444" s="139"/>
      <c r="AQ444" s="139"/>
      <c r="AR444" s="139"/>
      <c r="AS444" s="139"/>
      <c r="AT444" s="139"/>
      <c r="AU444" s="139"/>
      <c r="AV444" s="139"/>
      <c r="AW444" s="139"/>
      <c r="AX444" s="139"/>
      <c r="AY444" s="139"/>
      <c r="AZ444" s="139"/>
      <c r="BA444" s="139"/>
      <c r="BB444" s="139"/>
      <c r="BC444" s="139"/>
      <c r="BD444" s="139"/>
      <c r="BE444" s="139"/>
      <c r="BF444" s="139"/>
      <c r="BG444" s="139"/>
      <c r="BH444" s="139"/>
      <c r="BI444" s="139"/>
      <c r="BJ444" s="139"/>
      <c r="BK444" s="139"/>
      <c r="BL444" s="139"/>
      <c r="DR444" s="139"/>
      <c r="DS444" s="139"/>
    </row>
    <row r="445" spans="1:123" x14ac:dyDescent="0.2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  <c r="AA445" s="139"/>
      <c r="AB445" s="139"/>
      <c r="AC445" s="139"/>
      <c r="AD445" s="139"/>
      <c r="AE445" s="139"/>
      <c r="AF445" s="139"/>
      <c r="AG445" s="139"/>
      <c r="AH445" s="139"/>
      <c r="AI445" s="139"/>
      <c r="AJ445" s="139"/>
      <c r="AK445" s="139"/>
      <c r="AL445" s="139"/>
      <c r="AM445" s="139"/>
      <c r="AN445" s="139"/>
      <c r="AO445" s="139"/>
      <c r="AP445" s="139"/>
      <c r="AQ445" s="139"/>
      <c r="AR445" s="139"/>
      <c r="AS445" s="139"/>
      <c r="AT445" s="139"/>
      <c r="AU445" s="139"/>
      <c r="AV445" s="139"/>
      <c r="AW445" s="139"/>
      <c r="AX445" s="139"/>
      <c r="AY445" s="139"/>
      <c r="AZ445" s="139"/>
      <c r="BA445" s="139"/>
      <c r="BB445" s="139"/>
      <c r="BC445" s="139"/>
      <c r="BD445" s="139"/>
      <c r="BE445" s="139"/>
      <c r="BF445" s="139"/>
      <c r="BG445" s="139"/>
      <c r="BH445" s="139"/>
      <c r="BI445" s="139"/>
      <c r="BJ445" s="139"/>
      <c r="BK445" s="139"/>
      <c r="BL445" s="139"/>
      <c r="DR445" s="139"/>
      <c r="DS445" s="139"/>
    </row>
    <row r="446" spans="1:123" x14ac:dyDescent="0.2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  <c r="AA446" s="139"/>
      <c r="AB446" s="139"/>
      <c r="AC446" s="139"/>
      <c r="AD446" s="139"/>
      <c r="AE446" s="139"/>
      <c r="AF446" s="139"/>
      <c r="AG446" s="139"/>
      <c r="AH446" s="139"/>
      <c r="AI446" s="139"/>
      <c r="AJ446" s="139"/>
      <c r="AK446" s="139"/>
      <c r="AL446" s="139"/>
      <c r="AM446" s="139"/>
      <c r="AN446" s="139"/>
      <c r="AO446" s="139"/>
      <c r="AP446" s="139"/>
      <c r="AQ446" s="139"/>
      <c r="AR446" s="139"/>
      <c r="AS446" s="139"/>
      <c r="AT446" s="139"/>
      <c r="AU446" s="139"/>
      <c r="AV446" s="139"/>
      <c r="AW446" s="139"/>
      <c r="AX446" s="139"/>
      <c r="AY446" s="139"/>
      <c r="AZ446" s="139"/>
      <c r="BA446" s="139"/>
      <c r="BB446" s="139"/>
      <c r="BC446" s="139"/>
      <c r="BD446" s="139"/>
      <c r="BE446" s="139"/>
      <c r="BF446" s="139"/>
      <c r="BG446" s="139"/>
      <c r="BH446" s="139"/>
      <c r="BI446" s="139"/>
      <c r="BJ446" s="139"/>
      <c r="BK446" s="139"/>
      <c r="BL446" s="139"/>
      <c r="DR446" s="139"/>
      <c r="DS446" s="139"/>
    </row>
    <row r="447" spans="1:123" x14ac:dyDescent="0.2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  <c r="AA447" s="139"/>
      <c r="AB447" s="139"/>
      <c r="AC447" s="139"/>
      <c r="AD447" s="139"/>
      <c r="AE447" s="139"/>
      <c r="AF447" s="139"/>
      <c r="AG447" s="139"/>
      <c r="AH447" s="139"/>
      <c r="AI447" s="139"/>
      <c r="AJ447" s="139"/>
      <c r="AK447" s="139"/>
      <c r="AL447" s="139"/>
      <c r="AM447" s="139"/>
      <c r="AN447" s="139"/>
      <c r="AO447" s="139"/>
      <c r="AP447" s="139"/>
      <c r="AQ447" s="139"/>
      <c r="AR447" s="139"/>
      <c r="AS447" s="139"/>
      <c r="AT447" s="139"/>
      <c r="AU447" s="139"/>
      <c r="AV447" s="139"/>
      <c r="AW447" s="139"/>
      <c r="AX447" s="139"/>
      <c r="AY447" s="139"/>
      <c r="AZ447" s="139"/>
      <c r="BA447" s="139"/>
      <c r="BB447" s="139"/>
      <c r="BC447" s="139"/>
      <c r="BD447" s="139"/>
      <c r="BE447" s="139"/>
      <c r="BF447" s="139"/>
      <c r="BG447" s="139"/>
      <c r="BH447" s="139"/>
      <c r="BI447" s="139"/>
      <c r="BJ447" s="139"/>
      <c r="BK447" s="139"/>
      <c r="BL447" s="139"/>
      <c r="DR447" s="139"/>
      <c r="DS447" s="139"/>
    </row>
    <row r="448" spans="1:123" x14ac:dyDescent="0.2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  <c r="AA448" s="139"/>
      <c r="AB448" s="139"/>
      <c r="AC448" s="139"/>
      <c r="AD448" s="139"/>
      <c r="AE448" s="139"/>
      <c r="AF448" s="139"/>
      <c r="AG448" s="139"/>
      <c r="AH448" s="139"/>
      <c r="AI448" s="139"/>
      <c r="AJ448" s="139"/>
      <c r="AK448" s="139"/>
      <c r="AL448" s="139"/>
      <c r="AM448" s="139"/>
      <c r="AN448" s="139"/>
      <c r="AO448" s="139"/>
      <c r="AP448" s="139"/>
      <c r="AQ448" s="139"/>
      <c r="AR448" s="139"/>
      <c r="AS448" s="139"/>
      <c r="AT448" s="139"/>
      <c r="AU448" s="139"/>
      <c r="AV448" s="139"/>
      <c r="AW448" s="139"/>
      <c r="AX448" s="139"/>
      <c r="AY448" s="139"/>
      <c r="AZ448" s="139"/>
      <c r="BA448" s="139"/>
      <c r="BB448" s="139"/>
      <c r="BC448" s="139"/>
      <c r="BD448" s="139"/>
      <c r="BE448" s="139"/>
      <c r="BF448" s="139"/>
      <c r="BG448" s="139"/>
      <c r="BH448" s="139"/>
      <c r="BI448" s="139"/>
      <c r="BJ448" s="139"/>
      <c r="BK448" s="139"/>
      <c r="BL448" s="139"/>
      <c r="DR448" s="139"/>
      <c r="DS448" s="139"/>
    </row>
    <row r="449" spans="1:123" x14ac:dyDescent="0.2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  <c r="AA449" s="139"/>
      <c r="AB449" s="139"/>
      <c r="AC449" s="139"/>
      <c r="AD449" s="139"/>
      <c r="AE449" s="139"/>
      <c r="AF449" s="139"/>
      <c r="AG449" s="139"/>
      <c r="AH449" s="139"/>
      <c r="AI449" s="139"/>
      <c r="AJ449" s="139"/>
      <c r="AK449" s="139"/>
      <c r="AL449" s="139"/>
      <c r="AM449" s="139"/>
      <c r="AN449" s="139"/>
      <c r="AO449" s="139"/>
      <c r="AP449" s="139"/>
      <c r="AQ449" s="139"/>
      <c r="AR449" s="139"/>
      <c r="AS449" s="139"/>
      <c r="AT449" s="139"/>
      <c r="AU449" s="139"/>
      <c r="AV449" s="139"/>
      <c r="AW449" s="139"/>
      <c r="AX449" s="139"/>
      <c r="AY449" s="139"/>
      <c r="AZ449" s="139"/>
      <c r="BA449" s="139"/>
      <c r="BB449" s="139"/>
      <c r="BC449" s="139"/>
      <c r="BD449" s="139"/>
      <c r="BE449" s="139"/>
      <c r="BF449" s="139"/>
      <c r="BG449" s="139"/>
      <c r="BH449" s="139"/>
      <c r="BI449" s="139"/>
      <c r="BJ449" s="139"/>
      <c r="BK449" s="139"/>
      <c r="BL449" s="139"/>
      <c r="DR449" s="139"/>
      <c r="DS449" s="139"/>
    </row>
    <row r="450" spans="1:123" x14ac:dyDescent="0.2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  <c r="AA450" s="139"/>
      <c r="AB450" s="139"/>
      <c r="AC450" s="139"/>
      <c r="AD450" s="139"/>
      <c r="AE450" s="139"/>
      <c r="AF450" s="139"/>
      <c r="AG450" s="139"/>
      <c r="AH450" s="139"/>
      <c r="AI450" s="139"/>
      <c r="AJ450" s="139"/>
      <c r="AK450" s="139"/>
      <c r="AL450" s="139"/>
      <c r="AM450" s="139"/>
      <c r="AN450" s="139"/>
      <c r="AO450" s="139"/>
      <c r="AP450" s="139"/>
      <c r="AQ450" s="139"/>
      <c r="AR450" s="139"/>
      <c r="AS450" s="139"/>
      <c r="AT450" s="139"/>
      <c r="AU450" s="139"/>
      <c r="AV450" s="139"/>
      <c r="AW450" s="139"/>
      <c r="AX450" s="139"/>
      <c r="AY450" s="139"/>
      <c r="AZ450" s="139"/>
      <c r="BA450" s="139"/>
      <c r="BB450" s="139"/>
      <c r="BC450" s="139"/>
      <c r="BD450" s="139"/>
      <c r="BE450" s="139"/>
      <c r="BF450" s="139"/>
      <c r="BG450" s="139"/>
      <c r="BH450" s="139"/>
      <c r="BI450" s="139"/>
      <c r="BJ450" s="139"/>
      <c r="BK450" s="139"/>
      <c r="BL450" s="139"/>
      <c r="DR450" s="139"/>
      <c r="DS450" s="139"/>
    </row>
    <row r="451" spans="1:123" x14ac:dyDescent="0.2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  <c r="AA451" s="139"/>
      <c r="AB451" s="139"/>
      <c r="AC451" s="139"/>
      <c r="AD451" s="139"/>
      <c r="AE451" s="139"/>
      <c r="AF451" s="139"/>
      <c r="AG451" s="139"/>
      <c r="AH451" s="139"/>
      <c r="AI451" s="139"/>
      <c r="AJ451" s="139"/>
      <c r="AK451" s="139"/>
      <c r="AL451" s="139"/>
      <c r="AM451" s="139"/>
      <c r="AN451" s="139"/>
      <c r="AO451" s="139"/>
      <c r="AP451" s="139"/>
      <c r="AQ451" s="139"/>
      <c r="AR451" s="139"/>
      <c r="AS451" s="139"/>
      <c r="AT451" s="139"/>
      <c r="AU451" s="139"/>
      <c r="AV451" s="139"/>
      <c r="AW451" s="139"/>
      <c r="AX451" s="139"/>
      <c r="AY451" s="139"/>
      <c r="AZ451" s="139"/>
      <c r="BA451" s="139"/>
      <c r="BB451" s="139"/>
      <c r="BC451" s="139"/>
      <c r="BD451" s="139"/>
      <c r="BE451" s="139"/>
      <c r="BF451" s="139"/>
      <c r="BG451" s="139"/>
      <c r="BH451" s="139"/>
      <c r="BI451" s="139"/>
      <c r="BJ451" s="139"/>
      <c r="BK451" s="139"/>
      <c r="BL451" s="139"/>
      <c r="DR451" s="139"/>
      <c r="DS451" s="139"/>
    </row>
    <row r="452" spans="1:123" x14ac:dyDescent="0.2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  <c r="AA452" s="139"/>
      <c r="AB452" s="139"/>
      <c r="AC452" s="139"/>
      <c r="AD452" s="139"/>
      <c r="AE452" s="139"/>
      <c r="AF452" s="139"/>
      <c r="AG452" s="139"/>
      <c r="AH452" s="139"/>
      <c r="AI452" s="139"/>
      <c r="AJ452" s="139"/>
      <c r="AK452" s="139"/>
      <c r="AL452" s="139"/>
      <c r="AM452" s="139"/>
      <c r="AN452" s="139"/>
      <c r="AO452" s="139"/>
      <c r="AP452" s="139"/>
      <c r="AQ452" s="139"/>
      <c r="AR452" s="139"/>
      <c r="AS452" s="139"/>
      <c r="AT452" s="139"/>
      <c r="AU452" s="139"/>
      <c r="AV452" s="139"/>
      <c r="AW452" s="139"/>
      <c r="AX452" s="139"/>
      <c r="AY452" s="139"/>
      <c r="AZ452" s="139"/>
      <c r="BA452" s="139"/>
      <c r="BB452" s="139"/>
      <c r="BC452" s="139"/>
      <c r="BD452" s="139"/>
      <c r="BE452" s="139"/>
      <c r="BF452" s="139"/>
      <c r="BG452" s="139"/>
      <c r="BH452" s="139"/>
      <c r="BI452" s="139"/>
      <c r="BJ452" s="139"/>
      <c r="BK452" s="139"/>
      <c r="BL452" s="139"/>
      <c r="DR452" s="139"/>
      <c r="DS452" s="139"/>
    </row>
    <row r="453" spans="1:123" x14ac:dyDescent="0.2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  <c r="AA453" s="139"/>
      <c r="AB453" s="139"/>
      <c r="AC453" s="139"/>
      <c r="AD453" s="139"/>
      <c r="AE453" s="139"/>
      <c r="AF453" s="139"/>
      <c r="AG453" s="139"/>
      <c r="AH453" s="139"/>
      <c r="AI453" s="139"/>
      <c r="AJ453" s="139"/>
      <c r="AK453" s="139"/>
      <c r="AL453" s="139"/>
      <c r="AM453" s="139"/>
      <c r="AN453" s="139"/>
      <c r="AO453" s="139"/>
      <c r="AP453" s="139"/>
      <c r="AQ453" s="139"/>
      <c r="AR453" s="139"/>
      <c r="AS453" s="139"/>
      <c r="AT453" s="139"/>
      <c r="AU453" s="139"/>
      <c r="AV453" s="139"/>
      <c r="AW453" s="139"/>
      <c r="AX453" s="139"/>
      <c r="AY453" s="139"/>
      <c r="AZ453" s="139"/>
      <c r="BA453" s="139"/>
      <c r="BB453" s="139"/>
      <c r="BC453" s="139"/>
      <c r="BD453" s="139"/>
      <c r="BE453" s="139"/>
      <c r="BF453" s="139"/>
      <c r="BG453" s="139"/>
      <c r="BH453" s="139"/>
      <c r="BI453" s="139"/>
      <c r="BJ453" s="139"/>
      <c r="BK453" s="139"/>
      <c r="BL453" s="139"/>
      <c r="DR453" s="139"/>
      <c r="DS453" s="139"/>
    </row>
    <row r="454" spans="1:123" x14ac:dyDescent="0.2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  <c r="AA454" s="139"/>
      <c r="AB454" s="139"/>
      <c r="AC454" s="139"/>
      <c r="AD454" s="139"/>
      <c r="AE454" s="139"/>
      <c r="AF454" s="139"/>
      <c r="AG454" s="139"/>
      <c r="AH454" s="139"/>
      <c r="AI454" s="139"/>
      <c r="AJ454" s="139"/>
      <c r="AK454" s="139"/>
      <c r="AL454" s="139"/>
      <c r="AM454" s="139"/>
      <c r="AN454" s="139"/>
      <c r="AO454" s="139"/>
      <c r="AP454" s="139"/>
      <c r="AQ454" s="139"/>
      <c r="AR454" s="139"/>
      <c r="AS454" s="139"/>
      <c r="AT454" s="139"/>
      <c r="AU454" s="139"/>
      <c r="AV454" s="139"/>
      <c r="AW454" s="139"/>
      <c r="AX454" s="139"/>
      <c r="AY454" s="139"/>
      <c r="AZ454" s="139"/>
      <c r="BA454" s="139"/>
      <c r="BB454" s="139"/>
      <c r="BC454" s="139"/>
      <c r="BD454" s="139"/>
      <c r="BE454" s="139"/>
      <c r="BF454" s="139"/>
      <c r="BG454" s="139"/>
      <c r="BH454" s="139"/>
      <c r="BI454" s="139"/>
      <c r="BJ454" s="139"/>
      <c r="BK454" s="139"/>
      <c r="BL454" s="139"/>
      <c r="DR454" s="139"/>
      <c r="DS454" s="139"/>
    </row>
    <row r="455" spans="1:123" x14ac:dyDescent="0.2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  <c r="AA455" s="139"/>
      <c r="AB455" s="139"/>
      <c r="AC455" s="139"/>
      <c r="AD455" s="139"/>
      <c r="AE455" s="139"/>
      <c r="AF455" s="139"/>
      <c r="AG455" s="139"/>
      <c r="AH455" s="139"/>
      <c r="AI455" s="139"/>
      <c r="AJ455" s="139"/>
      <c r="AK455" s="139"/>
      <c r="AL455" s="139"/>
      <c r="AM455" s="139"/>
      <c r="AN455" s="139"/>
      <c r="AO455" s="139"/>
      <c r="AP455" s="139"/>
      <c r="AQ455" s="139"/>
      <c r="AR455" s="139"/>
      <c r="AS455" s="139"/>
      <c r="AT455" s="139"/>
      <c r="AU455" s="139"/>
      <c r="AV455" s="139"/>
      <c r="AW455" s="139"/>
      <c r="AX455" s="139"/>
      <c r="AY455" s="139"/>
      <c r="AZ455" s="139"/>
      <c r="BA455" s="139"/>
      <c r="BB455" s="139"/>
      <c r="BC455" s="139"/>
      <c r="BD455" s="139"/>
      <c r="BE455" s="139"/>
      <c r="BF455" s="139"/>
      <c r="BG455" s="139"/>
      <c r="BH455" s="139"/>
      <c r="BI455" s="139"/>
      <c r="BJ455" s="139"/>
      <c r="BK455" s="139"/>
      <c r="BL455" s="139"/>
      <c r="DR455" s="139"/>
      <c r="DS455" s="139"/>
    </row>
    <row r="456" spans="1:123" x14ac:dyDescent="0.2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  <c r="AA456" s="139"/>
      <c r="AB456" s="139"/>
      <c r="AC456" s="139"/>
      <c r="AD456" s="139"/>
      <c r="AE456" s="139"/>
      <c r="AF456" s="139"/>
      <c r="AG456" s="139"/>
      <c r="AH456" s="139"/>
      <c r="AI456" s="139"/>
      <c r="AJ456" s="139"/>
      <c r="AK456" s="139"/>
      <c r="AL456" s="139"/>
      <c r="AM456" s="139"/>
      <c r="AN456" s="139"/>
      <c r="AO456" s="139"/>
      <c r="AP456" s="139"/>
      <c r="AQ456" s="139"/>
      <c r="AR456" s="139"/>
      <c r="AS456" s="139"/>
      <c r="AT456" s="139"/>
      <c r="AU456" s="139"/>
      <c r="AV456" s="139"/>
      <c r="AW456" s="139"/>
      <c r="AX456" s="139"/>
      <c r="AY456" s="139"/>
      <c r="AZ456" s="139"/>
      <c r="BA456" s="139"/>
      <c r="BB456" s="139"/>
      <c r="BC456" s="139"/>
      <c r="BD456" s="139"/>
      <c r="BE456" s="139"/>
      <c r="BF456" s="139"/>
      <c r="BG456" s="139"/>
      <c r="BH456" s="139"/>
      <c r="BI456" s="139"/>
      <c r="BJ456" s="139"/>
      <c r="BK456" s="139"/>
      <c r="BL456" s="139"/>
      <c r="DR456" s="139"/>
      <c r="DS456" s="139"/>
    </row>
    <row r="457" spans="1:123" x14ac:dyDescent="0.2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  <c r="AA457" s="139"/>
      <c r="AB457" s="139"/>
      <c r="AC457" s="139"/>
      <c r="AD457" s="139"/>
      <c r="AE457" s="139"/>
      <c r="AF457" s="139"/>
      <c r="AG457" s="139"/>
      <c r="AH457" s="139"/>
      <c r="AI457" s="139"/>
      <c r="AJ457" s="139"/>
      <c r="AK457" s="139"/>
      <c r="AL457" s="139"/>
      <c r="AM457" s="139"/>
      <c r="AN457" s="139"/>
      <c r="AO457" s="139"/>
      <c r="AP457" s="139"/>
      <c r="AQ457" s="139"/>
      <c r="AR457" s="139"/>
      <c r="AS457" s="139"/>
      <c r="AT457" s="139"/>
      <c r="AU457" s="139"/>
      <c r="AV457" s="139"/>
      <c r="AW457" s="139"/>
      <c r="AX457" s="139"/>
      <c r="AY457" s="139"/>
      <c r="AZ457" s="139"/>
      <c r="BA457" s="139"/>
      <c r="BB457" s="139"/>
      <c r="BC457" s="139"/>
      <c r="BD457" s="139"/>
      <c r="BE457" s="139"/>
      <c r="BF457" s="139"/>
      <c r="BG457" s="139"/>
      <c r="BH457" s="139"/>
      <c r="BI457" s="139"/>
      <c r="BJ457" s="139"/>
      <c r="BK457" s="139"/>
      <c r="BL457" s="139"/>
      <c r="DR457" s="139"/>
      <c r="DS457" s="139"/>
    </row>
    <row r="458" spans="1:123" x14ac:dyDescent="0.2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  <c r="AA458" s="139"/>
      <c r="AB458" s="139"/>
      <c r="AC458" s="139"/>
      <c r="AD458" s="139"/>
      <c r="AE458" s="139"/>
      <c r="AF458" s="139"/>
      <c r="AG458" s="139"/>
      <c r="AH458" s="139"/>
      <c r="AI458" s="139"/>
      <c r="AJ458" s="139"/>
      <c r="AK458" s="139"/>
      <c r="AL458" s="139"/>
      <c r="AM458" s="139"/>
      <c r="AN458" s="139"/>
      <c r="AO458" s="139"/>
      <c r="AP458" s="139"/>
      <c r="AQ458" s="139"/>
      <c r="AR458" s="139"/>
      <c r="AS458" s="139"/>
      <c r="AT458" s="139"/>
      <c r="AU458" s="139"/>
      <c r="AV458" s="139"/>
      <c r="AW458" s="139"/>
      <c r="AX458" s="139"/>
      <c r="AY458" s="139"/>
      <c r="AZ458" s="139"/>
      <c r="BA458" s="139"/>
      <c r="BB458" s="139"/>
      <c r="BC458" s="139"/>
      <c r="BD458" s="139"/>
      <c r="BE458" s="139"/>
      <c r="BF458" s="139"/>
      <c r="BG458" s="139"/>
      <c r="BH458" s="139"/>
      <c r="BI458" s="139"/>
      <c r="BJ458" s="139"/>
      <c r="BK458" s="139"/>
      <c r="BL458" s="139"/>
      <c r="DR458" s="139"/>
      <c r="DS458" s="139"/>
    </row>
    <row r="459" spans="1:123" x14ac:dyDescent="0.2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  <c r="AA459" s="139"/>
      <c r="AB459" s="139"/>
      <c r="AC459" s="139"/>
      <c r="AD459" s="139"/>
      <c r="AE459" s="139"/>
      <c r="AF459" s="139"/>
      <c r="AG459" s="139"/>
      <c r="AH459" s="139"/>
      <c r="AI459" s="139"/>
      <c r="AJ459" s="139"/>
      <c r="AK459" s="139"/>
      <c r="AL459" s="139"/>
      <c r="AM459" s="139"/>
      <c r="AN459" s="139"/>
      <c r="AO459" s="139"/>
      <c r="AP459" s="139"/>
      <c r="AQ459" s="139"/>
      <c r="AR459" s="139"/>
      <c r="AS459" s="139"/>
      <c r="AT459" s="139"/>
      <c r="AU459" s="139"/>
      <c r="AV459" s="139"/>
      <c r="AW459" s="139"/>
      <c r="AX459" s="139"/>
      <c r="AY459" s="139"/>
      <c r="AZ459" s="139"/>
      <c r="BA459" s="139"/>
      <c r="BB459" s="139"/>
      <c r="BC459" s="139"/>
      <c r="BD459" s="139"/>
      <c r="BE459" s="139"/>
      <c r="BF459" s="139"/>
      <c r="BG459" s="139"/>
      <c r="BH459" s="139"/>
      <c r="BI459" s="139"/>
      <c r="BJ459" s="139"/>
      <c r="BK459" s="139"/>
      <c r="BL459" s="139"/>
      <c r="DR459" s="139"/>
      <c r="DS459" s="139"/>
    </row>
    <row r="460" spans="1:123" x14ac:dyDescent="0.2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  <c r="AA460" s="139"/>
      <c r="AB460" s="139"/>
      <c r="AC460" s="139"/>
      <c r="AD460" s="139"/>
      <c r="AE460" s="139"/>
      <c r="AF460" s="139"/>
      <c r="AG460" s="139"/>
      <c r="AH460" s="139"/>
      <c r="AI460" s="139"/>
      <c r="AJ460" s="139"/>
      <c r="AK460" s="139"/>
      <c r="AL460" s="139"/>
      <c r="AM460" s="139"/>
      <c r="AN460" s="139"/>
      <c r="AO460" s="139"/>
      <c r="AP460" s="139"/>
      <c r="AQ460" s="139"/>
      <c r="AR460" s="139"/>
      <c r="AS460" s="139"/>
      <c r="AT460" s="139"/>
      <c r="AU460" s="139"/>
      <c r="AV460" s="139"/>
      <c r="AW460" s="139"/>
      <c r="AX460" s="139"/>
      <c r="AY460" s="139"/>
      <c r="AZ460" s="139"/>
      <c r="BA460" s="139"/>
      <c r="BB460" s="139"/>
      <c r="BC460" s="139"/>
      <c r="BD460" s="139"/>
      <c r="BE460" s="139"/>
      <c r="BF460" s="139"/>
      <c r="BG460" s="139"/>
      <c r="BH460" s="139"/>
      <c r="BI460" s="139"/>
      <c r="BJ460" s="139"/>
      <c r="BK460" s="139"/>
      <c r="BL460" s="139"/>
      <c r="DR460" s="139"/>
      <c r="DS460" s="139"/>
    </row>
    <row r="461" spans="1:123" x14ac:dyDescent="0.2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  <c r="AA461" s="139"/>
      <c r="AB461" s="139"/>
      <c r="AC461" s="139"/>
      <c r="AD461" s="139"/>
      <c r="AE461" s="139"/>
      <c r="AF461" s="139"/>
      <c r="AG461" s="139"/>
      <c r="AH461" s="139"/>
      <c r="AI461" s="139"/>
      <c r="AJ461" s="139"/>
      <c r="AK461" s="139"/>
      <c r="AL461" s="139"/>
      <c r="AM461" s="139"/>
      <c r="AN461" s="139"/>
      <c r="AO461" s="139"/>
      <c r="AP461" s="139"/>
      <c r="AQ461" s="139"/>
      <c r="AR461" s="139"/>
      <c r="AS461" s="139"/>
      <c r="AT461" s="139"/>
      <c r="AU461" s="139"/>
      <c r="AV461" s="139"/>
      <c r="AW461" s="139"/>
      <c r="AX461" s="139"/>
      <c r="AY461" s="139"/>
      <c r="AZ461" s="139"/>
      <c r="BA461" s="139"/>
      <c r="BB461" s="139"/>
      <c r="BC461" s="139"/>
      <c r="BD461" s="139"/>
      <c r="BE461" s="139"/>
      <c r="BF461" s="139"/>
      <c r="BG461" s="139"/>
      <c r="BH461" s="139"/>
      <c r="BI461" s="139"/>
      <c r="BJ461" s="139"/>
      <c r="BK461" s="139"/>
      <c r="BL461" s="139"/>
      <c r="DR461" s="139"/>
      <c r="DS461" s="139"/>
    </row>
    <row r="462" spans="1:123" x14ac:dyDescent="0.2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  <c r="AA462" s="139"/>
      <c r="AB462" s="139"/>
      <c r="AC462" s="139"/>
      <c r="AD462" s="139"/>
      <c r="AE462" s="139"/>
      <c r="AF462" s="139"/>
      <c r="AG462" s="139"/>
      <c r="AH462" s="139"/>
      <c r="AI462" s="139"/>
      <c r="AJ462" s="139"/>
      <c r="AK462" s="139"/>
      <c r="AL462" s="139"/>
      <c r="AM462" s="139"/>
      <c r="AN462" s="139"/>
      <c r="AO462" s="139"/>
      <c r="AP462" s="139"/>
      <c r="AQ462" s="139"/>
      <c r="AR462" s="139"/>
      <c r="AS462" s="139"/>
      <c r="AT462" s="139"/>
      <c r="AU462" s="139"/>
      <c r="AV462" s="139"/>
      <c r="AW462" s="139"/>
      <c r="AX462" s="139"/>
      <c r="AY462" s="139"/>
      <c r="AZ462" s="139"/>
      <c r="BA462" s="139"/>
      <c r="BB462" s="139"/>
      <c r="BC462" s="139"/>
      <c r="BD462" s="139"/>
      <c r="BE462" s="139"/>
      <c r="BF462" s="139"/>
      <c r="BG462" s="139"/>
      <c r="BH462" s="139"/>
      <c r="BI462" s="139"/>
      <c r="BJ462" s="139"/>
      <c r="BK462" s="139"/>
      <c r="BL462" s="139"/>
      <c r="DR462" s="139"/>
      <c r="DS462" s="139"/>
    </row>
    <row r="463" spans="1:123" x14ac:dyDescent="0.2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  <c r="AA463" s="139"/>
      <c r="AB463" s="139"/>
      <c r="AC463" s="139"/>
      <c r="AD463" s="139"/>
      <c r="AE463" s="139"/>
      <c r="AF463" s="139"/>
      <c r="AG463" s="139"/>
      <c r="AH463" s="139"/>
      <c r="AI463" s="139"/>
      <c r="AJ463" s="139"/>
      <c r="AK463" s="139"/>
      <c r="AL463" s="139"/>
      <c r="AM463" s="139"/>
      <c r="AN463" s="139"/>
      <c r="AO463" s="139"/>
      <c r="AP463" s="139"/>
      <c r="AQ463" s="139"/>
      <c r="AR463" s="139"/>
      <c r="AS463" s="139"/>
      <c r="AT463" s="139"/>
      <c r="AU463" s="139"/>
      <c r="AV463" s="139"/>
      <c r="AW463" s="139"/>
      <c r="AX463" s="139"/>
      <c r="AY463" s="139"/>
      <c r="AZ463" s="139"/>
      <c r="BA463" s="139"/>
      <c r="BB463" s="139"/>
      <c r="BC463" s="139"/>
      <c r="BD463" s="139"/>
      <c r="BE463" s="139"/>
      <c r="BF463" s="139"/>
      <c r="BG463" s="139"/>
      <c r="BH463" s="139"/>
      <c r="BI463" s="139"/>
      <c r="BJ463" s="139"/>
      <c r="BK463" s="139"/>
      <c r="BL463" s="139"/>
      <c r="DR463" s="139"/>
      <c r="DS463" s="139"/>
    </row>
    <row r="464" spans="1:123" x14ac:dyDescent="0.2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  <c r="AA464" s="139"/>
      <c r="AB464" s="139"/>
      <c r="AC464" s="139"/>
      <c r="AD464" s="139"/>
      <c r="AE464" s="139"/>
      <c r="AF464" s="139"/>
      <c r="AG464" s="139"/>
      <c r="AH464" s="139"/>
      <c r="AI464" s="139"/>
      <c r="AJ464" s="139"/>
      <c r="AK464" s="139"/>
      <c r="AL464" s="139"/>
      <c r="AM464" s="139"/>
      <c r="AN464" s="139"/>
      <c r="AO464" s="139"/>
      <c r="AP464" s="139"/>
      <c r="AQ464" s="139"/>
      <c r="AR464" s="139"/>
      <c r="AS464" s="139"/>
      <c r="AT464" s="139"/>
      <c r="AU464" s="139"/>
      <c r="AV464" s="139"/>
      <c r="AW464" s="139"/>
      <c r="AX464" s="139"/>
      <c r="AY464" s="139"/>
      <c r="AZ464" s="139"/>
      <c r="BA464" s="139"/>
      <c r="BB464" s="139"/>
      <c r="BC464" s="139"/>
      <c r="BD464" s="139"/>
      <c r="BE464" s="139"/>
      <c r="BF464" s="139"/>
      <c r="BG464" s="139"/>
      <c r="BH464" s="139"/>
      <c r="BI464" s="139"/>
      <c r="BJ464" s="139"/>
      <c r="BK464" s="139"/>
      <c r="BL464" s="139"/>
      <c r="DR464" s="139"/>
      <c r="DS464" s="139"/>
    </row>
    <row r="465" spans="1:123" x14ac:dyDescent="0.2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  <c r="AA465" s="139"/>
      <c r="AB465" s="139"/>
      <c r="AC465" s="139"/>
      <c r="AD465" s="139"/>
      <c r="AE465" s="139"/>
      <c r="AF465" s="139"/>
      <c r="AG465" s="139"/>
      <c r="AH465" s="139"/>
      <c r="AI465" s="139"/>
      <c r="AJ465" s="139"/>
      <c r="AK465" s="139"/>
      <c r="AL465" s="139"/>
      <c r="AM465" s="139"/>
      <c r="AN465" s="139"/>
      <c r="AO465" s="139"/>
      <c r="AP465" s="139"/>
      <c r="AQ465" s="139"/>
      <c r="AR465" s="139"/>
      <c r="AS465" s="139"/>
      <c r="AT465" s="139"/>
      <c r="AU465" s="139"/>
      <c r="AV465" s="139"/>
      <c r="AW465" s="139"/>
      <c r="AX465" s="139"/>
      <c r="AY465" s="139"/>
      <c r="AZ465" s="139"/>
      <c r="BA465" s="139"/>
      <c r="BB465" s="139"/>
      <c r="BC465" s="139"/>
      <c r="BD465" s="139"/>
      <c r="BE465" s="139"/>
      <c r="BF465" s="139"/>
      <c r="BG465" s="139"/>
      <c r="BH465" s="139"/>
      <c r="BI465" s="139"/>
      <c r="BJ465" s="139"/>
      <c r="BK465" s="139"/>
      <c r="BL465" s="139"/>
      <c r="DR465" s="139"/>
      <c r="DS465" s="139"/>
    </row>
    <row r="466" spans="1:123" x14ac:dyDescent="0.2">
      <c r="A466" s="139"/>
      <c r="B466" s="548"/>
      <c r="C466" s="548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  <c r="AA466" s="139"/>
      <c r="AB466" s="139"/>
      <c r="AC466" s="139"/>
      <c r="AD466" s="139"/>
      <c r="AE466" s="139"/>
      <c r="AF466" s="139"/>
      <c r="AG466" s="139"/>
      <c r="AH466" s="139"/>
      <c r="AI466" s="139"/>
      <c r="AJ466" s="139"/>
      <c r="AK466" s="139"/>
      <c r="AL466" s="139"/>
      <c r="AM466" s="139"/>
      <c r="AN466" s="139"/>
      <c r="AO466" s="139"/>
      <c r="AP466" s="139"/>
      <c r="AQ466" s="139"/>
      <c r="AR466" s="139"/>
      <c r="AS466" s="139"/>
      <c r="AT466" s="139"/>
      <c r="AU466" s="139"/>
      <c r="AV466" s="139"/>
      <c r="AW466" s="139"/>
      <c r="AX466" s="139"/>
      <c r="AY466" s="139"/>
      <c r="AZ466" s="139"/>
      <c r="BA466" s="139"/>
      <c r="BB466" s="139"/>
      <c r="BC466" s="139"/>
      <c r="BD466" s="139"/>
      <c r="BE466" s="139"/>
      <c r="BF466" s="139"/>
      <c r="BG466" s="139"/>
      <c r="BH466" s="139"/>
      <c r="BI466" s="139"/>
      <c r="BJ466" s="139"/>
      <c r="BK466" s="139"/>
      <c r="BL466" s="139"/>
      <c r="DR466" s="139"/>
      <c r="DS466" s="139"/>
    </row>
    <row r="467" spans="1:123" x14ac:dyDescent="0.2">
      <c r="A467" s="139"/>
      <c r="B467" s="275"/>
      <c r="C467" s="275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  <c r="AA467" s="139"/>
      <c r="AB467" s="139"/>
      <c r="AC467" s="139"/>
      <c r="AD467" s="139"/>
      <c r="AE467" s="139"/>
      <c r="AF467" s="139"/>
      <c r="AG467" s="139"/>
      <c r="AH467" s="139"/>
      <c r="AI467" s="139"/>
      <c r="AJ467" s="139"/>
      <c r="AK467" s="139"/>
      <c r="AL467" s="139"/>
      <c r="AM467" s="139"/>
      <c r="AN467" s="139"/>
      <c r="AO467" s="139"/>
      <c r="AP467" s="139"/>
      <c r="AQ467" s="139"/>
      <c r="AR467" s="139"/>
      <c r="AS467" s="139"/>
      <c r="AT467" s="139"/>
      <c r="AU467" s="139"/>
      <c r="AV467" s="139"/>
      <c r="AW467" s="139"/>
      <c r="AX467" s="139"/>
      <c r="AY467" s="139"/>
      <c r="AZ467" s="139"/>
      <c r="BA467" s="139"/>
      <c r="BB467" s="139"/>
      <c r="BC467" s="139"/>
      <c r="BD467" s="139"/>
      <c r="BE467" s="139"/>
      <c r="BF467" s="139"/>
      <c r="BG467" s="139"/>
      <c r="BH467" s="139"/>
      <c r="BI467" s="139"/>
      <c r="BJ467" s="139"/>
      <c r="BK467" s="139"/>
      <c r="BL467" s="139"/>
      <c r="DR467" s="139"/>
      <c r="DS467" s="139"/>
    </row>
    <row r="468" spans="1:123" x14ac:dyDescent="0.2">
      <c r="A468" s="139"/>
      <c r="B468" s="142"/>
      <c r="C468" s="275"/>
      <c r="D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  <c r="AA468" s="139"/>
      <c r="AB468" s="139"/>
      <c r="AC468" s="139"/>
      <c r="AD468" s="139"/>
      <c r="AE468" s="139"/>
      <c r="AF468" s="139"/>
      <c r="AG468" s="139"/>
      <c r="AH468" s="139"/>
      <c r="AI468" s="139"/>
      <c r="AJ468" s="139"/>
      <c r="AK468" s="139"/>
      <c r="AL468" s="139"/>
      <c r="AM468" s="139"/>
      <c r="AN468" s="139"/>
      <c r="AO468" s="139"/>
      <c r="AP468" s="139"/>
      <c r="AQ468" s="139"/>
      <c r="AR468" s="139"/>
      <c r="AS468" s="139"/>
      <c r="AT468" s="139"/>
      <c r="AU468" s="139"/>
      <c r="AV468" s="139"/>
      <c r="AW468" s="139"/>
      <c r="AX468" s="139"/>
      <c r="AY468" s="139"/>
      <c r="AZ468" s="139"/>
      <c r="BA468" s="139"/>
      <c r="BB468" s="139"/>
      <c r="BC468" s="139"/>
      <c r="BD468" s="139"/>
      <c r="BE468" s="139"/>
      <c r="BF468" s="139"/>
      <c r="BG468" s="139"/>
      <c r="BH468" s="139"/>
      <c r="BI468" s="139"/>
      <c r="BJ468" s="139"/>
      <c r="BK468" s="139"/>
      <c r="BL468" s="139"/>
      <c r="DR468" s="139"/>
      <c r="DS468" s="139"/>
    </row>
    <row r="469" spans="1:123" x14ac:dyDescent="0.2">
      <c r="A469" s="139"/>
      <c r="B469" s="142"/>
      <c r="C469" s="275"/>
      <c r="D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  <c r="AA469" s="139"/>
      <c r="AB469" s="139"/>
      <c r="AC469" s="139"/>
      <c r="AD469" s="139"/>
      <c r="AE469" s="139"/>
      <c r="AF469" s="139"/>
      <c r="AG469" s="139"/>
      <c r="AH469" s="139"/>
      <c r="AI469" s="139"/>
      <c r="AJ469" s="139"/>
      <c r="AK469" s="139"/>
      <c r="AL469" s="139"/>
      <c r="AM469" s="139"/>
      <c r="AN469" s="139"/>
      <c r="AO469" s="139"/>
      <c r="AP469" s="139"/>
      <c r="AQ469" s="139"/>
      <c r="AR469" s="139"/>
      <c r="AS469" s="139"/>
      <c r="AT469" s="139"/>
      <c r="AU469" s="139"/>
      <c r="AV469" s="139"/>
      <c r="AW469" s="139"/>
      <c r="AX469" s="139"/>
      <c r="AY469" s="139"/>
      <c r="AZ469" s="139"/>
      <c r="BA469" s="139"/>
      <c r="BB469" s="139"/>
      <c r="BC469" s="139"/>
      <c r="BD469" s="139"/>
      <c r="BE469" s="139"/>
      <c r="BF469" s="139"/>
      <c r="BG469" s="139"/>
      <c r="BH469" s="139"/>
      <c r="BI469" s="139"/>
      <c r="BJ469" s="139"/>
      <c r="BK469" s="139"/>
      <c r="BL469" s="139"/>
      <c r="DR469" s="139"/>
      <c r="DS469" s="139"/>
    </row>
    <row r="470" spans="1:123" x14ac:dyDescent="0.2">
      <c r="A470" s="139"/>
      <c r="B470" s="275"/>
      <c r="C470" s="275"/>
      <c r="D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  <c r="AA470" s="139"/>
      <c r="AB470" s="139"/>
      <c r="AC470" s="139"/>
      <c r="AD470" s="139"/>
      <c r="AE470" s="139"/>
      <c r="AF470" s="139"/>
      <c r="AG470" s="139"/>
      <c r="AH470" s="139"/>
      <c r="AI470" s="139"/>
      <c r="AJ470" s="139"/>
      <c r="AK470" s="139"/>
      <c r="AL470" s="139"/>
      <c r="AM470" s="139"/>
      <c r="AN470" s="139"/>
      <c r="AO470" s="139"/>
      <c r="AP470" s="139"/>
      <c r="AQ470" s="139"/>
      <c r="AR470" s="139"/>
      <c r="AS470" s="139"/>
      <c r="AT470" s="139"/>
      <c r="AU470" s="139"/>
      <c r="AV470" s="139"/>
      <c r="AW470" s="139"/>
      <c r="AX470" s="139"/>
      <c r="AY470" s="139"/>
      <c r="AZ470" s="139"/>
      <c r="BA470" s="139"/>
      <c r="BB470" s="139"/>
      <c r="BC470" s="139"/>
      <c r="BD470" s="139"/>
      <c r="BE470" s="139"/>
      <c r="BF470" s="139"/>
      <c r="BG470" s="139"/>
      <c r="BH470" s="139"/>
      <c r="BI470" s="139"/>
      <c r="BJ470" s="139"/>
      <c r="BK470" s="139"/>
      <c r="BL470" s="139"/>
      <c r="DR470" s="139"/>
      <c r="DS470" s="139"/>
    </row>
    <row r="471" spans="1:123" x14ac:dyDescent="0.2">
      <c r="A471" s="139"/>
      <c r="B471" s="275"/>
      <c r="C471" s="275"/>
      <c r="D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  <c r="AA471" s="139"/>
      <c r="AB471" s="139"/>
      <c r="AC471" s="139"/>
      <c r="AD471" s="139"/>
      <c r="AE471" s="139"/>
      <c r="AF471" s="139"/>
      <c r="AG471" s="139"/>
      <c r="AH471" s="139"/>
      <c r="AI471" s="139"/>
      <c r="AJ471" s="139"/>
      <c r="AK471" s="139"/>
      <c r="AL471" s="139"/>
      <c r="AM471" s="139"/>
      <c r="AN471" s="139"/>
      <c r="AO471" s="139"/>
      <c r="AP471" s="139"/>
      <c r="AQ471" s="139"/>
      <c r="AR471" s="139"/>
      <c r="AS471" s="139"/>
      <c r="AT471" s="139"/>
      <c r="AU471" s="139"/>
      <c r="AV471" s="139"/>
      <c r="AW471" s="139"/>
      <c r="AX471" s="139"/>
      <c r="AY471" s="139"/>
      <c r="AZ471" s="139"/>
      <c r="BA471" s="139"/>
      <c r="BB471" s="139"/>
      <c r="BC471" s="139"/>
      <c r="BD471" s="139"/>
      <c r="BE471" s="139"/>
      <c r="BF471" s="139"/>
      <c r="BG471" s="139"/>
      <c r="BH471" s="139"/>
      <c r="BI471" s="139"/>
      <c r="BJ471" s="139"/>
      <c r="BK471" s="139"/>
      <c r="BL471" s="139"/>
      <c r="DR471" s="139"/>
      <c r="DS471" s="139"/>
    </row>
    <row r="472" spans="1:123" x14ac:dyDescent="0.2">
      <c r="A472" s="139"/>
      <c r="B472" s="275"/>
      <c r="C472" s="275"/>
      <c r="D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  <c r="AA472" s="139"/>
      <c r="AB472" s="139"/>
      <c r="AC472" s="139"/>
      <c r="AD472" s="139"/>
      <c r="AE472" s="139"/>
      <c r="AF472" s="139"/>
      <c r="AG472" s="139"/>
      <c r="AH472" s="139"/>
      <c r="AI472" s="139"/>
      <c r="AJ472" s="139"/>
      <c r="AK472" s="139"/>
      <c r="AL472" s="139"/>
      <c r="AM472" s="139"/>
      <c r="AN472" s="139"/>
      <c r="AO472" s="139"/>
      <c r="AP472" s="139"/>
      <c r="AQ472" s="139"/>
      <c r="AR472" s="139"/>
      <c r="AS472" s="139"/>
      <c r="AT472" s="139"/>
      <c r="AU472" s="139"/>
      <c r="AV472" s="139"/>
      <c r="AW472" s="139"/>
      <c r="AX472" s="139"/>
      <c r="AY472" s="139"/>
      <c r="AZ472" s="139"/>
      <c r="BA472" s="139"/>
      <c r="BB472" s="139"/>
      <c r="BC472" s="139"/>
      <c r="BD472" s="139"/>
      <c r="BE472" s="139"/>
      <c r="BF472" s="139"/>
      <c r="BG472" s="139"/>
      <c r="BH472" s="139"/>
      <c r="BI472" s="139"/>
      <c r="BJ472" s="139"/>
      <c r="BK472" s="139"/>
      <c r="BL472" s="139"/>
      <c r="DR472" s="139"/>
      <c r="DS472" s="139"/>
    </row>
    <row r="473" spans="1:123" x14ac:dyDescent="0.2">
      <c r="A473" s="139"/>
      <c r="B473" s="275"/>
      <c r="C473" s="275"/>
      <c r="D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  <c r="AA473" s="139"/>
      <c r="AB473" s="139"/>
      <c r="AC473" s="139"/>
      <c r="AD473" s="139"/>
      <c r="AE473" s="139"/>
      <c r="AF473" s="139"/>
      <c r="AG473" s="139"/>
      <c r="AH473" s="139"/>
      <c r="AI473" s="139"/>
      <c r="AJ473" s="139"/>
      <c r="AK473" s="139"/>
      <c r="AL473" s="139"/>
      <c r="AM473" s="139"/>
      <c r="AN473" s="139"/>
      <c r="AO473" s="139"/>
      <c r="AP473" s="139"/>
      <c r="AQ473" s="139"/>
      <c r="AR473" s="139"/>
      <c r="AS473" s="139"/>
      <c r="AT473" s="139"/>
      <c r="AU473" s="139"/>
      <c r="AV473" s="139"/>
      <c r="AW473" s="139"/>
      <c r="AX473" s="139"/>
      <c r="AY473" s="139"/>
      <c r="AZ473" s="139"/>
      <c r="BA473" s="139"/>
      <c r="BB473" s="139"/>
      <c r="BC473" s="139"/>
      <c r="BD473" s="139"/>
      <c r="BE473" s="139"/>
      <c r="BF473" s="139"/>
      <c r="BG473" s="139"/>
      <c r="BH473" s="139"/>
      <c r="BI473" s="139"/>
      <c r="BJ473" s="139"/>
      <c r="BK473" s="139"/>
      <c r="BL473" s="139"/>
      <c r="DR473" s="139"/>
      <c r="DS473" s="139"/>
    </row>
    <row r="474" spans="1:123" x14ac:dyDescent="0.2">
      <c r="A474" s="139"/>
      <c r="B474" s="275"/>
      <c r="C474" s="275"/>
      <c r="D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  <c r="AA474" s="139"/>
      <c r="AB474" s="139"/>
      <c r="AC474" s="139"/>
      <c r="AD474" s="139"/>
      <c r="AE474" s="139"/>
      <c r="AF474" s="139"/>
      <c r="AG474" s="139"/>
      <c r="AH474" s="139"/>
      <c r="AI474" s="139"/>
      <c r="AJ474" s="139"/>
      <c r="AK474" s="139"/>
      <c r="AL474" s="139"/>
      <c r="AM474" s="139"/>
      <c r="AN474" s="139"/>
      <c r="AO474" s="139"/>
      <c r="AP474" s="139"/>
      <c r="AQ474" s="139"/>
      <c r="AR474" s="139"/>
      <c r="AS474" s="139"/>
      <c r="AT474" s="139"/>
      <c r="AU474" s="139"/>
      <c r="AV474" s="139"/>
      <c r="AW474" s="139"/>
      <c r="AX474" s="139"/>
      <c r="AY474" s="139"/>
      <c r="AZ474" s="139"/>
      <c r="BA474" s="139"/>
      <c r="BB474" s="139"/>
      <c r="BC474" s="139"/>
      <c r="BD474" s="139"/>
      <c r="BE474" s="139"/>
      <c r="BF474" s="139"/>
      <c r="BG474" s="139"/>
      <c r="BH474" s="139"/>
      <c r="BI474" s="139"/>
      <c r="BJ474" s="139"/>
      <c r="BK474" s="139"/>
      <c r="BL474" s="139"/>
      <c r="DR474" s="139"/>
      <c r="DS474" s="139"/>
    </row>
    <row r="475" spans="1:123" x14ac:dyDescent="0.2">
      <c r="A475" s="139"/>
      <c r="B475" s="275"/>
      <c r="C475" s="275"/>
      <c r="D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  <c r="AA475" s="139"/>
      <c r="AB475" s="139"/>
      <c r="AC475" s="139"/>
      <c r="AD475" s="139"/>
      <c r="AE475" s="139"/>
      <c r="AF475" s="139"/>
      <c r="AG475" s="139"/>
      <c r="AH475" s="139"/>
      <c r="AI475" s="139"/>
      <c r="AJ475" s="139"/>
      <c r="AK475" s="139"/>
      <c r="AL475" s="139"/>
      <c r="AM475" s="139"/>
      <c r="AN475" s="139"/>
      <c r="AO475" s="139"/>
      <c r="AP475" s="139"/>
      <c r="AQ475" s="139"/>
      <c r="AR475" s="139"/>
      <c r="AS475" s="139"/>
      <c r="AT475" s="139"/>
      <c r="AU475" s="139"/>
      <c r="AV475" s="139"/>
      <c r="AW475" s="139"/>
      <c r="AX475" s="139"/>
      <c r="AY475" s="139"/>
      <c r="AZ475" s="139"/>
      <c r="BA475" s="139"/>
      <c r="BB475" s="139"/>
      <c r="BC475" s="139"/>
      <c r="BD475" s="139"/>
      <c r="BE475" s="139"/>
      <c r="BF475" s="139"/>
      <c r="BG475" s="139"/>
      <c r="BH475" s="139"/>
      <c r="BI475" s="139"/>
      <c r="BJ475" s="139"/>
      <c r="BK475" s="139"/>
      <c r="BL475" s="139"/>
      <c r="DR475" s="139"/>
      <c r="DS475" s="139"/>
    </row>
    <row r="476" spans="1:123" x14ac:dyDescent="0.2">
      <c r="A476" s="139"/>
      <c r="B476" s="275"/>
      <c r="C476" s="275"/>
      <c r="D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39"/>
      <c r="AE476" s="139"/>
      <c r="AF476" s="139"/>
      <c r="AG476" s="139"/>
      <c r="AH476" s="139"/>
      <c r="AI476" s="139"/>
      <c r="AJ476" s="139"/>
      <c r="AK476" s="139"/>
      <c r="AL476" s="139"/>
      <c r="AM476" s="139"/>
      <c r="AN476" s="139"/>
      <c r="AO476" s="139"/>
      <c r="AP476" s="139"/>
      <c r="AQ476" s="139"/>
      <c r="AR476" s="139"/>
      <c r="AS476" s="139"/>
      <c r="AT476" s="139"/>
      <c r="AU476" s="139"/>
      <c r="AV476" s="139"/>
      <c r="AW476" s="139"/>
      <c r="AX476" s="139"/>
      <c r="AY476" s="139"/>
      <c r="AZ476" s="139"/>
      <c r="BA476" s="139"/>
      <c r="BB476" s="139"/>
      <c r="BC476" s="139"/>
      <c r="BD476" s="139"/>
      <c r="BE476" s="139"/>
      <c r="BF476" s="139"/>
      <c r="BG476" s="139"/>
      <c r="BH476" s="139"/>
      <c r="BI476" s="139"/>
      <c r="BJ476" s="139"/>
      <c r="BK476" s="139"/>
      <c r="BL476" s="139"/>
      <c r="DR476" s="139"/>
      <c r="DS476" s="139"/>
    </row>
    <row r="477" spans="1:123" x14ac:dyDescent="0.2">
      <c r="A477" s="139"/>
      <c r="B477" s="275"/>
      <c r="C477" s="275"/>
      <c r="D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  <c r="AA477" s="139"/>
      <c r="AB477" s="139"/>
      <c r="AC477" s="139"/>
      <c r="AD477" s="139"/>
      <c r="AE477" s="139"/>
      <c r="AF477" s="139"/>
      <c r="AG477" s="139"/>
      <c r="AH477" s="139"/>
      <c r="AI477" s="139"/>
      <c r="AJ477" s="139"/>
      <c r="AK477" s="139"/>
      <c r="AL477" s="139"/>
      <c r="AM477" s="139"/>
      <c r="AN477" s="139"/>
      <c r="AO477" s="139"/>
      <c r="AP477" s="139"/>
      <c r="AQ477" s="139"/>
      <c r="AR477" s="139"/>
      <c r="AS477" s="139"/>
      <c r="AT477" s="139"/>
      <c r="AU477" s="139"/>
      <c r="AV477" s="139"/>
      <c r="AW477" s="139"/>
      <c r="AX477" s="139"/>
      <c r="AY477" s="139"/>
      <c r="AZ477" s="139"/>
      <c r="BA477" s="139"/>
      <c r="BB477" s="139"/>
      <c r="BC477" s="139"/>
      <c r="BD477" s="139"/>
      <c r="BE477" s="139"/>
      <c r="BF477" s="139"/>
      <c r="BG477" s="139"/>
      <c r="BH477" s="139"/>
      <c r="BI477" s="139"/>
      <c r="BJ477" s="139"/>
      <c r="BK477" s="139"/>
      <c r="BL477" s="139"/>
      <c r="DR477" s="139"/>
      <c r="DS477" s="139"/>
    </row>
    <row r="478" spans="1:123" x14ac:dyDescent="0.2">
      <c r="A478" s="139"/>
      <c r="B478" s="275"/>
      <c r="C478" s="275"/>
      <c r="D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  <c r="AA478" s="139"/>
      <c r="AB478" s="139"/>
      <c r="AC478" s="139"/>
      <c r="AD478" s="139"/>
      <c r="AE478" s="139"/>
      <c r="AF478" s="139"/>
      <c r="AG478" s="139"/>
      <c r="AH478" s="139"/>
      <c r="AI478" s="139"/>
      <c r="AJ478" s="139"/>
      <c r="AK478" s="139"/>
      <c r="AL478" s="139"/>
      <c r="AM478" s="139"/>
      <c r="AN478" s="139"/>
      <c r="AO478" s="139"/>
      <c r="AP478" s="139"/>
      <c r="AQ478" s="139"/>
      <c r="AR478" s="139"/>
      <c r="AS478" s="139"/>
      <c r="AT478" s="139"/>
      <c r="AU478" s="139"/>
      <c r="AV478" s="139"/>
      <c r="AW478" s="139"/>
      <c r="AX478" s="139"/>
      <c r="AY478" s="139"/>
      <c r="AZ478" s="139"/>
      <c r="BA478" s="139"/>
      <c r="BB478" s="139"/>
      <c r="BC478" s="139"/>
      <c r="BD478" s="139"/>
      <c r="BE478" s="139"/>
      <c r="BF478" s="139"/>
      <c r="BG478" s="139"/>
      <c r="BH478" s="139"/>
      <c r="BI478" s="139"/>
      <c r="BJ478" s="139"/>
      <c r="BK478" s="139"/>
      <c r="BL478" s="139"/>
      <c r="DR478" s="139"/>
      <c r="DS478" s="139"/>
    </row>
    <row r="479" spans="1:123" x14ac:dyDescent="0.2">
      <c r="A479" s="139"/>
      <c r="B479" s="275"/>
      <c r="C479" s="275"/>
      <c r="D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  <c r="AA479" s="139"/>
      <c r="AB479" s="139"/>
      <c r="AC479" s="139"/>
      <c r="AD479" s="139"/>
      <c r="AE479" s="139"/>
      <c r="AF479" s="139"/>
      <c r="AG479" s="139"/>
      <c r="AH479" s="139"/>
      <c r="AI479" s="139"/>
      <c r="AJ479" s="139"/>
      <c r="AK479" s="139"/>
      <c r="AL479" s="139"/>
      <c r="AM479" s="139"/>
      <c r="AN479" s="139"/>
      <c r="AO479" s="139"/>
      <c r="AP479" s="139"/>
      <c r="AQ479" s="139"/>
      <c r="AR479" s="139"/>
      <c r="AS479" s="139"/>
      <c r="AT479" s="139"/>
      <c r="AU479" s="139"/>
      <c r="AV479" s="139"/>
      <c r="AW479" s="139"/>
      <c r="AX479" s="139"/>
      <c r="AY479" s="139"/>
      <c r="AZ479" s="139"/>
      <c r="BA479" s="139"/>
      <c r="BB479" s="139"/>
      <c r="BC479" s="139"/>
      <c r="BD479" s="139"/>
      <c r="BE479" s="139"/>
      <c r="BF479" s="139"/>
      <c r="BG479" s="139"/>
      <c r="BH479" s="139"/>
      <c r="BI479" s="139"/>
      <c r="BJ479" s="139"/>
      <c r="BK479" s="139"/>
      <c r="BL479" s="139"/>
      <c r="DR479" s="139"/>
      <c r="DS479" s="139"/>
    </row>
    <row r="480" spans="1:123" x14ac:dyDescent="0.2">
      <c r="A480" s="139"/>
      <c r="B480" s="275"/>
      <c r="C480" s="275"/>
      <c r="D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  <c r="AA480" s="139"/>
      <c r="AB480" s="139"/>
      <c r="AC480" s="139"/>
      <c r="AD480" s="139"/>
      <c r="AE480" s="139"/>
      <c r="AF480" s="139"/>
      <c r="AG480" s="139"/>
      <c r="AH480" s="139"/>
      <c r="AI480" s="139"/>
      <c r="AJ480" s="139"/>
      <c r="AK480" s="139"/>
      <c r="AL480" s="139"/>
      <c r="AM480" s="139"/>
      <c r="AN480" s="139"/>
      <c r="AO480" s="139"/>
      <c r="AP480" s="139"/>
      <c r="AQ480" s="139"/>
      <c r="AR480" s="139"/>
      <c r="AS480" s="139"/>
      <c r="AT480" s="139"/>
      <c r="AU480" s="139"/>
      <c r="AV480" s="139"/>
      <c r="AW480" s="139"/>
      <c r="AX480" s="139"/>
      <c r="AY480" s="139"/>
      <c r="AZ480" s="139"/>
      <c r="BA480" s="139"/>
      <c r="BB480" s="139"/>
      <c r="BC480" s="139"/>
      <c r="BD480" s="139"/>
      <c r="BE480" s="139"/>
      <c r="BF480" s="139"/>
      <c r="BG480" s="139"/>
      <c r="BH480" s="139"/>
      <c r="BI480" s="139"/>
      <c r="BJ480" s="139"/>
      <c r="BK480" s="139"/>
      <c r="BL480" s="139"/>
      <c r="DR480" s="139"/>
      <c r="DS480" s="139"/>
    </row>
    <row r="481" spans="1:123" x14ac:dyDescent="0.2">
      <c r="A481" s="139"/>
      <c r="B481" s="275"/>
      <c r="C481" s="275"/>
      <c r="D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  <c r="AA481" s="139"/>
      <c r="AB481" s="139"/>
      <c r="AC481" s="139"/>
      <c r="AD481" s="139"/>
      <c r="AE481" s="139"/>
      <c r="AF481" s="139"/>
      <c r="AG481" s="139"/>
      <c r="AH481" s="139"/>
      <c r="AI481" s="139"/>
      <c r="AJ481" s="139"/>
      <c r="AK481" s="139"/>
      <c r="AL481" s="139"/>
      <c r="AM481" s="139"/>
      <c r="AN481" s="139"/>
      <c r="AO481" s="139"/>
      <c r="AP481" s="139"/>
      <c r="AQ481" s="139"/>
      <c r="AR481" s="139"/>
      <c r="AS481" s="139"/>
      <c r="AT481" s="139"/>
      <c r="AU481" s="139"/>
      <c r="AV481" s="139"/>
      <c r="AW481" s="139"/>
      <c r="AX481" s="139"/>
      <c r="AY481" s="139"/>
      <c r="AZ481" s="139"/>
      <c r="BA481" s="139"/>
      <c r="BB481" s="139"/>
      <c r="BC481" s="139"/>
      <c r="BD481" s="139"/>
      <c r="BE481" s="139"/>
      <c r="BF481" s="139"/>
      <c r="BG481" s="139"/>
      <c r="BH481" s="139"/>
      <c r="BI481" s="139"/>
      <c r="BJ481" s="139"/>
      <c r="BK481" s="139"/>
      <c r="BL481" s="139"/>
      <c r="DR481" s="139"/>
      <c r="DS481" s="139"/>
    </row>
    <row r="482" spans="1:123" x14ac:dyDescent="0.2">
      <c r="A482" s="139"/>
      <c r="B482" s="275"/>
      <c r="C482" s="143"/>
      <c r="D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  <c r="AA482" s="139"/>
      <c r="AB482" s="139"/>
      <c r="AC482" s="139"/>
      <c r="AD482" s="139"/>
      <c r="AE482" s="139"/>
      <c r="AF482" s="139"/>
      <c r="AG482" s="139"/>
      <c r="AH482" s="139"/>
      <c r="AI482" s="139"/>
      <c r="AJ482" s="139"/>
      <c r="AK482" s="139"/>
      <c r="AL482" s="139"/>
      <c r="AM482" s="139"/>
      <c r="AN482" s="139"/>
      <c r="AO482" s="139"/>
      <c r="AP482" s="139"/>
      <c r="AQ482" s="139"/>
      <c r="AR482" s="139"/>
      <c r="AS482" s="139"/>
      <c r="AT482" s="139"/>
      <c r="AU482" s="139"/>
      <c r="AV482" s="139"/>
      <c r="AW482" s="139"/>
      <c r="AX482" s="139"/>
      <c r="AY482" s="139"/>
      <c r="AZ482" s="139"/>
      <c r="BA482" s="139"/>
      <c r="BB482" s="139"/>
      <c r="BC482" s="139"/>
      <c r="BD482" s="139"/>
      <c r="BE482" s="139"/>
      <c r="BF482" s="139"/>
      <c r="BG482" s="139"/>
      <c r="BH482" s="139"/>
      <c r="BI482" s="139"/>
      <c r="BJ482" s="139"/>
      <c r="BK482" s="139"/>
      <c r="BL482" s="139"/>
      <c r="DR482" s="139"/>
      <c r="DS482" s="139"/>
    </row>
    <row r="483" spans="1:123" x14ac:dyDescent="0.2">
      <c r="A483" s="139"/>
      <c r="B483" s="275"/>
      <c r="C483" s="144"/>
      <c r="D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  <c r="AA483" s="139"/>
      <c r="AB483" s="139"/>
      <c r="AC483" s="139"/>
      <c r="AD483" s="139"/>
      <c r="AE483" s="139"/>
      <c r="AF483" s="139"/>
      <c r="AG483" s="139"/>
      <c r="AH483" s="139"/>
      <c r="AI483" s="139"/>
      <c r="AJ483" s="139"/>
      <c r="AK483" s="139"/>
      <c r="AL483" s="139"/>
      <c r="AM483" s="139"/>
      <c r="AN483" s="139"/>
      <c r="AO483" s="139"/>
      <c r="AP483" s="139"/>
      <c r="AQ483" s="139"/>
      <c r="AR483" s="139"/>
      <c r="AS483" s="139"/>
      <c r="AT483" s="139"/>
      <c r="AU483" s="139"/>
      <c r="AV483" s="139"/>
      <c r="AW483" s="139"/>
      <c r="AX483" s="139"/>
      <c r="AY483" s="139"/>
      <c r="AZ483" s="139"/>
      <c r="BA483" s="139"/>
      <c r="BB483" s="139"/>
      <c r="BC483" s="139"/>
      <c r="BD483" s="139"/>
      <c r="BE483" s="139"/>
      <c r="BF483" s="139"/>
      <c r="BG483" s="139"/>
      <c r="BH483" s="139"/>
      <c r="BI483" s="139"/>
      <c r="BJ483" s="139"/>
      <c r="BK483" s="139"/>
      <c r="BL483" s="139"/>
      <c r="DR483" s="139"/>
      <c r="DS483" s="139"/>
    </row>
    <row r="484" spans="1:123" x14ac:dyDescent="0.2">
      <c r="A484" s="139"/>
      <c r="B484" s="275"/>
      <c r="C484" s="144"/>
      <c r="D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  <c r="AA484" s="139"/>
      <c r="AB484" s="139"/>
      <c r="AC484" s="139"/>
      <c r="AD484" s="139"/>
      <c r="AE484" s="139"/>
      <c r="AF484" s="139"/>
      <c r="AG484" s="139"/>
      <c r="AH484" s="139"/>
      <c r="AI484" s="139"/>
      <c r="AJ484" s="139"/>
      <c r="AK484" s="139"/>
      <c r="AL484" s="139"/>
      <c r="AM484" s="139"/>
      <c r="AN484" s="139"/>
      <c r="AO484" s="139"/>
      <c r="AP484" s="139"/>
      <c r="AQ484" s="139"/>
      <c r="AR484" s="139"/>
      <c r="AS484" s="139"/>
      <c r="AT484" s="139"/>
      <c r="AU484" s="139"/>
      <c r="AV484" s="139"/>
      <c r="AW484" s="139"/>
      <c r="AX484" s="139"/>
      <c r="AY484" s="139"/>
      <c r="AZ484" s="139"/>
      <c r="BA484" s="139"/>
      <c r="BB484" s="139"/>
      <c r="BC484" s="139"/>
      <c r="BD484" s="139"/>
      <c r="BE484" s="139"/>
      <c r="BF484" s="139"/>
      <c r="BG484" s="139"/>
      <c r="BH484" s="139"/>
      <c r="BI484" s="139"/>
      <c r="BJ484" s="139"/>
      <c r="BK484" s="139"/>
      <c r="BL484" s="139"/>
      <c r="DR484" s="139"/>
      <c r="DS484" s="139"/>
    </row>
    <row r="485" spans="1:123" x14ac:dyDescent="0.2">
      <c r="A485" s="139"/>
      <c r="B485" s="275"/>
      <c r="C485" s="144"/>
      <c r="D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  <c r="AA485" s="139"/>
      <c r="AB485" s="139"/>
      <c r="AC485" s="139"/>
      <c r="AD485" s="139"/>
      <c r="AE485" s="139"/>
      <c r="AF485" s="139"/>
      <c r="AG485" s="139"/>
      <c r="AH485" s="139"/>
      <c r="AI485" s="139"/>
      <c r="AJ485" s="139"/>
      <c r="AK485" s="139"/>
      <c r="AL485" s="139"/>
      <c r="AM485" s="139"/>
      <c r="AN485" s="139"/>
      <c r="AO485" s="139"/>
      <c r="AP485" s="139"/>
      <c r="AQ485" s="139"/>
      <c r="AR485" s="139"/>
      <c r="AS485" s="139"/>
      <c r="AT485" s="139"/>
      <c r="AU485" s="139"/>
      <c r="AV485" s="139"/>
      <c r="AW485" s="139"/>
      <c r="AX485" s="139"/>
      <c r="AY485" s="139"/>
      <c r="AZ485" s="139"/>
      <c r="BA485" s="139"/>
      <c r="BB485" s="139"/>
      <c r="BC485" s="139"/>
      <c r="BD485" s="139"/>
      <c r="BE485" s="139"/>
      <c r="BF485" s="139"/>
      <c r="BG485" s="139"/>
      <c r="BH485" s="139"/>
      <c r="BI485" s="139"/>
      <c r="BJ485" s="139"/>
      <c r="BK485" s="139"/>
      <c r="BL485" s="139"/>
      <c r="DR485" s="139"/>
      <c r="DS485" s="139"/>
    </row>
    <row r="486" spans="1:123" x14ac:dyDescent="0.2">
      <c r="A486" s="139"/>
      <c r="B486" s="275"/>
      <c r="C486" s="144"/>
      <c r="D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  <c r="AA486" s="139"/>
      <c r="AB486" s="139"/>
      <c r="AC486" s="139"/>
      <c r="AD486" s="139"/>
      <c r="AE486" s="139"/>
      <c r="AF486" s="139"/>
      <c r="AG486" s="139"/>
      <c r="AH486" s="139"/>
      <c r="AI486" s="139"/>
      <c r="AJ486" s="139"/>
      <c r="AK486" s="139"/>
      <c r="AL486" s="139"/>
      <c r="AM486" s="139"/>
      <c r="AN486" s="139"/>
      <c r="AO486" s="139"/>
      <c r="AP486" s="139"/>
      <c r="AQ486" s="139"/>
      <c r="AR486" s="139"/>
      <c r="AS486" s="139"/>
      <c r="AT486" s="139"/>
      <c r="AU486" s="139"/>
      <c r="AV486" s="139"/>
      <c r="AW486" s="139"/>
      <c r="AX486" s="139"/>
      <c r="AY486" s="139"/>
      <c r="AZ486" s="139"/>
      <c r="BA486" s="139"/>
      <c r="BB486" s="139"/>
      <c r="BC486" s="139"/>
      <c r="BD486" s="139"/>
      <c r="BE486" s="139"/>
      <c r="BF486" s="139"/>
      <c r="BG486" s="139"/>
      <c r="BH486" s="139"/>
      <c r="BI486" s="139"/>
      <c r="BJ486" s="139"/>
      <c r="BK486" s="139"/>
      <c r="BL486" s="139"/>
      <c r="DR486" s="139"/>
      <c r="DS486" s="139"/>
    </row>
    <row r="487" spans="1:123" x14ac:dyDescent="0.2">
      <c r="A487" s="139"/>
      <c r="B487" s="275"/>
      <c r="C487" s="275"/>
      <c r="D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  <c r="AA487" s="139"/>
      <c r="AB487" s="139"/>
      <c r="AC487" s="139"/>
      <c r="AD487" s="139"/>
      <c r="AE487" s="139"/>
      <c r="AF487" s="139"/>
      <c r="AG487" s="139"/>
      <c r="AH487" s="139"/>
      <c r="AI487" s="139"/>
      <c r="AJ487" s="139"/>
      <c r="AK487" s="139"/>
      <c r="AL487" s="139"/>
      <c r="AM487" s="139"/>
      <c r="AN487" s="139"/>
      <c r="AO487" s="139"/>
      <c r="AP487" s="139"/>
      <c r="AQ487" s="139"/>
      <c r="AR487" s="139"/>
      <c r="AS487" s="139"/>
      <c r="AT487" s="139"/>
      <c r="AU487" s="139"/>
      <c r="AV487" s="139"/>
      <c r="AW487" s="139"/>
      <c r="AX487" s="139"/>
      <c r="AY487" s="139"/>
      <c r="AZ487" s="139"/>
      <c r="BA487" s="139"/>
      <c r="BB487" s="139"/>
      <c r="BC487" s="139"/>
      <c r="BD487" s="139"/>
      <c r="BE487" s="139"/>
      <c r="BF487" s="139"/>
      <c r="BG487" s="139"/>
      <c r="BH487" s="139"/>
      <c r="BI487" s="139"/>
      <c r="BJ487" s="139"/>
      <c r="BK487" s="139"/>
      <c r="BL487" s="139"/>
      <c r="DR487" s="139"/>
      <c r="DS487" s="139"/>
    </row>
    <row r="488" spans="1:123" x14ac:dyDescent="0.2">
      <c r="A488" s="139"/>
      <c r="B488" s="275"/>
      <c r="C488" s="275"/>
      <c r="D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  <c r="AA488" s="139"/>
      <c r="AB488" s="139"/>
      <c r="AC488" s="139"/>
      <c r="AD488" s="139"/>
      <c r="AE488" s="139"/>
      <c r="AF488" s="139"/>
      <c r="AG488" s="139"/>
      <c r="AH488" s="139"/>
      <c r="AI488" s="139"/>
      <c r="AJ488" s="139"/>
      <c r="AK488" s="139"/>
      <c r="AL488" s="139"/>
      <c r="AM488" s="139"/>
      <c r="AN488" s="139"/>
      <c r="AO488" s="139"/>
      <c r="AP488" s="139"/>
      <c r="AQ488" s="139"/>
      <c r="AR488" s="139"/>
      <c r="AS488" s="139"/>
      <c r="AT488" s="139"/>
      <c r="AU488" s="139"/>
      <c r="AV488" s="139"/>
      <c r="AW488" s="139"/>
      <c r="AX488" s="139"/>
      <c r="AY488" s="139"/>
      <c r="AZ488" s="139"/>
      <c r="BA488" s="139"/>
      <c r="BB488" s="139"/>
      <c r="BC488" s="139"/>
      <c r="BD488" s="139"/>
      <c r="BE488" s="139"/>
      <c r="BF488" s="139"/>
      <c r="BG488" s="139"/>
      <c r="BH488" s="139"/>
      <c r="BI488" s="139"/>
      <c r="BJ488" s="139"/>
      <c r="BK488" s="139"/>
      <c r="BL488" s="139"/>
      <c r="DR488" s="139"/>
      <c r="DS488" s="139"/>
    </row>
    <row r="489" spans="1:123" x14ac:dyDescent="0.2">
      <c r="A489" s="139"/>
      <c r="B489" s="275"/>
      <c r="C489" s="275"/>
      <c r="D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  <c r="AA489" s="139"/>
      <c r="AB489" s="139"/>
      <c r="AC489" s="139"/>
      <c r="AD489" s="139"/>
      <c r="AE489" s="139"/>
      <c r="AF489" s="139"/>
      <c r="AG489" s="139"/>
      <c r="AH489" s="139"/>
      <c r="AI489" s="139"/>
      <c r="AJ489" s="139"/>
      <c r="AK489" s="139"/>
      <c r="AL489" s="139"/>
      <c r="AM489" s="139"/>
      <c r="AN489" s="139"/>
      <c r="AO489" s="139"/>
      <c r="AP489" s="139"/>
      <c r="AQ489" s="139"/>
      <c r="AR489" s="139"/>
      <c r="AS489" s="139"/>
      <c r="AT489" s="139"/>
      <c r="AU489" s="139"/>
      <c r="AV489" s="139"/>
      <c r="AW489" s="139"/>
      <c r="AX489" s="139"/>
      <c r="AY489" s="139"/>
      <c r="AZ489" s="139"/>
      <c r="BA489" s="139"/>
      <c r="BB489" s="139"/>
      <c r="BC489" s="139"/>
      <c r="BD489" s="139"/>
      <c r="BE489" s="139"/>
      <c r="BF489" s="139"/>
      <c r="BG489" s="139"/>
      <c r="BH489" s="139"/>
      <c r="BI489" s="139"/>
      <c r="BJ489" s="139"/>
      <c r="BK489" s="139"/>
      <c r="BL489" s="139"/>
      <c r="DR489" s="139"/>
      <c r="DS489" s="139"/>
    </row>
    <row r="490" spans="1:123" x14ac:dyDescent="0.2">
      <c r="A490" s="139"/>
      <c r="B490" s="275"/>
      <c r="C490" s="275"/>
      <c r="D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  <c r="AA490" s="139"/>
      <c r="AB490" s="139"/>
      <c r="AC490" s="139"/>
      <c r="AD490" s="139"/>
      <c r="AE490" s="139"/>
      <c r="AF490" s="139"/>
      <c r="AG490" s="139"/>
      <c r="AH490" s="139"/>
      <c r="AI490" s="139"/>
      <c r="AJ490" s="139"/>
      <c r="AK490" s="139"/>
      <c r="AL490" s="139"/>
      <c r="AM490" s="139"/>
      <c r="AN490" s="139"/>
      <c r="AO490" s="139"/>
      <c r="AP490" s="139"/>
      <c r="AQ490" s="139"/>
      <c r="AR490" s="139"/>
      <c r="AS490" s="139"/>
      <c r="AT490" s="139"/>
      <c r="AU490" s="139"/>
      <c r="AV490" s="139"/>
      <c r="AW490" s="139"/>
      <c r="AX490" s="139"/>
      <c r="AY490" s="139"/>
      <c r="AZ490" s="139"/>
      <c r="BA490" s="139"/>
      <c r="BB490" s="139"/>
      <c r="BC490" s="139"/>
      <c r="BD490" s="139"/>
      <c r="BE490" s="139"/>
      <c r="BF490" s="139"/>
      <c r="BG490" s="139"/>
      <c r="BH490" s="139"/>
      <c r="BI490" s="139"/>
      <c r="BJ490" s="139"/>
      <c r="BK490" s="139"/>
      <c r="BL490" s="139"/>
      <c r="DR490" s="139"/>
      <c r="DS490" s="139"/>
    </row>
    <row r="491" spans="1:123" x14ac:dyDescent="0.2">
      <c r="A491" s="139"/>
      <c r="D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  <c r="AA491" s="139"/>
      <c r="AB491" s="139"/>
      <c r="AC491" s="139"/>
      <c r="AD491" s="139"/>
      <c r="AE491" s="139"/>
      <c r="AF491" s="139"/>
      <c r="AG491" s="139"/>
      <c r="AH491" s="139"/>
      <c r="AI491" s="139"/>
      <c r="AJ491" s="139"/>
      <c r="AK491" s="139"/>
      <c r="AL491" s="139"/>
      <c r="AM491" s="139"/>
      <c r="AN491" s="139"/>
      <c r="AO491" s="139"/>
      <c r="AP491" s="139"/>
      <c r="AQ491" s="139"/>
      <c r="AR491" s="139"/>
      <c r="AS491" s="139"/>
      <c r="AT491" s="139"/>
      <c r="AU491" s="139"/>
      <c r="AV491" s="139"/>
      <c r="AW491" s="139"/>
      <c r="AX491" s="139"/>
      <c r="AY491" s="139"/>
      <c r="AZ491" s="139"/>
      <c r="BA491" s="139"/>
      <c r="BB491" s="139"/>
      <c r="BC491" s="139"/>
      <c r="BD491" s="139"/>
      <c r="BE491" s="139"/>
      <c r="BF491" s="139"/>
      <c r="BG491" s="139"/>
      <c r="BH491" s="139"/>
      <c r="BI491" s="139"/>
      <c r="BJ491" s="139"/>
      <c r="BK491" s="139"/>
      <c r="BL491" s="139"/>
      <c r="DR491" s="139"/>
      <c r="DS491" s="139"/>
    </row>
    <row r="492" spans="1:123" x14ac:dyDescent="0.2">
      <c r="A492" s="139"/>
      <c r="D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  <c r="AA492" s="139"/>
      <c r="AB492" s="139"/>
      <c r="AC492" s="139"/>
      <c r="AD492" s="139"/>
      <c r="AE492" s="139"/>
      <c r="AF492" s="139"/>
      <c r="AG492" s="139"/>
      <c r="AH492" s="139"/>
      <c r="AI492" s="139"/>
      <c r="AJ492" s="139"/>
      <c r="AK492" s="139"/>
      <c r="AL492" s="139"/>
      <c r="AM492" s="139"/>
      <c r="AN492" s="139"/>
      <c r="AO492" s="139"/>
      <c r="AP492" s="139"/>
      <c r="AQ492" s="139"/>
      <c r="AR492" s="139"/>
      <c r="AS492" s="139"/>
      <c r="AT492" s="139"/>
      <c r="AU492" s="139"/>
      <c r="AV492" s="139"/>
      <c r="AW492" s="139"/>
      <c r="AX492" s="139"/>
      <c r="AY492" s="139"/>
      <c r="AZ492" s="139"/>
      <c r="BA492" s="139"/>
      <c r="BB492" s="139"/>
      <c r="BC492" s="139"/>
      <c r="BD492" s="139"/>
      <c r="BE492" s="139"/>
      <c r="BF492" s="139"/>
      <c r="BG492" s="139"/>
      <c r="BH492" s="139"/>
      <c r="BI492" s="139"/>
      <c r="BJ492" s="139"/>
      <c r="BK492" s="139"/>
      <c r="BL492" s="139"/>
      <c r="DR492" s="139"/>
      <c r="DS492" s="139"/>
    </row>
    <row r="493" spans="1:123" x14ac:dyDescent="0.2">
      <c r="A493" s="139"/>
      <c r="D493" s="145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39"/>
      <c r="AD493" s="139"/>
      <c r="AE493" s="139"/>
      <c r="AF493" s="139"/>
      <c r="AG493" s="139"/>
      <c r="AH493" s="139"/>
      <c r="AI493" s="139"/>
      <c r="AJ493" s="139"/>
      <c r="AK493" s="139"/>
      <c r="AL493" s="139"/>
      <c r="AM493" s="139"/>
      <c r="AN493" s="139"/>
      <c r="AO493" s="139"/>
      <c r="AP493" s="139"/>
      <c r="AQ493" s="139"/>
      <c r="AR493" s="139"/>
      <c r="AS493" s="139"/>
      <c r="AT493" s="139"/>
      <c r="AU493" s="139"/>
      <c r="AV493" s="139"/>
      <c r="AW493" s="139"/>
      <c r="AX493" s="139"/>
      <c r="AY493" s="139"/>
      <c r="AZ493" s="139"/>
      <c r="BA493" s="139"/>
      <c r="BB493" s="139"/>
      <c r="BC493" s="139"/>
      <c r="BD493" s="139"/>
      <c r="BE493" s="139"/>
      <c r="BF493" s="139"/>
      <c r="BG493" s="139"/>
      <c r="BH493" s="139"/>
      <c r="BI493" s="139"/>
      <c r="BJ493" s="139"/>
      <c r="BK493" s="139"/>
      <c r="BL493" s="139"/>
      <c r="DR493" s="139"/>
      <c r="DS493" s="139"/>
    </row>
    <row r="494" spans="1:123" x14ac:dyDescent="0.2">
      <c r="A494" s="139"/>
      <c r="D494" s="145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  <c r="AA494" s="139"/>
      <c r="AB494" s="139"/>
      <c r="AC494" s="139"/>
      <c r="AD494" s="139"/>
      <c r="AE494" s="139"/>
      <c r="AF494" s="139"/>
      <c r="AG494" s="139"/>
      <c r="AH494" s="139"/>
      <c r="AI494" s="139"/>
      <c r="AJ494" s="139"/>
      <c r="AK494" s="139"/>
      <c r="AL494" s="139"/>
      <c r="AM494" s="139"/>
      <c r="AN494" s="139"/>
      <c r="AO494" s="139"/>
      <c r="AP494" s="139"/>
      <c r="AQ494" s="139"/>
      <c r="AR494" s="139"/>
      <c r="AS494" s="139"/>
      <c r="AT494" s="139"/>
      <c r="AU494" s="139"/>
      <c r="AV494" s="139"/>
      <c r="AW494" s="139"/>
      <c r="AX494" s="139"/>
      <c r="AY494" s="139"/>
      <c r="AZ494" s="139"/>
      <c r="BA494" s="139"/>
      <c r="BB494" s="139"/>
      <c r="BC494" s="139"/>
      <c r="BD494" s="139"/>
      <c r="BE494" s="139"/>
      <c r="BF494" s="139"/>
      <c r="BG494" s="139"/>
      <c r="BH494" s="139"/>
      <c r="BI494" s="139"/>
      <c r="BJ494" s="139"/>
      <c r="BK494" s="139"/>
      <c r="BL494" s="139"/>
      <c r="DR494" s="139"/>
      <c r="DS494" s="139"/>
    </row>
    <row r="495" spans="1:123" x14ac:dyDescent="0.2">
      <c r="A495" s="139"/>
      <c r="D495" s="145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  <c r="AA495" s="139"/>
      <c r="AB495" s="139"/>
      <c r="AC495" s="139"/>
      <c r="AD495" s="139"/>
      <c r="AE495" s="139"/>
      <c r="AF495" s="139"/>
      <c r="AG495" s="139"/>
      <c r="AH495" s="139"/>
      <c r="AI495" s="139"/>
      <c r="AJ495" s="139"/>
      <c r="AK495" s="139"/>
      <c r="AL495" s="139"/>
      <c r="AM495" s="139"/>
      <c r="AN495" s="139"/>
      <c r="AO495" s="139"/>
      <c r="AP495" s="139"/>
      <c r="AQ495" s="139"/>
      <c r="AR495" s="139"/>
      <c r="AS495" s="139"/>
      <c r="AT495" s="139"/>
      <c r="AU495" s="139"/>
      <c r="AV495" s="139"/>
      <c r="AW495" s="139"/>
      <c r="AX495" s="139"/>
      <c r="AY495" s="139"/>
      <c r="AZ495" s="139"/>
      <c r="BA495" s="139"/>
      <c r="BB495" s="139"/>
      <c r="BC495" s="139"/>
      <c r="BD495" s="139"/>
      <c r="BE495" s="139"/>
      <c r="BF495" s="139"/>
      <c r="BG495" s="139"/>
      <c r="BH495" s="139"/>
      <c r="BI495" s="139"/>
      <c r="BJ495" s="139"/>
      <c r="BK495" s="139"/>
      <c r="BL495" s="139"/>
      <c r="DR495" s="139"/>
      <c r="DS495" s="139"/>
    </row>
    <row r="496" spans="1:123" x14ac:dyDescent="0.2">
      <c r="A496" s="139"/>
      <c r="D496" s="145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  <c r="AA496" s="139"/>
      <c r="AB496" s="139"/>
      <c r="AC496" s="139"/>
      <c r="AD496" s="139"/>
      <c r="AE496" s="139"/>
      <c r="AF496" s="139"/>
      <c r="AG496" s="139"/>
      <c r="AH496" s="139"/>
      <c r="AI496" s="139"/>
      <c r="AJ496" s="139"/>
      <c r="AK496" s="139"/>
      <c r="AL496" s="139"/>
      <c r="AM496" s="139"/>
      <c r="AN496" s="139"/>
      <c r="AO496" s="139"/>
      <c r="AP496" s="139"/>
      <c r="AQ496" s="139"/>
      <c r="AR496" s="139"/>
      <c r="AS496" s="139"/>
      <c r="AT496" s="139"/>
      <c r="AU496" s="139"/>
      <c r="AV496" s="139"/>
      <c r="AW496" s="139"/>
      <c r="AX496" s="139"/>
      <c r="AY496" s="139"/>
      <c r="AZ496" s="139"/>
      <c r="BA496" s="139"/>
      <c r="BB496" s="139"/>
      <c r="BC496" s="139"/>
      <c r="BD496" s="139"/>
      <c r="BE496" s="139"/>
      <c r="BF496" s="139"/>
      <c r="BG496" s="139"/>
      <c r="BH496" s="139"/>
      <c r="BI496" s="139"/>
      <c r="BJ496" s="139"/>
      <c r="BK496" s="139"/>
      <c r="BL496" s="139"/>
    </row>
    <row r="497" spans="1:64" x14ac:dyDescent="0.2">
      <c r="A497" s="139"/>
      <c r="D497" s="145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  <c r="AA497" s="139"/>
      <c r="AB497" s="139"/>
      <c r="AC497" s="139"/>
      <c r="AD497" s="139"/>
      <c r="AE497" s="139"/>
      <c r="AF497" s="139"/>
      <c r="AG497" s="139"/>
      <c r="AH497" s="139"/>
      <c r="AI497" s="139"/>
      <c r="AJ497" s="139"/>
      <c r="AK497" s="139"/>
      <c r="AL497" s="139"/>
      <c r="AM497" s="139"/>
      <c r="AN497" s="139"/>
      <c r="AO497" s="139"/>
      <c r="AP497" s="139"/>
      <c r="AQ497" s="139"/>
      <c r="AR497" s="139"/>
      <c r="AS497" s="139"/>
      <c r="AT497" s="139"/>
      <c r="AU497" s="139"/>
      <c r="AV497" s="139"/>
      <c r="AW497" s="139"/>
      <c r="AX497" s="139"/>
      <c r="AY497" s="139"/>
      <c r="AZ497" s="139"/>
      <c r="BA497" s="139"/>
      <c r="BB497" s="139"/>
      <c r="BC497" s="139"/>
      <c r="BD497" s="139"/>
      <c r="BE497" s="139"/>
      <c r="BF497" s="139"/>
      <c r="BG497" s="139"/>
      <c r="BH497" s="139"/>
      <c r="BI497" s="139"/>
      <c r="BJ497" s="139"/>
      <c r="BK497" s="139"/>
      <c r="BL497" s="139"/>
    </row>
    <row r="498" spans="1:64" x14ac:dyDescent="0.2">
      <c r="A498" s="139"/>
      <c r="D498" s="145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  <c r="AA498" s="139"/>
      <c r="AB498" s="139"/>
      <c r="AC498" s="139"/>
      <c r="AD498" s="139"/>
      <c r="AE498" s="139"/>
      <c r="AF498" s="139"/>
      <c r="AG498" s="139"/>
      <c r="AH498" s="139"/>
      <c r="AI498" s="139"/>
      <c r="AJ498" s="139"/>
      <c r="AK498" s="139"/>
      <c r="AL498" s="139"/>
      <c r="AM498" s="139"/>
      <c r="AN498" s="139"/>
      <c r="AO498" s="139"/>
      <c r="AP498" s="139"/>
      <c r="AQ498" s="139"/>
      <c r="AR498" s="139"/>
      <c r="AS498" s="139"/>
      <c r="AT498" s="139"/>
      <c r="AU498" s="139"/>
      <c r="AV498" s="139"/>
      <c r="AW498" s="139"/>
      <c r="AX498" s="139"/>
      <c r="AY498" s="139"/>
      <c r="AZ498" s="139"/>
      <c r="BA498" s="139"/>
      <c r="BB498" s="139"/>
      <c r="BC498" s="139"/>
      <c r="BD498" s="139"/>
      <c r="BE498" s="139"/>
      <c r="BF498" s="139"/>
      <c r="BG498" s="139"/>
      <c r="BH498" s="139"/>
      <c r="BI498" s="139"/>
      <c r="BJ498" s="139"/>
      <c r="BK498" s="139"/>
      <c r="BL498" s="139"/>
    </row>
    <row r="499" spans="1:64" x14ac:dyDescent="0.2">
      <c r="A499" s="139"/>
      <c r="D499" s="145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  <c r="AA499" s="139"/>
      <c r="AB499" s="139"/>
      <c r="AC499" s="139"/>
      <c r="AD499" s="139"/>
      <c r="AE499" s="139"/>
      <c r="AF499" s="139"/>
      <c r="AG499" s="139"/>
      <c r="AH499" s="139"/>
      <c r="AI499" s="139"/>
      <c r="AJ499" s="139"/>
      <c r="AK499" s="139"/>
      <c r="AL499" s="139"/>
      <c r="AM499" s="139"/>
      <c r="AN499" s="139"/>
      <c r="AO499" s="139"/>
      <c r="AP499" s="139"/>
      <c r="AQ499" s="139"/>
      <c r="AR499" s="139"/>
      <c r="AS499" s="139"/>
      <c r="AT499" s="139"/>
      <c r="AU499" s="139"/>
      <c r="AV499" s="139"/>
      <c r="AW499" s="139"/>
      <c r="AX499" s="139"/>
      <c r="AY499" s="139"/>
      <c r="AZ499" s="139"/>
      <c r="BA499" s="139"/>
      <c r="BB499" s="139"/>
      <c r="BC499" s="139"/>
      <c r="BD499" s="139"/>
      <c r="BE499" s="139"/>
      <c r="BF499" s="139"/>
      <c r="BG499" s="139"/>
      <c r="BH499" s="139"/>
      <c r="BI499" s="139"/>
      <c r="BJ499" s="139"/>
      <c r="BK499" s="139"/>
      <c r="BL499" s="139"/>
    </row>
    <row r="500" spans="1:64" x14ac:dyDescent="0.2">
      <c r="A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  <c r="AA500" s="139"/>
      <c r="AB500" s="139"/>
      <c r="AC500" s="139"/>
      <c r="AD500" s="139"/>
      <c r="AE500" s="139"/>
      <c r="AF500" s="139"/>
      <c r="AG500" s="139"/>
      <c r="AH500" s="139"/>
      <c r="AI500" s="139"/>
      <c r="AJ500" s="139"/>
      <c r="AK500" s="139"/>
      <c r="AL500" s="139"/>
      <c r="AM500" s="139"/>
      <c r="AN500" s="139"/>
      <c r="AO500" s="139"/>
      <c r="AP500" s="139"/>
      <c r="AQ500" s="139"/>
      <c r="AR500" s="139"/>
      <c r="AS500" s="139"/>
      <c r="AT500" s="139"/>
      <c r="AU500" s="139"/>
      <c r="AV500" s="139"/>
      <c r="AW500" s="139"/>
      <c r="AX500" s="139"/>
      <c r="AY500" s="139"/>
      <c r="AZ500" s="139"/>
      <c r="BA500" s="139"/>
      <c r="BB500" s="139"/>
      <c r="BC500" s="139"/>
      <c r="BD500" s="139"/>
      <c r="BE500" s="139"/>
      <c r="BF500" s="139"/>
      <c r="BG500" s="139"/>
      <c r="BH500" s="139"/>
      <c r="BI500" s="139"/>
      <c r="BJ500" s="139"/>
      <c r="BK500" s="139"/>
      <c r="BL500" s="139"/>
    </row>
    <row r="501" spans="1:64" x14ac:dyDescent="0.2">
      <c r="A501" s="139"/>
      <c r="D501" s="145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  <c r="AA501" s="139"/>
      <c r="AB501" s="139"/>
      <c r="AC501" s="139"/>
      <c r="AD501" s="139"/>
      <c r="AE501" s="139"/>
      <c r="AF501" s="139"/>
      <c r="AG501" s="139"/>
      <c r="AH501" s="139"/>
      <c r="AI501" s="139"/>
      <c r="AJ501" s="139"/>
      <c r="AK501" s="139"/>
      <c r="AL501" s="139"/>
      <c r="AM501" s="139"/>
      <c r="AN501" s="139"/>
      <c r="AO501" s="139"/>
      <c r="AP501" s="139"/>
      <c r="AQ501" s="139"/>
      <c r="AR501" s="139"/>
      <c r="AS501" s="139"/>
      <c r="AT501" s="139"/>
      <c r="AU501" s="139"/>
      <c r="AV501" s="139"/>
      <c r="AW501" s="139"/>
      <c r="AX501" s="139"/>
      <c r="AY501" s="139"/>
      <c r="AZ501" s="139"/>
      <c r="BA501" s="139"/>
      <c r="BB501" s="139"/>
      <c r="BC501" s="139"/>
      <c r="BD501" s="139"/>
      <c r="BE501" s="139"/>
      <c r="BF501" s="139"/>
      <c r="BG501" s="139"/>
      <c r="BH501" s="139"/>
      <c r="BI501" s="139"/>
      <c r="BJ501" s="139"/>
      <c r="BK501" s="139"/>
      <c r="BL501" s="139"/>
    </row>
    <row r="502" spans="1:64" x14ac:dyDescent="0.2">
      <c r="A502" s="139"/>
      <c r="D502" s="139"/>
      <c r="E502" s="139"/>
      <c r="F502" s="139"/>
      <c r="G502" s="139"/>
      <c r="H502" s="139"/>
      <c r="I502" s="139"/>
      <c r="J502" s="139"/>
      <c r="K502" s="139"/>
      <c r="L502" s="139"/>
    </row>
    <row r="503" spans="1:64" x14ac:dyDescent="0.2">
      <c r="A503" s="139"/>
      <c r="D503" s="145"/>
      <c r="E503" s="139"/>
      <c r="F503" s="139"/>
      <c r="G503" s="139"/>
      <c r="H503" s="139"/>
      <c r="I503" s="139"/>
      <c r="J503" s="139"/>
      <c r="K503" s="139"/>
      <c r="L503" s="139"/>
    </row>
    <row r="504" spans="1:64" x14ac:dyDescent="0.2">
      <c r="A504" s="139"/>
      <c r="D504" s="145"/>
      <c r="E504" s="139"/>
      <c r="F504" s="139"/>
      <c r="G504" s="139"/>
      <c r="H504" s="139"/>
      <c r="I504" s="139"/>
      <c r="J504" s="139"/>
      <c r="K504" s="139"/>
      <c r="L504" s="139"/>
    </row>
    <row r="505" spans="1:64" x14ac:dyDescent="0.2">
      <c r="A505" s="139"/>
      <c r="D505" s="145"/>
      <c r="E505" s="139"/>
      <c r="F505" s="139"/>
      <c r="G505" s="139"/>
      <c r="H505" s="139"/>
      <c r="I505" s="139"/>
      <c r="J505" s="139"/>
      <c r="K505" s="139"/>
      <c r="L505" s="139"/>
    </row>
    <row r="506" spans="1:64" x14ac:dyDescent="0.2">
      <c r="A506" s="139"/>
      <c r="D506" s="145"/>
      <c r="E506" s="139"/>
      <c r="F506" s="139"/>
      <c r="G506" s="139"/>
      <c r="H506" s="139"/>
      <c r="I506" s="139"/>
      <c r="J506" s="139"/>
      <c r="K506" s="139"/>
      <c r="L506" s="139"/>
    </row>
    <row r="507" spans="1:64" x14ac:dyDescent="0.2">
      <c r="A507" s="139"/>
      <c r="B507" s="275"/>
      <c r="C507" s="275"/>
      <c r="D507" s="145"/>
      <c r="E507" s="139"/>
      <c r="F507" s="139"/>
      <c r="G507" s="139"/>
      <c r="H507" s="139"/>
      <c r="I507" s="139"/>
      <c r="J507" s="139"/>
      <c r="K507" s="139"/>
      <c r="L507" s="139"/>
    </row>
    <row r="508" spans="1:64" x14ac:dyDescent="0.2">
      <c r="A508" s="139"/>
      <c r="B508" s="275"/>
      <c r="C508" s="275"/>
      <c r="D508" s="145"/>
      <c r="E508" s="139"/>
      <c r="F508" s="139"/>
      <c r="G508" s="139"/>
      <c r="H508" s="139"/>
      <c r="I508" s="139"/>
      <c r="J508" s="139"/>
      <c r="K508" s="139"/>
      <c r="L508" s="139"/>
    </row>
    <row r="509" spans="1:64" x14ac:dyDescent="0.2">
      <c r="A509" s="139"/>
      <c r="B509" s="275"/>
      <c r="C509" s="275"/>
      <c r="D509" s="145"/>
      <c r="E509" s="139"/>
      <c r="F509" s="139"/>
      <c r="G509" s="139"/>
      <c r="H509" s="139"/>
      <c r="I509" s="139"/>
      <c r="J509" s="139"/>
      <c r="K509" s="139"/>
      <c r="L509" s="139"/>
    </row>
    <row r="510" spans="1:64" x14ac:dyDescent="0.2">
      <c r="A510" s="139"/>
      <c r="B510" s="275"/>
      <c r="C510" s="275"/>
      <c r="D510" s="145"/>
      <c r="E510" s="139"/>
      <c r="F510" s="139"/>
      <c r="G510" s="139"/>
      <c r="H510" s="139"/>
      <c r="I510" s="139"/>
      <c r="J510" s="139"/>
      <c r="K510" s="139"/>
      <c r="L510" s="139"/>
    </row>
    <row r="511" spans="1:64" x14ac:dyDescent="0.2">
      <c r="A511" s="139"/>
      <c r="B511" s="275"/>
      <c r="C511" s="275"/>
      <c r="D511" s="145"/>
      <c r="E511" s="139"/>
      <c r="F511" s="139"/>
      <c r="G511" s="139"/>
      <c r="H511" s="139"/>
      <c r="I511" s="139"/>
      <c r="J511" s="139"/>
      <c r="K511" s="139"/>
      <c r="L511" s="139"/>
    </row>
    <row r="512" spans="1:64" x14ac:dyDescent="0.2">
      <c r="A512" s="139"/>
      <c r="B512" s="275"/>
      <c r="C512" s="275"/>
      <c r="D512" s="145"/>
      <c r="E512" s="139"/>
      <c r="F512" s="139"/>
      <c r="G512" s="139"/>
      <c r="H512" s="139"/>
      <c r="I512" s="139"/>
      <c r="J512" s="139"/>
      <c r="K512" s="139"/>
      <c r="L512" s="139"/>
    </row>
    <row r="513" spans="1:12" x14ac:dyDescent="0.2">
      <c r="A513" s="139"/>
      <c r="B513" s="275"/>
      <c r="C513" s="275"/>
      <c r="D513" s="145"/>
      <c r="E513" s="139"/>
      <c r="F513" s="139"/>
      <c r="G513" s="139"/>
      <c r="H513" s="139"/>
      <c r="I513" s="139"/>
      <c r="J513" s="139"/>
      <c r="K513" s="139"/>
      <c r="L513" s="139"/>
    </row>
    <row r="514" spans="1:12" x14ac:dyDescent="0.2">
      <c r="A514" s="139"/>
      <c r="B514" s="275"/>
      <c r="C514" s="275"/>
      <c r="D514" s="145"/>
      <c r="E514" s="139"/>
      <c r="F514" s="139"/>
      <c r="G514" s="139"/>
      <c r="H514" s="139"/>
      <c r="I514" s="139"/>
      <c r="J514" s="139"/>
      <c r="K514" s="139"/>
      <c r="L514" s="139"/>
    </row>
    <row r="515" spans="1:12" x14ac:dyDescent="0.2">
      <c r="A515" s="139"/>
      <c r="B515" s="275"/>
      <c r="C515" s="275"/>
      <c r="D515" s="145"/>
      <c r="E515" s="139"/>
      <c r="F515" s="139"/>
      <c r="G515" s="139"/>
      <c r="H515" s="139"/>
      <c r="I515" s="139"/>
      <c r="J515" s="139"/>
      <c r="K515" s="139"/>
      <c r="L515" s="139"/>
    </row>
    <row r="516" spans="1:12" x14ac:dyDescent="0.2">
      <c r="A516" s="139"/>
      <c r="D516" s="139"/>
      <c r="E516" s="139"/>
      <c r="F516" s="139"/>
      <c r="G516" s="139"/>
      <c r="H516" s="139"/>
      <c r="I516" s="139"/>
      <c r="J516" s="139"/>
      <c r="K516" s="139"/>
      <c r="L516" s="139"/>
    </row>
    <row r="517" spans="1:12" x14ac:dyDescent="0.2">
      <c r="A517" s="139"/>
      <c r="D517" s="139"/>
      <c r="E517" s="139"/>
      <c r="F517" s="139"/>
      <c r="G517" s="139"/>
      <c r="H517" s="139"/>
      <c r="I517" s="139"/>
      <c r="J517" s="139"/>
      <c r="K517" s="139"/>
      <c r="L517" s="139"/>
    </row>
    <row r="518" spans="1:12" x14ac:dyDescent="0.2">
      <c r="A518" s="139"/>
      <c r="D518" s="139"/>
      <c r="E518" s="139"/>
      <c r="F518" s="139"/>
      <c r="G518" s="139"/>
      <c r="H518" s="139"/>
      <c r="I518" s="139"/>
      <c r="J518" s="139"/>
      <c r="K518" s="139"/>
      <c r="L518" s="139"/>
    </row>
    <row r="519" spans="1:12" x14ac:dyDescent="0.2">
      <c r="A519" s="139"/>
      <c r="D519" s="139"/>
      <c r="E519" s="139"/>
      <c r="F519" s="139"/>
      <c r="G519" s="139"/>
      <c r="H519" s="139"/>
      <c r="I519" s="139"/>
      <c r="J519" s="139"/>
      <c r="K519" s="139"/>
      <c r="L519" s="139"/>
    </row>
    <row r="520" spans="1:12" x14ac:dyDescent="0.2">
      <c r="A520" s="139"/>
      <c r="D520" s="139"/>
      <c r="E520" s="139"/>
      <c r="F520" s="139"/>
      <c r="G520" s="139"/>
      <c r="H520" s="139"/>
      <c r="I520" s="139"/>
      <c r="J520" s="139"/>
      <c r="K520" s="139"/>
      <c r="L520" s="139"/>
    </row>
    <row r="521" spans="1:12" x14ac:dyDescent="0.2">
      <c r="A521" s="139"/>
      <c r="D521" s="139"/>
      <c r="E521" s="139"/>
      <c r="F521" s="139"/>
      <c r="G521" s="139"/>
      <c r="H521" s="139"/>
      <c r="I521" s="139"/>
      <c r="J521" s="139"/>
      <c r="K521" s="139"/>
      <c r="L521" s="139"/>
    </row>
    <row r="522" spans="1:12" x14ac:dyDescent="0.2">
      <c r="A522" s="139"/>
      <c r="D522" s="139"/>
      <c r="E522" s="139"/>
      <c r="F522" s="139"/>
      <c r="G522" s="139"/>
      <c r="H522" s="139"/>
      <c r="I522" s="139"/>
      <c r="J522" s="139"/>
      <c r="K522" s="139"/>
      <c r="L522" s="139"/>
    </row>
    <row r="523" spans="1:12" x14ac:dyDescent="0.2">
      <c r="A523" s="139"/>
      <c r="D523" s="139"/>
      <c r="E523" s="139"/>
      <c r="F523" s="139"/>
      <c r="G523" s="139"/>
      <c r="H523" s="139"/>
      <c r="I523" s="139"/>
      <c r="J523" s="139"/>
      <c r="K523" s="139"/>
      <c r="L523" s="139"/>
    </row>
    <row r="524" spans="1:12" x14ac:dyDescent="0.2">
      <c r="A524" s="139"/>
      <c r="D524" s="139"/>
      <c r="E524" s="139"/>
      <c r="F524" s="139"/>
      <c r="G524" s="139"/>
      <c r="H524" s="139"/>
      <c r="I524" s="139"/>
      <c r="J524" s="139"/>
      <c r="K524" s="139"/>
      <c r="L524" s="139"/>
    </row>
    <row r="525" spans="1:12" x14ac:dyDescent="0.2">
      <c r="A525" s="139"/>
      <c r="D525" s="139"/>
      <c r="E525" s="139"/>
      <c r="F525" s="139"/>
      <c r="G525" s="139"/>
      <c r="H525" s="139"/>
      <c r="I525" s="139"/>
      <c r="J525" s="139"/>
      <c r="K525" s="139"/>
      <c r="L525" s="139"/>
    </row>
    <row r="526" spans="1:12" x14ac:dyDescent="0.2">
      <c r="A526" s="139"/>
      <c r="D526" s="139"/>
      <c r="E526" s="139"/>
      <c r="F526" s="139"/>
      <c r="G526" s="139"/>
      <c r="H526" s="139"/>
      <c r="I526" s="139"/>
      <c r="J526" s="139"/>
      <c r="K526" s="139"/>
      <c r="L526" s="139"/>
    </row>
    <row r="527" spans="1:12" x14ac:dyDescent="0.2">
      <c r="A527" s="139"/>
      <c r="D527" s="139"/>
      <c r="E527" s="139"/>
      <c r="F527" s="139"/>
      <c r="G527" s="139"/>
      <c r="H527" s="139"/>
      <c r="I527" s="139"/>
      <c r="J527" s="139"/>
      <c r="K527" s="139"/>
      <c r="L527" s="139"/>
    </row>
    <row r="528" spans="1:12" x14ac:dyDescent="0.2">
      <c r="A528" s="139"/>
      <c r="B528" s="275"/>
      <c r="C528" s="275"/>
      <c r="D528" s="139"/>
      <c r="E528" s="139"/>
      <c r="F528" s="139"/>
      <c r="G528" s="139"/>
      <c r="H528" s="139"/>
      <c r="I528" s="139"/>
      <c r="J528" s="139"/>
      <c r="K528" s="139"/>
      <c r="L528" s="139"/>
    </row>
    <row r="529" spans="1:12" x14ac:dyDescent="0.2">
      <c r="A529" s="139"/>
      <c r="B529" s="548"/>
      <c r="C529" s="548"/>
      <c r="D529" s="139"/>
      <c r="E529" s="139"/>
      <c r="F529" s="139"/>
      <c r="G529" s="139"/>
      <c r="H529" s="139"/>
      <c r="I529" s="139"/>
      <c r="J529" s="139"/>
      <c r="K529" s="139"/>
      <c r="L529" s="139"/>
    </row>
    <row r="530" spans="1:12" x14ac:dyDescent="0.2">
      <c r="A530" s="139"/>
      <c r="B530" s="275"/>
      <c r="C530" s="275"/>
      <c r="D530" s="139"/>
      <c r="E530" s="139"/>
      <c r="F530" s="139"/>
      <c r="G530" s="139"/>
      <c r="H530" s="139"/>
      <c r="I530" s="139"/>
      <c r="J530" s="139"/>
      <c r="K530" s="139"/>
      <c r="L530" s="139"/>
    </row>
    <row r="531" spans="1:12" x14ac:dyDescent="0.2">
      <c r="A531" s="139"/>
      <c r="B531" s="275"/>
      <c r="C531" s="275"/>
      <c r="D531" s="139"/>
      <c r="E531" s="139"/>
      <c r="F531" s="139"/>
      <c r="G531" s="139"/>
      <c r="H531" s="139"/>
      <c r="I531" s="139"/>
      <c r="J531" s="139"/>
      <c r="K531" s="139"/>
      <c r="L531" s="139"/>
    </row>
    <row r="532" spans="1:12" x14ac:dyDescent="0.2">
      <c r="A532" s="139"/>
      <c r="B532" s="275"/>
      <c r="C532" s="275"/>
      <c r="D532" s="139"/>
      <c r="E532" s="139"/>
      <c r="F532" s="139"/>
      <c r="G532" s="139"/>
      <c r="H532" s="139"/>
      <c r="I532" s="139"/>
      <c r="J532" s="139"/>
      <c r="K532" s="139"/>
      <c r="L532" s="139"/>
    </row>
    <row r="533" spans="1:12" x14ac:dyDescent="0.2">
      <c r="A533" s="139"/>
      <c r="B533" s="275"/>
      <c r="C533" s="275"/>
      <c r="D533" s="139"/>
      <c r="E533" s="139"/>
      <c r="F533" s="139"/>
      <c r="G533" s="139"/>
      <c r="H533" s="139"/>
      <c r="I533" s="139"/>
      <c r="J533" s="139"/>
      <c r="K533" s="139"/>
      <c r="L533" s="139"/>
    </row>
    <row r="534" spans="1:12" x14ac:dyDescent="0.2">
      <c r="A534" s="139"/>
      <c r="B534" s="275"/>
      <c r="C534" s="275"/>
      <c r="D534" s="139"/>
      <c r="E534" s="139"/>
      <c r="F534" s="139"/>
      <c r="G534" s="139"/>
      <c r="H534" s="139"/>
      <c r="I534" s="139"/>
      <c r="J534" s="139"/>
      <c r="K534" s="139"/>
      <c r="L534" s="139"/>
    </row>
    <row r="535" spans="1:12" x14ac:dyDescent="0.2">
      <c r="A535" s="139"/>
      <c r="B535" s="275"/>
      <c r="C535" s="275"/>
      <c r="D535" s="139"/>
      <c r="E535" s="139"/>
      <c r="F535" s="139"/>
      <c r="G535" s="139"/>
      <c r="H535" s="139"/>
      <c r="I535" s="139"/>
      <c r="J535" s="139"/>
      <c r="K535" s="139"/>
      <c r="L535" s="139"/>
    </row>
    <row r="536" spans="1:12" x14ac:dyDescent="0.2">
      <c r="A536" s="139"/>
      <c r="B536" s="275"/>
      <c r="C536" s="275"/>
      <c r="D536" s="139"/>
      <c r="E536" s="139"/>
      <c r="F536" s="139"/>
      <c r="G536" s="139"/>
      <c r="H536" s="139"/>
      <c r="I536" s="139"/>
      <c r="J536" s="139"/>
      <c r="K536" s="139"/>
      <c r="L536" s="139"/>
    </row>
    <row r="537" spans="1:12" x14ac:dyDescent="0.2">
      <c r="A537" s="139"/>
      <c r="B537" s="275"/>
      <c r="C537" s="275"/>
      <c r="D537" s="139"/>
      <c r="E537" s="139"/>
      <c r="F537" s="139"/>
      <c r="G537" s="139"/>
      <c r="H537" s="139"/>
      <c r="I537" s="139"/>
      <c r="J537" s="139"/>
      <c r="K537" s="139"/>
      <c r="L537" s="139"/>
    </row>
    <row r="538" spans="1:12" x14ac:dyDescent="0.2">
      <c r="A538" s="139"/>
      <c r="B538" s="275"/>
      <c r="C538" s="275"/>
      <c r="D538" s="139"/>
      <c r="E538" s="139"/>
      <c r="F538" s="139"/>
      <c r="G538" s="139"/>
      <c r="H538" s="139"/>
      <c r="I538" s="139"/>
      <c r="J538" s="139"/>
      <c r="K538" s="139"/>
      <c r="L538" s="139"/>
    </row>
    <row r="539" spans="1:12" x14ac:dyDescent="0.2">
      <c r="A539" s="139"/>
      <c r="B539" s="275"/>
      <c r="C539" s="275"/>
      <c r="D539" s="139"/>
      <c r="E539" s="139"/>
      <c r="F539" s="139"/>
      <c r="G539" s="139"/>
      <c r="H539" s="139"/>
      <c r="I539" s="139"/>
      <c r="J539" s="139"/>
      <c r="K539" s="139"/>
      <c r="L539" s="139"/>
    </row>
    <row r="540" spans="1:12" x14ac:dyDescent="0.2">
      <c r="A540" s="139"/>
      <c r="B540" s="275"/>
      <c r="C540" s="275"/>
      <c r="D540" s="139"/>
      <c r="E540" s="139"/>
      <c r="F540" s="139"/>
      <c r="G540" s="139"/>
      <c r="H540" s="139"/>
      <c r="I540" s="139"/>
      <c r="J540" s="139"/>
      <c r="K540" s="139"/>
      <c r="L540" s="139"/>
    </row>
    <row r="541" spans="1:12" x14ac:dyDescent="0.2">
      <c r="A541" s="139"/>
      <c r="B541" s="275"/>
      <c r="C541" s="275"/>
      <c r="D541" s="139"/>
      <c r="E541" s="139"/>
      <c r="F541" s="139"/>
      <c r="G541" s="139"/>
      <c r="H541" s="139"/>
      <c r="I541" s="139"/>
      <c r="J541" s="139"/>
      <c r="K541" s="139"/>
      <c r="L541" s="139"/>
    </row>
    <row r="542" spans="1:12" x14ac:dyDescent="0.2">
      <c r="A542" s="139"/>
      <c r="B542" s="275"/>
      <c r="C542" s="275"/>
      <c r="D542" s="139"/>
      <c r="E542" s="139"/>
      <c r="F542" s="139"/>
      <c r="G542" s="139"/>
      <c r="H542" s="139"/>
      <c r="I542" s="139"/>
      <c r="J542" s="139"/>
      <c r="K542" s="139"/>
      <c r="L542" s="139"/>
    </row>
    <row r="543" spans="1:12" x14ac:dyDescent="0.2">
      <c r="A543" s="139"/>
      <c r="D543" s="139"/>
      <c r="E543" s="139"/>
      <c r="F543" s="139"/>
      <c r="G543" s="139"/>
      <c r="H543" s="139"/>
      <c r="I543" s="139"/>
      <c r="J543" s="139"/>
      <c r="K543" s="139"/>
      <c r="L543" s="139"/>
    </row>
    <row r="544" spans="1:12" x14ac:dyDescent="0.2">
      <c r="A544" s="139"/>
      <c r="B544" s="275"/>
      <c r="C544" s="275"/>
      <c r="D544" s="139"/>
      <c r="E544" s="139"/>
      <c r="F544" s="139"/>
      <c r="G544" s="139"/>
      <c r="H544" s="139"/>
      <c r="I544" s="139"/>
      <c r="J544" s="139"/>
      <c r="K544" s="139"/>
      <c r="L544" s="139"/>
    </row>
    <row r="545" spans="1:12" x14ac:dyDescent="0.2">
      <c r="A545" s="139"/>
      <c r="B545" s="275"/>
      <c r="C545" s="275"/>
      <c r="D545" s="139"/>
      <c r="E545" s="139"/>
      <c r="F545" s="139"/>
      <c r="G545" s="139"/>
      <c r="H545" s="139"/>
      <c r="I545" s="139"/>
      <c r="J545" s="139"/>
      <c r="K545" s="139"/>
      <c r="L545" s="139"/>
    </row>
    <row r="546" spans="1:12" x14ac:dyDescent="0.2">
      <c r="A546" s="139"/>
      <c r="B546" s="275"/>
      <c r="C546" s="275"/>
      <c r="D546" s="139"/>
      <c r="E546" s="139"/>
      <c r="F546" s="139"/>
      <c r="G546" s="139"/>
      <c r="H546" s="139"/>
      <c r="I546" s="139"/>
      <c r="J546" s="139"/>
      <c r="K546" s="139"/>
      <c r="L546" s="139"/>
    </row>
    <row r="547" spans="1:12" x14ac:dyDescent="0.2">
      <c r="A547" s="139"/>
      <c r="B547" s="275"/>
      <c r="C547" s="275"/>
      <c r="D547" s="139"/>
      <c r="E547" s="139"/>
      <c r="F547" s="139"/>
      <c r="G547" s="139"/>
      <c r="H547" s="139"/>
      <c r="I547" s="139"/>
      <c r="J547" s="139"/>
      <c r="K547" s="139"/>
      <c r="L547" s="139"/>
    </row>
    <row r="548" spans="1:12" x14ac:dyDescent="0.2">
      <c r="A548" s="139"/>
      <c r="D548" s="139"/>
      <c r="E548" s="139"/>
      <c r="F548" s="139"/>
      <c r="G548" s="139"/>
      <c r="H548" s="139"/>
      <c r="I548" s="139"/>
      <c r="J548" s="139"/>
      <c r="K548" s="139"/>
      <c r="L548" s="139"/>
    </row>
    <row r="549" spans="1:12" x14ac:dyDescent="0.2">
      <c r="A549" s="139"/>
      <c r="B549" s="275"/>
      <c r="C549" s="275"/>
      <c r="D549" s="139"/>
      <c r="E549" s="139"/>
      <c r="F549" s="139"/>
      <c r="G549" s="139"/>
      <c r="H549" s="139"/>
      <c r="I549" s="139"/>
      <c r="J549" s="139"/>
      <c r="K549" s="139"/>
      <c r="L549" s="139"/>
    </row>
    <row r="550" spans="1:12" x14ac:dyDescent="0.2">
      <c r="A550" s="139"/>
      <c r="B550" s="275"/>
      <c r="C550" s="275"/>
      <c r="D550" s="139"/>
      <c r="E550" s="139"/>
      <c r="F550" s="139"/>
      <c r="G550" s="139"/>
      <c r="H550" s="139"/>
      <c r="I550" s="139"/>
      <c r="J550" s="139"/>
      <c r="K550" s="139"/>
      <c r="L550" s="139"/>
    </row>
    <row r="551" spans="1:12" x14ac:dyDescent="0.2">
      <c r="A551" s="139"/>
      <c r="B551" s="548"/>
      <c r="C551" s="548"/>
      <c r="D551" s="139"/>
      <c r="E551" s="139"/>
      <c r="F551" s="139"/>
      <c r="G551" s="139"/>
      <c r="H551" s="139"/>
      <c r="I551" s="139"/>
      <c r="J551" s="139"/>
      <c r="K551" s="139"/>
      <c r="L551" s="139"/>
    </row>
    <row r="552" spans="1:12" x14ac:dyDescent="0.2">
      <c r="A552" s="139"/>
      <c r="D552" s="139"/>
      <c r="E552" s="139"/>
      <c r="F552" s="139"/>
      <c r="G552" s="139"/>
      <c r="H552" s="139"/>
      <c r="I552" s="139"/>
      <c r="J552" s="139"/>
      <c r="K552" s="139"/>
      <c r="L552" s="139"/>
    </row>
    <row r="553" spans="1:12" x14ac:dyDescent="0.2">
      <c r="A553" s="139"/>
      <c r="D553" s="139"/>
      <c r="E553" s="139"/>
      <c r="F553" s="139"/>
      <c r="G553" s="139"/>
      <c r="H553" s="139"/>
      <c r="I553" s="139"/>
      <c r="J553" s="139"/>
      <c r="K553" s="139"/>
      <c r="L553" s="139"/>
    </row>
    <row r="554" spans="1:12" x14ac:dyDescent="0.2">
      <c r="A554" s="139"/>
      <c r="D554" s="139"/>
      <c r="E554" s="139"/>
      <c r="F554" s="139"/>
      <c r="G554" s="139"/>
      <c r="H554" s="139"/>
      <c r="I554" s="139"/>
      <c r="J554" s="139"/>
      <c r="K554" s="139"/>
      <c r="L554" s="139"/>
    </row>
    <row r="555" spans="1:12" x14ac:dyDescent="0.2">
      <c r="A555" s="139"/>
      <c r="B555" s="275"/>
      <c r="C555" s="275"/>
      <c r="D555" s="139"/>
      <c r="E555" s="139"/>
      <c r="F555" s="139"/>
      <c r="G555" s="139"/>
      <c r="H555" s="139"/>
      <c r="I555" s="139"/>
      <c r="J555" s="139"/>
      <c r="K555" s="139"/>
      <c r="L555" s="139"/>
    </row>
    <row r="556" spans="1:12" x14ac:dyDescent="0.2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</row>
    <row r="557" spans="1:12" x14ac:dyDescent="0.2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</row>
    <row r="558" spans="1:12" x14ac:dyDescent="0.2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</row>
    <row r="559" spans="1:12" x14ac:dyDescent="0.2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</row>
    <row r="560" spans="1:12" x14ac:dyDescent="0.2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</row>
    <row r="561" spans="1:12" x14ac:dyDescent="0.2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</row>
    <row r="562" spans="1:12" x14ac:dyDescent="0.2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</row>
    <row r="563" spans="1:12" x14ac:dyDescent="0.2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</row>
    <row r="564" spans="1:12" x14ac:dyDescent="0.2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</row>
    <row r="565" spans="1:12" x14ac:dyDescent="0.2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</row>
    <row r="566" spans="1:12" x14ac:dyDescent="0.2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</row>
    <row r="567" spans="1:12" x14ac:dyDescent="0.2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</row>
    <row r="568" spans="1:12" x14ac:dyDescent="0.2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</row>
    <row r="569" spans="1:12" x14ac:dyDescent="0.2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</row>
    <row r="570" spans="1:12" x14ac:dyDescent="0.2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</row>
    <row r="571" spans="1:12" x14ac:dyDescent="0.2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</row>
    <row r="572" spans="1:12" x14ac:dyDescent="0.2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</row>
    <row r="573" spans="1:12" x14ac:dyDescent="0.2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</row>
    <row r="574" spans="1:12" x14ac:dyDescent="0.2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</row>
    <row r="575" spans="1:12" x14ac:dyDescent="0.2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</row>
    <row r="576" spans="1:12" x14ac:dyDescent="0.2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</row>
    <row r="577" spans="1:12" x14ac:dyDescent="0.2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</row>
    <row r="578" spans="1:12" x14ac:dyDescent="0.2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</row>
    <row r="579" spans="1:12" x14ac:dyDescent="0.2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</row>
    <row r="580" spans="1:12" x14ac:dyDescent="0.2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</row>
    <row r="581" spans="1:12" x14ac:dyDescent="0.2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</row>
    <row r="582" spans="1:12" x14ac:dyDescent="0.2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</row>
    <row r="583" spans="1:12" x14ac:dyDescent="0.2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</row>
    <row r="584" spans="1:12" x14ac:dyDescent="0.2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</row>
    <row r="585" spans="1:12" x14ac:dyDescent="0.2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</row>
    <row r="586" spans="1:12" x14ac:dyDescent="0.2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</row>
    <row r="587" spans="1:12" x14ac:dyDescent="0.2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</row>
    <row r="588" spans="1:12" x14ac:dyDescent="0.2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</row>
    <row r="589" spans="1:12" x14ac:dyDescent="0.2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</row>
    <row r="590" spans="1:12" x14ac:dyDescent="0.2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</row>
    <row r="591" spans="1:12" x14ac:dyDescent="0.2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</row>
    <row r="592" spans="1:12" x14ac:dyDescent="0.2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</row>
    <row r="593" spans="1:12" x14ac:dyDescent="0.2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</row>
    <row r="594" spans="1:12" x14ac:dyDescent="0.2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</row>
    <row r="595" spans="1:12" x14ac:dyDescent="0.2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</row>
    <row r="596" spans="1:12" x14ac:dyDescent="0.2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</row>
    <row r="597" spans="1:12" x14ac:dyDescent="0.2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</row>
    <row r="598" spans="1:12" x14ac:dyDescent="0.2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</row>
    <row r="599" spans="1:12" x14ac:dyDescent="0.2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</row>
    <row r="600" spans="1:12" x14ac:dyDescent="0.2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</row>
    <row r="601" spans="1:12" x14ac:dyDescent="0.2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</row>
    <row r="602" spans="1:12" x14ac:dyDescent="0.2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</row>
    <row r="603" spans="1:12" x14ac:dyDescent="0.2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</row>
    <row r="604" spans="1:12" x14ac:dyDescent="0.2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</row>
    <row r="605" spans="1:12" x14ac:dyDescent="0.2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</row>
    <row r="606" spans="1:12" x14ac:dyDescent="0.2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</row>
    <row r="607" spans="1:12" x14ac:dyDescent="0.2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</row>
    <row r="608" spans="1:12" x14ac:dyDescent="0.2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</row>
    <row r="609" spans="1:12" x14ac:dyDescent="0.2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</row>
    <row r="610" spans="1:12" x14ac:dyDescent="0.2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</row>
    <row r="611" spans="1:12" x14ac:dyDescent="0.2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</row>
    <row r="612" spans="1:12" x14ac:dyDescent="0.2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</row>
    <row r="613" spans="1:12" x14ac:dyDescent="0.2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</row>
    <row r="614" spans="1:12" x14ac:dyDescent="0.2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</row>
    <row r="615" spans="1:12" x14ac:dyDescent="0.2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</row>
    <row r="616" spans="1:12" x14ac:dyDescent="0.2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</row>
    <row r="617" spans="1:12" x14ac:dyDescent="0.2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</row>
    <row r="618" spans="1:12" x14ac:dyDescent="0.2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</row>
    <row r="619" spans="1:12" x14ac:dyDescent="0.2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</row>
    <row r="620" spans="1:12" x14ac:dyDescent="0.2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</row>
    <row r="621" spans="1:12" x14ac:dyDescent="0.2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</row>
    <row r="622" spans="1:12" x14ac:dyDescent="0.2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</row>
    <row r="623" spans="1:12" x14ac:dyDescent="0.2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</row>
    <row r="624" spans="1:12" x14ac:dyDescent="0.2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</row>
    <row r="625" spans="1:12" x14ac:dyDescent="0.2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</row>
    <row r="626" spans="1:12" x14ac:dyDescent="0.2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</row>
    <row r="627" spans="1:12" x14ac:dyDescent="0.2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</row>
    <row r="628" spans="1:12" x14ac:dyDescent="0.2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</row>
    <row r="629" spans="1:12" x14ac:dyDescent="0.2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</row>
    <row r="630" spans="1:12" x14ac:dyDescent="0.2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</row>
    <row r="631" spans="1:12" x14ac:dyDescent="0.2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</row>
    <row r="632" spans="1:12" x14ac:dyDescent="0.2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</row>
    <row r="633" spans="1:12" x14ac:dyDescent="0.2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</row>
    <row r="634" spans="1:12" x14ac:dyDescent="0.2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</row>
    <row r="635" spans="1:12" x14ac:dyDescent="0.2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</row>
    <row r="636" spans="1:12" x14ac:dyDescent="0.2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</row>
    <row r="637" spans="1:12" x14ac:dyDescent="0.2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</row>
    <row r="638" spans="1:12" x14ac:dyDescent="0.2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</row>
    <row r="639" spans="1:12" x14ac:dyDescent="0.2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</row>
    <row r="640" spans="1:12" x14ac:dyDescent="0.2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</row>
  </sheetData>
  <sheetProtection formatCells="0" selectLockedCells="1"/>
  <mergeCells count="635">
    <mergeCell ref="P59:V59"/>
    <mergeCell ref="A253:A254"/>
    <mergeCell ref="B163:AC164"/>
    <mergeCell ref="M221:M222"/>
    <mergeCell ref="L221:L222"/>
    <mergeCell ref="K221:K222"/>
    <mergeCell ref="J221:J222"/>
    <mergeCell ref="I221:I222"/>
    <mergeCell ref="H221:H222"/>
    <mergeCell ref="G221:G222"/>
    <mergeCell ref="W221:W222"/>
    <mergeCell ref="V221:V222"/>
    <mergeCell ref="U221:U222"/>
    <mergeCell ref="T221:T222"/>
    <mergeCell ref="S221:S222"/>
    <mergeCell ref="R221:R222"/>
    <mergeCell ref="Q221:Q222"/>
    <mergeCell ref="P221:P222"/>
    <mergeCell ref="O221:O222"/>
    <mergeCell ref="Z219:Z220"/>
    <mergeCell ref="AA219:AA220"/>
    <mergeCell ref="AB219:AB220"/>
    <mergeCell ref="AC219:AC220"/>
    <mergeCell ref="AC221:AC222"/>
    <mergeCell ref="AB221:AB222"/>
    <mergeCell ref="AA221:AA222"/>
    <mergeCell ref="Z221:Z222"/>
    <mergeCell ref="Y221:Y222"/>
    <mergeCell ref="Y273:Y274"/>
    <mergeCell ref="B299:C299"/>
    <mergeCell ref="B466:C466"/>
    <mergeCell ref="B529:C529"/>
    <mergeCell ref="X273:X274"/>
    <mergeCell ref="N271:N272"/>
    <mergeCell ref="O271:O272"/>
    <mergeCell ref="P271:P272"/>
    <mergeCell ref="Q271:Q272"/>
    <mergeCell ref="R271:R272"/>
    <mergeCell ref="S271:S272"/>
    <mergeCell ref="T271:T272"/>
    <mergeCell ref="U271:U272"/>
    <mergeCell ref="V271:V272"/>
    <mergeCell ref="E271:E272"/>
    <mergeCell ref="F271:F272"/>
    <mergeCell ref="G271:G272"/>
    <mergeCell ref="H271:H272"/>
    <mergeCell ref="I271:I272"/>
    <mergeCell ref="W245:W246"/>
    <mergeCell ref="B551:C551"/>
    <mergeCell ref="W271:W272"/>
    <mergeCell ref="X271:X272"/>
    <mergeCell ref="Y271:Y272"/>
    <mergeCell ref="B273:C274"/>
    <mergeCell ref="D273:D274"/>
    <mergeCell ref="F273:F274"/>
    <mergeCell ref="G273:G274"/>
    <mergeCell ref="H273:H274"/>
    <mergeCell ref="I273:I274"/>
    <mergeCell ref="J273:J274"/>
    <mergeCell ref="K273:K274"/>
    <mergeCell ref="L273:L274"/>
    <mergeCell ref="M273:M274"/>
    <mergeCell ref="N273:N274"/>
    <mergeCell ref="O273:O274"/>
    <mergeCell ref="P273:P274"/>
    <mergeCell ref="Q273:Q274"/>
    <mergeCell ref="R273:R274"/>
    <mergeCell ref="S273:S274"/>
    <mergeCell ref="T273:T274"/>
    <mergeCell ref="U273:U274"/>
    <mergeCell ref="V273:V274"/>
    <mergeCell ref="W273:W274"/>
    <mergeCell ref="Y245:Y246"/>
    <mergeCell ref="F247:F248"/>
    <mergeCell ref="G247:G248"/>
    <mergeCell ref="H247:H248"/>
    <mergeCell ref="I247:I248"/>
    <mergeCell ref="J247:J248"/>
    <mergeCell ref="K247:K248"/>
    <mergeCell ref="L247:L248"/>
    <mergeCell ref="M247:M248"/>
    <mergeCell ref="N247:N248"/>
    <mergeCell ref="O247:O248"/>
    <mergeCell ref="P247:P248"/>
    <mergeCell ref="Q247:Q248"/>
    <mergeCell ref="R247:R248"/>
    <mergeCell ref="S247:S248"/>
    <mergeCell ref="T247:T248"/>
    <mergeCell ref="U247:U248"/>
    <mergeCell ref="V247:V248"/>
    <mergeCell ref="W247:W248"/>
    <mergeCell ref="X247:X248"/>
    <mergeCell ref="Y247:Y248"/>
    <mergeCell ref="N245:N246"/>
    <mergeCell ref="O245:O246"/>
    <mergeCell ref="P245:P246"/>
    <mergeCell ref="Q245:Q246"/>
    <mergeCell ref="R245:R246"/>
    <mergeCell ref="S245:S246"/>
    <mergeCell ref="T245:T246"/>
    <mergeCell ref="U245:U246"/>
    <mergeCell ref="V245:V246"/>
    <mergeCell ref="B245:E246"/>
    <mergeCell ref="F245:F246"/>
    <mergeCell ref="G245:G246"/>
    <mergeCell ref="H245:H246"/>
    <mergeCell ref="I245:I246"/>
    <mergeCell ref="J245:J246"/>
    <mergeCell ref="K245:K246"/>
    <mergeCell ref="L245:L246"/>
    <mergeCell ref="M245:M246"/>
    <mergeCell ref="F240:I240"/>
    <mergeCell ref="J240:M240"/>
    <mergeCell ref="N240:Q240"/>
    <mergeCell ref="N221:N222"/>
    <mergeCell ref="F219:F220"/>
    <mergeCell ref="G219:G220"/>
    <mergeCell ref="F221:F222"/>
    <mergeCell ref="H219:H220"/>
    <mergeCell ref="I219:I220"/>
    <mergeCell ref="J219:J220"/>
    <mergeCell ref="AG145:AJ145"/>
    <mergeCell ref="B165:B166"/>
    <mergeCell ref="C165:E165"/>
    <mergeCell ref="F165:I165"/>
    <mergeCell ref="J165:M165"/>
    <mergeCell ref="N165:Q165"/>
    <mergeCell ref="R165:U165"/>
    <mergeCell ref="V165:Y165"/>
    <mergeCell ref="Z165:AC165"/>
    <mergeCell ref="Y289:Y290"/>
    <mergeCell ref="O287:O288"/>
    <mergeCell ref="P287:P288"/>
    <mergeCell ref="M291:M292"/>
    <mergeCell ref="N291:N292"/>
    <mergeCell ref="B119:B120"/>
    <mergeCell ref="B127:J127"/>
    <mergeCell ref="B145:L145"/>
    <mergeCell ref="N145:AE145"/>
    <mergeCell ref="B176:D176"/>
    <mergeCell ref="B177:E177"/>
    <mergeCell ref="B218:D218"/>
    <mergeCell ref="C219:D219"/>
    <mergeCell ref="C220:D220"/>
    <mergeCell ref="C221:D221"/>
    <mergeCell ref="C222:D222"/>
    <mergeCell ref="X289:X290"/>
    <mergeCell ref="L219:L220"/>
    <mergeCell ref="B223:D223"/>
    <mergeCell ref="E215:E222"/>
    <mergeCell ref="K219:K220"/>
    <mergeCell ref="B243:E244"/>
    <mergeCell ref="F243:I244"/>
    <mergeCell ref="J243:M244"/>
    <mergeCell ref="C105:D105"/>
    <mergeCell ref="B115:D115"/>
    <mergeCell ref="B118:D118"/>
    <mergeCell ref="X291:X292"/>
    <mergeCell ref="R291:R292"/>
    <mergeCell ref="S291:S292"/>
    <mergeCell ref="T291:T292"/>
    <mergeCell ref="U291:U292"/>
    <mergeCell ref="V291:V292"/>
    <mergeCell ref="W291:W292"/>
    <mergeCell ref="F291:F292"/>
    <mergeCell ref="G291:G292"/>
    <mergeCell ref="H291:H292"/>
    <mergeCell ref="I291:I292"/>
    <mergeCell ref="J291:J292"/>
    <mergeCell ref="K291:K292"/>
    <mergeCell ref="L291:L292"/>
    <mergeCell ref="N243:Q244"/>
    <mergeCell ref="R243:U244"/>
    <mergeCell ref="V243:Y244"/>
    <mergeCell ref="M219:M220"/>
    <mergeCell ref="N219:N220"/>
    <mergeCell ref="O219:O220"/>
    <mergeCell ref="P219:P220"/>
    <mergeCell ref="Y291:Y292"/>
    <mergeCell ref="F293:F294"/>
    <mergeCell ref="G293:G294"/>
    <mergeCell ref="H293:H294"/>
    <mergeCell ref="I293:I294"/>
    <mergeCell ref="J293:J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S293:S294"/>
    <mergeCell ref="T293:T294"/>
    <mergeCell ref="U293:U294"/>
    <mergeCell ref="V293:V294"/>
    <mergeCell ref="W293:W294"/>
    <mergeCell ref="X293:X294"/>
    <mergeCell ref="Y293:Y294"/>
    <mergeCell ref="O291:O292"/>
    <mergeCell ref="P291:P292"/>
    <mergeCell ref="Q291:Q292"/>
    <mergeCell ref="O289:O290"/>
    <mergeCell ref="P289:P290"/>
    <mergeCell ref="Q289:Q290"/>
    <mergeCell ref="R289:R290"/>
    <mergeCell ref="S289:S290"/>
    <mergeCell ref="T289:T290"/>
    <mergeCell ref="U289:U290"/>
    <mergeCell ref="V289:V290"/>
    <mergeCell ref="W289:W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N289:N290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N287:N288"/>
    <mergeCell ref="X281:X282"/>
    <mergeCell ref="Y281:Y282"/>
    <mergeCell ref="Q287:Q288"/>
    <mergeCell ref="R287:R288"/>
    <mergeCell ref="S287:S288"/>
    <mergeCell ref="T287:T288"/>
    <mergeCell ref="U287:U288"/>
    <mergeCell ref="V287:V288"/>
    <mergeCell ref="W287:W288"/>
    <mergeCell ref="X287:X288"/>
    <mergeCell ref="Y287:Y288"/>
    <mergeCell ref="V285:V286"/>
    <mergeCell ref="V283:V284"/>
    <mergeCell ref="U285:U286"/>
    <mergeCell ref="U283:U284"/>
    <mergeCell ref="T285:T286"/>
    <mergeCell ref="T283:T284"/>
    <mergeCell ref="S285:S286"/>
    <mergeCell ref="S283:S284"/>
    <mergeCell ref="R285:R286"/>
    <mergeCell ref="R283:R284"/>
    <mergeCell ref="Q285:Q286"/>
    <mergeCell ref="Q283:Q284"/>
    <mergeCell ref="O281:O282"/>
    <mergeCell ref="P281:P282"/>
    <mergeCell ref="Q281:Q282"/>
    <mergeCell ref="R281:R282"/>
    <mergeCell ref="S281:S282"/>
    <mergeCell ref="T281:T282"/>
    <mergeCell ref="U281:U282"/>
    <mergeCell ref="V281:V282"/>
    <mergeCell ref="W281:W282"/>
    <mergeCell ref="F281:F282"/>
    <mergeCell ref="G281:G282"/>
    <mergeCell ref="H281:H282"/>
    <mergeCell ref="I281:I282"/>
    <mergeCell ref="J281:J282"/>
    <mergeCell ref="K281:K282"/>
    <mergeCell ref="L281:L282"/>
    <mergeCell ref="M281:M282"/>
    <mergeCell ref="N281:N282"/>
    <mergeCell ref="X277:X278"/>
    <mergeCell ref="Y277:Y278"/>
    <mergeCell ref="F279:F280"/>
    <mergeCell ref="G279:G280"/>
    <mergeCell ref="H279:H280"/>
    <mergeCell ref="I279:I280"/>
    <mergeCell ref="J279:J280"/>
    <mergeCell ref="K279:K280"/>
    <mergeCell ref="L279:L280"/>
    <mergeCell ref="M279:M280"/>
    <mergeCell ref="N279:N280"/>
    <mergeCell ref="O279:O280"/>
    <mergeCell ref="P279:P280"/>
    <mergeCell ref="Q279:Q280"/>
    <mergeCell ref="R279:R280"/>
    <mergeCell ref="S279:S280"/>
    <mergeCell ref="T279:T280"/>
    <mergeCell ref="U279:U280"/>
    <mergeCell ref="V279:V280"/>
    <mergeCell ref="W279:W280"/>
    <mergeCell ref="X279:X280"/>
    <mergeCell ref="Y279:Y280"/>
    <mergeCell ref="O277:O278"/>
    <mergeCell ref="P277:P278"/>
    <mergeCell ref="W277:W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N277:N278"/>
    <mergeCell ref="B287:C288"/>
    <mergeCell ref="B289:C290"/>
    <mergeCell ref="B291:C292"/>
    <mergeCell ref="B293:C294"/>
    <mergeCell ref="B275:C276"/>
    <mergeCell ref="E277:E278"/>
    <mergeCell ref="E279:E280"/>
    <mergeCell ref="E281:E282"/>
    <mergeCell ref="E287:E288"/>
    <mergeCell ref="E289:E290"/>
    <mergeCell ref="E291:E292"/>
    <mergeCell ref="E293:E294"/>
    <mergeCell ref="D277:D278"/>
    <mergeCell ref="D279:D280"/>
    <mergeCell ref="D281:D282"/>
    <mergeCell ref="D287:D288"/>
    <mergeCell ref="D289:D290"/>
    <mergeCell ref="D291:D292"/>
    <mergeCell ref="D293:D294"/>
    <mergeCell ref="D285:D286"/>
    <mergeCell ref="D283:D284"/>
    <mergeCell ref="B285:C286"/>
    <mergeCell ref="B283:C284"/>
    <mergeCell ref="Y275:Y276"/>
    <mergeCell ref="X275:X276"/>
    <mergeCell ref="W275:W276"/>
    <mergeCell ref="V275:V276"/>
    <mergeCell ref="U275:U276"/>
    <mergeCell ref="T275:T276"/>
    <mergeCell ref="B277:C278"/>
    <mergeCell ref="B279:C280"/>
    <mergeCell ref="B281:C282"/>
    <mergeCell ref="J275:J276"/>
    <mergeCell ref="I275:I276"/>
    <mergeCell ref="H275:H276"/>
    <mergeCell ref="Q277:Q278"/>
    <mergeCell ref="R277:R278"/>
    <mergeCell ref="S277:S278"/>
    <mergeCell ref="T277:T278"/>
    <mergeCell ref="U277:U278"/>
    <mergeCell ref="V277:V278"/>
    <mergeCell ref="S275:S276"/>
    <mergeCell ref="R275:R276"/>
    <mergeCell ref="Q275:Q276"/>
    <mergeCell ref="P275:P276"/>
    <mergeCell ref="O275:O276"/>
    <mergeCell ref="N275:N276"/>
    <mergeCell ref="G257:G258"/>
    <mergeCell ref="F257:F258"/>
    <mergeCell ref="P255:P256"/>
    <mergeCell ref="O255:O256"/>
    <mergeCell ref="D275:D276"/>
    <mergeCell ref="E275:E276"/>
    <mergeCell ref="G275:G276"/>
    <mergeCell ref="F275:F276"/>
    <mergeCell ref="B269:D270"/>
    <mergeCell ref="E269:E270"/>
    <mergeCell ref="B271:C272"/>
    <mergeCell ref="D271:D272"/>
    <mergeCell ref="M275:M276"/>
    <mergeCell ref="L275:L276"/>
    <mergeCell ref="K275:K276"/>
    <mergeCell ref="J271:J272"/>
    <mergeCell ref="K271:K272"/>
    <mergeCell ref="L271:L272"/>
    <mergeCell ref="M271:M272"/>
    <mergeCell ref="P257:P258"/>
    <mergeCell ref="O257:O258"/>
    <mergeCell ref="N257:N258"/>
    <mergeCell ref="M257:M258"/>
    <mergeCell ref="L257:L258"/>
    <mergeCell ref="K257:K258"/>
    <mergeCell ref="J257:J258"/>
    <mergeCell ref="I257:I258"/>
    <mergeCell ref="H257:H258"/>
    <mergeCell ref="Y257:Y258"/>
    <mergeCell ref="X257:X258"/>
    <mergeCell ref="W257:W258"/>
    <mergeCell ref="V257:V258"/>
    <mergeCell ref="U257:U258"/>
    <mergeCell ref="T257:T258"/>
    <mergeCell ref="S257:S258"/>
    <mergeCell ref="R257:R258"/>
    <mergeCell ref="Q257:Q258"/>
    <mergeCell ref="N255:N256"/>
    <mergeCell ref="M255:M256"/>
    <mergeCell ref="L255:L256"/>
    <mergeCell ref="K255:K256"/>
    <mergeCell ref="J255:J256"/>
    <mergeCell ref="I255:I256"/>
    <mergeCell ref="H255:H256"/>
    <mergeCell ref="G253:G254"/>
    <mergeCell ref="F253:F254"/>
    <mergeCell ref="N253:N254"/>
    <mergeCell ref="M253:M254"/>
    <mergeCell ref="L253:L254"/>
    <mergeCell ref="K253:K254"/>
    <mergeCell ref="J253:J254"/>
    <mergeCell ref="I253:I254"/>
    <mergeCell ref="H253:H254"/>
    <mergeCell ref="G255:G256"/>
    <mergeCell ref="F255:F256"/>
    <mergeCell ref="G251:G252"/>
    <mergeCell ref="F251:F252"/>
    <mergeCell ref="P251:P252"/>
    <mergeCell ref="O251:O252"/>
    <mergeCell ref="Y255:Y256"/>
    <mergeCell ref="X255:X256"/>
    <mergeCell ref="W255:W256"/>
    <mergeCell ref="V255:V256"/>
    <mergeCell ref="U255:U256"/>
    <mergeCell ref="T255:T256"/>
    <mergeCell ref="S255:S256"/>
    <mergeCell ref="R255:R256"/>
    <mergeCell ref="Q255:Q256"/>
    <mergeCell ref="P253:P254"/>
    <mergeCell ref="O253:O254"/>
    <mergeCell ref="Y253:Y254"/>
    <mergeCell ref="X253:X254"/>
    <mergeCell ref="W253:W254"/>
    <mergeCell ref="V253:V254"/>
    <mergeCell ref="U253:U254"/>
    <mergeCell ref="T253:T254"/>
    <mergeCell ref="S253:S254"/>
    <mergeCell ref="R253:R254"/>
    <mergeCell ref="Q253:Q254"/>
    <mergeCell ref="I251:I252"/>
    <mergeCell ref="H251:H252"/>
    <mergeCell ref="Y251:Y252"/>
    <mergeCell ref="X251:X252"/>
    <mergeCell ref="W251:W252"/>
    <mergeCell ref="V251:V252"/>
    <mergeCell ref="U251:U252"/>
    <mergeCell ref="T251:T252"/>
    <mergeCell ref="S251:S252"/>
    <mergeCell ref="R251:R252"/>
    <mergeCell ref="Q251:Q252"/>
    <mergeCell ref="B42:K42"/>
    <mergeCell ref="B257:E258"/>
    <mergeCell ref="Y249:Y250"/>
    <mergeCell ref="X249:X250"/>
    <mergeCell ref="W249:W250"/>
    <mergeCell ref="V249:V250"/>
    <mergeCell ref="U249:U250"/>
    <mergeCell ref="T249:T250"/>
    <mergeCell ref="S249:S250"/>
    <mergeCell ref="R249:R250"/>
    <mergeCell ref="Q249:Q250"/>
    <mergeCell ref="P249:P250"/>
    <mergeCell ref="O249:O250"/>
    <mergeCell ref="N249:N250"/>
    <mergeCell ref="M249:M250"/>
    <mergeCell ref="L249:L250"/>
    <mergeCell ref="K249:K250"/>
    <mergeCell ref="J249:J250"/>
    <mergeCell ref="F249:F250"/>
    <mergeCell ref="N251:N252"/>
    <mergeCell ref="M251:M252"/>
    <mergeCell ref="L251:L252"/>
    <mergeCell ref="K251:K252"/>
    <mergeCell ref="J251:J252"/>
    <mergeCell ref="C113:D113"/>
    <mergeCell ref="C114:D114"/>
    <mergeCell ref="C116:D116"/>
    <mergeCell ref="F15:H15"/>
    <mergeCell ref="B15:C15"/>
    <mergeCell ref="F18:H18"/>
    <mergeCell ref="F16:H16"/>
    <mergeCell ref="F25:H25"/>
    <mergeCell ref="F26:F27"/>
    <mergeCell ref="G26:G27"/>
    <mergeCell ref="H26:H27"/>
    <mergeCell ref="F28:H28"/>
    <mergeCell ref="F32:H32"/>
    <mergeCell ref="G34:H34"/>
    <mergeCell ref="H84:N84"/>
    <mergeCell ref="B57:L57"/>
    <mergeCell ref="F58:G58"/>
    <mergeCell ref="H58:I58"/>
    <mergeCell ref="K58:K59"/>
    <mergeCell ref="L58:L59"/>
    <mergeCell ref="F59:G59"/>
    <mergeCell ref="H59:I59"/>
    <mergeCell ref="B84:D84"/>
    <mergeCell ref="G35:H35"/>
    <mergeCell ref="I93:N93"/>
    <mergeCell ref="E273:E274"/>
    <mergeCell ref="B107:D107"/>
    <mergeCell ref="C108:D108"/>
    <mergeCell ref="C109:D109"/>
    <mergeCell ref="C110:D110"/>
    <mergeCell ref="C111:D111"/>
    <mergeCell ref="C112:D112"/>
    <mergeCell ref="C101:D101"/>
    <mergeCell ref="B102:D102"/>
    <mergeCell ref="C106:D106"/>
    <mergeCell ref="B247:E248"/>
    <mergeCell ref="B249:E250"/>
    <mergeCell ref="B251:E252"/>
    <mergeCell ref="B253:E254"/>
    <mergeCell ref="B255:E256"/>
    <mergeCell ref="C117:D117"/>
    <mergeCell ref="I249:I250"/>
    <mergeCell ref="H249:H250"/>
    <mergeCell ref="B240:E242"/>
    <mergeCell ref="C217:D217"/>
    <mergeCell ref="C216:D216"/>
    <mergeCell ref="N127:AA127"/>
    <mergeCell ref="G249:G250"/>
    <mergeCell ref="AB247:AB248"/>
    <mergeCell ref="AC247:AC248"/>
    <mergeCell ref="R240:U240"/>
    <mergeCell ref="V240:Y240"/>
    <mergeCell ref="R219:R220"/>
    <mergeCell ref="S219:S220"/>
    <mergeCell ref="T219:T220"/>
    <mergeCell ref="U219:U220"/>
    <mergeCell ref="V219:V220"/>
    <mergeCell ref="W219:W220"/>
    <mergeCell ref="X219:X220"/>
    <mergeCell ref="Y219:Y220"/>
    <mergeCell ref="X221:X222"/>
    <mergeCell ref="X245:X246"/>
    <mergeCell ref="AC245:AC246"/>
    <mergeCell ref="Z247:Z248"/>
    <mergeCell ref="AA247:AA248"/>
    <mergeCell ref="B239:AC239"/>
    <mergeCell ref="Z240:AC240"/>
    <mergeCell ref="Z243:AC244"/>
    <mergeCell ref="Z245:Z246"/>
    <mergeCell ref="AA245:AA246"/>
    <mergeCell ref="AB245:AB246"/>
    <mergeCell ref="Q219:Q220"/>
    <mergeCell ref="AB255:AB256"/>
    <mergeCell ref="AC255:AC256"/>
    <mergeCell ref="Z257:Z258"/>
    <mergeCell ref="AA257:AA258"/>
    <mergeCell ref="AB257:AB258"/>
    <mergeCell ref="AC257:AC258"/>
    <mergeCell ref="Z249:Z250"/>
    <mergeCell ref="AA249:AA250"/>
    <mergeCell ref="AB249:AB250"/>
    <mergeCell ref="AC249:AC250"/>
    <mergeCell ref="Z251:Z252"/>
    <mergeCell ref="AA251:AA252"/>
    <mergeCell ref="AB251:AB252"/>
    <mergeCell ref="AC251:AC252"/>
    <mergeCell ref="Z253:Z254"/>
    <mergeCell ref="AA253:AA254"/>
    <mergeCell ref="AB253:AB254"/>
    <mergeCell ref="AC253:AC254"/>
    <mergeCell ref="Z255:Z256"/>
    <mergeCell ref="AA255:AA256"/>
    <mergeCell ref="AC281:AC282"/>
    <mergeCell ref="AB271:AB272"/>
    <mergeCell ref="AC271:AC272"/>
    <mergeCell ref="Z273:Z274"/>
    <mergeCell ref="AA273:AA274"/>
    <mergeCell ref="AB273:AB274"/>
    <mergeCell ref="AC273:AC274"/>
    <mergeCell ref="Z275:Z276"/>
    <mergeCell ref="AA275:AA276"/>
    <mergeCell ref="AB275:AB276"/>
    <mergeCell ref="AC275:AC276"/>
    <mergeCell ref="AB277:AB278"/>
    <mergeCell ref="AC277:AC278"/>
    <mergeCell ref="Z279:Z280"/>
    <mergeCell ref="AA279:AA280"/>
    <mergeCell ref="AB279:AB280"/>
    <mergeCell ref="AC279:AC280"/>
    <mergeCell ref="Z281:Z282"/>
    <mergeCell ref="AA281:AA282"/>
    <mergeCell ref="AB281:AB282"/>
    <mergeCell ref="Z277:Z278"/>
    <mergeCell ref="AA277:AA278"/>
    <mergeCell ref="Z271:Z272"/>
    <mergeCell ref="AA271:AA272"/>
    <mergeCell ref="AB287:AB288"/>
    <mergeCell ref="AC287:AC288"/>
    <mergeCell ref="Z289:Z290"/>
    <mergeCell ref="AA289:AA290"/>
    <mergeCell ref="AB289:AB290"/>
    <mergeCell ref="AC289:AC290"/>
    <mergeCell ref="Z291:Z292"/>
    <mergeCell ref="AA291:AA292"/>
    <mergeCell ref="AB291:AB292"/>
    <mergeCell ref="AC291:AC292"/>
    <mergeCell ref="Z293:Z294"/>
    <mergeCell ref="AA293:AA294"/>
    <mergeCell ref="AB293:AB294"/>
    <mergeCell ref="AC293:AC294"/>
    <mergeCell ref="F285:F286"/>
    <mergeCell ref="F283:F284"/>
    <mergeCell ref="E285:E286"/>
    <mergeCell ref="E283:E284"/>
    <mergeCell ref="AC285:AC286"/>
    <mergeCell ref="AC283:AC284"/>
    <mergeCell ref="AB285:AB286"/>
    <mergeCell ref="AB283:AB284"/>
    <mergeCell ref="AA285:AA286"/>
    <mergeCell ref="AA283:AA284"/>
    <mergeCell ref="Z285:Z286"/>
    <mergeCell ref="Z283:Z284"/>
    <mergeCell ref="Y285:Y286"/>
    <mergeCell ref="Y283:Y284"/>
    <mergeCell ref="X285:X286"/>
    <mergeCell ref="X283:X284"/>
    <mergeCell ref="W285:W286"/>
    <mergeCell ref="W283:W284"/>
    <mergeCell ref="Z287:Z288"/>
    <mergeCell ref="AA287:AA288"/>
    <mergeCell ref="G285:G286"/>
    <mergeCell ref="G283:G284"/>
    <mergeCell ref="P285:P286"/>
    <mergeCell ref="P283:P284"/>
    <mergeCell ref="O285:O286"/>
    <mergeCell ref="O283:O284"/>
    <mergeCell ref="N285:N286"/>
    <mergeCell ref="N283:N284"/>
    <mergeCell ref="M285:M286"/>
    <mergeCell ref="M283:M284"/>
    <mergeCell ref="L285:L286"/>
    <mergeCell ref="L283:L284"/>
    <mergeCell ref="K285:K286"/>
    <mergeCell ref="K283:K284"/>
    <mergeCell ref="J285:J286"/>
    <mergeCell ref="J283:J284"/>
    <mergeCell ref="I285:I286"/>
    <mergeCell ref="I283:I284"/>
    <mergeCell ref="H285:H286"/>
    <mergeCell ref="H283:H284"/>
  </mergeCells>
  <phoneticPr fontId="53" type="noConversion"/>
  <hyperlinks>
    <hyperlink ref="E2" r:id="rId1" xr:uid="{DB91F7FB-FE7D-45B6-8813-1266F49E8197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323B-D381-4623-80ED-3A7EF9817747}">
  <sheetPr>
    <pageSetUpPr fitToPage="1"/>
  </sheetPr>
  <dimension ref="B1:BP159"/>
  <sheetViews>
    <sheetView rightToLeft="1" zoomScale="40" zoomScaleNormal="40" workbookViewId="0">
      <selection activeCell="T45" sqref="T45"/>
    </sheetView>
  </sheetViews>
  <sheetFormatPr defaultColWidth="9" defaultRowHeight="18.75" x14ac:dyDescent="0.2"/>
  <cols>
    <col min="1" max="1" width="4.25" style="200" customWidth="1"/>
    <col min="2" max="2" width="150.875" style="199" bestFit="1" customWidth="1"/>
    <col min="3" max="3" width="24.625" style="200" customWidth="1"/>
    <col min="4" max="4" width="23.5" style="200" bestFit="1" customWidth="1"/>
    <col min="5" max="5" width="23.125" style="200" bestFit="1" customWidth="1"/>
    <col min="6" max="6" width="22.375" style="200" bestFit="1" customWidth="1"/>
    <col min="7" max="7" width="33.25" style="200" bestFit="1" customWidth="1"/>
    <col min="8" max="8" width="20" style="200" bestFit="1" customWidth="1"/>
    <col min="9" max="9" width="34.125" style="200" bestFit="1" customWidth="1"/>
    <col min="10" max="10" width="31" style="200" bestFit="1" customWidth="1"/>
    <col min="11" max="11" width="4.25" style="200" customWidth="1"/>
    <col min="12" max="12" width="12.375" style="200" bestFit="1" customWidth="1"/>
    <col min="13" max="16" width="9" style="200"/>
    <col min="17" max="17" width="12.375" style="200" bestFit="1" customWidth="1"/>
    <col min="18" max="18" width="15" style="200" bestFit="1" customWidth="1"/>
    <col min="19" max="26" width="9" style="200"/>
    <col min="27" max="27" width="13.75" style="200" bestFit="1" customWidth="1"/>
    <col min="28" max="29" width="15.5" style="200" bestFit="1" customWidth="1"/>
    <col min="30" max="30" width="15.75" style="200" bestFit="1" customWidth="1"/>
    <col min="31" max="31" width="17.75" style="200" bestFit="1" customWidth="1"/>
    <col min="32" max="32" width="16.125" style="200" bestFit="1" customWidth="1"/>
    <col min="33" max="33" width="15.75" style="200" bestFit="1" customWidth="1"/>
    <col min="34" max="35" width="16.125" style="200" bestFit="1" customWidth="1"/>
    <col min="36" max="36" width="15.75" style="200" bestFit="1" customWidth="1"/>
    <col min="37" max="37" width="16.125" style="200" bestFit="1" customWidth="1"/>
    <col min="38" max="38" width="15.75" style="200" bestFit="1" customWidth="1"/>
    <col min="39" max="39" width="16.125" style="200" bestFit="1" customWidth="1"/>
    <col min="40" max="40" width="15.375" style="200" bestFit="1" customWidth="1"/>
    <col min="41" max="41" width="15.75" style="200" bestFit="1" customWidth="1"/>
    <col min="42" max="42" width="14.375" style="200" bestFit="1" customWidth="1"/>
    <col min="43" max="44" width="14.875" style="200" bestFit="1" customWidth="1"/>
    <col min="45" max="45" width="13.75" style="200" bestFit="1" customWidth="1"/>
    <col min="46" max="46" width="13.875" style="200" bestFit="1" customWidth="1"/>
    <col min="47" max="47" width="5.375" style="200" bestFit="1" customWidth="1"/>
    <col min="48" max="48" width="5.25" style="200" bestFit="1" customWidth="1"/>
    <col min="49" max="51" width="5.375" style="200" bestFit="1" customWidth="1"/>
    <col min="52" max="66" width="9" style="200"/>
    <col min="67" max="67" width="18.25" style="200" bestFit="1" customWidth="1"/>
    <col min="68" max="68" width="15.125" style="200" bestFit="1" customWidth="1"/>
    <col min="69" max="16384" width="9" style="200"/>
  </cols>
  <sheetData>
    <row r="1" spans="2:62" ht="9" customHeight="1" x14ac:dyDescent="0.2">
      <c r="B1" s="200"/>
    </row>
    <row r="2" spans="2:62" ht="21" x14ac:dyDescent="0.2">
      <c r="B2" s="212"/>
      <c r="C2" s="212"/>
      <c r="D2" s="212"/>
      <c r="E2" s="212"/>
      <c r="F2" s="212"/>
      <c r="G2" s="212"/>
      <c r="H2" s="212"/>
      <c r="I2" s="212"/>
      <c r="J2" s="212"/>
    </row>
    <row r="3" spans="2:62" ht="21" x14ac:dyDescent="0.2">
      <c r="B3" s="212"/>
      <c r="C3" s="212"/>
      <c r="D3" s="212"/>
      <c r="E3" s="212"/>
      <c r="F3" s="212"/>
      <c r="G3" s="212"/>
      <c r="H3" s="212"/>
      <c r="I3" s="212"/>
      <c r="J3" s="212"/>
    </row>
    <row r="4" spans="2:62" ht="21" x14ac:dyDescent="0.2">
      <c r="B4" s="212"/>
      <c r="C4" s="212"/>
      <c r="D4" s="212"/>
      <c r="E4" s="212"/>
      <c r="F4" s="212"/>
      <c r="G4" s="212"/>
      <c r="H4" s="212"/>
      <c r="I4" s="212"/>
      <c r="J4" s="212"/>
    </row>
    <row r="5" spans="2:62" ht="21" x14ac:dyDescent="0.2">
      <c r="B5" s="212"/>
      <c r="C5" s="212"/>
      <c r="D5" s="212"/>
      <c r="E5" s="212"/>
      <c r="F5" s="212"/>
      <c r="G5" s="212"/>
      <c r="H5" s="212"/>
      <c r="I5" s="212"/>
      <c r="J5" s="212"/>
    </row>
    <row r="6" spans="2:62" ht="21" x14ac:dyDescent="0.2">
      <c r="B6" s="212"/>
      <c r="C6" s="212"/>
      <c r="D6" s="212"/>
      <c r="E6" s="212"/>
      <c r="F6" s="212"/>
      <c r="G6" s="212"/>
      <c r="H6" s="212"/>
      <c r="I6" s="212"/>
      <c r="J6" s="212"/>
    </row>
    <row r="7" spans="2:62" ht="21" x14ac:dyDescent="0.2">
      <c r="B7" s="208" t="s">
        <v>288</v>
      </c>
      <c r="C7" s="163"/>
      <c r="D7" s="201"/>
      <c r="E7" s="201"/>
      <c r="F7" s="201"/>
      <c r="G7" s="201"/>
      <c r="H7" s="201"/>
      <c r="I7" s="201"/>
      <c r="J7" s="209" t="s">
        <v>287</v>
      </c>
      <c r="L7" s="418"/>
      <c r="M7" s="418"/>
      <c r="N7" s="418"/>
      <c r="O7" s="418"/>
      <c r="P7" s="418"/>
      <c r="Q7" s="418"/>
      <c r="R7" s="418"/>
      <c r="S7" s="418"/>
      <c r="T7" s="418"/>
      <c r="U7" s="418"/>
      <c r="V7" s="418"/>
      <c r="W7" s="418"/>
      <c r="X7" s="418"/>
      <c r="Y7" s="418"/>
      <c r="Z7" s="418"/>
      <c r="AA7" s="418"/>
      <c r="AB7" s="418"/>
      <c r="AC7" s="418"/>
      <c r="AD7" s="418"/>
      <c r="AE7" s="418"/>
      <c r="AF7" s="418"/>
      <c r="AG7" s="418"/>
      <c r="AH7" s="418"/>
      <c r="AI7" s="418"/>
      <c r="AJ7" s="418"/>
      <c r="AK7" s="418"/>
      <c r="AL7" s="418"/>
      <c r="AM7" s="418"/>
      <c r="AN7" s="418"/>
      <c r="AO7" s="418"/>
      <c r="AP7" s="418"/>
      <c r="AQ7" s="418"/>
      <c r="AR7" s="418"/>
      <c r="AS7" s="418"/>
      <c r="AT7" s="418"/>
      <c r="AU7" s="418"/>
      <c r="AV7" s="418"/>
      <c r="AW7" s="418"/>
      <c r="AX7" s="418"/>
      <c r="AY7" s="418"/>
      <c r="AZ7" s="418"/>
      <c r="BA7" s="418"/>
      <c r="BB7" s="418"/>
      <c r="BC7" s="418"/>
      <c r="BD7" s="418"/>
      <c r="BE7" s="418"/>
      <c r="BF7" s="418"/>
      <c r="BG7" s="418"/>
      <c r="BH7" s="418"/>
      <c r="BI7" s="418"/>
      <c r="BJ7" s="418"/>
    </row>
    <row r="8" spans="2:62" ht="21" x14ac:dyDescent="0.2">
      <c r="B8" s="210" t="str">
        <f>الدراسة!E1</f>
        <v>السدحان 2025-04-20</v>
      </c>
      <c r="C8" s="211"/>
      <c r="D8" s="212"/>
      <c r="E8" s="212"/>
      <c r="F8" s="212"/>
      <c r="G8" s="212"/>
      <c r="H8" s="212"/>
      <c r="I8" s="560" t="str">
        <f>B8</f>
        <v>السدحان 2025-04-20</v>
      </c>
      <c r="J8" s="561"/>
      <c r="L8" s="418"/>
      <c r="M8" s="418"/>
      <c r="N8" s="418"/>
      <c r="O8" s="418"/>
      <c r="P8" s="418"/>
      <c r="Q8" s="418"/>
      <c r="R8" s="418"/>
      <c r="S8" s="418"/>
      <c r="T8" s="418"/>
      <c r="U8" s="418"/>
      <c r="V8" s="418"/>
      <c r="W8" s="418"/>
      <c r="X8" s="418"/>
      <c r="Y8" s="418"/>
      <c r="Z8" s="418"/>
      <c r="AA8" s="418"/>
      <c r="AB8" s="418"/>
      <c r="AC8" s="418"/>
      <c r="AD8" s="418"/>
      <c r="AE8" s="418"/>
      <c r="AF8" s="418"/>
      <c r="AG8" s="418"/>
      <c r="AH8" s="418"/>
      <c r="AI8" s="418"/>
      <c r="AJ8" s="418"/>
      <c r="AK8" s="418"/>
      <c r="AL8" s="418"/>
      <c r="AM8" s="418"/>
      <c r="AN8" s="418"/>
      <c r="AO8" s="418"/>
      <c r="AP8" s="418"/>
      <c r="AQ8" s="418"/>
      <c r="AR8" s="418"/>
      <c r="AS8" s="418"/>
      <c r="AT8" s="418"/>
      <c r="AU8" s="418"/>
      <c r="AV8" s="418"/>
      <c r="AW8" s="418"/>
      <c r="AX8" s="418"/>
      <c r="AY8" s="418"/>
      <c r="AZ8" s="418"/>
      <c r="BA8" s="418"/>
      <c r="BB8" s="418"/>
      <c r="BC8" s="418"/>
      <c r="BD8" s="418"/>
      <c r="BE8" s="418"/>
      <c r="BF8" s="418"/>
      <c r="BG8" s="418"/>
      <c r="BH8" s="418"/>
      <c r="BI8" s="418"/>
      <c r="BJ8" s="418"/>
    </row>
    <row r="9" spans="2:62" x14ac:dyDescent="0.2">
      <c r="B9" s="574" t="s">
        <v>323</v>
      </c>
      <c r="C9" s="213"/>
      <c r="D9" s="564" t="s">
        <v>337</v>
      </c>
      <c r="E9" s="564"/>
      <c r="F9" s="564"/>
      <c r="G9" s="564"/>
      <c r="H9" s="564"/>
      <c r="I9" s="564"/>
      <c r="J9" s="564"/>
      <c r="L9" s="418"/>
      <c r="M9" s="418"/>
      <c r="N9" s="418"/>
      <c r="O9" s="418"/>
      <c r="P9" s="418"/>
      <c r="Q9" s="418"/>
      <c r="R9" s="418"/>
      <c r="S9" s="418"/>
      <c r="T9" s="418"/>
      <c r="U9" s="418"/>
      <c r="V9" s="418"/>
      <c r="W9" s="418"/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  <c r="AK9" s="418"/>
      <c r="AL9" s="418"/>
      <c r="AM9" s="418"/>
      <c r="AN9" s="418"/>
      <c r="AO9" s="418"/>
      <c r="AP9" s="418"/>
      <c r="AQ9" s="418"/>
      <c r="AR9" s="418"/>
      <c r="AS9" s="418"/>
      <c r="AT9" s="418"/>
      <c r="AU9" s="418"/>
      <c r="AV9" s="418"/>
      <c r="AW9" s="418"/>
      <c r="AX9" s="418"/>
      <c r="AY9" s="418"/>
      <c r="AZ9" s="418"/>
      <c r="BA9" s="418"/>
      <c r="BB9" s="418"/>
      <c r="BC9" s="418"/>
      <c r="BD9" s="418"/>
      <c r="BE9" s="418"/>
      <c r="BF9" s="418"/>
      <c r="BG9" s="418"/>
      <c r="BH9" s="418"/>
      <c r="BI9" s="418"/>
      <c r="BJ9" s="418"/>
    </row>
    <row r="10" spans="2:62" x14ac:dyDescent="0.2">
      <c r="B10" s="574"/>
      <c r="C10" s="213"/>
      <c r="D10" s="564"/>
      <c r="E10" s="564"/>
      <c r="F10" s="564"/>
      <c r="G10" s="564"/>
      <c r="H10" s="564"/>
      <c r="I10" s="564"/>
      <c r="J10" s="564"/>
      <c r="L10" s="418"/>
      <c r="M10" s="418"/>
      <c r="N10" s="418"/>
      <c r="O10" s="418"/>
      <c r="P10" s="418"/>
      <c r="Q10" s="418"/>
      <c r="R10" s="418"/>
      <c r="S10" s="418"/>
      <c r="T10" s="418"/>
      <c r="U10" s="418"/>
      <c r="V10" s="418"/>
      <c r="W10" s="418"/>
      <c r="X10" s="418"/>
      <c r="Y10" s="418"/>
      <c r="Z10" s="418"/>
      <c r="AA10" s="418"/>
      <c r="AB10" s="418"/>
      <c r="AC10" s="418"/>
      <c r="AD10" s="418"/>
      <c r="AE10" s="418"/>
      <c r="AF10" s="418"/>
      <c r="AG10" s="418"/>
      <c r="AH10" s="418"/>
      <c r="AI10" s="418"/>
      <c r="AJ10" s="418"/>
      <c r="AK10" s="418"/>
      <c r="AL10" s="418"/>
      <c r="AM10" s="418"/>
      <c r="AN10" s="418"/>
      <c r="AO10" s="418"/>
      <c r="AP10" s="418"/>
      <c r="AQ10" s="418"/>
      <c r="AR10" s="418"/>
      <c r="AS10" s="418"/>
      <c r="AT10" s="418"/>
      <c r="AU10" s="418"/>
      <c r="AV10" s="418"/>
      <c r="AW10" s="418"/>
      <c r="AX10" s="418"/>
      <c r="AY10" s="418"/>
      <c r="AZ10" s="418"/>
      <c r="BA10" s="418"/>
      <c r="BB10" s="418"/>
      <c r="BC10" s="418"/>
      <c r="BD10" s="418"/>
      <c r="BE10" s="418"/>
      <c r="BF10" s="418"/>
      <c r="BG10" s="418"/>
      <c r="BH10" s="418"/>
      <c r="BI10" s="418"/>
      <c r="BJ10" s="418"/>
    </row>
    <row r="11" spans="2:62" x14ac:dyDescent="0.2">
      <c r="B11" s="574"/>
      <c r="C11" s="213"/>
      <c r="D11" s="564"/>
      <c r="E11" s="564"/>
      <c r="F11" s="564"/>
      <c r="G11" s="564"/>
      <c r="H11" s="564"/>
      <c r="I11" s="564"/>
      <c r="J11" s="564"/>
      <c r="L11" s="418"/>
      <c r="M11" s="418"/>
      <c r="N11" s="418"/>
      <c r="O11" s="418"/>
      <c r="P11" s="418"/>
      <c r="Q11" s="418"/>
      <c r="R11" s="418"/>
      <c r="S11" s="418"/>
      <c r="T11" s="418"/>
      <c r="U11" s="418"/>
      <c r="V11" s="418"/>
      <c r="W11" s="418"/>
      <c r="X11" s="418"/>
      <c r="Y11" s="418"/>
      <c r="Z11" s="418"/>
      <c r="AA11" s="418"/>
      <c r="AB11" s="418"/>
      <c r="AC11" s="418"/>
      <c r="AD11" s="418"/>
      <c r="AE11" s="418"/>
      <c r="AF11" s="418"/>
      <c r="AG11" s="418"/>
      <c r="AH11" s="418"/>
      <c r="AI11" s="418"/>
      <c r="AJ11" s="418"/>
      <c r="AK11" s="418"/>
      <c r="AL11" s="418"/>
      <c r="AM11" s="418"/>
      <c r="AN11" s="418"/>
      <c r="AO11" s="418"/>
      <c r="AP11" s="418"/>
      <c r="AQ11" s="418"/>
      <c r="AR11" s="418"/>
      <c r="AS11" s="418"/>
      <c r="AT11" s="418"/>
      <c r="AU11" s="418"/>
      <c r="AV11" s="418"/>
      <c r="AW11" s="418"/>
      <c r="AX11" s="418"/>
      <c r="AY11" s="418"/>
      <c r="AZ11" s="418"/>
      <c r="BA11" s="418"/>
      <c r="BB11" s="418"/>
      <c r="BC11" s="418"/>
      <c r="BD11" s="418"/>
      <c r="BE11" s="418"/>
      <c r="BF11" s="418"/>
      <c r="BG11" s="418"/>
      <c r="BH11" s="418"/>
      <c r="BI11" s="418"/>
      <c r="BJ11" s="418"/>
    </row>
    <row r="12" spans="2:62" x14ac:dyDescent="0.2">
      <c r="L12" s="418"/>
      <c r="M12" s="418"/>
      <c r="N12" s="418"/>
      <c r="O12" s="418"/>
      <c r="P12" s="418"/>
      <c r="Q12" s="418"/>
      <c r="R12" s="418"/>
      <c r="S12" s="418"/>
      <c r="T12" s="418"/>
      <c r="U12" s="418"/>
      <c r="V12" s="418"/>
      <c r="W12" s="418"/>
      <c r="X12" s="418"/>
      <c r="Y12" s="418"/>
      <c r="Z12" s="418"/>
      <c r="AA12" s="418"/>
      <c r="AB12" s="418"/>
      <c r="AC12" s="418"/>
      <c r="AD12" s="418"/>
      <c r="AE12" s="418"/>
      <c r="AF12" s="418"/>
      <c r="AG12" s="418"/>
      <c r="AH12" s="418"/>
      <c r="AI12" s="418"/>
      <c r="AJ12" s="418"/>
      <c r="AK12" s="418"/>
      <c r="AL12" s="418"/>
      <c r="AM12" s="418"/>
      <c r="AN12" s="418"/>
      <c r="AO12" s="418"/>
      <c r="AP12" s="418"/>
      <c r="AQ12" s="418"/>
      <c r="AR12" s="418"/>
      <c r="AS12" s="418"/>
      <c r="AT12" s="418"/>
      <c r="AU12" s="418"/>
      <c r="AV12" s="418"/>
      <c r="AW12" s="418"/>
      <c r="AX12" s="418"/>
      <c r="AY12" s="418"/>
      <c r="AZ12" s="418"/>
      <c r="BA12" s="418"/>
      <c r="BB12" s="418"/>
      <c r="BC12" s="418"/>
      <c r="BD12" s="418"/>
      <c r="BE12" s="418"/>
      <c r="BF12" s="418"/>
      <c r="BG12" s="418"/>
      <c r="BH12" s="418"/>
      <c r="BI12" s="418"/>
      <c r="BJ12" s="418"/>
    </row>
    <row r="13" spans="2:62" ht="19.5" thickBot="1" x14ac:dyDescent="0.25">
      <c r="B13" s="186" t="s">
        <v>291</v>
      </c>
      <c r="C13" s="164"/>
      <c r="D13" s="164"/>
      <c r="E13" s="164"/>
      <c r="F13" s="164"/>
      <c r="G13" s="202"/>
      <c r="H13" s="202"/>
      <c r="I13" s="202"/>
      <c r="J13" s="202"/>
      <c r="L13" s="418"/>
      <c r="M13" s="418"/>
      <c r="N13" s="418"/>
      <c r="O13" s="418"/>
      <c r="P13" s="418"/>
      <c r="Q13" s="418"/>
      <c r="R13" s="418"/>
      <c r="S13" s="418"/>
      <c r="T13" s="418"/>
      <c r="U13" s="418"/>
      <c r="V13" s="418"/>
      <c r="W13" s="418"/>
      <c r="X13" s="418"/>
      <c r="Y13" s="418"/>
      <c r="Z13" s="418"/>
      <c r="AA13" s="418"/>
      <c r="AB13" s="418"/>
      <c r="AC13" s="418"/>
      <c r="AD13" s="418"/>
      <c r="AE13" s="418"/>
      <c r="AF13" s="418"/>
      <c r="AG13" s="418"/>
      <c r="AH13" s="418"/>
      <c r="AI13" s="418"/>
      <c r="AJ13" s="418"/>
      <c r="AK13" s="418"/>
      <c r="AL13" s="418"/>
      <c r="AM13" s="418"/>
      <c r="AN13" s="418"/>
      <c r="AO13" s="418"/>
      <c r="AP13" s="418"/>
      <c r="AQ13" s="418"/>
      <c r="AR13" s="418"/>
      <c r="AS13" s="418"/>
      <c r="AT13" s="418"/>
      <c r="AU13" s="418"/>
      <c r="AV13" s="418"/>
      <c r="AW13" s="418"/>
      <c r="AX13" s="418"/>
      <c r="AY13" s="418"/>
      <c r="AZ13" s="418"/>
      <c r="BA13" s="418"/>
      <c r="BB13" s="418"/>
      <c r="BC13" s="418"/>
      <c r="BD13" s="418"/>
      <c r="BE13" s="418"/>
      <c r="BF13" s="418"/>
      <c r="BG13" s="418"/>
      <c r="BH13" s="418"/>
      <c r="BI13" s="418"/>
      <c r="BJ13" s="418"/>
    </row>
    <row r="14" spans="2:62" x14ac:dyDescent="0.2">
      <c r="B14" s="165"/>
      <c r="C14" s="166"/>
      <c r="D14" s="166"/>
      <c r="E14" s="166"/>
      <c r="F14" s="166"/>
      <c r="G14" s="166"/>
      <c r="H14" s="166" t="s">
        <v>327</v>
      </c>
      <c r="I14" s="166" t="s">
        <v>328</v>
      </c>
      <c r="J14" s="166" t="s">
        <v>271</v>
      </c>
      <c r="L14" s="418"/>
      <c r="M14" s="418"/>
      <c r="N14" s="418"/>
      <c r="O14" s="418"/>
      <c r="P14" s="418"/>
      <c r="Q14" s="418"/>
      <c r="R14" s="418"/>
      <c r="S14" s="418"/>
      <c r="T14" s="418"/>
      <c r="U14" s="418"/>
      <c r="V14" s="418"/>
      <c r="W14" s="418"/>
      <c r="X14" s="418"/>
      <c r="Y14" s="418"/>
      <c r="Z14" s="418"/>
      <c r="AA14" s="418"/>
      <c r="AB14" s="418"/>
      <c r="AC14" s="418"/>
      <c r="AD14" s="418"/>
      <c r="AE14" s="418"/>
      <c r="AF14" s="418"/>
      <c r="AG14" s="418"/>
      <c r="AH14" s="418"/>
      <c r="AI14" s="418"/>
      <c r="AJ14" s="418"/>
      <c r="AK14" s="418"/>
      <c r="AL14" s="418"/>
      <c r="AM14" s="418"/>
      <c r="AN14" s="418"/>
      <c r="AO14" s="418"/>
      <c r="AP14" s="418"/>
      <c r="AQ14" s="418"/>
      <c r="AR14" s="418"/>
      <c r="AS14" s="418"/>
      <c r="AT14" s="418"/>
      <c r="AU14" s="418"/>
      <c r="AV14" s="418"/>
      <c r="AW14" s="418"/>
      <c r="AX14" s="418"/>
      <c r="AY14" s="418"/>
      <c r="AZ14" s="418"/>
      <c r="BA14" s="418"/>
      <c r="BB14" s="418"/>
      <c r="BC14" s="418"/>
      <c r="BD14" s="418"/>
      <c r="BE14" s="418"/>
      <c r="BF14" s="418"/>
      <c r="BG14" s="418"/>
      <c r="BH14" s="418"/>
      <c r="BI14" s="418"/>
      <c r="BJ14" s="418"/>
    </row>
    <row r="15" spans="2:62" x14ac:dyDescent="0.2">
      <c r="B15" s="177" t="s">
        <v>321</v>
      </c>
      <c r="C15" s="164"/>
      <c r="D15" s="164"/>
      <c r="E15" s="164"/>
      <c r="F15" s="164"/>
      <c r="G15" s="164"/>
      <c r="H15" s="214">
        <f>الدراسة!C49</f>
        <v>10500</v>
      </c>
      <c r="I15" s="233">
        <f>الدراسة!D49</f>
        <v>21000</v>
      </c>
      <c r="J15" s="167">
        <f>الدراسة!E49</f>
        <v>220500000</v>
      </c>
      <c r="L15" s="418"/>
      <c r="M15" s="418"/>
      <c r="N15" s="418"/>
      <c r="O15" s="418"/>
      <c r="P15" s="418"/>
      <c r="Q15" s="418"/>
      <c r="R15" s="418"/>
      <c r="S15" s="418"/>
      <c r="T15" s="418"/>
      <c r="U15" s="418"/>
      <c r="V15" s="418"/>
      <c r="W15" s="418"/>
      <c r="X15" s="418"/>
      <c r="Y15" s="418"/>
      <c r="Z15" s="418"/>
      <c r="AA15" s="418"/>
      <c r="AB15" s="418"/>
      <c r="AC15" s="418"/>
      <c r="AD15" s="418"/>
      <c r="AE15" s="418"/>
      <c r="AF15" s="418"/>
      <c r="AG15" s="418"/>
      <c r="AH15" s="418"/>
      <c r="AI15" s="418"/>
      <c r="AJ15" s="418"/>
      <c r="AK15" s="418"/>
      <c r="AL15" s="418"/>
      <c r="AM15" s="418"/>
      <c r="AN15" s="418"/>
      <c r="AO15" s="418"/>
      <c r="AP15" s="418"/>
      <c r="AQ15" s="418"/>
      <c r="AR15" s="418"/>
      <c r="AS15" s="418"/>
      <c r="AT15" s="418"/>
      <c r="AU15" s="418"/>
      <c r="AV15" s="418"/>
      <c r="AW15" s="418"/>
      <c r="AX15" s="418"/>
      <c r="AY15" s="418"/>
      <c r="AZ15" s="418"/>
      <c r="BA15" s="418"/>
      <c r="BB15" s="418"/>
      <c r="BC15" s="418"/>
      <c r="BD15" s="418"/>
      <c r="BE15" s="418"/>
      <c r="BF15" s="418"/>
      <c r="BG15" s="418"/>
      <c r="BH15" s="418"/>
      <c r="BI15" s="418"/>
      <c r="BJ15" s="418"/>
    </row>
    <row r="16" spans="2:62" x14ac:dyDescent="0.2">
      <c r="B16" s="177" t="s">
        <v>326</v>
      </c>
      <c r="C16" s="164"/>
      <c r="D16" s="164"/>
      <c r="E16" s="164"/>
      <c r="F16" s="164"/>
      <c r="G16" s="164"/>
      <c r="H16" s="232">
        <f>الدراسة!E59</f>
        <v>68250</v>
      </c>
      <c r="I16" s="234">
        <f>J16/H16</f>
        <v>7393.8859381837119</v>
      </c>
      <c r="J16" s="167">
        <f>الدراسة!C24</f>
        <v>504632715.28103834</v>
      </c>
      <c r="L16" s="418"/>
      <c r="M16" s="418"/>
      <c r="N16" s="418"/>
      <c r="O16" s="418"/>
      <c r="P16" s="418"/>
      <c r="Q16" s="418"/>
      <c r="R16" s="418"/>
      <c r="S16" s="418"/>
      <c r="T16" s="418"/>
      <c r="U16" s="418"/>
      <c r="V16" s="418"/>
      <c r="W16" s="418"/>
      <c r="X16" s="418"/>
      <c r="Y16" s="418"/>
      <c r="Z16" s="418"/>
      <c r="AA16" s="418"/>
      <c r="AB16" s="418"/>
      <c r="AC16" s="418"/>
      <c r="AD16" s="418"/>
      <c r="AE16" s="418"/>
      <c r="AF16" s="418"/>
      <c r="AG16" s="418"/>
      <c r="AH16" s="418"/>
      <c r="AI16" s="418"/>
      <c r="AJ16" s="418"/>
      <c r="AK16" s="418"/>
      <c r="AL16" s="418"/>
      <c r="AM16" s="418"/>
      <c r="AN16" s="418"/>
      <c r="AO16" s="418"/>
      <c r="AP16" s="418"/>
      <c r="AQ16" s="418"/>
      <c r="AR16" s="418"/>
      <c r="AS16" s="418"/>
      <c r="AT16" s="418"/>
      <c r="AU16" s="418"/>
      <c r="AV16" s="418"/>
      <c r="AW16" s="418"/>
      <c r="AX16" s="418"/>
      <c r="AY16" s="418"/>
      <c r="AZ16" s="418"/>
      <c r="BA16" s="418"/>
      <c r="BB16" s="418"/>
      <c r="BC16" s="418"/>
      <c r="BD16" s="418"/>
      <c r="BE16" s="418"/>
      <c r="BF16" s="418"/>
      <c r="BG16" s="418"/>
      <c r="BH16" s="418"/>
      <c r="BI16" s="418"/>
      <c r="BJ16" s="418"/>
    </row>
    <row r="17" spans="2:62" x14ac:dyDescent="0.2">
      <c r="B17" s="177" t="s">
        <v>312</v>
      </c>
      <c r="C17" s="164"/>
      <c r="D17" s="164"/>
      <c r="E17" s="164"/>
      <c r="F17" s="164"/>
      <c r="G17" s="164"/>
      <c r="H17" s="243">
        <f>الدراسة!J59</f>
        <v>35385</v>
      </c>
      <c r="I17" s="245">
        <f>J17/H17</f>
        <v>18858.738872403559</v>
      </c>
      <c r="J17" s="244">
        <f>الدراسة!C17</f>
        <v>667316475</v>
      </c>
      <c r="L17" s="418"/>
      <c r="M17" s="418"/>
      <c r="N17" s="418"/>
      <c r="O17" s="418"/>
      <c r="P17" s="418"/>
      <c r="Q17" s="418"/>
      <c r="R17" s="418"/>
      <c r="S17" s="418"/>
      <c r="T17" s="418"/>
      <c r="U17" s="418"/>
      <c r="V17" s="418"/>
      <c r="W17" s="418"/>
      <c r="X17" s="418"/>
      <c r="Y17" s="418"/>
      <c r="Z17" s="418"/>
      <c r="AA17" s="418"/>
      <c r="AB17" s="418"/>
      <c r="AC17" s="418"/>
      <c r="AD17" s="418"/>
      <c r="AE17" s="418"/>
      <c r="AF17" s="418"/>
      <c r="AG17" s="418"/>
      <c r="AH17" s="418"/>
      <c r="AI17" s="418"/>
      <c r="AJ17" s="418"/>
      <c r="AK17" s="418"/>
      <c r="AL17" s="418"/>
      <c r="AM17" s="418"/>
      <c r="AN17" s="418"/>
      <c r="AO17" s="418"/>
      <c r="AP17" s="418"/>
      <c r="AQ17" s="418"/>
      <c r="AR17" s="418"/>
      <c r="AS17" s="418"/>
      <c r="AT17" s="418"/>
      <c r="AU17" s="418"/>
      <c r="AV17" s="418"/>
      <c r="AW17" s="418"/>
      <c r="AX17" s="418"/>
      <c r="AY17" s="418"/>
      <c r="AZ17" s="418"/>
      <c r="BA17" s="418"/>
      <c r="BB17" s="418"/>
      <c r="BC17" s="418"/>
      <c r="BD17" s="418"/>
      <c r="BE17" s="418"/>
      <c r="BF17" s="418"/>
      <c r="BG17" s="418"/>
      <c r="BH17" s="418"/>
      <c r="BI17" s="418"/>
      <c r="BJ17" s="418"/>
    </row>
    <row r="18" spans="2:62" ht="19.5" thickBot="1" x14ac:dyDescent="0.25">
      <c r="B18" s="177"/>
      <c r="C18" s="164"/>
      <c r="D18" s="164"/>
      <c r="E18" s="164"/>
      <c r="F18" s="164"/>
      <c r="G18" s="164"/>
      <c r="H18" s="131"/>
      <c r="I18" s="132"/>
      <c r="J18" s="167"/>
      <c r="L18" s="418"/>
      <c r="M18" s="418"/>
      <c r="N18" s="418"/>
      <c r="O18" s="418"/>
      <c r="P18" s="418"/>
      <c r="Q18" s="418"/>
      <c r="R18" s="418"/>
      <c r="S18" s="418"/>
      <c r="T18" s="418"/>
      <c r="U18" s="418"/>
      <c r="V18" s="418"/>
      <c r="W18" s="418"/>
      <c r="X18" s="418"/>
      <c r="Y18" s="418"/>
      <c r="Z18" s="418"/>
      <c r="AA18" s="418"/>
      <c r="AB18" s="418"/>
      <c r="AC18" s="418"/>
      <c r="AD18" s="418"/>
      <c r="AE18" s="418"/>
      <c r="AF18" s="418"/>
      <c r="AG18" s="418"/>
      <c r="AH18" s="418"/>
      <c r="AI18" s="418"/>
      <c r="AJ18" s="418"/>
      <c r="AK18" s="418"/>
      <c r="AL18" s="418"/>
      <c r="AM18" s="418"/>
      <c r="AN18" s="418"/>
      <c r="AO18" s="418"/>
      <c r="AP18" s="418"/>
      <c r="AQ18" s="418"/>
      <c r="AR18" s="418"/>
      <c r="AS18" s="418"/>
      <c r="AT18" s="418"/>
      <c r="AU18" s="418"/>
      <c r="AV18" s="418"/>
      <c r="AW18" s="418"/>
      <c r="AX18" s="418"/>
      <c r="AY18" s="418"/>
      <c r="AZ18" s="418"/>
      <c r="BA18" s="418"/>
      <c r="BB18" s="418"/>
      <c r="BC18" s="418"/>
      <c r="BD18" s="418"/>
      <c r="BE18" s="418"/>
      <c r="BF18" s="418"/>
      <c r="BG18" s="418"/>
      <c r="BH18" s="418"/>
      <c r="BI18" s="418"/>
      <c r="BJ18" s="418"/>
    </row>
    <row r="19" spans="2:62" x14ac:dyDescent="0.2">
      <c r="B19" s="565" t="s">
        <v>335</v>
      </c>
      <c r="C19" s="565"/>
      <c r="D19" s="565"/>
      <c r="E19" s="565"/>
      <c r="F19" s="565"/>
      <c r="G19" s="565"/>
      <c r="H19" s="570" t="s">
        <v>332</v>
      </c>
      <c r="I19" s="570" t="s">
        <v>330</v>
      </c>
      <c r="J19" s="570" t="s">
        <v>331</v>
      </c>
      <c r="L19" s="418"/>
      <c r="M19" s="418"/>
      <c r="N19" s="418"/>
      <c r="O19" s="418"/>
      <c r="P19" s="418"/>
      <c r="Q19" s="418"/>
      <c r="R19" s="418"/>
      <c r="S19" s="418"/>
      <c r="T19" s="418"/>
      <c r="U19" s="418"/>
      <c r="V19" s="418"/>
      <c r="W19" s="418"/>
      <c r="X19" s="418"/>
      <c r="Y19" s="418"/>
      <c r="Z19" s="418"/>
      <c r="AA19" s="418"/>
      <c r="AB19" s="418"/>
      <c r="AC19" s="418"/>
      <c r="AD19" s="418"/>
      <c r="AE19" s="418"/>
      <c r="AF19" s="418"/>
      <c r="AG19" s="418"/>
      <c r="AH19" s="418"/>
      <c r="AI19" s="418"/>
      <c r="AJ19" s="418"/>
      <c r="AK19" s="418"/>
      <c r="AL19" s="418"/>
      <c r="AM19" s="418"/>
      <c r="AN19" s="418"/>
      <c r="AO19" s="418"/>
      <c r="AP19" s="418"/>
      <c r="AQ19" s="418"/>
      <c r="AR19" s="418"/>
      <c r="AS19" s="418"/>
      <c r="AT19" s="418"/>
      <c r="AU19" s="418"/>
      <c r="AV19" s="418"/>
      <c r="AW19" s="418"/>
      <c r="AX19" s="418"/>
      <c r="AY19" s="418"/>
      <c r="AZ19" s="418"/>
      <c r="BA19" s="418"/>
      <c r="BB19" s="418"/>
      <c r="BC19" s="418"/>
      <c r="BD19" s="418"/>
      <c r="BE19" s="418"/>
      <c r="BF19" s="418"/>
      <c r="BG19" s="418"/>
      <c r="BH19" s="418"/>
      <c r="BI19" s="418"/>
      <c r="BJ19" s="418"/>
    </row>
    <row r="20" spans="2:62" x14ac:dyDescent="0.2">
      <c r="B20" s="566"/>
      <c r="C20" s="566"/>
      <c r="D20" s="566"/>
      <c r="E20" s="566"/>
      <c r="F20" s="566"/>
      <c r="G20" s="566"/>
      <c r="H20" s="571"/>
      <c r="I20" s="571"/>
      <c r="J20" s="571"/>
      <c r="L20" s="418"/>
      <c r="M20" s="418"/>
      <c r="N20" s="418"/>
      <c r="O20" s="418"/>
      <c r="P20" s="418"/>
      <c r="Q20" s="133"/>
      <c r="R20" s="418"/>
      <c r="S20" s="418"/>
      <c r="T20" s="418"/>
      <c r="U20" s="418"/>
      <c r="V20" s="418"/>
      <c r="W20" s="418"/>
      <c r="X20" s="418"/>
      <c r="Y20" s="418"/>
      <c r="Z20" s="418"/>
      <c r="AA20" s="418"/>
      <c r="AB20" s="418"/>
      <c r="AC20" s="418"/>
      <c r="AD20" s="418"/>
      <c r="AE20" s="418"/>
      <c r="AF20" s="418"/>
      <c r="AG20" s="418"/>
      <c r="AH20" s="418"/>
      <c r="AI20" s="418"/>
      <c r="AJ20" s="418"/>
      <c r="AK20" s="418"/>
      <c r="AL20" s="418"/>
      <c r="AM20" s="418"/>
      <c r="AN20" s="418"/>
      <c r="AO20" s="418"/>
      <c r="AP20" s="418"/>
      <c r="AQ20" s="418"/>
      <c r="AR20" s="418"/>
      <c r="AS20" s="418"/>
      <c r="AT20" s="418"/>
      <c r="AU20" s="418"/>
      <c r="AV20" s="418"/>
      <c r="AW20" s="418"/>
      <c r="AX20" s="418"/>
      <c r="AY20" s="418"/>
      <c r="AZ20" s="418"/>
      <c r="BA20" s="418"/>
      <c r="BB20" s="418"/>
      <c r="BC20" s="418"/>
      <c r="BD20" s="418"/>
      <c r="BE20" s="418"/>
      <c r="BF20" s="418"/>
      <c r="BG20" s="418"/>
      <c r="BH20" s="418"/>
      <c r="BI20" s="418"/>
      <c r="BJ20" s="418"/>
    </row>
    <row r="21" spans="2:62" x14ac:dyDescent="0.2">
      <c r="B21" s="566"/>
      <c r="C21" s="566"/>
      <c r="D21" s="566"/>
      <c r="E21" s="566"/>
      <c r="F21" s="566"/>
      <c r="G21" s="566"/>
      <c r="H21" s="568">
        <f>J69/H15</f>
        <v>21262.5</v>
      </c>
      <c r="I21" s="572">
        <f>((J69/J114)*J17)/H15</f>
        <v>28117.115914265512</v>
      </c>
      <c r="J21" s="572">
        <f>I21-H21</f>
        <v>6854.6159142655124</v>
      </c>
      <c r="L21" s="418"/>
      <c r="M21" s="418"/>
      <c r="N21" s="418"/>
      <c r="O21" s="418"/>
      <c r="P21" s="418"/>
      <c r="Q21" s="418"/>
      <c r="R21" s="418"/>
      <c r="S21" s="418"/>
      <c r="T21" s="418"/>
      <c r="U21" s="418"/>
      <c r="V21" s="418"/>
      <c r="W21" s="418"/>
      <c r="X21" s="418"/>
      <c r="Y21" s="418"/>
      <c r="Z21" s="418"/>
      <c r="AA21" s="418"/>
      <c r="AB21" s="418"/>
      <c r="AC21" s="418"/>
      <c r="AD21" s="418"/>
      <c r="AE21" s="418"/>
      <c r="AF21" s="418"/>
      <c r="AG21" s="418"/>
      <c r="AH21" s="418"/>
      <c r="AI21" s="418"/>
      <c r="AJ21" s="418"/>
      <c r="AK21" s="418"/>
      <c r="AL21" s="418"/>
      <c r="AM21" s="418"/>
      <c r="AN21" s="418"/>
      <c r="AO21" s="418"/>
      <c r="AP21" s="418"/>
      <c r="AQ21" s="418"/>
      <c r="AR21" s="418"/>
      <c r="AS21" s="418"/>
      <c r="AT21" s="418"/>
      <c r="AU21" s="418"/>
      <c r="AV21" s="418"/>
      <c r="AW21" s="418"/>
      <c r="AX21" s="418"/>
      <c r="AY21" s="418"/>
      <c r="AZ21" s="418"/>
      <c r="BA21" s="418"/>
      <c r="BB21" s="418"/>
      <c r="BC21" s="418"/>
      <c r="BD21" s="418"/>
      <c r="BE21" s="418"/>
      <c r="BF21" s="418"/>
      <c r="BG21" s="418"/>
      <c r="BH21" s="418"/>
      <c r="BI21" s="418"/>
      <c r="BJ21" s="418"/>
    </row>
    <row r="22" spans="2:62" ht="19.5" thickBot="1" x14ac:dyDescent="0.25">
      <c r="B22" s="567"/>
      <c r="C22" s="567"/>
      <c r="D22" s="567"/>
      <c r="E22" s="567"/>
      <c r="F22" s="567"/>
      <c r="G22" s="567"/>
      <c r="H22" s="569"/>
      <c r="I22" s="573"/>
      <c r="J22" s="573"/>
      <c r="L22" s="418"/>
      <c r="M22" s="418"/>
      <c r="N22" s="418"/>
      <c r="O22" s="418"/>
      <c r="P22" s="418"/>
      <c r="Q22" s="418"/>
      <c r="R22" s="418"/>
      <c r="S22" s="418"/>
      <c r="T22" s="418"/>
      <c r="U22" s="418"/>
      <c r="V22" s="418"/>
      <c r="W22" s="418"/>
      <c r="X22" s="418"/>
      <c r="Y22" s="418"/>
      <c r="Z22" s="418"/>
      <c r="AA22" s="418"/>
      <c r="AB22" s="418"/>
      <c r="AC22" s="418"/>
      <c r="AD22" s="418"/>
      <c r="AE22" s="418"/>
      <c r="AF22" s="418"/>
      <c r="AG22" s="418"/>
      <c r="AH22" s="418"/>
      <c r="AI22" s="418"/>
      <c r="AJ22" s="418"/>
      <c r="AK22" s="418"/>
      <c r="AL22" s="418"/>
      <c r="AM22" s="418"/>
      <c r="AN22" s="418"/>
      <c r="AO22" s="418"/>
      <c r="AP22" s="418"/>
      <c r="AQ22" s="418"/>
      <c r="AR22" s="418"/>
      <c r="AS22" s="418"/>
      <c r="AT22" s="418"/>
      <c r="AU22" s="418"/>
      <c r="AV22" s="418"/>
      <c r="AW22" s="418"/>
      <c r="AX22" s="418"/>
      <c r="AY22" s="418"/>
      <c r="AZ22" s="418"/>
      <c r="BA22" s="418"/>
      <c r="BB22" s="418"/>
      <c r="BC22" s="418"/>
      <c r="BD22" s="418"/>
      <c r="BE22" s="418"/>
      <c r="BF22" s="418"/>
      <c r="BG22" s="418"/>
      <c r="BH22" s="418"/>
      <c r="BI22" s="418"/>
      <c r="BJ22" s="418"/>
    </row>
    <row r="23" spans="2:62" x14ac:dyDescent="0.2">
      <c r="B23" s="580" t="s">
        <v>241</v>
      </c>
      <c r="C23" s="583" t="s">
        <v>320</v>
      </c>
      <c r="D23" s="583"/>
      <c r="E23" s="562" t="s">
        <v>297</v>
      </c>
      <c r="F23" s="562"/>
      <c r="G23" s="562" t="s">
        <v>298</v>
      </c>
      <c r="H23" s="562"/>
      <c r="I23" s="562" t="s">
        <v>299</v>
      </c>
      <c r="J23" s="562"/>
      <c r="L23" s="418"/>
      <c r="M23" s="418"/>
      <c r="N23" s="418"/>
      <c r="O23" s="418"/>
      <c r="P23" s="418"/>
      <c r="Q23" s="418"/>
      <c r="R23" s="418"/>
      <c r="S23" s="418"/>
      <c r="T23" s="418"/>
      <c r="U23" s="418"/>
      <c r="V23" s="418"/>
      <c r="W23" s="418"/>
      <c r="X23" s="418"/>
      <c r="Y23" s="418"/>
      <c r="Z23" s="418"/>
      <c r="AA23" s="418"/>
      <c r="AB23" s="418"/>
      <c r="AC23" s="418"/>
      <c r="AD23" s="418"/>
      <c r="AE23" s="418"/>
      <c r="AF23" s="418"/>
      <c r="AG23" s="418"/>
      <c r="AH23" s="418"/>
      <c r="AI23" s="418"/>
      <c r="AJ23" s="418"/>
      <c r="AK23" s="418"/>
      <c r="AL23" s="418"/>
      <c r="AM23" s="418"/>
      <c r="AN23" s="418"/>
      <c r="AO23" s="418"/>
      <c r="AP23" s="418"/>
      <c r="AQ23" s="418"/>
      <c r="AR23" s="418"/>
      <c r="AS23" s="418"/>
      <c r="AT23" s="418"/>
      <c r="AU23" s="418"/>
      <c r="AV23" s="418"/>
      <c r="AW23" s="418"/>
      <c r="AX23" s="418"/>
      <c r="AY23" s="418"/>
      <c r="AZ23" s="418"/>
      <c r="BA23" s="418"/>
      <c r="BB23" s="418"/>
      <c r="BC23" s="418"/>
      <c r="BD23" s="418"/>
      <c r="BE23" s="418"/>
      <c r="BF23" s="418"/>
      <c r="BG23" s="418"/>
      <c r="BH23" s="418"/>
      <c r="BI23" s="418"/>
      <c r="BJ23" s="418"/>
    </row>
    <row r="24" spans="2:62" x14ac:dyDescent="0.2">
      <c r="B24" s="581"/>
      <c r="C24" s="584"/>
      <c r="D24" s="584"/>
      <c r="E24" s="563"/>
      <c r="F24" s="563"/>
      <c r="G24" s="563"/>
      <c r="H24" s="563"/>
      <c r="I24" s="563"/>
      <c r="J24" s="563"/>
      <c r="L24" s="418"/>
      <c r="M24" s="418"/>
      <c r="N24" s="418"/>
      <c r="O24" s="418"/>
      <c r="P24" s="418"/>
      <c r="Q24" s="418"/>
      <c r="R24" s="418"/>
      <c r="S24" s="418"/>
      <c r="T24" s="418"/>
      <c r="U24" s="418"/>
      <c r="V24" s="418"/>
      <c r="W24" s="418"/>
      <c r="X24" s="418"/>
      <c r="Y24" s="418"/>
      <c r="Z24" s="418"/>
      <c r="AA24" s="418"/>
      <c r="AB24" s="418"/>
      <c r="AC24" s="418"/>
      <c r="AD24" s="418"/>
      <c r="AE24" s="418"/>
      <c r="AF24" s="418"/>
      <c r="AG24" s="418"/>
      <c r="AH24" s="418"/>
      <c r="AI24" s="418"/>
      <c r="AJ24" s="418"/>
      <c r="AK24" s="418"/>
      <c r="AL24" s="418"/>
      <c r="AM24" s="418"/>
      <c r="AN24" s="418"/>
      <c r="AO24" s="418"/>
      <c r="AP24" s="418"/>
      <c r="AQ24" s="418"/>
      <c r="AR24" s="418"/>
      <c r="AS24" s="418"/>
      <c r="AT24" s="418"/>
      <c r="AU24" s="418"/>
      <c r="AV24" s="418"/>
      <c r="AW24" s="418"/>
      <c r="AX24" s="418"/>
      <c r="AY24" s="418"/>
      <c r="AZ24" s="418"/>
      <c r="BA24" s="418"/>
      <c r="BB24" s="418"/>
      <c r="BC24" s="418"/>
      <c r="BD24" s="418"/>
      <c r="BE24" s="418"/>
      <c r="BF24" s="418"/>
      <c r="BG24" s="418"/>
      <c r="BH24" s="418"/>
      <c r="BI24" s="418"/>
      <c r="BJ24" s="418"/>
    </row>
    <row r="25" spans="2:62" x14ac:dyDescent="0.2">
      <c r="B25" s="581"/>
      <c r="C25" s="584"/>
      <c r="D25" s="584"/>
      <c r="E25" s="563"/>
      <c r="F25" s="563"/>
      <c r="G25" s="563"/>
      <c r="H25" s="563"/>
      <c r="I25" s="563"/>
      <c r="J25" s="563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Y25" s="418"/>
      <c r="Z25" s="418"/>
      <c r="AA25" s="418"/>
      <c r="AB25" s="418"/>
      <c r="AC25" s="418"/>
      <c r="AD25" s="418"/>
      <c r="AE25" s="418"/>
      <c r="AF25" s="418"/>
      <c r="AG25" s="418"/>
      <c r="AH25" s="418"/>
      <c r="AI25" s="418"/>
      <c r="AJ25" s="418"/>
      <c r="AK25" s="418"/>
      <c r="AL25" s="418"/>
      <c r="AM25" s="418"/>
      <c r="AN25" s="418"/>
      <c r="AO25" s="418"/>
      <c r="AP25" s="418"/>
      <c r="AQ25" s="418"/>
      <c r="AR25" s="418"/>
      <c r="AS25" s="418"/>
      <c r="AT25" s="418"/>
      <c r="AU25" s="418"/>
      <c r="AV25" s="418"/>
      <c r="AW25" s="418"/>
      <c r="AX25" s="418"/>
      <c r="AY25" s="418"/>
      <c r="AZ25" s="418"/>
      <c r="BA25" s="418"/>
      <c r="BB25" s="418"/>
      <c r="BC25" s="418"/>
      <c r="BD25" s="418"/>
      <c r="BE25" s="418"/>
      <c r="BF25" s="418"/>
      <c r="BG25" s="418"/>
      <c r="BH25" s="418"/>
      <c r="BI25" s="418"/>
      <c r="BJ25" s="418"/>
    </row>
    <row r="26" spans="2:62" x14ac:dyDescent="0.2">
      <c r="B26" s="581"/>
      <c r="C26" s="585">
        <f>الدراسة!C27</f>
        <v>0.14642062783241275</v>
      </c>
      <c r="D26" s="585"/>
      <c r="E26" s="585">
        <f>الدراسة!C28</f>
        <v>0.32238052506833681</v>
      </c>
      <c r="F26" s="585"/>
      <c r="G26" s="585">
        <f>الدراسة!C29</f>
        <v>0.73779482865742252</v>
      </c>
      <c r="H26" s="585"/>
      <c r="I26" s="585">
        <f>الدراسة!C30</f>
        <v>0.1948589815195074</v>
      </c>
      <c r="J26" s="585"/>
      <c r="L26" s="418"/>
      <c r="M26" s="418"/>
      <c r="N26" s="418"/>
      <c r="O26" s="418"/>
      <c r="P26" s="418"/>
      <c r="Q26" s="418"/>
      <c r="R26" s="418"/>
      <c r="S26" s="418"/>
      <c r="T26" s="418"/>
      <c r="U26" s="418"/>
      <c r="V26" s="418"/>
      <c r="W26" s="418"/>
      <c r="X26" s="418"/>
      <c r="Y26" s="418"/>
      <c r="Z26" s="418"/>
      <c r="AA26" s="418"/>
      <c r="AB26" s="418"/>
      <c r="AC26" s="418"/>
      <c r="AD26" s="418"/>
      <c r="AE26" s="418"/>
      <c r="AF26" s="418"/>
      <c r="AG26" s="418"/>
      <c r="AH26" s="418"/>
      <c r="AI26" s="418"/>
      <c r="AJ26" s="418"/>
      <c r="AK26" s="418"/>
      <c r="AL26" s="418"/>
      <c r="AM26" s="418"/>
      <c r="AN26" s="418"/>
      <c r="AO26" s="418"/>
      <c r="AP26" s="418"/>
      <c r="AQ26" s="418"/>
      <c r="AR26" s="418"/>
      <c r="AS26" s="418"/>
      <c r="AT26" s="418"/>
      <c r="AU26" s="418"/>
      <c r="AV26" s="418"/>
      <c r="AW26" s="418"/>
      <c r="AX26" s="418"/>
      <c r="AY26" s="418"/>
      <c r="AZ26" s="418"/>
      <c r="BA26" s="418"/>
      <c r="BB26" s="418"/>
      <c r="BC26" s="418"/>
      <c r="BD26" s="418"/>
      <c r="BE26" s="418"/>
      <c r="BF26" s="418"/>
      <c r="BG26" s="418"/>
      <c r="BH26" s="418"/>
      <c r="BI26" s="418"/>
      <c r="BJ26" s="418"/>
    </row>
    <row r="27" spans="2:62" x14ac:dyDescent="0.2">
      <c r="B27" s="581"/>
      <c r="C27" s="585"/>
      <c r="D27" s="585"/>
      <c r="E27" s="585"/>
      <c r="F27" s="585"/>
      <c r="G27" s="585"/>
      <c r="H27" s="585"/>
      <c r="I27" s="585"/>
      <c r="J27" s="585"/>
      <c r="L27" s="418"/>
      <c r="M27" s="418"/>
      <c r="N27" s="418"/>
      <c r="O27" s="418"/>
      <c r="P27" s="418"/>
      <c r="Q27" s="418"/>
      <c r="R27" s="418"/>
      <c r="S27" s="418"/>
      <c r="T27" s="418"/>
      <c r="U27" s="418"/>
      <c r="V27" s="418"/>
      <c r="W27" s="418"/>
      <c r="X27" s="418"/>
      <c r="Y27" s="418"/>
      <c r="Z27" s="418"/>
      <c r="AA27" s="418"/>
      <c r="AB27" s="418"/>
      <c r="AC27" s="418"/>
      <c r="AD27" s="418"/>
      <c r="AE27" s="418"/>
      <c r="AF27" s="418"/>
      <c r="AG27" s="418"/>
      <c r="AH27" s="418"/>
      <c r="AI27" s="418"/>
      <c r="AJ27" s="418"/>
      <c r="AK27" s="418"/>
      <c r="AL27" s="418"/>
      <c r="AM27" s="418"/>
      <c r="AN27" s="418"/>
      <c r="AO27" s="418"/>
      <c r="AP27" s="418"/>
      <c r="AQ27" s="418"/>
      <c r="AR27" s="418"/>
      <c r="AS27" s="418"/>
      <c r="AT27" s="418"/>
      <c r="AU27" s="418"/>
      <c r="AV27" s="418"/>
      <c r="AW27" s="418"/>
      <c r="AX27" s="418"/>
      <c r="AY27" s="418"/>
      <c r="AZ27" s="418"/>
      <c r="BA27" s="418"/>
      <c r="BB27" s="418"/>
      <c r="BC27" s="418"/>
      <c r="BD27" s="418"/>
      <c r="BE27" s="418"/>
      <c r="BF27" s="418"/>
      <c r="BG27" s="418"/>
      <c r="BH27" s="418"/>
      <c r="BI27" s="418"/>
      <c r="BJ27" s="418"/>
    </row>
    <row r="28" spans="2:62" ht="19.5" thickBot="1" x14ac:dyDescent="0.25">
      <c r="B28" s="582"/>
      <c r="C28" s="586"/>
      <c r="D28" s="586"/>
      <c r="E28" s="586"/>
      <c r="F28" s="586"/>
      <c r="G28" s="586"/>
      <c r="H28" s="586"/>
      <c r="I28" s="586"/>
      <c r="J28" s="586"/>
      <c r="L28" s="418"/>
      <c r="M28" s="418"/>
      <c r="N28" s="418"/>
      <c r="O28" s="418"/>
      <c r="P28" s="418"/>
      <c r="Q28" s="418"/>
      <c r="R28" s="418"/>
      <c r="S28" s="418"/>
      <c r="T28" s="418"/>
      <c r="U28" s="418"/>
      <c r="V28" s="418"/>
      <c r="W28" s="418"/>
      <c r="X28" s="418"/>
      <c r="Y28" s="418"/>
      <c r="Z28" s="418"/>
      <c r="AA28" s="418"/>
      <c r="AB28" s="418"/>
      <c r="AC28" s="418"/>
      <c r="AD28" s="418"/>
      <c r="AE28" s="418"/>
      <c r="AF28" s="418"/>
      <c r="AG28" s="418"/>
      <c r="AH28" s="418"/>
      <c r="AI28" s="418"/>
      <c r="AJ28" s="418"/>
      <c r="AK28" s="418"/>
      <c r="AL28" s="418"/>
      <c r="AM28" s="418"/>
      <c r="AN28" s="418"/>
      <c r="AO28" s="418"/>
      <c r="AP28" s="418"/>
      <c r="AQ28" s="418"/>
      <c r="AR28" s="418"/>
      <c r="AS28" s="418"/>
      <c r="AT28" s="418"/>
      <c r="AU28" s="418"/>
      <c r="AV28" s="418"/>
      <c r="AW28" s="418"/>
      <c r="AX28" s="418"/>
      <c r="AY28" s="418"/>
      <c r="AZ28" s="418"/>
      <c r="BA28" s="418"/>
      <c r="BB28" s="418"/>
      <c r="BC28" s="418"/>
      <c r="BD28" s="418"/>
      <c r="BE28" s="418"/>
      <c r="BF28" s="418"/>
      <c r="BG28" s="418"/>
      <c r="BH28" s="418"/>
      <c r="BI28" s="418"/>
      <c r="BJ28" s="418"/>
    </row>
    <row r="29" spans="2:62" ht="26.25" x14ac:dyDescent="0.2">
      <c r="B29" s="169"/>
      <c r="C29" s="578" t="s">
        <v>84</v>
      </c>
      <c r="D29" s="578" t="s">
        <v>83</v>
      </c>
      <c r="E29" s="170"/>
      <c r="F29" s="170"/>
      <c r="G29" s="578" t="str">
        <f>الدراسة!Q60</f>
        <v>إجمالي تكاليف كل مكون
(Total Cost per Component)</v>
      </c>
      <c r="H29" s="578" t="str">
        <f>الدراسة!T60</f>
        <v>العائد لكل م²
(Return per m²)</v>
      </c>
      <c r="I29" s="578" t="s">
        <v>91</v>
      </c>
      <c r="J29" s="576" t="s">
        <v>92</v>
      </c>
      <c r="L29" s="418"/>
      <c r="M29" s="418"/>
      <c r="N29" s="418"/>
      <c r="O29" s="418"/>
      <c r="P29" s="418"/>
      <c r="Q29" s="418"/>
      <c r="R29" s="418"/>
      <c r="S29" s="418"/>
      <c r="T29" s="418"/>
      <c r="U29" s="418"/>
      <c r="V29" s="418"/>
      <c r="W29" s="418"/>
      <c r="X29" s="418"/>
      <c r="Y29" s="418"/>
      <c r="Z29" s="418"/>
      <c r="AA29" s="418"/>
      <c r="AB29" s="418"/>
      <c r="AC29" s="418"/>
      <c r="AD29" s="418"/>
      <c r="AE29" s="418"/>
      <c r="AF29" s="418"/>
      <c r="AG29" s="418"/>
      <c r="AH29" s="418"/>
      <c r="AI29" s="418"/>
      <c r="AJ29" s="418"/>
      <c r="AK29" s="418"/>
      <c r="AL29" s="418"/>
      <c r="AM29" s="418"/>
      <c r="AN29" s="418"/>
      <c r="AO29" s="418"/>
      <c r="AP29" s="418"/>
      <c r="AQ29" s="418"/>
      <c r="AR29" s="418"/>
      <c r="AS29" s="418"/>
      <c r="AT29" s="418"/>
      <c r="AU29" s="418"/>
      <c r="AV29" s="418"/>
      <c r="AW29" s="418"/>
      <c r="AX29" s="418"/>
      <c r="AY29" s="418"/>
      <c r="AZ29" s="418"/>
      <c r="BA29" s="418"/>
      <c r="BB29" s="418"/>
      <c r="BC29" s="418"/>
      <c r="BD29" s="418"/>
      <c r="BE29" s="418"/>
      <c r="BF29" s="418"/>
      <c r="BG29" s="418"/>
      <c r="BH29" s="418"/>
      <c r="BI29" s="418"/>
      <c r="BJ29" s="418"/>
    </row>
    <row r="30" spans="2:62" ht="19.5" thickBot="1" x14ac:dyDescent="0.25">
      <c r="B30" s="235" t="s">
        <v>336</v>
      </c>
      <c r="C30" s="579"/>
      <c r="D30" s="579"/>
      <c r="E30" s="186"/>
      <c r="F30" s="186"/>
      <c r="G30" s="579"/>
      <c r="H30" s="579"/>
      <c r="I30" s="579"/>
      <c r="J30" s="577"/>
      <c r="L30" s="418"/>
      <c r="M30" s="418"/>
      <c r="N30" s="418"/>
      <c r="O30" s="418"/>
      <c r="P30" s="418"/>
      <c r="Q30" s="418"/>
      <c r="R30" s="418"/>
      <c r="S30" s="418"/>
      <c r="T30" s="418"/>
      <c r="U30" s="418"/>
      <c r="V30" s="418"/>
      <c r="W30" s="418"/>
      <c r="X30" s="418"/>
      <c r="Y30" s="418"/>
      <c r="Z30" s="418"/>
      <c r="AA30" s="418"/>
      <c r="AB30" s="418"/>
      <c r="AC30" s="418"/>
      <c r="AD30" s="418"/>
      <c r="AE30" s="418"/>
      <c r="AF30" s="418"/>
      <c r="AG30" s="418"/>
      <c r="AH30" s="418"/>
      <c r="AI30" s="418"/>
      <c r="AJ30" s="418"/>
      <c r="AK30" s="418"/>
      <c r="AL30" s="418"/>
      <c r="AM30" s="418"/>
      <c r="AN30" s="418"/>
      <c r="AO30" s="418"/>
      <c r="AP30" s="418"/>
      <c r="AQ30" s="418"/>
      <c r="AR30" s="418"/>
      <c r="AS30" s="418"/>
      <c r="AT30" s="418"/>
      <c r="AU30" s="418"/>
      <c r="AV30" s="418"/>
      <c r="AW30" s="418"/>
      <c r="AX30" s="418"/>
      <c r="AY30" s="418"/>
      <c r="AZ30" s="418"/>
      <c r="BA30" s="418"/>
      <c r="BB30" s="418"/>
      <c r="BC30" s="418"/>
      <c r="BD30" s="418"/>
      <c r="BE30" s="418"/>
      <c r="BF30" s="418"/>
      <c r="BG30" s="418"/>
      <c r="BH30" s="418"/>
      <c r="BI30" s="418"/>
      <c r="BJ30" s="418"/>
    </row>
    <row r="31" spans="2:62" x14ac:dyDescent="0.2">
      <c r="B31" s="171" t="s">
        <v>322</v>
      </c>
      <c r="C31" s="133">
        <f>الدراسة!H61</f>
        <v>200</v>
      </c>
      <c r="D31" s="133">
        <f>الدراسة!G61</f>
        <v>100.8</v>
      </c>
      <c r="E31" s="170"/>
      <c r="F31" s="170"/>
      <c r="G31" s="197">
        <f>الدراسة!Q61</f>
        <v>282940175.38161987</v>
      </c>
      <c r="H31" s="198">
        <f>الدراسة!T61</f>
        <v>14917.5</v>
      </c>
      <c r="I31" s="198">
        <f>الدراسة!U61</f>
        <v>17796624.618380129</v>
      </c>
      <c r="J31" s="286">
        <f>الدراسة!V61</f>
        <v>6.2898895833285826E-2</v>
      </c>
      <c r="L31" s="418"/>
      <c r="M31" s="418"/>
      <c r="N31" s="418"/>
      <c r="O31" s="418"/>
      <c r="P31" s="418"/>
      <c r="Q31" s="418"/>
      <c r="R31" s="418"/>
      <c r="S31" s="418"/>
      <c r="T31" s="418"/>
      <c r="U31" s="418"/>
      <c r="V31" s="418"/>
      <c r="W31" s="418"/>
      <c r="X31" s="418"/>
      <c r="Y31" s="418"/>
      <c r="Z31" s="418"/>
      <c r="AA31" s="418"/>
      <c r="AB31" s="418"/>
      <c r="AC31" s="418"/>
      <c r="AD31" s="418"/>
      <c r="AE31" s="418"/>
      <c r="AF31" s="418"/>
      <c r="AG31" s="418"/>
      <c r="AH31" s="418"/>
      <c r="AI31" s="418"/>
      <c r="AJ31" s="418"/>
      <c r="AK31" s="418"/>
      <c r="AL31" s="418"/>
      <c r="AM31" s="418"/>
      <c r="AN31" s="418"/>
      <c r="AO31" s="418"/>
      <c r="AP31" s="418"/>
      <c r="AQ31" s="418"/>
      <c r="AR31" s="418"/>
      <c r="AS31" s="418"/>
      <c r="AT31" s="418"/>
      <c r="AU31" s="418"/>
      <c r="AV31" s="418"/>
      <c r="AW31" s="418"/>
      <c r="AX31" s="418"/>
      <c r="AY31" s="418"/>
      <c r="AZ31" s="418"/>
      <c r="BA31" s="418"/>
      <c r="BB31" s="418"/>
      <c r="BC31" s="418"/>
      <c r="BD31" s="418"/>
      <c r="BE31" s="418"/>
      <c r="BF31" s="418"/>
      <c r="BG31" s="418"/>
      <c r="BH31" s="418"/>
      <c r="BI31" s="418"/>
      <c r="BJ31" s="418"/>
    </row>
    <row r="32" spans="2:62" x14ac:dyDescent="0.2">
      <c r="B32" s="203" t="s">
        <v>334</v>
      </c>
      <c r="C32" s="133">
        <f>الدراسة!H66</f>
        <v>17</v>
      </c>
      <c r="D32" s="133">
        <f>الدراسة!G66</f>
        <v>555.88235294117646</v>
      </c>
      <c r="E32" s="170"/>
      <c r="F32" s="170"/>
      <c r="G32" s="197">
        <f>الدراسة!Q66</f>
        <v>140564724.79004595</v>
      </c>
      <c r="H32" s="198">
        <f>الدراسة!T66</f>
        <v>23760</v>
      </c>
      <c r="I32" s="198">
        <f>الدراسة!U66</f>
        <v>83967275.209954053</v>
      </c>
      <c r="J32" s="286">
        <f>الدراسة!V66</f>
        <v>0.59735666494827566</v>
      </c>
      <c r="L32" s="418"/>
      <c r="M32" s="418"/>
      <c r="N32" s="418"/>
      <c r="O32" s="418"/>
      <c r="P32" s="418"/>
      <c r="Q32" s="418"/>
      <c r="R32" s="418"/>
      <c r="S32" s="418"/>
      <c r="T32" s="418"/>
      <c r="U32" s="418"/>
      <c r="V32" s="418"/>
      <c r="W32" s="418"/>
      <c r="X32" s="418"/>
      <c r="Y32" s="418"/>
      <c r="Z32" s="418"/>
      <c r="AA32" s="418"/>
      <c r="AB32" s="418"/>
      <c r="AC32" s="418"/>
      <c r="AD32" s="418"/>
      <c r="AE32" s="418"/>
      <c r="AF32" s="418"/>
      <c r="AG32" s="418"/>
      <c r="AH32" s="418"/>
      <c r="AI32" s="418"/>
      <c r="AJ32" s="418"/>
      <c r="AK32" s="418"/>
      <c r="AL32" s="418"/>
      <c r="AM32" s="418"/>
      <c r="AN32" s="418"/>
      <c r="AO32" s="418"/>
      <c r="AP32" s="418"/>
      <c r="AQ32" s="418"/>
      <c r="AR32" s="418"/>
      <c r="AS32" s="418"/>
      <c r="AT32" s="418"/>
      <c r="AU32" s="418"/>
      <c r="AV32" s="418"/>
      <c r="AW32" s="418"/>
      <c r="AX32" s="418"/>
      <c r="AY32" s="418"/>
      <c r="AZ32" s="418"/>
      <c r="BA32" s="418"/>
      <c r="BB32" s="418"/>
      <c r="BC32" s="418"/>
      <c r="BD32" s="418"/>
      <c r="BE32" s="418"/>
      <c r="BF32" s="418"/>
      <c r="BG32" s="418"/>
      <c r="BH32" s="418"/>
      <c r="BI32" s="418"/>
      <c r="BJ32" s="418"/>
    </row>
    <row r="33" spans="2:62" x14ac:dyDescent="0.2">
      <c r="B33" s="177" t="s">
        <v>313</v>
      </c>
      <c r="C33" s="133">
        <f>الدراسة!H67</f>
        <v>21</v>
      </c>
      <c r="D33" s="133">
        <f>الدراسة!G67</f>
        <v>190</v>
      </c>
      <c r="E33" s="170"/>
      <c r="F33" s="170"/>
      <c r="G33" s="197">
        <f>الدراسة!Q67</f>
        <v>52464566.966592982</v>
      </c>
      <c r="H33" s="198">
        <f>الدراسة!T67</f>
        <v>23220</v>
      </c>
      <c r="I33" s="198">
        <f>الدراسة!U67</f>
        <v>40183233.033407018</v>
      </c>
      <c r="J33" s="286">
        <f>الدراسة!V67</f>
        <v>0.76591184025199044</v>
      </c>
      <c r="L33" s="418"/>
      <c r="M33" s="418"/>
      <c r="N33" s="418"/>
      <c r="O33" s="418"/>
      <c r="P33" s="418"/>
      <c r="Q33" s="418"/>
      <c r="R33" s="418"/>
      <c r="S33" s="418"/>
      <c r="T33" s="418"/>
      <c r="U33" s="418"/>
      <c r="V33" s="418"/>
      <c r="W33" s="418"/>
      <c r="X33" s="418"/>
      <c r="Y33" s="418"/>
      <c r="Z33" s="418"/>
      <c r="AA33" s="418"/>
      <c r="AB33" s="418"/>
      <c r="AC33" s="418"/>
      <c r="AD33" s="418"/>
      <c r="AE33" s="418"/>
      <c r="AF33" s="418"/>
      <c r="AG33" s="418"/>
      <c r="AH33" s="418"/>
      <c r="AI33" s="418"/>
      <c r="AJ33" s="418"/>
      <c r="AK33" s="418"/>
      <c r="AL33" s="418"/>
      <c r="AM33" s="418"/>
      <c r="AN33" s="418"/>
      <c r="AO33" s="418"/>
      <c r="AP33" s="418"/>
      <c r="AQ33" s="418"/>
      <c r="AR33" s="418"/>
      <c r="AS33" s="418"/>
      <c r="AT33" s="418"/>
      <c r="AU33" s="418"/>
      <c r="AV33" s="418"/>
      <c r="AW33" s="418"/>
      <c r="AX33" s="418"/>
      <c r="AY33" s="418"/>
      <c r="AZ33" s="418"/>
      <c r="BA33" s="418"/>
      <c r="BB33" s="418"/>
      <c r="BC33" s="418"/>
      <c r="BD33" s="418"/>
      <c r="BE33" s="418"/>
      <c r="BF33" s="418"/>
      <c r="BG33" s="418"/>
      <c r="BH33" s="418"/>
      <c r="BI33" s="418"/>
      <c r="BJ33" s="418"/>
    </row>
    <row r="34" spans="2:62" x14ac:dyDescent="0.2">
      <c r="B34" s="177" t="s">
        <v>314</v>
      </c>
      <c r="C34" s="133">
        <f>الدراسة!H69</f>
        <v>2</v>
      </c>
      <c r="D34" s="133">
        <f>الدراسة!G69</f>
        <v>892.5</v>
      </c>
      <c r="E34" s="170"/>
      <c r="F34" s="170"/>
      <c r="G34" s="197">
        <f>الدراسة!Q69</f>
        <v>28728535.96991523</v>
      </c>
      <c r="H34" s="198">
        <f>الدراسة!T69</f>
        <v>27675</v>
      </c>
      <c r="I34" s="198">
        <f>الدراسة!U69</f>
        <v>20671339.03008477</v>
      </c>
      <c r="J34" s="286">
        <f>الدراسة!V69</f>
        <v>0.71954028745954801</v>
      </c>
      <c r="L34" s="418"/>
      <c r="M34" s="418"/>
      <c r="N34" s="418"/>
      <c r="O34" s="418"/>
      <c r="P34" s="418"/>
      <c r="Q34" s="418"/>
      <c r="R34" s="418"/>
      <c r="S34" s="418"/>
      <c r="T34" s="418"/>
      <c r="U34" s="418"/>
      <c r="V34" s="418"/>
      <c r="W34" s="418"/>
      <c r="X34" s="418"/>
      <c r="Y34" s="418"/>
      <c r="Z34" s="418"/>
      <c r="AA34" s="418"/>
      <c r="AB34" s="418"/>
      <c r="AC34" s="418"/>
      <c r="AD34" s="418"/>
      <c r="AE34" s="418"/>
      <c r="AF34" s="418"/>
      <c r="AG34" s="418"/>
      <c r="AH34" s="418"/>
      <c r="AI34" s="418"/>
      <c r="AJ34" s="418"/>
      <c r="AK34" s="418"/>
      <c r="AL34" s="418"/>
      <c r="AM34" s="418"/>
      <c r="AN34" s="418"/>
      <c r="AO34" s="418"/>
      <c r="AP34" s="418"/>
      <c r="AQ34" s="418"/>
      <c r="AR34" s="418"/>
      <c r="AS34" s="418"/>
      <c r="AT34" s="418"/>
      <c r="AU34" s="418"/>
      <c r="AV34" s="418"/>
      <c r="AW34" s="418"/>
      <c r="AX34" s="418"/>
      <c r="AY34" s="418"/>
      <c r="AZ34" s="418"/>
      <c r="BA34" s="418"/>
      <c r="BB34" s="418"/>
      <c r="BC34" s="418"/>
      <c r="BD34" s="418"/>
      <c r="BE34" s="418"/>
      <c r="BF34" s="418"/>
      <c r="BG34" s="418"/>
      <c r="BH34" s="418"/>
      <c r="BI34" s="418"/>
      <c r="BJ34" s="418"/>
    </row>
    <row r="35" spans="2:62" ht="26.25" x14ac:dyDescent="0.2">
      <c r="B35" s="169"/>
      <c r="C35" s="133"/>
      <c r="D35" s="133"/>
      <c r="E35" s="170"/>
      <c r="F35" s="170"/>
      <c r="G35" s="170"/>
      <c r="H35" s="133"/>
      <c r="I35" s="170"/>
      <c r="J35" s="170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Y35" s="418"/>
      <c r="Z35" s="418"/>
      <c r="AA35" s="418"/>
      <c r="AB35" s="418"/>
      <c r="AC35" s="418"/>
      <c r="AD35" s="418"/>
      <c r="AE35" s="418"/>
      <c r="AF35" s="418"/>
      <c r="AG35" s="418"/>
      <c r="AH35" s="418"/>
      <c r="AI35" s="418"/>
      <c r="AJ35" s="418"/>
      <c r="AK35" s="418"/>
      <c r="AL35" s="418"/>
      <c r="AM35" s="418"/>
      <c r="AN35" s="418"/>
      <c r="AO35" s="418"/>
      <c r="AP35" s="418"/>
      <c r="AQ35" s="418"/>
      <c r="AR35" s="418"/>
      <c r="AS35" s="418"/>
      <c r="AT35" s="418"/>
      <c r="AU35" s="418"/>
      <c r="AV35" s="418"/>
      <c r="AW35" s="418"/>
      <c r="AX35" s="418"/>
      <c r="AY35" s="418"/>
      <c r="AZ35" s="418"/>
      <c r="BA35" s="418"/>
      <c r="BB35" s="418"/>
      <c r="BC35" s="418"/>
      <c r="BD35" s="418"/>
      <c r="BE35" s="418"/>
      <c r="BF35" s="418"/>
      <c r="BG35" s="418"/>
      <c r="BH35" s="418"/>
      <c r="BI35" s="418"/>
      <c r="BJ35" s="418"/>
    </row>
    <row r="36" spans="2:62" ht="19.5" thickBot="1" x14ac:dyDescent="0.25">
      <c r="B36" s="186"/>
      <c r="C36" s="133"/>
      <c r="D36" s="133"/>
      <c r="E36" s="186"/>
      <c r="F36" s="186"/>
      <c r="G36" s="186"/>
      <c r="H36" s="186"/>
      <c r="I36" s="186"/>
      <c r="J36" s="186"/>
      <c r="L36" s="418"/>
      <c r="M36" s="418"/>
      <c r="N36" s="418"/>
      <c r="O36" s="418"/>
      <c r="P36" s="418"/>
      <c r="Q36" s="418"/>
      <c r="R36" s="418"/>
      <c r="S36" s="418"/>
      <c r="T36" s="418"/>
      <c r="U36" s="418"/>
      <c r="V36" s="418"/>
      <c r="W36" s="418"/>
      <c r="X36" s="418"/>
      <c r="Y36" s="418"/>
      <c r="Z36" s="418"/>
      <c r="AA36" s="418"/>
      <c r="AB36" s="418"/>
      <c r="AC36" s="418"/>
      <c r="AD36" s="418"/>
      <c r="AE36" s="418"/>
      <c r="AF36" s="418"/>
      <c r="AG36" s="418"/>
      <c r="AH36" s="418"/>
      <c r="AI36" s="418"/>
      <c r="AJ36" s="418"/>
      <c r="AK36" s="418"/>
      <c r="AL36" s="418"/>
      <c r="AM36" s="418"/>
      <c r="AN36" s="418"/>
      <c r="AO36" s="418"/>
      <c r="AP36" s="418"/>
      <c r="AQ36" s="418"/>
      <c r="AR36" s="418"/>
      <c r="AS36" s="418"/>
      <c r="AT36" s="418"/>
      <c r="AU36" s="418"/>
      <c r="AV36" s="418"/>
      <c r="AW36" s="418"/>
      <c r="AX36" s="418"/>
      <c r="AY36" s="418"/>
      <c r="AZ36" s="418"/>
      <c r="BA36" s="418"/>
      <c r="BB36" s="418"/>
      <c r="BC36" s="418"/>
      <c r="BD36" s="418"/>
      <c r="BE36" s="418"/>
      <c r="BF36" s="418"/>
      <c r="BG36" s="418"/>
      <c r="BH36" s="418"/>
      <c r="BI36" s="418"/>
      <c r="BJ36" s="418"/>
    </row>
    <row r="37" spans="2:62" x14ac:dyDescent="0.2">
      <c r="B37" s="173" t="s">
        <v>187</v>
      </c>
      <c r="C37" s="168">
        <v>1</v>
      </c>
      <c r="D37" s="168">
        <v>2</v>
      </c>
      <c r="E37" s="168">
        <v>3</v>
      </c>
      <c r="F37" s="168">
        <v>4</v>
      </c>
      <c r="G37" s="168"/>
      <c r="H37" s="168"/>
      <c r="I37" s="575">
        <f>الدراسة!D120</f>
        <v>3.7863013698630135</v>
      </c>
      <c r="J37" s="575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Y37" s="418"/>
      <c r="Z37" s="418"/>
      <c r="AA37" s="418"/>
      <c r="AB37" s="418"/>
      <c r="AC37" s="418"/>
      <c r="AD37" s="418"/>
      <c r="AE37" s="418"/>
      <c r="AF37" s="418"/>
      <c r="AG37" s="418"/>
      <c r="AH37" s="418"/>
      <c r="AI37" s="418"/>
      <c r="AJ37" s="418"/>
      <c r="AK37" s="418"/>
      <c r="AL37" s="418"/>
      <c r="AM37" s="418"/>
      <c r="AN37" s="418"/>
      <c r="AO37" s="418"/>
      <c r="AP37" s="418"/>
      <c r="AQ37" s="418"/>
      <c r="AR37" s="418"/>
      <c r="AS37" s="418"/>
      <c r="AT37" s="418"/>
      <c r="AU37" s="418"/>
      <c r="AV37" s="418"/>
      <c r="AW37" s="418"/>
      <c r="AX37" s="418"/>
      <c r="AY37" s="418"/>
      <c r="AZ37" s="418"/>
      <c r="BA37" s="418"/>
      <c r="BB37" s="418"/>
      <c r="BC37" s="418"/>
      <c r="BD37" s="418"/>
      <c r="BE37" s="418"/>
      <c r="BF37" s="418"/>
      <c r="BG37" s="418"/>
      <c r="BH37" s="418"/>
      <c r="BI37" s="418"/>
      <c r="BJ37" s="418"/>
    </row>
    <row r="38" spans="2:62" ht="33.75" customHeight="1" x14ac:dyDescent="0.2">
      <c r="B38" s="434" t="s">
        <v>301</v>
      </c>
      <c r="C38" s="437">
        <f>SUM(الدراسة!F195:I208)</f>
        <v>-12153960</v>
      </c>
      <c r="D38" s="437">
        <f>SUM(الدراسة!J195:M208)</f>
        <v>-4250880</v>
      </c>
      <c r="E38" s="437">
        <f>SUM(الدراسة!N195:Q208)</f>
        <v>-9601994.6000000015</v>
      </c>
      <c r="F38" s="437">
        <f>SUM(الدراسة!R195:U208)</f>
        <v>-2570677.2999999998</v>
      </c>
      <c r="G38" s="438">
        <f>SUM(الدراسة!V195:Y208)</f>
        <v>0</v>
      </c>
      <c r="H38" s="435">
        <f>SUM(الدراسة!Z195:AC208)</f>
        <v>0</v>
      </c>
      <c r="I38" s="436"/>
      <c r="J38" s="436"/>
      <c r="L38" s="418"/>
      <c r="M38" s="418"/>
      <c r="N38" s="418"/>
      <c r="O38" s="418"/>
      <c r="P38" s="418"/>
      <c r="Q38" s="418"/>
      <c r="R38" s="418"/>
      <c r="S38" s="418"/>
      <c r="T38" s="418"/>
      <c r="U38" s="418"/>
      <c r="V38" s="418"/>
      <c r="W38" s="418"/>
      <c r="X38" s="418"/>
      <c r="Y38" s="418"/>
      <c r="Z38" s="418"/>
      <c r="AA38" s="418"/>
      <c r="AB38" s="418"/>
      <c r="AC38" s="418"/>
      <c r="AD38" s="418"/>
      <c r="AE38" s="418"/>
      <c r="AF38" s="418"/>
      <c r="AG38" s="418"/>
      <c r="AH38" s="418"/>
      <c r="AI38" s="418"/>
      <c r="AJ38" s="418"/>
      <c r="AK38" s="418"/>
      <c r="AL38" s="418"/>
      <c r="AM38" s="418"/>
      <c r="AN38" s="418"/>
      <c r="AO38" s="418"/>
      <c r="AP38" s="418"/>
      <c r="AQ38" s="418"/>
      <c r="AR38" s="418"/>
      <c r="AS38" s="418"/>
      <c r="AT38" s="418"/>
      <c r="AU38" s="418"/>
      <c r="AV38" s="418"/>
      <c r="AW38" s="418"/>
      <c r="AX38" s="418"/>
      <c r="AY38" s="418"/>
      <c r="AZ38" s="418"/>
      <c r="BA38" s="418"/>
      <c r="BB38" s="418"/>
      <c r="BC38" s="418"/>
      <c r="BD38" s="418"/>
      <c r="BE38" s="418"/>
      <c r="BF38" s="418"/>
      <c r="BG38" s="418"/>
      <c r="BH38" s="418"/>
      <c r="BI38" s="418"/>
      <c r="BJ38" s="418"/>
    </row>
    <row r="39" spans="2:62" ht="33.75" customHeight="1" x14ac:dyDescent="0.2">
      <c r="B39" s="434" t="s">
        <v>302</v>
      </c>
      <c r="C39" s="439">
        <f>SUM(الدراسة!F194:I194)</f>
        <v>-27216000</v>
      </c>
      <c r="D39" s="439">
        <f>SUM(الدراسة!J194:M194)</f>
        <v>-72576000</v>
      </c>
      <c r="E39" s="439">
        <f>SUM(الدراسة!N194:Q194)</f>
        <v>-81648000</v>
      </c>
      <c r="F39" s="439">
        <f>SUM(الدراسة!R194:U194)</f>
        <v>0</v>
      </c>
      <c r="G39" s="440">
        <f>SUM(الدراسة!V194:Y194)</f>
        <v>0</v>
      </c>
      <c r="H39" s="436">
        <f>SUM(الدراسة!Z194:AC194)</f>
        <v>0</v>
      </c>
      <c r="I39" s="436"/>
      <c r="J39" s="436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Y39" s="418"/>
      <c r="Z39" s="418"/>
      <c r="AA39" s="418"/>
      <c r="AB39" s="418"/>
      <c r="AC39" s="418"/>
      <c r="AD39" s="418"/>
      <c r="AE39" s="418"/>
      <c r="AF39" s="418"/>
      <c r="AG39" s="418"/>
      <c r="AH39" s="418"/>
      <c r="AI39" s="418"/>
      <c r="AJ39" s="418"/>
      <c r="AK39" s="418"/>
      <c r="AL39" s="418"/>
      <c r="AM39" s="418"/>
      <c r="AN39" s="418"/>
      <c r="AO39" s="418"/>
      <c r="AP39" s="418"/>
      <c r="AQ39" s="418"/>
      <c r="AR39" s="418"/>
      <c r="AS39" s="418"/>
      <c r="AT39" s="418"/>
      <c r="AU39" s="418"/>
      <c r="AV39" s="418"/>
      <c r="AW39" s="418"/>
      <c r="AX39" s="418"/>
      <c r="AY39" s="418"/>
      <c r="AZ39" s="418"/>
      <c r="BA39" s="418"/>
      <c r="BB39" s="418"/>
      <c r="BC39" s="418"/>
      <c r="BD39" s="418"/>
      <c r="BE39" s="418"/>
      <c r="BF39" s="418"/>
      <c r="BG39" s="418"/>
      <c r="BH39" s="418"/>
      <c r="BI39" s="418"/>
      <c r="BJ39" s="418"/>
    </row>
    <row r="40" spans="2:62" ht="33.75" customHeight="1" x14ac:dyDescent="0.2">
      <c r="B40" s="434" t="s">
        <v>303</v>
      </c>
      <c r="C40" s="439">
        <f>SUM(الدراسة!F183:I185)</f>
        <v>0</v>
      </c>
      <c r="D40" s="439">
        <f>SUM(الدراسة!J183:M185)</f>
        <v>0</v>
      </c>
      <c r="E40" s="439">
        <f>SUM(الدراسة!N183:Q185)</f>
        <v>9886170</v>
      </c>
      <c r="F40" s="439">
        <f>SUM(الدراسة!R183:U185)</f>
        <v>39544680</v>
      </c>
      <c r="G40" s="440">
        <f>SUM(الدراسة!V183:Y185)</f>
        <v>0</v>
      </c>
      <c r="H40" s="436">
        <f>SUM(الدراسة!Z183:AC185)</f>
        <v>0</v>
      </c>
      <c r="I40" s="436"/>
      <c r="J40" s="436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Y40" s="418"/>
      <c r="Z40" s="418"/>
      <c r="AA40" s="418"/>
      <c r="AB40" s="418"/>
      <c r="AC40" s="418"/>
      <c r="AD40" s="418"/>
      <c r="AE40" s="418"/>
      <c r="AF40" s="418"/>
      <c r="AG40" s="418"/>
      <c r="AH40" s="418"/>
      <c r="AI40" s="418"/>
      <c r="AJ40" s="418"/>
      <c r="AK40" s="418"/>
      <c r="AL40" s="418"/>
      <c r="AM40" s="418"/>
      <c r="AN40" s="418"/>
      <c r="AO40" s="418"/>
      <c r="AP40" s="418"/>
      <c r="AQ40" s="418"/>
      <c r="AR40" s="418"/>
      <c r="AS40" s="418"/>
      <c r="AT40" s="418"/>
      <c r="AU40" s="418"/>
      <c r="AV40" s="418"/>
      <c r="AW40" s="418"/>
      <c r="AX40" s="418"/>
      <c r="AY40" s="418"/>
      <c r="AZ40" s="418"/>
      <c r="BA40" s="418"/>
      <c r="BB40" s="418"/>
      <c r="BC40" s="418"/>
      <c r="BD40" s="418"/>
      <c r="BE40" s="418"/>
      <c r="BF40" s="418"/>
      <c r="BG40" s="418"/>
      <c r="BH40" s="418"/>
      <c r="BI40" s="418"/>
      <c r="BJ40" s="418"/>
    </row>
    <row r="41" spans="2:62" x14ac:dyDescent="0.2">
      <c r="B41" s="177"/>
      <c r="C41" s="174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Y41" s="418"/>
      <c r="Z41" s="418"/>
      <c r="AA41" s="418"/>
      <c r="AB41" s="418"/>
      <c r="AC41" s="418"/>
      <c r="AD41" s="418"/>
      <c r="AE41" s="418"/>
      <c r="AF41" s="418"/>
      <c r="AG41" s="418"/>
      <c r="AH41" s="418"/>
      <c r="AI41" s="418"/>
      <c r="AJ41" s="418"/>
      <c r="AK41" s="418"/>
      <c r="AL41" s="418"/>
      <c r="AM41" s="418"/>
      <c r="AN41" s="418"/>
      <c r="AO41" s="418"/>
      <c r="AQ41" s="418"/>
      <c r="AR41" s="418"/>
      <c r="AS41" s="418"/>
      <c r="AT41" s="418"/>
      <c r="AU41" s="418"/>
      <c r="AV41" s="418"/>
      <c r="AW41" s="418"/>
      <c r="AX41" s="418"/>
      <c r="AY41" s="418"/>
      <c r="AZ41" s="418"/>
      <c r="BA41" s="418"/>
      <c r="BB41" s="418"/>
      <c r="BC41" s="418"/>
      <c r="BD41" s="418"/>
      <c r="BE41" s="418"/>
      <c r="BF41" s="418"/>
      <c r="BG41" s="418"/>
      <c r="BH41" s="418"/>
      <c r="BI41" s="418"/>
      <c r="BJ41" s="418"/>
    </row>
    <row r="42" spans="2:62" x14ac:dyDescent="0.2">
      <c r="B42" s="177"/>
      <c r="C42" s="174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Y42" s="418"/>
      <c r="Z42" s="418"/>
      <c r="AA42" s="418"/>
      <c r="AB42" s="418"/>
      <c r="AC42" s="418"/>
      <c r="AD42" s="418"/>
      <c r="AE42" s="418"/>
      <c r="AF42" s="418"/>
      <c r="AG42" s="418"/>
      <c r="AH42" s="418"/>
      <c r="AI42" s="418"/>
      <c r="AJ42" s="418"/>
      <c r="AK42" s="418"/>
      <c r="AL42" s="418"/>
      <c r="AM42" s="418"/>
      <c r="AN42" s="418"/>
      <c r="AO42" s="418"/>
      <c r="AQ42" s="418"/>
      <c r="AR42" s="418"/>
      <c r="AS42" s="418"/>
      <c r="AT42" s="418"/>
      <c r="AU42" s="418"/>
      <c r="AV42" s="418"/>
      <c r="AW42" s="418"/>
      <c r="AX42" s="418"/>
      <c r="AY42" s="418"/>
      <c r="AZ42" s="418"/>
      <c r="BA42" s="418"/>
      <c r="BB42" s="418"/>
      <c r="BC42" s="418"/>
      <c r="BD42" s="418"/>
      <c r="BE42" s="418"/>
      <c r="BF42" s="418"/>
      <c r="BG42" s="418"/>
      <c r="BH42" s="418"/>
      <c r="BI42" s="418"/>
      <c r="BJ42" s="418"/>
    </row>
    <row r="43" spans="2:62" ht="19.5" thickBot="1" x14ac:dyDescent="0.25">
      <c r="B43" s="186" t="s">
        <v>292</v>
      </c>
      <c r="C43" s="175"/>
      <c r="D43" s="175"/>
      <c r="E43" s="175"/>
      <c r="F43" s="175"/>
      <c r="G43" s="205"/>
      <c r="H43" s="175"/>
      <c r="I43" s="175" t="s">
        <v>23</v>
      </c>
      <c r="J43" s="175" t="s">
        <v>285</v>
      </c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Y43" s="418"/>
      <c r="Z43" s="418"/>
      <c r="AA43" s="418"/>
      <c r="AB43" s="418"/>
      <c r="AC43" s="418"/>
      <c r="AD43" s="418"/>
      <c r="AE43" s="418"/>
      <c r="AF43" s="418"/>
      <c r="AG43" s="418"/>
      <c r="AH43" s="418"/>
      <c r="AI43" s="418"/>
      <c r="AJ43" s="418"/>
      <c r="AK43" s="418"/>
      <c r="AL43" s="418"/>
      <c r="AM43" s="418"/>
      <c r="AN43" s="418"/>
      <c r="AO43" s="418"/>
      <c r="AQ43" s="418"/>
      <c r="AR43" s="418"/>
      <c r="AS43" s="418"/>
      <c r="AT43" s="418"/>
      <c r="AU43" s="418"/>
      <c r="AV43" s="418"/>
      <c r="AW43" s="418"/>
      <c r="AX43" s="418"/>
      <c r="AY43" s="418"/>
      <c r="AZ43" s="418"/>
      <c r="BA43" s="418"/>
      <c r="BB43" s="418"/>
      <c r="BC43" s="418"/>
      <c r="BD43" s="418"/>
      <c r="BE43" s="418"/>
      <c r="BF43" s="418"/>
      <c r="BG43" s="418"/>
      <c r="BH43" s="418"/>
      <c r="BI43" s="418"/>
      <c r="BJ43" s="418"/>
    </row>
    <row r="44" spans="2:62" x14ac:dyDescent="0.2">
      <c r="B44" s="176" t="s">
        <v>269</v>
      </c>
      <c r="F44" s="226"/>
      <c r="G44" s="202"/>
      <c r="I44" s="172">
        <f>J44/$J$47</f>
        <v>0.43695145661969198</v>
      </c>
      <c r="J44" s="133">
        <f>الدراسة!G23</f>
        <v>220500000</v>
      </c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Y44" s="418"/>
      <c r="Z44" s="418"/>
      <c r="AA44" s="418"/>
      <c r="AB44" s="419"/>
      <c r="AC44" s="419"/>
      <c r="AD44" s="419"/>
      <c r="AE44" s="419"/>
      <c r="AF44" s="419"/>
      <c r="AG44" s="419"/>
      <c r="AH44" s="419"/>
      <c r="AI44" s="419"/>
      <c r="AJ44" s="419"/>
      <c r="AK44" s="419"/>
      <c r="AL44" s="419"/>
      <c r="AM44" s="419"/>
      <c r="AN44" s="419"/>
      <c r="AO44" s="419"/>
      <c r="AP44" s="419"/>
      <c r="AQ44" s="419"/>
      <c r="AR44" s="419"/>
      <c r="AS44" s="419"/>
      <c r="AT44" s="419"/>
      <c r="AU44" s="419"/>
      <c r="AV44" s="419"/>
      <c r="AW44" s="419"/>
      <c r="AX44" s="419"/>
      <c r="AY44" s="419"/>
      <c r="AZ44" s="418"/>
      <c r="BA44" s="418"/>
      <c r="BB44" s="418"/>
      <c r="BC44" s="418"/>
      <c r="BD44" s="418"/>
      <c r="BE44" s="418"/>
      <c r="BF44" s="418"/>
      <c r="BG44" s="418"/>
      <c r="BH44" s="418"/>
      <c r="BI44" s="418"/>
      <c r="BJ44" s="418"/>
    </row>
    <row r="45" spans="2:62" x14ac:dyDescent="0.2">
      <c r="B45" s="177" t="s">
        <v>266</v>
      </c>
      <c r="F45" s="226"/>
      <c r="G45" s="202"/>
      <c r="H45" s="164"/>
      <c r="I45" s="172">
        <f>J45/$J$47</f>
        <v>0.51383905987068534</v>
      </c>
      <c r="J45" s="133">
        <f>الدراسة!G26</f>
        <v>259300000</v>
      </c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Y45" s="418"/>
      <c r="Z45" s="418"/>
      <c r="AA45" s="418"/>
      <c r="AB45" s="418"/>
      <c r="AC45" s="418"/>
      <c r="AD45" s="418"/>
      <c r="AE45" s="418"/>
      <c r="AF45" s="418"/>
      <c r="AG45" s="418"/>
      <c r="AH45" s="418"/>
      <c r="AI45" s="418"/>
      <c r="AJ45" s="418"/>
      <c r="AK45" s="418"/>
      <c r="AL45" s="418"/>
      <c r="AM45" s="418"/>
      <c r="AN45" s="418"/>
      <c r="AO45" s="418"/>
      <c r="AP45" s="418"/>
      <c r="AQ45" s="418"/>
      <c r="AR45" s="418"/>
      <c r="AS45" s="418"/>
      <c r="AT45" s="418"/>
      <c r="AU45" s="418"/>
      <c r="AV45" s="418"/>
      <c r="AW45" s="418"/>
      <c r="AX45" s="418"/>
      <c r="AY45" s="418"/>
      <c r="AZ45" s="418"/>
      <c r="BA45" s="418"/>
      <c r="BB45" s="418"/>
      <c r="BC45" s="418"/>
      <c r="BD45" s="418"/>
      <c r="BE45" s="418"/>
      <c r="BF45" s="418"/>
      <c r="BG45" s="418"/>
      <c r="BH45" s="418"/>
      <c r="BI45" s="418"/>
      <c r="BJ45" s="418"/>
    </row>
    <row r="46" spans="2:62" ht="19.5" thickBot="1" x14ac:dyDescent="0.25">
      <c r="B46" s="177" t="s">
        <v>270</v>
      </c>
      <c r="C46" s="164"/>
      <c r="D46" s="164"/>
      <c r="E46" s="164"/>
      <c r="F46" s="164"/>
      <c r="G46" s="178"/>
      <c r="H46" s="178"/>
      <c r="I46" s="172">
        <f>J46/$J$47</f>
        <v>4.9209483509622613E-2</v>
      </c>
      <c r="J46" s="133">
        <f>الدراسة!G30</f>
        <v>24832715.28103834</v>
      </c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Y46" s="418"/>
      <c r="Z46" s="418"/>
      <c r="AA46" s="418"/>
      <c r="AB46" s="418"/>
      <c r="AC46" s="418"/>
      <c r="AD46" s="418"/>
      <c r="AE46" s="418"/>
      <c r="AF46" s="418"/>
      <c r="AG46" s="418"/>
      <c r="AH46" s="418"/>
      <c r="AI46" s="418"/>
      <c r="AJ46" s="418"/>
      <c r="AK46" s="418"/>
      <c r="AL46" s="418"/>
      <c r="AM46" s="418"/>
      <c r="AN46" s="418"/>
      <c r="AO46" s="418"/>
      <c r="AP46" s="418"/>
      <c r="AQ46" s="418"/>
      <c r="AR46" s="418"/>
      <c r="AS46" s="418"/>
      <c r="AT46" s="418"/>
      <c r="AU46" s="418"/>
      <c r="AV46" s="418"/>
      <c r="AW46" s="418"/>
      <c r="AX46" s="418"/>
      <c r="AY46" s="418"/>
      <c r="AZ46" s="418"/>
      <c r="BA46" s="418"/>
      <c r="BB46" s="418"/>
      <c r="BC46" s="418"/>
      <c r="BD46" s="418"/>
      <c r="BE46" s="418"/>
      <c r="BF46" s="418"/>
      <c r="BG46" s="418"/>
      <c r="BH46" s="418"/>
      <c r="BI46" s="418"/>
      <c r="BJ46" s="418"/>
    </row>
    <row r="47" spans="2:62" x14ac:dyDescent="0.2">
      <c r="B47" s="194" t="s">
        <v>286</v>
      </c>
      <c r="C47" s="179"/>
      <c r="D47" s="179"/>
      <c r="E47" s="179"/>
      <c r="F47" s="179"/>
      <c r="G47" s="206"/>
      <c r="H47" s="206"/>
      <c r="I47" s="180">
        <f>SUM(I44:I46)</f>
        <v>1</v>
      </c>
      <c r="J47" s="181">
        <f>SUM(J44:J46)</f>
        <v>504632715.28103834</v>
      </c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Y47" s="418"/>
      <c r="Z47" s="418"/>
      <c r="AA47" s="418"/>
      <c r="AB47" s="418"/>
      <c r="AC47" s="418"/>
      <c r="AD47" s="418"/>
      <c r="AE47" s="418"/>
      <c r="AF47" s="418"/>
      <c r="AG47" s="418"/>
      <c r="AH47" s="418"/>
      <c r="AI47" s="418"/>
      <c r="AJ47" s="418"/>
      <c r="AK47" s="418"/>
      <c r="AL47" s="418"/>
      <c r="AM47" s="418"/>
      <c r="AN47" s="418"/>
      <c r="AO47" s="418"/>
      <c r="AP47" s="418"/>
      <c r="AQ47" s="418"/>
      <c r="AR47" s="418"/>
      <c r="AS47" s="418"/>
      <c r="AT47" s="418"/>
      <c r="AU47" s="418"/>
      <c r="AV47" s="418"/>
      <c r="AW47" s="418"/>
      <c r="AX47" s="418"/>
      <c r="AY47" s="418"/>
      <c r="AZ47" s="418"/>
      <c r="BA47" s="418"/>
      <c r="BB47" s="418"/>
      <c r="BC47" s="418"/>
      <c r="BD47" s="418"/>
      <c r="BE47" s="418"/>
      <c r="BF47" s="418"/>
      <c r="BG47" s="418"/>
      <c r="BH47" s="418"/>
      <c r="BI47" s="418"/>
      <c r="BJ47" s="418"/>
    </row>
    <row r="48" spans="2:62" x14ac:dyDescent="0.2">
      <c r="B48" s="187"/>
      <c r="C48" s="182"/>
      <c r="D48" s="183"/>
      <c r="E48" s="184"/>
      <c r="F48" s="182"/>
      <c r="G48" s="207"/>
      <c r="H48" s="207"/>
      <c r="I48" s="207"/>
      <c r="J48" s="207"/>
      <c r="L48" s="418"/>
      <c r="M48" s="418"/>
      <c r="N48" s="418"/>
      <c r="O48" s="418"/>
      <c r="P48" s="418"/>
      <c r="Q48" s="418"/>
      <c r="R48" s="418"/>
      <c r="S48" s="418"/>
      <c r="T48" s="418"/>
      <c r="U48" s="418"/>
      <c r="V48" s="418"/>
      <c r="W48" s="418"/>
      <c r="X48" s="418"/>
      <c r="Y48" s="418"/>
      <c r="Z48" s="418"/>
      <c r="AA48" s="418"/>
      <c r="AB48" s="418"/>
      <c r="AC48" s="418"/>
      <c r="AD48" s="418"/>
      <c r="AE48" s="418"/>
      <c r="AF48" s="418"/>
      <c r="AG48" s="418"/>
      <c r="AH48" s="418"/>
      <c r="AI48" s="418"/>
      <c r="AJ48" s="418"/>
      <c r="AK48" s="418"/>
      <c r="AL48" s="418"/>
      <c r="AM48" s="418"/>
      <c r="AN48" s="418"/>
      <c r="AO48" s="418"/>
      <c r="AP48" s="418"/>
      <c r="AQ48" s="418"/>
      <c r="AR48" s="418"/>
      <c r="AS48" s="418"/>
      <c r="AT48" s="418"/>
      <c r="AU48" s="418"/>
      <c r="AV48" s="418"/>
      <c r="AW48" s="418"/>
      <c r="AX48" s="418"/>
      <c r="AY48" s="418"/>
      <c r="AZ48" s="418"/>
      <c r="BA48" s="418"/>
      <c r="BB48" s="418"/>
      <c r="BC48" s="418"/>
      <c r="BD48" s="418"/>
      <c r="BE48" s="418"/>
      <c r="BF48" s="418"/>
      <c r="BG48" s="418"/>
      <c r="BH48" s="418"/>
      <c r="BI48" s="418"/>
      <c r="BJ48" s="418"/>
    </row>
    <row r="49" spans="2:68" x14ac:dyDescent="0.2">
      <c r="B49" s="187"/>
      <c r="C49" s="182"/>
      <c r="D49" s="183"/>
      <c r="E49" s="184"/>
      <c r="F49" s="182"/>
      <c r="G49" s="207"/>
      <c r="H49" s="207"/>
      <c r="I49" s="207"/>
      <c r="J49" s="207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Y49" s="418"/>
      <c r="Z49" s="418"/>
      <c r="AA49" s="418"/>
      <c r="AB49" s="418"/>
      <c r="AC49" s="418"/>
      <c r="AD49" s="418"/>
      <c r="AE49" s="418"/>
      <c r="AF49" s="418"/>
      <c r="AG49" s="418"/>
      <c r="AH49" s="418"/>
      <c r="AI49" s="418"/>
      <c r="AJ49" s="418"/>
      <c r="AK49" s="418"/>
      <c r="AL49" s="418"/>
      <c r="AM49" s="418"/>
      <c r="AN49" s="418"/>
      <c r="AO49" s="418"/>
      <c r="AP49" s="418"/>
      <c r="AQ49" s="418"/>
      <c r="AR49" s="418"/>
      <c r="AS49" s="418"/>
      <c r="AT49" s="418"/>
      <c r="AU49" s="418"/>
      <c r="AV49" s="418"/>
      <c r="AW49" s="418"/>
      <c r="AX49" s="418"/>
      <c r="AY49" s="418"/>
      <c r="AZ49" s="418"/>
      <c r="BA49" s="418"/>
      <c r="BB49" s="418"/>
      <c r="BC49" s="418"/>
      <c r="BD49" s="418"/>
      <c r="BE49" s="418"/>
      <c r="BF49" s="418"/>
      <c r="BG49" s="418"/>
      <c r="BH49" s="418"/>
      <c r="BI49" s="418"/>
      <c r="BJ49" s="418"/>
    </row>
    <row r="50" spans="2:68" x14ac:dyDescent="0.2">
      <c r="B50" s="187"/>
      <c r="C50" s="182"/>
      <c r="D50" s="183"/>
      <c r="E50" s="184"/>
      <c r="F50" s="182"/>
      <c r="G50" s="207"/>
      <c r="H50" s="207"/>
      <c r="I50" s="207"/>
      <c r="J50" s="207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Y50" s="418"/>
      <c r="Z50" s="418"/>
      <c r="AA50" s="418"/>
      <c r="AB50" s="418"/>
      <c r="AC50" s="418"/>
      <c r="AD50" s="418"/>
      <c r="AE50" s="418"/>
      <c r="AF50" s="418"/>
      <c r="AG50" s="418"/>
      <c r="AH50" s="418"/>
      <c r="AI50" s="418"/>
      <c r="AJ50" s="418"/>
      <c r="AK50" s="418"/>
      <c r="AL50" s="418"/>
      <c r="AM50" s="418"/>
      <c r="AN50" s="418"/>
      <c r="AO50" s="418"/>
      <c r="AP50" s="418"/>
      <c r="AQ50" s="418"/>
      <c r="AR50" s="418"/>
      <c r="AS50" s="418"/>
      <c r="AT50" s="418"/>
      <c r="AU50" s="418"/>
      <c r="AV50" s="418"/>
      <c r="AW50" s="418"/>
      <c r="AX50" s="418"/>
      <c r="AY50" s="418"/>
      <c r="AZ50" s="418"/>
      <c r="BA50" s="418"/>
      <c r="BB50" s="418"/>
      <c r="BC50" s="418"/>
      <c r="BD50" s="418"/>
      <c r="BE50" s="418"/>
      <c r="BF50" s="418"/>
      <c r="BG50" s="418"/>
      <c r="BH50" s="418"/>
      <c r="BI50" s="418"/>
      <c r="BJ50" s="418"/>
    </row>
    <row r="51" spans="2:68" x14ac:dyDescent="0.2">
      <c r="B51" s="187"/>
      <c r="C51" s="182"/>
      <c r="D51" s="183"/>
      <c r="E51" s="184"/>
      <c r="F51" s="182"/>
      <c r="G51" s="207"/>
      <c r="H51" s="207"/>
      <c r="I51" s="207"/>
      <c r="J51" s="207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Y51" s="418"/>
      <c r="Z51" s="418"/>
      <c r="AA51" s="418"/>
      <c r="AB51" s="418"/>
      <c r="AC51" s="418"/>
      <c r="AD51" s="418"/>
      <c r="AE51" s="418"/>
      <c r="AF51" s="418"/>
      <c r="AG51" s="418"/>
      <c r="AH51" s="418"/>
      <c r="AI51" s="418"/>
      <c r="AJ51" s="418"/>
      <c r="AK51" s="418"/>
      <c r="AL51" s="418"/>
      <c r="AM51" s="418"/>
      <c r="AN51" s="418"/>
      <c r="AO51" s="418"/>
      <c r="AP51" s="418"/>
      <c r="AQ51" s="418"/>
      <c r="AR51" s="418"/>
      <c r="AS51" s="418"/>
      <c r="AT51" s="418"/>
      <c r="AU51" s="418"/>
      <c r="AV51" s="418"/>
      <c r="AW51" s="418"/>
      <c r="AX51" s="418"/>
      <c r="AY51" s="418"/>
      <c r="AZ51" s="418"/>
      <c r="BA51" s="418"/>
      <c r="BB51" s="418"/>
      <c r="BC51" s="418"/>
      <c r="BD51" s="418"/>
      <c r="BE51" s="418"/>
      <c r="BF51" s="418"/>
      <c r="BG51" s="418"/>
      <c r="BH51" s="418"/>
      <c r="BI51" s="418"/>
      <c r="BJ51" s="418"/>
    </row>
    <row r="52" spans="2:68" x14ac:dyDescent="0.2">
      <c r="B52" s="187"/>
      <c r="C52" s="182"/>
      <c r="D52" s="183"/>
      <c r="E52" s="184"/>
      <c r="F52" s="182"/>
      <c r="G52" s="207"/>
      <c r="H52" s="207"/>
      <c r="I52" s="207"/>
      <c r="J52" s="207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Y52" s="418"/>
      <c r="Z52" s="418"/>
      <c r="AA52" s="418"/>
      <c r="AB52" s="418"/>
      <c r="AC52" s="418"/>
      <c r="AD52" s="418"/>
      <c r="AE52" s="418"/>
      <c r="AF52" s="418"/>
      <c r="AG52" s="418"/>
      <c r="AH52" s="418"/>
      <c r="AI52" s="418"/>
      <c r="AJ52" s="418"/>
      <c r="AK52" s="418"/>
      <c r="AL52" s="418"/>
      <c r="AM52" s="418"/>
      <c r="AN52" s="418"/>
      <c r="AO52" s="418"/>
      <c r="AP52" s="418"/>
      <c r="AQ52" s="418"/>
      <c r="AR52" s="418"/>
      <c r="AS52" s="418"/>
      <c r="AT52" s="418"/>
      <c r="AU52" s="418"/>
      <c r="AV52" s="418"/>
      <c r="AW52" s="418"/>
      <c r="AX52" s="418"/>
      <c r="AY52" s="418"/>
      <c r="AZ52" s="418"/>
      <c r="BA52" s="418"/>
      <c r="BB52" s="418"/>
      <c r="BC52" s="418"/>
      <c r="BD52" s="418"/>
      <c r="BE52" s="418"/>
      <c r="BF52" s="418"/>
      <c r="BG52" s="418"/>
      <c r="BH52" s="418"/>
      <c r="BI52" s="418"/>
      <c r="BJ52" s="418"/>
    </row>
    <row r="53" spans="2:68" x14ac:dyDescent="0.2">
      <c r="B53" s="187"/>
      <c r="C53" s="182"/>
      <c r="D53" s="183"/>
      <c r="E53" s="184"/>
      <c r="F53" s="182"/>
      <c r="G53" s="207"/>
      <c r="H53" s="207"/>
      <c r="I53" s="207"/>
      <c r="J53" s="207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Y53" s="418"/>
      <c r="Z53" s="418"/>
      <c r="AA53" s="418"/>
      <c r="AB53" s="418"/>
      <c r="AC53" s="418"/>
      <c r="AD53" s="418"/>
      <c r="AE53" s="418"/>
      <c r="AF53" s="418"/>
      <c r="AG53" s="418"/>
      <c r="AH53" s="418"/>
      <c r="AI53" s="418"/>
      <c r="AJ53" s="418"/>
      <c r="AK53" s="418"/>
      <c r="AL53" s="418"/>
      <c r="AM53" s="418"/>
      <c r="AN53" s="418"/>
      <c r="AO53" s="418"/>
      <c r="AP53" s="418"/>
      <c r="AQ53" s="418"/>
      <c r="AR53" s="418"/>
      <c r="AS53" s="418"/>
      <c r="AT53" s="418"/>
      <c r="AU53" s="418"/>
      <c r="AV53" s="418"/>
      <c r="AW53" s="418"/>
      <c r="AX53" s="418"/>
      <c r="AY53" s="418"/>
      <c r="AZ53" s="418"/>
      <c r="BA53" s="418"/>
      <c r="BB53" s="418"/>
      <c r="BC53" s="418"/>
      <c r="BD53" s="418"/>
      <c r="BE53" s="418"/>
      <c r="BF53" s="418"/>
      <c r="BG53" s="418"/>
      <c r="BH53" s="418"/>
      <c r="BI53" s="418"/>
      <c r="BJ53" s="418"/>
    </row>
    <row r="54" spans="2:68" x14ac:dyDescent="0.2">
      <c r="B54" s="187"/>
      <c r="C54" s="182"/>
      <c r="D54" s="183"/>
      <c r="E54" s="184"/>
      <c r="F54" s="182"/>
      <c r="G54" s="207"/>
      <c r="H54" s="207"/>
      <c r="I54" s="207"/>
      <c r="J54" s="207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Y54" s="418"/>
      <c r="Z54" s="418"/>
      <c r="AA54" s="418"/>
      <c r="AB54" s="418"/>
      <c r="AC54" s="418"/>
      <c r="AD54" s="418"/>
      <c r="AE54" s="418"/>
      <c r="AF54" s="418"/>
      <c r="AG54" s="418"/>
      <c r="AH54" s="418"/>
      <c r="AI54" s="418"/>
      <c r="AJ54" s="418"/>
      <c r="AK54" s="418"/>
      <c r="AL54" s="418"/>
      <c r="AM54" s="418"/>
      <c r="AN54" s="418"/>
      <c r="AO54" s="418"/>
      <c r="AP54" s="418"/>
      <c r="AQ54" s="418"/>
      <c r="AR54" s="418"/>
      <c r="AS54" s="418"/>
      <c r="AT54" s="418"/>
      <c r="AU54" s="418"/>
      <c r="AV54" s="418"/>
      <c r="AW54" s="418"/>
      <c r="AX54" s="418"/>
      <c r="AY54" s="418"/>
      <c r="AZ54" s="418"/>
      <c r="BA54" s="418"/>
      <c r="BB54" s="418"/>
      <c r="BC54" s="418"/>
      <c r="BD54" s="418"/>
      <c r="BE54" s="418"/>
      <c r="BF54" s="418"/>
      <c r="BG54" s="418"/>
      <c r="BH54" s="418"/>
      <c r="BI54" s="418"/>
      <c r="BJ54" s="418"/>
    </row>
    <row r="55" spans="2:68" x14ac:dyDescent="0.2">
      <c r="B55" s="187"/>
      <c r="C55" s="182"/>
      <c r="D55" s="183"/>
      <c r="E55" s="184"/>
      <c r="F55" s="182"/>
      <c r="G55" s="207"/>
      <c r="H55" s="207"/>
      <c r="I55" s="207"/>
      <c r="J55" s="207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Y55" s="418"/>
      <c r="Z55" s="418"/>
      <c r="AA55" s="418"/>
      <c r="AB55" s="418"/>
      <c r="AC55" s="418"/>
      <c r="AD55" s="418"/>
      <c r="AE55" s="418"/>
      <c r="AF55" s="418"/>
      <c r="AG55" s="418"/>
      <c r="AH55" s="418"/>
      <c r="AI55" s="418"/>
      <c r="AJ55" s="418"/>
      <c r="AK55" s="418"/>
      <c r="AL55" s="418"/>
      <c r="AM55" s="418"/>
      <c r="AN55" s="418"/>
      <c r="AO55" s="418"/>
      <c r="AP55" s="418"/>
      <c r="AQ55" s="418"/>
      <c r="AR55" s="418"/>
      <c r="AS55" s="418"/>
      <c r="AT55" s="418"/>
      <c r="AU55" s="418"/>
      <c r="AV55" s="418"/>
      <c r="AW55" s="418"/>
      <c r="AX55" s="418"/>
      <c r="AY55" s="418"/>
      <c r="AZ55" s="418"/>
      <c r="BA55" s="418"/>
      <c r="BB55" s="418"/>
      <c r="BC55" s="418"/>
      <c r="BD55" s="418"/>
      <c r="BE55" s="418"/>
      <c r="BF55" s="418"/>
      <c r="BG55" s="418"/>
      <c r="BH55" s="418"/>
      <c r="BI55" s="418"/>
      <c r="BJ55" s="418"/>
    </row>
    <row r="56" spans="2:68" x14ac:dyDescent="0.2">
      <c r="B56" s="187"/>
      <c r="C56" s="182"/>
      <c r="D56" s="183"/>
      <c r="E56" s="184"/>
      <c r="F56" s="182"/>
      <c r="G56" s="207"/>
      <c r="H56" s="207"/>
      <c r="I56" s="207"/>
      <c r="J56" s="207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Y56" s="418"/>
      <c r="Z56" s="418"/>
      <c r="AA56" s="418"/>
      <c r="AB56" s="418"/>
      <c r="AC56" s="418"/>
      <c r="AD56" s="418"/>
      <c r="AE56" s="418"/>
      <c r="AF56" s="418"/>
      <c r="AG56" s="418"/>
      <c r="AH56" s="418"/>
      <c r="AI56" s="418"/>
      <c r="AJ56" s="418"/>
      <c r="AK56" s="418"/>
      <c r="AL56" s="418"/>
      <c r="AM56" s="418"/>
      <c r="AN56" s="418"/>
      <c r="AO56" s="418"/>
      <c r="AP56" s="418"/>
      <c r="AQ56" s="418"/>
      <c r="AR56" s="418"/>
      <c r="AS56" s="418"/>
      <c r="AT56" s="418"/>
      <c r="AU56" s="418"/>
      <c r="AV56" s="418"/>
      <c r="AW56" s="418"/>
      <c r="AX56" s="418"/>
      <c r="AY56" s="418"/>
      <c r="AZ56" s="418"/>
      <c r="BA56" s="418"/>
      <c r="BB56" s="418"/>
      <c r="BC56" s="418"/>
      <c r="BD56" s="418"/>
      <c r="BE56" s="418"/>
      <c r="BF56" s="418"/>
      <c r="BG56" s="418"/>
      <c r="BH56" s="418"/>
      <c r="BI56" s="418"/>
      <c r="BJ56" s="418"/>
    </row>
    <row r="57" spans="2:68" x14ac:dyDescent="0.2">
      <c r="B57" s="187"/>
      <c r="C57" s="182"/>
      <c r="D57" s="183"/>
      <c r="E57" s="184"/>
      <c r="F57" s="182"/>
      <c r="G57" s="207"/>
      <c r="H57" s="207"/>
      <c r="I57" s="207"/>
      <c r="J57" s="207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Y57" s="418"/>
      <c r="Z57" s="418"/>
      <c r="AA57" s="418"/>
      <c r="AB57" s="418"/>
      <c r="AC57" s="418"/>
      <c r="AD57" s="418"/>
      <c r="AE57" s="418"/>
      <c r="AF57" s="418"/>
      <c r="AG57" s="418"/>
      <c r="AH57" s="418"/>
      <c r="AI57" s="418"/>
      <c r="AJ57" s="418"/>
      <c r="AK57" s="418"/>
      <c r="AL57" s="418"/>
      <c r="AM57" s="418"/>
      <c r="AN57" s="418"/>
      <c r="AO57" s="418"/>
      <c r="AP57" s="418"/>
      <c r="AQ57" s="418"/>
      <c r="AR57" s="418"/>
      <c r="AS57" s="418"/>
      <c r="AT57" s="418"/>
      <c r="AU57" s="418"/>
      <c r="AV57" s="418"/>
      <c r="AW57" s="418"/>
      <c r="AX57" s="418"/>
      <c r="AY57" s="418"/>
      <c r="AZ57" s="418"/>
      <c r="BA57" s="418"/>
      <c r="BB57" s="418"/>
      <c r="BC57" s="418"/>
      <c r="BD57" s="418"/>
      <c r="BE57" s="418"/>
      <c r="BF57" s="418"/>
      <c r="BG57" s="418"/>
      <c r="BH57" s="418"/>
      <c r="BI57" s="418"/>
      <c r="BJ57" s="418"/>
    </row>
    <row r="58" spans="2:68" x14ac:dyDescent="0.2">
      <c r="B58" s="187"/>
      <c r="C58" s="182"/>
      <c r="D58" s="183"/>
      <c r="E58" s="184"/>
      <c r="F58" s="182"/>
      <c r="G58" s="207"/>
      <c r="H58" s="207"/>
      <c r="I58" s="207"/>
      <c r="J58" s="207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Y58" s="418"/>
      <c r="Z58" s="418"/>
      <c r="AA58" s="418"/>
      <c r="AB58" s="418"/>
      <c r="AC58" s="418"/>
      <c r="AD58" s="418"/>
      <c r="AE58" s="418"/>
      <c r="AF58" s="418"/>
      <c r="AG58" s="418"/>
      <c r="AH58" s="418"/>
      <c r="AI58" s="418"/>
      <c r="AJ58" s="418"/>
      <c r="AK58" s="418"/>
      <c r="AL58" s="418"/>
      <c r="AM58" s="418"/>
      <c r="AN58" s="418"/>
      <c r="AO58" s="418"/>
      <c r="AP58" s="418"/>
      <c r="AQ58" s="418"/>
      <c r="AR58" s="418"/>
      <c r="AS58" s="418"/>
      <c r="AT58" s="418"/>
      <c r="AU58" s="418"/>
      <c r="AV58" s="418"/>
      <c r="AW58" s="418"/>
      <c r="AX58" s="418"/>
      <c r="AY58" s="418"/>
      <c r="AZ58" s="418"/>
      <c r="BA58" s="418"/>
      <c r="BB58" s="418"/>
      <c r="BC58" s="418"/>
      <c r="BD58" s="418"/>
      <c r="BE58" s="418"/>
      <c r="BF58" s="418"/>
      <c r="BG58" s="418"/>
      <c r="BH58" s="418"/>
      <c r="BI58" s="418"/>
      <c r="BJ58" s="418"/>
    </row>
    <row r="59" spans="2:68" x14ac:dyDescent="0.2">
      <c r="B59" s="187"/>
      <c r="C59" s="182"/>
      <c r="D59" s="183"/>
      <c r="E59" s="184"/>
      <c r="F59" s="182"/>
      <c r="G59" s="207"/>
      <c r="H59" s="207"/>
      <c r="I59" s="207"/>
      <c r="J59" s="207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Y59" s="418"/>
      <c r="Z59" s="418"/>
      <c r="AA59" s="418"/>
      <c r="AB59" s="418"/>
      <c r="AC59" s="418"/>
      <c r="AD59" s="418"/>
      <c r="AE59" s="418"/>
      <c r="AF59" s="418"/>
      <c r="AG59" s="418"/>
      <c r="AH59" s="418"/>
      <c r="AI59" s="418"/>
      <c r="AJ59" s="418"/>
      <c r="AK59" s="418"/>
      <c r="AL59" s="418"/>
      <c r="AM59" s="418"/>
      <c r="AN59" s="418"/>
      <c r="AO59" s="418"/>
      <c r="AP59" s="418"/>
      <c r="AQ59" s="418"/>
      <c r="AR59" s="418"/>
      <c r="AS59" s="418"/>
      <c r="AT59" s="418"/>
      <c r="AU59" s="418"/>
      <c r="AV59" s="418"/>
      <c r="AW59" s="418"/>
      <c r="AX59" s="418"/>
      <c r="AY59" s="418"/>
      <c r="AZ59" s="418"/>
      <c r="BA59" s="418"/>
      <c r="BB59" s="418"/>
      <c r="BC59" s="418"/>
      <c r="BD59" s="418"/>
      <c r="BE59" s="418"/>
      <c r="BF59" s="418"/>
      <c r="BG59" s="418"/>
      <c r="BH59" s="418"/>
      <c r="BI59" s="418"/>
      <c r="BJ59" s="418"/>
      <c r="BO59" s="227"/>
      <c r="BP59" s="227"/>
    </row>
    <row r="60" spans="2:68" x14ac:dyDescent="0.2">
      <c r="B60" s="187"/>
      <c r="C60" s="182"/>
      <c r="D60" s="183"/>
      <c r="E60" s="184"/>
      <c r="F60" s="182"/>
      <c r="G60" s="207"/>
      <c r="H60" s="207"/>
      <c r="I60" s="207"/>
      <c r="J60" s="207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Y60" s="418"/>
      <c r="Z60" s="418"/>
      <c r="AA60" s="418"/>
      <c r="AB60" s="418"/>
      <c r="AC60" s="418"/>
      <c r="AD60" s="418"/>
      <c r="AE60" s="418"/>
      <c r="AF60" s="418"/>
      <c r="AG60" s="418"/>
      <c r="AH60" s="418"/>
      <c r="AI60" s="418"/>
      <c r="AJ60" s="418"/>
      <c r="AK60" s="418"/>
      <c r="AL60" s="418"/>
      <c r="AM60" s="418"/>
      <c r="AN60" s="418"/>
      <c r="AO60" s="418"/>
      <c r="AP60" s="418"/>
      <c r="AQ60" s="418"/>
      <c r="AR60" s="418"/>
      <c r="AS60" s="418"/>
      <c r="AT60" s="418"/>
      <c r="AU60" s="418"/>
      <c r="AV60" s="418"/>
      <c r="AW60" s="418"/>
      <c r="AX60" s="418"/>
      <c r="AY60" s="418"/>
      <c r="AZ60" s="418"/>
      <c r="BA60" s="418"/>
      <c r="BB60" s="418"/>
      <c r="BC60" s="418"/>
      <c r="BD60" s="418"/>
      <c r="BE60" s="418"/>
      <c r="BF60" s="418"/>
      <c r="BG60" s="418"/>
      <c r="BH60" s="418"/>
      <c r="BI60" s="418"/>
      <c r="BJ60" s="418"/>
      <c r="BO60" s="227"/>
      <c r="BP60" s="227"/>
    </row>
    <row r="61" spans="2:68" x14ac:dyDescent="0.2">
      <c r="B61" s="187"/>
      <c r="C61" s="182"/>
      <c r="D61" s="183"/>
      <c r="E61" s="184"/>
      <c r="F61" s="182"/>
      <c r="G61" s="207"/>
      <c r="H61" s="207"/>
      <c r="I61" s="207"/>
      <c r="J61" s="207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Y61" s="418"/>
      <c r="Z61" s="418"/>
      <c r="AA61" s="418"/>
      <c r="AB61" s="418"/>
      <c r="AC61" s="418"/>
      <c r="AD61" s="418"/>
      <c r="AE61" s="418"/>
      <c r="AF61" s="418"/>
      <c r="AG61" s="418"/>
      <c r="AH61" s="418"/>
      <c r="AI61" s="418"/>
      <c r="AJ61" s="418"/>
      <c r="AK61" s="418"/>
      <c r="AL61" s="418"/>
      <c r="AM61" s="418"/>
      <c r="AN61" s="418"/>
      <c r="AO61" s="418"/>
      <c r="AP61" s="418"/>
      <c r="AQ61" s="418"/>
      <c r="AR61" s="418"/>
      <c r="AS61" s="418"/>
      <c r="AT61" s="418"/>
      <c r="AU61" s="418"/>
      <c r="AV61" s="418"/>
      <c r="AW61" s="418"/>
      <c r="AX61" s="418"/>
      <c r="AY61" s="418"/>
      <c r="AZ61" s="418"/>
      <c r="BA61" s="418"/>
      <c r="BB61" s="418"/>
      <c r="BC61" s="418"/>
      <c r="BD61" s="418"/>
      <c r="BE61" s="418"/>
      <c r="BF61" s="418"/>
      <c r="BG61" s="418"/>
      <c r="BH61" s="418"/>
      <c r="BI61" s="418"/>
      <c r="BJ61" s="418"/>
      <c r="BO61" s="227"/>
      <c r="BP61" s="227"/>
    </row>
    <row r="62" spans="2:68" x14ac:dyDescent="0.2">
      <c r="B62" s="187"/>
      <c r="C62" s="182"/>
      <c r="D62" s="183"/>
      <c r="E62" s="184"/>
      <c r="F62" s="182"/>
      <c r="G62" s="207"/>
      <c r="H62" s="207"/>
      <c r="I62" s="207"/>
      <c r="J62" s="207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Y62" s="418"/>
      <c r="Z62" s="418"/>
      <c r="AA62" s="418"/>
      <c r="AB62" s="418"/>
      <c r="AC62" s="418"/>
      <c r="AD62" s="418"/>
      <c r="AE62" s="418"/>
      <c r="AF62" s="418"/>
      <c r="AG62" s="418"/>
      <c r="AH62" s="418"/>
      <c r="AI62" s="418"/>
      <c r="AJ62" s="418"/>
      <c r="AK62" s="418"/>
      <c r="AL62" s="418"/>
      <c r="AM62" s="418"/>
      <c r="AN62" s="418"/>
      <c r="AO62" s="418"/>
      <c r="AP62" s="418"/>
      <c r="AQ62" s="418"/>
      <c r="AR62" s="418"/>
      <c r="AS62" s="418"/>
      <c r="AT62" s="418"/>
      <c r="AU62" s="418"/>
      <c r="AV62" s="418"/>
      <c r="AW62" s="418"/>
      <c r="AX62" s="418"/>
      <c r="AY62" s="418"/>
      <c r="AZ62" s="418"/>
      <c r="BA62" s="418"/>
      <c r="BB62" s="418"/>
      <c r="BC62" s="418"/>
      <c r="BD62" s="418"/>
      <c r="BE62" s="418"/>
      <c r="BF62" s="418"/>
      <c r="BG62" s="418"/>
      <c r="BH62" s="418"/>
      <c r="BI62" s="418"/>
      <c r="BJ62" s="418"/>
      <c r="BO62" s="227"/>
      <c r="BP62" s="227"/>
    </row>
    <row r="63" spans="2:68" x14ac:dyDescent="0.2">
      <c r="B63" s="187"/>
      <c r="C63" s="182"/>
      <c r="D63" s="183"/>
      <c r="E63" s="184"/>
      <c r="F63" s="182"/>
      <c r="G63" s="207"/>
      <c r="H63" s="207"/>
      <c r="I63" s="207"/>
      <c r="J63" s="207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Y63" s="418"/>
      <c r="Z63" s="418"/>
      <c r="AA63" s="418"/>
      <c r="AB63" s="418"/>
      <c r="AC63" s="418"/>
      <c r="AD63" s="418"/>
      <c r="AE63" s="418"/>
      <c r="AF63" s="418"/>
      <c r="AG63" s="418"/>
      <c r="AH63" s="418"/>
      <c r="AI63" s="418"/>
      <c r="AJ63" s="418"/>
      <c r="AK63" s="418"/>
      <c r="AL63" s="418"/>
      <c r="AM63" s="418"/>
      <c r="AN63" s="418"/>
      <c r="AO63" s="418"/>
      <c r="AP63" s="418"/>
      <c r="AQ63" s="418"/>
      <c r="AR63" s="418"/>
      <c r="AS63" s="418"/>
      <c r="AT63" s="418"/>
      <c r="AU63" s="418"/>
      <c r="AV63" s="418"/>
      <c r="AW63" s="418"/>
      <c r="AX63" s="418"/>
      <c r="AY63" s="418"/>
      <c r="AZ63" s="418"/>
      <c r="BA63" s="418"/>
      <c r="BB63" s="418"/>
      <c r="BC63" s="418"/>
      <c r="BD63" s="418"/>
      <c r="BE63" s="418"/>
      <c r="BF63" s="418"/>
      <c r="BG63" s="418"/>
      <c r="BH63" s="418"/>
      <c r="BI63" s="418"/>
      <c r="BJ63" s="418"/>
      <c r="BO63" s="227"/>
      <c r="BP63" s="227"/>
    </row>
    <row r="64" spans="2:68" x14ac:dyDescent="0.2">
      <c r="B64" s="187"/>
      <c r="C64" s="182"/>
      <c r="D64" s="183"/>
      <c r="E64" s="184"/>
      <c r="F64" s="182"/>
      <c r="G64" s="207"/>
      <c r="H64" s="207"/>
      <c r="I64" s="207"/>
      <c r="J64" s="207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Y64" s="418"/>
      <c r="Z64" s="418"/>
      <c r="AA64" s="418"/>
      <c r="AB64" s="418"/>
      <c r="AC64" s="418"/>
      <c r="AD64" s="418"/>
      <c r="AE64" s="418"/>
      <c r="AF64" s="418"/>
      <c r="AG64" s="418"/>
      <c r="AH64" s="418"/>
      <c r="AI64" s="418"/>
      <c r="AJ64" s="418"/>
      <c r="AK64" s="418"/>
      <c r="AL64" s="418"/>
      <c r="AM64" s="418"/>
      <c r="AN64" s="418"/>
      <c r="AO64" s="418"/>
      <c r="AP64" s="418"/>
      <c r="AQ64" s="418"/>
      <c r="AR64" s="418"/>
      <c r="AS64" s="418"/>
      <c r="AT64" s="418"/>
      <c r="AU64" s="418"/>
      <c r="AV64" s="418"/>
      <c r="AW64" s="418"/>
      <c r="AX64" s="418"/>
      <c r="AY64" s="418"/>
      <c r="AZ64" s="418"/>
      <c r="BA64" s="418"/>
      <c r="BB64" s="418"/>
      <c r="BC64" s="418"/>
      <c r="BD64" s="418"/>
      <c r="BE64" s="418"/>
      <c r="BF64" s="418"/>
      <c r="BG64" s="418"/>
      <c r="BH64" s="418"/>
      <c r="BI64" s="418"/>
      <c r="BJ64" s="418"/>
      <c r="BO64" s="227"/>
      <c r="BP64" s="227"/>
    </row>
    <row r="65" spans="2:68" x14ac:dyDescent="0.2">
      <c r="B65" s="187"/>
      <c r="C65" s="182"/>
      <c r="D65" s="183"/>
      <c r="E65" s="184"/>
      <c r="F65" s="182"/>
      <c r="G65" s="207"/>
      <c r="H65" s="207"/>
      <c r="I65" s="207"/>
      <c r="J65" s="207"/>
      <c r="L65" s="418"/>
      <c r="M65" s="418"/>
      <c r="N65" s="418"/>
      <c r="O65" s="418"/>
      <c r="P65" s="418"/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8"/>
      <c r="BC65" s="418"/>
      <c r="BD65" s="418"/>
      <c r="BE65" s="418"/>
      <c r="BF65" s="418"/>
      <c r="BG65" s="418"/>
      <c r="BH65" s="418"/>
      <c r="BI65" s="418"/>
      <c r="BJ65" s="418"/>
      <c r="BO65" s="227"/>
      <c r="BP65" s="227"/>
    </row>
    <row r="66" spans="2:68" x14ac:dyDescent="0.2">
      <c r="H66" s="185"/>
      <c r="I66" s="185"/>
      <c r="J66" s="185"/>
      <c r="L66" s="418"/>
      <c r="M66" s="418"/>
      <c r="N66" s="418"/>
      <c r="O66" s="418"/>
      <c r="P66" s="418"/>
      <c r="Q66" s="418"/>
      <c r="R66" s="418"/>
      <c r="S66" s="418"/>
      <c r="T66" s="418"/>
      <c r="U66" s="418"/>
      <c r="V66" s="418"/>
      <c r="W66" s="418"/>
      <c r="X66" s="418"/>
      <c r="Y66" s="418"/>
      <c r="Z66" s="418"/>
      <c r="AA66" s="418"/>
      <c r="AB66" s="418"/>
      <c r="AC66" s="418"/>
      <c r="AD66" s="418"/>
      <c r="AE66" s="418"/>
      <c r="AF66" s="418"/>
      <c r="AG66" s="418"/>
      <c r="AH66" s="418"/>
      <c r="AI66" s="418"/>
      <c r="AJ66" s="418"/>
      <c r="AK66" s="418"/>
      <c r="AL66" s="418"/>
      <c r="AM66" s="418"/>
      <c r="AN66" s="418"/>
      <c r="AO66" s="418"/>
      <c r="AP66" s="418"/>
      <c r="AQ66" s="418"/>
      <c r="AR66" s="418"/>
      <c r="AS66" s="418"/>
      <c r="AT66" s="418"/>
      <c r="AU66" s="418"/>
      <c r="AV66" s="418"/>
      <c r="AW66" s="418"/>
      <c r="AX66" s="418"/>
      <c r="AY66" s="418"/>
      <c r="AZ66" s="418"/>
      <c r="BA66" s="418"/>
      <c r="BB66" s="418"/>
      <c r="BC66" s="418"/>
      <c r="BD66" s="418"/>
      <c r="BE66" s="418"/>
      <c r="BF66" s="418"/>
      <c r="BG66" s="418"/>
      <c r="BH66" s="418"/>
      <c r="BI66" s="418"/>
      <c r="BJ66" s="418"/>
      <c r="BO66" s="227"/>
      <c r="BP66" s="227"/>
    </row>
    <row r="67" spans="2:68" x14ac:dyDescent="0.2">
      <c r="H67" s="185"/>
      <c r="I67" s="185"/>
      <c r="J67" s="185"/>
      <c r="L67" s="418"/>
      <c r="M67" s="418"/>
      <c r="N67" s="418"/>
      <c r="O67" s="418"/>
      <c r="P67" s="418"/>
      <c r="Q67" s="418"/>
      <c r="R67" s="418"/>
      <c r="S67" s="418"/>
      <c r="T67" s="418"/>
      <c r="U67" s="418"/>
      <c r="V67" s="418"/>
      <c r="W67" s="418"/>
      <c r="X67" s="418"/>
      <c r="Y67" s="418"/>
      <c r="Z67" s="418"/>
      <c r="AA67" s="425" t="s">
        <v>290</v>
      </c>
      <c r="AB67" s="426">
        <f>SUM(J46:J46)</f>
        <v>24832715.28103834</v>
      </c>
      <c r="AC67" s="427">
        <f>AB67/$J$47</f>
        <v>4.9209483509622613E-2</v>
      </c>
      <c r="AD67" s="428" t="str">
        <f>الدراسة!B192</f>
        <v>تكلفة الأرض
 (Land Cost)</v>
      </c>
      <c r="AE67" s="429">
        <f>-الدراسة!C192</f>
        <v>220500000</v>
      </c>
      <c r="AF67" s="418"/>
      <c r="AG67" s="418"/>
      <c r="AH67" s="418"/>
      <c r="AI67" s="418"/>
      <c r="AJ67" s="418"/>
      <c r="AK67" s="418"/>
      <c r="AL67" s="418"/>
      <c r="AM67" s="418"/>
      <c r="AN67" s="418"/>
      <c r="AO67" s="418"/>
      <c r="AP67" s="418"/>
      <c r="AQ67" s="418"/>
      <c r="AR67" s="418"/>
      <c r="AS67" s="418"/>
      <c r="AT67" s="418"/>
      <c r="AU67" s="418"/>
      <c r="AV67" s="418"/>
      <c r="AW67" s="418"/>
      <c r="AX67" s="418"/>
      <c r="AY67" s="418"/>
      <c r="AZ67" s="418"/>
      <c r="BA67" s="418"/>
      <c r="BB67" s="418"/>
      <c r="BC67" s="418"/>
      <c r="BD67" s="418"/>
      <c r="BE67" s="418"/>
      <c r="BF67" s="418"/>
      <c r="BG67" s="418"/>
      <c r="BH67" s="418"/>
      <c r="BI67" s="418"/>
      <c r="BJ67" s="418"/>
      <c r="BO67" s="227"/>
      <c r="BP67" s="227"/>
    </row>
    <row r="68" spans="2:68" ht="19.5" thickBot="1" x14ac:dyDescent="0.25">
      <c r="B68" s="186" t="s">
        <v>293</v>
      </c>
      <c r="C68" s="175"/>
      <c r="D68" s="175"/>
      <c r="E68" s="175"/>
      <c r="F68" s="175"/>
      <c r="G68" s="205"/>
      <c r="H68" s="175"/>
      <c r="I68" s="175" t="s">
        <v>367</v>
      </c>
      <c r="J68" s="175" t="s">
        <v>285</v>
      </c>
      <c r="L68" s="418"/>
      <c r="M68" s="418"/>
      <c r="N68" s="418"/>
      <c r="O68" s="418"/>
      <c r="P68" s="418"/>
      <c r="Q68" s="418"/>
      <c r="R68" s="418"/>
      <c r="S68" s="418"/>
      <c r="T68" s="418"/>
      <c r="U68" s="418"/>
      <c r="V68" s="418"/>
      <c r="W68" s="418"/>
      <c r="X68" s="418"/>
      <c r="Y68" s="418"/>
      <c r="Z68" s="418"/>
      <c r="AA68" s="425" t="s">
        <v>289</v>
      </c>
      <c r="AB68" s="426">
        <f>J45</f>
        <v>259300000</v>
      </c>
      <c r="AC68" s="427">
        <f>AB68/$J$47</f>
        <v>0.51383905987068534</v>
      </c>
      <c r="AD68" s="430" t="str">
        <f>الدراسة!B194</f>
        <v>تكاليف مسطحات البناء 
(Construction Costs)</v>
      </c>
      <c r="AE68" s="431">
        <f>-الدراسة!C194</f>
        <v>181440000</v>
      </c>
      <c r="AF68" s="418"/>
      <c r="AG68" s="418"/>
      <c r="AH68" s="418"/>
      <c r="AI68" s="418"/>
      <c r="AJ68" s="418"/>
      <c r="AK68" s="418"/>
      <c r="AL68" s="418"/>
      <c r="AM68" s="418"/>
      <c r="AN68" s="418"/>
      <c r="AO68" s="418"/>
      <c r="AP68" s="418"/>
      <c r="AQ68" s="418"/>
      <c r="AR68" s="418"/>
      <c r="AS68" s="418"/>
      <c r="AT68" s="418"/>
      <c r="AU68" s="418"/>
      <c r="AV68" s="418"/>
      <c r="AW68" s="418"/>
      <c r="AX68" s="418"/>
      <c r="AY68" s="418"/>
      <c r="AZ68" s="418"/>
      <c r="BA68" s="418"/>
      <c r="BB68" s="418"/>
      <c r="BC68" s="418"/>
      <c r="BD68" s="418"/>
      <c r="BE68" s="418"/>
      <c r="BF68" s="418"/>
      <c r="BG68" s="418"/>
      <c r="BH68" s="418"/>
      <c r="BI68" s="418"/>
      <c r="BJ68" s="418"/>
      <c r="BO68" s="227"/>
      <c r="BP68" s="227"/>
    </row>
    <row r="69" spans="2:68" x14ac:dyDescent="0.2">
      <c r="B69" s="187" t="s">
        <v>304</v>
      </c>
      <c r="C69" s="164"/>
      <c r="D69" s="164"/>
      <c r="E69" s="164"/>
      <c r="F69" s="164"/>
      <c r="G69" s="202"/>
      <c r="H69" s="164"/>
      <c r="I69" s="174">
        <f>I70+I71</f>
        <v>3271.1538461538462</v>
      </c>
      <c r="J69" s="174">
        <f>J70+J71</f>
        <v>223256250</v>
      </c>
      <c r="L69" s="418"/>
      <c r="M69" s="418"/>
      <c r="N69" s="418"/>
      <c r="O69" s="418"/>
      <c r="P69" s="418"/>
      <c r="Q69" s="418"/>
      <c r="R69" s="418"/>
      <c r="S69" s="418"/>
      <c r="T69" s="418"/>
      <c r="U69" s="418"/>
      <c r="V69" s="418"/>
      <c r="W69" s="418"/>
      <c r="X69" s="418"/>
      <c r="Y69" s="419"/>
      <c r="Z69" s="418"/>
      <c r="AA69" s="430"/>
      <c r="AB69" s="428"/>
      <c r="AC69" s="427"/>
      <c r="AD69" s="430" t="str">
        <f>الدراسة!B195</f>
        <v>التسوير 
 (Fence - surrounding the land)</v>
      </c>
      <c r="AE69" s="431">
        <f>-الدراسة!C195</f>
        <v>525000</v>
      </c>
      <c r="AF69" s="418"/>
      <c r="AG69" s="418"/>
      <c r="AH69" s="418"/>
      <c r="AI69" s="418"/>
      <c r="AJ69" s="418"/>
      <c r="AK69" s="418"/>
      <c r="AL69" s="418"/>
      <c r="AM69" s="418"/>
      <c r="AN69" s="418"/>
      <c r="AO69" s="418"/>
      <c r="AP69" s="418"/>
      <c r="AQ69" s="418"/>
      <c r="AR69" s="418"/>
      <c r="AS69" s="418"/>
      <c r="AT69" s="418"/>
      <c r="AU69" s="418"/>
      <c r="AV69" s="418"/>
      <c r="AW69" s="418"/>
      <c r="AX69" s="418"/>
      <c r="AY69" s="418"/>
      <c r="AZ69" s="418"/>
      <c r="BA69" s="418"/>
      <c r="BB69" s="418"/>
      <c r="BC69" s="418"/>
      <c r="BD69" s="418"/>
      <c r="BE69" s="418"/>
      <c r="BF69" s="418"/>
      <c r="BG69" s="418"/>
      <c r="BH69" s="418"/>
      <c r="BI69" s="418"/>
      <c r="BJ69" s="418"/>
      <c r="BO69" s="227"/>
      <c r="BP69" s="227"/>
    </row>
    <row r="70" spans="2:68" x14ac:dyDescent="0.2">
      <c r="B70" s="188" t="s">
        <v>315</v>
      </c>
      <c r="C70" s="164"/>
      <c r="D70" s="164"/>
      <c r="E70" s="164"/>
      <c r="F70" s="164"/>
      <c r="G70" s="202"/>
      <c r="H70" s="164"/>
      <c r="I70" s="189">
        <f>J70/$H$16</f>
        <v>3230.7692307692309</v>
      </c>
      <c r="J70" s="189">
        <f>الدراسة!E44</f>
        <v>220500000</v>
      </c>
      <c r="L70" s="418"/>
      <c r="M70" s="418"/>
      <c r="N70" s="418"/>
      <c r="O70" s="418"/>
      <c r="P70" s="418"/>
      <c r="Q70" s="418"/>
      <c r="R70" s="418"/>
      <c r="S70" s="418"/>
      <c r="T70" s="418"/>
      <c r="U70" s="418"/>
      <c r="V70" s="418"/>
      <c r="W70" s="418"/>
      <c r="X70" s="418"/>
      <c r="Y70" s="419"/>
      <c r="Z70" s="418"/>
      <c r="AA70" s="432" t="s">
        <v>366</v>
      </c>
      <c r="AB70" s="433">
        <f>+J44</f>
        <v>220500000</v>
      </c>
      <c r="AC70" s="427">
        <f>AB70/J47</f>
        <v>0.43695145661969198</v>
      </c>
      <c r="AD70" s="430" t="str">
        <f>الدراسة!B196</f>
        <v>الحفر والمسح والاختبار 
 (Excavation, surveying, and testing)</v>
      </c>
      <c r="AE70" s="431">
        <f>-الدراسة!C196</f>
        <v>3024000</v>
      </c>
      <c r="AF70" s="418"/>
      <c r="AG70" s="418"/>
      <c r="AH70" s="418"/>
      <c r="AI70" s="418"/>
      <c r="AJ70" s="418"/>
      <c r="AK70" s="418"/>
      <c r="AL70" s="418"/>
      <c r="AM70" s="418"/>
      <c r="AN70" s="418"/>
      <c r="AO70" s="418"/>
      <c r="AP70" s="418"/>
      <c r="AQ70" s="418"/>
      <c r="AR70" s="418"/>
      <c r="AS70" s="418"/>
      <c r="AT70" s="418"/>
      <c r="AU70" s="418"/>
      <c r="AV70" s="418"/>
      <c r="AW70" s="418"/>
      <c r="AX70" s="418"/>
      <c r="AY70" s="418"/>
      <c r="AZ70" s="418"/>
      <c r="BA70" s="418"/>
      <c r="BB70" s="418"/>
      <c r="BC70" s="418"/>
      <c r="BD70" s="418"/>
      <c r="BE70" s="418"/>
      <c r="BF70" s="418"/>
      <c r="BG70" s="418"/>
      <c r="BH70" s="418"/>
      <c r="BI70" s="418"/>
      <c r="BJ70" s="418"/>
      <c r="BO70" s="227"/>
      <c r="BP70" s="227"/>
    </row>
    <row r="71" spans="2:68" x14ac:dyDescent="0.2">
      <c r="B71" s="188" t="s">
        <v>305</v>
      </c>
      <c r="C71" s="164"/>
      <c r="D71" s="164"/>
      <c r="E71" s="164"/>
      <c r="F71" s="164"/>
      <c r="G71" s="202"/>
      <c r="H71" s="164"/>
      <c r="I71" s="189">
        <f>J71/$H$16</f>
        <v>40.384615384615387</v>
      </c>
      <c r="J71" s="189">
        <f>الدراسة!G44</f>
        <v>2756250</v>
      </c>
      <c r="L71" s="418"/>
      <c r="M71" s="418"/>
      <c r="N71" s="418"/>
      <c r="O71" s="418"/>
      <c r="P71" s="418"/>
      <c r="Q71" s="418"/>
      <c r="R71" s="418"/>
      <c r="S71" s="418"/>
      <c r="T71" s="418"/>
      <c r="U71" s="418"/>
      <c r="V71" s="418"/>
      <c r="W71" s="418"/>
      <c r="X71" s="418"/>
      <c r="Y71" s="419"/>
      <c r="Z71" s="418"/>
      <c r="AA71" s="430"/>
      <c r="AB71" s="430"/>
      <c r="AC71" s="430"/>
      <c r="AD71" s="430" t="str">
        <f>الدراسة!B197</f>
        <v>التأمين 
 (Insurance)</v>
      </c>
      <c r="AE71" s="431">
        <f>-الدراسة!C197</f>
        <v>3084480</v>
      </c>
      <c r="AF71" s="418"/>
      <c r="AG71" s="418"/>
      <c r="AH71" s="418"/>
      <c r="AI71" s="418"/>
      <c r="AJ71" s="418"/>
      <c r="AK71" s="418"/>
      <c r="AL71" s="418"/>
      <c r="AM71" s="418"/>
      <c r="AN71" s="418"/>
      <c r="AO71" s="418"/>
      <c r="AP71" s="418"/>
      <c r="AQ71" s="418"/>
      <c r="AR71" s="418"/>
      <c r="AS71" s="418"/>
      <c r="AT71" s="418"/>
      <c r="AU71" s="418"/>
      <c r="AV71" s="418"/>
      <c r="AW71" s="418"/>
      <c r="AX71" s="418"/>
      <c r="AY71" s="418"/>
      <c r="AZ71" s="418"/>
      <c r="BA71" s="418"/>
      <c r="BB71" s="418"/>
      <c r="BC71" s="418"/>
      <c r="BD71" s="418"/>
      <c r="BE71" s="418"/>
      <c r="BF71" s="418"/>
      <c r="BG71" s="418"/>
      <c r="BH71" s="418"/>
      <c r="BI71" s="418"/>
      <c r="BJ71" s="418"/>
      <c r="BO71" s="227"/>
      <c r="BP71" s="227"/>
    </row>
    <row r="72" spans="2:68" x14ac:dyDescent="0.2">
      <c r="B72" s="188"/>
      <c r="C72" s="164"/>
      <c r="D72" s="164"/>
      <c r="E72" s="164"/>
      <c r="F72" s="164"/>
      <c r="G72" s="202"/>
      <c r="H72" s="164"/>
      <c r="I72" s="189"/>
      <c r="J72" s="189"/>
      <c r="L72" s="418"/>
      <c r="M72" s="418"/>
      <c r="N72" s="418"/>
      <c r="O72" s="418"/>
      <c r="P72" s="418"/>
      <c r="Q72" s="418"/>
      <c r="R72" s="418"/>
      <c r="S72" s="418"/>
      <c r="T72" s="418"/>
      <c r="U72" s="418"/>
      <c r="V72" s="418"/>
      <c r="W72" s="418"/>
      <c r="X72" s="418"/>
      <c r="Y72" s="419"/>
      <c r="Z72" s="418"/>
      <c r="AA72" s="430" t="str">
        <f>AA67</f>
        <v>مصادر أخرى</v>
      </c>
      <c r="AB72" s="428">
        <f>AB67</f>
        <v>24832715.28103834</v>
      </c>
      <c r="AC72" s="430"/>
      <c r="AD72" s="430" t="str">
        <f>الدراسة!B200</f>
        <v>أثاث الوحدات الفندقية 
 (Apartment furniture)</v>
      </c>
      <c r="AE72" s="431">
        <f>-الدراسة!C200</f>
        <v>0</v>
      </c>
      <c r="AF72" s="418"/>
      <c r="AG72" s="418"/>
      <c r="AH72" s="418"/>
      <c r="AI72" s="418"/>
      <c r="AJ72" s="418"/>
      <c r="AK72" s="418"/>
      <c r="AL72" s="418"/>
      <c r="AM72" s="418"/>
      <c r="AN72" s="418"/>
      <c r="AO72" s="418"/>
      <c r="AP72" s="418"/>
      <c r="AQ72" s="418"/>
      <c r="AR72" s="418"/>
      <c r="AS72" s="418"/>
      <c r="AT72" s="418"/>
      <c r="AU72" s="418"/>
      <c r="AV72" s="418"/>
      <c r="AW72" s="418"/>
      <c r="AX72" s="418"/>
      <c r="AY72" s="418"/>
      <c r="AZ72" s="418"/>
      <c r="BA72" s="418"/>
      <c r="BB72" s="418"/>
      <c r="BC72" s="418"/>
      <c r="BD72" s="418"/>
      <c r="BE72" s="418"/>
      <c r="BF72" s="418"/>
      <c r="BG72" s="418"/>
      <c r="BH72" s="418"/>
      <c r="BI72" s="418"/>
      <c r="BJ72" s="418"/>
      <c r="BO72" s="227"/>
      <c r="BP72" s="227"/>
    </row>
    <row r="73" spans="2:68" x14ac:dyDescent="0.2">
      <c r="B73" s="187" t="s">
        <v>306</v>
      </c>
      <c r="C73" s="164"/>
      <c r="D73" s="164"/>
      <c r="E73" s="164"/>
      <c r="F73" s="164"/>
      <c r="G73" s="202"/>
      <c r="H73" s="164"/>
      <c r="I73" s="174">
        <f>I74+I75+I76</f>
        <v>3359.0385815384616</v>
      </c>
      <c r="J73" s="174">
        <f>J74+J75+J76</f>
        <v>229254383.19</v>
      </c>
      <c r="L73" s="418"/>
      <c r="M73" s="418"/>
      <c r="N73" s="418"/>
      <c r="O73" s="418"/>
      <c r="P73" s="418"/>
      <c r="Q73" s="418"/>
      <c r="R73" s="418"/>
      <c r="S73" s="418"/>
      <c r="T73" s="418"/>
      <c r="U73" s="418"/>
      <c r="V73" s="418"/>
      <c r="W73" s="418"/>
      <c r="X73" s="418"/>
      <c r="Y73" s="418"/>
      <c r="Z73" s="418"/>
      <c r="AA73" s="430" t="str">
        <f>AA68</f>
        <v>التمويل</v>
      </c>
      <c r="AB73" s="428">
        <f>AB68</f>
        <v>259300000</v>
      </c>
      <c r="AC73" s="430"/>
      <c r="AD73" s="430" t="str">
        <f>الدراسة!B201</f>
        <v>أثاث الوحدات 
 (Apartment furniture)</v>
      </c>
      <c r="AE73" s="431">
        <f>-الدراسة!C201</f>
        <v>0</v>
      </c>
      <c r="AF73" s="418"/>
      <c r="AG73" s="418"/>
      <c r="AH73" s="418"/>
      <c r="AI73" s="418"/>
      <c r="AJ73" s="418"/>
      <c r="AK73" s="418"/>
      <c r="AL73" s="418"/>
      <c r="AM73" s="418"/>
      <c r="AN73" s="418"/>
      <c r="AO73" s="418"/>
      <c r="AP73" s="418"/>
      <c r="AQ73" s="418"/>
      <c r="AR73" s="418"/>
      <c r="AS73" s="418"/>
      <c r="AT73" s="418"/>
      <c r="AU73" s="418"/>
      <c r="AV73" s="418"/>
      <c r="AW73" s="418"/>
      <c r="AX73" s="418"/>
      <c r="AY73" s="418"/>
      <c r="AZ73" s="418"/>
      <c r="BA73" s="418"/>
      <c r="BB73" s="418"/>
      <c r="BC73" s="418"/>
      <c r="BD73" s="418"/>
      <c r="BE73" s="418"/>
      <c r="BF73" s="418"/>
      <c r="BG73" s="418"/>
      <c r="BH73" s="418"/>
      <c r="BI73" s="418"/>
      <c r="BJ73" s="418"/>
      <c r="BO73" s="227"/>
      <c r="BP73" s="227"/>
    </row>
    <row r="74" spans="2:68" x14ac:dyDescent="0.2">
      <c r="B74" s="188" t="s">
        <v>316</v>
      </c>
      <c r="C74" s="164"/>
      <c r="D74" s="164"/>
      <c r="E74" s="164"/>
      <c r="F74" s="164"/>
      <c r="G74" s="202"/>
      <c r="H74" s="164"/>
      <c r="I74" s="189">
        <f>J74/$H$16</f>
        <v>2658.4615384615386</v>
      </c>
      <c r="J74" s="189">
        <f>الدراسة!C19</f>
        <v>181440000</v>
      </c>
      <c r="L74" s="418"/>
      <c r="M74" s="418"/>
      <c r="N74" s="418"/>
      <c r="O74" s="418"/>
      <c r="P74" s="418"/>
      <c r="Q74" s="418"/>
      <c r="R74" s="418"/>
      <c r="S74" s="418"/>
      <c r="T74" s="418"/>
      <c r="U74" s="418"/>
      <c r="V74" s="418"/>
      <c r="W74" s="418"/>
      <c r="X74" s="418"/>
      <c r="Y74" s="418"/>
      <c r="Z74" s="418"/>
      <c r="AA74" s="430" t="s">
        <v>365</v>
      </c>
      <c r="AB74" s="428">
        <f>AB69+AB70</f>
        <v>220500000</v>
      </c>
      <c r="AC74" s="430"/>
      <c r="AD74" s="430" t="str">
        <f>الدراسة!B202</f>
        <v>رسوم كهرباء 
 (Electricity fees)</v>
      </c>
      <c r="AE74" s="431">
        <f>-الدراسة!C202</f>
        <v>2676000</v>
      </c>
      <c r="AF74" s="418"/>
      <c r="AG74" s="418"/>
      <c r="AH74" s="418"/>
      <c r="AI74" s="418"/>
      <c r="AJ74" s="418"/>
      <c r="AK74" s="418"/>
      <c r="AL74" s="418"/>
      <c r="AM74" s="418"/>
      <c r="AN74" s="418"/>
      <c r="AO74" s="418"/>
      <c r="AP74" s="418"/>
      <c r="AQ74" s="418"/>
      <c r="AR74" s="418"/>
      <c r="AS74" s="418"/>
      <c r="AT74" s="418"/>
      <c r="AU74" s="418"/>
      <c r="AV74" s="418"/>
      <c r="AW74" s="418"/>
      <c r="AX74" s="418"/>
      <c r="AY74" s="418"/>
      <c r="AZ74" s="418"/>
      <c r="BA74" s="418"/>
      <c r="BB74" s="418"/>
      <c r="BC74" s="418"/>
      <c r="BD74" s="418"/>
      <c r="BE74" s="418"/>
      <c r="BF74" s="418"/>
      <c r="BG74" s="418"/>
      <c r="BH74" s="418"/>
      <c r="BI74" s="418"/>
      <c r="BJ74" s="418"/>
      <c r="BO74" s="227"/>
      <c r="BP74" s="227"/>
    </row>
    <row r="75" spans="2:68" x14ac:dyDescent="0.2">
      <c r="B75" s="188" t="s">
        <v>317</v>
      </c>
      <c r="C75" s="164"/>
      <c r="D75" s="164"/>
      <c r="E75" s="164"/>
      <c r="F75" s="164"/>
      <c r="G75" s="202"/>
      <c r="H75" s="164"/>
      <c r="I75" s="189">
        <f>J75/$H$16</f>
        <v>408.57846153846151</v>
      </c>
      <c r="J75" s="189">
        <f>الدراسة!C101-الدراسة!C98-الدراسة!C99</f>
        <v>27885480</v>
      </c>
      <c r="L75" s="418"/>
      <c r="M75" s="418"/>
      <c r="N75" s="418"/>
      <c r="O75" s="418"/>
      <c r="P75" s="418"/>
      <c r="Q75" s="418"/>
      <c r="R75" s="418"/>
      <c r="S75" s="418"/>
      <c r="T75" s="418"/>
      <c r="U75" s="418"/>
      <c r="V75" s="418"/>
      <c r="W75" s="418"/>
      <c r="X75" s="418"/>
      <c r="Y75" s="418"/>
      <c r="Z75" s="418"/>
      <c r="AA75" s="430"/>
      <c r="AB75" s="430"/>
      <c r="AC75" s="430"/>
      <c r="AD75" s="430" t="str">
        <f>الدراسة!B203</f>
        <v>رسوم الماء وصرف الصحي 
 (Water and sewer fees)</v>
      </c>
      <c r="AE75" s="431">
        <f>-الدراسة!C203</f>
        <v>1440000</v>
      </c>
      <c r="AF75" s="418"/>
      <c r="AG75" s="418"/>
      <c r="AH75" s="418"/>
      <c r="AI75" s="418"/>
      <c r="AJ75" s="418"/>
      <c r="AK75" s="418"/>
      <c r="AL75" s="418"/>
      <c r="AM75" s="418"/>
      <c r="AN75" s="418"/>
      <c r="AO75" s="418"/>
      <c r="AP75" s="418"/>
      <c r="AQ75" s="418"/>
      <c r="AR75" s="418"/>
      <c r="AS75" s="418"/>
      <c r="AT75" s="418"/>
      <c r="AU75" s="418"/>
      <c r="AV75" s="418"/>
      <c r="AW75" s="418"/>
      <c r="AX75" s="418"/>
      <c r="AY75" s="418"/>
      <c r="AZ75" s="418"/>
      <c r="BA75" s="418"/>
      <c r="BB75" s="418"/>
      <c r="BC75" s="418"/>
      <c r="BD75" s="418"/>
      <c r="BE75" s="418"/>
      <c r="BF75" s="418"/>
      <c r="BG75" s="418"/>
      <c r="BH75" s="418"/>
      <c r="BI75" s="418"/>
      <c r="BJ75" s="418"/>
      <c r="BO75" s="227"/>
      <c r="BP75" s="227"/>
    </row>
    <row r="76" spans="2:68" x14ac:dyDescent="0.2">
      <c r="B76" s="190">
        <v>0.12</v>
      </c>
      <c r="C76" s="164"/>
      <c r="D76" s="164"/>
      <c r="E76" s="164"/>
      <c r="F76" s="164"/>
      <c r="G76" s="202"/>
      <c r="H76" s="164"/>
      <c r="I76" s="189">
        <f>J76/$H$16</f>
        <v>291.99858153846156</v>
      </c>
      <c r="J76" s="189">
        <f>الدراسة!C103</f>
        <v>19928903.190000001</v>
      </c>
      <c r="L76" s="418"/>
      <c r="M76" s="418"/>
      <c r="N76" s="418"/>
      <c r="O76" s="418"/>
      <c r="P76" s="418"/>
      <c r="Q76" s="418"/>
      <c r="R76" s="418"/>
      <c r="S76" s="418"/>
      <c r="T76" s="418"/>
      <c r="U76" s="418"/>
      <c r="V76" s="418"/>
      <c r="W76" s="418"/>
      <c r="X76" s="418"/>
      <c r="Y76" s="418"/>
      <c r="Z76" s="418"/>
      <c r="AA76" s="430"/>
      <c r="AB76" s="430"/>
      <c r="AC76" s="430"/>
      <c r="AD76" s="430" t="str">
        <f>الدراسة!B204</f>
        <v>الفرز 
 (Sorting)</v>
      </c>
      <c r="AE76" s="431">
        <f>-الدراسة!C204</f>
        <v>240000</v>
      </c>
      <c r="AF76" s="418"/>
      <c r="AG76" s="418"/>
      <c r="AH76" s="418"/>
      <c r="AI76" s="418"/>
      <c r="AJ76" s="418"/>
      <c r="AK76" s="418"/>
      <c r="AL76" s="418"/>
      <c r="AM76" s="418"/>
      <c r="AN76" s="418"/>
      <c r="AO76" s="418"/>
      <c r="AP76" s="418"/>
      <c r="AQ76" s="418"/>
      <c r="AR76" s="418"/>
      <c r="AS76" s="418"/>
      <c r="AT76" s="418"/>
      <c r="AU76" s="418"/>
      <c r="AV76" s="418"/>
      <c r="AW76" s="418"/>
      <c r="AX76" s="418"/>
      <c r="AY76" s="418"/>
      <c r="AZ76" s="418"/>
      <c r="BA76" s="418"/>
      <c r="BB76" s="418"/>
      <c r="BC76" s="418"/>
      <c r="BD76" s="418"/>
      <c r="BE76" s="418"/>
      <c r="BF76" s="418"/>
      <c r="BG76" s="418"/>
      <c r="BH76" s="418"/>
      <c r="BI76" s="418"/>
      <c r="BJ76" s="418"/>
      <c r="BO76" s="227"/>
      <c r="BP76" s="227"/>
    </row>
    <row r="77" spans="2:68" x14ac:dyDescent="0.2">
      <c r="B77" s="190"/>
      <c r="C77" s="164"/>
      <c r="D77" s="164"/>
      <c r="E77" s="164"/>
      <c r="F77" s="164"/>
      <c r="G77" s="202"/>
      <c r="H77" s="164"/>
      <c r="I77" s="189"/>
      <c r="J77" s="189"/>
      <c r="L77" s="418"/>
      <c r="M77" s="418"/>
      <c r="N77" s="418"/>
      <c r="O77" s="418"/>
      <c r="P77" s="418"/>
      <c r="Q77" s="418"/>
      <c r="R77" s="418"/>
      <c r="S77" s="418"/>
      <c r="T77" s="418"/>
      <c r="U77" s="418"/>
      <c r="V77" s="418"/>
      <c r="W77" s="418"/>
      <c r="X77" s="418"/>
      <c r="Y77" s="418"/>
      <c r="Z77" s="418"/>
      <c r="AA77" s="430"/>
      <c r="AB77" s="430"/>
      <c r="AC77" s="430"/>
      <c r="AD77" s="430" t="str">
        <f>الدراسة!B205</f>
        <v>الصيانة و التشغيل 
 (Maintenance and Operation)</v>
      </c>
      <c r="AE77" s="431">
        <f>-الدراسة!C205</f>
        <v>3120000</v>
      </c>
      <c r="AF77" s="418"/>
      <c r="AG77" s="418"/>
      <c r="AH77" s="418"/>
      <c r="AI77" s="418"/>
      <c r="AJ77" s="418"/>
      <c r="AK77" s="418"/>
      <c r="AL77" s="418"/>
      <c r="AM77" s="418"/>
      <c r="AN77" s="418"/>
      <c r="AO77" s="418"/>
      <c r="AP77" s="418"/>
      <c r="AQ77" s="418"/>
      <c r="AR77" s="418"/>
      <c r="AS77" s="418"/>
      <c r="AT77" s="418"/>
      <c r="AU77" s="418"/>
      <c r="AV77" s="418"/>
      <c r="AW77" s="418"/>
      <c r="AX77" s="418"/>
      <c r="AY77" s="418"/>
      <c r="AZ77" s="418"/>
      <c r="BA77" s="418"/>
      <c r="BB77" s="418"/>
      <c r="BC77" s="418"/>
      <c r="BD77" s="418"/>
      <c r="BE77" s="418"/>
      <c r="BF77" s="418"/>
      <c r="BG77" s="418"/>
      <c r="BH77" s="418"/>
      <c r="BI77" s="418"/>
      <c r="BJ77" s="418"/>
      <c r="BO77" s="227"/>
      <c r="BP77" s="227"/>
    </row>
    <row r="78" spans="2:68" x14ac:dyDescent="0.2">
      <c r="B78" s="187" t="s">
        <v>307</v>
      </c>
      <c r="C78" s="164"/>
      <c r="D78" s="164"/>
      <c r="E78" s="164"/>
      <c r="F78" s="164"/>
      <c r="G78" s="202"/>
      <c r="H78" s="164"/>
      <c r="I78" s="174">
        <f>J78/H16</f>
        <v>10.139661538461539</v>
      </c>
      <c r="J78" s="174">
        <f>الدراسة!C98+الدراسة!C99</f>
        <v>692031.9</v>
      </c>
      <c r="L78" s="418"/>
      <c r="M78" s="418"/>
      <c r="N78" s="418"/>
      <c r="O78" s="418"/>
      <c r="P78" s="418"/>
      <c r="Q78" s="418"/>
      <c r="R78" s="418"/>
      <c r="S78" s="418"/>
      <c r="T78" s="418"/>
      <c r="U78" s="418"/>
      <c r="V78" s="418"/>
      <c r="W78" s="418"/>
      <c r="X78" s="418"/>
      <c r="Y78" s="418"/>
      <c r="Z78" s="418"/>
      <c r="AA78" s="430"/>
      <c r="AB78" s="430"/>
      <c r="AC78" s="430"/>
      <c r="AD78" s="430" t="str">
        <f>الدراسة!B206</f>
        <v>الاحتياطي 
 (Contingency)</v>
      </c>
      <c r="AE78" s="431">
        <f>-الدراسة!C206</f>
        <v>3628800</v>
      </c>
      <c r="AF78" s="418"/>
      <c r="AG78" s="418"/>
      <c r="AH78" s="418"/>
      <c r="AI78" s="418"/>
      <c r="AJ78" s="418"/>
      <c r="AK78" s="418"/>
      <c r="AL78" s="418"/>
      <c r="AM78" s="418"/>
      <c r="AN78" s="418"/>
      <c r="AO78" s="418"/>
      <c r="AP78" s="418"/>
      <c r="AQ78" s="418"/>
      <c r="AR78" s="418"/>
      <c r="AS78" s="418"/>
      <c r="AT78" s="418"/>
      <c r="AU78" s="418"/>
      <c r="AV78" s="418"/>
      <c r="AW78" s="418"/>
      <c r="AX78" s="418"/>
      <c r="AY78" s="418"/>
      <c r="AZ78" s="418"/>
      <c r="BA78" s="418"/>
      <c r="BB78" s="418"/>
      <c r="BC78" s="418"/>
      <c r="BD78" s="418"/>
      <c r="BE78" s="418"/>
      <c r="BF78" s="418"/>
      <c r="BG78" s="418"/>
      <c r="BH78" s="418"/>
      <c r="BI78" s="418"/>
      <c r="BJ78" s="418"/>
      <c r="BO78" s="227"/>
      <c r="BP78" s="227"/>
    </row>
    <row r="79" spans="2:68" x14ac:dyDescent="0.2">
      <c r="B79" s="187"/>
      <c r="C79" s="164"/>
      <c r="D79" s="164"/>
      <c r="E79" s="164"/>
      <c r="F79" s="164"/>
      <c r="G79" s="202"/>
      <c r="H79" s="164"/>
      <c r="I79" s="174"/>
      <c r="J79" s="174"/>
      <c r="L79" s="418"/>
      <c r="M79" s="418"/>
      <c r="N79" s="418"/>
      <c r="O79" s="418"/>
      <c r="P79" s="418"/>
      <c r="Q79" s="418"/>
      <c r="R79" s="418"/>
      <c r="S79" s="418"/>
      <c r="T79" s="418"/>
      <c r="U79" s="418"/>
      <c r="V79" s="418"/>
      <c r="W79" s="418"/>
      <c r="X79" s="418"/>
      <c r="Y79" s="418"/>
      <c r="Z79" s="418"/>
      <c r="AA79" s="430"/>
      <c r="AB79" s="430"/>
      <c r="AC79" s="430"/>
      <c r="AD79" s="430" t="str">
        <f>الدراسة!B207</f>
        <v>التسويق المبيعات والتأجير
 (Sales and Leasing Marketing)</v>
      </c>
      <c r="AE79" s="431">
        <f>-الدراسة!C207</f>
        <v>692031.9</v>
      </c>
      <c r="AF79" s="418"/>
      <c r="AG79" s="418"/>
      <c r="AH79" s="418"/>
      <c r="AI79" s="418"/>
      <c r="AJ79" s="418"/>
      <c r="AK79" s="418"/>
      <c r="AL79" s="418"/>
      <c r="AM79" s="418"/>
      <c r="AN79" s="418"/>
      <c r="AO79" s="418"/>
      <c r="AP79" s="418"/>
      <c r="AQ79" s="418"/>
      <c r="AR79" s="418"/>
      <c r="AS79" s="418"/>
      <c r="AT79" s="418"/>
      <c r="AU79" s="418"/>
      <c r="AV79" s="418"/>
      <c r="AW79" s="418"/>
      <c r="AX79" s="418"/>
      <c r="AY79" s="418"/>
      <c r="AZ79" s="418"/>
      <c r="BA79" s="418"/>
      <c r="BB79" s="418"/>
      <c r="BC79" s="418"/>
      <c r="BD79" s="418"/>
      <c r="BE79" s="418"/>
      <c r="BF79" s="418"/>
      <c r="BG79" s="418"/>
      <c r="BH79" s="418"/>
      <c r="BI79" s="418"/>
      <c r="BJ79" s="418"/>
      <c r="BO79" s="227"/>
      <c r="BP79" s="227"/>
    </row>
    <row r="80" spans="2:68" x14ac:dyDescent="0.2">
      <c r="B80" s="187" t="s">
        <v>318</v>
      </c>
      <c r="C80" s="164"/>
      <c r="D80" s="164"/>
      <c r="E80" s="164"/>
      <c r="F80" s="164"/>
      <c r="G80" s="202"/>
      <c r="H80" s="164"/>
      <c r="I80" s="174">
        <f>I82+I81</f>
        <v>617.35567765567771</v>
      </c>
      <c r="J80" s="174">
        <f>J82+J81</f>
        <v>42134525</v>
      </c>
      <c r="L80" s="418"/>
      <c r="M80" s="418"/>
      <c r="N80" s="418"/>
      <c r="O80" s="418"/>
      <c r="P80" s="418"/>
      <c r="Q80" s="418"/>
      <c r="R80" s="418"/>
      <c r="S80" s="418"/>
      <c r="T80" s="418"/>
      <c r="U80" s="418"/>
      <c r="V80" s="418"/>
      <c r="W80" s="418"/>
      <c r="X80" s="418"/>
      <c r="Y80" s="418"/>
      <c r="Z80" s="418"/>
      <c r="AA80" s="430"/>
      <c r="AB80" s="430"/>
      <c r="AC80" s="430"/>
      <c r="AD80" s="430" t="str">
        <f>الدراسة!B208</f>
        <v>الإشراف الهندسي 
 (Engineering Supervision)</v>
      </c>
      <c r="AE80" s="431">
        <f>-الدراسة!C208</f>
        <v>5443200</v>
      </c>
      <c r="AF80" s="418"/>
      <c r="AG80" s="418"/>
      <c r="AH80" s="418"/>
      <c r="AI80" s="418"/>
      <c r="AJ80" s="418"/>
      <c r="AK80" s="418"/>
      <c r="AL80" s="418"/>
      <c r="AM80" s="418"/>
      <c r="AN80" s="418"/>
      <c r="AO80" s="418"/>
      <c r="AP80" s="418"/>
      <c r="AQ80" s="418"/>
      <c r="AR80" s="418"/>
      <c r="AS80" s="418"/>
      <c r="AT80" s="418"/>
      <c r="AU80" s="418"/>
      <c r="AV80" s="418"/>
      <c r="AW80" s="418"/>
      <c r="AX80" s="418"/>
      <c r="AY80" s="418"/>
      <c r="AZ80" s="418"/>
      <c r="BA80" s="418"/>
      <c r="BB80" s="418"/>
      <c r="BC80" s="418"/>
      <c r="BD80" s="418"/>
      <c r="BE80" s="418"/>
      <c r="BF80" s="418"/>
      <c r="BG80" s="418"/>
      <c r="BH80" s="418"/>
      <c r="BI80" s="418"/>
      <c r="BJ80" s="418"/>
      <c r="BO80" s="227"/>
      <c r="BP80" s="227"/>
    </row>
    <row r="81" spans="2:68" x14ac:dyDescent="0.2">
      <c r="B81" s="191">
        <f>الدراسة!C190</f>
        <v>7.2999999999999995E-2</v>
      </c>
      <c r="C81" s="164"/>
      <c r="D81" s="164"/>
      <c r="E81" s="164"/>
      <c r="F81" s="164"/>
      <c r="G81" s="202"/>
      <c r="H81" s="164"/>
      <c r="I81" s="189">
        <f>J81/$H$16</f>
        <v>598.35934065934066</v>
      </c>
      <c r="J81" s="189">
        <f>-الدراسة!E190</f>
        <v>40838025</v>
      </c>
      <c r="L81" s="418"/>
      <c r="M81" s="418"/>
      <c r="N81" s="418"/>
      <c r="O81" s="418"/>
      <c r="P81" s="418"/>
      <c r="Q81" s="418"/>
      <c r="R81" s="418"/>
      <c r="S81" s="418"/>
      <c r="T81" s="418"/>
      <c r="U81" s="418"/>
      <c r="V81" s="418"/>
      <c r="W81" s="418"/>
      <c r="X81" s="418"/>
      <c r="Y81" s="418"/>
      <c r="Z81" s="418"/>
      <c r="AA81" s="430"/>
      <c r="AB81" s="430"/>
      <c r="AC81" s="430"/>
      <c r="AF81" s="418"/>
      <c r="AG81" s="418"/>
      <c r="AH81" s="418"/>
      <c r="AI81" s="418"/>
      <c r="AJ81" s="418"/>
      <c r="AK81" s="418"/>
      <c r="AL81" s="418"/>
      <c r="AM81" s="418"/>
      <c r="AN81" s="418"/>
      <c r="AO81" s="418"/>
      <c r="AP81" s="418"/>
      <c r="AQ81" s="418"/>
      <c r="AR81" s="418"/>
      <c r="AS81" s="418"/>
      <c r="AT81" s="418"/>
      <c r="AU81" s="418"/>
      <c r="AV81" s="418"/>
      <c r="AW81" s="418"/>
      <c r="AX81" s="418"/>
      <c r="AY81" s="418"/>
      <c r="AZ81" s="418"/>
      <c r="BA81" s="418"/>
      <c r="BB81" s="418"/>
      <c r="BC81" s="418"/>
      <c r="BD81" s="418"/>
      <c r="BE81" s="418"/>
      <c r="BF81" s="418"/>
      <c r="BG81" s="418"/>
      <c r="BH81" s="418"/>
      <c r="BI81" s="418"/>
      <c r="BJ81" s="418"/>
      <c r="BO81" s="227"/>
      <c r="BP81" s="227"/>
    </row>
    <row r="82" spans="2:68" x14ac:dyDescent="0.2">
      <c r="B82" s="192">
        <f>الدراسة!C191</f>
        <v>5.0000000000000001E-3</v>
      </c>
      <c r="C82" s="164"/>
      <c r="D82" s="164"/>
      <c r="E82" s="164"/>
      <c r="F82" s="164"/>
      <c r="G82" s="202"/>
      <c r="H82" s="164"/>
      <c r="I82" s="189">
        <f>J82/$H$16</f>
        <v>18.996336996336996</v>
      </c>
      <c r="J82" s="189">
        <f>-الدراسة!E191</f>
        <v>1296500</v>
      </c>
      <c r="L82" s="418"/>
      <c r="M82" s="418"/>
      <c r="N82" s="418"/>
      <c r="O82" s="418"/>
      <c r="P82" s="418"/>
      <c r="Q82" s="418"/>
      <c r="R82" s="418"/>
      <c r="S82" s="418"/>
      <c r="T82" s="418"/>
      <c r="U82" s="418"/>
      <c r="V82" s="418"/>
      <c r="W82" s="418"/>
      <c r="X82" s="418"/>
      <c r="Y82" s="418"/>
      <c r="Z82" s="418"/>
      <c r="AA82" s="418"/>
      <c r="AB82" s="418"/>
      <c r="AC82" s="418"/>
      <c r="AD82" s="418"/>
      <c r="AE82" s="418"/>
      <c r="AF82" s="418"/>
      <c r="AG82" s="418"/>
      <c r="AH82" s="418"/>
      <c r="AI82" s="418"/>
      <c r="AJ82" s="418"/>
      <c r="AK82" s="418"/>
      <c r="AL82" s="418"/>
      <c r="AM82" s="418"/>
      <c r="AN82" s="418"/>
      <c r="AO82" s="418"/>
      <c r="AP82" s="418"/>
      <c r="AQ82" s="418"/>
      <c r="AR82" s="418"/>
      <c r="AS82" s="418"/>
      <c r="AT82" s="418"/>
      <c r="AU82" s="418"/>
      <c r="AV82" s="418"/>
      <c r="AW82" s="418"/>
      <c r="AX82" s="418"/>
      <c r="AY82" s="418"/>
      <c r="AZ82" s="418"/>
      <c r="BA82" s="418"/>
      <c r="BB82" s="418"/>
      <c r="BC82" s="418"/>
      <c r="BD82" s="418"/>
      <c r="BE82" s="418"/>
      <c r="BF82" s="418"/>
      <c r="BG82" s="418"/>
      <c r="BH82" s="418"/>
      <c r="BI82" s="418"/>
      <c r="BJ82" s="418"/>
      <c r="BO82" s="227"/>
      <c r="BP82" s="227"/>
    </row>
    <row r="83" spans="2:68" x14ac:dyDescent="0.2">
      <c r="B83" s="192"/>
      <c r="C83" s="164"/>
      <c r="D83" s="164"/>
      <c r="E83" s="164"/>
      <c r="F83" s="164"/>
      <c r="G83" s="202"/>
      <c r="H83" s="164"/>
      <c r="I83" s="189"/>
      <c r="J83" s="189"/>
      <c r="L83" s="418"/>
      <c r="M83" s="418"/>
      <c r="N83" s="418"/>
      <c r="O83" s="418"/>
      <c r="P83" s="418"/>
      <c r="Q83" s="418"/>
      <c r="R83" s="418"/>
      <c r="S83" s="418"/>
      <c r="T83" s="418"/>
      <c r="U83" s="418"/>
      <c r="V83" s="418"/>
      <c r="W83" s="418"/>
      <c r="X83" s="418"/>
      <c r="Y83" s="418"/>
      <c r="Z83" s="418"/>
      <c r="AA83" s="418"/>
      <c r="AB83" s="418"/>
      <c r="AC83" s="418"/>
      <c r="AD83" s="418"/>
      <c r="AE83" s="418"/>
      <c r="AF83" s="418"/>
      <c r="AG83" s="418"/>
      <c r="AH83" s="418"/>
      <c r="AI83" s="418"/>
      <c r="AJ83" s="418"/>
      <c r="AK83" s="418"/>
      <c r="AL83" s="418"/>
      <c r="AM83" s="418"/>
      <c r="AN83" s="418"/>
      <c r="AO83" s="418"/>
      <c r="AP83" s="418"/>
      <c r="AQ83" s="418"/>
      <c r="AR83" s="418"/>
      <c r="AS83" s="418"/>
      <c r="AT83" s="418"/>
      <c r="AU83" s="418"/>
      <c r="AV83" s="418"/>
      <c r="AW83" s="418"/>
      <c r="AX83" s="418"/>
      <c r="AY83" s="418"/>
      <c r="AZ83" s="418"/>
      <c r="BA83" s="418"/>
      <c r="BB83" s="418"/>
      <c r="BC83" s="418"/>
      <c r="BD83" s="418"/>
      <c r="BE83" s="418"/>
      <c r="BF83" s="418"/>
      <c r="BG83" s="418"/>
      <c r="BH83" s="418"/>
      <c r="BI83" s="418"/>
      <c r="BJ83" s="418"/>
      <c r="BO83" s="227"/>
      <c r="BP83" s="227"/>
    </row>
    <row r="84" spans="2:68" x14ac:dyDescent="0.2">
      <c r="B84" s="187" t="s">
        <v>308</v>
      </c>
      <c r="C84" s="164"/>
      <c r="D84" s="164"/>
      <c r="E84" s="164"/>
      <c r="F84" s="164"/>
      <c r="G84" s="202"/>
      <c r="H84" s="164"/>
      <c r="I84" s="174">
        <f>I85+I86</f>
        <v>136.19817129726528</v>
      </c>
      <c r="J84" s="174">
        <f>J85+J86</f>
        <v>9295525.1910383552</v>
      </c>
      <c r="L84" s="418"/>
      <c r="M84" s="418"/>
      <c r="N84" s="418"/>
      <c r="O84" s="418"/>
      <c r="P84" s="418"/>
      <c r="Q84" s="418"/>
      <c r="R84" s="418"/>
      <c r="S84" s="418"/>
      <c r="T84" s="418"/>
      <c r="U84" s="418"/>
      <c r="V84" s="418"/>
      <c r="W84" s="418"/>
      <c r="X84" s="418"/>
      <c r="Y84" s="418"/>
      <c r="Z84" s="418"/>
      <c r="AA84" s="418"/>
      <c r="AB84" s="418"/>
      <c r="AC84" s="418"/>
      <c r="AD84" s="418"/>
      <c r="AE84" s="418"/>
      <c r="AF84" s="418"/>
      <c r="AG84" s="418"/>
      <c r="AH84" s="418"/>
      <c r="AI84" s="418"/>
      <c r="AJ84" s="418"/>
      <c r="AK84" s="418"/>
      <c r="AL84" s="418"/>
      <c r="AM84" s="418"/>
      <c r="AN84" s="418"/>
      <c r="AO84" s="418"/>
      <c r="AP84" s="418"/>
      <c r="AQ84" s="418"/>
      <c r="AR84" s="418"/>
      <c r="AS84" s="418"/>
      <c r="AT84" s="418"/>
      <c r="AU84" s="418"/>
      <c r="AV84" s="418"/>
      <c r="AW84" s="418"/>
      <c r="AX84" s="418"/>
      <c r="AY84" s="418"/>
      <c r="AZ84" s="418"/>
      <c r="BA84" s="418"/>
      <c r="BB84" s="418"/>
      <c r="BC84" s="418"/>
      <c r="BD84" s="418"/>
      <c r="BE84" s="418"/>
      <c r="BF84" s="418"/>
      <c r="BG84" s="418"/>
      <c r="BH84" s="418"/>
      <c r="BI84" s="418"/>
      <c r="BJ84" s="418"/>
      <c r="BO84" s="227"/>
      <c r="BP84" s="227"/>
    </row>
    <row r="85" spans="2:68" x14ac:dyDescent="0.2">
      <c r="B85" s="193">
        <f>الدراسة!D104</f>
        <v>5.0000000000000001E-3</v>
      </c>
      <c r="C85" s="164"/>
      <c r="D85" s="164"/>
      <c r="E85" s="164"/>
      <c r="F85" s="164"/>
      <c r="G85" s="202"/>
      <c r="H85" s="164"/>
      <c r="I85" s="189">
        <f>J85/$H$16</f>
        <v>120.18351928261326</v>
      </c>
      <c r="J85" s="189">
        <f>الدراسة!C104</f>
        <v>8202525.1910383552</v>
      </c>
      <c r="L85" s="418"/>
      <c r="M85" s="418"/>
      <c r="N85" s="418"/>
      <c r="O85" s="418"/>
      <c r="P85" s="418"/>
      <c r="Q85" s="418"/>
      <c r="R85" s="418"/>
      <c r="S85" s="418"/>
      <c r="T85" s="418"/>
      <c r="U85" s="418"/>
      <c r="V85" s="418"/>
      <c r="W85" s="418"/>
      <c r="X85" s="418"/>
      <c r="Y85" s="418"/>
      <c r="Z85" s="418"/>
      <c r="AA85" s="418"/>
      <c r="AB85" s="418"/>
      <c r="AC85" s="418"/>
      <c r="AD85" s="418"/>
      <c r="AE85" s="418"/>
      <c r="AF85" s="418"/>
      <c r="AG85" s="418"/>
      <c r="AH85" s="418"/>
      <c r="AI85" s="418"/>
      <c r="AJ85" s="418"/>
      <c r="AK85" s="418"/>
      <c r="AL85" s="418"/>
      <c r="AM85" s="418"/>
      <c r="AN85" s="418"/>
      <c r="AO85" s="418"/>
      <c r="AP85" s="418"/>
      <c r="AQ85" s="418"/>
      <c r="AR85" s="418"/>
      <c r="AS85" s="418"/>
      <c r="AT85" s="418"/>
      <c r="AU85" s="418"/>
      <c r="AV85" s="418"/>
      <c r="AW85" s="418"/>
      <c r="AX85" s="418"/>
      <c r="AY85" s="418"/>
      <c r="AZ85" s="418"/>
      <c r="BA85" s="418"/>
      <c r="BB85" s="418"/>
      <c r="BC85" s="418"/>
      <c r="BD85" s="418"/>
      <c r="BE85" s="418"/>
      <c r="BF85" s="418"/>
      <c r="BG85" s="418"/>
      <c r="BH85" s="418"/>
      <c r="BI85" s="418"/>
      <c r="BJ85" s="418"/>
      <c r="BO85" s="227"/>
      <c r="BP85" s="227"/>
    </row>
    <row r="86" spans="2:68" x14ac:dyDescent="0.2">
      <c r="B86" s="188" t="s">
        <v>309</v>
      </c>
      <c r="C86" s="164"/>
      <c r="D86" s="164"/>
      <c r="E86" s="164"/>
      <c r="F86" s="164"/>
      <c r="G86" s="202"/>
      <c r="H86" s="164"/>
      <c r="I86" s="189">
        <f>J86/$H$16</f>
        <v>16.014652014652015</v>
      </c>
      <c r="J86" s="189">
        <f>الدراسة!C105</f>
        <v>1093000</v>
      </c>
      <c r="L86" s="418"/>
      <c r="M86" s="418"/>
      <c r="N86" s="418"/>
      <c r="O86" s="418"/>
      <c r="P86" s="418"/>
      <c r="Q86" s="418"/>
      <c r="R86" s="418"/>
      <c r="S86" s="418"/>
      <c r="T86" s="418"/>
      <c r="U86" s="418"/>
      <c r="V86" s="418"/>
      <c r="W86" s="418"/>
      <c r="X86" s="418"/>
      <c r="Y86" s="418"/>
      <c r="Z86" s="418"/>
      <c r="AA86" s="418"/>
      <c r="AB86" s="418"/>
      <c r="AC86" s="418"/>
      <c r="AD86" s="418"/>
      <c r="AE86" s="418"/>
      <c r="AF86" s="418"/>
      <c r="AG86" s="418"/>
      <c r="AH86" s="418"/>
      <c r="AI86" s="418"/>
      <c r="AJ86" s="418"/>
      <c r="AK86" s="418"/>
      <c r="AL86" s="418"/>
      <c r="AM86" s="418"/>
      <c r="AN86" s="418"/>
      <c r="AO86" s="418"/>
      <c r="AP86" s="418"/>
      <c r="AQ86" s="418"/>
      <c r="AR86" s="418"/>
      <c r="AS86" s="418"/>
      <c r="AT86" s="418"/>
      <c r="AU86" s="418"/>
      <c r="AV86" s="418"/>
      <c r="AW86" s="418"/>
      <c r="AX86" s="418"/>
      <c r="AY86" s="418"/>
      <c r="AZ86" s="418"/>
      <c r="BA86" s="418"/>
      <c r="BB86" s="418"/>
      <c r="BC86" s="418"/>
      <c r="BD86" s="418"/>
      <c r="BE86" s="418"/>
      <c r="BF86" s="418"/>
      <c r="BG86" s="418"/>
      <c r="BH86" s="418"/>
      <c r="BI86" s="418"/>
      <c r="BJ86" s="418"/>
      <c r="BO86" s="227"/>
      <c r="BP86" s="227"/>
    </row>
    <row r="87" spans="2:68" x14ac:dyDescent="0.2">
      <c r="L87" s="418"/>
      <c r="M87" s="418"/>
      <c r="N87" s="418"/>
      <c r="O87" s="418"/>
      <c r="P87" s="418"/>
      <c r="Q87" s="418"/>
      <c r="R87" s="418"/>
      <c r="S87" s="418"/>
      <c r="T87" s="418"/>
      <c r="U87" s="418"/>
      <c r="V87" s="418"/>
      <c r="W87" s="418"/>
      <c r="X87" s="418"/>
      <c r="Y87" s="418"/>
      <c r="Z87" s="418"/>
      <c r="AA87" s="418"/>
      <c r="AB87" s="418"/>
      <c r="AC87" s="418"/>
      <c r="AD87" s="418"/>
      <c r="AE87" s="418"/>
      <c r="AF87" s="418"/>
      <c r="AG87" s="418"/>
      <c r="AH87" s="418"/>
      <c r="AI87" s="418"/>
      <c r="AJ87" s="418"/>
      <c r="AK87" s="418"/>
      <c r="AL87" s="418"/>
      <c r="AM87" s="418"/>
      <c r="AN87" s="418"/>
      <c r="AO87" s="418"/>
      <c r="AP87" s="418"/>
      <c r="AQ87" s="418"/>
      <c r="AR87" s="418"/>
      <c r="AS87" s="418"/>
      <c r="AT87" s="418"/>
      <c r="AU87" s="418"/>
      <c r="AV87" s="418"/>
      <c r="AW87" s="418"/>
      <c r="AX87" s="418"/>
      <c r="AY87" s="418"/>
      <c r="AZ87" s="418"/>
      <c r="BA87" s="418"/>
      <c r="BB87" s="418"/>
      <c r="BC87" s="418"/>
      <c r="BD87" s="418"/>
      <c r="BE87" s="418"/>
      <c r="BF87" s="418"/>
      <c r="BG87" s="418"/>
      <c r="BH87" s="418"/>
      <c r="BI87" s="418"/>
      <c r="BJ87" s="418"/>
      <c r="BO87" s="227"/>
      <c r="BP87" s="227"/>
    </row>
    <row r="88" spans="2:68" x14ac:dyDescent="0.2">
      <c r="L88" s="418"/>
      <c r="M88" s="418"/>
      <c r="N88" s="418"/>
      <c r="O88" s="418"/>
      <c r="P88" s="418"/>
      <c r="Q88" s="418"/>
      <c r="R88" s="418"/>
      <c r="S88" s="418"/>
      <c r="T88" s="418"/>
      <c r="U88" s="418"/>
      <c r="V88" s="418"/>
      <c r="W88" s="418"/>
      <c r="X88" s="418"/>
      <c r="Y88" s="418"/>
      <c r="Z88" s="418"/>
      <c r="AA88" s="418"/>
      <c r="AB88" s="418"/>
      <c r="AC88" s="418"/>
      <c r="AD88" s="418"/>
      <c r="AE88" s="418"/>
      <c r="AF88" s="418"/>
      <c r="AG88" s="418"/>
      <c r="AH88" s="418"/>
      <c r="AI88" s="418"/>
      <c r="AJ88" s="418"/>
      <c r="AK88" s="418"/>
      <c r="AL88" s="418"/>
      <c r="AM88" s="418"/>
      <c r="AN88" s="418"/>
      <c r="AO88" s="418"/>
      <c r="AP88" s="418"/>
      <c r="AQ88" s="418"/>
      <c r="AR88" s="418"/>
      <c r="AS88" s="418"/>
      <c r="AT88" s="418"/>
      <c r="AU88" s="418"/>
      <c r="AV88" s="418"/>
      <c r="AW88" s="418"/>
      <c r="AX88" s="418"/>
      <c r="AY88" s="418"/>
      <c r="AZ88" s="418"/>
      <c r="BA88" s="418"/>
      <c r="BB88" s="418"/>
      <c r="BC88" s="418"/>
      <c r="BD88" s="418"/>
      <c r="BE88" s="418"/>
      <c r="BF88" s="418"/>
      <c r="BG88" s="418"/>
      <c r="BH88" s="418"/>
      <c r="BI88" s="418"/>
      <c r="BJ88" s="418"/>
      <c r="BO88" s="227"/>
      <c r="BP88" s="227"/>
    </row>
    <row r="89" spans="2:68" x14ac:dyDescent="0.2">
      <c r="L89" s="418"/>
      <c r="M89" s="418"/>
      <c r="N89" s="418"/>
      <c r="O89" s="418"/>
      <c r="P89" s="418"/>
      <c r="Q89" s="418"/>
      <c r="R89" s="418"/>
      <c r="S89" s="418"/>
      <c r="T89" s="418"/>
      <c r="U89" s="418"/>
      <c r="V89" s="418"/>
      <c r="W89" s="418"/>
      <c r="X89" s="418"/>
      <c r="Y89" s="418"/>
      <c r="Z89" s="418"/>
      <c r="AA89" s="418"/>
      <c r="AB89" s="418"/>
      <c r="AC89" s="418"/>
      <c r="AD89" s="418"/>
      <c r="AE89" s="418"/>
      <c r="AF89" s="418"/>
      <c r="AG89" s="418"/>
      <c r="AH89" s="418"/>
      <c r="AI89" s="418"/>
      <c r="AJ89" s="418"/>
      <c r="AK89" s="418"/>
      <c r="AL89" s="418"/>
      <c r="AM89" s="418"/>
      <c r="AN89" s="418"/>
      <c r="AO89" s="418"/>
      <c r="AP89" s="418"/>
      <c r="AQ89" s="418"/>
      <c r="AR89" s="418"/>
      <c r="AS89" s="418"/>
      <c r="AT89" s="418"/>
      <c r="AU89" s="418"/>
      <c r="AV89" s="418"/>
      <c r="AW89" s="418"/>
      <c r="AX89" s="418"/>
      <c r="AY89" s="418"/>
      <c r="AZ89" s="418"/>
      <c r="BA89" s="418"/>
      <c r="BB89" s="418"/>
      <c r="BC89" s="418"/>
      <c r="BD89" s="418"/>
      <c r="BE89" s="418"/>
      <c r="BF89" s="418"/>
      <c r="BG89" s="418"/>
      <c r="BH89" s="418"/>
      <c r="BI89" s="418"/>
      <c r="BJ89" s="418"/>
      <c r="BO89" s="227"/>
      <c r="BP89" s="227"/>
    </row>
    <row r="90" spans="2:68" x14ac:dyDescent="0.2">
      <c r="L90" s="418"/>
      <c r="M90" s="418"/>
      <c r="N90" s="418"/>
      <c r="O90" s="418"/>
      <c r="P90" s="418"/>
      <c r="Q90" s="418"/>
      <c r="R90" s="418"/>
      <c r="S90" s="418"/>
      <c r="T90" s="418"/>
      <c r="U90" s="418"/>
      <c r="V90" s="418"/>
      <c r="W90" s="418"/>
      <c r="X90" s="418"/>
      <c r="Y90" s="418"/>
      <c r="Z90" s="418"/>
      <c r="AA90" s="418"/>
      <c r="AB90" s="418"/>
      <c r="AC90" s="418"/>
      <c r="AD90" s="418"/>
      <c r="AE90" s="418"/>
      <c r="AF90" s="418"/>
      <c r="AG90" s="418"/>
      <c r="AH90" s="418"/>
      <c r="AI90" s="418"/>
      <c r="AJ90" s="418"/>
      <c r="AK90" s="418"/>
      <c r="AL90" s="418"/>
      <c r="AM90" s="418"/>
      <c r="AN90" s="418"/>
      <c r="AO90" s="418"/>
      <c r="AP90" s="418"/>
      <c r="AQ90" s="418"/>
      <c r="AR90" s="418"/>
      <c r="AS90" s="418"/>
      <c r="AT90" s="418"/>
      <c r="AU90" s="418"/>
      <c r="AV90" s="418"/>
      <c r="AW90" s="418"/>
      <c r="AX90" s="418"/>
      <c r="AY90" s="418"/>
      <c r="AZ90" s="418"/>
      <c r="BA90" s="418"/>
      <c r="BB90" s="418"/>
      <c r="BC90" s="418"/>
      <c r="BD90" s="418"/>
      <c r="BE90" s="418"/>
      <c r="BF90" s="418"/>
      <c r="BG90" s="418"/>
      <c r="BH90" s="418"/>
      <c r="BI90" s="418"/>
      <c r="BJ90" s="418"/>
      <c r="BO90" s="227"/>
      <c r="BP90" s="227"/>
    </row>
    <row r="91" spans="2:68" x14ac:dyDescent="0.2">
      <c r="L91" s="418"/>
      <c r="M91" s="418"/>
      <c r="N91" s="418"/>
      <c r="O91" s="418"/>
      <c r="P91" s="418"/>
      <c r="Q91" s="418"/>
      <c r="R91" s="418"/>
      <c r="S91" s="418"/>
      <c r="T91" s="418"/>
      <c r="U91" s="418"/>
      <c r="V91" s="418"/>
      <c r="W91" s="418"/>
      <c r="X91" s="418"/>
      <c r="Y91" s="418"/>
      <c r="Z91" s="418"/>
      <c r="AA91" s="418"/>
      <c r="AB91" s="418"/>
      <c r="AC91" s="418"/>
      <c r="AD91" s="418"/>
      <c r="AE91" s="418"/>
      <c r="AF91" s="418"/>
      <c r="AG91" s="418"/>
      <c r="AH91" s="418"/>
      <c r="AI91" s="418"/>
      <c r="AJ91" s="418"/>
      <c r="AK91" s="418"/>
      <c r="AL91" s="418"/>
      <c r="AM91" s="418"/>
      <c r="AN91" s="418"/>
      <c r="AO91" s="418"/>
      <c r="AP91" s="418"/>
      <c r="AQ91" s="418"/>
      <c r="AR91" s="418"/>
      <c r="AS91" s="418"/>
      <c r="AT91" s="418"/>
      <c r="AU91" s="418"/>
      <c r="AV91" s="418"/>
      <c r="AW91" s="418"/>
      <c r="AX91" s="418"/>
      <c r="AY91" s="418"/>
      <c r="AZ91" s="418"/>
      <c r="BA91" s="418"/>
      <c r="BB91" s="418"/>
      <c r="BC91" s="418"/>
      <c r="BD91" s="418"/>
      <c r="BE91" s="418"/>
      <c r="BF91" s="418"/>
      <c r="BG91" s="418"/>
      <c r="BH91" s="418"/>
      <c r="BI91" s="418"/>
      <c r="BJ91" s="418"/>
      <c r="BO91" s="227"/>
      <c r="BP91" s="227"/>
    </row>
    <row r="92" spans="2:68" x14ac:dyDescent="0.2">
      <c r="L92" s="418"/>
      <c r="M92" s="418"/>
      <c r="N92" s="418"/>
      <c r="O92" s="418"/>
      <c r="P92" s="418"/>
      <c r="Q92" s="418"/>
      <c r="R92" s="418"/>
      <c r="S92" s="418"/>
      <c r="T92" s="418"/>
      <c r="U92" s="418"/>
      <c r="V92" s="418"/>
      <c r="W92" s="418"/>
      <c r="X92" s="418"/>
      <c r="Y92" s="418"/>
      <c r="Z92" s="418"/>
      <c r="AA92" s="418"/>
      <c r="AB92" s="418"/>
      <c r="AC92" s="418"/>
      <c r="AD92" s="418"/>
      <c r="AE92" s="418"/>
      <c r="AF92" s="418"/>
      <c r="AG92" s="418"/>
      <c r="AH92" s="418"/>
      <c r="AI92" s="418"/>
      <c r="AJ92" s="418"/>
      <c r="AK92" s="418"/>
      <c r="AL92" s="418"/>
      <c r="AM92" s="418"/>
      <c r="AN92" s="418"/>
      <c r="AO92" s="418"/>
      <c r="AP92" s="418"/>
      <c r="AQ92" s="418"/>
      <c r="AR92" s="418"/>
      <c r="AS92" s="418"/>
      <c r="AT92" s="418"/>
      <c r="AU92" s="418"/>
      <c r="AV92" s="418"/>
      <c r="AW92" s="418"/>
      <c r="AX92" s="418"/>
      <c r="AY92" s="418"/>
      <c r="AZ92" s="418"/>
      <c r="BA92" s="418"/>
      <c r="BB92" s="418"/>
      <c r="BC92" s="418"/>
      <c r="BD92" s="418"/>
      <c r="BE92" s="418"/>
      <c r="BF92" s="418"/>
      <c r="BG92" s="418"/>
      <c r="BH92" s="418"/>
      <c r="BI92" s="418"/>
      <c r="BJ92" s="418"/>
      <c r="BO92" s="227"/>
      <c r="BP92" s="227"/>
    </row>
    <row r="93" spans="2:68" x14ac:dyDescent="0.2">
      <c r="L93" s="418"/>
      <c r="M93" s="418"/>
      <c r="N93" s="418"/>
      <c r="O93" s="418"/>
      <c r="P93" s="418"/>
      <c r="Q93" s="418"/>
      <c r="R93" s="418"/>
      <c r="S93" s="418"/>
      <c r="T93" s="418"/>
      <c r="U93" s="418"/>
      <c r="V93" s="418"/>
      <c r="W93" s="418"/>
      <c r="X93" s="418"/>
      <c r="Y93" s="418"/>
      <c r="Z93" s="418"/>
      <c r="AA93" s="418"/>
      <c r="AB93" s="418"/>
      <c r="AC93" s="418"/>
      <c r="AD93" s="418"/>
      <c r="AE93" s="418"/>
      <c r="AF93" s="418"/>
      <c r="AG93" s="418"/>
      <c r="AH93" s="418"/>
      <c r="AI93" s="418"/>
      <c r="AJ93" s="418"/>
      <c r="AK93" s="418"/>
      <c r="AL93" s="418"/>
      <c r="AM93" s="418"/>
      <c r="AN93" s="418"/>
      <c r="AO93" s="418"/>
      <c r="AP93" s="418"/>
      <c r="AQ93" s="418"/>
      <c r="AR93" s="418"/>
      <c r="AS93" s="418"/>
      <c r="AT93" s="418"/>
      <c r="AU93" s="418"/>
      <c r="AV93" s="418"/>
      <c r="AW93" s="418"/>
      <c r="AX93" s="418"/>
      <c r="AY93" s="418"/>
      <c r="AZ93" s="418"/>
      <c r="BA93" s="418"/>
      <c r="BB93" s="418"/>
      <c r="BC93" s="418"/>
      <c r="BD93" s="418"/>
      <c r="BE93" s="418"/>
      <c r="BF93" s="418"/>
      <c r="BG93" s="418"/>
      <c r="BH93" s="418"/>
      <c r="BI93" s="418"/>
      <c r="BJ93" s="418"/>
      <c r="BO93" s="227"/>
      <c r="BP93" s="227"/>
    </row>
    <row r="94" spans="2:68" x14ac:dyDescent="0.2">
      <c r="L94" s="418"/>
      <c r="M94" s="418"/>
      <c r="N94" s="418"/>
      <c r="O94" s="418"/>
      <c r="P94" s="418"/>
      <c r="Q94" s="418"/>
      <c r="R94" s="418"/>
      <c r="S94" s="418"/>
      <c r="T94" s="418"/>
      <c r="U94" s="418"/>
      <c r="V94" s="418"/>
      <c r="W94" s="418"/>
      <c r="X94" s="418"/>
      <c r="Y94" s="418"/>
      <c r="Z94" s="418"/>
      <c r="AA94" s="418"/>
      <c r="AB94" s="418"/>
      <c r="AC94" s="418"/>
      <c r="AD94" s="418"/>
      <c r="AE94" s="418"/>
      <c r="AF94" s="418"/>
      <c r="AG94" s="418"/>
      <c r="AH94" s="418"/>
      <c r="AI94" s="418"/>
      <c r="AJ94" s="418"/>
      <c r="AK94" s="418"/>
      <c r="AL94" s="418"/>
      <c r="AM94" s="418"/>
      <c r="AN94" s="418"/>
      <c r="AO94" s="418"/>
      <c r="AP94" s="418"/>
      <c r="AQ94" s="418"/>
      <c r="AR94" s="418"/>
      <c r="AS94" s="418"/>
      <c r="AT94" s="418"/>
      <c r="AU94" s="418"/>
      <c r="AV94" s="418"/>
      <c r="AW94" s="418"/>
      <c r="AX94" s="418"/>
      <c r="AY94" s="418"/>
      <c r="AZ94" s="418"/>
      <c r="BA94" s="418"/>
      <c r="BB94" s="418"/>
      <c r="BC94" s="418"/>
      <c r="BD94" s="418"/>
      <c r="BE94" s="418"/>
      <c r="BF94" s="418"/>
      <c r="BG94" s="418"/>
      <c r="BH94" s="418"/>
      <c r="BI94" s="418"/>
      <c r="BJ94" s="418"/>
      <c r="BO94" s="227"/>
      <c r="BP94" s="227"/>
    </row>
    <row r="95" spans="2:68" x14ac:dyDescent="0.2">
      <c r="L95" s="418"/>
      <c r="M95" s="418"/>
      <c r="N95" s="418"/>
      <c r="O95" s="418"/>
      <c r="P95" s="418"/>
      <c r="Q95" s="418"/>
      <c r="R95" s="418"/>
      <c r="S95" s="418"/>
      <c r="T95" s="418"/>
      <c r="U95" s="418"/>
      <c r="V95" s="418"/>
      <c r="W95" s="418"/>
      <c r="X95" s="418"/>
      <c r="Y95" s="418"/>
      <c r="Z95" s="418"/>
      <c r="AA95" s="418"/>
      <c r="AB95" s="418"/>
      <c r="AC95" s="418"/>
      <c r="AD95" s="418"/>
      <c r="AE95" s="418"/>
      <c r="AF95" s="418"/>
      <c r="AG95" s="418"/>
      <c r="AH95" s="418"/>
      <c r="AI95" s="418"/>
      <c r="AJ95" s="418"/>
      <c r="AK95" s="418"/>
      <c r="AL95" s="418"/>
      <c r="AM95" s="418"/>
      <c r="AN95" s="418"/>
      <c r="AO95" s="418"/>
      <c r="AP95" s="418"/>
      <c r="AQ95" s="418"/>
      <c r="AR95" s="418"/>
      <c r="AS95" s="418"/>
      <c r="AT95" s="418"/>
      <c r="AU95" s="418"/>
      <c r="AV95" s="418"/>
      <c r="AW95" s="418"/>
      <c r="AX95" s="418"/>
      <c r="AY95" s="418"/>
      <c r="AZ95" s="418"/>
      <c r="BA95" s="418"/>
      <c r="BB95" s="418"/>
      <c r="BC95" s="418"/>
      <c r="BD95" s="418"/>
      <c r="BE95" s="418"/>
      <c r="BF95" s="418"/>
      <c r="BG95" s="418"/>
      <c r="BH95" s="418"/>
      <c r="BI95" s="418"/>
      <c r="BJ95" s="418"/>
      <c r="BO95" s="227"/>
      <c r="BP95" s="227"/>
    </row>
    <row r="96" spans="2:68" x14ac:dyDescent="0.2">
      <c r="L96" s="418"/>
      <c r="M96" s="418"/>
      <c r="N96" s="418"/>
      <c r="O96" s="418"/>
      <c r="P96" s="418"/>
      <c r="Q96" s="418"/>
      <c r="R96" s="418"/>
      <c r="S96" s="418"/>
      <c r="T96" s="418"/>
      <c r="U96" s="418"/>
      <c r="V96" s="418"/>
      <c r="W96" s="418"/>
      <c r="X96" s="418"/>
      <c r="Y96" s="418"/>
      <c r="Z96" s="418"/>
      <c r="AA96" s="418"/>
      <c r="AB96" s="418"/>
      <c r="AC96" s="418"/>
      <c r="AD96" s="418"/>
      <c r="AE96" s="418"/>
      <c r="AF96" s="418"/>
      <c r="AG96" s="418"/>
      <c r="AH96" s="418"/>
      <c r="AI96" s="418"/>
      <c r="AJ96" s="418"/>
      <c r="AK96" s="418"/>
      <c r="AL96" s="418"/>
      <c r="AM96" s="418"/>
      <c r="AN96" s="418"/>
      <c r="AO96" s="418"/>
      <c r="AP96" s="418"/>
      <c r="AQ96" s="418"/>
      <c r="AR96" s="418"/>
      <c r="AS96" s="418"/>
      <c r="AT96" s="418"/>
      <c r="AU96" s="418"/>
      <c r="AV96" s="418"/>
      <c r="AW96" s="418"/>
      <c r="AX96" s="418"/>
      <c r="AY96" s="418"/>
      <c r="AZ96" s="418"/>
      <c r="BA96" s="418"/>
      <c r="BB96" s="418"/>
      <c r="BC96" s="418"/>
      <c r="BD96" s="418"/>
      <c r="BE96" s="418"/>
      <c r="BF96" s="418"/>
      <c r="BG96" s="418"/>
      <c r="BH96" s="418"/>
      <c r="BI96" s="418"/>
      <c r="BJ96" s="418"/>
      <c r="BO96" s="227"/>
      <c r="BP96" s="227"/>
    </row>
    <row r="97" spans="12:68" x14ac:dyDescent="0.2">
      <c r="L97" s="418"/>
      <c r="M97" s="418"/>
      <c r="N97" s="418"/>
      <c r="O97" s="418"/>
      <c r="P97" s="418"/>
      <c r="Q97" s="418"/>
      <c r="R97" s="418"/>
      <c r="S97" s="418"/>
      <c r="T97" s="418"/>
      <c r="U97" s="418"/>
      <c r="V97" s="418"/>
      <c r="W97" s="418"/>
      <c r="X97" s="418"/>
      <c r="Y97" s="418"/>
      <c r="Z97" s="418"/>
      <c r="AA97" s="418"/>
      <c r="AB97" s="418"/>
      <c r="AC97" s="418"/>
      <c r="AD97" s="418"/>
      <c r="AE97" s="418"/>
      <c r="AF97" s="418"/>
      <c r="AG97" s="418"/>
      <c r="AH97" s="418"/>
      <c r="AI97" s="418"/>
      <c r="AJ97" s="418"/>
      <c r="AK97" s="418"/>
      <c r="AL97" s="418"/>
      <c r="AM97" s="418"/>
      <c r="AN97" s="418"/>
      <c r="AO97" s="418"/>
      <c r="AP97" s="418"/>
      <c r="AQ97" s="418"/>
      <c r="AR97" s="418"/>
      <c r="AS97" s="418"/>
      <c r="AT97" s="418"/>
      <c r="AU97" s="418"/>
      <c r="AV97" s="418"/>
      <c r="AW97" s="418"/>
      <c r="AX97" s="418"/>
      <c r="AY97" s="418"/>
      <c r="AZ97" s="418"/>
      <c r="BA97" s="418"/>
      <c r="BB97" s="418"/>
      <c r="BC97" s="418"/>
      <c r="BD97" s="418"/>
      <c r="BE97" s="418"/>
      <c r="BF97" s="418"/>
      <c r="BG97" s="418"/>
      <c r="BH97" s="418"/>
      <c r="BI97" s="418"/>
      <c r="BJ97" s="418"/>
      <c r="BO97" s="227"/>
      <c r="BP97" s="227"/>
    </row>
    <row r="98" spans="12:68" x14ac:dyDescent="0.2">
      <c r="L98" s="418"/>
      <c r="M98" s="418"/>
      <c r="N98" s="418"/>
      <c r="O98" s="418"/>
      <c r="P98" s="418"/>
      <c r="Q98" s="418"/>
      <c r="R98" s="418"/>
      <c r="S98" s="418"/>
      <c r="T98" s="418"/>
      <c r="U98" s="418"/>
      <c r="V98" s="418"/>
      <c r="W98" s="418"/>
      <c r="X98" s="418"/>
      <c r="Y98" s="418"/>
      <c r="Z98" s="418"/>
      <c r="AA98" s="418"/>
      <c r="AB98" s="418"/>
      <c r="AC98" s="418"/>
      <c r="AD98" s="418"/>
      <c r="AE98" s="418"/>
      <c r="AF98" s="418"/>
      <c r="AG98" s="418"/>
      <c r="AH98" s="418"/>
      <c r="AI98" s="418"/>
      <c r="AJ98" s="418"/>
      <c r="AK98" s="418"/>
      <c r="AL98" s="418"/>
      <c r="AM98" s="418"/>
      <c r="AN98" s="418"/>
      <c r="AO98" s="418"/>
      <c r="AP98" s="418"/>
      <c r="AQ98" s="418"/>
      <c r="AR98" s="418"/>
      <c r="AS98" s="418"/>
      <c r="AT98" s="418"/>
      <c r="AU98" s="418"/>
      <c r="AV98" s="418"/>
      <c r="AW98" s="418"/>
      <c r="AX98" s="418"/>
      <c r="AY98" s="418"/>
      <c r="AZ98" s="418"/>
      <c r="BA98" s="418"/>
      <c r="BB98" s="418"/>
      <c r="BC98" s="418"/>
      <c r="BD98" s="418"/>
      <c r="BE98" s="418"/>
      <c r="BF98" s="418"/>
      <c r="BG98" s="418"/>
      <c r="BH98" s="418"/>
      <c r="BI98" s="418"/>
      <c r="BJ98" s="418"/>
      <c r="BO98" s="227"/>
      <c r="BP98" s="227"/>
    </row>
    <row r="99" spans="12:68" x14ac:dyDescent="0.2">
      <c r="L99" s="418"/>
      <c r="M99" s="418"/>
      <c r="N99" s="418"/>
      <c r="O99" s="418"/>
      <c r="P99" s="418"/>
      <c r="Q99" s="418"/>
      <c r="R99" s="418"/>
      <c r="S99" s="418"/>
      <c r="T99" s="418"/>
      <c r="U99" s="418"/>
      <c r="V99" s="418"/>
      <c r="W99" s="418"/>
      <c r="X99" s="418"/>
      <c r="Y99" s="418"/>
      <c r="Z99" s="418"/>
      <c r="AA99" s="418"/>
      <c r="AB99" s="418"/>
      <c r="AC99" s="418"/>
      <c r="AD99" s="418"/>
      <c r="AE99" s="418"/>
      <c r="AF99" s="418"/>
      <c r="AG99" s="418"/>
      <c r="AH99" s="418"/>
      <c r="AI99" s="418"/>
      <c r="AJ99" s="418"/>
      <c r="AK99" s="418"/>
      <c r="AL99" s="418"/>
      <c r="AM99" s="418"/>
      <c r="AN99" s="418"/>
      <c r="AO99" s="418"/>
      <c r="AP99" s="418"/>
      <c r="AQ99" s="418"/>
      <c r="AR99" s="418"/>
      <c r="AS99" s="418"/>
      <c r="AT99" s="418"/>
      <c r="AU99" s="418"/>
      <c r="AV99" s="418"/>
      <c r="AW99" s="418"/>
      <c r="AX99" s="418"/>
      <c r="AY99" s="418"/>
      <c r="AZ99" s="418"/>
      <c r="BA99" s="418"/>
      <c r="BB99" s="418"/>
      <c r="BC99" s="418"/>
      <c r="BD99" s="418"/>
      <c r="BE99" s="418"/>
      <c r="BF99" s="418"/>
      <c r="BG99" s="418"/>
      <c r="BH99" s="418"/>
      <c r="BI99" s="418"/>
      <c r="BJ99" s="418"/>
      <c r="BO99" s="227"/>
      <c r="BP99" s="227"/>
    </row>
    <row r="100" spans="12:68" x14ac:dyDescent="0.2">
      <c r="L100" s="418"/>
      <c r="M100" s="418"/>
      <c r="N100" s="418"/>
      <c r="O100" s="418"/>
      <c r="P100" s="418"/>
      <c r="Q100" s="418"/>
      <c r="R100" s="418"/>
      <c r="S100" s="418"/>
      <c r="T100" s="418"/>
      <c r="U100" s="418"/>
      <c r="V100" s="418"/>
      <c r="W100" s="418"/>
      <c r="X100" s="418"/>
      <c r="Y100" s="418"/>
      <c r="Z100" s="418"/>
      <c r="AA100" s="418"/>
      <c r="AB100" s="418"/>
      <c r="AC100" s="418"/>
      <c r="AD100" s="418"/>
      <c r="AE100" s="418"/>
      <c r="AF100" s="418"/>
      <c r="AG100" s="418"/>
      <c r="AH100" s="418"/>
      <c r="AI100" s="418"/>
      <c r="AJ100" s="418"/>
      <c r="AK100" s="418"/>
      <c r="AL100" s="418"/>
      <c r="AM100" s="418"/>
      <c r="AN100" s="418"/>
      <c r="AO100" s="418"/>
      <c r="AP100" s="418"/>
      <c r="AQ100" s="418"/>
      <c r="AR100" s="418"/>
      <c r="AS100" s="418"/>
      <c r="AT100" s="418"/>
      <c r="AU100" s="418"/>
      <c r="AV100" s="418"/>
      <c r="AW100" s="418"/>
      <c r="AX100" s="418"/>
      <c r="AY100" s="418"/>
      <c r="AZ100" s="418"/>
      <c r="BA100" s="418"/>
      <c r="BB100" s="418"/>
      <c r="BC100" s="418"/>
      <c r="BD100" s="418"/>
      <c r="BE100" s="418"/>
      <c r="BF100" s="418"/>
      <c r="BG100" s="418"/>
      <c r="BH100" s="418"/>
      <c r="BI100" s="418"/>
      <c r="BJ100" s="418"/>
      <c r="BO100" s="227"/>
      <c r="BP100" s="227"/>
    </row>
    <row r="101" spans="12:68" x14ac:dyDescent="0.2">
      <c r="L101" s="418"/>
      <c r="M101" s="418"/>
      <c r="N101" s="418"/>
      <c r="O101" s="418"/>
      <c r="P101" s="418"/>
      <c r="Q101" s="418"/>
      <c r="R101" s="418"/>
      <c r="S101" s="418"/>
      <c r="T101" s="418"/>
      <c r="U101" s="418"/>
      <c r="V101" s="418"/>
      <c r="W101" s="418"/>
      <c r="X101" s="418"/>
      <c r="Y101" s="418"/>
      <c r="Z101" s="418"/>
      <c r="AA101" s="418"/>
      <c r="AB101" s="418"/>
      <c r="AC101" s="418"/>
      <c r="AD101" s="418"/>
      <c r="AE101" s="418"/>
      <c r="AF101" s="418"/>
      <c r="AG101" s="418"/>
      <c r="AH101" s="418"/>
      <c r="AI101" s="418"/>
      <c r="AJ101" s="418"/>
      <c r="AK101" s="418"/>
      <c r="AL101" s="418"/>
      <c r="AM101" s="418"/>
      <c r="AN101" s="418"/>
      <c r="AO101" s="418"/>
      <c r="AP101" s="418"/>
      <c r="AQ101" s="418"/>
      <c r="AR101" s="418"/>
      <c r="AS101" s="418"/>
      <c r="AT101" s="418"/>
      <c r="AU101" s="418"/>
      <c r="AV101" s="418"/>
      <c r="AW101" s="418"/>
      <c r="AX101" s="418"/>
      <c r="AY101" s="418"/>
      <c r="AZ101" s="418"/>
      <c r="BA101" s="418"/>
      <c r="BB101" s="418"/>
      <c r="BC101" s="418"/>
      <c r="BD101" s="418"/>
      <c r="BE101" s="418"/>
      <c r="BF101" s="418"/>
      <c r="BG101" s="418"/>
      <c r="BH101" s="418"/>
      <c r="BI101" s="418"/>
      <c r="BJ101" s="418"/>
      <c r="BO101" s="227"/>
      <c r="BP101" s="227"/>
    </row>
    <row r="102" spans="12:68" x14ac:dyDescent="0.2">
      <c r="L102" s="418"/>
      <c r="M102" s="418"/>
      <c r="N102" s="418"/>
      <c r="O102" s="418"/>
      <c r="P102" s="418"/>
      <c r="Q102" s="418"/>
      <c r="R102" s="418"/>
      <c r="S102" s="418"/>
      <c r="T102" s="418"/>
      <c r="U102" s="418"/>
      <c r="V102" s="418"/>
      <c r="W102" s="418"/>
      <c r="X102" s="418"/>
      <c r="Y102" s="418"/>
      <c r="Z102" s="418"/>
      <c r="AA102" s="418"/>
      <c r="AB102" s="418"/>
      <c r="AC102" s="418"/>
      <c r="AD102" s="418"/>
      <c r="AE102" s="418"/>
      <c r="AF102" s="418"/>
      <c r="AG102" s="418"/>
      <c r="AH102" s="418"/>
      <c r="AI102" s="418"/>
      <c r="AJ102" s="418"/>
      <c r="AK102" s="418"/>
      <c r="AL102" s="418"/>
      <c r="AM102" s="418"/>
      <c r="AN102" s="418"/>
      <c r="AO102" s="418"/>
      <c r="AP102" s="418"/>
      <c r="AQ102" s="418"/>
      <c r="AR102" s="418"/>
      <c r="AS102" s="418"/>
      <c r="AT102" s="418"/>
      <c r="AU102" s="418"/>
      <c r="AV102" s="418"/>
      <c r="AW102" s="418"/>
      <c r="AX102" s="418"/>
      <c r="AY102" s="418"/>
      <c r="AZ102" s="418"/>
      <c r="BA102" s="418"/>
      <c r="BB102" s="418"/>
      <c r="BC102" s="418"/>
      <c r="BD102" s="418"/>
      <c r="BE102" s="418"/>
      <c r="BF102" s="418"/>
      <c r="BG102" s="418"/>
      <c r="BH102" s="418"/>
      <c r="BI102" s="418"/>
      <c r="BJ102" s="418"/>
      <c r="BO102" s="227"/>
      <c r="BP102" s="227"/>
    </row>
    <row r="103" spans="12:68" x14ac:dyDescent="0.2">
      <c r="L103" s="418"/>
      <c r="M103" s="418"/>
      <c r="N103" s="418"/>
      <c r="O103" s="418"/>
      <c r="P103" s="418"/>
      <c r="Q103" s="418"/>
      <c r="R103" s="418"/>
      <c r="S103" s="418"/>
      <c r="T103" s="418"/>
      <c r="U103" s="418"/>
      <c r="V103" s="418"/>
      <c r="W103" s="418"/>
      <c r="X103" s="418"/>
      <c r="Y103" s="418"/>
      <c r="Z103" s="418"/>
      <c r="AA103" s="418"/>
      <c r="AB103" s="418"/>
      <c r="AC103" s="418"/>
      <c r="AD103" s="418"/>
      <c r="AE103" s="418"/>
      <c r="AF103" s="418"/>
      <c r="AG103" s="418"/>
      <c r="AH103" s="418"/>
      <c r="AI103" s="418"/>
      <c r="AJ103" s="418"/>
      <c r="AK103" s="418"/>
      <c r="AL103" s="418"/>
      <c r="AM103" s="418"/>
      <c r="AN103" s="418"/>
      <c r="AO103" s="418"/>
      <c r="AP103" s="418"/>
      <c r="AQ103" s="418"/>
      <c r="AR103" s="418"/>
      <c r="AS103" s="418"/>
      <c r="AT103" s="418"/>
      <c r="AU103" s="418"/>
      <c r="AV103" s="418"/>
      <c r="AW103" s="418"/>
      <c r="AX103" s="418"/>
      <c r="AY103" s="418"/>
      <c r="AZ103" s="418"/>
      <c r="BA103" s="418"/>
      <c r="BB103" s="418"/>
      <c r="BC103" s="418"/>
      <c r="BD103" s="418"/>
      <c r="BE103" s="418"/>
      <c r="BF103" s="418"/>
      <c r="BG103" s="418"/>
      <c r="BH103" s="418"/>
      <c r="BI103" s="418"/>
      <c r="BJ103" s="418"/>
      <c r="BO103" s="227"/>
      <c r="BP103" s="227"/>
    </row>
    <row r="104" spans="12:68" x14ac:dyDescent="0.2">
      <c r="L104" s="418"/>
      <c r="M104" s="418"/>
      <c r="N104" s="418"/>
      <c r="O104" s="418"/>
      <c r="P104" s="418"/>
      <c r="Q104" s="418"/>
      <c r="R104" s="418"/>
      <c r="S104" s="418"/>
      <c r="T104" s="418"/>
      <c r="U104" s="418"/>
      <c r="V104" s="418"/>
      <c r="W104" s="418"/>
      <c r="X104" s="418"/>
      <c r="Y104" s="418"/>
      <c r="Z104" s="418"/>
      <c r="AA104" s="418"/>
      <c r="AB104" s="418"/>
      <c r="AC104" s="418"/>
      <c r="AD104" s="418"/>
      <c r="AE104" s="418"/>
      <c r="AF104" s="418"/>
      <c r="AG104" s="418"/>
      <c r="AH104" s="418"/>
      <c r="AI104" s="418"/>
      <c r="AJ104" s="418"/>
      <c r="AK104" s="418"/>
      <c r="AL104" s="418"/>
      <c r="AM104" s="418"/>
      <c r="AN104" s="418"/>
      <c r="AO104" s="418"/>
      <c r="AP104" s="418"/>
      <c r="AQ104" s="418"/>
      <c r="AR104" s="418"/>
      <c r="AS104" s="418"/>
      <c r="AT104" s="418"/>
      <c r="AU104" s="418"/>
      <c r="AV104" s="418"/>
      <c r="AW104" s="418"/>
      <c r="AX104" s="418"/>
      <c r="AY104" s="418"/>
      <c r="AZ104" s="418"/>
      <c r="BA104" s="418"/>
      <c r="BB104" s="418"/>
      <c r="BC104" s="418"/>
      <c r="BD104" s="418"/>
      <c r="BE104" s="418"/>
      <c r="BF104" s="418"/>
      <c r="BG104" s="418"/>
      <c r="BH104" s="418"/>
      <c r="BI104" s="418"/>
      <c r="BJ104" s="418"/>
      <c r="BO104" s="227"/>
      <c r="BP104" s="227"/>
    </row>
    <row r="105" spans="12:68" x14ac:dyDescent="0.2">
      <c r="L105" s="418"/>
      <c r="M105" s="418"/>
      <c r="N105" s="418"/>
      <c r="O105" s="418"/>
      <c r="P105" s="418"/>
      <c r="Q105" s="418"/>
      <c r="R105" s="418"/>
      <c r="S105" s="418"/>
      <c r="T105" s="418"/>
      <c r="U105" s="418"/>
      <c r="V105" s="418"/>
      <c r="W105" s="418"/>
      <c r="X105" s="418"/>
      <c r="Y105" s="418"/>
      <c r="Z105" s="418"/>
      <c r="AA105" s="418"/>
      <c r="AB105" s="418"/>
      <c r="AC105" s="418"/>
      <c r="AD105" s="418"/>
      <c r="AE105" s="418"/>
      <c r="AF105" s="418"/>
      <c r="AG105" s="418"/>
      <c r="AH105" s="418"/>
      <c r="AI105" s="418"/>
      <c r="AJ105" s="418"/>
      <c r="AK105" s="418"/>
      <c r="AL105" s="418"/>
      <c r="AM105" s="418"/>
      <c r="AN105" s="418"/>
      <c r="AO105" s="418"/>
      <c r="AP105" s="418"/>
      <c r="AQ105" s="418"/>
      <c r="AR105" s="418"/>
      <c r="AS105" s="418"/>
      <c r="AT105" s="418"/>
      <c r="AU105" s="418"/>
      <c r="AV105" s="418"/>
      <c r="AW105" s="418"/>
      <c r="AX105" s="418"/>
      <c r="AY105" s="418"/>
      <c r="AZ105" s="418"/>
      <c r="BA105" s="418"/>
      <c r="BB105" s="418"/>
      <c r="BC105" s="418"/>
      <c r="BD105" s="418"/>
      <c r="BE105" s="418"/>
      <c r="BF105" s="418"/>
      <c r="BG105" s="418"/>
      <c r="BH105" s="418"/>
      <c r="BI105" s="418"/>
      <c r="BJ105" s="418"/>
      <c r="BO105" s="227"/>
      <c r="BP105" s="227"/>
    </row>
    <row r="106" spans="12:68" x14ac:dyDescent="0.2">
      <c r="L106" s="418"/>
      <c r="M106" s="418"/>
      <c r="N106" s="418"/>
      <c r="O106" s="418"/>
      <c r="P106" s="418"/>
      <c r="Q106" s="418"/>
      <c r="R106" s="418"/>
      <c r="S106" s="418"/>
      <c r="T106" s="418"/>
      <c r="U106" s="418"/>
      <c r="V106" s="418"/>
      <c r="W106" s="418"/>
      <c r="X106" s="418"/>
      <c r="Y106" s="418"/>
      <c r="Z106" s="418"/>
      <c r="AA106" s="418"/>
      <c r="AB106" s="418"/>
      <c r="AC106" s="418"/>
      <c r="AD106" s="418"/>
      <c r="AE106" s="418"/>
      <c r="AF106" s="418"/>
      <c r="AG106" s="418"/>
      <c r="AH106" s="418"/>
      <c r="AI106" s="418"/>
      <c r="AJ106" s="418"/>
      <c r="AK106" s="418"/>
      <c r="AL106" s="418"/>
      <c r="AM106" s="418"/>
      <c r="AN106" s="418"/>
      <c r="AO106" s="418"/>
      <c r="AP106" s="418"/>
      <c r="AQ106" s="418"/>
      <c r="AR106" s="418"/>
      <c r="AS106" s="418"/>
      <c r="AT106" s="418"/>
      <c r="AU106" s="418"/>
      <c r="AV106" s="418"/>
      <c r="AW106" s="418"/>
      <c r="AX106" s="418"/>
      <c r="AY106" s="418"/>
      <c r="AZ106" s="418"/>
      <c r="BA106" s="418"/>
      <c r="BB106" s="418"/>
      <c r="BC106" s="418"/>
      <c r="BD106" s="418"/>
      <c r="BE106" s="418"/>
      <c r="BF106" s="418"/>
      <c r="BG106" s="418"/>
      <c r="BH106" s="418"/>
      <c r="BI106" s="418"/>
      <c r="BJ106" s="418"/>
      <c r="BO106" s="227"/>
    </row>
    <row r="107" spans="12:68" x14ac:dyDescent="0.2">
      <c r="L107" s="418"/>
      <c r="M107" s="418"/>
      <c r="N107" s="418"/>
      <c r="O107" s="418"/>
      <c r="P107" s="418"/>
      <c r="Q107" s="418"/>
      <c r="R107" s="418"/>
      <c r="S107" s="418"/>
      <c r="T107" s="418"/>
      <c r="U107" s="418"/>
      <c r="V107" s="418"/>
      <c r="W107" s="418"/>
      <c r="X107" s="418"/>
      <c r="Y107" s="418"/>
      <c r="Z107" s="418"/>
      <c r="AA107" s="418"/>
      <c r="AB107" s="418"/>
      <c r="AC107" s="418"/>
      <c r="AD107" s="418"/>
      <c r="AE107" s="418"/>
      <c r="AF107" s="418"/>
      <c r="AG107" s="418"/>
      <c r="AH107" s="418"/>
      <c r="AI107" s="418"/>
      <c r="AJ107" s="418"/>
      <c r="AK107" s="418"/>
      <c r="AL107" s="418"/>
      <c r="AM107" s="418"/>
      <c r="AN107" s="418"/>
      <c r="AO107" s="418"/>
      <c r="AP107" s="418"/>
      <c r="AQ107" s="418"/>
      <c r="AR107" s="418"/>
      <c r="AS107" s="418"/>
      <c r="AT107" s="418"/>
      <c r="AU107" s="418"/>
      <c r="AV107" s="418"/>
      <c r="AW107" s="418"/>
      <c r="AX107" s="418"/>
      <c r="AY107" s="418"/>
      <c r="AZ107" s="418"/>
      <c r="BA107" s="418"/>
      <c r="BB107" s="418"/>
      <c r="BC107" s="418"/>
      <c r="BD107" s="418"/>
      <c r="BE107" s="418"/>
      <c r="BF107" s="418"/>
      <c r="BG107" s="418"/>
      <c r="BH107" s="418"/>
      <c r="BI107" s="418"/>
      <c r="BJ107" s="418"/>
      <c r="BO107" s="227"/>
    </row>
    <row r="108" spans="12:68" x14ac:dyDescent="0.2">
      <c r="L108" s="418"/>
      <c r="M108" s="418"/>
      <c r="N108" s="418"/>
      <c r="O108" s="418"/>
      <c r="P108" s="418"/>
      <c r="Q108" s="418"/>
      <c r="R108" s="418"/>
      <c r="S108" s="418"/>
      <c r="T108" s="418"/>
      <c r="U108" s="418"/>
      <c r="V108" s="418"/>
      <c r="W108" s="418"/>
      <c r="X108" s="418"/>
      <c r="Y108" s="418"/>
      <c r="Z108" s="418"/>
      <c r="AA108" s="418"/>
      <c r="AB108" s="418"/>
      <c r="AC108" s="418"/>
      <c r="AD108" s="418"/>
      <c r="AE108" s="418"/>
      <c r="AF108" s="418"/>
      <c r="AG108" s="418"/>
      <c r="AH108" s="418"/>
      <c r="AI108" s="418"/>
      <c r="AJ108" s="418"/>
      <c r="AK108" s="418"/>
      <c r="AL108" s="418"/>
      <c r="AM108" s="418"/>
      <c r="AN108" s="418"/>
      <c r="AO108" s="418"/>
      <c r="AP108" s="418"/>
      <c r="AQ108" s="418"/>
      <c r="AR108" s="418"/>
      <c r="AS108" s="418"/>
      <c r="AT108" s="418"/>
      <c r="AU108" s="418"/>
      <c r="AV108" s="418"/>
      <c r="AW108" s="418"/>
      <c r="AX108" s="418"/>
      <c r="AY108" s="418"/>
      <c r="AZ108" s="418"/>
      <c r="BA108" s="418"/>
      <c r="BB108" s="418"/>
      <c r="BC108" s="418"/>
      <c r="BD108" s="418"/>
      <c r="BE108" s="418"/>
      <c r="BF108" s="418"/>
      <c r="BG108" s="418"/>
      <c r="BH108" s="418"/>
      <c r="BI108" s="418"/>
      <c r="BJ108" s="418"/>
      <c r="BO108" s="227"/>
    </row>
    <row r="109" spans="12:68" x14ac:dyDescent="0.2">
      <c r="L109" s="418"/>
      <c r="M109" s="418"/>
      <c r="N109" s="418"/>
      <c r="O109" s="418"/>
      <c r="P109" s="418"/>
      <c r="Q109" s="418"/>
      <c r="R109" s="418"/>
      <c r="S109" s="418"/>
      <c r="T109" s="418"/>
      <c r="U109" s="418"/>
      <c r="V109" s="418"/>
      <c r="W109" s="418"/>
      <c r="X109" s="418"/>
      <c r="Y109" s="418"/>
      <c r="Z109" s="418"/>
      <c r="AA109" s="418"/>
      <c r="AB109" s="418"/>
      <c r="AC109" s="418"/>
      <c r="AD109" s="418"/>
      <c r="AE109" s="418"/>
      <c r="AF109" s="418"/>
      <c r="AG109" s="418"/>
      <c r="AH109" s="418"/>
      <c r="AI109" s="418"/>
      <c r="AJ109" s="418"/>
      <c r="AK109" s="418"/>
      <c r="AL109" s="418"/>
      <c r="AM109" s="418"/>
      <c r="AN109" s="418"/>
      <c r="AO109" s="418"/>
      <c r="AP109" s="418"/>
      <c r="AQ109" s="418"/>
      <c r="AR109" s="418"/>
      <c r="AS109" s="418"/>
      <c r="AT109" s="418"/>
      <c r="AU109" s="418"/>
      <c r="AV109" s="418"/>
      <c r="AW109" s="418"/>
      <c r="AX109" s="418"/>
      <c r="AY109" s="418"/>
      <c r="AZ109" s="418"/>
      <c r="BA109" s="418"/>
      <c r="BB109" s="418"/>
      <c r="BC109" s="418"/>
      <c r="BD109" s="418"/>
      <c r="BE109" s="418"/>
      <c r="BF109" s="418"/>
      <c r="BG109" s="418"/>
      <c r="BH109" s="418"/>
      <c r="BI109" s="418"/>
      <c r="BJ109" s="418"/>
      <c r="BO109" s="227"/>
    </row>
    <row r="110" spans="12:68" x14ac:dyDescent="0.2">
      <c r="L110" s="418"/>
      <c r="M110" s="418"/>
      <c r="N110" s="418"/>
      <c r="O110" s="418"/>
      <c r="P110" s="418"/>
      <c r="Q110" s="418"/>
      <c r="R110" s="418"/>
      <c r="S110" s="418"/>
      <c r="T110" s="418"/>
      <c r="U110" s="418"/>
      <c r="V110" s="418"/>
      <c r="W110" s="418"/>
      <c r="X110" s="418"/>
      <c r="Y110" s="418"/>
      <c r="Z110" s="418"/>
      <c r="AA110" s="418"/>
      <c r="AB110" s="418"/>
      <c r="AC110" s="418"/>
      <c r="AD110" s="418"/>
      <c r="AE110" s="418"/>
      <c r="AF110" s="418"/>
      <c r="AG110" s="418"/>
      <c r="AH110" s="418"/>
      <c r="AI110" s="418"/>
      <c r="AJ110" s="418"/>
      <c r="AK110" s="418"/>
      <c r="AL110" s="418"/>
      <c r="AM110" s="418"/>
      <c r="AN110" s="418"/>
      <c r="AO110" s="418"/>
      <c r="AP110" s="418"/>
      <c r="AQ110" s="418"/>
      <c r="AR110" s="418"/>
      <c r="AS110" s="418"/>
      <c r="AT110" s="418"/>
      <c r="AU110" s="418"/>
      <c r="AV110" s="418"/>
      <c r="AW110" s="418"/>
      <c r="AX110" s="418"/>
      <c r="AY110" s="418"/>
      <c r="AZ110" s="418"/>
      <c r="BA110" s="418"/>
      <c r="BB110" s="418"/>
      <c r="BC110" s="418"/>
      <c r="BD110" s="418"/>
      <c r="BE110" s="418"/>
      <c r="BF110" s="418"/>
      <c r="BG110" s="418"/>
      <c r="BH110" s="418"/>
      <c r="BI110" s="418"/>
      <c r="BJ110" s="418"/>
      <c r="BO110" s="227"/>
    </row>
    <row r="111" spans="12:68" x14ac:dyDescent="0.2">
      <c r="L111" s="418"/>
      <c r="M111" s="418"/>
      <c r="N111" s="418"/>
      <c r="O111" s="418"/>
      <c r="P111" s="418"/>
      <c r="Q111" s="418"/>
      <c r="R111" s="418"/>
      <c r="S111" s="418"/>
      <c r="T111" s="418"/>
      <c r="U111" s="418"/>
      <c r="V111" s="418"/>
      <c r="W111" s="418"/>
      <c r="X111" s="418"/>
      <c r="Y111" s="418"/>
      <c r="Z111" s="418"/>
      <c r="AA111" s="418"/>
      <c r="AB111" s="418"/>
      <c r="AC111" s="418"/>
      <c r="AD111" s="418"/>
      <c r="AE111" s="418"/>
      <c r="AF111" s="418"/>
      <c r="AG111" s="418"/>
      <c r="AH111" s="418"/>
      <c r="AI111" s="418"/>
      <c r="AJ111" s="418"/>
      <c r="AK111" s="418"/>
      <c r="AL111" s="418"/>
      <c r="AM111" s="418"/>
      <c r="AN111" s="418"/>
      <c r="AO111" s="418"/>
      <c r="AP111" s="418"/>
      <c r="AQ111" s="418"/>
      <c r="AR111" s="418"/>
      <c r="AS111" s="418"/>
      <c r="AT111" s="418"/>
      <c r="AU111" s="418"/>
      <c r="AV111" s="418"/>
      <c r="AW111" s="418"/>
      <c r="AX111" s="418"/>
      <c r="AY111" s="418"/>
      <c r="AZ111" s="418"/>
      <c r="BA111" s="418"/>
      <c r="BB111" s="418"/>
      <c r="BC111" s="418"/>
      <c r="BD111" s="418"/>
      <c r="BE111" s="418"/>
      <c r="BF111" s="418"/>
      <c r="BG111" s="418"/>
      <c r="BH111" s="418"/>
      <c r="BI111" s="418"/>
      <c r="BJ111" s="418"/>
      <c r="BO111" s="227"/>
    </row>
    <row r="112" spans="12:68" x14ac:dyDescent="0.2">
      <c r="L112" s="418"/>
      <c r="M112" s="418"/>
      <c r="N112" s="418"/>
      <c r="O112" s="418"/>
      <c r="P112" s="418"/>
      <c r="Q112" s="418"/>
      <c r="R112" s="418"/>
      <c r="S112" s="418"/>
      <c r="T112" s="418"/>
      <c r="U112" s="418"/>
      <c r="V112" s="418"/>
      <c r="W112" s="418"/>
      <c r="X112" s="418"/>
      <c r="Y112" s="418"/>
      <c r="Z112" s="418"/>
      <c r="AA112" s="418"/>
      <c r="AB112" s="418"/>
      <c r="AC112" s="418"/>
      <c r="AD112" s="418"/>
      <c r="AE112" s="418"/>
      <c r="AF112" s="418"/>
      <c r="AG112" s="418"/>
      <c r="AH112" s="418"/>
      <c r="AI112" s="418"/>
      <c r="AJ112" s="418"/>
      <c r="AK112" s="418"/>
      <c r="AL112" s="418"/>
      <c r="AM112" s="418"/>
      <c r="AN112" s="418"/>
      <c r="AO112" s="418"/>
      <c r="AP112" s="418"/>
      <c r="AQ112" s="418"/>
      <c r="AR112" s="418"/>
      <c r="AS112" s="418"/>
      <c r="AT112" s="418"/>
      <c r="AU112" s="418"/>
      <c r="AV112" s="418"/>
      <c r="AW112" s="418"/>
      <c r="AX112" s="418"/>
      <c r="AY112" s="418"/>
      <c r="AZ112" s="418"/>
      <c r="BA112" s="418"/>
      <c r="BB112" s="418"/>
      <c r="BC112" s="418"/>
      <c r="BD112" s="418"/>
      <c r="BE112" s="418"/>
      <c r="BF112" s="418"/>
      <c r="BG112" s="418"/>
      <c r="BH112" s="418"/>
      <c r="BI112" s="418"/>
      <c r="BJ112" s="418"/>
    </row>
    <row r="113" spans="2:62" ht="19.5" thickBot="1" x14ac:dyDescent="0.25">
      <c r="B113" s="188"/>
      <c r="C113" s="164"/>
      <c r="D113" s="164"/>
      <c r="E113" s="164"/>
      <c r="F113" s="164"/>
      <c r="G113" s="202"/>
      <c r="H113" s="164"/>
      <c r="I113" s="189"/>
      <c r="J113" s="189"/>
      <c r="L113" s="418"/>
      <c r="M113" s="418"/>
      <c r="N113" s="418"/>
      <c r="O113" s="418"/>
      <c r="P113" s="418"/>
      <c r="Q113" s="418"/>
      <c r="R113" s="418"/>
      <c r="S113" s="418"/>
      <c r="T113" s="418"/>
      <c r="U113" s="418"/>
      <c r="V113" s="418"/>
      <c r="W113" s="418"/>
      <c r="X113" s="418"/>
      <c r="Y113" s="418"/>
      <c r="Z113" s="418"/>
      <c r="AA113" s="418"/>
      <c r="AB113" s="418"/>
      <c r="AC113" s="418"/>
      <c r="AD113" s="418"/>
      <c r="AE113" s="418"/>
      <c r="AF113" s="418"/>
      <c r="AG113" s="418"/>
      <c r="AH113" s="418"/>
      <c r="AI113" s="418"/>
      <c r="AJ113" s="418"/>
      <c r="AK113" s="418"/>
      <c r="AL113" s="418"/>
      <c r="AM113" s="418"/>
      <c r="AN113" s="418"/>
      <c r="AO113" s="418"/>
      <c r="AP113" s="418"/>
      <c r="AQ113" s="418"/>
      <c r="AR113" s="418"/>
      <c r="AS113" s="418"/>
      <c r="AT113" s="418"/>
      <c r="AU113" s="418"/>
      <c r="AV113" s="418"/>
      <c r="AW113" s="418"/>
      <c r="AX113" s="418"/>
      <c r="AY113" s="418"/>
      <c r="AZ113" s="418"/>
      <c r="BA113" s="418"/>
      <c r="BB113" s="418"/>
      <c r="BC113" s="418"/>
      <c r="BD113" s="418"/>
      <c r="BE113" s="418"/>
      <c r="BF113" s="418"/>
      <c r="BG113" s="418"/>
      <c r="BH113" s="418"/>
      <c r="BI113" s="418"/>
      <c r="BJ113" s="418"/>
    </row>
    <row r="114" spans="2:62" x14ac:dyDescent="0.2">
      <c r="B114" s="194" t="s">
        <v>310</v>
      </c>
      <c r="C114" s="179"/>
      <c r="D114" s="179"/>
      <c r="E114" s="179"/>
      <c r="F114" s="179"/>
      <c r="G114" s="206"/>
      <c r="H114" s="179"/>
      <c r="I114" s="195">
        <f>J114/H16</f>
        <v>7393.8859381837119</v>
      </c>
      <c r="J114" s="195">
        <f>J84+J80+J73+J69+J78</f>
        <v>504632715.28103834</v>
      </c>
      <c r="L114" s="418"/>
      <c r="M114" s="418"/>
      <c r="N114" s="418"/>
      <c r="O114" s="418"/>
      <c r="P114" s="418"/>
      <c r="Q114" s="418"/>
      <c r="R114" s="418"/>
      <c r="S114" s="418"/>
      <c r="T114" s="418"/>
      <c r="U114" s="418"/>
      <c r="V114" s="418"/>
      <c r="W114" s="418"/>
      <c r="X114" s="418"/>
      <c r="Y114" s="418"/>
      <c r="Z114" s="418"/>
      <c r="AA114" s="418"/>
      <c r="AB114" s="418"/>
      <c r="AC114" s="418"/>
      <c r="AD114" s="418"/>
      <c r="AE114" s="418"/>
      <c r="AF114" s="418"/>
      <c r="AG114" s="418"/>
      <c r="AH114" s="418"/>
      <c r="AI114" s="418"/>
      <c r="AJ114" s="418"/>
      <c r="AK114" s="418"/>
      <c r="AL114" s="418"/>
      <c r="AM114" s="418"/>
      <c r="AN114" s="418"/>
      <c r="AO114" s="418"/>
      <c r="AP114" s="418"/>
      <c r="AQ114" s="418"/>
      <c r="AR114" s="418"/>
      <c r="AS114" s="418"/>
      <c r="AT114" s="418"/>
      <c r="AU114" s="418"/>
      <c r="AV114" s="418"/>
      <c r="AW114" s="418"/>
      <c r="AX114" s="418"/>
      <c r="AY114" s="418"/>
      <c r="AZ114" s="418"/>
      <c r="BA114" s="418"/>
      <c r="BB114" s="418"/>
      <c r="BC114" s="418"/>
      <c r="BD114" s="418"/>
      <c r="BE114" s="418"/>
      <c r="BF114" s="418"/>
      <c r="BG114" s="418"/>
      <c r="BH114" s="418"/>
      <c r="BI114" s="418"/>
      <c r="BJ114" s="418"/>
    </row>
    <row r="115" spans="2:62" x14ac:dyDescent="0.2">
      <c r="B115" s="187"/>
      <c r="C115" s="164"/>
      <c r="D115" s="164"/>
      <c r="E115" s="164"/>
      <c r="F115" s="164"/>
      <c r="G115" s="202"/>
      <c r="H115" s="164"/>
      <c r="I115" s="174"/>
      <c r="J115" s="174"/>
      <c r="L115" s="418"/>
      <c r="M115" s="418"/>
      <c r="N115" s="418"/>
      <c r="O115" s="418"/>
      <c r="P115" s="418"/>
      <c r="Q115" s="418"/>
      <c r="R115" s="418"/>
      <c r="S115" s="418"/>
      <c r="T115" s="418"/>
      <c r="U115" s="418"/>
      <c r="V115" s="418"/>
      <c r="W115" s="418"/>
      <c r="X115" s="418"/>
      <c r="Y115" s="418"/>
      <c r="Z115" s="418"/>
      <c r="AA115" s="418"/>
      <c r="AB115" s="418"/>
      <c r="AC115" s="418"/>
      <c r="AD115" s="418"/>
      <c r="AE115" s="418"/>
      <c r="AF115" s="418"/>
      <c r="AG115" s="418"/>
      <c r="AH115" s="418"/>
      <c r="AI115" s="418"/>
      <c r="AJ115" s="418"/>
      <c r="AK115" s="418"/>
      <c r="AL115" s="418"/>
      <c r="AM115" s="418"/>
      <c r="AN115" s="418"/>
      <c r="AO115" s="418"/>
      <c r="AP115" s="418"/>
      <c r="AQ115" s="418"/>
      <c r="AR115" s="418"/>
      <c r="AS115" s="418"/>
      <c r="AT115" s="418"/>
      <c r="AU115" s="418"/>
      <c r="AV115" s="418"/>
      <c r="AW115" s="418"/>
      <c r="AX115" s="418"/>
      <c r="AY115" s="418"/>
      <c r="AZ115" s="418"/>
      <c r="BA115" s="418"/>
      <c r="BB115" s="418"/>
      <c r="BC115" s="418"/>
      <c r="BD115" s="418"/>
      <c r="BE115" s="418"/>
      <c r="BF115" s="418"/>
      <c r="BG115" s="418"/>
      <c r="BH115" s="418"/>
      <c r="BI115" s="418"/>
      <c r="BJ115" s="418"/>
    </row>
    <row r="116" spans="2:62" x14ac:dyDescent="0.2">
      <c r="B116" s="187"/>
      <c r="C116" s="164"/>
      <c r="D116" s="164"/>
      <c r="E116" s="164"/>
      <c r="F116" s="164"/>
      <c r="G116" s="202"/>
      <c r="H116" s="164"/>
      <c r="I116" s="174"/>
      <c r="J116" s="174"/>
      <c r="L116" s="418"/>
      <c r="M116" s="418"/>
      <c r="N116" s="418"/>
      <c r="O116" s="418"/>
      <c r="P116" s="418"/>
      <c r="Q116" s="418"/>
      <c r="R116" s="418"/>
      <c r="S116" s="418"/>
      <c r="T116" s="418"/>
      <c r="U116" s="418"/>
      <c r="V116" s="418"/>
      <c r="W116" s="418"/>
      <c r="X116" s="418"/>
      <c r="Y116" s="418"/>
      <c r="Z116" s="418"/>
      <c r="AA116" s="418"/>
      <c r="AB116" s="418"/>
      <c r="AC116" s="418"/>
      <c r="AD116" s="418"/>
      <c r="AE116" s="418"/>
      <c r="AF116" s="418"/>
      <c r="AG116" s="418"/>
      <c r="AH116" s="418"/>
      <c r="AI116" s="418"/>
      <c r="AJ116" s="418"/>
      <c r="AK116" s="418"/>
      <c r="AL116" s="418"/>
      <c r="AM116" s="418"/>
      <c r="AN116" s="418"/>
      <c r="AO116" s="418"/>
      <c r="AP116" s="418"/>
      <c r="AQ116" s="418"/>
      <c r="AR116" s="418"/>
      <c r="AS116" s="418"/>
      <c r="AT116" s="418"/>
      <c r="AU116" s="418"/>
      <c r="AV116" s="418"/>
      <c r="AW116" s="418"/>
      <c r="AX116" s="418"/>
      <c r="AY116" s="418"/>
      <c r="AZ116" s="418"/>
      <c r="BA116" s="418"/>
      <c r="BB116" s="418"/>
      <c r="BC116" s="418"/>
      <c r="BD116" s="418"/>
      <c r="BE116" s="418"/>
      <c r="BF116" s="418"/>
      <c r="BG116" s="418"/>
      <c r="BH116" s="418"/>
      <c r="BI116" s="418"/>
      <c r="BJ116" s="418"/>
    </row>
    <row r="117" spans="2:62" x14ac:dyDescent="0.2">
      <c r="B117" s="187"/>
      <c r="C117" s="164"/>
      <c r="D117" s="164"/>
      <c r="E117" s="164"/>
      <c r="F117" s="164"/>
      <c r="G117" s="202"/>
      <c r="H117" s="164"/>
      <c r="I117" s="174"/>
      <c r="J117" s="174"/>
      <c r="L117" s="418"/>
      <c r="M117" s="418"/>
      <c r="N117" s="418"/>
      <c r="O117" s="418"/>
      <c r="P117" s="418"/>
      <c r="Q117" s="418"/>
      <c r="R117" s="418"/>
      <c r="S117" s="418"/>
      <c r="T117" s="418"/>
      <c r="U117" s="418"/>
      <c r="V117" s="418"/>
      <c r="W117" s="418"/>
      <c r="X117" s="418"/>
      <c r="Y117" s="418"/>
      <c r="Z117" s="418"/>
      <c r="AA117" s="418"/>
      <c r="AB117" s="418"/>
      <c r="AC117" s="418"/>
      <c r="AD117" s="418"/>
      <c r="AE117" s="418"/>
      <c r="AF117" s="418"/>
      <c r="AG117" s="418"/>
      <c r="AH117" s="418"/>
      <c r="AI117" s="418"/>
      <c r="AJ117" s="418"/>
      <c r="AK117" s="418"/>
      <c r="AL117" s="418"/>
      <c r="AM117" s="418"/>
      <c r="AN117" s="418"/>
      <c r="AO117" s="418"/>
      <c r="AP117" s="418"/>
      <c r="AQ117" s="418"/>
      <c r="AR117" s="418"/>
      <c r="AS117" s="418"/>
      <c r="AT117" s="418"/>
      <c r="AU117" s="418"/>
      <c r="AV117" s="418"/>
      <c r="AW117" s="418"/>
      <c r="AX117" s="418"/>
      <c r="AY117" s="418"/>
      <c r="AZ117" s="418"/>
      <c r="BA117" s="418"/>
      <c r="BB117" s="418"/>
      <c r="BC117" s="418"/>
      <c r="BD117" s="418"/>
      <c r="BE117" s="418"/>
      <c r="BF117" s="418"/>
      <c r="BG117" s="418"/>
      <c r="BH117" s="418"/>
      <c r="BI117" s="418"/>
      <c r="BJ117" s="418"/>
    </row>
    <row r="118" spans="2:62" x14ac:dyDescent="0.2">
      <c r="B118" s="187"/>
      <c r="C118" s="164"/>
      <c r="D118" s="164"/>
      <c r="E118" s="164"/>
      <c r="F118" s="164"/>
      <c r="G118" s="202"/>
      <c r="H118" s="164"/>
      <c r="I118" s="174"/>
      <c r="J118" s="174"/>
      <c r="L118" s="418"/>
      <c r="M118" s="418"/>
      <c r="N118" s="418"/>
      <c r="O118" s="418"/>
      <c r="P118" s="418"/>
      <c r="Q118" s="418"/>
      <c r="R118" s="418"/>
      <c r="S118" s="418"/>
      <c r="T118" s="418"/>
      <c r="U118" s="418"/>
      <c r="V118" s="418"/>
      <c r="W118" s="418"/>
      <c r="X118" s="418"/>
      <c r="Y118" s="418"/>
      <c r="Z118" s="418"/>
      <c r="AA118" s="418"/>
      <c r="AB118" s="418"/>
      <c r="AC118" s="418"/>
      <c r="AD118" s="418"/>
      <c r="AE118" s="418"/>
      <c r="AF118" s="418"/>
      <c r="AG118" s="418"/>
      <c r="AH118" s="418"/>
      <c r="AI118" s="418"/>
      <c r="AJ118" s="418"/>
      <c r="AK118" s="418"/>
      <c r="AL118" s="418"/>
      <c r="AM118" s="418"/>
      <c r="AN118" s="418"/>
      <c r="AO118" s="418"/>
      <c r="AP118" s="418"/>
      <c r="AQ118" s="418"/>
      <c r="AR118" s="418"/>
      <c r="AS118" s="418"/>
      <c r="AT118" s="418"/>
      <c r="AU118" s="418"/>
      <c r="AV118" s="418"/>
      <c r="AW118" s="418"/>
      <c r="AX118" s="418"/>
      <c r="AY118" s="418"/>
      <c r="AZ118" s="418"/>
      <c r="BA118" s="418"/>
      <c r="BB118" s="418"/>
      <c r="BC118" s="418"/>
      <c r="BD118" s="418"/>
      <c r="BE118" s="418"/>
      <c r="BF118" s="418"/>
      <c r="BG118" s="418"/>
      <c r="BH118" s="418"/>
      <c r="BI118" s="418"/>
      <c r="BJ118" s="418"/>
    </row>
    <row r="119" spans="2:62" x14ac:dyDescent="0.2">
      <c r="B119" s="187"/>
      <c r="C119" s="164"/>
      <c r="D119" s="164"/>
      <c r="E119" s="164"/>
      <c r="F119" s="164"/>
      <c r="G119" s="202"/>
      <c r="H119" s="164"/>
      <c r="I119" s="174"/>
      <c r="J119" s="174"/>
      <c r="L119" s="418"/>
      <c r="M119" s="418"/>
      <c r="N119" s="418"/>
      <c r="O119" s="418"/>
      <c r="P119" s="418"/>
      <c r="Q119" s="418"/>
      <c r="R119" s="418"/>
      <c r="S119" s="418"/>
      <c r="T119" s="418"/>
      <c r="U119" s="418"/>
      <c r="V119" s="418"/>
      <c r="W119" s="418"/>
      <c r="X119" s="418"/>
      <c r="Y119" s="418"/>
      <c r="Z119" s="418"/>
      <c r="AA119" s="418"/>
      <c r="AB119" s="418"/>
      <c r="AC119" s="418"/>
      <c r="AD119" s="418"/>
      <c r="AE119" s="418"/>
      <c r="AF119" s="418"/>
      <c r="AG119" s="418"/>
      <c r="AH119" s="418"/>
      <c r="AI119" s="418"/>
      <c r="AJ119" s="418"/>
      <c r="AK119" s="418"/>
      <c r="AL119" s="418"/>
      <c r="AM119" s="418"/>
      <c r="AN119" s="418"/>
      <c r="AO119" s="418"/>
      <c r="AP119" s="418"/>
      <c r="AQ119" s="418"/>
      <c r="AR119" s="418"/>
      <c r="AS119" s="418"/>
      <c r="AT119" s="418"/>
      <c r="AU119" s="418"/>
      <c r="AV119" s="418"/>
      <c r="AW119" s="418"/>
      <c r="AX119" s="418"/>
      <c r="AY119" s="418"/>
      <c r="AZ119" s="418"/>
      <c r="BA119" s="418"/>
      <c r="BB119" s="418"/>
      <c r="BC119" s="418"/>
      <c r="BD119" s="418"/>
      <c r="BE119" s="418"/>
      <c r="BF119" s="418"/>
      <c r="BG119" s="418"/>
      <c r="BH119" s="418"/>
      <c r="BI119" s="418"/>
      <c r="BJ119" s="418"/>
    </row>
    <row r="120" spans="2:62" x14ac:dyDescent="0.2">
      <c r="B120" s="187"/>
      <c r="C120" s="164"/>
      <c r="D120" s="164"/>
      <c r="E120" s="164"/>
      <c r="F120" s="164"/>
      <c r="G120" s="202"/>
      <c r="H120" s="164"/>
      <c r="I120" s="174"/>
      <c r="J120" s="174"/>
      <c r="L120" s="418"/>
      <c r="M120" s="418"/>
      <c r="N120" s="418"/>
      <c r="O120" s="418"/>
      <c r="P120" s="418"/>
      <c r="Q120" s="418"/>
      <c r="R120" s="418"/>
      <c r="S120" s="418"/>
      <c r="T120" s="418"/>
      <c r="U120" s="418"/>
      <c r="V120" s="418"/>
      <c r="W120" s="418"/>
      <c r="X120" s="418"/>
      <c r="Y120" s="418"/>
      <c r="Z120" s="418"/>
      <c r="AA120" s="418"/>
      <c r="AB120" s="418"/>
      <c r="AC120" s="418"/>
      <c r="AD120" s="418"/>
      <c r="AE120" s="418"/>
      <c r="AF120" s="418"/>
      <c r="AG120" s="418"/>
      <c r="AH120" s="418"/>
      <c r="AI120" s="418"/>
      <c r="AJ120" s="418"/>
      <c r="AK120" s="418"/>
      <c r="AL120" s="418"/>
      <c r="AM120" s="418"/>
      <c r="AN120" s="418"/>
      <c r="AO120" s="418"/>
      <c r="AP120" s="418"/>
      <c r="AQ120" s="418"/>
      <c r="AR120" s="418"/>
      <c r="AS120" s="418"/>
      <c r="AT120" s="418"/>
      <c r="AU120" s="418"/>
      <c r="AV120" s="418"/>
      <c r="AW120" s="418"/>
      <c r="AX120" s="418"/>
      <c r="AY120" s="418"/>
      <c r="AZ120" s="418"/>
      <c r="BA120" s="418"/>
      <c r="BB120" s="418"/>
      <c r="BC120" s="418"/>
      <c r="BD120" s="418"/>
      <c r="BE120" s="418"/>
      <c r="BF120" s="418"/>
      <c r="BG120" s="418"/>
      <c r="BH120" s="418"/>
      <c r="BI120" s="418"/>
      <c r="BJ120" s="418"/>
    </row>
    <row r="121" spans="2:62" x14ac:dyDescent="0.2">
      <c r="B121" s="187"/>
      <c r="C121" s="164"/>
      <c r="D121" s="164"/>
      <c r="E121" s="164"/>
      <c r="F121" s="164"/>
      <c r="G121" s="202"/>
      <c r="H121" s="164"/>
      <c r="I121" s="174"/>
      <c r="J121" s="174"/>
      <c r="L121" s="418"/>
      <c r="M121" s="418"/>
      <c r="N121" s="418"/>
      <c r="O121" s="418"/>
      <c r="P121" s="418"/>
      <c r="Q121" s="418"/>
      <c r="R121" s="418"/>
      <c r="S121" s="418"/>
      <c r="T121" s="418"/>
      <c r="U121" s="418"/>
      <c r="V121" s="418"/>
      <c r="W121" s="418"/>
      <c r="X121" s="418"/>
      <c r="Y121" s="418"/>
      <c r="Z121" s="418"/>
      <c r="AA121" s="418"/>
      <c r="AB121" s="418"/>
      <c r="AC121" s="418"/>
      <c r="AD121" s="418"/>
      <c r="AE121" s="418"/>
      <c r="AF121" s="418"/>
      <c r="AG121" s="418"/>
      <c r="AH121" s="418"/>
      <c r="AI121" s="418"/>
      <c r="AJ121" s="418"/>
      <c r="AK121" s="418"/>
      <c r="AL121" s="418"/>
      <c r="AM121" s="418"/>
      <c r="AN121" s="418"/>
      <c r="AO121" s="418"/>
      <c r="AP121" s="418"/>
      <c r="AQ121" s="418"/>
      <c r="AR121" s="418"/>
      <c r="AS121" s="418"/>
      <c r="AT121" s="418"/>
      <c r="AU121" s="418"/>
      <c r="AV121" s="418"/>
      <c r="AW121" s="418"/>
      <c r="AX121" s="418"/>
      <c r="AY121" s="418"/>
      <c r="AZ121" s="418"/>
      <c r="BA121" s="418"/>
      <c r="BB121" s="418"/>
      <c r="BC121" s="418"/>
      <c r="BD121" s="418"/>
      <c r="BE121" s="418"/>
      <c r="BF121" s="418"/>
      <c r="BG121" s="418"/>
      <c r="BH121" s="418"/>
      <c r="BI121" s="418"/>
      <c r="BJ121" s="418"/>
    </row>
    <row r="122" spans="2:62" x14ac:dyDescent="0.2">
      <c r="B122" s="187"/>
      <c r="C122" s="164"/>
      <c r="D122" s="164"/>
      <c r="E122" s="164"/>
      <c r="F122" s="164"/>
      <c r="G122" s="202"/>
      <c r="H122" s="164"/>
      <c r="I122" s="174"/>
      <c r="J122" s="174"/>
      <c r="L122" s="418"/>
      <c r="M122" s="418"/>
      <c r="N122" s="418"/>
      <c r="O122" s="418"/>
      <c r="P122" s="418"/>
      <c r="Q122" s="418"/>
      <c r="R122" s="418"/>
      <c r="S122" s="418"/>
      <c r="T122" s="418"/>
      <c r="U122" s="418"/>
      <c r="V122" s="418"/>
      <c r="W122" s="418"/>
      <c r="X122" s="418"/>
      <c r="Y122" s="418"/>
      <c r="Z122" s="418"/>
      <c r="AA122" s="418"/>
      <c r="AB122" s="418"/>
      <c r="AC122" s="418"/>
      <c r="AD122" s="418"/>
      <c r="AE122" s="418"/>
      <c r="AF122" s="418"/>
      <c r="AG122" s="418"/>
      <c r="AH122" s="418"/>
      <c r="AI122" s="418"/>
      <c r="AJ122" s="418"/>
      <c r="AK122" s="418"/>
      <c r="AL122" s="418"/>
      <c r="AM122" s="418"/>
      <c r="AN122" s="418"/>
      <c r="AO122" s="418"/>
      <c r="AP122" s="418"/>
      <c r="AQ122" s="418"/>
      <c r="AR122" s="418"/>
      <c r="AS122" s="418"/>
      <c r="AT122" s="418"/>
      <c r="AU122" s="418"/>
      <c r="AV122" s="418"/>
      <c r="AW122" s="418"/>
      <c r="AX122" s="418"/>
      <c r="AY122" s="418"/>
      <c r="AZ122" s="418"/>
      <c r="BA122" s="418"/>
      <c r="BB122" s="418"/>
      <c r="BC122" s="418"/>
      <c r="BD122" s="418"/>
      <c r="BE122" s="418"/>
      <c r="BF122" s="418"/>
      <c r="BG122" s="418"/>
      <c r="BH122" s="418"/>
      <c r="BI122" s="418"/>
      <c r="BJ122" s="418"/>
    </row>
    <row r="123" spans="2:62" x14ac:dyDescent="0.2">
      <c r="B123" s="187"/>
      <c r="C123" s="164"/>
      <c r="D123" s="164"/>
      <c r="E123" s="164"/>
      <c r="F123" s="164"/>
      <c r="G123" s="202"/>
      <c r="H123" s="164"/>
      <c r="I123" s="174"/>
      <c r="J123" s="174"/>
      <c r="L123" s="418"/>
      <c r="M123" s="418"/>
      <c r="N123" s="418"/>
      <c r="O123" s="418"/>
      <c r="P123" s="418"/>
      <c r="Q123" s="418"/>
      <c r="R123" s="418"/>
      <c r="S123" s="418"/>
      <c r="T123" s="418"/>
      <c r="U123" s="418"/>
      <c r="V123" s="418"/>
      <c r="W123" s="418"/>
      <c r="X123" s="418"/>
      <c r="Y123" s="418"/>
      <c r="Z123" s="418"/>
      <c r="AA123" s="418"/>
      <c r="AB123" s="418"/>
      <c r="AC123" s="418"/>
      <c r="AD123" s="418"/>
      <c r="AE123" s="418"/>
      <c r="AF123" s="418"/>
      <c r="AG123" s="418"/>
      <c r="AH123" s="418"/>
      <c r="AI123" s="418"/>
      <c r="AJ123" s="418"/>
      <c r="AK123" s="418"/>
      <c r="AL123" s="418"/>
      <c r="AM123" s="418"/>
      <c r="AN123" s="418"/>
      <c r="AO123" s="418"/>
      <c r="AP123" s="418"/>
      <c r="AQ123" s="418"/>
      <c r="AR123" s="418"/>
      <c r="AS123" s="418"/>
      <c r="AT123" s="418"/>
      <c r="AU123" s="418"/>
      <c r="AV123" s="418"/>
      <c r="AW123" s="418"/>
      <c r="AX123" s="418"/>
      <c r="AY123" s="418"/>
      <c r="AZ123" s="418"/>
      <c r="BA123" s="418"/>
      <c r="BB123" s="418"/>
      <c r="BC123" s="418"/>
      <c r="BD123" s="418"/>
      <c r="BE123" s="418"/>
      <c r="BF123" s="418"/>
      <c r="BG123" s="418"/>
      <c r="BH123" s="418"/>
      <c r="BI123" s="418"/>
      <c r="BJ123" s="418"/>
    </row>
    <row r="124" spans="2:62" x14ac:dyDescent="0.2">
      <c r="B124" s="187"/>
      <c r="C124" s="164"/>
      <c r="D124" s="164"/>
      <c r="E124" s="164"/>
      <c r="F124" s="164"/>
      <c r="G124" s="202"/>
      <c r="H124" s="164"/>
      <c r="I124" s="174"/>
      <c r="J124" s="174"/>
      <c r="L124" s="418"/>
      <c r="M124" s="418"/>
      <c r="N124" s="418"/>
      <c r="O124" s="418"/>
      <c r="P124" s="418"/>
      <c r="Q124" s="418"/>
      <c r="R124" s="418"/>
      <c r="S124" s="418"/>
      <c r="T124" s="418"/>
      <c r="U124" s="418"/>
      <c r="V124" s="418"/>
      <c r="W124" s="418"/>
      <c r="X124" s="418"/>
      <c r="Y124" s="418"/>
      <c r="Z124" s="418"/>
      <c r="AA124" s="418"/>
      <c r="AB124" s="418"/>
      <c r="AC124" s="418"/>
      <c r="AD124" s="418"/>
      <c r="AE124" s="418"/>
      <c r="AF124" s="418"/>
      <c r="AG124" s="418"/>
      <c r="AH124" s="418"/>
      <c r="AI124" s="418"/>
      <c r="AJ124" s="418"/>
      <c r="AK124" s="418"/>
      <c r="AL124" s="418"/>
      <c r="AM124" s="418"/>
      <c r="AN124" s="418"/>
      <c r="AO124" s="418"/>
      <c r="AP124" s="418"/>
      <c r="AQ124" s="418"/>
      <c r="AR124" s="418"/>
      <c r="AS124" s="418"/>
      <c r="AT124" s="418"/>
      <c r="AU124" s="418"/>
      <c r="AV124" s="418"/>
      <c r="AW124" s="418"/>
      <c r="AX124" s="418"/>
      <c r="AY124" s="418"/>
      <c r="AZ124" s="418"/>
      <c r="BA124" s="418"/>
      <c r="BB124" s="418"/>
      <c r="BC124" s="418"/>
      <c r="BD124" s="418"/>
      <c r="BE124" s="418"/>
      <c r="BF124" s="418"/>
      <c r="BG124" s="418"/>
      <c r="BH124" s="418"/>
      <c r="BI124" s="418"/>
      <c r="BJ124" s="418"/>
    </row>
    <row r="125" spans="2:62" x14ac:dyDescent="0.2">
      <c r="B125" s="187"/>
      <c r="C125" s="164"/>
      <c r="D125" s="164"/>
      <c r="E125" s="164"/>
      <c r="F125" s="164"/>
      <c r="G125" s="202"/>
      <c r="H125" s="164"/>
      <c r="I125" s="174"/>
      <c r="J125" s="174"/>
      <c r="L125" s="418"/>
      <c r="M125" s="418"/>
      <c r="N125" s="418"/>
      <c r="O125" s="418"/>
      <c r="P125" s="418"/>
      <c r="Q125" s="418"/>
      <c r="R125" s="418"/>
      <c r="S125" s="418"/>
      <c r="T125" s="418"/>
      <c r="U125" s="418"/>
      <c r="V125" s="418"/>
      <c r="W125" s="418"/>
      <c r="X125" s="418"/>
      <c r="Y125" s="418"/>
      <c r="Z125" s="418"/>
      <c r="AA125" s="418"/>
      <c r="AB125" s="418"/>
      <c r="AC125" s="418"/>
      <c r="AD125" s="418"/>
      <c r="AE125" s="418"/>
      <c r="AF125" s="418"/>
      <c r="AG125" s="418"/>
      <c r="AH125" s="418"/>
      <c r="AI125" s="418"/>
      <c r="AJ125" s="418"/>
      <c r="AK125" s="418"/>
      <c r="AL125" s="418"/>
      <c r="AM125" s="418"/>
      <c r="AN125" s="418"/>
      <c r="AO125" s="418"/>
      <c r="AP125" s="418"/>
      <c r="AQ125" s="418"/>
      <c r="AR125" s="418"/>
      <c r="AS125" s="418"/>
      <c r="AT125" s="418"/>
      <c r="AU125" s="418"/>
      <c r="AV125" s="418"/>
      <c r="AW125" s="418"/>
      <c r="AX125" s="418"/>
      <c r="AY125" s="418"/>
      <c r="AZ125" s="418"/>
      <c r="BA125" s="418"/>
      <c r="BB125" s="418"/>
      <c r="BC125" s="418"/>
      <c r="BD125" s="418"/>
      <c r="BE125" s="418"/>
      <c r="BF125" s="418"/>
      <c r="BG125" s="418"/>
      <c r="BH125" s="418"/>
      <c r="BI125" s="418"/>
      <c r="BJ125" s="418"/>
    </row>
    <row r="126" spans="2:62" x14ac:dyDescent="0.2">
      <c r="B126" s="187"/>
      <c r="C126" s="164"/>
      <c r="D126" s="164"/>
      <c r="E126" s="164"/>
      <c r="F126" s="164"/>
      <c r="G126" s="202"/>
      <c r="H126" s="164"/>
      <c r="I126" s="174"/>
      <c r="J126" s="174"/>
      <c r="L126" s="418"/>
      <c r="M126" s="418"/>
      <c r="N126" s="418"/>
      <c r="O126" s="418"/>
      <c r="P126" s="418"/>
      <c r="Q126" s="418"/>
      <c r="R126" s="418"/>
      <c r="S126" s="418"/>
      <c r="T126" s="418"/>
      <c r="U126" s="418"/>
      <c r="V126" s="418"/>
      <c r="W126" s="418"/>
      <c r="X126" s="418"/>
      <c r="Y126" s="418"/>
      <c r="Z126" s="418"/>
      <c r="AA126" s="418"/>
      <c r="AB126" s="418"/>
      <c r="AC126" s="418"/>
      <c r="AD126" s="418"/>
      <c r="AE126" s="418"/>
      <c r="AF126" s="418"/>
      <c r="AG126" s="418"/>
      <c r="AH126" s="418"/>
      <c r="AI126" s="418"/>
      <c r="AJ126" s="418"/>
      <c r="AK126" s="418"/>
      <c r="AL126" s="418"/>
      <c r="AM126" s="418"/>
      <c r="AN126" s="418"/>
      <c r="AO126" s="418"/>
      <c r="AP126" s="418"/>
      <c r="AQ126" s="418"/>
      <c r="AR126" s="418"/>
      <c r="AS126" s="418"/>
      <c r="AT126" s="418"/>
      <c r="AU126" s="418"/>
      <c r="AV126" s="418"/>
      <c r="AW126" s="418"/>
      <c r="AX126" s="418"/>
      <c r="AY126" s="418"/>
      <c r="AZ126" s="418"/>
      <c r="BA126" s="418"/>
      <c r="BB126" s="418"/>
      <c r="BC126" s="418"/>
      <c r="BD126" s="418"/>
      <c r="BE126" s="418"/>
      <c r="BF126" s="418"/>
      <c r="BG126" s="418"/>
      <c r="BH126" s="418"/>
      <c r="BI126" s="418"/>
      <c r="BJ126" s="418"/>
    </row>
    <row r="127" spans="2:62" x14ac:dyDescent="0.2">
      <c r="B127" s="187"/>
      <c r="C127" s="164"/>
      <c r="D127" s="164"/>
      <c r="E127" s="164"/>
      <c r="F127" s="164"/>
      <c r="G127" s="202"/>
      <c r="H127" s="164"/>
      <c r="I127" s="174"/>
      <c r="J127" s="174"/>
      <c r="L127" s="418"/>
      <c r="M127" s="418"/>
      <c r="N127" s="418"/>
      <c r="O127" s="418"/>
      <c r="P127" s="418"/>
      <c r="Q127" s="418"/>
      <c r="R127" s="418"/>
      <c r="S127" s="418"/>
      <c r="T127" s="418"/>
      <c r="U127" s="418"/>
      <c r="V127" s="418"/>
      <c r="W127" s="418"/>
      <c r="X127" s="418"/>
      <c r="Y127" s="418"/>
      <c r="Z127" s="418"/>
      <c r="AA127" s="418"/>
      <c r="AB127" s="418"/>
      <c r="AC127" s="418"/>
      <c r="AD127" s="418"/>
      <c r="AE127" s="418"/>
      <c r="AF127" s="418"/>
      <c r="AG127" s="418"/>
      <c r="AH127" s="418"/>
      <c r="AI127" s="418"/>
      <c r="AJ127" s="418"/>
      <c r="AK127" s="418"/>
      <c r="AL127" s="418"/>
      <c r="AM127" s="418"/>
      <c r="AN127" s="418"/>
      <c r="AO127" s="418"/>
      <c r="AP127" s="418"/>
      <c r="AQ127" s="418"/>
      <c r="AR127" s="418"/>
      <c r="AS127" s="418"/>
      <c r="AT127" s="418"/>
      <c r="AU127" s="418"/>
      <c r="AV127" s="418"/>
      <c r="AW127" s="418"/>
      <c r="AX127" s="418"/>
      <c r="AY127" s="418"/>
      <c r="AZ127" s="418"/>
      <c r="BA127" s="418"/>
      <c r="BB127" s="418"/>
      <c r="BC127" s="418"/>
      <c r="BD127" s="418"/>
      <c r="BE127" s="418"/>
      <c r="BF127" s="418"/>
      <c r="BG127" s="418"/>
      <c r="BH127" s="418"/>
      <c r="BI127" s="418"/>
      <c r="BJ127" s="418"/>
    </row>
    <row r="128" spans="2:62" x14ac:dyDescent="0.2">
      <c r="B128" s="187"/>
      <c r="C128" s="164"/>
      <c r="D128" s="164"/>
      <c r="E128" s="164"/>
      <c r="F128" s="164"/>
      <c r="G128" s="202"/>
      <c r="H128" s="164"/>
      <c r="I128" s="174"/>
      <c r="J128" s="174"/>
      <c r="L128" s="418"/>
      <c r="M128" s="418"/>
      <c r="N128" s="418"/>
      <c r="O128" s="418"/>
      <c r="P128" s="418"/>
      <c r="Q128" s="418"/>
      <c r="R128" s="418"/>
      <c r="S128" s="418"/>
      <c r="T128" s="418"/>
      <c r="U128" s="418"/>
      <c r="V128" s="418"/>
      <c r="W128" s="418"/>
      <c r="X128" s="418"/>
      <c r="Y128" s="418"/>
      <c r="Z128" s="418"/>
      <c r="AA128" s="418"/>
      <c r="AB128" s="418"/>
      <c r="AC128" s="418"/>
      <c r="AD128" s="418"/>
      <c r="AE128" s="418"/>
      <c r="AF128" s="418"/>
      <c r="AG128" s="418"/>
      <c r="AH128" s="418"/>
      <c r="AI128" s="418"/>
      <c r="AJ128" s="418"/>
      <c r="AK128" s="418"/>
      <c r="AL128" s="418"/>
      <c r="AM128" s="418"/>
      <c r="AN128" s="418"/>
      <c r="AO128" s="418"/>
      <c r="AP128" s="418"/>
      <c r="AQ128" s="418"/>
      <c r="AR128" s="418"/>
      <c r="AS128" s="418"/>
      <c r="AT128" s="418"/>
      <c r="AU128" s="418"/>
      <c r="AV128" s="418"/>
      <c r="AW128" s="418"/>
      <c r="AX128" s="418"/>
      <c r="AY128" s="418"/>
      <c r="AZ128" s="418"/>
      <c r="BA128" s="418"/>
      <c r="BB128" s="418"/>
      <c r="BC128" s="418"/>
      <c r="BD128" s="418"/>
      <c r="BE128" s="418"/>
      <c r="BF128" s="418"/>
      <c r="BG128" s="418"/>
      <c r="BH128" s="418"/>
      <c r="BI128" s="418"/>
      <c r="BJ128" s="418"/>
    </row>
    <row r="129" spans="2:62" x14ac:dyDescent="0.2">
      <c r="B129" s="187"/>
      <c r="C129" s="164"/>
      <c r="D129" s="164"/>
      <c r="E129" s="164"/>
      <c r="F129" s="164"/>
      <c r="G129" s="202"/>
      <c r="H129" s="164"/>
      <c r="I129" s="174"/>
      <c r="J129" s="174"/>
      <c r="L129" s="418"/>
      <c r="M129" s="418"/>
      <c r="N129" s="418"/>
      <c r="O129" s="418"/>
      <c r="P129" s="418"/>
      <c r="Q129" s="418"/>
      <c r="R129" s="418"/>
      <c r="S129" s="418"/>
      <c r="T129" s="418"/>
      <c r="U129" s="418"/>
      <c r="V129" s="418"/>
      <c r="W129" s="418"/>
      <c r="X129" s="418"/>
      <c r="Y129" s="418"/>
      <c r="Z129" s="418"/>
      <c r="AA129" s="418"/>
      <c r="AB129" s="418"/>
      <c r="AC129" s="418"/>
      <c r="AD129" s="418"/>
      <c r="AE129" s="418"/>
      <c r="AF129" s="418"/>
      <c r="AG129" s="418"/>
      <c r="AH129" s="418"/>
      <c r="AI129" s="418"/>
      <c r="AJ129" s="418"/>
      <c r="AK129" s="418"/>
      <c r="AL129" s="418"/>
      <c r="AM129" s="418"/>
      <c r="AN129" s="418"/>
      <c r="AO129" s="418"/>
      <c r="AP129" s="418"/>
      <c r="AQ129" s="418"/>
      <c r="AR129" s="418"/>
      <c r="AS129" s="418"/>
      <c r="AT129" s="418"/>
      <c r="AU129" s="418"/>
      <c r="AV129" s="418"/>
      <c r="AW129" s="418"/>
      <c r="AX129" s="418"/>
      <c r="AY129" s="418"/>
      <c r="AZ129" s="418"/>
      <c r="BA129" s="418"/>
      <c r="BB129" s="418"/>
      <c r="BC129" s="418"/>
      <c r="BD129" s="418"/>
      <c r="BE129" s="418"/>
      <c r="BF129" s="418"/>
      <c r="BG129" s="418"/>
      <c r="BH129" s="418"/>
      <c r="BI129" s="418"/>
      <c r="BJ129" s="418"/>
    </row>
    <row r="130" spans="2:62" x14ac:dyDescent="0.2">
      <c r="B130" s="187"/>
      <c r="C130" s="164"/>
      <c r="D130" s="164"/>
      <c r="E130" s="164"/>
      <c r="F130" s="164"/>
      <c r="G130" s="202"/>
      <c r="H130" s="164"/>
      <c r="I130" s="174"/>
      <c r="J130" s="174"/>
      <c r="L130" s="418"/>
      <c r="M130" s="418"/>
      <c r="N130" s="418"/>
      <c r="O130" s="418"/>
      <c r="P130" s="418"/>
      <c r="Q130" s="418"/>
      <c r="R130" s="418"/>
      <c r="S130" s="418"/>
      <c r="T130" s="418"/>
      <c r="U130" s="418"/>
      <c r="V130" s="418"/>
      <c r="W130" s="418"/>
      <c r="X130" s="418"/>
      <c r="Y130" s="418"/>
      <c r="Z130" s="418"/>
      <c r="AA130" s="418"/>
      <c r="AB130" s="418"/>
      <c r="AC130" s="418"/>
      <c r="AD130" s="418"/>
      <c r="AE130" s="418"/>
      <c r="AF130" s="418"/>
      <c r="AG130" s="418"/>
      <c r="AH130" s="418"/>
      <c r="AI130" s="418"/>
      <c r="AJ130" s="418"/>
      <c r="AK130" s="418"/>
      <c r="AL130" s="418"/>
      <c r="AM130" s="418"/>
      <c r="AN130" s="418"/>
      <c r="AO130" s="418"/>
      <c r="AP130" s="418"/>
      <c r="AQ130" s="418"/>
      <c r="AR130" s="418"/>
      <c r="AS130" s="418"/>
      <c r="AT130" s="418"/>
      <c r="AU130" s="418"/>
      <c r="AV130" s="418"/>
      <c r="AW130" s="418"/>
      <c r="AX130" s="418"/>
      <c r="AY130" s="418"/>
      <c r="AZ130" s="418"/>
      <c r="BA130" s="418"/>
      <c r="BB130" s="418"/>
      <c r="BC130" s="418"/>
      <c r="BD130" s="418"/>
      <c r="BE130" s="418"/>
      <c r="BF130" s="418"/>
      <c r="BG130" s="418"/>
      <c r="BH130" s="418"/>
      <c r="BI130" s="418"/>
      <c r="BJ130" s="418"/>
    </row>
    <row r="131" spans="2:62" x14ac:dyDescent="0.2">
      <c r="B131" s="187"/>
      <c r="C131" s="164"/>
      <c r="D131" s="164"/>
      <c r="E131" s="164"/>
      <c r="F131" s="164"/>
      <c r="G131" s="202"/>
      <c r="H131" s="164"/>
      <c r="I131" s="174"/>
      <c r="J131" s="174"/>
      <c r="L131" s="418"/>
      <c r="M131" s="418"/>
      <c r="N131" s="418"/>
      <c r="O131" s="418"/>
      <c r="P131" s="418"/>
      <c r="Q131" s="418"/>
      <c r="R131" s="418"/>
      <c r="S131" s="418"/>
      <c r="T131" s="418"/>
      <c r="U131" s="418"/>
      <c r="V131" s="418"/>
      <c r="W131" s="418"/>
      <c r="X131" s="418"/>
      <c r="Y131" s="418"/>
      <c r="Z131" s="418"/>
      <c r="AA131" s="418"/>
      <c r="AB131" s="418"/>
      <c r="AC131" s="418"/>
      <c r="AD131" s="418"/>
      <c r="AE131" s="418"/>
      <c r="AF131" s="418"/>
      <c r="AG131" s="418"/>
      <c r="AH131" s="418"/>
      <c r="AI131" s="418"/>
      <c r="AJ131" s="418"/>
      <c r="AK131" s="418"/>
      <c r="AL131" s="418"/>
      <c r="AM131" s="418"/>
      <c r="AN131" s="418"/>
      <c r="AO131" s="418"/>
      <c r="AP131" s="418"/>
      <c r="AQ131" s="418"/>
      <c r="AR131" s="418"/>
      <c r="AS131" s="418"/>
      <c r="AT131" s="418"/>
      <c r="AU131" s="418"/>
      <c r="AV131" s="418"/>
      <c r="AW131" s="418"/>
      <c r="AX131" s="418"/>
      <c r="AY131" s="418"/>
      <c r="AZ131" s="418"/>
      <c r="BA131" s="418"/>
      <c r="BB131" s="418"/>
      <c r="BC131" s="418"/>
      <c r="BD131" s="418"/>
      <c r="BE131" s="418"/>
      <c r="BF131" s="418"/>
      <c r="BG131" s="418"/>
      <c r="BH131" s="418"/>
      <c r="BI131" s="418"/>
      <c r="BJ131" s="418"/>
    </row>
    <row r="132" spans="2:62" x14ac:dyDescent="0.2">
      <c r="B132" s="187"/>
      <c r="C132" s="164"/>
      <c r="D132" s="164"/>
      <c r="E132" s="164"/>
      <c r="F132" s="164"/>
      <c r="G132" s="202"/>
      <c r="H132" s="164"/>
      <c r="I132" s="174"/>
      <c r="J132" s="174"/>
      <c r="L132" s="418"/>
      <c r="M132" s="418"/>
      <c r="N132" s="418"/>
      <c r="O132" s="418"/>
      <c r="P132" s="418"/>
      <c r="Q132" s="418"/>
      <c r="R132" s="418"/>
      <c r="S132" s="418"/>
      <c r="T132" s="418"/>
      <c r="U132" s="418"/>
      <c r="V132" s="418"/>
      <c r="W132" s="418"/>
      <c r="X132" s="418"/>
      <c r="Y132" s="418"/>
      <c r="Z132" s="418"/>
      <c r="AA132" s="418"/>
      <c r="AB132" s="418"/>
      <c r="AC132" s="418"/>
      <c r="AD132" s="418"/>
      <c r="AE132" s="418"/>
      <c r="AF132" s="418"/>
      <c r="AG132" s="418"/>
      <c r="AH132" s="418"/>
      <c r="AI132" s="418"/>
      <c r="AJ132" s="418"/>
      <c r="AK132" s="418"/>
      <c r="AL132" s="418"/>
      <c r="AM132" s="418"/>
      <c r="AN132" s="418"/>
      <c r="AO132" s="418"/>
      <c r="AP132" s="418"/>
      <c r="AQ132" s="418"/>
      <c r="AR132" s="418"/>
      <c r="AS132" s="418"/>
      <c r="AT132" s="418"/>
      <c r="AU132" s="418"/>
      <c r="AV132" s="418"/>
      <c r="AW132" s="418"/>
      <c r="AX132" s="418"/>
      <c r="AY132" s="418"/>
      <c r="AZ132" s="418"/>
      <c r="BA132" s="418"/>
      <c r="BB132" s="418"/>
      <c r="BC132" s="418"/>
      <c r="BD132" s="418"/>
      <c r="BE132" s="418"/>
      <c r="BF132" s="418"/>
      <c r="BG132" s="418"/>
      <c r="BH132" s="418"/>
      <c r="BI132" s="418"/>
      <c r="BJ132" s="418"/>
    </row>
    <row r="133" spans="2:62" x14ac:dyDescent="0.2">
      <c r="B133" s="187"/>
      <c r="C133" s="164"/>
      <c r="D133" s="164"/>
      <c r="E133" s="164"/>
      <c r="F133" s="164"/>
      <c r="G133" s="202"/>
      <c r="H133" s="164"/>
      <c r="I133" s="174"/>
      <c r="J133" s="174"/>
      <c r="L133" s="418"/>
      <c r="M133" s="418"/>
      <c r="N133" s="418"/>
      <c r="O133" s="418"/>
      <c r="P133" s="418"/>
      <c r="Q133" s="418"/>
      <c r="R133" s="418"/>
      <c r="S133" s="418"/>
      <c r="T133" s="418"/>
      <c r="U133" s="418"/>
      <c r="V133" s="418"/>
      <c r="W133" s="418"/>
      <c r="X133" s="418"/>
      <c r="Y133" s="418"/>
      <c r="Z133" s="418"/>
      <c r="AA133" s="418"/>
      <c r="AB133" s="418"/>
      <c r="AC133" s="418"/>
      <c r="AD133" s="418"/>
      <c r="AE133" s="418"/>
      <c r="AF133" s="418"/>
      <c r="AG133" s="418"/>
      <c r="AH133" s="418"/>
      <c r="AI133" s="418"/>
      <c r="AJ133" s="418"/>
      <c r="AK133" s="418"/>
      <c r="AL133" s="418"/>
      <c r="AM133" s="418"/>
      <c r="AN133" s="418"/>
      <c r="AO133" s="418"/>
      <c r="AP133" s="418"/>
      <c r="AQ133" s="418"/>
      <c r="AR133" s="418"/>
      <c r="AS133" s="418"/>
      <c r="AT133" s="418"/>
      <c r="AU133" s="418"/>
      <c r="AV133" s="418"/>
      <c r="AW133" s="418"/>
      <c r="AX133" s="418"/>
      <c r="AY133" s="418"/>
      <c r="AZ133" s="418"/>
      <c r="BA133" s="418"/>
      <c r="BB133" s="418"/>
      <c r="BC133" s="418"/>
      <c r="BD133" s="418"/>
      <c r="BE133" s="418"/>
      <c r="BF133" s="418"/>
      <c r="BG133" s="418"/>
      <c r="BH133" s="418"/>
      <c r="BI133" s="418"/>
      <c r="BJ133" s="418"/>
    </row>
    <row r="134" spans="2:62" x14ac:dyDescent="0.2">
      <c r="B134" s="187"/>
      <c r="C134" s="164"/>
      <c r="D134" s="164"/>
      <c r="E134" s="164"/>
      <c r="F134" s="164"/>
      <c r="G134" s="202"/>
      <c r="H134" s="164"/>
      <c r="I134" s="174"/>
      <c r="J134" s="174"/>
      <c r="L134" s="418"/>
      <c r="M134" s="418"/>
      <c r="N134" s="418"/>
      <c r="O134" s="418"/>
      <c r="P134" s="418"/>
      <c r="Q134" s="418"/>
      <c r="R134" s="418"/>
      <c r="S134" s="418"/>
      <c r="T134" s="418"/>
      <c r="U134" s="418"/>
      <c r="V134" s="418"/>
      <c r="W134" s="418"/>
      <c r="X134" s="418"/>
      <c r="Y134" s="418"/>
      <c r="Z134" s="418"/>
      <c r="AA134" s="418"/>
      <c r="AB134" s="418"/>
      <c r="AC134" s="418"/>
      <c r="AD134" s="418"/>
      <c r="AE134" s="418"/>
      <c r="AF134" s="418"/>
      <c r="AG134" s="418"/>
      <c r="AH134" s="418"/>
      <c r="AI134" s="418"/>
      <c r="AJ134" s="418"/>
      <c r="AK134" s="418"/>
      <c r="AL134" s="418"/>
      <c r="AM134" s="418"/>
      <c r="AN134" s="418"/>
      <c r="AO134" s="418"/>
      <c r="AP134" s="418"/>
      <c r="AQ134" s="418"/>
      <c r="AR134" s="418"/>
      <c r="AS134" s="418"/>
      <c r="AT134" s="418"/>
      <c r="AU134" s="418"/>
      <c r="AV134" s="418"/>
      <c r="AW134" s="418"/>
      <c r="AX134" s="418"/>
      <c r="AY134" s="418"/>
      <c r="AZ134" s="418"/>
      <c r="BA134" s="418"/>
      <c r="BB134" s="418"/>
      <c r="BC134" s="418"/>
      <c r="BD134" s="418"/>
      <c r="BE134" s="418"/>
      <c r="BF134" s="418"/>
      <c r="BG134" s="418"/>
      <c r="BH134" s="418"/>
      <c r="BI134" s="418"/>
      <c r="BJ134" s="418"/>
    </row>
    <row r="135" spans="2:62" x14ac:dyDescent="0.2">
      <c r="B135" s="187"/>
      <c r="C135" s="182"/>
      <c r="D135" s="182"/>
      <c r="E135" s="182"/>
      <c r="F135" s="182"/>
      <c r="G135" s="207"/>
      <c r="H135" s="182"/>
      <c r="I135" s="424"/>
      <c r="J135" s="424"/>
      <c r="L135" s="418"/>
      <c r="M135" s="418"/>
      <c r="N135" s="418"/>
      <c r="O135" s="418"/>
      <c r="P135" s="418"/>
      <c r="Q135" s="418"/>
      <c r="R135" s="418"/>
      <c r="S135" s="418"/>
      <c r="T135" s="418"/>
      <c r="U135" s="418"/>
      <c r="V135" s="418"/>
      <c r="W135" s="418"/>
      <c r="X135" s="418"/>
      <c r="Y135" s="418"/>
      <c r="Z135" s="418"/>
      <c r="AA135" s="418"/>
      <c r="AB135" s="418"/>
      <c r="AC135" s="418"/>
      <c r="AD135" s="418"/>
      <c r="AE135" s="418"/>
      <c r="AF135" s="418"/>
      <c r="AG135" s="418"/>
      <c r="AH135" s="418"/>
      <c r="AI135" s="418"/>
      <c r="AJ135" s="418"/>
      <c r="AK135" s="418"/>
      <c r="AL135" s="418"/>
      <c r="AM135" s="418"/>
      <c r="AN135" s="418"/>
      <c r="AO135" s="418"/>
      <c r="AP135" s="418"/>
      <c r="AQ135" s="418"/>
      <c r="AR135" s="418"/>
      <c r="AS135" s="418"/>
      <c r="AT135" s="418"/>
      <c r="AU135" s="418"/>
      <c r="AV135" s="418"/>
      <c r="AW135" s="418"/>
      <c r="AX135" s="418"/>
      <c r="AY135" s="418"/>
      <c r="AZ135" s="418"/>
      <c r="BA135" s="418"/>
      <c r="BB135" s="418"/>
      <c r="BC135" s="418"/>
      <c r="BD135" s="418"/>
      <c r="BE135" s="418"/>
      <c r="BF135" s="418"/>
      <c r="BG135" s="418"/>
      <c r="BH135" s="418"/>
      <c r="BI135" s="418"/>
      <c r="BJ135" s="418"/>
    </row>
    <row r="136" spans="2:62" x14ac:dyDescent="0.2">
      <c r="B136" s="187"/>
      <c r="C136" s="182"/>
      <c r="D136" s="182"/>
      <c r="E136" s="182"/>
      <c r="F136" s="182"/>
      <c r="G136" s="207"/>
      <c r="H136" s="182"/>
      <c r="I136" s="424"/>
      <c r="J136" s="424"/>
      <c r="L136" s="418"/>
      <c r="M136" s="418"/>
      <c r="N136" s="418"/>
      <c r="O136" s="418"/>
      <c r="P136" s="418"/>
      <c r="Q136" s="418"/>
      <c r="R136" s="418"/>
      <c r="S136" s="418"/>
      <c r="T136" s="418"/>
      <c r="U136" s="418"/>
      <c r="V136" s="418"/>
      <c r="W136" s="418"/>
      <c r="X136" s="418"/>
      <c r="Y136" s="418"/>
      <c r="Z136" s="418"/>
      <c r="AA136" s="418"/>
      <c r="AB136" s="418"/>
      <c r="AC136" s="418"/>
      <c r="AD136" s="418"/>
      <c r="AE136" s="418"/>
      <c r="AF136" s="418"/>
      <c r="AG136" s="418"/>
      <c r="AH136" s="418"/>
      <c r="AI136" s="418"/>
      <c r="AJ136" s="418"/>
      <c r="AK136" s="418"/>
      <c r="AL136" s="418"/>
      <c r="AM136" s="418"/>
      <c r="AN136" s="418"/>
      <c r="AO136" s="418"/>
      <c r="AP136" s="418"/>
      <c r="AQ136" s="418"/>
      <c r="AR136" s="418"/>
      <c r="AS136" s="418"/>
      <c r="AT136" s="418"/>
      <c r="AU136" s="418"/>
      <c r="AV136" s="418"/>
      <c r="AW136" s="418"/>
      <c r="AX136" s="418"/>
      <c r="AY136" s="418"/>
      <c r="AZ136" s="418"/>
      <c r="BA136" s="418"/>
      <c r="BB136" s="418"/>
      <c r="BC136" s="418"/>
      <c r="BD136" s="418"/>
      <c r="BE136" s="418"/>
      <c r="BF136" s="418"/>
      <c r="BG136" s="418"/>
      <c r="BH136" s="418"/>
      <c r="BI136" s="418"/>
      <c r="BJ136" s="418"/>
    </row>
    <row r="137" spans="2:62" ht="19.5" thickBot="1" x14ac:dyDescent="0.25">
      <c r="B137" s="186" t="s">
        <v>296</v>
      </c>
      <c r="C137" s="175"/>
      <c r="D137" s="175"/>
      <c r="E137" s="175"/>
      <c r="F137" s="175"/>
      <c r="G137" s="205"/>
      <c r="H137" s="175"/>
      <c r="I137" s="175"/>
      <c r="J137" s="175" t="s">
        <v>285</v>
      </c>
      <c r="L137" s="418"/>
      <c r="M137" s="418"/>
      <c r="N137" s="418"/>
      <c r="O137" s="418"/>
      <c r="P137" s="418"/>
      <c r="Q137" s="418"/>
      <c r="R137" s="418"/>
      <c r="S137" s="418"/>
      <c r="T137" s="418"/>
      <c r="U137" s="418"/>
      <c r="V137" s="418"/>
      <c r="W137" s="418"/>
      <c r="X137" s="418"/>
      <c r="Y137" s="418"/>
      <c r="Z137" s="418"/>
      <c r="AA137" s="418"/>
      <c r="AB137" s="418"/>
      <c r="AC137" s="418"/>
      <c r="AD137" s="418"/>
      <c r="AE137" s="418"/>
      <c r="AF137" s="418"/>
      <c r="AG137" s="418"/>
      <c r="AH137" s="418"/>
      <c r="AI137" s="418"/>
      <c r="AJ137" s="418"/>
      <c r="AK137" s="418"/>
      <c r="AL137" s="418"/>
      <c r="AM137" s="418"/>
      <c r="AN137" s="418"/>
      <c r="AO137" s="418"/>
      <c r="AP137" s="418"/>
      <c r="AQ137" s="418"/>
      <c r="AR137" s="418"/>
      <c r="AS137" s="418"/>
      <c r="AT137" s="418"/>
      <c r="AU137" s="418"/>
      <c r="AV137" s="418"/>
      <c r="AW137" s="418"/>
      <c r="AX137" s="418"/>
      <c r="AY137" s="418"/>
      <c r="AZ137" s="418"/>
      <c r="BA137" s="418"/>
      <c r="BB137" s="418"/>
      <c r="BC137" s="418"/>
      <c r="BD137" s="418"/>
      <c r="BE137" s="418"/>
      <c r="BF137" s="418"/>
      <c r="BG137" s="418"/>
      <c r="BH137" s="418"/>
      <c r="BI137" s="418"/>
      <c r="BJ137" s="418"/>
    </row>
    <row r="138" spans="2:62" x14ac:dyDescent="0.2">
      <c r="B138" s="188" t="s">
        <v>311</v>
      </c>
      <c r="C138" s="164"/>
      <c r="D138" s="164"/>
      <c r="E138" s="164"/>
      <c r="F138" s="164"/>
      <c r="G138" s="202"/>
      <c r="H138" s="164"/>
      <c r="I138" s="174"/>
      <c r="J138" s="174">
        <f>الدراسة!C183</f>
        <v>49430850</v>
      </c>
      <c r="L138" s="418"/>
      <c r="M138" s="418"/>
      <c r="N138" s="418"/>
      <c r="O138" s="418"/>
      <c r="P138" s="418"/>
      <c r="Q138" s="418"/>
      <c r="R138" s="418"/>
      <c r="S138" s="418"/>
      <c r="T138" s="418"/>
      <c r="U138" s="418"/>
      <c r="V138" s="418"/>
      <c r="W138" s="418"/>
      <c r="X138" s="418"/>
      <c r="Y138" s="418"/>
      <c r="Z138" s="418"/>
      <c r="AA138" s="418"/>
      <c r="AB138" s="418"/>
      <c r="AC138" s="418"/>
      <c r="AD138" s="418"/>
      <c r="AE138" s="418"/>
      <c r="AF138" s="418"/>
      <c r="AG138" s="418"/>
      <c r="AH138" s="418"/>
      <c r="AI138" s="418"/>
      <c r="AJ138" s="418"/>
      <c r="AK138" s="418"/>
      <c r="AL138" s="418"/>
      <c r="AM138" s="418"/>
      <c r="AN138" s="418"/>
      <c r="AO138" s="418"/>
      <c r="AP138" s="418"/>
      <c r="AQ138" s="418"/>
      <c r="AR138" s="418"/>
      <c r="AS138" s="418"/>
      <c r="AT138" s="418"/>
      <c r="AU138" s="418"/>
      <c r="AV138" s="418"/>
      <c r="AW138" s="418"/>
      <c r="AX138" s="418"/>
      <c r="AY138" s="418"/>
      <c r="AZ138" s="418"/>
      <c r="BA138" s="418"/>
      <c r="BB138" s="418"/>
      <c r="BC138" s="418"/>
      <c r="BD138" s="418"/>
      <c r="BE138" s="418"/>
      <c r="BF138" s="418"/>
      <c r="BG138" s="418"/>
      <c r="BH138" s="418"/>
      <c r="BI138" s="418"/>
      <c r="BJ138" s="418"/>
    </row>
    <row r="139" spans="2:62" ht="19.5" thickBot="1" x14ac:dyDescent="0.25">
      <c r="B139" s="196" t="s">
        <v>319</v>
      </c>
      <c r="I139" s="174"/>
      <c r="J139" s="204">
        <f>الدراسة!C186</f>
        <v>617885625</v>
      </c>
      <c r="L139" s="418"/>
      <c r="M139" s="418"/>
      <c r="N139" s="418"/>
      <c r="O139" s="418"/>
      <c r="P139" s="418"/>
      <c r="Q139" s="418"/>
      <c r="R139" s="418"/>
      <c r="S139" s="418"/>
      <c r="T139" s="418"/>
      <c r="U139" s="418"/>
      <c r="V139" s="418"/>
      <c r="W139" s="418"/>
      <c r="X139" s="418"/>
      <c r="Y139" s="418"/>
      <c r="Z139" s="418"/>
      <c r="AA139" s="418"/>
      <c r="AB139" s="418"/>
      <c r="AC139" s="418"/>
      <c r="AD139" s="418"/>
      <c r="AE139" s="418"/>
      <c r="AF139" s="418"/>
      <c r="AG139" s="418"/>
      <c r="AH139" s="418"/>
      <c r="AI139" s="418"/>
      <c r="AJ139" s="418"/>
      <c r="AK139" s="418"/>
      <c r="AL139" s="418"/>
      <c r="AM139" s="418"/>
      <c r="AN139" s="418"/>
      <c r="AO139" s="418"/>
      <c r="AP139" s="418"/>
      <c r="AQ139" s="418"/>
      <c r="AR139" s="418"/>
      <c r="AS139" s="418"/>
      <c r="AT139" s="418"/>
      <c r="AU139" s="418"/>
      <c r="AV139" s="418"/>
      <c r="AW139" s="418"/>
      <c r="AX139" s="418"/>
      <c r="AY139" s="418"/>
      <c r="AZ139" s="418"/>
      <c r="BA139" s="418"/>
      <c r="BB139" s="418"/>
      <c r="BC139" s="418"/>
      <c r="BD139" s="418"/>
      <c r="BE139" s="418"/>
      <c r="BF139" s="418"/>
      <c r="BG139" s="418"/>
      <c r="BH139" s="418"/>
      <c r="BI139" s="418"/>
      <c r="BJ139" s="418"/>
    </row>
    <row r="140" spans="2:62" x14ac:dyDescent="0.2">
      <c r="B140" s="194" t="s">
        <v>312</v>
      </c>
      <c r="C140" s="179"/>
      <c r="D140" s="179"/>
      <c r="E140" s="179"/>
      <c r="F140" s="179"/>
      <c r="G140" s="206"/>
      <c r="H140" s="179"/>
      <c r="I140" s="195"/>
      <c r="J140" s="195">
        <f>SUM(J138:J139)</f>
        <v>667316475</v>
      </c>
      <c r="L140" s="418"/>
      <c r="M140" s="418"/>
      <c r="N140" s="418"/>
      <c r="O140" s="418"/>
      <c r="P140" s="418"/>
      <c r="Q140" s="418"/>
      <c r="R140" s="418"/>
      <c r="S140" s="418"/>
      <c r="T140" s="418"/>
      <c r="U140" s="418"/>
      <c r="V140" s="418"/>
      <c r="W140" s="418"/>
      <c r="X140" s="418"/>
      <c r="Y140" s="418"/>
      <c r="Z140" s="418"/>
      <c r="AA140" s="418"/>
      <c r="AB140" s="418"/>
      <c r="AC140" s="418"/>
      <c r="AD140" s="418"/>
      <c r="AE140" s="418"/>
      <c r="AF140" s="418"/>
      <c r="AG140" s="418"/>
      <c r="AH140" s="418"/>
      <c r="AI140" s="418"/>
      <c r="AJ140" s="418"/>
      <c r="AK140" s="418"/>
      <c r="AL140" s="418"/>
      <c r="AM140" s="418"/>
      <c r="AN140" s="418"/>
      <c r="AO140" s="418"/>
      <c r="AP140" s="418"/>
      <c r="AQ140" s="418"/>
      <c r="AR140" s="418"/>
      <c r="AS140" s="418"/>
      <c r="AT140" s="418"/>
      <c r="AU140" s="418"/>
      <c r="AV140" s="418"/>
      <c r="AW140" s="418"/>
      <c r="AX140" s="418"/>
      <c r="AY140" s="418"/>
      <c r="AZ140" s="418"/>
      <c r="BA140" s="418"/>
      <c r="BB140" s="418"/>
      <c r="BC140" s="418"/>
      <c r="BD140" s="418"/>
      <c r="BE140" s="418"/>
      <c r="BF140" s="418"/>
      <c r="BG140" s="418"/>
      <c r="BH140" s="418"/>
      <c r="BI140" s="418"/>
      <c r="BJ140" s="418"/>
    </row>
    <row r="141" spans="2:62" x14ac:dyDescent="0.2">
      <c r="B141" s="200"/>
      <c r="L141" s="418"/>
      <c r="M141" s="418"/>
      <c r="N141" s="418"/>
      <c r="O141" s="418"/>
      <c r="P141" s="418"/>
      <c r="Q141" s="418"/>
      <c r="R141" s="418"/>
      <c r="S141" s="418"/>
      <c r="T141" s="418"/>
      <c r="U141" s="418"/>
      <c r="V141" s="418"/>
      <c r="W141" s="418"/>
      <c r="X141" s="418"/>
      <c r="Y141" s="418"/>
      <c r="Z141" s="418"/>
      <c r="AA141" s="418"/>
      <c r="AB141" s="418"/>
      <c r="AC141" s="418"/>
      <c r="AD141" s="418"/>
      <c r="AE141" s="418"/>
      <c r="AF141" s="418"/>
      <c r="AG141" s="418"/>
      <c r="AH141" s="418"/>
      <c r="AI141" s="418"/>
      <c r="AJ141" s="418"/>
      <c r="AK141" s="418"/>
      <c r="AL141" s="418"/>
      <c r="AM141" s="418"/>
      <c r="AN141" s="418"/>
      <c r="AO141" s="418"/>
      <c r="AP141" s="418"/>
      <c r="AQ141" s="418"/>
      <c r="AR141" s="418"/>
      <c r="AS141" s="418"/>
      <c r="AT141" s="418"/>
      <c r="AU141" s="418"/>
      <c r="AV141" s="418"/>
      <c r="AW141" s="418"/>
      <c r="AX141" s="418"/>
      <c r="AY141" s="418"/>
      <c r="AZ141" s="418"/>
      <c r="BA141" s="418"/>
      <c r="BB141" s="418"/>
      <c r="BC141" s="418"/>
      <c r="BD141" s="418"/>
      <c r="BE141" s="418"/>
      <c r="BF141" s="418"/>
      <c r="BG141" s="418"/>
      <c r="BH141" s="418"/>
      <c r="BI141" s="418"/>
      <c r="BJ141" s="418"/>
    </row>
    <row r="142" spans="2:62" x14ac:dyDescent="0.2">
      <c r="B142" s="200"/>
      <c r="L142" s="418"/>
      <c r="M142" s="418"/>
      <c r="N142" s="418"/>
      <c r="O142" s="418"/>
      <c r="P142" s="418"/>
      <c r="Q142" s="418"/>
      <c r="R142" s="418"/>
      <c r="S142" s="418"/>
      <c r="T142" s="418"/>
      <c r="U142" s="418"/>
      <c r="V142" s="418"/>
      <c r="W142" s="418"/>
      <c r="X142" s="418"/>
      <c r="Y142" s="418"/>
      <c r="Z142" s="418"/>
      <c r="AA142" s="418"/>
      <c r="AB142" s="418"/>
      <c r="AC142" s="418"/>
      <c r="AD142" s="418"/>
      <c r="AE142" s="418"/>
      <c r="AF142" s="418"/>
      <c r="AG142" s="418"/>
      <c r="AH142" s="418"/>
      <c r="AI142" s="418"/>
      <c r="AJ142" s="418"/>
      <c r="AK142" s="418"/>
      <c r="AL142" s="418"/>
      <c r="AM142" s="418"/>
      <c r="AN142" s="418"/>
      <c r="AO142" s="418"/>
      <c r="AP142" s="418"/>
      <c r="AQ142" s="418"/>
      <c r="AR142" s="418"/>
      <c r="AS142" s="418"/>
      <c r="AT142" s="418"/>
      <c r="AU142" s="418"/>
      <c r="AV142" s="418"/>
      <c r="AW142" s="418"/>
      <c r="AX142" s="418"/>
      <c r="AY142" s="418"/>
      <c r="AZ142" s="418"/>
      <c r="BA142" s="418"/>
      <c r="BB142" s="418"/>
      <c r="BC142" s="418"/>
      <c r="BD142" s="418"/>
      <c r="BE142" s="418"/>
      <c r="BF142" s="418"/>
      <c r="BG142" s="418"/>
      <c r="BH142" s="418"/>
      <c r="BI142" s="418"/>
      <c r="BJ142" s="418"/>
    </row>
    <row r="143" spans="2:62" x14ac:dyDescent="0.2">
      <c r="B143" s="200"/>
      <c r="L143" s="418"/>
      <c r="M143" s="418"/>
      <c r="N143" s="418"/>
      <c r="O143" s="418"/>
      <c r="P143" s="418"/>
      <c r="Q143" s="418"/>
      <c r="R143" s="418"/>
      <c r="S143" s="418"/>
      <c r="T143" s="418"/>
      <c r="U143" s="418"/>
      <c r="V143" s="418"/>
      <c r="W143" s="418"/>
      <c r="X143" s="418"/>
      <c r="Y143" s="418"/>
      <c r="Z143" s="418"/>
      <c r="AA143" s="418"/>
      <c r="AB143" s="418"/>
      <c r="AC143" s="418"/>
      <c r="AD143" s="418"/>
      <c r="AE143" s="418"/>
      <c r="AF143" s="418"/>
      <c r="AG143" s="418"/>
      <c r="AH143" s="418"/>
      <c r="AI143" s="418"/>
      <c r="AJ143" s="418"/>
      <c r="AK143" s="418"/>
      <c r="AL143" s="418"/>
      <c r="AM143" s="418"/>
      <c r="AN143" s="418"/>
      <c r="AO143" s="418"/>
      <c r="AP143" s="418"/>
      <c r="AQ143" s="418"/>
      <c r="AR143" s="418"/>
      <c r="AS143" s="418"/>
      <c r="AT143" s="418"/>
      <c r="AU143" s="418"/>
      <c r="AV143" s="418"/>
      <c r="AW143" s="418"/>
      <c r="AX143" s="418"/>
      <c r="AY143" s="418"/>
      <c r="AZ143" s="418"/>
      <c r="BA143" s="418"/>
      <c r="BB143" s="418"/>
      <c r="BC143" s="418"/>
      <c r="BD143" s="418"/>
      <c r="BE143" s="418"/>
      <c r="BF143" s="418"/>
      <c r="BG143" s="418"/>
      <c r="BH143" s="418"/>
      <c r="BI143" s="418"/>
      <c r="BJ143" s="418"/>
    </row>
    <row r="144" spans="2:62" ht="38.25" thickBot="1" x14ac:dyDescent="0.25">
      <c r="B144" s="215" t="s">
        <v>295</v>
      </c>
      <c r="C144" s="134" t="s">
        <v>243</v>
      </c>
      <c r="D144" s="593" t="s">
        <v>244</v>
      </c>
      <c r="E144" s="593"/>
      <c r="F144" s="588" t="s">
        <v>245</v>
      </c>
      <c r="G144" s="588"/>
      <c r="H144" s="588"/>
      <c r="I144" s="134" t="s">
        <v>246</v>
      </c>
      <c r="J144" s="134" t="s">
        <v>247</v>
      </c>
      <c r="L144" s="418"/>
      <c r="M144" s="418"/>
      <c r="N144" s="418"/>
      <c r="O144" s="418"/>
      <c r="P144" s="418"/>
      <c r="Q144" s="418"/>
      <c r="R144" s="418"/>
      <c r="S144" s="418"/>
      <c r="T144" s="418"/>
      <c r="U144" s="418"/>
      <c r="V144" s="418"/>
      <c r="W144" s="418"/>
      <c r="X144" s="418"/>
      <c r="Y144" s="418"/>
      <c r="Z144" s="418"/>
      <c r="AA144" s="418"/>
      <c r="AB144" s="418"/>
      <c r="AC144" s="418"/>
      <c r="AD144" s="418"/>
      <c r="AE144" s="418"/>
      <c r="AF144" s="418"/>
      <c r="AG144" s="418"/>
      <c r="AH144" s="418"/>
      <c r="AI144" s="418"/>
      <c r="AJ144" s="418"/>
      <c r="AK144" s="418"/>
      <c r="AL144" s="418"/>
      <c r="AM144" s="418"/>
      <c r="AN144" s="418"/>
      <c r="AO144" s="418"/>
      <c r="AP144" s="418"/>
      <c r="AQ144" s="418"/>
      <c r="AR144" s="418"/>
      <c r="AS144" s="418"/>
      <c r="AT144" s="418"/>
      <c r="AU144" s="418"/>
      <c r="AV144" s="418"/>
      <c r="AW144" s="418"/>
      <c r="AX144" s="418"/>
      <c r="AY144" s="418"/>
      <c r="AZ144" s="418"/>
      <c r="BA144" s="418"/>
      <c r="BB144" s="418"/>
      <c r="BC144" s="418"/>
      <c r="BD144" s="418"/>
      <c r="BE144" s="418"/>
      <c r="BF144" s="418"/>
      <c r="BG144" s="418"/>
      <c r="BH144" s="418"/>
      <c r="BI144" s="418"/>
      <c r="BJ144" s="418"/>
    </row>
    <row r="145" spans="2:62" ht="37.5" x14ac:dyDescent="0.2">
      <c r="B145" s="219" t="s">
        <v>329</v>
      </c>
      <c r="C145" s="417">
        <v>0.1</v>
      </c>
      <c r="D145" s="594">
        <v>0.05</v>
      </c>
      <c r="E145" s="594"/>
      <c r="F145" s="591">
        <v>0</v>
      </c>
      <c r="G145" s="591"/>
      <c r="H145" s="591"/>
      <c r="I145" s="223">
        <v>0.05</v>
      </c>
      <c r="J145" s="223">
        <v>0.1</v>
      </c>
      <c r="L145" s="418"/>
      <c r="M145" s="418"/>
      <c r="N145" s="418"/>
      <c r="O145" s="418"/>
      <c r="P145" s="418"/>
      <c r="Q145" s="418"/>
      <c r="R145" s="418"/>
      <c r="S145" s="418"/>
      <c r="T145" s="418"/>
      <c r="U145" s="418"/>
      <c r="V145" s="418"/>
      <c r="W145" s="418"/>
      <c r="X145" s="418"/>
      <c r="Y145" s="418"/>
      <c r="Z145" s="418"/>
      <c r="AA145" s="418"/>
      <c r="AB145" s="418"/>
      <c r="AC145" s="418"/>
      <c r="AD145" s="418"/>
      <c r="AE145" s="418"/>
      <c r="AF145" s="418"/>
      <c r="AG145" s="418"/>
      <c r="AH145" s="418"/>
      <c r="AI145" s="418"/>
      <c r="AJ145" s="418"/>
      <c r="AK145" s="418"/>
      <c r="AL145" s="418"/>
      <c r="AM145" s="418"/>
      <c r="AN145" s="418"/>
      <c r="AO145" s="418"/>
      <c r="AP145" s="418"/>
      <c r="AQ145" s="418"/>
      <c r="AR145" s="418"/>
      <c r="AS145" s="418"/>
      <c r="AT145" s="418"/>
      <c r="AU145" s="418"/>
      <c r="AV145" s="418"/>
      <c r="AW145" s="418"/>
      <c r="AX145" s="418"/>
      <c r="AY145" s="418"/>
      <c r="AZ145" s="418"/>
      <c r="BA145" s="418"/>
      <c r="BB145" s="418"/>
      <c r="BC145" s="418"/>
      <c r="BD145" s="418"/>
      <c r="BE145" s="418"/>
      <c r="BF145" s="418"/>
      <c r="BG145" s="418"/>
      <c r="BH145" s="418"/>
      <c r="BI145" s="418"/>
      <c r="BJ145" s="418"/>
    </row>
    <row r="146" spans="2:62" x14ac:dyDescent="0.2">
      <c r="B146" s="217" t="s">
        <v>294</v>
      </c>
      <c r="C146" s="221">
        <f>F146-(F146*$C$145)</f>
        <v>133069054.24706548</v>
      </c>
      <c r="D146" s="595">
        <f>F146-(F146*$D$145)</f>
        <v>140461779.48301357</v>
      </c>
      <c r="E146" s="595"/>
      <c r="F146" s="587">
        <f>الدراسة!C214</f>
        <v>147854504.71896166</v>
      </c>
      <c r="G146" s="587"/>
      <c r="H146" s="587"/>
      <c r="I146" s="224">
        <f>F146+(F146*$I$145)</f>
        <v>155247229.95490974</v>
      </c>
      <c r="J146" s="224">
        <f>F146+(F146*$J$145)</f>
        <v>162639955.19085783</v>
      </c>
      <c r="L146" s="418"/>
      <c r="M146" s="418"/>
      <c r="N146" s="418"/>
      <c r="O146" s="418"/>
      <c r="P146" s="418"/>
      <c r="Q146" s="418"/>
      <c r="R146" s="418"/>
      <c r="S146" s="418"/>
      <c r="T146" s="418"/>
      <c r="U146" s="418"/>
      <c r="V146" s="418"/>
      <c r="W146" s="418"/>
      <c r="X146" s="418"/>
      <c r="Y146" s="418"/>
      <c r="Z146" s="418"/>
      <c r="AA146" s="418"/>
      <c r="AB146" s="418"/>
      <c r="AC146" s="418"/>
      <c r="AD146" s="418"/>
      <c r="AE146" s="418"/>
      <c r="AF146" s="418"/>
      <c r="AG146" s="418"/>
      <c r="AH146" s="418"/>
      <c r="AI146" s="418"/>
      <c r="AJ146" s="418"/>
      <c r="AK146" s="418"/>
      <c r="AL146" s="418"/>
      <c r="AM146" s="418"/>
      <c r="AN146" s="418"/>
      <c r="AO146" s="418"/>
      <c r="AP146" s="418"/>
      <c r="AQ146" s="418"/>
      <c r="AR146" s="418"/>
      <c r="AS146" s="418"/>
      <c r="AT146" s="418"/>
      <c r="AU146" s="418"/>
      <c r="AV146" s="418"/>
      <c r="AW146" s="418"/>
      <c r="AX146" s="418"/>
      <c r="AY146" s="418"/>
      <c r="AZ146" s="418"/>
      <c r="BA146" s="418"/>
      <c r="BB146" s="418"/>
      <c r="BC146" s="418"/>
      <c r="BD146" s="418"/>
      <c r="BE146" s="418"/>
      <c r="BF146" s="418"/>
      <c r="BG146" s="418"/>
      <c r="BH146" s="418"/>
      <c r="BI146" s="418"/>
      <c r="BJ146" s="418"/>
    </row>
    <row r="147" spans="2:62" x14ac:dyDescent="0.2">
      <c r="B147" s="216" t="s">
        <v>267</v>
      </c>
      <c r="C147" s="220">
        <f>F147-(F147*$C$145)</f>
        <v>0.29014247256150294</v>
      </c>
      <c r="D147" s="592">
        <f>F147-(F147*$D$145)</f>
        <v>0.30626149881491976</v>
      </c>
      <c r="E147" s="592"/>
      <c r="F147" s="589">
        <f>الدراسة!C220</f>
        <v>0.32238052506833659</v>
      </c>
      <c r="G147" s="589"/>
      <c r="H147" s="589"/>
      <c r="I147" s="223">
        <f>F147+(F147*$I$145)</f>
        <v>0.33849955132175341</v>
      </c>
      <c r="J147" s="223">
        <f>F147+(F147*$J$145)</f>
        <v>0.35461857757517024</v>
      </c>
      <c r="L147" s="418"/>
      <c r="M147" s="418"/>
      <c r="N147" s="418"/>
      <c r="O147" s="418"/>
      <c r="P147" s="418"/>
      <c r="Q147" s="418"/>
      <c r="R147" s="418"/>
      <c r="S147" s="418"/>
      <c r="T147" s="418"/>
      <c r="U147" s="418"/>
      <c r="V147" s="418"/>
      <c r="W147" s="418"/>
      <c r="X147" s="418"/>
      <c r="Y147" s="418"/>
      <c r="Z147" s="418"/>
      <c r="AA147" s="418"/>
      <c r="AB147" s="418"/>
      <c r="AC147" s="418"/>
      <c r="AD147" s="418"/>
      <c r="AE147" s="418"/>
      <c r="AF147" s="418"/>
      <c r="AG147" s="418"/>
      <c r="AH147" s="418"/>
      <c r="AI147" s="418"/>
      <c r="AJ147" s="418"/>
      <c r="AK147" s="418"/>
      <c r="AL147" s="418"/>
      <c r="AM147" s="418"/>
      <c r="AN147" s="418"/>
      <c r="AO147" s="418"/>
      <c r="AP147" s="418"/>
      <c r="AQ147" s="418"/>
      <c r="AR147" s="418"/>
      <c r="AS147" s="418"/>
      <c r="AT147" s="418"/>
      <c r="AU147" s="418"/>
      <c r="AV147" s="418"/>
      <c r="AW147" s="418"/>
      <c r="AX147" s="418"/>
      <c r="AY147" s="418"/>
      <c r="AZ147" s="418"/>
      <c r="BA147" s="418"/>
      <c r="BB147" s="418"/>
      <c r="BC147" s="418"/>
      <c r="BD147" s="418"/>
      <c r="BE147" s="418"/>
      <c r="BF147" s="418"/>
      <c r="BG147" s="418"/>
      <c r="BH147" s="418"/>
      <c r="BI147" s="418"/>
      <c r="BJ147" s="418"/>
    </row>
    <row r="148" spans="2:62" x14ac:dyDescent="0.2">
      <c r="B148" s="218" t="s">
        <v>268</v>
      </c>
      <c r="C148" s="222">
        <f>F148-(F148*$C$145)</f>
        <v>0.66401534579167976</v>
      </c>
      <c r="D148" s="596">
        <f>F148-(F148*$D$145)</f>
        <v>0.70090508722455092</v>
      </c>
      <c r="E148" s="596"/>
      <c r="F148" s="590">
        <f>الدراسة!C221</f>
        <v>0.73779482865742196</v>
      </c>
      <c r="G148" s="590"/>
      <c r="H148" s="590"/>
      <c r="I148" s="225">
        <f>F148+(F148*$I$145)</f>
        <v>0.77468457009029301</v>
      </c>
      <c r="J148" s="225">
        <f>F148+(F148*$J$145)</f>
        <v>0.81157431152316417</v>
      </c>
      <c r="L148" s="418"/>
      <c r="M148" s="418"/>
      <c r="N148" s="418"/>
      <c r="O148" s="418"/>
      <c r="P148" s="418"/>
      <c r="Q148" s="418"/>
      <c r="R148" s="418"/>
      <c r="S148" s="418"/>
      <c r="T148" s="418"/>
      <c r="U148" s="418"/>
      <c r="V148" s="418"/>
      <c r="W148" s="418"/>
      <c r="X148" s="418"/>
      <c r="Y148" s="418"/>
      <c r="Z148" s="418"/>
      <c r="AA148" s="418"/>
      <c r="AB148" s="418"/>
      <c r="AC148" s="418"/>
      <c r="AD148" s="418"/>
      <c r="AE148" s="418"/>
      <c r="AF148" s="418"/>
      <c r="AG148" s="418"/>
      <c r="AH148" s="418"/>
      <c r="AI148" s="418"/>
      <c r="AJ148" s="418"/>
      <c r="AK148" s="418"/>
      <c r="AL148" s="418"/>
      <c r="AM148" s="418"/>
      <c r="AN148" s="418"/>
      <c r="AO148" s="418"/>
      <c r="AP148" s="418"/>
      <c r="AQ148" s="418"/>
      <c r="AR148" s="418"/>
      <c r="AS148" s="418"/>
      <c r="AT148" s="418"/>
      <c r="AU148" s="418"/>
      <c r="AV148" s="418"/>
      <c r="AW148" s="418"/>
      <c r="AX148" s="418"/>
      <c r="AY148" s="418"/>
      <c r="AZ148" s="418"/>
      <c r="BA148" s="418"/>
      <c r="BB148" s="418"/>
      <c r="BC148" s="418"/>
      <c r="BD148" s="418"/>
      <c r="BE148" s="418"/>
      <c r="BF148" s="418"/>
      <c r="BG148" s="418"/>
      <c r="BH148" s="418"/>
      <c r="BI148" s="418"/>
      <c r="BJ148" s="418"/>
    </row>
    <row r="149" spans="2:62" x14ac:dyDescent="0.2">
      <c r="B149" s="216" t="s">
        <v>300</v>
      </c>
      <c r="C149" s="220">
        <f>F149-(F149*$C$145)</f>
        <v>0.17537308336755653</v>
      </c>
      <c r="D149" s="592">
        <f>F149-(F149*$D$145)</f>
        <v>0.18511603244353189</v>
      </c>
      <c r="E149" s="592"/>
      <c r="F149" s="589">
        <f>الدراسة!C222</f>
        <v>0.19485898151950726</v>
      </c>
      <c r="G149" s="589"/>
      <c r="H149" s="589"/>
      <c r="I149" s="223">
        <f>F149+(F149*$I$145)</f>
        <v>0.20460193059548262</v>
      </c>
      <c r="J149" s="223">
        <f>F149+(F149*$J$145)</f>
        <v>0.21434487967145799</v>
      </c>
      <c r="L149" s="418"/>
      <c r="M149" s="418"/>
      <c r="N149" s="418"/>
      <c r="O149" s="418"/>
      <c r="P149" s="418"/>
      <c r="Q149" s="418"/>
      <c r="R149" s="418"/>
      <c r="S149" s="418"/>
      <c r="T149" s="418"/>
      <c r="U149" s="418"/>
      <c r="V149" s="418"/>
      <c r="W149" s="418"/>
      <c r="X149" s="418"/>
      <c r="Y149" s="418"/>
      <c r="Z149" s="418"/>
      <c r="AA149" s="418"/>
      <c r="AB149" s="418"/>
      <c r="AC149" s="418"/>
      <c r="AD149" s="418"/>
      <c r="AE149" s="418"/>
      <c r="AF149" s="418"/>
      <c r="AG149" s="418"/>
      <c r="AH149" s="418"/>
      <c r="AI149" s="418"/>
      <c r="AJ149" s="418"/>
      <c r="AK149" s="418"/>
      <c r="AL149" s="418"/>
      <c r="AM149" s="418"/>
      <c r="AN149" s="418"/>
      <c r="AO149" s="418"/>
      <c r="AP149" s="418"/>
      <c r="AQ149" s="418"/>
      <c r="AR149" s="418"/>
      <c r="AS149" s="418"/>
      <c r="AT149" s="418"/>
      <c r="AU149" s="418"/>
      <c r="AV149" s="418"/>
      <c r="AW149" s="418"/>
      <c r="AX149" s="418"/>
      <c r="AY149" s="418"/>
      <c r="AZ149" s="418"/>
      <c r="BA149" s="418"/>
      <c r="BB149" s="418"/>
      <c r="BC149" s="418"/>
      <c r="BD149" s="418"/>
      <c r="BE149" s="418"/>
      <c r="BF149" s="418"/>
      <c r="BG149" s="418"/>
      <c r="BH149" s="418"/>
      <c r="BI149" s="418"/>
      <c r="BJ149" s="418"/>
    </row>
    <row r="150" spans="2:62" x14ac:dyDescent="0.2">
      <c r="H150" s="185"/>
      <c r="J150" s="185"/>
    </row>
    <row r="151" spans="2:62" x14ac:dyDescent="0.2">
      <c r="H151" s="185"/>
      <c r="I151" s="185"/>
      <c r="J151" s="185"/>
    </row>
    <row r="159" spans="2:62" ht="18.75" customHeight="1" x14ac:dyDescent="0.2"/>
  </sheetData>
  <mergeCells count="38">
    <mergeCell ref="D149:E149"/>
    <mergeCell ref="D144:E144"/>
    <mergeCell ref="D145:E145"/>
    <mergeCell ref="D146:E146"/>
    <mergeCell ref="D147:E147"/>
    <mergeCell ref="D148:E148"/>
    <mergeCell ref="F146:H146"/>
    <mergeCell ref="F144:H144"/>
    <mergeCell ref="F149:H149"/>
    <mergeCell ref="F148:H148"/>
    <mergeCell ref="F147:H147"/>
    <mergeCell ref="F145:H145"/>
    <mergeCell ref="I37:J37"/>
    <mergeCell ref="J29:J30"/>
    <mergeCell ref="I29:I30"/>
    <mergeCell ref="G29:G30"/>
    <mergeCell ref="B23:B28"/>
    <mergeCell ref="C23:D25"/>
    <mergeCell ref="C29:C30"/>
    <mergeCell ref="D29:D30"/>
    <mergeCell ref="H29:H30"/>
    <mergeCell ref="I26:J28"/>
    <mergeCell ref="G26:H28"/>
    <mergeCell ref="E26:F28"/>
    <mergeCell ref="C26:D28"/>
    <mergeCell ref="I8:J8"/>
    <mergeCell ref="I23:J25"/>
    <mergeCell ref="G23:H25"/>
    <mergeCell ref="E23:F25"/>
    <mergeCell ref="D9:J11"/>
    <mergeCell ref="B19:G22"/>
    <mergeCell ref="H21:H22"/>
    <mergeCell ref="H19:H20"/>
    <mergeCell ref="J19:J20"/>
    <mergeCell ref="I19:I20"/>
    <mergeCell ref="I21:I22"/>
    <mergeCell ref="J21:J22"/>
    <mergeCell ref="B9:B11"/>
  </mergeCells>
  <phoneticPr fontId="53" type="noConversion"/>
  <conditionalFormatting sqref="C41:C42 C38:H40">
    <cfRule type="duplicateValues" dxfId="8" priority="16"/>
  </conditionalFormatting>
  <conditionalFormatting sqref="C38:H38">
    <cfRule type="uniqueValues" dxfId="7" priority="5"/>
    <cfRule type="uniqueValues" dxfId="6" priority="11"/>
  </conditionalFormatting>
  <conditionalFormatting sqref="C38:H39">
    <cfRule type="duplicateValues" dxfId="5" priority="20"/>
  </conditionalFormatting>
  <conditionalFormatting sqref="C39:H39">
    <cfRule type="uniqueValues" dxfId="4" priority="4"/>
    <cfRule type="uniqueValues" dxfId="3" priority="9"/>
    <cfRule type="uniqueValues" dxfId="2" priority="10"/>
  </conditionalFormatting>
  <conditionalFormatting sqref="C40:H40 C41:C42">
    <cfRule type="uniqueValues" dxfId="1" priority="18"/>
    <cfRule type="uniqueValues" dxfId="0" priority="19"/>
  </conditionalFormatting>
  <printOptions horizontalCentered="1" verticalCentered="1"/>
  <pageMargins left="0" right="0.06" top="0" bottom="0" header="0" footer="0.01"/>
  <pageSetup paperSize="9" scale="2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الدراسة</vt:lpstr>
      <vt:lpstr>الملخص</vt:lpstr>
      <vt:lpstr>الملخص!Print_Area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alothman</dc:creator>
  <cp:lastModifiedBy>Omar Almayouf</cp:lastModifiedBy>
  <cp:lastPrinted>2025-04-20T16:22:13Z</cp:lastPrinted>
  <dcterms:created xsi:type="dcterms:W3CDTF">2025-03-23T09:18:25Z</dcterms:created>
  <dcterms:modified xsi:type="dcterms:W3CDTF">2026-07-01T08:15:59Z</dcterms:modified>
</cp:coreProperties>
</file>