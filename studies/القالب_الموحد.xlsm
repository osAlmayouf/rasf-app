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Abu34\OneDrive\سطح المكتب\app\"/>
    </mc:Choice>
  </mc:AlternateContent>
  <xr:revisionPtr revIDLastSave="0" documentId="13_ncr:1_{123BB555-8129-4D06-B3DC-CED67330ED93}" xr6:coauthVersionLast="47" xr6:coauthVersionMax="47" xr10:uidLastSave="{00000000-0000-0000-0000-000000000000}"/>
  <bookViews>
    <workbookView xWindow="-33795" yWindow="3300" windowWidth="28800" windowHeight="15435" tabRatio="500" activeTab="1" xr2:uid="{00000000-000D-0000-FFFF-FFFF00000000}"/>
  </bookViews>
  <sheets>
    <sheet name="APP" sheetId="5" r:id="rId1"/>
    <sheet name="Study" sheetId="1" r:id="rId2"/>
  </sheets>
  <definedNames>
    <definedName name="_xlnm.Print_Area" localSheetId="0">APP!$A$2:$Z$665</definedName>
    <definedName name="_xlnm.Print_Area" localSheetId="1">Study!$B$42:$L$102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26" i="5" l="1"/>
  <c r="Y654" i="5"/>
  <c r="Z654" i="5"/>
  <c r="Y655" i="5"/>
  <c r="Z655" i="5"/>
  <c r="Y656" i="5"/>
  <c r="Z656" i="5"/>
  <c r="Y657" i="5"/>
  <c r="Z657" i="5"/>
  <c r="Y658" i="5"/>
  <c r="Z658" i="5"/>
  <c r="Y659" i="5"/>
  <c r="Z659" i="5"/>
  <c r="Y660" i="5"/>
  <c r="Z660" i="5"/>
  <c r="Y661" i="5"/>
  <c r="Z661" i="5"/>
  <c r="Y662" i="5"/>
  <c r="Z662" i="5"/>
  <c r="Y663" i="5"/>
  <c r="Z663" i="5"/>
  <c r="Y664" i="5"/>
  <c r="Z664" i="5"/>
  <c r="H654" i="5"/>
  <c r="I654" i="5"/>
  <c r="J654" i="5"/>
  <c r="K654" i="5"/>
  <c r="L654" i="5"/>
  <c r="M654" i="5"/>
  <c r="N654" i="5"/>
  <c r="O654" i="5"/>
  <c r="P654" i="5"/>
  <c r="Q654" i="5"/>
  <c r="R654" i="5"/>
  <c r="S654" i="5"/>
  <c r="T654" i="5"/>
  <c r="U654" i="5"/>
  <c r="V654" i="5"/>
  <c r="W654" i="5"/>
  <c r="X654" i="5"/>
  <c r="H655" i="5"/>
  <c r="I655" i="5"/>
  <c r="J655" i="5"/>
  <c r="K655" i="5"/>
  <c r="L655" i="5"/>
  <c r="M655" i="5"/>
  <c r="N655" i="5"/>
  <c r="O655" i="5"/>
  <c r="P655" i="5"/>
  <c r="Q655" i="5"/>
  <c r="R655" i="5"/>
  <c r="S655" i="5"/>
  <c r="T655" i="5"/>
  <c r="U655" i="5"/>
  <c r="V655" i="5"/>
  <c r="W655" i="5"/>
  <c r="X655" i="5"/>
  <c r="H656" i="5"/>
  <c r="I656" i="5"/>
  <c r="J656" i="5"/>
  <c r="K656" i="5"/>
  <c r="L656" i="5"/>
  <c r="M656" i="5"/>
  <c r="N656" i="5"/>
  <c r="O656" i="5"/>
  <c r="P656" i="5"/>
  <c r="Q656" i="5"/>
  <c r="R656" i="5"/>
  <c r="S656" i="5"/>
  <c r="T656" i="5"/>
  <c r="U656" i="5"/>
  <c r="V656" i="5"/>
  <c r="W656" i="5"/>
  <c r="X656" i="5"/>
  <c r="H657" i="5"/>
  <c r="I657" i="5"/>
  <c r="J657" i="5"/>
  <c r="K657" i="5"/>
  <c r="L657" i="5"/>
  <c r="M657" i="5"/>
  <c r="N657" i="5"/>
  <c r="O657" i="5"/>
  <c r="P657" i="5"/>
  <c r="Q657" i="5"/>
  <c r="R657" i="5"/>
  <c r="S657" i="5"/>
  <c r="T657" i="5"/>
  <c r="U657" i="5"/>
  <c r="V657" i="5"/>
  <c r="W657" i="5"/>
  <c r="X657" i="5"/>
  <c r="H658" i="5"/>
  <c r="I658" i="5"/>
  <c r="J658" i="5"/>
  <c r="K658" i="5"/>
  <c r="L658" i="5"/>
  <c r="M658" i="5"/>
  <c r="N658" i="5"/>
  <c r="O658" i="5"/>
  <c r="P658" i="5"/>
  <c r="Q658" i="5"/>
  <c r="R658" i="5"/>
  <c r="S658" i="5"/>
  <c r="T658" i="5"/>
  <c r="U658" i="5"/>
  <c r="V658" i="5"/>
  <c r="W658" i="5"/>
  <c r="X658" i="5"/>
  <c r="H659" i="5"/>
  <c r="I659" i="5"/>
  <c r="J659" i="5"/>
  <c r="K659" i="5"/>
  <c r="L659" i="5"/>
  <c r="M659" i="5"/>
  <c r="N659" i="5"/>
  <c r="O659" i="5"/>
  <c r="P659" i="5"/>
  <c r="Q659" i="5"/>
  <c r="R659" i="5"/>
  <c r="S659" i="5"/>
  <c r="T659" i="5"/>
  <c r="U659" i="5"/>
  <c r="V659" i="5"/>
  <c r="W659" i="5"/>
  <c r="X659" i="5"/>
  <c r="H660" i="5"/>
  <c r="I660" i="5"/>
  <c r="J660" i="5"/>
  <c r="K660" i="5"/>
  <c r="L660" i="5"/>
  <c r="M660" i="5"/>
  <c r="N660" i="5"/>
  <c r="O660" i="5"/>
  <c r="P660" i="5"/>
  <c r="Q660" i="5"/>
  <c r="R660" i="5"/>
  <c r="S660" i="5"/>
  <c r="T660" i="5"/>
  <c r="U660" i="5"/>
  <c r="V660" i="5"/>
  <c r="W660" i="5"/>
  <c r="X660" i="5"/>
  <c r="H661" i="5"/>
  <c r="I661" i="5"/>
  <c r="J661" i="5"/>
  <c r="K661" i="5"/>
  <c r="L661" i="5"/>
  <c r="M661" i="5"/>
  <c r="N661" i="5"/>
  <c r="O661" i="5"/>
  <c r="P661" i="5"/>
  <c r="Q661" i="5"/>
  <c r="R661" i="5"/>
  <c r="S661" i="5"/>
  <c r="T661" i="5"/>
  <c r="U661" i="5"/>
  <c r="V661" i="5"/>
  <c r="W661" i="5"/>
  <c r="X661" i="5"/>
  <c r="H662" i="5"/>
  <c r="I662" i="5"/>
  <c r="J662" i="5"/>
  <c r="K662" i="5"/>
  <c r="L662" i="5"/>
  <c r="M662" i="5"/>
  <c r="N662" i="5"/>
  <c r="O662" i="5"/>
  <c r="P662" i="5"/>
  <c r="Q662" i="5"/>
  <c r="R662" i="5"/>
  <c r="S662" i="5"/>
  <c r="T662" i="5"/>
  <c r="U662" i="5"/>
  <c r="V662" i="5"/>
  <c r="W662" i="5"/>
  <c r="X662" i="5"/>
  <c r="H663" i="5"/>
  <c r="I663" i="5"/>
  <c r="J663" i="5"/>
  <c r="K663" i="5"/>
  <c r="L663" i="5"/>
  <c r="M663" i="5"/>
  <c r="N663" i="5"/>
  <c r="O663" i="5"/>
  <c r="P663" i="5"/>
  <c r="Q663" i="5"/>
  <c r="R663" i="5"/>
  <c r="S663" i="5"/>
  <c r="T663" i="5"/>
  <c r="U663" i="5"/>
  <c r="V663" i="5"/>
  <c r="W663" i="5"/>
  <c r="X663" i="5"/>
  <c r="H664" i="5"/>
  <c r="I664" i="5"/>
  <c r="J664" i="5"/>
  <c r="K664" i="5"/>
  <c r="L664" i="5"/>
  <c r="M664" i="5"/>
  <c r="N664" i="5"/>
  <c r="O664" i="5"/>
  <c r="P664" i="5"/>
  <c r="Q664" i="5"/>
  <c r="R664" i="5"/>
  <c r="S664" i="5"/>
  <c r="T664" i="5"/>
  <c r="U664" i="5"/>
  <c r="V664" i="5"/>
  <c r="W664" i="5"/>
  <c r="X664" i="5"/>
  <c r="A645" i="5"/>
  <c r="B645" i="5"/>
  <c r="C645" i="5"/>
  <c r="D645" i="5"/>
  <c r="E645" i="5"/>
  <c r="F645" i="5"/>
  <c r="A646" i="5"/>
  <c r="B646" i="5"/>
  <c r="C646" i="5"/>
  <c r="D646" i="5"/>
  <c r="E646" i="5"/>
  <c r="F646" i="5"/>
  <c r="A647" i="5"/>
  <c r="B647" i="5"/>
  <c r="C647" i="5"/>
  <c r="D647" i="5"/>
  <c r="E647" i="5"/>
  <c r="F647" i="5"/>
  <c r="A648" i="5"/>
  <c r="B648" i="5"/>
  <c r="C648" i="5"/>
  <c r="D648" i="5"/>
  <c r="E648" i="5"/>
  <c r="F648" i="5"/>
  <c r="A649" i="5"/>
  <c r="B649" i="5"/>
  <c r="C649" i="5"/>
  <c r="D649" i="5"/>
  <c r="E649" i="5"/>
  <c r="F649" i="5"/>
  <c r="A650" i="5"/>
  <c r="B650" i="5"/>
  <c r="C650" i="5"/>
  <c r="D650" i="5"/>
  <c r="E650" i="5"/>
  <c r="F650" i="5"/>
  <c r="A651" i="5"/>
  <c r="B651" i="5"/>
  <c r="C651" i="5"/>
  <c r="D651" i="5"/>
  <c r="E651" i="5"/>
  <c r="F651" i="5"/>
  <c r="A652" i="5"/>
  <c r="B652" i="5"/>
  <c r="C652" i="5"/>
  <c r="D652" i="5"/>
  <c r="E652" i="5"/>
  <c r="F652" i="5"/>
  <c r="A653" i="5"/>
  <c r="B653" i="5"/>
  <c r="C653" i="5"/>
  <c r="D653" i="5"/>
  <c r="E653" i="5"/>
  <c r="F653" i="5"/>
  <c r="A654" i="5"/>
  <c r="B654" i="5"/>
  <c r="C654" i="5"/>
  <c r="D654" i="5"/>
  <c r="E654" i="5"/>
  <c r="F654" i="5"/>
  <c r="G654" i="5"/>
  <c r="A655" i="5"/>
  <c r="B655" i="5"/>
  <c r="C655" i="5"/>
  <c r="D655" i="5"/>
  <c r="E655" i="5"/>
  <c r="F655" i="5"/>
  <c r="G655" i="5"/>
  <c r="A656" i="5"/>
  <c r="B656" i="5"/>
  <c r="C656" i="5"/>
  <c r="D656" i="5"/>
  <c r="E656" i="5"/>
  <c r="F656" i="5"/>
  <c r="G656" i="5"/>
  <c r="A657" i="5"/>
  <c r="B657" i="5"/>
  <c r="C657" i="5"/>
  <c r="D657" i="5"/>
  <c r="E657" i="5"/>
  <c r="F657" i="5"/>
  <c r="G657" i="5"/>
  <c r="A658" i="5"/>
  <c r="B658" i="5"/>
  <c r="C658" i="5"/>
  <c r="D658" i="5"/>
  <c r="E658" i="5"/>
  <c r="F658" i="5"/>
  <c r="G658" i="5"/>
  <c r="A659" i="5"/>
  <c r="B659" i="5"/>
  <c r="C659" i="5"/>
  <c r="D659" i="5"/>
  <c r="E659" i="5"/>
  <c r="F659" i="5"/>
  <c r="G659" i="5"/>
  <c r="A660" i="5"/>
  <c r="B660" i="5"/>
  <c r="C660" i="5"/>
  <c r="D660" i="5"/>
  <c r="E660" i="5"/>
  <c r="F660" i="5"/>
  <c r="G660" i="5"/>
  <c r="A661" i="5"/>
  <c r="B661" i="5"/>
  <c r="C661" i="5"/>
  <c r="D661" i="5"/>
  <c r="E661" i="5"/>
  <c r="F661" i="5"/>
  <c r="G661" i="5"/>
  <c r="A662" i="5"/>
  <c r="B662" i="5"/>
  <c r="C662" i="5"/>
  <c r="D662" i="5"/>
  <c r="E662" i="5"/>
  <c r="F662" i="5"/>
  <c r="G662" i="5"/>
  <c r="A663" i="5"/>
  <c r="B663" i="5"/>
  <c r="C663" i="5"/>
  <c r="D663" i="5"/>
  <c r="E663" i="5"/>
  <c r="F663" i="5"/>
  <c r="G663" i="5"/>
  <c r="A664" i="5"/>
  <c r="B664" i="5"/>
  <c r="C664" i="5"/>
  <c r="D664" i="5"/>
  <c r="E664" i="5"/>
  <c r="F664" i="5"/>
  <c r="G664" i="5"/>
  <c r="A622" i="5"/>
  <c r="B622" i="5"/>
  <c r="C622" i="5"/>
  <c r="D622" i="5"/>
  <c r="E622" i="5"/>
  <c r="F622" i="5"/>
  <c r="A623" i="5"/>
  <c r="B623" i="5"/>
  <c r="C623" i="5"/>
  <c r="D623" i="5"/>
  <c r="E623" i="5"/>
  <c r="F623" i="5"/>
  <c r="A624" i="5"/>
  <c r="B624" i="5"/>
  <c r="C624" i="5"/>
  <c r="D624" i="5"/>
  <c r="E624" i="5"/>
  <c r="F624" i="5"/>
  <c r="A625" i="5"/>
  <c r="B625" i="5"/>
  <c r="C625" i="5"/>
  <c r="D625" i="5"/>
  <c r="E625" i="5"/>
  <c r="F625" i="5"/>
  <c r="A626" i="5"/>
  <c r="B626" i="5"/>
  <c r="C626" i="5"/>
  <c r="D626" i="5"/>
  <c r="E626" i="5"/>
  <c r="F626" i="5"/>
  <c r="A627" i="5"/>
  <c r="B627" i="5"/>
  <c r="C627" i="5"/>
  <c r="D627" i="5"/>
  <c r="E627" i="5"/>
  <c r="F627" i="5"/>
  <c r="A628" i="5"/>
  <c r="B628" i="5"/>
  <c r="C628" i="5"/>
  <c r="D628" i="5"/>
  <c r="E628" i="5"/>
  <c r="F628" i="5"/>
  <c r="A629" i="5"/>
  <c r="B629" i="5"/>
  <c r="C629" i="5"/>
  <c r="D629" i="5"/>
  <c r="E629" i="5"/>
  <c r="F629" i="5"/>
  <c r="A630" i="5"/>
  <c r="B630" i="5"/>
  <c r="C630" i="5"/>
  <c r="D630" i="5"/>
  <c r="E630" i="5"/>
  <c r="F630" i="5"/>
  <c r="A631" i="5"/>
  <c r="B631" i="5"/>
  <c r="C631" i="5"/>
  <c r="D631" i="5"/>
  <c r="E631" i="5"/>
  <c r="F631" i="5"/>
  <c r="A632" i="5"/>
  <c r="B632" i="5"/>
  <c r="C632" i="5"/>
  <c r="D632" i="5"/>
  <c r="E632" i="5"/>
  <c r="F632" i="5"/>
  <c r="A633" i="5"/>
  <c r="B633" i="5"/>
  <c r="C633" i="5"/>
  <c r="D633" i="5"/>
  <c r="E633" i="5"/>
  <c r="F633" i="5"/>
  <c r="A634" i="5"/>
  <c r="B634" i="5"/>
  <c r="C634" i="5"/>
  <c r="D634" i="5"/>
  <c r="E634" i="5"/>
  <c r="F634" i="5"/>
  <c r="A635" i="5"/>
  <c r="B635" i="5"/>
  <c r="C635" i="5"/>
  <c r="D635" i="5"/>
  <c r="E635" i="5"/>
  <c r="F635" i="5"/>
  <c r="A636" i="5"/>
  <c r="B636" i="5"/>
  <c r="C636" i="5"/>
  <c r="D636" i="5"/>
  <c r="E636" i="5"/>
  <c r="F636" i="5"/>
  <c r="A637" i="5"/>
  <c r="B637" i="5"/>
  <c r="C637" i="5"/>
  <c r="D637" i="5"/>
  <c r="E637" i="5"/>
  <c r="F637" i="5"/>
  <c r="A638" i="5"/>
  <c r="B638" i="5"/>
  <c r="C638" i="5"/>
  <c r="D638" i="5"/>
  <c r="E638" i="5"/>
  <c r="F638" i="5"/>
  <c r="A639" i="5"/>
  <c r="B639" i="5"/>
  <c r="C639" i="5"/>
  <c r="D639" i="5"/>
  <c r="E639" i="5"/>
  <c r="F639" i="5"/>
  <c r="A640" i="5"/>
  <c r="B640" i="5"/>
  <c r="C640" i="5"/>
  <c r="D640" i="5"/>
  <c r="E640" i="5"/>
  <c r="F640" i="5"/>
  <c r="A641" i="5"/>
  <c r="B641" i="5"/>
  <c r="C641" i="5"/>
  <c r="D641" i="5"/>
  <c r="E641" i="5"/>
  <c r="F641" i="5"/>
  <c r="A642" i="5"/>
  <c r="B642" i="5"/>
  <c r="C642" i="5"/>
  <c r="D642" i="5"/>
  <c r="E642" i="5"/>
  <c r="F642" i="5"/>
  <c r="A643" i="5"/>
  <c r="B643" i="5"/>
  <c r="C643" i="5"/>
  <c r="D643" i="5"/>
  <c r="E643" i="5"/>
  <c r="F643" i="5"/>
  <c r="A644" i="5"/>
  <c r="B644" i="5"/>
  <c r="C644" i="5"/>
  <c r="D644" i="5"/>
  <c r="E644" i="5"/>
  <c r="F644" i="5"/>
  <c r="A605" i="5"/>
  <c r="B605" i="5"/>
  <c r="C605" i="5"/>
  <c r="D605" i="5"/>
  <c r="E605" i="5"/>
  <c r="F605" i="5"/>
  <c r="A606" i="5"/>
  <c r="B606" i="5"/>
  <c r="C606" i="5"/>
  <c r="D606" i="5"/>
  <c r="E606" i="5"/>
  <c r="F606" i="5"/>
  <c r="A607" i="5"/>
  <c r="B607" i="5"/>
  <c r="C607" i="5"/>
  <c r="D607" i="5"/>
  <c r="E607" i="5"/>
  <c r="F607" i="5"/>
  <c r="A608" i="5"/>
  <c r="B608" i="5"/>
  <c r="C608" i="5"/>
  <c r="D608" i="5"/>
  <c r="E608" i="5"/>
  <c r="F608" i="5"/>
  <c r="A609" i="5"/>
  <c r="B609" i="5"/>
  <c r="C609" i="5"/>
  <c r="D609" i="5"/>
  <c r="E609" i="5"/>
  <c r="F609" i="5"/>
  <c r="A610" i="5"/>
  <c r="B610" i="5"/>
  <c r="C610" i="5"/>
  <c r="D610" i="5"/>
  <c r="E610" i="5"/>
  <c r="F610" i="5"/>
  <c r="A611" i="5"/>
  <c r="B611" i="5"/>
  <c r="C611" i="5"/>
  <c r="D611" i="5"/>
  <c r="E611" i="5"/>
  <c r="F611" i="5"/>
  <c r="A612" i="5"/>
  <c r="B612" i="5"/>
  <c r="C612" i="5"/>
  <c r="D612" i="5"/>
  <c r="E612" i="5"/>
  <c r="F612" i="5"/>
  <c r="A613" i="5"/>
  <c r="B613" i="5"/>
  <c r="C613" i="5"/>
  <c r="D613" i="5"/>
  <c r="E613" i="5"/>
  <c r="F613" i="5"/>
  <c r="A614" i="5"/>
  <c r="B614" i="5"/>
  <c r="C614" i="5"/>
  <c r="D614" i="5"/>
  <c r="E614" i="5"/>
  <c r="F614" i="5"/>
  <c r="A615" i="5"/>
  <c r="B615" i="5"/>
  <c r="C615" i="5"/>
  <c r="D615" i="5"/>
  <c r="E615" i="5"/>
  <c r="F615" i="5"/>
  <c r="A616" i="5"/>
  <c r="B616" i="5"/>
  <c r="C616" i="5"/>
  <c r="D616" i="5"/>
  <c r="E616" i="5"/>
  <c r="F616" i="5"/>
  <c r="A617" i="5"/>
  <c r="B617" i="5"/>
  <c r="C617" i="5"/>
  <c r="D617" i="5"/>
  <c r="E617" i="5"/>
  <c r="F617" i="5"/>
  <c r="A618" i="5"/>
  <c r="B618" i="5"/>
  <c r="C618" i="5"/>
  <c r="D618" i="5"/>
  <c r="E618" i="5"/>
  <c r="F618" i="5"/>
  <c r="A619" i="5"/>
  <c r="B619" i="5"/>
  <c r="C619" i="5"/>
  <c r="D619" i="5"/>
  <c r="E619" i="5"/>
  <c r="F619" i="5"/>
  <c r="A620" i="5"/>
  <c r="B620" i="5"/>
  <c r="C620" i="5"/>
  <c r="D620" i="5"/>
  <c r="E620" i="5"/>
  <c r="F620" i="5"/>
  <c r="A621" i="5"/>
  <c r="B621" i="5"/>
  <c r="C621" i="5"/>
  <c r="D621" i="5"/>
  <c r="E621" i="5"/>
  <c r="F621" i="5"/>
  <c r="A594" i="5"/>
  <c r="B594" i="5"/>
  <c r="C594" i="5"/>
  <c r="D594" i="5"/>
  <c r="E594" i="5"/>
  <c r="F594" i="5"/>
  <c r="A595" i="5"/>
  <c r="B595" i="5"/>
  <c r="C595" i="5"/>
  <c r="D595" i="5"/>
  <c r="E595" i="5"/>
  <c r="F595" i="5"/>
  <c r="A596" i="5"/>
  <c r="B596" i="5"/>
  <c r="C596" i="5"/>
  <c r="D596" i="5"/>
  <c r="E596" i="5"/>
  <c r="F596" i="5"/>
  <c r="A597" i="5"/>
  <c r="B597" i="5"/>
  <c r="C597" i="5"/>
  <c r="D597" i="5"/>
  <c r="E597" i="5"/>
  <c r="F597" i="5"/>
  <c r="A598" i="5"/>
  <c r="B598" i="5"/>
  <c r="C598" i="5"/>
  <c r="D598" i="5"/>
  <c r="E598" i="5"/>
  <c r="F598" i="5"/>
  <c r="A599" i="5"/>
  <c r="B599" i="5"/>
  <c r="C599" i="5"/>
  <c r="D599" i="5"/>
  <c r="E599" i="5"/>
  <c r="F599" i="5"/>
  <c r="A600" i="5"/>
  <c r="B600" i="5"/>
  <c r="C600" i="5"/>
  <c r="D600" i="5"/>
  <c r="E600" i="5"/>
  <c r="F600" i="5"/>
  <c r="A601" i="5"/>
  <c r="B601" i="5"/>
  <c r="C601" i="5"/>
  <c r="D601" i="5"/>
  <c r="E601" i="5"/>
  <c r="F601" i="5"/>
  <c r="A602" i="5"/>
  <c r="B602" i="5"/>
  <c r="C602" i="5"/>
  <c r="D602" i="5"/>
  <c r="E602" i="5"/>
  <c r="F602" i="5"/>
  <c r="A603" i="5"/>
  <c r="B603" i="5"/>
  <c r="C603" i="5"/>
  <c r="D603" i="5"/>
  <c r="E603" i="5"/>
  <c r="F603" i="5"/>
  <c r="A604" i="5"/>
  <c r="B604" i="5"/>
  <c r="C604" i="5"/>
  <c r="D604" i="5"/>
  <c r="E604" i="5"/>
  <c r="F604" i="5"/>
  <c r="A588" i="5"/>
  <c r="B588" i="5"/>
  <c r="C588" i="5"/>
  <c r="D588" i="5"/>
  <c r="E588" i="5"/>
  <c r="F588" i="5"/>
  <c r="A589" i="5"/>
  <c r="B589" i="5"/>
  <c r="C589" i="5"/>
  <c r="D589" i="5"/>
  <c r="E589" i="5"/>
  <c r="F589" i="5"/>
  <c r="A590" i="5"/>
  <c r="B590" i="5"/>
  <c r="C590" i="5"/>
  <c r="D590" i="5"/>
  <c r="E590" i="5"/>
  <c r="F590" i="5"/>
  <c r="A591" i="5"/>
  <c r="B591" i="5"/>
  <c r="C591" i="5"/>
  <c r="D591" i="5"/>
  <c r="E591" i="5"/>
  <c r="F591" i="5"/>
  <c r="A592" i="5"/>
  <c r="B592" i="5"/>
  <c r="C592" i="5"/>
  <c r="D592" i="5"/>
  <c r="E592" i="5"/>
  <c r="F592" i="5"/>
  <c r="A593" i="5"/>
  <c r="B593" i="5"/>
  <c r="C593" i="5"/>
  <c r="D593" i="5"/>
  <c r="E593" i="5"/>
  <c r="F593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A242" i="5"/>
  <c r="B242" i="5"/>
  <c r="C242" i="5"/>
  <c r="D242" i="5"/>
  <c r="E242" i="5"/>
  <c r="F242" i="5"/>
  <c r="A243" i="5"/>
  <c r="B243" i="5"/>
  <c r="C243" i="5"/>
  <c r="D243" i="5"/>
  <c r="E243" i="5"/>
  <c r="F243" i="5"/>
  <c r="A244" i="5"/>
  <c r="B244" i="5"/>
  <c r="C244" i="5"/>
  <c r="D244" i="5"/>
  <c r="E244" i="5"/>
  <c r="F244" i="5"/>
  <c r="A245" i="5"/>
  <c r="B245" i="5"/>
  <c r="C245" i="5"/>
  <c r="D245" i="5"/>
  <c r="E245" i="5"/>
  <c r="F245" i="5"/>
  <c r="A246" i="5"/>
  <c r="B246" i="5"/>
  <c r="C246" i="5"/>
  <c r="D246" i="5"/>
  <c r="E246" i="5"/>
  <c r="F246" i="5"/>
  <c r="A247" i="5"/>
  <c r="B247" i="5"/>
  <c r="C247" i="5"/>
  <c r="D247" i="5"/>
  <c r="E247" i="5"/>
  <c r="F247" i="5"/>
  <c r="A248" i="5"/>
  <c r="B248" i="5"/>
  <c r="C248" i="5"/>
  <c r="D248" i="5"/>
  <c r="E248" i="5"/>
  <c r="F248" i="5"/>
  <c r="A249" i="5"/>
  <c r="B249" i="5"/>
  <c r="C249" i="5"/>
  <c r="D249" i="5"/>
  <c r="E249" i="5"/>
  <c r="F249" i="5"/>
  <c r="A250" i="5"/>
  <c r="B250" i="5"/>
  <c r="C250" i="5"/>
  <c r="D250" i="5"/>
  <c r="E250" i="5"/>
  <c r="F250" i="5"/>
  <c r="A251" i="5"/>
  <c r="B251" i="5"/>
  <c r="C251" i="5"/>
  <c r="D251" i="5"/>
  <c r="E251" i="5"/>
  <c r="F251" i="5"/>
  <c r="A252" i="5"/>
  <c r="B252" i="5"/>
  <c r="C252" i="5"/>
  <c r="D252" i="5"/>
  <c r="E252" i="5"/>
  <c r="F252" i="5"/>
  <c r="A253" i="5"/>
  <c r="B253" i="5"/>
  <c r="C253" i="5"/>
  <c r="D253" i="5"/>
  <c r="E253" i="5"/>
  <c r="F253" i="5"/>
  <c r="A254" i="5"/>
  <c r="B254" i="5"/>
  <c r="C254" i="5"/>
  <c r="D254" i="5"/>
  <c r="E254" i="5"/>
  <c r="F254" i="5"/>
  <c r="A255" i="5"/>
  <c r="B255" i="5"/>
  <c r="C255" i="5"/>
  <c r="D255" i="5"/>
  <c r="E255" i="5"/>
  <c r="F255" i="5"/>
  <c r="A256" i="5"/>
  <c r="B256" i="5"/>
  <c r="C256" i="5"/>
  <c r="D256" i="5"/>
  <c r="E256" i="5"/>
  <c r="F256" i="5"/>
  <c r="A257" i="5"/>
  <c r="B257" i="5"/>
  <c r="C257" i="5"/>
  <c r="D257" i="5"/>
  <c r="E257" i="5"/>
  <c r="F257" i="5"/>
  <c r="A258" i="5"/>
  <c r="B258" i="5"/>
  <c r="C258" i="5"/>
  <c r="D258" i="5"/>
  <c r="E258" i="5"/>
  <c r="F258" i="5"/>
  <c r="A259" i="5"/>
  <c r="B259" i="5"/>
  <c r="C259" i="5"/>
  <c r="D259" i="5"/>
  <c r="E259" i="5"/>
  <c r="F259" i="5"/>
  <c r="A260" i="5"/>
  <c r="B260" i="5"/>
  <c r="C260" i="5"/>
  <c r="D260" i="5"/>
  <c r="E260" i="5"/>
  <c r="F260" i="5"/>
  <c r="A261" i="5"/>
  <c r="B261" i="5"/>
  <c r="C261" i="5"/>
  <c r="D261" i="5"/>
  <c r="E261" i="5"/>
  <c r="F261" i="5"/>
  <c r="A262" i="5"/>
  <c r="B262" i="5"/>
  <c r="C262" i="5"/>
  <c r="D262" i="5"/>
  <c r="E262" i="5"/>
  <c r="F262" i="5"/>
  <c r="A263" i="5"/>
  <c r="B263" i="5"/>
  <c r="C263" i="5"/>
  <c r="D263" i="5"/>
  <c r="E263" i="5"/>
  <c r="F263" i="5"/>
  <c r="A264" i="5"/>
  <c r="B264" i="5"/>
  <c r="C264" i="5"/>
  <c r="D264" i="5"/>
  <c r="E264" i="5"/>
  <c r="F264" i="5"/>
  <c r="A265" i="5"/>
  <c r="B265" i="5"/>
  <c r="C265" i="5"/>
  <c r="D265" i="5"/>
  <c r="E265" i="5"/>
  <c r="F265" i="5"/>
  <c r="A266" i="5"/>
  <c r="B266" i="5"/>
  <c r="C266" i="5"/>
  <c r="D266" i="5"/>
  <c r="E266" i="5"/>
  <c r="F266" i="5"/>
  <c r="A267" i="5"/>
  <c r="B267" i="5"/>
  <c r="C267" i="5"/>
  <c r="D267" i="5"/>
  <c r="E267" i="5"/>
  <c r="F267" i="5"/>
  <c r="A268" i="5"/>
  <c r="B268" i="5"/>
  <c r="C268" i="5"/>
  <c r="D268" i="5"/>
  <c r="E268" i="5"/>
  <c r="F268" i="5"/>
  <c r="A269" i="5"/>
  <c r="B269" i="5"/>
  <c r="C269" i="5"/>
  <c r="D269" i="5"/>
  <c r="E269" i="5"/>
  <c r="F269" i="5"/>
  <c r="A270" i="5"/>
  <c r="B270" i="5"/>
  <c r="C270" i="5"/>
  <c r="D270" i="5"/>
  <c r="E270" i="5"/>
  <c r="F270" i="5"/>
  <c r="A271" i="5"/>
  <c r="B271" i="5"/>
  <c r="C271" i="5"/>
  <c r="D271" i="5"/>
  <c r="E271" i="5"/>
  <c r="F271" i="5"/>
  <c r="A272" i="5"/>
  <c r="B272" i="5"/>
  <c r="C272" i="5"/>
  <c r="D272" i="5"/>
  <c r="E272" i="5"/>
  <c r="F272" i="5"/>
  <c r="A273" i="5"/>
  <c r="B273" i="5"/>
  <c r="C273" i="5"/>
  <c r="D273" i="5"/>
  <c r="E273" i="5"/>
  <c r="F273" i="5"/>
  <c r="A274" i="5"/>
  <c r="B274" i="5"/>
  <c r="C274" i="5"/>
  <c r="D274" i="5"/>
  <c r="E274" i="5"/>
  <c r="F274" i="5"/>
  <c r="A275" i="5"/>
  <c r="B275" i="5"/>
  <c r="C275" i="5"/>
  <c r="D275" i="5"/>
  <c r="E275" i="5"/>
  <c r="F275" i="5"/>
  <c r="A276" i="5"/>
  <c r="B276" i="5"/>
  <c r="C276" i="5"/>
  <c r="D276" i="5"/>
  <c r="E276" i="5"/>
  <c r="F276" i="5"/>
  <c r="A277" i="5"/>
  <c r="B277" i="5"/>
  <c r="C277" i="5"/>
  <c r="D277" i="5"/>
  <c r="E277" i="5"/>
  <c r="F277" i="5"/>
  <c r="A278" i="5"/>
  <c r="B278" i="5"/>
  <c r="C278" i="5"/>
  <c r="D278" i="5"/>
  <c r="E278" i="5"/>
  <c r="F278" i="5"/>
  <c r="A279" i="5"/>
  <c r="B279" i="5"/>
  <c r="C279" i="5"/>
  <c r="D279" i="5"/>
  <c r="E279" i="5"/>
  <c r="F279" i="5"/>
  <c r="A280" i="5"/>
  <c r="B280" i="5"/>
  <c r="C280" i="5"/>
  <c r="D280" i="5"/>
  <c r="E280" i="5"/>
  <c r="F280" i="5"/>
  <c r="A281" i="5"/>
  <c r="B281" i="5"/>
  <c r="C281" i="5"/>
  <c r="D281" i="5"/>
  <c r="E281" i="5"/>
  <c r="F281" i="5"/>
  <c r="A282" i="5"/>
  <c r="B282" i="5"/>
  <c r="C282" i="5"/>
  <c r="D282" i="5"/>
  <c r="E282" i="5"/>
  <c r="F282" i="5"/>
  <c r="A283" i="5"/>
  <c r="B283" i="5"/>
  <c r="C283" i="5"/>
  <c r="D283" i="5"/>
  <c r="E283" i="5"/>
  <c r="F283" i="5"/>
  <c r="A284" i="5"/>
  <c r="B284" i="5"/>
  <c r="C284" i="5"/>
  <c r="D284" i="5"/>
  <c r="E284" i="5"/>
  <c r="F284" i="5"/>
  <c r="A285" i="5"/>
  <c r="B285" i="5"/>
  <c r="C285" i="5"/>
  <c r="D285" i="5"/>
  <c r="E285" i="5"/>
  <c r="F285" i="5"/>
  <c r="A286" i="5"/>
  <c r="B286" i="5"/>
  <c r="C286" i="5"/>
  <c r="D286" i="5"/>
  <c r="E286" i="5"/>
  <c r="F286" i="5"/>
  <c r="A287" i="5"/>
  <c r="B287" i="5"/>
  <c r="C287" i="5"/>
  <c r="D287" i="5"/>
  <c r="E287" i="5"/>
  <c r="F287" i="5"/>
  <c r="A288" i="5"/>
  <c r="B288" i="5"/>
  <c r="C288" i="5"/>
  <c r="D288" i="5"/>
  <c r="E288" i="5"/>
  <c r="F288" i="5"/>
  <c r="A289" i="5"/>
  <c r="B289" i="5"/>
  <c r="C289" i="5"/>
  <c r="D289" i="5"/>
  <c r="E289" i="5"/>
  <c r="F289" i="5"/>
  <c r="A290" i="5"/>
  <c r="B290" i="5"/>
  <c r="C290" i="5"/>
  <c r="D290" i="5"/>
  <c r="E290" i="5"/>
  <c r="F290" i="5"/>
  <c r="A291" i="5"/>
  <c r="B291" i="5"/>
  <c r="C291" i="5"/>
  <c r="D291" i="5"/>
  <c r="E291" i="5"/>
  <c r="F291" i="5"/>
  <c r="A292" i="5"/>
  <c r="B292" i="5"/>
  <c r="C292" i="5"/>
  <c r="D292" i="5"/>
  <c r="E292" i="5"/>
  <c r="F292" i="5"/>
  <c r="A293" i="5"/>
  <c r="B293" i="5"/>
  <c r="C293" i="5"/>
  <c r="D293" i="5"/>
  <c r="E293" i="5"/>
  <c r="F293" i="5"/>
  <c r="A294" i="5"/>
  <c r="B294" i="5"/>
  <c r="C294" i="5"/>
  <c r="D294" i="5"/>
  <c r="E294" i="5"/>
  <c r="F294" i="5"/>
  <c r="A295" i="5"/>
  <c r="B295" i="5"/>
  <c r="C295" i="5"/>
  <c r="D295" i="5"/>
  <c r="E295" i="5"/>
  <c r="F295" i="5"/>
  <c r="A296" i="5"/>
  <c r="B296" i="5"/>
  <c r="C296" i="5"/>
  <c r="D296" i="5"/>
  <c r="E296" i="5"/>
  <c r="F296" i="5"/>
  <c r="A297" i="5"/>
  <c r="B297" i="5"/>
  <c r="C297" i="5"/>
  <c r="D297" i="5"/>
  <c r="E297" i="5"/>
  <c r="F297" i="5"/>
  <c r="A298" i="5"/>
  <c r="B298" i="5"/>
  <c r="C298" i="5"/>
  <c r="D298" i="5"/>
  <c r="E298" i="5"/>
  <c r="F298" i="5"/>
  <c r="A299" i="5"/>
  <c r="B299" i="5"/>
  <c r="C299" i="5"/>
  <c r="D299" i="5"/>
  <c r="E299" i="5"/>
  <c r="F299" i="5"/>
  <c r="A300" i="5"/>
  <c r="B300" i="5"/>
  <c r="C300" i="5"/>
  <c r="D300" i="5"/>
  <c r="E300" i="5"/>
  <c r="F300" i="5"/>
  <c r="A301" i="5"/>
  <c r="B301" i="5"/>
  <c r="C301" i="5"/>
  <c r="D301" i="5"/>
  <c r="E301" i="5"/>
  <c r="F301" i="5"/>
  <c r="A302" i="5"/>
  <c r="B302" i="5"/>
  <c r="C302" i="5"/>
  <c r="D302" i="5"/>
  <c r="E302" i="5"/>
  <c r="F302" i="5"/>
  <c r="A303" i="5"/>
  <c r="B303" i="5"/>
  <c r="C303" i="5"/>
  <c r="D303" i="5"/>
  <c r="E303" i="5"/>
  <c r="F303" i="5"/>
  <c r="A304" i="5"/>
  <c r="B304" i="5"/>
  <c r="C304" i="5"/>
  <c r="D304" i="5"/>
  <c r="E304" i="5"/>
  <c r="F304" i="5"/>
  <c r="A305" i="5"/>
  <c r="B305" i="5"/>
  <c r="C305" i="5"/>
  <c r="D305" i="5"/>
  <c r="E305" i="5"/>
  <c r="F305" i="5"/>
  <c r="A306" i="5"/>
  <c r="B306" i="5"/>
  <c r="C306" i="5"/>
  <c r="D306" i="5"/>
  <c r="E306" i="5"/>
  <c r="F306" i="5"/>
  <c r="A307" i="5"/>
  <c r="B307" i="5"/>
  <c r="C307" i="5"/>
  <c r="D307" i="5"/>
  <c r="E307" i="5"/>
  <c r="F307" i="5"/>
  <c r="A308" i="5"/>
  <c r="B308" i="5"/>
  <c r="C308" i="5"/>
  <c r="D308" i="5"/>
  <c r="E308" i="5"/>
  <c r="F308" i="5"/>
  <c r="A309" i="5"/>
  <c r="B309" i="5"/>
  <c r="C309" i="5"/>
  <c r="D309" i="5"/>
  <c r="E309" i="5"/>
  <c r="F309" i="5"/>
  <c r="A310" i="5"/>
  <c r="B310" i="5"/>
  <c r="C310" i="5"/>
  <c r="D310" i="5"/>
  <c r="E310" i="5"/>
  <c r="F310" i="5"/>
  <c r="A311" i="5"/>
  <c r="B311" i="5"/>
  <c r="C311" i="5"/>
  <c r="D311" i="5"/>
  <c r="E311" i="5"/>
  <c r="F311" i="5"/>
  <c r="A312" i="5"/>
  <c r="B312" i="5"/>
  <c r="C312" i="5"/>
  <c r="D312" i="5"/>
  <c r="E312" i="5"/>
  <c r="F312" i="5"/>
  <c r="A313" i="5"/>
  <c r="B313" i="5"/>
  <c r="C313" i="5"/>
  <c r="D313" i="5"/>
  <c r="E313" i="5"/>
  <c r="F313" i="5"/>
  <c r="A314" i="5"/>
  <c r="B314" i="5"/>
  <c r="C314" i="5"/>
  <c r="D314" i="5"/>
  <c r="E314" i="5"/>
  <c r="F314" i="5"/>
  <c r="A315" i="5"/>
  <c r="B315" i="5"/>
  <c r="C315" i="5"/>
  <c r="D315" i="5"/>
  <c r="E315" i="5"/>
  <c r="F315" i="5"/>
  <c r="A316" i="5"/>
  <c r="B316" i="5"/>
  <c r="C316" i="5"/>
  <c r="D316" i="5"/>
  <c r="E316" i="5"/>
  <c r="F316" i="5"/>
  <c r="A317" i="5"/>
  <c r="B317" i="5"/>
  <c r="C317" i="5"/>
  <c r="D317" i="5"/>
  <c r="E317" i="5"/>
  <c r="F317" i="5"/>
  <c r="A318" i="5"/>
  <c r="B318" i="5"/>
  <c r="C318" i="5"/>
  <c r="D318" i="5"/>
  <c r="E318" i="5"/>
  <c r="F318" i="5"/>
  <c r="A319" i="5"/>
  <c r="B319" i="5"/>
  <c r="C319" i="5"/>
  <c r="D319" i="5"/>
  <c r="E319" i="5"/>
  <c r="F319" i="5"/>
  <c r="A320" i="5"/>
  <c r="B320" i="5"/>
  <c r="C320" i="5"/>
  <c r="D320" i="5"/>
  <c r="E320" i="5"/>
  <c r="F320" i="5"/>
  <c r="A321" i="5"/>
  <c r="B321" i="5"/>
  <c r="C321" i="5"/>
  <c r="D321" i="5"/>
  <c r="E321" i="5"/>
  <c r="F321" i="5"/>
  <c r="A322" i="5"/>
  <c r="B322" i="5"/>
  <c r="C322" i="5"/>
  <c r="D322" i="5"/>
  <c r="E322" i="5"/>
  <c r="F322" i="5"/>
  <c r="A323" i="5"/>
  <c r="B323" i="5"/>
  <c r="C323" i="5"/>
  <c r="D323" i="5"/>
  <c r="E323" i="5"/>
  <c r="F323" i="5"/>
  <c r="A324" i="5"/>
  <c r="B324" i="5"/>
  <c r="C324" i="5"/>
  <c r="D324" i="5"/>
  <c r="E324" i="5"/>
  <c r="F324" i="5"/>
  <c r="A325" i="5"/>
  <c r="B325" i="5"/>
  <c r="C325" i="5"/>
  <c r="D325" i="5"/>
  <c r="E325" i="5"/>
  <c r="F325" i="5"/>
  <c r="A326" i="5"/>
  <c r="B326" i="5"/>
  <c r="C326" i="5"/>
  <c r="D326" i="5"/>
  <c r="E326" i="5"/>
  <c r="F326" i="5"/>
  <c r="A327" i="5"/>
  <c r="B327" i="5"/>
  <c r="C327" i="5"/>
  <c r="D327" i="5"/>
  <c r="E327" i="5"/>
  <c r="F327" i="5"/>
  <c r="A328" i="5"/>
  <c r="B328" i="5"/>
  <c r="C328" i="5"/>
  <c r="D328" i="5"/>
  <c r="E328" i="5"/>
  <c r="F328" i="5"/>
  <c r="A329" i="5"/>
  <c r="B329" i="5"/>
  <c r="C329" i="5"/>
  <c r="D329" i="5"/>
  <c r="E329" i="5"/>
  <c r="F329" i="5"/>
  <c r="A330" i="5"/>
  <c r="B330" i="5"/>
  <c r="C330" i="5"/>
  <c r="D330" i="5"/>
  <c r="E330" i="5"/>
  <c r="F330" i="5"/>
  <c r="A331" i="5"/>
  <c r="B331" i="5"/>
  <c r="C331" i="5"/>
  <c r="D331" i="5"/>
  <c r="E331" i="5"/>
  <c r="F331" i="5"/>
  <c r="A332" i="5"/>
  <c r="B332" i="5"/>
  <c r="C332" i="5"/>
  <c r="D332" i="5"/>
  <c r="E332" i="5"/>
  <c r="F332" i="5"/>
  <c r="A333" i="5"/>
  <c r="B333" i="5"/>
  <c r="C333" i="5"/>
  <c r="D333" i="5"/>
  <c r="E333" i="5"/>
  <c r="F333" i="5"/>
  <c r="A334" i="5"/>
  <c r="B334" i="5"/>
  <c r="C334" i="5"/>
  <c r="D334" i="5"/>
  <c r="E334" i="5"/>
  <c r="F334" i="5"/>
  <c r="A335" i="5"/>
  <c r="B335" i="5"/>
  <c r="C335" i="5"/>
  <c r="D335" i="5"/>
  <c r="E335" i="5"/>
  <c r="F335" i="5"/>
  <c r="A336" i="5"/>
  <c r="B336" i="5"/>
  <c r="C336" i="5"/>
  <c r="D336" i="5"/>
  <c r="E336" i="5"/>
  <c r="F336" i="5"/>
  <c r="A337" i="5"/>
  <c r="B337" i="5"/>
  <c r="C337" i="5"/>
  <c r="D337" i="5"/>
  <c r="E337" i="5"/>
  <c r="F337" i="5"/>
  <c r="A338" i="5"/>
  <c r="B338" i="5"/>
  <c r="C338" i="5"/>
  <c r="D338" i="5"/>
  <c r="E338" i="5"/>
  <c r="F338" i="5"/>
  <c r="A339" i="5"/>
  <c r="B339" i="5"/>
  <c r="C339" i="5"/>
  <c r="D339" i="5"/>
  <c r="E339" i="5"/>
  <c r="F339" i="5"/>
  <c r="A340" i="5"/>
  <c r="B340" i="5"/>
  <c r="C340" i="5"/>
  <c r="D340" i="5"/>
  <c r="E340" i="5"/>
  <c r="F340" i="5"/>
  <c r="A341" i="5"/>
  <c r="B341" i="5"/>
  <c r="C341" i="5"/>
  <c r="D341" i="5"/>
  <c r="E341" i="5"/>
  <c r="F341" i="5"/>
  <c r="A342" i="5"/>
  <c r="B342" i="5"/>
  <c r="C342" i="5"/>
  <c r="D342" i="5"/>
  <c r="E342" i="5"/>
  <c r="F342" i="5"/>
  <c r="A343" i="5"/>
  <c r="B343" i="5"/>
  <c r="C343" i="5"/>
  <c r="D343" i="5"/>
  <c r="E343" i="5"/>
  <c r="F343" i="5"/>
  <c r="A344" i="5"/>
  <c r="B344" i="5"/>
  <c r="C344" i="5"/>
  <c r="D344" i="5"/>
  <c r="E344" i="5"/>
  <c r="F344" i="5"/>
  <c r="A345" i="5"/>
  <c r="B345" i="5"/>
  <c r="C345" i="5"/>
  <c r="D345" i="5"/>
  <c r="E345" i="5"/>
  <c r="F345" i="5"/>
  <c r="A346" i="5"/>
  <c r="B346" i="5"/>
  <c r="C346" i="5"/>
  <c r="D346" i="5"/>
  <c r="E346" i="5"/>
  <c r="F346" i="5"/>
  <c r="A347" i="5"/>
  <c r="B347" i="5"/>
  <c r="C347" i="5"/>
  <c r="D347" i="5"/>
  <c r="E347" i="5"/>
  <c r="F347" i="5"/>
  <c r="A348" i="5"/>
  <c r="B348" i="5"/>
  <c r="C348" i="5"/>
  <c r="D348" i="5"/>
  <c r="E348" i="5"/>
  <c r="F348" i="5"/>
  <c r="A349" i="5"/>
  <c r="B349" i="5"/>
  <c r="C349" i="5"/>
  <c r="D349" i="5"/>
  <c r="E349" i="5"/>
  <c r="F349" i="5"/>
  <c r="A350" i="5"/>
  <c r="B350" i="5"/>
  <c r="C350" i="5"/>
  <c r="D350" i="5"/>
  <c r="E350" i="5"/>
  <c r="F350" i="5"/>
  <c r="A351" i="5"/>
  <c r="B351" i="5"/>
  <c r="C351" i="5"/>
  <c r="D351" i="5"/>
  <c r="E351" i="5"/>
  <c r="F351" i="5"/>
  <c r="A352" i="5"/>
  <c r="B352" i="5"/>
  <c r="C352" i="5"/>
  <c r="D352" i="5"/>
  <c r="E352" i="5"/>
  <c r="F352" i="5"/>
  <c r="A353" i="5"/>
  <c r="B353" i="5"/>
  <c r="C353" i="5"/>
  <c r="D353" i="5"/>
  <c r="E353" i="5"/>
  <c r="F353" i="5"/>
  <c r="A354" i="5"/>
  <c r="B354" i="5"/>
  <c r="C354" i="5"/>
  <c r="D354" i="5"/>
  <c r="E354" i="5"/>
  <c r="F354" i="5"/>
  <c r="A355" i="5"/>
  <c r="B355" i="5"/>
  <c r="C355" i="5"/>
  <c r="D355" i="5"/>
  <c r="E355" i="5"/>
  <c r="F355" i="5"/>
  <c r="A356" i="5"/>
  <c r="B356" i="5"/>
  <c r="C356" i="5"/>
  <c r="D356" i="5"/>
  <c r="E356" i="5"/>
  <c r="F356" i="5"/>
  <c r="A357" i="5"/>
  <c r="B357" i="5"/>
  <c r="C357" i="5"/>
  <c r="D357" i="5"/>
  <c r="E357" i="5"/>
  <c r="F357" i="5"/>
  <c r="A358" i="5"/>
  <c r="B358" i="5"/>
  <c r="C358" i="5"/>
  <c r="D358" i="5"/>
  <c r="E358" i="5"/>
  <c r="F358" i="5"/>
  <c r="A359" i="5"/>
  <c r="B359" i="5"/>
  <c r="C359" i="5"/>
  <c r="D359" i="5"/>
  <c r="E359" i="5"/>
  <c r="F359" i="5"/>
  <c r="A360" i="5"/>
  <c r="B360" i="5"/>
  <c r="C360" i="5"/>
  <c r="D360" i="5"/>
  <c r="E360" i="5"/>
  <c r="F360" i="5"/>
  <c r="A361" i="5"/>
  <c r="B361" i="5"/>
  <c r="C361" i="5"/>
  <c r="D361" i="5"/>
  <c r="E361" i="5"/>
  <c r="F361" i="5"/>
  <c r="A362" i="5"/>
  <c r="B362" i="5"/>
  <c r="C362" i="5"/>
  <c r="D362" i="5"/>
  <c r="E362" i="5"/>
  <c r="F362" i="5"/>
  <c r="A363" i="5"/>
  <c r="B363" i="5"/>
  <c r="C363" i="5"/>
  <c r="D363" i="5"/>
  <c r="E363" i="5"/>
  <c r="F363" i="5"/>
  <c r="A364" i="5"/>
  <c r="B364" i="5"/>
  <c r="C364" i="5"/>
  <c r="D364" i="5"/>
  <c r="E364" i="5"/>
  <c r="F364" i="5"/>
  <c r="A365" i="5"/>
  <c r="B365" i="5"/>
  <c r="C365" i="5"/>
  <c r="D365" i="5"/>
  <c r="E365" i="5"/>
  <c r="F365" i="5"/>
  <c r="A366" i="5"/>
  <c r="B366" i="5"/>
  <c r="C366" i="5"/>
  <c r="D366" i="5"/>
  <c r="E366" i="5"/>
  <c r="F366" i="5"/>
  <c r="A367" i="5"/>
  <c r="B367" i="5"/>
  <c r="C367" i="5"/>
  <c r="D367" i="5"/>
  <c r="E367" i="5"/>
  <c r="F367" i="5"/>
  <c r="A368" i="5"/>
  <c r="B368" i="5"/>
  <c r="C368" i="5"/>
  <c r="D368" i="5"/>
  <c r="E368" i="5"/>
  <c r="F368" i="5"/>
  <c r="A369" i="5"/>
  <c r="B369" i="5"/>
  <c r="C369" i="5"/>
  <c r="D369" i="5"/>
  <c r="E369" i="5"/>
  <c r="F369" i="5"/>
  <c r="A370" i="5"/>
  <c r="B370" i="5"/>
  <c r="C370" i="5"/>
  <c r="D370" i="5"/>
  <c r="E370" i="5"/>
  <c r="F370" i="5"/>
  <c r="A371" i="5"/>
  <c r="B371" i="5"/>
  <c r="C371" i="5"/>
  <c r="D371" i="5"/>
  <c r="E371" i="5"/>
  <c r="F371" i="5"/>
  <c r="A372" i="5"/>
  <c r="B372" i="5"/>
  <c r="C372" i="5"/>
  <c r="D372" i="5"/>
  <c r="E372" i="5"/>
  <c r="F372" i="5"/>
  <c r="A373" i="5"/>
  <c r="B373" i="5"/>
  <c r="C373" i="5"/>
  <c r="D373" i="5"/>
  <c r="E373" i="5"/>
  <c r="F373" i="5"/>
  <c r="A374" i="5"/>
  <c r="B374" i="5"/>
  <c r="C374" i="5"/>
  <c r="D374" i="5"/>
  <c r="E374" i="5"/>
  <c r="F374" i="5"/>
  <c r="A375" i="5"/>
  <c r="B375" i="5"/>
  <c r="C375" i="5"/>
  <c r="D375" i="5"/>
  <c r="E375" i="5"/>
  <c r="F375" i="5"/>
  <c r="A376" i="5"/>
  <c r="B376" i="5"/>
  <c r="C376" i="5"/>
  <c r="D376" i="5"/>
  <c r="E376" i="5"/>
  <c r="F376" i="5"/>
  <c r="A377" i="5"/>
  <c r="B377" i="5"/>
  <c r="C377" i="5"/>
  <c r="D377" i="5"/>
  <c r="E377" i="5"/>
  <c r="F377" i="5"/>
  <c r="A378" i="5"/>
  <c r="B378" i="5"/>
  <c r="C378" i="5"/>
  <c r="D378" i="5"/>
  <c r="E378" i="5"/>
  <c r="F378" i="5"/>
  <c r="A379" i="5"/>
  <c r="B379" i="5"/>
  <c r="C379" i="5"/>
  <c r="D379" i="5"/>
  <c r="E379" i="5"/>
  <c r="F379" i="5"/>
  <c r="A380" i="5"/>
  <c r="B380" i="5"/>
  <c r="C380" i="5"/>
  <c r="D380" i="5"/>
  <c r="E380" i="5"/>
  <c r="F380" i="5"/>
  <c r="A381" i="5"/>
  <c r="B381" i="5"/>
  <c r="C381" i="5"/>
  <c r="D381" i="5"/>
  <c r="E381" i="5"/>
  <c r="F381" i="5"/>
  <c r="A382" i="5"/>
  <c r="B382" i="5"/>
  <c r="C382" i="5"/>
  <c r="D382" i="5"/>
  <c r="E382" i="5"/>
  <c r="F382" i="5"/>
  <c r="A383" i="5"/>
  <c r="B383" i="5"/>
  <c r="C383" i="5"/>
  <c r="D383" i="5"/>
  <c r="E383" i="5"/>
  <c r="F383" i="5"/>
  <c r="A384" i="5"/>
  <c r="B384" i="5"/>
  <c r="C384" i="5"/>
  <c r="D384" i="5"/>
  <c r="E384" i="5"/>
  <c r="F384" i="5"/>
  <c r="A385" i="5"/>
  <c r="B385" i="5"/>
  <c r="C385" i="5"/>
  <c r="D385" i="5"/>
  <c r="E385" i="5"/>
  <c r="F385" i="5"/>
  <c r="A386" i="5"/>
  <c r="B386" i="5"/>
  <c r="C386" i="5"/>
  <c r="D386" i="5"/>
  <c r="E386" i="5"/>
  <c r="F386" i="5"/>
  <c r="A387" i="5"/>
  <c r="B387" i="5"/>
  <c r="C387" i="5"/>
  <c r="D387" i="5"/>
  <c r="E387" i="5"/>
  <c r="F387" i="5"/>
  <c r="A388" i="5"/>
  <c r="B388" i="5"/>
  <c r="C388" i="5"/>
  <c r="D388" i="5"/>
  <c r="E388" i="5"/>
  <c r="F388" i="5"/>
  <c r="A389" i="5"/>
  <c r="B389" i="5"/>
  <c r="C389" i="5"/>
  <c r="D389" i="5"/>
  <c r="E389" i="5"/>
  <c r="F389" i="5"/>
  <c r="A390" i="5"/>
  <c r="B390" i="5"/>
  <c r="C390" i="5"/>
  <c r="D390" i="5"/>
  <c r="E390" i="5"/>
  <c r="F390" i="5"/>
  <c r="A391" i="5"/>
  <c r="B391" i="5"/>
  <c r="C391" i="5"/>
  <c r="D391" i="5"/>
  <c r="E391" i="5"/>
  <c r="F391" i="5"/>
  <c r="A392" i="5"/>
  <c r="B392" i="5"/>
  <c r="C392" i="5"/>
  <c r="D392" i="5"/>
  <c r="E392" i="5"/>
  <c r="F392" i="5"/>
  <c r="A393" i="5"/>
  <c r="B393" i="5"/>
  <c r="C393" i="5"/>
  <c r="D393" i="5"/>
  <c r="E393" i="5"/>
  <c r="F393" i="5"/>
  <c r="A394" i="5"/>
  <c r="B394" i="5"/>
  <c r="C394" i="5"/>
  <c r="D394" i="5"/>
  <c r="E394" i="5"/>
  <c r="F394" i="5"/>
  <c r="A395" i="5"/>
  <c r="B395" i="5"/>
  <c r="C395" i="5"/>
  <c r="D395" i="5"/>
  <c r="E395" i="5"/>
  <c r="F395" i="5"/>
  <c r="A396" i="5"/>
  <c r="B396" i="5"/>
  <c r="C396" i="5"/>
  <c r="D396" i="5"/>
  <c r="E396" i="5"/>
  <c r="F396" i="5"/>
  <c r="A397" i="5"/>
  <c r="B397" i="5"/>
  <c r="C397" i="5"/>
  <c r="D397" i="5"/>
  <c r="E397" i="5"/>
  <c r="F397" i="5"/>
  <c r="A398" i="5"/>
  <c r="B398" i="5"/>
  <c r="C398" i="5"/>
  <c r="D398" i="5"/>
  <c r="E398" i="5"/>
  <c r="F398" i="5"/>
  <c r="A399" i="5"/>
  <c r="B399" i="5"/>
  <c r="C399" i="5"/>
  <c r="D399" i="5"/>
  <c r="E399" i="5"/>
  <c r="F399" i="5"/>
  <c r="A400" i="5"/>
  <c r="B400" i="5"/>
  <c r="C400" i="5"/>
  <c r="D400" i="5"/>
  <c r="E400" i="5"/>
  <c r="F400" i="5"/>
  <c r="A401" i="5"/>
  <c r="B401" i="5"/>
  <c r="C401" i="5"/>
  <c r="D401" i="5"/>
  <c r="E401" i="5"/>
  <c r="F401" i="5"/>
  <c r="A402" i="5"/>
  <c r="B402" i="5"/>
  <c r="C402" i="5"/>
  <c r="D402" i="5"/>
  <c r="E402" i="5"/>
  <c r="F402" i="5"/>
  <c r="A403" i="5"/>
  <c r="B403" i="5"/>
  <c r="C403" i="5"/>
  <c r="D403" i="5"/>
  <c r="E403" i="5"/>
  <c r="F403" i="5"/>
  <c r="A404" i="5"/>
  <c r="B404" i="5"/>
  <c r="C404" i="5"/>
  <c r="D404" i="5"/>
  <c r="E404" i="5"/>
  <c r="F404" i="5"/>
  <c r="A405" i="5"/>
  <c r="B405" i="5"/>
  <c r="C405" i="5"/>
  <c r="D405" i="5"/>
  <c r="E405" i="5"/>
  <c r="F405" i="5"/>
  <c r="A406" i="5"/>
  <c r="B406" i="5"/>
  <c r="C406" i="5"/>
  <c r="D406" i="5"/>
  <c r="E406" i="5"/>
  <c r="F406" i="5"/>
  <c r="A407" i="5"/>
  <c r="B407" i="5"/>
  <c r="C407" i="5"/>
  <c r="D407" i="5"/>
  <c r="E407" i="5"/>
  <c r="F407" i="5"/>
  <c r="A408" i="5"/>
  <c r="B408" i="5"/>
  <c r="C408" i="5"/>
  <c r="D408" i="5"/>
  <c r="E408" i="5"/>
  <c r="F408" i="5"/>
  <c r="A409" i="5"/>
  <c r="B409" i="5"/>
  <c r="C409" i="5"/>
  <c r="D409" i="5"/>
  <c r="E409" i="5"/>
  <c r="F409" i="5"/>
  <c r="A410" i="5"/>
  <c r="B410" i="5"/>
  <c r="C410" i="5"/>
  <c r="D410" i="5"/>
  <c r="E410" i="5"/>
  <c r="F410" i="5"/>
  <c r="A411" i="5"/>
  <c r="B411" i="5"/>
  <c r="C411" i="5"/>
  <c r="D411" i="5"/>
  <c r="E411" i="5"/>
  <c r="F411" i="5"/>
  <c r="A412" i="5"/>
  <c r="B412" i="5"/>
  <c r="C412" i="5"/>
  <c r="D412" i="5"/>
  <c r="E412" i="5"/>
  <c r="F412" i="5"/>
  <c r="A413" i="5"/>
  <c r="B413" i="5"/>
  <c r="C413" i="5"/>
  <c r="D413" i="5"/>
  <c r="E413" i="5"/>
  <c r="F413" i="5"/>
  <c r="A414" i="5"/>
  <c r="B414" i="5"/>
  <c r="C414" i="5"/>
  <c r="D414" i="5"/>
  <c r="E414" i="5"/>
  <c r="F414" i="5"/>
  <c r="A415" i="5"/>
  <c r="B415" i="5"/>
  <c r="C415" i="5"/>
  <c r="D415" i="5"/>
  <c r="E415" i="5"/>
  <c r="F415" i="5"/>
  <c r="A416" i="5"/>
  <c r="B416" i="5"/>
  <c r="C416" i="5"/>
  <c r="D416" i="5"/>
  <c r="E416" i="5"/>
  <c r="F416" i="5"/>
  <c r="A417" i="5"/>
  <c r="B417" i="5"/>
  <c r="C417" i="5"/>
  <c r="D417" i="5"/>
  <c r="E417" i="5"/>
  <c r="F417" i="5"/>
  <c r="A418" i="5"/>
  <c r="B418" i="5"/>
  <c r="C418" i="5"/>
  <c r="D418" i="5"/>
  <c r="E418" i="5"/>
  <c r="F418" i="5"/>
  <c r="A419" i="5"/>
  <c r="B419" i="5"/>
  <c r="C419" i="5"/>
  <c r="D419" i="5"/>
  <c r="E419" i="5"/>
  <c r="F419" i="5"/>
  <c r="A420" i="5"/>
  <c r="B420" i="5"/>
  <c r="C420" i="5"/>
  <c r="D420" i="5"/>
  <c r="E420" i="5"/>
  <c r="F420" i="5"/>
  <c r="A421" i="5"/>
  <c r="B421" i="5"/>
  <c r="C421" i="5"/>
  <c r="D421" i="5"/>
  <c r="E421" i="5"/>
  <c r="F421" i="5"/>
  <c r="A422" i="5"/>
  <c r="B422" i="5"/>
  <c r="C422" i="5"/>
  <c r="D422" i="5"/>
  <c r="E422" i="5"/>
  <c r="F422" i="5"/>
  <c r="A423" i="5"/>
  <c r="B423" i="5"/>
  <c r="C423" i="5"/>
  <c r="D423" i="5"/>
  <c r="E423" i="5"/>
  <c r="F423" i="5"/>
  <c r="A424" i="5"/>
  <c r="B424" i="5"/>
  <c r="C424" i="5"/>
  <c r="D424" i="5"/>
  <c r="E424" i="5"/>
  <c r="F424" i="5"/>
  <c r="A425" i="5"/>
  <c r="B425" i="5"/>
  <c r="C425" i="5"/>
  <c r="D425" i="5"/>
  <c r="E425" i="5"/>
  <c r="F425" i="5"/>
  <c r="A426" i="5"/>
  <c r="B426" i="5"/>
  <c r="C426" i="5"/>
  <c r="D426" i="5"/>
  <c r="E426" i="5"/>
  <c r="F426" i="5"/>
  <c r="A427" i="5"/>
  <c r="B427" i="5"/>
  <c r="C427" i="5"/>
  <c r="D427" i="5"/>
  <c r="E427" i="5"/>
  <c r="F427" i="5"/>
  <c r="A428" i="5"/>
  <c r="B428" i="5"/>
  <c r="C428" i="5"/>
  <c r="D428" i="5"/>
  <c r="E428" i="5"/>
  <c r="F428" i="5"/>
  <c r="A429" i="5"/>
  <c r="B429" i="5"/>
  <c r="C429" i="5"/>
  <c r="D429" i="5"/>
  <c r="E429" i="5"/>
  <c r="F429" i="5"/>
  <c r="A430" i="5"/>
  <c r="B430" i="5"/>
  <c r="C430" i="5"/>
  <c r="D430" i="5"/>
  <c r="E430" i="5"/>
  <c r="F430" i="5"/>
  <c r="A431" i="5"/>
  <c r="B431" i="5"/>
  <c r="C431" i="5"/>
  <c r="D431" i="5"/>
  <c r="E431" i="5"/>
  <c r="F431" i="5"/>
  <c r="A432" i="5"/>
  <c r="B432" i="5"/>
  <c r="C432" i="5"/>
  <c r="D432" i="5"/>
  <c r="E432" i="5"/>
  <c r="F432" i="5"/>
  <c r="A433" i="5"/>
  <c r="B433" i="5"/>
  <c r="C433" i="5"/>
  <c r="D433" i="5"/>
  <c r="E433" i="5"/>
  <c r="F433" i="5"/>
  <c r="A434" i="5"/>
  <c r="B434" i="5"/>
  <c r="C434" i="5"/>
  <c r="D434" i="5"/>
  <c r="E434" i="5"/>
  <c r="F434" i="5"/>
  <c r="A435" i="5"/>
  <c r="B435" i="5"/>
  <c r="C435" i="5"/>
  <c r="D435" i="5"/>
  <c r="E435" i="5"/>
  <c r="F435" i="5"/>
  <c r="A436" i="5"/>
  <c r="B436" i="5"/>
  <c r="C436" i="5"/>
  <c r="D436" i="5"/>
  <c r="E436" i="5"/>
  <c r="F436" i="5"/>
  <c r="A437" i="5"/>
  <c r="B437" i="5"/>
  <c r="C437" i="5"/>
  <c r="D437" i="5"/>
  <c r="E437" i="5"/>
  <c r="F437" i="5"/>
  <c r="A438" i="5"/>
  <c r="B438" i="5"/>
  <c r="C438" i="5"/>
  <c r="D438" i="5"/>
  <c r="E438" i="5"/>
  <c r="F438" i="5"/>
  <c r="A439" i="5"/>
  <c r="B439" i="5"/>
  <c r="C439" i="5"/>
  <c r="D439" i="5"/>
  <c r="E439" i="5"/>
  <c r="F439" i="5"/>
  <c r="A440" i="5"/>
  <c r="B440" i="5"/>
  <c r="C440" i="5"/>
  <c r="D440" i="5"/>
  <c r="E440" i="5"/>
  <c r="F440" i="5"/>
  <c r="A441" i="5"/>
  <c r="B441" i="5"/>
  <c r="C441" i="5"/>
  <c r="D441" i="5"/>
  <c r="E441" i="5"/>
  <c r="F441" i="5"/>
  <c r="A442" i="5"/>
  <c r="B442" i="5"/>
  <c r="C442" i="5"/>
  <c r="D442" i="5"/>
  <c r="E442" i="5"/>
  <c r="F442" i="5"/>
  <c r="A443" i="5"/>
  <c r="B443" i="5"/>
  <c r="C443" i="5"/>
  <c r="D443" i="5"/>
  <c r="E443" i="5"/>
  <c r="F443" i="5"/>
  <c r="A444" i="5"/>
  <c r="B444" i="5"/>
  <c r="C444" i="5"/>
  <c r="D444" i="5"/>
  <c r="E444" i="5"/>
  <c r="F444" i="5"/>
  <c r="A445" i="5"/>
  <c r="B445" i="5"/>
  <c r="C445" i="5"/>
  <c r="D445" i="5"/>
  <c r="E445" i="5"/>
  <c r="F445" i="5"/>
  <c r="A446" i="5"/>
  <c r="B446" i="5"/>
  <c r="C446" i="5"/>
  <c r="D446" i="5"/>
  <c r="E446" i="5"/>
  <c r="F446" i="5"/>
  <c r="A447" i="5"/>
  <c r="B447" i="5"/>
  <c r="C447" i="5"/>
  <c r="D447" i="5"/>
  <c r="E447" i="5"/>
  <c r="F447" i="5"/>
  <c r="A448" i="5"/>
  <c r="B448" i="5"/>
  <c r="C448" i="5"/>
  <c r="D448" i="5"/>
  <c r="E448" i="5"/>
  <c r="F448" i="5"/>
  <c r="A449" i="5"/>
  <c r="B449" i="5"/>
  <c r="C449" i="5"/>
  <c r="D449" i="5"/>
  <c r="E449" i="5"/>
  <c r="F449" i="5"/>
  <c r="A450" i="5"/>
  <c r="B450" i="5"/>
  <c r="C450" i="5"/>
  <c r="D450" i="5"/>
  <c r="E450" i="5"/>
  <c r="F450" i="5"/>
  <c r="A451" i="5"/>
  <c r="B451" i="5"/>
  <c r="C451" i="5"/>
  <c r="D451" i="5"/>
  <c r="E451" i="5"/>
  <c r="F451" i="5"/>
  <c r="A452" i="5"/>
  <c r="B452" i="5"/>
  <c r="C452" i="5"/>
  <c r="D452" i="5"/>
  <c r="E452" i="5"/>
  <c r="F452" i="5"/>
  <c r="A453" i="5"/>
  <c r="B453" i="5"/>
  <c r="C453" i="5"/>
  <c r="D453" i="5"/>
  <c r="E453" i="5"/>
  <c r="F453" i="5"/>
  <c r="A454" i="5"/>
  <c r="B454" i="5"/>
  <c r="C454" i="5"/>
  <c r="D454" i="5"/>
  <c r="E454" i="5"/>
  <c r="F454" i="5"/>
  <c r="A455" i="5"/>
  <c r="B455" i="5"/>
  <c r="C455" i="5"/>
  <c r="D455" i="5"/>
  <c r="E455" i="5"/>
  <c r="F455" i="5"/>
  <c r="A456" i="5"/>
  <c r="B456" i="5"/>
  <c r="C456" i="5"/>
  <c r="D456" i="5"/>
  <c r="E456" i="5"/>
  <c r="F456" i="5"/>
  <c r="A457" i="5"/>
  <c r="B457" i="5"/>
  <c r="C457" i="5"/>
  <c r="D457" i="5"/>
  <c r="E457" i="5"/>
  <c r="F457" i="5"/>
  <c r="A458" i="5"/>
  <c r="B458" i="5"/>
  <c r="C458" i="5"/>
  <c r="D458" i="5"/>
  <c r="E458" i="5"/>
  <c r="F458" i="5"/>
  <c r="A459" i="5"/>
  <c r="B459" i="5"/>
  <c r="C459" i="5"/>
  <c r="D459" i="5"/>
  <c r="E459" i="5"/>
  <c r="F459" i="5"/>
  <c r="A460" i="5"/>
  <c r="B460" i="5"/>
  <c r="C460" i="5"/>
  <c r="D460" i="5"/>
  <c r="E460" i="5"/>
  <c r="F460" i="5"/>
  <c r="A461" i="5"/>
  <c r="B461" i="5"/>
  <c r="C461" i="5"/>
  <c r="D461" i="5"/>
  <c r="E461" i="5"/>
  <c r="F461" i="5"/>
  <c r="A462" i="5"/>
  <c r="B462" i="5"/>
  <c r="C462" i="5"/>
  <c r="D462" i="5"/>
  <c r="E462" i="5"/>
  <c r="F462" i="5"/>
  <c r="A463" i="5"/>
  <c r="B463" i="5"/>
  <c r="C463" i="5"/>
  <c r="D463" i="5"/>
  <c r="E463" i="5"/>
  <c r="F463" i="5"/>
  <c r="A464" i="5"/>
  <c r="B464" i="5"/>
  <c r="C464" i="5"/>
  <c r="D464" i="5"/>
  <c r="E464" i="5"/>
  <c r="F464" i="5"/>
  <c r="A465" i="5"/>
  <c r="B465" i="5"/>
  <c r="C465" i="5"/>
  <c r="D465" i="5"/>
  <c r="E465" i="5"/>
  <c r="F465" i="5"/>
  <c r="A466" i="5"/>
  <c r="B466" i="5"/>
  <c r="C466" i="5"/>
  <c r="D466" i="5"/>
  <c r="E466" i="5"/>
  <c r="F466" i="5"/>
  <c r="A467" i="5"/>
  <c r="B467" i="5"/>
  <c r="C467" i="5"/>
  <c r="D467" i="5"/>
  <c r="E467" i="5"/>
  <c r="F467" i="5"/>
  <c r="A468" i="5"/>
  <c r="B468" i="5"/>
  <c r="C468" i="5"/>
  <c r="D468" i="5"/>
  <c r="E468" i="5"/>
  <c r="F468" i="5"/>
  <c r="A469" i="5"/>
  <c r="B469" i="5"/>
  <c r="C469" i="5"/>
  <c r="D469" i="5"/>
  <c r="E469" i="5"/>
  <c r="F469" i="5"/>
  <c r="A470" i="5"/>
  <c r="B470" i="5"/>
  <c r="C470" i="5"/>
  <c r="D470" i="5"/>
  <c r="E470" i="5"/>
  <c r="F470" i="5"/>
  <c r="A471" i="5"/>
  <c r="B471" i="5"/>
  <c r="C471" i="5"/>
  <c r="D471" i="5"/>
  <c r="E471" i="5"/>
  <c r="F471" i="5"/>
  <c r="A472" i="5"/>
  <c r="B472" i="5"/>
  <c r="C472" i="5"/>
  <c r="D472" i="5"/>
  <c r="E472" i="5"/>
  <c r="F472" i="5"/>
  <c r="A473" i="5"/>
  <c r="B473" i="5"/>
  <c r="C473" i="5"/>
  <c r="D473" i="5"/>
  <c r="E473" i="5"/>
  <c r="F473" i="5"/>
  <c r="A474" i="5"/>
  <c r="B474" i="5"/>
  <c r="C474" i="5"/>
  <c r="D474" i="5"/>
  <c r="E474" i="5"/>
  <c r="F474" i="5"/>
  <c r="A475" i="5"/>
  <c r="B475" i="5"/>
  <c r="C475" i="5"/>
  <c r="D475" i="5"/>
  <c r="E475" i="5"/>
  <c r="F475" i="5"/>
  <c r="A476" i="5"/>
  <c r="B476" i="5"/>
  <c r="C476" i="5"/>
  <c r="D476" i="5"/>
  <c r="E476" i="5"/>
  <c r="F476" i="5"/>
  <c r="A477" i="5"/>
  <c r="B477" i="5"/>
  <c r="C477" i="5"/>
  <c r="D477" i="5"/>
  <c r="E477" i="5"/>
  <c r="F477" i="5"/>
  <c r="A478" i="5"/>
  <c r="B478" i="5"/>
  <c r="C478" i="5"/>
  <c r="D478" i="5"/>
  <c r="E478" i="5"/>
  <c r="F478" i="5"/>
  <c r="A479" i="5"/>
  <c r="B479" i="5"/>
  <c r="C479" i="5"/>
  <c r="D479" i="5"/>
  <c r="E479" i="5"/>
  <c r="F479" i="5"/>
  <c r="A480" i="5"/>
  <c r="B480" i="5"/>
  <c r="C480" i="5"/>
  <c r="D480" i="5"/>
  <c r="E480" i="5"/>
  <c r="F480" i="5"/>
  <c r="A481" i="5"/>
  <c r="B481" i="5"/>
  <c r="C481" i="5"/>
  <c r="D481" i="5"/>
  <c r="E481" i="5"/>
  <c r="F481" i="5"/>
  <c r="A482" i="5"/>
  <c r="B482" i="5"/>
  <c r="C482" i="5"/>
  <c r="D482" i="5"/>
  <c r="E482" i="5"/>
  <c r="F482" i="5"/>
  <c r="A483" i="5"/>
  <c r="B483" i="5"/>
  <c r="C483" i="5"/>
  <c r="D483" i="5"/>
  <c r="E483" i="5"/>
  <c r="F483" i="5"/>
  <c r="A484" i="5"/>
  <c r="B484" i="5"/>
  <c r="C484" i="5"/>
  <c r="D484" i="5"/>
  <c r="E484" i="5"/>
  <c r="F484" i="5"/>
  <c r="A485" i="5"/>
  <c r="B485" i="5"/>
  <c r="C485" i="5"/>
  <c r="D485" i="5"/>
  <c r="E485" i="5"/>
  <c r="F485" i="5"/>
  <c r="A486" i="5"/>
  <c r="B486" i="5"/>
  <c r="C486" i="5"/>
  <c r="D486" i="5"/>
  <c r="E486" i="5"/>
  <c r="F486" i="5"/>
  <c r="A487" i="5"/>
  <c r="B487" i="5"/>
  <c r="C487" i="5"/>
  <c r="D487" i="5"/>
  <c r="E487" i="5"/>
  <c r="F487" i="5"/>
  <c r="A488" i="5"/>
  <c r="B488" i="5"/>
  <c r="C488" i="5"/>
  <c r="D488" i="5"/>
  <c r="E488" i="5"/>
  <c r="F488" i="5"/>
  <c r="A489" i="5"/>
  <c r="B489" i="5"/>
  <c r="C489" i="5"/>
  <c r="D489" i="5"/>
  <c r="E489" i="5"/>
  <c r="F489" i="5"/>
  <c r="A490" i="5"/>
  <c r="B490" i="5"/>
  <c r="C490" i="5"/>
  <c r="D490" i="5"/>
  <c r="E490" i="5"/>
  <c r="F490" i="5"/>
  <c r="A491" i="5"/>
  <c r="B491" i="5"/>
  <c r="C491" i="5"/>
  <c r="D491" i="5"/>
  <c r="E491" i="5"/>
  <c r="F491" i="5"/>
  <c r="A492" i="5"/>
  <c r="B492" i="5"/>
  <c r="C492" i="5"/>
  <c r="D492" i="5"/>
  <c r="E492" i="5"/>
  <c r="F492" i="5"/>
  <c r="A493" i="5"/>
  <c r="B493" i="5"/>
  <c r="C493" i="5"/>
  <c r="D493" i="5"/>
  <c r="E493" i="5"/>
  <c r="F493" i="5"/>
  <c r="A494" i="5"/>
  <c r="B494" i="5"/>
  <c r="C494" i="5"/>
  <c r="D494" i="5"/>
  <c r="E494" i="5"/>
  <c r="F494" i="5"/>
  <c r="A495" i="5"/>
  <c r="B495" i="5"/>
  <c r="C495" i="5"/>
  <c r="D495" i="5"/>
  <c r="E495" i="5"/>
  <c r="F495" i="5"/>
  <c r="A496" i="5"/>
  <c r="B496" i="5"/>
  <c r="C496" i="5"/>
  <c r="D496" i="5"/>
  <c r="E496" i="5"/>
  <c r="F496" i="5"/>
  <c r="A497" i="5"/>
  <c r="B497" i="5"/>
  <c r="C497" i="5"/>
  <c r="D497" i="5"/>
  <c r="E497" i="5"/>
  <c r="F497" i="5"/>
  <c r="A498" i="5"/>
  <c r="B498" i="5"/>
  <c r="C498" i="5"/>
  <c r="D498" i="5"/>
  <c r="E498" i="5"/>
  <c r="F498" i="5"/>
  <c r="A499" i="5"/>
  <c r="B499" i="5"/>
  <c r="C499" i="5"/>
  <c r="D499" i="5"/>
  <c r="E499" i="5"/>
  <c r="F499" i="5"/>
  <c r="A500" i="5"/>
  <c r="B500" i="5"/>
  <c r="C500" i="5"/>
  <c r="D500" i="5"/>
  <c r="E500" i="5"/>
  <c r="F500" i="5"/>
  <c r="A501" i="5"/>
  <c r="B501" i="5"/>
  <c r="C501" i="5"/>
  <c r="D501" i="5"/>
  <c r="E501" i="5"/>
  <c r="F501" i="5"/>
  <c r="A502" i="5"/>
  <c r="B502" i="5"/>
  <c r="C502" i="5"/>
  <c r="D502" i="5"/>
  <c r="E502" i="5"/>
  <c r="F502" i="5"/>
  <c r="A503" i="5"/>
  <c r="B503" i="5"/>
  <c r="C503" i="5"/>
  <c r="D503" i="5"/>
  <c r="E503" i="5"/>
  <c r="F503" i="5"/>
  <c r="A504" i="5"/>
  <c r="B504" i="5"/>
  <c r="C504" i="5"/>
  <c r="D504" i="5"/>
  <c r="E504" i="5"/>
  <c r="F504" i="5"/>
  <c r="A505" i="5"/>
  <c r="B505" i="5"/>
  <c r="C505" i="5"/>
  <c r="D505" i="5"/>
  <c r="E505" i="5"/>
  <c r="F505" i="5"/>
  <c r="A506" i="5"/>
  <c r="B506" i="5"/>
  <c r="C506" i="5"/>
  <c r="D506" i="5"/>
  <c r="E506" i="5"/>
  <c r="F506" i="5"/>
  <c r="A507" i="5"/>
  <c r="B507" i="5"/>
  <c r="C507" i="5"/>
  <c r="D507" i="5"/>
  <c r="E507" i="5"/>
  <c r="F507" i="5"/>
  <c r="A508" i="5"/>
  <c r="B508" i="5"/>
  <c r="C508" i="5"/>
  <c r="D508" i="5"/>
  <c r="E508" i="5"/>
  <c r="F508" i="5"/>
  <c r="A509" i="5"/>
  <c r="B509" i="5"/>
  <c r="C509" i="5"/>
  <c r="D509" i="5"/>
  <c r="E509" i="5"/>
  <c r="F509" i="5"/>
  <c r="A510" i="5"/>
  <c r="B510" i="5"/>
  <c r="C510" i="5"/>
  <c r="D510" i="5"/>
  <c r="E510" i="5"/>
  <c r="F510" i="5"/>
  <c r="A511" i="5"/>
  <c r="B511" i="5"/>
  <c r="C511" i="5"/>
  <c r="D511" i="5"/>
  <c r="E511" i="5"/>
  <c r="F511" i="5"/>
  <c r="A512" i="5"/>
  <c r="B512" i="5"/>
  <c r="C512" i="5"/>
  <c r="D512" i="5"/>
  <c r="E512" i="5"/>
  <c r="F512" i="5"/>
  <c r="A513" i="5"/>
  <c r="B513" i="5"/>
  <c r="C513" i="5"/>
  <c r="D513" i="5"/>
  <c r="E513" i="5"/>
  <c r="F513" i="5"/>
  <c r="A514" i="5"/>
  <c r="B514" i="5"/>
  <c r="C514" i="5"/>
  <c r="D514" i="5"/>
  <c r="E514" i="5"/>
  <c r="F514" i="5"/>
  <c r="A515" i="5"/>
  <c r="B515" i="5"/>
  <c r="C515" i="5"/>
  <c r="D515" i="5"/>
  <c r="E515" i="5"/>
  <c r="F515" i="5"/>
  <c r="A516" i="5"/>
  <c r="B516" i="5"/>
  <c r="C516" i="5"/>
  <c r="D516" i="5"/>
  <c r="E516" i="5"/>
  <c r="F516" i="5"/>
  <c r="A517" i="5"/>
  <c r="B517" i="5"/>
  <c r="C517" i="5"/>
  <c r="D517" i="5"/>
  <c r="E517" i="5"/>
  <c r="F517" i="5"/>
  <c r="A518" i="5"/>
  <c r="B518" i="5"/>
  <c r="C518" i="5"/>
  <c r="D518" i="5"/>
  <c r="E518" i="5"/>
  <c r="F518" i="5"/>
  <c r="A519" i="5"/>
  <c r="B519" i="5"/>
  <c r="C519" i="5"/>
  <c r="D519" i="5"/>
  <c r="E519" i="5"/>
  <c r="F519" i="5"/>
  <c r="A520" i="5"/>
  <c r="B520" i="5"/>
  <c r="C520" i="5"/>
  <c r="D520" i="5"/>
  <c r="E520" i="5"/>
  <c r="F520" i="5"/>
  <c r="A521" i="5"/>
  <c r="B521" i="5"/>
  <c r="C521" i="5"/>
  <c r="D521" i="5"/>
  <c r="E521" i="5"/>
  <c r="F521" i="5"/>
  <c r="A522" i="5"/>
  <c r="B522" i="5"/>
  <c r="C522" i="5"/>
  <c r="D522" i="5"/>
  <c r="E522" i="5"/>
  <c r="F522" i="5"/>
  <c r="A523" i="5"/>
  <c r="B523" i="5"/>
  <c r="C523" i="5"/>
  <c r="D523" i="5"/>
  <c r="E523" i="5"/>
  <c r="F523" i="5"/>
  <c r="A524" i="5"/>
  <c r="B524" i="5"/>
  <c r="C524" i="5"/>
  <c r="D524" i="5"/>
  <c r="E524" i="5"/>
  <c r="F524" i="5"/>
  <c r="A525" i="5"/>
  <c r="B525" i="5"/>
  <c r="C525" i="5"/>
  <c r="D525" i="5"/>
  <c r="E525" i="5"/>
  <c r="F525" i="5"/>
  <c r="A526" i="5"/>
  <c r="B526" i="5"/>
  <c r="C526" i="5"/>
  <c r="D526" i="5"/>
  <c r="E526" i="5"/>
  <c r="F526" i="5"/>
  <c r="A527" i="5"/>
  <c r="B527" i="5"/>
  <c r="C527" i="5"/>
  <c r="D527" i="5"/>
  <c r="E527" i="5"/>
  <c r="F527" i="5"/>
  <c r="A528" i="5"/>
  <c r="B528" i="5"/>
  <c r="C528" i="5"/>
  <c r="D528" i="5"/>
  <c r="E528" i="5"/>
  <c r="F528" i="5"/>
  <c r="A529" i="5"/>
  <c r="B529" i="5"/>
  <c r="C529" i="5"/>
  <c r="D529" i="5"/>
  <c r="E529" i="5"/>
  <c r="F529" i="5"/>
  <c r="A530" i="5"/>
  <c r="B530" i="5"/>
  <c r="C530" i="5"/>
  <c r="D530" i="5"/>
  <c r="E530" i="5"/>
  <c r="F530" i="5"/>
  <c r="A531" i="5"/>
  <c r="B531" i="5"/>
  <c r="C531" i="5"/>
  <c r="D531" i="5"/>
  <c r="E531" i="5"/>
  <c r="F531" i="5"/>
  <c r="A532" i="5"/>
  <c r="B532" i="5"/>
  <c r="C532" i="5"/>
  <c r="D532" i="5"/>
  <c r="E532" i="5"/>
  <c r="F532" i="5"/>
  <c r="A533" i="5"/>
  <c r="B533" i="5"/>
  <c r="C533" i="5"/>
  <c r="D533" i="5"/>
  <c r="E533" i="5"/>
  <c r="F533" i="5"/>
  <c r="A534" i="5"/>
  <c r="B534" i="5"/>
  <c r="C534" i="5"/>
  <c r="D534" i="5"/>
  <c r="E534" i="5"/>
  <c r="F534" i="5"/>
  <c r="A535" i="5"/>
  <c r="B535" i="5"/>
  <c r="C535" i="5"/>
  <c r="D535" i="5"/>
  <c r="E535" i="5"/>
  <c r="F535" i="5"/>
  <c r="A536" i="5"/>
  <c r="B536" i="5"/>
  <c r="C536" i="5"/>
  <c r="D536" i="5"/>
  <c r="E536" i="5"/>
  <c r="F536" i="5"/>
  <c r="A537" i="5"/>
  <c r="B537" i="5"/>
  <c r="C537" i="5"/>
  <c r="D537" i="5"/>
  <c r="E537" i="5"/>
  <c r="F537" i="5"/>
  <c r="A538" i="5"/>
  <c r="B538" i="5"/>
  <c r="C538" i="5"/>
  <c r="D538" i="5"/>
  <c r="E538" i="5"/>
  <c r="F538" i="5"/>
  <c r="A539" i="5"/>
  <c r="B539" i="5"/>
  <c r="C539" i="5"/>
  <c r="D539" i="5"/>
  <c r="E539" i="5"/>
  <c r="F539" i="5"/>
  <c r="A540" i="5"/>
  <c r="B540" i="5"/>
  <c r="C540" i="5"/>
  <c r="D540" i="5"/>
  <c r="E540" i="5"/>
  <c r="F540" i="5"/>
  <c r="A541" i="5"/>
  <c r="B541" i="5"/>
  <c r="C541" i="5"/>
  <c r="D541" i="5"/>
  <c r="E541" i="5"/>
  <c r="F541" i="5"/>
  <c r="A542" i="5"/>
  <c r="B542" i="5"/>
  <c r="C542" i="5"/>
  <c r="D542" i="5"/>
  <c r="E542" i="5"/>
  <c r="F542" i="5"/>
  <c r="A543" i="5"/>
  <c r="B543" i="5"/>
  <c r="C543" i="5"/>
  <c r="D543" i="5"/>
  <c r="E543" i="5"/>
  <c r="F543" i="5"/>
  <c r="A544" i="5"/>
  <c r="B544" i="5"/>
  <c r="C544" i="5"/>
  <c r="D544" i="5"/>
  <c r="E544" i="5"/>
  <c r="F544" i="5"/>
  <c r="A545" i="5"/>
  <c r="B545" i="5"/>
  <c r="C545" i="5"/>
  <c r="D545" i="5"/>
  <c r="E545" i="5"/>
  <c r="F545" i="5"/>
  <c r="A546" i="5"/>
  <c r="B546" i="5"/>
  <c r="C546" i="5"/>
  <c r="D546" i="5"/>
  <c r="E546" i="5"/>
  <c r="F546" i="5"/>
  <c r="A547" i="5"/>
  <c r="B547" i="5"/>
  <c r="C547" i="5"/>
  <c r="D547" i="5"/>
  <c r="E547" i="5"/>
  <c r="F547" i="5"/>
  <c r="A548" i="5"/>
  <c r="B548" i="5"/>
  <c r="C548" i="5"/>
  <c r="D548" i="5"/>
  <c r="E548" i="5"/>
  <c r="F548" i="5"/>
  <c r="A549" i="5"/>
  <c r="B549" i="5"/>
  <c r="C549" i="5"/>
  <c r="D549" i="5"/>
  <c r="E549" i="5"/>
  <c r="F549" i="5"/>
  <c r="A550" i="5"/>
  <c r="B550" i="5"/>
  <c r="C550" i="5"/>
  <c r="D550" i="5"/>
  <c r="E550" i="5"/>
  <c r="F550" i="5"/>
  <c r="A551" i="5"/>
  <c r="B551" i="5"/>
  <c r="C551" i="5"/>
  <c r="D551" i="5"/>
  <c r="E551" i="5"/>
  <c r="F551" i="5"/>
  <c r="A552" i="5"/>
  <c r="B552" i="5"/>
  <c r="C552" i="5"/>
  <c r="D552" i="5"/>
  <c r="E552" i="5"/>
  <c r="F552" i="5"/>
  <c r="A553" i="5"/>
  <c r="B553" i="5"/>
  <c r="C553" i="5"/>
  <c r="D553" i="5"/>
  <c r="E553" i="5"/>
  <c r="F553" i="5"/>
  <c r="A554" i="5"/>
  <c r="B554" i="5"/>
  <c r="C554" i="5"/>
  <c r="D554" i="5"/>
  <c r="E554" i="5"/>
  <c r="F554" i="5"/>
  <c r="A555" i="5"/>
  <c r="B555" i="5"/>
  <c r="C555" i="5"/>
  <c r="D555" i="5"/>
  <c r="E555" i="5"/>
  <c r="F555" i="5"/>
  <c r="A556" i="5"/>
  <c r="B556" i="5"/>
  <c r="C556" i="5"/>
  <c r="D556" i="5"/>
  <c r="E556" i="5"/>
  <c r="F556" i="5"/>
  <c r="A557" i="5"/>
  <c r="B557" i="5"/>
  <c r="C557" i="5"/>
  <c r="D557" i="5"/>
  <c r="E557" i="5"/>
  <c r="F557" i="5"/>
  <c r="A558" i="5"/>
  <c r="B558" i="5"/>
  <c r="C558" i="5"/>
  <c r="D558" i="5"/>
  <c r="E558" i="5"/>
  <c r="F558" i="5"/>
  <c r="A559" i="5"/>
  <c r="B559" i="5"/>
  <c r="C559" i="5"/>
  <c r="D559" i="5"/>
  <c r="E559" i="5"/>
  <c r="F559" i="5"/>
  <c r="A560" i="5"/>
  <c r="B560" i="5"/>
  <c r="C560" i="5"/>
  <c r="D560" i="5"/>
  <c r="E560" i="5"/>
  <c r="F560" i="5"/>
  <c r="A561" i="5"/>
  <c r="B561" i="5"/>
  <c r="C561" i="5"/>
  <c r="D561" i="5"/>
  <c r="E561" i="5"/>
  <c r="F561" i="5"/>
  <c r="A562" i="5"/>
  <c r="B562" i="5"/>
  <c r="C562" i="5"/>
  <c r="D562" i="5"/>
  <c r="E562" i="5"/>
  <c r="F562" i="5"/>
  <c r="A563" i="5"/>
  <c r="B563" i="5"/>
  <c r="C563" i="5"/>
  <c r="D563" i="5"/>
  <c r="E563" i="5"/>
  <c r="F563" i="5"/>
  <c r="A564" i="5"/>
  <c r="B564" i="5"/>
  <c r="C564" i="5"/>
  <c r="D564" i="5"/>
  <c r="E564" i="5"/>
  <c r="F564" i="5"/>
  <c r="A565" i="5"/>
  <c r="B565" i="5"/>
  <c r="C565" i="5"/>
  <c r="D565" i="5"/>
  <c r="E565" i="5"/>
  <c r="F565" i="5"/>
  <c r="A566" i="5"/>
  <c r="B566" i="5"/>
  <c r="C566" i="5"/>
  <c r="D566" i="5"/>
  <c r="E566" i="5"/>
  <c r="F566" i="5"/>
  <c r="A567" i="5"/>
  <c r="B567" i="5"/>
  <c r="C567" i="5"/>
  <c r="D567" i="5"/>
  <c r="E567" i="5"/>
  <c r="F567" i="5"/>
  <c r="A568" i="5"/>
  <c r="B568" i="5"/>
  <c r="C568" i="5"/>
  <c r="D568" i="5"/>
  <c r="E568" i="5"/>
  <c r="F568" i="5"/>
  <c r="A569" i="5"/>
  <c r="B569" i="5"/>
  <c r="C569" i="5"/>
  <c r="D569" i="5"/>
  <c r="E569" i="5"/>
  <c r="F569" i="5"/>
  <c r="A570" i="5"/>
  <c r="B570" i="5"/>
  <c r="C570" i="5"/>
  <c r="D570" i="5"/>
  <c r="E570" i="5"/>
  <c r="F570" i="5"/>
  <c r="A571" i="5"/>
  <c r="B571" i="5"/>
  <c r="C571" i="5"/>
  <c r="D571" i="5"/>
  <c r="E571" i="5"/>
  <c r="F571" i="5"/>
  <c r="A572" i="5"/>
  <c r="B572" i="5"/>
  <c r="C572" i="5"/>
  <c r="D572" i="5"/>
  <c r="E572" i="5"/>
  <c r="F572" i="5"/>
  <c r="A573" i="5"/>
  <c r="B573" i="5"/>
  <c r="C573" i="5"/>
  <c r="D573" i="5"/>
  <c r="E573" i="5"/>
  <c r="F573" i="5"/>
  <c r="A574" i="5"/>
  <c r="B574" i="5"/>
  <c r="C574" i="5"/>
  <c r="D574" i="5"/>
  <c r="E574" i="5"/>
  <c r="F574" i="5"/>
  <c r="A575" i="5"/>
  <c r="B575" i="5"/>
  <c r="C575" i="5"/>
  <c r="D575" i="5"/>
  <c r="E575" i="5"/>
  <c r="F575" i="5"/>
  <c r="A576" i="5"/>
  <c r="B576" i="5"/>
  <c r="C576" i="5"/>
  <c r="D576" i="5"/>
  <c r="E576" i="5"/>
  <c r="F576" i="5"/>
  <c r="A577" i="5"/>
  <c r="B577" i="5"/>
  <c r="C577" i="5"/>
  <c r="D577" i="5"/>
  <c r="E577" i="5"/>
  <c r="F577" i="5"/>
  <c r="A578" i="5"/>
  <c r="B578" i="5"/>
  <c r="C578" i="5"/>
  <c r="D578" i="5"/>
  <c r="E578" i="5"/>
  <c r="F578" i="5"/>
  <c r="A579" i="5"/>
  <c r="B579" i="5"/>
  <c r="C579" i="5"/>
  <c r="D579" i="5"/>
  <c r="E579" i="5"/>
  <c r="F579" i="5"/>
  <c r="A580" i="5"/>
  <c r="B580" i="5"/>
  <c r="C580" i="5"/>
  <c r="D580" i="5"/>
  <c r="E580" i="5"/>
  <c r="F580" i="5"/>
  <c r="A581" i="5"/>
  <c r="B581" i="5"/>
  <c r="C581" i="5"/>
  <c r="D581" i="5"/>
  <c r="E581" i="5"/>
  <c r="F581" i="5"/>
  <c r="A582" i="5"/>
  <c r="B582" i="5"/>
  <c r="C582" i="5"/>
  <c r="D582" i="5"/>
  <c r="E582" i="5"/>
  <c r="F582" i="5"/>
  <c r="A583" i="5"/>
  <c r="B583" i="5"/>
  <c r="C583" i="5"/>
  <c r="D583" i="5"/>
  <c r="E583" i="5"/>
  <c r="F583" i="5"/>
  <c r="A584" i="5"/>
  <c r="B584" i="5"/>
  <c r="C584" i="5"/>
  <c r="D584" i="5"/>
  <c r="E584" i="5"/>
  <c r="F584" i="5"/>
  <c r="A585" i="5"/>
  <c r="B585" i="5"/>
  <c r="C585" i="5"/>
  <c r="D585" i="5"/>
  <c r="E585" i="5"/>
  <c r="F585" i="5"/>
  <c r="A586" i="5"/>
  <c r="B586" i="5"/>
  <c r="C586" i="5"/>
  <c r="D586" i="5"/>
  <c r="E586" i="5"/>
  <c r="F586" i="5"/>
  <c r="A587" i="5"/>
  <c r="B587" i="5"/>
  <c r="C587" i="5"/>
  <c r="D587" i="5"/>
  <c r="E587" i="5"/>
  <c r="F587" i="5"/>
  <c r="A3" i="5"/>
  <c r="A4" i="5"/>
  <c r="A5" i="5"/>
  <c r="B5" i="5"/>
  <c r="C5" i="5"/>
  <c r="D5" i="5"/>
  <c r="E5" i="5"/>
  <c r="F5" i="5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" i="5"/>
  <c r="CI655" i="1"/>
  <c r="CJ655" i="1"/>
  <c r="CK655" i="1"/>
  <c r="CL655" i="1"/>
  <c r="CM655" i="1"/>
  <c r="CN655" i="1"/>
  <c r="CO655" i="1"/>
  <c r="CP655" i="1"/>
  <c r="CQ655" i="1"/>
  <c r="CR655" i="1"/>
  <c r="CS655" i="1"/>
  <c r="CT655" i="1"/>
  <c r="CU655" i="1"/>
  <c r="CV655" i="1"/>
  <c r="CW655" i="1"/>
  <c r="CX655" i="1"/>
  <c r="CY655" i="1"/>
  <c r="CZ655" i="1"/>
  <c r="DA655" i="1"/>
  <c r="DB655" i="1"/>
  <c r="DC655" i="1"/>
  <c r="DD655" i="1"/>
  <c r="DE655" i="1"/>
  <c r="CI656" i="1"/>
  <c r="CJ656" i="1"/>
  <c r="CK656" i="1"/>
  <c r="CL656" i="1"/>
  <c r="CM656" i="1"/>
  <c r="CN656" i="1"/>
  <c r="CO656" i="1"/>
  <c r="CP656" i="1"/>
  <c r="CQ656" i="1"/>
  <c r="CR656" i="1"/>
  <c r="CS656" i="1"/>
  <c r="CT656" i="1"/>
  <c r="CU656" i="1"/>
  <c r="CV656" i="1"/>
  <c r="CW656" i="1"/>
  <c r="CX656" i="1"/>
  <c r="CY656" i="1"/>
  <c r="CZ656" i="1"/>
  <c r="DA656" i="1"/>
  <c r="DB656" i="1"/>
  <c r="DC656" i="1"/>
  <c r="DD656" i="1"/>
  <c r="DE656" i="1"/>
  <c r="CI657" i="1"/>
  <c r="CJ657" i="1"/>
  <c r="CK657" i="1"/>
  <c r="CL657" i="1"/>
  <c r="CM657" i="1"/>
  <c r="CN657" i="1"/>
  <c r="CO657" i="1"/>
  <c r="CP657" i="1"/>
  <c r="CQ657" i="1"/>
  <c r="CR657" i="1"/>
  <c r="CS657" i="1"/>
  <c r="CT657" i="1"/>
  <c r="CU657" i="1"/>
  <c r="CV657" i="1"/>
  <c r="CW657" i="1"/>
  <c r="CX657" i="1"/>
  <c r="CY657" i="1"/>
  <c r="CZ657" i="1"/>
  <c r="DA657" i="1"/>
  <c r="DB657" i="1"/>
  <c r="DC657" i="1"/>
  <c r="DD657" i="1"/>
  <c r="DE657" i="1"/>
  <c r="CI658" i="1"/>
  <c r="CJ658" i="1"/>
  <c r="CK658" i="1"/>
  <c r="CL658" i="1"/>
  <c r="CM658" i="1"/>
  <c r="CN658" i="1"/>
  <c r="CO658" i="1"/>
  <c r="CP658" i="1"/>
  <c r="CQ658" i="1"/>
  <c r="CR658" i="1"/>
  <c r="CS658" i="1"/>
  <c r="CT658" i="1"/>
  <c r="CU658" i="1"/>
  <c r="CV658" i="1"/>
  <c r="CW658" i="1"/>
  <c r="CX658" i="1"/>
  <c r="CY658" i="1"/>
  <c r="CZ658" i="1"/>
  <c r="DA658" i="1"/>
  <c r="DB658" i="1"/>
  <c r="DC658" i="1"/>
  <c r="DD658" i="1"/>
  <c r="DE658" i="1"/>
  <c r="CI659" i="1"/>
  <c r="CJ659" i="1"/>
  <c r="CK659" i="1"/>
  <c r="CL659" i="1"/>
  <c r="CM659" i="1"/>
  <c r="CN659" i="1"/>
  <c r="CO659" i="1"/>
  <c r="CP659" i="1"/>
  <c r="CQ659" i="1"/>
  <c r="CR659" i="1"/>
  <c r="CS659" i="1"/>
  <c r="CT659" i="1"/>
  <c r="CU659" i="1"/>
  <c r="CV659" i="1"/>
  <c r="CW659" i="1"/>
  <c r="CX659" i="1"/>
  <c r="CY659" i="1"/>
  <c r="CZ659" i="1"/>
  <c r="DA659" i="1"/>
  <c r="DB659" i="1"/>
  <c r="DC659" i="1"/>
  <c r="DD659" i="1"/>
  <c r="DE659" i="1"/>
  <c r="CI660" i="1"/>
  <c r="CJ660" i="1"/>
  <c r="CK660" i="1"/>
  <c r="CL660" i="1"/>
  <c r="CM660" i="1"/>
  <c r="CN660" i="1"/>
  <c r="CO660" i="1"/>
  <c r="CP660" i="1"/>
  <c r="CQ660" i="1"/>
  <c r="CR660" i="1"/>
  <c r="CS660" i="1"/>
  <c r="CT660" i="1"/>
  <c r="CU660" i="1"/>
  <c r="CV660" i="1"/>
  <c r="CW660" i="1"/>
  <c r="CX660" i="1"/>
  <c r="CY660" i="1"/>
  <c r="CZ660" i="1"/>
  <c r="DA660" i="1"/>
  <c r="DB660" i="1"/>
  <c r="DC660" i="1"/>
  <c r="DD660" i="1"/>
  <c r="DE660" i="1"/>
  <c r="CI661" i="1"/>
  <c r="CJ661" i="1"/>
  <c r="CK661" i="1"/>
  <c r="CL661" i="1"/>
  <c r="CM661" i="1"/>
  <c r="CN661" i="1"/>
  <c r="CO661" i="1"/>
  <c r="CP661" i="1"/>
  <c r="CQ661" i="1"/>
  <c r="CR661" i="1"/>
  <c r="CS661" i="1"/>
  <c r="CT661" i="1"/>
  <c r="CU661" i="1"/>
  <c r="CV661" i="1"/>
  <c r="CW661" i="1"/>
  <c r="CX661" i="1"/>
  <c r="CY661" i="1"/>
  <c r="CZ661" i="1"/>
  <c r="DA661" i="1"/>
  <c r="DB661" i="1"/>
  <c r="DC661" i="1"/>
  <c r="DD661" i="1"/>
  <c r="DE661" i="1"/>
  <c r="CI662" i="1"/>
  <c r="CJ662" i="1"/>
  <c r="CK662" i="1"/>
  <c r="CL662" i="1"/>
  <c r="CM662" i="1"/>
  <c r="CN662" i="1"/>
  <c r="CO662" i="1"/>
  <c r="CP662" i="1"/>
  <c r="CQ662" i="1"/>
  <c r="CR662" i="1"/>
  <c r="CS662" i="1"/>
  <c r="CT662" i="1"/>
  <c r="CU662" i="1"/>
  <c r="CV662" i="1"/>
  <c r="CW662" i="1"/>
  <c r="CX662" i="1"/>
  <c r="CY662" i="1"/>
  <c r="CZ662" i="1"/>
  <c r="DA662" i="1"/>
  <c r="DB662" i="1"/>
  <c r="DC662" i="1"/>
  <c r="DD662" i="1"/>
  <c r="DE662" i="1"/>
  <c r="CI663" i="1"/>
  <c r="CJ663" i="1"/>
  <c r="CK663" i="1"/>
  <c r="CL663" i="1"/>
  <c r="CM663" i="1"/>
  <c r="CN663" i="1"/>
  <c r="CO663" i="1"/>
  <c r="CP663" i="1"/>
  <c r="CQ663" i="1"/>
  <c r="CR663" i="1"/>
  <c r="CS663" i="1"/>
  <c r="CT663" i="1"/>
  <c r="CU663" i="1"/>
  <c r="CV663" i="1"/>
  <c r="CW663" i="1"/>
  <c r="CX663" i="1"/>
  <c r="CY663" i="1"/>
  <c r="CZ663" i="1"/>
  <c r="DA663" i="1"/>
  <c r="DB663" i="1"/>
  <c r="DC663" i="1"/>
  <c r="DD663" i="1"/>
  <c r="DE663" i="1"/>
  <c r="CH663" i="1"/>
  <c r="CH662" i="1"/>
  <c r="CH661" i="1"/>
  <c r="CH660" i="1"/>
  <c r="CG660" i="1"/>
  <c r="CH657" i="1"/>
  <c r="CG657" i="1"/>
  <c r="CH655" i="1"/>
  <c r="CG655" i="1"/>
  <c r="CH659" i="1"/>
  <c r="CH658" i="1"/>
  <c r="CH656" i="1"/>
  <c r="CG656" i="1"/>
  <c r="CG658" i="1"/>
  <c r="CR653" i="1"/>
  <c r="CS653" i="1"/>
  <c r="CT653" i="1"/>
  <c r="CU653" i="1"/>
  <c r="CV653" i="1"/>
  <c r="CW653" i="1"/>
  <c r="CX653" i="1"/>
  <c r="CY653" i="1"/>
  <c r="CZ653" i="1"/>
  <c r="DA653" i="1"/>
  <c r="DB653" i="1"/>
  <c r="DC653" i="1"/>
  <c r="DD653" i="1"/>
  <c r="DE653" i="1"/>
  <c r="CR654" i="1"/>
  <c r="CS654" i="1"/>
  <c r="CT654" i="1"/>
  <c r="CU654" i="1"/>
  <c r="CV654" i="1"/>
  <c r="CW654" i="1"/>
  <c r="CX654" i="1"/>
  <c r="CY654" i="1"/>
  <c r="CZ654" i="1"/>
  <c r="DA654" i="1"/>
  <c r="DB654" i="1"/>
  <c r="DC654" i="1"/>
  <c r="DD654" i="1"/>
  <c r="DE654" i="1"/>
  <c r="CI653" i="1"/>
  <c r="CJ653" i="1"/>
  <c r="CK653" i="1"/>
  <c r="CL653" i="1"/>
  <c r="CM653" i="1"/>
  <c r="CN653" i="1"/>
  <c r="CO653" i="1"/>
  <c r="CP653" i="1"/>
  <c r="CQ653" i="1"/>
  <c r="CI654" i="1"/>
  <c r="CJ654" i="1"/>
  <c r="CK654" i="1"/>
  <c r="CL654" i="1"/>
  <c r="CM654" i="1"/>
  <c r="CN654" i="1"/>
  <c r="CO654" i="1"/>
  <c r="CP654" i="1"/>
  <c r="CQ654" i="1"/>
  <c r="CH654" i="1"/>
  <c r="CH653" i="1"/>
  <c r="CH645" i="1"/>
  <c r="CH644" i="1"/>
  <c r="CH627" i="1"/>
  <c r="CH625" i="1"/>
  <c r="CH623" i="1"/>
  <c r="CH621" i="1"/>
  <c r="CH617" i="1"/>
  <c r="CH615" i="1"/>
  <c r="CH613" i="1"/>
  <c r="CH611" i="1"/>
  <c r="CH609" i="1"/>
  <c r="CH592" i="1"/>
  <c r="CH590" i="1"/>
  <c r="CH588" i="1"/>
  <c r="CH581" i="1"/>
  <c r="CH579" i="1"/>
  <c r="CH577" i="1"/>
  <c r="CH570" i="1"/>
  <c r="CH568" i="1"/>
  <c r="CH566" i="1"/>
  <c r="CH559" i="1"/>
  <c r="CH557" i="1"/>
  <c r="CH555" i="1"/>
  <c r="CH548" i="1"/>
  <c r="CH546" i="1"/>
  <c r="CH544" i="1"/>
  <c r="CH537" i="1"/>
  <c r="CH535" i="1"/>
  <c r="CH533" i="1"/>
  <c r="CH526" i="1"/>
  <c r="CH524" i="1"/>
  <c r="CH522" i="1"/>
  <c r="CH515" i="1"/>
  <c r="CH513" i="1"/>
  <c r="CH511" i="1"/>
  <c r="CH504" i="1"/>
  <c r="CH502" i="1"/>
  <c r="CH500" i="1"/>
  <c r="CH493" i="1"/>
  <c r="CH491" i="1"/>
  <c r="CH489" i="1"/>
  <c r="CH474" i="1"/>
  <c r="CH472" i="1"/>
  <c r="CH463" i="1"/>
  <c r="CH461" i="1"/>
  <c r="CH452" i="1"/>
  <c r="CH450" i="1"/>
  <c r="CH441" i="1"/>
  <c r="CH439" i="1"/>
  <c r="CH430" i="1"/>
  <c r="CH428" i="1"/>
  <c r="CH419" i="1"/>
  <c r="CH417" i="1"/>
  <c r="CH408" i="1"/>
  <c r="CH406" i="1"/>
  <c r="CH397" i="1"/>
  <c r="CH395" i="1"/>
  <c r="CH386" i="1"/>
  <c r="CH384" i="1"/>
  <c r="CH375" i="1"/>
  <c r="CH373" i="1"/>
  <c r="CH365" i="1"/>
  <c r="CH361" i="1"/>
  <c r="CH357" i="1"/>
  <c r="CH353" i="1"/>
  <c r="CH349" i="1"/>
  <c r="CH345" i="1"/>
  <c r="CH341" i="1"/>
  <c r="CH337" i="1"/>
  <c r="CH333" i="1"/>
  <c r="CH329" i="1"/>
  <c r="AC325" i="1"/>
  <c r="AB325" i="1"/>
  <c r="AA325" i="1"/>
  <c r="Z325" i="1"/>
  <c r="Y325" i="1"/>
  <c r="X325" i="1"/>
  <c r="W325" i="1"/>
  <c r="V325" i="1"/>
  <c r="U325" i="1"/>
  <c r="T325" i="1"/>
  <c r="R325" i="1"/>
  <c r="P325" i="1"/>
  <c r="P214" i="1" s="1"/>
  <c r="N325" i="1"/>
  <c r="N214" i="1" s="1"/>
  <c r="L325" i="1"/>
  <c r="J325" i="1"/>
  <c r="H325" i="1"/>
  <c r="CH320" i="1"/>
  <c r="CH312" i="1"/>
  <c r="CH304" i="1"/>
  <c r="CH296" i="1"/>
  <c r="D292" i="1"/>
  <c r="CH288" i="1"/>
  <c r="CH280" i="1"/>
  <c r="D276" i="1"/>
  <c r="CH272" i="1"/>
  <c r="E270" i="1"/>
  <c r="K266" i="1"/>
  <c r="J266" i="1"/>
  <c r="I266" i="1"/>
  <c r="H266" i="1"/>
  <c r="F266" i="1"/>
  <c r="CH264" i="1"/>
  <c r="CH256" i="1"/>
  <c r="AC256" i="1"/>
  <c r="AB256" i="1"/>
  <c r="AA256" i="1"/>
  <c r="Z256" i="1"/>
  <c r="Y256" i="1"/>
  <c r="X256" i="1"/>
  <c r="W256" i="1"/>
  <c r="V256" i="1"/>
  <c r="U256" i="1"/>
  <c r="S256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F256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F250" i="1"/>
  <c r="CH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P248" i="1"/>
  <c r="O248" i="1"/>
  <c r="N248" i="1"/>
  <c r="M248" i="1"/>
  <c r="L248" i="1"/>
  <c r="K248" i="1"/>
  <c r="J248" i="1"/>
  <c r="I248" i="1"/>
  <c r="H248" i="1"/>
  <c r="G248" i="1"/>
  <c r="F248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F244" i="1"/>
  <c r="CH631" i="1" s="1"/>
  <c r="Z242" i="1"/>
  <c r="V242" i="1"/>
  <c r="R242" i="1"/>
  <c r="N242" i="1"/>
  <c r="J242" i="1"/>
  <c r="F242" i="1"/>
  <c r="CH630" i="1" s="1"/>
  <c r="F240" i="1"/>
  <c r="CH222" i="1"/>
  <c r="E215" i="1"/>
  <c r="Y214" i="1"/>
  <c r="X214" i="1"/>
  <c r="W214" i="1"/>
  <c r="V214" i="1"/>
  <c r="U214" i="1"/>
  <c r="T214" i="1"/>
  <c r="R214" i="1"/>
  <c r="L214" i="1"/>
  <c r="J214" i="1"/>
  <c r="H214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J199" i="1"/>
  <c r="I199" i="1"/>
  <c r="H199" i="1"/>
  <c r="F199" i="1"/>
  <c r="CH189" i="1"/>
  <c r="E189" i="1"/>
  <c r="CH187" i="1"/>
  <c r="CH184" i="1"/>
  <c r="CH182" i="1"/>
  <c r="C181" i="1"/>
  <c r="CH634" i="1" s="1"/>
  <c r="CH180" i="1"/>
  <c r="F180" i="1"/>
  <c r="E180" i="1" s="1"/>
  <c r="D180" i="1" s="1"/>
  <c r="C180" i="1"/>
  <c r="CH633" i="1" s="1"/>
  <c r="CH178" i="1"/>
  <c r="G178" i="1"/>
  <c r="H192" i="1" s="1"/>
  <c r="H250" i="1" s="1"/>
  <c r="H254" i="1" s="1"/>
  <c r="F178" i="1"/>
  <c r="G192" i="1" s="1"/>
  <c r="G250" i="1" s="1"/>
  <c r="G254" i="1" s="1"/>
  <c r="H177" i="1"/>
  <c r="G177" i="1"/>
  <c r="CH175" i="1"/>
  <c r="E175" i="1"/>
  <c r="D175" i="1"/>
  <c r="E174" i="1"/>
  <c r="D174" i="1"/>
  <c r="E173" i="1"/>
  <c r="D173" i="1"/>
  <c r="E172" i="1"/>
  <c r="D172" i="1" s="1"/>
  <c r="CH171" i="1"/>
  <c r="S171" i="1"/>
  <c r="R171" i="1"/>
  <c r="Q171" i="1"/>
  <c r="P171" i="1"/>
  <c r="O171" i="1"/>
  <c r="E171" i="1" s="1"/>
  <c r="D171" i="1"/>
  <c r="CH170" i="1"/>
  <c r="CH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P168" i="1"/>
  <c r="O168" i="1"/>
  <c r="N168" i="1"/>
  <c r="M168" i="1"/>
  <c r="L168" i="1"/>
  <c r="K168" i="1"/>
  <c r="J168" i="1"/>
  <c r="I168" i="1"/>
  <c r="H168" i="1"/>
  <c r="G168" i="1"/>
  <c r="F168" i="1"/>
  <c r="E168" i="1"/>
  <c r="D168" i="1" s="1"/>
  <c r="CH167" i="1"/>
  <c r="CH164" i="1"/>
  <c r="CH162" i="1"/>
  <c r="CH160" i="1"/>
  <c r="CH157" i="1"/>
  <c r="CH156" i="1"/>
  <c r="X156" i="1"/>
  <c r="V156" i="1"/>
  <c r="CH591" i="1" s="1"/>
  <c r="T156" i="1"/>
  <c r="CH589" i="1" s="1"/>
  <c r="R156" i="1"/>
  <c r="CH587" i="1" s="1"/>
  <c r="C156" i="1"/>
  <c r="CH470" i="1" s="1"/>
  <c r="T155" i="1"/>
  <c r="R155" i="1"/>
  <c r="CH576" i="1" s="1"/>
  <c r="C155" i="1"/>
  <c r="CH459" i="1" s="1"/>
  <c r="V154" i="1"/>
  <c r="CH569" i="1" s="1"/>
  <c r="T154" i="1"/>
  <c r="R154" i="1"/>
  <c r="CH565" i="1" s="1"/>
  <c r="C154" i="1"/>
  <c r="CH448" i="1" s="1"/>
  <c r="CH153" i="1"/>
  <c r="AC153" i="1"/>
  <c r="Y153" i="1"/>
  <c r="CH561" i="1" s="1"/>
  <c r="X153" i="1"/>
  <c r="CH560" i="1" s="1"/>
  <c r="T153" i="1"/>
  <c r="CH556" i="1" s="1"/>
  <c r="R153" i="1"/>
  <c r="CH554" i="1" s="1"/>
  <c r="C153" i="1"/>
  <c r="CH437" i="1" s="1"/>
  <c r="T152" i="1"/>
  <c r="CH545" i="1" s="1"/>
  <c r="R152" i="1"/>
  <c r="CH543" i="1" s="1"/>
  <c r="C152" i="1"/>
  <c r="CH426" i="1" s="1"/>
  <c r="CH151" i="1"/>
  <c r="V151" i="1"/>
  <c r="CH536" i="1" s="1"/>
  <c r="T151" i="1"/>
  <c r="R151" i="1"/>
  <c r="CH532" i="1" s="1"/>
  <c r="C151" i="1"/>
  <c r="CH415" i="1" s="1"/>
  <c r="X150" i="1"/>
  <c r="T150" i="1"/>
  <c r="CH523" i="1" s="1"/>
  <c r="R150" i="1"/>
  <c r="CH521" i="1" s="1"/>
  <c r="C150" i="1"/>
  <c r="CH404" i="1" s="1"/>
  <c r="CH149" i="1"/>
  <c r="X149" i="1"/>
  <c r="T149" i="1"/>
  <c r="CH512" i="1" s="1"/>
  <c r="R149" i="1"/>
  <c r="CH510" i="1" s="1"/>
  <c r="C149" i="1"/>
  <c r="CH393" i="1" s="1"/>
  <c r="CH148" i="1"/>
  <c r="X148" i="1"/>
  <c r="V148" i="1"/>
  <c r="CH503" i="1" s="1"/>
  <c r="T148" i="1"/>
  <c r="CH501" i="1" s="1"/>
  <c r="R148" i="1"/>
  <c r="CH499" i="1" s="1"/>
  <c r="C148" i="1"/>
  <c r="CH382" i="1" s="1"/>
  <c r="V147" i="1"/>
  <c r="CH492" i="1" s="1"/>
  <c r="T147" i="1"/>
  <c r="CH490" i="1" s="1"/>
  <c r="R147" i="1"/>
  <c r="CH488" i="1" s="1"/>
  <c r="C147" i="1"/>
  <c r="CH371" i="1" s="1"/>
  <c r="CH146" i="1"/>
  <c r="CH145" i="1"/>
  <c r="CH142" i="1"/>
  <c r="CH140" i="1"/>
  <c r="R139" i="1"/>
  <c r="CH138" i="1"/>
  <c r="S138" i="1"/>
  <c r="D138" i="1"/>
  <c r="CH317" i="1" s="1"/>
  <c r="C138" i="1"/>
  <c r="CH316" i="1" s="1"/>
  <c r="S137" i="1"/>
  <c r="C137" i="1"/>
  <c r="CH308" i="1" s="1"/>
  <c r="S136" i="1"/>
  <c r="C136" i="1"/>
  <c r="CH300" i="1" s="1"/>
  <c r="CH135" i="1"/>
  <c r="S135" i="1"/>
  <c r="D135" i="1"/>
  <c r="CH293" i="1" s="1"/>
  <c r="C135" i="1"/>
  <c r="CH292" i="1" s="1"/>
  <c r="CH134" i="1"/>
  <c r="S134" i="1"/>
  <c r="D134" i="1"/>
  <c r="CH285" i="1" s="1"/>
  <c r="C134" i="1"/>
  <c r="CH284" i="1" s="1"/>
  <c r="S133" i="1"/>
  <c r="D133" i="1" s="1"/>
  <c r="CH277" i="1" s="1"/>
  <c r="C133" i="1"/>
  <c r="CH276" i="1" s="1"/>
  <c r="S132" i="1"/>
  <c r="D132" i="1" s="1"/>
  <c r="CH269" i="1" s="1"/>
  <c r="C132" i="1"/>
  <c r="CH268" i="1" s="1"/>
  <c r="CH131" i="1"/>
  <c r="S131" i="1"/>
  <c r="D131" i="1"/>
  <c r="CH261" i="1" s="1"/>
  <c r="C131" i="1"/>
  <c r="CH260" i="1" s="1"/>
  <c r="S130" i="1"/>
  <c r="D130" i="1"/>
  <c r="CH253" i="1" s="1"/>
  <c r="C130" i="1"/>
  <c r="CH252" i="1" s="1"/>
  <c r="CH129" i="1"/>
  <c r="S129" i="1"/>
  <c r="D129" i="1" s="1"/>
  <c r="CH245" i="1" s="1"/>
  <c r="C129" i="1"/>
  <c r="CH244" i="1" s="1"/>
  <c r="F128" i="1"/>
  <c r="E128" i="1"/>
  <c r="CH127" i="1"/>
  <c r="CH124" i="1"/>
  <c r="CH123" i="1"/>
  <c r="CH120" i="1"/>
  <c r="CH118" i="1"/>
  <c r="C118" i="1"/>
  <c r="CH236" i="1" s="1"/>
  <c r="CH116" i="1"/>
  <c r="CH115" i="1"/>
  <c r="CH113" i="1"/>
  <c r="CH112" i="1"/>
  <c r="CH109" i="1"/>
  <c r="CH107" i="1"/>
  <c r="C106" i="1"/>
  <c r="CH105" i="1"/>
  <c r="CH102" i="1"/>
  <c r="CH101" i="1"/>
  <c r="CH98" i="1"/>
  <c r="CH96" i="1"/>
  <c r="C96" i="1"/>
  <c r="C207" i="1" s="1"/>
  <c r="CH94" i="1"/>
  <c r="C93" i="1"/>
  <c r="C92" i="1"/>
  <c r="CH91" i="1"/>
  <c r="CH90" i="1"/>
  <c r="CH87" i="1"/>
  <c r="C86" i="1"/>
  <c r="CH85" i="1"/>
  <c r="CH83" i="1"/>
  <c r="CH80" i="1"/>
  <c r="CH79" i="1"/>
  <c r="CH76" i="1"/>
  <c r="H76" i="1"/>
  <c r="CH196" i="1" s="1"/>
  <c r="E76" i="1"/>
  <c r="C76" i="1"/>
  <c r="D75" i="1"/>
  <c r="CH74" i="1"/>
  <c r="D74" i="1"/>
  <c r="CH183" i="1" s="1"/>
  <c r="CH72" i="1"/>
  <c r="C71" i="1"/>
  <c r="CH173" i="1" s="1"/>
  <c r="CH69" i="1"/>
  <c r="CH68" i="1"/>
  <c r="K68" i="1"/>
  <c r="CH65" i="1"/>
  <c r="K65" i="1"/>
  <c r="K64" i="1"/>
  <c r="CH104" i="1" s="1"/>
  <c r="CH63" i="1"/>
  <c r="K63" i="1"/>
  <c r="K62" i="1"/>
  <c r="CH82" i="1" s="1"/>
  <c r="CH61" i="1"/>
  <c r="K61" i="1"/>
  <c r="CH71" i="1" s="1"/>
  <c r="K60" i="1"/>
  <c r="G51" i="1"/>
  <c r="BC50" i="1"/>
  <c r="BA50" i="1"/>
  <c r="AO50" i="1"/>
  <c r="AM50" i="1"/>
  <c r="C49" i="1"/>
  <c r="AH48" i="1"/>
  <c r="L48" i="1"/>
  <c r="G48" i="1"/>
  <c r="H48" i="1" s="1"/>
  <c r="F48" i="1"/>
  <c r="I48" i="1" s="1"/>
  <c r="E48" i="1"/>
  <c r="AH47" i="1"/>
  <c r="L47" i="1"/>
  <c r="E47" i="1"/>
  <c r="AH46" i="1"/>
  <c r="L46" i="1"/>
  <c r="L49" i="1" s="1"/>
  <c r="E46" i="1"/>
  <c r="F46" i="1" s="1"/>
  <c r="AH45" i="1"/>
  <c r="L45" i="1"/>
  <c r="I45" i="1"/>
  <c r="G45" i="1"/>
  <c r="H45" i="1" s="1"/>
  <c r="E45" i="1"/>
  <c r="F45" i="1" s="1"/>
  <c r="AH44" i="1"/>
  <c r="L44" i="1"/>
  <c r="E44" i="1"/>
  <c r="AH43" i="1"/>
  <c r="AH42" i="1"/>
  <c r="AH41" i="1"/>
  <c r="AH40" i="1"/>
  <c r="AH39" i="1"/>
  <c r="BC32" i="1"/>
  <c r="BA32" i="1"/>
  <c r="AT32" i="1"/>
  <c r="AR32" i="1"/>
  <c r="AT31" i="1"/>
  <c r="AO30" i="1"/>
  <c r="AH30" i="1"/>
  <c r="CH29" i="1"/>
  <c r="AH29" i="1"/>
  <c r="CH28" i="1"/>
  <c r="AH28" i="1"/>
  <c r="AO27" i="1"/>
  <c r="AH27" i="1"/>
  <c r="CH26" i="1"/>
  <c r="AO26" i="1"/>
  <c r="AH26" i="1"/>
  <c r="H26" i="1"/>
  <c r="AO25" i="1"/>
  <c r="AH25" i="1"/>
  <c r="AO24" i="1"/>
  <c r="AH24" i="1"/>
  <c r="AO23" i="1"/>
  <c r="AH23" i="1"/>
  <c r="C23" i="1"/>
  <c r="AO22" i="1"/>
  <c r="AH22" i="1"/>
  <c r="AO21" i="1"/>
  <c r="AH21" i="1"/>
  <c r="BZ16" i="1"/>
  <c r="CA16" i="1" s="1"/>
  <c r="CH15" i="1"/>
  <c r="BX15" i="1"/>
  <c r="BC14" i="1"/>
  <c r="BA14" i="1"/>
  <c r="AH14" i="1"/>
  <c r="AH13" i="1"/>
  <c r="BZ12" i="1"/>
  <c r="AO12" i="1"/>
  <c r="AO9" i="1"/>
  <c r="AO45" i="1" s="1"/>
  <c r="AO8" i="1"/>
  <c r="AO44" i="1" s="1"/>
  <c r="CH7" i="1"/>
  <c r="AO7" i="1"/>
  <c r="AO43" i="1" s="1"/>
  <c r="CH6" i="1"/>
  <c r="AO6" i="1"/>
  <c r="AO42" i="1" s="1"/>
  <c r="AO5" i="1"/>
  <c r="AO41" i="1" s="1"/>
  <c r="AO4" i="1"/>
  <c r="AO40" i="1" s="1"/>
  <c r="AO3" i="1"/>
  <c r="AO39" i="1" s="1"/>
  <c r="BW1" i="1"/>
  <c r="D62" i="1" l="1"/>
  <c r="D66" i="1"/>
  <c r="K49" i="1"/>
  <c r="D63" i="1"/>
  <c r="D69" i="1"/>
  <c r="D65" i="1"/>
  <c r="D71" i="1"/>
  <c r="D68" i="1"/>
  <c r="D64" i="1"/>
  <c r="CH54" i="1"/>
  <c r="D70" i="1"/>
  <c r="D61" i="1"/>
  <c r="D67" i="1"/>
  <c r="AO48" i="1"/>
  <c r="AH31" i="1"/>
  <c r="AH32" i="1" s="1"/>
  <c r="CH209" i="1"/>
  <c r="C203" i="1"/>
  <c r="CH527" i="1"/>
  <c r="Y150" i="1"/>
  <c r="CH528" i="1" s="1"/>
  <c r="E49" i="1"/>
  <c r="CH93" i="1"/>
  <c r="D136" i="1"/>
  <c r="AO28" i="1"/>
  <c r="T136" i="1"/>
  <c r="U136" i="1" s="1"/>
  <c r="X136" i="1" s="1"/>
  <c r="Y136" i="1" s="1"/>
  <c r="AH49" i="1"/>
  <c r="AH50" i="1" s="1"/>
  <c r="G47" i="1"/>
  <c r="H47" i="1" s="1"/>
  <c r="F47" i="1"/>
  <c r="I47" i="1" s="1"/>
  <c r="CH578" i="1"/>
  <c r="X155" i="1"/>
  <c r="CH188" i="1"/>
  <c r="J75" i="1"/>
  <c r="CH190" i="1" s="1"/>
  <c r="D137" i="1"/>
  <c r="AO29" i="1"/>
  <c r="T137" i="1"/>
  <c r="U137" i="1" s="1"/>
  <c r="X137" i="1" s="1"/>
  <c r="Y137" i="1" s="1"/>
  <c r="V155" i="1"/>
  <c r="CH580" i="1" s="1"/>
  <c r="K75" i="1"/>
  <c r="CH191" i="1" s="1"/>
  <c r="CH224" i="1"/>
  <c r="CH210" i="1"/>
  <c r="C204" i="1"/>
  <c r="C87" i="1"/>
  <c r="V149" i="1"/>
  <c r="CH514" i="1" s="1"/>
  <c r="CH567" i="1"/>
  <c r="X154" i="1"/>
  <c r="F321" i="1"/>
  <c r="CH36" i="1"/>
  <c r="G44" i="1"/>
  <c r="C94" i="1"/>
  <c r="CH516" i="1"/>
  <c r="Y149" i="1"/>
  <c r="CH517" i="1" s="1"/>
  <c r="F44" i="1"/>
  <c r="E134" i="1"/>
  <c r="H240" i="1"/>
  <c r="I177" i="1"/>
  <c r="CH46" i="1"/>
  <c r="D73" i="1"/>
  <c r="C95" i="1"/>
  <c r="CH534" i="1"/>
  <c r="X151" i="1"/>
  <c r="J74" i="1"/>
  <c r="E138" i="1"/>
  <c r="C139" i="1"/>
  <c r="CH324" i="1" s="1"/>
  <c r="CH593" i="1"/>
  <c r="AC156" i="1"/>
  <c r="Y156" i="1"/>
  <c r="CH594" i="1" s="1"/>
  <c r="G46" i="1"/>
  <c r="K74" i="1"/>
  <c r="T133" i="1"/>
  <c r="U133" i="1" s="1"/>
  <c r="X133" i="1" s="1"/>
  <c r="Y133" i="1" s="1"/>
  <c r="CH505" i="1"/>
  <c r="Y148" i="1"/>
  <c r="CH506" i="1" s="1"/>
  <c r="W207" i="1"/>
  <c r="V207" i="1"/>
  <c r="U207" i="1"/>
  <c r="T207" i="1"/>
  <c r="S207" i="1"/>
  <c r="Q207" i="1"/>
  <c r="D270" i="1"/>
  <c r="B268" i="1"/>
  <c r="D268" i="1" s="1"/>
  <c r="C157" i="1"/>
  <c r="CH481" i="1" s="1"/>
  <c r="H178" i="1"/>
  <c r="C197" i="1"/>
  <c r="CH203" i="1"/>
  <c r="V150" i="1"/>
  <c r="CH525" i="1" s="1"/>
  <c r="G240" i="1"/>
  <c r="AB259" i="1"/>
  <c r="AB260" i="1" s="1"/>
  <c r="F246" i="1"/>
  <c r="G246" i="1" s="1"/>
  <c r="H246" i="1" s="1"/>
  <c r="I246" i="1" s="1"/>
  <c r="J246" i="1" s="1"/>
  <c r="K246" i="1" s="1"/>
  <c r="L246" i="1" s="1"/>
  <c r="M246" i="1" s="1"/>
  <c r="N246" i="1" s="1"/>
  <c r="O246" i="1" s="1"/>
  <c r="P246" i="1" s="1"/>
  <c r="Q246" i="1" s="1"/>
  <c r="R246" i="1" s="1"/>
  <c r="S246" i="1" s="1"/>
  <c r="R157" i="1"/>
  <c r="CH598" i="1" s="1"/>
  <c r="F181" i="1"/>
  <c r="CH213" i="1"/>
  <c r="T157" i="1"/>
  <c r="CH599" i="1" s="1"/>
  <c r="V152" i="1"/>
  <c r="CH547" i="1" s="1"/>
  <c r="R207" i="1"/>
  <c r="C306" i="1"/>
  <c r="X152" i="1"/>
  <c r="X147" i="1"/>
  <c r="V153" i="1"/>
  <c r="CH558" i="1" s="1"/>
  <c r="C191" i="1"/>
  <c r="C189" i="1"/>
  <c r="CH642" i="1" s="1"/>
  <c r="CH185" i="1" l="1"/>
  <c r="AC149" i="1"/>
  <c r="G49" i="1"/>
  <c r="CH50" i="1" s="1"/>
  <c r="H44" i="1"/>
  <c r="CH301" i="1"/>
  <c r="AO10" i="1"/>
  <c r="E136" i="1"/>
  <c r="F70" i="1"/>
  <c r="CH163" i="1"/>
  <c r="T138" i="1"/>
  <c r="U138" i="1" s="1"/>
  <c r="X138" i="1" s="1"/>
  <c r="Y138" i="1" s="1"/>
  <c r="AL30" i="1"/>
  <c r="J70" i="1"/>
  <c r="AB137" i="1"/>
  <c r="AA137" i="1"/>
  <c r="Z137" i="1"/>
  <c r="AC137" i="1" s="1"/>
  <c r="T132" i="1"/>
  <c r="U132" i="1" s="1"/>
  <c r="X132" i="1" s="1"/>
  <c r="Y132" i="1" s="1"/>
  <c r="E132" i="1"/>
  <c r="J64" i="1"/>
  <c r="F64" i="1"/>
  <c r="CH97" i="1"/>
  <c r="F194" i="1"/>
  <c r="C194" i="1"/>
  <c r="D49" i="1"/>
  <c r="CH48" i="1"/>
  <c r="H23" i="1"/>
  <c r="CH141" i="1"/>
  <c r="F68" i="1"/>
  <c r="AL10" i="1" s="1"/>
  <c r="AL46" i="1" s="1"/>
  <c r="J68" i="1"/>
  <c r="C91" i="1"/>
  <c r="AB136" i="1"/>
  <c r="AA136" i="1"/>
  <c r="Z136" i="1"/>
  <c r="AC136" i="1" s="1"/>
  <c r="AC148" i="1"/>
  <c r="E321" i="1"/>
  <c r="CH620" i="1" s="1"/>
  <c r="CH309" i="1"/>
  <c r="AO11" i="1"/>
  <c r="AO47" i="1" s="1"/>
  <c r="E137" i="1"/>
  <c r="CH174" i="1"/>
  <c r="J71" i="1"/>
  <c r="J67" i="1"/>
  <c r="E135" i="1"/>
  <c r="K67" i="1"/>
  <c r="CH130" i="1"/>
  <c r="F67" i="1"/>
  <c r="AL27" i="1" s="1"/>
  <c r="T135" i="1"/>
  <c r="U135" i="1" s="1"/>
  <c r="X135" i="1" s="1"/>
  <c r="Y135" i="1" s="1"/>
  <c r="CH179" i="1"/>
  <c r="J73" i="1"/>
  <c r="I240" i="1"/>
  <c r="J177" i="1"/>
  <c r="CH571" i="1"/>
  <c r="AC154" i="1"/>
  <c r="Y154" i="1"/>
  <c r="CH572" i="1" s="1"/>
  <c r="CH108" i="1"/>
  <c r="J65" i="1"/>
  <c r="F65" i="1"/>
  <c r="E133" i="1"/>
  <c r="AL7" i="1"/>
  <c r="AL25" i="1"/>
  <c r="H46" i="1"/>
  <c r="I46" i="1"/>
  <c r="CH152" i="1"/>
  <c r="J69" i="1"/>
  <c r="F69" i="1"/>
  <c r="AL11" i="1" s="1"/>
  <c r="AB133" i="1"/>
  <c r="AC133" i="1"/>
  <c r="AA133" i="1"/>
  <c r="Z133" i="1"/>
  <c r="AC150" i="1"/>
  <c r="F63" i="1"/>
  <c r="T131" i="1"/>
  <c r="U131" i="1" s="1"/>
  <c r="X131" i="1" s="1"/>
  <c r="Y131" i="1" s="1"/>
  <c r="AL23" i="1"/>
  <c r="AL5" i="1"/>
  <c r="E131" i="1"/>
  <c r="CH86" i="1"/>
  <c r="J63" i="1"/>
  <c r="CH606" i="1"/>
  <c r="CH286" i="1"/>
  <c r="F134" i="1"/>
  <c r="CH582" i="1"/>
  <c r="Y155" i="1"/>
  <c r="CH583" i="1" s="1"/>
  <c r="D59" i="1"/>
  <c r="CH56" i="1" s="1"/>
  <c r="CH53" i="1"/>
  <c r="D189" i="1"/>
  <c r="CH204" i="1"/>
  <c r="C198" i="1"/>
  <c r="J66" i="1"/>
  <c r="F66" i="1"/>
  <c r="AL26" i="1" s="1"/>
  <c r="CH119" i="1"/>
  <c r="T134" i="1"/>
  <c r="U134" i="1" s="1"/>
  <c r="X134" i="1" s="1"/>
  <c r="Y134" i="1" s="1"/>
  <c r="K66" i="1"/>
  <c r="AL8" i="1"/>
  <c r="CH538" i="1"/>
  <c r="Y151" i="1"/>
  <c r="CH539" i="1" s="1"/>
  <c r="CH64" i="1"/>
  <c r="D76" i="1"/>
  <c r="CH193" i="1" s="1"/>
  <c r="F59" i="1"/>
  <c r="CH58" i="1" s="1"/>
  <c r="E59" i="1"/>
  <c r="T129" i="1"/>
  <c r="J61" i="1"/>
  <c r="F61" i="1"/>
  <c r="AL21" i="1"/>
  <c r="E129" i="1"/>
  <c r="H59" i="1"/>
  <c r="AL28" i="1" s="1"/>
  <c r="AL3" i="1"/>
  <c r="I192" i="1"/>
  <c r="I178" i="1"/>
  <c r="CH643" i="1"/>
  <c r="T191" i="1"/>
  <c r="CH494" i="1"/>
  <c r="X157" i="1"/>
  <c r="Y147" i="1"/>
  <c r="AC147" i="1"/>
  <c r="E207" i="1"/>
  <c r="D207" i="1" s="1"/>
  <c r="F49" i="1"/>
  <c r="I44" i="1"/>
  <c r="O204" i="1"/>
  <c r="E204" i="1" s="1"/>
  <c r="D204" i="1" s="1"/>
  <c r="N203" i="1"/>
  <c r="O203" i="1"/>
  <c r="T130" i="1"/>
  <c r="U130" i="1" s="1"/>
  <c r="X130" i="1" s="1"/>
  <c r="Y130" i="1" s="1"/>
  <c r="J62" i="1"/>
  <c r="F62" i="1"/>
  <c r="E130" i="1"/>
  <c r="CH75" i="1"/>
  <c r="CH318" i="1"/>
  <c r="F138" i="1"/>
  <c r="C205" i="1"/>
  <c r="CH211" i="1"/>
  <c r="CH212" i="1"/>
  <c r="C206" i="1"/>
  <c r="E181" i="1"/>
  <c r="D181" i="1" s="1"/>
  <c r="F197" i="1"/>
  <c r="CH186" i="1"/>
  <c r="L77" i="1"/>
  <c r="CH549" i="1"/>
  <c r="Y152" i="1"/>
  <c r="CH550" i="1" s="1"/>
  <c r="AC152" i="1"/>
  <c r="AX29" i="1" l="1"/>
  <c r="AX28" i="1"/>
  <c r="AB135" i="1"/>
  <c r="AA135" i="1"/>
  <c r="Z135" i="1"/>
  <c r="AC135" i="1" s="1"/>
  <c r="AA138" i="1"/>
  <c r="AC138" i="1"/>
  <c r="AB138" i="1"/>
  <c r="Z138" i="1"/>
  <c r="AA130" i="1"/>
  <c r="AB130" i="1"/>
  <c r="Z130" i="1"/>
  <c r="AC130" i="1" s="1"/>
  <c r="AL41" i="1"/>
  <c r="AL12" i="1"/>
  <c r="AL48" i="1" s="1"/>
  <c r="AL43" i="1"/>
  <c r="CH137" i="1"/>
  <c r="CH165" i="1"/>
  <c r="G70" i="1"/>
  <c r="AC131" i="1"/>
  <c r="AB131" i="1"/>
  <c r="AA131" i="1"/>
  <c r="Z131" i="1"/>
  <c r="CH278" i="1"/>
  <c r="F133" i="1"/>
  <c r="C202" i="1"/>
  <c r="CH208" i="1"/>
  <c r="CH99" i="1"/>
  <c r="G64" i="1"/>
  <c r="CH302" i="1"/>
  <c r="F136" i="1"/>
  <c r="CH77" i="1"/>
  <c r="G62" i="1"/>
  <c r="CH262" i="1"/>
  <c r="F131" i="1"/>
  <c r="E203" i="1"/>
  <c r="D203" i="1" s="1"/>
  <c r="O206" i="1"/>
  <c r="E206" i="1" s="1"/>
  <c r="D206" i="1" s="1"/>
  <c r="I250" i="1"/>
  <c r="I254" i="1" s="1"/>
  <c r="G63" i="1"/>
  <c r="CH88" i="1"/>
  <c r="CH110" i="1"/>
  <c r="G65" i="1"/>
  <c r="CH294" i="1"/>
  <c r="F135" i="1"/>
  <c r="CH103" i="1"/>
  <c r="AG24" i="1"/>
  <c r="AG6" i="1"/>
  <c r="AO46" i="1"/>
  <c r="AO32" i="1"/>
  <c r="AO14" i="1"/>
  <c r="CH132" i="1"/>
  <c r="G67" i="1"/>
  <c r="E191" i="1"/>
  <c r="T256" i="1"/>
  <c r="T246" i="1" s="1"/>
  <c r="U246" i="1" s="1"/>
  <c r="V246" i="1" s="1"/>
  <c r="W246" i="1" s="1"/>
  <c r="X246" i="1" s="1"/>
  <c r="Y246" i="1" s="1"/>
  <c r="Z246" i="1" s="1"/>
  <c r="AA246" i="1" s="1"/>
  <c r="AB246" i="1" s="1"/>
  <c r="AC246" i="1" s="1"/>
  <c r="T169" i="1"/>
  <c r="AL39" i="1"/>
  <c r="CH126" i="1"/>
  <c r="AG25" i="1"/>
  <c r="AG7" i="1"/>
  <c r="AG43" i="1" s="1"/>
  <c r="CH114" i="1"/>
  <c r="AL9" i="1"/>
  <c r="AL45" i="1" s="1"/>
  <c r="CH147" i="1"/>
  <c r="AG28" i="1"/>
  <c r="AG10" i="1"/>
  <c r="AL6" i="1"/>
  <c r="AG22" i="1"/>
  <c r="CH81" i="1"/>
  <c r="AG4" i="1"/>
  <c r="AG40" i="1" s="1"/>
  <c r="E197" i="1"/>
  <c r="D197" i="1" s="1"/>
  <c r="AA134" i="1"/>
  <c r="AC134" i="1" s="1"/>
  <c r="AB134" i="1"/>
  <c r="Z134" i="1"/>
  <c r="AC155" i="1"/>
  <c r="CH136" i="1"/>
  <c r="AG27" i="1"/>
  <c r="AG9" i="1"/>
  <c r="CH270" i="1"/>
  <c r="F132" i="1"/>
  <c r="H49" i="1"/>
  <c r="CH51" i="1" s="1"/>
  <c r="C89" i="1"/>
  <c r="CH59" i="1"/>
  <c r="I49" i="1"/>
  <c r="CH246" i="1"/>
  <c r="E139" i="1"/>
  <c r="F129" i="1"/>
  <c r="H139" i="1"/>
  <c r="CH326" i="1" s="1"/>
  <c r="CH176" i="1"/>
  <c r="CH143" i="1"/>
  <c r="G68" i="1"/>
  <c r="AL24" i="1"/>
  <c r="AX25" i="1"/>
  <c r="AB132" i="1"/>
  <c r="AA132" i="1"/>
  <c r="AC132" i="1" s="1"/>
  <c r="Z132" i="1"/>
  <c r="J192" i="1"/>
  <c r="J250" i="1" s="1"/>
  <c r="J254" i="1" s="1"/>
  <c r="J178" i="1"/>
  <c r="F76" i="1"/>
  <c r="CH66" i="1"/>
  <c r="G61" i="1"/>
  <c r="CH125" i="1"/>
  <c r="AG8" i="1"/>
  <c r="AG44" i="1" s="1"/>
  <c r="AG26" i="1"/>
  <c r="CH310" i="1"/>
  <c r="F137" i="1"/>
  <c r="C183" i="1"/>
  <c r="CH32" i="1"/>
  <c r="AG23" i="1"/>
  <c r="CH92" i="1"/>
  <c r="AG5" i="1"/>
  <c r="AG41" i="1" s="1"/>
  <c r="AL44" i="1"/>
  <c r="O205" i="1"/>
  <c r="E205" i="1" s="1"/>
  <c r="D205" i="1" s="1"/>
  <c r="AL29" i="1"/>
  <c r="AL47" i="1" s="1"/>
  <c r="K177" i="1"/>
  <c r="J240" i="1"/>
  <c r="AL4" i="1"/>
  <c r="CH287" i="1"/>
  <c r="I134" i="1"/>
  <c r="AL22" i="1"/>
  <c r="AL31" i="1" s="1"/>
  <c r="U129" i="1"/>
  <c r="X129" i="1" s="1"/>
  <c r="W139" i="1"/>
  <c r="T139" i="1"/>
  <c r="U139" i="1" s="1"/>
  <c r="CH47" i="1"/>
  <c r="BJ32" i="1"/>
  <c r="AC151" i="1"/>
  <c r="CH121" i="1"/>
  <c r="G66" i="1"/>
  <c r="CH319" i="1"/>
  <c r="I138" i="1"/>
  <c r="J76" i="1"/>
  <c r="CH70" i="1"/>
  <c r="AG3" i="1"/>
  <c r="AG21" i="1"/>
  <c r="CH495" i="1"/>
  <c r="Y157" i="1"/>
  <c r="CH601" i="1" s="1"/>
  <c r="CH57" i="1"/>
  <c r="G69" i="1"/>
  <c r="CH154" i="1"/>
  <c r="K69" i="1"/>
  <c r="CH646" i="1"/>
  <c r="F195" i="1"/>
  <c r="E195" i="1" s="1"/>
  <c r="C195" i="1"/>
  <c r="CH647" i="1" s="1"/>
  <c r="CH49" i="1"/>
  <c r="CH200" i="1"/>
  <c r="CH254" i="1"/>
  <c r="F130" i="1"/>
  <c r="C186" i="1"/>
  <c r="CH600" i="1"/>
  <c r="G198" i="1"/>
  <c r="CH158" i="1"/>
  <c r="AG29" i="1"/>
  <c r="AG11" i="1"/>
  <c r="CH181" i="1"/>
  <c r="AI29" i="1"/>
  <c r="AI30" i="1"/>
  <c r="AI26" i="1"/>
  <c r="AI22" i="1"/>
  <c r="AI8" i="1"/>
  <c r="AI44" i="1" s="1"/>
  <c r="AI23" i="1"/>
  <c r="AI27" i="1"/>
  <c r="AI24" i="1"/>
  <c r="AI12" i="1"/>
  <c r="AI48" i="1" s="1"/>
  <c r="AI28" i="1"/>
  <c r="AI7" i="1"/>
  <c r="AI43" i="1" s="1"/>
  <c r="AI11" i="1"/>
  <c r="AI47" i="1" s="1"/>
  <c r="AI3" i="1"/>
  <c r="AI6" i="1"/>
  <c r="AI9" i="1"/>
  <c r="AI10" i="1"/>
  <c r="AI5" i="1"/>
  <c r="AI21" i="1"/>
  <c r="AI25" i="1"/>
  <c r="AI4" i="1"/>
  <c r="E194" i="1"/>
  <c r="D194" i="1" s="1"/>
  <c r="AG30" i="1"/>
  <c r="CH169" i="1"/>
  <c r="AG12" i="1"/>
  <c r="AG48" i="1" s="1"/>
  <c r="AX22" i="1" l="1"/>
  <c r="AX27" i="1"/>
  <c r="AX26" i="1"/>
  <c r="AX24" i="1"/>
  <c r="AX23" i="1"/>
  <c r="E198" i="1"/>
  <c r="D198" i="1" s="1"/>
  <c r="CH159" i="1"/>
  <c r="AG45" i="1"/>
  <c r="CH303" i="1"/>
  <c r="I136" i="1"/>
  <c r="D153" i="1"/>
  <c r="CH133" i="1"/>
  <c r="CH255" i="1"/>
  <c r="I130" i="1"/>
  <c r="CH155" i="1"/>
  <c r="D155" i="1"/>
  <c r="CH247" i="1"/>
  <c r="I129" i="1"/>
  <c r="CH325" i="1"/>
  <c r="F139" i="1"/>
  <c r="D149" i="1"/>
  <c r="CH89" i="1"/>
  <c r="D150" i="1"/>
  <c r="CH100" i="1"/>
  <c r="CH194" i="1"/>
  <c r="G76" i="1"/>
  <c r="CH195" i="1" s="1"/>
  <c r="BI36" i="1"/>
  <c r="J59" i="1"/>
  <c r="CH639" i="1"/>
  <c r="Z186" i="1"/>
  <c r="J186" i="1"/>
  <c r="Y186" i="1"/>
  <c r="I186" i="1"/>
  <c r="X186" i="1"/>
  <c r="H186" i="1"/>
  <c r="W186" i="1"/>
  <c r="G186" i="1"/>
  <c r="V186" i="1"/>
  <c r="F186" i="1"/>
  <c r="U186" i="1"/>
  <c r="S186" i="1"/>
  <c r="Q186" i="1"/>
  <c r="P186" i="1"/>
  <c r="N186" i="1"/>
  <c r="AC186" i="1"/>
  <c r="M186" i="1"/>
  <c r="AB186" i="1"/>
  <c r="AA186" i="1"/>
  <c r="T186" i="1"/>
  <c r="R186" i="1"/>
  <c r="O186" i="1"/>
  <c r="L186" i="1"/>
  <c r="K186" i="1"/>
  <c r="F183" i="1"/>
  <c r="E183" i="1" s="1"/>
  <c r="D183" i="1" s="1"/>
  <c r="CH636" i="1"/>
  <c r="CH311" i="1"/>
  <c r="I137" i="1"/>
  <c r="BJ23" i="1"/>
  <c r="BI10" i="1"/>
  <c r="BI32" i="1"/>
  <c r="C18" i="1"/>
  <c r="CH52" i="1"/>
  <c r="C109" i="1"/>
  <c r="L76" i="1"/>
  <c r="AJ11" i="1" s="1"/>
  <c r="AX30" i="1"/>
  <c r="AI31" i="1"/>
  <c r="L177" i="1"/>
  <c r="K240" i="1"/>
  <c r="CH206" i="1"/>
  <c r="C200" i="1"/>
  <c r="AG42" i="1"/>
  <c r="O202" i="1"/>
  <c r="E202" i="1" s="1"/>
  <c r="D202" i="1" s="1"/>
  <c r="CH321" i="1"/>
  <c r="J138" i="1"/>
  <c r="CH289" i="1"/>
  <c r="J134" i="1"/>
  <c r="F193" i="1"/>
  <c r="U169" i="1"/>
  <c r="S169" i="1"/>
  <c r="R169" i="1"/>
  <c r="Q169" i="1"/>
  <c r="P169" i="1"/>
  <c r="AC169" i="1"/>
  <c r="M169" i="1"/>
  <c r="AB169" i="1"/>
  <c r="L169" i="1"/>
  <c r="AA169" i="1"/>
  <c r="K169" i="1"/>
  <c r="Y169" i="1"/>
  <c r="I169" i="1"/>
  <c r="X169" i="1"/>
  <c r="H169" i="1"/>
  <c r="V169" i="1"/>
  <c r="F169" i="1"/>
  <c r="W169" i="1"/>
  <c r="O169" i="1"/>
  <c r="N169" i="1"/>
  <c r="J169" i="1"/>
  <c r="G169" i="1"/>
  <c r="Z169" i="1"/>
  <c r="D191" i="1"/>
  <c r="CH279" i="1"/>
  <c r="I133" i="1"/>
  <c r="D152" i="1"/>
  <c r="CH122" i="1"/>
  <c r="X139" i="1" a="1"/>
  <c r="X139" i="1" s="1"/>
  <c r="Y129" i="1"/>
  <c r="CH263" i="1"/>
  <c r="I131" i="1"/>
  <c r="K192" i="1"/>
  <c r="K250" i="1" s="1"/>
  <c r="K254" i="1" s="1"/>
  <c r="K178" i="1"/>
  <c r="AI40" i="1"/>
  <c r="AI41" i="1"/>
  <c r="AG39" i="1"/>
  <c r="AG49" i="1" s="1"/>
  <c r="AG50" i="1" s="1"/>
  <c r="AG13" i="1"/>
  <c r="AI46" i="1"/>
  <c r="AI45" i="1"/>
  <c r="D195" i="1"/>
  <c r="C196" i="1"/>
  <c r="CH198" i="1"/>
  <c r="BI11" i="1"/>
  <c r="C110" i="1"/>
  <c r="I76" i="1"/>
  <c r="CH197" i="1" s="1"/>
  <c r="BW3" i="1"/>
  <c r="C19" i="1"/>
  <c r="D147" i="1"/>
  <c r="CH67" i="1"/>
  <c r="CH295" i="1"/>
  <c r="I135" i="1"/>
  <c r="AG31" i="1"/>
  <c r="AI42" i="1"/>
  <c r="AG47" i="1"/>
  <c r="AC157" i="1"/>
  <c r="AL42" i="1"/>
  <c r="AL49" i="1"/>
  <c r="AL50" i="1" s="1"/>
  <c r="CH78" i="1"/>
  <c r="D148" i="1"/>
  <c r="D156" i="1"/>
  <c r="CH166" i="1"/>
  <c r="AL40" i="1"/>
  <c r="AI39" i="1"/>
  <c r="AI13" i="1"/>
  <c r="CH144" i="1"/>
  <c r="D154" i="1"/>
  <c r="CH271" i="1"/>
  <c r="I132" i="1"/>
  <c r="AG46" i="1"/>
  <c r="AL13" i="1"/>
  <c r="D151" i="1"/>
  <c r="CH111" i="1"/>
  <c r="CH405" i="1" l="1"/>
  <c r="F150" i="1"/>
  <c r="CH297" i="1"/>
  <c r="J135" i="1"/>
  <c r="AG32" i="1"/>
  <c r="AG14" i="1"/>
  <c r="CH227" i="1"/>
  <c r="F324" i="1"/>
  <c r="E324" i="1" s="1"/>
  <c r="CH626" i="1" s="1"/>
  <c r="CH10" i="1"/>
  <c r="CH372" i="1"/>
  <c r="F147" i="1"/>
  <c r="G157" i="1" a="1"/>
  <c r="G157" i="1" s="1"/>
  <c r="CH483" i="1" s="1"/>
  <c r="G200" i="1"/>
  <c r="L192" i="1"/>
  <c r="L250" i="1" s="1"/>
  <c r="L254" i="1" s="1"/>
  <c r="L178" i="1"/>
  <c r="CH305" i="1"/>
  <c r="J136" i="1"/>
  <c r="CH416" i="1"/>
  <c r="F151" i="1"/>
  <c r="CH394" i="1"/>
  <c r="F149" i="1"/>
  <c r="CH449" i="1"/>
  <c r="F154" i="1"/>
  <c r="Y139" i="1"/>
  <c r="AB129" i="1"/>
  <c r="AB139" i="1" s="1"/>
  <c r="Z129" i="1"/>
  <c r="Z139" i="1" s="1"/>
  <c r="AC129" i="1"/>
  <c r="AA129" i="1"/>
  <c r="AA139" i="1" s="1"/>
  <c r="E193" i="1"/>
  <c r="D193" i="1" s="1"/>
  <c r="F252" i="1"/>
  <c r="L240" i="1"/>
  <c r="M177" i="1"/>
  <c r="CH313" i="1"/>
  <c r="J137" i="1"/>
  <c r="CH290" i="1"/>
  <c r="CH60" i="1"/>
  <c r="AF4" i="1"/>
  <c r="AF26" i="1"/>
  <c r="AF10" i="1"/>
  <c r="AF3" i="1"/>
  <c r="AF29" i="1"/>
  <c r="AF5" i="1"/>
  <c r="AF8" i="1"/>
  <c r="AF9" i="1"/>
  <c r="AF12" i="1"/>
  <c r="AF24" i="1"/>
  <c r="AF23" i="1"/>
  <c r="AF27" i="1"/>
  <c r="AF11" i="1"/>
  <c r="AF6" i="1"/>
  <c r="AF30" i="1"/>
  <c r="AF25" i="1"/>
  <c r="AF21" i="1"/>
  <c r="AF22" i="1"/>
  <c r="AF7" i="1"/>
  <c r="AF28" i="1"/>
  <c r="AK11" i="1"/>
  <c r="CH383" i="1"/>
  <c r="F148" i="1"/>
  <c r="CH11" i="1"/>
  <c r="CH249" i="1"/>
  <c r="I139" i="1" a="1"/>
  <c r="I139" i="1" s="1"/>
  <c r="J129" i="1"/>
  <c r="AJ29" i="1"/>
  <c r="AJ47" i="1" s="1"/>
  <c r="CH265" i="1"/>
  <c r="J131" i="1"/>
  <c r="CH228" i="1"/>
  <c r="C97" i="1"/>
  <c r="C104" i="1"/>
  <c r="C90" i="1"/>
  <c r="C101" i="1"/>
  <c r="C88" i="1"/>
  <c r="AI14" i="1"/>
  <c r="AI32" i="1"/>
  <c r="CH427" i="1"/>
  <c r="F152" i="1"/>
  <c r="CH322" i="1"/>
  <c r="AK29" i="1"/>
  <c r="CH257" i="1"/>
  <c r="J130" i="1"/>
  <c r="CH438" i="1"/>
  <c r="F153" i="1"/>
  <c r="AI49" i="1"/>
  <c r="AI50" i="1" s="1"/>
  <c r="CH648" i="1"/>
  <c r="S196" i="1"/>
  <c r="R196" i="1"/>
  <c r="Q196" i="1"/>
  <c r="P196" i="1"/>
  <c r="O196" i="1"/>
  <c r="N196" i="1"/>
  <c r="AB196" i="1"/>
  <c r="L196" i="1"/>
  <c r="AA196" i="1"/>
  <c r="K196" i="1"/>
  <c r="Z196" i="1"/>
  <c r="J196" i="1"/>
  <c r="Y196" i="1"/>
  <c r="I196" i="1"/>
  <c r="W196" i="1"/>
  <c r="G196" i="1"/>
  <c r="V196" i="1"/>
  <c r="F196" i="1"/>
  <c r="AC196" i="1"/>
  <c r="X196" i="1"/>
  <c r="U196" i="1"/>
  <c r="T196" i="1"/>
  <c r="M196" i="1"/>
  <c r="H196" i="1"/>
  <c r="BX12" i="1"/>
  <c r="CA12" i="1" s="1"/>
  <c r="BI7" i="1"/>
  <c r="BX11" i="1"/>
  <c r="CH460" i="1"/>
  <c r="F155" i="1"/>
  <c r="E169" i="1"/>
  <c r="D169" i="1" s="1"/>
  <c r="CH281" i="1"/>
  <c r="J133" i="1"/>
  <c r="E186" i="1"/>
  <c r="D186" i="1" s="1"/>
  <c r="F156" i="1"/>
  <c r="CH471" i="1"/>
  <c r="AL14" i="1"/>
  <c r="AL32" i="1"/>
  <c r="CH273" i="1"/>
  <c r="J132" i="1"/>
  <c r="CH199" i="1"/>
  <c r="AJ30" i="1"/>
  <c r="AK22" i="1"/>
  <c r="AJ22" i="1"/>
  <c r="AK4" i="1"/>
  <c r="AK40" i="1" s="1"/>
  <c r="AJ12" i="1"/>
  <c r="AJ10" i="1"/>
  <c r="AK24" i="1"/>
  <c r="AJ24" i="1"/>
  <c r="AJ28" i="1"/>
  <c r="AJ23" i="1"/>
  <c r="AK7" i="1"/>
  <c r="AK43" i="1" s="1"/>
  <c r="AK30" i="1"/>
  <c r="AJ7" i="1"/>
  <c r="AJ43" i="1" s="1"/>
  <c r="AK6" i="1"/>
  <c r="AK42" i="1" s="1"/>
  <c r="AK28" i="1"/>
  <c r="AJ6" i="1"/>
  <c r="AK3" i="1"/>
  <c r="AK5" i="1"/>
  <c r="AJ4" i="1"/>
  <c r="AJ40" i="1" s="1"/>
  <c r="AJ3" i="1"/>
  <c r="AK25" i="1"/>
  <c r="AK10" i="1"/>
  <c r="AK46" i="1" s="1"/>
  <c r="AJ5" i="1"/>
  <c r="AJ25" i="1"/>
  <c r="AK12" i="1"/>
  <c r="AK21" i="1"/>
  <c r="AJ21" i="1"/>
  <c r="AJ31" i="1" s="1"/>
  <c r="AK23" i="1"/>
  <c r="AK26" i="1"/>
  <c r="AK8" i="1"/>
  <c r="AK44" i="1" s="1"/>
  <c r="AJ26" i="1"/>
  <c r="AJ8" i="1"/>
  <c r="AJ44" i="1" s="1"/>
  <c r="AJ9" i="1"/>
  <c r="AJ45" i="1" s="1"/>
  <c r="AK27" i="1"/>
  <c r="L78" i="1"/>
  <c r="CH201" i="1" s="1"/>
  <c r="AJ27" i="1"/>
  <c r="AK9" i="1"/>
  <c r="AK45" i="1" s="1"/>
  <c r="L266" i="1" l="1"/>
  <c r="L216" i="1"/>
  <c r="L272" i="1"/>
  <c r="L274" i="1" s="1"/>
  <c r="L182" i="1"/>
  <c r="T216" i="1"/>
  <c r="T212" i="1"/>
  <c r="T272" i="1"/>
  <c r="T274" i="1" s="1"/>
  <c r="T266" i="1"/>
  <c r="T182" i="1"/>
  <c r="U266" i="1"/>
  <c r="U212" i="1"/>
  <c r="U272" i="1"/>
  <c r="U274" i="1" s="1"/>
  <c r="U216" i="1"/>
  <c r="U182" i="1"/>
  <c r="CH266" i="1"/>
  <c r="AK47" i="1"/>
  <c r="F254" i="1"/>
  <c r="CH473" i="1"/>
  <c r="H156" i="1"/>
  <c r="N138" i="1"/>
  <c r="CH366" i="1" s="1"/>
  <c r="X272" i="1"/>
  <c r="X274" i="1" s="1"/>
  <c r="X212" i="1"/>
  <c r="X266" i="1"/>
  <c r="X216" i="1"/>
  <c r="X182" i="1"/>
  <c r="O272" i="1"/>
  <c r="O274" i="1" s="1"/>
  <c r="O266" i="1"/>
  <c r="O182" i="1"/>
  <c r="O216" i="1"/>
  <c r="AF39" i="1"/>
  <c r="AN13" i="1"/>
  <c r="AN31" i="1"/>
  <c r="AF13" i="1"/>
  <c r="H272" i="1"/>
  <c r="H274" i="1" s="1"/>
  <c r="H216" i="1"/>
  <c r="H182" i="1"/>
  <c r="N266" i="1"/>
  <c r="N272" i="1"/>
  <c r="N274" i="1" s="1"/>
  <c r="N216" i="1"/>
  <c r="N182" i="1"/>
  <c r="AC272" i="1"/>
  <c r="AC274" i="1" s="1"/>
  <c r="AC216" i="1"/>
  <c r="AC182" i="1"/>
  <c r="AC212" i="1"/>
  <c r="P266" i="1"/>
  <c r="P182" i="1"/>
  <c r="P216" i="1"/>
  <c r="P272" i="1"/>
  <c r="P274" i="1" s="1"/>
  <c r="AF43" i="1"/>
  <c r="AF46" i="1"/>
  <c r="CH282" i="1"/>
  <c r="F272" i="1"/>
  <c r="F182" i="1"/>
  <c r="E196" i="1"/>
  <c r="F216" i="1"/>
  <c r="Q272" i="1"/>
  <c r="Q274" i="1" s="1"/>
  <c r="Q266" i="1"/>
  <c r="Q216" i="1"/>
  <c r="Q212" i="1"/>
  <c r="Q182" i="1"/>
  <c r="CH429" i="1"/>
  <c r="H152" i="1"/>
  <c r="N134" i="1"/>
  <c r="CH350" i="1" s="1"/>
  <c r="CH250" i="1"/>
  <c r="J139" i="1"/>
  <c r="AC139" i="1"/>
  <c r="AX21" i="1"/>
  <c r="AF31" i="1"/>
  <c r="AM31" i="1" s="1"/>
  <c r="AF40" i="1"/>
  <c r="AF45" i="1"/>
  <c r="AB272" i="1"/>
  <c r="AB274" i="1" s="1"/>
  <c r="AB216" i="1"/>
  <c r="AB212" i="1"/>
  <c r="AB182" i="1"/>
  <c r="AK31" i="1"/>
  <c r="AJ41" i="1"/>
  <c r="AJ46" i="1"/>
  <c r="G272" i="1"/>
  <c r="G274" i="1" s="1"/>
  <c r="G182" i="1"/>
  <c r="G216" i="1"/>
  <c r="S216" i="1"/>
  <c r="S212" i="1"/>
  <c r="S272" i="1"/>
  <c r="S274" i="1" s="1"/>
  <c r="S266" i="1"/>
  <c r="S182" i="1"/>
  <c r="C307" i="1"/>
  <c r="C100" i="1"/>
  <c r="M178" i="1"/>
  <c r="M192" i="1"/>
  <c r="CH418" i="1"/>
  <c r="N133" i="1"/>
  <c r="CH346" i="1" s="1"/>
  <c r="H151" i="1"/>
  <c r="V272" i="1"/>
  <c r="V274" i="1" s="1"/>
  <c r="V212" i="1"/>
  <c r="V266" i="1"/>
  <c r="V182" i="1"/>
  <c r="V216" i="1"/>
  <c r="I272" i="1"/>
  <c r="I274" i="1" s="1"/>
  <c r="I182" i="1"/>
  <c r="I216" i="1"/>
  <c r="CH205" i="1"/>
  <c r="C199" i="1"/>
  <c r="BJ24" i="1"/>
  <c r="AF42" i="1"/>
  <c r="M240" i="1"/>
  <c r="N177" i="1"/>
  <c r="M266" i="1"/>
  <c r="M216" i="1"/>
  <c r="M272" i="1"/>
  <c r="M274" i="1" s="1"/>
  <c r="M182" i="1"/>
  <c r="CH306" i="1"/>
  <c r="R266" i="1"/>
  <c r="R182" i="1"/>
  <c r="R216" i="1"/>
  <c r="R272" i="1"/>
  <c r="R274" i="1" s="1"/>
  <c r="R212" i="1"/>
  <c r="AJ48" i="1"/>
  <c r="W266" i="1"/>
  <c r="W212" i="1"/>
  <c r="W272" i="1"/>
  <c r="W274" i="1" s="1"/>
  <c r="W182" i="1"/>
  <c r="W216" i="1"/>
  <c r="CH462" i="1"/>
  <c r="H155" i="1"/>
  <c r="N137" i="1"/>
  <c r="CH362" i="1" s="1"/>
  <c r="Y266" i="1"/>
  <c r="Y272" i="1"/>
  <c r="Y274" i="1" s="1"/>
  <c r="Y182" i="1"/>
  <c r="Y216" i="1"/>
  <c r="Y212" i="1"/>
  <c r="C212" i="1"/>
  <c r="CH218" i="1"/>
  <c r="AF47" i="1"/>
  <c r="G266" i="1"/>
  <c r="E200" i="1"/>
  <c r="D200" i="1" s="1"/>
  <c r="CH298" i="1"/>
  <c r="AJ39" i="1"/>
  <c r="AJ49" i="1" s="1"/>
  <c r="AJ50" i="1" s="1"/>
  <c r="AJ13" i="1"/>
  <c r="AK41" i="1"/>
  <c r="J272" i="1"/>
  <c r="J274" i="1" s="1"/>
  <c r="J182" i="1"/>
  <c r="J216" i="1"/>
  <c r="CH440" i="1"/>
  <c r="H153" i="1"/>
  <c r="N135" i="1"/>
  <c r="CH354" i="1" s="1"/>
  <c r="CH207" i="1"/>
  <c r="C201" i="1"/>
  <c r="CH451" i="1"/>
  <c r="H154" i="1"/>
  <c r="N136" i="1"/>
  <c r="CH358" i="1" s="1"/>
  <c r="CH407" i="1"/>
  <c r="H150" i="1"/>
  <c r="N132" i="1"/>
  <c r="CH342" i="1" s="1"/>
  <c r="AF44" i="1"/>
  <c r="AF41" i="1"/>
  <c r="AK48" i="1"/>
  <c r="Z272" i="1"/>
  <c r="Z274" i="1" s="1"/>
  <c r="Z182" i="1"/>
  <c r="Z216" i="1"/>
  <c r="Z212" i="1"/>
  <c r="C216" i="1"/>
  <c r="CH221" i="1"/>
  <c r="K216" i="1"/>
  <c r="K272" i="1"/>
  <c r="K274" i="1" s="1"/>
  <c r="K182" i="1"/>
  <c r="C208" i="1"/>
  <c r="CH214" i="1"/>
  <c r="CH396" i="1"/>
  <c r="H149" i="1"/>
  <c r="N131" i="1"/>
  <c r="CH338" i="1" s="1"/>
  <c r="AK13" i="1"/>
  <c r="AK39" i="1"/>
  <c r="AJ42" i="1"/>
  <c r="CH258" i="1"/>
  <c r="CH314" i="1"/>
  <c r="CH274" i="1"/>
  <c r="AA272" i="1"/>
  <c r="AA274" i="1" s="1"/>
  <c r="AA216" i="1"/>
  <c r="AA212" i="1"/>
  <c r="AA182" i="1"/>
  <c r="CH385" i="1"/>
  <c r="H148" i="1"/>
  <c r="N130" i="1"/>
  <c r="CH334" i="1" s="1"/>
  <c r="AF48" i="1"/>
  <c r="CH374" i="1"/>
  <c r="H147" i="1"/>
  <c r="F157" i="1" a="1"/>
  <c r="F157" i="1" s="1"/>
  <c r="CH482" i="1" s="1"/>
  <c r="N129" i="1"/>
  <c r="CH330" i="1" s="1"/>
  <c r="AJ14" i="1" l="1"/>
  <c r="AJ32" i="1"/>
  <c r="BJ22" i="1"/>
  <c r="BI22" i="1"/>
  <c r="CH420" i="1"/>
  <c r="M151" i="1"/>
  <c r="I151" i="1"/>
  <c r="AM13" i="1"/>
  <c r="AF14" i="1"/>
  <c r="AF32" i="1"/>
  <c r="N192" i="1"/>
  <c r="N250" i="1" s="1"/>
  <c r="N254" i="1" s="1"/>
  <c r="N178" i="1"/>
  <c r="CH398" i="1"/>
  <c r="I149" i="1"/>
  <c r="M149" i="1"/>
  <c r="G199" i="1"/>
  <c r="C211" i="1"/>
  <c r="CH217" i="1"/>
  <c r="AQ27" i="1"/>
  <c r="AQ26" i="1"/>
  <c r="D196" i="1"/>
  <c r="H22" i="1"/>
  <c r="AN32" i="1"/>
  <c r="AN23" i="1"/>
  <c r="AN27" i="1"/>
  <c r="AN24" i="1"/>
  <c r="AN28" i="1"/>
  <c r="AN21" i="1"/>
  <c r="AN30" i="1"/>
  <c r="AN29" i="1"/>
  <c r="AN25" i="1"/>
  <c r="AN26" i="1"/>
  <c r="AN22" i="1"/>
  <c r="CH475" i="1"/>
  <c r="M156" i="1"/>
  <c r="I156" i="1"/>
  <c r="AM32" i="1"/>
  <c r="AM23" i="1"/>
  <c r="AQ23" i="1" s="1"/>
  <c r="AM25" i="1"/>
  <c r="AQ25" i="1" s="1"/>
  <c r="AM29" i="1"/>
  <c r="AQ29" i="1" s="1"/>
  <c r="AM30" i="1"/>
  <c r="AQ30" i="1" s="1"/>
  <c r="AM24" i="1"/>
  <c r="AQ24" i="1" s="1"/>
  <c r="AM26" i="1"/>
  <c r="AM21" i="1"/>
  <c r="AQ21" i="1" s="1"/>
  <c r="AM27" i="1"/>
  <c r="AM28" i="1"/>
  <c r="AQ28" i="1" s="1"/>
  <c r="AM22" i="1"/>
  <c r="AQ22" i="1" s="1"/>
  <c r="O278" i="1"/>
  <c r="AC278" i="1"/>
  <c r="M278" i="1"/>
  <c r="CH607" i="1"/>
  <c r="X278" i="1"/>
  <c r="H278" i="1"/>
  <c r="V278" i="1"/>
  <c r="F278" i="1"/>
  <c r="T278" i="1"/>
  <c r="S278" i="1"/>
  <c r="R278" i="1"/>
  <c r="Q278" i="1"/>
  <c r="P278" i="1"/>
  <c r="N278" i="1"/>
  <c r="L278" i="1"/>
  <c r="K278" i="1"/>
  <c r="J278" i="1"/>
  <c r="I278" i="1"/>
  <c r="G278" i="1"/>
  <c r="AB278" i="1"/>
  <c r="Z278" i="1"/>
  <c r="Y278" i="1"/>
  <c r="AA278" i="1"/>
  <c r="W278" i="1"/>
  <c r="U278" i="1"/>
  <c r="C303" i="1"/>
  <c r="E182" i="1"/>
  <c r="K323" i="1"/>
  <c r="K325" i="1" s="1"/>
  <c r="K214" i="1" s="1"/>
  <c r="S323" i="1"/>
  <c r="S325" i="1" s="1"/>
  <c r="S214" i="1" s="1"/>
  <c r="O323" i="1"/>
  <c r="O325" i="1" s="1"/>
  <c r="O214" i="1" s="1"/>
  <c r="Q323" i="1"/>
  <c r="Q325" i="1" s="1"/>
  <c r="Q214" i="1" s="1"/>
  <c r="M323" i="1"/>
  <c r="M325" i="1" s="1"/>
  <c r="M214" i="1" s="1"/>
  <c r="G323" i="1"/>
  <c r="I323" i="1"/>
  <c r="I325" i="1" s="1"/>
  <c r="I214" i="1" s="1"/>
  <c r="AN12" i="1"/>
  <c r="AN11" i="1"/>
  <c r="AN10" i="1"/>
  <c r="AN9" i="1"/>
  <c r="AN5" i="1"/>
  <c r="AN6" i="1"/>
  <c r="AN3" i="1"/>
  <c r="AN8" i="1"/>
  <c r="AN7" i="1"/>
  <c r="AN4" i="1"/>
  <c r="AF49" i="1"/>
  <c r="AF50" i="1" s="1"/>
  <c r="CH327" i="1"/>
  <c r="C187" i="1"/>
  <c r="E272" i="1"/>
  <c r="D272" i="1" s="1"/>
  <c r="F274" i="1"/>
  <c r="CH409" i="1"/>
  <c r="I150" i="1"/>
  <c r="M150" i="1"/>
  <c r="AK14" i="1"/>
  <c r="AK32" i="1"/>
  <c r="CH442" i="1"/>
  <c r="I153" i="1"/>
  <c r="AK49" i="1"/>
  <c r="AK50" i="1" s="1"/>
  <c r="M250" i="1"/>
  <c r="M254" i="1" s="1"/>
  <c r="E216" i="1"/>
  <c r="D216" i="1" s="1"/>
  <c r="CH376" i="1"/>
  <c r="M147" i="1"/>
  <c r="I147" i="1"/>
  <c r="H157" i="1"/>
  <c r="C184" i="1"/>
  <c r="J29" i="1"/>
  <c r="H29" i="1" s="1"/>
  <c r="G201" i="1"/>
  <c r="F201" i="1"/>
  <c r="N240" i="1"/>
  <c r="O177" i="1"/>
  <c r="H212" i="1"/>
  <c r="G212" i="1"/>
  <c r="F212" i="1"/>
  <c r="P212" i="1"/>
  <c r="O212" i="1"/>
  <c r="N212" i="1"/>
  <c r="L212" i="1"/>
  <c r="K212" i="1"/>
  <c r="M212" i="1"/>
  <c r="J212" i="1"/>
  <c r="I212" i="1"/>
  <c r="CH431" i="1"/>
  <c r="M152" i="1"/>
  <c r="I152" i="1"/>
  <c r="CH453" i="1"/>
  <c r="I154" i="1"/>
  <c r="M154" i="1" s="1"/>
  <c r="O208" i="1"/>
  <c r="N208" i="1"/>
  <c r="L208" i="1"/>
  <c r="M208" i="1"/>
  <c r="CH387" i="1"/>
  <c r="I148" i="1"/>
  <c r="AX31" i="1"/>
  <c r="AX32" i="1" s="1"/>
  <c r="BI29" i="1"/>
  <c r="CH464" i="1"/>
  <c r="I155" i="1"/>
  <c r="M155" i="1" s="1"/>
  <c r="CH457" i="1" l="1"/>
  <c r="O136" i="1"/>
  <c r="CH468" i="1"/>
  <c r="O137" i="1"/>
  <c r="Z284" i="1"/>
  <c r="Z280" i="1"/>
  <c r="Z288" i="1"/>
  <c r="Z286" i="1"/>
  <c r="Z290" i="1" s="1"/>
  <c r="Z282" i="1"/>
  <c r="Z211" i="1"/>
  <c r="X280" i="1"/>
  <c r="X290" i="1" s="1"/>
  <c r="X288" i="1"/>
  <c r="X286" i="1"/>
  <c r="X284" i="1"/>
  <c r="X282" i="1"/>
  <c r="X211" i="1"/>
  <c r="AP27" i="1"/>
  <c r="CH421" i="1"/>
  <c r="AT7" i="1"/>
  <c r="AT43" i="1" s="1"/>
  <c r="Y286" i="1"/>
  <c r="Y288" i="1"/>
  <c r="Y284" i="1"/>
  <c r="Y282" i="1"/>
  <c r="Y290" i="1" s="1"/>
  <c r="Y280" i="1"/>
  <c r="Y211" i="1"/>
  <c r="E199" i="1"/>
  <c r="D199" i="1" s="1"/>
  <c r="CH443" i="1"/>
  <c r="AT9" i="1"/>
  <c r="AT45" i="1" s="1"/>
  <c r="J284" i="1"/>
  <c r="J280" i="1"/>
  <c r="J282" i="1"/>
  <c r="J211" i="1"/>
  <c r="J290" i="1"/>
  <c r="J288" i="1"/>
  <c r="J286" i="1"/>
  <c r="O288" i="1"/>
  <c r="O290" i="1"/>
  <c r="O280" i="1"/>
  <c r="O211" i="1"/>
  <c r="O286" i="1"/>
  <c r="O284" i="1"/>
  <c r="O282" i="1"/>
  <c r="CH399" i="1"/>
  <c r="AT5" i="1"/>
  <c r="AT41" i="1" s="1"/>
  <c r="G282" i="1"/>
  <c r="G284" i="1"/>
  <c r="G286" i="1"/>
  <c r="G280" i="1"/>
  <c r="G211" i="1"/>
  <c r="G288" i="1"/>
  <c r="M153" i="1"/>
  <c r="K286" i="1"/>
  <c r="K288" i="1"/>
  <c r="K284" i="1"/>
  <c r="K282" i="1"/>
  <c r="K280" i="1"/>
  <c r="K290" i="1" s="1"/>
  <c r="K211" i="1"/>
  <c r="CH476" i="1"/>
  <c r="AT12" i="1"/>
  <c r="AT48" i="1" s="1"/>
  <c r="H280" i="1"/>
  <c r="H290" i="1" s="1"/>
  <c r="H286" i="1"/>
  <c r="H284" i="1"/>
  <c r="H282" i="1"/>
  <c r="H211" i="1"/>
  <c r="H288" i="1"/>
  <c r="CH38" i="1"/>
  <c r="AP23" i="1"/>
  <c r="E323" i="1"/>
  <c r="CH624" i="1" s="1"/>
  <c r="G325" i="1"/>
  <c r="G214" i="1" s="1"/>
  <c r="CH402" i="1"/>
  <c r="O131" i="1"/>
  <c r="CH432" i="1"/>
  <c r="AT8" i="1"/>
  <c r="AT44" i="1" s="1"/>
  <c r="N187" i="1"/>
  <c r="AC187" i="1"/>
  <c r="M187" i="1"/>
  <c r="AB187" i="1"/>
  <c r="L187" i="1"/>
  <c r="AA187" i="1"/>
  <c r="K187" i="1"/>
  <c r="Z187" i="1"/>
  <c r="J187" i="1"/>
  <c r="CH640" i="1"/>
  <c r="Y187" i="1"/>
  <c r="I187" i="1"/>
  <c r="W187" i="1"/>
  <c r="G187" i="1"/>
  <c r="U187" i="1"/>
  <c r="T187" i="1"/>
  <c r="R187" i="1"/>
  <c r="Q187" i="1"/>
  <c r="O187" i="1"/>
  <c r="H187" i="1"/>
  <c r="F187" i="1"/>
  <c r="X187" i="1"/>
  <c r="V187" i="1"/>
  <c r="S187" i="1"/>
  <c r="P187" i="1"/>
  <c r="AN40" i="1"/>
  <c r="L284" i="1"/>
  <c r="L280" i="1"/>
  <c r="L290" i="1" s="1"/>
  <c r="L282" i="1"/>
  <c r="L211" i="1"/>
  <c r="L288" i="1"/>
  <c r="L286" i="1"/>
  <c r="CH479" i="1"/>
  <c r="O138" i="1"/>
  <c r="O192" i="1"/>
  <c r="O250" i="1" s="1"/>
  <c r="O254" i="1" s="1"/>
  <c r="O178" i="1"/>
  <c r="AP24" i="1"/>
  <c r="C185" i="1"/>
  <c r="CH484" i="1"/>
  <c r="AN43" i="1"/>
  <c r="N286" i="1"/>
  <c r="N280" i="1"/>
  <c r="N282" i="1"/>
  <c r="N288" i="1"/>
  <c r="N211" i="1"/>
  <c r="N284" i="1"/>
  <c r="N290" i="1" s="1"/>
  <c r="CH637" i="1"/>
  <c r="C182" i="1"/>
  <c r="CH635" i="1" s="1"/>
  <c r="BX9" i="1"/>
  <c r="CH30" i="1"/>
  <c r="H24" i="1"/>
  <c r="BI43" i="1" s="1"/>
  <c r="BX10" i="1"/>
  <c r="BZ10" i="1" s="1"/>
  <c r="CA10" i="1" s="1"/>
  <c r="CH377" i="1"/>
  <c r="I157" i="1"/>
  <c r="AT3" i="1"/>
  <c r="AN44" i="1"/>
  <c r="P286" i="1"/>
  <c r="P282" i="1"/>
  <c r="P280" i="1"/>
  <c r="P290" i="1" s="1"/>
  <c r="P211" i="1"/>
  <c r="P288" i="1"/>
  <c r="P284" i="1"/>
  <c r="AP22" i="1"/>
  <c r="I286" i="1"/>
  <c r="I288" i="1"/>
  <c r="I284" i="1"/>
  <c r="I282" i="1"/>
  <c r="I280" i="1"/>
  <c r="I290" i="1"/>
  <c r="I211" i="1"/>
  <c r="Q280" i="1"/>
  <c r="Q284" i="1"/>
  <c r="Q211" i="1"/>
  <c r="Q288" i="1"/>
  <c r="Q282" i="1"/>
  <c r="Q290" i="1" s="1"/>
  <c r="Q286" i="1"/>
  <c r="AP26" i="1"/>
  <c r="AB284" i="1"/>
  <c r="AB280" i="1"/>
  <c r="AB290" i="1" s="1"/>
  <c r="AB288" i="1"/>
  <c r="AB282" i="1"/>
  <c r="AB286" i="1"/>
  <c r="AB211" i="1"/>
  <c r="CH380" i="1"/>
  <c r="O129" i="1"/>
  <c r="AN39" i="1"/>
  <c r="AN14" i="1"/>
  <c r="AN42" i="1"/>
  <c r="R288" i="1"/>
  <c r="R282" i="1"/>
  <c r="R211" i="1"/>
  <c r="R286" i="1"/>
  <c r="R280" i="1"/>
  <c r="R290" i="1" s="1"/>
  <c r="R284" i="1"/>
  <c r="AP25" i="1"/>
  <c r="AN48" i="1"/>
  <c r="M288" i="1"/>
  <c r="M280" i="1"/>
  <c r="M290" i="1" s="1"/>
  <c r="M211" i="1"/>
  <c r="M286" i="1"/>
  <c r="M282" i="1"/>
  <c r="M284" i="1"/>
  <c r="AC288" i="1"/>
  <c r="AC286" i="1"/>
  <c r="AC284" i="1"/>
  <c r="AC282" i="1"/>
  <c r="AC211" i="1"/>
  <c r="AC280" i="1"/>
  <c r="AC290" i="1" s="1"/>
  <c r="CH413" i="1"/>
  <c r="O132" i="1"/>
  <c r="AN41" i="1"/>
  <c r="C310" i="1"/>
  <c r="CH612" i="1" s="1"/>
  <c r="C309" i="1"/>
  <c r="CH610" i="1" s="1"/>
  <c r="CH603" i="1"/>
  <c r="C308" i="1"/>
  <c r="CH608" i="1" s="1"/>
  <c r="C312" i="1"/>
  <c r="C311" i="1"/>
  <c r="CH614" i="1" s="1"/>
  <c r="S280" i="1"/>
  <c r="S290" i="1" s="1"/>
  <c r="S284" i="1"/>
  <c r="S211" i="1"/>
  <c r="S288" i="1"/>
  <c r="S286" i="1"/>
  <c r="S282" i="1"/>
  <c r="AP29" i="1"/>
  <c r="AM12" i="1"/>
  <c r="AM11" i="1"/>
  <c r="AM10" i="1"/>
  <c r="AM9" i="1"/>
  <c r="AM6" i="1"/>
  <c r="AM7" i="1"/>
  <c r="AM3" i="1"/>
  <c r="AM4" i="1"/>
  <c r="AM5" i="1"/>
  <c r="AM8" i="1"/>
  <c r="E212" i="1"/>
  <c r="D212" i="1" s="1"/>
  <c r="CH424" i="1"/>
  <c r="O133" i="1"/>
  <c r="CH388" i="1"/>
  <c r="AT4" i="1"/>
  <c r="AT40" i="1" s="1"/>
  <c r="CH410" i="1"/>
  <c r="AT6" i="1"/>
  <c r="AT42" i="1" s="1"/>
  <c r="AN45" i="1"/>
  <c r="U282" i="1"/>
  <c r="U290" i="1" s="1"/>
  <c r="U284" i="1"/>
  <c r="U286" i="1"/>
  <c r="U288" i="1"/>
  <c r="U280" i="1"/>
  <c r="U211" i="1"/>
  <c r="T288" i="1"/>
  <c r="T211" i="1"/>
  <c r="T286" i="1"/>
  <c r="T284" i="1"/>
  <c r="T280" i="1"/>
  <c r="T290" i="1" s="1"/>
  <c r="T282" i="1"/>
  <c r="AP30" i="1"/>
  <c r="CH454" i="1"/>
  <c r="AT10" i="1"/>
  <c r="AT46" i="1" s="1"/>
  <c r="E190" i="1"/>
  <c r="CH435" i="1"/>
  <c r="O134" i="1"/>
  <c r="M148" i="1"/>
  <c r="M157" i="1" s="1"/>
  <c r="D182" i="1"/>
  <c r="E208" i="1"/>
  <c r="D208" i="1" s="1"/>
  <c r="AN46" i="1"/>
  <c r="W282" i="1"/>
  <c r="W284" i="1"/>
  <c r="W290" i="1" s="1"/>
  <c r="W286" i="1"/>
  <c r="W288" i="1"/>
  <c r="W211" i="1"/>
  <c r="W280" i="1"/>
  <c r="F288" i="1"/>
  <c r="F286" i="1"/>
  <c r="E286" i="1" s="1"/>
  <c r="D286" i="1" s="1"/>
  <c r="F284" i="1"/>
  <c r="F282" i="1"/>
  <c r="F280" i="1"/>
  <c r="E278" i="1"/>
  <c r="D278" i="1" s="1"/>
  <c r="F211" i="1"/>
  <c r="AP21" i="1"/>
  <c r="E274" i="1"/>
  <c r="D274" i="1" s="1"/>
  <c r="F276" i="1"/>
  <c r="G276" i="1" s="1"/>
  <c r="H276" i="1" s="1"/>
  <c r="I276" i="1" s="1"/>
  <c r="J276" i="1" s="1"/>
  <c r="K276" i="1" s="1"/>
  <c r="L276" i="1" s="1"/>
  <c r="M276" i="1" s="1"/>
  <c r="N276" i="1" s="1"/>
  <c r="O276" i="1" s="1"/>
  <c r="P276" i="1" s="1"/>
  <c r="Q276" i="1" s="1"/>
  <c r="R276" i="1" s="1"/>
  <c r="S276" i="1" s="1"/>
  <c r="T276" i="1" s="1"/>
  <c r="U276" i="1" s="1"/>
  <c r="V276" i="1" s="1"/>
  <c r="W276" i="1" s="1"/>
  <c r="X276" i="1" s="1"/>
  <c r="Y276" i="1" s="1"/>
  <c r="Z276" i="1" s="1"/>
  <c r="AA276" i="1" s="1"/>
  <c r="AB276" i="1" s="1"/>
  <c r="AC276" i="1" s="1"/>
  <c r="O240" i="1"/>
  <c r="P177" i="1"/>
  <c r="CH465" i="1"/>
  <c r="AT11" i="1"/>
  <c r="AT47" i="1" s="1"/>
  <c r="E201" i="1"/>
  <c r="D201" i="1" s="1"/>
  <c r="AN47" i="1"/>
  <c r="AA286" i="1"/>
  <c r="AA288" i="1"/>
  <c r="AA284" i="1"/>
  <c r="AA282" i="1"/>
  <c r="AA280" i="1"/>
  <c r="AA290" i="1" s="1"/>
  <c r="AA211" i="1"/>
  <c r="V288" i="1"/>
  <c r="V286" i="1"/>
  <c r="V284" i="1"/>
  <c r="V282" i="1"/>
  <c r="V280" i="1"/>
  <c r="V290" i="1" s="1"/>
  <c r="V211" i="1"/>
  <c r="AP28" i="1"/>
  <c r="CH486" i="1" l="1"/>
  <c r="J30" i="1"/>
  <c r="H30" i="1" s="1"/>
  <c r="C98" i="1"/>
  <c r="E288" i="1"/>
  <c r="D288" i="1" s="1"/>
  <c r="CH351" i="1"/>
  <c r="AX8" i="1"/>
  <c r="C304" i="1"/>
  <c r="CH604" i="1" s="1"/>
  <c r="CH446" i="1"/>
  <c r="O135" i="1"/>
  <c r="F290" i="1"/>
  <c r="CH347" i="1"/>
  <c r="AX7" i="1"/>
  <c r="G290" i="1"/>
  <c r="CH343" i="1"/>
  <c r="AX6" i="1"/>
  <c r="CH485" i="1"/>
  <c r="C213" i="1"/>
  <c r="CH339" i="1"/>
  <c r="AX5" i="1"/>
  <c r="P240" i="1"/>
  <c r="Q177" i="1"/>
  <c r="P192" i="1"/>
  <c r="P178" i="1"/>
  <c r="CH363" i="1"/>
  <c r="AX11" i="1"/>
  <c r="AT39" i="1"/>
  <c r="AT49" i="1" s="1"/>
  <c r="AT13" i="1"/>
  <c r="CH638" i="1"/>
  <c r="V185" i="1"/>
  <c r="F185" i="1"/>
  <c r="U185" i="1"/>
  <c r="T185" i="1"/>
  <c r="S185" i="1"/>
  <c r="R185" i="1"/>
  <c r="Q185" i="1"/>
  <c r="O185" i="1"/>
  <c r="AC185" i="1"/>
  <c r="M185" i="1"/>
  <c r="AB185" i="1"/>
  <c r="L185" i="1"/>
  <c r="Z185" i="1"/>
  <c r="J185" i="1"/>
  <c r="Y185" i="1"/>
  <c r="I185" i="1"/>
  <c r="P185" i="1"/>
  <c r="N185" i="1"/>
  <c r="K185" i="1"/>
  <c r="H185" i="1"/>
  <c r="G185" i="1"/>
  <c r="AA185" i="1"/>
  <c r="X185" i="1"/>
  <c r="W185" i="1"/>
  <c r="C99" i="1"/>
  <c r="AM14" i="1"/>
  <c r="C305" i="1"/>
  <c r="CH605" i="1" s="1"/>
  <c r="AN49" i="1"/>
  <c r="AN50" i="1" s="1"/>
  <c r="F322" i="1"/>
  <c r="BI42" i="1"/>
  <c r="BI41" i="1"/>
  <c r="CH34" i="1"/>
  <c r="BI28" i="1"/>
  <c r="C116" i="1"/>
  <c r="CH234" i="1" s="1"/>
  <c r="BI40" i="1"/>
  <c r="BI44" i="1"/>
  <c r="CH367" i="1"/>
  <c r="AX12" i="1"/>
  <c r="AP31" i="1"/>
  <c r="BX17" i="1"/>
  <c r="BX19" i="1" s="1"/>
  <c r="CH359" i="1"/>
  <c r="AX10" i="1"/>
  <c r="E211" i="1"/>
  <c r="D211" i="1" s="1"/>
  <c r="CH331" i="1"/>
  <c r="O139" i="1"/>
  <c r="AX3" i="1"/>
  <c r="C313" i="1"/>
  <c r="E187" i="1"/>
  <c r="D187" i="1" s="1"/>
  <c r="BI37" i="1"/>
  <c r="CH616" i="1"/>
  <c r="E280" i="1"/>
  <c r="D280" i="1" s="1"/>
  <c r="E282" i="1"/>
  <c r="D282" i="1" s="1"/>
  <c r="E284" i="1"/>
  <c r="D284" i="1" s="1"/>
  <c r="CH391" i="1"/>
  <c r="O130" i="1"/>
  <c r="BI45" i="1" l="1"/>
  <c r="X213" i="1"/>
  <c r="Q213" i="1"/>
  <c r="AX47" i="1"/>
  <c r="CH215" i="1"/>
  <c r="C209" i="1"/>
  <c r="AQ5" i="1"/>
  <c r="AQ41" i="1" s="1"/>
  <c r="AQ6" i="1"/>
  <c r="AQ42" i="1" s="1"/>
  <c r="AQ11" i="1"/>
  <c r="AQ47" i="1" s="1"/>
  <c r="AQ9" i="1"/>
  <c r="AQ45" i="1" s="1"/>
  <c r="AQ8" i="1"/>
  <c r="AQ44" i="1" s="1"/>
  <c r="AQ7" i="1"/>
  <c r="AQ43" i="1" s="1"/>
  <c r="AQ10" i="1"/>
  <c r="AQ46" i="1" s="1"/>
  <c r="AQ3" i="1"/>
  <c r="AQ39" i="1" s="1"/>
  <c r="AQ4" i="1"/>
  <c r="AQ40" i="1" s="1"/>
  <c r="AQ12" i="1"/>
  <c r="AQ48" i="1" s="1"/>
  <c r="C102" i="1"/>
  <c r="C210" i="1"/>
  <c r="CH216" i="1"/>
  <c r="E99" i="1"/>
  <c r="AP11" i="1"/>
  <c r="AP5" i="1"/>
  <c r="AP10" i="1"/>
  <c r="AP9" i="1"/>
  <c r="AP8" i="1"/>
  <c r="AP3" i="1"/>
  <c r="AP12" i="1"/>
  <c r="AP6" i="1"/>
  <c r="AP4" i="1"/>
  <c r="AP7" i="1"/>
  <c r="G213" i="1"/>
  <c r="CH618" i="1"/>
  <c r="D313" i="1"/>
  <c r="H213" i="1"/>
  <c r="S213" i="1"/>
  <c r="Q178" i="1"/>
  <c r="Q192" i="1"/>
  <c r="Q250" i="1" s="1"/>
  <c r="Q254" i="1" s="1"/>
  <c r="F292" i="1"/>
  <c r="F294" i="1" s="1"/>
  <c r="E290" i="1"/>
  <c r="D290" i="1" s="1"/>
  <c r="CH369" i="1"/>
  <c r="C188" i="1"/>
  <c r="BW5" i="1"/>
  <c r="K213" i="1"/>
  <c r="T213" i="1"/>
  <c r="P250" i="1"/>
  <c r="P254" i="1" s="1"/>
  <c r="AX42" i="1"/>
  <c r="AA213" i="1"/>
  <c r="U213" i="1"/>
  <c r="CH355" i="1"/>
  <c r="AX9" i="1"/>
  <c r="W213" i="1"/>
  <c r="E185" i="1"/>
  <c r="D185" i="1" s="1"/>
  <c r="F213" i="1"/>
  <c r="E213" i="1" s="1"/>
  <c r="Q240" i="1"/>
  <c r="R177" i="1"/>
  <c r="AC213" i="1"/>
  <c r="CH40" i="1"/>
  <c r="H31" i="1"/>
  <c r="P213" i="1"/>
  <c r="I213" i="1"/>
  <c r="V213" i="1"/>
  <c r="AX39" i="1"/>
  <c r="CH335" i="1"/>
  <c r="AX4" i="1"/>
  <c r="E322" i="1"/>
  <c r="CH622" i="1" s="1"/>
  <c r="F325" i="1"/>
  <c r="Y213" i="1"/>
  <c r="J213" i="1"/>
  <c r="R213" i="1"/>
  <c r="Z213" i="1"/>
  <c r="G292" i="1"/>
  <c r="M213" i="1"/>
  <c r="N213" i="1"/>
  <c r="AX46" i="1"/>
  <c r="L213" i="1"/>
  <c r="AX41" i="1"/>
  <c r="O213" i="1"/>
  <c r="AX48" i="1"/>
  <c r="AB213" i="1"/>
  <c r="AX43" i="1"/>
  <c r="AX44" i="1"/>
  <c r="AP47" i="1" l="1"/>
  <c r="Q209" i="1"/>
  <c r="P209" i="1"/>
  <c r="O209" i="1"/>
  <c r="N209" i="1"/>
  <c r="M209" i="1"/>
  <c r="S209" i="1"/>
  <c r="R209" i="1"/>
  <c r="D213" i="1"/>
  <c r="C114" i="1"/>
  <c r="CH232" i="1" s="1"/>
  <c r="C25" i="1"/>
  <c r="AX45" i="1"/>
  <c r="S210" i="1"/>
  <c r="R210" i="1"/>
  <c r="Q210" i="1"/>
  <c r="O210" i="1"/>
  <c r="N210" i="1"/>
  <c r="M210" i="1"/>
  <c r="P210" i="1"/>
  <c r="AP41" i="1"/>
  <c r="E325" i="1"/>
  <c r="F214" i="1"/>
  <c r="CH42" i="1"/>
  <c r="H33" i="1"/>
  <c r="CH641" i="1"/>
  <c r="R188" i="1"/>
  <c r="Q188" i="1"/>
  <c r="P188" i="1"/>
  <c r="O188" i="1"/>
  <c r="N188" i="1"/>
  <c r="AC188" i="1"/>
  <c r="M188" i="1"/>
  <c r="AA188" i="1"/>
  <c r="K188" i="1"/>
  <c r="Y188" i="1"/>
  <c r="I188" i="1"/>
  <c r="X188" i="1"/>
  <c r="H188" i="1"/>
  <c r="V188" i="1"/>
  <c r="F188" i="1"/>
  <c r="U188" i="1"/>
  <c r="AB188" i="1"/>
  <c r="Z188" i="1"/>
  <c r="W188" i="1"/>
  <c r="T188" i="1"/>
  <c r="S188" i="1"/>
  <c r="L188" i="1"/>
  <c r="J188" i="1"/>
  <c r="G188" i="1"/>
  <c r="BI16" i="1"/>
  <c r="BZ13" i="1"/>
  <c r="CA13" i="1" s="1"/>
  <c r="C17" i="1"/>
  <c r="C220" i="1"/>
  <c r="BI27" i="1"/>
  <c r="CH219" i="1"/>
  <c r="BI12" i="1"/>
  <c r="E96" i="1"/>
  <c r="C20" i="1"/>
  <c r="C111" i="1"/>
  <c r="E86" i="1"/>
  <c r="E92" i="1"/>
  <c r="E93" i="1"/>
  <c r="E95" i="1"/>
  <c r="E87" i="1"/>
  <c r="E94" i="1"/>
  <c r="E91" i="1"/>
  <c r="E89" i="1"/>
  <c r="E101" i="1"/>
  <c r="E97" i="1"/>
  <c r="E90" i="1"/>
  <c r="E88" i="1"/>
  <c r="E100" i="1"/>
  <c r="AP46" i="1"/>
  <c r="G294" i="1"/>
  <c r="G296" i="1" s="1"/>
  <c r="G184" i="1" s="1"/>
  <c r="AX40" i="1"/>
  <c r="AX49" i="1" s="1"/>
  <c r="AX50" i="1" s="1"/>
  <c r="AP43" i="1"/>
  <c r="E98" i="1"/>
  <c r="AP40" i="1"/>
  <c r="AP45" i="1"/>
  <c r="F296" i="1"/>
  <c r="AP42" i="1"/>
  <c r="R240" i="1"/>
  <c r="S177" i="1"/>
  <c r="AP48" i="1"/>
  <c r="AX13" i="1"/>
  <c r="AX14" i="1" s="1"/>
  <c r="R192" i="1"/>
  <c r="R178" i="1"/>
  <c r="AP39" i="1"/>
  <c r="AP13" i="1"/>
  <c r="AP14" i="1" s="1"/>
  <c r="AP44" i="1"/>
  <c r="S240" i="1" l="1"/>
  <c r="T177" i="1"/>
  <c r="E119" i="1"/>
  <c r="CH238" i="1" s="1"/>
  <c r="BJ27" i="1"/>
  <c r="BI9" i="1"/>
  <c r="CH17" i="1"/>
  <c r="AT50" i="1"/>
  <c r="AT14" i="1"/>
  <c r="CH9" i="1"/>
  <c r="E214" i="1"/>
  <c r="CH628" i="1"/>
  <c r="C105" i="1"/>
  <c r="E209" i="1"/>
  <c r="D209" i="1" s="1"/>
  <c r="CH651" i="1"/>
  <c r="D220" i="1"/>
  <c r="H292" i="1"/>
  <c r="AP32" i="1"/>
  <c r="CH44" i="1"/>
  <c r="G167" i="1"/>
  <c r="G218" i="1"/>
  <c r="G223" i="1"/>
  <c r="E210" i="1"/>
  <c r="D210" i="1" s="1"/>
  <c r="F184" i="1"/>
  <c r="E188" i="1"/>
  <c r="D188" i="1" s="1"/>
  <c r="R250" i="1"/>
  <c r="R254" i="1" s="1"/>
  <c r="BJ29" i="1"/>
  <c r="CH229" i="1"/>
  <c r="C112" i="1"/>
  <c r="CH230" i="1" s="1"/>
  <c r="BG23" i="1"/>
  <c r="CH12" i="1"/>
  <c r="S192" i="1"/>
  <c r="S250" i="1" s="1"/>
  <c r="S254" i="1" s="1"/>
  <c r="S178" i="1"/>
  <c r="AP49" i="1"/>
  <c r="AP50" i="1" s="1"/>
  <c r="H294" i="1" l="1"/>
  <c r="I292" i="1"/>
  <c r="T240" i="1"/>
  <c r="U177" i="1"/>
  <c r="F218" i="1"/>
  <c r="F167" i="1"/>
  <c r="F223" i="1"/>
  <c r="F225" i="1" s="1"/>
  <c r="G225" i="1" s="1"/>
  <c r="CH223" i="1"/>
  <c r="C214" i="1"/>
  <c r="C107" i="1"/>
  <c r="T178" i="1"/>
  <c r="T192" i="1"/>
  <c r="T250" i="1" s="1"/>
  <c r="T254" i="1" s="1"/>
  <c r="F219" i="1" l="1"/>
  <c r="G219" i="1" s="1"/>
  <c r="I294" i="1"/>
  <c r="I296" i="1" s="1"/>
  <c r="I184" i="1" s="1"/>
  <c r="Z170" i="1"/>
  <c r="J170" i="1"/>
  <c r="Y170" i="1"/>
  <c r="X170" i="1"/>
  <c r="H170" i="1"/>
  <c r="W170" i="1"/>
  <c r="V170" i="1"/>
  <c r="U170" i="1"/>
  <c r="R170" i="1"/>
  <c r="P170" i="1"/>
  <c r="N170" i="1"/>
  <c r="AC170" i="1"/>
  <c r="AA170" i="1"/>
  <c r="AB170" i="1"/>
  <c r="T170" i="1"/>
  <c r="L170" i="1"/>
  <c r="S170" i="1"/>
  <c r="K170" i="1"/>
  <c r="I170" i="1"/>
  <c r="M170" i="1"/>
  <c r="O170" i="1"/>
  <c r="Q170" i="1"/>
  <c r="G170" i="1"/>
  <c r="F170" i="1"/>
  <c r="U192" i="1"/>
  <c r="U250" i="1" s="1"/>
  <c r="U254" i="1" s="1"/>
  <c r="U178" i="1"/>
  <c r="U240" i="1"/>
  <c r="V177" i="1"/>
  <c r="C122" i="1"/>
  <c r="D214" i="1"/>
  <c r="H296" i="1"/>
  <c r="CH225" i="1"/>
  <c r="C21" i="1"/>
  <c r="C113" i="1"/>
  <c r="BI14" i="1"/>
  <c r="AS10" i="1"/>
  <c r="AS46" i="1" s="1"/>
  <c r="AS11" i="1"/>
  <c r="AS28" i="1"/>
  <c r="AU28" i="1" s="1"/>
  <c r="AS25" i="1"/>
  <c r="AU25" i="1" s="1"/>
  <c r="AS23" i="1"/>
  <c r="AU23" i="1" s="1"/>
  <c r="AS9" i="1"/>
  <c r="AS30" i="1"/>
  <c r="AU30" i="1" s="1"/>
  <c r="AS21" i="1"/>
  <c r="AS12" i="1"/>
  <c r="AS48" i="1" s="1"/>
  <c r="AS27" i="1"/>
  <c r="AU27" i="1" s="1"/>
  <c r="AS22" i="1"/>
  <c r="AU22" i="1" s="1"/>
  <c r="AS26" i="1"/>
  <c r="AU26" i="1" s="1"/>
  <c r="AS3" i="1"/>
  <c r="AS4" i="1"/>
  <c r="AS40" i="1" s="1"/>
  <c r="AS24" i="1"/>
  <c r="AU24" i="1" s="1"/>
  <c r="AS6" i="1"/>
  <c r="AS42" i="1" s="1"/>
  <c r="AS7" i="1"/>
  <c r="AS43" i="1" s="1"/>
  <c r="AS5" i="1"/>
  <c r="AS8" i="1"/>
  <c r="AS29" i="1"/>
  <c r="AU29" i="1" s="1"/>
  <c r="CH13" i="1" l="1"/>
  <c r="AS39" i="1"/>
  <c r="AS13" i="1"/>
  <c r="J292" i="1"/>
  <c r="I218" i="1"/>
  <c r="I167" i="1"/>
  <c r="I223" i="1"/>
  <c r="AV27" i="1"/>
  <c r="V135" i="1" s="1"/>
  <c r="AZ27" i="1"/>
  <c r="V240" i="1"/>
  <c r="W177" i="1"/>
  <c r="AV26" i="1"/>
  <c r="V134" i="1" s="1"/>
  <c r="AZ26" i="1"/>
  <c r="CH240" i="1"/>
  <c r="E122" i="1"/>
  <c r="CH242" i="1" s="1"/>
  <c r="D122" i="1"/>
  <c r="AV25" i="1"/>
  <c r="V133" i="1" s="1"/>
  <c r="AZ25" i="1"/>
  <c r="AS31" i="1"/>
  <c r="AU21" i="1"/>
  <c r="AV29" i="1"/>
  <c r="V137" i="1" s="1"/>
  <c r="AZ29" i="1"/>
  <c r="AV28" i="1"/>
  <c r="V136" i="1" s="1"/>
  <c r="AZ28" i="1"/>
  <c r="H184" i="1"/>
  <c r="AV30" i="1"/>
  <c r="V138" i="1" s="1"/>
  <c r="AZ30" i="1"/>
  <c r="AS41" i="1"/>
  <c r="AS47" i="1"/>
  <c r="V178" i="1"/>
  <c r="V192" i="1"/>
  <c r="V250" i="1" s="1"/>
  <c r="V254" i="1" s="1"/>
  <c r="AV22" i="1"/>
  <c r="V130" i="1" s="1"/>
  <c r="AZ22" i="1"/>
  <c r="AV23" i="1"/>
  <c r="V131" i="1" s="1"/>
  <c r="AZ23" i="1"/>
  <c r="AS45" i="1"/>
  <c r="AS44" i="1"/>
  <c r="AV24" i="1"/>
  <c r="V132" i="1" s="1"/>
  <c r="AZ24" i="1"/>
  <c r="CH231" i="1"/>
  <c r="E170" i="1"/>
  <c r="D170" i="1" s="1"/>
  <c r="BD27" i="1" l="1"/>
  <c r="BB27" i="1"/>
  <c r="AY27" i="1"/>
  <c r="AV21" i="1"/>
  <c r="V129" i="1" s="1"/>
  <c r="V139" i="1" s="1"/>
  <c r="AU31" i="1"/>
  <c r="AV31" i="1" s="1"/>
  <c r="AV32" i="1" s="1"/>
  <c r="AZ21" i="1"/>
  <c r="AY25" i="1"/>
  <c r="BB25" i="1"/>
  <c r="BD25" i="1"/>
  <c r="J294" i="1"/>
  <c r="K292" i="1"/>
  <c r="W178" i="1"/>
  <c r="W192" i="1"/>
  <c r="W250" i="1" s="1"/>
  <c r="W254" i="1" s="1"/>
  <c r="BB30" i="1"/>
  <c r="AY30" i="1"/>
  <c r="BD30" i="1"/>
  <c r="BB26" i="1"/>
  <c r="BD26" i="1"/>
  <c r="AY26" i="1"/>
  <c r="C215" i="1"/>
  <c r="D215" i="1" s="1"/>
  <c r="CH241" i="1"/>
  <c r="C27" i="1"/>
  <c r="CH19" i="1" s="1"/>
  <c r="BJ37" i="1"/>
  <c r="AS14" i="1"/>
  <c r="AS32" i="1"/>
  <c r="AY29" i="1"/>
  <c r="BD29" i="1"/>
  <c r="BB29" i="1"/>
  <c r="BB22" i="1"/>
  <c r="AY22" i="1"/>
  <c r="BD22" i="1"/>
  <c r="BD24" i="1"/>
  <c r="BB24" i="1"/>
  <c r="AY24" i="1"/>
  <c r="H167" i="1"/>
  <c r="H218" i="1"/>
  <c r="H223" i="1"/>
  <c r="H225" i="1" s="1"/>
  <c r="I225" i="1" s="1"/>
  <c r="BD28" i="1"/>
  <c r="BB28" i="1"/>
  <c r="AY28" i="1"/>
  <c r="AS49" i="1"/>
  <c r="AS50" i="1" s="1"/>
  <c r="BD23" i="1"/>
  <c r="AY23" i="1"/>
  <c r="BB23" i="1"/>
  <c r="W240" i="1"/>
  <c r="X177" i="1"/>
  <c r="K294" i="1" l="1"/>
  <c r="K296" i="1" s="1"/>
  <c r="K184" i="1" s="1"/>
  <c r="AZ31" i="1"/>
  <c r="BD21" i="1"/>
  <c r="BB21" i="1"/>
  <c r="AY21" i="1"/>
  <c r="X240" i="1"/>
  <c r="Y177" i="1"/>
  <c r="J296" i="1"/>
  <c r="H219" i="1"/>
  <c r="I219" i="1" s="1"/>
  <c r="X192" i="1"/>
  <c r="X250" i="1" s="1"/>
  <c r="X254" i="1" s="1"/>
  <c r="X178" i="1"/>
  <c r="BB31" i="1" l="1"/>
  <c r="BB32" i="1" s="1"/>
  <c r="AZ32" i="1"/>
  <c r="AY31" i="1"/>
  <c r="AY32" i="1" s="1"/>
  <c r="BD31" i="1"/>
  <c r="BD32" i="1" s="1"/>
  <c r="Y192" i="1"/>
  <c r="Y250" i="1" s="1"/>
  <c r="Y254" i="1" s="1"/>
  <c r="Y178" i="1"/>
  <c r="J184" i="1"/>
  <c r="Y240" i="1"/>
  <c r="Z177" i="1"/>
  <c r="L292" i="1"/>
  <c r="K167" i="1"/>
  <c r="K218" i="1"/>
  <c r="K223" i="1"/>
  <c r="J218" i="1" l="1"/>
  <c r="J167" i="1"/>
  <c r="J223" i="1"/>
  <c r="J225" i="1" s="1"/>
  <c r="K225" i="1" s="1"/>
  <c r="AA177" i="1"/>
  <c r="Z240" i="1"/>
  <c r="Z192" i="1"/>
  <c r="Z250" i="1" s="1"/>
  <c r="Z254" i="1" s="1"/>
  <c r="Z178" i="1"/>
  <c r="L294" i="1"/>
  <c r="M292" i="1" s="1"/>
  <c r="M294" i="1" l="1"/>
  <c r="M296" i="1" s="1"/>
  <c r="M184" i="1" s="1"/>
  <c r="N292" i="1"/>
  <c r="AB177" i="1"/>
  <c r="AA240" i="1"/>
  <c r="AA192" i="1"/>
  <c r="AA250" i="1" s="1"/>
  <c r="AA254" i="1" s="1"/>
  <c r="AA178" i="1"/>
  <c r="J219" i="1"/>
  <c r="K219" i="1" s="1"/>
  <c r="L296" i="1"/>
  <c r="AB240" i="1" l="1"/>
  <c r="AC177" i="1"/>
  <c r="AB192" i="1"/>
  <c r="AB250" i="1" s="1"/>
  <c r="AB254" i="1" s="1"/>
  <c r="AB178" i="1"/>
  <c r="L184" i="1"/>
  <c r="N294" i="1"/>
  <c r="N296" i="1" s="1"/>
  <c r="N184" i="1" s="1"/>
  <c r="M218" i="1"/>
  <c r="M167" i="1"/>
  <c r="M223" i="1"/>
  <c r="O292" i="1" l="1"/>
  <c r="AC178" i="1"/>
  <c r="AC192" i="1"/>
  <c r="N218" i="1"/>
  <c r="N167" i="1"/>
  <c r="N223" i="1"/>
  <c r="L218" i="1"/>
  <c r="L167" i="1"/>
  <c r="L223" i="1"/>
  <c r="L225" i="1" s="1"/>
  <c r="M225" i="1" s="1"/>
  <c r="N225" i="1" s="1"/>
  <c r="AC240" i="1"/>
  <c r="N227" i="1" l="1"/>
  <c r="AC250" i="1"/>
  <c r="AC254" i="1" s="1"/>
  <c r="AC259" i="1" s="1"/>
  <c r="AC260" i="1" s="1"/>
  <c r="E192" i="1"/>
  <c r="L219" i="1"/>
  <c r="M219" i="1" s="1"/>
  <c r="N219" i="1" s="1"/>
  <c r="O294" i="1"/>
  <c r="O296" i="1" s="1"/>
  <c r="O184" i="1" s="1"/>
  <c r="O218" i="1" l="1"/>
  <c r="O167" i="1"/>
  <c r="O223" i="1"/>
  <c r="O225" i="1" s="1"/>
  <c r="O219" i="1"/>
  <c r="C219" i="1"/>
  <c r="D192" i="1"/>
  <c r="C119" i="1"/>
  <c r="BI8" i="1"/>
  <c r="C221" i="1"/>
  <c r="P292" i="1"/>
  <c r="CH237" i="1" l="1"/>
  <c r="BI13" i="1"/>
  <c r="C22" i="1"/>
  <c r="AR3" i="1"/>
  <c r="AR10" i="1"/>
  <c r="AR9" i="1"/>
  <c r="AR11" i="1"/>
  <c r="AR8" i="1"/>
  <c r="AR7" i="1"/>
  <c r="AR12" i="1"/>
  <c r="AR6" i="1"/>
  <c r="AR4" i="1"/>
  <c r="AR5" i="1"/>
  <c r="C115" i="1"/>
  <c r="CH233" i="1" s="1"/>
  <c r="CH650" i="1"/>
  <c r="P294" i="1"/>
  <c r="P296" i="1" s="1"/>
  <c r="P184" i="1" s="1"/>
  <c r="Q292" i="1"/>
  <c r="C225" i="1"/>
  <c r="CH652" i="1"/>
  <c r="O227" i="1"/>
  <c r="AR42" i="1" l="1"/>
  <c r="AU6" i="1"/>
  <c r="AR47" i="1"/>
  <c r="AU11" i="1"/>
  <c r="AR46" i="1"/>
  <c r="AU10" i="1"/>
  <c r="AR41" i="1"/>
  <c r="AU5" i="1"/>
  <c r="AR43" i="1"/>
  <c r="AU7" i="1"/>
  <c r="AR39" i="1"/>
  <c r="AR13" i="1"/>
  <c r="AR14" i="1" s="1"/>
  <c r="AU3" i="1"/>
  <c r="AR40" i="1"/>
  <c r="AU4" i="1"/>
  <c r="CH14" i="1"/>
  <c r="BI26" i="1"/>
  <c r="C24" i="1"/>
  <c r="BJ13" i="1"/>
  <c r="AR48" i="1"/>
  <c r="AU12" i="1"/>
  <c r="AR44" i="1"/>
  <c r="AU8" i="1"/>
  <c r="AR45" i="1"/>
  <c r="AU9" i="1"/>
  <c r="C226" i="1"/>
  <c r="P218" i="1"/>
  <c r="P219" i="1" s="1"/>
  <c r="P167" i="1"/>
  <c r="P223" i="1"/>
  <c r="P225" i="1" s="1"/>
  <c r="D219" i="1"/>
  <c r="Q294" i="1"/>
  <c r="Q296" i="1" s="1"/>
  <c r="Q184" i="1" s="1"/>
  <c r="J149" i="1" l="1"/>
  <c r="Z149" i="1"/>
  <c r="CH518" i="1" s="1"/>
  <c r="BR5" i="1"/>
  <c r="BO5" i="1"/>
  <c r="AB149" i="1"/>
  <c r="AU41" i="1"/>
  <c r="AV5" i="1"/>
  <c r="G131" i="1" s="1"/>
  <c r="AW5" i="1"/>
  <c r="AA149" i="1"/>
  <c r="CH519" i="1" s="1"/>
  <c r="L149" i="1"/>
  <c r="AZ5" i="1"/>
  <c r="AB147" i="1"/>
  <c r="AW3" i="1"/>
  <c r="AV3" i="1"/>
  <c r="G129" i="1" s="1"/>
  <c r="AU39" i="1"/>
  <c r="Z147" i="1"/>
  <c r="CH496" i="1" s="1"/>
  <c r="J147" i="1"/>
  <c r="BR3" i="1"/>
  <c r="BO3" i="1"/>
  <c r="AU13" i="1"/>
  <c r="AA147" i="1"/>
  <c r="CH497" i="1" s="1"/>
  <c r="L147" i="1"/>
  <c r="AZ3" i="1"/>
  <c r="Z152" i="1"/>
  <c r="CH551" i="1" s="1"/>
  <c r="J152" i="1"/>
  <c r="AV8" i="1"/>
  <c r="G134" i="1" s="1"/>
  <c r="AU44" i="1"/>
  <c r="AB152" i="1"/>
  <c r="BO8" i="1"/>
  <c r="BR8" i="1"/>
  <c r="AW8" i="1"/>
  <c r="AA152" i="1"/>
  <c r="CH552" i="1" s="1"/>
  <c r="L152" i="1"/>
  <c r="AZ8" i="1"/>
  <c r="J154" i="1"/>
  <c r="AB154" i="1"/>
  <c r="AU46" i="1"/>
  <c r="AV46" i="1" s="1"/>
  <c r="Z154" i="1"/>
  <c r="CH573" i="1" s="1"/>
  <c r="AW10" i="1"/>
  <c r="AV10" i="1"/>
  <c r="G136" i="1" s="1"/>
  <c r="BO10" i="1"/>
  <c r="BR10" i="1"/>
  <c r="AA154" i="1"/>
  <c r="CH574" i="1" s="1"/>
  <c r="L154" i="1"/>
  <c r="AZ10" i="1"/>
  <c r="AB151" i="1"/>
  <c r="Z151" i="1"/>
  <c r="CH540" i="1" s="1"/>
  <c r="J151" i="1"/>
  <c r="AW7" i="1"/>
  <c r="AU43" i="1"/>
  <c r="AV7" i="1"/>
  <c r="G133" i="1" s="1"/>
  <c r="BR7" i="1"/>
  <c r="BO7" i="1"/>
  <c r="AA151" i="1"/>
  <c r="CH541" i="1" s="1"/>
  <c r="L151" i="1"/>
  <c r="AZ7" i="1"/>
  <c r="J148" i="1"/>
  <c r="AB148" i="1"/>
  <c r="AU40" i="1"/>
  <c r="AW4" i="1"/>
  <c r="AV4" i="1"/>
  <c r="G130" i="1" s="1"/>
  <c r="BR4" i="1"/>
  <c r="Z148" i="1"/>
  <c r="CH507" i="1" s="1"/>
  <c r="BO4" i="1"/>
  <c r="AA148" i="1"/>
  <c r="CH508" i="1" s="1"/>
  <c r="L148" i="1"/>
  <c r="AZ4" i="1"/>
  <c r="Q218" i="1"/>
  <c r="Q167" i="1"/>
  <c r="Q223" i="1"/>
  <c r="Q225" i="1" s="1"/>
  <c r="H34" i="1"/>
  <c r="BI5" i="1"/>
  <c r="BI20" i="1"/>
  <c r="BI6" i="1"/>
  <c r="BW4" i="1"/>
  <c r="CH16" i="1"/>
  <c r="BI33" i="1"/>
  <c r="BJ11" i="1"/>
  <c r="BJ10" i="1"/>
  <c r="BJ7" i="1"/>
  <c r="BJ12" i="1"/>
  <c r="BI30" i="1"/>
  <c r="C26" i="1"/>
  <c r="BJ9" i="1"/>
  <c r="AW28" i="1"/>
  <c r="BA28" i="1" s="1"/>
  <c r="AW23" i="1"/>
  <c r="BA23" i="1" s="1"/>
  <c r="AW26" i="1"/>
  <c r="BA26" i="1" s="1"/>
  <c r="BJ14" i="1"/>
  <c r="AW30" i="1"/>
  <c r="BA30" i="1" s="1"/>
  <c r="AW25" i="1"/>
  <c r="BA25" i="1" s="1"/>
  <c r="AW29" i="1"/>
  <c r="BA29" i="1" s="1"/>
  <c r="AW24" i="1"/>
  <c r="BA24" i="1" s="1"/>
  <c r="AW27" i="1"/>
  <c r="BA27" i="1" s="1"/>
  <c r="AW22" i="1"/>
  <c r="BA22" i="1" s="1"/>
  <c r="AW21" i="1"/>
  <c r="BJ8" i="1"/>
  <c r="J155" i="1"/>
  <c r="AB155" i="1"/>
  <c r="AW11" i="1"/>
  <c r="AW47" i="1" s="1"/>
  <c r="Z155" i="1"/>
  <c r="CH584" i="1" s="1"/>
  <c r="BR11" i="1"/>
  <c r="BO11" i="1"/>
  <c r="AU47" i="1"/>
  <c r="AV11" i="1"/>
  <c r="G137" i="1" s="1"/>
  <c r="AA155" i="1"/>
  <c r="CH585" i="1" s="1"/>
  <c r="L155" i="1"/>
  <c r="AZ11" i="1"/>
  <c r="Z153" i="1"/>
  <c r="CH562" i="1" s="1"/>
  <c r="J153" i="1"/>
  <c r="AW9" i="1"/>
  <c r="AW45" i="1" s="1"/>
  <c r="AU45" i="1"/>
  <c r="AV45" i="1" s="1"/>
  <c r="AV9" i="1"/>
  <c r="G135" i="1" s="1"/>
  <c r="BO9" i="1"/>
  <c r="AB153" i="1"/>
  <c r="BR9" i="1"/>
  <c r="AA153" i="1"/>
  <c r="CH563" i="1" s="1"/>
  <c r="L153" i="1"/>
  <c r="AZ9" i="1"/>
  <c r="BJ25" i="1"/>
  <c r="AR49" i="1"/>
  <c r="AR50" i="1" s="1"/>
  <c r="AB156" i="1"/>
  <c r="Z156" i="1"/>
  <c r="CH595" i="1" s="1"/>
  <c r="J156" i="1"/>
  <c r="AW12" i="1"/>
  <c r="AW48" i="1" s="1"/>
  <c r="BR12" i="1"/>
  <c r="AU48" i="1"/>
  <c r="BO12" i="1"/>
  <c r="AV12" i="1"/>
  <c r="G138" i="1" s="1"/>
  <c r="AA156" i="1"/>
  <c r="CH596" i="1" s="1"/>
  <c r="L156" i="1"/>
  <c r="AZ12" i="1"/>
  <c r="R292" i="1"/>
  <c r="P227" i="1"/>
  <c r="AB150" i="1"/>
  <c r="Z150" i="1"/>
  <c r="CH529" i="1" s="1"/>
  <c r="J150" i="1"/>
  <c r="BO6" i="1"/>
  <c r="AU42" i="1"/>
  <c r="BR6" i="1"/>
  <c r="AW6" i="1"/>
  <c r="AW42" i="1" s="1"/>
  <c r="AV6" i="1"/>
  <c r="G132" i="1" s="1"/>
  <c r="AA150" i="1"/>
  <c r="CH530" i="1" s="1"/>
  <c r="L150" i="1"/>
  <c r="AZ6" i="1"/>
  <c r="Q219" i="1"/>
  <c r="Q227" i="1" l="1"/>
  <c r="CH423" i="1"/>
  <c r="K151" i="1"/>
  <c r="CH422" i="1" s="1"/>
  <c r="BC6" i="1"/>
  <c r="BB6" i="1"/>
  <c r="BD6" i="1"/>
  <c r="AY6" i="1"/>
  <c r="AZ42" i="1"/>
  <c r="AV48" i="1"/>
  <c r="BB4" i="1"/>
  <c r="AY4" i="1"/>
  <c r="BC4" i="1"/>
  <c r="BD4" i="1"/>
  <c r="AZ40" i="1"/>
  <c r="AW46" i="1"/>
  <c r="AW41" i="1"/>
  <c r="BI18" i="1"/>
  <c r="C32" i="1"/>
  <c r="BI19" i="1"/>
  <c r="C30" i="1"/>
  <c r="CH18" i="1"/>
  <c r="BJ43" i="1"/>
  <c r="BJ40" i="1"/>
  <c r="BJ45" i="1" s="1"/>
  <c r="BJ41" i="1"/>
  <c r="BJ42" i="1"/>
  <c r="BJ44" i="1"/>
  <c r="BC27" i="1"/>
  <c r="BC24" i="1"/>
  <c r="BC23" i="1"/>
  <c r="BC25" i="1"/>
  <c r="BC30" i="1"/>
  <c r="BC28" i="1"/>
  <c r="BC26" i="1"/>
  <c r="BC22" i="1"/>
  <c r="BC29" i="1"/>
  <c r="BC21" i="1"/>
  <c r="CH390" i="1"/>
  <c r="K148" i="1"/>
  <c r="CH389" i="1" s="1"/>
  <c r="AV43" i="1"/>
  <c r="AZ13" i="1"/>
  <c r="BD3" i="1"/>
  <c r="BC3" i="1"/>
  <c r="BB3" i="1"/>
  <c r="AY3" i="1"/>
  <c r="AZ39" i="1"/>
  <c r="AW31" i="1"/>
  <c r="BA21" i="1"/>
  <c r="AW43" i="1"/>
  <c r="CH379" i="1"/>
  <c r="K147" i="1"/>
  <c r="CH378" i="1" s="1"/>
  <c r="AV41" i="1"/>
  <c r="CH478" i="1"/>
  <c r="K156" i="1"/>
  <c r="CH477" i="1" s="1"/>
  <c r="AV44" i="1"/>
  <c r="BI34" i="1"/>
  <c r="AU14" i="1"/>
  <c r="AV13" i="1"/>
  <c r="AV14" i="1" s="1"/>
  <c r="AU32" i="1"/>
  <c r="BD5" i="1"/>
  <c r="BB5" i="1"/>
  <c r="AY5" i="1"/>
  <c r="BC5" i="1"/>
  <c r="AZ41" i="1"/>
  <c r="BD11" i="1"/>
  <c r="BC11" i="1"/>
  <c r="BB11" i="1"/>
  <c r="AY11" i="1"/>
  <c r="AZ47" i="1"/>
  <c r="AY8" i="1"/>
  <c r="BD8" i="1"/>
  <c r="BC8" i="1"/>
  <c r="BB8" i="1"/>
  <c r="AZ44" i="1"/>
  <c r="CH434" i="1"/>
  <c r="K152" i="1"/>
  <c r="CH433" i="1" s="1"/>
  <c r="J157" i="1" a="1"/>
  <c r="J157" i="1" s="1"/>
  <c r="AV42" i="1"/>
  <c r="BJ20" i="1"/>
  <c r="AV40" i="1"/>
  <c r="K149" i="1"/>
  <c r="CH400" i="1" s="1"/>
  <c r="CH401" i="1"/>
  <c r="AW40" i="1"/>
  <c r="AW44" i="1"/>
  <c r="AU49" i="1"/>
  <c r="AV39" i="1"/>
  <c r="CH412" i="1"/>
  <c r="K150" i="1"/>
  <c r="CH411" i="1" s="1"/>
  <c r="CH467" i="1"/>
  <c r="K155" i="1"/>
  <c r="CH466" i="1" s="1"/>
  <c r="BI17" i="1"/>
  <c r="BD9" i="1"/>
  <c r="BC9" i="1"/>
  <c r="BB9" i="1"/>
  <c r="AY9" i="1"/>
  <c r="AZ45" i="1"/>
  <c r="I21" i="1"/>
  <c r="I20" i="1"/>
  <c r="I19" i="1"/>
  <c r="CH27" i="1" s="1"/>
  <c r="I26" i="1"/>
  <c r="CH37" i="1" s="1"/>
  <c r="I23" i="1"/>
  <c r="CH33" i="1" s="1"/>
  <c r="I29" i="1"/>
  <c r="CH39" i="1" s="1"/>
  <c r="I22" i="1"/>
  <c r="CH31" i="1" s="1"/>
  <c r="I24" i="1"/>
  <c r="I30" i="1"/>
  <c r="CH41" i="1" s="1"/>
  <c r="I31" i="1"/>
  <c r="CH43" i="1" s="1"/>
  <c r="H35" i="1"/>
  <c r="BD10" i="1"/>
  <c r="BC10" i="1"/>
  <c r="BB10" i="1"/>
  <c r="AY10" i="1"/>
  <c r="AZ46" i="1"/>
  <c r="G139" i="1"/>
  <c r="BI25" i="1"/>
  <c r="R294" i="1"/>
  <c r="R296" i="1" s="1"/>
  <c r="R184" i="1" s="1"/>
  <c r="S292" i="1"/>
  <c r="AV47" i="1"/>
  <c r="BD12" i="1"/>
  <c r="BC12" i="1"/>
  <c r="BB12" i="1"/>
  <c r="AY12" i="1"/>
  <c r="AZ48" i="1"/>
  <c r="K153" i="1"/>
  <c r="CH444" i="1" s="1"/>
  <c r="CH445" i="1"/>
  <c r="BD7" i="1"/>
  <c r="AY7" i="1"/>
  <c r="BC7" i="1"/>
  <c r="BB7" i="1"/>
  <c r="AZ43" i="1"/>
  <c r="CH456" i="1"/>
  <c r="K154" i="1"/>
  <c r="CH455" i="1" s="1"/>
  <c r="AW39" i="1"/>
  <c r="AW49" i="1" s="1"/>
  <c r="AW50" i="1" s="1"/>
  <c r="AW13" i="1"/>
  <c r="BA12" i="1" l="1"/>
  <c r="BJ17" i="1"/>
  <c r="BA11" i="1"/>
  <c r="BA10" i="1"/>
  <c r="BD41" i="1"/>
  <c r="BA41" i="1" s="1"/>
  <c r="BC41" i="1"/>
  <c r="BB41" i="1"/>
  <c r="AY41" i="1"/>
  <c r="BB42" i="1"/>
  <c r="BD42" i="1"/>
  <c r="BA42" i="1" s="1"/>
  <c r="BC42" i="1"/>
  <c r="AY42" i="1"/>
  <c r="CH22" i="1"/>
  <c r="BA6" i="1"/>
  <c r="BW6" i="1"/>
  <c r="CH23" i="1"/>
  <c r="C34" i="1"/>
  <c r="BA9" i="1"/>
  <c r="R218" i="1"/>
  <c r="R219" i="1" s="1"/>
  <c r="R167" i="1"/>
  <c r="R223" i="1"/>
  <c r="R225" i="1" s="1"/>
  <c r="BB44" i="1"/>
  <c r="BC44" i="1"/>
  <c r="AY44" i="1"/>
  <c r="BD44" i="1"/>
  <c r="BA44" i="1" s="1"/>
  <c r="BA5" i="1"/>
  <c r="AU50" i="1"/>
  <c r="AV49" i="1"/>
  <c r="AV50" i="1" s="1"/>
  <c r="AW32" i="1"/>
  <c r="AW14" i="1"/>
  <c r="BJ18" i="1"/>
  <c r="S294" i="1"/>
  <c r="S296" i="1" s="1"/>
  <c r="S184" i="1" s="1"/>
  <c r="T292" i="1"/>
  <c r="BA7" i="1"/>
  <c r="BD39" i="1"/>
  <c r="BA39" i="1" s="1"/>
  <c r="AZ49" i="1"/>
  <c r="BC39" i="1"/>
  <c r="BB39" i="1"/>
  <c r="AY39" i="1"/>
  <c r="BC43" i="1"/>
  <c r="BD43" i="1"/>
  <c r="BA43" i="1" s="1"/>
  <c r="AY43" i="1"/>
  <c r="BB43" i="1"/>
  <c r="BD46" i="1"/>
  <c r="BA46" i="1" s="1"/>
  <c r="BC46" i="1"/>
  <c r="BB46" i="1"/>
  <c r="AY46" i="1"/>
  <c r="BA8" i="1"/>
  <c r="L30" i="1"/>
  <c r="L29" i="1"/>
  <c r="BD40" i="1"/>
  <c r="BA40" i="1" s="1"/>
  <c r="AY40" i="1"/>
  <c r="BC40" i="1"/>
  <c r="BB40" i="1"/>
  <c r="I33" i="1"/>
  <c r="CH35" i="1"/>
  <c r="BI35" i="1"/>
  <c r="BA4" i="1"/>
  <c r="BB13" i="1"/>
  <c r="BB14" i="1" s="1"/>
  <c r="BD13" i="1"/>
  <c r="BD14" i="1" s="1"/>
  <c r="AY13" i="1"/>
  <c r="AY14" i="1" s="1"/>
  <c r="AZ14" i="1"/>
  <c r="BC45" i="1"/>
  <c r="BB45" i="1"/>
  <c r="AY45" i="1"/>
  <c r="BD45" i="1"/>
  <c r="BA45" i="1" s="1"/>
  <c r="BC48" i="1"/>
  <c r="BD48" i="1"/>
  <c r="BA48" i="1" s="1"/>
  <c r="BB48" i="1"/>
  <c r="AY48" i="1"/>
  <c r="BB47" i="1"/>
  <c r="BD47" i="1"/>
  <c r="BA47" i="1" s="1"/>
  <c r="BC47" i="1"/>
  <c r="AY47" i="1"/>
  <c r="BA3" i="1"/>
  <c r="R227" i="1" l="1"/>
  <c r="CH24" i="1"/>
  <c r="BZ18" i="1"/>
  <c r="CA18" i="1" s="1"/>
  <c r="BZ14" i="1"/>
  <c r="BZ11" i="1"/>
  <c r="CA11" i="1" s="1"/>
  <c r="BZ15" i="1"/>
  <c r="CA15" i="1" s="1"/>
  <c r="BZ9" i="1"/>
  <c r="AZ50" i="1"/>
  <c r="AY49" i="1"/>
  <c r="AY50" i="1" s="1"/>
  <c r="BD49" i="1"/>
  <c r="BD50" i="1" s="1"/>
  <c r="BB49" i="1"/>
  <c r="BB50" i="1" s="1"/>
  <c r="T294" i="1"/>
  <c r="T296" i="1" s="1"/>
  <c r="T184" i="1" s="1"/>
  <c r="S218" i="1"/>
  <c r="S219" i="1" s="1"/>
  <c r="S167" i="1"/>
  <c r="S223" i="1"/>
  <c r="S225" i="1" s="1"/>
  <c r="S227" i="1" l="1"/>
  <c r="U292" i="1"/>
  <c r="BZ17" i="1"/>
  <c r="BZ19" i="1" s="1"/>
  <c r="CA19" i="1" s="1"/>
  <c r="CA9" i="1"/>
  <c r="CA17" i="1" s="1"/>
  <c r="T218" i="1"/>
  <c r="T219" i="1" s="1"/>
  <c r="T167" i="1"/>
  <c r="T223" i="1"/>
  <c r="T225" i="1" s="1"/>
  <c r="T227" i="1" l="1"/>
  <c r="U294" i="1"/>
  <c r="U296" i="1" s="1"/>
  <c r="U184" i="1" s="1"/>
  <c r="V292" i="1" l="1"/>
  <c r="U218" i="1"/>
  <c r="U219" i="1" s="1"/>
  <c r="U167" i="1"/>
  <c r="U223" i="1"/>
  <c r="U225" i="1" s="1"/>
  <c r="U227" i="1" l="1"/>
  <c r="V294" i="1"/>
  <c r="V296" i="1" s="1"/>
  <c r="V184" i="1" s="1"/>
  <c r="V218" i="1" l="1"/>
  <c r="V219" i="1" s="1"/>
  <c r="V167" i="1"/>
  <c r="V223" i="1"/>
  <c r="V225" i="1" s="1"/>
  <c r="W292" i="1"/>
  <c r="V227" i="1" l="1"/>
  <c r="W294" i="1"/>
  <c r="W296" i="1" s="1"/>
  <c r="W184" i="1" s="1"/>
  <c r="W167" i="1" l="1"/>
  <c r="W218" i="1"/>
  <c r="W219" i="1" s="1"/>
  <c r="W223" i="1"/>
  <c r="W225" i="1" s="1"/>
  <c r="X292" i="1"/>
  <c r="X294" i="1" l="1"/>
  <c r="X296" i="1" s="1"/>
  <c r="X184" i="1" s="1"/>
  <c r="Y292" i="1"/>
  <c r="W227" i="1"/>
  <c r="Y294" i="1" l="1"/>
  <c r="Y296" i="1" s="1"/>
  <c r="Y184" i="1" s="1"/>
  <c r="Z292" i="1"/>
  <c r="X167" i="1"/>
  <c r="X218" i="1"/>
  <c r="X219" i="1" s="1"/>
  <c r="X223" i="1"/>
  <c r="X225" i="1" s="1"/>
  <c r="X227" i="1" l="1"/>
  <c r="Z294" i="1"/>
  <c r="Z296" i="1" s="1"/>
  <c r="Z184" i="1" s="1"/>
  <c r="Y218" i="1"/>
  <c r="Y219" i="1" s="1"/>
  <c r="Y167" i="1"/>
  <c r="Y223" i="1"/>
  <c r="Y225" i="1" s="1"/>
  <c r="Y227" i="1" l="1"/>
  <c r="AA292" i="1"/>
  <c r="Z218" i="1"/>
  <c r="Z219" i="1" s="1"/>
  <c r="Z167" i="1"/>
  <c r="Z223" i="1"/>
  <c r="Z225" i="1" s="1"/>
  <c r="Z227" i="1" l="1"/>
  <c r="AA294" i="1"/>
  <c r="AA296" i="1" s="1"/>
  <c r="AA184" i="1" s="1"/>
  <c r="AB292" i="1"/>
  <c r="AB294" i="1" l="1"/>
  <c r="AB296" i="1" s="1"/>
  <c r="AB184" i="1" s="1"/>
  <c r="AA167" i="1"/>
  <c r="AA218" i="1"/>
  <c r="AA219" i="1" s="1"/>
  <c r="AA223" i="1"/>
  <c r="AA225" i="1" s="1"/>
  <c r="AA227" i="1" l="1"/>
  <c r="AC292" i="1"/>
  <c r="AC294" i="1" s="1"/>
  <c r="AB218" i="1"/>
  <c r="AB219" i="1" s="1"/>
  <c r="AB167" i="1"/>
  <c r="AB223" i="1"/>
  <c r="AB225" i="1" s="1"/>
  <c r="AB227" i="1" l="1"/>
  <c r="AC296" i="1"/>
  <c r="E294" i="1"/>
  <c r="D294" i="1" s="1"/>
  <c r="AC184" i="1" l="1"/>
  <c r="E296" i="1"/>
  <c r="D296" i="1" s="1"/>
  <c r="AC218" i="1" l="1"/>
  <c r="AC167" i="1"/>
  <c r="E167" i="1" s="1"/>
  <c r="D167" i="1" s="1"/>
  <c r="AC223" i="1"/>
  <c r="AC225" i="1" s="1"/>
  <c r="AC227" i="1" s="1"/>
  <c r="E184" i="1"/>
  <c r="AD189" i="1"/>
  <c r="C218" i="1" l="1"/>
  <c r="D184" i="1"/>
  <c r="C223" i="1"/>
  <c r="E218" i="1"/>
  <c r="AC219" i="1"/>
  <c r="C28" i="1" l="1"/>
  <c r="D218" i="1"/>
  <c r="D217" i="1"/>
  <c r="D221" i="1"/>
  <c r="CH649" i="1"/>
  <c r="C224" i="1"/>
  <c r="CH21" i="1" l="1"/>
  <c r="B227" i="1"/>
</calcChain>
</file>

<file path=xl/sharedStrings.xml><?xml version="1.0" encoding="utf-8"?>
<sst xmlns="http://schemas.openxmlformats.org/spreadsheetml/2006/main" count="3260" uniqueCount="1712">
  <si>
    <t>توزيع تكاليف المشروع على مكونات البيع المباشر و التأجير السنوي و اليومي</t>
  </si>
  <si>
    <r>
      <rPr>
        <sz val="11"/>
        <color theme="0"/>
        <rFont val="Arial"/>
        <family val="2"/>
        <charset val="1"/>
      </rPr>
      <t xml:space="preserve">جدول المؤشرات العامة للمشروع </t>
    </r>
    <r>
      <rPr>
        <sz val="11"/>
        <color theme="0"/>
        <rFont val="Calibri"/>
        <family val="2"/>
        <charset val="1"/>
      </rPr>
      <t>| General Project Indicators Table</t>
    </r>
  </si>
  <si>
    <r>
      <rPr>
        <sz val="10"/>
        <color theme="0"/>
        <rFont val="Arial"/>
        <family val="2"/>
        <charset val="1"/>
      </rPr>
      <t xml:space="preserve">الحدود المرجعية أو المثلى للمؤشرات
</t>
    </r>
    <r>
      <rPr>
        <sz val="10"/>
        <color theme="0"/>
        <rFont val="Calibri"/>
        <family val="2"/>
        <charset val="1"/>
      </rPr>
      <t>(Reference Ranges for Indicators)</t>
    </r>
  </si>
  <si>
    <r>
      <rPr>
        <sz val="7"/>
        <color theme="0"/>
        <rFont val="Arial"/>
        <family val="2"/>
        <charset val="1"/>
      </rPr>
      <t xml:space="preserve">سعر المتر بناءً على فترة الاسترداد </t>
    </r>
    <r>
      <rPr>
        <sz val="7"/>
        <color theme="0"/>
        <rFont val="Calibri"/>
        <family val="2"/>
        <charset val="1"/>
      </rPr>
      <t>- (</t>
    </r>
    <r>
      <rPr>
        <sz val="7"/>
        <color theme="0"/>
        <rFont val="Arial"/>
        <family val="2"/>
        <charset val="1"/>
      </rPr>
      <t>التأجير السنوي</t>
    </r>
    <r>
      <rPr>
        <sz val="7"/>
        <color theme="0"/>
        <rFont val="Calibri"/>
        <family val="2"/>
        <charset val="1"/>
      </rPr>
      <t>)</t>
    </r>
  </si>
  <si>
    <r>
      <rPr>
        <sz val="7"/>
        <color theme="0"/>
        <rFont val="Arial"/>
        <family val="2"/>
        <charset val="1"/>
      </rPr>
      <t xml:space="preserve">سعر المتر بناءً على فترة الاسترداد </t>
    </r>
    <r>
      <rPr>
        <sz val="7"/>
        <color theme="0"/>
        <rFont val="Calibri"/>
        <family val="2"/>
        <charset val="1"/>
      </rPr>
      <t>- (</t>
    </r>
    <r>
      <rPr>
        <sz val="7"/>
        <color theme="0"/>
        <rFont val="Arial"/>
        <family val="2"/>
        <charset val="1"/>
      </rPr>
      <t>التأجير اليومي</t>
    </r>
    <r>
      <rPr>
        <sz val="7"/>
        <color theme="0"/>
        <rFont val="Calibri"/>
        <family val="2"/>
        <charset val="1"/>
      </rPr>
      <t>)</t>
    </r>
  </si>
  <si>
    <t xml:space="preserve">اسم المشروع </t>
  </si>
  <si>
    <t>حالة المشروع</t>
  </si>
  <si>
    <t>تاريخ الانتهاء المتوقع</t>
  </si>
  <si>
    <t>القالب الموحّد الشامل لبنود دراسة الجدوى | Master Feasibility Template</t>
  </si>
  <si>
    <t>Disclaimer
This Excel model is intended exclusively for internal use by Rasf Investment. Unauthorized use or distribution for any other purpose is strictly prohibited</t>
  </si>
  <si>
    <t>اسم المشروع</t>
  </si>
  <si>
    <r>
      <rPr>
        <sz val="8"/>
        <rFont val="Calibri"/>
        <family val="2"/>
        <charset val="1"/>
      </rPr>
      <t xml:space="preserve">RF061-240904 </t>
    </r>
    <r>
      <rPr>
        <sz val="8"/>
        <rFont val="Arial"/>
        <family val="2"/>
        <charset val="1"/>
      </rPr>
      <t>الخليج</t>
    </r>
  </si>
  <si>
    <t xml:space="preserve">المكون
</t>
  </si>
  <si>
    <t>توزيع تكاليف الأرض</t>
  </si>
  <si>
    <t xml:space="preserve"> تكاليف البناء</t>
  </si>
  <si>
    <t>نسبة توزيع تكاليف اللاند سكيب</t>
  </si>
  <si>
    <t>توزيع تكاليف اللاندسكيب</t>
  </si>
  <si>
    <t>توزيع تكاليف البوديم و القبو</t>
  </si>
  <si>
    <t>توزيع تكاليف الحفر والمسح و الاختبار</t>
  </si>
  <si>
    <t>توزيع تكاليف المساحات الحركية والخدمية</t>
  </si>
  <si>
    <t>نسب التكاليف السابقة من التكاليف الموجودة بالجدول</t>
  </si>
  <si>
    <t>نسب التكاليف السابقة من التكاليف الكلية</t>
  </si>
  <si>
    <t>نسب المكون من البيع المباشر أو المخارجة من الإجمالي</t>
  </si>
  <si>
    <t>توزيع التكاليف الأخرى</t>
  </si>
  <si>
    <t>توزيع تكاليف أخرى إضافية</t>
  </si>
  <si>
    <t>توزيع تكاليف التمويل</t>
  </si>
  <si>
    <t>توزيع تكاليف الصندوق</t>
  </si>
  <si>
    <t>توزيع التكاليف التشغيلية</t>
  </si>
  <si>
    <t>إجمالي تكاليف كل مكون</t>
  </si>
  <si>
    <t>توزيع التكلفة على الأمتار البيعية</t>
  </si>
  <si>
    <t>نسبة تكاليف كل مكون من إجمالي المشروع</t>
  </si>
  <si>
    <t>إجمالي إيراد كل مكون</t>
  </si>
  <si>
    <t>صافي العائد لكل م² بيعي</t>
  </si>
  <si>
    <t>صافي دخل كل مكون</t>
  </si>
  <si>
    <t>العائد النسبي للمكون</t>
  </si>
  <si>
    <t>هامش الربح من إجمالي الإرادات</t>
  </si>
  <si>
    <t>نسبة صافي دخل كل مكون من إجمالي صافي دخل المشروع</t>
  </si>
  <si>
    <t>نسبة صافي دخل كل مكون</t>
  </si>
  <si>
    <r>
      <rPr>
        <sz val="8"/>
        <rFont val="Arial"/>
        <family val="2"/>
        <charset val="1"/>
      </rPr>
      <t xml:space="preserve">المكون
</t>
    </r>
    <r>
      <rPr>
        <sz val="8"/>
        <rFont val="Calibri"/>
        <family val="2"/>
        <charset val="1"/>
      </rPr>
      <t>(Component)</t>
    </r>
  </si>
  <si>
    <t>سعر المتر</t>
  </si>
  <si>
    <r>
      <rPr>
        <sz val="8"/>
        <rFont val="Arial"/>
        <family val="2"/>
        <charset val="1"/>
      </rPr>
      <t xml:space="preserve">فترة الأسترداد </t>
    </r>
    <r>
      <rPr>
        <sz val="8"/>
        <rFont val="Calibri"/>
        <family val="2"/>
        <charset val="1"/>
      </rPr>
      <t xml:space="preserve">- </t>
    </r>
    <r>
      <rPr>
        <sz val="8"/>
        <rFont val="Arial"/>
        <family val="2"/>
        <charset val="1"/>
      </rPr>
      <t>بالسنوات</t>
    </r>
  </si>
  <si>
    <t>اسم الصندوق</t>
  </si>
  <si>
    <t>?</t>
  </si>
  <si>
    <t>مرحلة توقيع العقود</t>
  </si>
  <si>
    <t>قالب ثابت يشمل كل المكوّنات والأقسام (حتى الفارغة) | مراجع حية داخل ورقة Study</t>
  </si>
  <si>
    <t>موقع المشروع</t>
  </si>
  <si>
    <t>الموقع</t>
  </si>
  <si>
    <t xml:space="preserve">سكني </t>
  </si>
  <si>
    <r>
      <rPr>
        <sz val="8"/>
        <rFont val="Arial"/>
        <family val="2"/>
        <charset val="1"/>
      </rPr>
      <t xml:space="preserve">سكني 
</t>
    </r>
    <r>
      <rPr>
        <sz val="8"/>
        <rFont val="Calibri"/>
        <family val="2"/>
        <charset val="1"/>
      </rPr>
      <t>(Apartments)</t>
    </r>
  </si>
  <si>
    <t>إجمالي تكاليف البناء</t>
  </si>
  <si>
    <t>فلل</t>
  </si>
  <si>
    <r>
      <rPr>
        <sz val="7"/>
        <color theme="0"/>
        <rFont val="Arial"/>
        <family val="2"/>
        <charset val="1"/>
      </rPr>
      <t xml:space="preserve">مؤشرات التكاليف والكفاءة
</t>
    </r>
    <r>
      <rPr>
        <sz val="7"/>
        <color theme="0"/>
        <rFont val="Calibri"/>
        <family val="2"/>
        <charset val="1"/>
      </rPr>
      <t>(Costs &amp; Efficiency Indicators)</t>
    </r>
  </si>
  <si>
    <r>
      <rPr>
        <sz val="8"/>
        <rFont val="Arial"/>
        <family val="2"/>
        <charset val="1"/>
      </rPr>
      <t xml:space="preserve">فلل
</t>
    </r>
    <r>
      <rPr>
        <sz val="8"/>
        <rFont val="Calibri"/>
        <family val="2"/>
        <charset val="1"/>
      </rPr>
      <t>(Villas)</t>
    </r>
  </si>
  <si>
    <t xml:space="preserve">تكلفة اجمالي المشروع </t>
  </si>
  <si>
    <t>#</t>
  </si>
  <si>
    <t>اسم البند</t>
  </si>
  <si>
    <t>الناتج</t>
  </si>
  <si>
    <t>الفئة</t>
  </si>
  <si>
    <t>مصدر الخلية</t>
  </si>
  <si>
    <t>ملاحظة / الوحدة</t>
  </si>
  <si>
    <t>تاون هاوس</t>
  </si>
  <si>
    <r>
      <rPr>
        <sz val="7"/>
        <color theme="1"/>
        <rFont val="Arial"/>
        <family val="2"/>
        <charset val="1"/>
      </rPr>
      <t xml:space="preserve">التكلفة لكل م² من إجمالي المساحات التطويرية
</t>
    </r>
    <r>
      <rPr>
        <sz val="7"/>
        <color theme="1"/>
        <rFont val="Calibri"/>
        <family val="2"/>
        <charset val="1"/>
      </rPr>
      <t>(Cost per m² of Total Built-Up Area)</t>
    </r>
  </si>
  <si>
    <t>-</t>
  </si>
  <si>
    <r>
      <rPr>
        <sz val="8"/>
        <rFont val="Arial"/>
        <family val="2"/>
        <charset val="1"/>
      </rPr>
      <t xml:space="preserve">تاون هاوس
</t>
    </r>
    <r>
      <rPr>
        <sz val="8"/>
        <rFont val="Calibri"/>
        <family val="2"/>
        <charset val="1"/>
      </rPr>
      <t>(Townhouse)</t>
    </r>
  </si>
  <si>
    <t>ايرادات المشروع</t>
  </si>
  <si>
    <t>▌ معلومات المشروع</t>
  </si>
  <si>
    <t>أدوار</t>
  </si>
  <si>
    <r>
      <rPr>
        <sz val="7"/>
        <color theme="1"/>
        <rFont val="Arial"/>
        <family val="2"/>
        <charset val="1"/>
      </rPr>
      <t xml:space="preserve">التكلفة لكل م² من إجمالي المساحات القابلة للبيع
</t>
    </r>
    <r>
      <rPr>
        <sz val="7"/>
        <color theme="1"/>
        <rFont val="Calibri"/>
        <family val="2"/>
        <charset val="1"/>
      </rPr>
      <t>(Cost per m² of Saleable Area)</t>
    </r>
  </si>
  <si>
    <r>
      <rPr>
        <sz val="8"/>
        <rFont val="Arial"/>
        <family val="2"/>
        <charset val="1"/>
      </rPr>
      <t xml:space="preserve">أدوار
</t>
    </r>
    <r>
      <rPr>
        <sz val="8"/>
        <rFont val="Calibri"/>
        <family val="2"/>
        <charset val="1"/>
      </rPr>
      <t>(Floors)</t>
    </r>
  </si>
  <si>
    <t>العائد على الملكية</t>
  </si>
  <si>
    <t>معلومات المشروع</t>
  </si>
  <si>
    <t>F2</t>
  </si>
  <si>
    <t>هوية المشروع</t>
  </si>
  <si>
    <t>أستوديوهات</t>
  </si>
  <si>
    <r>
      <rPr>
        <sz val="7"/>
        <color theme="1"/>
        <rFont val="Arial"/>
        <family val="2"/>
        <charset val="1"/>
      </rPr>
      <t xml:space="preserve">إجمالي التكاليف المباشرة
</t>
    </r>
    <r>
      <rPr>
        <sz val="7"/>
        <color theme="1"/>
        <rFont val="Calibri"/>
        <family val="2"/>
        <charset val="1"/>
      </rPr>
      <t>(Total Direct Costs)</t>
    </r>
  </si>
  <si>
    <r>
      <rPr>
        <sz val="7"/>
        <color theme="1"/>
        <rFont val="Arial"/>
        <family val="2"/>
        <charset val="1"/>
      </rPr>
      <t xml:space="preserve">غالبًا تمثل </t>
    </r>
    <r>
      <rPr>
        <sz val="7"/>
        <color theme="1"/>
        <rFont val="Calibri"/>
        <family val="2"/>
        <charset val="1"/>
      </rPr>
      <t xml:space="preserve">70% – 85% </t>
    </r>
    <r>
      <rPr>
        <sz val="7"/>
        <color theme="1"/>
        <rFont val="Arial"/>
        <family val="2"/>
        <charset val="1"/>
      </rPr>
      <t>من إجمالي التكاليف</t>
    </r>
  </si>
  <si>
    <r>
      <rPr>
        <sz val="8"/>
        <rFont val="Arial"/>
        <family val="2"/>
        <charset val="1"/>
      </rPr>
      <t xml:space="preserve">أستوديوهات
</t>
    </r>
    <r>
      <rPr>
        <sz val="8"/>
        <rFont val="Calibri"/>
        <family val="2"/>
        <charset val="1"/>
      </rPr>
      <t>(Studios)</t>
    </r>
  </si>
  <si>
    <t>F3</t>
  </si>
  <si>
    <t xml:space="preserve">مكتبي </t>
  </si>
  <si>
    <t>مكتبي</t>
  </si>
  <si>
    <r>
      <rPr>
        <sz val="7"/>
        <color theme="1"/>
        <rFont val="Arial"/>
        <family val="2"/>
        <charset val="1"/>
      </rPr>
      <t xml:space="preserve">إجمالي التكاليف غير المباشرة
</t>
    </r>
    <r>
      <rPr>
        <sz val="7"/>
        <color theme="1"/>
        <rFont val="Calibri"/>
        <family val="2"/>
        <charset val="1"/>
      </rPr>
      <t>(Total Indirect Costs)</t>
    </r>
  </si>
  <si>
    <r>
      <rPr>
        <sz val="7"/>
        <color theme="1"/>
        <rFont val="Arial"/>
        <family val="2"/>
        <charset val="1"/>
      </rPr>
      <t xml:space="preserve">من </t>
    </r>
    <r>
      <rPr>
        <sz val="7"/>
        <color theme="1"/>
        <rFont val="Calibri"/>
        <family val="2"/>
        <charset val="1"/>
      </rPr>
      <t xml:space="preserve">15% </t>
    </r>
    <r>
      <rPr>
        <sz val="7"/>
        <color theme="1"/>
        <rFont val="Arial"/>
        <family val="2"/>
        <charset val="1"/>
      </rPr>
      <t xml:space="preserve">إلى </t>
    </r>
    <r>
      <rPr>
        <sz val="7"/>
        <color theme="1"/>
        <rFont val="Calibri"/>
        <family val="2"/>
        <charset val="1"/>
      </rPr>
      <t xml:space="preserve">25% </t>
    </r>
    <r>
      <rPr>
        <sz val="7"/>
        <color theme="1"/>
        <rFont val="Arial"/>
        <family val="2"/>
        <charset val="1"/>
      </rPr>
      <t>من إجمالي التكاليف غالبًا</t>
    </r>
  </si>
  <si>
    <r>
      <rPr>
        <sz val="8"/>
        <rFont val="Arial"/>
        <family val="2"/>
        <charset val="1"/>
      </rPr>
      <t xml:space="preserve">مكتبي 
</t>
    </r>
    <r>
      <rPr>
        <sz val="8"/>
        <rFont val="Calibri"/>
        <family val="2"/>
        <charset val="1"/>
      </rPr>
      <t>(Office)</t>
    </r>
  </si>
  <si>
    <t>اشتراكات رصف</t>
  </si>
  <si>
    <t>نسبة الحصة</t>
  </si>
  <si>
    <t>مبلغ الاشتراك</t>
  </si>
  <si>
    <t>الآلية</t>
  </si>
  <si>
    <t>مبلغ الربح</t>
  </si>
  <si>
    <t>الإجمالي</t>
  </si>
  <si>
    <t>ملاحظات</t>
  </si>
  <si>
    <t>▌ ملخص الدراسة</t>
  </si>
  <si>
    <t>تجاري</t>
  </si>
  <si>
    <r>
      <rPr>
        <sz val="7"/>
        <color theme="1"/>
        <rFont val="Arial"/>
        <family val="2"/>
        <charset val="1"/>
      </rPr>
      <t xml:space="preserve">إجمالي التكاليف التشغيلية
</t>
    </r>
    <r>
      <rPr>
        <sz val="7"/>
        <color theme="1"/>
        <rFont val="Calibri"/>
        <family val="2"/>
        <charset val="1"/>
      </rPr>
      <t>(Total Operating Costs)</t>
    </r>
  </si>
  <si>
    <r>
      <rPr>
        <sz val="8"/>
        <rFont val="Arial"/>
        <family val="2"/>
        <charset val="1"/>
      </rPr>
      <t xml:space="preserve">تجاري
 </t>
    </r>
    <r>
      <rPr>
        <sz val="8"/>
        <rFont val="Calibri"/>
        <family val="2"/>
        <charset val="1"/>
      </rPr>
      <t>(Retail)</t>
    </r>
  </si>
  <si>
    <t>الحصة العينية من التطوير</t>
  </si>
  <si>
    <t>استثمار عيني</t>
  </si>
  <si>
    <t>إجمالي الإيرادات</t>
  </si>
  <si>
    <t>ملخص الدراسة</t>
  </si>
  <si>
    <t>C17</t>
  </si>
  <si>
    <t>ريال سعودي</t>
  </si>
  <si>
    <t xml:space="preserve">فندقي </t>
  </si>
  <si>
    <t>فندقي</t>
  </si>
  <si>
    <r>
      <rPr>
        <sz val="7"/>
        <color theme="1"/>
        <rFont val="Arial"/>
        <family val="2"/>
        <charset val="1"/>
      </rPr>
      <t xml:space="preserve">إجمالي قيمة ونسبة تكاليف الأرض من إجمالي تكاليف المشروع
</t>
    </r>
    <r>
      <rPr>
        <sz val="7"/>
        <color theme="1"/>
        <rFont val="Calibri"/>
        <family val="2"/>
        <charset val="1"/>
      </rPr>
      <t>(Land Cost as Value and %  of Total Project Cost)</t>
    </r>
  </si>
  <si>
    <r>
      <rPr>
        <sz val="7"/>
        <color theme="1"/>
        <rFont val="Arial"/>
        <family val="2"/>
        <charset val="1"/>
      </rPr>
      <t xml:space="preserve">من </t>
    </r>
    <r>
      <rPr>
        <sz val="7"/>
        <color theme="1"/>
        <rFont val="Calibri"/>
        <family val="2"/>
        <charset val="1"/>
      </rPr>
      <t xml:space="preserve">10% </t>
    </r>
    <r>
      <rPr>
        <sz val="7"/>
        <color theme="1"/>
        <rFont val="Arial"/>
        <family val="2"/>
        <charset val="1"/>
      </rPr>
      <t xml:space="preserve">إلى </t>
    </r>
    <r>
      <rPr>
        <sz val="7"/>
        <color theme="1"/>
        <rFont val="Calibri"/>
        <family val="2"/>
        <charset val="1"/>
      </rPr>
      <t xml:space="preserve">25% </t>
    </r>
    <r>
      <rPr>
        <sz val="7"/>
        <color theme="1"/>
        <rFont val="Arial"/>
        <family val="2"/>
        <charset val="1"/>
      </rPr>
      <t>غالبًا</t>
    </r>
  </si>
  <si>
    <r>
      <rPr>
        <sz val="8"/>
        <rFont val="Arial"/>
        <family val="2"/>
        <charset val="1"/>
      </rPr>
      <t xml:space="preserve">فندقي 
</t>
    </r>
    <r>
      <rPr>
        <sz val="8"/>
        <rFont val="Calibri"/>
        <family val="2"/>
        <charset val="1"/>
      </rPr>
      <t>(Hotel)</t>
    </r>
  </si>
  <si>
    <t>الحصة  من التطوير</t>
  </si>
  <si>
    <t>إجمالي تكلفة الأرض</t>
  </si>
  <si>
    <t>C18</t>
  </si>
  <si>
    <t xml:space="preserve">صحي </t>
  </si>
  <si>
    <t>صحي</t>
  </si>
  <si>
    <r>
      <rPr>
        <sz val="7"/>
        <color theme="1"/>
        <rFont val="Arial"/>
        <family val="2"/>
        <charset val="1"/>
      </rPr>
      <t xml:space="preserve">إجمالي قيمة ونسبة تكاليف البناء من إجمالي تكاليف المشروع
</t>
    </r>
    <r>
      <rPr>
        <sz val="7"/>
        <color theme="1"/>
        <rFont val="Calibri"/>
        <family val="2"/>
        <charset val="1"/>
      </rPr>
      <t>(Construction Cost as Value and % of Total Project Cost)</t>
    </r>
  </si>
  <si>
    <r>
      <rPr>
        <sz val="7"/>
        <color theme="1"/>
        <rFont val="Arial"/>
        <family val="2"/>
        <charset val="1"/>
      </rPr>
      <t xml:space="preserve">غالبًا بين </t>
    </r>
    <r>
      <rPr>
        <sz val="7"/>
        <color theme="1"/>
        <rFont val="Calibri"/>
        <family val="2"/>
        <charset val="1"/>
      </rPr>
      <t xml:space="preserve">45% </t>
    </r>
    <r>
      <rPr>
        <sz val="7"/>
        <color theme="1"/>
        <rFont val="Arial"/>
        <family val="2"/>
        <charset val="1"/>
      </rPr>
      <t xml:space="preserve">إلى </t>
    </r>
    <r>
      <rPr>
        <sz val="7"/>
        <color theme="1"/>
        <rFont val="Calibri"/>
        <family val="2"/>
        <charset val="1"/>
      </rPr>
      <t xml:space="preserve">65% </t>
    </r>
  </si>
  <si>
    <r>
      <rPr>
        <sz val="8"/>
        <rFont val="Arial"/>
        <family val="2"/>
        <charset val="1"/>
      </rPr>
      <t xml:space="preserve">صحي 
</t>
    </r>
    <r>
      <rPr>
        <sz val="8"/>
        <rFont val="Calibri"/>
        <family val="2"/>
        <charset val="1"/>
      </rPr>
      <t>(health)</t>
    </r>
  </si>
  <si>
    <t>الحصة العينية من المقاولات</t>
  </si>
  <si>
    <t>إجمالي تكلفة البناء</t>
  </si>
  <si>
    <t>C19</t>
  </si>
  <si>
    <r>
      <rPr>
        <sz val="7"/>
        <rFont val="Arial"/>
        <family val="2"/>
        <charset val="1"/>
      </rPr>
      <t xml:space="preserve">أخرى
</t>
    </r>
    <r>
      <rPr>
        <sz val="7"/>
        <rFont val="Calibri"/>
        <family val="2"/>
        <charset val="1"/>
      </rPr>
      <t>(Other)</t>
    </r>
  </si>
  <si>
    <t>شاليهات</t>
  </si>
  <si>
    <r>
      <rPr>
        <sz val="7"/>
        <color theme="1"/>
        <rFont val="Arial"/>
        <family val="2"/>
        <charset val="1"/>
      </rPr>
      <t xml:space="preserve">إجمالي قيمة ونسبة التكاليف الأخرى من إجمالي تكاليف المشروع
</t>
    </r>
    <r>
      <rPr>
        <sz val="7"/>
        <color theme="1"/>
        <rFont val="Calibri"/>
        <family val="2"/>
        <charset val="1"/>
      </rPr>
      <t>(Other Costs as % of Total Project Cost)</t>
    </r>
  </si>
  <si>
    <r>
      <rPr>
        <sz val="7"/>
        <color theme="1"/>
        <rFont val="Arial"/>
        <family val="2"/>
        <charset val="1"/>
      </rPr>
      <t xml:space="preserve">غالبًا بين </t>
    </r>
    <r>
      <rPr>
        <sz val="7"/>
        <color theme="1"/>
        <rFont val="Calibri"/>
        <family val="2"/>
        <charset val="1"/>
      </rPr>
      <t>10% – 20%</t>
    </r>
  </si>
  <si>
    <r>
      <rPr>
        <sz val="8"/>
        <rFont val="Arial"/>
        <family val="2"/>
        <charset val="1"/>
      </rPr>
      <t xml:space="preserve">شاليهات
</t>
    </r>
    <r>
      <rPr>
        <sz val="8"/>
        <rFont val="Calibri"/>
        <family val="2"/>
        <charset val="1"/>
      </rPr>
      <t>(Chalets)</t>
    </r>
  </si>
  <si>
    <t>الحصة  من المقاولات</t>
  </si>
  <si>
    <t>إجمالي التكاليف الأخرى</t>
  </si>
  <si>
    <t>C20</t>
  </si>
  <si>
    <r>
      <rPr>
        <sz val="7"/>
        <color theme="1"/>
        <rFont val="Arial"/>
        <family val="2"/>
        <charset val="1"/>
      </rPr>
      <t xml:space="preserve">إجمالي قيمة ونسبة تكاليف فوائد التمويل من إجمالي تكاليف المشروع
</t>
    </r>
    <r>
      <rPr>
        <sz val="7"/>
        <color theme="1"/>
        <rFont val="Calibri"/>
        <family val="2"/>
        <charset val="1"/>
      </rPr>
      <t>(Financing Interest as Value and % of Total Project Cost)</t>
    </r>
  </si>
  <si>
    <r>
      <rPr>
        <sz val="7"/>
        <color theme="1"/>
        <rFont val="Arial"/>
        <family val="2"/>
        <charset val="1"/>
      </rPr>
      <t xml:space="preserve">من </t>
    </r>
    <r>
      <rPr>
        <sz val="7"/>
        <color theme="1"/>
        <rFont val="Calibri"/>
        <family val="2"/>
        <charset val="1"/>
      </rPr>
      <t xml:space="preserve">5% – 12% </t>
    </r>
    <r>
      <rPr>
        <sz val="7"/>
        <color theme="1"/>
        <rFont val="Arial"/>
        <family val="2"/>
        <charset val="1"/>
      </rPr>
      <t>حسب مدة التمويل والفوائد</t>
    </r>
  </si>
  <si>
    <r>
      <rPr>
        <sz val="7"/>
        <color theme="1"/>
        <rFont val="Arial"/>
        <family val="2"/>
        <charset val="1"/>
      </rPr>
      <t xml:space="preserve">العمولات </t>
    </r>
    <r>
      <rPr>
        <sz val="7"/>
        <color theme="1"/>
        <rFont val="Calibri"/>
        <family val="2"/>
        <charset val="1"/>
      </rPr>
      <t xml:space="preserve">2.5% </t>
    </r>
    <r>
      <rPr>
        <sz val="7"/>
        <color theme="1"/>
        <rFont val="Arial"/>
        <family val="2"/>
        <charset val="1"/>
      </rPr>
      <t>من المبيعات</t>
    </r>
  </si>
  <si>
    <t>لا ينطبق</t>
  </si>
  <si>
    <t>مخارجة</t>
  </si>
  <si>
    <t>إجمالي رسوم الصندوق</t>
  </si>
  <si>
    <t>C21</t>
  </si>
  <si>
    <t>T &amp; F</t>
  </si>
  <si>
    <r>
      <rPr>
        <sz val="7"/>
        <color theme="1"/>
        <rFont val="Arial"/>
        <family val="2"/>
        <charset val="1"/>
      </rPr>
      <t xml:space="preserve">إجمالي قيمة ونسبة تكاليف الصندوق من إجمالي تكاليف المشروع
</t>
    </r>
    <r>
      <rPr>
        <sz val="7"/>
        <color theme="1"/>
        <rFont val="Calibri"/>
        <family val="2"/>
        <charset val="1"/>
      </rPr>
      <t>(Fund Management Cost as Value and % of Total Project Cost)</t>
    </r>
  </si>
  <si>
    <r>
      <rPr>
        <sz val="7"/>
        <color theme="1"/>
        <rFont val="Arial"/>
        <family val="2"/>
        <charset val="1"/>
      </rPr>
      <t xml:space="preserve">تتراوح من </t>
    </r>
    <r>
      <rPr>
        <sz val="7"/>
        <color theme="1"/>
        <rFont val="Calibri"/>
        <family val="2"/>
        <charset val="1"/>
      </rPr>
      <t xml:space="preserve">1% – 7% </t>
    </r>
    <r>
      <rPr>
        <sz val="7"/>
        <color theme="1"/>
        <rFont val="Arial"/>
        <family val="2"/>
        <charset val="1"/>
      </rPr>
      <t>حسب شروط الصندوق</t>
    </r>
  </si>
  <si>
    <t>نسبة رصف من المستثمرين</t>
  </si>
  <si>
    <t>فوائد التمويل</t>
  </si>
  <si>
    <t>C22</t>
  </si>
  <si>
    <r>
      <rPr>
        <sz val="10"/>
        <color theme="0"/>
        <rFont val="Calibri"/>
        <family val="2"/>
        <charset val="1"/>
      </rPr>
      <t xml:space="preserve"> Feasibility Study Summary | </t>
    </r>
    <r>
      <rPr>
        <sz val="10"/>
        <color theme="0"/>
        <rFont val="Arial"/>
        <family val="2"/>
        <charset val="1"/>
      </rPr>
      <t>ملخص دراسة الجدوى</t>
    </r>
  </si>
  <si>
    <r>
      <rPr>
        <sz val="10"/>
        <color theme="0"/>
        <rFont val="Calibri"/>
        <family val="2"/>
        <charset val="1"/>
      </rPr>
      <t xml:space="preserve">Financial Structuring | </t>
    </r>
    <r>
      <rPr>
        <sz val="10"/>
        <color theme="0"/>
        <rFont val="Arial"/>
        <family val="2"/>
        <charset val="1"/>
      </rPr>
      <t>الهيكلة المالية</t>
    </r>
  </si>
  <si>
    <r>
      <rPr>
        <sz val="10"/>
        <color theme="0"/>
        <rFont val="Arial"/>
        <family val="2"/>
        <charset val="1"/>
      </rPr>
      <t xml:space="preserve">مؤشرات الإيرادات والربحية </t>
    </r>
    <r>
      <rPr>
        <sz val="10"/>
        <color theme="0"/>
        <rFont val="Calibri"/>
        <family val="2"/>
        <charset val="1"/>
      </rPr>
      <t>| Revenue &amp; Profitability Indicators</t>
    </r>
  </si>
  <si>
    <t>الحصة من فارق قيمة الأرض</t>
  </si>
  <si>
    <t>×</t>
  </si>
  <si>
    <t>التمويل البنكي</t>
  </si>
  <si>
    <t>C23</t>
  </si>
  <si>
    <r>
      <rPr>
        <sz val="8"/>
        <color theme="0"/>
        <rFont val="Arial"/>
        <family val="2"/>
        <charset val="1"/>
      </rPr>
      <t xml:space="preserve">البند
</t>
    </r>
    <r>
      <rPr>
        <sz val="8"/>
        <color theme="0"/>
        <rFont val="Calibri"/>
        <family val="2"/>
        <charset val="1"/>
      </rPr>
      <t>(Item)</t>
    </r>
  </si>
  <si>
    <r>
      <rPr>
        <sz val="8"/>
        <color theme="0"/>
        <rFont val="Arial"/>
        <family val="2"/>
        <charset val="1"/>
      </rPr>
      <t xml:space="preserve">القيمة
</t>
    </r>
    <r>
      <rPr>
        <sz val="8"/>
        <color theme="0"/>
        <rFont val="Calibri"/>
        <family val="2"/>
        <charset val="1"/>
      </rPr>
      <t>(Value)</t>
    </r>
  </si>
  <si>
    <r>
      <rPr>
        <sz val="8"/>
        <color theme="0"/>
        <rFont val="Arial"/>
        <family val="2"/>
        <charset val="1"/>
      </rPr>
      <t xml:space="preserve"> رأس المال </t>
    </r>
    <r>
      <rPr>
        <sz val="8"/>
        <color theme="0"/>
        <rFont val="Calibri"/>
        <family val="2"/>
        <charset val="1"/>
      </rPr>
      <t>- (capital)</t>
    </r>
  </si>
  <si>
    <r>
      <rPr>
        <sz val="7"/>
        <color theme="1"/>
        <rFont val="Arial"/>
        <family val="2"/>
        <charset val="1"/>
      </rPr>
      <t xml:space="preserve">متوسط سعر بيع المتر البيعي
</t>
    </r>
    <r>
      <rPr>
        <sz val="7"/>
        <color theme="1"/>
        <rFont val="Calibri"/>
        <family val="2"/>
        <charset val="1"/>
      </rPr>
      <t>(Average Selling Price per Sellable m²)</t>
    </r>
  </si>
  <si>
    <r>
      <rPr>
        <sz val="7"/>
        <rFont val="Arial"/>
        <family val="2"/>
        <charset val="1"/>
      </rPr>
      <t xml:space="preserve">اشتراكات نقدية </t>
    </r>
    <r>
      <rPr>
        <sz val="7"/>
        <rFont val="Calibri"/>
        <family val="2"/>
        <charset val="1"/>
      </rPr>
      <t xml:space="preserve">/ </t>
    </r>
    <r>
      <rPr>
        <sz val="7"/>
        <rFont val="Arial"/>
        <family val="2"/>
        <charset val="1"/>
      </rPr>
      <t>مصاريف سابقة</t>
    </r>
  </si>
  <si>
    <t>إجمالي التكاليف الرأسمالية (CapEx)</t>
  </si>
  <si>
    <t>C24</t>
  </si>
  <si>
    <r>
      <rPr>
        <sz val="8"/>
        <color theme="1"/>
        <rFont val="Arial"/>
        <family val="2"/>
        <charset val="1"/>
      </rPr>
      <t xml:space="preserve">إجمالي الإيرادات
</t>
    </r>
    <r>
      <rPr>
        <sz val="8"/>
        <color theme="1"/>
        <rFont val="Calibri"/>
        <family val="2"/>
        <charset val="1"/>
      </rPr>
      <t>(Total Revenue)</t>
    </r>
  </si>
  <si>
    <r>
      <rPr>
        <sz val="8"/>
        <color theme="0"/>
        <rFont val="Arial"/>
        <family val="2"/>
        <charset val="1"/>
      </rPr>
      <t xml:space="preserve">المصدر
</t>
    </r>
    <r>
      <rPr>
        <sz val="8"/>
        <color theme="0"/>
        <rFont val="Calibri"/>
        <family val="2"/>
        <charset val="1"/>
      </rPr>
      <t>(Source)</t>
    </r>
  </si>
  <si>
    <t>SAR</t>
  </si>
  <si>
    <t>%</t>
  </si>
  <si>
    <r>
      <rPr>
        <sz val="7"/>
        <color theme="1"/>
        <rFont val="Arial"/>
        <family val="2"/>
        <charset val="1"/>
      </rPr>
      <t xml:space="preserve">متوسط قيمة و نسبة الربح لكل م²
</t>
    </r>
    <r>
      <rPr>
        <sz val="7"/>
        <color theme="1"/>
        <rFont val="Calibri"/>
        <family val="2"/>
        <charset val="1"/>
      </rPr>
      <t>(Average Profit Value and % per m²)</t>
    </r>
  </si>
  <si>
    <t>اجمالي رصف</t>
  </si>
  <si>
    <t>إجمالي التكاليف التشغيلية (OpEx)</t>
  </si>
  <si>
    <t>C25</t>
  </si>
  <si>
    <r>
      <rPr>
        <sz val="8"/>
        <color theme="1"/>
        <rFont val="Arial"/>
        <family val="2"/>
        <charset val="1"/>
      </rPr>
      <t xml:space="preserve">إجمالي تكلفة الأرض
</t>
    </r>
    <r>
      <rPr>
        <sz val="8"/>
        <color theme="1"/>
        <rFont val="Calibri"/>
        <family val="2"/>
        <charset val="1"/>
      </rPr>
      <t>(Total Land Cost)</t>
    </r>
  </si>
  <si>
    <r>
      <rPr>
        <sz val="8"/>
        <color theme="0"/>
        <rFont val="Calibri"/>
        <family val="2"/>
        <charset val="1"/>
      </rPr>
      <t xml:space="preserve">(Equity) - </t>
    </r>
    <r>
      <rPr>
        <sz val="8"/>
        <color theme="0"/>
        <rFont val="Arial"/>
        <family val="2"/>
        <charset val="1"/>
      </rPr>
      <t>الملكية</t>
    </r>
  </si>
  <si>
    <r>
      <rPr>
        <sz val="7"/>
        <color theme="1"/>
        <rFont val="Arial"/>
        <family val="2"/>
        <charset val="1"/>
      </rPr>
      <t xml:space="preserve">العائد على المتر البيعي (شامل عوائد الإيجار)
</t>
    </r>
    <r>
      <rPr>
        <sz val="7"/>
        <color theme="1"/>
        <rFont val="Calibri"/>
        <family val="2"/>
        <charset val="1"/>
      </rPr>
      <t>(Total Return per Saleable m² including Rental Income)</t>
    </r>
  </si>
  <si>
    <t>مستثمرين رصف</t>
  </si>
  <si>
    <t>صافي الدخل</t>
  </si>
  <si>
    <t>C26</t>
  </si>
  <si>
    <r>
      <rPr>
        <sz val="8"/>
        <color theme="1"/>
        <rFont val="Arial"/>
        <family val="2"/>
        <charset val="1"/>
      </rPr>
      <t xml:space="preserve">إجمالي تكلفة البناء
 </t>
    </r>
    <r>
      <rPr>
        <sz val="8"/>
        <color theme="1"/>
        <rFont val="Calibri"/>
        <family val="2"/>
        <charset val="1"/>
      </rPr>
      <t>(Total Construction Cost)</t>
    </r>
  </si>
  <si>
    <r>
      <rPr>
        <sz val="8"/>
        <color theme="1"/>
        <rFont val="Arial"/>
        <family val="2"/>
        <charset val="1"/>
      </rPr>
      <t xml:space="preserve"> الاشتراكات النقدية
 </t>
    </r>
    <r>
      <rPr>
        <sz val="8"/>
        <color theme="1"/>
        <rFont val="Calibri"/>
        <family val="2"/>
        <charset val="1"/>
      </rPr>
      <t>(Cash Subscription)</t>
    </r>
  </si>
  <si>
    <t>توزيع تكاليف مكونات البيع على الخارطة</t>
  </si>
  <si>
    <r>
      <rPr>
        <sz val="7"/>
        <color theme="1"/>
        <rFont val="Arial"/>
        <family val="2"/>
        <charset val="1"/>
      </rPr>
      <t xml:space="preserve">نسبة صافي الربح من الإيرادات
</t>
    </r>
    <r>
      <rPr>
        <sz val="7"/>
        <color theme="1"/>
        <rFont val="Calibri"/>
        <family val="2"/>
        <charset val="1"/>
      </rPr>
      <t>(Net Profit as % of Revenues)</t>
    </r>
  </si>
  <si>
    <r>
      <rPr>
        <sz val="7"/>
        <color theme="1"/>
        <rFont val="Arial"/>
        <family val="2"/>
        <charset val="1"/>
      </rPr>
      <t xml:space="preserve">مثالي إن كان بين </t>
    </r>
    <r>
      <rPr>
        <sz val="7"/>
        <color theme="1"/>
        <rFont val="Calibri"/>
        <family val="2"/>
        <charset val="1"/>
      </rPr>
      <t>20% إلى 35%
(</t>
    </r>
    <r>
      <rPr>
        <sz val="7"/>
        <color theme="1"/>
        <rFont val="Arial"/>
        <family val="2"/>
        <charset val="1"/>
      </rPr>
      <t xml:space="preserve">أقل من </t>
    </r>
    <r>
      <rPr>
        <sz val="7"/>
        <color theme="1"/>
        <rFont val="Calibri"/>
        <family val="2"/>
        <charset val="1"/>
      </rPr>
      <t>15% يُعد ضعيف، وأكثر من 40% نادر وممتاز)</t>
    </r>
  </si>
  <si>
    <t>الاجمالي</t>
  </si>
  <si>
    <t>مدة المشروع المتوقعة (سنوات)</t>
  </si>
  <si>
    <t>C27</t>
  </si>
  <si>
    <t>سنة</t>
  </si>
  <si>
    <r>
      <rPr>
        <sz val="8"/>
        <color theme="1"/>
        <rFont val="Arial"/>
        <family val="2"/>
        <charset val="1"/>
      </rPr>
      <t xml:space="preserve">إجمالي التكاليف الأخرى
 </t>
    </r>
    <r>
      <rPr>
        <sz val="8"/>
        <color theme="1"/>
        <rFont val="Calibri"/>
        <family val="2"/>
        <charset val="1"/>
      </rPr>
      <t>(Total Other cost)</t>
    </r>
  </si>
  <si>
    <r>
      <rPr>
        <sz val="8"/>
        <color theme="1"/>
        <rFont val="Arial"/>
        <family val="2"/>
        <charset val="1"/>
      </rPr>
      <t xml:space="preserve"> الاشتراك من مدير الصندوق
 </t>
    </r>
    <r>
      <rPr>
        <sz val="8"/>
        <color theme="1"/>
        <rFont val="Calibri"/>
        <family val="2"/>
        <charset val="1"/>
      </rPr>
      <t>(fund manager's Subscription)</t>
    </r>
  </si>
  <si>
    <t>نسبة تزيع تكاليف اللاند سكيب</t>
  </si>
  <si>
    <t>نسبة بيع المكون على الخارطة من الإجمالي</t>
  </si>
  <si>
    <t>تكاليف بيع الخارطة</t>
  </si>
  <si>
    <r>
      <rPr>
        <sz val="7"/>
        <color theme="1"/>
        <rFont val="Arial"/>
        <family val="2"/>
        <charset val="1"/>
      </rPr>
      <t xml:space="preserve">نقطة التعادل - عدد الأمتار البيعية اللازمة لتغطية التكاليف
</t>
    </r>
    <r>
      <rPr>
        <sz val="7"/>
        <color theme="1"/>
        <rFont val="Calibri"/>
        <family val="2"/>
        <charset val="1"/>
      </rPr>
      <t>(Sellable Area Required for Cost Recovery)</t>
    </r>
  </si>
  <si>
    <t>▌ المؤشرات المالية</t>
  </si>
  <si>
    <r>
      <rPr>
        <sz val="8"/>
        <color theme="1"/>
        <rFont val="Arial"/>
        <family val="2"/>
        <charset val="1"/>
      </rPr>
      <t xml:space="preserve">إجمالي رسوم الصندوق
</t>
    </r>
    <r>
      <rPr>
        <sz val="8"/>
        <color theme="1"/>
        <rFont val="Calibri"/>
        <family val="2"/>
        <charset val="1"/>
      </rPr>
      <t>(Total Fund Fees)</t>
    </r>
  </si>
  <si>
    <r>
      <rPr>
        <sz val="8"/>
        <color theme="1"/>
        <rFont val="Arial"/>
        <family val="2"/>
        <charset val="1"/>
      </rPr>
      <t xml:space="preserve">الأشتراك النقدي من المطور
</t>
    </r>
    <r>
      <rPr>
        <sz val="8"/>
        <color theme="1"/>
        <rFont val="Calibri"/>
        <family val="2"/>
        <charset val="1"/>
      </rPr>
      <t>(Cash Subscription from Developer)</t>
    </r>
  </si>
  <si>
    <r>
      <rPr>
        <sz val="7"/>
        <color theme="1"/>
        <rFont val="Arial"/>
        <family val="2"/>
        <charset val="1"/>
      </rPr>
      <t xml:space="preserve">سكني
</t>
    </r>
    <r>
      <rPr>
        <sz val="7"/>
        <color theme="1"/>
        <rFont val="Calibri"/>
        <family val="2"/>
        <charset val="1"/>
      </rPr>
      <t>(</t>
    </r>
    <r>
      <rPr>
        <sz val="7"/>
        <color theme="1"/>
        <rFont val="Arial"/>
        <family val="2"/>
        <charset val="1"/>
      </rPr>
      <t>بيع على الخارطة</t>
    </r>
    <r>
      <rPr>
        <sz val="7"/>
        <color theme="1"/>
        <rFont val="Calibri"/>
        <family val="2"/>
        <charset val="1"/>
      </rPr>
      <t xml:space="preserve">) </t>
    </r>
  </si>
  <si>
    <t>لا يــــنــطــبــق</t>
  </si>
  <si>
    <r>
      <rPr>
        <sz val="10"/>
        <color theme="0"/>
        <rFont val="Arial"/>
        <family val="2"/>
        <charset val="1"/>
      </rPr>
      <t xml:space="preserve">مؤشرات التمويل والمخاطر </t>
    </r>
    <r>
      <rPr>
        <sz val="10"/>
        <color theme="0"/>
        <rFont val="Calibri"/>
        <family val="2"/>
        <charset val="1"/>
      </rPr>
      <t>| Financing &amp; Risk Indicators</t>
    </r>
  </si>
  <si>
    <t>معدل العائد الداخلي (IRR)</t>
  </si>
  <si>
    <t>المؤشرات المالية</t>
  </si>
  <si>
    <t>C28</t>
  </si>
  <si>
    <t>نسبة مئوية</t>
  </si>
  <si>
    <r>
      <rPr>
        <sz val="8"/>
        <color theme="1"/>
        <rFont val="Arial"/>
        <family val="2"/>
        <charset val="1"/>
      </rPr>
      <t xml:space="preserve">فوائد التمويل
 </t>
    </r>
    <r>
      <rPr>
        <sz val="8"/>
        <color theme="1"/>
        <rFont val="Calibri"/>
        <family val="2"/>
        <charset val="1"/>
      </rPr>
      <t>(Interest)</t>
    </r>
  </si>
  <si>
    <r>
      <rPr>
        <sz val="8"/>
        <color theme="1"/>
        <rFont val="Arial"/>
        <family val="2"/>
        <charset val="1"/>
      </rPr>
      <t xml:space="preserve">الأشتراك العيني من المطور
</t>
    </r>
    <r>
      <rPr>
        <sz val="8"/>
        <color theme="1"/>
        <rFont val="Calibri"/>
        <family val="2"/>
        <charset val="1"/>
      </rPr>
      <t>(In-Kind Subscription from Developer)</t>
    </r>
  </si>
  <si>
    <r>
      <rPr>
        <sz val="7"/>
        <rFont val="Arial"/>
        <family val="2"/>
        <charset val="1"/>
      </rPr>
      <t xml:space="preserve">فلل
</t>
    </r>
    <r>
      <rPr>
        <sz val="7"/>
        <rFont val="Calibri"/>
        <family val="2"/>
        <charset val="1"/>
      </rPr>
      <t>(</t>
    </r>
    <r>
      <rPr>
        <sz val="7"/>
        <rFont val="Arial"/>
        <family val="2"/>
        <charset val="1"/>
      </rPr>
      <t>بيع على الخارطة</t>
    </r>
    <r>
      <rPr>
        <sz val="7"/>
        <rFont val="Calibri"/>
        <family val="2"/>
        <charset val="1"/>
      </rPr>
      <t>)</t>
    </r>
  </si>
  <si>
    <r>
      <rPr>
        <sz val="7"/>
        <color theme="1"/>
        <rFont val="Arial"/>
        <family val="2"/>
        <charset val="1"/>
      </rPr>
      <t xml:space="preserve">القيم والنسب الخاصة بالتمويل البنكي
</t>
    </r>
    <r>
      <rPr>
        <sz val="7"/>
        <color theme="1"/>
        <rFont val="Calibri"/>
        <family val="2"/>
        <charset val="1"/>
      </rPr>
      <t>(Bank Financing Limits &amp; Conditions)</t>
    </r>
  </si>
  <si>
    <t>العائد على الاستثمار (ROI)</t>
  </si>
  <si>
    <t>C30</t>
  </si>
  <si>
    <r>
      <rPr>
        <sz val="8"/>
        <color theme="1"/>
        <rFont val="Arial"/>
        <family val="2"/>
        <charset val="1"/>
      </rPr>
      <t xml:space="preserve"> التمويل البنكي
 </t>
    </r>
    <r>
      <rPr>
        <sz val="8"/>
        <color theme="1"/>
        <rFont val="Calibri"/>
        <family val="2"/>
        <charset val="1"/>
      </rPr>
      <t>(Bank Financing)</t>
    </r>
  </si>
  <si>
    <r>
      <rPr>
        <sz val="8"/>
        <color theme="1"/>
        <rFont val="Arial"/>
        <family val="2"/>
        <charset val="1"/>
      </rPr>
      <t xml:space="preserve"> الإشتراك العيني من مالك الأرض
 </t>
    </r>
    <r>
      <rPr>
        <sz val="8"/>
        <color theme="1"/>
        <rFont val="Calibri"/>
        <family val="2"/>
        <charset val="1"/>
      </rPr>
      <t>(In-Kind Subscription from Landowner)</t>
    </r>
  </si>
  <si>
    <r>
      <rPr>
        <sz val="7"/>
        <color theme="1"/>
        <rFont val="Arial"/>
        <family val="2"/>
        <charset val="1"/>
      </rPr>
      <t xml:space="preserve">تاون هاوس
</t>
    </r>
    <r>
      <rPr>
        <sz val="7"/>
        <color theme="1"/>
        <rFont val="Calibri"/>
        <family val="2"/>
        <charset val="1"/>
      </rPr>
      <t>(</t>
    </r>
    <r>
      <rPr>
        <sz val="7"/>
        <color theme="1"/>
        <rFont val="Arial"/>
        <family val="2"/>
        <charset val="1"/>
      </rPr>
      <t>بيع على الخارطة</t>
    </r>
    <r>
      <rPr>
        <sz val="7"/>
        <color theme="1"/>
        <rFont val="Calibri"/>
        <family val="2"/>
        <charset val="1"/>
      </rPr>
      <t>)</t>
    </r>
  </si>
  <si>
    <t>العائد على الملكية (ROE)</t>
  </si>
  <si>
    <t>C32</t>
  </si>
  <si>
    <r>
      <rPr>
        <sz val="8"/>
        <color theme="1"/>
        <rFont val="Arial"/>
        <family val="2"/>
        <charset val="1"/>
      </rPr>
      <t xml:space="preserve">إجمالي التكاليف الرأسمالية للمشروع
</t>
    </r>
    <r>
      <rPr>
        <sz val="8"/>
        <color theme="1"/>
        <rFont val="Calibri"/>
        <family val="2"/>
        <charset val="1"/>
      </rPr>
      <t>(Total Capital Expenditures)</t>
    </r>
  </si>
  <si>
    <r>
      <rPr>
        <sz val="8"/>
        <color theme="1"/>
        <rFont val="Arial"/>
        <family val="2"/>
        <charset val="1"/>
      </rPr>
      <t xml:space="preserve">إجمالي الملكية 
</t>
    </r>
    <r>
      <rPr>
        <sz val="8"/>
        <color theme="1"/>
        <rFont val="Calibri"/>
        <family val="2"/>
        <charset val="1"/>
      </rPr>
      <t>(Total Equity)</t>
    </r>
  </si>
  <si>
    <r>
      <rPr>
        <sz val="7"/>
        <rFont val="Arial"/>
        <family val="2"/>
        <charset val="1"/>
      </rPr>
      <t xml:space="preserve">أدوار
</t>
    </r>
    <r>
      <rPr>
        <sz val="7"/>
        <rFont val="Calibri"/>
        <family val="2"/>
        <charset val="1"/>
      </rPr>
      <t>(</t>
    </r>
    <r>
      <rPr>
        <sz val="7"/>
        <rFont val="Arial"/>
        <family val="2"/>
        <charset val="1"/>
      </rPr>
      <t>بيع على الخارطة</t>
    </r>
    <r>
      <rPr>
        <sz val="7"/>
        <rFont val="Calibri"/>
        <family val="2"/>
        <charset val="1"/>
      </rPr>
      <t>)</t>
    </r>
  </si>
  <si>
    <t>العائد على الملكية السنوي</t>
  </si>
  <si>
    <t>C34</t>
  </si>
  <si>
    <r>
      <rPr>
        <sz val="8"/>
        <color theme="1"/>
        <rFont val="Arial"/>
        <family val="2"/>
        <charset val="1"/>
      </rPr>
      <t xml:space="preserve">إجمالي التكاليف التشغيلية
</t>
    </r>
    <r>
      <rPr>
        <sz val="8"/>
        <color theme="1"/>
        <rFont val="Calibri"/>
        <family val="2"/>
        <charset val="1"/>
      </rPr>
      <t>(Total Operating Expenses)</t>
    </r>
  </si>
  <si>
    <r>
      <rPr>
        <sz val="8"/>
        <color theme="0"/>
        <rFont val="Arial"/>
        <family val="2"/>
        <charset val="1"/>
      </rPr>
      <t xml:space="preserve"> التمويل البنكي </t>
    </r>
    <r>
      <rPr>
        <sz val="8"/>
        <color theme="0"/>
        <rFont val="Calibri"/>
        <family val="2"/>
        <charset val="1"/>
      </rPr>
      <t>- (Bank Financing)</t>
    </r>
  </si>
  <si>
    <r>
      <rPr>
        <sz val="7"/>
        <color theme="1"/>
        <rFont val="Arial"/>
        <family val="2"/>
        <charset val="1"/>
      </rPr>
      <t xml:space="preserve">استديوهات
</t>
    </r>
    <r>
      <rPr>
        <sz val="7"/>
        <color theme="1"/>
        <rFont val="Calibri"/>
        <family val="2"/>
        <charset val="1"/>
      </rPr>
      <t>(</t>
    </r>
    <r>
      <rPr>
        <sz val="7"/>
        <color theme="1"/>
        <rFont val="Arial"/>
        <family val="2"/>
        <charset val="1"/>
      </rPr>
      <t>بيع على الخارطة</t>
    </r>
    <r>
      <rPr>
        <sz val="7"/>
        <color theme="1"/>
        <rFont val="Calibri"/>
        <family val="2"/>
        <charset val="1"/>
      </rPr>
      <t>)</t>
    </r>
  </si>
  <si>
    <t>▌ الهيكلة المالية</t>
  </si>
  <si>
    <r>
      <rPr>
        <sz val="8"/>
        <color theme="1"/>
        <rFont val="Arial"/>
        <family val="2"/>
        <charset val="1"/>
      </rPr>
      <t xml:space="preserve">صافي الدخل
</t>
    </r>
    <r>
      <rPr>
        <sz val="8"/>
        <color theme="1"/>
        <rFont val="Calibri"/>
        <family val="2"/>
        <charset val="1"/>
      </rPr>
      <t>(Net Income)</t>
    </r>
  </si>
  <si>
    <r>
      <rPr>
        <sz val="8"/>
        <color theme="1"/>
        <rFont val="Arial"/>
        <family val="2"/>
        <charset val="1"/>
      </rPr>
      <t xml:space="preserve"> إجمالي التمويل البنكي
 </t>
    </r>
    <r>
      <rPr>
        <sz val="8"/>
        <color theme="1"/>
        <rFont val="Calibri"/>
        <family val="2"/>
        <charset val="1"/>
      </rPr>
      <t>(Total Bank Financing)</t>
    </r>
  </si>
  <si>
    <r>
      <rPr>
        <sz val="7"/>
        <rFont val="Arial"/>
        <family val="2"/>
        <charset val="1"/>
      </rPr>
      <t xml:space="preserve">مكتبي
</t>
    </r>
    <r>
      <rPr>
        <sz val="7"/>
        <rFont val="Calibri"/>
        <family val="2"/>
        <charset val="1"/>
      </rPr>
      <t>(</t>
    </r>
    <r>
      <rPr>
        <sz val="7"/>
        <rFont val="Arial"/>
        <family val="2"/>
        <charset val="1"/>
      </rPr>
      <t>بيع على الخارطة</t>
    </r>
    <r>
      <rPr>
        <sz val="7"/>
        <rFont val="Calibri"/>
        <family val="2"/>
        <charset val="1"/>
      </rPr>
      <t xml:space="preserve">) </t>
    </r>
  </si>
  <si>
    <t>الاشتراكات النقدية</t>
  </si>
  <si>
    <t>الهيكلة المالية</t>
  </si>
  <si>
    <t>H19</t>
  </si>
  <si>
    <r>
      <rPr>
        <sz val="8"/>
        <color theme="1"/>
        <rFont val="Arial"/>
        <family val="2"/>
        <charset val="1"/>
      </rPr>
      <t xml:space="preserve">مدة المشروع المتوقعة - سنوي
  </t>
    </r>
    <r>
      <rPr>
        <sz val="8"/>
        <color theme="1"/>
        <rFont val="Calibri"/>
        <family val="2"/>
        <charset val="1"/>
      </rPr>
      <t>(Estimated Project Duration - Years)</t>
    </r>
  </si>
  <si>
    <r>
      <rPr>
        <sz val="7"/>
        <color theme="1"/>
        <rFont val="Arial"/>
        <family val="2"/>
        <charset val="1"/>
      </rPr>
      <t xml:space="preserve">تجاري
</t>
    </r>
    <r>
      <rPr>
        <sz val="7"/>
        <color theme="1"/>
        <rFont val="Calibri"/>
        <family val="2"/>
        <charset val="1"/>
      </rPr>
      <t>(</t>
    </r>
    <r>
      <rPr>
        <sz val="7"/>
        <color theme="1"/>
        <rFont val="Arial"/>
        <family val="2"/>
        <charset val="1"/>
      </rPr>
      <t>بيع على الخارطة</t>
    </r>
    <r>
      <rPr>
        <sz val="7"/>
        <color theme="1"/>
        <rFont val="Calibri"/>
        <family val="2"/>
        <charset val="1"/>
      </rPr>
      <t>)</t>
    </r>
  </si>
  <si>
    <r>
      <rPr>
        <sz val="7"/>
        <color theme="1"/>
        <rFont val="Arial"/>
        <family val="2"/>
        <charset val="1"/>
      </rPr>
      <t xml:space="preserve">نسبة المخاطرة التمويلية
</t>
    </r>
    <r>
      <rPr>
        <sz val="7"/>
        <color theme="1"/>
        <rFont val="Calibri"/>
        <family val="2"/>
        <charset val="1"/>
      </rPr>
      <t>Loan to Value Ratio (LTV))</t>
    </r>
  </si>
  <si>
    <r>
      <rPr>
        <sz val="6"/>
        <color theme="1"/>
        <rFont val="Arial"/>
        <family val="2"/>
        <charset val="1"/>
      </rPr>
      <t>بين (</t>
    </r>
    <r>
      <rPr>
        <sz val="6"/>
        <color theme="1"/>
        <rFont val="Calibri"/>
        <family val="2"/>
        <charset val="1"/>
      </rPr>
      <t xml:space="preserve">50%) و (70%) = طبيعي
</t>
    </r>
    <r>
      <rPr>
        <sz val="6"/>
        <color theme="1"/>
        <rFont val="Arial"/>
        <family val="2"/>
        <charset val="1"/>
      </rPr>
      <t>أقل من (</t>
    </r>
    <r>
      <rPr>
        <sz val="6"/>
        <color theme="1"/>
        <rFont val="Calibri"/>
        <family val="2"/>
        <charset val="1"/>
      </rPr>
      <t xml:space="preserve">50%) = منخفض (اعتماد كبير على تمويل ذاتي)
</t>
    </r>
    <r>
      <rPr>
        <sz val="6"/>
        <color theme="1"/>
        <rFont val="Arial"/>
        <family val="2"/>
        <charset val="1"/>
      </rPr>
      <t>أكثر من (</t>
    </r>
    <r>
      <rPr>
        <sz val="6"/>
        <color theme="1"/>
        <rFont val="Calibri"/>
        <family val="2"/>
        <charset val="1"/>
      </rPr>
      <t>70%) = مرتفع (مخاطرة عالية على البنك)</t>
    </r>
  </si>
  <si>
    <t>نسبة الاشتراكات النقدية</t>
  </si>
  <si>
    <t>I19</t>
  </si>
  <si>
    <r>
      <rPr>
        <sz val="8"/>
        <color theme="1"/>
        <rFont val="Arial"/>
        <family val="2"/>
        <charset val="1"/>
      </rPr>
      <t xml:space="preserve">معدل العائد الداخلي
</t>
    </r>
    <r>
      <rPr>
        <sz val="8"/>
        <color theme="1"/>
        <rFont val="Calibri"/>
        <family val="2"/>
        <charset val="1"/>
      </rPr>
      <t>(IRR)</t>
    </r>
  </si>
  <si>
    <r>
      <rPr>
        <sz val="8"/>
        <color theme="0"/>
        <rFont val="Arial"/>
        <family val="2"/>
        <charset val="1"/>
      </rPr>
      <t xml:space="preserve">تمويل تشغيلي خارج هيكل رأس المال </t>
    </r>
    <r>
      <rPr>
        <sz val="8"/>
        <color theme="0"/>
        <rFont val="Calibri"/>
        <family val="2"/>
        <charset val="1"/>
      </rPr>
      <t>- (Off-Capital-Structure Operational Financing)</t>
    </r>
  </si>
  <si>
    <r>
      <rPr>
        <sz val="7"/>
        <rFont val="Arial"/>
        <family val="2"/>
        <charset val="1"/>
      </rPr>
      <t xml:space="preserve">فندقي
</t>
    </r>
    <r>
      <rPr>
        <sz val="7"/>
        <rFont val="Calibri"/>
        <family val="2"/>
        <charset val="1"/>
      </rPr>
      <t>(</t>
    </r>
    <r>
      <rPr>
        <sz val="7"/>
        <rFont val="Arial"/>
        <family val="2"/>
        <charset val="1"/>
      </rPr>
      <t>بيع على الخارطة</t>
    </r>
    <r>
      <rPr>
        <sz val="7"/>
        <rFont val="Calibri"/>
        <family val="2"/>
        <charset val="1"/>
      </rPr>
      <t xml:space="preserve">) </t>
    </r>
  </si>
  <si>
    <r>
      <rPr>
        <sz val="7"/>
        <color theme="1"/>
        <rFont val="Arial"/>
        <family val="2"/>
        <charset val="1"/>
      </rPr>
      <t xml:space="preserve">مؤشر المخاطر التمويلية
</t>
    </r>
    <r>
      <rPr>
        <sz val="7"/>
        <color theme="1"/>
        <rFont val="Calibri"/>
        <family val="2"/>
        <charset val="1"/>
      </rPr>
      <t>(Leverage Risk Indicator)</t>
    </r>
  </si>
  <si>
    <r>
      <rPr>
        <sz val="7"/>
        <color theme="1"/>
        <rFont val="Arial"/>
        <family val="2"/>
        <charset val="1"/>
      </rPr>
      <t xml:space="preserve">يفضل أن يكون ≤ </t>
    </r>
    <r>
      <rPr>
        <sz val="7"/>
        <color theme="1"/>
        <rFont val="Calibri"/>
        <family val="2"/>
        <charset val="1"/>
      </rPr>
      <t>1.5
(</t>
    </r>
    <r>
      <rPr>
        <sz val="7"/>
        <color theme="1"/>
        <rFont val="Arial"/>
        <family val="2"/>
        <charset val="1"/>
      </rPr>
      <t>كلما ارتفع زادت المخاطرة</t>
    </r>
    <r>
      <rPr>
        <sz val="7"/>
        <color theme="1"/>
        <rFont val="Calibri"/>
        <family val="2"/>
        <charset val="1"/>
      </rPr>
      <t>)</t>
    </r>
  </si>
  <si>
    <t>الاشتراك من مدير الصندوق</t>
  </si>
  <si>
    <t>H20</t>
  </si>
  <si>
    <r>
      <rPr>
        <sz val="8"/>
        <color theme="1"/>
        <rFont val="Arial"/>
        <family val="2"/>
        <charset val="1"/>
      </rPr>
      <t xml:space="preserve">البيع على الخارطة
</t>
    </r>
    <r>
      <rPr>
        <sz val="8"/>
        <color theme="1"/>
        <rFont val="Calibri"/>
        <family val="2"/>
        <charset val="1"/>
      </rPr>
      <t>(Off-Plan Sales)</t>
    </r>
  </si>
  <si>
    <r>
      <rPr>
        <sz val="7"/>
        <color theme="1"/>
        <rFont val="Arial"/>
        <family val="2"/>
        <charset val="1"/>
      </rPr>
      <t xml:space="preserve">صحي
</t>
    </r>
    <r>
      <rPr>
        <sz val="7"/>
        <color theme="1"/>
        <rFont val="Calibri"/>
        <family val="2"/>
        <charset val="1"/>
      </rPr>
      <t>(</t>
    </r>
    <r>
      <rPr>
        <sz val="7"/>
        <color theme="1"/>
        <rFont val="Arial"/>
        <family val="2"/>
        <charset val="1"/>
      </rPr>
      <t>بيع على الخارطة</t>
    </r>
    <r>
      <rPr>
        <sz val="7"/>
        <color theme="1"/>
        <rFont val="Calibri"/>
        <family val="2"/>
        <charset val="1"/>
      </rPr>
      <t xml:space="preserve">) </t>
    </r>
  </si>
  <si>
    <r>
      <rPr>
        <sz val="7"/>
        <color theme="1"/>
        <rFont val="Arial"/>
        <family val="2"/>
        <charset val="1"/>
      </rPr>
      <t xml:space="preserve">قيمة ونسبة تمويل مبيعات الخارطة من تكاليف المشروع خلال فترة البيع
</t>
    </r>
    <r>
      <rPr>
        <sz val="7"/>
        <color theme="1"/>
        <rFont val="Calibri"/>
        <family val="2"/>
        <charset val="1"/>
      </rPr>
      <t>(Value and % of Off-Plan Sales Financing for Project Costs During Sales Period)</t>
    </r>
  </si>
  <si>
    <r>
      <rPr>
        <sz val="7"/>
        <color theme="1"/>
        <rFont val="Arial"/>
        <family val="2"/>
        <charset val="1"/>
      </rPr>
      <t xml:space="preserve">من </t>
    </r>
    <r>
      <rPr>
        <sz val="7"/>
        <color theme="1"/>
        <rFont val="Calibri"/>
        <family val="2"/>
        <charset val="1"/>
      </rPr>
      <t xml:space="preserve">30% </t>
    </r>
    <r>
      <rPr>
        <sz val="7"/>
        <color theme="1"/>
        <rFont val="Arial"/>
        <family val="2"/>
        <charset val="1"/>
      </rPr>
      <t xml:space="preserve">إلى </t>
    </r>
    <r>
      <rPr>
        <sz val="7"/>
        <color theme="1"/>
        <rFont val="Calibri"/>
        <family val="2"/>
        <charset val="1"/>
      </rPr>
      <t xml:space="preserve">60% </t>
    </r>
    <r>
      <rPr>
        <sz val="7"/>
        <color theme="1"/>
        <rFont val="Arial"/>
        <family val="2"/>
        <charset val="1"/>
      </rPr>
      <t>من التكاليف أثناء البيع يعتبر جيد جداً</t>
    </r>
  </si>
  <si>
    <t>الاشتراك النقدي من المطور</t>
  </si>
  <si>
    <t>H21</t>
  </si>
  <si>
    <r>
      <rPr>
        <sz val="8"/>
        <color theme="1"/>
        <rFont val="Arial"/>
        <family val="2"/>
        <charset val="1"/>
      </rPr>
      <t xml:space="preserve">العائد على الإستثمار
</t>
    </r>
    <r>
      <rPr>
        <sz val="8"/>
        <color theme="1"/>
        <rFont val="Calibri"/>
        <family val="2"/>
        <charset val="1"/>
      </rPr>
      <t xml:space="preserve">(ROI)  </t>
    </r>
  </si>
  <si>
    <r>
      <rPr>
        <sz val="8"/>
        <color theme="1"/>
        <rFont val="Arial"/>
        <family val="2"/>
        <charset val="1"/>
      </rPr>
      <t xml:space="preserve">مصادر أخرى
</t>
    </r>
    <r>
      <rPr>
        <sz val="8"/>
        <color theme="1"/>
        <rFont val="Calibri"/>
        <family val="2"/>
        <charset val="1"/>
      </rPr>
      <t>(Other Sources)</t>
    </r>
  </si>
  <si>
    <r>
      <rPr>
        <sz val="7"/>
        <rFont val="Arial"/>
        <family val="2"/>
        <charset val="1"/>
      </rPr>
      <t xml:space="preserve">أخرى
</t>
    </r>
    <r>
      <rPr>
        <sz val="7"/>
        <rFont val="Calibri"/>
        <family val="2"/>
        <charset val="1"/>
      </rPr>
      <t>(Other)
(</t>
    </r>
    <r>
      <rPr>
        <sz val="7"/>
        <rFont val="Arial"/>
        <family val="2"/>
        <charset val="1"/>
      </rPr>
      <t>بيع على الخارطة</t>
    </r>
    <r>
      <rPr>
        <sz val="7"/>
        <rFont val="Calibri"/>
        <family val="2"/>
        <charset val="1"/>
      </rPr>
      <t>)</t>
    </r>
  </si>
  <si>
    <r>
      <rPr>
        <sz val="7"/>
        <color theme="1"/>
        <rFont val="Arial"/>
        <family val="2"/>
        <charset val="1"/>
      </rPr>
      <t xml:space="preserve">هامش الأمان
</t>
    </r>
    <r>
      <rPr>
        <sz val="7"/>
        <color theme="1"/>
        <rFont val="Calibri"/>
        <family val="2"/>
        <charset val="1"/>
      </rPr>
      <t>(Safety Margin)</t>
    </r>
  </si>
  <si>
    <r>
      <rPr>
        <sz val="7"/>
        <color theme="1"/>
        <rFont val="Arial"/>
        <family val="2"/>
        <charset val="1"/>
      </rPr>
      <t xml:space="preserve">المستهدف الجيد ≥ </t>
    </r>
    <r>
      <rPr>
        <sz val="7"/>
        <color theme="1"/>
        <rFont val="Calibri"/>
        <family val="2"/>
        <charset val="1"/>
      </rPr>
      <t>20%
(</t>
    </r>
    <r>
      <rPr>
        <sz val="7"/>
        <color theme="1"/>
        <rFont val="Arial"/>
        <family val="2"/>
        <charset val="1"/>
      </rPr>
      <t xml:space="preserve">بمعنى أن القيمة السوقية أعلى بـ </t>
    </r>
    <r>
      <rPr>
        <sz val="7"/>
        <color theme="1"/>
        <rFont val="Calibri"/>
        <family val="2"/>
        <charset val="1"/>
      </rPr>
      <t>20% من التكلفة)</t>
    </r>
  </si>
  <si>
    <t>الاشتراك العيني من المطور</t>
  </si>
  <si>
    <t>H22</t>
  </si>
  <si>
    <r>
      <rPr>
        <sz val="7"/>
        <color theme="1"/>
        <rFont val="Arial"/>
        <family val="2"/>
        <charset val="1"/>
      </rPr>
      <t xml:space="preserve">إجمالي التمويل التشغيلي 
 </t>
    </r>
    <r>
      <rPr>
        <sz val="7"/>
        <color theme="1"/>
        <rFont val="Calibri"/>
        <family val="2"/>
        <charset val="1"/>
      </rPr>
      <t>(Total Operational Financing)</t>
    </r>
  </si>
  <si>
    <r>
      <rPr>
        <sz val="10"/>
        <color theme="0"/>
        <rFont val="Arial"/>
        <family val="2"/>
        <charset val="1"/>
      </rPr>
      <t xml:space="preserve">مؤشرات الأرض والزمن </t>
    </r>
    <r>
      <rPr>
        <sz val="10"/>
        <color theme="0"/>
        <rFont val="Calibri"/>
        <family val="2"/>
        <charset val="1"/>
      </rPr>
      <t>| Land &amp; Time Indicators</t>
    </r>
  </si>
  <si>
    <t>نسبة الاشتراك العيني من المطور</t>
  </si>
  <si>
    <t>I22</t>
  </si>
  <si>
    <r>
      <rPr>
        <sz val="8"/>
        <color theme="1"/>
        <rFont val="Arial"/>
        <family val="2"/>
        <charset val="1"/>
      </rPr>
      <t xml:space="preserve">العائد على الملكية
</t>
    </r>
    <r>
      <rPr>
        <sz val="8"/>
        <color theme="1"/>
        <rFont val="Calibri"/>
        <family val="2"/>
        <charset val="1"/>
      </rPr>
      <t xml:space="preserve">(ROE) </t>
    </r>
  </si>
  <si>
    <r>
      <rPr>
        <sz val="8"/>
        <color theme="0"/>
        <rFont val="Arial"/>
        <family val="2"/>
        <charset val="1"/>
      </rPr>
      <t xml:space="preserve">الإجمالي </t>
    </r>
    <r>
      <rPr>
        <sz val="8"/>
        <color theme="0"/>
        <rFont val="Calibri"/>
        <family val="2"/>
        <charset val="1"/>
      </rPr>
      <t>- (Total)</t>
    </r>
  </si>
  <si>
    <r>
      <rPr>
        <sz val="7"/>
        <color theme="1"/>
        <rFont val="Arial"/>
        <family val="2"/>
        <charset val="1"/>
      </rPr>
      <t xml:space="preserve">تكلفة متر الأرض شاملة الضريبة والسعي
</t>
    </r>
    <r>
      <rPr>
        <sz val="7"/>
        <color theme="1"/>
        <rFont val="Calibri"/>
        <family val="2"/>
        <charset val="1"/>
      </rPr>
      <t>(Land Cost per m² - Including Tax and Commission)</t>
    </r>
  </si>
  <si>
    <t>الاشتراك العيني من مالك الأرض</t>
  </si>
  <si>
    <t>H23</t>
  </si>
  <si>
    <r>
      <rPr>
        <sz val="8"/>
        <color theme="1"/>
        <rFont val="Arial"/>
        <family val="2"/>
        <charset val="1"/>
      </rPr>
      <t xml:space="preserve">إجمالي مصادر التمويل 
</t>
    </r>
    <r>
      <rPr>
        <sz val="8"/>
        <color theme="1"/>
        <rFont val="Calibri"/>
        <family val="2"/>
        <charset val="1"/>
      </rPr>
      <t>(Total Financing Sources)</t>
    </r>
  </si>
  <si>
    <r>
      <rPr>
        <sz val="7"/>
        <color theme="1"/>
        <rFont val="Arial"/>
        <family val="2"/>
        <charset val="1"/>
      </rPr>
      <t xml:space="preserve">سعر متر الأرض عند البيع
</t>
    </r>
    <r>
      <rPr>
        <sz val="7"/>
        <color theme="1"/>
        <rFont val="Calibri"/>
        <family val="2"/>
        <charset val="1"/>
      </rPr>
      <t>(Land Price per m² at Sale)</t>
    </r>
  </si>
  <si>
    <t>نسبة الاشتراك العيني من مالك الأرض</t>
  </si>
  <si>
    <t>I23</t>
  </si>
  <si>
    <r>
      <rPr>
        <sz val="8"/>
        <color theme="1"/>
        <rFont val="Arial"/>
        <family val="2"/>
        <charset val="1"/>
      </rPr>
      <t xml:space="preserve">  العائد على الملكية السنوي
</t>
    </r>
    <r>
      <rPr>
        <sz val="8"/>
        <color theme="1"/>
        <rFont val="Calibri"/>
        <family val="2"/>
        <charset val="1"/>
      </rPr>
      <t>(ROE Annually)</t>
    </r>
  </si>
  <si>
    <r>
      <rPr>
        <sz val="7"/>
        <color theme="1"/>
        <rFont val="Arial"/>
        <family val="2"/>
        <charset val="1"/>
      </rPr>
      <t xml:space="preserve">قيمة ارتفاع سعر متر الأرض عند البيع
</t>
    </r>
    <r>
      <rPr>
        <sz val="7"/>
        <color theme="1"/>
        <rFont val="Calibri"/>
        <family val="2"/>
        <charset val="1"/>
      </rPr>
      <t>(Land Price Appreciation Value)</t>
    </r>
  </si>
  <si>
    <t>إجمالي الملكية</t>
  </si>
  <si>
    <t>H24</t>
  </si>
  <si>
    <r>
      <rPr>
        <sz val="8"/>
        <rFont val="Arial"/>
        <family val="2"/>
        <charset val="1"/>
      </rPr>
      <t xml:space="preserve"> الفرق
 </t>
    </r>
    <r>
      <rPr>
        <sz val="8"/>
        <rFont val="Calibri"/>
        <family val="2"/>
        <charset val="1"/>
      </rPr>
      <t>(Difference)</t>
    </r>
  </si>
  <si>
    <r>
      <rPr>
        <sz val="7"/>
        <color theme="1"/>
        <rFont val="Arial"/>
        <family val="2"/>
        <charset val="1"/>
      </rPr>
      <t xml:space="preserve">نسبة ارتفاع سعر متر الأرض
</t>
    </r>
    <r>
      <rPr>
        <sz val="7"/>
        <color theme="1"/>
        <rFont val="Calibri"/>
        <family val="2"/>
        <charset val="1"/>
      </rPr>
      <t>(Land Price Appreciation Rate)</t>
    </r>
  </si>
  <si>
    <r>
      <rPr>
        <sz val="7"/>
        <color theme="1"/>
        <rFont val="Arial"/>
        <family val="2"/>
        <charset val="1"/>
      </rPr>
      <t xml:space="preserve">من </t>
    </r>
    <r>
      <rPr>
        <sz val="7"/>
        <color theme="1"/>
        <rFont val="Calibri"/>
        <family val="2"/>
        <charset val="1"/>
      </rPr>
      <t xml:space="preserve">10% </t>
    </r>
    <r>
      <rPr>
        <sz val="7"/>
        <color theme="1"/>
        <rFont val="Arial"/>
        <family val="2"/>
        <charset val="1"/>
      </rPr>
      <t xml:space="preserve">إلى </t>
    </r>
    <r>
      <rPr>
        <sz val="7"/>
        <color theme="1"/>
        <rFont val="Calibri"/>
        <family val="2"/>
        <charset val="1"/>
      </rPr>
      <t xml:space="preserve">40% </t>
    </r>
    <r>
      <rPr>
        <sz val="7"/>
        <color theme="1"/>
        <rFont val="Arial"/>
        <family val="2"/>
        <charset val="1"/>
      </rPr>
      <t xml:space="preserve">خلال </t>
    </r>
    <r>
      <rPr>
        <sz val="7"/>
        <color theme="1"/>
        <rFont val="Calibri"/>
        <family val="2"/>
        <charset val="1"/>
      </rPr>
      <t xml:space="preserve">3–5 </t>
    </r>
    <r>
      <rPr>
        <sz val="7"/>
        <color theme="1"/>
        <rFont val="Arial"/>
        <family val="2"/>
        <charset val="1"/>
      </rPr>
      <t>سنوات يعتبر جيد</t>
    </r>
  </si>
  <si>
    <t>نسبة إجمالي الملكية</t>
  </si>
  <si>
    <t>I24</t>
  </si>
  <si>
    <r>
      <rPr>
        <sz val="7"/>
        <color theme="1"/>
        <rFont val="Arial"/>
        <family val="2"/>
        <charset val="1"/>
      </rPr>
      <t>كفاءة المساحة البيعية من المساحات المبنية فوق الأرض
 </t>
    </r>
    <r>
      <rPr>
        <sz val="7"/>
        <color theme="1"/>
        <rFont val="Calibri"/>
        <family val="2"/>
        <charset val="1"/>
      </rPr>
      <t>(Saleable Efficiency Ratio of Above-Ground Built-Up Area)</t>
    </r>
  </si>
  <si>
    <r>
      <rPr>
        <sz val="7"/>
        <color theme="1"/>
        <rFont val="Arial"/>
        <family val="2"/>
        <charset val="1"/>
      </rPr>
      <t xml:space="preserve">المستهدف المثالي ≥ </t>
    </r>
    <r>
      <rPr>
        <sz val="7"/>
        <color theme="1"/>
        <rFont val="Calibri"/>
        <family val="2"/>
        <charset val="1"/>
      </rPr>
      <t>70%
(</t>
    </r>
    <r>
      <rPr>
        <sz val="7"/>
        <color theme="1"/>
        <rFont val="Arial"/>
        <family val="2"/>
        <charset val="1"/>
      </rPr>
      <t xml:space="preserve">الممتاز يتجاوز </t>
    </r>
    <r>
      <rPr>
        <sz val="7"/>
        <color theme="1"/>
        <rFont val="Calibri"/>
        <family val="2"/>
        <charset val="1"/>
      </rPr>
      <t>75–80%)</t>
    </r>
  </si>
  <si>
    <t>إجمالي التمويل البنكي</t>
  </si>
  <si>
    <t>H26</t>
  </si>
  <si>
    <t>إجمالي توزيع التكاليف على جميع المكونات</t>
  </si>
  <si>
    <r>
      <rPr>
        <sz val="7"/>
        <color theme="1"/>
        <rFont val="Arial"/>
        <family val="2"/>
        <charset val="1"/>
      </rPr>
      <t>مدة البيع - بالسنوات (غير شامل بيع الخارطة)
 </t>
    </r>
    <r>
      <rPr>
        <sz val="7"/>
        <color theme="1"/>
        <rFont val="Calibri"/>
        <family val="2"/>
        <charset val="1"/>
      </rPr>
      <t>(Sales Duration – Years)</t>
    </r>
  </si>
  <si>
    <r>
      <rPr>
        <sz val="7"/>
        <color theme="1"/>
        <rFont val="Arial"/>
        <family val="2"/>
        <charset val="1"/>
      </rPr>
      <t xml:space="preserve">الطبيعي من </t>
    </r>
    <r>
      <rPr>
        <sz val="7"/>
        <color theme="1"/>
        <rFont val="Calibri"/>
        <family val="2"/>
        <charset val="1"/>
      </rPr>
      <t xml:space="preserve">1 </t>
    </r>
    <r>
      <rPr>
        <sz val="7"/>
        <color theme="1"/>
        <rFont val="Arial"/>
        <family val="2"/>
        <charset val="1"/>
      </rPr>
      <t xml:space="preserve">إلى </t>
    </r>
    <r>
      <rPr>
        <sz val="7"/>
        <color theme="1"/>
        <rFont val="Calibri"/>
        <family val="2"/>
        <charset val="1"/>
      </rPr>
      <t xml:space="preserve">1.5 </t>
    </r>
    <r>
      <rPr>
        <sz val="7"/>
        <color theme="1"/>
        <rFont val="Arial"/>
        <family val="2"/>
        <charset val="1"/>
      </rPr>
      <t>سنوات</t>
    </r>
  </si>
  <si>
    <t>نسبة التمويل البنكي</t>
  </si>
  <si>
    <t>I26</t>
  </si>
  <si>
    <t>نسب المكونات من البيع المباشر أو المخارجة من الإجمالي</t>
  </si>
  <si>
    <t>توزيع التكلفة على المساحات الصافية القابلة للبيع</t>
  </si>
  <si>
    <r>
      <rPr>
        <sz val="8"/>
        <color theme="0"/>
        <rFont val="Arial"/>
        <family val="2"/>
        <charset val="1"/>
      </rPr>
      <t xml:space="preserve">توزيع الأرباح </t>
    </r>
    <r>
      <rPr>
        <sz val="8"/>
        <color theme="0"/>
        <rFont val="Calibri"/>
        <family val="2"/>
        <charset val="1"/>
      </rPr>
      <t>| Profit Distribution</t>
    </r>
  </si>
  <si>
    <t>البيع على الخارطة (هيكلة)</t>
  </si>
  <si>
    <t>H29</t>
  </si>
  <si>
    <r>
      <rPr>
        <sz val="8"/>
        <color theme="0"/>
        <rFont val="Arial"/>
        <family val="2"/>
        <charset val="1"/>
      </rPr>
      <t xml:space="preserve">المستفيد
</t>
    </r>
    <r>
      <rPr>
        <sz val="8"/>
        <color theme="0"/>
        <rFont val="Calibri"/>
        <family val="2"/>
        <charset val="1"/>
      </rPr>
      <t>(Beneficiaries)</t>
    </r>
  </si>
  <si>
    <r>
      <rPr>
        <sz val="8"/>
        <color theme="0"/>
        <rFont val="Arial"/>
        <family val="2"/>
        <charset val="1"/>
      </rPr>
      <t xml:space="preserve">نسبة المساهمة من إجمالي الملكية
</t>
    </r>
    <r>
      <rPr>
        <sz val="8"/>
        <color theme="0"/>
        <rFont val="Calibri"/>
        <family val="2"/>
        <charset val="1"/>
      </rPr>
      <t>(Equity Ownership Percentage)</t>
    </r>
  </si>
  <si>
    <r>
      <rPr>
        <sz val="8"/>
        <color theme="0"/>
        <rFont val="Arial"/>
        <family val="2"/>
        <charset val="1"/>
      </rPr>
      <t xml:space="preserve">صافي الربح للمستفيدين
</t>
    </r>
    <r>
      <rPr>
        <sz val="8"/>
        <color theme="0"/>
        <rFont val="Calibri"/>
        <family val="2"/>
        <charset val="1"/>
      </rPr>
      <t>(Net Profit for Beneficiaries)</t>
    </r>
  </si>
  <si>
    <t>نسبة البيع على الخارطة</t>
  </si>
  <si>
    <t>I29</t>
  </si>
  <si>
    <r>
      <rPr>
        <sz val="8"/>
        <color theme="1"/>
        <rFont val="Arial"/>
        <family val="2"/>
        <charset val="1"/>
      </rPr>
      <t xml:space="preserve"> الاشتراكات النقدية
</t>
    </r>
    <r>
      <rPr>
        <sz val="8"/>
        <color theme="1"/>
        <rFont val="Calibri"/>
        <family val="2"/>
        <charset val="1"/>
      </rPr>
      <t>(Cash Subscription)</t>
    </r>
  </si>
  <si>
    <t>مصادر أخرى</t>
  </si>
  <si>
    <t>H30</t>
  </si>
  <si>
    <r>
      <rPr>
        <sz val="8"/>
        <color theme="1"/>
        <rFont val="Arial"/>
        <family val="2"/>
        <charset val="1"/>
      </rPr>
      <t xml:space="preserve"> الاشتراك من مدير الصندوق
</t>
    </r>
    <r>
      <rPr>
        <sz val="8"/>
        <color theme="1"/>
        <rFont val="Calibri"/>
        <family val="2"/>
        <charset val="1"/>
      </rPr>
      <t>(fund manager's Subscription)</t>
    </r>
  </si>
  <si>
    <t>نسبة المصادر الأخرى</t>
  </si>
  <si>
    <t>I30</t>
  </si>
  <si>
    <r>
      <rPr>
        <sz val="10"/>
        <color theme="0"/>
        <rFont val="Arial"/>
        <family val="2"/>
        <charset val="1"/>
      </rPr>
      <t xml:space="preserve">تفاصيل الأرض </t>
    </r>
    <r>
      <rPr>
        <sz val="10"/>
        <color theme="0"/>
        <rFont val="Calibri"/>
        <family val="2"/>
        <charset val="1"/>
      </rPr>
      <t>| Land Details</t>
    </r>
  </si>
  <si>
    <t>إجمالي التمويل التشغيلي</t>
  </si>
  <si>
    <t>H31</t>
  </si>
  <si>
    <r>
      <rPr>
        <sz val="8"/>
        <color theme="0"/>
        <rFont val="Arial"/>
        <family val="2"/>
        <charset val="1"/>
      </rPr>
      <t xml:space="preserve">رقم الأرض
</t>
    </r>
    <r>
      <rPr>
        <sz val="8"/>
        <color theme="0"/>
        <rFont val="Calibri"/>
        <family val="2"/>
        <charset val="1"/>
      </rPr>
      <t>(Land Number)</t>
    </r>
  </si>
  <si>
    <r>
      <rPr>
        <sz val="8"/>
        <color theme="0"/>
        <rFont val="Arial"/>
        <family val="2"/>
        <charset val="1"/>
      </rPr>
      <t xml:space="preserve">المساحة الأرض
</t>
    </r>
    <r>
      <rPr>
        <sz val="8"/>
        <color theme="0"/>
        <rFont val="Calibri"/>
        <family val="2"/>
        <charset val="1"/>
      </rPr>
      <t>(Land Area)</t>
    </r>
  </si>
  <si>
    <r>
      <rPr>
        <sz val="8"/>
        <color theme="0"/>
        <rFont val="Arial"/>
        <family val="2"/>
        <charset val="1"/>
      </rPr>
      <t xml:space="preserve">التكلفة للمتر
</t>
    </r>
    <r>
      <rPr>
        <sz val="8"/>
        <color theme="0"/>
        <rFont val="Calibri"/>
        <family val="2"/>
        <charset val="1"/>
      </rPr>
      <t>(Cost per SQM)</t>
    </r>
  </si>
  <si>
    <r>
      <rPr>
        <sz val="8"/>
        <color theme="0"/>
        <rFont val="Arial"/>
        <family val="2"/>
        <charset val="1"/>
      </rPr>
      <t xml:space="preserve">تكلفة الأرض قبل الضرائب
</t>
    </r>
    <r>
      <rPr>
        <sz val="8"/>
        <color theme="0"/>
        <rFont val="Calibri"/>
        <family val="2"/>
        <charset val="1"/>
      </rPr>
      <t xml:space="preserve">(Land Cost Before Taxes) </t>
    </r>
  </si>
  <si>
    <r>
      <rPr>
        <sz val="8"/>
        <color theme="0"/>
        <rFont val="Arial"/>
        <family val="2"/>
        <charset val="1"/>
      </rPr>
      <t xml:space="preserve">ضريبة التصرفات العقارية
</t>
    </r>
    <r>
      <rPr>
        <sz val="8"/>
        <color theme="0"/>
        <rFont val="Calibri"/>
        <family val="2"/>
        <charset val="1"/>
      </rPr>
      <t>(RETT)</t>
    </r>
  </si>
  <si>
    <r>
      <rPr>
        <sz val="8"/>
        <color theme="0"/>
        <rFont val="Arial"/>
        <family val="2"/>
        <charset val="1"/>
      </rPr>
      <t xml:space="preserve">السعي
</t>
    </r>
    <r>
      <rPr>
        <sz val="8"/>
        <color theme="0"/>
        <rFont val="Calibri"/>
        <family val="2"/>
        <charset val="1"/>
      </rPr>
      <t>(Commission)</t>
    </r>
  </si>
  <si>
    <r>
      <rPr>
        <sz val="8"/>
        <color theme="0"/>
        <rFont val="Arial"/>
        <family val="2"/>
        <charset val="1"/>
      </rPr>
      <t xml:space="preserve">ضريبة السعي
</t>
    </r>
    <r>
      <rPr>
        <sz val="8"/>
        <color theme="0"/>
        <rFont val="Calibri"/>
        <family val="2"/>
        <charset val="1"/>
      </rPr>
      <t>(Commission tax)</t>
    </r>
  </si>
  <si>
    <r>
      <rPr>
        <sz val="8"/>
        <color theme="0"/>
        <rFont val="Arial"/>
        <family val="2"/>
        <charset val="1"/>
      </rPr>
      <t xml:space="preserve">إجمالي تكلفة الأرض بعد الضرائب 
 </t>
    </r>
    <r>
      <rPr>
        <sz val="8"/>
        <color theme="0"/>
        <rFont val="Calibri"/>
        <family val="2"/>
        <charset val="1"/>
      </rPr>
      <t>(Total Land Cost After Taxes)</t>
    </r>
  </si>
  <si>
    <r>
      <rPr>
        <sz val="8"/>
        <color theme="0"/>
        <rFont val="Arial"/>
        <family val="2"/>
        <charset val="1"/>
      </rPr>
      <t xml:space="preserve">معامل البناء
</t>
    </r>
    <r>
      <rPr>
        <sz val="8"/>
        <color theme="0"/>
        <rFont val="Calibri"/>
        <family val="2"/>
        <charset val="1"/>
      </rPr>
      <t>(FAR)</t>
    </r>
  </si>
  <si>
    <r>
      <rPr>
        <sz val="8"/>
        <color theme="0"/>
        <rFont val="Arial"/>
        <family val="2"/>
        <charset val="1"/>
      </rPr>
      <t xml:space="preserve">إجمالي مسطحات البناء فوق الأرض
</t>
    </r>
    <r>
      <rPr>
        <sz val="8"/>
        <color theme="0"/>
        <rFont val="Calibri"/>
        <family val="2"/>
        <charset val="1"/>
      </rPr>
      <t>(Above Grade Gross Building Area)</t>
    </r>
  </si>
  <si>
    <t>استديوهات</t>
  </si>
  <si>
    <t>نسبة إجمالي التمويل التشغيلي</t>
  </si>
  <si>
    <t>I31</t>
  </si>
  <si>
    <r>
      <rPr>
        <sz val="8"/>
        <color theme="1"/>
        <rFont val="Arial"/>
        <family val="2"/>
        <charset val="1"/>
      </rPr>
      <t xml:space="preserve"> الإشتراك العيني من مالك الأرض
</t>
    </r>
    <r>
      <rPr>
        <sz val="8"/>
        <color theme="1"/>
        <rFont val="Calibri"/>
        <family val="2"/>
        <charset val="1"/>
      </rPr>
      <t>(In-Kind Subscription from Landowner)</t>
    </r>
  </si>
  <si>
    <t>إجمالي مصادر التمويل</t>
  </si>
  <si>
    <t>H33</t>
  </si>
  <si>
    <t>▌ تفاصيل الأرض</t>
  </si>
  <si>
    <t>مساحة الأرض الإجمالية</t>
  </si>
  <si>
    <t>تفاصيل الأرض</t>
  </si>
  <si>
    <t>C49</t>
  </si>
  <si>
    <t>م²</t>
  </si>
  <si>
    <t>التكلفة للمتر</t>
  </si>
  <si>
    <t>D49</t>
  </si>
  <si>
    <t>ريال/م²</t>
  </si>
  <si>
    <t>تكلفة الأرض قبل الضرائب</t>
  </si>
  <si>
    <t>E49</t>
  </si>
  <si>
    <r>
      <rPr>
        <sz val="8"/>
        <rFont val="Arial"/>
        <family val="2"/>
        <charset val="1"/>
      </rPr>
      <t xml:space="preserve">الإجمالي
 </t>
    </r>
    <r>
      <rPr>
        <sz val="8"/>
        <rFont val="Calibri"/>
        <family val="2"/>
        <charset val="1"/>
      </rPr>
      <t>(Total)</t>
    </r>
  </si>
  <si>
    <t>ضريبة التصرفات العقارية (RETT)</t>
  </si>
  <si>
    <t>F49</t>
  </si>
  <si>
    <t>السعي (Commission)</t>
  </si>
  <si>
    <t>G49</t>
  </si>
  <si>
    <t>ضريبة السعي</t>
  </si>
  <si>
    <t>H49</t>
  </si>
  <si>
    <t>إجمالي تكلفة الأرض بعد الضرائب</t>
  </si>
  <si>
    <t>I49</t>
  </si>
  <si>
    <t>معامل البناء (FAR)</t>
  </si>
  <si>
    <t>K49</t>
  </si>
  <si>
    <t>معامل</t>
  </si>
  <si>
    <t>إجمالي مسطحات البناء فوق الأرض</t>
  </si>
  <si>
    <t>L49</t>
  </si>
  <si>
    <t>▌ تفاصيل البناء</t>
  </si>
  <si>
    <t>تفاصيل البناء</t>
  </si>
  <si>
    <t>D59</t>
  </si>
  <si>
    <r>
      <rPr>
        <sz val="10"/>
        <color theme="0"/>
        <rFont val="Calibri"/>
        <family val="2"/>
        <charset val="1"/>
      </rPr>
      <t xml:space="preserve">Construction Details and Costs | </t>
    </r>
    <r>
      <rPr>
        <sz val="10"/>
        <color theme="0"/>
        <rFont val="Arial"/>
        <family val="2"/>
        <charset val="1"/>
      </rPr>
      <t>تفاصيل البناء و تكاليفة</t>
    </r>
  </si>
  <si>
    <t>إجمالي المساحة التطويرية</t>
  </si>
  <si>
    <t>E59</t>
  </si>
  <si>
    <r>
      <rPr>
        <sz val="8"/>
        <color theme="0"/>
        <rFont val="Arial"/>
        <family val="2"/>
        <charset val="1"/>
      </rPr>
      <t xml:space="preserve">طول الأرض على الشارع
</t>
    </r>
    <r>
      <rPr>
        <sz val="8"/>
        <color theme="0"/>
        <rFont val="Calibri"/>
        <family val="2"/>
        <charset val="1"/>
      </rPr>
      <t>(Land Frontage)</t>
    </r>
  </si>
  <si>
    <r>
      <rPr>
        <sz val="8"/>
        <color theme="0"/>
        <rFont val="Arial"/>
        <family val="2"/>
        <charset val="1"/>
      </rPr>
      <t xml:space="preserve">عمق الأرض
</t>
    </r>
    <r>
      <rPr>
        <sz val="8"/>
        <color theme="0"/>
        <rFont val="Calibri"/>
        <family val="2"/>
        <charset val="1"/>
      </rPr>
      <t>(Land Depth)</t>
    </r>
  </si>
  <si>
    <r>
      <rPr>
        <sz val="8"/>
        <color theme="0"/>
        <rFont val="Arial"/>
        <family val="2"/>
        <charset val="1"/>
      </rPr>
      <t xml:space="preserve">إجمالي المساحة التطويرية 
</t>
    </r>
    <r>
      <rPr>
        <sz val="8"/>
        <color theme="0"/>
        <rFont val="Calibri"/>
        <family val="2"/>
        <charset val="1"/>
      </rPr>
      <t>(Total Development Area)</t>
    </r>
  </si>
  <si>
    <r>
      <rPr>
        <sz val="8"/>
        <color theme="0"/>
        <rFont val="Arial"/>
        <family val="2"/>
        <charset val="1"/>
      </rPr>
      <t xml:space="preserve">إجمالي المساحة المبنية
</t>
    </r>
    <r>
      <rPr>
        <sz val="8"/>
        <color theme="0"/>
        <rFont val="Calibri"/>
        <family val="2"/>
        <charset val="1"/>
      </rPr>
      <t>(Gross Built-Up Area)</t>
    </r>
  </si>
  <si>
    <r>
      <rPr>
        <sz val="8"/>
        <color theme="0"/>
        <rFont val="Arial"/>
        <family val="2"/>
        <charset val="1"/>
      </rPr>
      <t xml:space="preserve">إجمالي المساحة البنائية فوق مستوى الأرض
</t>
    </r>
    <r>
      <rPr>
        <sz val="8"/>
        <color theme="0"/>
        <rFont val="Calibri"/>
        <family val="2"/>
        <charset val="1"/>
      </rPr>
      <t>(Above Grade Gross Building Area)</t>
    </r>
  </si>
  <si>
    <r>
      <rPr>
        <sz val="8"/>
        <color theme="0"/>
        <rFont val="Arial"/>
        <family val="2"/>
        <charset val="1"/>
      </rPr>
      <t xml:space="preserve">إجمالي المساحات القابلة للبيع
</t>
    </r>
    <r>
      <rPr>
        <sz val="8"/>
        <color theme="0"/>
        <rFont val="Calibri"/>
        <family val="2"/>
        <charset val="1"/>
      </rPr>
      <t>(Net Sellable Area)</t>
    </r>
  </si>
  <si>
    <r>
      <rPr>
        <sz val="8"/>
        <color theme="0"/>
        <rFont val="Arial"/>
        <family val="2"/>
        <charset val="1"/>
      </rPr>
      <t xml:space="preserve">المواقف
</t>
    </r>
    <r>
      <rPr>
        <sz val="8"/>
        <color theme="0"/>
        <rFont val="Calibri"/>
        <family val="2"/>
        <charset val="1"/>
      </rPr>
      <t>(Parking)</t>
    </r>
  </si>
  <si>
    <r>
      <rPr>
        <sz val="8"/>
        <color theme="0"/>
        <rFont val="Arial"/>
        <family val="2"/>
        <charset val="1"/>
      </rPr>
      <t xml:space="preserve">معيار المواقف
</t>
    </r>
    <r>
      <rPr>
        <sz val="8"/>
        <color theme="0"/>
        <rFont val="Calibri"/>
        <family val="2"/>
        <charset val="1"/>
      </rPr>
      <t>(Parking Standards)</t>
    </r>
  </si>
  <si>
    <t>إجمالي المساحة المبنية (GBA)</t>
  </si>
  <si>
    <t>F59</t>
  </si>
  <si>
    <t>إجمالي المساحة فوق مستوى الأرض</t>
  </si>
  <si>
    <t>H59</t>
  </si>
  <si>
    <r>
      <rPr>
        <sz val="8"/>
        <color theme="0"/>
        <rFont val="Arial"/>
        <family val="2"/>
        <charset val="1"/>
      </rPr>
      <t xml:space="preserve">المكون
</t>
    </r>
    <r>
      <rPr>
        <sz val="8"/>
        <color theme="0"/>
        <rFont val="Calibri"/>
        <family val="2"/>
        <charset val="1"/>
      </rPr>
      <t>(Component)</t>
    </r>
  </si>
  <si>
    <r>
      <rPr>
        <sz val="8"/>
        <color theme="0"/>
        <rFont val="Arial"/>
        <family val="2"/>
        <charset val="1"/>
      </rPr>
      <t xml:space="preserve">نسبة المكون من المساحة البنائية
</t>
    </r>
    <r>
      <rPr>
        <sz val="8"/>
        <color theme="0"/>
        <rFont val="Calibri"/>
        <family val="2"/>
        <charset val="1"/>
      </rPr>
      <t>(GBA-%)</t>
    </r>
  </si>
  <si>
    <r>
      <rPr>
        <sz val="8"/>
        <color theme="0"/>
        <rFont val="Arial"/>
        <family val="2"/>
        <charset val="1"/>
      </rPr>
      <t xml:space="preserve">إجمالي المساحة البنائية للمكون 
</t>
    </r>
    <r>
      <rPr>
        <sz val="8"/>
        <color theme="0"/>
        <rFont val="Calibri"/>
        <family val="2"/>
        <charset val="1"/>
      </rPr>
      <t>(GBA)</t>
    </r>
  </si>
  <si>
    <r>
      <rPr>
        <sz val="8"/>
        <color theme="0"/>
        <rFont val="Arial"/>
        <family val="2"/>
        <charset val="1"/>
      </rPr>
      <t xml:space="preserve">نسبة المساحات الصافية القابلة للبيع
  </t>
    </r>
    <r>
      <rPr>
        <sz val="8"/>
        <color theme="0"/>
        <rFont val="Calibri"/>
        <family val="2"/>
        <charset val="1"/>
      </rPr>
      <t>(NSA-%)</t>
    </r>
  </si>
  <si>
    <r>
      <rPr>
        <sz val="8"/>
        <color theme="0"/>
        <rFont val="Arial"/>
        <family val="2"/>
        <charset val="1"/>
      </rPr>
      <t xml:space="preserve">المساحات الصافية القابلة للبيع
</t>
    </r>
    <r>
      <rPr>
        <sz val="8"/>
        <color theme="0"/>
        <rFont val="Calibri"/>
        <family val="2"/>
        <charset val="1"/>
      </rPr>
      <t>(NSA)</t>
    </r>
  </si>
  <si>
    <r>
      <rPr>
        <sz val="8"/>
        <color theme="0"/>
        <rFont val="Arial"/>
        <family val="2"/>
        <charset val="1"/>
      </rPr>
      <t xml:space="preserve">مساحة الوحدة
</t>
    </r>
    <r>
      <rPr>
        <sz val="8"/>
        <color theme="0"/>
        <rFont val="Calibri"/>
        <family val="2"/>
        <charset val="1"/>
      </rPr>
      <t>(Unit Area)</t>
    </r>
  </si>
  <si>
    <r>
      <rPr>
        <sz val="8"/>
        <color theme="0"/>
        <rFont val="Arial"/>
        <family val="2"/>
        <charset val="1"/>
      </rPr>
      <t xml:space="preserve">عدد الوحدات
</t>
    </r>
    <r>
      <rPr>
        <sz val="8"/>
        <color theme="0"/>
        <rFont val="Calibri"/>
        <family val="2"/>
        <charset val="1"/>
      </rPr>
      <t>(Number of Units)</t>
    </r>
  </si>
  <si>
    <r>
      <rPr>
        <sz val="8"/>
        <color theme="0"/>
        <rFont val="Arial"/>
        <family val="2"/>
        <charset val="1"/>
      </rPr>
      <t xml:space="preserve">تكلفة متر البناء
 </t>
    </r>
    <r>
      <rPr>
        <sz val="8"/>
        <color theme="0"/>
        <rFont val="Calibri"/>
        <family val="2"/>
        <charset val="1"/>
      </rPr>
      <t>(Construction cost Per m²)</t>
    </r>
  </si>
  <si>
    <r>
      <rPr>
        <sz val="8"/>
        <color theme="0"/>
        <rFont val="Arial"/>
        <family val="2"/>
        <charset val="1"/>
      </rPr>
      <t xml:space="preserve">اجمالي التكاليف
</t>
    </r>
    <r>
      <rPr>
        <sz val="8"/>
        <color theme="0"/>
        <rFont val="Calibri"/>
        <family val="2"/>
        <charset val="1"/>
      </rPr>
      <t>(Total Costs)</t>
    </r>
  </si>
  <si>
    <t>إجمالي المساحات القابلة للبيع (NSA)</t>
  </si>
  <si>
    <t>J59</t>
  </si>
  <si>
    <t>معيار المواقف</t>
  </si>
  <si>
    <t>L60</t>
  </si>
  <si>
    <t>موقف/وحدة</t>
  </si>
  <si>
    <t>▌ مكوّن البناء - سكني</t>
  </si>
  <si>
    <t>سكني - نسبة من المساحة البنائية</t>
  </si>
  <si>
    <t>مكوّن البناء - سكني</t>
  </si>
  <si>
    <t>C61</t>
  </si>
  <si>
    <t>سكني - إجمالي المساحة البنائية (GBA)</t>
  </si>
  <si>
    <t>D61</t>
  </si>
  <si>
    <t>سكني - نسبة المساحات القابلة للبيع</t>
  </si>
  <si>
    <t>E61</t>
  </si>
  <si>
    <t>سكني - المساحات الصافية القابلة للبيع (NSA)</t>
  </si>
  <si>
    <t>F61</t>
  </si>
  <si>
    <t>سكني - مساحة الوحدة</t>
  </si>
  <si>
    <t>G61</t>
  </si>
  <si>
    <t>سكني - عدد الوحدات</t>
  </si>
  <si>
    <t>H61</t>
  </si>
  <si>
    <t>وحدة</t>
  </si>
  <si>
    <t>سكني - تكلفة متر البناء</t>
  </si>
  <si>
    <t>I61</t>
  </si>
  <si>
    <r>
      <rPr>
        <sz val="8"/>
        <rFont val="Arial"/>
        <family val="2"/>
        <charset val="1"/>
      </rPr>
      <t xml:space="preserve">أخرى
</t>
    </r>
    <r>
      <rPr>
        <sz val="8"/>
        <rFont val="Calibri"/>
        <family val="2"/>
        <charset val="1"/>
      </rPr>
      <t>(Other)</t>
    </r>
  </si>
  <si>
    <t>سكني - إجمالي التكاليف</t>
  </si>
  <si>
    <t>J61</t>
  </si>
  <si>
    <r>
      <rPr>
        <sz val="8"/>
        <rFont val="Arial"/>
        <family val="2"/>
        <charset val="1"/>
      </rPr>
      <t xml:space="preserve">المساحات الحركية والخدمية
</t>
    </r>
    <r>
      <rPr>
        <sz val="8"/>
        <rFont val="Calibri"/>
        <family val="2"/>
        <charset val="1"/>
      </rPr>
      <t>(Circulation &amp; Service Areas)</t>
    </r>
  </si>
  <si>
    <t>سكني - عدد المواقف</t>
  </si>
  <si>
    <t>K61</t>
  </si>
  <si>
    <t>موقف</t>
  </si>
  <si>
    <t>سكني - معيار المواقف</t>
  </si>
  <si>
    <t>L61</t>
  </si>
  <si>
    <t>معيار</t>
  </si>
  <si>
    <r>
      <rPr>
        <sz val="8"/>
        <rFont val="Arial"/>
        <family val="2"/>
        <charset val="1"/>
      </rPr>
      <t>لاند سكيب</t>
    </r>
    <r>
      <rPr>
        <sz val="8"/>
        <rFont val="Calibri"/>
        <family val="2"/>
        <charset val="1"/>
      </rPr>
      <t>* 
(Landscape)</t>
    </r>
  </si>
  <si>
    <t>▌ مكوّن البناء - فلل</t>
  </si>
  <si>
    <r>
      <rPr>
        <sz val="8"/>
        <rFont val="Arial"/>
        <family val="2"/>
        <charset val="1"/>
      </rPr>
      <t xml:space="preserve">قبو </t>
    </r>
    <r>
      <rPr>
        <sz val="8"/>
        <rFont val="Calibri"/>
        <family val="2"/>
        <charset val="1"/>
      </rPr>
      <t>*
(Basement)</t>
    </r>
  </si>
  <si>
    <t>فلل - نسبة من المساحة البنائية</t>
  </si>
  <si>
    <t>مكوّن البناء - فلل</t>
  </si>
  <si>
    <t>C62</t>
  </si>
  <si>
    <r>
      <rPr>
        <sz val="8"/>
        <rFont val="Arial"/>
        <family val="2"/>
        <charset val="1"/>
      </rPr>
      <t>بوديوم</t>
    </r>
    <r>
      <rPr>
        <sz val="8"/>
        <rFont val="Calibri"/>
        <family val="2"/>
        <charset val="1"/>
      </rPr>
      <t>*
 (Podium)</t>
    </r>
  </si>
  <si>
    <t>فلل - إجمالي المساحة البنائية (GBA)</t>
  </si>
  <si>
    <t>D62</t>
  </si>
  <si>
    <r>
      <rPr>
        <sz val="7"/>
        <rFont val="Arial"/>
        <family val="2"/>
        <charset val="1"/>
      </rPr>
      <t xml:space="preserve">إجمالي المواقف المطلوبة
</t>
    </r>
    <r>
      <rPr>
        <sz val="7"/>
        <rFont val="Calibri"/>
        <family val="2"/>
        <charset val="1"/>
      </rPr>
      <t>(Total Required Parking Spaces)</t>
    </r>
  </si>
  <si>
    <t>فلل - نسبة المساحات القابلة للبيع</t>
  </si>
  <si>
    <t>E62</t>
  </si>
  <si>
    <r>
      <rPr>
        <sz val="6"/>
        <color theme="0" tint="-0.14999847407452621"/>
        <rFont val="Arial"/>
        <family val="2"/>
        <charset val="1"/>
      </rPr>
      <t>من مساحة الأرض</t>
    </r>
    <r>
      <rPr>
        <sz val="6"/>
        <color theme="0" tint="-0.14999847407452621"/>
        <rFont val="Calibri"/>
        <family val="2"/>
        <charset val="1"/>
      </rPr>
      <t>*
(Based on Land Area)</t>
    </r>
  </si>
  <si>
    <r>
      <rPr>
        <sz val="7"/>
        <color theme="1"/>
        <rFont val="Arial"/>
        <family val="2"/>
        <charset val="1"/>
      </rPr>
      <t xml:space="preserve">إجمالي وحدات المشروع
</t>
    </r>
    <r>
      <rPr>
        <sz val="7"/>
        <color theme="1"/>
        <rFont val="Calibri"/>
        <family val="2"/>
        <charset val="1"/>
      </rPr>
      <t>(Total Project Units)</t>
    </r>
  </si>
  <si>
    <r>
      <rPr>
        <sz val="7"/>
        <rFont val="Arial"/>
        <family val="2"/>
        <charset val="1"/>
      </rPr>
      <t xml:space="preserve">إجمالي المواقف المتوفرة
</t>
    </r>
    <r>
      <rPr>
        <sz val="7"/>
        <rFont val="Calibri"/>
        <family val="2"/>
        <charset val="1"/>
      </rPr>
      <t>(Total Available Parking Spaces)</t>
    </r>
  </si>
  <si>
    <t>فلل - المساحات الصافية القابلة للبيع (NSA)</t>
  </si>
  <si>
    <t>F62</t>
  </si>
  <si>
    <r>
      <rPr>
        <sz val="7"/>
        <color theme="1"/>
        <rFont val="Arial"/>
        <family val="2"/>
        <charset val="1"/>
      </rPr>
      <t xml:space="preserve">فارق المواقف
</t>
    </r>
    <r>
      <rPr>
        <sz val="7"/>
        <color theme="1"/>
        <rFont val="Calibri"/>
        <family val="2"/>
        <charset val="1"/>
      </rPr>
      <t xml:space="preserve">(Parking Deficit) </t>
    </r>
  </si>
  <si>
    <t>فلل - مساحة الوحدة</t>
  </si>
  <si>
    <t>G62</t>
  </si>
  <si>
    <t>فلل - عدد الوحدات</t>
  </si>
  <si>
    <t>H62</t>
  </si>
  <si>
    <t>فلل - تكلفة متر البناء</t>
  </si>
  <si>
    <t>I62</t>
  </si>
  <si>
    <t>فلل - إجمالي التكاليف</t>
  </si>
  <si>
    <t>J62</t>
  </si>
  <si>
    <t>فلل - عدد المواقف</t>
  </si>
  <si>
    <t>K62</t>
  </si>
  <si>
    <t>فلل - معيار المواقف</t>
  </si>
  <si>
    <t>L62</t>
  </si>
  <si>
    <r>
      <rPr>
        <sz val="10"/>
        <color theme="0"/>
        <rFont val="Calibri"/>
        <family val="2"/>
        <charset val="1"/>
      </rPr>
      <t xml:space="preserve">Other Cost | </t>
    </r>
    <r>
      <rPr>
        <sz val="10"/>
        <color theme="0"/>
        <rFont val="Arial"/>
        <family val="2"/>
        <charset val="1"/>
      </rPr>
      <t>التكاليف الأخرى</t>
    </r>
  </si>
  <si>
    <r>
      <rPr>
        <sz val="7"/>
        <color theme="1"/>
        <rFont val="Arial"/>
        <family val="2"/>
        <charset val="1"/>
      </rPr>
      <t xml:space="preserve">نسبة البند من إجمالي التكاليف الأخرى
</t>
    </r>
    <r>
      <rPr>
        <sz val="7"/>
        <color theme="1"/>
        <rFont val="Calibri"/>
        <family val="2"/>
        <charset val="1"/>
      </rPr>
      <t>(Item % of Total Other Costs)</t>
    </r>
  </si>
  <si>
    <t>▌ مكوّن البناء - تاون هاوس</t>
  </si>
  <si>
    <r>
      <rPr>
        <sz val="8"/>
        <color theme="0"/>
        <rFont val="Arial"/>
        <family val="2"/>
        <charset val="1"/>
      </rPr>
      <t xml:space="preserve">المعيار
</t>
    </r>
    <r>
      <rPr>
        <sz val="8"/>
        <color theme="0"/>
        <rFont val="Calibri"/>
        <family val="2"/>
        <charset val="1"/>
      </rPr>
      <t>(Standard)</t>
    </r>
  </si>
  <si>
    <t>تاون هاوس - نسبة من المساحة البنائية</t>
  </si>
  <si>
    <t>مكوّن البناء - تاون هاوس</t>
  </si>
  <si>
    <t>C63</t>
  </si>
  <si>
    <r>
      <rPr>
        <sz val="8"/>
        <color theme="1"/>
        <rFont val="Arial"/>
        <family val="2"/>
        <charset val="1"/>
      </rPr>
      <t xml:space="preserve">التسوير 
 </t>
    </r>
    <r>
      <rPr>
        <sz val="8"/>
        <color theme="1"/>
        <rFont val="Calibri"/>
        <family val="2"/>
        <charset val="1"/>
      </rPr>
      <t>(Fencing)</t>
    </r>
  </si>
  <si>
    <t>تاون هاوس - إجمالي المساحة البنائية (GBA)</t>
  </si>
  <si>
    <t>D63</t>
  </si>
  <si>
    <r>
      <rPr>
        <sz val="8"/>
        <color theme="1"/>
        <rFont val="Arial"/>
        <family val="2"/>
        <charset val="1"/>
      </rPr>
      <t xml:space="preserve">الحفر والمسح والاختبار 
 </t>
    </r>
    <r>
      <rPr>
        <sz val="8"/>
        <color theme="1"/>
        <rFont val="Calibri"/>
        <family val="2"/>
        <charset val="1"/>
      </rPr>
      <t>(Excavation, surveying, and testing)</t>
    </r>
  </si>
  <si>
    <t>تاون هاوس - نسبة المساحات القابلة للبيع</t>
  </si>
  <si>
    <t>E63</t>
  </si>
  <si>
    <r>
      <rPr>
        <sz val="8"/>
        <color theme="1"/>
        <rFont val="Arial"/>
        <family val="2"/>
        <charset val="1"/>
      </rPr>
      <t xml:space="preserve">التأمين 
 </t>
    </r>
    <r>
      <rPr>
        <sz val="8"/>
        <color theme="1"/>
        <rFont val="Calibri"/>
        <family val="2"/>
        <charset val="1"/>
      </rPr>
      <t>(Insurance)</t>
    </r>
  </si>
  <si>
    <t>تاون هاوس - المساحات الصافية القابلة للبيع (NSA)</t>
  </si>
  <si>
    <t>F63</t>
  </si>
  <si>
    <r>
      <rPr>
        <sz val="8"/>
        <color theme="1"/>
        <rFont val="Arial"/>
        <family val="2"/>
        <charset val="1"/>
      </rPr>
      <t xml:space="preserve">الرخصة 
 </t>
    </r>
    <r>
      <rPr>
        <sz val="8"/>
        <color theme="1"/>
        <rFont val="Calibri"/>
        <family val="2"/>
        <charset val="1"/>
      </rPr>
      <t>(License)</t>
    </r>
  </si>
  <si>
    <t>تاون هاوس - مساحة الوحدة</t>
  </si>
  <si>
    <t>G63</t>
  </si>
  <si>
    <r>
      <rPr>
        <sz val="8"/>
        <color theme="1"/>
        <rFont val="Arial"/>
        <family val="2"/>
        <charset val="1"/>
      </rPr>
      <t xml:space="preserve">التصميم
</t>
    </r>
    <r>
      <rPr>
        <sz val="8"/>
        <color theme="1"/>
        <rFont val="Calibri"/>
        <family val="2"/>
        <charset val="1"/>
      </rPr>
      <t>(Design)</t>
    </r>
  </si>
  <si>
    <t>تاون هاوس - عدد الوحدات</t>
  </si>
  <si>
    <t>H63</t>
  </si>
  <si>
    <r>
      <rPr>
        <sz val="8"/>
        <color theme="1"/>
        <rFont val="Arial"/>
        <family val="2"/>
        <charset val="1"/>
      </rPr>
      <t xml:space="preserve">أثاث الوحدات الفندقية 
 </t>
    </r>
    <r>
      <rPr>
        <sz val="8"/>
        <color theme="1"/>
        <rFont val="Calibri"/>
        <family val="2"/>
        <charset val="1"/>
      </rPr>
      <t>(Hotel Furniture Units)</t>
    </r>
  </si>
  <si>
    <t>تاون هاوس - تكلفة متر البناء</t>
  </si>
  <si>
    <t>I63</t>
  </si>
  <si>
    <r>
      <rPr>
        <sz val="8"/>
        <color theme="1"/>
        <rFont val="Arial"/>
        <family val="2"/>
        <charset val="1"/>
      </rPr>
      <t xml:space="preserve">أثاث الوحدات
 </t>
    </r>
    <r>
      <rPr>
        <sz val="8"/>
        <color theme="1"/>
        <rFont val="Calibri"/>
        <family val="2"/>
        <charset val="1"/>
      </rPr>
      <t>(Furniture Units)</t>
    </r>
  </si>
  <si>
    <t>تاون هاوس - إجمالي التكاليف</t>
  </si>
  <si>
    <t>J63</t>
  </si>
  <si>
    <r>
      <rPr>
        <sz val="8"/>
        <color theme="1"/>
        <rFont val="Arial"/>
        <family val="2"/>
        <charset val="1"/>
      </rPr>
      <t xml:space="preserve">رسوم الكهرباء 
 </t>
    </r>
    <r>
      <rPr>
        <sz val="8"/>
        <color theme="1"/>
        <rFont val="Calibri"/>
        <family val="2"/>
        <charset val="1"/>
      </rPr>
      <t>(Electricity fees)</t>
    </r>
  </si>
  <si>
    <t>تاون هاوس - عدد المواقف</t>
  </si>
  <si>
    <t>K63</t>
  </si>
  <si>
    <r>
      <rPr>
        <sz val="8"/>
        <color theme="1"/>
        <rFont val="Arial"/>
        <family val="2"/>
        <charset val="1"/>
      </rPr>
      <t xml:space="preserve">رسوم الماء وصرف الصحي 
 </t>
    </r>
    <r>
      <rPr>
        <sz val="8"/>
        <color theme="1"/>
        <rFont val="Calibri"/>
        <family val="2"/>
        <charset val="1"/>
      </rPr>
      <t>(Water and sewer fees)</t>
    </r>
  </si>
  <si>
    <t>تاون هاوس - معيار المواقف</t>
  </si>
  <si>
    <t>L63</t>
  </si>
  <si>
    <r>
      <rPr>
        <sz val="8"/>
        <color theme="1"/>
        <rFont val="Arial"/>
        <family val="2"/>
        <charset val="1"/>
      </rPr>
      <t xml:space="preserve">الفرز 
 </t>
    </r>
    <r>
      <rPr>
        <sz val="8"/>
        <color theme="1"/>
        <rFont val="Calibri"/>
        <family val="2"/>
        <charset val="1"/>
      </rPr>
      <t>(Sorting)</t>
    </r>
  </si>
  <si>
    <t>▌ مكوّن البناء - أدوار</t>
  </si>
  <si>
    <r>
      <rPr>
        <sz val="8"/>
        <color theme="1"/>
        <rFont val="Arial"/>
        <family val="2"/>
        <charset val="1"/>
      </rPr>
      <t xml:space="preserve">الصيانة و التشغيل 
 </t>
    </r>
    <r>
      <rPr>
        <sz val="8"/>
        <color theme="1"/>
        <rFont val="Calibri"/>
        <family val="2"/>
        <charset val="1"/>
      </rPr>
      <t>(Maintenance and Operation)</t>
    </r>
  </si>
  <si>
    <t>أدوار - نسبة من المساحة البنائية</t>
  </si>
  <si>
    <t>مكوّن البناء - أدوار</t>
  </si>
  <si>
    <t>C64</t>
  </si>
  <si>
    <r>
      <rPr>
        <sz val="8"/>
        <color theme="1"/>
        <rFont val="Arial"/>
        <family val="2"/>
        <charset val="1"/>
      </rPr>
      <t xml:space="preserve">الاحتياطي 
 </t>
    </r>
    <r>
      <rPr>
        <sz val="8"/>
        <color theme="1"/>
        <rFont val="Calibri"/>
        <family val="2"/>
        <charset val="1"/>
      </rPr>
      <t>(Contingency)</t>
    </r>
  </si>
  <si>
    <t>أدوار - إجمالي المساحة البنائية (GBA)</t>
  </si>
  <si>
    <t>D64</t>
  </si>
  <si>
    <r>
      <rPr>
        <sz val="8"/>
        <color theme="1"/>
        <rFont val="Arial"/>
        <family val="2"/>
        <charset val="1"/>
      </rPr>
      <t xml:space="preserve">تسويق المبيعات
 </t>
    </r>
    <r>
      <rPr>
        <sz val="8"/>
        <color theme="1"/>
        <rFont val="Calibri"/>
        <family val="2"/>
        <charset val="1"/>
      </rPr>
      <t>(Sales Marketing)</t>
    </r>
  </si>
  <si>
    <t>أدوار - نسبة المساحات القابلة للبيع</t>
  </si>
  <si>
    <t>E64</t>
  </si>
  <si>
    <r>
      <rPr>
        <sz val="8"/>
        <color theme="1"/>
        <rFont val="Arial"/>
        <family val="2"/>
        <charset val="1"/>
      </rPr>
      <t xml:space="preserve">تسويق التأجير
</t>
    </r>
    <r>
      <rPr>
        <sz val="8"/>
        <color theme="1"/>
        <rFont val="Calibri"/>
        <family val="2"/>
        <charset val="1"/>
      </rPr>
      <t>(Leasing Marketing)</t>
    </r>
  </si>
  <si>
    <t>أدوار - المساحات الصافية القابلة للبيع (NSA)</t>
  </si>
  <si>
    <t>F64</t>
  </si>
  <si>
    <r>
      <rPr>
        <sz val="8"/>
        <color theme="1"/>
        <rFont val="Arial"/>
        <family val="2"/>
        <charset val="1"/>
      </rPr>
      <t xml:space="preserve">تسويق البيع على الخارطة
 </t>
    </r>
    <r>
      <rPr>
        <sz val="8"/>
        <color theme="1"/>
        <rFont val="Calibri"/>
        <family val="2"/>
        <charset val="1"/>
      </rPr>
      <t>(Off-Plan Sales Marketing)</t>
    </r>
  </si>
  <si>
    <t>أدوار - مساحة الوحدة</t>
  </si>
  <si>
    <t>G64</t>
  </si>
  <si>
    <r>
      <rPr>
        <sz val="8"/>
        <color theme="1"/>
        <rFont val="Arial"/>
        <family val="2"/>
        <charset val="1"/>
      </rPr>
      <t xml:space="preserve">الإشراف الهندسي 
 </t>
    </r>
    <r>
      <rPr>
        <sz val="8"/>
        <color theme="1"/>
        <rFont val="Calibri"/>
        <family val="2"/>
        <charset val="1"/>
      </rPr>
      <t>(Engineering Supervision)</t>
    </r>
  </si>
  <si>
    <t>أدوار - عدد الوحدات</t>
  </si>
  <si>
    <t>H64</t>
  </si>
  <si>
    <r>
      <rPr>
        <sz val="8"/>
        <color theme="1"/>
        <rFont val="Arial"/>
        <family val="2"/>
        <charset val="1"/>
      </rPr>
      <t xml:space="preserve">إجمالي التكاليف الأخرى 
 </t>
    </r>
    <r>
      <rPr>
        <sz val="8"/>
        <color theme="1"/>
        <rFont val="Calibri"/>
        <family val="2"/>
        <charset val="1"/>
      </rPr>
      <t>(Total Other Cost)</t>
    </r>
  </si>
  <si>
    <t>أدوار - تكلفة متر البناء</t>
  </si>
  <si>
    <t>I64</t>
  </si>
  <si>
    <r>
      <rPr>
        <sz val="8"/>
        <color theme="0"/>
        <rFont val="Arial"/>
        <family val="2"/>
        <charset val="1"/>
      </rPr>
      <t xml:space="preserve">تفاصيل تكاليف الصندوق </t>
    </r>
    <r>
      <rPr>
        <sz val="8"/>
        <color theme="0"/>
        <rFont val="Calibri"/>
        <family val="2"/>
        <charset val="1"/>
      </rPr>
      <t>| Fund Cost Details</t>
    </r>
  </si>
  <si>
    <t>أدوار - إجمالي التكاليف</t>
  </si>
  <si>
    <t>J64</t>
  </si>
  <si>
    <r>
      <rPr>
        <sz val="8"/>
        <color theme="1"/>
        <rFont val="Arial"/>
        <family val="2"/>
        <charset val="1"/>
      </rPr>
      <t xml:space="preserve">تكاليف المطور 
 </t>
    </r>
    <r>
      <rPr>
        <sz val="8"/>
        <color theme="1"/>
        <rFont val="Calibri"/>
        <family val="2"/>
        <charset val="1"/>
      </rPr>
      <t>(Developer costs)</t>
    </r>
  </si>
  <si>
    <t>أدوار - عدد المواقف</t>
  </si>
  <si>
    <t>K64</t>
  </si>
  <si>
    <r>
      <rPr>
        <sz val="8"/>
        <color theme="1"/>
        <rFont val="Arial"/>
        <family val="2"/>
        <charset val="1"/>
      </rPr>
      <t xml:space="preserve">رسوم الصندوق 
 </t>
    </r>
    <r>
      <rPr>
        <sz val="8"/>
        <color theme="1"/>
        <rFont val="Calibri"/>
        <family val="2"/>
        <charset val="1"/>
      </rPr>
      <t>(Fund fees)</t>
    </r>
  </si>
  <si>
    <t>أدوار - معيار المواقف</t>
  </si>
  <si>
    <t>L64</t>
  </si>
  <si>
    <r>
      <rPr>
        <sz val="8"/>
        <color theme="1"/>
        <rFont val="Arial"/>
        <family val="2"/>
        <charset val="1"/>
      </rPr>
      <t xml:space="preserve">التكاليف الأخرى للصندوق
 </t>
    </r>
    <r>
      <rPr>
        <sz val="8"/>
        <color theme="1"/>
        <rFont val="Calibri"/>
        <family val="2"/>
        <charset val="1"/>
      </rPr>
      <t>(Other costs)</t>
    </r>
  </si>
  <si>
    <t>▌ مكوّن البناء - أستوديوهات</t>
  </si>
  <si>
    <r>
      <rPr>
        <sz val="8"/>
        <color theme="1"/>
        <rFont val="Arial"/>
        <family val="2"/>
        <charset val="1"/>
      </rPr>
      <t xml:space="preserve">الإجمالي
</t>
    </r>
    <r>
      <rPr>
        <sz val="8"/>
        <color theme="1"/>
        <rFont val="Calibri"/>
        <family val="2"/>
        <charset val="1"/>
      </rPr>
      <t>(Total)</t>
    </r>
  </si>
  <si>
    <t>أستوديوهات - نسبة من المساحة البنائية</t>
  </si>
  <si>
    <t>مكوّن البناء - أستوديوهات</t>
  </si>
  <si>
    <t>C65</t>
  </si>
  <si>
    <r>
      <rPr>
        <sz val="8"/>
        <color theme="0"/>
        <rFont val="Arial"/>
        <family val="2"/>
        <charset val="1"/>
      </rPr>
      <t xml:space="preserve">ملخص تكاليف المشروع </t>
    </r>
    <r>
      <rPr>
        <sz val="8"/>
        <color theme="0"/>
        <rFont val="Calibri"/>
        <family val="2"/>
        <charset val="1"/>
      </rPr>
      <t>| Project Costs</t>
    </r>
  </si>
  <si>
    <t>أستوديوهات - إجمالي المساحة البنائية (GBA)</t>
  </si>
  <si>
    <t>D65</t>
  </si>
  <si>
    <r>
      <rPr>
        <sz val="8"/>
        <color theme="1"/>
        <rFont val="Arial"/>
        <family val="2"/>
        <charset val="1"/>
      </rPr>
      <t xml:space="preserve">اجمالي تكلفة الأرض
</t>
    </r>
    <r>
      <rPr>
        <sz val="8"/>
        <color theme="1"/>
        <rFont val="Calibri"/>
        <family val="2"/>
        <charset val="1"/>
      </rPr>
      <t>(Total Land Cost)</t>
    </r>
  </si>
  <si>
    <t>أستوديوهات - نسبة المساحات القابلة للبيع</t>
  </si>
  <si>
    <t>E65</t>
  </si>
  <si>
    <r>
      <rPr>
        <sz val="8"/>
        <color theme="1"/>
        <rFont val="Arial"/>
        <family val="2"/>
        <charset val="1"/>
      </rPr>
      <t xml:space="preserve"> اجمالي تكلفة البناء
 </t>
    </r>
    <r>
      <rPr>
        <sz val="8"/>
        <color theme="1"/>
        <rFont val="Calibri"/>
        <family val="2"/>
        <charset val="1"/>
      </rPr>
      <t>(Total construction cost)</t>
    </r>
  </si>
  <si>
    <t>أستوديوهات - المساحات الصافية القابلة للبيع (NSA)</t>
  </si>
  <si>
    <t>F65</t>
  </si>
  <si>
    <r>
      <rPr>
        <sz val="8"/>
        <color theme="1"/>
        <rFont val="Arial"/>
        <family val="2"/>
        <charset val="1"/>
      </rPr>
      <t xml:space="preserve">إجمالي التكاليف الأخرى 
 </t>
    </r>
    <r>
      <rPr>
        <sz val="8"/>
        <color theme="1"/>
        <rFont val="Calibri"/>
        <family val="2"/>
        <charset val="1"/>
      </rPr>
      <t>(Total other costs)</t>
    </r>
  </si>
  <si>
    <t>أستوديوهات - مساحة الوحدة</t>
  </si>
  <si>
    <t>G65</t>
  </si>
  <si>
    <r>
      <rPr>
        <sz val="8"/>
        <color theme="1"/>
        <rFont val="Arial"/>
        <family val="2"/>
        <charset val="1"/>
      </rPr>
      <t xml:space="preserve">إجمالي تكلفة التطوير  
 </t>
    </r>
    <r>
      <rPr>
        <sz val="8"/>
        <color theme="1"/>
        <rFont val="Calibri"/>
        <family val="2"/>
        <charset val="1"/>
      </rPr>
      <t>(Total development cost)</t>
    </r>
  </si>
  <si>
    <t>أستوديوهات - عدد الوحدات</t>
  </si>
  <si>
    <t>H65</t>
  </si>
  <si>
    <r>
      <rPr>
        <sz val="8"/>
        <color theme="1"/>
        <rFont val="Arial"/>
        <family val="2"/>
        <charset val="1"/>
      </rPr>
      <t xml:space="preserve">إجمالي تكاليف الصندوق 
 </t>
    </r>
    <r>
      <rPr>
        <sz val="8"/>
        <color theme="1"/>
        <rFont val="Calibri"/>
        <family val="2"/>
        <charset val="1"/>
      </rPr>
      <t xml:space="preserve">(Total fund costs)  </t>
    </r>
  </si>
  <si>
    <t>أستوديوهات - تكلفة متر البناء</t>
  </si>
  <si>
    <t>I65</t>
  </si>
  <si>
    <t>أستوديوهات - إجمالي التكاليف</t>
  </si>
  <si>
    <t>J65</t>
  </si>
  <si>
    <r>
      <rPr>
        <sz val="8"/>
        <color theme="1"/>
        <rFont val="Arial"/>
        <family val="2"/>
        <charset val="1"/>
      </rPr>
      <t xml:space="preserve">  إجمالي التكاليف الكاملة للمشروع 
 </t>
    </r>
    <r>
      <rPr>
        <sz val="8"/>
        <color theme="1"/>
        <rFont val="Calibri"/>
        <family val="2"/>
        <charset val="1"/>
      </rPr>
      <t>(Total Project Costs)</t>
    </r>
  </si>
  <si>
    <t>أستوديوهات - عدد المواقف</t>
  </si>
  <si>
    <t>K65</t>
  </si>
  <si>
    <r>
      <rPr>
        <sz val="8"/>
        <color theme="1"/>
        <rFont val="Arial"/>
        <family val="2"/>
        <charset val="1"/>
      </rPr>
      <t xml:space="preserve">الملكية
</t>
    </r>
    <r>
      <rPr>
        <sz val="8"/>
        <color theme="1"/>
        <rFont val="Calibri"/>
        <family val="2"/>
        <charset val="1"/>
      </rPr>
      <t>(Equity)</t>
    </r>
  </si>
  <si>
    <t>أستوديوهات - معيار المواقف</t>
  </si>
  <si>
    <t>L65</t>
  </si>
  <si>
    <r>
      <rPr>
        <sz val="8"/>
        <color theme="0"/>
        <rFont val="Arial"/>
        <family val="2"/>
        <charset val="1"/>
      </rPr>
      <t xml:space="preserve">التمويل </t>
    </r>
    <r>
      <rPr>
        <sz val="8"/>
        <color theme="0"/>
        <rFont val="Calibri"/>
        <family val="2"/>
        <charset val="1"/>
      </rPr>
      <t>| Finance</t>
    </r>
  </si>
  <si>
    <t>▌ مكوّن البناء - مكتبي</t>
  </si>
  <si>
    <r>
      <rPr>
        <sz val="8"/>
        <color theme="1"/>
        <rFont val="Arial"/>
        <family val="2"/>
        <charset val="1"/>
      </rPr>
      <t xml:space="preserve">التمويل المطلوب 
 </t>
    </r>
    <r>
      <rPr>
        <sz val="8"/>
        <color theme="1"/>
        <rFont val="Calibri"/>
        <family val="2"/>
        <charset val="1"/>
      </rPr>
      <t>(Required financing)</t>
    </r>
  </si>
  <si>
    <t>مكتبي - نسبة من المساحة البنائية</t>
  </si>
  <si>
    <t>مكوّن البناء - مكتبي</t>
  </si>
  <si>
    <t>C66</t>
  </si>
  <si>
    <t>مكتبي - إجمالي المساحة البنائية (GBA)</t>
  </si>
  <si>
    <t>D66</t>
  </si>
  <si>
    <r>
      <rPr>
        <sz val="8"/>
        <color theme="0"/>
        <rFont val="Arial"/>
        <family val="2"/>
        <charset val="1"/>
      </rPr>
      <t xml:space="preserve">الإطار الزمني </t>
    </r>
    <r>
      <rPr>
        <sz val="8"/>
        <color theme="0"/>
        <rFont val="Calibri"/>
        <family val="2"/>
        <charset val="1"/>
      </rPr>
      <t>| Time frame</t>
    </r>
  </si>
  <si>
    <t>مكتبي - نسبة المساحات القابلة للبيع</t>
  </si>
  <si>
    <t>E66</t>
  </si>
  <si>
    <r>
      <rPr>
        <sz val="8"/>
        <color theme="1"/>
        <rFont val="Arial"/>
        <family val="2"/>
        <charset val="1"/>
      </rPr>
      <t xml:space="preserve">مدة المشروع المتوقعة
  </t>
    </r>
    <r>
      <rPr>
        <sz val="8"/>
        <color theme="1"/>
        <rFont val="Calibri"/>
        <family val="2"/>
        <charset val="1"/>
      </rPr>
      <t>(Estimated Project Duration)</t>
    </r>
  </si>
  <si>
    <r>
      <rPr>
        <sz val="8"/>
        <color theme="1"/>
        <rFont val="Arial"/>
        <family val="2"/>
        <charset val="1"/>
      </rPr>
      <t xml:space="preserve">بالأشهر </t>
    </r>
    <r>
      <rPr>
        <sz val="8"/>
        <color theme="1"/>
        <rFont val="Calibri"/>
        <family val="2"/>
        <charset val="1"/>
      </rPr>
      <t>- Months</t>
    </r>
  </si>
  <si>
    <r>
      <rPr>
        <sz val="8"/>
        <color theme="1"/>
        <rFont val="Arial"/>
        <family val="2"/>
        <charset val="1"/>
      </rPr>
      <t xml:space="preserve">بالسنين </t>
    </r>
    <r>
      <rPr>
        <sz val="8"/>
        <color theme="1"/>
        <rFont val="Calibri"/>
        <family val="2"/>
        <charset val="1"/>
      </rPr>
      <t>- Years</t>
    </r>
  </si>
  <si>
    <r>
      <rPr>
        <sz val="7"/>
        <color theme="1"/>
        <rFont val="Arial"/>
        <family val="2"/>
        <charset val="1"/>
      </rPr>
      <t xml:space="preserve">ربع سنوي </t>
    </r>
    <r>
      <rPr>
        <sz val="7"/>
        <color theme="1"/>
        <rFont val="Calibri"/>
        <family val="2"/>
        <charset val="1"/>
      </rPr>
      <t>- Quarterly</t>
    </r>
  </si>
  <si>
    <t>مكتبي - المساحات الصافية القابلة للبيع (NSA)</t>
  </si>
  <si>
    <t>F66</t>
  </si>
  <si>
    <t>مكتبي - مساحة الوحدة</t>
  </si>
  <si>
    <t>G66</t>
  </si>
  <si>
    <t>مكتبي - عدد الوحدات</t>
  </si>
  <si>
    <t>H66</t>
  </si>
  <si>
    <t>مكتبي - تكلفة متر البناء</t>
  </si>
  <si>
    <t>I66</t>
  </si>
  <si>
    <t>مكتبي - إجمالي التكاليف</t>
  </si>
  <si>
    <t>J66</t>
  </si>
  <si>
    <t>مكتبي - عدد المواقف</t>
  </si>
  <si>
    <t>K66</t>
  </si>
  <si>
    <r>
      <rPr>
        <sz val="10"/>
        <color theme="0"/>
        <rFont val="Arial"/>
        <family val="2"/>
        <charset val="1"/>
      </rPr>
      <t xml:space="preserve">البيع المباشر </t>
    </r>
    <r>
      <rPr>
        <sz val="10"/>
        <color theme="0"/>
        <rFont val="Calibri"/>
        <family val="2"/>
        <charset val="1"/>
      </rPr>
      <t>| Direct Sale</t>
    </r>
  </si>
  <si>
    <r>
      <rPr>
        <sz val="10"/>
        <color theme="0"/>
        <rFont val="Calibri"/>
        <family val="2"/>
        <charset val="1"/>
      </rPr>
      <t xml:space="preserve"> CAP-RATE | </t>
    </r>
    <r>
      <rPr>
        <sz val="10"/>
        <color theme="0"/>
        <rFont val="Arial"/>
        <family val="2"/>
        <charset val="1"/>
      </rPr>
      <t xml:space="preserve">معدل الرسملة    </t>
    </r>
  </si>
  <si>
    <r>
      <rPr>
        <sz val="10"/>
        <color theme="0"/>
        <rFont val="Arial"/>
        <family val="2"/>
        <charset val="1"/>
      </rPr>
      <t xml:space="preserve">البيع على الخارطة </t>
    </r>
    <r>
      <rPr>
        <sz val="10"/>
        <color theme="0"/>
        <rFont val="Calibri"/>
        <family val="2"/>
        <charset val="1"/>
      </rPr>
      <t>| Off-Plan Sale</t>
    </r>
  </si>
  <si>
    <t>مكتبي - معيار المواقف</t>
  </si>
  <si>
    <t>L66</t>
  </si>
  <si>
    <r>
      <rPr>
        <sz val="8"/>
        <color theme="0"/>
        <rFont val="Arial"/>
        <family val="2"/>
        <charset val="1"/>
      </rPr>
      <t xml:space="preserve">عدد الوحدات
</t>
    </r>
    <r>
      <rPr>
        <sz val="8"/>
        <color theme="0"/>
        <rFont val="Calibri"/>
        <family val="2"/>
        <charset val="1"/>
      </rPr>
      <t>(Number of units)</t>
    </r>
  </si>
  <si>
    <r>
      <rPr>
        <sz val="8"/>
        <color theme="0"/>
        <rFont val="Arial"/>
        <family val="2"/>
        <charset val="1"/>
      </rPr>
      <t xml:space="preserve">نسبة البيع
 </t>
    </r>
    <r>
      <rPr>
        <sz val="8"/>
        <color theme="0"/>
        <rFont val="Calibri"/>
        <family val="2"/>
        <charset val="1"/>
      </rPr>
      <t>(Selling-%)</t>
    </r>
  </si>
  <si>
    <r>
      <rPr>
        <sz val="8"/>
        <color theme="0"/>
        <rFont val="Arial"/>
        <family val="2"/>
        <charset val="1"/>
      </rPr>
      <t xml:space="preserve">نسبة العائد على التكلفة لكل م²‌ بيعي
</t>
    </r>
    <r>
      <rPr>
        <sz val="8"/>
        <color theme="0"/>
        <rFont val="Calibri"/>
        <family val="2"/>
        <charset val="1"/>
      </rPr>
      <t>(Return on Cost per Sellable m²)</t>
    </r>
  </si>
  <si>
    <r>
      <rPr>
        <sz val="8"/>
        <color theme="0"/>
        <rFont val="Arial"/>
        <family val="2"/>
        <charset val="1"/>
      </rPr>
      <t xml:space="preserve">سعر بيع المتر 
</t>
    </r>
    <r>
      <rPr>
        <sz val="8"/>
        <color theme="0"/>
        <rFont val="Calibri"/>
        <family val="2"/>
        <charset val="1"/>
      </rPr>
      <t>(Sale Price per m²)</t>
    </r>
  </si>
  <si>
    <r>
      <rPr>
        <sz val="8"/>
        <color theme="0"/>
        <rFont val="Arial"/>
        <family val="2"/>
        <charset val="1"/>
      </rPr>
      <t xml:space="preserve">قيمة الوحدة 
</t>
    </r>
    <r>
      <rPr>
        <sz val="8"/>
        <color theme="0"/>
        <rFont val="Calibri"/>
        <family val="2"/>
        <charset val="1"/>
      </rPr>
      <t>(Unit Value)</t>
    </r>
  </si>
  <si>
    <r>
      <rPr>
        <sz val="8"/>
        <color theme="0"/>
        <rFont val="Arial"/>
        <family val="2"/>
        <charset val="1"/>
      </rPr>
      <t xml:space="preserve">اجمالي المبيعات
</t>
    </r>
    <r>
      <rPr>
        <sz val="8"/>
        <color theme="0"/>
        <rFont val="Calibri"/>
        <family val="2"/>
        <charset val="1"/>
      </rPr>
      <t>(Total Sales)</t>
    </r>
  </si>
  <si>
    <r>
      <rPr>
        <sz val="8"/>
        <color theme="0"/>
        <rFont val="Arial"/>
        <family val="2"/>
        <charset val="1"/>
      </rPr>
      <t xml:space="preserve">قيمة الوحدة
</t>
    </r>
    <r>
      <rPr>
        <sz val="8"/>
        <color theme="0"/>
        <rFont val="Calibri"/>
        <family val="2"/>
        <charset val="1"/>
      </rPr>
      <t>(Units Value)</t>
    </r>
  </si>
  <si>
    <r>
      <rPr>
        <sz val="8"/>
        <color theme="0"/>
        <rFont val="Arial"/>
        <family val="2"/>
        <charset val="1"/>
      </rPr>
      <t xml:space="preserve">الإجمالي
</t>
    </r>
    <r>
      <rPr>
        <sz val="8"/>
        <color theme="0"/>
        <rFont val="Calibri"/>
        <family val="2"/>
        <charset val="1"/>
      </rPr>
      <t>(Total)</t>
    </r>
  </si>
  <si>
    <r>
      <rPr>
        <sz val="7"/>
        <color theme="0"/>
        <rFont val="Arial"/>
        <family val="2"/>
        <charset val="1"/>
      </rPr>
      <t xml:space="preserve">رسوم وافي 
 </t>
    </r>
    <r>
      <rPr>
        <sz val="7"/>
        <color theme="0"/>
        <rFont val="Calibri"/>
        <family val="2"/>
        <charset val="1"/>
      </rPr>
      <t>(Wafi fees)</t>
    </r>
  </si>
  <si>
    <r>
      <rPr>
        <sz val="6"/>
        <color theme="0"/>
        <rFont val="Arial"/>
        <family val="2"/>
        <charset val="1"/>
      </rPr>
      <t xml:space="preserve">أتعاب المحاسب القانوني والاستشاري الهندسي
</t>
    </r>
    <r>
      <rPr>
        <sz val="6"/>
        <color theme="0"/>
        <rFont val="Calibri"/>
        <family val="2"/>
        <charset val="1"/>
      </rPr>
      <t>(Certified Accountant &amp; Engineering Supervision Fees)</t>
    </r>
  </si>
  <si>
    <r>
      <rPr>
        <sz val="7"/>
        <color theme="0"/>
        <rFont val="Arial"/>
        <family val="2"/>
        <charset val="1"/>
      </rPr>
      <t xml:space="preserve">قيمة أستقطاع الضمان 
</t>
    </r>
    <r>
      <rPr>
        <sz val="7"/>
        <color theme="0"/>
        <rFont val="Calibri"/>
        <family val="2"/>
        <charset val="1"/>
      </rPr>
      <t>(Retention Guarantee Amount)</t>
    </r>
  </si>
  <si>
    <r>
      <rPr>
        <sz val="7"/>
        <color theme="0"/>
        <rFont val="Arial"/>
        <family val="2"/>
        <charset val="1"/>
      </rPr>
      <t xml:space="preserve">صافي المبيعات على الخارطة
 </t>
    </r>
    <r>
      <rPr>
        <sz val="7"/>
        <color theme="0"/>
        <rFont val="Calibri"/>
        <family val="2"/>
        <charset val="1"/>
      </rPr>
      <t>(Net Off-Plan Sales)</t>
    </r>
  </si>
  <si>
    <t>▌ مكوّن البناء - تجاري</t>
  </si>
  <si>
    <t>تجاري - نسبة من المساحة البنائية</t>
  </si>
  <si>
    <t>مكوّن البناء - تجاري</t>
  </si>
  <si>
    <t>C67</t>
  </si>
  <si>
    <t>تجاري - إجمالي المساحة البنائية (GBA)</t>
  </si>
  <si>
    <t>D67</t>
  </si>
  <si>
    <t>تجاري - نسبة المساحات القابلة للبيع</t>
  </si>
  <si>
    <t>E67</t>
  </si>
  <si>
    <t>تجاري - المساحات الصافية القابلة للبيع (NSA)</t>
  </si>
  <si>
    <t>F67</t>
  </si>
  <si>
    <t>تجاري - مساحة الوحدة</t>
  </si>
  <si>
    <t>G67</t>
  </si>
  <si>
    <t>تجاري - عدد الوحدات</t>
  </si>
  <si>
    <t>H67</t>
  </si>
  <si>
    <t>تجاري - تكلفة متر البناء</t>
  </si>
  <si>
    <t>I67</t>
  </si>
  <si>
    <t>تجاري - إجمالي التكاليف</t>
  </si>
  <si>
    <t>J67</t>
  </si>
  <si>
    <t>تجاري - عدد المواقف</t>
  </si>
  <si>
    <t>K67</t>
  </si>
  <si>
    <t>تجاري - معيار المواقف</t>
  </si>
  <si>
    <t>L67</t>
  </si>
  <si>
    <r>
      <rPr>
        <sz val="8"/>
        <rFont val="Arial"/>
        <family val="2"/>
        <charset val="1"/>
      </rPr>
      <t xml:space="preserve">الإجمالي
</t>
    </r>
    <r>
      <rPr>
        <sz val="8"/>
        <rFont val="Calibri"/>
        <family val="2"/>
        <charset val="1"/>
      </rPr>
      <t>(Total)</t>
    </r>
  </si>
  <si>
    <t>▌ مكوّن البناء - فندقي</t>
  </si>
  <si>
    <t>فندقي - نسبة من المساحة البنائية</t>
  </si>
  <si>
    <t>مكوّن البناء - فندقي</t>
  </si>
  <si>
    <t>C68</t>
  </si>
  <si>
    <t>فندقي - إجمالي المساحة البنائية (GBA)</t>
  </si>
  <si>
    <t>D68</t>
  </si>
  <si>
    <t>فندقي - نسبة المساحات القابلة للبيع</t>
  </si>
  <si>
    <t>E68</t>
  </si>
  <si>
    <t>فندقي - المساحات الصافية القابلة للبيع (NSA)</t>
  </si>
  <si>
    <t>F68</t>
  </si>
  <si>
    <t>فندقي - مساحة الوحدة</t>
  </si>
  <si>
    <t>G68</t>
  </si>
  <si>
    <r>
      <rPr>
        <sz val="10"/>
        <color theme="0"/>
        <rFont val="Arial"/>
        <family val="2"/>
        <charset val="1"/>
      </rPr>
      <t xml:space="preserve">التأجير السنوي </t>
    </r>
    <r>
      <rPr>
        <sz val="10"/>
        <color theme="0"/>
        <rFont val="Calibri"/>
        <family val="2"/>
        <charset val="1"/>
      </rPr>
      <t>| Annual Leasing</t>
    </r>
  </si>
  <si>
    <r>
      <rPr>
        <sz val="10"/>
        <color theme="0"/>
        <rFont val="Arial"/>
        <family val="2"/>
        <charset val="1"/>
      </rPr>
      <t xml:space="preserve">  التأجير اليومي </t>
    </r>
    <r>
      <rPr>
        <sz val="10"/>
        <color theme="0"/>
        <rFont val="Calibri"/>
        <family val="2"/>
        <charset val="1"/>
      </rPr>
      <t>| Daily leasing</t>
    </r>
  </si>
  <si>
    <t>فندقي - عدد الوحدات</t>
  </si>
  <si>
    <t>H68</t>
  </si>
  <si>
    <r>
      <rPr>
        <sz val="8"/>
        <color theme="0"/>
        <rFont val="Arial"/>
        <family val="2"/>
        <charset val="1"/>
      </rPr>
      <t xml:space="preserve">عدد الوحدات
</t>
    </r>
    <r>
      <rPr>
        <sz val="8"/>
        <color theme="0"/>
        <rFont val="Calibri"/>
        <family val="2"/>
        <charset val="1"/>
      </rPr>
      <t>(Number Of Units)</t>
    </r>
  </si>
  <si>
    <r>
      <rPr>
        <sz val="8"/>
        <color theme="0"/>
        <rFont val="Arial"/>
        <family val="2"/>
        <charset val="1"/>
      </rPr>
      <t xml:space="preserve">مساحة الوحدة
</t>
    </r>
    <r>
      <rPr>
        <sz val="8"/>
        <color theme="0"/>
        <rFont val="Calibri"/>
        <family val="2"/>
        <charset val="1"/>
      </rPr>
      <t>(Unit area)</t>
    </r>
  </si>
  <si>
    <r>
      <rPr>
        <sz val="8"/>
        <color theme="0"/>
        <rFont val="Arial"/>
        <family val="2"/>
        <charset val="1"/>
      </rPr>
      <t xml:space="preserve">تأجير المتر
</t>
    </r>
    <r>
      <rPr>
        <sz val="8"/>
        <color theme="0"/>
        <rFont val="Calibri"/>
        <family val="2"/>
        <charset val="1"/>
      </rPr>
      <t>(Meter Rental)</t>
    </r>
  </si>
  <si>
    <r>
      <rPr>
        <sz val="8"/>
        <color theme="0"/>
        <rFont val="Arial"/>
        <family val="2"/>
        <charset val="1"/>
      </rPr>
      <t xml:space="preserve">قيمة تأجير الوحدة السنوي
</t>
    </r>
    <r>
      <rPr>
        <sz val="8"/>
        <color theme="0"/>
        <rFont val="Calibri"/>
        <family val="2"/>
        <charset val="1"/>
      </rPr>
      <t xml:space="preserve">(Annual Unit Rental Value) </t>
    </r>
  </si>
  <si>
    <r>
      <rPr>
        <sz val="8"/>
        <color theme="0"/>
        <rFont val="Arial"/>
        <family val="2"/>
        <charset val="1"/>
      </rPr>
      <t xml:space="preserve">نسبة الإشغال
</t>
    </r>
    <r>
      <rPr>
        <sz val="8"/>
        <color theme="0"/>
        <rFont val="Calibri"/>
        <family val="2"/>
        <charset val="1"/>
      </rPr>
      <t>(Occupancy Rate)</t>
    </r>
  </si>
  <si>
    <r>
      <rPr>
        <sz val="8"/>
        <color theme="0"/>
        <rFont val="Arial"/>
        <family val="2"/>
        <charset val="1"/>
      </rPr>
      <t xml:space="preserve">إجمالي إيرادات التأجير السنوي
</t>
    </r>
    <r>
      <rPr>
        <sz val="8"/>
        <color theme="0"/>
        <rFont val="Calibri"/>
        <family val="2"/>
        <charset val="1"/>
      </rPr>
      <t>(Total Annual Rental Revenue)</t>
    </r>
  </si>
  <si>
    <r>
      <rPr>
        <sz val="8"/>
        <color theme="0"/>
        <rFont val="Arial"/>
        <family val="2"/>
        <charset val="1"/>
      </rPr>
      <t xml:space="preserve">التكاليف التشغيلية
</t>
    </r>
    <r>
      <rPr>
        <sz val="8"/>
        <color theme="0"/>
        <rFont val="Calibri"/>
        <family val="2"/>
        <charset val="1"/>
      </rPr>
      <t>(Operating Expenditures)</t>
    </r>
  </si>
  <si>
    <r>
      <rPr>
        <sz val="8"/>
        <color theme="0"/>
        <rFont val="Arial"/>
        <family val="2"/>
        <charset val="1"/>
      </rPr>
      <t xml:space="preserve">المؤشر الإرشادي لتسعير المتر التأجيري
</t>
    </r>
    <r>
      <rPr>
        <sz val="8"/>
        <color theme="0"/>
        <rFont val="Calibri"/>
        <family val="2"/>
        <charset val="1"/>
      </rPr>
      <t>(Estimated Rental Price Index per m²)</t>
    </r>
  </si>
  <si>
    <r>
      <rPr>
        <sz val="8"/>
        <color theme="0"/>
        <rFont val="Arial"/>
        <family val="2"/>
        <charset val="1"/>
      </rPr>
      <t xml:space="preserve">فترة استرداد رأس المال - بالسنوات
</t>
    </r>
    <r>
      <rPr>
        <sz val="8"/>
        <color theme="0"/>
        <rFont val="Calibri"/>
        <family val="2"/>
        <charset val="1"/>
      </rPr>
      <t>(Payback Period - in Years)</t>
    </r>
  </si>
  <si>
    <r>
      <rPr>
        <sz val="8"/>
        <color theme="0"/>
        <rFont val="Arial"/>
        <family val="2"/>
        <charset val="1"/>
      </rPr>
      <t xml:space="preserve">العائد على التكلفة - سنوي
</t>
    </r>
    <r>
      <rPr>
        <sz val="8"/>
        <color theme="0"/>
        <rFont val="Calibri"/>
        <family val="2"/>
        <charset val="1"/>
      </rPr>
      <t>(Return on Cost - Annual)</t>
    </r>
  </si>
  <si>
    <r>
      <rPr>
        <sz val="8"/>
        <color theme="0"/>
        <rFont val="Arial"/>
        <family val="2"/>
        <charset val="1"/>
      </rPr>
      <t xml:space="preserve">إجمالي الربح التشغيلي
</t>
    </r>
    <r>
      <rPr>
        <sz val="8"/>
        <color theme="0"/>
        <rFont val="Calibri"/>
        <family val="2"/>
        <charset val="1"/>
      </rPr>
      <t>(Gross Operating Profit)</t>
    </r>
  </si>
  <si>
    <r>
      <rPr>
        <sz val="7"/>
        <color theme="0"/>
        <rFont val="Arial"/>
        <family val="2"/>
        <charset val="1"/>
      </rPr>
      <t xml:space="preserve">المكون
</t>
    </r>
    <r>
      <rPr>
        <sz val="7"/>
        <color theme="0"/>
        <rFont val="Calibri"/>
        <family val="2"/>
        <charset val="1"/>
      </rPr>
      <t>(Component)</t>
    </r>
  </si>
  <si>
    <r>
      <rPr>
        <sz val="7"/>
        <color theme="0"/>
        <rFont val="Arial"/>
        <family val="2"/>
        <charset val="1"/>
      </rPr>
      <t xml:space="preserve">عدد الوحدات
</t>
    </r>
    <r>
      <rPr>
        <sz val="7"/>
        <color theme="0"/>
        <rFont val="Calibri"/>
        <family val="2"/>
        <charset val="1"/>
      </rPr>
      <t>(Number Of Units)</t>
    </r>
  </si>
  <si>
    <r>
      <rPr>
        <sz val="7"/>
        <color theme="0"/>
        <rFont val="Arial"/>
        <family val="2"/>
        <charset val="1"/>
      </rPr>
      <t xml:space="preserve">نسبة الإشغال
</t>
    </r>
    <r>
      <rPr>
        <sz val="7"/>
        <color theme="0"/>
        <rFont val="Calibri"/>
        <family val="2"/>
        <charset val="1"/>
      </rPr>
      <t>(Occupancy Rate)</t>
    </r>
  </si>
  <si>
    <r>
      <rPr>
        <sz val="7"/>
        <color theme="0"/>
        <rFont val="Arial"/>
        <family val="2"/>
        <charset val="1"/>
      </rPr>
      <t xml:space="preserve">عدد الوحدات المشغولة - سنوي
</t>
    </r>
    <r>
      <rPr>
        <sz val="7"/>
        <color theme="0"/>
        <rFont val="Calibri"/>
        <family val="2"/>
        <charset val="1"/>
      </rPr>
      <t>(Number of Occupied Units - Annually)</t>
    </r>
  </si>
  <si>
    <r>
      <rPr>
        <sz val="7"/>
        <color theme="0"/>
        <rFont val="Arial"/>
        <family val="2"/>
        <charset val="1"/>
      </rPr>
      <t xml:space="preserve">متوسط السعر اليومي للغرفة المشغولة
</t>
    </r>
    <r>
      <rPr>
        <sz val="7"/>
        <color theme="0"/>
        <rFont val="Calibri"/>
        <family val="2"/>
        <charset val="1"/>
      </rPr>
      <t>(Average Daily Rate)</t>
    </r>
  </si>
  <si>
    <r>
      <rPr>
        <sz val="7"/>
        <color theme="0"/>
        <rFont val="Arial"/>
        <family val="2"/>
        <charset val="1"/>
      </rPr>
      <t xml:space="preserve"> الإيراد الفعلي للوحدة السنوي
</t>
    </r>
    <r>
      <rPr>
        <sz val="7"/>
        <color theme="0"/>
        <rFont val="Calibri"/>
        <family val="2"/>
        <charset val="1"/>
      </rPr>
      <t>(Effective Gross Income per Unit)</t>
    </r>
  </si>
  <si>
    <r>
      <rPr>
        <sz val="7"/>
        <color theme="0"/>
        <rFont val="Arial"/>
        <family val="2"/>
        <charset val="1"/>
      </rPr>
      <t xml:space="preserve">نسبة إيرادات الأنشطة الإضافية
</t>
    </r>
    <r>
      <rPr>
        <sz val="7"/>
        <color theme="0"/>
        <rFont val="Calibri"/>
        <family val="2"/>
        <charset val="1"/>
      </rPr>
      <t>(Ancillary Revenue)</t>
    </r>
  </si>
  <si>
    <r>
      <rPr>
        <sz val="7"/>
        <color theme="0"/>
        <rFont val="Arial"/>
        <family val="2"/>
        <charset val="1"/>
      </rPr>
      <t xml:space="preserve">إجمالي الإيرادات
</t>
    </r>
    <r>
      <rPr>
        <sz val="7"/>
        <color theme="0"/>
        <rFont val="Calibri"/>
        <family val="2"/>
        <charset val="1"/>
      </rPr>
      <t>(Total Revenue)</t>
    </r>
  </si>
  <si>
    <r>
      <rPr>
        <sz val="7"/>
        <color theme="0"/>
        <rFont val="Arial"/>
        <family val="2"/>
        <charset val="1"/>
      </rPr>
      <t xml:space="preserve">التكاليف التشغيلية والإدارية
</t>
    </r>
    <r>
      <rPr>
        <sz val="7"/>
        <color theme="0"/>
        <rFont val="Calibri"/>
        <family val="2"/>
        <charset val="1"/>
      </rPr>
      <t>(Operating &amp; Administrative Costs)</t>
    </r>
  </si>
  <si>
    <r>
      <rPr>
        <sz val="8"/>
        <color theme="0"/>
        <rFont val="Arial"/>
        <family val="2"/>
        <charset val="1"/>
      </rPr>
      <t xml:space="preserve">المؤشر الإرشادي لتسعير الوحدة اليومي
</t>
    </r>
    <r>
      <rPr>
        <sz val="8"/>
        <color theme="0"/>
        <rFont val="Calibri"/>
        <family val="2"/>
        <charset val="1"/>
      </rPr>
      <t>(Estimated Rental Price Index per Units</t>
    </r>
  </si>
  <si>
    <r>
      <rPr>
        <sz val="7"/>
        <color theme="0"/>
        <rFont val="Arial"/>
        <family val="2"/>
        <charset val="1"/>
      </rPr>
      <t xml:space="preserve">إجمالي الربح التشغيلي
</t>
    </r>
    <r>
      <rPr>
        <sz val="7"/>
        <color theme="0"/>
        <rFont val="Calibri"/>
        <family val="2"/>
        <charset val="1"/>
      </rPr>
      <t>(Gross Operating Profit)</t>
    </r>
  </si>
  <si>
    <t>فندقي - تكلفة متر البناء</t>
  </si>
  <si>
    <t>I68</t>
  </si>
  <si>
    <t>فندقي - إجمالي التكاليف</t>
  </si>
  <si>
    <t>J68</t>
  </si>
  <si>
    <t>فندقي - عدد المواقف</t>
  </si>
  <si>
    <t>K68</t>
  </si>
  <si>
    <t>فندقي - معيار المواقف</t>
  </si>
  <si>
    <t>L68</t>
  </si>
  <si>
    <t>▌ مكوّن البناء - صحي</t>
  </si>
  <si>
    <t>صحي - نسبة من المساحة البنائية</t>
  </si>
  <si>
    <t>مكوّن البناء - صحي</t>
  </si>
  <si>
    <t>C69</t>
  </si>
  <si>
    <t>صحي - إجمالي المساحة البنائية (GBA)</t>
  </si>
  <si>
    <t>D69</t>
  </si>
  <si>
    <t>صحي - نسبة المساحات القابلة للبيع</t>
  </si>
  <si>
    <t>E69</t>
  </si>
  <si>
    <t>صحي - المساحات الصافية القابلة للبيع (NSA)</t>
  </si>
  <si>
    <t>F69</t>
  </si>
  <si>
    <t>صحي - مساحة الوحدة</t>
  </si>
  <si>
    <t>G69</t>
  </si>
  <si>
    <t>صحي - عدد الوحدات</t>
  </si>
  <si>
    <t>H69</t>
  </si>
  <si>
    <t>صحي - تكلفة متر البناء</t>
  </si>
  <si>
    <t>I69</t>
  </si>
  <si>
    <t>صحي - إجمالي التكاليف</t>
  </si>
  <si>
    <t>J69</t>
  </si>
  <si>
    <t>صحي - عدد المواقف</t>
  </si>
  <si>
    <t>K69</t>
  </si>
  <si>
    <t>صحي - معيار المواقف</t>
  </si>
  <si>
    <t>L69</t>
  </si>
  <si>
    <t>▌ مكوّن البناء - أخرى</t>
  </si>
  <si>
    <t>أخرى - نسبة من المساحة البنائية</t>
  </si>
  <si>
    <t>مكوّن البناء - أخرى</t>
  </si>
  <si>
    <t>C70</t>
  </si>
  <si>
    <r>
      <rPr>
        <sz val="12"/>
        <color theme="0"/>
        <rFont val="Arial"/>
        <family val="2"/>
        <charset val="1"/>
      </rPr>
      <t xml:space="preserve">جـــــــــدول تفاصيل التدفـــــــــــــقات النقديــــــــــــــــــــــــة </t>
    </r>
    <r>
      <rPr>
        <sz val="12"/>
        <color theme="0"/>
        <rFont val="Calibri"/>
        <family val="2"/>
        <charset val="1"/>
      </rPr>
      <t>| Cash Flow Details</t>
    </r>
  </si>
  <si>
    <t>أخرى - إجمالي المساحة البنائية (GBA)</t>
  </si>
  <si>
    <t>D70</t>
  </si>
  <si>
    <t>أخرى - نسبة المساحات القابلة للبيع</t>
  </si>
  <si>
    <t>E70</t>
  </si>
  <si>
    <r>
      <rPr>
        <sz val="8"/>
        <color theme="0"/>
        <rFont val="Arial"/>
        <family val="2"/>
        <charset val="1"/>
      </rPr>
      <t xml:space="preserve">النسب المئوية للتدفقات النقدية
</t>
    </r>
    <r>
      <rPr>
        <sz val="8"/>
        <color theme="0"/>
        <rFont val="Calibri"/>
        <family val="2"/>
        <charset val="1"/>
      </rPr>
      <t>(Percentage Breakdown of Cash Flows)</t>
    </r>
  </si>
  <si>
    <r>
      <rPr>
        <sz val="8"/>
        <rFont val="Arial"/>
        <family val="2"/>
        <charset val="1"/>
      </rPr>
      <t xml:space="preserve">الإطار الزمني </t>
    </r>
    <r>
      <rPr>
        <sz val="8"/>
        <rFont val="Calibri"/>
        <family val="2"/>
        <charset val="1"/>
      </rPr>
      <t>(</t>
    </r>
    <r>
      <rPr>
        <sz val="8"/>
        <rFont val="Arial"/>
        <family val="2"/>
        <charset val="1"/>
      </rPr>
      <t>بالسنوات</t>
    </r>
    <r>
      <rPr>
        <sz val="8"/>
        <rFont val="Calibri"/>
        <family val="2"/>
        <charset val="1"/>
      </rPr>
      <t>) - Time frame (Years)</t>
    </r>
  </si>
  <si>
    <t>Y1</t>
  </si>
  <si>
    <t>Y2</t>
  </si>
  <si>
    <t>Y3</t>
  </si>
  <si>
    <t>Y4</t>
  </si>
  <si>
    <t>Y5</t>
  </si>
  <si>
    <t>Y6</t>
  </si>
  <si>
    <t>أخرى - المساحات الصافية القابلة للبيع (NSA)</t>
  </si>
  <si>
    <t>F70</t>
  </si>
  <si>
    <t>المجموع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</si>
  <si>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</si>
  <si>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</si>
  <si>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</si>
  <si>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</si>
  <si>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</si>
  <si>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</si>
  <si>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</si>
  <si>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</si>
  <si>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</si>
  <si>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</si>
  <si>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</si>
  <si>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</si>
  <si>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</si>
  <si>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</si>
  <si>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</si>
  <si>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</si>
  <si>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</si>
  <si>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</si>
  <si>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</si>
  <si>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</si>
  <si>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</si>
  <si>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</si>
  <si>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</si>
  <si>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</si>
  <si>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أخرى - مساحة الوحدة</t>
  </si>
  <si>
    <t>G70</t>
  </si>
  <si>
    <r>
      <rPr>
        <sz val="8"/>
        <color theme="0"/>
        <rFont val="Arial"/>
        <family val="2"/>
        <charset val="1"/>
      </rPr>
      <t xml:space="preserve">البيع على الخارطة
</t>
    </r>
    <r>
      <rPr>
        <sz val="8"/>
        <color theme="0"/>
        <rFont val="Calibri"/>
        <family val="2"/>
        <charset val="1"/>
      </rPr>
      <t>(Off-Plan Sale)</t>
    </r>
  </si>
  <si>
    <t>أخرى - عدد الوحدات</t>
  </si>
  <si>
    <t>H70</t>
  </si>
  <si>
    <r>
      <rPr>
        <sz val="8"/>
        <color theme="0"/>
        <rFont val="Arial"/>
        <family val="2"/>
        <charset val="1"/>
      </rPr>
      <t xml:space="preserve">أصل التمويل 
</t>
    </r>
    <r>
      <rPr>
        <sz val="8"/>
        <color theme="0"/>
        <rFont val="Calibri"/>
        <family val="2"/>
        <charset val="1"/>
      </rPr>
      <t>(Principal)</t>
    </r>
  </si>
  <si>
    <t>أخرى - تكلفة متر البناء</t>
  </si>
  <si>
    <t>I70</t>
  </si>
  <si>
    <r>
      <rPr>
        <sz val="8"/>
        <color theme="0"/>
        <rFont val="Arial"/>
        <family val="2"/>
        <charset val="1"/>
      </rPr>
      <t xml:space="preserve">سداد أصل التمويل
 </t>
    </r>
    <r>
      <rPr>
        <sz val="8"/>
        <color theme="0"/>
        <rFont val="Calibri"/>
        <family val="2"/>
        <charset val="1"/>
      </rPr>
      <t>(Principal Repayment)</t>
    </r>
  </si>
  <si>
    <t>أخرى - إجمالي التكاليف</t>
  </si>
  <si>
    <t>J70</t>
  </si>
  <si>
    <r>
      <rPr>
        <sz val="8"/>
        <color theme="0"/>
        <rFont val="Arial"/>
        <family val="2"/>
        <charset val="1"/>
      </rPr>
      <t xml:space="preserve">رسوم الصندوق
 </t>
    </r>
    <r>
      <rPr>
        <sz val="8"/>
        <color theme="0"/>
        <rFont val="Calibri"/>
        <family val="2"/>
        <charset val="1"/>
      </rPr>
      <t>(Fund costs)</t>
    </r>
  </si>
  <si>
    <t>أخرى - عدد المواقف</t>
  </si>
  <si>
    <t>K70</t>
  </si>
  <si>
    <r>
      <rPr>
        <sz val="8"/>
        <color theme="0"/>
        <rFont val="Arial"/>
        <family val="2"/>
        <charset val="1"/>
      </rPr>
      <t xml:space="preserve"> إيرادات التأجير السنوي
 </t>
    </r>
    <r>
      <rPr>
        <sz val="8"/>
        <color theme="0"/>
        <rFont val="Calibri"/>
        <family val="2"/>
        <charset val="1"/>
      </rPr>
      <t>(Annual Leasing income)</t>
    </r>
  </si>
  <si>
    <t>أخرى - معيار المواقف</t>
  </si>
  <si>
    <t>L70</t>
  </si>
  <si>
    <r>
      <rPr>
        <sz val="8"/>
        <color theme="0"/>
        <rFont val="Arial"/>
        <family val="2"/>
        <charset val="1"/>
      </rPr>
      <t xml:space="preserve">إيرادات التأجير اليومي 
</t>
    </r>
    <r>
      <rPr>
        <sz val="8"/>
        <color theme="0"/>
        <rFont val="Calibri"/>
        <family val="2"/>
        <charset val="1"/>
      </rPr>
      <t>(Daily leasing income)</t>
    </r>
  </si>
  <si>
    <t>▌ مساحات حركية وخدمية</t>
  </si>
  <si>
    <r>
      <rPr>
        <sz val="8"/>
        <color theme="0"/>
        <rFont val="Arial"/>
        <family val="2"/>
        <charset val="1"/>
      </rPr>
      <t xml:space="preserve">البيع المباشر
</t>
    </r>
    <r>
      <rPr>
        <sz val="8"/>
        <color theme="0"/>
        <rFont val="Calibri"/>
        <family val="2"/>
        <charset val="1"/>
      </rPr>
      <t>(Direct Sale)</t>
    </r>
  </si>
  <si>
    <t>المساحات الحركية - نسبة من المساحة البنائية</t>
  </si>
  <si>
    <t>مساحات حركية وخدمية</t>
  </si>
  <si>
    <t>C71</t>
  </si>
  <si>
    <r>
      <rPr>
        <sz val="8"/>
        <color theme="0"/>
        <rFont val="Arial"/>
        <family val="2"/>
        <charset val="1"/>
      </rPr>
      <t xml:space="preserve">المخارجة 
</t>
    </r>
    <r>
      <rPr>
        <sz val="8"/>
        <color theme="0"/>
        <rFont val="Calibri"/>
        <family val="2"/>
        <charset val="1"/>
      </rPr>
      <t>(Buyout)</t>
    </r>
  </si>
  <si>
    <t>المساحات الحركية - إجمالي المساحة البنائية</t>
  </si>
  <si>
    <t>D71</t>
  </si>
  <si>
    <r>
      <rPr>
        <sz val="8"/>
        <color theme="0"/>
        <rFont val="Arial"/>
        <family val="2"/>
        <charset val="1"/>
      </rPr>
      <t xml:space="preserve">تكاليف مسطحات البناء
</t>
    </r>
    <r>
      <rPr>
        <sz val="8"/>
        <color theme="0"/>
        <rFont val="Calibri"/>
        <family val="2"/>
        <charset val="1"/>
      </rPr>
      <t>(Construction Costs)</t>
    </r>
  </si>
  <si>
    <t>المساحات الحركية - تكلفة متر البناء</t>
  </si>
  <si>
    <t>I71</t>
  </si>
  <si>
    <t>المساحات الحركية - إجمالي التكاليف</t>
  </si>
  <si>
    <t>J71</t>
  </si>
  <si>
    <r>
      <rPr>
        <sz val="8"/>
        <rFont val="Arial"/>
        <family val="2"/>
        <charset val="1"/>
      </rPr>
      <t xml:space="preserve">التدفقات النقدية الداخلة </t>
    </r>
    <r>
      <rPr>
        <sz val="8"/>
        <rFont val="Calibri"/>
        <family val="2"/>
        <charset val="1"/>
      </rPr>
      <t>- (Cash Inflows)</t>
    </r>
  </si>
  <si>
    <r>
      <rPr>
        <sz val="8"/>
        <rFont val="Arial"/>
        <family val="2"/>
        <charset val="1"/>
      </rPr>
      <t xml:space="preserve">الإطار الزمني </t>
    </r>
    <r>
      <rPr>
        <sz val="8"/>
        <rFont val="Calibri"/>
        <family val="2"/>
        <charset val="1"/>
      </rPr>
      <t>- Time frame</t>
    </r>
  </si>
  <si>
    <t>▌ مساحات إضافية</t>
  </si>
  <si>
    <r>
      <rPr>
        <sz val="8"/>
        <rFont val="Arial"/>
        <family val="2"/>
        <charset val="1"/>
      </rPr>
      <t xml:space="preserve">حجم التمويل للفترة </t>
    </r>
    <r>
      <rPr>
        <sz val="8"/>
        <rFont val="Calibri"/>
        <family val="2"/>
        <charset val="1"/>
      </rPr>
      <t>- (Principal amount for the period)</t>
    </r>
  </si>
  <si>
    <t>لاند سكيب - النسبة من الأرض</t>
  </si>
  <si>
    <t>مساحات إضافية</t>
  </si>
  <si>
    <t>C73</t>
  </si>
  <si>
    <t>معامل من الأرض</t>
  </si>
  <si>
    <r>
      <rPr>
        <sz val="8"/>
        <rFont val="Arial"/>
        <family val="2"/>
        <charset val="1"/>
      </rPr>
      <t xml:space="preserve">القيمة الإجمالية
</t>
    </r>
    <r>
      <rPr>
        <sz val="8"/>
        <rFont val="Calibri"/>
        <family val="2"/>
        <charset val="1"/>
      </rPr>
      <t>(Total Value)</t>
    </r>
  </si>
  <si>
    <r>
      <rPr>
        <sz val="8"/>
        <rFont val="Arial"/>
        <family val="2"/>
        <charset val="1"/>
      </rPr>
      <t xml:space="preserve">المجموع بناء على التدفقات النقدية
</t>
    </r>
    <r>
      <rPr>
        <sz val="8"/>
        <rFont val="Calibri"/>
        <family val="2"/>
        <charset val="1"/>
      </rPr>
      <t>(Total Based on Cash Flows)</t>
    </r>
  </si>
  <si>
    <t>لاند سكيب - إجمالي المساحة</t>
  </si>
  <si>
    <t>D73</t>
  </si>
  <si>
    <r>
      <rPr>
        <sz val="8"/>
        <color theme="0"/>
        <rFont val="Arial"/>
        <family val="2"/>
        <charset val="1"/>
      </rPr>
      <t xml:space="preserve"> الاشتراكات النقدية
 </t>
    </r>
    <r>
      <rPr>
        <sz val="8"/>
        <color theme="0"/>
        <rFont val="Calibri"/>
        <family val="2"/>
        <charset val="1"/>
      </rPr>
      <t>(Cash Subscription)</t>
    </r>
  </si>
  <si>
    <t>لاند سكيب - تكلفة متر البناء</t>
  </si>
  <si>
    <t>I73</t>
  </si>
  <si>
    <r>
      <rPr>
        <sz val="8"/>
        <color theme="0"/>
        <rFont val="Arial"/>
        <family val="2"/>
        <charset val="1"/>
      </rPr>
      <t xml:space="preserve">الأشتراك النقدي من المطور
</t>
    </r>
    <r>
      <rPr>
        <sz val="8"/>
        <color theme="0"/>
        <rFont val="Calibri"/>
        <family val="2"/>
        <charset val="1"/>
      </rPr>
      <t>(Cash Subscription from Developer)</t>
    </r>
  </si>
  <si>
    <t>لاند سكيب - إجمالي التكاليف</t>
  </si>
  <si>
    <t>J73</t>
  </si>
  <si>
    <r>
      <rPr>
        <sz val="8"/>
        <color theme="0"/>
        <rFont val="Arial"/>
        <family val="2"/>
        <charset val="1"/>
      </rPr>
      <t xml:space="preserve">الأشتراك العيني من المطور
</t>
    </r>
    <r>
      <rPr>
        <sz val="8"/>
        <color theme="0"/>
        <rFont val="Calibri"/>
        <family val="2"/>
        <charset val="1"/>
      </rPr>
      <t>(In-Kind Subscription from Developer)</t>
    </r>
  </si>
  <si>
    <t>قبو - النسبة من الأرض</t>
  </si>
  <si>
    <t>C74</t>
  </si>
  <si>
    <r>
      <rPr>
        <sz val="8"/>
        <color theme="0"/>
        <rFont val="Arial"/>
        <family val="2"/>
        <charset val="1"/>
      </rPr>
      <t xml:space="preserve"> الإشتراك العيني من مالك الأرض
 </t>
    </r>
    <r>
      <rPr>
        <sz val="8"/>
        <color theme="0"/>
        <rFont val="Calibri"/>
        <family val="2"/>
        <charset val="1"/>
      </rPr>
      <t>(In-Kind Subscription from Landowner)</t>
    </r>
  </si>
  <si>
    <t>قبو - إجمالي المساحة</t>
  </si>
  <si>
    <t>D74</t>
  </si>
  <si>
    <t>قبو - تكلفة متر البناء</t>
  </si>
  <si>
    <t>I74</t>
  </si>
  <si>
    <t>قبو - إجمالي التكاليف</t>
  </si>
  <si>
    <t>J74</t>
  </si>
  <si>
    <r>
      <rPr>
        <sz val="8"/>
        <color theme="0"/>
        <rFont val="Arial"/>
        <family val="2"/>
        <charset val="1"/>
      </rPr>
      <t xml:space="preserve">إجمالي إيرادات التأجير اليومي
</t>
    </r>
    <r>
      <rPr>
        <sz val="8"/>
        <color theme="0"/>
        <rFont val="Calibri"/>
        <family val="2"/>
        <charset val="1"/>
      </rPr>
      <t>(Total Daily Rental Revenue)</t>
    </r>
  </si>
  <si>
    <t>قبو - عدد المواقف</t>
  </si>
  <si>
    <t>K74</t>
  </si>
  <si>
    <t>بوديوم - النسبة من الأرض</t>
  </si>
  <si>
    <t>C75</t>
  </si>
  <si>
    <r>
      <rPr>
        <sz val="8"/>
        <color theme="0"/>
        <rFont val="Arial"/>
        <family val="2"/>
        <charset val="1"/>
      </rPr>
      <t xml:space="preserve">المخارجة 
</t>
    </r>
    <r>
      <rPr>
        <sz val="8"/>
        <color theme="0"/>
        <rFont val="Calibri"/>
        <family val="2"/>
        <charset val="1"/>
      </rPr>
      <t xml:space="preserve">(Buyout) </t>
    </r>
  </si>
  <si>
    <t>بوديوم - إجمالي المساحة</t>
  </si>
  <si>
    <t>D75</t>
  </si>
  <si>
    <r>
      <rPr>
        <sz val="8"/>
        <color theme="0"/>
        <rFont val="Arial"/>
        <family val="2"/>
        <charset val="1"/>
      </rPr>
      <t xml:space="preserve">أصل التمويل
</t>
    </r>
    <r>
      <rPr>
        <sz val="8"/>
        <color theme="0"/>
        <rFont val="Calibri"/>
        <family val="2"/>
        <charset val="1"/>
      </rPr>
      <t>(Principal)</t>
    </r>
  </si>
  <si>
    <t>بوديوم - تكلفة متر البناء</t>
  </si>
  <si>
    <t>I75</t>
  </si>
  <si>
    <r>
      <rPr>
        <sz val="8"/>
        <rFont val="Arial"/>
        <family val="2"/>
        <charset val="1"/>
      </rPr>
      <t xml:space="preserve">التدفقات النقدية الخارجة </t>
    </r>
    <r>
      <rPr>
        <sz val="8"/>
        <rFont val="Calibri"/>
        <family val="2"/>
        <charset val="1"/>
      </rPr>
      <t>- (Cash Outflows)</t>
    </r>
  </si>
  <si>
    <t>بوديوم - إجمالي التكاليف</t>
  </si>
  <si>
    <t>J75</t>
  </si>
  <si>
    <t>بوديوم - عدد المواقف</t>
  </si>
  <si>
    <t>K75</t>
  </si>
  <si>
    <r>
      <rPr>
        <sz val="8"/>
        <color theme="0"/>
        <rFont val="Arial"/>
        <family val="2"/>
        <charset val="1"/>
      </rPr>
      <t xml:space="preserve">فوائد التمويل
 </t>
    </r>
    <r>
      <rPr>
        <sz val="8"/>
        <color theme="0"/>
        <rFont val="Calibri"/>
        <family val="2"/>
        <charset val="1"/>
      </rPr>
      <t>(Interest)</t>
    </r>
  </si>
  <si>
    <t>▌ إجمالي البناء</t>
  </si>
  <si>
    <r>
      <rPr>
        <sz val="8"/>
        <color theme="0"/>
        <rFont val="Arial"/>
        <family val="2"/>
        <charset val="1"/>
      </rPr>
      <t xml:space="preserve">رسوم ترتيب التمويل 
</t>
    </r>
    <r>
      <rPr>
        <sz val="8"/>
        <color theme="0"/>
        <rFont val="Calibri"/>
        <family val="2"/>
        <charset val="1"/>
      </rPr>
      <t>(Arrangement Fee)</t>
    </r>
  </si>
  <si>
    <t>إجمالي مكونات البناء - GBA</t>
  </si>
  <si>
    <t>إجمالي البناء</t>
  </si>
  <si>
    <t>D76</t>
  </si>
  <si>
    <r>
      <rPr>
        <sz val="8"/>
        <color theme="0"/>
        <rFont val="Arial"/>
        <family val="2"/>
        <charset val="1"/>
      </rPr>
      <t xml:space="preserve">تكلفة الأرض
 </t>
    </r>
    <r>
      <rPr>
        <sz val="8"/>
        <color theme="0"/>
        <rFont val="Calibri"/>
        <family val="2"/>
        <charset val="1"/>
      </rPr>
      <t>(Land Cost)</t>
    </r>
  </si>
  <si>
    <t>إجمالي مكونات البناء - NSA</t>
  </si>
  <si>
    <t>F76</t>
  </si>
  <si>
    <r>
      <rPr>
        <sz val="7"/>
        <color theme="0"/>
        <rFont val="Arial"/>
        <family val="2"/>
        <charset val="1"/>
      </rPr>
      <t xml:space="preserve">ضريبة التصرفات العقارية + السعي + ضريبة السعي 
</t>
    </r>
    <r>
      <rPr>
        <sz val="7"/>
        <color theme="0"/>
        <rFont val="Calibri"/>
        <family val="2"/>
        <charset val="1"/>
      </rPr>
      <t>-
(RETT + Commission + Commission tax)</t>
    </r>
  </si>
  <si>
    <t>متوسط مساحة الوحدة</t>
  </si>
  <si>
    <t>G76</t>
  </si>
  <si>
    <r>
      <rPr>
        <sz val="8"/>
        <color theme="0"/>
        <rFont val="Arial"/>
        <family val="2"/>
        <charset val="1"/>
      </rPr>
      <t xml:space="preserve">تكاليف مسطحات البناء 
</t>
    </r>
    <r>
      <rPr>
        <sz val="8"/>
        <color theme="0"/>
        <rFont val="Calibri"/>
        <family val="2"/>
        <charset val="1"/>
      </rPr>
      <t>(Construction Costs)</t>
    </r>
  </si>
  <si>
    <t>إجمالي عدد الوحدات</t>
  </si>
  <si>
    <t>H76</t>
  </si>
  <si>
    <r>
      <rPr>
        <sz val="8"/>
        <color theme="0"/>
        <rFont val="Arial"/>
        <family val="2"/>
        <charset val="1"/>
      </rPr>
      <t xml:space="preserve">التسوير 
 </t>
    </r>
    <r>
      <rPr>
        <sz val="8"/>
        <color theme="0"/>
        <rFont val="Calibri"/>
        <family val="2"/>
        <charset val="1"/>
      </rPr>
      <t>(Fence - surrounding the land)</t>
    </r>
  </si>
  <si>
    <t>متوسط تكلفة متر البناء</t>
  </si>
  <si>
    <t>I76</t>
  </si>
  <si>
    <r>
      <rPr>
        <sz val="8"/>
        <color theme="0"/>
        <rFont val="Arial"/>
        <family val="2"/>
        <charset val="1"/>
      </rPr>
      <t xml:space="preserve">الحفر والمسح والاختبار 
 </t>
    </r>
    <r>
      <rPr>
        <sz val="8"/>
        <color theme="0"/>
        <rFont val="Calibri"/>
        <family val="2"/>
        <charset val="1"/>
      </rPr>
      <t>(Excavation, surveying, and testing)</t>
    </r>
  </si>
  <si>
    <t>J76</t>
  </si>
  <si>
    <r>
      <rPr>
        <sz val="8"/>
        <color theme="0"/>
        <rFont val="Arial"/>
        <family val="2"/>
        <charset val="1"/>
      </rPr>
      <t xml:space="preserve">التأمين 
 </t>
    </r>
    <r>
      <rPr>
        <sz val="8"/>
        <color theme="0"/>
        <rFont val="Calibri"/>
        <family val="2"/>
        <charset val="1"/>
      </rPr>
      <t>(Insurance)</t>
    </r>
  </si>
  <si>
    <t>إجمالي المواقف المطلوبة</t>
  </si>
  <si>
    <t>L76</t>
  </si>
  <si>
    <r>
      <rPr>
        <sz val="8"/>
        <color theme="0"/>
        <rFont val="Arial"/>
        <family val="2"/>
        <charset val="1"/>
      </rPr>
      <t xml:space="preserve">الرخصة
 </t>
    </r>
    <r>
      <rPr>
        <sz val="8"/>
        <color theme="0"/>
        <rFont val="Calibri"/>
        <family val="2"/>
        <charset val="1"/>
      </rPr>
      <t>(License)</t>
    </r>
  </si>
  <si>
    <t>إجمالي المواقف المتوفرة</t>
  </si>
  <si>
    <t>L77</t>
  </si>
  <si>
    <r>
      <rPr>
        <sz val="8"/>
        <color theme="0"/>
        <rFont val="Arial"/>
        <family val="2"/>
        <charset val="1"/>
      </rPr>
      <t xml:space="preserve">التصميم
 </t>
    </r>
    <r>
      <rPr>
        <sz val="8"/>
        <color theme="0"/>
        <rFont val="Calibri"/>
        <family val="2"/>
        <charset val="1"/>
      </rPr>
      <t>(Design)</t>
    </r>
  </si>
  <si>
    <t>فارق المواقف (Parking Deficit)</t>
  </si>
  <si>
    <t>L78</t>
  </si>
  <si>
    <r>
      <rPr>
        <sz val="8"/>
        <color theme="0"/>
        <rFont val="Arial"/>
        <family val="2"/>
        <charset val="1"/>
      </rPr>
      <t xml:space="preserve">أثاث الوحدات الفندقية 
 </t>
    </r>
    <r>
      <rPr>
        <sz val="8"/>
        <color theme="0"/>
        <rFont val="Calibri"/>
        <family val="2"/>
        <charset val="1"/>
      </rPr>
      <t>(Apartment furniture)</t>
    </r>
  </si>
  <si>
    <t>▌ التكاليف الأخرى</t>
  </si>
  <si>
    <r>
      <rPr>
        <sz val="8"/>
        <color theme="0"/>
        <rFont val="Arial"/>
        <family val="2"/>
        <charset val="1"/>
      </rPr>
      <t xml:space="preserve">أثاث الوحدات 
 </t>
    </r>
    <r>
      <rPr>
        <sz val="8"/>
        <color theme="0"/>
        <rFont val="Calibri"/>
        <family val="2"/>
        <charset val="1"/>
      </rPr>
      <t>(Apartment furniture)</t>
    </r>
  </si>
  <si>
    <t>التسوير</t>
  </si>
  <si>
    <t>التكاليف الأخرى</t>
  </si>
  <si>
    <t>C86</t>
  </si>
  <si>
    <r>
      <rPr>
        <sz val="8"/>
        <color theme="0"/>
        <rFont val="Arial"/>
        <family val="2"/>
        <charset val="1"/>
      </rPr>
      <t xml:space="preserve">رسوم كهرباء 
 </t>
    </r>
    <r>
      <rPr>
        <sz val="8"/>
        <color theme="0"/>
        <rFont val="Calibri"/>
        <family val="2"/>
        <charset val="1"/>
      </rPr>
      <t>(Electricity fees)</t>
    </r>
  </si>
  <si>
    <t>الحفر والمسح والاختبار</t>
  </si>
  <si>
    <t>C87</t>
  </si>
  <si>
    <r>
      <rPr>
        <sz val="8"/>
        <color theme="0"/>
        <rFont val="Arial"/>
        <family val="2"/>
        <charset val="1"/>
      </rPr>
      <t xml:space="preserve">رسوم الماء وصرف الصحي 
 </t>
    </r>
    <r>
      <rPr>
        <sz val="8"/>
        <color theme="0"/>
        <rFont val="Calibri"/>
        <family val="2"/>
        <charset val="1"/>
      </rPr>
      <t>(Water and sewer fees)</t>
    </r>
  </si>
  <si>
    <t>التأمين</t>
  </si>
  <si>
    <t>C88</t>
  </si>
  <si>
    <r>
      <rPr>
        <sz val="8"/>
        <color theme="0"/>
        <rFont val="Arial"/>
        <family val="2"/>
        <charset val="1"/>
      </rPr>
      <t xml:space="preserve">الفرز 
 </t>
    </r>
    <r>
      <rPr>
        <sz val="8"/>
        <color theme="0"/>
        <rFont val="Calibri"/>
        <family val="2"/>
        <charset val="1"/>
      </rPr>
      <t>(Sorting)</t>
    </r>
  </si>
  <si>
    <t>الرخصة</t>
  </si>
  <si>
    <t>C89</t>
  </si>
  <si>
    <r>
      <rPr>
        <sz val="8"/>
        <color theme="0"/>
        <rFont val="Arial"/>
        <family val="2"/>
        <charset val="1"/>
      </rPr>
      <t xml:space="preserve">الصيانة و التشغيل 
 </t>
    </r>
    <r>
      <rPr>
        <sz val="8"/>
        <color theme="0"/>
        <rFont val="Calibri"/>
        <family val="2"/>
        <charset val="1"/>
      </rPr>
      <t>(Maintenance and Operation)</t>
    </r>
  </si>
  <si>
    <t>التصميم</t>
  </si>
  <si>
    <t>C90</t>
  </si>
  <si>
    <r>
      <rPr>
        <sz val="8"/>
        <color theme="0"/>
        <rFont val="Arial"/>
        <family val="2"/>
        <charset val="1"/>
      </rPr>
      <t xml:space="preserve">الاحتياطي 
 </t>
    </r>
    <r>
      <rPr>
        <sz val="8"/>
        <color theme="0"/>
        <rFont val="Calibri"/>
        <family val="2"/>
        <charset val="1"/>
      </rPr>
      <t>(Contingency)</t>
    </r>
  </si>
  <si>
    <t>أثاث الوحدات الفندقية</t>
  </si>
  <si>
    <t>C91</t>
  </si>
  <si>
    <r>
      <rPr>
        <sz val="8"/>
        <color theme="0"/>
        <rFont val="Arial"/>
        <family val="2"/>
        <charset val="1"/>
      </rPr>
      <t xml:space="preserve">تسويق المبيعات
 </t>
    </r>
    <r>
      <rPr>
        <sz val="8"/>
        <color theme="0"/>
        <rFont val="Calibri"/>
        <family val="2"/>
        <charset val="1"/>
      </rPr>
      <t>(Sales Marketing)</t>
    </r>
  </si>
  <si>
    <t>أثاث الوحدات</t>
  </si>
  <si>
    <t>C92</t>
  </si>
  <si>
    <r>
      <rPr>
        <sz val="8"/>
        <color theme="0"/>
        <rFont val="Arial"/>
        <family val="2"/>
        <charset val="1"/>
      </rPr>
      <t xml:space="preserve">تسويق التأجير
</t>
    </r>
    <r>
      <rPr>
        <sz val="8"/>
        <color theme="0"/>
        <rFont val="Calibri"/>
        <family val="2"/>
        <charset val="1"/>
      </rPr>
      <t>(Leasing Marketing)</t>
    </r>
  </si>
  <si>
    <t>رسوم الكهرباء</t>
  </si>
  <si>
    <t>C93</t>
  </si>
  <si>
    <r>
      <rPr>
        <sz val="8"/>
        <color theme="0"/>
        <rFont val="Arial"/>
        <family val="2"/>
        <charset val="1"/>
      </rPr>
      <t xml:space="preserve">تسويق البيع على الخارطة
 </t>
    </r>
    <r>
      <rPr>
        <sz val="8"/>
        <color theme="0"/>
        <rFont val="Calibri"/>
        <family val="2"/>
        <charset val="1"/>
      </rPr>
      <t>(Off-Plan Sales Marketing)</t>
    </r>
  </si>
  <si>
    <t>رسوم الماء وصرف الصحي</t>
  </si>
  <si>
    <t>C94</t>
  </si>
  <si>
    <r>
      <rPr>
        <sz val="8"/>
        <color theme="0"/>
        <rFont val="Arial"/>
        <family val="2"/>
        <charset val="1"/>
      </rPr>
      <t xml:space="preserve">الإشراف الهندسي 
 </t>
    </r>
    <r>
      <rPr>
        <sz val="8"/>
        <color theme="0"/>
        <rFont val="Calibri"/>
        <family val="2"/>
        <charset val="1"/>
      </rPr>
      <t>(Engineering Supervision)</t>
    </r>
  </si>
  <si>
    <t>الفرز</t>
  </si>
  <si>
    <t>C95</t>
  </si>
  <si>
    <r>
      <rPr>
        <sz val="8"/>
        <color theme="0"/>
        <rFont val="Arial"/>
        <family val="2"/>
        <charset val="1"/>
      </rPr>
      <t xml:space="preserve">تكاليف التشغيل والصيانة الخاصة بالإجار
</t>
    </r>
    <r>
      <rPr>
        <sz val="8"/>
        <color theme="0"/>
        <rFont val="Calibri"/>
        <family val="2"/>
        <charset val="1"/>
      </rPr>
      <t>(O&amp;M Costs for Leasing)</t>
    </r>
  </si>
  <si>
    <t>الصيانة والتشغيل</t>
  </si>
  <si>
    <t>C96</t>
  </si>
  <si>
    <r>
      <rPr>
        <sz val="8"/>
        <color theme="0"/>
        <rFont val="Arial"/>
        <family val="2"/>
        <charset val="1"/>
      </rPr>
      <t xml:space="preserve">رسوم الصندوق
 </t>
    </r>
    <r>
      <rPr>
        <sz val="8"/>
        <color theme="0"/>
        <rFont val="Calibri"/>
        <family val="2"/>
        <charset val="1"/>
      </rPr>
      <t>(Fund fees)</t>
    </r>
  </si>
  <si>
    <t>الاحتياطي</t>
  </si>
  <si>
    <t>C97</t>
  </si>
  <si>
    <r>
      <rPr>
        <sz val="8"/>
        <color theme="0"/>
        <rFont val="Arial"/>
        <family val="2"/>
        <charset val="1"/>
      </rPr>
      <t xml:space="preserve">التكاليف الأخرى للصندوق
</t>
    </r>
    <r>
      <rPr>
        <sz val="8"/>
        <color theme="0"/>
        <rFont val="Calibri"/>
        <family val="2"/>
        <charset val="1"/>
      </rPr>
      <t>(Other Fund Costs)</t>
    </r>
  </si>
  <si>
    <t>تسويق المبيعات</t>
  </si>
  <si>
    <t>C98</t>
  </si>
  <si>
    <r>
      <rPr>
        <sz val="8"/>
        <color theme="0"/>
        <rFont val="Arial"/>
        <family val="2"/>
        <charset val="1"/>
      </rPr>
      <t xml:space="preserve">تكاليف المطور 
</t>
    </r>
    <r>
      <rPr>
        <sz val="8"/>
        <color theme="0"/>
        <rFont val="Calibri"/>
        <family val="2"/>
        <charset val="1"/>
      </rPr>
      <t>(Developer costs)</t>
    </r>
  </si>
  <si>
    <t>تسويق التأجير</t>
  </si>
  <si>
    <t>C99</t>
  </si>
  <si>
    <t>تسويق البيع على الخارطة</t>
  </si>
  <si>
    <t>C100</t>
  </si>
  <si>
    <r>
      <rPr>
        <sz val="8"/>
        <rFont val="Arial"/>
        <family val="2"/>
        <charset val="1"/>
      </rPr>
      <t xml:space="preserve"> صافي التدفق النقدي
</t>
    </r>
    <r>
      <rPr>
        <sz val="8"/>
        <rFont val="Calibri"/>
        <family val="2"/>
        <charset val="1"/>
      </rPr>
      <t>(Net cash flow)</t>
    </r>
  </si>
  <si>
    <t>الإشراف الهندسي</t>
  </si>
  <si>
    <t>C101</t>
  </si>
  <si>
    <r>
      <rPr>
        <sz val="7"/>
        <rFont val="Arial"/>
        <family val="2"/>
        <charset val="1"/>
      </rPr>
      <t xml:space="preserve">إجمالي التكاليف الرأسمالية للمشروع + إجمالي التكاليف التشغيلية
</t>
    </r>
    <r>
      <rPr>
        <sz val="7"/>
        <rFont val="Calibri"/>
        <family val="2"/>
        <charset val="1"/>
      </rPr>
      <t>(Total Capital Expenditures) + (Total Operating Expenses)</t>
    </r>
  </si>
  <si>
    <t>C102</t>
  </si>
  <si>
    <r>
      <rPr>
        <sz val="8"/>
        <rFont val="Arial"/>
        <family val="2"/>
        <charset val="1"/>
      </rPr>
      <t xml:space="preserve">إجمالي الإرادات
</t>
    </r>
    <r>
      <rPr>
        <sz val="8"/>
        <rFont val="Calibri"/>
        <family val="2"/>
        <charset val="1"/>
      </rPr>
      <t>(Total Revenue)</t>
    </r>
  </si>
  <si>
    <t>▌ تكاليف الصندوق</t>
  </si>
  <si>
    <r>
      <rPr>
        <sz val="8"/>
        <rFont val="Arial"/>
        <family val="2"/>
        <charset val="1"/>
      </rPr>
      <t xml:space="preserve">صافي الدخل
</t>
    </r>
    <r>
      <rPr>
        <sz val="8"/>
        <rFont val="Calibri"/>
        <family val="2"/>
        <charset val="1"/>
      </rPr>
      <t>(Net Income)</t>
    </r>
  </si>
  <si>
    <t>تكاليف المطور</t>
  </si>
  <si>
    <t>تكاليف الصندوق</t>
  </si>
  <si>
    <t>C104</t>
  </si>
  <si>
    <r>
      <rPr>
        <sz val="8"/>
        <color theme="0"/>
        <rFont val="Arial"/>
        <family val="2"/>
        <charset val="1"/>
      </rPr>
      <t xml:space="preserve">المؤشرات المالية </t>
    </r>
    <r>
      <rPr>
        <sz val="8"/>
        <color theme="0"/>
        <rFont val="Calibri"/>
        <family val="2"/>
        <charset val="1"/>
      </rPr>
      <t>| Financial Indicators</t>
    </r>
  </si>
  <si>
    <t>نسبة تكاليف المطور</t>
  </si>
  <si>
    <t>D104</t>
  </si>
  <si>
    <t>رسوم الصندوق</t>
  </si>
  <si>
    <t>C105</t>
  </si>
  <si>
    <t>التكاليف الأخرى للصندوق</t>
  </si>
  <si>
    <t>C106</t>
  </si>
  <si>
    <t>إجمالي تكاليف الصندوق</t>
  </si>
  <si>
    <t>C107</t>
  </si>
  <si>
    <t>▌ ملخص التكاليف</t>
  </si>
  <si>
    <t>ملخص التكاليف</t>
  </si>
  <si>
    <t>C109</t>
  </si>
  <si>
    <t>C110</t>
  </si>
  <si>
    <t>C111</t>
  </si>
  <si>
    <t>إجمالي تكلفة التطوير</t>
  </si>
  <si>
    <t>C112</t>
  </si>
  <si>
    <t>C113</t>
  </si>
  <si>
    <t>إجمالي التكاليف التشغيلية</t>
  </si>
  <si>
    <t>C114</t>
  </si>
  <si>
    <t>إجمالي التكاليف الكاملة للمشروع</t>
  </si>
  <si>
    <t>C115</t>
  </si>
  <si>
    <t>الملكية</t>
  </si>
  <si>
    <t>C116</t>
  </si>
  <si>
    <t>▌ التمويل</t>
  </si>
  <si>
    <t>التمويل المطلوب</t>
  </si>
  <si>
    <t>التمويل</t>
  </si>
  <si>
    <t>C118</t>
  </si>
  <si>
    <t>C119</t>
  </si>
  <si>
    <r>
      <rPr>
        <sz val="10"/>
        <color theme="0"/>
        <rFont val="Arial"/>
        <family val="2"/>
        <charset val="1"/>
      </rPr>
      <t xml:space="preserve">جدول التسهيلات المصرفية </t>
    </r>
    <r>
      <rPr>
        <sz val="10"/>
        <color theme="0"/>
        <rFont val="Calibri"/>
        <family val="2"/>
        <charset val="1"/>
      </rPr>
      <t>| Bank Facilities Table</t>
    </r>
  </si>
  <si>
    <t>مدة الفوائد بالسنين</t>
  </si>
  <si>
    <t>E119</t>
  </si>
  <si>
    <r>
      <rPr>
        <sz val="8"/>
        <color theme="1"/>
        <rFont val="Arial"/>
        <family val="2"/>
        <charset val="1"/>
      </rPr>
      <t xml:space="preserve">الإطار الزمني
</t>
    </r>
    <r>
      <rPr>
        <sz val="8"/>
        <color theme="1"/>
        <rFont val="Calibri"/>
        <family val="2"/>
        <charset val="1"/>
      </rPr>
      <t>(Time frame)</t>
    </r>
  </si>
  <si>
    <t>▌ الإطار الزمني</t>
  </si>
  <si>
    <t>مدة المشروع - بالأشهر</t>
  </si>
  <si>
    <t>الإطار الزمني</t>
  </si>
  <si>
    <t>C122</t>
  </si>
  <si>
    <t>شهر</t>
  </si>
  <si>
    <t>مدة المشروع - بالسنين</t>
  </si>
  <si>
    <t>D122</t>
  </si>
  <si>
    <r>
      <rPr>
        <sz val="8"/>
        <rFont val="Arial"/>
        <family val="2"/>
        <charset val="1"/>
      </rPr>
      <t xml:space="preserve">نسبة فوائد التمويل السنوية
 </t>
    </r>
    <r>
      <rPr>
        <sz val="8"/>
        <rFont val="Calibri"/>
        <family val="2"/>
        <charset val="1"/>
      </rPr>
      <t>(Annual Interest)</t>
    </r>
  </si>
  <si>
    <t>مدة المشروع - ربع سنوي</t>
  </si>
  <si>
    <t>E122</t>
  </si>
  <si>
    <t>ربع</t>
  </si>
  <si>
    <t>▌ البيع المباشر - سكني</t>
  </si>
  <si>
    <r>
      <rPr>
        <sz val="8"/>
        <color theme="1"/>
        <rFont val="Arial"/>
        <family val="2"/>
        <charset val="1"/>
      </rPr>
      <t xml:space="preserve">نسبة فوائد التمويل الربع السنوية
 </t>
    </r>
    <r>
      <rPr>
        <sz val="8"/>
        <color theme="1"/>
        <rFont val="Calibri"/>
        <family val="2"/>
        <charset val="1"/>
      </rPr>
      <t>(QER)</t>
    </r>
  </si>
  <si>
    <t>سكني - عدد الوحدات للبيع</t>
  </si>
  <si>
    <t>البيع المباشر - سكني</t>
  </si>
  <si>
    <t>C129</t>
  </si>
  <si>
    <t>سكني - نسبة البيع</t>
  </si>
  <si>
    <t>D129</t>
  </si>
  <si>
    <r>
      <rPr>
        <sz val="8"/>
        <color theme="1"/>
        <rFont val="Arial"/>
        <family val="2"/>
        <charset val="1"/>
      </rPr>
      <t xml:space="preserve">حجم التمويل للفترة 
 </t>
    </r>
    <r>
      <rPr>
        <sz val="8"/>
        <color theme="1"/>
        <rFont val="Calibri"/>
        <family val="2"/>
        <charset val="1"/>
      </rPr>
      <t>(Principal amount for the period)</t>
    </r>
  </si>
  <si>
    <t>سكني - المساحات القابلة للبيع</t>
  </si>
  <si>
    <t>E129</t>
  </si>
  <si>
    <t>F129</t>
  </si>
  <si>
    <r>
      <rPr>
        <sz val="8"/>
        <color theme="1"/>
        <rFont val="Arial"/>
        <family val="2"/>
        <charset val="1"/>
      </rPr>
      <t xml:space="preserve">أصل التمويل 
 </t>
    </r>
    <r>
      <rPr>
        <sz val="8"/>
        <color theme="1"/>
        <rFont val="Calibri"/>
        <family val="2"/>
        <charset val="1"/>
      </rPr>
      <t>(Principal)</t>
    </r>
  </si>
  <si>
    <t>سكني - سعر بيع المتر</t>
  </si>
  <si>
    <t>H129</t>
  </si>
  <si>
    <t>سكني - قيمة الوحدة</t>
  </si>
  <si>
    <t>I129</t>
  </si>
  <si>
    <r>
      <rPr>
        <sz val="8"/>
        <color theme="1"/>
        <rFont val="Arial"/>
        <family val="2"/>
        <charset val="1"/>
      </rPr>
      <t xml:space="preserve">فوائد التمويل 
</t>
    </r>
    <r>
      <rPr>
        <sz val="8"/>
        <color theme="1"/>
        <rFont val="Calibri"/>
        <family val="2"/>
        <charset val="1"/>
      </rPr>
      <t>(Interest)</t>
    </r>
  </si>
  <si>
    <t>سكني - إجمالي المبيعات</t>
  </si>
  <si>
    <t>J129</t>
  </si>
  <si>
    <t>▌ البيع المباشر - فلل</t>
  </si>
  <si>
    <r>
      <rPr>
        <sz val="8"/>
        <color theme="1"/>
        <rFont val="Arial"/>
        <family val="2"/>
        <charset val="1"/>
      </rPr>
      <t xml:space="preserve">رسوم ترتيب التمويل 
</t>
    </r>
    <r>
      <rPr>
        <sz val="8"/>
        <color theme="1"/>
        <rFont val="Calibri"/>
        <family val="2"/>
        <charset val="1"/>
      </rPr>
      <t>(Arrangement Fee)</t>
    </r>
  </si>
  <si>
    <t>فلل - عدد الوحدات للبيع</t>
  </si>
  <si>
    <t>البيع المباشر - فلل</t>
  </si>
  <si>
    <t>C130</t>
  </si>
  <si>
    <t>فلل - نسبة البيع</t>
  </si>
  <si>
    <t>D130</t>
  </si>
  <si>
    <r>
      <rPr>
        <sz val="8"/>
        <color theme="1"/>
        <rFont val="Arial"/>
        <family val="2"/>
        <charset val="1"/>
      </rPr>
      <t xml:space="preserve">فوائد التمويل + رسوم ترتيب التمويل 
</t>
    </r>
    <r>
      <rPr>
        <sz val="8"/>
        <color theme="1"/>
        <rFont val="Calibri"/>
        <family val="2"/>
        <charset val="1"/>
      </rPr>
      <t xml:space="preserve">(Arrangement Fee + Interest) </t>
    </r>
  </si>
  <si>
    <t>فلل - المساحات القابلة للبيع</t>
  </si>
  <si>
    <t>E130</t>
  </si>
  <si>
    <t>F130</t>
  </si>
  <si>
    <r>
      <rPr>
        <sz val="8"/>
        <color theme="1"/>
        <rFont val="Arial"/>
        <family val="2"/>
        <charset val="1"/>
      </rPr>
      <t xml:space="preserve">سداد أصل التمويل
 </t>
    </r>
    <r>
      <rPr>
        <sz val="8"/>
        <color theme="1"/>
        <rFont val="Calibri"/>
        <family val="2"/>
        <charset val="1"/>
      </rPr>
      <t>(Principal Repayment)</t>
    </r>
  </si>
  <si>
    <t>فلل - سعر بيع المتر</t>
  </si>
  <si>
    <t>H130</t>
  </si>
  <si>
    <t>فلل - قيمة الوحدة</t>
  </si>
  <si>
    <t>I130</t>
  </si>
  <si>
    <t>إجمالي مبلغ التمويل</t>
  </si>
  <si>
    <t>إجمالي الفوائد</t>
  </si>
  <si>
    <t>فلل - إجمالي المبيعات</t>
  </si>
  <si>
    <t>J130</t>
  </si>
  <si>
    <t>▌ البيع المباشر - تاون هاوس</t>
  </si>
  <si>
    <t>تاون هاوس - عدد الوحدات للبيع</t>
  </si>
  <si>
    <t>البيع المباشر - تاون هاوس</t>
  </si>
  <si>
    <t>C131</t>
  </si>
  <si>
    <t>تاون هاوس - نسبة البيع</t>
  </si>
  <si>
    <t>D131</t>
  </si>
  <si>
    <t>تاون هاوس - المساحات القابلة للبيع</t>
  </si>
  <si>
    <t>E131</t>
  </si>
  <si>
    <t>F131</t>
  </si>
  <si>
    <t>تاون هاوس - سعر بيع المتر</t>
  </si>
  <si>
    <t>H131</t>
  </si>
  <si>
    <t>تاون هاوس - قيمة الوحدة</t>
  </si>
  <si>
    <t>I131</t>
  </si>
  <si>
    <t>تاون هاوس - إجمالي المبيعات</t>
  </si>
  <si>
    <t>J131</t>
  </si>
  <si>
    <r>
      <rPr>
        <sz val="10"/>
        <color theme="0"/>
        <rFont val="Arial"/>
        <family val="2"/>
        <charset val="1"/>
      </rPr>
      <t xml:space="preserve">البيع على  الخارطة </t>
    </r>
    <r>
      <rPr>
        <sz val="10"/>
        <color theme="0"/>
        <rFont val="Calibri"/>
        <family val="2"/>
        <charset val="1"/>
      </rPr>
      <t>| Off-Plan Sale</t>
    </r>
  </si>
  <si>
    <t>▌ البيع المباشر - أدوار</t>
  </si>
  <si>
    <t>أدوار - عدد الوحدات للبيع</t>
  </si>
  <si>
    <t>البيع المباشر - أدوار</t>
  </si>
  <si>
    <t>C132</t>
  </si>
  <si>
    <t>أدوار - نسبة البيع</t>
  </si>
  <si>
    <t>D132</t>
  </si>
  <si>
    <r>
      <rPr>
        <sz val="8"/>
        <rFont val="Arial"/>
        <family val="2"/>
        <charset val="1"/>
      </rPr>
      <t xml:space="preserve">عدد الوحدات المباعة خلال الفترة 
 </t>
    </r>
    <r>
      <rPr>
        <sz val="8"/>
        <rFont val="Calibri"/>
        <family val="2"/>
        <charset val="1"/>
      </rPr>
      <t>(Number of Units Sold During the Period)</t>
    </r>
  </si>
  <si>
    <t>أدوار - المساحات القابلة للبيع</t>
  </si>
  <si>
    <t>E132</t>
  </si>
  <si>
    <t>F132</t>
  </si>
  <si>
    <r>
      <rPr>
        <sz val="8"/>
        <color theme="1"/>
        <rFont val="Arial"/>
        <family val="2"/>
        <charset val="1"/>
      </rPr>
      <t xml:space="preserve">إجمالي تكاليف مسطحات البناء
</t>
    </r>
    <r>
      <rPr>
        <sz val="8"/>
        <color theme="1"/>
        <rFont val="Calibri"/>
        <family val="2"/>
        <charset val="1"/>
      </rPr>
      <t>(Total Construction Costs)</t>
    </r>
  </si>
  <si>
    <t>أدوار - سعر بيع المتر</t>
  </si>
  <si>
    <t>H132</t>
  </si>
  <si>
    <t>أدوار - قيمة الوحدة</t>
  </si>
  <si>
    <t>I132</t>
  </si>
  <si>
    <r>
      <rPr>
        <sz val="8"/>
        <rFont val="Arial"/>
        <family val="2"/>
        <charset val="1"/>
      </rPr>
      <t xml:space="preserve">نسب الإنجاز - ربع سنوي 
 </t>
    </r>
    <r>
      <rPr>
        <sz val="8"/>
        <rFont val="Calibri"/>
        <family val="2"/>
        <charset val="1"/>
      </rPr>
      <t>(Progress Percentage Quarterly)</t>
    </r>
  </si>
  <si>
    <t>أدوار - إجمالي المبيعات</t>
  </si>
  <si>
    <t>J132</t>
  </si>
  <si>
    <t>▌ البيع المباشر - أستوديوهات</t>
  </si>
  <si>
    <r>
      <rPr>
        <sz val="8"/>
        <color theme="1"/>
        <rFont val="Arial"/>
        <family val="2"/>
        <charset val="1"/>
      </rPr>
      <t xml:space="preserve">نسبة الإنجاز التراكمية 
 </t>
    </r>
    <r>
      <rPr>
        <sz val="8"/>
        <color theme="1"/>
        <rFont val="Calibri"/>
        <family val="2"/>
        <charset val="1"/>
      </rPr>
      <t>(Cumulative Progress Percentage)</t>
    </r>
  </si>
  <si>
    <t>أستوديوهات - عدد الوحدات للبيع</t>
  </si>
  <si>
    <t>البيع المباشر - أستوديوهات</t>
  </si>
  <si>
    <t>C133</t>
  </si>
  <si>
    <t>أستوديوهات - نسبة البيع</t>
  </si>
  <si>
    <t>D133</t>
  </si>
  <si>
    <r>
      <rPr>
        <sz val="8"/>
        <rFont val="Arial"/>
        <family val="2"/>
        <charset val="1"/>
      </rPr>
      <t xml:space="preserve">قيمة بيع الوحدات
</t>
    </r>
    <r>
      <rPr>
        <sz val="8"/>
        <rFont val="Calibri"/>
        <family val="2"/>
        <charset val="1"/>
      </rPr>
      <t>(Units Sales Value)</t>
    </r>
  </si>
  <si>
    <t>أستوديوهات - المساحات القابلة للبيع</t>
  </si>
  <si>
    <t>E133</t>
  </si>
  <si>
    <t>F133</t>
  </si>
  <si>
    <r>
      <rPr>
        <sz val="8"/>
        <color theme="1"/>
        <rFont val="Arial"/>
        <family val="2"/>
        <charset val="1"/>
      </rPr>
      <t xml:space="preserve">رسوم وافي
</t>
    </r>
    <r>
      <rPr>
        <sz val="8"/>
        <color theme="1"/>
        <rFont val="Calibri"/>
        <family val="2"/>
        <charset val="1"/>
      </rPr>
      <t>(Wafi Fees)</t>
    </r>
  </si>
  <si>
    <t>أستوديوهات - سعر بيع المتر</t>
  </si>
  <si>
    <t>H133</t>
  </si>
  <si>
    <t>أستوديوهات - قيمة الوحدة</t>
  </si>
  <si>
    <t>I133</t>
  </si>
  <si>
    <r>
      <rPr>
        <sz val="8"/>
        <rFont val="Arial"/>
        <family val="2"/>
        <charset val="1"/>
      </rPr>
      <t xml:space="preserve">أتعاب المكتب الاستشاري الهندسي
</t>
    </r>
    <r>
      <rPr>
        <sz val="8"/>
        <rFont val="Calibri"/>
        <family val="2"/>
        <charset val="1"/>
      </rPr>
      <t>(Engineering Supervision Fees)</t>
    </r>
  </si>
  <si>
    <t>أستوديوهات - إجمالي المبيعات</t>
  </si>
  <si>
    <t>J133</t>
  </si>
  <si>
    <t>▌ البيع المباشر - مكتبي</t>
  </si>
  <si>
    <r>
      <rPr>
        <sz val="8"/>
        <color theme="1"/>
        <rFont val="Arial"/>
        <family val="2"/>
        <charset val="1"/>
      </rPr>
      <t xml:space="preserve">تكاليف المحاسب القانوني المعتمد
</t>
    </r>
    <r>
      <rPr>
        <sz val="8"/>
        <color theme="1"/>
        <rFont val="Calibri"/>
        <family val="2"/>
        <charset val="1"/>
      </rPr>
      <t>(Certified Accountant Fees)</t>
    </r>
  </si>
  <si>
    <t>مكتبي - عدد الوحدات للبيع</t>
  </si>
  <si>
    <t>البيع المباشر - مكتبي</t>
  </si>
  <si>
    <t>C134</t>
  </si>
  <si>
    <t>مكتبي - نسبة البيع</t>
  </si>
  <si>
    <t>D134</t>
  </si>
  <si>
    <r>
      <rPr>
        <sz val="8"/>
        <rFont val="Arial"/>
        <family val="2"/>
        <charset val="1"/>
      </rPr>
      <t xml:space="preserve">إجمالي قيمة أستقطاع الضمان
</t>
    </r>
    <r>
      <rPr>
        <sz val="8"/>
        <rFont val="Calibri"/>
        <family val="2"/>
        <charset val="1"/>
      </rPr>
      <t>(Total Retention Guarantee Amount)</t>
    </r>
  </si>
  <si>
    <t>مكتبي - المساحات القابلة للبيع</t>
  </si>
  <si>
    <t>E134</t>
  </si>
  <si>
    <t>F134</t>
  </si>
  <si>
    <r>
      <rPr>
        <sz val="8"/>
        <rFont val="Arial"/>
        <family val="2"/>
        <charset val="1"/>
      </rPr>
      <t xml:space="preserve">قيم الدفعات الأولى
</t>
    </r>
    <r>
      <rPr>
        <sz val="8"/>
        <rFont val="Calibri"/>
        <family val="2"/>
        <charset val="1"/>
      </rPr>
      <t>(Down Payments)</t>
    </r>
  </si>
  <si>
    <t>مكتبي - سعر بيع المتر</t>
  </si>
  <si>
    <t>H134</t>
  </si>
  <si>
    <t>مكتبي - قيمة الوحدة</t>
  </si>
  <si>
    <t>I134</t>
  </si>
  <si>
    <r>
      <rPr>
        <sz val="8"/>
        <color theme="1"/>
        <rFont val="Arial"/>
        <family val="2"/>
        <charset val="1"/>
      </rPr>
      <t xml:space="preserve">صافي القيمة بعد استقطاع البنود بالأعلى 
 </t>
    </r>
    <r>
      <rPr>
        <sz val="8"/>
        <color theme="1"/>
        <rFont val="Calibri"/>
        <family val="2"/>
        <charset val="1"/>
      </rPr>
      <t>(Net Value After Deducting the Above Items)</t>
    </r>
  </si>
  <si>
    <t>مكتبي - إجمالي المبيعات</t>
  </si>
  <si>
    <t>J134</t>
  </si>
  <si>
    <t>▌ البيع المباشر - تجاري</t>
  </si>
  <si>
    <r>
      <rPr>
        <sz val="8"/>
        <color theme="1"/>
        <rFont val="Arial"/>
        <family val="2"/>
        <charset val="1"/>
      </rPr>
      <t xml:space="preserve">حساب الضمان
</t>
    </r>
    <r>
      <rPr>
        <sz val="8"/>
        <color theme="1"/>
        <rFont val="Calibri"/>
        <family val="2"/>
        <charset val="1"/>
      </rPr>
      <t>(Escrow Account)</t>
    </r>
  </si>
  <si>
    <t>تجاري - عدد الوحدات للبيع</t>
  </si>
  <si>
    <t>البيع المباشر - تجاري</t>
  </si>
  <si>
    <t>C135</t>
  </si>
  <si>
    <t>تجاري - نسبة البيع</t>
  </si>
  <si>
    <t>D135</t>
  </si>
  <si>
    <r>
      <rPr>
        <sz val="8"/>
        <rFont val="Arial"/>
        <family val="2"/>
        <charset val="1"/>
      </rPr>
      <t xml:space="preserve">دفعات مراحل الإنجاز
</t>
    </r>
    <r>
      <rPr>
        <sz val="8"/>
        <rFont val="Calibri"/>
        <family val="2"/>
        <charset val="1"/>
      </rPr>
      <t>(Milestone Payments)</t>
    </r>
  </si>
  <si>
    <t>تجاري - المساحات القابلة للبيع</t>
  </si>
  <si>
    <t>E135</t>
  </si>
  <si>
    <t>F135</t>
  </si>
  <si>
    <r>
      <rPr>
        <sz val="8"/>
        <color theme="1"/>
        <rFont val="Arial"/>
        <family val="2"/>
        <charset val="1"/>
      </rPr>
      <t xml:space="preserve">قيم الدفعات الأولى + دفعات مراحل الإنجاز
</t>
    </r>
    <r>
      <rPr>
        <sz val="8"/>
        <color theme="1"/>
        <rFont val="Calibri"/>
        <family val="2"/>
        <charset val="1"/>
      </rPr>
      <t xml:space="preserve">(Down Payments) + (Milestone Payments) </t>
    </r>
  </si>
  <si>
    <t>تجاري - سعر بيع المتر</t>
  </si>
  <si>
    <t>H135</t>
  </si>
  <si>
    <t>تجاري - قيمة الوحدة</t>
  </si>
  <si>
    <t>I135</t>
  </si>
  <si>
    <t>تجاري - إجمالي المبيعات</t>
  </si>
  <si>
    <t>J135</t>
  </si>
  <si>
    <t>▌ البيع المباشر - فندقي</t>
  </si>
  <si>
    <t>فندقي - عدد الوحدات للبيع</t>
  </si>
  <si>
    <t>البيع المباشر - فندقي</t>
  </si>
  <si>
    <t>C136</t>
  </si>
  <si>
    <t>فندقي - نسبة البيع</t>
  </si>
  <si>
    <t>D136</t>
  </si>
  <si>
    <r>
      <rPr>
        <sz val="10"/>
        <color theme="0"/>
        <rFont val="Arial"/>
        <family val="2"/>
        <charset val="1"/>
      </rPr>
      <t xml:space="preserve">ملخص البيع على الخارطة </t>
    </r>
    <r>
      <rPr>
        <sz val="10"/>
        <color theme="0"/>
        <rFont val="Calibri"/>
        <family val="2"/>
        <charset val="1"/>
      </rPr>
      <t>| Off-Plan Sale Summary</t>
    </r>
  </si>
  <si>
    <t>فندقي - المساحات القابلة للبيع</t>
  </si>
  <si>
    <t>E136</t>
  </si>
  <si>
    <r>
      <rPr>
        <sz val="8"/>
        <color theme="1"/>
        <rFont val="Arial"/>
        <family val="2"/>
        <charset val="1"/>
      </rPr>
      <t xml:space="preserve">إجمالي إيرادات البيع على الخارطة
</t>
    </r>
    <r>
      <rPr>
        <sz val="8"/>
        <color theme="1"/>
        <rFont val="Calibri"/>
        <family val="2"/>
        <charset val="1"/>
      </rPr>
      <t>(Total Off-Plan Sales Revenue)</t>
    </r>
  </si>
  <si>
    <t>F136</t>
  </si>
  <si>
    <r>
      <rPr>
        <sz val="8"/>
        <color theme="1"/>
        <rFont val="Arial"/>
        <family val="2"/>
        <charset val="1"/>
      </rPr>
      <t xml:space="preserve">دفعات مراحل الإنجاز
</t>
    </r>
    <r>
      <rPr>
        <sz val="8"/>
        <color theme="1"/>
        <rFont val="Calibri"/>
        <family val="2"/>
        <charset val="1"/>
      </rPr>
      <t>(Milestone Payments)</t>
    </r>
  </si>
  <si>
    <t>فندقي - سعر بيع المتر</t>
  </si>
  <si>
    <t>H136</t>
  </si>
  <si>
    <t>فندقي - قيمة الوحدة</t>
  </si>
  <si>
    <t>I136</t>
  </si>
  <si>
    <r>
      <rPr>
        <sz val="8"/>
        <color theme="1"/>
        <rFont val="Arial"/>
        <family val="2"/>
        <charset val="1"/>
      </rPr>
      <t xml:space="preserve">عدد الوحدات المباعة
</t>
    </r>
    <r>
      <rPr>
        <sz val="8"/>
        <color theme="1"/>
        <rFont val="Calibri"/>
        <family val="2"/>
        <charset val="1"/>
      </rPr>
      <t>(Number of Units Sold)</t>
    </r>
  </si>
  <si>
    <t>فندقي - إجمالي المبيعات</t>
  </si>
  <si>
    <t>J136</t>
  </si>
  <si>
    <r>
      <rPr>
        <sz val="8"/>
        <color theme="1"/>
        <rFont val="Arial"/>
        <family val="2"/>
        <charset val="1"/>
      </rPr>
      <t xml:space="preserve">متوسط سعر بيع الوحدة
</t>
    </r>
    <r>
      <rPr>
        <sz val="8"/>
        <color theme="1"/>
        <rFont val="Calibri"/>
        <family val="2"/>
        <charset val="1"/>
      </rPr>
      <t>(Average Units Sales Value)</t>
    </r>
  </si>
  <si>
    <t>▌ البيع المباشر - صحي</t>
  </si>
  <si>
    <r>
      <rPr>
        <sz val="8"/>
        <color theme="1"/>
        <rFont val="Arial"/>
        <family val="2"/>
        <charset val="1"/>
      </rPr>
      <t xml:space="preserve">إجمالي قيمة رسوم وافي
</t>
    </r>
    <r>
      <rPr>
        <sz val="8"/>
        <color theme="1"/>
        <rFont val="Calibri"/>
        <family val="2"/>
        <charset val="1"/>
      </rPr>
      <t>(Total Wafi Fees)</t>
    </r>
  </si>
  <si>
    <t>صحي - عدد الوحدات للبيع</t>
  </si>
  <si>
    <t>البيع المباشر - صحي</t>
  </si>
  <si>
    <t>C137</t>
  </si>
  <si>
    <r>
      <rPr>
        <sz val="8"/>
        <color theme="1"/>
        <rFont val="Arial"/>
        <family val="2"/>
        <charset val="1"/>
      </rPr>
      <t xml:space="preserve">أتعاب المكتب الاستشاري الهندسي
</t>
    </r>
    <r>
      <rPr>
        <sz val="8"/>
        <color theme="1"/>
        <rFont val="Calibri"/>
        <family val="2"/>
        <charset val="1"/>
      </rPr>
      <t>(Engineering Supervision Fees)</t>
    </r>
  </si>
  <si>
    <t>صحي - نسبة البيع</t>
  </si>
  <si>
    <t>D137</t>
  </si>
  <si>
    <t>صحي - المساحات القابلة للبيع</t>
  </si>
  <si>
    <t>E137</t>
  </si>
  <si>
    <r>
      <rPr>
        <sz val="8"/>
        <color theme="1"/>
        <rFont val="Arial"/>
        <family val="2"/>
        <charset val="1"/>
      </rPr>
      <t xml:space="preserve">إجمالي قيمة أستقطاع الضمان
</t>
    </r>
    <r>
      <rPr>
        <sz val="8"/>
        <color theme="1"/>
        <rFont val="Calibri"/>
        <family val="2"/>
        <charset val="1"/>
      </rPr>
      <t>(Total Retention Guarantee Amount)</t>
    </r>
  </si>
  <si>
    <t>F137</t>
  </si>
  <si>
    <r>
      <rPr>
        <sz val="8"/>
        <color theme="1"/>
        <rFont val="Arial"/>
        <family val="2"/>
        <charset val="1"/>
      </rPr>
      <t xml:space="preserve">قيم الدفعات الأولى
</t>
    </r>
    <r>
      <rPr>
        <sz val="8"/>
        <color theme="1"/>
        <rFont val="Calibri"/>
        <family val="2"/>
        <charset val="1"/>
      </rPr>
      <t>(Down Payments)</t>
    </r>
  </si>
  <si>
    <t>صحي - سعر بيع المتر</t>
  </si>
  <si>
    <t>H137</t>
  </si>
  <si>
    <r>
      <rPr>
        <sz val="8"/>
        <color theme="1"/>
        <rFont val="Arial"/>
        <family val="2"/>
        <charset val="1"/>
      </rPr>
      <t xml:space="preserve">صافي المبيعات على الخارطة 
 </t>
    </r>
    <r>
      <rPr>
        <sz val="8"/>
        <color theme="1"/>
        <rFont val="Calibri"/>
        <family val="2"/>
        <charset val="1"/>
      </rPr>
      <t>(Net Off-Plan Sales)</t>
    </r>
  </si>
  <si>
    <t>صحي - قيمة الوحدة</t>
  </si>
  <si>
    <t>I137</t>
  </si>
  <si>
    <t>صحي - إجمالي المبيعات</t>
  </si>
  <si>
    <t>J137</t>
  </si>
  <si>
    <t>▌ البيع المباشر - أخرى</t>
  </si>
  <si>
    <t>أخرى - عدد الوحدات للبيع</t>
  </si>
  <si>
    <t>البيع المباشر - أخرى</t>
  </si>
  <si>
    <t>C138</t>
  </si>
  <si>
    <t>أخرى - نسبة البيع</t>
  </si>
  <si>
    <t>D138</t>
  </si>
  <si>
    <t>أخرى - المساحات القابلة للبيع</t>
  </si>
  <si>
    <t>E138</t>
  </si>
  <si>
    <t>F138</t>
  </si>
  <si>
    <r>
      <rPr>
        <sz val="10"/>
        <color theme="0"/>
        <rFont val="Calibri"/>
        <family val="2"/>
        <charset val="1"/>
      </rPr>
      <t xml:space="preserve">Fund Expenses | </t>
    </r>
    <r>
      <rPr>
        <sz val="10"/>
        <color theme="0"/>
        <rFont val="Arial"/>
        <family val="2"/>
        <charset val="1"/>
      </rPr>
      <t>مصروفات الصندوق</t>
    </r>
  </si>
  <si>
    <t>أخرى - سعر بيع المتر</t>
  </si>
  <si>
    <t>H138</t>
  </si>
  <si>
    <r>
      <rPr>
        <sz val="8"/>
        <color theme="0"/>
        <rFont val="Arial"/>
        <family val="2"/>
        <charset val="1"/>
      </rPr>
      <t xml:space="preserve">رسوم ترتيب القرض 
 </t>
    </r>
    <r>
      <rPr>
        <sz val="8"/>
        <color theme="0"/>
        <rFont val="Calibri"/>
        <family val="2"/>
        <charset val="1"/>
      </rPr>
      <t>(Loan Arrangement Fees)</t>
    </r>
  </si>
  <si>
    <t>One Time</t>
  </si>
  <si>
    <t>أخرى - قيمة الوحدة</t>
  </si>
  <si>
    <t>I138</t>
  </si>
  <si>
    <r>
      <rPr>
        <sz val="8"/>
        <color theme="0"/>
        <rFont val="Arial"/>
        <family val="2"/>
        <charset val="1"/>
      </rPr>
      <t xml:space="preserve">رسوم إدارة الهيكل 
 </t>
    </r>
    <r>
      <rPr>
        <sz val="8"/>
        <color theme="0"/>
        <rFont val="Calibri"/>
        <family val="2"/>
        <charset val="1"/>
      </rPr>
      <t>(Structure Management Fees)</t>
    </r>
  </si>
  <si>
    <t>أخرى - إجمالي المبيعات</t>
  </si>
  <si>
    <t>J138</t>
  </si>
  <si>
    <r>
      <rPr>
        <sz val="8"/>
        <color theme="0"/>
        <rFont val="Arial"/>
        <family val="2"/>
        <charset val="1"/>
      </rPr>
      <t xml:space="preserve">رسوم إدارة الأصول
 </t>
    </r>
    <r>
      <rPr>
        <sz val="8"/>
        <color theme="0"/>
        <rFont val="Calibri"/>
        <family val="2"/>
        <charset val="1"/>
      </rPr>
      <t>(Asset Management Fees)</t>
    </r>
  </si>
  <si>
    <t>Semi-Annually</t>
  </si>
  <si>
    <t>▌ البيع المباشر - الإجمالي</t>
  </si>
  <si>
    <r>
      <rPr>
        <sz val="8"/>
        <color theme="0"/>
        <rFont val="Arial"/>
        <family val="2"/>
        <charset val="1"/>
      </rPr>
      <t xml:space="preserve">أتعاب المشغل
 </t>
    </r>
    <r>
      <rPr>
        <sz val="8"/>
        <color theme="0"/>
        <rFont val="Calibri"/>
        <family val="2"/>
        <charset val="1"/>
      </rPr>
      <t>(Operator Fees)</t>
    </r>
  </si>
  <si>
    <t>إجمالي عدد الوحدات للبيع</t>
  </si>
  <si>
    <t>البيع المباشر - الإجمالي</t>
  </si>
  <si>
    <t>C139</t>
  </si>
  <si>
    <t>إجمالي مساحات البيع</t>
  </si>
  <si>
    <t>E139</t>
  </si>
  <si>
    <t>متوسط سعر بيع المتر</t>
  </si>
  <si>
    <t>H139</t>
  </si>
  <si>
    <t>إجمالي مبيعات البيع المباشر</t>
  </si>
  <si>
    <t>J139</t>
  </si>
  <si>
    <t>▌ معدلات الرسملة - سكني</t>
  </si>
  <si>
    <t>سكني - Cap Rate</t>
  </si>
  <si>
    <t>معدلات الرسملة - سكني</t>
  </si>
  <si>
    <t>M129</t>
  </si>
  <si>
    <t>سكني - قيمة الوحدة بعد الرسملة</t>
  </si>
  <si>
    <t>N129</t>
  </si>
  <si>
    <t>سكني - إجمالي القيمة بعد الرسملة</t>
  </si>
  <si>
    <t>O129</t>
  </si>
  <si>
    <t>▌ معدلات الرسملة - فلل</t>
  </si>
  <si>
    <t>فلل - Cap Rate</t>
  </si>
  <si>
    <t>معدلات الرسملة - فلل</t>
  </si>
  <si>
    <t>M130</t>
  </si>
  <si>
    <t>فلل - قيمة الوحدة بعد الرسملة</t>
  </si>
  <si>
    <t>N130</t>
  </si>
  <si>
    <t>فلل - إجمالي القيمة بعد الرسملة</t>
  </si>
  <si>
    <t>O130</t>
  </si>
  <si>
    <t>▌ معدلات الرسملة - تاون هاوس</t>
  </si>
  <si>
    <t>تاون هاوس - Cap Rate</t>
  </si>
  <si>
    <t>معدلات الرسملة - تاون هاوس</t>
  </si>
  <si>
    <t>M131</t>
  </si>
  <si>
    <t>تاون هاوس - قيمة الوحدة بعد الرسملة</t>
  </si>
  <si>
    <t>N131</t>
  </si>
  <si>
    <t>تاون هاوس - إجمالي القيمة بعد الرسملة</t>
  </si>
  <si>
    <t>O131</t>
  </si>
  <si>
    <t>▌ معدلات الرسملة - أدوار</t>
  </si>
  <si>
    <t>أدوار - Cap Rate</t>
  </si>
  <si>
    <t>معدلات الرسملة - أدوار</t>
  </si>
  <si>
    <t>M132</t>
  </si>
  <si>
    <t>أدوار - قيمة الوحدة بعد الرسملة</t>
  </si>
  <si>
    <t>N132</t>
  </si>
  <si>
    <t>أدوار - إجمالي القيمة بعد الرسملة</t>
  </si>
  <si>
    <t>O132</t>
  </si>
  <si>
    <t>▌ معدلات الرسملة - أستوديوهات</t>
  </si>
  <si>
    <t>أستوديوهات - Cap Rate</t>
  </si>
  <si>
    <t>معدلات الرسملة - أستوديوهات</t>
  </si>
  <si>
    <t>M133</t>
  </si>
  <si>
    <t>أستوديوهات - قيمة الوحدة بعد الرسملة</t>
  </si>
  <si>
    <t>N133</t>
  </si>
  <si>
    <t>أستوديوهات - إجمالي القيمة بعد الرسملة</t>
  </si>
  <si>
    <t>O133</t>
  </si>
  <si>
    <t>▌ معدلات الرسملة - مكتبي</t>
  </si>
  <si>
    <t>مكتبي - Cap Rate</t>
  </si>
  <si>
    <t>معدلات الرسملة - مكتبي</t>
  </si>
  <si>
    <t>M134</t>
  </si>
  <si>
    <t>مكتبي - قيمة الوحدة بعد الرسملة</t>
  </si>
  <si>
    <t>N134</t>
  </si>
  <si>
    <t>مكتبي - إجمالي القيمة بعد الرسملة</t>
  </si>
  <si>
    <t>O134</t>
  </si>
  <si>
    <t>▌ معدلات الرسملة - تجاري</t>
  </si>
  <si>
    <t>تجاري - Cap Rate</t>
  </si>
  <si>
    <t>معدلات الرسملة - تجاري</t>
  </si>
  <si>
    <t>M135</t>
  </si>
  <si>
    <t>تجاري - قيمة الوحدة بعد الرسملة</t>
  </si>
  <si>
    <t>N135</t>
  </si>
  <si>
    <t>تجاري - إجمالي القيمة بعد الرسملة</t>
  </si>
  <si>
    <t>O135</t>
  </si>
  <si>
    <t>▌ معدلات الرسملة - فندقي</t>
  </si>
  <si>
    <t>فندقي - Cap Rate</t>
  </si>
  <si>
    <t>معدلات الرسملة - فندقي</t>
  </si>
  <si>
    <t>M136</t>
  </si>
  <si>
    <t>فندقي - قيمة الوحدة بعد الرسملة</t>
  </si>
  <si>
    <t>N136</t>
  </si>
  <si>
    <t>فندقي - إجمالي القيمة بعد الرسملة</t>
  </si>
  <si>
    <t>O136</t>
  </si>
  <si>
    <t>▌ معدلات الرسملة - صحي</t>
  </si>
  <si>
    <t>صحي - Cap Rate</t>
  </si>
  <si>
    <t>معدلات الرسملة - صحي</t>
  </si>
  <si>
    <t>M137</t>
  </si>
  <si>
    <t>صحي - قيمة الوحدة بعد الرسملة</t>
  </si>
  <si>
    <t>N137</t>
  </si>
  <si>
    <t>صحي - إجمالي القيمة بعد الرسملة</t>
  </si>
  <si>
    <t>O137</t>
  </si>
  <si>
    <t>▌ معدلات الرسملة - أخرى</t>
  </si>
  <si>
    <t>أخرى - Cap Rate</t>
  </si>
  <si>
    <t>معدلات الرسملة - أخرى</t>
  </si>
  <si>
    <t>M138</t>
  </si>
  <si>
    <t>أخرى - قيمة الوحدة بعد الرسملة</t>
  </si>
  <si>
    <t>N138</t>
  </si>
  <si>
    <t>أخرى - إجمالي القيمة بعد الرسملة</t>
  </si>
  <si>
    <t>O138</t>
  </si>
  <si>
    <t>▌ معدلات الرسملة - الإجمالي</t>
  </si>
  <si>
    <t>إجمالي قيمة المخارجة (الرسملة)</t>
  </si>
  <si>
    <t>معدلات الرسملة - الإجمالي</t>
  </si>
  <si>
    <t>O139</t>
  </si>
  <si>
    <t>▌ التأجير السنوي - سكني</t>
  </si>
  <si>
    <t>سكني - عدد الوحدات للتأجير</t>
  </si>
  <si>
    <t>التأجير السنوي - سكني</t>
  </si>
  <si>
    <t>C147</t>
  </si>
  <si>
    <t>D147</t>
  </si>
  <si>
    <t>سكني - تأجير المتر</t>
  </si>
  <si>
    <t>E147</t>
  </si>
  <si>
    <t>سكني - قيمة تأجير الوحدة السنوي</t>
  </si>
  <si>
    <t>F147</t>
  </si>
  <si>
    <t>سكني - نسبة الإشغال</t>
  </si>
  <si>
    <t>G147</t>
  </si>
  <si>
    <t>سكني - إجمالي إيرادات التأجير السنوي</t>
  </si>
  <si>
    <t>H147</t>
  </si>
  <si>
    <t>سكني - التكاليف التشغيلية</t>
  </si>
  <si>
    <t>I147</t>
  </si>
  <si>
    <t>سكني - فترة استرداد رأس المال</t>
  </si>
  <si>
    <t>K147</t>
  </si>
  <si>
    <t>سكني - العائد على التكلفة السنوي</t>
  </si>
  <si>
    <t>L147</t>
  </si>
  <si>
    <t>سكني - إجمالي الربح التشغيلي</t>
  </si>
  <si>
    <t>M147</t>
  </si>
  <si>
    <t>▌ التأجير السنوي - فلل</t>
  </si>
  <si>
    <t>فلل - عدد الوحدات للتأجير</t>
  </si>
  <si>
    <t>التأجير السنوي - فلل</t>
  </si>
  <si>
    <t>C148</t>
  </si>
  <si>
    <t>D148</t>
  </si>
  <si>
    <t>فلل - تأجير المتر</t>
  </si>
  <si>
    <t>E148</t>
  </si>
  <si>
    <t>فلل - قيمة تأجير الوحدة السنوي</t>
  </si>
  <si>
    <t>F148</t>
  </si>
  <si>
    <t>فلل - نسبة الإشغال</t>
  </si>
  <si>
    <t>G148</t>
  </si>
  <si>
    <t>فلل - إجمالي إيرادات التأجير السنوي</t>
  </si>
  <si>
    <t>H148</t>
  </si>
  <si>
    <t>فلل - التكاليف التشغيلية</t>
  </si>
  <si>
    <t>I148</t>
  </si>
  <si>
    <t>فلل - فترة استرداد رأس المال</t>
  </si>
  <si>
    <t>K148</t>
  </si>
  <si>
    <t>فلل - العائد على التكلفة السنوي</t>
  </si>
  <si>
    <t>L148</t>
  </si>
  <si>
    <t>فلل - إجمالي الربح التشغيلي</t>
  </si>
  <si>
    <t>M148</t>
  </si>
  <si>
    <t>▌ التأجير السنوي - تاون هاوس</t>
  </si>
  <si>
    <t>تاون هاوس - عدد الوحدات للتأجير</t>
  </si>
  <si>
    <t>التأجير السنوي - تاون هاوس</t>
  </si>
  <si>
    <t>C149</t>
  </si>
  <si>
    <t>D149</t>
  </si>
  <si>
    <t>تاون هاوس - تأجير المتر</t>
  </si>
  <si>
    <t>E149</t>
  </si>
  <si>
    <t>تاون هاوس - قيمة تأجير الوحدة السنوي</t>
  </si>
  <si>
    <t>F149</t>
  </si>
  <si>
    <t>تاون هاوس - نسبة الإشغال</t>
  </si>
  <si>
    <t>G149</t>
  </si>
  <si>
    <t>تاون هاوس - إجمالي إيرادات التأجير السنوي</t>
  </si>
  <si>
    <t>H149</t>
  </si>
  <si>
    <t>تاون هاوس - التكاليف التشغيلية</t>
  </si>
  <si>
    <t>I149</t>
  </si>
  <si>
    <t>تاون هاوس - فترة استرداد رأس المال</t>
  </si>
  <si>
    <t>K149</t>
  </si>
  <si>
    <t>تاون هاوس - العائد على التكلفة السنوي</t>
  </si>
  <si>
    <t>L149</t>
  </si>
  <si>
    <t>تاون هاوس - إجمالي الربح التشغيلي</t>
  </si>
  <si>
    <t>M149</t>
  </si>
  <si>
    <t>▌ التأجير السنوي - أدوار</t>
  </si>
  <si>
    <t>أدوار - عدد الوحدات للتأجير</t>
  </si>
  <si>
    <t>التأجير السنوي - أدوار</t>
  </si>
  <si>
    <t>C150</t>
  </si>
  <si>
    <t>D150</t>
  </si>
  <si>
    <t>أدوار - تأجير المتر</t>
  </si>
  <si>
    <t>E150</t>
  </si>
  <si>
    <t>أدوار - قيمة تأجير الوحدة السنوي</t>
  </si>
  <si>
    <t>F150</t>
  </si>
  <si>
    <t>أدوار - نسبة الإشغال</t>
  </si>
  <si>
    <t>G150</t>
  </si>
  <si>
    <t>أدوار - إجمالي إيرادات التأجير السنوي</t>
  </si>
  <si>
    <t>H150</t>
  </si>
  <si>
    <t>أدوار - التكاليف التشغيلية</t>
  </si>
  <si>
    <t>I150</t>
  </si>
  <si>
    <t>أدوار - فترة استرداد رأس المال</t>
  </si>
  <si>
    <t>K150</t>
  </si>
  <si>
    <t>أدوار - العائد على التكلفة السنوي</t>
  </si>
  <si>
    <t>L150</t>
  </si>
  <si>
    <t>أدوار - إجمالي الربح التشغيلي</t>
  </si>
  <si>
    <t>M150</t>
  </si>
  <si>
    <t>▌ التأجير السنوي - أستوديوهات</t>
  </si>
  <si>
    <t>أستوديوهات - عدد الوحدات للتأجير</t>
  </si>
  <si>
    <t>التأجير السنوي - أستوديوهات</t>
  </si>
  <si>
    <t>C151</t>
  </si>
  <si>
    <t>D151</t>
  </si>
  <si>
    <t>أستوديوهات - تأجير المتر</t>
  </si>
  <si>
    <t>E151</t>
  </si>
  <si>
    <t>أستوديوهات - قيمة تأجير الوحدة السنوي</t>
  </si>
  <si>
    <t>F151</t>
  </si>
  <si>
    <t>أستوديوهات - نسبة الإشغال</t>
  </si>
  <si>
    <t>G151</t>
  </si>
  <si>
    <t>أستوديوهات - إجمالي إيرادات التأجير السنوي</t>
  </si>
  <si>
    <t>H151</t>
  </si>
  <si>
    <t>أستوديوهات - التكاليف التشغيلية</t>
  </si>
  <si>
    <t>I151</t>
  </si>
  <si>
    <t>أستوديوهات - فترة استرداد رأس المال</t>
  </si>
  <si>
    <t>K151</t>
  </si>
  <si>
    <t>أستوديوهات - العائد على التكلفة السنوي</t>
  </si>
  <si>
    <t>L151</t>
  </si>
  <si>
    <t>أستوديوهات - إجمالي الربح التشغيلي</t>
  </si>
  <si>
    <t>M151</t>
  </si>
  <si>
    <t>▌ التأجير السنوي - مكتبي</t>
  </si>
  <si>
    <t>مكتبي - عدد الوحدات للتأجير</t>
  </si>
  <si>
    <t>التأجير السنوي - مكتبي</t>
  </si>
  <si>
    <t>C152</t>
  </si>
  <si>
    <t>D152</t>
  </si>
  <si>
    <t>مكتبي - تأجير المتر</t>
  </si>
  <si>
    <t>E152</t>
  </si>
  <si>
    <t>مكتبي - قيمة تأجير الوحدة السنوي</t>
  </si>
  <si>
    <t>F152</t>
  </si>
  <si>
    <t>مكتبي - نسبة الإشغال</t>
  </si>
  <si>
    <t>G152</t>
  </si>
  <si>
    <t>مكتبي - إجمالي إيرادات التأجير السنوي</t>
  </si>
  <si>
    <t>H152</t>
  </si>
  <si>
    <t>مكتبي - التكاليف التشغيلية</t>
  </si>
  <si>
    <t>I152</t>
  </si>
  <si>
    <t>مكتبي - فترة استرداد رأس المال</t>
  </si>
  <si>
    <t>K152</t>
  </si>
  <si>
    <t>مكتبي - العائد على التكلفة السنوي</t>
  </si>
  <si>
    <t>L152</t>
  </si>
  <si>
    <t>مكتبي - إجمالي الربح التشغيلي</t>
  </si>
  <si>
    <t>M152</t>
  </si>
  <si>
    <t>▌ التأجير السنوي - تجاري</t>
  </si>
  <si>
    <t>تجاري - عدد الوحدات للتأجير</t>
  </si>
  <si>
    <t>التأجير السنوي - تجاري</t>
  </si>
  <si>
    <t>C153</t>
  </si>
  <si>
    <t>D153</t>
  </si>
  <si>
    <t>تجاري - تأجير المتر</t>
  </si>
  <si>
    <t>E153</t>
  </si>
  <si>
    <t>تجاري - قيمة تأجير الوحدة السنوي</t>
  </si>
  <si>
    <t>F153</t>
  </si>
  <si>
    <t>تجاري - نسبة الإشغال</t>
  </si>
  <si>
    <t>G153</t>
  </si>
  <si>
    <t>تجاري - إجمالي إيرادات التأجير السنوي</t>
  </si>
  <si>
    <t>H153</t>
  </si>
  <si>
    <t>تجاري - التكاليف التشغيلية</t>
  </si>
  <si>
    <t>I153</t>
  </si>
  <si>
    <t>تجاري - فترة استرداد رأس المال</t>
  </si>
  <si>
    <t>K153</t>
  </si>
  <si>
    <t>تجاري - العائد على التكلفة السنوي</t>
  </si>
  <si>
    <t>L153</t>
  </si>
  <si>
    <t>تجاري - إجمالي الربح التشغيلي</t>
  </si>
  <si>
    <t>M153</t>
  </si>
  <si>
    <t>▌ التأجير السنوي - فندقي</t>
  </si>
  <si>
    <t>فندقي - عدد الوحدات للتأجير</t>
  </si>
  <si>
    <t>التأجير السنوي - فندقي</t>
  </si>
  <si>
    <t>C154</t>
  </si>
  <si>
    <t>D154</t>
  </si>
  <si>
    <t>فندقي - تأجير المتر</t>
  </si>
  <si>
    <t>E154</t>
  </si>
  <si>
    <t>فندقي - قيمة تأجير الوحدة السنوي</t>
  </si>
  <si>
    <t>F154</t>
  </si>
  <si>
    <t>فندقي - نسبة الإشغال</t>
  </si>
  <si>
    <t>G154</t>
  </si>
  <si>
    <t>فندقي - إجمالي إيرادات التأجير السنوي</t>
  </si>
  <si>
    <t>H154</t>
  </si>
  <si>
    <t>فندقي - التكاليف التشغيلية</t>
  </si>
  <si>
    <t>I154</t>
  </si>
  <si>
    <t>فندقي - فترة استرداد رأس المال</t>
  </si>
  <si>
    <t>K154</t>
  </si>
  <si>
    <t>فندقي - العائد على التكلفة السنوي</t>
  </si>
  <si>
    <t>L154</t>
  </si>
  <si>
    <t>فندقي - إجمالي الربح التشغيلي</t>
  </si>
  <si>
    <t>M154</t>
  </si>
  <si>
    <t>▌ التأجير السنوي - صحي</t>
  </si>
  <si>
    <t>صحي - عدد الوحدات للتأجير</t>
  </si>
  <si>
    <t>التأجير السنوي - صحي</t>
  </si>
  <si>
    <t>C155</t>
  </si>
  <si>
    <t>D155</t>
  </si>
  <si>
    <t>صحي - تأجير المتر</t>
  </si>
  <si>
    <t>E155</t>
  </si>
  <si>
    <t>صحي - قيمة تأجير الوحدة السنوي</t>
  </si>
  <si>
    <t>F155</t>
  </si>
  <si>
    <t>صحي - نسبة الإشغال</t>
  </si>
  <si>
    <t>G155</t>
  </si>
  <si>
    <t>صحي - إجمالي إيرادات التأجير السنوي</t>
  </si>
  <si>
    <t>H155</t>
  </si>
  <si>
    <t>صحي - التكاليف التشغيلية</t>
  </si>
  <si>
    <t>I155</t>
  </si>
  <si>
    <t>صحي - فترة استرداد رأس المال</t>
  </si>
  <si>
    <t>K155</t>
  </si>
  <si>
    <t>صحي - العائد على التكلفة السنوي</t>
  </si>
  <si>
    <t>L155</t>
  </si>
  <si>
    <t>صحي - إجمالي الربح التشغيلي</t>
  </si>
  <si>
    <t>M155</t>
  </si>
  <si>
    <t>▌ التأجير السنوي - أخرى</t>
  </si>
  <si>
    <t>أخرى - عدد الوحدات للتأجير</t>
  </si>
  <si>
    <t>التأجير السنوي - أخرى</t>
  </si>
  <si>
    <t>C156</t>
  </si>
  <si>
    <t>D156</t>
  </si>
  <si>
    <t>أخرى - تأجير المتر</t>
  </si>
  <si>
    <t>E156</t>
  </si>
  <si>
    <t>أخرى - قيمة تأجير الوحدة السنوي</t>
  </si>
  <si>
    <t>F156</t>
  </si>
  <si>
    <t>أخرى - نسبة الإشغال</t>
  </si>
  <si>
    <t>G156</t>
  </si>
  <si>
    <t>أخرى - إجمالي إيرادات التأجير السنوي</t>
  </si>
  <si>
    <t>H156</t>
  </si>
  <si>
    <t>أخرى - التكاليف التشغيلية</t>
  </si>
  <si>
    <t>I156</t>
  </si>
  <si>
    <t>أخرى - فترة استرداد رأس المال</t>
  </si>
  <si>
    <t>K156</t>
  </si>
  <si>
    <t>أخرى - العائد على التكلفة السنوي</t>
  </si>
  <si>
    <t>L156</t>
  </si>
  <si>
    <t>أخرى - إجمالي الربح التشغيلي</t>
  </si>
  <si>
    <t>M156</t>
  </si>
  <si>
    <t>▌ التأجير السنوي - الإجمالي</t>
  </si>
  <si>
    <t>إجمالي عدد الوحدات للتأجير</t>
  </si>
  <si>
    <t>التأجير السنوي - الإجمالي</t>
  </si>
  <si>
    <t>C157</t>
  </si>
  <si>
    <t>إجمالي قيمة التأجير السنوي</t>
  </si>
  <si>
    <t>F157</t>
  </si>
  <si>
    <t>متوسط نسبة الإشغال</t>
  </si>
  <si>
    <t>G157</t>
  </si>
  <si>
    <t>إجمالي إيرادات التأجير السنوي</t>
  </si>
  <si>
    <t>H157</t>
  </si>
  <si>
    <t>إجمالي التكاليف التشغيلية للتأجير</t>
  </si>
  <si>
    <t>I157</t>
  </si>
  <si>
    <t>إجمالي الربح التشغيلي من التأجير</t>
  </si>
  <si>
    <t>M157</t>
  </si>
  <si>
    <t>▌ التأجير اليومي - سكني</t>
  </si>
  <si>
    <t>التأجير اليومي - سكني</t>
  </si>
  <si>
    <t>R147</t>
  </si>
  <si>
    <t>S147</t>
  </si>
  <si>
    <t>سكني - عدد الوحدات المشغولة سنوياً</t>
  </si>
  <si>
    <t>T147</t>
  </si>
  <si>
    <t>ليلة</t>
  </si>
  <si>
    <t>سكني - متوسط السعر اليومي</t>
  </si>
  <si>
    <t>U147</t>
  </si>
  <si>
    <t>ريال</t>
  </si>
  <si>
    <t>سكني - الإيراد الفعلي للوحدة السنوي</t>
  </si>
  <si>
    <t>V147</t>
  </si>
  <si>
    <t>سكني - نسبة إيرادات الأنشطة الإضافية</t>
  </si>
  <si>
    <t>W147</t>
  </si>
  <si>
    <t>سكني - إجمالي الإيرادات</t>
  </si>
  <si>
    <t>X147</t>
  </si>
  <si>
    <t>سكني - التكاليف التشغيلية والإدارية</t>
  </si>
  <si>
    <t>Y147</t>
  </si>
  <si>
    <t>Z147</t>
  </si>
  <si>
    <t>AA147</t>
  </si>
  <si>
    <t>▌ التأجير اليومي - فلل</t>
  </si>
  <si>
    <t>التأجير اليومي - فلل</t>
  </si>
  <si>
    <t>R148</t>
  </si>
  <si>
    <t>S148</t>
  </si>
  <si>
    <t>فلل - عدد الوحدات المشغولة سنوياً</t>
  </si>
  <si>
    <t>T148</t>
  </si>
  <si>
    <t>فلل - متوسط السعر اليومي</t>
  </si>
  <si>
    <t>U148</t>
  </si>
  <si>
    <t>فلل - الإيراد الفعلي للوحدة السنوي</t>
  </si>
  <si>
    <t>V148</t>
  </si>
  <si>
    <t>فلل - نسبة إيرادات الأنشطة الإضافية</t>
  </si>
  <si>
    <t>W148</t>
  </si>
  <si>
    <t>فلل - إجمالي الإيرادات</t>
  </si>
  <si>
    <t>X148</t>
  </si>
  <si>
    <t>فلل - التكاليف التشغيلية والإدارية</t>
  </si>
  <si>
    <t>Y148</t>
  </si>
  <si>
    <t>Z148</t>
  </si>
  <si>
    <t>AA148</t>
  </si>
  <si>
    <t>▌ التأجير اليومي - تاون هاوس</t>
  </si>
  <si>
    <t>التأجير اليومي - تاون هاوس</t>
  </si>
  <si>
    <t>R149</t>
  </si>
  <si>
    <t>S149</t>
  </si>
  <si>
    <t>تاون هاوس - عدد الوحدات المشغولة سنوياً</t>
  </si>
  <si>
    <t>T149</t>
  </si>
  <si>
    <t>تاون هاوس - متوسط السعر اليومي</t>
  </si>
  <si>
    <t>U149</t>
  </si>
  <si>
    <t>تاون هاوس - الإيراد الفعلي للوحدة السنوي</t>
  </si>
  <si>
    <t>V149</t>
  </si>
  <si>
    <t>تاون هاوس - نسبة إيرادات الأنشطة الإضافية</t>
  </si>
  <si>
    <t>W149</t>
  </si>
  <si>
    <t>تاون هاوس - إجمالي الإيرادات</t>
  </si>
  <si>
    <t>X149</t>
  </si>
  <si>
    <t>تاون هاوس - التكاليف التشغيلية والإدارية</t>
  </si>
  <si>
    <t>Y149</t>
  </si>
  <si>
    <t>Z149</t>
  </si>
  <si>
    <t>AA149</t>
  </si>
  <si>
    <t>▌ التأجير اليومي - أدوار</t>
  </si>
  <si>
    <t>التأجير اليومي - أدوار</t>
  </si>
  <si>
    <t>R150</t>
  </si>
  <si>
    <t>S150</t>
  </si>
  <si>
    <t>أدوار - عدد الوحدات المشغولة سنوياً</t>
  </si>
  <si>
    <t>T150</t>
  </si>
  <si>
    <t>أدوار - متوسط السعر اليومي</t>
  </si>
  <si>
    <t>U150</t>
  </si>
  <si>
    <t>أدوار - الإيراد الفعلي للوحدة السنوي</t>
  </si>
  <si>
    <t>V150</t>
  </si>
  <si>
    <t>أدوار - نسبة إيرادات الأنشطة الإضافية</t>
  </si>
  <si>
    <t>W150</t>
  </si>
  <si>
    <t>أدوار - إجمالي الإيرادات</t>
  </si>
  <si>
    <t>X150</t>
  </si>
  <si>
    <t>أدوار - التكاليف التشغيلية والإدارية</t>
  </si>
  <si>
    <t>Y150</t>
  </si>
  <si>
    <t>Z150</t>
  </si>
  <si>
    <t>AA150</t>
  </si>
  <si>
    <t>▌ التأجير اليومي - أستوديوهات</t>
  </si>
  <si>
    <t>التأجير اليومي - أستوديوهات</t>
  </si>
  <si>
    <t>R151</t>
  </si>
  <si>
    <t>S151</t>
  </si>
  <si>
    <t>أستوديوهات - عدد الوحدات المشغولة سنوياً</t>
  </si>
  <si>
    <t>T151</t>
  </si>
  <si>
    <t>أستوديوهات - متوسط السعر اليومي</t>
  </si>
  <si>
    <t>U151</t>
  </si>
  <si>
    <t>أستوديوهات - الإيراد الفعلي للوحدة السنوي</t>
  </si>
  <si>
    <t>V151</t>
  </si>
  <si>
    <t>أستوديوهات - نسبة إيرادات الأنشطة الإضافية</t>
  </si>
  <si>
    <t>W151</t>
  </si>
  <si>
    <t>أستوديوهات - إجمالي الإيرادات</t>
  </si>
  <si>
    <t>X151</t>
  </si>
  <si>
    <t>أستوديوهات - التكاليف التشغيلية والإدارية</t>
  </si>
  <si>
    <t>Y151</t>
  </si>
  <si>
    <t>Z151</t>
  </si>
  <si>
    <t>AA151</t>
  </si>
  <si>
    <t>▌ التأجير اليومي - مكتبي</t>
  </si>
  <si>
    <t>التأجير اليومي - مكتبي</t>
  </si>
  <si>
    <t>R152</t>
  </si>
  <si>
    <t>S152</t>
  </si>
  <si>
    <t>مكتبي - عدد الوحدات المشغولة سنوياً</t>
  </si>
  <si>
    <t>T152</t>
  </si>
  <si>
    <t>مكتبي - متوسط السعر اليومي</t>
  </si>
  <si>
    <t>U152</t>
  </si>
  <si>
    <t>مكتبي - الإيراد الفعلي للوحدة السنوي</t>
  </si>
  <si>
    <t>V152</t>
  </si>
  <si>
    <t>مكتبي - نسبة إيرادات الأنشطة الإضافية</t>
  </si>
  <si>
    <t>W152</t>
  </si>
  <si>
    <t>مكتبي - إجمالي الإيرادات</t>
  </si>
  <si>
    <t>X152</t>
  </si>
  <si>
    <t>مكتبي - التكاليف التشغيلية والإدارية</t>
  </si>
  <si>
    <t>Y152</t>
  </si>
  <si>
    <t>Z152</t>
  </si>
  <si>
    <t>AA152</t>
  </si>
  <si>
    <t>▌ التأجير اليومي - تجاري</t>
  </si>
  <si>
    <t>التأجير اليومي - تجاري</t>
  </si>
  <si>
    <t>R153</t>
  </si>
  <si>
    <t>S153</t>
  </si>
  <si>
    <t>تجاري - عدد الوحدات المشغولة سنوياً</t>
  </si>
  <si>
    <t>T153</t>
  </si>
  <si>
    <t>تجاري - متوسط السعر اليومي</t>
  </si>
  <si>
    <t>U153</t>
  </si>
  <si>
    <t>تجاري - الإيراد الفعلي للوحدة السنوي</t>
  </si>
  <si>
    <t>V153</t>
  </si>
  <si>
    <t>تجاري - نسبة إيرادات الأنشطة الإضافية</t>
  </si>
  <si>
    <t>W153</t>
  </si>
  <si>
    <t>تجاري - إجمالي الإيرادات</t>
  </si>
  <si>
    <t>X153</t>
  </si>
  <si>
    <t>تجاري - التكاليف التشغيلية والإدارية</t>
  </si>
  <si>
    <t>Y153</t>
  </si>
  <si>
    <t>Z153</t>
  </si>
  <si>
    <t>AA153</t>
  </si>
  <si>
    <t>▌ التأجير اليومي - فندقي</t>
  </si>
  <si>
    <t>التأجير اليومي - فندقي</t>
  </si>
  <si>
    <t>R154</t>
  </si>
  <si>
    <t>S154</t>
  </si>
  <si>
    <t>فندقي - عدد الوحدات المشغولة سنوياً</t>
  </si>
  <si>
    <t>T154</t>
  </si>
  <si>
    <t>فندقي - متوسط السعر اليومي</t>
  </si>
  <si>
    <t>U154</t>
  </si>
  <si>
    <t>فندقي - الإيراد الفعلي للوحدة السنوي</t>
  </si>
  <si>
    <t>V154</t>
  </si>
  <si>
    <t>فندقي - نسبة إيرادات الأنشطة الإضافية</t>
  </si>
  <si>
    <t>W154</t>
  </si>
  <si>
    <t>فندقي - إجمالي الإيرادات</t>
  </si>
  <si>
    <t>X154</t>
  </si>
  <si>
    <t>فندقي - التكاليف التشغيلية والإدارية</t>
  </si>
  <si>
    <t>Y154</t>
  </si>
  <si>
    <t>Z154</t>
  </si>
  <si>
    <t>AA154</t>
  </si>
  <si>
    <t>▌ التأجير اليومي - صحي</t>
  </si>
  <si>
    <t>التأجير اليومي - صحي</t>
  </si>
  <si>
    <t>R155</t>
  </si>
  <si>
    <t>S155</t>
  </si>
  <si>
    <t>صحي - عدد الوحدات المشغولة سنوياً</t>
  </si>
  <si>
    <t>T155</t>
  </si>
  <si>
    <t>صحي - متوسط السعر اليومي</t>
  </si>
  <si>
    <t>U155</t>
  </si>
  <si>
    <t>صحي - الإيراد الفعلي للوحدة السنوي</t>
  </si>
  <si>
    <t>V155</t>
  </si>
  <si>
    <t>صحي - نسبة إيرادات الأنشطة الإضافية</t>
  </si>
  <si>
    <t>W155</t>
  </si>
  <si>
    <t>صحي - إجمالي الإيرادات</t>
  </si>
  <si>
    <t>X155</t>
  </si>
  <si>
    <t>صحي - التكاليف التشغيلية والإدارية</t>
  </si>
  <si>
    <t>Y155</t>
  </si>
  <si>
    <t>Z155</t>
  </si>
  <si>
    <t>AA155</t>
  </si>
  <si>
    <t>▌ التأجير اليومي - أخرى</t>
  </si>
  <si>
    <t>التأجير اليومي - أخرى</t>
  </si>
  <si>
    <t>R156</t>
  </si>
  <si>
    <t>S156</t>
  </si>
  <si>
    <t>أخرى - عدد الوحدات المشغولة سنوياً</t>
  </si>
  <si>
    <t>T156</t>
  </si>
  <si>
    <t>أخرى - متوسط السعر اليومي</t>
  </si>
  <si>
    <t>U156</t>
  </si>
  <si>
    <t>أخرى - الإيراد الفعلي للوحدة السنوي</t>
  </si>
  <si>
    <t>V156</t>
  </si>
  <si>
    <t>أخرى - نسبة إيرادات الأنشطة الإضافية</t>
  </si>
  <si>
    <t>W156</t>
  </si>
  <si>
    <t>أخرى - إجمالي الإيرادات</t>
  </si>
  <si>
    <t>X156</t>
  </si>
  <si>
    <t>أخرى - التكاليف التشغيلية والإدارية</t>
  </si>
  <si>
    <t>Y156</t>
  </si>
  <si>
    <t>Z156</t>
  </si>
  <si>
    <t>AA156</t>
  </si>
  <si>
    <t>▌ التأجير اليومي - الإجمالي</t>
  </si>
  <si>
    <t>إجمالي عدد وحدات التأجير اليومي</t>
  </si>
  <si>
    <t>التأجير اليومي - الإجمالي</t>
  </si>
  <si>
    <t>R157</t>
  </si>
  <si>
    <t>إجمالي عدد الوحدات المشغولة سنوياً</t>
  </si>
  <si>
    <t>T157</t>
  </si>
  <si>
    <t>إجمالي إيرادات التأجير اليومي</t>
  </si>
  <si>
    <t>X157</t>
  </si>
  <si>
    <t>إجمالي التكاليف التشغيلية للتأجير اليومي</t>
  </si>
  <si>
    <t>Y157</t>
  </si>
  <si>
    <t>▌ البيع على الخارطة</t>
  </si>
  <si>
    <t>إجمالي إيرادات البيع على الخارطة</t>
  </si>
  <si>
    <t>البيع على الخارطة</t>
  </si>
  <si>
    <t>C303</t>
  </si>
  <si>
    <t>دفعات مراحل الإنجاز</t>
  </si>
  <si>
    <t>C304</t>
  </si>
  <si>
    <t>الدفعات الأولى + دفعات الإنجاز</t>
  </si>
  <si>
    <t>C305</t>
  </si>
  <si>
    <t>عدد الوحدات المباعة على الخارطة</t>
  </si>
  <si>
    <t>C306</t>
  </si>
  <si>
    <t>متوسط سعر بيع الوحدة (الخارطة)</t>
  </si>
  <si>
    <t>C307</t>
  </si>
  <si>
    <t>إجمالي رسوم وافي</t>
  </si>
  <si>
    <t>C308</t>
  </si>
  <si>
    <t>نسبة رسوم وافي</t>
  </si>
  <si>
    <t>D308</t>
  </si>
  <si>
    <t>أتعاب المكتب الاستشاري الهندسي</t>
  </si>
  <si>
    <t>C309</t>
  </si>
  <si>
    <t>نسبة أتعاب المكتب الاستشاري</t>
  </si>
  <si>
    <t>D309</t>
  </si>
  <si>
    <t>تكاليف المحاسب القانوني المعتمد</t>
  </si>
  <si>
    <t>C310</t>
  </si>
  <si>
    <t>نسبة تكاليف المحاسب القانوني</t>
  </si>
  <si>
    <t>D310</t>
  </si>
  <si>
    <t>إجمالي قيمة استقطاع الضمان</t>
  </si>
  <si>
    <t>C311</t>
  </si>
  <si>
    <t>نسبة استقطاع الضمان</t>
  </si>
  <si>
    <t>D311</t>
  </si>
  <si>
    <t>قيم الدفعات الأولى</t>
  </si>
  <si>
    <t>C312</t>
  </si>
  <si>
    <t>نسبة الدفعات الأولى</t>
  </si>
  <si>
    <t>D312</t>
  </si>
  <si>
    <t>صافي المبيعات على الخارطة</t>
  </si>
  <si>
    <t>C313</t>
  </si>
  <si>
    <t>▌ مصروفات الصندوق</t>
  </si>
  <si>
    <t>رسوم ترتيب القرض</t>
  </si>
  <si>
    <t>مصروفات الصندوق</t>
  </si>
  <si>
    <t>E321</t>
  </si>
  <si>
    <t>نسبة رسوم ترتيب القرض</t>
  </si>
  <si>
    <t>C321</t>
  </si>
  <si>
    <t>رسوم إدارة الهيكل</t>
  </si>
  <si>
    <t>E322</t>
  </si>
  <si>
    <t>نسبة رسوم إدارة الهيكل</t>
  </si>
  <si>
    <t>C322</t>
  </si>
  <si>
    <t>رسوم إدارة الأصول</t>
  </si>
  <si>
    <t>E323</t>
  </si>
  <si>
    <t>نسبة رسوم إدارة الأصول</t>
  </si>
  <si>
    <t>C323</t>
  </si>
  <si>
    <t>أتعاب المشغل</t>
  </si>
  <si>
    <t>E324</t>
  </si>
  <si>
    <t>نسبة أتعاب المشغل</t>
  </si>
  <si>
    <t>C324</t>
  </si>
  <si>
    <t>إجمالي مصروفات الصندوق</t>
  </si>
  <si>
    <t>E325</t>
  </si>
  <si>
    <t>▌ التسهيلات المصرفية</t>
  </si>
  <si>
    <t>نسبة فوائد التمويل السنوية</t>
  </si>
  <si>
    <t>التسهيلات المصرفية</t>
  </si>
  <si>
    <t>F242</t>
  </si>
  <si>
    <t>نسبة فوائد التمويل الربع السنوية (QER)</t>
  </si>
  <si>
    <t>F244</t>
  </si>
  <si>
    <t>▌ التدفقات النقدية</t>
  </si>
  <si>
    <t>الاشتراكات النقدية - قيمة إجمالية</t>
  </si>
  <si>
    <t>التدفقات النقدية</t>
  </si>
  <si>
    <t>C180</t>
  </si>
  <si>
    <t>الاشتراك النقدي من المطور - قيمة إجمالية</t>
  </si>
  <si>
    <t>C181</t>
  </si>
  <si>
    <t>الاشتراك العيني من المطور - قيمة إجمالية</t>
  </si>
  <si>
    <t>C182</t>
  </si>
  <si>
    <t>الاشتراك العيني من مالك الأرض - قيمة إجمالية</t>
  </si>
  <si>
    <t>C183</t>
  </si>
  <si>
    <t>البيع على الخارطة - قيمة إجمالية</t>
  </si>
  <si>
    <t>C184</t>
  </si>
  <si>
    <t>التأجير السنوي - قيمة إجمالية</t>
  </si>
  <si>
    <t>C185</t>
  </si>
  <si>
    <t>التأجير اليومي - قيمة إجمالية</t>
  </si>
  <si>
    <t>C186</t>
  </si>
  <si>
    <t>البيع المباشر - قيمة إجمالية</t>
  </si>
  <si>
    <t>C187</t>
  </si>
  <si>
    <t>المخارجة (Buyout) - قيمة إجمالية</t>
  </si>
  <si>
    <t>C188</t>
  </si>
  <si>
    <t>أصل التمويل - قيمة إجمالية</t>
  </si>
  <si>
    <t>C189</t>
  </si>
  <si>
    <t>سداد أصل التمويل - قيمة إجمالية</t>
  </si>
  <si>
    <t>C191</t>
  </si>
  <si>
    <t>نسبة فوائد التمويل</t>
  </si>
  <si>
    <t>C192</t>
  </si>
  <si>
    <t>نسبة رسوم ترتيب التمويل</t>
  </si>
  <si>
    <t>C193</t>
  </si>
  <si>
    <t>تكلفة الأرض (تدفقات)</t>
  </si>
  <si>
    <t>C194</t>
  </si>
  <si>
    <t>ضريبة التصرفات + السعي (تدفقات)</t>
  </si>
  <si>
    <t>C195</t>
  </si>
  <si>
    <t>تكاليف مسطحات البناء (تدفقات)</t>
  </si>
  <si>
    <t>C196</t>
  </si>
  <si>
    <t>صافي التدفق النقدي (تدفقات)</t>
  </si>
  <si>
    <t>C218</t>
  </si>
  <si>
    <t>إجمالي CapEx + OpEx (تدفقات)</t>
  </si>
  <si>
    <t>C219</t>
  </si>
  <si>
    <t>إجمالي الإيرادات (تدفقات)</t>
  </si>
  <si>
    <t>C220</t>
  </si>
  <si>
    <t>صافي الدخل (تدفقات)</t>
  </si>
  <si>
    <t>C221</t>
  </si>
  <si>
    <t>الاطار الزمني (ربع سنوي)</t>
  </si>
  <si>
    <t>التاريخ</t>
  </si>
  <si>
    <t>الايراد
(Revenue)</t>
  </si>
  <si>
    <t>اجمالي التكاليف</t>
  </si>
  <si>
    <t xml:space="preserve">اجمالي الايراد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</si>
</sst>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64" formatCode="#,##0.00;\(#,##0.00\);\-"/>
    <numFmt numFmtId="165" formatCode="#,##0&quot;  مجموع القيم السابقة&quot;"/>
    <numFmt numFmtId="166" formatCode="&quot;Avg &quot;#,##0"/>
    <numFmt numFmtId="167" formatCode="&quot;Avg &quot;0%"/>
    <numFmt numFmtId="168" formatCode="#,##0&quot; m²&quot;"/>
    <numFmt numFmtId="169" formatCode="#,##0.00000"/>
    <numFmt numFmtId="170" formatCode="0%&quot; من إجمالي الأمتار البيعية&quot;"/>
    <numFmt numFmtId="171" formatCode="0%&quot; نسبة الأشتراك العيني من المطور&quot;"/>
    <numFmt numFmtId="172" formatCode="#,##0&quot; المتبقي من الحد الأعلى للتمويل&quot;"/>
    <numFmt numFmtId="173" formatCode="0.00%&quot; نسبة التمويل المطلوب من المسموح&quot;"/>
    <numFmt numFmtId="174" formatCode="0%&quot; نسبة الأشتراك العيني من مالك الأرض&quot;"/>
    <numFmt numFmtId="175" formatCode="0.00%&quot; الحد الأعلى لنسبة التمويل البنكي من الأرض&quot;"/>
    <numFmt numFmtId="176" formatCode="_(* #,##0.00_);_(* \(#,##0.00\);_(* \-??_);_(@_)"/>
    <numFmt numFmtId="177" formatCode="_(* #,##0_);_(* \(#,##0\);_(* \-??_);_(@_)"/>
    <numFmt numFmtId="178" formatCode="0.00%&quot; الحد الأعلى لنسبة التمويل البنكي من تكاليف التطوير&quot;"/>
    <numFmt numFmtId="179" formatCode="0.00%&quot; نسبة الفائدة السنوية خلال فترة المشروع&quot;"/>
    <numFmt numFmtId="180" formatCode="0.00%&quot; إجمالي نسبة فائدة التمويل&quot;"/>
    <numFmt numFmtId="181" formatCode="#,##0&quot; اجمالي قيمة فائدة البنك&quot;"/>
    <numFmt numFmtId="182" formatCode="#,##0.0"/>
    <numFmt numFmtId="183" formatCode="0.0%"/>
    <numFmt numFmtId="184" formatCode="#,##0&quot; تكلفة متر الأرض قبل الضريبة و السعي&quot;"/>
    <numFmt numFmtId="185" formatCode="0.00%&quot;  من مدة المشروع الإجمالية&quot;"/>
    <numFmt numFmtId="186" formatCode="0.000%"/>
    <numFmt numFmtId="187" formatCode="0%&quot; نسبة التحمل&quot;"/>
    <numFmt numFmtId="188" formatCode="#,##0.000000"/>
    <numFmt numFmtId="189" formatCode="0.0000"/>
    <numFmt numFmtId="190" formatCode="#,##0.00_ ;[Red]\-#,##0.00\ "/>
    <numFmt numFmtId="191" formatCode="&quot;Avg &quot;0.00%"/>
    <numFmt numFmtId="192" formatCode="&quot;Avg &quot;#,##0&quot; m²&quot;"/>
    <numFmt numFmtId="193" formatCode="#,##0&quot; إجمالي تكاليف البناء&quot;"/>
    <numFmt numFmtId="194" formatCode="#,##0_ ;[Red]\-#,##0\ "/>
    <numFmt numFmtId="195" formatCode="0.00%&quot; نسبة رسوم المطور&quot;"/>
    <numFmt numFmtId="196" formatCode="#,##0.000000000000"/>
    <numFmt numFmtId="197" formatCode="#,##0.00&quot; الفترة الزمنية للتمويل (سنوي)&quot;"/>
    <numFmt numFmtId="198" formatCode="#,##0.0000000000000000000000000000000000000000000"/>
    <numFmt numFmtId="199" formatCode="0.00%&quot; المتوسط&quot;"/>
    <numFmt numFmtId="200" formatCode="0.0000%"/>
    <numFmt numFmtId="201" formatCode="#,##0&quot;  إجمالي قيمة الصيانة السنوية&quot;"/>
    <numFmt numFmtId="202" formatCode="&quot;Avg &quot;#,##0.00"/>
    <numFmt numFmtId="203" formatCode="0.0%&quot;  نسبة تكاليف الصيانة السنوية&quot;"/>
    <numFmt numFmtId="204" formatCode="0.00%&quot;  نسبة التكاليف التشغيلية والإدارية&quot;"/>
    <numFmt numFmtId="205" formatCode="0.00%&quot;  نسبة التحوط&quot;"/>
    <numFmt numFmtId="206" formatCode="#,##0&quot;  عدد الوحدات المتبقية&quot;"/>
    <numFmt numFmtId="207" formatCode="0.00%&quot; نسبة الرسوم&quot;"/>
    <numFmt numFmtId="208" formatCode="0%&quot; نسبة الدفعة المقدمة&quot;"/>
    <numFmt numFmtId="226" formatCode="#,##0;\(#,##0\);\-"/>
  </numFmts>
  <fonts count="60" x14ac:knownFonts="1">
    <font>
      <sz val="11"/>
      <color theme="1"/>
      <name val="Arial"/>
      <family val="2"/>
      <charset val="1"/>
    </font>
    <font>
      <sz val="8"/>
      <name val="Calibri"/>
      <family val="2"/>
      <charset val="1"/>
    </font>
    <font>
      <sz val="8"/>
      <color theme="1"/>
      <name val="Calibri"/>
      <family val="2"/>
      <charset val="1"/>
    </font>
    <font>
      <sz val="10"/>
      <color theme="0"/>
      <name val="Arial"/>
      <family val="2"/>
      <charset val="1"/>
    </font>
    <font>
      <sz val="11"/>
      <color theme="0"/>
      <name val="Arial"/>
      <family val="2"/>
      <charset val="1"/>
    </font>
    <font>
      <sz val="11"/>
      <color theme="0"/>
      <name val="Calibri"/>
      <family val="2"/>
      <charset val="1"/>
    </font>
    <font>
      <sz val="10"/>
      <color theme="0"/>
      <name val="Calibri"/>
      <family val="2"/>
      <charset val="1"/>
    </font>
    <font>
      <sz val="7"/>
      <color theme="0"/>
      <name val="Arial"/>
      <family val="2"/>
      <charset val="1"/>
    </font>
    <font>
      <sz val="7"/>
      <color theme="0"/>
      <name val="Calibri"/>
      <family val="2"/>
      <charset val="1"/>
    </font>
    <font>
      <sz val="8"/>
      <name val="Arial"/>
      <family val="2"/>
      <charset val="1"/>
    </font>
    <font>
      <sz val="8"/>
      <color theme="0"/>
      <name val="Arial"/>
      <family val="2"/>
      <charset val="1"/>
    </font>
    <font>
      <b/>
      <sz val="16"/>
      <color rgb="FFFFFFFF"/>
      <name val="Arial"/>
      <family val="2"/>
    </font>
    <font>
      <sz val="12"/>
      <color rgb="FFF0EAE4"/>
      <name val="Calibri"/>
      <family val="2"/>
      <charset val="1"/>
    </font>
    <font>
      <sz val="7"/>
      <name val="Calibri"/>
      <family val="2"/>
      <charset val="1"/>
    </font>
    <font>
      <sz val="7"/>
      <color theme="1"/>
      <name val="Arial"/>
      <family val="2"/>
      <charset val="1"/>
    </font>
    <font>
      <sz val="7"/>
      <color theme="1"/>
      <name val="Calibri"/>
      <family val="2"/>
      <charset val="1"/>
    </font>
    <font>
      <u/>
      <sz val="8"/>
      <color rgb="FF493833"/>
      <name val="Arial"/>
      <family val="2"/>
      <charset val="1"/>
    </font>
    <font>
      <i/>
      <sz val="10"/>
      <color rgb="FF595959"/>
      <name val="Arial"/>
      <family val="2"/>
    </font>
    <font>
      <u/>
      <sz val="11"/>
      <color theme="10"/>
      <name val="Arial"/>
      <family val="2"/>
      <charset val="1"/>
    </font>
    <font>
      <sz val="7"/>
      <color theme="0" tint="-0.14999847407452621"/>
      <name val="Calibri"/>
      <family val="2"/>
      <charset val="1"/>
    </font>
    <font>
      <sz val="7"/>
      <color rgb="FFFF0000"/>
      <name val="Calibri"/>
      <family val="2"/>
      <charset val="1"/>
    </font>
    <font>
      <sz val="7"/>
      <color theme="9" tint="-0.249977111117893"/>
      <name val="Calibri"/>
      <family val="2"/>
      <charset val="1"/>
    </font>
    <font>
      <sz val="7"/>
      <color rgb="FFC00000"/>
      <name val="Calibri"/>
      <family val="2"/>
      <charset val="1"/>
    </font>
    <font>
      <sz val="7"/>
      <name val="Arial"/>
      <family val="2"/>
      <charset val="1"/>
    </font>
    <font>
      <b/>
      <sz val="11"/>
      <color rgb="FFFFFFFF"/>
      <name val="Arial"/>
      <family val="2"/>
    </font>
    <font>
      <sz val="7"/>
      <color theme="0" tint="-0.14999847407452621"/>
      <name val="Arial"/>
      <family val="2"/>
      <charset val="1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70C0"/>
      <name val="Arial"/>
      <family val="2"/>
    </font>
    <font>
      <sz val="8"/>
      <color theme="0" tint="-0.14999847407452621"/>
      <name val="Arial"/>
      <family val="2"/>
      <charset val="1"/>
    </font>
    <font>
      <sz val="8"/>
      <color theme="0"/>
      <name val="Calibri"/>
      <family val="2"/>
      <charset val="1"/>
    </font>
    <font>
      <sz val="8"/>
      <color theme="1"/>
      <name val="Arial"/>
      <family val="2"/>
      <charset val="1"/>
    </font>
    <font>
      <sz val="8"/>
      <color rgb="FFFF0000"/>
      <name val="Calibri"/>
      <family val="2"/>
      <charset val="1"/>
    </font>
    <font>
      <sz val="8"/>
      <color rgb="FF493833"/>
      <name val="Arial"/>
      <family val="2"/>
      <charset val="1"/>
    </font>
    <font>
      <sz val="6"/>
      <name val="Arial"/>
      <family val="2"/>
      <charset val="1"/>
    </font>
    <font>
      <sz val="6"/>
      <color theme="0" tint="-0.14999847407452621"/>
      <name val="Arial"/>
      <family val="2"/>
      <charset val="1"/>
    </font>
    <font>
      <sz val="6"/>
      <name val="Calibri"/>
      <family val="2"/>
      <charset val="1"/>
    </font>
    <font>
      <sz val="8"/>
      <color theme="9" tint="-0.249977111117893"/>
      <name val="Calibri"/>
      <family val="2"/>
      <charset val="1"/>
    </font>
    <font>
      <sz val="6"/>
      <color theme="1"/>
      <name val="Arial"/>
      <family val="2"/>
      <charset val="1"/>
    </font>
    <font>
      <sz val="6"/>
      <color theme="1"/>
      <name val="Calibri"/>
      <family val="2"/>
      <charset val="1"/>
    </font>
    <font>
      <sz val="8"/>
      <color theme="0" tint="-0.14999847407452621"/>
      <name val="Calibri"/>
      <family val="2"/>
      <charset val="1"/>
    </font>
    <font>
      <sz val="8"/>
      <color rgb="FFC00000"/>
      <name val="Calibri"/>
      <family val="2"/>
      <charset val="1"/>
    </font>
    <font>
      <b/>
      <sz val="11"/>
      <color theme="1"/>
      <name val="Arial"/>
      <family val="2"/>
      <charset val="1"/>
    </font>
    <font>
      <sz val="6"/>
      <color theme="0" tint="-0.14999847407452621"/>
      <name val="Calibri"/>
      <family val="2"/>
      <charset val="1"/>
    </font>
    <font>
      <sz val="7"/>
      <color rgb="FF00B050"/>
      <name val="Calibri"/>
      <family val="2"/>
      <charset val="1"/>
    </font>
    <font>
      <sz val="6"/>
      <color theme="0"/>
      <name val="Arial"/>
      <family val="2"/>
      <charset val="1"/>
    </font>
    <font>
      <sz val="6"/>
      <color theme="0"/>
      <name val="Calibri"/>
      <family val="2"/>
      <charset val="1"/>
    </font>
    <font>
      <sz val="8"/>
      <color theme="0" tint="-0.249977111117893"/>
      <name val="Calibri"/>
      <family val="2"/>
      <charset val="1"/>
    </font>
    <font>
      <sz val="12"/>
      <color theme="0"/>
      <name val="Arial"/>
      <family val="2"/>
      <charset val="1"/>
    </font>
    <font>
      <sz val="12"/>
      <color theme="0"/>
      <name val="Calibri"/>
      <family val="2"/>
      <charset val="1"/>
    </font>
    <font>
      <sz val="11"/>
      <name val="Calibri"/>
      <family val="2"/>
      <charset val="1"/>
    </font>
    <font>
      <sz val="6"/>
      <color rgb="FFD5D5D5"/>
      <name val="Calibri"/>
      <family val="2"/>
      <charset val="1"/>
    </font>
    <font>
      <sz val="8"/>
      <color rgb="FFD60000"/>
      <name val="Calibri"/>
      <family val="2"/>
      <charset val="1"/>
    </font>
    <font>
      <sz val="7"/>
      <color theme="0" tint="-0.249977111117893"/>
      <name val="Calibri"/>
      <family val="2"/>
      <charset val="1"/>
    </font>
    <font>
      <sz val="7"/>
      <color theme="9" tint="-0.249977111117893"/>
      <name val="Arial"/>
      <family val="2"/>
      <charset val="1"/>
    </font>
    <font>
      <sz val="7"/>
      <color rgb="FFFF0000"/>
      <name val="Arial"/>
      <family val="2"/>
      <charset val="1"/>
    </font>
    <font>
      <sz val="5"/>
      <name val="Calibri"/>
      <family val="2"/>
      <charset val="1"/>
    </font>
    <font>
      <sz val="11"/>
      <color theme="1"/>
      <name val="Arial"/>
      <family val="2"/>
      <charset val="1"/>
    </font>
    <font>
      <b/>
      <sz val="10"/>
      <name val="Arial"/>
      <family val="2"/>
    </font>
    <font>
      <b/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A4907E"/>
        <bgColor rgb="FFAC9A8A"/>
      </patternFill>
    </fill>
    <fill>
      <patternFill patternType="solid">
        <fgColor rgb="FFFFFF00"/>
        <bgColor rgb="FFFFC6B5"/>
      </patternFill>
    </fill>
    <fill>
      <patternFill patternType="solid">
        <fgColor rgb="FF1F4E78"/>
        <bgColor rgb="FF305496"/>
      </patternFill>
    </fill>
    <fill>
      <patternFill patternType="solid">
        <fgColor rgb="FFF0EAE4"/>
        <bgColor rgb="FFEDE4D6"/>
      </patternFill>
    </fill>
    <fill>
      <patternFill patternType="solid">
        <fgColor rgb="FFEDE4D6"/>
        <bgColor rgb="FFE9E0D7"/>
      </patternFill>
    </fill>
    <fill>
      <patternFill patternType="solid">
        <fgColor rgb="FF2E75B6"/>
        <bgColor rgb="FF4472C4"/>
      </patternFill>
    </fill>
    <fill>
      <patternFill patternType="solid">
        <fgColor rgb="FF305496"/>
        <bgColor rgb="FF1F4E78"/>
      </patternFill>
    </fill>
    <fill>
      <patternFill patternType="solid">
        <fgColor rgb="FFF2F2F2"/>
        <bgColor rgb="FFF5F5F5"/>
      </patternFill>
    </fill>
    <fill>
      <patternFill patternType="solid">
        <fgColor theme="0"/>
        <bgColor rgb="FFF8F5F2"/>
      </patternFill>
    </fill>
    <fill>
      <patternFill patternType="solid">
        <fgColor rgb="FFAC9A8A"/>
        <bgColor rgb="FFA4907E"/>
      </patternFill>
    </fill>
  </fills>
  <borders count="48">
    <border>
      <left/>
      <right/>
      <top/>
      <bottom/>
      <diagonal/>
    </border>
    <border>
      <left style="medium">
        <color rgb="FFDAD2CC"/>
      </left>
      <right/>
      <top/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/>
      <right/>
      <top style="medium">
        <color rgb="FFDAD2CC"/>
      </top>
      <bottom/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/>
      <right style="medium">
        <color rgb="FFDAD2CC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medium">
        <color rgb="FFDAD2CC"/>
      </left>
      <right/>
      <top/>
      <bottom/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/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/>
      <top style="thin">
        <color rgb="FFDAD2CC"/>
      </top>
      <bottom style="thin">
        <color rgb="FFDAD2CC"/>
      </bottom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/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/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/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/>
      <diagonal/>
    </border>
    <border>
      <left style="thin">
        <color rgb="FFDAD2CC"/>
      </left>
      <right style="thin">
        <color rgb="FFDAD2CC"/>
      </right>
      <top style="thin">
        <color rgb="FFDAD2CC"/>
      </top>
      <bottom/>
      <diagonal/>
    </border>
    <border>
      <left style="thin">
        <color rgb="FFDAD2CC"/>
      </left>
      <right style="medium">
        <color rgb="FFDAD2CC"/>
      </right>
      <top style="thin">
        <color rgb="FFDAD2CC"/>
      </top>
      <bottom/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/>
      <bottom style="thin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/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 style="medium">
        <color rgb="FFDAD2CC"/>
      </bottom>
      <diagonal/>
    </border>
    <border>
      <left/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/>
      <top style="thin">
        <color rgb="FFDAD2CC"/>
      </top>
      <bottom/>
      <diagonal/>
    </border>
    <border>
      <left/>
      <right/>
      <top style="thin">
        <color rgb="FFDAD2CC"/>
      </top>
      <bottom/>
      <diagonal/>
    </border>
    <border>
      <left/>
      <right style="medium">
        <color rgb="FFDAD2CC"/>
      </right>
      <top style="thin">
        <color rgb="FFDAD2CC"/>
      </top>
      <bottom/>
      <diagonal/>
    </border>
    <border>
      <left style="thin">
        <color rgb="FFDAD2CC"/>
      </left>
      <right/>
      <top/>
      <bottom/>
      <diagonal/>
    </border>
    <border>
      <left style="thin">
        <color rgb="FFDAD2CC"/>
      </left>
      <right/>
      <top/>
      <bottom style="thin">
        <color rgb="FFDAD2CC"/>
      </bottom>
      <diagonal/>
    </border>
    <border>
      <left/>
      <right/>
      <top/>
      <bottom style="thin">
        <color rgb="FFDAD2CC"/>
      </bottom>
      <diagonal/>
    </border>
    <border>
      <left/>
      <right style="medium">
        <color rgb="FFDAD2CC"/>
      </right>
      <top/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/>
      <bottom style="medium">
        <color rgb="FFDAD2CC"/>
      </bottom>
      <diagonal/>
    </border>
  </borders>
  <cellStyleXfs count="4">
    <xf numFmtId="0" fontId="0" fillId="0" borderId="0"/>
    <xf numFmtId="176" fontId="57" fillId="0" borderId="0"/>
    <xf numFmtId="9" fontId="57" fillId="0" borderId="0"/>
    <xf numFmtId="0" fontId="18" fillId="0" borderId="0"/>
  </cellStyleXfs>
  <cellXfs count="559">
    <xf numFmtId="0" fontId="0" fillId="0" borderId="0" xfId="0"/>
    <xf numFmtId="3" fontId="1" fillId="0" borderId="0" xfId="0" applyNumberFormat="1" applyFont="1" applyAlignment="1">
      <alignment horizontal="center" vertical="center" wrapText="1" shrinkToFit="1"/>
    </xf>
    <xf numFmtId="3" fontId="2" fillId="2" borderId="0" xfId="0" applyNumberFormat="1" applyFont="1" applyFill="1" applyAlignment="1">
      <alignment horizontal="center" vertical="center" wrapText="1" shrinkToFit="1"/>
    </xf>
    <xf numFmtId="3" fontId="2" fillId="0" borderId="0" xfId="0" applyNumberFormat="1" applyFont="1" applyAlignment="1">
      <alignment horizontal="center" vertical="center" wrapText="1" shrinkToFit="1"/>
    </xf>
    <xf numFmtId="0" fontId="9" fillId="0" borderId="2" xfId="0" applyFont="1" applyBorder="1" applyAlignment="1">
      <alignment horizontal="center" vertical="center"/>
    </xf>
    <xf numFmtId="3" fontId="9" fillId="0" borderId="3" xfId="0" applyNumberFormat="1" applyFont="1" applyBorder="1" applyAlignment="1">
      <alignment horizontal="center" vertical="center"/>
    </xf>
    <xf numFmtId="3" fontId="1" fillId="0" borderId="5" xfId="0" applyNumberFormat="1" applyFont="1" applyBorder="1" applyAlignment="1">
      <alignment horizontal="center" vertical="center" wrapText="1" shrinkToFit="1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3" fontId="1" fillId="3" borderId="0" xfId="0" applyNumberFormat="1" applyFont="1" applyFill="1" applyAlignment="1">
      <alignment horizontal="center" vertical="center" wrapText="1" shrinkToFit="1"/>
    </xf>
    <xf numFmtId="3" fontId="9" fillId="0" borderId="0" xfId="0" applyNumberFormat="1" applyFont="1" applyAlignment="1">
      <alignment horizontal="center" vertical="center" wrapText="1" shrinkToFit="1"/>
    </xf>
    <xf numFmtId="3" fontId="7" fillId="2" borderId="6" xfId="0" applyNumberFormat="1" applyFont="1" applyFill="1" applyBorder="1" applyAlignment="1">
      <alignment horizontal="center" vertical="center" wrapText="1" shrinkToFit="1"/>
    </xf>
    <xf numFmtId="3" fontId="7" fillId="2" borderId="7" xfId="0" applyNumberFormat="1" applyFont="1" applyFill="1" applyBorder="1" applyAlignment="1">
      <alignment horizontal="center" vertical="center" wrapText="1" shrinkToFit="1"/>
    </xf>
    <xf numFmtId="3" fontId="7" fillId="2" borderId="7" xfId="0" applyNumberFormat="1" applyFont="1" applyFill="1" applyBorder="1" applyAlignment="1">
      <alignment horizontal="center" vertical="center" wrapText="1" shrinkToFit="1" readingOrder="1"/>
    </xf>
    <xf numFmtId="3" fontId="7" fillId="2" borderId="8" xfId="0" applyNumberFormat="1" applyFont="1" applyFill="1" applyBorder="1" applyAlignment="1">
      <alignment horizontal="center" vertical="center" wrapText="1" shrinkToFit="1"/>
    </xf>
    <xf numFmtId="3" fontId="13" fillId="0" borderId="0" xfId="0" applyNumberFormat="1" applyFont="1" applyAlignment="1">
      <alignment horizontal="center" vertical="center" wrapText="1" shrinkToFit="1"/>
    </xf>
    <xf numFmtId="3" fontId="9" fillId="0" borderId="6" xfId="0" applyNumberFormat="1" applyFont="1" applyBorder="1" applyAlignment="1">
      <alignment horizontal="center" vertical="center" wrapText="1" shrinkToFit="1"/>
    </xf>
    <xf numFmtId="3" fontId="9" fillId="0" borderId="7" xfId="0" applyNumberFormat="1" applyFont="1" applyBorder="1" applyAlignment="1">
      <alignment horizontal="center" vertical="center" wrapText="1" shrinkToFit="1"/>
    </xf>
    <xf numFmtId="3" fontId="9" fillId="0" borderId="8" xfId="0" applyNumberFormat="1" applyFont="1" applyBorder="1" applyAlignment="1">
      <alignment horizontal="center" vertical="center" wrapText="1" shrinkToFit="1"/>
    </xf>
    <xf numFmtId="3" fontId="14" fillId="5" borderId="6" xfId="0" applyNumberFormat="1" applyFont="1" applyFill="1" applyBorder="1" applyAlignment="1">
      <alignment horizontal="center" vertical="center" wrapText="1" shrinkToFit="1"/>
    </xf>
    <xf numFmtId="3" fontId="15" fillId="5" borderId="8" xfId="0" applyNumberFormat="1" applyFont="1" applyFill="1" applyBorder="1" applyAlignment="1">
      <alignment horizontal="center" vertical="center" wrapText="1" shrinkToFit="1"/>
    </xf>
    <xf numFmtId="0" fontId="16" fillId="0" borderId="9" xfId="0" applyFont="1" applyBorder="1" applyAlignment="1">
      <alignment horizontal="center" vertical="center"/>
    </xf>
    <xf numFmtId="14" fontId="16" fillId="0" borderId="10" xfId="0" applyNumberFormat="1" applyFont="1" applyBorder="1" applyAlignment="1">
      <alignment horizontal="center" vertical="center"/>
    </xf>
    <xf numFmtId="0" fontId="18" fillId="0" borderId="0" xfId="3" applyFont="1" applyAlignment="1">
      <alignment horizontal="center" vertical="center"/>
    </xf>
    <xf numFmtId="3" fontId="14" fillId="0" borderId="6" xfId="0" applyNumberFormat="1" applyFont="1" applyBorder="1" applyAlignment="1">
      <alignment horizontal="center" vertical="center" wrapText="1" shrinkToFit="1"/>
    </xf>
    <xf numFmtId="3" fontId="15" fillId="0" borderId="7" xfId="0" applyNumberFormat="1" applyFont="1" applyBorder="1" applyAlignment="1">
      <alignment horizontal="center" vertical="center" wrapText="1" shrinkToFit="1"/>
    </xf>
    <xf numFmtId="10" fontId="15" fillId="6" borderId="7" xfId="2" applyNumberFormat="1" applyFont="1" applyFill="1" applyBorder="1" applyAlignment="1">
      <alignment horizontal="center" vertical="center" wrapText="1" shrinkToFit="1"/>
    </xf>
    <xf numFmtId="10" fontId="15" fillId="0" borderId="7" xfId="2" applyNumberFormat="1" applyFont="1" applyBorder="1" applyAlignment="1">
      <alignment horizontal="center" vertical="center" wrapText="1" shrinkToFit="1"/>
    </xf>
    <xf numFmtId="10" fontId="19" fillId="0" borderId="7" xfId="2" applyNumberFormat="1" applyFont="1" applyBorder="1" applyAlignment="1">
      <alignment horizontal="center" vertical="center" wrapText="1" shrinkToFit="1"/>
    </xf>
    <xf numFmtId="3" fontId="13" fillId="6" borderId="7" xfId="2" applyNumberFormat="1" applyFont="1" applyFill="1" applyBorder="1" applyAlignment="1">
      <alignment horizontal="center" vertical="center" wrapText="1" shrinkToFit="1"/>
    </xf>
    <xf numFmtId="3" fontId="15" fillId="0" borderId="7" xfId="2" applyNumberFormat="1" applyFont="1" applyBorder="1" applyAlignment="1">
      <alignment horizontal="center" vertical="center" wrapText="1" shrinkToFit="1"/>
    </xf>
    <xf numFmtId="3" fontId="20" fillId="0" borderId="7" xfId="0" applyNumberFormat="1" applyFont="1" applyBorder="1" applyAlignment="1">
      <alignment horizontal="center" vertical="center" wrapText="1" shrinkToFit="1"/>
    </xf>
    <xf numFmtId="10" fontId="20" fillId="0" borderId="7" xfId="2" applyNumberFormat="1" applyFont="1" applyBorder="1" applyAlignment="1">
      <alignment horizontal="center" vertical="center" wrapText="1" shrinkToFit="1"/>
    </xf>
    <xf numFmtId="3" fontId="13" fillId="0" borderId="7" xfId="0" applyNumberFormat="1" applyFont="1" applyBorder="1" applyAlignment="1">
      <alignment horizontal="center" vertical="center" wrapText="1" shrinkToFit="1"/>
    </xf>
    <xf numFmtId="38" fontId="21" fillId="0" borderId="7" xfId="0" applyNumberFormat="1" applyFont="1" applyBorder="1" applyAlignment="1">
      <alignment horizontal="center" vertical="center" wrapText="1" shrinkToFit="1"/>
    </xf>
    <xf numFmtId="40" fontId="21" fillId="0" borderId="7" xfId="0" applyNumberFormat="1" applyFont="1" applyBorder="1" applyAlignment="1">
      <alignment horizontal="center" vertical="center" wrapText="1" shrinkToFit="1"/>
    </xf>
    <xf numFmtId="10" fontId="21" fillId="0" borderId="7" xfId="2" applyNumberFormat="1" applyFont="1" applyBorder="1" applyAlignment="1">
      <alignment horizontal="center" vertical="center" wrapText="1" shrinkToFit="1"/>
    </xf>
    <xf numFmtId="10" fontId="21" fillId="0" borderId="8" xfId="2" applyNumberFormat="1" applyFont="1" applyBorder="1" applyAlignment="1">
      <alignment horizontal="center" vertical="center" wrapText="1" shrinkToFit="1"/>
    </xf>
    <xf numFmtId="3" fontId="9" fillId="5" borderId="6" xfId="0" applyNumberFormat="1" applyFont="1" applyFill="1" applyBorder="1" applyAlignment="1">
      <alignment horizontal="center" vertical="center" wrapText="1" shrinkToFit="1"/>
    </xf>
    <xf numFmtId="3" fontId="1" fillId="5" borderId="7" xfId="0" applyNumberFormat="1" applyFont="1" applyFill="1" applyBorder="1" applyAlignment="1">
      <alignment horizontal="center" vertical="center" wrapText="1" shrinkToFit="1"/>
    </xf>
    <xf numFmtId="4" fontId="1" fillId="6" borderId="8" xfId="0" applyNumberFormat="1" applyFont="1" applyFill="1" applyBorder="1" applyAlignment="1">
      <alignment horizontal="center" vertical="center" wrapText="1" shrinkToFit="1"/>
    </xf>
    <xf numFmtId="3" fontId="22" fillId="0" borderId="8" xfId="0" applyNumberFormat="1" applyFont="1" applyBorder="1" applyAlignment="1">
      <alignment horizontal="center" vertical="center" wrapText="1" shrinkToFit="1"/>
    </xf>
    <xf numFmtId="3" fontId="1" fillId="0" borderId="11" xfId="0" applyNumberFormat="1" applyFont="1" applyBorder="1" applyAlignment="1">
      <alignment horizontal="center" vertical="center" wrapText="1" shrinkToFit="1"/>
    </xf>
    <xf numFmtId="3" fontId="23" fillId="5" borderId="6" xfId="0" applyNumberFormat="1" applyFont="1" applyFill="1" applyBorder="1" applyAlignment="1">
      <alignment horizontal="center" vertical="center" wrapText="1" shrinkToFit="1"/>
    </xf>
    <xf numFmtId="3" fontId="13" fillId="5" borderId="7" xfId="0" applyNumberFormat="1" applyFont="1" applyFill="1" applyBorder="1" applyAlignment="1">
      <alignment horizontal="center" vertical="center" wrapText="1" shrinkToFit="1"/>
    </xf>
    <xf numFmtId="10" fontId="13" fillId="6" borderId="7" xfId="2" applyNumberFormat="1" applyFont="1" applyFill="1" applyBorder="1" applyAlignment="1">
      <alignment horizontal="center" vertical="center" wrapText="1" shrinkToFit="1"/>
    </xf>
    <xf numFmtId="10" fontId="13" fillId="5" borderId="7" xfId="2" applyNumberFormat="1" applyFont="1" applyFill="1" applyBorder="1" applyAlignment="1">
      <alignment horizontal="center" vertical="center" wrapText="1" shrinkToFit="1"/>
    </xf>
    <xf numFmtId="10" fontId="19" fillId="5" borderId="7" xfId="2" applyNumberFormat="1" applyFont="1" applyFill="1" applyBorder="1" applyAlignment="1">
      <alignment horizontal="center" vertical="center" wrapText="1" shrinkToFit="1"/>
    </xf>
    <xf numFmtId="3" fontId="15" fillId="5" borderId="7" xfId="2" applyNumberFormat="1" applyFont="1" applyFill="1" applyBorder="1" applyAlignment="1">
      <alignment horizontal="center" vertical="center" wrapText="1" shrinkToFit="1"/>
    </xf>
    <xf numFmtId="3" fontId="15" fillId="5" borderId="7" xfId="0" applyNumberFormat="1" applyFont="1" applyFill="1" applyBorder="1" applyAlignment="1">
      <alignment horizontal="center" vertical="center" wrapText="1" shrinkToFit="1"/>
    </xf>
    <xf numFmtId="3" fontId="20" fillId="5" borderId="7" xfId="0" applyNumberFormat="1" applyFont="1" applyFill="1" applyBorder="1" applyAlignment="1">
      <alignment horizontal="center" vertical="center" wrapText="1" shrinkToFit="1"/>
    </xf>
    <xf numFmtId="10" fontId="20" fillId="5" borderId="7" xfId="2" applyNumberFormat="1" applyFont="1" applyFill="1" applyBorder="1" applyAlignment="1">
      <alignment horizontal="center" vertical="center" wrapText="1" shrinkToFit="1"/>
    </xf>
    <xf numFmtId="38" fontId="21" fillId="5" borderId="7" xfId="0" applyNumberFormat="1" applyFont="1" applyFill="1" applyBorder="1" applyAlignment="1">
      <alignment horizontal="center" vertical="center" wrapText="1" shrinkToFit="1"/>
    </xf>
    <xf numFmtId="40" fontId="21" fillId="5" borderId="7" xfId="0" applyNumberFormat="1" applyFont="1" applyFill="1" applyBorder="1" applyAlignment="1">
      <alignment horizontal="center" vertical="center" wrapText="1" shrinkToFit="1"/>
    </xf>
    <xf numFmtId="10" fontId="21" fillId="5" borderId="7" xfId="2" applyNumberFormat="1" applyFont="1" applyFill="1" applyBorder="1" applyAlignment="1">
      <alignment horizontal="center" vertical="center" wrapText="1" shrinkToFit="1"/>
    </xf>
    <xf numFmtId="10" fontId="21" fillId="5" borderId="8" xfId="2" applyNumberFormat="1" applyFont="1" applyFill="1" applyBorder="1" applyAlignment="1">
      <alignment horizontal="center" vertical="center" wrapText="1" shrinkToFit="1"/>
    </xf>
    <xf numFmtId="3" fontId="22" fillId="5" borderId="8" xfId="0" applyNumberFormat="1" applyFont="1" applyFill="1" applyBorder="1" applyAlignment="1">
      <alignment horizontal="center" vertical="center" wrapText="1" shrinkToFit="1"/>
    </xf>
    <xf numFmtId="0" fontId="24" fillId="7" borderId="12" xfId="0" applyFont="1" applyFill="1" applyBorder="1" applyAlignment="1">
      <alignment horizontal="center" vertical="center" wrapText="1"/>
    </xf>
    <xf numFmtId="3" fontId="13" fillId="0" borderId="7" xfId="2" applyNumberFormat="1" applyFont="1" applyBorder="1" applyAlignment="1">
      <alignment horizontal="center" vertical="center" wrapText="1" shrinkToFit="1"/>
    </xf>
    <xf numFmtId="3" fontId="21" fillId="0" borderId="7" xfId="0" applyNumberFormat="1" applyFont="1" applyBorder="1" applyAlignment="1">
      <alignment horizontal="center" vertical="center" wrapText="1" shrinkToFit="1"/>
    </xf>
    <xf numFmtId="3" fontId="25" fillId="0" borderId="0" xfId="0" applyNumberFormat="1" applyFont="1" applyAlignment="1">
      <alignment horizontal="center" vertical="center" wrapText="1" shrinkToFit="1"/>
    </xf>
    <xf numFmtId="3" fontId="21" fillId="0" borderId="8" xfId="0" applyNumberFormat="1" applyFont="1" applyBorder="1" applyAlignment="1">
      <alignment horizontal="center" vertical="center" wrapText="1" shrinkToFit="1"/>
    </xf>
    <xf numFmtId="3" fontId="22" fillId="5" borderId="7" xfId="2" applyNumberFormat="1" applyFont="1" applyFill="1" applyBorder="1" applyAlignment="1">
      <alignment horizontal="center" vertical="center" wrapText="1" shrinkToFit="1"/>
    </xf>
    <xf numFmtId="3" fontId="23" fillId="5" borderId="9" xfId="0" applyNumberFormat="1" applyFont="1" applyFill="1" applyBorder="1" applyAlignment="1">
      <alignment horizontal="center" vertical="center" wrapText="1" shrinkToFit="1"/>
    </xf>
    <xf numFmtId="9" fontId="21" fillId="5" borderId="10" xfId="2" applyFont="1" applyFill="1" applyBorder="1" applyAlignment="1">
      <alignment horizontal="center" vertical="center" wrapText="1" shrinkToFit="1"/>
    </xf>
    <xf numFmtId="0" fontId="26" fillId="0" borderId="12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right" vertical="center" wrapText="1"/>
    </xf>
    <xf numFmtId="0" fontId="27" fillId="0" borderId="12" xfId="0" applyFont="1" applyBorder="1" applyAlignment="1">
      <alignment horizontal="left" vertical="center"/>
    </xf>
    <xf numFmtId="0" fontId="28" fillId="0" borderId="12" xfId="0" applyFont="1" applyBorder="1" applyAlignment="1">
      <alignment horizontal="center" vertical="center" wrapText="1"/>
    </xf>
    <xf numFmtId="3" fontId="22" fillId="0" borderId="7" xfId="0" applyNumberFormat="1" applyFont="1" applyBorder="1" applyAlignment="1">
      <alignment horizontal="center" vertical="center" wrapText="1" shrinkToFit="1"/>
    </xf>
    <xf numFmtId="9" fontId="14" fillId="5" borderId="8" xfId="2" applyFont="1" applyFill="1" applyBorder="1" applyAlignment="1">
      <alignment horizontal="center" vertical="center" wrapText="1" shrinkToFit="1"/>
    </xf>
    <xf numFmtId="3" fontId="1" fillId="0" borderId="14" xfId="0" applyNumberFormat="1" applyFont="1" applyBorder="1" applyAlignment="1">
      <alignment horizontal="center" vertical="center" wrapText="1" shrinkToFit="1"/>
    </xf>
    <xf numFmtId="3" fontId="1" fillId="0" borderId="15" xfId="0" applyNumberFormat="1" applyFont="1" applyBorder="1" applyAlignment="1">
      <alignment horizontal="center" vertical="center" wrapText="1" shrinkToFi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right" vertical="center" wrapText="1"/>
    </xf>
    <xf numFmtId="0" fontId="27" fillId="9" borderId="12" xfId="0" applyFont="1" applyFill="1" applyBorder="1" applyAlignment="1">
      <alignment horizontal="left" vertical="center"/>
    </xf>
    <xf numFmtId="0" fontId="28" fillId="9" borderId="12" xfId="0" applyFont="1" applyFill="1" applyBorder="1" applyAlignment="1">
      <alignment horizontal="center" vertical="center" wrapText="1"/>
    </xf>
    <xf numFmtId="3" fontId="22" fillId="5" borderId="7" xfId="0" applyNumberFormat="1" applyFont="1" applyFill="1" applyBorder="1" applyAlignment="1">
      <alignment horizontal="center" vertical="center" wrapText="1" shrinkToFit="1"/>
    </xf>
    <xf numFmtId="10" fontId="15" fillId="5" borderId="7" xfId="2" applyNumberFormat="1" applyFont="1" applyFill="1" applyBorder="1" applyAlignment="1">
      <alignment horizontal="center" vertical="center" wrapText="1" shrinkToFit="1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9" fontId="15" fillId="6" borderId="7" xfId="2" applyFont="1" applyFill="1" applyBorder="1" applyAlignment="1">
      <alignment horizontal="center" vertical="center" wrapText="1" shrinkToFit="1"/>
    </xf>
    <xf numFmtId="3" fontId="14" fillId="0" borderId="7" xfId="0" applyNumberFormat="1" applyFont="1" applyBorder="1" applyAlignment="1">
      <alignment horizontal="center" vertical="center" wrapText="1" shrinkToFit="1"/>
    </xf>
    <xf numFmtId="3" fontId="15" fillId="0" borderId="19" xfId="0" applyNumberFormat="1" applyFont="1" applyBorder="1" applyAlignment="1">
      <alignment horizontal="center" vertical="center" wrapText="1" shrinkToFit="1"/>
    </xf>
    <xf numFmtId="3" fontId="15" fillId="0" borderId="20" xfId="0" applyNumberFormat="1" applyFont="1" applyBorder="1" applyAlignment="1">
      <alignment horizontal="center" vertical="center" wrapText="1" shrinkToFit="1"/>
    </xf>
    <xf numFmtId="3" fontId="15" fillId="0" borderId="21" xfId="0" applyNumberFormat="1" applyFont="1" applyBorder="1" applyAlignment="1">
      <alignment horizontal="center" vertical="center" wrapText="1" shrinkToFit="1"/>
    </xf>
    <xf numFmtId="164" fontId="27" fillId="0" borderId="12" xfId="0" applyNumberFormat="1" applyFont="1" applyBorder="1" applyAlignment="1">
      <alignment horizontal="left" vertical="center"/>
    </xf>
    <xf numFmtId="3" fontId="14" fillId="5" borderId="8" xfId="0" applyNumberFormat="1" applyFont="1" applyFill="1" applyBorder="1" applyAlignment="1">
      <alignment horizontal="center" vertical="center" wrapText="1" shrinkToFit="1"/>
    </xf>
    <xf numFmtId="3" fontId="13" fillId="5" borderId="19" xfId="0" applyNumberFormat="1" applyFont="1" applyFill="1" applyBorder="1" applyAlignment="1">
      <alignment horizontal="center" vertical="center" wrapText="1" shrinkToFit="1"/>
    </xf>
    <xf numFmtId="3" fontId="13" fillId="5" borderId="20" xfId="0" applyNumberFormat="1" applyFont="1" applyFill="1" applyBorder="1" applyAlignment="1">
      <alignment horizontal="center" vertical="center" wrapText="1" shrinkToFit="1"/>
    </xf>
    <xf numFmtId="3" fontId="13" fillId="5" borderId="21" xfId="0" applyNumberFormat="1" applyFont="1" applyFill="1" applyBorder="1" applyAlignment="1">
      <alignment horizontal="center" vertical="center" wrapText="1" shrinkToFit="1"/>
    </xf>
    <xf numFmtId="164" fontId="27" fillId="9" borderId="12" xfId="0" applyNumberFormat="1" applyFont="1" applyFill="1" applyBorder="1" applyAlignment="1">
      <alignment horizontal="left" vertical="center"/>
    </xf>
    <xf numFmtId="9" fontId="13" fillId="6" borderId="7" xfId="2" applyFont="1" applyFill="1" applyBorder="1" applyAlignment="1">
      <alignment horizontal="center" vertical="center" wrapText="1" shrinkToFit="1"/>
    </xf>
    <xf numFmtId="3" fontId="9" fillId="0" borderId="9" xfId="0" applyNumberFormat="1" applyFont="1" applyBorder="1" applyAlignment="1">
      <alignment horizontal="center" vertical="center" wrapText="1" shrinkToFit="1"/>
    </xf>
    <xf numFmtId="3" fontId="1" fillId="0" borderId="22" xfId="0" applyNumberFormat="1" applyFont="1" applyBorder="1" applyAlignment="1">
      <alignment horizontal="center" vertical="center" wrapText="1" shrinkToFit="1"/>
    </xf>
    <xf numFmtId="4" fontId="1" fillId="6" borderId="10" xfId="0" applyNumberFormat="1" applyFont="1" applyFill="1" applyBorder="1" applyAlignment="1">
      <alignment horizontal="center" vertical="center" wrapText="1" shrinkToFit="1"/>
    </xf>
    <xf numFmtId="3" fontId="23" fillId="2" borderId="9" xfId="0" applyNumberFormat="1" applyFont="1" applyFill="1" applyBorder="1" applyAlignment="1">
      <alignment horizontal="center" vertical="center" wrapText="1" shrinkToFit="1"/>
    </xf>
    <xf numFmtId="3" fontId="13" fillId="2" borderId="22" xfId="0" applyNumberFormat="1" applyFont="1" applyFill="1" applyBorder="1" applyAlignment="1">
      <alignment horizontal="center" vertical="center" wrapText="1" shrinkToFit="1"/>
    </xf>
    <xf numFmtId="9" fontId="13" fillId="2" borderId="22" xfId="2" applyFont="1" applyFill="1" applyBorder="1" applyAlignment="1">
      <alignment horizontal="center" vertical="center" wrapText="1" shrinkToFit="1"/>
    </xf>
    <xf numFmtId="165" fontId="15" fillId="2" borderId="22" xfId="0" applyNumberFormat="1" applyFont="1" applyFill="1" applyBorder="1" applyAlignment="1">
      <alignment horizontal="center" vertical="center" wrapText="1" shrinkToFit="1"/>
    </xf>
    <xf numFmtId="3" fontId="15" fillId="2" borderId="22" xfId="0" applyNumberFormat="1" applyFont="1" applyFill="1" applyBorder="1" applyAlignment="1">
      <alignment horizontal="center" vertical="center" wrapText="1" shrinkToFit="1"/>
    </xf>
    <xf numFmtId="3" fontId="20" fillId="2" borderId="22" xfId="0" applyNumberFormat="1" applyFont="1" applyFill="1" applyBorder="1" applyAlignment="1">
      <alignment horizontal="center" vertical="center" wrapText="1" shrinkToFit="1"/>
    </xf>
    <xf numFmtId="166" fontId="20" fillId="2" borderId="22" xfId="0" applyNumberFormat="1" applyFont="1" applyFill="1" applyBorder="1" applyAlignment="1">
      <alignment horizontal="center" vertical="center" wrapText="1" shrinkToFit="1"/>
    </xf>
    <xf numFmtId="9" fontId="20" fillId="2" borderId="22" xfId="2" applyFont="1" applyFill="1" applyBorder="1" applyAlignment="1">
      <alignment horizontal="center" vertical="center" wrapText="1" shrinkToFit="1"/>
    </xf>
    <xf numFmtId="166" fontId="21" fillId="2" borderId="22" xfId="0" applyNumberFormat="1" applyFont="1" applyFill="1" applyBorder="1" applyAlignment="1">
      <alignment horizontal="center" vertical="center" wrapText="1" shrinkToFit="1"/>
    </xf>
    <xf numFmtId="3" fontId="21" fillId="2" borderId="22" xfId="0" applyNumberFormat="1" applyFont="1" applyFill="1" applyBorder="1" applyAlignment="1">
      <alignment horizontal="center" vertical="center" wrapText="1" shrinkToFit="1"/>
    </xf>
    <xf numFmtId="167" fontId="21" fillId="2" borderId="22" xfId="2" applyNumberFormat="1" applyFont="1" applyFill="1" applyBorder="1" applyAlignment="1">
      <alignment horizontal="center" vertical="center" wrapText="1" shrinkToFit="1"/>
    </xf>
    <xf numFmtId="167" fontId="21" fillId="2" borderId="10" xfId="2" applyNumberFormat="1" applyFont="1" applyFill="1" applyBorder="1" applyAlignment="1">
      <alignment horizontal="center" vertical="center" wrapText="1" shrinkToFit="1"/>
    </xf>
    <xf numFmtId="168" fontId="29" fillId="6" borderId="7" xfId="0" applyNumberFormat="1" applyFont="1" applyFill="1" applyBorder="1" applyAlignment="1">
      <alignment horizontal="center" vertical="center" wrapText="1" shrinkToFit="1"/>
    </xf>
    <xf numFmtId="3" fontId="19" fillId="0" borderId="0" xfId="0" applyNumberFormat="1" applyFont="1" applyAlignment="1">
      <alignment horizontal="center" vertical="center" wrapText="1" shrinkToFit="1"/>
    </xf>
    <xf numFmtId="3" fontId="10" fillId="2" borderId="6" xfId="0" applyNumberFormat="1" applyFont="1" applyFill="1" applyBorder="1" applyAlignment="1">
      <alignment horizontal="center" vertical="center" wrapText="1" shrinkToFit="1"/>
    </xf>
    <xf numFmtId="3" fontId="10" fillId="2" borderId="8" xfId="0" applyNumberFormat="1" applyFont="1" applyFill="1" applyBorder="1" applyAlignment="1">
      <alignment horizontal="center" vertical="center" wrapText="1" shrinkToFit="1"/>
    </xf>
    <xf numFmtId="3" fontId="1" fillId="0" borderId="0" xfId="2" applyNumberFormat="1" applyFont="1" applyAlignment="1">
      <alignment horizontal="center" vertical="center" wrapText="1" shrinkToFit="1"/>
    </xf>
    <xf numFmtId="3" fontId="31" fillId="0" borderId="6" xfId="0" applyNumberFormat="1" applyFont="1" applyBorder="1" applyAlignment="1">
      <alignment horizontal="center" vertical="center" wrapText="1" shrinkToFit="1"/>
    </xf>
    <xf numFmtId="3" fontId="2" fillId="0" borderId="8" xfId="0" applyNumberFormat="1" applyFont="1" applyBorder="1" applyAlignment="1">
      <alignment horizontal="center" vertical="center" wrapText="1" shrinkToFit="1"/>
    </xf>
    <xf numFmtId="9" fontId="13" fillId="0" borderId="0" xfId="2" applyFont="1" applyAlignment="1">
      <alignment horizontal="center" vertical="center" wrapText="1" shrinkToFit="1"/>
    </xf>
    <xf numFmtId="3" fontId="30" fillId="2" borderId="7" xfId="0" applyNumberFormat="1" applyFont="1" applyFill="1" applyBorder="1" applyAlignment="1">
      <alignment horizontal="center" vertical="center" wrapText="1" shrinkToFit="1"/>
    </xf>
    <xf numFmtId="3" fontId="30" fillId="2" borderId="8" xfId="0" applyNumberFormat="1" applyFont="1" applyFill="1" applyBorder="1" applyAlignment="1">
      <alignment horizontal="center" vertical="center" wrapText="1" shrinkToFit="1"/>
    </xf>
    <xf numFmtId="3" fontId="21" fillId="5" borderId="7" xfId="0" applyNumberFormat="1" applyFont="1" applyFill="1" applyBorder="1" applyAlignment="1">
      <alignment horizontal="center" vertical="center" wrapText="1" shrinkToFit="1"/>
    </xf>
    <xf numFmtId="3" fontId="14" fillId="2" borderId="6" xfId="0" applyNumberFormat="1" applyFont="1" applyFill="1" applyBorder="1" applyAlignment="1">
      <alignment horizontal="center" vertical="center" wrapText="1" shrinkToFit="1"/>
    </xf>
    <xf numFmtId="9" fontId="13" fillId="2" borderId="7" xfId="2" applyFont="1" applyFill="1" applyBorder="1" applyAlignment="1">
      <alignment horizontal="center" vertical="center" wrapText="1" shrinkToFit="1"/>
    </xf>
    <xf numFmtId="3" fontId="13" fillId="2" borderId="7" xfId="0" applyNumberFormat="1" applyFont="1" applyFill="1" applyBorder="1" applyAlignment="1">
      <alignment horizontal="center" vertical="center" wrapText="1" shrinkToFit="1"/>
    </xf>
    <xf numFmtId="3" fontId="13" fillId="2" borderId="19" xfId="0" applyNumberFormat="1" applyFont="1" applyFill="1" applyBorder="1" applyAlignment="1">
      <alignment horizontal="center" vertical="center" wrapText="1" shrinkToFit="1"/>
    </xf>
    <xf numFmtId="3" fontId="13" fillId="2" borderId="20" xfId="0" applyNumberFormat="1" applyFont="1" applyFill="1" applyBorder="1" applyAlignment="1">
      <alignment horizontal="center" vertical="center" wrapText="1" shrinkToFit="1"/>
    </xf>
    <xf numFmtId="3" fontId="13" fillId="2" borderId="21" xfId="0" applyNumberFormat="1" applyFont="1" applyFill="1" applyBorder="1" applyAlignment="1">
      <alignment horizontal="center" vertical="center" wrapText="1" shrinkToFit="1"/>
    </xf>
    <xf numFmtId="3" fontId="31" fillId="5" borderId="6" xfId="0" applyNumberFormat="1" applyFont="1" applyFill="1" applyBorder="1" applyAlignment="1">
      <alignment horizontal="center" vertical="center" wrapText="1" shrinkToFit="1"/>
    </xf>
    <xf numFmtId="3" fontId="32" fillId="5" borderId="8" xfId="0" applyNumberFormat="1" applyFont="1" applyFill="1" applyBorder="1" applyAlignment="1">
      <alignment horizontal="center" vertical="center" wrapText="1" shrinkToFit="1"/>
    </xf>
    <xf numFmtId="3" fontId="13" fillId="0" borderId="0" xfId="2" applyNumberFormat="1" applyFont="1" applyAlignment="1">
      <alignment horizontal="center" vertical="center" wrapText="1" shrinkToFit="1"/>
    </xf>
    <xf numFmtId="169" fontId="13" fillId="0" borderId="0" xfId="0" applyNumberFormat="1" applyFont="1" applyAlignment="1">
      <alignment horizontal="center" vertical="center" wrapText="1" shrinkToFit="1"/>
    </xf>
    <xf numFmtId="9" fontId="15" fillId="0" borderId="7" xfId="2" applyFont="1" applyBorder="1" applyAlignment="1">
      <alignment horizontal="center" vertical="center" wrapText="1" shrinkToFit="1"/>
    </xf>
    <xf numFmtId="3" fontId="32" fillId="0" borderId="8" xfId="0" applyNumberFormat="1" applyFont="1" applyBorder="1" applyAlignment="1">
      <alignment horizontal="center" vertical="center" wrapText="1" shrinkToFit="1"/>
    </xf>
    <xf numFmtId="3" fontId="2" fillId="0" borderId="7" xfId="0" applyNumberFormat="1" applyFont="1" applyBorder="1" applyAlignment="1">
      <alignment horizontal="center" vertical="center" wrapText="1" shrinkToFit="1"/>
    </xf>
    <xf numFmtId="9" fontId="2" fillId="0" borderId="8" xfId="2" applyFont="1" applyBorder="1" applyAlignment="1">
      <alignment horizontal="center" vertical="center" wrapText="1" shrinkToFit="1"/>
    </xf>
    <xf numFmtId="0" fontId="33" fillId="2" borderId="9" xfId="0" applyFont="1" applyFill="1" applyBorder="1" applyAlignment="1">
      <alignment horizontal="center" vertical="center"/>
    </xf>
    <xf numFmtId="9" fontId="33" fillId="2" borderId="22" xfId="2" applyFont="1" applyFill="1" applyBorder="1" applyAlignment="1">
      <alignment horizontal="center" vertical="center"/>
    </xf>
    <xf numFmtId="3" fontId="33" fillId="2" borderId="22" xfId="0" applyNumberFormat="1" applyFont="1" applyFill="1" applyBorder="1" applyAlignment="1">
      <alignment horizontal="center" vertical="center"/>
    </xf>
    <xf numFmtId="3" fontId="33" fillId="2" borderId="23" xfId="0" applyNumberFormat="1" applyFont="1" applyFill="1" applyBorder="1" applyAlignment="1">
      <alignment horizontal="center" vertical="center"/>
    </xf>
    <xf numFmtId="3" fontId="33" fillId="2" borderId="24" xfId="0" applyNumberFormat="1" applyFont="1" applyFill="1" applyBorder="1" applyAlignment="1">
      <alignment horizontal="center" vertical="center"/>
    </xf>
    <xf numFmtId="0" fontId="33" fillId="2" borderId="25" xfId="0" applyFont="1" applyFill="1" applyBorder="1" applyAlignment="1">
      <alignment horizontal="center" vertical="center"/>
    </xf>
    <xf numFmtId="4" fontId="27" fillId="0" borderId="12" xfId="0" applyNumberFormat="1" applyFont="1" applyBorder="1" applyAlignment="1">
      <alignment horizontal="left" vertical="center"/>
    </xf>
    <xf numFmtId="3" fontId="2" fillId="5" borderId="7" xfId="0" applyNumberFormat="1" applyFont="1" applyFill="1" applyBorder="1" applyAlignment="1">
      <alignment horizontal="center" vertical="center" wrapText="1" shrinkToFit="1"/>
    </xf>
    <xf numFmtId="9" fontId="2" fillId="5" borderId="8" xfId="2" applyFont="1" applyFill="1" applyBorder="1" applyAlignment="1">
      <alignment horizontal="center" vertical="center" wrapText="1" shrinkToFit="1"/>
    </xf>
    <xf numFmtId="168" fontId="2" fillId="0" borderId="0" xfId="0" applyNumberFormat="1" applyFont="1" applyAlignment="1">
      <alignment horizontal="center" vertical="center" wrapText="1" shrinkToFit="1"/>
    </xf>
    <xf numFmtId="170" fontId="2" fillId="0" borderId="0" xfId="2" applyNumberFormat="1" applyFont="1" applyAlignment="1">
      <alignment horizontal="center" vertical="center" wrapText="1" shrinkToFit="1"/>
    </xf>
    <xf numFmtId="10" fontId="34" fillId="0" borderId="7" xfId="2" applyNumberFormat="1" applyFont="1" applyBorder="1" applyAlignment="1">
      <alignment horizontal="center" vertical="center" wrapText="1" shrinkToFit="1" readingOrder="2"/>
    </xf>
    <xf numFmtId="168" fontId="35" fillId="0" borderId="7" xfId="0" applyNumberFormat="1" applyFont="1" applyBorder="1" applyAlignment="1">
      <alignment horizontal="center" vertical="center" wrapText="1" shrinkToFit="1"/>
    </xf>
    <xf numFmtId="10" fontId="27" fillId="9" borderId="12" xfId="0" applyNumberFormat="1" applyFont="1" applyFill="1" applyBorder="1" applyAlignment="1">
      <alignment horizontal="left" vertical="center"/>
    </xf>
    <xf numFmtId="171" fontId="15" fillId="6" borderId="4" xfId="0" applyNumberFormat="1" applyFont="1" applyFill="1" applyBorder="1" applyAlignment="1">
      <alignment horizontal="center" vertical="center" wrapText="1" shrinkToFit="1"/>
    </xf>
    <xf numFmtId="10" fontId="36" fillId="5" borderId="7" xfId="2" applyNumberFormat="1" applyFont="1" applyFill="1" applyBorder="1" applyAlignment="1">
      <alignment horizontal="center" vertical="center" wrapText="1" shrinkToFit="1"/>
    </xf>
    <xf numFmtId="168" fontId="35" fillId="5" borderId="7" xfId="0" applyNumberFormat="1" applyFont="1" applyFill="1" applyBorder="1" applyAlignment="1">
      <alignment horizontal="center" vertical="center" wrapText="1" shrinkToFit="1"/>
    </xf>
    <xf numFmtId="172" fontId="21" fillId="0" borderId="7" xfId="2" applyNumberFormat="1" applyFont="1" applyBorder="1" applyAlignment="1">
      <alignment horizontal="center" vertical="center" wrapText="1" shrinkToFit="1"/>
    </xf>
    <xf numFmtId="173" fontId="21" fillId="0" borderId="7" xfId="2" applyNumberFormat="1" applyFont="1" applyBorder="1" applyAlignment="1">
      <alignment horizontal="center" vertical="center" wrapText="1" shrinkToFit="1"/>
    </xf>
    <xf numFmtId="10" fontId="27" fillId="0" borderId="12" xfId="0" applyNumberFormat="1" applyFont="1" applyBorder="1" applyAlignment="1">
      <alignment horizontal="left" vertical="center"/>
    </xf>
    <xf numFmtId="174" fontId="15" fillId="6" borderId="24" xfId="2" applyNumberFormat="1" applyFont="1" applyFill="1" applyBorder="1" applyAlignment="1">
      <alignment horizontal="center" vertical="center" wrapText="1" shrinkToFit="1"/>
    </xf>
    <xf numFmtId="10" fontId="13" fillId="0" borderId="0" xfId="2" applyNumberFormat="1" applyFont="1" applyAlignment="1">
      <alignment horizontal="center" vertical="center" wrapText="1" shrinkToFit="1"/>
    </xf>
    <xf numFmtId="175" fontId="13" fillId="6" borderId="7" xfId="2" applyNumberFormat="1" applyFont="1" applyFill="1" applyBorder="1" applyAlignment="1">
      <alignment horizontal="center" vertical="center" wrapText="1" shrinkToFit="1"/>
    </xf>
    <xf numFmtId="177" fontId="15" fillId="0" borderId="7" xfId="1" applyNumberFormat="1" applyFont="1" applyBorder="1" applyAlignment="1">
      <alignment horizontal="center" vertical="center" wrapText="1" shrinkToFit="1"/>
    </xf>
    <xf numFmtId="3" fontId="13" fillId="0" borderId="0" xfId="1" applyNumberFormat="1" applyFont="1" applyAlignment="1">
      <alignment horizontal="center" vertical="center" wrapText="1" shrinkToFit="1"/>
    </xf>
    <xf numFmtId="178" fontId="13" fillId="6" borderId="7" xfId="2" applyNumberFormat="1" applyFont="1" applyFill="1" applyBorder="1" applyAlignment="1">
      <alignment horizontal="center" vertical="center" wrapText="1" shrinkToFit="1"/>
    </xf>
    <xf numFmtId="179" fontId="20" fillId="0" borderId="7" xfId="2" applyNumberFormat="1" applyFont="1" applyBorder="1" applyAlignment="1">
      <alignment horizontal="center" vertical="center" wrapText="1" shrinkToFit="1"/>
    </xf>
    <xf numFmtId="180" fontId="20" fillId="0" borderId="7" xfId="2" applyNumberFormat="1" applyFont="1" applyBorder="1" applyAlignment="1">
      <alignment horizontal="center" vertical="center" wrapText="1" shrinkToFit="1"/>
    </xf>
    <xf numFmtId="3" fontId="37" fillId="5" borderId="8" xfId="0" applyNumberFormat="1" applyFont="1" applyFill="1" applyBorder="1" applyAlignment="1">
      <alignment horizontal="center" vertical="center" wrapText="1" shrinkToFit="1"/>
    </xf>
    <xf numFmtId="182" fontId="2" fillId="0" borderId="8" xfId="0" applyNumberFormat="1" applyFont="1" applyBorder="1" applyAlignment="1">
      <alignment horizontal="center" vertical="center" shrinkToFit="1"/>
    </xf>
    <xf numFmtId="10" fontId="15" fillId="5" borderId="19" xfId="2" applyNumberFormat="1" applyFont="1" applyFill="1" applyBorder="1" applyAlignment="1">
      <alignment vertical="center" wrapText="1" shrinkToFit="1"/>
    </xf>
    <xf numFmtId="10" fontId="15" fillId="5" borderId="26" xfId="2" applyNumberFormat="1" applyFont="1" applyFill="1" applyBorder="1" applyAlignment="1">
      <alignment vertical="center" wrapText="1" shrinkToFit="1"/>
    </xf>
    <xf numFmtId="3" fontId="38" fillId="5" borderId="8" xfId="0" applyNumberFormat="1" applyFont="1" applyFill="1" applyBorder="1" applyAlignment="1">
      <alignment horizontal="center" vertical="center" wrapText="1" shrinkToFit="1"/>
    </xf>
    <xf numFmtId="3" fontId="15" fillId="0" borderId="2" xfId="0" applyNumberFormat="1" applyFont="1" applyBorder="1" applyAlignment="1">
      <alignment horizontal="center" vertical="center" wrapText="1" shrinkToFit="1"/>
    </xf>
    <xf numFmtId="10" fontId="15" fillId="6" borderId="3" xfId="2" applyNumberFormat="1" applyFont="1" applyFill="1" applyBorder="1" applyAlignment="1">
      <alignment horizontal="center" vertical="center" wrapText="1" shrinkToFit="1"/>
    </xf>
    <xf numFmtId="9" fontId="19" fillId="0" borderId="0" xfId="2" applyFont="1" applyAlignment="1">
      <alignment horizontal="center" vertical="center" wrapText="1" shrinkToFit="1"/>
    </xf>
    <xf numFmtId="3" fontId="14" fillId="6" borderId="6" xfId="0" applyNumberFormat="1" applyFont="1" applyFill="1" applyBorder="1" applyAlignment="1">
      <alignment horizontal="center" vertical="center" wrapText="1" shrinkToFit="1"/>
    </xf>
    <xf numFmtId="3" fontId="15" fillId="6" borderId="7" xfId="0" applyNumberFormat="1" applyFont="1" applyFill="1" applyBorder="1" applyAlignment="1">
      <alignment horizontal="center" vertical="center" wrapText="1" shrinkToFit="1"/>
    </xf>
    <xf numFmtId="3" fontId="14" fillId="6" borderId="8" xfId="0" applyNumberFormat="1" applyFont="1" applyFill="1" applyBorder="1" applyAlignment="1">
      <alignment horizontal="center" vertical="center" wrapText="1" shrinkToFit="1"/>
    </xf>
    <xf numFmtId="3" fontId="15" fillId="0" borderId="9" xfId="0" applyNumberFormat="1" applyFont="1" applyBorder="1" applyAlignment="1">
      <alignment horizontal="center" vertical="center" wrapText="1" shrinkToFit="1"/>
    </xf>
    <xf numFmtId="10" fontId="15" fillId="6" borderId="10" xfId="2" applyNumberFormat="1" applyFont="1" applyFill="1" applyBorder="1" applyAlignment="1">
      <alignment horizontal="center" vertical="center" wrapText="1" shrinkToFit="1"/>
    </xf>
    <xf numFmtId="9" fontId="15" fillId="2" borderId="22" xfId="2" applyFont="1" applyFill="1" applyBorder="1" applyAlignment="1">
      <alignment horizontal="center" vertical="center" wrapText="1" shrinkToFit="1"/>
    </xf>
    <xf numFmtId="10" fontId="20" fillId="2" borderId="22" xfId="2" applyNumberFormat="1" applyFont="1" applyFill="1" applyBorder="1" applyAlignment="1">
      <alignment horizontal="center" vertical="center" wrapText="1" shrinkToFit="1"/>
    </xf>
    <xf numFmtId="183" fontId="1" fillId="0" borderId="14" xfId="2" applyNumberFormat="1" applyFont="1" applyBorder="1" applyAlignment="1">
      <alignment vertical="center" wrapText="1" shrinkToFit="1"/>
    </xf>
    <xf numFmtId="184" fontId="22" fillId="0" borderId="7" xfId="0" applyNumberFormat="1" applyFont="1" applyBorder="1" applyAlignment="1">
      <alignment horizontal="center" vertical="center" wrapText="1" shrinkToFit="1"/>
    </xf>
    <xf numFmtId="3" fontId="1" fillId="0" borderId="0" xfId="1" applyNumberFormat="1" applyFont="1" applyAlignment="1">
      <alignment horizontal="center" vertical="center" wrapText="1" shrinkToFit="1"/>
    </xf>
    <xf numFmtId="10" fontId="40" fillId="5" borderId="8" xfId="2" applyNumberFormat="1" applyFont="1" applyFill="1" applyBorder="1" applyAlignment="1">
      <alignment horizontal="center" vertical="center" wrapText="1" shrinkToFit="1"/>
    </xf>
    <xf numFmtId="3" fontId="9" fillId="2" borderId="9" xfId="0" applyNumberFormat="1" applyFont="1" applyFill="1" applyBorder="1" applyAlignment="1">
      <alignment horizontal="center" vertical="center" wrapText="1" shrinkToFit="1"/>
    </xf>
    <xf numFmtId="3" fontId="1" fillId="0" borderId="0" xfId="0" applyNumberFormat="1" applyFont="1" applyAlignment="1">
      <alignment vertical="center" wrapText="1" shrinkToFit="1"/>
    </xf>
    <xf numFmtId="4" fontId="15" fillId="5" borderId="7" xfId="0" applyNumberFormat="1" applyFont="1" applyFill="1" applyBorder="1" applyAlignment="1">
      <alignment horizontal="center" vertical="center" wrapText="1" shrinkToFit="1"/>
    </xf>
    <xf numFmtId="185" fontId="15" fillId="5" borderId="7" xfId="2" applyNumberFormat="1" applyFont="1" applyFill="1" applyBorder="1" applyAlignment="1">
      <alignment horizontal="center" vertical="center" wrapText="1" shrinkToFit="1"/>
    </xf>
    <xf numFmtId="186" fontId="1" fillId="0" borderId="0" xfId="2" applyNumberFormat="1" applyFont="1" applyAlignment="1">
      <alignment horizontal="center" vertical="center" wrapText="1" shrinkToFit="1"/>
    </xf>
    <xf numFmtId="3" fontId="2" fillId="5" borderId="8" xfId="0" applyNumberFormat="1" applyFont="1" applyFill="1" applyBorder="1" applyAlignment="1">
      <alignment horizontal="center" vertical="center" wrapText="1" shrinkToFit="1"/>
    </xf>
    <xf numFmtId="3" fontId="10" fillId="2" borderId="7" xfId="0" applyNumberFormat="1" applyFont="1" applyFill="1" applyBorder="1" applyAlignment="1">
      <alignment horizontal="center" vertical="center" wrapText="1" shrinkToFit="1"/>
    </xf>
    <xf numFmtId="9" fontId="2" fillId="0" borderId="7" xfId="2" applyFont="1" applyBorder="1" applyAlignment="1">
      <alignment horizontal="center" vertical="center" wrapText="1" shrinkToFit="1"/>
    </xf>
    <xf numFmtId="3" fontId="37" fillId="0" borderId="7" xfId="0" applyNumberFormat="1" applyFont="1" applyBorder="1" applyAlignment="1">
      <alignment horizontal="center" vertical="center" wrapText="1" shrinkToFit="1"/>
    </xf>
    <xf numFmtId="10" fontId="2" fillId="5" borderId="8" xfId="2" applyNumberFormat="1" applyFont="1" applyFill="1" applyBorder="1" applyAlignment="1">
      <alignment horizontal="center" vertical="center" wrapText="1" shrinkToFit="1"/>
    </xf>
    <xf numFmtId="9" fontId="2" fillId="5" borderId="7" xfId="2" applyFont="1" applyFill="1" applyBorder="1" applyAlignment="1">
      <alignment horizontal="center" vertical="center" wrapText="1" shrinkToFit="1"/>
    </xf>
    <xf numFmtId="3" fontId="37" fillId="5" borderId="7" xfId="0" applyNumberFormat="1" applyFont="1" applyFill="1" applyBorder="1" applyAlignment="1">
      <alignment horizontal="center" vertical="center" wrapText="1" shrinkToFit="1"/>
    </xf>
    <xf numFmtId="183" fontId="1" fillId="0" borderId="0" xfId="2" applyNumberFormat="1" applyFont="1" applyAlignment="1">
      <alignment horizontal="center" vertical="center" wrapText="1" shrinkToFit="1"/>
    </xf>
    <xf numFmtId="3" fontId="1" fillId="0" borderId="6" xfId="0" applyNumberFormat="1" applyFont="1" applyBorder="1" applyAlignment="1">
      <alignment horizontal="center" vertical="center" wrapText="1" shrinkToFit="1"/>
    </xf>
    <xf numFmtId="168" fontId="1" fillId="0" borderId="7" xfId="0" applyNumberFormat="1" applyFont="1" applyBorder="1" applyAlignment="1">
      <alignment horizontal="center" vertical="center" wrapText="1" shrinkToFit="1"/>
    </xf>
    <xf numFmtId="3" fontId="41" fillId="0" borderId="7" xfId="0" applyNumberFormat="1" applyFont="1" applyBorder="1" applyAlignment="1">
      <alignment horizontal="center" vertical="center" wrapText="1" shrinkToFit="1"/>
    </xf>
    <xf numFmtId="3" fontId="1" fillId="0" borderId="7" xfId="0" applyNumberFormat="1" applyFont="1" applyBorder="1" applyAlignment="1">
      <alignment horizontal="center" vertical="center" wrapText="1" shrinkToFit="1"/>
    </xf>
    <xf numFmtId="4" fontId="1" fillId="0" borderId="7" xfId="0" applyNumberFormat="1" applyFont="1" applyBorder="1" applyAlignment="1">
      <alignment horizontal="center" vertical="center" wrapText="1" shrinkToFit="1"/>
    </xf>
    <xf numFmtId="3" fontId="1" fillId="0" borderId="8" xfId="0" applyNumberFormat="1" applyFont="1" applyBorder="1" applyAlignment="1">
      <alignment horizontal="center" vertical="center" wrapText="1" shrinkToFit="1"/>
    </xf>
    <xf numFmtId="3" fontId="1" fillId="5" borderId="6" xfId="0" applyNumberFormat="1" applyFont="1" applyFill="1" applyBorder="1" applyAlignment="1">
      <alignment horizontal="center" vertical="center" wrapText="1" shrinkToFit="1"/>
    </xf>
    <xf numFmtId="168" fontId="1" fillId="5" borderId="7" xfId="0" applyNumberFormat="1" applyFont="1" applyFill="1" applyBorder="1" applyAlignment="1">
      <alignment horizontal="center" vertical="center" wrapText="1" shrinkToFit="1"/>
    </xf>
    <xf numFmtId="3" fontId="41" fillId="5" borderId="7" xfId="0" applyNumberFormat="1" applyFont="1" applyFill="1" applyBorder="1" applyAlignment="1">
      <alignment horizontal="center" vertical="center" wrapText="1" shrinkToFit="1"/>
    </xf>
    <xf numFmtId="4" fontId="1" fillId="5" borderId="7" xfId="0" applyNumberFormat="1" applyFont="1" applyFill="1" applyBorder="1" applyAlignment="1">
      <alignment horizontal="center" vertical="center" wrapText="1" shrinkToFit="1"/>
    </xf>
    <xf numFmtId="3" fontId="1" fillId="5" borderId="8" xfId="0" applyNumberFormat="1" applyFont="1" applyFill="1" applyBorder="1" applyAlignment="1">
      <alignment horizontal="center" vertical="center" wrapText="1" shrinkToFit="1"/>
    </xf>
    <xf numFmtId="3" fontId="2" fillId="2" borderId="9" xfId="0" applyNumberFormat="1" applyFont="1" applyFill="1" applyBorder="1" applyAlignment="1">
      <alignment horizontal="center" vertical="center" wrapText="1" shrinkToFit="1"/>
    </xf>
    <xf numFmtId="3" fontId="2" fillId="2" borderId="22" xfId="0" applyNumberFormat="1" applyFont="1" applyFill="1" applyBorder="1" applyAlignment="1">
      <alignment horizontal="center" vertical="center" wrapText="1" shrinkToFit="1"/>
    </xf>
    <xf numFmtId="3" fontId="2" fillId="5" borderId="10" xfId="0" applyNumberFormat="1" applyFont="1" applyFill="1" applyBorder="1" applyAlignment="1">
      <alignment horizontal="center" vertical="center" wrapText="1" shrinkToFit="1"/>
    </xf>
    <xf numFmtId="168" fontId="1" fillId="2" borderId="22" xfId="0" applyNumberFormat="1" applyFont="1" applyFill="1" applyBorder="1" applyAlignment="1">
      <alignment horizontal="center" vertical="center" wrapText="1" shrinkToFit="1"/>
    </xf>
    <xf numFmtId="3" fontId="1" fillId="2" borderId="22" xfId="0" applyNumberFormat="1" applyFont="1" applyFill="1" applyBorder="1" applyAlignment="1">
      <alignment horizontal="center" vertical="center" wrapText="1" shrinkToFit="1"/>
    </xf>
    <xf numFmtId="4" fontId="1" fillId="2" borderId="22" xfId="0" applyNumberFormat="1" applyFont="1" applyFill="1" applyBorder="1" applyAlignment="1">
      <alignment horizontal="center" vertical="center" wrapText="1" shrinkToFit="1"/>
    </xf>
    <xf numFmtId="3" fontId="1" fillId="2" borderId="10" xfId="0" applyNumberFormat="1" applyFont="1" applyFill="1" applyBorder="1" applyAlignment="1">
      <alignment horizontal="center" vertical="center" wrapText="1" shrinkToFit="1"/>
    </xf>
    <xf numFmtId="10" fontId="15" fillId="5" borderId="2" xfId="2" applyNumberFormat="1" applyFont="1" applyFill="1" applyBorder="1" applyAlignment="1">
      <alignment horizontal="center" vertical="center" wrapText="1" shrinkToFit="1"/>
    </xf>
    <xf numFmtId="10" fontId="15" fillId="5" borderId="16" xfId="2" applyNumberFormat="1" applyFont="1" applyFill="1" applyBorder="1" applyAlignment="1">
      <alignment horizontal="center" vertical="center" wrapText="1" shrinkToFit="1"/>
    </xf>
    <xf numFmtId="10" fontId="15" fillId="5" borderId="3" xfId="2" applyNumberFormat="1" applyFont="1" applyFill="1" applyBorder="1" applyAlignment="1">
      <alignment horizontal="center" vertical="center" wrapText="1" shrinkToFit="1"/>
    </xf>
    <xf numFmtId="187" fontId="15" fillId="6" borderId="9" xfId="2" applyNumberFormat="1" applyFont="1" applyFill="1" applyBorder="1" applyAlignment="1">
      <alignment horizontal="center" vertical="center" wrapText="1" shrinkToFit="1"/>
    </xf>
    <xf numFmtId="187" fontId="15" fillId="6" borderId="22" xfId="2" applyNumberFormat="1" applyFont="1" applyFill="1" applyBorder="1" applyAlignment="1">
      <alignment horizontal="center" vertical="center" wrapText="1" shrinkToFit="1"/>
    </xf>
    <xf numFmtId="187" fontId="15" fillId="6" borderId="10" xfId="2" applyNumberFormat="1" applyFont="1" applyFill="1" applyBorder="1" applyAlignment="1">
      <alignment horizontal="center" vertical="center" wrapText="1" shrinkToFit="1"/>
    </xf>
    <xf numFmtId="188" fontId="1" fillId="0" borderId="0" xfId="0" applyNumberFormat="1" applyFont="1" applyAlignment="1">
      <alignment horizontal="center" vertical="center" wrapText="1" shrinkToFit="1"/>
    </xf>
    <xf numFmtId="189" fontId="27" fillId="9" borderId="12" xfId="0" applyNumberFormat="1" applyFont="1" applyFill="1" applyBorder="1" applyAlignment="1">
      <alignment horizontal="left" vertical="center"/>
    </xf>
    <xf numFmtId="4" fontId="27" fillId="9" borderId="12" xfId="0" applyNumberFormat="1" applyFont="1" applyFill="1" applyBorder="1" applyAlignment="1">
      <alignment horizontal="left" vertical="center"/>
    </xf>
    <xf numFmtId="190" fontId="1" fillId="0" borderId="6" xfId="0" applyNumberFormat="1" applyFont="1" applyBorder="1" applyAlignment="1">
      <alignment horizontal="center" vertical="center" wrapText="1" shrinkToFit="1"/>
    </xf>
    <xf numFmtId="190" fontId="1" fillId="0" borderId="7" xfId="0" applyNumberFormat="1" applyFont="1" applyBorder="1" applyAlignment="1">
      <alignment horizontal="center" vertical="center" wrapText="1" shrinkToFit="1"/>
    </xf>
    <xf numFmtId="3" fontId="10" fillId="2" borderId="6" xfId="0" applyNumberFormat="1" applyFont="1" applyFill="1" applyBorder="1" applyAlignment="1">
      <alignment horizontal="center" vertical="center" wrapText="1" shrinkToFit="1" readingOrder="1"/>
    </xf>
    <xf numFmtId="3" fontId="10" fillId="2" borderId="7" xfId="0" applyNumberFormat="1" applyFont="1" applyFill="1" applyBorder="1" applyAlignment="1">
      <alignment horizontal="center" vertical="center" wrapText="1" shrinkToFit="1" readingOrder="1"/>
    </xf>
    <xf numFmtId="4" fontId="1" fillId="2" borderId="7" xfId="0" applyNumberFormat="1" applyFont="1" applyFill="1" applyBorder="1" applyAlignment="1">
      <alignment horizontal="center" vertical="center" wrapText="1" shrinkToFit="1"/>
    </xf>
    <xf numFmtId="4" fontId="1" fillId="2" borderId="8" xfId="0" applyNumberFormat="1" applyFont="1" applyFill="1" applyBorder="1" applyAlignment="1">
      <alignment horizontal="center" vertical="center" wrapText="1" shrinkToFit="1"/>
    </xf>
    <xf numFmtId="168" fontId="9" fillId="0" borderId="6" xfId="0" applyNumberFormat="1" applyFont="1" applyBorder="1" applyAlignment="1">
      <alignment horizontal="center" vertical="center" wrapText="1" shrinkToFit="1"/>
    </xf>
    <xf numFmtId="10" fontId="1" fillId="0" borderId="7" xfId="0" applyNumberFormat="1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wrapText="1"/>
    </xf>
    <xf numFmtId="3" fontId="27" fillId="0" borderId="12" xfId="0" applyNumberFormat="1" applyFont="1" applyBorder="1" applyAlignment="1">
      <alignment horizontal="left" vertical="center"/>
    </xf>
    <xf numFmtId="168" fontId="9" fillId="5" borderId="6" xfId="0" applyNumberFormat="1" applyFont="1" applyFill="1" applyBorder="1" applyAlignment="1">
      <alignment horizontal="center" vertical="center" wrapText="1" shrinkToFit="1"/>
    </xf>
    <xf numFmtId="10" fontId="1" fillId="5" borderId="7" xfId="2" applyNumberFormat="1" applyFont="1" applyFill="1" applyBorder="1" applyAlignment="1">
      <alignment horizontal="center" vertical="center" wrapText="1" shrinkToFit="1"/>
    </xf>
    <xf numFmtId="0" fontId="0" fillId="0" borderId="0" xfId="0" applyFont="1" applyAlignment="1">
      <alignment vertical="center" wrapText="1"/>
    </xf>
    <xf numFmtId="0" fontId="42" fillId="0" borderId="0" xfId="0" applyFont="1" applyAlignment="1">
      <alignment vertical="center" wrapText="1"/>
    </xf>
    <xf numFmtId="3" fontId="43" fillId="5" borderId="7" xfId="0" applyNumberFormat="1" applyFont="1" applyFill="1" applyBorder="1" applyAlignment="1">
      <alignment horizontal="center" vertical="center" wrapText="1" shrinkToFit="1"/>
    </xf>
    <xf numFmtId="4" fontId="35" fillId="6" borderId="8" xfId="0" applyNumberFormat="1" applyFont="1" applyFill="1" applyBorder="1" applyAlignment="1">
      <alignment horizontal="center" vertical="center" wrapText="1" shrinkToFit="1"/>
    </xf>
    <xf numFmtId="168" fontId="9" fillId="0" borderId="27" xfId="0" applyNumberFormat="1" applyFont="1" applyBorder="1" applyAlignment="1">
      <alignment horizontal="center" vertical="center" wrapText="1" shrinkToFit="1"/>
    </xf>
    <xf numFmtId="10" fontId="2" fillId="10" borderId="28" xfId="2" applyNumberFormat="1" applyFont="1" applyFill="1" applyBorder="1" applyAlignment="1">
      <alignment horizontal="center" vertical="center" wrapText="1" shrinkToFit="1"/>
    </xf>
    <xf numFmtId="168" fontId="1" fillId="0" borderId="28" xfId="0" applyNumberFormat="1" applyFont="1" applyBorder="1" applyAlignment="1">
      <alignment horizontal="center" vertical="center" wrapText="1" shrinkToFit="1"/>
    </xf>
    <xf numFmtId="10" fontId="35" fillId="0" borderId="28" xfId="2" applyNumberFormat="1" applyFont="1" applyBorder="1" applyAlignment="1">
      <alignment horizontal="center" vertical="center" wrapText="1" shrinkToFit="1"/>
    </xf>
    <xf numFmtId="168" fontId="35" fillId="0" borderId="28" xfId="0" applyNumberFormat="1" applyFont="1" applyBorder="1" applyAlignment="1">
      <alignment horizontal="center" vertical="center" wrapText="1" shrinkToFit="1"/>
    </xf>
    <xf numFmtId="3" fontId="35" fillId="0" borderId="28" xfId="0" applyNumberFormat="1" applyFont="1" applyBorder="1" applyAlignment="1">
      <alignment horizontal="center" vertical="center" wrapText="1" shrinkToFit="1"/>
    </xf>
    <xf numFmtId="3" fontId="41" fillId="0" borderId="28" xfId="0" applyNumberFormat="1" applyFont="1" applyBorder="1" applyAlignment="1">
      <alignment horizontal="center" vertical="center" wrapText="1" shrinkToFit="1"/>
    </xf>
    <xf numFmtId="4" fontId="35" fillId="0" borderId="29" xfId="0" applyNumberFormat="1" applyFont="1" applyBorder="1" applyAlignment="1">
      <alignment horizontal="center" vertical="center" wrapText="1" shrinkToFit="1"/>
    </xf>
    <xf numFmtId="3" fontId="27" fillId="9" borderId="12" xfId="0" applyNumberFormat="1" applyFont="1" applyFill="1" applyBorder="1" applyAlignment="1">
      <alignment horizontal="left" vertical="center"/>
    </xf>
    <xf numFmtId="168" fontId="1" fillId="5" borderId="30" xfId="0" applyNumberFormat="1" applyFont="1" applyFill="1" applyBorder="1" applyAlignment="1">
      <alignment horizontal="center" vertical="center" wrapText="1" shrinkToFit="1"/>
    </xf>
    <xf numFmtId="10" fontId="36" fillId="5" borderId="31" xfId="0" applyNumberFormat="1" applyFont="1" applyFill="1" applyBorder="1" applyAlignment="1">
      <alignment horizontal="center" vertical="center" wrapText="1" shrinkToFit="1"/>
    </xf>
    <xf numFmtId="168" fontId="36" fillId="5" borderId="31" xfId="0" applyNumberFormat="1" applyFont="1" applyFill="1" applyBorder="1" applyAlignment="1">
      <alignment horizontal="center" vertical="center" wrapText="1" shrinkToFit="1"/>
    </xf>
    <xf numFmtId="3" fontId="36" fillId="5" borderId="31" xfId="0" applyNumberFormat="1" applyFont="1" applyFill="1" applyBorder="1" applyAlignment="1">
      <alignment horizontal="center" vertical="center" wrapText="1" shrinkToFit="1"/>
    </xf>
    <xf numFmtId="4" fontId="36" fillId="5" borderId="32" xfId="0" applyNumberFormat="1" applyFont="1" applyFill="1" applyBorder="1" applyAlignment="1">
      <alignment horizontal="center" vertical="center" wrapText="1" shrinkToFit="1"/>
    </xf>
    <xf numFmtId="189" fontId="27" fillId="0" borderId="12" xfId="0" applyNumberFormat="1" applyFont="1" applyBorder="1" applyAlignment="1">
      <alignment horizontal="left" vertical="center"/>
    </xf>
    <xf numFmtId="168" fontId="9" fillId="0" borderId="33" xfId="0" applyNumberFormat="1" applyFont="1" applyBorder="1" applyAlignment="1">
      <alignment horizontal="center" vertical="center" wrapText="1" shrinkToFit="1"/>
    </xf>
    <xf numFmtId="10" fontId="1" fillId="0" borderId="34" xfId="0" applyNumberFormat="1" applyFont="1" applyBorder="1" applyAlignment="1">
      <alignment horizontal="center" vertical="center" wrapText="1" shrinkToFit="1"/>
    </xf>
    <xf numFmtId="168" fontId="1" fillId="0" borderId="34" xfId="0" applyNumberFormat="1" applyFont="1" applyBorder="1" applyAlignment="1">
      <alignment horizontal="center" vertical="center" wrapText="1" shrinkToFit="1"/>
    </xf>
    <xf numFmtId="168" fontId="35" fillId="0" borderId="34" xfId="0" applyNumberFormat="1" applyFont="1" applyBorder="1" applyAlignment="1">
      <alignment horizontal="center" vertical="center" wrapText="1" shrinkToFit="1"/>
    </xf>
    <xf numFmtId="3" fontId="41" fillId="0" borderId="34" xfId="0" applyNumberFormat="1" applyFont="1" applyBorder="1" applyAlignment="1">
      <alignment horizontal="center" vertical="center" wrapText="1" shrinkToFit="1"/>
    </xf>
    <xf numFmtId="3" fontId="35" fillId="0" borderId="34" xfId="0" applyNumberFormat="1" applyFont="1" applyBorder="1" applyAlignment="1">
      <alignment horizontal="center" vertical="center" wrapText="1" shrinkToFit="1"/>
    </xf>
    <xf numFmtId="4" fontId="35" fillId="6" borderId="35" xfId="0" applyNumberFormat="1" applyFont="1" applyFill="1" applyBorder="1" applyAlignment="1">
      <alignment horizontal="center" vertical="center" wrapText="1" shrinkToFit="1"/>
    </xf>
    <xf numFmtId="168" fontId="9" fillId="2" borderId="9" xfId="0" applyNumberFormat="1" applyFont="1" applyFill="1" applyBorder="1" applyAlignment="1">
      <alignment horizontal="center" vertical="center" wrapText="1" shrinkToFit="1"/>
    </xf>
    <xf numFmtId="10" fontId="1" fillId="2" borderId="22" xfId="0" applyNumberFormat="1" applyFont="1" applyFill="1" applyBorder="1" applyAlignment="1">
      <alignment horizontal="center" vertical="center" wrapText="1" shrinkToFit="1"/>
    </xf>
    <xf numFmtId="191" fontId="2" fillId="2" borderId="22" xfId="0" applyNumberFormat="1" applyFont="1" applyFill="1" applyBorder="1" applyAlignment="1">
      <alignment horizontal="center" vertical="center" wrapText="1" shrinkToFit="1"/>
    </xf>
    <xf numFmtId="192" fontId="2" fillId="2" borderId="22" xfId="0" applyNumberFormat="1" applyFont="1" applyFill="1" applyBorder="1" applyAlignment="1">
      <alignment horizontal="center" vertical="center" wrapText="1" shrinkToFit="1"/>
    </xf>
    <xf numFmtId="193" fontId="32" fillId="2" borderId="22" xfId="0" applyNumberFormat="1" applyFont="1" applyFill="1" applyBorder="1" applyAlignment="1">
      <alignment horizontal="center" vertical="center" wrapText="1" shrinkToFit="1"/>
    </xf>
    <xf numFmtId="3" fontId="23" fillId="2" borderId="22" xfId="0" applyNumberFormat="1" applyFont="1" applyFill="1" applyBorder="1" applyAlignment="1">
      <alignment horizontal="center" vertical="center" wrapText="1" shrinkToFit="1"/>
    </xf>
    <xf numFmtId="3" fontId="32" fillId="2" borderId="10" xfId="0" applyNumberFormat="1" applyFont="1" applyFill="1" applyBorder="1" applyAlignment="1">
      <alignment horizontal="center" vertical="center" wrapText="1" shrinkToFit="1"/>
    </xf>
    <xf numFmtId="10" fontId="35" fillId="0" borderId="0" xfId="2" applyNumberFormat="1" applyFont="1" applyAlignment="1">
      <alignment horizontal="center" vertical="center" wrapText="1" shrinkToFit="1"/>
    </xf>
    <xf numFmtId="3" fontId="36" fillId="0" borderId="0" xfId="2" applyNumberFormat="1" applyFont="1" applyAlignment="1">
      <alignment horizontal="center" vertical="center" wrapText="1" shrinkToFit="1"/>
    </xf>
    <xf numFmtId="3" fontId="14" fillId="5" borderId="36" xfId="0" applyNumberFormat="1" applyFont="1" applyFill="1" applyBorder="1" applyAlignment="1">
      <alignment horizontal="center" vertical="center" wrapText="1" shrinkToFit="1"/>
    </xf>
    <xf numFmtId="3" fontId="23" fillId="5" borderId="2" xfId="0" applyNumberFormat="1" applyFont="1" applyFill="1" applyBorder="1" applyAlignment="1">
      <alignment horizontal="center" vertical="center" wrapText="1" shrinkToFit="1"/>
    </xf>
    <xf numFmtId="3" fontId="44" fillId="5" borderId="3" xfId="0" applyNumberFormat="1" applyFont="1" applyFill="1" applyBorder="1" applyAlignment="1">
      <alignment horizontal="center" vertical="center" wrapText="1" shrinkToFit="1"/>
    </xf>
    <xf numFmtId="194" fontId="14" fillId="5" borderId="9" xfId="0" applyNumberFormat="1" applyFont="1" applyFill="1" applyBorder="1" applyAlignment="1">
      <alignment horizontal="center" vertical="center" wrapText="1" shrinkToFit="1"/>
    </xf>
    <xf numFmtId="38" fontId="13" fillId="5" borderId="10" xfId="0" applyNumberFormat="1" applyFont="1" applyFill="1" applyBorder="1" applyAlignment="1">
      <alignment horizontal="center" vertical="center" wrapText="1" shrinkToFit="1"/>
    </xf>
    <xf numFmtId="10" fontId="14" fillId="5" borderId="4" xfId="2" applyNumberFormat="1" applyFont="1" applyFill="1" applyBorder="1" applyAlignment="1">
      <alignment horizontal="center" vertical="center" wrapText="1" shrinkToFit="1"/>
    </xf>
    <xf numFmtId="10" fontId="15" fillId="5" borderId="20" xfId="2" applyNumberFormat="1" applyFont="1" applyFill="1" applyBorder="1" applyAlignment="1">
      <alignment horizontal="center" vertical="center" wrapText="1" shrinkToFit="1"/>
    </xf>
    <xf numFmtId="10" fontId="31" fillId="0" borderId="6" xfId="2" applyNumberFormat="1" applyFont="1" applyBorder="1" applyAlignment="1">
      <alignment horizontal="center" vertical="center" wrapText="1" shrinkToFit="1"/>
    </xf>
    <xf numFmtId="183" fontId="13" fillId="5" borderId="20" xfId="0" applyNumberFormat="1" applyFont="1" applyFill="1" applyBorder="1" applyAlignment="1">
      <alignment horizontal="center" vertical="center" wrapText="1" shrinkToFit="1"/>
    </xf>
    <xf numFmtId="10" fontId="31" fillId="5" borderId="6" xfId="0" applyNumberFormat="1" applyFont="1" applyFill="1" applyBorder="1" applyAlignment="1">
      <alignment horizontal="center" vertical="center" wrapText="1" shrinkToFit="1"/>
    </xf>
    <xf numFmtId="183" fontId="1" fillId="0" borderId="8" xfId="0" applyNumberFormat="1" applyFont="1" applyBorder="1" applyAlignment="1">
      <alignment horizontal="center" vertical="center" wrapText="1" shrinkToFit="1"/>
    </xf>
    <xf numFmtId="10" fontId="31" fillId="6" borderId="6" xfId="2" applyNumberFormat="1" applyFont="1" applyFill="1" applyBorder="1" applyAlignment="1">
      <alignment horizontal="center" vertical="center" wrapText="1" shrinkToFit="1"/>
    </xf>
    <xf numFmtId="3" fontId="1" fillId="6" borderId="7" xfId="0" applyNumberFormat="1" applyFont="1" applyFill="1" applyBorder="1" applyAlignment="1">
      <alignment horizontal="center" vertical="center" wrapText="1" shrinkToFit="1"/>
    </xf>
    <xf numFmtId="3" fontId="1" fillId="6" borderId="8" xfId="0" applyNumberFormat="1" applyFont="1" applyFill="1" applyBorder="1" applyAlignment="1">
      <alignment horizontal="center" vertical="center" wrapText="1" shrinkToFit="1"/>
    </xf>
    <xf numFmtId="10" fontId="31" fillId="5" borderId="26" xfId="0" applyNumberFormat="1" applyFont="1" applyFill="1" applyBorder="1" applyAlignment="1">
      <alignment horizontal="center" vertical="center" wrapText="1" shrinkToFit="1"/>
    </xf>
    <xf numFmtId="10" fontId="31" fillId="0" borderId="26" xfId="2" applyNumberFormat="1" applyFont="1" applyBorder="1" applyAlignment="1">
      <alignment horizontal="center" vertical="center" wrapText="1" shrinkToFit="1"/>
    </xf>
    <xf numFmtId="176" fontId="1" fillId="0" borderId="0" xfId="1" applyFont="1" applyAlignment="1">
      <alignment horizontal="center" vertical="center" wrapText="1" shrinkToFit="1"/>
    </xf>
    <xf numFmtId="183" fontId="1" fillId="5" borderId="8" xfId="0" applyNumberFormat="1" applyFont="1" applyFill="1" applyBorder="1" applyAlignment="1">
      <alignment horizontal="center" vertical="center" wrapText="1" shrinkToFit="1"/>
    </xf>
    <xf numFmtId="10" fontId="31" fillId="6" borderId="6" xfId="0" applyNumberFormat="1" applyFont="1" applyFill="1" applyBorder="1" applyAlignment="1">
      <alignment horizontal="center" vertical="center" wrapText="1" shrinkToFit="1"/>
    </xf>
    <xf numFmtId="183" fontId="1" fillId="6" borderId="8" xfId="2" applyNumberFormat="1" applyFont="1" applyFill="1" applyBorder="1" applyAlignment="1">
      <alignment horizontal="center" vertical="center" wrapText="1" shrinkToFit="1"/>
    </xf>
    <xf numFmtId="183" fontId="13" fillId="5" borderId="24" xfId="0" applyNumberFormat="1" applyFont="1" applyFill="1" applyBorder="1" applyAlignment="1">
      <alignment horizontal="center" vertical="center" wrapText="1" shrinkToFit="1"/>
    </xf>
    <xf numFmtId="10" fontId="31" fillId="0" borderId="6" xfId="0" applyNumberFormat="1" applyFont="1" applyBorder="1" applyAlignment="1">
      <alignment horizontal="center" vertical="center" wrapText="1" shrinkToFit="1"/>
    </xf>
    <xf numFmtId="195" fontId="1" fillId="6" borderId="8" xfId="0" applyNumberFormat="1" applyFont="1" applyFill="1" applyBorder="1" applyAlignment="1">
      <alignment horizontal="center" vertical="center" wrapText="1" shrinkToFit="1"/>
    </xf>
    <xf numFmtId="10" fontId="13" fillId="6" borderId="36" xfId="0" applyNumberFormat="1" applyFont="1" applyFill="1" applyBorder="1" applyAlignment="1">
      <alignment horizontal="center" vertical="center" wrapText="1" shrinkToFit="1"/>
    </xf>
    <xf numFmtId="9" fontId="1" fillId="0" borderId="0" xfId="2" applyFont="1" applyAlignment="1">
      <alignment horizontal="center" vertical="center" wrapText="1" shrinkToFit="1"/>
    </xf>
    <xf numFmtId="10" fontId="31" fillId="5" borderId="6" xfId="2" applyNumberFormat="1" applyFont="1" applyFill="1" applyBorder="1" applyAlignment="1">
      <alignment horizontal="center" vertical="center" wrapText="1" shrinkToFit="1"/>
    </xf>
    <xf numFmtId="3" fontId="36" fillId="0" borderId="0" xfId="0" applyNumberFormat="1" applyFont="1" applyAlignment="1">
      <alignment horizontal="center" vertical="center" wrapText="1" shrinkToFit="1"/>
    </xf>
    <xf numFmtId="9" fontId="1" fillId="0" borderId="0" xfId="1" applyNumberFormat="1" applyFont="1" applyAlignment="1">
      <alignment horizontal="center" vertical="center" wrapText="1" shrinkToFit="1"/>
    </xf>
    <xf numFmtId="3" fontId="36" fillId="0" borderId="0" xfId="1" applyNumberFormat="1" applyFont="1" applyAlignment="1">
      <alignment horizontal="center" vertical="center" wrapText="1" shrinkToFit="1"/>
    </xf>
    <xf numFmtId="3" fontId="32" fillId="0" borderId="7" xfId="0" applyNumberFormat="1" applyFont="1" applyBorder="1" applyAlignment="1">
      <alignment horizontal="center" vertical="center" wrapText="1" shrinkToFit="1"/>
    </xf>
    <xf numFmtId="196" fontId="1" fillId="0" borderId="0" xfId="0" applyNumberFormat="1" applyFont="1" applyAlignment="1">
      <alignment horizontal="center" vertical="center" wrapText="1" shrinkToFit="1"/>
    </xf>
    <xf numFmtId="3" fontId="32" fillId="5" borderId="7" xfId="0" applyNumberFormat="1" applyFont="1" applyFill="1" applyBorder="1" applyAlignment="1">
      <alignment horizontal="center" vertical="center" wrapText="1" shrinkToFit="1"/>
    </xf>
    <xf numFmtId="197" fontId="15" fillId="6" borderId="36" xfId="0" applyNumberFormat="1" applyFont="1" applyFill="1" applyBorder="1" applyAlignment="1">
      <alignment horizontal="center" vertical="center" wrapText="1" shrinkToFit="1"/>
    </xf>
    <xf numFmtId="198" fontId="1" fillId="0" borderId="0" xfId="0" applyNumberFormat="1" applyFont="1" applyAlignment="1">
      <alignment horizontal="center" vertical="center" wrapText="1" shrinkToFit="1"/>
    </xf>
    <xf numFmtId="3" fontId="31" fillId="5" borderId="9" xfId="0" applyNumberFormat="1" applyFont="1" applyFill="1" applyBorder="1" applyAlignment="1">
      <alignment horizontal="center" vertical="center" wrapText="1" shrinkToFit="1"/>
    </xf>
    <xf numFmtId="3" fontId="31" fillId="5" borderId="7" xfId="0" applyNumberFormat="1" applyFont="1" applyFill="1" applyBorder="1" applyAlignment="1">
      <alignment horizontal="center" vertical="center" wrapText="1" shrinkToFit="1"/>
    </xf>
    <xf numFmtId="3" fontId="31" fillId="5" borderId="8" xfId="0" applyNumberFormat="1" applyFont="1" applyFill="1" applyBorder="1" applyAlignment="1">
      <alignment horizontal="center" vertical="center" wrapText="1" shrinkToFit="1"/>
    </xf>
    <xf numFmtId="3" fontId="14" fillId="5" borderId="4" xfId="0" applyNumberFormat="1" applyFont="1" applyFill="1" applyBorder="1" applyAlignment="1">
      <alignment horizontal="center" vertical="center" shrinkToFit="1"/>
    </xf>
    <xf numFmtId="4" fontId="1" fillId="0" borderId="0" xfId="0" applyNumberFormat="1" applyFont="1" applyAlignment="1">
      <alignment horizontal="center" vertical="center" wrapText="1" shrinkToFit="1"/>
    </xf>
    <xf numFmtId="3" fontId="2" fillId="6" borderId="22" xfId="0" applyNumberFormat="1" applyFont="1" applyFill="1" applyBorder="1" applyAlignment="1">
      <alignment horizontal="center" vertical="center" wrapText="1" shrinkToFit="1"/>
    </xf>
    <xf numFmtId="182" fontId="2" fillId="10" borderId="10" xfId="0" applyNumberFormat="1" applyFont="1" applyFill="1" applyBorder="1" applyAlignment="1">
      <alignment horizontal="center" vertical="center" wrapText="1" shrinkToFit="1"/>
    </xf>
    <xf numFmtId="3" fontId="15" fillId="10" borderId="24" xfId="0" applyNumberFormat="1" applyFont="1" applyFill="1" applyBorder="1" applyAlignment="1">
      <alignment horizontal="center" vertical="center" wrapText="1" shrinkToFit="1"/>
    </xf>
    <xf numFmtId="10" fontId="10" fillId="2" borderId="6" xfId="2" applyNumberFormat="1" applyFont="1" applyFill="1" applyBorder="1" applyAlignment="1">
      <alignment horizontal="center" vertical="center" wrapText="1" shrinkToFit="1"/>
    </xf>
    <xf numFmtId="9" fontId="10" fillId="2" borderId="7" xfId="2" applyFont="1" applyFill="1" applyBorder="1" applyAlignment="1">
      <alignment horizontal="center" vertical="center" wrapText="1" shrinkToFit="1" readingOrder="1"/>
    </xf>
    <xf numFmtId="10" fontId="30" fillId="2" borderId="7" xfId="2" applyNumberFormat="1" applyFont="1" applyFill="1" applyBorder="1" applyAlignment="1">
      <alignment horizontal="center" vertical="center" wrapText="1" shrinkToFit="1"/>
    </xf>
    <xf numFmtId="10" fontId="10" fillId="2" borderId="7" xfId="2" applyNumberFormat="1" applyFont="1" applyFill="1" applyBorder="1" applyAlignment="1">
      <alignment horizontal="center" vertical="center" wrapText="1" shrinkToFit="1"/>
    </xf>
    <xf numFmtId="10" fontId="10" fillId="2" borderId="8" xfId="2" applyNumberFormat="1" applyFont="1" applyFill="1" applyBorder="1" applyAlignment="1">
      <alignment horizontal="center" vertical="center" wrapText="1" shrinkToFit="1"/>
    </xf>
    <xf numFmtId="0" fontId="10" fillId="2" borderId="6" xfId="0" applyFont="1" applyFill="1" applyBorder="1" applyAlignment="1">
      <alignment horizontal="center" vertical="center" wrapText="1" shrinkToFit="1"/>
    </xf>
    <xf numFmtId="0" fontId="30" fillId="2" borderId="7" xfId="0" applyFont="1" applyFill="1" applyBorder="1" applyAlignment="1">
      <alignment horizontal="center" vertical="center" wrapText="1" shrinkToFit="1"/>
    </xf>
    <xf numFmtId="0" fontId="10" fillId="2" borderId="7" xfId="0" applyFont="1" applyFill="1" applyBorder="1" applyAlignment="1">
      <alignment horizontal="center" vertical="center" wrapText="1" shrinkToFit="1"/>
    </xf>
    <xf numFmtId="0" fontId="10" fillId="2" borderId="8" xfId="0" applyFont="1" applyFill="1" applyBorder="1" applyAlignment="1">
      <alignment horizontal="center" vertical="center" wrapText="1" shrinkToFit="1"/>
    </xf>
    <xf numFmtId="10" fontId="7" fillId="2" borderId="7" xfId="2" applyNumberFormat="1" applyFont="1" applyFill="1" applyBorder="1" applyAlignment="1">
      <alignment horizontal="center" vertical="center" wrapText="1" shrinkToFit="1"/>
    </xf>
    <xf numFmtId="10" fontId="45" fillId="2" borderId="7" xfId="2" applyNumberFormat="1" applyFont="1" applyFill="1" applyBorder="1" applyAlignment="1">
      <alignment horizontal="center" vertical="center" wrapText="1" shrinkToFit="1"/>
    </xf>
    <xf numFmtId="10" fontId="7" fillId="2" borderId="8" xfId="2" applyNumberFormat="1" applyFont="1" applyFill="1" applyBorder="1" applyAlignment="1">
      <alignment horizontal="center" vertical="center" wrapText="1" shrinkToFit="1"/>
    </xf>
    <xf numFmtId="10" fontId="47" fillId="0" borderId="7" xfId="0" applyNumberFormat="1" applyFont="1" applyBorder="1" applyAlignment="1">
      <alignment horizontal="center" vertical="center" wrapText="1" shrinkToFit="1"/>
    </xf>
    <xf numFmtId="3" fontId="37" fillId="0" borderId="8" xfId="0" applyNumberFormat="1" applyFont="1" applyBorder="1" applyAlignment="1">
      <alignment horizontal="center" vertical="center" wrapText="1" shrinkToFit="1"/>
    </xf>
    <xf numFmtId="10" fontId="47" fillId="0" borderId="7" xfId="2" applyNumberFormat="1" applyFont="1" applyBorder="1" applyAlignment="1">
      <alignment horizontal="center" vertical="center" wrapText="1" shrinkToFit="1"/>
    </xf>
    <xf numFmtId="10" fontId="47" fillId="5" borderId="7" xfId="2" applyNumberFormat="1" applyFont="1" applyFill="1" applyBorder="1" applyAlignment="1">
      <alignment horizontal="center" vertical="center" wrapText="1" shrinkToFit="1"/>
    </xf>
    <xf numFmtId="10" fontId="1" fillId="0" borderId="7" xfId="2" applyNumberFormat="1" applyFont="1" applyBorder="1" applyAlignment="1">
      <alignment horizontal="center" vertical="center" wrapText="1" shrinkToFit="1"/>
    </xf>
    <xf numFmtId="9" fontId="1" fillId="2" borderId="22" xfId="2" applyFont="1" applyFill="1" applyBorder="1" applyAlignment="1">
      <alignment horizontal="center" vertical="center" wrapText="1" shrinkToFit="1"/>
    </xf>
    <xf numFmtId="192" fontId="1" fillId="2" borderId="22" xfId="0" applyNumberFormat="1" applyFont="1" applyFill="1" applyBorder="1" applyAlignment="1">
      <alignment horizontal="center" vertical="center" wrapText="1" shrinkToFit="1"/>
    </xf>
    <xf numFmtId="191" fontId="1" fillId="2" borderId="22" xfId="0" applyNumberFormat="1" applyFont="1" applyFill="1" applyBorder="1" applyAlignment="1">
      <alignment horizontal="center" vertical="center" wrapText="1" shrinkToFit="1"/>
    </xf>
    <xf numFmtId="166" fontId="1" fillId="2" borderId="22" xfId="0" applyNumberFormat="1" applyFont="1" applyFill="1" applyBorder="1" applyAlignment="1">
      <alignment horizontal="center" vertical="center" wrapText="1" shrinkToFit="1"/>
    </xf>
    <xf numFmtId="3" fontId="21" fillId="2" borderId="10" xfId="0" applyNumberFormat="1" applyFont="1" applyFill="1" applyBorder="1" applyAlignment="1">
      <alignment horizontal="center" vertical="center" wrapText="1" shrinkToFit="1"/>
    </xf>
    <xf numFmtId="199" fontId="1" fillId="2" borderId="22" xfId="2" applyNumberFormat="1" applyFont="1" applyFill="1" applyBorder="1" applyAlignment="1">
      <alignment horizontal="center" vertical="center" wrapText="1" shrinkToFit="1"/>
    </xf>
    <xf numFmtId="3" fontId="32" fillId="2" borderId="22" xfId="0" applyNumberFormat="1" applyFont="1" applyFill="1" applyBorder="1" applyAlignment="1">
      <alignment horizontal="center" vertical="center" wrapText="1" shrinkToFit="1"/>
    </xf>
    <xf numFmtId="3" fontId="37" fillId="2" borderId="10" xfId="0" applyNumberFormat="1" applyFont="1" applyFill="1" applyBorder="1" applyAlignment="1">
      <alignment horizontal="center" vertical="center" wrapText="1" shrinkToFit="1"/>
    </xf>
    <xf numFmtId="200" fontId="1" fillId="5" borderId="7" xfId="2" applyNumberFormat="1" applyFont="1" applyFill="1" applyBorder="1" applyAlignment="1">
      <alignment horizontal="center" vertical="center" wrapText="1" shrinkToFit="1"/>
    </xf>
    <xf numFmtId="186" fontId="1" fillId="5" borderId="7" xfId="2" applyNumberFormat="1" applyFont="1" applyFill="1" applyBorder="1" applyAlignment="1">
      <alignment horizontal="center" vertical="center" wrapText="1" shrinkToFit="1"/>
    </xf>
    <xf numFmtId="166" fontId="2" fillId="2" borderId="22" xfId="0" applyNumberFormat="1" applyFont="1" applyFill="1" applyBorder="1" applyAlignment="1">
      <alignment horizontal="center" vertical="center" wrapText="1" shrinkToFit="1"/>
    </xf>
    <xf numFmtId="167" fontId="2" fillId="2" borderId="22" xfId="2" applyNumberFormat="1" applyFont="1" applyFill="1" applyBorder="1" applyAlignment="1">
      <alignment horizontal="center" vertical="center" wrapText="1" shrinkToFit="1"/>
    </xf>
    <xf numFmtId="201" fontId="41" fillId="2" borderId="22" xfId="0" applyNumberFormat="1" applyFont="1" applyFill="1" applyBorder="1" applyAlignment="1">
      <alignment horizontal="center" vertical="center" wrapText="1" shrinkToFit="1"/>
    </xf>
    <xf numFmtId="202" fontId="2" fillId="2" borderId="22" xfId="0" applyNumberFormat="1" applyFont="1" applyFill="1" applyBorder="1" applyAlignment="1">
      <alignment horizontal="center" vertical="center" wrapText="1" shrinkToFit="1"/>
    </xf>
    <xf numFmtId="191" fontId="2" fillId="2" borderId="22" xfId="2" applyNumberFormat="1" applyFont="1" applyFill="1" applyBorder="1" applyAlignment="1">
      <alignment horizontal="center" vertical="center" wrapText="1" shrinkToFit="1"/>
    </xf>
    <xf numFmtId="10" fontId="2" fillId="2" borderId="22" xfId="2" applyNumberFormat="1" applyFont="1" applyFill="1" applyBorder="1" applyAlignment="1">
      <alignment horizontal="center" vertical="center" wrapText="1" shrinkToFit="1"/>
    </xf>
    <xf numFmtId="203" fontId="15" fillId="6" borderId="36" xfId="2" applyNumberFormat="1" applyFont="1" applyFill="1" applyBorder="1" applyAlignment="1">
      <alignment horizontal="center" vertical="center" wrapText="1" shrinkToFit="1"/>
    </xf>
    <xf numFmtId="204" fontId="15" fillId="6" borderId="36" xfId="2" applyNumberFormat="1" applyFont="1" applyFill="1" applyBorder="1" applyAlignment="1">
      <alignment horizontal="center" vertical="center" wrapText="1" shrinkToFit="1"/>
    </xf>
    <xf numFmtId="3" fontId="36" fillId="5" borderId="7" xfId="0" applyNumberFormat="1" applyFont="1" applyFill="1" applyBorder="1" applyAlignment="1">
      <alignment horizontal="center" vertical="center" wrapText="1" shrinkToFit="1"/>
    </xf>
    <xf numFmtId="40" fontId="51" fillId="5" borderId="7" xfId="0" applyNumberFormat="1" applyFont="1" applyFill="1" applyBorder="1" applyAlignment="1">
      <alignment horizontal="center" vertical="center" wrapText="1" shrinkToFit="1"/>
    </xf>
    <xf numFmtId="3" fontId="9" fillId="5" borderId="7" xfId="0" applyNumberFormat="1" applyFont="1" applyFill="1" applyBorder="1" applyAlignment="1">
      <alignment horizontal="center" vertical="center" wrapText="1" shrinkToFit="1"/>
    </xf>
    <xf numFmtId="3" fontId="50" fillId="5" borderId="7" xfId="0" applyNumberFormat="1" applyFont="1" applyFill="1" applyBorder="1" applyAlignment="1">
      <alignment horizontal="center" vertical="center" wrapText="1" shrinkToFit="1"/>
    </xf>
    <xf numFmtId="3" fontId="50" fillId="5" borderId="8" xfId="0" applyNumberFormat="1" applyFont="1" applyFill="1" applyBorder="1" applyAlignment="1">
      <alignment horizontal="center" vertical="center" wrapText="1" shrinkToFit="1"/>
    </xf>
    <xf numFmtId="40" fontId="40" fillId="0" borderId="7" xfId="0" applyNumberFormat="1" applyFont="1" applyBorder="1" applyAlignment="1">
      <alignment horizontal="center" vertical="center" wrapText="1" shrinkToFit="1"/>
    </xf>
    <xf numFmtId="9" fontId="1" fillId="5" borderId="7" xfId="2" applyFont="1" applyFill="1" applyBorder="1" applyAlignment="1">
      <alignment horizontal="center" vertical="center" wrapText="1" shrinkToFit="1"/>
    </xf>
    <xf numFmtId="9" fontId="1" fillId="0" borderId="7" xfId="2" applyFont="1" applyBorder="1" applyAlignment="1">
      <alignment horizontal="center" vertical="center" wrapText="1" shrinkToFit="1"/>
    </xf>
    <xf numFmtId="9" fontId="1" fillId="0" borderId="8" xfId="2" applyFont="1" applyBorder="1" applyAlignment="1">
      <alignment horizontal="center" vertical="center" wrapText="1" shrinkToFit="1"/>
    </xf>
    <xf numFmtId="9" fontId="1" fillId="6" borderId="7" xfId="2" applyFont="1" applyFill="1" applyBorder="1" applyAlignment="1">
      <alignment horizontal="center" vertical="center" wrapText="1" shrinkToFit="1"/>
    </xf>
    <xf numFmtId="9" fontId="1" fillId="6" borderId="8" xfId="2" applyFont="1" applyFill="1" applyBorder="1" applyAlignment="1">
      <alignment horizontal="center" vertical="center" wrapText="1" shrinkToFit="1"/>
    </xf>
    <xf numFmtId="3" fontId="10" fillId="2" borderId="9" xfId="0" applyNumberFormat="1" applyFont="1" applyFill="1" applyBorder="1" applyAlignment="1">
      <alignment horizontal="center" vertical="center" wrapText="1" shrinkToFit="1"/>
    </xf>
    <xf numFmtId="3" fontId="36" fillId="5" borderId="22" xfId="0" applyNumberFormat="1" applyFont="1" applyFill="1" applyBorder="1" applyAlignment="1">
      <alignment horizontal="center" vertical="center" wrapText="1" shrinkToFit="1"/>
    </xf>
    <xf numFmtId="40" fontId="40" fillId="0" borderId="22" xfId="0" applyNumberFormat="1" applyFont="1" applyBorder="1" applyAlignment="1">
      <alignment horizontal="center" vertical="center" wrapText="1" shrinkToFit="1"/>
    </xf>
    <xf numFmtId="9" fontId="1" fillId="5" borderId="22" xfId="2" applyFont="1" applyFill="1" applyBorder="1" applyAlignment="1">
      <alignment horizontal="center" vertical="center" wrapText="1" shrinkToFit="1"/>
    </xf>
    <xf numFmtId="9" fontId="1" fillId="6" borderId="22" xfId="2" applyFont="1" applyFill="1" applyBorder="1" applyAlignment="1">
      <alignment horizontal="center" vertical="center" wrapText="1" shrinkToFit="1"/>
    </xf>
    <xf numFmtId="9" fontId="1" fillId="6" borderId="10" xfId="2" applyFont="1" applyFill="1" applyBorder="1" applyAlignment="1">
      <alignment horizontal="center" vertical="center" wrapText="1" shrinkToFit="1"/>
    </xf>
    <xf numFmtId="3" fontId="9" fillId="0" borderId="16" xfId="0" applyNumberFormat="1" applyFont="1" applyBorder="1" applyAlignment="1">
      <alignment horizontal="center" vertical="center" wrapText="1" shrinkToFit="1"/>
    </xf>
    <xf numFmtId="14" fontId="1" fillId="6" borderId="16" xfId="0" applyNumberFormat="1" applyFont="1" applyFill="1" applyBorder="1" applyAlignment="1">
      <alignment horizontal="center" vertical="center" wrapText="1" shrinkToFit="1"/>
    </xf>
    <xf numFmtId="14" fontId="1" fillId="6" borderId="3" xfId="0" applyNumberFormat="1" applyFont="1" applyFill="1" applyBorder="1" applyAlignment="1">
      <alignment horizontal="center" vertical="center" wrapText="1" shrinkToFit="1"/>
    </xf>
    <xf numFmtId="3" fontId="10" fillId="11" borderId="6" xfId="0" applyNumberFormat="1" applyFont="1" applyFill="1" applyBorder="1" applyAlignment="1">
      <alignment horizontal="center" vertical="center" wrapText="1" shrinkToFit="1"/>
    </xf>
    <xf numFmtId="38" fontId="1" fillId="5" borderId="7" xfId="0" applyNumberFormat="1" applyFont="1" applyFill="1" applyBorder="1" applyAlignment="1">
      <alignment horizontal="center" vertical="center" wrapText="1" shrinkToFit="1"/>
    </xf>
    <xf numFmtId="38" fontId="1" fillId="0" borderId="7" xfId="1" applyNumberFormat="1" applyFont="1" applyBorder="1" applyAlignment="1">
      <alignment horizontal="center" vertical="center" wrapText="1" shrinkToFit="1"/>
    </xf>
    <xf numFmtId="38" fontId="1" fillId="0" borderId="8" xfId="1" applyNumberFormat="1" applyFont="1" applyBorder="1" applyAlignment="1">
      <alignment horizontal="center" vertical="center" wrapText="1" shrinkToFit="1"/>
    </xf>
    <xf numFmtId="38" fontId="1" fillId="6" borderId="7" xfId="1" applyNumberFormat="1" applyFont="1" applyFill="1" applyBorder="1" applyAlignment="1">
      <alignment horizontal="center" vertical="center" wrapText="1" shrinkToFit="1"/>
    </xf>
    <xf numFmtId="38" fontId="1" fillId="5" borderId="7" xfId="1" applyNumberFormat="1" applyFont="1" applyFill="1" applyBorder="1" applyAlignment="1">
      <alignment horizontal="center" vertical="center" wrapText="1" shrinkToFit="1"/>
    </xf>
    <xf numFmtId="38" fontId="1" fillId="5" borderId="8" xfId="1" applyNumberFormat="1" applyFont="1" applyFill="1" applyBorder="1" applyAlignment="1">
      <alignment horizontal="center" vertical="center" wrapText="1" shrinkToFit="1"/>
    </xf>
    <xf numFmtId="205" fontId="39" fillId="6" borderId="36" xfId="2" applyNumberFormat="1" applyFont="1" applyFill="1" applyBorder="1" applyAlignment="1">
      <alignment horizontal="center" vertical="center" wrapText="1" shrinkToFit="1"/>
    </xf>
    <xf numFmtId="38" fontId="1" fillId="5" borderId="22" xfId="0" applyNumberFormat="1" applyFont="1" applyFill="1" applyBorder="1" applyAlignment="1">
      <alignment horizontal="center" vertical="center" wrapText="1" shrinkToFit="1"/>
    </xf>
    <xf numFmtId="3" fontId="1" fillId="6" borderId="10" xfId="0" applyNumberFormat="1" applyFont="1" applyFill="1" applyBorder="1" applyAlignment="1">
      <alignment horizontal="center" vertical="center" wrapText="1" shrinkToFit="1"/>
    </xf>
    <xf numFmtId="3" fontId="9" fillId="0" borderId="37" xfId="0" applyNumberFormat="1" applyFont="1" applyBorder="1" applyAlignment="1">
      <alignment horizontal="right" vertical="center" wrapText="1" shrinkToFit="1"/>
    </xf>
    <xf numFmtId="38" fontId="1" fillId="0" borderId="38" xfId="0" applyNumberFormat="1" applyFont="1" applyBorder="1" applyAlignment="1">
      <alignment horizontal="center" vertical="center" wrapText="1" shrinkToFit="1"/>
    </xf>
    <xf numFmtId="3" fontId="1" fillId="0" borderId="38" xfId="0" applyNumberFormat="1" applyFont="1" applyBorder="1" applyAlignment="1">
      <alignment horizontal="center" vertical="center" wrapText="1" shrinkToFit="1"/>
    </xf>
    <xf numFmtId="38" fontId="21" fillId="0" borderId="38" xfId="0" applyNumberFormat="1" applyFont="1" applyBorder="1" applyAlignment="1">
      <alignment horizontal="center" vertical="center" wrapText="1" shrinkToFit="1"/>
    </xf>
    <xf numFmtId="38" fontId="1" fillId="0" borderId="39" xfId="0" applyNumberFormat="1" applyFont="1" applyBorder="1" applyAlignment="1">
      <alignment horizontal="center" vertical="center" wrapText="1" shrinkToFit="1"/>
    </xf>
    <xf numFmtId="3" fontId="10" fillId="2" borderId="2" xfId="0" applyNumberFormat="1" applyFont="1" applyFill="1" applyBorder="1" applyAlignment="1">
      <alignment horizontal="center" vertical="center" wrapText="1" shrinkToFit="1"/>
    </xf>
    <xf numFmtId="38" fontId="52" fillId="5" borderId="16" xfId="0" applyNumberFormat="1" applyFont="1" applyFill="1" applyBorder="1" applyAlignment="1">
      <alignment horizontal="center" vertical="center" wrapText="1" shrinkToFit="1"/>
    </xf>
    <xf numFmtId="38" fontId="40" fillId="0" borderId="16" xfId="0" applyNumberFormat="1" applyFont="1" applyBorder="1" applyAlignment="1">
      <alignment horizontal="center" vertical="center" wrapText="1" shrinkToFit="1"/>
    </xf>
    <xf numFmtId="38" fontId="1" fillId="5" borderId="16" xfId="0" applyNumberFormat="1" applyFont="1" applyFill="1" applyBorder="1" applyAlignment="1">
      <alignment horizontal="center" vertical="center" wrapText="1" shrinkToFit="1"/>
    </xf>
    <xf numFmtId="38" fontId="1" fillId="6" borderId="16" xfId="1" applyNumberFormat="1" applyFont="1" applyFill="1" applyBorder="1" applyAlignment="1">
      <alignment horizontal="center" vertical="center" wrapText="1" shrinkToFit="1"/>
    </xf>
    <xf numFmtId="38" fontId="1" fillId="6" borderId="3" xfId="1" applyNumberFormat="1" applyFont="1" applyFill="1" applyBorder="1" applyAlignment="1">
      <alignment horizontal="center" vertical="center" wrapText="1" shrinkToFit="1"/>
    </xf>
    <xf numFmtId="10" fontId="1" fillId="6" borderId="7" xfId="2" applyNumberFormat="1" applyFont="1" applyFill="1" applyBorder="1" applyAlignment="1">
      <alignment horizontal="center" vertical="center" wrapText="1" shrinkToFit="1"/>
    </xf>
    <xf numFmtId="3" fontId="7" fillId="2" borderId="27" xfId="0" applyNumberFormat="1" applyFont="1" applyFill="1" applyBorder="1" applyAlignment="1">
      <alignment horizontal="center" vertical="center" wrapText="1" shrinkToFit="1"/>
    </xf>
    <xf numFmtId="38" fontId="1" fillId="5" borderId="28" xfId="0" applyNumberFormat="1" applyFont="1" applyFill="1" applyBorder="1" applyAlignment="1">
      <alignment horizontal="center" vertical="center" wrapText="1" shrinkToFit="1"/>
    </xf>
    <xf numFmtId="40" fontId="40" fillId="0" borderId="28" xfId="0" applyNumberFormat="1" applyFont="1" applyBorder="1" applyAlignment="1">
      <alignment horizontal="center" vertical="center" wrapText="1" shrinkToFit="1"/>
    </xf>
    <xf numFmtId="38" fontId="1" fillId="5" borderId="28" xfId="1" applyNumberFormat="1" applyFont="1" applyFill="1" applyBorder="1" applyAlignment="1">
      <alignment horizontal="center" vertical="center" wrapText="1" shrinkToFit="1"/>
    </xf>
    <xf numFmtId="38" fontId="1" fillId="5" borderId="29" xfId="1" applyNumberFormat="1" applyFont="1" applyFill="1" applyBorder="1" applyAlignment="1">
      <alignment horizontal="center" vertical="center" wrapText="1" shrinkToFit="1"/>
    </xf>
    <xf numFmtId="0" fontId="10" fillId="2" borderId="30" xfId="0" applyFont="1" applyFill="1" applyBorder="1" applyAlignment="1">
      <alignment horizontal="center" vertical="center" wrapText="1" shrinkToFit="1"/>
    </xf>
    <xf numFmtId="40" fontId="1" fillId="5" borderId="31" xfId="0" applyNumberFormat="1" applyFont="1" applyFill="1" applyBorder="1" applyAlignment="1">
      <alignment horizontal="center" vertical="center" wrapText="1" shrinkToFit="1"/>
    </xf>
    <xf numFmtId="0" fontId="40" fillId="0" borderId="31" xfId="0" applyFont="1" applyBorder="1" applyAlignment="1">
      <alignment horizontal="center" vertical="center" wrapText="1" shrinkToFit="1"/>
    </xf>
    <xf numFmtId="38" fontId="1" fillId="5" borderId="31" xfId="0" applyNumberFormat="1" applyFont="1" applyFill="1" applyBorder="1" applyAlignment="1">
      <alignment horizontal="center" vertical="center" wrapText="1" shrinkToFit="1"/>
    </xf>
    <xf numFmtId="38" fontId="1" fillId="0" borderId="31" xfId="1" applyNumberFormat="1" applyFont="1" applyBorder="1" applyAlignment="1">
      <alignment horizontal="center" vertical="center" wrapText="1" shrinkToFit="1"/>
    </xf>
    <xf numFmtId="38" fontId="1" fillId="0" borderId="32" xfId="1" applyNumberFormat="1" applyFont="1" applyBorder="1" applyAlignment="1">
      <alignment horizontal="center" vertical="center" wrapText="1" shrinkToFit="1"/>
    </xf>
    <xf numFmtId="3" fontId="10" fillId="2" borderId="33" xfId="0" applyNumberFormat="1" applyFont="1" applyFill="1" applyBorder="1" applyAlignment="1">
      <alignment horizontal="center" vertical="center" wrapText="1" shrinkToFit="1" readingOrder="1"/>
    </xf>
    <xf numFmtId="38" fontId="1" fillId="5" borderId="34" xfId="0" applyNumberFormat="1" applyFont="1" applyFill="1" applyBorder="1" applyAlignment="1">
      <alignment horizontal="center" vertical="center" wrapText="1" shrinkToFit="1"/>
    </xf>
    <xf numFmtId="40" fontId="40" fillId="0" borderId="34" xfId="0" applyNumberFormat="1" applyFont="1" applyBorder="1" applyAlignment="1">
      <alignment horizontal="center" vertical="center" wrapText="1" shrinkToFit="1"/>
    </xf>
    <xf numFmtId="38" fontId="1" fillId="5" borderId="34" xfId="1" applyNumberFormat="1" applyFont="1" applyFill="1" applyBorder="1" applyAlignment="1">
      <alignment horizontal="center" vertical="center" wrapText="1" shrinkToFit="1"/>
    </xf>
    <xf numFmtId="38" fontId="1" fillId="5" borderId="35" xfId="1" applyNumberFormat="1" applyFont="1" applyFill="1" applyBorder="1" applyAlignment="1">
      <alignment horizontal="center" vertical="center" wrapText="1" shrinkToFit="1"/>
    </xf>
    <xf numFmtId="3" fontId="10" fillId="2" borderId="27" xfId="0" applyNumberFormat="1" applyFont="1" applyFill="1" applyBorder="1" applyAlignment="1">
      <alignment horizontal="center" vertical="center" wrapText="1" shrinkToFit="1" readingOrder="1"/>
    </xf>
    <xf numFmtId="3" fontId="10" fillId="2" borderId="2" xfId="0" applyNumberFormat="1" applyFont="1" applyFill="1" applyBorder="1" applyAlignment="1">
      <alignment horizontal="center" vertical="center" wrapText="1" shrinkToFit="1" readingOrder="1"/>
    </xf>
    <xf numFmtId="40" fontId="40" fillId="0" borderId="16" xfId="0" applyNumberFormat="1" applyFont="1" applyBorder="1" applyAlignment="1">
      <alignment horizontal="center" vertical="center" wrapText="1" shrinkToFit="1"/>
    </xf>
    <xf numFmtId="38" fontId="1" fillId="0" borderId="16" xfId="1" applyNumberFormat="1" applyFont="1" applyBorder="1" applyAlignment="1">
      <alignment horizontal="center" vertical="center" wrapText="1" shrinkToFit="1"/>
    </xf>
    <xf numFmtId="38" fontId="1" fillId="0" borderId="3" xfId="1" applyNumberFormat="1" applyFont="1" applyBorder="1" applyAlignment="1">
      <alignment horizontal="center" vertical="center" wrapText="1" shrinkToFit="1"/>
    </xf>
    <xf numFmtId="3" fontId="1" fillId="2" borderId="6" xfId="0" applyNumberFormat="1" applyFont="1" applyFill="1" applyBorder="1" applyAlignment="1">
      <alignment horizontal="center" vertical="center" wrapText="1" shrinkToFit="1"/>
    </xf>
    <xf numFmtId="38" fontId="1" fillId="2" borderId="7" xfId="0" applyNumberFormat="1" applyFont="1" applyFill="1" applyBorder="1" applyAlignment="1">
      <alignment horizontal="center" vertical="center" wrapText="1" shrinkToFit="1"/>
    </xf>
    <xf numFmtId="4" fontId="20" fillId="2" borderId="7" xfId="0" applyNumberFormat="1" applyFont="1" applyFill="1" applyBorder="1" applyAlignment="1">
      <alignment horizontal="center" vertical="center" wrapText="1" shrinkToFit="1"/>
    </xf>
    <xf numFmtId="3" fontId="1" fillId="2" borderId="7" xfId="0" applyNumberFormat="1" applyFont="1" applyFill="1" applyBorder="1" applyAlignment="1">
      <alignment horizontal="center" vertical="center" wrapText="1" shrinkToFit="1"/>
    </xf>
    <xf numFmtId="38" fontId="1" fillId="2" borderId="8" xfId="0" applyNumberFormat="1" applyFont="1" applyFill="1" applyBorder="1" applyAlignment="1">
      <alignment horizontal="center" vertical="center" wrapText="1" shrinkToFit="1"/>
    </xf>
    <xf numFmtId="38" fontId="32" fillId="5" borderId="7" xfId="0" applyNumberFormat="1" applyFont="1" applyFill="1" applyBorder="1" applyAlignment="1">
      <alignment horizontal="center" vertical="center" wrapText="1" shrinkToFit="1"/>
    </xf>
    <xf numFmtId="3" fontId="1" fillId="5" borderId="7" xfId="2" applyNumberFormat="1" applyFont="1" applyFill="1" applyBorder="1" applyAlignment="1">
      <alignment horizontal="center" vertical="center" wrapText="1" shrinkToFit="1"/>
    </xf>
    <xf numFmtId="38" fontId="1" fillId="0" borderId="40" xfId="1" applyNumberFormat="1" applyFont="1" applyBorder="1" applyAlignment="1">
      <alignment vertical="center" wrapText="1" shrinkToFit="1"/>
    </xf>
    <xf numFmtId="38" fontId="1" fillId="10" borderId="41" xfId="1" applyNumberFormat="1" applyFont="1" applyFill="1" applyBorder="1" applyAlignment="1">
      <alignment vertical="center" wrapText="1" shrinkToFit="1"/>
    </xf>
    <xf numFmtId="38" fontId="1" fillId="10" borderId="42" xfId="1" applyNumberFormat="1" applyFont="1" applyFill="1" applyBorder="1" applyAlignment="1">
      <alignment vertical="center" wrapText="1" shrinkToFit="1"/>
    </xf>
    <xf numFmtId="40" fontId="9" fillId="5" borderId="6" xfId="0" applyNumberFormat="1" applyFont="1" applyFill="1" applyBorder="1" applyAlignment="1">
      <alignment horizontal="center" vertical="center" wrapText="1" shrinkToFit="1"/>
    </xf>
    <xf numFmtId="38" fontId="1" fillId="10" borderId="43" xfId="1" applyNumberFormat="1" applyFont="1" applyFill="1" applyBorder="1" applyAlignment="1">
      <alignment vertical="center" wrapText="1" shrinkToFit="1"/>
    </xf>
    <xf numFmtId="38" fontId="1" fillId="10" borderId="0" xfId="1" applyNumberFormat="1" applyFont="1" applyFill="1" applyAlignment="1">
      <alignment vertical="center" wrapText="1" shrinkToFit="1"/>
    </xf>
    <xf numFmtId="38" fontId="1" fillId="10" borderId="11" xfId="1" applyNumberFormat="1" applyFont="1" applyFill="1" applyBorder="1" applyAlignment="1">
      <alignment vertical="center" wrapText="1" shrinkToFit="1"/>
    </xf>
    <xf numFmtId="38" fontId="1" fillId="10" borderId="44" xfId="1" applyNumberFormat="1" applyFont="1" applyFill="1" applyBorder="1" applyAlignment="1">
      <alignment vertical="center" wrapText="1" shrinkToFit="1"/>
    </xf>
    <xf numFmtId="38" fontId="1" fillId="10" borderId="45" xfId="1" applyNumberFormat="1" applyFont="1" applyFill="1" applyBorder="1" applyAlignment="1">
      <alignment vertical="center" wrapText="1" shrinkToFit="1"/>
    </xf>
    <xf numFmtId="38" fontId="1" fillId="10" borderId="46" xfId="1" applyNumberFormat="1" applyFont="1" applyFill="1" applyBorder="1" applyAlignment="1">
      <alignment vertical="center" wrapText="1" shrinkToFit="1"/>
    </xf>
    <xf numFmtId="3" fontId="19" fillId="0" borderId="0" xfId="0" applyNumberFormat="1" applyFont="1" applyAlignment="1">
      <alignment vertical="center" wrapText="1" shrinkToFit="1"/>
    </xf>
    <xf numFmtId="3" fontId="53" fillId="0" borderId="0" xfId="0" applyNumberFormat="1" applyFont="1" applyAlignment="1">
      <alignment horizontal="center" vertical="center" wrapText="1" shrinkToFit="1"/>
    </xf>
    <xf numFmtId="3" fontId="8" fillId="0" borderId="0" xfId="0" applyNumberFormat="1" applyFont="1" applyAlignment="1">
      <alignment horizontal="center" vertical="center" wrapText="1" shrinkToFit="1"/>
    </xf>
    <xf numFmtId="38" fontId="13" fillId="0" borderId="0" xfId="0" applyNumberFormat="1" applyFont="1" applyAlignment="1">
      <alignment horizontal="center" vertical="center" wrapText="1" shrinkToFit="1"/>
    </xf>
    <xf numFmtId="14" fontId="1" fillId="0" borderId="7" xfId="0" applyNumberFormat="1" applyFont="1" applyBorder="1" applyAlignment="1">
      <alignment horizontal="center" vertical="center" wrapText="1" shrinkToFit="1"/>
    </xf>
    <xf numFmtId="14" fontId="1" fillId="0" borderId="8" xfId="0" applyNumberFormat="1" applyFont="1" applyBorder="1" applyAlignment="1">
      <alignment horizontal="center" vertical="center" wrapText="1" shrinkToFit="1"/>
    </xf>
    <xf numFmtId="3" fontId="13" fillId="0" borderId="0" xfId="2" applyNumberFormat="1" applyFont="1" applyAlignment="1">
      <alignment vertical="center" wrapText="1" shrinkToFit="1"/>
    </xf>
    <xf numFmtId="38" fontId="54" fillId="5" borderId="2" xfId="0" applyNumberFormat="1" applyFont="1" applyFill="1" applyBorder="1" applyAlignment="1">
      <alignment horizontal="center" vertical="center" wrapText="1" shrinkToFit="1"/>
    </xf>
    <xf numFmtId="3" fontId="55" fillId="5" borderId="3" xfId="0" applyNumberFormat="1" applyFont="1" applyFill="1" applyBorder="1" applyAlignment="1">
      <alignment horizontal="center" vertical="center" wrapText="1" shrinkToFit="1"/>
    </xf>
    <xf numFmtId="3" fontId="21" fillId="5" borderId="9" xfId="0" applyNumberFormat="1" applyFont="1" applyFill="1" applyBorder="1" applyAlignment="1">
      <alignment horizontal="center" vertical="center" wrapText="1" shrinkToFit="1"/>
    </xf>
    <xf numFmtId="38" fontId="20" fillId="5" borderId="10" xfId="0" applyNumberFormat="1" applyFont="1" applyFill="1" applyBorder="1" applyAlignment="1">
      <alignment horizontal="center" vertical="center" wrapText="1" shrinkToFit="1"/>
    </xf>
    <xf numFmtId="3" fontId="40" fillId="0" borderId="0" xfId="0" applyNumberFormat="1" applyFont="1" applyAlignment="1">
      <alignment horizontal="center" vertical="center" wrapText="1" shrinkToFit="1"/>
    </xf>
    <xf numFmtId="207" fontId="2" fillId="5" borderId="4" xfId="2" applyNumberFormat="1" applyFont="1" applyFill="1" applyBorder="1" applyAlignment="1">
      <alignment horizontal="center" vertical="center" wrapText="1" shrinkToFit="1"/>
    </xf>
    <xf numFmtId="207" fontId="2" fillId="0" borderId="20" xfId="2" applyNumberFormat="1" applyFont="1" applyBorder="1" applyAlignment="1">
      <alignment horizontal="center" vertical="center" wrapText="1" shrinkToFit="1"/>
    </xf>
    <xf numFmtId="207" fontId="2" fillId="5" borderId="20" xfId="2" applyNumberFormat="1" applyFont="1" applyFill="1" applyBorder="1" applyAlignment="1">
      <alignment horizontal="center" vertical="center" wrapText="1" shrinkToFit="1"/>
    </xf>
    <xf numFmtId="208" fontId="2" fillId="5" borderId="20" xfId="2" applyNumberFormat="1" applyFont="1" applyFill="1" applyBorder="1" applyAlignment="1">
      <alignment horizontal="center" vertical="center" wrapText="1" shrinkToFit="1"/>
    </xf>
    <xf numFmtId="3" fontId="31" fillId="0" borderId="9" xfId="0" applyNumberFormat="1" applyFont="1" applyBorder="1" applyAlignment="1">
      <alignment horizontal="center" vertical="center" wrapText="1" shrinkToFit="1"/>
    </xf>
    <xf numFmtId="3" fontId="37" fillId="0" borderId="10" xfId="0" applyNumberFormat="1" applyFont="1" applyBorder="1" applyAlignment="1">
      <alignment horizontal="center" vertical="center" wrapText="1" shrinkToFit="1"/>
    </xf>
    <xf numFmtId="3" fontId="2" fillId="0" borderId="24" xfId="0" applyNumberFormat="1" applyFont="1" applyBorder="1" applyAlignment="1">
      <alignment horizontal="center" vertical="center" wrapText="1" shrinkToFit="1"/>
    </xf>
    <xf numFmtId="3" fontId="56" fillId="0" borderId="0" xfId="0" applyNumberFormat="1" applyFont="1" applyAlignment="1">
      <alignment vertical="center" wrapText="1" shrinkToFit="1"/>
    </xf>
    <xf numFmtId="3" fontId="56" fillId="0" borderId="0" xfId="0" applyNumberFormat="1" applyFont="1" applyAlignment="1">
      <alignment horizontal="center" vertical="center" wrapText="1" shrinkToFit="1"/>
    </xf>
    <xf numFmtId="3" fontId="56" fillId="0" borderId="0" xfId="0" applyNumberFormat="1" applyFont="1" applyAlignment="1">
      <alignment horizontal="center" vertical="center" shrinkToFit="1" readingOrder="2"/>
    </xf>
    <xf numFmtId="3" fontId="56" fillId="0" borderId="0" xfId="2" applyNumberFormat="1" applyFont="1" applyAlignment="1">
      <alignment horizontal="center" vertical="center" wrapText="1" shrinkToFit="1"/>
    </xf>
    <xf numFmtId="14" fontId="1" fillId="0" borderId="0" xfId="0" applyNumberFormat="1" applyFont="1" applyAlignment="1">
      <alignment horizontal="center" vertical="center" wrapText="1" shrinkToFit="1"/>
    </xf>
    <xf numFmtId="14" fontId="27" fillId="9" borderId="12" xfId="0" applyNumberFormat="1" applyFont="1" applyFill="1" applyBorder="1" applyAlignment="1">
      <alignment horizontal="left" vertical="center"/>
    </xf>
    <xf numFmtId="0" fontId="58" fillId="0" borderId="12" xfId="0" applyFont="1" applyBorder="1" applyAlignment="1">
      <alignment horizontal="right" vertical="center" wrapText="1"/>
    </xf>
    <xf numFmtId="164" fontId="59" fillId="0" borderId="12" xfId="0" applyNumberFormat="1" applyFont="1" applyBorder="1" applyAlignment="1">
      <alignment horizontal="left" vertical="center"/>
    </xf>
    <xf numFmtId="0" fontId="58" fillId="9" borderId="12" xfId="0" applyFont="1" applyFill="1" applyBorder="1" applyAlignment="1">
      <alignment horizontal="right" vertical="center" wrapText="1"/>
    </xf>
    <xf numFmtId="164" fontId="59" fillId="9" borderId="12" xfId="0" applyNumberFormat="1" applyFont="1" applyFill="1" applyBorder="1" applyAlignment="1">
      <alignment horizontal="left" vertical="center"/>
    </xf>
    <xf numFmtId="0" fontId="24" fillId="8" borderId="13" xfId="0" applyFont="1" applyFill="1" applyBorder="1" applyAlignment="1">
      <alignment vertical="center"/>
    </xf>
    <xf numFmtId="0" fontId="11" fillId="4" borderId="0" xfId="0" applyFont="1" applyFill="1" applyBorder="1" applyAlignment="1">
      <alignment vertical="center" wrapText="1"/>
    </xf>
    <xf numFmtId="0" fontId="17" fillId="0" borderId="0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226" fontId="1" fillId="0" borderId="0" xfId="0" applyNumberFormat="1" applyFont="1" applyAlignment="1">
      <alignment horizontal="center" vertical="center" wrapText="1" shrinkToFit="1"/>
    </xf>
    <xf numFmtId="226" fontId="24" fillId="7" borderId="12" xfId="0" applyNumberFormat="1" applyFont="1" applyFill="1" applyBorder="1" applyAlignment="1">
      <alignment horizontal="center" vertical="center" wrapText="1"/>
    </xf>
    <xf numFmtId="226" fontId="24" fillId="8" borderId="13" xfId="0" applyNumberFormat="1" applyFont="1" applyFill="1" applyBorder="1" applyAlignment="1">
      <alignment vertical="center"/>
    </xf>
    <xf numFmtId="226" fontId="27" fillId="0" borderId="12" xfId="0" applyNumberFormat="1" applyFont="1" applyBorder="1" applyAlignment="1">
      <alignment horizontal="left" vertical="center"/>
    </xf>
    <xf numFmtId="226" fontId="27" fillId="9" borderId="12" xfId="0" applyNumberFormat="1" applyFont="1" applyFill="1" applyBorder="1" applyAlignment="1">
      <alignment horizontal="left" vertical="center"/>
    </xf>
    <xf numFmtId="226" fontId="59" fillId="0" borderId="12" xfId="0" applyNumberFormat="1" applyFont="1" applyBorder="1" applyAlignment="1">
      <alignment horizontal="left" vertical="center"/>
    </xf>
    <xf numFmtId="226" fontId="59" fillId="9" borderId="12" xfId="0" applyNumberFormat="1" applyFont="1" applyFill="1" applyBorder="1" applyAlignment="1">
      <alignment horizontal="left" vertical="center"/>
    </xf>
    <xf numFmtId="0" fontId="17" fillId="0" borderId="0" xfId="0" applyFont="1" applyBorder="1" applyAlignment="1">
      <alignment horizontal="center" vertical="center" wrapText="1"/>
    </xf>
    <xf numFmtId="0" fontId="11" fillId="4" borderId="0" xfId="0" applyFont="1" applyFill="1" applyBorder="1" applyAlignment="1">
      <alignment horizontal="center" vertical="center" wrapText="1"/>
    </xf>
    <xf numFmtId="3" fontId="3" fillId="2" borderId="3" xfId="0" applyNumberFormat="1" applyFont="1" applyFill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/>
    </xf>
    <xf numFmtId="3" fontId="12" fillId="2" borderId="0" xfId="0" applyNumberFormat="1" applyFont="1" applyFill="1" applyBorder="1" applyAlignment="1">
      <alignment horizontal="center" vertical="center" wrapText="1" shrinkToFit="1"/>
    </xf>
    <xf numFmtId="9" fontId="7" fillId="2" borderId="6" xfId="2" applyFont="1" applyFill="1" applyBorder="1" applyAlignment="1">
      <alignment horizontal="center" vertical="center" wrapText="1" shrinkToFit="1"/>
    </xf>
    <xf numFmtId="3" fontId="22" fillId="0" borderId="7" xfId="2" applyNumberFormat="1" applyFont="1" applyBorder="1" applyAlignment="1">
      <alignment horizontal="center" vertical="center" wrapText="1" shrinkToFit="1"/>
    </xf>
    <xf numFmtId="3" fontId="22" fillId="5" borderId="7" xfId="2" applyNumberFormat="1" applyFont="1" applyFill="1" applyBorder="1" applyAlignment="1">
      <alignment horizontal="center" vertical="center" wrapText="1" shrinkToFit="1"/>
    </xf>
    <xf numFmtId="3" fontId="15" fillId="2" borderId="22" xfId="0" applyNumberFormat="1" applyFont="1" applyFill="1" applyBorder="1" applyAlignment="1">
      <alignment horizontal="center" vertical="center" wrapText="1" shrinkToFit="1"/>
    </xf>
    <xf numFmtId="3" fontId="19" fillId="0" borderId="5" xfId="0" applyNumberFormat="1" applyFont="1" applyBorder="1" applyAlignment="1">
      <alignment horizontal="center" vertical="center" wrapText="1" shrinkToFit="1"/>
    </xf>
    <xf numFmtId="3" fontId="6" fillId="2" borderId="2" xfId="0" applyNumberFormat="1" applyFont="1" applyFill="1" applyBorder="1" applyAlignment="1">
      <alignment horizontal="center" vertical="center" wrapText="1" shrinkToFit="1"/>
    </xf>
    <xf numFmtId="3" fontId="3" fillId="2" borderId="6" xfId="0" applyNumberFormat="1" applyFont="1" applyFill="1" applyBorder="1" applyAlignment="1">
      <alignment horizontal="center" vertical="center" wrapText="1" shrinkToFit="1"/>
    </xf>
    <xf numFmtId="3" fontId="10" fillId="2" borderId="6" xfId="0" applyNumberFormat="1" applyFont="1" applyFill="1" applyBorder="1" applyAlignment="1">
      <alignment horizontal="center" vertical="center" wrapText="1" shrinkToFit="1"/>
    </xf>
    <xf numFmtId="3" fontId="15" fillId="0" borderId="7" xfId="0" applyNumberFormat="1" applyFont="1" applyBorder="1" applyAlignment="1">
      <alignment horizontal="center" vertical="center" wrapText="1" shrinkToFit="1"/>
    </xf>
    <xf numFmtId="3" fontId="30" fillId="2" borderId="6" xfId="0" applyNumberFormat="1" applyFont="1" applyFill="1" applyBorder="1" applyAlignment="1">
      <alignment horizontal="center" vertical="center" wrapText="1" shrinkToFit="1"/>
    </xf>
    <xf numFmtId="3" fontId="3" fillId="2" borderId="1" xfId="0" applyNumberFormat="1" applyFont="1" applyFill="1" applyBorder="1" applyAlignment="1">
      <alignment horizontal="center" vertical="center" wrapText="1" shrinkToFit="1"/>
    </xf>
    <xf numFmtId="3" fontId="4" fillId="2" borderId="2" xfId="0" applyNumberFormat="1" applyFont="1" applyFill="1" applyBorder="1" applyAlignment="1">
      <alignment horizontal="center" vertical="center" wrapText="1" shrinkToFit="1"/>
    </xf>
    <xf numFmtId="9" fontId="15" fillId="5" borderId="7" xfId="2" applyFont="1" applyFill="1" applyBorder="1" applyAlignment="1">
      <alignment horizontal="center" vertical="center" wrapText="1" shrinkToFit="1"/>
    </xf>
    <xf numFmtId="3" fontId="14" fillId="0" borderId="6" xfId="0" applyNumberFormat="1" applyFont="1" applyBorder="1" applyAlignment="1">
      <alignment horizontal="center" vertical="center" wrapText="1" shrinkToFit="1"/>
    </xf>
    <xf numFmtId="3" fontId="31" fillId="0" borderId="6" xfId="0" applyNumberFormat="1" applyFont="1" applyBorder="1" applyAlignment="1">
      <alignment horizontal="center" vertical="center" wrapText="1" shrinkToFit="1"/>
    </xf>
    <xf numFmtId="3" fontId="2" fillId="0" borderId="7" xfId="0" applyNumberFormat="1" applyFont="1" applyBorder="1" applyAlignment="1">
      <alignment horizontal="center" vertical="center" wrapText="1" shrinkToFit="1"/>
    </xf>
    <xf numFmtId="9" fontId="2" fillId="0" borderId="8" xfId="2" applyFont="1" applyBorder="1" applyAlignment="1">
      <alignment horizontal="center" vertical="center" wrapText="1" shrinkToFit="1"/>
    </xf>
    <xf numFmtId="181" fontId="20" fillId="0" borderId="7" xfId="2" applyNumberFormat="1" applyFont="1" applyBorder="1" applyAlignment="1">
      <alignment horizontal="center" vertical="center" wrapText="1" shrinkToFit="1"/>
    </xf>
    <xf numFmtId="3" fontId="31" fillId="5" borderId="6" xfId="0" applyNumberFormat="1" applyFont="1" applyFill="1" applyBorder="1" applyAlignment="1">
      <alignment horizontal="center" vertical="center" wrapText="1" shrinkToFit="1"/>
    </xf>
    <xf numFmtId="9" fontId="37" fillId="5" borderId="8" xfId="2" applyFont="1" applyFill="1" applyBorder="1" applyAlignment="1">
      <alignment horizontal="center" vertical="center" wrapText="1" shrinkToFit="1"/>
    </xf>
    <xf numFmtId="4" fontId="15" fillId="0" borderId="7" xfId="0" applyNumberFormat="1" applyFont="1" applyBorder="1" applyAlignment="1">
      <alignment horizontal="center" vertical="center" wrapText="1" shrinkToFit="1"/>
    </xf>
    <xf numFmtId="9" fontId="37" fillId="0" borderId="8" xfId="2" applyFont="1" applyBorder="1" applyAlignment="1">
      <alignment horizontal="center" vertical="center" wrapText="1" shrinkToFit="1"/>
    </xf>
    <xf numFmtId="10" fontId="15" fillId="0" borderId="7" xfId="2" applyNumberFormat="1" applyFont="1" applyBorder="1" applyAlignment="1">
      <alignment horizontal="center" vertical="center" wrapText="1" shrinkToFit="1"/>
    </xf>
    <xf numFmtId="9" fontId="15" fillId="0" borderId="7" xfId="2" applyFont="1" applyBorder="1" applyAlignment="1">
      <alignment horizontal="center" vertical="center" wrapText="1" shrinkToFit="1"/>
    </xf>
    <xf numFmtId="3" fontId="3" fillId="2" borderId="2" xfId="0" applyNumberFormat="1" applyFont="1" applyFill="1" applyBorder="1" applyAlignment="1">
      <alignment horizontal="center" vertical="center" wrapText="1" shrinkToFit="1"/>
    </xf>
    <xf numFmtId="3" fontId="10" fillId="2" borderId="7" xfId="0" applyNumberFormat="1" applyFont="1" applyFill="1" applyBorder="1" applyAlignment="1">
      <alignment horizontal="center" vertical="center" wrapText="1" shrinkToFit="1"/>
    </xf>
    <xf numFmtId="3" fontId="1" fillId="0" borderId="7" xfId="0" applyNumberFormat="1" applyFont="1" applyBorder="1" applyAlignment="1">
      <alignment horizontal="center" vertical="center" wrapText="1" shrinkToFit="1"/>
    </xf>
    <xf numFmtId="3" fontId="1" fillId="5" borderId="7" xfId="0" applyNumberFormat="1" applyFont="1" applyFill="1" applyBorder="1" applyAlignment="1">
      <alignment horizontal="center" vertical="center" wrapText="1" shrinkToFit="1"/>
    </xf>
    <xf numFmtId="183" fontId="37" fillId="5" borderId="8" xfId="2" applyNumberFormat="1" applyFont="1" applyFill="1" applyBorder="1" applyAlignment="1">
      <alignment horizontal="center" vertical="center" wrapText="1" shrinkToFit="1"/>
    </xf>
    <xf numFmtId="3" fontId="21" fillId="5" borderId="7" xfId="0" applyNumberFormat="1" applyFont="1" applyFill="1" applyBorder="1" applyAlignment="1">
      <alignment horizontal="center" vertical="center" wrapText="1" shrinkToFit="1"/>
    </xf>
    <xf numFmtId="183" fontId="37" fillId="0" borderId="8" xfId="2" applyNumberFormat="1" applyFont="1" applyBorder="1" applyAlignment="1">
      <alignment horizontal="center" vertical="center" wrapText="1" shrinkToFit="1"/>
    </xf>
    <xf numFmtId="38" fontId="1" fillId="2" borderId="22" xfId="0" applyNumberFormat="1" applyFont="1" applyFill="1" applyBorder="1" applyAlignment="1">
      <alignment horizontal="center" vertical="center" wrapText="1" shrinkToFit="1"/>
    </xf>
    <xf numFmtId="10" fontId="15" fillId="5" borderId="7" xfId="2" applyNumberFormat="1" applyFont="1" applyFill="1" applyBorder="1" applyAlignment="1">
      <alignment horizontal="center" vertical="center" wrapText="1" shrinkToFit="1"/>
    </xf>
    <xf numFmtId="3" fontId="1" fillId="5" borderId="8" xfId="0" applyNumberFormat="1" applyFont="1" applyFill="1" applyBorder="1" applyAlignment="1">
      <alignment horizontal="center" vertical="center" wrapText="1" shrinkToFit="1"/>
    </xf>
    <xf numFmtId="3" fontId="1" fillId="2" borderId="22" xfId="0" applyNumberFormat="1" applyFont="1" applyFill="1" applyBorder="1" applyAlignment="1">
      <alignment horizontal="center" vertical="center" wrapText="1" shrinkToFit="1"/>
    </xf>
    <xf numFmtId="3" fontId="10" fillId="2" borderId="8" xfId="0" applyNumberFormat="1" applyFont="1" applyFill="1" applyBorder="1" applyAlignment="1">
      <alignment horizontal="center" vertical="center" wrapText="1" shrinkToFit="1"/>
    </xf>
    <xf numFmtId="168" fontId="1" fillId="0" borderId="7" xfId="0" applyNumberFormat="1" applyFont="1" applyBorder="1" applyAlignment="1">
      <alignment horizontal="center" vertical="center" wrapText="1" shrinkToFit="1"/>
    </xf>
    <xf numFmtId="3" fontId="2" fillId="5" borderId="7" xfId="0" applyNumberFormat="1" applyFont="1" applyFill="1" applyBorder="1" applyAlignment="1">
      <alignment horizontal="center" vertical="center" wrapText="1" shrinkToFit="1"/>
    </xf>
    <xf numFmtId="3" fontId="32" fillId="0" borderId="7" xfId="0" applyNumberFormat="1" applyFont="1" applyBorder="1" applyAlignment="1">
      <alignment horizontal="center" vertical="center" wrapText="1" shrinkToFit="1"/>
    </xf>
    <xf numFmtId="3" fontId="10" fillId="2" borderId="6" xfId="0" applyNumberFormat="1" applyFont="1" applyFill="1" applyBorder="1" applyAlignment="1">
      <alignment horizontal="center" vertical="center" shrinkToFit="1"/>
    </xf>
    <xf numFmtId="3" fontId="32" fillId="5" borderId="7" xfId="0" applyNumberFormat="1" applyFont="1" applyFill="1" applyBorder="1" applyAlignment="1">
      <alignment horizontal="center" vertical="center" wrapText="1" shrinkToFit="1"/>
    </xf>
    <xf numFmtId="3" fontId="31" fillId="5" borderId="9" xfId="0" applyNumberFormat="1" applyFont="1" applyFill="1" applyBorder="1" applyAlignment="1">
      <alignment horizontal="center" vertical="center" wrapText="1" shrinkToFit="1"/>
    </xf>
    <xf numFmtId="0" fontId="6" fillId="2" borderId="2" xfId="0" applyFont="1" applyFill="1" applyBorder="1" applyAlignment="1">
      <alignment horizontal="center" vertical="center" shrinkToFit="1"/>
    </xf>
    <xf numFmtId="38" fontId="1" fillId="0" borderId="34" xfId="1" applyNumberFormat="1" applyFont="1" applyBorder="1" applyAlignment="1">
      <alignment horizontal="center" vertical="center" wrapText="1" shrinkToFit="1"/>
    </xf>
    <xf numFmtId="3" fontId="3" fillId="2" borderId="2" xfId="0" applyNumberFormat="1" applyFont="1" applyFill="1" applyBorder="1" applyAlignment="1">
      <alignment horizontal="center" vertical="center" shrinkToFit="1" readingOrder="2"/>
    </xf>
    <xf numFmtId="3" fontId="48" fillId="2" borderId="2" xfId="0" applyNumberFormat="1" applyFont="1" applyFill="1" applyBorder="1" applyAlignment="1">
      <alignment horizontal="right" vertical="center" shrinkToFit="1"/>
    </xf>
    <xf numFmtId="3" fontId="9" fillId="0" borderId="7" xfId="0" applyNumberFormat="1" applyFont="1" applyBorder="1" applyAlignment="1">
      <alignment horizontal="center" vertical="center" wrapText="1" shrinkToFit="1"/>
    </xf>
    <xf numFmtId="3" fontId="50" fillId="0" borderId="7" xfId="0" applyNumberFormat="1" applyFont="1" applyBorder="1" applyAlignment="1">
      <alignment horizontal="center" vertical="center" wrapText="1" shrinkToFit="1"/>
    </xf>
    <xf numFmtId="3" fontId="9" fillId="0" borderId="2" xfId="0" applyNumberFormat="1" applyFont="1" applyBorder="1" applyAlignment="1">
      <alignment horizontal="right" vertical="center" wrapText="1" shrinkToFit="1"/>
    </xf>
    <xf numFmtId="3" fontId="9" fillId="5" borderId="6" xfId="0" applyNumberFormat="1" applyFont="1" applyFill="1" applyBorder="1" applyAlignment="1">
      <alignment horizontal="right" vertical="center" wrapText="1" shrinkToFit="1"/>
    </xf>
    <xf numFmtId="38" fontId="1" fillId="5" borderId="7" xfId="0" applyNumberFormat="1" applyFont="1" applyFill="1" applyBorder="1" applyAlignment="1">
      <alignment horizontal="center" vertical="center" wrapText="1" shrinkToFit="1"/>
    </xf>
    <xf numFmtId="0" fontId="10" fillId="2" borderId="6" xfId="0" applyFont="1" applyFill="1" applyBorder="1" applyAlignment="1">
      <alignment horizontal="center" vertical="center" wrapText="1" shrinkToFit="1"/>
    </xf>
    <xf numFmtId="10" fontId="1" fillId="0" borderId="7" xfId="0" applyNumberFormat="1" applyFont="1" applyBorder="1" applyAlignment="1">
      <alignment horizontal="center" vertical="center" wrapText="1" shrinkToFit="1"/>
    </xf>
    <xf numFmtId="38" fontId="1" fillId="0" borderId="35" xfId="1" applyNumberFormat="1" applyFont="1" applyBorder="1" applyAlignment="1">
      <alignment horizontal="center" vertical="center" wrapText="1" shrinkToFit="1"/>
    </xf>
    <xf numFmtId="10" fontId="1" fillId="5" borderId="7" xfId="2" applyNumberFormat="1" applyFont="1" applyFill="1" applyBorder="1" applyAlignment="1">
      <alignment horizontal="center" vertical="center" wrapText="1" shrinkToFit="1"/>
    </xf>
    <xf numFmtId="38" fontId="1" fillId="5" borderId="7" xfId="1" applyNumberFormat="1" applyFont="1" applyFill="1" applyBorder="1" applyAlignment="1">
      <alignment horizontal="center" vertical="center" wrapText="1" shrinkToFit="1"/>
    </xf>
    <xf numFmtId="38" fontId="1" fillId="5" borderId="8" xfId="1" applyNumberFormat="1" applyFont="1" applyFill="1" applyBorder="1" applyAlignment="1">
      <alignment horizontal="center" vertical="center" wrapText="1" shrinkToFit="1"/>
    </xf>
    <xf numFmtId="10" fontId="1" fillId="5" borderId="22" xfId="0" applyNumberFormat="1" applyFont="1" applyFill="1" applyBorder="1" applyAlignment="1">
      <alignment horizontal="center" vertical="center" wrapText="1" shrinkToFit="1"/>
    </xf>
    <xf numFmtId="3" fontId="19" fillId="0" borderId="0" xfId="0" applyNumberFormat="1" applyFont="1" applyBorder="1" applyAlignment="1">
      <alignment horizontal="center" vertical="center" wrapText="1" shrinkToFit="1"/>
    </xf>
    <xf numFmtId="49" fontId="31" fillId="0" borderId="6" xfId="0" applyNumberFormat="1" applyFont="1" applyBorder="1" applyAlignment="1">
      <alignment horizontal="center" vertical="center" wrapText="1" shrinkToFit="1"/>
    </xf>
    <xf numFmtId="49" fontId="9" fillId="5" borderId="6" xfId="0" applyNumberFormat="1" applyFont="1" applyFill="1" applyBorder="1" applyAlignment="1">
      <alignment horizontal="center" vertical="center" wrapText="1" shrinkToFit="1"/>
    </xf>
    <xf numFmtId="10" fontId="1" fillId="5" borderId="7" xfId="0" applyNumberFormat="1" applyFont="1" applyFill="1" applyBorder="1" applyAlignment="1">
      <alignment horizontal="center" vertical="center" wrapText="1" shrinkToFit="1"/>
    </xf>
    <xf numFmtId="10" fontId="2" fillId="0" borderId="7" xfId="2" applyNumberFormat="1" applyFont="1" applyBorder="1" applyAlignment="1">
      <alignment horizontal="center" vertical="center" wrapText="1" shrinkToFit="1"/>
    </xf>
    <xf numFmtId="10" fontId="2" fillId="0" borderId="8" xfId="2" applyNumberFormat="1" applyFont="1" applyBorder="1" applyAlignment="1">
      <alignment horizontal="center" vertical="center" wrapText="1" shrinkToFit="1"/>
    </xf>
    <xf numFmtId="49" fontId="31" fillId="5" borderId="6" xfId="0" applyNumberFormat="1" applyFont="1" applyFill="1" applyBorder="1" applyAlignment="1">
      <alignment horizontal="center" vertical="center" wrapText="1" shrinkToFit="1"/>
    </xf>
    <xf numFmtId="38" fontId="1" fillId="0" borderId="7" xfId="1" applyNumberFormat="1" applyFont="1" applyBorder="1" applyAlignment="1">
      <alignment horizontal="center" vertical="center" wrapText="1" shrinkToFit="1"/>
    </xf>
    <xf numFmtId="38" fontId="1" fillId="0" borderId="8" xfId="1" applyNumberFormat="1" applyFont="1" applyBorder="1" applyAlignment="1">
      <alignment horizontal="center" vertical="center" wrapText="1" shrinkToFit="1"/>
    </xf>
    <xf numFmtId="49" fontId="31" fillId="0" borderId="6" xfId="2" applyNumberFormat="1" applyFont="1" applyBorder="1" applyAlignment="1">
      <alignment horizontal="center" vertical="center" wrapText="1" shrinkToFit="1"/>
    </xf>
    <xf numFmtId="3" fontId="3" fillId="2" borderId="4" xfId="0" applyNumberFormat="1" applyFont="1" applyFill="1" applyBorder="1" applyAlignment="1">
      <alignment horizontal="center" vertical="center" wrapText="1" shrinkToFit="1"/>
    </xf>
    <xf numFmtId="206" fontId="32" fillId="0" borderId="6" xfId="0" applyNumberFormat="1" applyFont="1" applyBorder="1" applyAlignment="1">
      <alignment horizontal="center" vertical="center" wrapText="1" shrinkToFit="1"/>
    </xf>
    <xf numFmtId="0" fontId="40" fillId="0" borderId="7" xfId="0" applyFont="1" applyBorder="1" applyAlignment="1">
      <alignment horizontal="center" vertical="center" wrapText="1" shrinkToFit="1"/>
    </xf>
    <xf numFmtId="3" fontId="31" fillId="0" borderId="7" xfId="0" applyNumberFormat="1" applyFont="1" applyBorder="1" applyAlignment="1">
      <alignment horizontal="center" vertical="center" wrapText="1" shrinkToFit="1"/>
    </xf>
    <xf numFmtId="3" fontId="2" fillId="0" borderId="8" xfId="0" applyNumberFormat="1" applyFont="1" applyBorder="1" applyAlignment="1">
      <alignment horizontal="center" vertical="center" wrapText="1" shrinkToFit="1"/>
    </xf>
    <xf numFmtId="0" fontId="40" fillId="5" borderId="7" xfId="0" applyFont="1" applyFill="1" applyBorder="1" applyAlignment="1">
      <alignment horizontal="center" vertical="center" wrapText="1" shrinkToFit="1"/>
    </xf>
    <xf numFmtId="38" fontId="32" fillId="5" borderId="7" xfId="1" applyNumberFormat="1" applyFont="1" applyFill="1" applyBorder="1" applyAlignment="1">
      <alignment horizontal="center" vertical="center" wrapText="1" shrinkToFit="1"/>
    </xf>
    <xf numFmtId="9" fontId="1" fillId="5" borderId="7" xfId="2" applyFont="1" applyFill="1" applyBorder="1" applyAlignment="1">
      <alignment horizontal="center" vertical="center" wrapText="1" shrinkToFit="1"/>
    </xf>
    <xf numFmtId="9" fontId="1" fillId="5" borderId="8" xfId="2" applyFont="1" applyFill="1" applyBorder="1" applyAlignment="1">
      <alignment horizontal="center" vertical="center" wrapText="1" shrinkToFit="1"/>
    </xf>
    <xf numFmtId="9" fontId="1" fillId="0" borderId="7" xfId="2" applyFont="1" applyBorder="1" applyAlignment="1">
      <alignment horizontal="center" vertical="center" wrapText="1" shrinkToFit="1"/>
    </xf>
    <xf numFmtId="9" fontId="1" fillId="0" borderId="8" xfId="2" applyFont="1" applyBorder="1" applyAlignment="1">
      <alignment horizontal="center" vertical="center" wrapText="1" shrinkToFit="1"/>
    </xf>
    <xf numFmtId="3" fontId="32" fillId="5" borderId="7" xfId="1" applyNumberFormat="1" applyFont="1" applyFill="1" applyBorder="1" applyAlignment="1">
      <alignment horizontal="center" vertical="center" wrapText="1" shrinkToFit="1"/>
    </xf>
    <xf numFmtId="49" fontId="9" fillId="0" borderId="6" xfId="0" applyNumberFormat="1" applyFont="1" applyBorder="1" applyAlignment="1">
      <alignment horizontal="center" vertical="center" wrapText="1" shrinkToFit="1"/>
    </xf>
    <xf numFmtId="37" fontId="1" fillId="5" borderId="7" xfId="1" applyNumberFormat="1" applyFont="1" applyFill="1" applyBorder="1" applyAlignment="1">
      <alignment horizontal="center" vertical="center" wrapText="1" shrinkToFit="1"/>
    </xf>
    <xf numFmtId="37" fontId="1" fillId="0" borderId="7" xfId="1" applyNumberFormat="1" applyFont="1" applyBorder="1" applyAlignment="1">
      <alignment horizontal="center" vertical="center" wrapText="1" shrinkToFit="1"/>
    </xf>
    <xf numFmtId="37" fontId="1" fillId="0" borderId="8" xfId="1" applyNumberFormat="1" applyFont="1" applyBorder="1" applyAlignment="1">
      <alignment horizontal="center" vertical="center" wrapText="1" shrinkToFit="1"/>
    </xf>
    <xf numFmtId="38" fontId="37" fillId="0" borderId="7" xfId="1" applyNumberFormat="1" applyFont="1" applyBorder="1" applyAlignment="1">
      <alignment horizontal="center" vertical="center" wrapText="1" shrinkToFit="1"/>
    </xf>
    <xf numFmtId="0" fontId="3" fillId="2" borderId="4" xfId="0" applyFont="1" applyFill="1" applyBorder="1" applyAlignment="1">
      <alignment horizontal="center" vertical="center" wrapText="1" shrinkToFit="1"/>
    </xf>
    <xf numFmtId="3" fontId="9" fillId="2" borderId="47" xfId="0" applyNumberFormat="1" applyFont="1" applyFill="1" applyBorder="1" applyAlignment="1">
      <alignment horizontal="center" vertical="center" wrapText="1" shrinkToFit="1"/>
    </xf>
    <xf numFmtId="38" fontId="37" fillId="0" borderId="8" xfId="1" applyNumberFormat="1" applyFont="1" applyBorder="1" applyAlignment="1">
      <alignment horizontal="center" vertical="center" wrapText="1" shrinkToFit="1"/>
    </xf>
  </cellXfs>
  <cellStyles count="4">
    <cellStyle name="Comma" xfId="1" builtinId="3"/>
    <cellStyle name="Percent" xfId="2" builtinId="5"/>
    <cellStyle name="ارتباط تشعبي" xfId="3" builtinId="8"/>
    <cellStyle name="عادي" xfId="0" builtinId="0"/>
  </cellStyles>
  <dxfs count="39">
    <dxf>
      <font>
        <color rgb="FFD9D9D9"/>
      </font>
    </dxf>
    <dxf>
      <font>
        <color rgb="FFC00000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C00000"/>
      </font>
    </dxf>
    <dxf>
      <font>
        <color rgb="FFD9D9D9"/>
      </font>
    </dxf>
    <dxf>
      <font>
        <color rgb="FFD9D9D9"/>
      </font>
    </dxf>
    <dxf>
      <font>
        <color rgb="FFC00000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C00000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548235"/>
      </font>
    </dxf>
    <dxf>
      <font>
        <color rgb="FFC00000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C00000"/>
      </font>
    </dxf>
    <dxf>
      <font>
        <color rgb="FFD9D9D9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DAD2CC"/>
      <rgbColor rgb="FFC00000"/>
      <rgbColor rgb="FF385724"/>
      <rgbColor rgb="FF1F4E78"/>
      <rgbColor rgb="FF548235"/>
      <rgbColor rgb="FF800080"/>
      <rgbColor rgb="FF0070C0"/>
      <rgbColor rgb="FFBFBFBF"/>
      <rgbColor rgb="FF7F7F7F"/>
      <rgbColor rgb="FFA6A6A6"/>
      <rgbColor rgb="FFA37953"/>
      <rgbColor rgb="FFF8F5F2"/>
      <rgbColor rgb="FFF2F2F2"/>
      <rgbColor rgb="FF660066"/>
      <rgbColor rgb="FFED7D31"/>
      <rgbColor rgb="FF0563C1"/>
      <rgbColor rgb="FFD5D5D5"/>
      <rgbColor rgb="FF000080"/>
      <rgbColor rgb="FFFF00FF"/>
      <rgbColor rgb="FFE0D0C2"/>
      <rgbColor rgb="FFE9E0D7"/>
      <rgbColor rgb="FF800080"/>
      <rgbColor rgb="FFD60000"/>
      <rgbColor rgb="FF2E75B6"/>
      <rgbColor rgb="FF0000FF"/>
      <rgbColor rgb="FFD9D9D9"/>
      <rgbColor rgb="FFF5F5F5"/>
      <rgbColor rgb="FFF0EAE4"/>
      <rgbColor rgb="FFEDE4D6"/>
      <rgbColor rgb="FF99CCFF"/>
      <rgbColor rgb="FFF1A78A"/>
      <rgbColor rgb="FFCDB49E"/>
      <rgbColor rgb="FFFFC6B5"/>
      <rgbColor rgb="FF4472C4"/>
      <rgbColor rgb="FFAC9A8A"/>
      <rgbColor rgb="FFB5A495"/>
      <rgbColor rgb="FFF3B8A4"/>
      <rgbColor rgb="FFD26E2B"/>
      <rgbColor rgb="FFFF781D"/>
      <rgbColor rgb="FF595959"/>
      <rgbColor rgb="FF8B8B8B"/>
      <rgbColor rgb="FF0C2340"/>
      <rgbColor rgb="FF00B050"/>
      <rgbColor rgb="FF404040"/>
      <rgbColor rgb="FF493833"/>
      <rgbColor rgb="FFA4907E"/>
      <rgbColor rgb="FF888888"/>
      <rgbColor rgb="FF305496"/>
      <rgbColor rgb="FF342C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-2217600</xdr:colOff>
      <xdr:row>1</xdr:row>
      <xdr:rowOff>54360</xdr:rowOff>
    </xdr:from>
    <xdr:to>
      <xdr:col>0</xdr:col>
      <xdr:colOff>589763</xdr:colOff>
      <xdr:row>5</xdr:row>
      <xdr:rowOff>122400</xdr:rowOff>
    </xdr:to>
    <xdr:pic>
      <xdr:nvPicPr>
        <xdr:cNvPr id="2" name="صورة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-2924280" y="454320"/>
          <a:ext cx="2823480" cy="139212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maps.app.goo.gl/wiC4c8Y75yENsoHo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EFE19-C226-4D19-AA15-DD0AFFED849A}">
  <dimension ref="A1:Z664"/>
  <sheetViews>
    <sheetView showGridLines="0" rightToLeft="1" zoomScaleNormal="100" workbookViewId="0">
      <selection activeCell="D20" sqref="D20"/>
    </sheetView>
  </sheetViews>
  <sheetFormatPr defaultRowHeight="14.25" x14ac:dyDescent="0.2"/>
  <cols>
    <col min="1" max="1" width="21.875" style="1" bestFit="1" customWidth="1"/>
    <col min="2" max="2" width="29.625" style="1" bestFit="1" customWidth="1"/>
    <col min="3" max="3" width="15.25" style="459" bestFit="1" customWidth="1"/>
    <col min="4" max="4" width="17.125" style="1" bestFit="1" customWidth="1"/>
    <col min="5" max="5" width="9.875" style="1" bestFit="1" customWidth="1"/>
    <col min="6" max="6" width="11" style="1" bestFit="1" customWidth="1"/>
    <col min="7" max="12" width="9.875" style="458" bestFit="1" customWidth="1"/>
    <col min="13" max="16" width="9" style="458" bestFit="1" customWidth="1"/>
    <col min="17" max="17" width="9.875" style="458" bestFit="1" customWidth="1"/>
    <col min="18" max="18" width="8" style="458" bestFit="1" customWidth="1"/>
    <col min="19" max="19" width="8.875" style="458" bestFit="1" customWidth="1"/>
    <col min="20" max="22" width="8" style="458" bestFit="1" customWidth="1"/>
    <col min="23" max="23" width="8.875" style="458" bestFit="1" customWidth="1"/>
    <col min="24" max="26" width="8" style="458" bestFit="1" customWidth="1"/>
  </cols>
  <sheetData>
    <row r="1" spans="1:26" ht="25.5" customHeight="1" x14ac:dyDescent="0.2"/>
    <row r="2" spans="1:26" ht="20.25" x14ac:dyDescent="0.2">
      <c r="A2" s="467" t="str">
        <f>Study!CF1</f>
        <v>القالب الموحّد الشامل لبنود دراسة الجدوى | Master Feasibility Template</v>
      </c>
      <c r="B2" s="467"/>
      <c r="C2" s="467"/>
      <c r="D2" s="467"/>
      <c r="E2" s="456"/>
      <c r="F2" s="456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466" t="str">
        <f>Study!CF2</f>
        <v>قالب ثابت يشمل كل المكوّنات والأقسام (حتى الفارغة) | مراجع حية داخل ورقة Study</v>
      </c>
      <c r="B3" s="466"/>
      <c r="C3" s="466"/>
      <c r="D3" s="466"/>
      <c r="E3" s="457"/>
      <c r="F3" s="457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>
        <f>Study!CF3</f>
        <v>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" x14ac:dyDescent="0.2">
      <c r="A5" s="57" t="str">
        <f>Study!CF4</f>
        <v>#</v>
      </c>
      <c r="B5" s="57" t="str">
        <f>Study!CG4</f>
        <v>اسم البند</v>
      </c>
      <c r="C5" s="460" t="str">
        <f>Study!CH4</f>
        <v>الناتج</v>
      </c>
      <c r="D5" s="57" t="str">
        <f>Study!CI4</f>
        <v>الفئة</v>
      </c>
      <c r="E5" s="57" t="str">
        <f>Study!CJ4</f>
        <v>مصدر الخلية</v>
      </c>
      <c r="F5" s="57" t="str">
        <f>Study!CK4</f>
        <v>ملاحظة / الوحدة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x14ac:dyDescent="0.2">
      <c r="A6" s="455" t="str">
        <f>Study!CF5</f>
        <v>▌ معلومات المشروع</v>
      </c>
      <c r="B6" s="455">
        <f>Study!CG5</f>
        <v>0</v>
      </c>
      <c r="C6" s="461">
        <f>Study!CH5</f>
        <v>0</v>
      </c>
      <c r="D6" s="455">
        <f>Study!CI5</f>
        <v>0</v>
      </c>
      <c r="E6" s="455">
        <f>Study!CJ5</f>
        <v>0</v>
      </c>
      <c r="F6" s="455">
        <f>Study!CK5</f>
        <v>0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65">
        <f>Study!CF6</f>
        <v>1</v>
      </c>
      <c r="B7" s="66" t="str">
        <f>Study!CG6</f>
        <v>اسم المشروع</v>
      </c>
      <c r="C7" s="462" t="str">
        <f>Study!CH6</f>
        <v>RF061-240904 الخليج</v>
      </c>
      <c r="D7" s="66" t="str">
        <f>Study!CI6</f>
        <v>معلومات المشروع</v>
      </c>
      <c r="E7" s="68" t="str">
        <f>Study!CJ6</f>
        <v>F2</v>
      </c>
      <c r="F7" s="66" t="str">
        <f>Study!CK6</f>
        <v>هوية المشروع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73">
        <f>Study!CF7</f>
        <v>2</v>
      </c>
      <c r="B8" s="74" t="str">
        <f>Study!CG7</f>
        <v>موقع المشروع</v>
      </c>
      <c r="C8" s="463" t="str">
        <f>Study!CH7</f>
        <v>الموقع</v>
      </c>
      <c r="D8" s="74" t="str">
        <f>Study!CI7</f>
        <v>معلومات المشروع</v>
      </c>
      <c r="E8" s="76" t="str">
        <f>Study!CJ7</f>
        <v>F3</v>
      </c>
      <c r="F8" s="74">
        <f>Study!CK7</f>
        <v>0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x14ac:dyDescent="0.2">
      <c r="A9" s="455" t="str">
        <f>Study!CF8</f>
        <v>▌ ملخص الدراسة</v>
      </c>
      <c r="B9" s="455">
        <f>Study!CG8</f>
        <v>0</v>
      </c>
      <c r="C9" s="461">
        <f>Study!CH8</f>
        <v>0</v>
      </c>
      <c r="D9" s="455">
        <f>Study!CI8</f>
        <v>0</v>
      </c>
      <c r="E9" s="455">
        <f>Study!CJ8</f>
        <v>0</v>
      </c>
      <c r="F9" s="455">
        <f>Study!CK8</f>
        <v>0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65">
        <f>Study!CF9</f>
        <v>3</v>
      </c>
      <c r="B10" s="66" t="str">
        <f>Study!CG9</f>
        <v>إجمالي الإيرادات</v>
      </c>
      <c r="C10" s="88">
        <f>Study!CH9</f>
        <v>269315548.16315919</v>
      </c>
      <c r="D10" s="66" t="str">
        <f>Study!CI9</f>
        <v>ملخص الدراسة</v>
      </c>
      <c r="E10" s="68" t="str">
        <f>Study!CJ9</f>
        <v>C17</v>
      </c>
      <c r="F10" s="66" t="str">
        <f>Study!CK9</f>
        <v>ريال سعودي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73">
        <f>Study!CF10</f>
        <v>4</v>
      </c>
      <c r="B11" s="74" t="str">
        <f>Study!CG10</f>
        <v>إجمالي تكلفة الأرض</v>
      </c>
      <c r="C11" s="93">
        <f>Study!CH10</f>
        <v>64193805</v>
      </c>
      <c r="D11" s="74" t="str">
        <f>Study!CI10</f>
        <v>ملخص الدراسة</v>
      </c>
      <c r="E11" s="76" t="str">
        <f>Study!CJ10</f>
        <v>C18</v>
      </c>
      <c r="F11" s="74" t="str">
        <f>Study!CK10</f>
        <v>ريال سعودي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65">
        <f>Study!CF11</f>
        <v>5</v>
      </c>
      <c r="B12" s="66" t="str">
        <f>Study!CG11</f>
        <v>إجمالي تكلفة البناء</v>
      </c>
      <c r="C12" s="88">
        <f>Study!CH11</f>
        <v>81179665.851063833</v>
      </c>
      <c r="D12" s="66" t="str">
        <f>Study!CI11</f>
        <v>ملخص الدراسة</v>
      </c>
      <c r="E12" s="68" t="str">
        <f>Study!CJ11</f>
        <v>C19</v>
      </c>
      <c r="F12" s="66" t="str">
        <f>Study!CK11</f>
        <v>ريال سعودي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A13" s="73">
        <f>Study!CF12</f>
        <v>6</v>
      </c>
      <c r="B13" s="74" t="str">
        <f>Study!CG12</f>
        <v>إجمالي التكاليف الأخرى</v>
      </c>
      <c r="C13" s="93">
        <f>Study!CH12</f>
        <v>26529354.82802498</v>
      </c>
      <c r="D13" s="74" t="str">
        <f>Study!CI12</f>
        <v>ملخص الدراسة</v>
      </c>
      <c r="E13" s="76" t="str">
        <f>Study!CJ12</f>
        <v>C20</v>
      </c>
      <c r="F13" s="74" t="str">
        <f>Study!CK12</f>
        <v>ريال سعودي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65">
        <f>Study!CF13</f>
        <v>7</v>
      </c>
      <c r="B14" s="66" t="str">
        <f>Study!CG13</f>
        <v>إجمالي رسوم الصندوق</v>
      </c>
      <c r="C14" s="88">
        <f>Study!CH13</f>
        <v>16313401.856046377</v>
      </c>
      <c r="D14" s="66" t="str">
        <f>Study!CI13</f>
        <v>ملخص الدراسة</v>
      </c>
      <c r="E14" s="68" t="str">
        <f>Study!CJ13</f>
        <v>C21</v>
      </c>
      <c r="F14" s="66" t="str">
        <f>Study!CK13</f>
        <v>ريال سعودي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73">
        <f>Study!CF14</f>
        <v>8</v>
      </c>
      <c r="B15" s="74" t="str">
        <f>Study!CG14</f>
        <v>فوائد التمويل</v>
      </c>
      <c r="C15" s="93">
        <f>Study!CH14</f>
        <v>14809275</v>
      </c>
      <c r="D15" s="74" t="str">
        <f>Study!CI14</f>
        <v>ملخص الدراسة</v>
      </c>
      <c r="E15" s="76" t="str">
        <f>Study!CJ14</f>
        <v>C22</v>
      </c>
      <c r="F15" s="74" t="str">
        <f>Study!CK14</f>
        <v>ريال سعودي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65">
        <f>Study!CF15</f>
        <v>9</v>
      </c>
      <c r="B16" s="66" t="str">
        <f>Study!CG15</f>
        <v>التمويل البنكي</v>
      </c>
      <c r="C16" s="88">
        <f>Study!CH15</f>
        <v>83100000</v>
      </c>
      <c r="D16" s="66" t="str">
        <f>Study!CI15</f>
        <v>ملخص الدراسة</v>
      </c>
      <c r="E16" s="68" t="str">
        <f>Study!CJ15</f>
        <v>C23</v>
      </c>
      <c r="F16" s="66" t="str">
        <f>Study!CK15</f>
        <v>ريال سعودي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73">
        <f>Study!CF16</f>
        <v>10</v>
      </c>
      <c r="B17" s="74" t="str">
        <f>Study!CG16</f>
        <v>إجمالي التكاليف الرأسمالية (CapEx)</v>
      </c>
      <c r="C17" s="93">
        <f>Study!CH16</f>
        <v>203025502.53513521</v>
      </c>
      <c r="D17" s="74" t="str">
        <f>Study!CI16</f>
        <v>ملخص الدراسة</v>
      </c>
      <c r="E17" s="76" t="str">
        <f>Study!CJ16</f>
        <v>C24</v>
      </c>
      <c r="F17" s="74" t="str">
        <f>Study!CK16</f>
        <v>ريال سعودي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65">
        <f>Study!CF17</f>
        <v>11</v>
      </c>
      <c r="B18" s="66" t="str">
        <f>Study!CG17</f>
        <v>إجمالي التكاليف التشغيلية (OpEx)</v>
      </c>
      <c r="C18" s="88">
        <f>Study!CH17</f>
        <v>2712940.8510638298</v>
      </c>
      <c r="D18" s="66" t="str">
        <f>Study!CI17</f>
        <v>ملخص الدراسة</v>
      </c>
      <c r="E18" s="68" t="str">
        <f>Study!CJ17</f>
        <v>C25</v>
      </c>
      <c r="F18" s="66" t="str">
        <f>Study!CK17</f>
        <v>ريال سعودي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73">
        <f>Study!CF18</f>
        <v>12</v>
      </c>
      <c r="B19" s="74" t="str">
        <f>Study!CG18</f>
        <v>صافي الدخل</v>
      </c>
      <c r="C19" s="93">
        <f>Study!CH18</f>
        <v>63577104.776960164</v>
      </c>
      <c r="D19" s="74" t="str">
        <f>Study!CI18</f>
        <v>ملخص الدراسة</v>
      </c>
      <c r="E19" s="76" t="str">
        <f>Study!CJ18</f>
        <v>C26</v>
      </c>
      <c r="F19" s="74" t="str">
        <f>Study!CK18</f>
        <v>ريال سعودي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65">
        <f>Study!CF19</f>
        <v>13</v>
      </c>
      <c r="B20" s="66" t="str">
        <f>Study!CG19</f>
        <v>مدة المشروع المتوقعة (سنوات)</v>
      </c>
      <c r="C20" s="141">
        <f>Study!CH19</f>
        <v>3.7506849315068487</v>
      </c>
      <c r="D20" s="66" t="str">
        <f>Study!CI19</f>
        <v>ملخص الدراسة</v>
      </c>
      <c r="E20" s="68" t="str">
        <f>Study!CJ19</f>
        <v>C27</v>
      </c>
      <c r="F20" s="66" t="str">
        <f>Study!CK19</f>
        <v>سنة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" x14ac:dyDescent="0.2">
      <c r="A21" s="455" t="str">
        <f>Study!CF20</f>
        <v>▌ المؤشرات المالية</v>
      </c>
      <c r="B21" s="455">
        <f>Study!CG20</f>
        <v>0</v>
      </c>
      <c r="C21" s="455">
        <f>Study!CH20</f>
        <v>0</v>
      </c>
      <c r="D21" s="455">
        <f>Study!CI20</f>
        <v>0</v>
      </c>
      <c r="E21" s="455">
        <f>Study!CJ20</f>
        <v>0</v>
      </c>
      <c r="F21" s="455">
        <f>Study!CK20</f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">
      <c r="A22" s="73">
        <f>Study!CF21</f>
        <v>14</v>
      </c>
      <c r="B22" s="74" t="str">
        <f>Study!CG21</f>
        <v>معدل العائد الداخلي (IRR)</v>
      </c>
      <c r="C22" s="148">
        <f>Study!CH21</f>
        <v>0.23024730086326597</v>
      </c>
      <c r="D22" s="74" t="str">
        <f>Study!CI21</f>
        <v>المؤشرات المالية</v>
      </c>
      <c r="E22" s="76" t="str">
        <f>Study!CJ21</f>
        <v>C28</v>
      </c>
      <c r="F22" s="74" t="str">
        <f>Study!CK21</f>
        <v>نسبة مئوية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">
      <c r="A23" s="65">
        <f>Study!CF22</f>
        <v>15</v>
      </c>
      <c r="B23" s="66" t="str">
        <f>Study!CG22</f>
        <v>العائد على الاستثمار (ROI)</v>
      </c>
      <c r="C23" s="154">
        <f>Study!CH22</f>
        <v>0.31314836797883372</v>
      </c>
      <c r="D23" s="66" t="str">
        <f>Study!CI22</f>
        <v>المؤشرات المالية</v>
      </c>
      <c r="E23" s="68" t="str">
        <f>Study!CJ22</f>
        <v>C30</v>
      </c>
      <c r="F23" s="66" t="str">
        <f>Study!CK22</f>
        <v>نسبة مئوية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">
      <c r="A24" s="73">
        <f>Study!CF23</f>
        <v>16</v>
      </c>
      <c r="B24" s="74" t="str">
        <f>Study!CG23</f>
        <v>العائد على الملكية (ROE)</v>
      </c>
      <c r="C24" s="148">
        <f>Study!CH23</f>
        <v>0.87408681161685065</v>
      </c>
      <c r="D24" s="74" t="str">
        <f>Study!CI23</f>
        <v>المؤشرات المالية</v>
      </c>
      <c r="E24" s="76" t="str">
        <f>Study!CJ23</f>
        <v>C32</v>
      </c>
      <c r="F24" s="74" t="str">
        <f>Study!CK23</f>
        <v>نسبة مئوية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">
      <c r="A25" s="65">
        <f>Study!CF24</f>
        <v>17</v>
      </c>
      <c r="B25" s="66" t="str">
        <f>Study!CG24</f>
        <v>العائد على الملكية السنوي</v>
      </c>
      <c r="C25" s="154">
        <f>Study!CH24</f>
        <v>0.23304725072326554</v>
      </c>
      <c r="D25" s="66" t="str">
        <f>Study!CI24</f>
        <v>المؤشرات المالية</v>
      </c>
      <c r="E25" s="68" t="str">
        <f>Study!CJ24</f>
        <v>C34</v>
      </c>
      <c r="F25" s="66" t="str">
        <f>Study!CK24</f>
        <v>نسبة مئوية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" x14ac:dyDescent="0.2">
      <c r="A26" s="455" t="str">
        <f>Study!CF25</f>
        <v>▌ الهيكلة المالية</v>
      </c>
      <c r="B26" s="455">
        <f>Study!CG25</f>
        <v>0</v>
      </c>
      <c r="C26" s="455">
        <f>Study!CH25</f>
        <v>0</v>
      </c>
      <c r="D26" s="455">
        <f>Study!CI25</f>
        <v>0</v>
      </c>
      <c r="E26" s="455">
        <f>Study!CJ25</f>
        <v>0</v>
      </c>
      <c r="F26" s="455">
        <f>Study!CK25</f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">
      <c r="A27" s="73">
        <f>Study!CF26</f>
        <v>18</v>
      </c>
      <c r="B27" s="74" t="str">
        <f>Study!CG26</f>
        <v>الاشتراكات النقدية</v>
      </c>
      <c r="C27" s="93">
        <f>Study!CH26</f>
        <v>20000000</v>
      </c>
      <c r="D27" s="74" t="str">
        <f>Study!CI26</f>
        <v>الهيكلة المالية</v>
      </c>
      <c r="E27" s="76" t="str">
        <f>Study!CJ26</f>
        <v>H19</v>
      </c>
      <c r="F27" s="74" t="str">
        <f>Study!CK26</f>
        <v>ريال سعودي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">
      <c r="A28" s="65">
        <f>Study!CF27</f>
        <v>19</v>
      </c>
      <c r="B28" s="66" t="str">
        <f>Study!CG27</f>
        <v>نسبة الاشتراكات النقدية</v>
      </c>
      <c r="C28" s="154">
        <f>Study!CH27</f>
        <v>9.8509791874736713E-2</v>
      </c>
      <c r="D28" s="66" t="str">
        <f>Study!CI27</f>
        <v>الهيكلة المالية</v>
      </c>
      <c r="E28" s="68" t="str">
        <f>Study!CJ27</f>
        <v>I19</v>
      </c>
      <c r="F28" s="66" t="str">
        <f>Study!CK27</f>
        <v>نسبة مئوية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">
      <c r="A29" s="73">
        <f>Study!CF28</f>
        <v>20</v>
      </c>
      <c r="B29" s="74" t="str">
        <f>Study!CG28</f>
        <v>الاشتراك من مدير الصندوق</v>
      </c>
      <c r="C29" s="93">
        <f>Study!CH28</f>
        <v>0</v>
      </c>
      <c r="D29" s="74" t="str">
        <f>Study!CI28</f>
        <v>الهيكلة المالية</v>
      </c>
      <c r="E29" s="76" t="str">
        <f>Study!CJ28</f>
        <v>H20</v>
      </c>
      <c r="F29" s="74" t="str">
        <f>Study!CK28</f>
        <v>ريال سعودي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">
      <c r="A30" s="65">
        <f>Study!CF29</f>
        <v>21</v>
      </c>
      <c r="B30" s="66" t="str">
        <f>Study!CG29</f>
        <v>الاشتراك النقدي من المطور</v>
      </c>
      <c r="C30" s="88">
        <f>Study!CH29</f>
        <v>0</v>
      </c>
      <c r="D30" s="66" t="str">
        <f>Study!CI29</f>
        <v>الهيكلة المالية</v>
      </c>
      <c r="E30" s="68" t="str">
        <f>Study!CJ29</f>
        <v>H21</v>
      </c>
      <c r="F30" s="66" t="str">
        <f>Study!CK29</f>
        <v>ريال سعودي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">
      <c r="A31" s="73">
        <f>Study!CF30</f>
        <v>22</v>
      </c>
      <c r="B31" s="74" t="str">
        <f>Study!CG30</f>
        <v>الاشتراك العيني من المطور</v>
      </c>
      <c r="C31" s="93">
        <f>Study!CH30</f>
        <v>10147458.231382981</v>
      </c>
      <c r="D31" s="74" t="str">
        <f>Study!CI30</f>
        <v>الهيكلة المالية</v>
      </c>
      <c r="E31" s="76" t="str">
        <f>Study!CJ30</f>
        <v>H22</v>
      </c>
      <c r="F31" s="74" t="str">
        <f>Study!CK30</f>
        <v>ريال سعودي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">
      <c r="A32" s="65">
        <f>Study!CF31</f>
        <v>23</v>
      </c>
      <c r="B32" s="66" t="str">
        <f>Study!CG31</f>
        <v>نسبة الاشتراك العيني من المطور</v>
      </c>
      <c r="C32" s="154">
        <f>Study!CH31</f>
        <v>4.9981199921556065E-2</v>
      </c>
      <c r="D32" s="66" t="str">
        <f>Study!CI31</f>
        <v>الهيكلة المالية</v>
      </c>
      <c r="E32" s="68" t="str">
        <f>Study!CJ31</f>
        <v>I22</v>
      </c>
      <c r="F32" s="66" t="str">
        <f>Study!CK31</f>
        <v>نسبة مئوية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">
      <c r="A33" s="73">
        <f>Study!CF32</f>
        <v>24</v>
      </c>
      <c r="B33" s="74" t="str">
        <f>Study!CG32</f>
        <v>الاشتراك العيني من مالك الأرض</v>
      </c>
      <c r="C33" s="93">
        <f>Study!CH32</f>
        <v>42588000</v>
      </c>
      <c r="D33" s="74" t="str">
        <f>Study!CI32</f>
        <v>الهيكلة المالية</v>
      </c>
      <c r="E33" s="76" t="str">
        <f>Study!CJ32</f>
        <v>H23</v>
      </c>
      <c r="F33" s="74" t="str">
        <f>Study!CK32</f>
        <v>ريال سعودي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">
      <c r="A34" s="65">
        <f>Study!CF33</f>
        <v>25</v>
      </c>
      <c r="B34" s="66" t="str">
        <f>Study!CG33</f>
        <v>نسبة الاشتراك العيني من مالك الأرض</v>
      </c>
      <c r="C34" s="154">
        <f>Study!CH33</f>
        <v>0.20976675081806434</v>
      </c>
      <c r="D34" s="66" t="str">
        <f>Study!CI33</f>
        <v>الهيكلة المالية</v>
      </c>
      <c r="E34" s="68" t="str">
        <f>Study!CJ33</f>
        <v>I23</v>
      </c>
      <c r="F34" s="66" t="str">
        <f>Study!CK33</f>
        <v>نسبة مئوية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">
      <c r="A35" s="73">
        <f>Study!CF34</f>
        <v>26</v>
      </c>
      <c r="B35" s="74" t="str">
        <f>Study!CG34</f>
        <v>إجمالي الملكية</v>
      </c>
      <c r="C35" s="93">
        <f>Study!CH34</f>
        <v>72735458.231382981</v>
      </c>
      <c r="D35" s="74" t="str">
        <f>Study!CI34</f>
        <v>الهيكلة المالية</v>
      </c>
      <c r="E35" s="76" t="str">
        <f>Study!CJ34</f>
        <v>H24</v>
      </c>
      <c r="F35" s="74" t="str">
        <f>Study!CK34</f>
        <v>ريال سعودي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">
      <c r="A36" s="65">
        <f>Study!CF35</f>
        <v>27</v>
      </c>
      <c r="B36" s="66" t="str">
        <f>Study!CG35</f>
        <v>نسبة إجمالي الملكية</v>
      </c>
      <c r="C36" s="154">
        <f>Study!CH35</f>
        <v>0.35825774261435711</v>
      </c>
      <c r="D36" s="66" t="str">
        <f>Study!CI35</f>
        <v>الهيكلة المالية</v>
      </c>
      <c r="E36" s="68" t="str">
        <f>Study!CJ35</f>
        <v>I24</v>
      </c>
      <c r="F36" s="66" t="str">
        <f>Study!CK35</f>
        <v>نسبة مئوية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">
      <c r="A37" s="73">
        <f>Study!CF36</f>
        <v>28</v>
      </c>
      <c r="B37" s="74" t="str">
        <f>Study!CG36</f>
        <v>إجمالي التمويل البنكي</v>
      </c>
      <c r="C37" s="93">
        <f>Study!CH36</f>
        <v>83100000</v>
      </c>
      <c r="D37" s="74" t="str">
        <f>Study!CI36</f>
        <v>الهيكلة المالية</v>
      </c>
      <c r="E37" s="76" t="str">
        <f>Study!CJ36</f>
        <v>H26</v>
      </c>
      <c r="F37" s="74" t="str">
        <f>Study!CK36</f>
        <v>ريال سعودي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">
      <c r="A38" s="65">
        <f>Study!CF37</f>
        <v>29</v>
      </c>
      <c r="B38" s="66" t="str">
        <f>Study!CG37</f>
        <v>نسبة التمويل البنكي</v>
      </c>
      <c r="C38" s="154">
        <f>Study!CH37</f>
        <v>0.40930818523953105</v>
      </c>
      <c r="D38" s="66" t="str">
        <f>Study!CI37</f>
        <v>الهيكلة المالية</v>
      </c>
      <c r="E38" s="68" t="str">
        <f>Study!CJ37</f>
        <v>I26</v>
      </c>
      <c r="F38" s="66" t="str">
        <f>Study!CK37</f>
        <v>نسبة مئوية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">
      <c r="A39" s="73">
        <f>Study!CF38</f>
        <v>30</v>
      </c>
      <c r="B39" s="74" t="str">
        <f>Study!CG38</f>
        <v>البيع على الخارطة (هيكلة)</v>
      </c>
      <c r="C39" s="93">
        <f>Study!CH38</f>
        <v>36847256.52925536</v>
      </c>
      <c r="D39" s="74" t="str">
        <f>Study!CI38</f>
        <v>الهيكلة المالية</v>
      </c>
      <c r="E39" s="76" t="str">
        <f>Study!CJ38</f>
        <v>H29</v>
      </c>
      <c r="F39" s="74" t="str">
        <f>Study!CK38</f>
        <v>ريال سعودي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">
      <c r="A40" s="65">
        <f>Study!CF39</f>
        <v>31</v>
      </c>
      <c r="B40" s="66" t="str">
        <f>Study!CG39</f>
        <v>نسبة البيع على الخارطة</v>
      </c>
      <c r="C40" s="154">
        <f>Study!CH39</f>
        <v>0.18149077859259893</v>
      </c>
      <c r="D40" s="66" t="str">
        <f>Study!CI39</f>
        <v>الهيكلة المالية</v>
      </c>
      <c r="E40" s="68" t="str">
        <f>Study!CJ39</f>
        <v>I29</v>
      </c>
      <c r="F40" s="66" t="str">
        <f>Study!CK39</f>
        <v>نسبة مئوية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">
      <c r="A41" s="73">
        <f>Study!CF40</f>
        <v>32</v>
      </c>
      <c r="B41" s="74" t="str">
        <f>Study!CG40</f>
        <v>مصادر أخرى</v>
      </c>
      <c r="C41" s="93">
        <f>Study!CH40</f>
        <v>10342787.774496922</v>
      </c>
      <c r="D41" s="74" t="str">
        <f>Study!CI40</f>
        <v>الهيكلة المالية</v>
      </c>
      <c r="E41" s="76" t="str">
        <f>Study!CJ40</f>
        <v>H30</v>
      </c>
      <c r="F41" s="74" t="str">
        <f>Study!CK40</f>
        <v>ريال سعودي</v>
      </c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">
      <c r="A42" s="65">
        <f>Study!CF41</f>
        <v>33</v>
      </c>
      <c r="B42" s="66" t="str">
        <f>Study!CG41</f>
        <v>نسبة المصادر الأخرى</v>
      </c>
      <c r="C42" s="154">
        <f>Study!CH41</f>
        <v>5.0943293553513153E-2</v>
      </c>
      <c r="D42" s="66" t="str">
        <f>Study!CI41</f>
        <v>الهيكلة المالية</v>
      </c>
      <c r="E42" s="68" t="str">
        <f>Study!CJ41</f>
        <v>I30</v>
      </c>
      <c r="F42" s="66" t="str">
        <f>Study!CK41</f>
        <v>نسبة مئوية</v>
      </c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">
      <c r="A43" s="73">
        <f>Study!CF42</f>
        <v>34</v>
      </c>
      <c r="B43" s="74" t="str">
        <f>Study!CG42</f>
        <v>إجمالي التمويل التشغيلي</v>
      </c>
      <c r="C43" s="93">
        <f>Study!CH42</f>
        <v>47190044.303752281</v>
      </c>
      <c r="D43" s="74" t="str">
        <f>Study!CI42</f>
        <v>الهيكلة المالية</v>
      </c>
      <c r="E43" s="76" t="str">
        <f>Study!CJ42</f>
        <v>H31</v>
      </c>
      <c r="F43" s="74" t="str">
        <f>Study!CK42</f>
        <v>ريال سعودي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">
      <c r="A44" s="65">
        <f>Study!CF43</f>
        <v>35</v>
      </c>
      <c r="B44" s="66" t="str">
        <f>Study!CG43</f>
        <v>نسبة إجمالي التمويل التشغيلي</v>
      </c>
      <c r="C44" s="154">
        <f>Study!CH43</f>
        <v>0.23243407214611209</v>
      </c>
      <c r="D44" s="66" t="str">
        <f>Study!CI43</f>
        <v>الهيكلة المالية</v>
      </c>
      <c r="E44" s="68" t="str">
        <f>Study!CJ43</f>
        <v>I31</v>
      </c>
      <c r="F44" s="66" t="str">
        <f>Study!CK43</f>
        <v>نسبة مئوية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">
      <c r="A45" s="73">
        <f>Study!CF44</f>
        <v>36</v>
      </c>
      <c r="B45" s="74" t="str">
        <f>Study!CG44</f>
        <v>إجمالي مصادر التمويل</v>
      </c>
      <c r="C45" s="93">
        <f>Study!CH44</f>
        <v>203025502.53513524</v>
      </c>
      <c r="D45" s="74" t="str">
        <f>Study!CI44</f>
        <v>الهيكلة المالية</v>
      </c>
      <c r="E45" s="76" t="str">
        <f>Study!CJ44</f>
        <v>H33</v>
      </c>
      <c r="F45" s="74" t="str">
        <f>Study!CK44</f>
        <v>ريال سعودي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" x14ac:dyDescent="0.2">
      <c r="A46" s="455" t="str">
        <f>Study!CF45</f>
        <v>▌ تفاصيل الأرض</v>
      </c>
      <c r="B46" s="455">
        <f>Study!CG45</f>
        <v>0</v>
      </c>
      <c r="C46" s="455">
        <f>Study!CH45</f>
        <v>0</v>
      </c>
      <c r="D46" s="455">
        <f>Study!CI45</f>
        <v>0</v>
      </c>
      <c r="E46" s="455">
        <f>Study!CJ45</f>
        <v>0</v>
      </c>
      <c r="F46" s="455">
        <f>Study!CK45</f>
        <v>0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">
      <c r="A47" s="65">
        <f>Study!CF46</f>
        <v>37</v>
      </c>
      <c r="B47" s="66" t="str">
        <f>Study!CG46</f>
        <v>مساحة الأرض الإجمالية</v>
      </c>
      <c r="C47" s="141">
        <f>Study!CH46</f>
        <v>4680</v>
      </c>
      <c r="D47" s="66" t="str">
        <f>Study!CI46</f>
        <v>تفاصيل الأرض</v>
      </c>
      <c r="E47" s="68" t="str">
        <f>Study!CJ46</f>
        <v>C49</v>
      </c>
      <c r="F47" s="66" t="str">
        <f>Study!CK46</f>
        <v>م²</v>
      </c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">
      <c r="A48" s="73">
        <f>Study!CF47</f>
        <v>38</v>
      </c>
      <c r="B48" s="74" t="str">
        <f>Study!CG47</f>
        <v>التكلفة للمتر</v>
      </c>
      <c r="C48" s="93">
        <f>Study!CH47</f>
        <v>13000</v>
      </c>
      <c r="D48" s="74" t="str">
        <f>Study!CI47</f>
        <v>تفاصيل الأرض</v>
      </c>
      <c r="E48" s="76" t="str">
        <f>Study!CJ47</f>
        <v>D49</v>
      </c>
      <c r="F48" s="74" t="str">
        <f>Study!CK47</f>
        <v>ريال/م²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">
      <c r="A49" s="65">
        <f>Study!CF48</f>
        <v>39</v>
      </c>
      <c r="B49" s="66" t="str">
        <f>Study!CG48</f>
        <v>تكلفة الأرض قبل الضرائب</v>
      </c>
      <c r="C49" s="88">
        <f>Study!CH48</f>
        <v>60840000</v>
      </c>
      <c r="D49" s="66" t="str">
        <f>Study!CI48</f>
        <v>تفاصيل الأرض</v>
      </c>
      <c r="E49" s="68" t="str">
        <f>Study!CJ48</f>
        <v>E49</v>
      </c>
      <c r="F49" s="66" t="str">
        <f>Study!CK48</f>
        <v>ريال سعودي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">
      <c r="A50" s="73">
        <f>Study!CF49</f>
        <v>40</v>
      </c>
      <c r="B50" s="74" t="str">
        <f>Study!CG49</f>
        <v>ضريبة التصرفات العقارية (RETT)</v>
      </c>
      <c r="C50" s="93">
        <f>Study!CH49</f>
        <v>2129400</v>
      </c>
      <c r="D50" s="74" t="str">
        <f>Study!CI49</f>
        <v>تفاصيل الأرض</v>
      </c>
      <c r="E50" s="76" t="str">
        <f>Study!CJ49</f>
        <v>F49</v>
      </c>
      <c r="F50" s="74" t="str">
        <f>Study!CK49</f>
        <v>ريال سعودي</v>
      </c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">
      <c r="A51" s="65">
        <f>Study!CF50</f>
        <v>41</v>
      </c>
      <c r="B51" s="66" t="str">
        <f>Study!CG50</f>
        <v>السعي (Commission)</v>
      </c>
      <c r="C51" s="88">
        <f>Study!CH50</f>
        <v>1064700</v>
      </c>
      <c r="D51" s="66" t="str">
        <f>Study!CI50</f>
        <v>تفاصيل الأرض</v>
      </c>
      <c r="E51" s="68" t="str">
        <f>Study!CJ50</f>
        <v>G49</v>
      </c>
      <c r="F51" s="66" t="str">
        <f>Study!CK50</f>
        <v>ريال سعودي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">
      <c r="A52" s="73">
        <f>Study!CF51</f>
        <v>42</v>
      </c>
      <c r="B52" s="74" t="str">
        <f>Study!CG51</f>
        <v>ضريبة السعي</v>
      </c>
      <c r="C52" s="93">
        <f>Study!CH51</f>
        <v>159705</v>
      </c>
      <c r="D52" s="74" t="str">
        <f>Study!CI51</f>
        <v>تفاصيل الأرض</v>
      </c>
      <c r="E52" s="76" t="str">
        <f>Study!CJ51</f>
        <v>H49</v>
      </c>
      <c r="F52" s="74" t="str">
        <f>Study!CK51</f>
        <v>ريال سعودي</v>
      </c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">
      <c r="A53" s="65">
        <f>Study!CF52</f>
        <v>43</v>
      </c>
      <c r="B53" s="66" t="str">
        <f>Study!CG52</f>
        <v>إجمالي تكلفة الأرض بعد الضرائب</v>
      </c>
      <c r="C53" s="88">
        <f>Study!CH52</f>
        <v>64193805</v>
      </c>
      <c r="D53" s="66" t="str">
        <f>Study!CI52</f>
        <v>تفاصيل الأرض</v>
      </c>
      <c r="E53" s="68" t="str">
        <f>Study!CJ52</f>
        <v>I49</v>
      </c>
      <c r="F53" s="66" t="str">
        <f>Study!CK52</f>
        <v>ريال سعودي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">
      <c r="A54" s="73">
        <f>Study!CF53</f>
        <v>44</v>
      </c>
      <c r="B54" s="74" t="str">
        <f>Study!CG53</f>
        <v>معامل البناء (FAR)</v>
      </c>
      <c r="C54" s="220">
        <f>Study!CH53</f>
        <v>3.9</v>
      </c>
      <c r="D54" s="74" t="str">
        <f>Study!CI53</f>
        <v>تفاصيل الأرض</v>
      </c>
      <c r="E54" s="76" t="str">
        <f>Study!CJ53</f>
        <v>K49</v>
      </c>
      <c r="F54" s="74" t="str">
        <f>Study!CK53</f>
        <v>معامل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">
      <c r="A55" s="65">
        <f>Study!CF54</f>
        <v>45</v>
      </c>
      <c r="B55" s="66" t="str">
        <f>Study!CG54</f>
        <v>إجمالي مسطحات البناء فوق الأرض</v>
      </c>
      <c r="C55" s="141">
        <f>Study!CH54</f>
        <v>18252</v>
      </c>
      <c r="D55" s="66" t="str">
        <f>Study!CI54</f>
        <v>تفاصيل الأرض</v>
      </c>
      <c r="E55" s="68" t="str">
        <f>Study!CJ54</f>
        <v>L49</v>
      </c>
      <c r="F55" s="66" t="str">
        <f>Study!CK54</f>
        <v>م²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" x14ac:dyDescent="0.2">
      <c r="A56" s="455" t="str">
        <f>Study!CF55</f>
        <v>▌ تفاصيل البناء</v>
      </c>
      <c r="B56" s="455">
        <f>Study!CG55</f>
        <v>0</v>
      </c>
      <c r="C56" s="455">
        <f>Study!CH55</f>
        <v>0</v>
      </c>
      <c r="D56" s="455">
        <f>Study!CI55</f>
        <v>0</v>
      </c>
      <c r="E56" s="455">
        <f>Study!CJ55</f>
        <v>0</v>
      </c>
      <c r="F56" s="455">
        <f>Study!CK55</f>
        <v>0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">
      <c r="A57" s="73">
        <f>Study!CF56</f>
        <v>46</v>
      </c>
      <c r="B57" s="74" t="str">
        <f>Study!CG56</f>
        <v>معامل البناء (FAR)</v>
      </c>
      <c r="C57" s="220">
        <f>Study!CH56</f>
        <v>3.9</v>
      </c>
      <c r="D57" s="74" t="str">
        <f>Study!CI56</f>
        <v>تفاصيل البناء</v>
      </c>
      <c r="E57" s="76" t="str">
        <f>Study!CJ56</f>
        <v>D59</v>
      </c>
      <c r="F57" s="74" t="str">
        <f>Study!CK56</f>
        <v>معامل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">
      <c r="A58" s="65">
        <f>Study!CF57</f>
        <v>47</v>
      </c>
      <c r="B58" s="66" t="str">
        <f>Study!CG57</f>
        <v>إجمالي المساحة التطويرية</v>
      </c>
      <c r="C58" s="141">
        <f>Study!CH57</f>
        <v>30747.599999999999</v>
      </c>
      <c r="D58" s="66" t="str">
        <f>Study!CI57</f>
        <v>تفاصيل البناء</v>
      </c>
      <c r="E58" s="68" t="str">
        <f>Study!CJ57</f>
        <v>E59</v>
      </c>
      <c r="F58" s="66" t="str">
        <f>Study!CK57</f>
        <v>م²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">
      <c r="A59" s="73">
        <f>Study!CF58</f>
        <v>48</v>
      </c>
      <c r="B59" s="74" t="str">
        <f>Study!CG58</f>
        <v>إجمالي المساحة المبنية (GBA)</v>
      </c>
      <c r="C59" s="221">
        <f>Study!CH58</f>
        <v>27612</v>
      </c>
      <c r="D59" s="74" t="str">
        <f>Study!CI58</f>
        <v>تفاصيل البناء</v>
      </c>
      <c r="E59" s="76" t="str">
        <f>Study!CJ58</f>
        <v>F59</v>
      </c>
      <c r="F59" s="74" t="str">
        <f>Study!CK58</f>
        <v>م²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">
      <c r="A60" s="65">
        <f>Study!CF59</f>
        <v>49</v>
      </c>
      <c r="B60" s="66" t="str">
        <f>Study!CG59</f>
        <v>إجمالي المساحة فوق مستوى الأرض</v>
      </c>
      <c r="C60" s="141">
        <f>Study!CH59</f>
        <v>18252</v>
      </c>
      <c r="D60" s="66" t="str">
        <f>Study!CI59</f>
        <v>تفاصيل البناء</v>
      </c>
      <c r="E60" s="68" t="str">
        <f>Study!CJ59</f>
        <v>H59</v>
      </c>
      <c r="F60" s="66" t="str">
        <f>Study!CK59</f>
        <v>م²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">
      <c r="A61" s="73">
        <f>Study!CF60</f>
        <v>50</v>
      </c>
      <c r="B61" s="74" t="str">
        <f>Study!CG60</f>
        <v>إجمالي المساحات القابلة للبيع (NSA)</v>
      </c>
      <c r="C61" s="221">
        <f>Study!CH60</f>
        <v>14635.579787234041</v>
      </c>
      <c r="D61" s="74" t="str">
        <f>Study!CI60</f>
        <v>تفاصيل البناء</v>
      </c>
      <c r="E61" s="76" t="str">
        <f>Study!CJ60</f>
        <v>J59</v>
      </c>
      <c r="F61" s="74" t="str">
        <f>Study!CK60</f>
        <v>م²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">
      <c r="A62" s="65">
        <f>Study!CF61</f>
        <v>51</v>
      </c>
      <c r="B62" s="66" t="str">
        <f>Study!CG61</f>
        <v>معيار المواقف</v>
      </c>
      <c r="C62" s="231">
        <f>Study!CH61</f>
        <v>3.5</v>
      </c>
      <c r="D62" s="66" t="str">
        <f>Study!CI61</f>
        <v>تفاصيل البناء</v>
      </c>
      <c r="E62" s="68" t="str">
        <f>Study!CJ61</f>
        <v>L60</v>
      </c>
      <c r="F62" s="66" t="str">
        <f>Study!CK61</f>
        <v>موقف/وحدة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" x14ac:dyDescent="0.2">
      <c r="A63" s="455" t="str">
        <f>Study!CF62</f>
        <v>▌ مكوّن البناء - سكني</v>
      </c>
      <c r="B63" s="455">
        <f>Study!CG62</f>
        <v>0</v>
      </c>
      <c r="C63" s="455">
        <f>Study!CH62</f>
        <v>0</v>
      </c>
      <c r="D63" s="455">
        <f>Study!CI62</f>
        <v>0</v>
      </c>
      <c r="E63" s="455">
        <f>Study!CJ62</f>
        <v>0</v>
      </c>
      <c r="F63" s="455">
        <f>Study!CK62</f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">
      <c r="A64" s="73">
        <f>Study!CF63</f>
        <v>52</v>
      </c>
      <c r="B64" s="74" t="str">
        <f>Study!CG63</f>
        <v>سكني - نسبة من المساحة البنائية</v>
      </c>
      <c r="C64" s="148">
        <f>Study!CH63</f>
        <v>0.47473404255319201</v>
      </c>
      <c r="D64" s="74" t="str">
        <f>Study!CI63</f>
        <v>مكوّن البناء - سكني</v>
      </c>
      <c r="E64" s="76" t="str">
        <f>Study!CJ63</f>
        <v>C61</v>
      </c>
      <c r="F64" s="74" t="str">
        <f>Study!CK63</f>
        <v>نسبة مئوية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">
      <c r="A65" s="65">
        <f>Study!CF64</f>
        <v>53</v>
      </c>
      <c r="B65" s="66" t="str">
        <f>Study!CG64</f>
        <v>سكني - إجمالي المساحة البنائية (GBA)</v>
      </c>
      <c r="C65" s="141">
        <f>Study!CH64</f>
        <v>8664.8457446808607</v>
      </c>
      <c r="D65" s="66" t="str">
        <f>Study!CI64</f>
        <v>مكوّن البناء - سكني</v>
      </c>
      <c r="E65" s="68" t="str">
        <f>Study!CJ64</f>
        <v>D61</v>
      </c>
      <c r="F65" s="66" t="str">
        <f>Study!CK64</f>
        <v>م²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">
      <c r="A66" s="73">
        <f>Study!CF65</f>
        <v>54</v>
      </c>
      <c r="B66" s="74" t="str">
        <f>Study!CG65</f>
        <v>سكني - نسبة المساحات القابلة للبيع</v>
      </c>
      <c r="C66" s="148">
        <f>Study!CH65</f>
        <v>1</v>
      </c>
      <c r="D66" s="74" t="str">
        <f>Study!CI65</f>
        <v>مكوّن البناء - سكني</v>
      </c>
      <c r="E66" s="76" t="str">
        <f>Study!CJ65</f>
        <v>E61</v>
      </c>
      <c r="F66" s="74" t="str">
        <f>Study!CK65</f>
        <v>نسبة مئوية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">
      <c r="A67" s="65">
        <f>Study!CF66</f>
        <v>55</v>
      </c>
      <c r="B67" s="66" t="str">
        <f>Study!CG66</f>
        <v>سكني - المساحات الصافية القابلة للبيع (NSA)</v>
      </c>
      <c r="C67" s="141">
        <f>Study!CH66</f>
        <v>8664.8457446808607</v>
      </c>
      <c r="D67" s="66" t="str">
        <f>Study!CI66</f>
        <v>مكوّن البناء - سكني</v>
      </c>
      <c r="E67" s="68" t="str">
        <f>Study!CJ66</f>
        <v>F61</v>
      </c>
      <c r="F67" s="66" t="str">
        <f>Study!CK66</f>
        <v>م²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">
      <c r="A68" s="73">
        <f>Study!CF67</f>
        <v>56</v>
      </c>
      <c r="B68" s="74" t="str">
        <f>Study!CG67</f>
        <v>سكني - مساحة الوحدة</v>
      </c>
      <c r="C68" s="221">
        <f>Study!CH67</f>
        <v>94.183105920444135</v>
      </c>
      <c r="D68" s="74" t="str">
        <f>Study!CI67</f>
        <v>مكوّن البناء - سكني</v>
      </c>
      <c r="E68" s="76" t="str">
        <f>Study!CJ67</f>
        <v>G61</v>
      </c>
      <c r="F68" s="74" t="str">
        <f>Study!CK67</f>
        <v>م²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">
      <c r="A69" s="65">
        <f>Study!CF68</f>
        <v>57</v>
      </c>
      <c r="B69" s="66" t="str">
        <f>Study!CG68</f>
        <v>سكني - عدد الوحدات</v>
      </c>
      <c r="C69" s="231">
        <f>Study!CH68</f>
        <v>92</v>
      </c>
      <c r="D69" s="66" t="str">
        <f>Study!CI68</f>
        <v>مكوّن البناء - سكني</v>
      </c>
      <c r="E69" s="68" t="str">
        <f>Study!CJ68</f>
        <v>H61</v>
      </c>
      <c r="F69" s="66" t="str">
        <f>Study!CK68</f>
        <v>وحدة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">
      <c r="A70" s="73">
        <f>Study!CF69</f>
        <v>58</v>
      </c>
      <c r="B70" s="74" t="str">
        <f>Study!CG69</f>
        <v>سكني - تكلفة متر البناء</v>
      </c>
      <c r="C70" s="93">
        <f>Study!CH69</f>
        <v>3300</v>
      </c>
      <c r="D70" s="74" t="str">
        <f>Study!CI69</f>
        <v>مكوّن البناء - سكني</v>
      </c>
      <c r="E70" s="76" t="str">
        <f>Study!CJ69</f>
        <v>I61</v>
      </c>
      <c r="F70" s="74" t="str">
        <f>Study!CK69</f>
        <v>ريال/م²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">
      <c r="A71" s="65">
        <f>Study!CF70</f>
        <v>59</v>
      </c>
      <c r="B71" s="66" t="str">
        <f>Study!CG70</f>
        <v>سكني - إجمالي التكاليف</v>
      </c>
      <c r="C71" s="88">
        <f>Study!CH70</f>
        <v>28593990.95744684</v>
      </c>
      <c r="D71" s="66" t="str">
        <f>Study!CI70</f>
        <v>مكوّن البناء - سكني</v>
      </c>
      <c r="E71" s="68" t="str">
        <f>Study!CJ70</f>
        <v>J61</v>
      </c>
      <c r="F71" s="66" t="str">
        <f>Study!CK70</f>
        <v>ريال سعودي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">
      <c r="A72" s="73">
        <f>Study!CF71</f>
        <v>60</v>
      </c>
      <c r="B72" s="74" t="str">
        <f>Study!CG71</f>
        <v>سكني - عدد المواقف</v>
      </c>
      <c r="C72" s="246">
        <f>Study!CH71</f>
        <v>92</v>
      </c>
      <c r="D72" s="74" t="str">
        <f>Study!CI71</f>
        <v>مكوّن البناء - سكني</v>
      </c>
      <c r="E72" s="76" t="str">
        <f>Study!CJ71</f>
        <v>K61</v>
      </c>
      <c r="F72" s="74" t="str">
        <f>Study!CK71</f>
        <v>موقف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">
      <c r="A73" s="65">
        <f>Study!CF72</f>
        <v>61</v>
      </c>
      <c r="B73" s="66" t="str">
        <f>Study!CG72</f>
        <v>سكني - معيار المواقف</v>
      </c>
      <c r="C73" s="252">
        <f>Study!CH72</f>
        <v>1</v>
      </c>
      <c r="D73" s="66" t="str">
        <f>Study!CI72</f>
        <v>مكوّن البناء - سكني</v>
      </c>
      <c r="E73" s="68" t="str">
        <f>Study!CJ72</f>
        <v>L61</v>
      </c>
      <c r="F73" s="66" t="str">
        <f>Study!CK72</f>
        <v>معيار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" x14ac:dyDescent="0.2">
      <c r="A74" s="455" t="str">
        <f>Study!CF73</f>
        <v>▌ مكوّن البناء - فلل</v>
      </c>
      <c r="B74" s="455">
        <f>Study!CG73</f>
        <v>0</v>
      </c>
      <c r="C74" s="455">
        <f>Study!CH73</f>
        <v>0</v>
      </c>
      <c r="D74" s="455">
        <f>Study!CI73</f>
        <v>0</v>
      </c>
      <c r="E74" s="455">
        <f>Study!CJ73</f>
        <v>0</v>
      </c>
      <c r="F74" s="455">
        <f>Study!CK73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">
      <c r="A75" s="73">
        <f>Study!CF74</f>
        <v>62</v>
      </c>
      <c r="B75" s="74" t="str">
        <f>Study!CG74</f>
        <v>فلل - نسبة من المساحة البنائية</v>
      </c>
      <c r="C75" s="148">
        <f>Study!CH74</f>
        <v>0</v>
      </c>
      <c r="D75" s="74" t="str">
        <f>Study!CI74</f>
        <v>مكوّن البناء - فلل</v>
      </c>
      <c r="E75" s="76" t="str">
        <f>Study!CJ74</f>
        <v>C62</v>
      </c>
      <c r="F75" s="74" t="str">
        <f>Study!CK74</f>
        <v>نسبة مئوية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">
      <c r="A76" s="65">
        <f>Study!CF75</f>
        <v>63</v>
      </c>
      <c r="B76" s="66" t="str">
        <f>Study!CG75</f>
        <v>فلل - إجمالي المساحة البنائية (GBA)</v>
      </c>
      <c r="C76" s="141">
        <f>Study!CH75</f>
        <v>0</v>
      </c>
      <c r="D76" s="66" t="str">
        <f>Study!CI75</f>
        <v>مكوّن البناء - فلل</v>
      </c>
      <c r="E76" s="68" t="str">
        <f>Study!CJ75</f>
        <v>D62</v>
      </c>
      <c r="F76" s="66" t="str">
        <f>Study!CK75</f>
        <v>م²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">
      <c r="A77" s="73">
        <f>Study!CF76</f>
        <v>64</v>
      </c>
      <c r="B77" s="74" t="str">
        <f>Study!CG76</f>
        <v>فلل - نسبة المساحات القابلة للبيع</v>
      </c>
      <c r="C77" s="148">
        <f>Study!CH76</f>
        <v>0</v>
      </c>
      <c r="D77" s="74" t="str">
        <f>Study!CI76</f>
        <v>مكوّن البناء - فلل</v>
      </c>
      <c r="E77" s="76" t="str">
        <f>Study!CJ76</f>
        <v>E62</v>
      </c>
      <c r="F77" s="74" t="str">
        <f>Study!CK76</f>
        <v>نسبة مئوية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">
      <c r="A78" s="65">
        <f>Study!CF77</f>
        <v>65</v>
      </c>
      <c r="B78" s="66" t="str">
        <f>Study!CG77</f>
        <v>فلل - المساحات الصافية القابلة للبيع (NSA)</v>
      </c>
      <c r="C78" s="141">
        <f>Study!CH77</f>
        <v>0</v>
      </c>
      <c r="D78" s="66" t="str">
        <f>Study!CI77</f>
        <v>مكوّن البناء - فلل</v>
      </c>
      <c r="E78" s="68" t="str">
        <f>Study!CJ77</f>
        <v>F62</v>
      </c>
      <c r="F78" s="66" t="str">
        <f>Study!CK77</f>
        <v>م²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">
      <c r="A79" s="73">
        <f>Study!CF78</f>
        <v>66</v>
      </c>
      <c r="B79" s="74" t="str">
        <f>Study!CG78</f>
        <v>فلل - مساحة الوحدة</v>
      </c>
      <c r="C79" s="221" t="str">
        <f>Study!CH78</f>
        <v>0</v>
      </c>
      <c r="D79" s="74" t="str">
        <f>Study!CI78</f>
        <v>مكوّن البناء - فلل</v>
      </c>
      <c r="E79" s="76" t="str">
        <f>Study!CJ78</f>
        <v>G62</v>
      </c>
      <c r="F79" s="74" t="str">
        <f>Study!CK78</f>
        <v>م²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">
      <c r="A80" s="65">
        <f>Study!CF79</f>
        <v>67</v>
      </c>
      <c r="B80" s="66" t="str">
        <f>Study!CG79</f>
        <v>فلل - عدد الوحدات</v>
      </c>
      <c r="C80" s="231">
        <f>Study!CH79</f>
        <v>0</v>
      </c>
      <c r="D80" s="66" t="str">
        <f>Study!CI79</f>
        <v>مكوّن البناء - فلل</v>
      </c>
      <c r="E80" s="68" t="str">
        <f>Study!CJ79</f>
        <v>H62</v>
      </c>
      <c r="F80" s="66" t="str">
        <f>Study!CK79</f>
        <v>وحدة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2">
      <c r="A81" s="73">
        <f>Study!CF80</f>
        <v>68</v>
      </c>
      <c r="B81" s="74" t="str">
        <f>Study!CG80</f>
        <v>فلل - تكلفة متر البناء</v>
      </c>
      <c r="C81" s="93">
        <f>Study!CH80</f>
        <v>0</v>
      </c>
      <c r="D81" s="74" t="str">
        <f>Study!CI80</f>
        <v>مكوّن البناء - فلل</v>
      </c>
      <c r="E81" s="76" t="str">
        <f>Study!CJ80</f>
        <v>I62</v>
      </c>
      <c r="F81" s="74" t="str">
        <f>Study!CK80</f>
        <v>ريال/م²</v>
      </c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">
      <c r="A82" s="65">
        <f>Study!CF81</f>
        <v>69</v>
      </c>
      <c r="B82" s="66" t="str">
        <f>Study!CG81</f>
        <v>فلل - إجمالي التكاليف</v>
      </c>
      <c r="C82" s="88">
        <f>Study!CH81</f>
        <v>0</v>
      </c>
      <c r="D82" s="66" t="str">
        <f>Study!CI81</f>
        <v>مكوّن البناء - فلل</v>
      </c>
      <c r="E82" s="68" t="str">
        <f>Study!CJ81</f>
        <v>J62</v>
      </c>
      <c r="F82" s="66" t="str">
        <f>Study!CK81</f>
        <v>ريال سعودي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2">
      <c r="A83" s="73">
        <f>Study!CF82</f>
        <v>70</v>
      </c>
      <c r="B83" s="74" t="str">
        <f>Study!CG82</f>
        <v>فلل - عدد المواقف</v>
      </c>
      <c r="C83" s="246">
        <f>Study!CH82</f>
        <v>0</v>
      </c>
      <c r="D83" s="74" t="str">
        <f>Study!CI82</f>
        <v>مكوّن البناء - فلل</v>
      </c>
      <c r="E83" s="76" t="str">
        <f>Study!CJ82</f>
        <v>K62</v>
      </c>
      <c r="F83" s="74" t="str">
        <f>Study!CK82</f>
        <v>موقف</v>
      </c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">
      <c r="A84" s="65">
        <f>Study!CF83</f>
        <v>71</v>
      </c>
      <c r="B84" s="66" t="str">
        <f>Study!CG83</f>
        <v>فلل - معيار المواقف</v>
      </c>
      <c r="C84" s="252">
        <f>Study!CH83</f>
        <v>0</v>
      </c>
      <c r="D84" s="66" t="str">
        <f>Study!CI83</f>
        <v>مكوّن البناء - فلل</v>
      </c>
      <c r="E84" s="68" t="str">
        <f>Study!CJ83</f>
        <v>L62</v>
      </c>
      <c r="F84" s="66" t="str">
        <f>Study!CK83</f>
        <v>معيار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" x14ac:dyDescent="0.2">
      <c r="A85" s="455" t="str">
        <f>Study!CF84</f>
        <v>▌ مكوّن البناء - تاون هاوس</v>
      </c>
      <c r="B85" s="455">
        <f>Study!CG84</f>
        <v>0</v>
      </c>
      <c r="C85" s="455">
        <f>Study!CH84</f>
        <v>0</v>
      </c>
      <c r="D85" s="455">
        <f>Study!CI84</f>
        <v>0</v>
      </c>
      <c r="E85" s="455">
        <f>Study!CJ84</f>
        <v>0</v>
      </c>
      <c r="F85" s="455">
        <f>Study!CK84</f>
        <v>0</v>
      </c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">
      <c r="A86" s="73">
        <f>Study!CF85</f>
        <v>72</v>
      </c>
      <c r="B86" s="74" t="str">
        <f>Study!CG85</f>
        <v>تاون هاوس - نسبة من المساحة البنائية</v>
      </c>
      <c r="C86" s="148">
        <f>Study!CH85</f>
        <v>0</v>
      </c>
      <c r="D86" s="74" t="str">
        <f>Study!CI85</f>
        <v>مكوّن البناء - تاون هاوس</v>
      </c>
      <c r="E86" s="76" t="str">
        <f>Study!CJ85</f>
        <v>C63</v>
      </c>
      <c r="F86" s="74" t="str">
        <f>Study!CK85</f>
        <v>نسبة مئوية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">
      <c r="A87" s="65">
        <f>Study!CF86</f>
        <v>73</v>
      </c>
      <c r="B87" s="66" t="str">
        <f>Study!CG86</f>
        <v>تاون هاوس - إجمالي المساحة البنائية (GBA)</v>
      </c>
      <c r="C87" s="141">
        <f>Study!CH86</f>
        <v>0</v>
      </c>
      <c r="D87" s="66" t="str">
        <f>Study!CI86</f>
        <v>مكوّن البناء - تاون هاوس</v>
      </c>
      <c r="E87" s="68" t="str">
        <f>Study!CJ86</f>
        <v>D63</v>
      </c>
      <c r="F87" s="66" t="str">
        <f>Study!CK86</f>
        <v>م²</v>
      </c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">
      <c r="A88" s="73">
        <f>Study!CF87</f>
        <v>74</v>
      </c>
      <c r="B88" s="74" t="str">
        <f>Study!CG87</f>
        <v>تاون هاوس - نسبة المساحات القابلة للبيع</v>
      </c>
      <c r="C88" s="148">
        <f>Study!CH87</f>
        <v>0</v>
      </c>
      <c r="D88" s="74" t="str">
        <f>Study!CI87</f>
        <v>مكوّن البناء - تاون هاوس</v>
      </c>
      <c r="E88" s="76" t="str">
        <f>Study!CJ87</f>
        <v>E63</v>
      </c>
      <c r="F88" s="74" t="str">
        <f>Study!CK87</f>
        <v>نسبة مئوية</v>
      </c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">
      <c r="A89" s="65">
        <f>Study!CF88</f>
        <v>75</v>
      </c>
      <c r="B89" s="66" t="str">
        <f>Study!CG88</f>
        <v>تاون هاوس - المساحات الصافية القابلة للبيع (NSA)</v>
      </c>
      <c r="C89" s="141">
        <f>Study!CH88</f>
        <v>0</v>
      </c>
      <c r="D89" s="66" t="str">
        <f>Study!CI88</f>
        <v>مكوّن البناء - تاون هاوس</v>
      </c>
      <c r="E89" s="68" t="str">
        <f>Study!CJ88</f>
        <v>F63</v>
      </c>
      <c r="F89" s="66" t="str">
        <f>Study!CK88</f>
        <v>م²</v>
      </c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">
      <c r="A90" s="73">
        <f>Study!CF89</f>
        <v>76</v>
      </c>
      <c r="B90" s="74" t="str">
        <f>Study!CG89</f>
        <v>تاون هاوس - مساحة الوحدة</v>
      </c>
      <c r="C90" s="221" t="str">
        <f>Study!CH89</f>
        <v>0</v>
      </c>
      <c r="D90" s="74" t="str">
        <f>Study!CI89</f>
        <v>مكوّن البناء - تاون هاوس</v>
      </c>
      <c r="E90" s="76" t="str">
        <f>Study!CJ89</f>
        <v>G63</v>
      </c>
      <c r="F90" s="74" t="str">
        <f>Study!CK89</f>
        <v>م²</v>
      </c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">
      <c r="A91" s="65">
        <f>Study!CF90</f>
        <v>77</v>
      </c>
      <c r="B91" s="66" t="str">
        <f>Study!CG90</f>
        <v>تاون هاوس - عدد الوحدات</v>
      </c>
      <c r="C91" s="231">
        <f>Study!CH90</f>
        <v>0</v>
      </c>
      <c r="D91" s="66" t="str">
        <f>Study!CI90</f>
        <v>مكوّن البناء - تاون هاوس</v>
      </c>
      <c r="E91" s="68" t="str">
        <f>Study!CJ90</f>
        <v>H63</v>
      </c>
      <c r="F91" s="66" t="str">
        <f>Study!CK90</f>
        <v>وحدة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">
      <c r="A92" s="73">
        <f>Study!CF91</f>
        <v>78</v>
      </c>
      <c r="B92" s="74" t="str">
        <f>Study!CG91</f>
        <v>تاون هاوس - تكلفة متر البناء</v>
      </c>
      <c r="C92" s="93">
        <f>Study!CH91</f>
        <v>0</v>
      </c>
      <c r="D92" s="74" t="str">
        <f>Study!CI91</f>
        <v>مكوّن البناء - تاون هاوس</v>
      </c>
      <c r="E92" s="76" t="str">
        <f>Study!CJ91</f>
        <v>I63</v>
      </c>
      <c r="F92" s="74" t="str">
        <f>Study!CK91</f>
        <v>ريال/م²</v>
      </c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">
      <c r="A93" s="65">
        <f>Study!CF92</f>
        <v>79</v>
      </c>
      <c r="B93" s="66" t="str">
        <f>Study!CG92</f>
        <v>تاون هاوس - إجمالي التكاليف</v>
      </c>
      <c r="C93" s="88">
        <f>Study!CH92</f>
        <v>0</v>
      </c>
      <c r="D93" s="66" t="str">
        <f>Study!CI92</f>
        <v>مكوّن البناء - تاون هاوس</v>
      </c>
      <c r="E93" s="68" t="str">
        <f>Study!CJ92</f>
        <v>J63</v>
      </c>
      <c r="F93" s="66" t="str">
        <f>Study!CK92</f>
        <v>ريال سعودي</v>
      </c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2">
      <c r="A94" s="73">
        <f>Study!CF93</f>
        <v>80</v>
      </c>
      <c r="B94" s="74" t="str">
        <f>Study!CG93</f>
        <v>تاون هاوس - عدد المواقف</v>
      </c>
      <c r="C94" s="246">
        <f>Study!CH93</f>
        <v>0</v>
      </c>
      <c r="D94" s="74" t="str">
        <f>Study!CI93</f>
        <v>مكوّن البناء - تاون هاوس</v>
      </c>
      <c r="E94" s="76" t="str">
        <f>Study!CJ93</f>
        <v>K63</v>
      </c>
      <c r="F94" s="74" t="str">
        <f>Study!CK93</f>
        <v>موقف</v>
      </c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2">
      <c r="A95" s="65">
        <f>Study!CF94</f>
        <v>81</v>
      </c>
      <c r="B95" s="66" t="str">
        <f>Study!CG94</f>
        <v>تاون هاوس - معيار المواقف</v>
      </c>
      <c r="C95" s="252">
        <f>Study!CH94</f>
        <v>0</v>
      </c>
      <c r="D95" s="66" t="str">
        <f>Study!CI94</f>
        <v>مكوّن البناء - تاون هاوس</v>
      </c>
      <c r="E95" s="68" t="str">
        <f>Study!CJ94</f>
        <v>L63</v>
      </c>
      <c r="F95" s="66" t="str">
        <f>Study!CK94</f>
        <v>معيار</v>
      </c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" x14ac:dyDescent="0.2">
      <c r="A96" s="455" t="str">
        <f>Study!CF95</f>
        <v>▌ مكوّن البناء - أدوار</v>
      </c>
      <c r="B96" s="455">
        <f>Study!CG95</f>
        <v>0</v>
      </c>
      <c r="C96" s="455">
        <f>Study!CH95</f>
        <v>0</v>
      </c>
      <c r="D96" s="455">
        <f>Study!CI95</f>
        <v>0</v>
      </c>
      <c r="E96" s="455">
        <f>Study!CJ95</f>
        <v>0</v>
      </c>
      <c r="F96" s="455">
        <f>Study!CK95</f>
        <v>0</v>
      </c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">
      <c r="A97" s="73">
        <f>Study!CF96</f>
        <v>82</v>
      </c>
      <c r="B97" s="74" t="str">
        <f>Study!CG96</f>
        <v>أدوار - نسبة من المساحة البنائية</v>
      </c>
      <c r="C97" s="148">
        <f>Study!CH96</f>
        <v>0</v>
      </c>
      <c r="D97" s="74" t="str">
        <f>Study!CI96</f>
        <v>مكوّن البناء - أدوار</v>
      </c>
      <c r="E97" s="76" t="str">
        <f>Study!CJ96</f>
        <v>C64</v>
      </c>
      <c r="F97" s="74" t="str">
        <f>Study!CK96</f>
        <v>نسبة مئوية</v>
      </c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">
      <c r="A98" s="65">
        <f>Study!CF97</f>
        <v>83</v>
      </c>
      <c r="B98" s="66" t="str">
        <f>Study!CG97</f>
        <v>أدوار - إجمالي المساحة البنائية (GBA)</v>
      </c>
      <c r="C98" s="141">
        <f>Study!CH97</f>
        <v>0</v>
      </c>
      <c r="D98" s="66" t="str">
        <f>Study!CI97</f>
        <v>مكوّن البناء - أدوار</v>
      </c>
      <c r="E98" s="68" t="str">
        <f>Study!CJ97</f>
        <v>D64</v>
      </c>
      <c r="F98" s="66" t="str">
        <f>Study!CK97</f>
        <v>م²</v>
      </c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">
      <c r="A99" s="73">
        <f>Study!CF98</f>
        <v>84</v>
      </c>
      <c r="B99" s="74" t="str">
        <f>Study!CG98</f>
        <v>أدوار - نسبة المساحات القابلة للبيع</v>
      </c>
      <c r="C99" s="148">
        <f>Study!CH98</f>
        <v>0</v>
      </c>
      <c r="D99" s="74" t="str">
        <f>Study!CI98</f>
        <v>مكوّن البناء - أدوار</v>
      </c>
      <c r="E99" s="76" t="str">
        <f>Study!CJ98</f>
        <v>E64</v>
      </c>
      <c r="F99" s="74" t="str">
        <f>Study!CK98</f>
        <v>نسبة مئوية</v>
      </c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">
      <c r="A100" s="65">
        <f>Study!CF99</f>
        <v>85</v>
      </c>
      <c r="B100" s="66" t="str">
        <f>Study!CG99</f>
        <v>أدوار - المساحات الصافية القابلة للبيع (NSA)</v>
      </c>
      <c r="C100" s="141">
        <f>Study!CH99</f>
        <v>0</v>
      </c>
      <c r="D100" s="66" t="str">
        <f>Study!CI99</f>
        <v>مكوّن البناء - أدوار</v>
      </c>
      <c r="E100" s="68" t="str">
        <f>Study!CJ99</f>
        <v>F64</v>
      </c>
      <c r="F100" s="66" t="str">
        <f>Study!CK99</f>
        <v>م²</v>
      </c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">
      <c r="A101" s="73">
        <f>Study!CF100</f>
        <v>86</v>
      </c>
      <c r="B101" s="74" t="str">
        <f>Study!CG100</f>
        <v>أدوار - مساحة الوحدة</v>
      </c>
      <c r="C101" s="221" t="str">
        <f>Study!CH100</f>
        <v>0</v>
      </c>
      <c r="D101" s="74" t="str">
        <f>Study!CI100</f>
        <v>مكوّن البناء - أدوار</v>
      </c>
      <c r="E101" s="76" t="str">
        <f>Study!CJ100</f>
        <v>G64</v>
      </c>
      <c r="F101" s="74" t="str">
        <f>Study!CK100</f>
        <v>م²</v>
      </c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">
      <c r="A102" s="65">
        <f>Study!CF101</f>
        <v>87</v>
      </c>
      <c r="B102" s="66" t="str">
        <f>Study!CG101</f>
        <v>أدوار - عدد الوحدات</v>
      </c>
      <c r="C102" s="231">
        <f>Study!CH101</f>
        <v>0</v>
      </c>
      <c r="D102" s="66" t="str">
        <f>Study!CI101</f>
        <v>مكوّن البناء - أدوار</v>
      </c>
      <c r="E102" s="68" t="str">
        <f>Study!CJ101</f>
        <v>H64</v>
      </c>
      <c r="F102" s="66" t="str">
        <f>Study!CK101</f>
        <v>وحدة</v>
      </c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">
      <c r="A103" s="73">
        <f>Study!CF102</f>
        <v>88</v>
      </c>
      <c r="B103" s="74" t="str">
        <f>Study!CG102</f>
        <v>أدوار - تكلفة متر البناء</v>
      </c>
      <c r="C103" s="93">
        <f>Study!CH102</f>
        <v>0</v>
      </c>
      <c r="D103" s="74" t="str">
        <f>Study!CI102</f>
        <v>مكوّن البناء - أدوار</v>
      </c>
      <c r="E103" s="76" t="str">
        <f>Study!CJ102</f>
        <v>I64</v>
      </c>
      <c r="F103" s="74" t="str">
        <f>Study!CK102</f>
        <v>ريال/م²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">
      <c r="A104" s="65">
        <f>Study!CF103</f>
        <v>89</v>
      </c>
      <c r="B104" s="66" t="str">
        <f>Study!CG103</f>
        <v>أدوار - إجمالي التكاليف</v>
      </c>
      <c r="C104" s="88">
        <f>Study!CH103</f>
        <v>0</v>
      </c>
      <c r="D104" s="66" t="str">
        <f>Study!CI103</f>
        <v>مكوّن البناء - أدوار</v>
      </c>
      <c r="E104" s="68" t="str">
        <f>Study!CJ103</f>
        <v>J64</v>
      </c>
      <c r="F104" s="66" t="str">
        <f>Study!CK103</f>
        <v>ريال سعودي</v>
      </c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">
      <c r="A105" s="73">
        <f>Study!CF104</f>
        <v>90</v>
      </c>
      <c r="B105" s="74" t="str">
        <f>Study!CG104</f>
        <v>أدوار - عدد المواقف</v>
      </c>
      <c r="C105" s="246">
        <f>Study!CH104</f>
        <v>0</v>
      </c>
      <c r="D105" s="74" t="str">
        <f>Study!CI104</f>
        <v>مكوّن البناء - أدوار</v>
      </c>
      <c r="E105" s="76" t="str">
        <f>Study!CJ104</f>
        <v>K64</v>
      </c>
      <c r="F105" s="74" t="str">
        <f>Study!CK104</f>
        <v>موقف</v>
      </c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">
      <c r="A106" s="65">
        <f>Study!CF105</f>
        <v>91</v>
      </c>
      <c r="B106" s="66" t="str">
        <f>Study!CG105</f>
        <v>أدوار - معيار المواقف</v>
      </c>
      <c r="C106" s="252">
        <f>Study!CH105</f>
        <v>0</v>
      </c>
      <c r="D106" s="66" t="str">
        <f>Study!CI105</f>
        <v>مكوّن البناء - أدوار</v>
      </c>
      <c r="E106" s="68" t="str">
        <f>Study!CJ105</f>
        <v>L64</v>
      </c>
      <c r="F106" s="66" t="str">
        <f>Study!CK105</f>
        <v>معيار</v>
      </c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" x14ac:dyDescent="0.2">
      <c r="A107" s="455" t="str">
        <f>Study!CF106</f>
        <v>▌ مكوّن البناء - أستوديوهات</v>
      </c>
      <c r="B107" s="455">
        <f>Study!CG106</f>
        <v>0</v>
      </c>
      <c r="C107" s="455">
        <f>Study!CH106</f>
        <v>0</v>
      </c>
      <c r="D107" s="455">
        <f>Study!CI106</f>
        <v>0</v>
      </c>
      <c r="E107" s="455">
        <f>Study!CJ106</f>
        <v>0</v>
      </c>
      <c r="F107" s="455">
        <f>Study!CK106</f>
        <v>0</v>
      </c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">
      <c r="A108" s="73">
        <f>Study!CF107</f>
        <v>92</v>
      </c>
      <c r="B108" s="74" t="str">
        <f>Study!CG107</f>
        <v>أستوديوهات - نسبة من المساحة البنائية</v>
      </c>
      <c r="C108" s="148">
        <f>Study!CH107</f>
        <v>0.26329787234042501</v>
      </c>
      <c r="D108" s="74" t="str">
        <f>Study!CI107</f>
        <v>مكوّن البناء - أستوديوهات</v>
      </c>
      <c r="E108" s="76" t="str">
        <f>Study!CJ107</f>
        <v>C65</v>
      </c>
      <c r="F108" s="74" t="str">
        <f>Study!CK107</f>
        <v>نسبة مئوية</v>
      </c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">
      <c r="A109" s="65">
        <f>Study!CF108</f>
        <v>93</v>
      </c>
      <c r="B109" s="66" t="str">
        <f>Study!CG108</f>
        <v>أستوديوهات - إجمالي المساحة البنائية (GBA)</v>
      </c>
      <c r="C109" s="141">
        <f>Study!CH108</f>
        <v>4805.7127659574371</v>
      </c>
      <c r="D109" s="66" t="str">
        <f>Study!CI108</f>
        <v>مكوّن البناء - أستوديوهات</v>
      </c>
      <c r="E109" s="68" t="str">
        <f>Study!CJ108</f>
        <v>D65</v>
      </c>
      <c r="F109" s="66" t="str">
        <f>Study!CK108</f>
        <v>م²</v>
      </c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">
      <c r="A110" s="73">
        <f>Study!CF109</f>
        <v>94</v>
      </c>
      <c r="B110" s="74" t="str">
        <f>Study!CG109</f>
        <v>أستوديوهات - نسبة المساحات القابلة للبيع</v>
      </c>
      <c r="C110" s="148">
        <f>Study!CH109</f>
        <v>1</v>
      </c>
      <c r="D110" s="74" t="str">
        <f>Study!CI109</f>
        <v>مكوّن البناء - أستوديوهات</v>
      </c>
      <c r="E110" s="76" t="str">
        <f>Study!CJ109</f>
        <v>E65</v>
      </c>
      <c r="F110" s="74" t="str">
        <f>Study!CK109</f>
        <v>نسبة مئوية</v>
      </c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">
      <c r="A111" s="65">
        <f>Study!CF110</f>
        <v>95</v>
      </c>
      <c r="B111" s="66" t="str">
        <f>Study!CG110</f>
        <v>أستوديوهات - المساحات الصافية القابلة للبيع (NSA)</v>
      </c>
      <c r="C111" s="141">
        <f>Study!CH110</f>
        <v>4805.7127659574371</v>
      </c>
      <c r="D111" s="66" t="str">
        <f>Study!CI110</f>
        <v>مكوّن البناء - أستوديوهات</v>
      </c>
      <c r="E111" s="68" t="str">
        <f>Study!CJ110</f>
        <v>F65</v>
      </c>
      <c r="F111" s="66" t="str">
        <f>Study!CK110</f>
        <v>م²</v>
      </c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">
      <c r="A112" s="73">
        <f>Study!CF111</f>
        <v>96</v>
      </c>
      <c r="B112" s="74" t="str">
        <f>Study!CG111</f>
        <v>أستوديوهات - مساحة الوحدة</v>
      </c>
      <c r="C112" s="221">
        <f>Study!CH111</f>
        <v>48.542553191489262</v>
      </c>
      <c r="D112" s="74" t="str">
        <f>Study!CI111</f>
        <v>مكوّن البناء - أستوديوهات</v>
      </c>
      <c r="E112" s="76" t="str">
        <f>Study!CJ111</f>
        <v>G65</v>
      </c>
      <c r="F112" s="74" t="str">
        <f>Study!CK111</f>
        <v>م²</v>
      </c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">
      <c r="A113" s="65">
        <f>Study!CF112</f>
        <v>97</v>
      </c>
      <c r="B113" s="66" t="str">
        <f>Study!CG112</f>
        <v>أستوديوهات - عدد الوحدات</v>
      </c>
      <c r="C113" s="231">
        <f>Study!CH112</f>
        <v>99</v>
      </c>
      <c r="D113" s="66" t="str">
        <f>Study!CI112</f>
        <v>مكوّن البناء - أستوديوهات</v>
      </c>
      <c r="E113" s="68" t="str">
        <f>Study!CJ112</f>
        <v>H65</v>
      </c>
      <c r="F113" s="66" t="str">
        <f>Study!CK112</f>
        <v>وحدة</v>
      </c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">
      <c r="A114" s="73">
        <f>Study!CF113</f>
        <v>98</v>
      </c>
      <c r="B114" s="74" t="str">
        <f>Study!CG113</f>
        <v>أستوديوهات - تكلفة متر البناء</v>
      </c>
      <c r="C114" s="93">
        <f>Study!CH113</f>
        <v>3300</v>
      </c>
      <c r="D114" s="74" t="str">
        <f>Study!CI113</f>
        <v>مكوّن البناء - أستوديوهات</v>
      </c>
      <c r="E114" s="76" t="str">
        <f>Study!CJ113</f>
        <v>I65</v>
      </c>
      <c r="F114" s="74" t="str">
        <f>Study!CK113</f>
        <v>ريال/م²</v>
      </c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">
      <c r="A115" s="65">
        <f>Study!CF114</f>
        <v>99</v>
      </c>
      <c r="B115" s="66" t="str">
        <f>Study!CG114</f>
        <v>أستوديوهات - إجمالي التكاليف</v>
      </c>
      <c r="C115" s="88">
        <f>Study!CH114</f>
        <v>15858852.127659542</v>
      </c>
      <c r="D115" s="66" t="str">
        <f>Study!CI114</f>
        <v>مكوّن البناء - أستوديوهات</v>
      </c>
      <c r="E115" s="68" t="str">
        <f>Study!CJ114</f>
        <v>J65</v>
      </c>
      <c r="F115" s="66" t="str">
        <f>Study!CK114</f>
        <v>ريال سعودي</v>
      </c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">
      <c r="A116" s="73">
        <f>Study!CF115</f>
        <v>100</v>
      </c>
      <c r="B116" s="74" t="str">
        <f>Study!CG115</f>
        <v>أستوديوهات - عدد المواقف</v>
      </c>
      <c r="C116" s="246">
        <f>Study!CH115</f>
        <v>99</v>
      </c>
      <c r="D116" s="74" t="str">
        <f>Study!CI115</f>
        <v>مكوّن البناء - أستوديوهات</v>
      </c>
      <c r="E116" s="76" t="str">
        <f>Study!CJ115</f>
        <v>K65</v>
      </c>
      <c r="F116" s="74" t="str">
        <f>Study!CK115</f>
        <v>موقف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">
      <c r="A117" s="65">
        <f>Study!CF116</f>
        <v>101</v>
      </c>
      <c r="B117" s="66" t="str">
        <f>Study!CG116</f>
        <v>أستوديوهات - معيار المواقف</v>
      </c>
      <c r="C117" s="252">
        <f>Study!CH116</f>
        <v>1</v>
      </c>
      <c r="D117" s="66" t="str">
        <f>Study!CI116</f>
        <v>مكوّن البناء - أستوديوهات</v>
      </c>
      <c r="E117" s="68" t="str">
        <f>Study!CJ116</f>
        <v>L65</v>
      </c>
      <c r="F117" s="66" t="str">
        <f>Study!CK116</f>
        <v>معيار</v>
      </c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" x14ac:dyDescent="0.2">
      <c r="A118" s="455" t="str">
        <f>Study!CF117</f>
        <v>▌ مكوّن البناء - مكتبي</v>
      </c>
      <c r="B118" s="455">
        <f>Study!CG117</f>
        <v>0</v>
      </c>
      <c r="C118" s="455">
        <f>Study!CH117</f>
        <v>0</v>
      </c>
      <c r="D118" s="455">
        <f>Study!CI117</f>
        <v>0</v>
      </c>
      <c r="E118" s="455">
        <f>Study!CJ117</f>
        <v>0</v>
      </c>
      <c r="F118" s="455">
        <f>Study!CK117</f>
        <v>0</v>
      </c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">
      <c r="A119" s="73">
        <f>Study!CF118</f>
        <v>102</v>
      </c>
      <c r="B119" s="74" t="str">
        <f>Study!CG118</f>
        <v>مكتبي - نسبة من المساحة البنائية</v>
      </c>
      <c r="C119" s="148">
        <f>Study!CH118</f>
        <v>0</v>
      </c>
      <c r="D119" s="74" t="str">
        <f>Study!CI118</f>
        <v>مكوّن البناء - مكتبي</v>
      </c>
      <c r="E119" s="76" t="str">
        <f>Study!CJ118</f>
        <v>C66</v>
      </c>
      <c r="F119" s="74" t="str">
        <f>Study!CK118</f>
        <v>نسبة مئوية</v>
      </c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">
      <c r="A120" s="65">
        <f>Study!CF119</f>
        <v>103</v>
      </c>
      <c r="B120" s="66" t="str">
        <f>Study!CG119</f>
        <v>مكتبي - إجمالي المساحة البنائية (GBA)</v>
      </c>
      <c r="C120" s="141">
        <f>Study!CH119</f>
        <v>0</v>
      </c>
      <c r="D120" s="66" t="str">
        <f>Study!CI119</f>
        <v>مكوّن البناء - مكتبي</v>
      </c>
      <c r="E120" s="68" t="str">
        <f>Study!CJ119</f>
        <v>D66</v>
      </c>
      <c r="F120" s="66" t="str">
        <f>Study!CK119</f>
        <v>م²</v>
      </c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">
      <c r="A121" s="73">
        <f>Study!CF120</f>
        <v>104</v>
      </c>
      <c r="B121" s="74" t="str">
        <f>Study!CG120</f>
        <v>مكتبي - نسبة المساحات القابلة للبيع</v>
      </c>
      <c r="C121" s="148">
        <f>Study!CH120</f>
        <v>0</v>
      </c>
      <c r="D121" s="74" t="str">
        <f>Study!CI120</f>
        <v>مكوّن البناء - مكتبي</v>
      </c>
      <c r="E121" s="76" t="str">
        <f>Study!CJ120</f>
        <v>E66</v>
      </c>
      <c r="F121" s="74" t="str">
        <f>Study!CK120</f>
        <v>نسبة مئوية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">
      <c r="A122" s="65">
        <f>Study!CF121</f>
        <v>105</v>
      </c>
      <c r="B122" s="66" t="str">
        <f>Study!CG121</f>
        <v>مكتبي - المساحات الصافية القابلة للبيع (NSA)</v>
      </c>
      <c r="C122" s="141">
        <f>Study!CH121</f>
        <v>0</v>
      </c>
      <c r="D122" s="66" t="str">
        <f>Study!CI121</f>
        <v>مكوّن البناء - مكتبي</v>
      </c>
      <c r="E122" s="68" t="str">
        <f>Study!CJ121</f>
        <v>F66</v>
      </c>
      <c r="F122" s="66" t="str">
        <f>Study!CK121</f>
        <v>م²</v>
      </c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">
      <c r="A123" s="73">
        <f>Study!CF122</f>
        <v>106</v>
      </c>
      <c r="B123" s="74" t="str">
        <f>Study!CG122</f>
        <v>مكتبي - مساحة الوحدة</v>
      </c>
      <c r="C123" s="221" t="str">
        <f>Study!CH122</f>
        <v>0</v>
      </c>
      <c r="D123" s="74" t="str">
        <f>Study!CI122</f>
        <v>مكوّن البناء - مكتبي</v>
      </c>
      <c r="E123" s="76" t="str">
        <f>Study!CJ122</f>
        <v>G66</v>
      </c>
      <c r="F123" s="74" t="str">
        <f>Study!CK122</f>
        <v>م²</v>
      </c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">
      <c r="A124" s="65">
        <f>Study!CF123</f>
        <v>107</v>
      </c>
      <c r="B124" s="66" t="str">
        <f>Study!CG123</f>
        <v>مكتبي - عدد الوحدات</v>
      </c>
      <c r="C124" s="231">
        <f>Study!CH123</f>
        <v>0</v>
      </c>
      <c r="D124" s="66" t="str">
        <f>Study!CI123</f>
        <v>مكوّن البناء - مكتبي</v>
      </c>
      <c r="E124" s="68" t="str">
        <f>Study!CJ123</f>
        <v>H66</v>
      </c>
      <c r="F124" s="66" t="str">
        <f>Study!CK123</f>
        <v>وحدة</v>
      </c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">
      <c r="A125" s="73">
        <f>Study!CF124</f>
        <v>108</v>
      </c>
      <c r="B125" s="74" t="str">
        <f>Study!CG124</f>
        <v>مكتبي - تكلفة متر البناء</v>
      </c>
      <c r="C125" s="93">
        <f>Study!CH124</f>
        <v>0</v>
      </c>
      <c r="D125" s="74" t="str">
        <f>Study!CI124</f>
        <v>مكوّن البناء - مكتبي</v>
      </c>
      <c r="E125" s="76" t="str">
        <f>Study!CJ124</f>
        <v>I66</v>
      </c>
      <c r="F125" s="74" t="str">
        <f>Study!CK124</f>
        <v>ريال/م²</v>
      </c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">
      <c r="A126" s="65">
        <f>Study!CF125</f>
        <v>109</v>
      </c>
      <c r="B126" s="66" t="str">
        <f>Study!CG125</f>
        <v>مكتبي - إجمالي التكاليف</v>
      </c>
      <c r="C126" s="88">
        <f>Study!CH125</f>
        <v>0</v>
      </c>
      <c r="D126" s="66" t="str">
        <f>Study!CI125</f>
        <v>مكوّن البناء - مكتبي</v>
      </c>
      <c r="E126" s="68" t="str">
        <f>Study!CJ125</f>
        <v>J66</v>
      </c>
      <c r="F126" s="66" t="str">
        <f>Study!CK125</f>
        <v>ريال سعودي</v>
      </c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">
      <c r="A127" s="73">
        <f>Study!CF126</f>
        <v>110</v>
      </c>
      <c r="B127" s="74" t="str">
        <f>Study!CG126</f>
        <v>مكتبي - عدد المواقف</v>
      </c>
      <c r="C127" s="246">
        <f>Study!CH126</f>
        <v>0</v>
      </c>
      <c r="D127" s="74" t="str">
        <f>Study!CI126</f>
        <v>مكوّن البناء - مكتبي</v>
      </c>
      <c r="E127" s="76" t="str">
        <f>Study!CJ126</f>
        <v>K66</v>
      </c>
      <c r="F127" s="74" t="str">
        <f>Study!CK126</f>
        <v>موقف</v>
      </c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">
      <c r="A128" s="65">
        <f>Study!CF127</f>
        <v>111</v>
      </c>
      <c r="B128" s="66" t="str">
        <f>Study!CG127</f>
        <v>مكتبي - معيار المواقف</v>
      </c>
      <c r="C128" s="252">
        <f>Study!CH127</f>
        <v>40</v>
      </c>
      <c r="D128" s="66" t="str">
        <f>Study!CI127</f>
        <v>مكوّن البناء - مكتبي</v>
      </c>
      <c r="E128" s="68" t="str">
        <f>Study!CJ127</f>
        <v>L66</v>
      </c>
      <c r="F128" s="66" t="str">
        <f>Study!CK127</f>
        <v>معيار</v>
      </c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" x14ac:dyDescent="0.2">
      <c r="A129" s="455" t="str">
        <f>Study!CF128</f>
        <v>▌ مكوّن البناء - تجاري</v>
      </c>
      <c r="B129" s="455">
        <f>Study!CG128</f>
        <v>0</v>
      </c>
      <c r="C129" s="455">
        <f>Study!CH128</f>
        <v>0</v>
      </c>
      <c r="D129" s="455">
        <f>Study!CI128</f>
        <v>0</v>
      </c>
      <c r="E129" s="455">
        <f>Study!CJ128</f>
        <v>0</v>
      </c>
      <c r="F129" s="455">
        <f>Study!CK128</f>
        <v>0</v>
      </c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">
      <c r="A130" s="73">
        <f>Study!CF129</f>
        <v>112</v>
      </c>
      <c r="B130" s="74" t="str">
        <f>Study!CG129</f>
        <v>تجاري - نسبة من المساحة البنائية</v>
      </c>
      <c r="C130" s="148">
        <f>Study!CH129</f>
        <v>6.3829787234042507E-2</v>
      </c>
      <c r="D130" s="74" t="str">
        <f>Study!CI129</f>
        <v>مكوّن البناء - تجاري</v>
      </c>
      <c r="E130" s="76" t="str">
        <f>Study!CJ129</f>
        <v>C67</v>
      </c>
      <c r="F130" s="74" t="str">
        <f>Study!CK129</f>
        <v>نسبة مئوية</v>
      </c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">
      <c r="A131" s="65">
        <f>Study!CF130</f>
        <v>113</v>
      </c>
      <c r="B131" s="66" t="str">
        <f>Study!CG130</f>
        <v>تجاري - إجمالي المساحة البنائية (GBA)</v>
      </c>
      <c r="C131" s="141">
        <f>Study!CH130</f>
        <v>1165.0212765957438</v>
      </c>
      <c r="D131" s="66" t="str">
        <f>Study!CI130</f>
        <v>مكوّن البناء - تجاري</v>
      </c>
      <c r="E131" s="68" t="str">
        <f>Study!CJ130</f>
        <v>D67</v>
      </c>
      <c r="F131" s="66" t="str">
        <f>Study!CK130</f>
        <v>م²</v>
      </c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">
      <c r="A132" s="73">
        <f>Study!CF131</f>
        <v>114</v>
      </c>
      <c r="B132" s="74" t="str">
        <f>Study!CG131</f>
        <v>تجاري - نسبة المساحات القابلة للبيع</v>
      </c>
      <c r="C132" s="148">
        <f>Study!CH131</f>
        <v>1</v>
      </c>
      <c r="D132" s="74" t="str">
        <f>Study!CI131</f>
        <v>مكوّن البناء - تجاري</v>
      </c>
      <c r="E132" s="76" t="str">
        <f>Study!CJ131</f>
        <v>E67</v>
      </c>
      <c r="F132" s="74" t="str">
        <f>Study!CK131</f>
        <v>نسبة مئوية</v>
      </c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">
      <c r="A133" s="65">
        <f>Study!CF132</f>
        <v>115</v>
      </c>
      <c r="B133" s="66" t="str">
        <f>Study!CG132</f>
        <v>تجاري - المساحات الصافية القابلة للبيع (NSA)</v>
      </c>
      <c r="C133" s="141">
        <f>Study!CH132</f>
        <v>1165.0212765957438</v>
      </c>
      <c r="D133" s="66" t="str">
        <f>Study!CI132</f>
        <v>مكوّن البناء - تجاري</v>
      </c>
      <c r="E133" s="68" t="str">
        <f>Study!CJ132</f>
        <v>F67</v>
      </c>
      <c r="F133" s="66" t="str">
        <f>Study!CK132</f>
        <v>م²</v>
      </c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">
      <c r="A134" s="73">
        <f>Study!CF133</f>
        <v>116</v>
      </c>
      <c r="B134" s="74" t="str">
        <f>Study!CG133</f>
        <v>تجاري - مساحة الوحدة</v>
      </c>
      <c r="C134" s="221">
        <f>Study!CH133</f>
        <v>166.43161094224911</v>
      </c>
      <c r="D134" s="74" t="str">
        <f>Study!CI133</f>
        <v>مكوّن البناء - تجاري</v>
      </c>
      <c r="E134" s="76" t="str">
        <f>Study!CJ133</f>
        <v>G67</v>
      </c>
      <c r="F134" s="74" t="str">
        <f>Study!CK133</f>
        <v>م²</v>
      </c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">
      <c r="A135" s="65">
        <f>Study!CF134</f>
        <v>117</v>
      </c>
      <c r="B135" s="66" t="str">
        <f>Study!CG134</f>
        <v>تجاري - عدد الوحدات</v>
      </c>
      <c r="C135" s="231">
        <f>Study!CH134</f>
        <v>7</v>
      </c>
      <c r="D135" s="66" t="str">
        <f>Study!CI134</f>
        <v>مكوّن البناء - تجاري</v>
      </c>
      <c r="E135" s="68" t="str">
        <f>Study!CJ134</f>
        <v>H67</v>
      </c>
      <c r="F135" s="66" t="str">
        <f>Study!CK134</f>
        <v>وحدة</v>
      </c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">
      <c r="A136" s="73">
        <f>Study!CF135</f>
        <v>118</v>
      </c>
      <c r="B136" s="74" t="str">
        <f>Study!CG135</f>
        <v>تجاري - تكلفة متر البناء</v>
      </c>
      <c r="C136" s="93">
        <f>Study!CH135</f>
        <v>2750</v>
      </c>
      <c r="D136" s="74" t="str">
        <f>Study!CI135</f>
        <v>مكوّن البناء - تجاري</v>
      </c>
      <c r="E136" s="76" t="str">
        <f>Study!CJ135</f>
        <v>I67</v>
      </c>
      <c r="F136" s="74" t="str">
        <f>Study!CK135</f>
        <v>ريال/م²</v>
      </c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">
      <c r="A137" s="65">
        <f>Study!CF136</f>
        <v>119</v>
      </c>
      <c r="B137" s="66" t="str">
        <f>Study!CG136</f>
        <v>تجاري - إجمالي التكاليف</v>
      </c>
      <c r="C137" s="88">
        <f>Study!CH136</f>
        <v>3203808.5106382952</v>
      </c>
      <c r="D137" s="66" t="str">
        <f>Study!CI136</f>
        <v>مكوّن البناء - تجاري</v>
      </c>
      <c r="E137" s="68" t="str">
        <f>Study!CJ136</f>
        <v>J67</v>
      </c>
      <c r="F137" s="66" t="str">
        <f>Study!CK136</f>
        <v>ريال سعودي</v>
      </c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">
      <c r="A138" s="73">
        <f>Study!CF137</f>
        <v>120</v>
      </c>
      <c r="B138" s="74" t="str">
        <f>Study!CG137</f>
        <v>تجاري - عدد المواقف</v>
      </c>
      <c r="C138" s="246">
        <f>Study!CH137</f>
        <v>25.889361702127641</v>
      </c>
      <c r="D138" s="74" t="str">
        <f>Study!CI137</f>
        <v>مكوّن البناء - تجاري</v>
      </c>
      <c r="E138" s="76" t="str">
        <f>Study!CJ137</f>
        <v>K67</v>
      </c>
      <c r="F138" s="74" t="str">
        <f>Study!CK137</f>
        <v>موقف</v>
      </c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">
      <c r="A139" s="65">
        <f>Study!CF138</f>
        <v>121</v>
      </c>
      <c r="B139" s="66" t="str">
        <f>Study!CG138</f>
        <v>تجاري - معيار المواقف</v>
      </c>
      <c r="C139" s="252">
        <f>Study!CH138</f>
        <v>45</v>
      </c>
      <c r="D139" s="66" t="str">
        <f>Study!CI138</f>
        <v>مكوّن البناء - تجاري</v>
      </c>
      <c r="E139" s="68" t="str">
        <f>Study!CJ138</f>
        <v>L67</v>
      </c>
      <c r="F139" s="66" t="str">
        <f>Study!CK138</f>
        <v>معيار</v>
      </c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" x14ac:dyDescent="0.2">
      <c r="A140" s="455" t="str">
        <f>Study!CF139</f>
        <v>▌ مكوّن البناء - فندقي</v>
      </c>
      <c r="B140" s="455">
        <f>Study!CG139</f>
        <v>0</v>
      </c>
      <c r="C140" s="455">
        <f>Study!CH139</f>
        <v>0</v>
      </c>
      <c r="D140" s="455">
        <f>Study!CI139</f>
        <v>0</v>
      </c>
      <c r="E140" s="455">
        <f>Study!CJ139</f>
        <v>0</v>
      </c>
      <c r="F140" s="455">
        <f>Study!CK139</f>
        <v>0</v>
      </c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">
      <c r="A141" s="73">
        <f>Study!CF140</f>
        <v>122</v>
      </c>
      <c r="B141" s="74" t="str">
        <f>Study!CG140</f>
        <v>فندقي - نسبة من المساحة البنائية</v>
      </c>
      <c r="C141" s="148">
        <f>Study!CH140</f>
        <v>0</v>
      </c>
      <c r="D141" s="74" t="str">
        <f>Study!CI140</f>
        <v>مكوّن البناء - فندقي</v>
      </c>
      <c r="E141" s="76" t="str">
        <f>Study!CJ140</f>
        <v>C68</v>
      </c>
      <c r="F141" s="74" t="str">
        <f>Study!CK140</f>
        <v>نسبة مئوية</v>
      </c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">
      <c r="A142" s="65">
        <f>Study!CF141</f>
        <v>123</v>
      </c>
      <c r="B142" s="66" t="str">
        <f>Study!CG141</f>
        <v>فندقي - إجمالي المساحة البنائية (GBA)</v>
      </c>
      <c r="C142" s="141">
        <f>Study!CH141</f>
        <v>0</v>
      </c>
      <c r="D142" s="66" t="str">
        <f>Study!CI141</f>
        <v>مكوّن البناء - فندقي</v>
      </c>
      <c r="E142" s="68" t="str">
        <f>Study!CJ141</f>
        <v>D68</v>
      </c>
      <c r="F142" s="66" t="str">
        <f>Study!CK141</f>
        <v>م²</v>
      </c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">
      <c r="A143" s="73">
        <f>Study!CF142</f>
        <v>124</v>
      </c>
      <c r="B143" s="74" t="str">
        <f>Study!CG142</f>
        <v>فندقي - نسبة المساحات القابلة للبيع</v>
      </c>
      <c r="C143" s="148">
        <f>Study!CH142</f>
        <v>0</v>
      </c>
      <c r="D143" s="74" t="str">
        <f>Study!CI142</f>
        <v>مكوّن البناء - فندقي</v>
      </c>
      <c r="E143" s="76" t="str">
        <f>Study!CJ142</f>
        <v>E68</v>
      </c>
      <c r="F143" s="74" t="str">
        <f>Study!CK142</f>
        <v>نسبة مئوية</v>
      </c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">
      <c r="A144" s="65">
        <f>Study!CF143</f>
        <v>125</v>
      </c>
      <c r="B144" s="66" t="str">
        <f>Study!CG143</f>
        <v>فندقي - المساحات الصافية القابلة للبيع (NSA)</v>
      </c>
      <c r="C144" s="141">
        <f>Study!CH143</f>
        <v>0</v>
      </c>
      <c r="D144" s="66" t="str">
        <f>Study!CI143</f>
        <v>مكوّن البناء - فندقي</v>
      </c>
      <c r="E144" s="68" t="str">
        <f>Study!CJ143</f>
        <v>F68</v>
      </c>
      <c r="F144" s="66" t="str">
        <f>Study!CK143</f>
        <v>م²</v>
      </c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">
      <c r="A145" s="73">
        <f>Study!CF144</f>
        <v>126</v>
      </c>
      <c r="B145" s="74" t="str">
        <f>Study!CG144</f>
        <v>فندقي - مساحة الوحدة</v>
      </c>
      <c r="C145" s="221" t="str">
        <f>Study!CH144</f>
        <v>0</v>
      </c>
      <c r="D145" s="74" t="str">
        <f>Study!CI144</f>
        <v>مكوّن البناء - فندقي</v>
      </c>
      <c r="E145" s="76" t="str">
        <f>Study!CJ144</f>
        <v>G68</v>
      </c>
      <c r="F145" s="74" t="str">
        <f>Study!CK144</f>
        <v>م²</v>
      </c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">
      <c r="A146" s="65">
        <f>Study!CF145</f>
        <v>127</v>
      </c>
      <c r="B146" s="66" t="str">
        <f>Study!CG145</f>
        <v>فندقي - عدد الوحدات</v>
      </c>
      <c r="C146" s="231">
        <f>Study!CH145</f>
        <v>0</v>
      </c>
      <c r="D146" s="66" t="str">
        <f>Study!CI145</f>
        <v>مكوّن البناء - فندقي</v>
      </c>
      <c r="E146" s="68" t="str">
        <f>Study!CJ145</f>
        <v>H68</v>
      </c>
      <c r="F146" s="66" t="str">
        <f>Study!CK145</f>
        <v>وحدة</v>
      </c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">
      <c r="A147" s="73">
        <f>Study!CF146</f>
        <v>128</v>
      </c>
      <c r="B147" s="74" t="str">
        <f>Study!CG146</f>
        <v>فندقي - تكلفة متر البناء</v>
      </c>
      <c r="C147" s="93">
        <f>Study!CH146</f>
        <v>0</v>
      </c>
      <c r="D147" s="74" t="str">
        <f>Study!CI146</f>
        <v>مكوّن البناء - فندقي</v>
      </c>
      <c r="E147" s="76" t="str">
        <f>Study!CJ146</f>
        <v>I68</v>
      </c>
      <c r="F147" s="74" t="str">
        <f>Study!CK146</f>
        <v>ريال/م²</v>
      </c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">
      <c r="A148" s="65">
        <f>Study!CF147</f>
        <v>129</v>
      </c>
      <c r="B148" s="66" t="str">
        <f>Study!CG147</f>
        <v>فندقي - إجمالي التكاليف</v>
      </c>
      <c r="C148" s="88">
        <f>Study!CH147</f>
        <v>0</v>
      </c>
      <c r="D148" s="66" t="str">
        <f>Study!CI147</f>
        <v>مكوّن البناء - فندقي</v>
      </c>
      <c r="E148" s="68" t="str">
        <f>Study!CJ147</f>
        <v>J68</v>
      </c>
      <c r="F148" s="66" t="str">
        <f>Study!CK147</f>
        <v>ريال سعودي</v>
      </c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">
      <c r="A149" s="73">
        <f>Study!CF148</f>
        <v>130</v>
      </c>
      <c r="B149" s="74" t="str">
        <f>Study!CG148</f>
        <v>فندقي - عدد المواقف</v>
      </c>
      <c r="C149" s="246">
        <f>Study!CH148</f>
        <v>0</v>
      </c>
      <c r="D149" s="74" t="str">
        <f>Study!CI148</f>
        <v>مكوّن البناء - فندقي</v>
      </c>
      <c r="E149" s="76" t="str">
        <f>Study!CJ148</f>
        <v>K68</v>
      </c>
      <c r="F149" s="74" t="str">
        <f>Study!CK148</f>
        <v>موقف</v>
      </c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">
      <c r="A150" s="65">
        <f>Study!CF149</f>
        <v>131</v>
      </c>
      <c r="B150" s="66" t="str">
        <f>Study!CG149</f>
        <v>فندقي - معيار المواقف</v>
      </c>
      <c r="C150" s="252">
        <f>Study!CH149</f>
        <v>2</v>
      </c>
      <c r="D150" s="66" t="str">
        <f>Study!CI149</f>
        <v>مكوّن البناء - فندقي</v>
      </c>
      <c r="E150" s="68" t="str">
        <f>Study!CJ149</f>
        <v>L68</v>
      </c>
      <c r="F150" s="66" t="str">
        <f>Study!CK149</f>
        <v>معيار</v>
      </c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" x14ac:dyDescent="0.2">
      <c r="A151" s="455" t="str">
        <f>Study!CF150</f>
        <v>▌ مكوّن البناء - صحي</v>
      </c>
      <c r="B151" s="455">
        <f>Study!CG150</f>
        <v>0</v>
      </c>
      <c r="C151" s="455">
        <f>Study!CH150</f>
        <v>0</v>
      </c>
      <c r="D151" s="455">
        <f>Study!CI150</f>
        <v>0</v>
      </c>
      <c r="E151" s="455">
        <f>Study!CJ150</f>
        <v>0</v>
      </c>
      <c r="F151" s="455">
        <f>Study!CK150</f>
        <v>0</v>
      </c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">
      <c r="A152" s="73">
        <f>Study!CF151</f>
        <v>132</v>
      </c>
      <c r="B152" s="74" t="str">
        <f>Study!CG151</f>
        <v>صحي - نسبة من المساحة البنائية</v>
      </c>
      <c r="C152" s="148">
        <f>Study!CH151</f>
        <v>0</v>
      </c>
      <c r="D152" s="74" t="str">
        <f>Study!CI151</f>
        <v>مكوّن البناء - صحي</v>
      </c>
      <c r="E152" s="76" t="str">
        <f>Study!CJ151</f>
        <v>C69</v>
      </c>
      <c r="F152" s="74" t="str">
        <f>Study!CK151</f>
        <v>نسبة مئوية</v>
      </c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">
      <c r="A153" s="65">
        <f>Study!CF152</f>
        <v>133</v>
      </c>
      <c r="B153" s="66" t="str">
        <f>Study!CG152</f>
        <v>صحي - إجمالي المساحة البنائية (GBA)</v>
      </c>
      <c r="C153" s="141">
        <f>Study!CH152</f>
        <v>0</v>
      </c>
      <c r="D153" s="66" t="str">
        <f>Study!CI152</f>
        <v>مكوّن البناء - صحي</v>
      </c>
      <c r="E153" s="68" t="str">
        <f>Study!CJ152</f>
        <v>D69</v>
      </c>
      <c r="F153" s="66" t="str">
        <f>Study!CK152</f>
        <v>م²</v>
      </c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">
      <c r="A154" s="73">
        <f>Study!CF153</f>
        <v>134</v>
      </c>
      <c r="B154" s="74" t="str">
        <f>Study!CG153</f>
        <v>صحي - نسبة المساحات القابلة للبيع</v>
      </c>
      <c r="C154" s="148">
        <f>Study!CH153</f>
        <v>0</v>
      </c>
      <c r="D154" s="74" t="str">
        <f>Study!CI153</f>
        <v>مكوّن البناء - صحي</v>
      </c>
      <c r="E154" s="76" t="str">
        <f>Study!CJ153</f>
        <v>E69</v>
      </c>
      <c r="F154" s="74" t="str">
        <f>Study!CK153</f>
        <v>نسبة مئوية</v>
      </c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">
      <c r="A155" s="65">
        <f>Study!CF154</f>
        <v>135</v>
      </c>
      <c r="B155" s="66" t="str">
        <f>Study!CG154</f>
        <v>صحي - المساحات الصافية القابلة للبيع (NSA)</v>
      </c>
      <c r="C155" s="141">
        <f>Study!CH154</f>
        <v>0</v>
      </c>
      <c r="D155" s="66" t="str">
        <f>Study!CI154</f>
        <v>مكوّن البناء - صحي</v>
      </c>
      <c r="E155" s="68" t="str">
        <f>Study!CJ154</f>
        <v>F69</v>
      </c>
      <c r="F155" s="66" t="str">
        <f>Study!CK154</f>
        <v>م²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">
      <c r="A156" s="73">
        <f>Study!CF155</f>
        <v>136</v>
      </c>
      <c r="B156" s="74" t="str">
        <f>Study!CG155</f>
        <v>صحي - مساحة الوحدة</v>
      </c>
      <c r="C156" s="221" t="str">
        <f>Study!CH155</f>
        <v>0</v>
      </c>
      <c r="D156" s="74" t="str">
        <f>Study!CI155</f>
        <v>مكوّن البناء - صحي</v>
      </c>
      <c r="E156" s="76" t="str">
        <f>Study!CJ155</f>
        <v>G69</v>
      </c>
      <c r="F156" s="74" t="str">
        <f>Study!CK155</f>
        <v>م²</v>
      </c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">
      <c r="A157" s="65">
        <f>Study!CF156</f>
        <v>137</v>
      </c>
      <c r="B157" s="66" t="str">
        <f>Study!CG156</f>
        <v>صحي - عدد الوحدات</v>
      </c>
      <c r="C157" s="231">
        <f>Study!CH156</f>
        <v>0</v>
      </c>
      <c r="D157" s="66" t="str">
        <f>Study!CI156</f>
        <v>مكوّن البناء - صحي</v>
      </c>
      <c r="E157" s="68" t="str">
        <f>Study!CJ156</f>
        <v>H69</v>
      </c>
      <c r="F157" s="66" t="str">
        <f>Study!CK156</f>
        <v>وحدة</v>
      </c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">
      <c r="A158" s="73">
        <f>Study!CF157</f>
        <v>138</v>
      </c>
      <c r="B158" s="74" t="str">
        <f>Study!CG157</f>
        <v>صحي - تكلفة متر البناء</v>
      </c>
      <c r="C158" s="93">
        <f>Study!CH157</f>
        <v>0</v>
      </c>
      <c r="D158" s="74" t="str">
        <f>Study!CI157</f>
        <v>مكوّن البناء - صحي</v>
      </c>
      <c r="E158" s="76" t="str">
        <f>Study!CJ157</f>
        <v>I69</v>
      </c>
      <c r="F158" s="74" t="str">
        <f>Study!CK157</f>
        <v>ريال/م²</v>
      </c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">
      <c r="A159" s="65">
        <f>Study!CF158</f>
        <v>139</v>
      </c>
      <c r="B159" s="66" t="str">
        <f>Study!CG158</f>
        <v>صحي - إجمالي التكاليف</v>
      </c>
      <c r="C159" s="88">
        <f>Study!CH158</f>
        <v>0</v>
      </c>
      <c r="D159" s="66" t="str">
        <f>Study!CI158</f>
        <v>مكوّن البناء - صحي</v>
      </c>
      <c r="E159" s="68" t="str">
        <f>Study!CJ158</f>
        <v>J69</v>
      </c>
      <c r="F159" s="66" t="str">
        <f>Study!CK158</f>
        <v>ريال سعودي</v>
      </c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">
      <c r="A160" s="73">
        <f>Study!CF159</f>
        <v>140</v>
      </c>
      <c r="B160" s="74" t="str">
        <f>Study!CG159</f>
        <v>صحي - عدد المواقف</v>
      </c>
      <c r="C160" s="246">
        <f>Study!CH159</f>
        <v>0</v>
      </c>
      <c r="D160" s="74" t="str">
        <f>Study!CI159</f>
        <v>مكوّن البناء - صحي</v>
      </c>
      <c r="E160" s="76" t="str">
        <f>Study!CJ159</f>
        <v>K69</v>
      </c>
      <c r="F160" s="74" t="str">
        <f>Study!CK159</f>
        <v>موقف</v>
      </c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">
      <c r="A161" s="65">
        <f>Study!CF160</f>
        <v>141</v>
      </c>
      <c r="B161" s="66" t="str">
        <f>Study!CG160</f>
        <v>صحي - معيار المواقف</v>
      </c>
      <c r="C161" s="252">
        <f>Study!CH160</f>
        <v>50</v>
      </c>
      <c r="D161" s="66" t="str">
        <f>Study!CI160</f>
        <v>مكوّن البناء - صحي</v>
      </c>
      <c r="E161" s="68" t="str">
        <f>Study!CJ160</f>
        <v>L69</v>
      </c>
      <c r="F161" s="66" t="str">
        <f>Study!CK160</f>
        <v>معيار</v>
      </c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" x14ac:dyDescent="0.2">
      <c r="A162" s="455" t="str">
        <f>Study!CF161</f>
        <v>▌ مكوّن البناء - أخرى</v>
      </c>
      <c r="B162" s="455">
        <f>Study!CG161</f>
        <v>0</v>
      </c>
      <c r="C162" s="455">
        <f>Study!CH161</f>
        <v>0</v>
      </c>
      <c r="D162" s="455">
        <f>Study!CI161</f>
        <v>0</v>
      </c>
      <c r="E162" s="455">
        <f>Study!CJ161</f>
        <v>0</v>
      </c>
      <c r="F162" s="455">
        <f>Study!CK161</f>
        <v>0</v>
      </c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">
      <c r="A163" s="73">
        <f>Study!CF162</f>
        <v>142</v>
      </c>
      <c r="B163" s="74" t="str">
        <f>Study!CG162</f>
        <v>أخرى - نسبة من المساحة البنائية</v>
      </c>
      <c r="C163" s="148">
        <f>Study!CH162</f>
        <v>0</v>
      </c>
      <c r="D163" s="74" t="str">
        <f>Study!CI162</f>
        <v>مكوّن البناء - أخرى</v>
      </c>
      <c r="E163" s="76" t="str">
        <f>Study!CJ162</f>
        <v>C70</v>
      </c>
      <c r="F163" s="74" t="str">
        <f>Study!CK162</f>
        <v>نسبة مئوية</v>
      </c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">
      <c r="A164" s="65">
        <f>Study!CF163</f>
        <v>143</v>
      </c>
      <c r="B164" s="66" t="str">
        <f>Study!CG163</f>
        <v>أخرى - إجمالي المساحة البنائية (GBA)</v>
      </c>
      <c r="C164" s="141">
        <f>Study!CH163</f>
        <v>0</v>
      </c>
      <c r="D164" s="66" t="str">
        <f>Study!CI163</f>
        <v>مكوّن البناء - أخرى</v>
      </c>
      <c r="E164" s="68" t="str">
        <f>Study!CJ163</f>
        <v>D70</v>
      </c>
      <c r="F164" s="66" t="str">
        <f>Study!CK163</f>
        <v>م²</v>
      </c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">
      <c r="A165" s="73">
        <f>Study!CF164</f>
        <v>144</v>
      </c>
      <c r="B165" s="74" t="str">
        <f>Study!CG164</f>
        <v>أخرى - نسبة المساحات القابلة للبيع</v>
      </c>
      <c r="C165" s="148">
        <f>Study!CH164</f>
        <v>0</v>
      </c>
      <c r="D165" s="74" t="str">
        <f>Study!CI164</f>
        <v>مكوّن البناء - أخرى</v>
      </c>
      <c r="E165" s="76" t="str">
        <f>Study!CJ164</f>
        <v>E70</v>
      </c>
      <c r="F165" s="74" t="str">
        <f>Study!CK164</f>
        <v>نسبة مئوية</v>
      </c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">
      <c r="A166" s="65">
        <f>Study!CF165</f>
        <v>145</v>
      </c>
      <c r="B166" s="66" t="str">
        <f>Study!CG165</f>
        <v>أخرى - المساحات الصافية القابلة للبيع (NSA)</v>
      </c>
      <c r="C166" s="141">
        <f>Study!CH165</f>
        <v>0</v>
      </c>
      <c r="D166" s="66" t="str">
        <f>Study!CI165</f>
        <v>مكوّن البناء - أخرى</v>
      </c>
      <c r="E166" s="68" t="str">
        <f>Study!CJ165</f>
        <v>F70</v>
      </c>
      <c r="F166" s="66" t="str">
        <f>Study!CK165</f>
        <v>م²</v>
      </c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">
      <c r="A167" s="73">
        <f>Study!CF166</f>
        <v>146</v>
      </c>
      <c r="B167" s="74" t="str">
        <f>Study!CG166</f>
        <v>أخرى - مساحة الوحدة</v>
      </c>
      <c r="C167" s="221" t="str">
        <f>Study!CH166</f>
        <v>0</v>
      </c>
      <c r="D167" s="74" t="str">
        <f>Study!CI166</f>
        <v>مكوّن البناء - أخرى</v>
      </c>
      <c r="E167" s="76" t="str">
        <f>Study!CJ166</f>
        <v>G70</v>
      </c>
      <c r="F167" s="74" t="str">
        <f>Study!CK166</f>
        <v>م²</v>
      </c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">
      <c r="A168" s="65">
        <f>Study!CF167</f>
        <v>147</v>
      </c>
      <c r="B168" s="66" t="str">
        <f>Study!CG167</f>
        <v>أخرى - عدد الوحدات</v>
      </c>
      <c r="C168" s="231">
        <f>Study!CH167</f>
        <v>0</v>
      </c>
      <c r="D168" s="66" t="str">
        <f>Study!CI167</f>
        <v>مكوّن البناء - أخرى</v>
      </c>
      <c r="E168" s="68" t="str">
        <f>Study!CJ167</f>
        <v>H70</v>
      </c>
      <c r="F168" s="66" t="str">
        <f>Study!CK167</f>
        <v>وحدة</v>
      </c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">
      <c r="A169" s="73">
        <f>Study!CF168</f>
        <v>148</v>
      </c>
      <c r="B169" s="74" t="str">
        <f>Study!CG168</f>
        <v>أخرى - تكلفة متر البناء</v>
      </c>
      <c r="C169" s="93">
        <f>Study!CH168</f>
        <v>0</v>
      </c>
      <c r="D169" s="74" t="str">
        <f>Study!CI168</f>
        <v>مكوّن البناء - أخرى</v>
      </c>
      <c r="E169" s="76" t="str">
        <f>Study!CJ168</f>
        <v>I70</v>
      </c>
      <c r="F169" s="74" t="str">
        <f>Study!CK168</f>
        <v>ريال/م²</v>
      </c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">
      <c r="A170" s="65">
        <f>Study!CF169</f>
        <v>149</v>
      </c>
      <c r="B170" s="66" t="str">
        <f>Study!CG169</f>
        <v>أخرى - إجمالي التكاليف</v>
      </c>
      <c r="C170" s="88">
        <f>Study!CH169</f>
        <v>0</v>
      </c>
      <c r="D170" s="66" t="str">
        <f>Study!CI169</f>
        <v>مكوّن البناء - أخرى</v>
      </c>
      <c r="E170" s="68" t="str">
        <f>Study!CJ169</f>
        <v>J70</v>
      </c>
      <c r="F170" s="66" t="str">
        <f>Study!CK169</f>
        <v>ريال سعودي</v>
      </c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">
      <c r="A171" s="73">
        <f>Study!CF170</f>
        <v>150</v>
      </c>
      <c r="B171" s="74" t="str">
        <f>Study!CG170</f>
        <v>أخرى - عدد المواقف</v>
      </c>
      <c r="C171" s="246">
        <f>Study!CH170</f>
        <v>0</v>
      </c>
      <c r="D171" s="74" t="str">
        <f>Study!CI170</f>
        <v>مكوّن البناء - أخرى</v>
      </c>
      <c r="E171" s="76" t="str">
        <f>Study!CJ170</f>
        <v>K70</v>
      </c>
      <c r="F171" s="74" t="str">
        <f>Study!CK170</f>
        <v>موقف</v>
      </c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">
      <c r="A172" s="65">
        <f>Study!CF171</f>
        <v>151</v>
      </c>
      <c r="B172" s="66" t="str">
        <f>Study!CG171</f>
        <v>أخرى - معيار المواقف</v>
      </c>
      <c r="C172" s="252" t="str">
        <f>Study!CH171</f>
        <v>لا يــــنــطــبــق</v>
      </c>
      <c r="D172" s="66" t="str">
        <f>Study!CI171</f>
        <v>مكوّن البناء - أخرى</v>
      </c>
      <c r="E172" s="68" t="str">
        <f>Study!CJ171</f>
        <v>L70</v>
      </c>
      <c r="F172" s="66" t="str">
        <f>Study!CK171</f>
        <v>معيار</v>
      </c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" x14ac:dyDescent="0.2">
      <c r="A173" s="455" t="str">
        <f>Study!CF172</f>
        <v>▌ مساحات حركية وخدمية</v>
      </c>
      <c r="B173" s="455">
        <f>Study!CG172</f>
        <v>0</v>
      </c>
      <c r="C173" s="455">
        <f>Study!CH172</f>
        <v>0</v>
      </c>
      <c r="D173" s="455">
        <f>Study!CI172</f>
        <v>0</v>
      </c>
      <c r="E173" s="455">
        <f>Study!CJ172</f>
        <v>0</v>
      </c>
      <c r="F173" s="455">
        <f>Study!CK172</f>
        <v>0</v>
      </c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">
      <c r="A174" s="73">
        <f>Study!CF173</f>
        <v>152</v>
      </c>
      <c r="B174" s="74" t="str">
        <f>Study!CG173</f>
        <v>المساحات الحركية - نسبة من المساحة البنائية</v>
      </c>
      <c r="C174" s="148">
        <f>Study!CH173</f>
        <v>0.1981382978723405</v>
      </c>
      <c r="D174" s="74" t="str">
        <f>Study!CI173</f>
        <v>مساحات حركية وخدمية</v>
      </c>
      <c r="E174" s="76" t="str">
        <f>Study!CJ173</f>
        <v>C71</v>
      </c>
      <c r="F174" s="74" t="str">
        <f>Study!CK173</f>
        <v>نسبة مئوية</v>
      </c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2">
      <c r="A175" s="65">
        <f>Study!CF174</f>
        <v>153</v>
      </c>
      <c r="B175" s="66" t="str">
        <f>Study!CG174</f>
        <v>المساحات الحركية - إجمالي المساحة البنائية</v>
      </c>
      <c r="C175" s="141">
        <f>Study!CH174</f>
        <v>3616.4202127659587</v>
      </c>
      <c r="D175" s="66" t="str">
        <f>Study!CI174</f>
        <v>مساحات حركية وخدمية</v>
      </c>
      <c r="E175" s="68" t="str">
        <f>Study!CJ174</f>
        <v>D71</v>
      </c>
      <c r="F175" s="66" t="str">
        <f>Study!CK174</f>
        <v>م²</v>
      </c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2">
      <c r="A176" s="73">
        <f>Study!CF175</f>
        <v>154</v>
      </c>
      <c r="B176" s="74" t="str">
        <f>Study!CG175</f>
        <v>المساحات الحركية - تكلفة متر البناء</v>
      </c>
      <c r="C176" s="93">
        <f>Study!CH175</f>
        <v>3080</v>
      </c>
      <c r="D176" s="74" t="str">
        <f>Study!CI175</f>
        <v>مساحات حركية وخدمية</v>
      </c>
      <c r="E176" s="76" t="str">
        <f>Study!CJ175</f>
        <v>I71</v>
      </c>
      <c r="F176" s="74" t="str">
        <f>Study!CK175</f>
        <v>ريال/م²</v>
      </c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2">
      <c r="A177" s="65">
        <f>Study!CF176</f>
        <v>155</v>
      </c>
      <c r="B177" s="66" t="str">
        <f>Study!CG176</f>
        <v>المساحات الحركية - إجمالي التكاليف</v>
      </c>
      <c r="C177" s="88">
        <f>Study!CH176</f>
        <v>11138574.255319152</v>
      </c>
      <c r="D177" s="66" t="str">
        <f>Study!CI176</f>
        <v>مساحات حركية وخدمية</v>
      </c>
      <c r="E177" s="68" t="str">
        <f>Study!CJ176</f>
        <v>J71</v>
      </c>
      <c r="F177" s="66" t="str">
        <f>Study!CK176</f>
        <v>ريال سعودي</v>
      </c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" x14ac:dyDescent="0.2">
      <c r="A178" s="455" t="str">
        <f>Study!CF177</f>
        <v>▌ مساحات إضافية</v>
      </c>
      <c r="B178" s="455">
        <f>Study!CG177</f>
        <v>0</v>
      </c>
      <c r="C178" s="455">
        <f>Study!CH177</f>
        <v>0</v>
      </c>
      <c r="D178" s="455">
        <f>Study!CI177</f>
        <v>0</v>
      </c>
      <c r="E178" s="455">
        <f>Study!CJ177</f>
        <v>0</v>
      </c>
      <c r="F178" s="455">
        <f>Study!CK177</f>
        <v>0</v>
      </c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2">
      <c r="A179" s="73">
        <f>Study!CF178</f>
        <v>156</v>
      </c>
      <c r="B179" s="74" t="str">
        <f>Study!CG178</f>
        <v>لاند سكيب - النسبة من الأرض</v>
      </c>
      <c r="C179" s="220">
        <f>Study!CH178</f>
        <v>0.67</v>
      </c>
      <c r="D179" s="74" t="str">
        <f>Study!CI178</f>
        <v>مساحات إضافية</v>
      </c>
      <c r="E179" s="76" t="str">
        <f>Study!CJ178</f>
        <v>C73</v>
      </c>
      <c r="F179" s="74" t="str">
        <f>Study!CK178</f>
        <v>معامل من الأرض</v>
      </c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2">
      <c r="A180" s="65">
        <f>Study!CF179</f>
        <v>157</v>
      </c>
      <c r="B180" s="66" t="str">
        <f>Study!CG179</f>
        <v>لاند سكيب - إجمالي المساحة</v>
      </c>
      <c r="C180" s="141">
        <f>Study!CH179</f>
        <v>3135.6000000000004</v>
      </c>
      <c r="D180" s="66" t="str">
        <f>Study!CI179</f>
        <v>مساحات إضافية</v>
      </c>
      <c r="E180" s="68" t="str">
        <f>Study!CJ179</f>
        <v>D73</v>
      </c>
      <c r="F180" s="66" t="str">
        <f>Study!CK179</f>
        <v>م²</v>
      </c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2">
      <c r="A181" s="73">
        <f>Study!CF180</f>
        <v>158</v>
      </c>
      <c r="B181" s="74" t="str">
        <f>Study!CG180</f>
        <v>لاند سكيب - تكلفة متر البناء</v>
      </c>
      <c r="C181" s="93">
        <f>Study!CH180</f>
        <v>900</v>
      </c>
      <c r="D181" s="74" t="str">
        <f>Study!CI180</f>
        <v>مساحات إضافية</v>
      </c>
      <c r="E181" s="76" t="str">
        <f>Study!CJ180</f>
        <v>I73</v>
      </c>
      <c r="F181" s="74" t="str">
        <f>Study!CK180</f>
        <v>ريال/م²</v>
      </c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2">
      <c r="A182" s="65">
        <f>Study!CF181</f>
        <v>159</v>
      </c>
      <c r="B182" s="66" t="str">
        <f>Study!CG181</f>
        <v>لاند سكيب - إجمالي التكاليف</v>
      </c>
      <c r="C182" s="88">
        <f>Study!CH181</f>
        <v>2822040.0000000005</v>
      </c>
      <c r="D182" s="66" t="str">
        <f>Study!CI181</f>
        <v>مساحات إضافية</v>
      </c>
      <c r="E182" s="68" t="str">
        <f>Study!CJ181</f>
        <v>J73</v>
      </c>
      <c r="F182" s="66" t="str">
        <f>Study!CK181</f>
        <v>ريال سعودي</v>
      </c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2">
      <c r="A183" s="73">
        <f>Study!CF182</f>
        <v>160</v>
      </c>
      <c r="B183" s="74" t="str">
        <f>Study!CG182</f>
        <v>قبو - النسبة من الأرض</v>
      </c>
      <c r="C183" s="220">
        <f>Study!CH182</f>
        <v>2</v>
      </c>
      <c r="D183" s="74" t="str">
        <f>Study!CI182</f>
        <v>مساحات إضافية</v>
      </c>
      <c r="E183" s="76" t="str">
        <f>Study!CJ182</f>
        <v>C74</v>
      </c>
      <c r="F183" s="74" t="str">
        <f>Study!CK182</f>
        <v>معامل من الأرض</v>
      </c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2">
      <c r="A184" s="65">
        <f>Study!CF183</f>
        <v>161</v>
      </c>
      <c r="B184" s="66" t="str">
        <f>Study!CG183</f>
        <v>قبو - إجمالي المساحة</v>
      </c>
      <c r="C184" s="141">
        <f>Study!CH183</f>
        <v>9360</v>
      </c>
      <c r="D184" s="66" t="str">
        <f>Study!CI183</f>
        <v>مساحات إضافية</v>
      </c>
      <c r="E184" s="68" t="str">
        <f>Study!CJ183</f>
        <v>D74</v>
      </c>
      <c r="F184" s="66" t="str">
        <f>Study!CK183</f>
        <v>م²</v>
      </c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2">
      <c r="A185" s="73">
        <f>Study!CF184</f>
        <v>162</v>
      </c>
      <c r="B185" s="74" t="str">
        <f>Study!CG184</f>
        <v>قبو - تكلفة متر البناء</v>
      </c>
      <c r="C185" s="93">
        <f>Study!CH184</f>
        <v>2090</v>
      </c>
      <c r="D185" s="74" t="str">
        <f>Study!CI184</f>
        <v>مساحات إضافية</v>
      </c>
      <c r="E185" s="76" t="str">
        <f>Study!CJ184</f>
        <v>I74</v>
      </c>
      <c r="F185" s="74" t="str">
        <f>Study!CK184</f>
        <v>ريال/م²</v>
      </c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2">
      <c r="A186" s="65">
        <f>Study!CF185</f>
        <v>163</v>
      </c>
      <c r="B186" s="66" t="str">
        <f>Study!CG185</f>
        <v>قبو - إجمالي التكاليف</v>
      </c>
      <c r="C186" s="88">
        <f>Study!CH185</f>
        <v>19562400</v>
      </c>
      <c r="D186" s="66" t="str">
        <f>Study!CI185</f>
        <v>مساحات إضافية</v>
      </c>
      <c r="E186" s="68" t="str">
        <f>Study!CJ185</f>
        <v>J74</v>
      </c>
      <c r="F186" s="66" t="str">
        <f>Study!CK185</f>
        <v>ريال سعودي</v>
      </c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">
      <c r="A187" s="73">
        <f>Study!CF186</f>
        <v>164</v>
      </c>
      <c r="B187" s="74" t="str">
        <f>Study!CG186</f>
        <v>قبو - عدد المواقف</v>
      </c>
      <c r="C187" s="246">
        <f>Study!CH186</f>
        <v>208</v>
      </c>
      <c r="D187" s="74" t="str">
        <f>Study!CI186</f>
        <v>مساحات إضافية</v>
      </c>
      <c r="E187" s="76" t="str">
        <f>Study!CJ186</f>
        <v>K74</v>
      </c>
      <c r="F187" s="74" t="str">
        <f>Study!CK186</f>
        <v>موقف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2">
      <c r="A188" s="65">
        <f>Study!CF187</f>
        <v>165</v>
      </c>
      <c r="B188" s="66" t="str">
        <f>Study!CG187</f>
        <v>بوديوم - النسبة من الأرض</v>
      </c>
      <c r="C188" s="252">
        <f>Study!CH187</f>
        <v>0</v>
      </c>
      <c r="D188" s="66" t="str">
        <f>Study!CI187</f>
        <v>مساحات إضافية</v>
      </c>
      <c r="E188" s="68" t="str">
        <f>Study!CJ187</f>
        <v>C75</v>
      </c>
      <c r="F188" s="66" t="str">
        <f>Study!CK187</f>
        <v>معامل من الأرض</v>
      </c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2">
      <c r="A189" s="73">
        <f>Study!CF188</f>
        <v>166</v>
      </c>
      <c r="B189" s="74" t="str">
        <f>Study!CG188</f>
        <v>بوديوم - إجمالي المساحة</v>
      </c>
      <c r="C189" s="221">
        <f>Study!CH188</f>
        <v>0</v>
      </c>
      <c r="D189" s="74" t="str">
        <f>Study!CI188</f>
        <v>مساحات إضافية</v>
      </c>
      <c r="E189" s="76" t="str">
        <f>Study!CJ188</f>
        <v>D75</v>
      </c>
      <c r="F189" s="74" t="str">
        <f>Study!CK188</f>
        <v>م²</v>
      </c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2">
      <c r="A190" s="65">
        <f>Study!CF189</f>
        <v>167</v>
      </c>
      <c r="B190" s="66" t="str">
        <f>Study!CG189</f>
        <v>بوديوم - تكلفة متر البناء</v>
      </c>
      <c r="C190" s="88">
        <f>Study!CH189</f>
        <v>0</v>
      </c>
      <c r="D190" s="66" t="str">
        <f>Study!CI189</f>
        <v>مساحات إضافية</v>
      </c>
      <c r="E190" s="68" t="str">
        <f>Study!CJ189</f>
        <v>I75</v>
      </c>
      <c r="F190" s="66" t="str">
        <f>Study!CK189</f>
        <v>ريال/م²</v>
      </c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2">
      <c r="A191" s="73">
        <f>Study!CF190</f>
        <v>168</v>
      </c>
      <c r="B191" s="74" t="str">
        <f>Study!CG190</f>
        <v>بوديوم - إجمالي التكاليف</v>
      </c>
      <c r="C191" s="93">
        <f>Study!CH190</f>
        <v>0</v>
      </c>
      <c r="D191" s="74" t="str">
        <f>Study!CI190</f>
        <v>مساحات إضافية</v>
      </c>
      <c r="E191" s="76" t="str">
        <f>Study!CJ190</f>
        <v>J75</v>
      </c>
      <c r="F191" s="74" t="str">
        <f>Study!CK190</f>
        <v>ريال سعودي</v>
      </c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2">
      <c r="A192" s="65">
        <f>Study!CF191</f>
        <v>169</v>
      </c>
      <c r="B192" s="66" t="str">
        <f>Study!CG191</f>
        <v>بوديوم - عدد المواقف</v>
      </c>
      <c r="C192" s="231">
        <f>Study!CH191</f>
        <v>0</v>
      </c>
      <c r="D192" s="66" t="str">
        <f>Study!CI191</f>
        <v>مساحات إضافية</v>
      </c>
      <c r="E192" s="68" t="str">
        <f>Study!CJ191</f>
        <v>K75</v>
      </c>
      <c r="F192" s="66" t="str">
        <f>Study!CK191</f>
        <v>موقف</v>
      </c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" x14ac:dyDescent="0.2">
      <c r="A193" s="455" t="str">
        <f>Study!CF192</f>
        <v>▌ إجمالي البناء</v>
      </c>
      <c r="B193" s="455">
        <f>Study!CG192</f>
        <v>0</v>
      </c>
      <c r="C193" s="455">
        <f>Study!CH192</f>
        <v>0</v>
      </c>
      <c r="D193" s="455">
        <f>Study!CI192</f>
        <v>0</v>
      </c>
      <c r="E193" s="455">
        <f>Study!CJ192</f>
        <v>0</v>
      </c>
      <c r="F193" s="455">
        <f>Study!CK192</f>
        <v>0</v>
      </c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2">
      <c r="A194" s="73">
        <f>Study!CF193</f>
        <v>170</v>
      </c>
      <c r="B194" s="74" t="str">
        <f>Study!CG193</f>
        <v>إجمالي مكونات البناء - GBA</v>
      </c>
      <c r="C194" s="221">
        <f>Study!CH193</f>
        <v>30747.599999999999</v>
      </c>
      <c r="D194" s="74" t="str">
        <f>Study!CI193</f>
        <v>إجمالي البناء</v>
      </c>
      <c r="E194" s="76" t="str">
        <f>Study!CJ193</f>
        <v>D76</v>
      </c>
      <c r="F194" s="74" t="str">
        <f>Study!CK193</f>
        <v>م²</v>
      </c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2">
      <c r="A195" s="65">
        <f>Study!CF194</f>
        <v>171</v>
      </c>
      <c r="B195" s="66" t="str">
        <f>Study!CG194</f>
        <v>إجمالي مكونات البناء - NSA</v>
      </c>
      <c r="C195" s="141">
        <f>Study!CH194</f>
        <v>14635.579787234041</v>
      </c>
      <c r="D195" s="66" t="str">
        <f>Study!CI194</f>
        <v>إجمالي البناء</v>
      </c>
      <c r="E195" s="68" t="str">
        <f>Study!CJ194</f>
        <v>F76</v>
      </c>
      <c r="F195" s="66" t="str">
        <f>Study!CK194</f>
        <v>م²</v>
      </c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2">
      <c r="A196" s="73">
        <f>Study!CF195</f>
        <v>172</v>
      </c>
      <c r="B196" s="74" t="str">
        <f>Study!CG195</f>
        <v>متوسط مساحة الوحدة</v>
      </c>
      <c r="C196" s="221">
        <f>Study!CH195</f>
        <v>73.917069632495156</v>
      </c>
      <c r="D196" s="74" t="str">
        <f>Study!CI195</f>
        <v>إجمالي البناء</v>
      </c>
      <c r="E196" s="76" t="str">
        <f>Study!CJ195</f>
        <v>G76</v>
      </c>
      <c r="F196" s="74" t="str">
        <f>Study!CK195</f>
        <v>م²</v>
      </c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2">
      <c r="A197" s="65">
        <f>Study!CF196</f>
        <v>173</v>
      </c>
      <c r="B197" s="66" t="str">
        <f>Study!CG196</f>
        <v>إجمالي عدد الوحدات</v>
      </c>
      <c r="C197" s="231">
        <f>Study!CH196</f>
        <v>198</v>
      </c>
      <c r="D197" s="66" t="str">
        <f>Study!CI196</f>
        <v>إجمالي البناء</v>
      </c>
      <c r="E197" s="68" t="str">
        <f>Study!CJ196</f>
        <v>H76</v>
      </c>
      <c r="F197" s="66" t="str">
        <f>Study!CK196</f>
        <v>وحدة</v>
      </c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2">
      <c r="A198" s="73">
        <f>Study!CF197</f>
        <v>174</v>
      </c>
      <c r="B198" s="74" t="str">
        <f>Study!CG197</f>
        <v>متوسط تكلفة متر البناء</v>
      </c>
      <c r="C198" s="93">
        <f>Study!CH197</f>
        <v>2640.1951973833352</v>
      </c>
      <c r="D198" s="74" t="str">
        <f>Study!CI197</f>
        <v>إجمالي البناء</v>
      </c>
      <c r="E198" s="76" t="str">
        <f>Study!CJ197</f>
        <v>I76</v>
      </c>
      <c r="F198" s="74" t="str">
        <f>Study!CK197</f>
        <v>ريال/م²</v>
      </c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2">
      <c r="A199" s="65">
        <f>Study!CF198</f>
        <v>175</v>
      </c>
      <c r="B199" s="66" t="str">
        <f>Study!CG198</f>
        <v>إجمالي تكاليف البناء</v>
      </c>
      <c r="C199" s="88">
        <f>Study!CH198</f>
        <v>81179665.851063833</v>
      </c>
      <c r="D199" s="66" t="str">
        <f>Study!CI198</f>
        <v>إجمالي البناء</v>
      </c>
      <c r="E199" s="68" t="str">
        <f>Study!CJ198</f>
        <v>J76</v>
      </c>
      <c r="F199" s="66" t="str">
        <f>Study!CK198</f>
        <v>ريال سعودي</v>
      </c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2">
      <c r="A200" s="73">
        <f>Study!CF199</f>
        <v>176</v>
      </c>
      <c r="B200" s="74" t="str">
        <f>Study!CG199</f>
        <v>إجمالي المواقف المطلوبة</v>
      </c>
      <c r="C200" s="246">
        <f>Study!CH199</f>
        <v>216.88936170212764</v>
      </c>
      <c r="D200" s="74" t="str">
        <f>Study!CI199</f>
        <v>إجمالي البناء</v>
      </c>
      <c r="E200" s="76" t="str">
        <f>Study!CJ199</f>
        <v>L76</v>
      </c>
      <c r="F200" s="74" t="str">
        <f>Study!CK199</f>
        <v>موقف</v>
      </c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2">
      <c r="A201" s="65">
        <f>Study!CF200</f>
        <v>177</v>
      </c>
      <c r="B201" s="66" t="str">
        <f>Study!CG200</f>
        <v>إجمالي المواقف المتوفرة</v>
      </c>
      <c r="C201" s="231">
        <f>Study!CH200</f>
        <v>208</v>
      </c>
      <c r="D201" s="66" t="str">
        <f>Study!CI200</f>
        <v>إجمالي البناء</v>
      </c>
      <c r="E201" s="68" t="str">
        <f>Study!CJ200</f>
        <v>L77</v>
      </c>
      <c r="F201" s="66" t="str">
        <f>Study!CK200</f>
        <v>موقف</v>
      </c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2">
      <c r="A202" s="73">
        <f>Study!CF201</f>
        <v>178</v>
      </c>
      <c r="B202" s="74" t="str">
        <f>Study!CG201</f>
        <v>فارق المواقف (Parking Deficit)</v>
      </c>
      <c r="C202" s="246">
        <f>Study!CH201</f>
        <v>-8.8893617021276441</v>
      </c>
      <c r="D202" s="74" t="str">
        <f>Study!CI201</f>
        <v>إجمالي البناء</v>
      </c>
      <c r="E202" s="76" t="str">
        <f>Study!CJ201</f>
        <v>L78</v>
      </c>
      <c r="F202" s="74" t="str">
        <f>Study!CK201</f>
        <v>موقف</v>
      </c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" x14ac:dyDescent="0.2">
      <c r="A203" s="455" t="str">
        <f>Study!CF202</f>
        <v>▌ التكاليف الأخرى</v>
      </c>
      <c r="B203" s="455">
        <f>Study!CG202</f>
        <v>0</v>
      </c>
      <c r="C203" s="455">
        <f>Study!CH202</f>
        <v>0</v>
      </c>
      <c r="D203" s="455">
        <f>Study!CI202</f>
        <v>0</v>
      </c>
      <c r="E203" s="455">
        <f>Study!CJ202</f>
        <v>0</v>
      </c>
      <c r="F203" s="455">
        <f>Study!CK202</f>
        <v>0</v>
      </c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2">
      <c r="A204" s="65">
        <f>Study!CF203</f>
        <v>179</v>
      </c>
      <c r="B204" s="66" t="str">
        <f>Study!CG203</f>
        <v>التسوير</v>
      </c>
      <c r="C204" s="88">
        <f>Study!CH203</f>
        <v>702000</v>
      </c>
      <c r="D204" s="66" t="str">
        <f>Study!CI203</f>
        <v>التكاليف الأخرى</v>
      </c>
      <c r="E204" s="68" t="str">
        <f>Study!CJ203</f>
        <v>C86</v>
      </c>
      <c r="F204" s="66" t="str">
        <f>Study!CK203</f>
        <v>ريال سعودي</v>
      </c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2">
      <c r="A205" s="73">
        <f>Study!CF204</f>
        <v>180</v>
      </c>
      <c r="B205" s="74" t="str">
        <f>Study!CG204</f>
        <v>الحفر والمسح والاختبار</v>
      </c>
      <c r="C205" s="93">
        <f>Study!CH204</f>
        <v>1895400</v>
      </c>
      <c r="D205" s="74" t="str">
        <f>Study!CI204</f>
        <v>التكاليف الأخرى</v>
      </c>
      <c r="E205" s="76" t="str">
        <f>Study!CJ204</f>
        <v>C87</v>
      </c>
      <c r="F205" s="74" t="str">
        <f>Study!CK204</f>
        <v>ريال سعودي</v>
      </c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2">
      <c r="A206" s="65">
        <f>Study!CF205</f>
        <v>181</v>
      </c>
      <c r="B206" s="66" t="str">
        <f>Study!CG205</f>
        <v>التأمين</v>
      </c>
      <c r="C206" s="88">
        <f>Study!CH205</f>
        <v>1380054.3194680852</v>
      </c>
      <c r="D206" s="66" t="str">
        <f>Study!CI205</f>
        <v>التكاليف الأخرى</v>
      </c>
      <c r="E206" s="68" t="str">
        <f>Study!CJ205</f>
        <v>C88</v>
      </c>
      <c r="F206" s="66" t="str">
        <f>Study!CK205</f>
        <v>ريال سعودي</v>
      </c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2">
      <c r="A207" s="73">
        <f>Study!CF206</f>
        <v>182</v>
      </c>
      <c r="B207" s="74" t="str">
        <f>Study!CG206</f>
        <v>الرخصة</v>
      </c>
      <c r="C207" s="93">
        <f>Study!CH206</f>
        <v>73008</v>
      </c>
      <c r="D207" s="74" t="str">
        <f>Study!CI206</f>
        <v>التكاليف الأخرى</v>
      </c>
      <c r="E207" s="76" t="str">
        <f>Study!CJ206</f>
        <v>C89</v>
      </c>
      <c r="F207" s="74" t="str">
        <f>Study!CK206</f>
        <v>ريال سعودي</v>
      </c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2">
      <c r="A208" s="65">
        <f>Study!CF207</f>
        <v>183</v>
      </c>
      <c r="B208" s="66" t="str">
        <f>Study!CG207</f>
        <v>التصميم</v>
      </c>
      <c r="C208" s="88">
        <f>Study!CH207</f>
        <v>2435389.9755319147</v>
      </c>
      <c r="D208" s="66" t="str">
        <f>Study!CI207</f>
        <v>التكاليف الأخرى</v>
      </c>
      <c r="E208" s="68" t="str">
        <f>Study!CJ207</f>
        <v>C90</v>
      </c>
      <c r="F208" s="66" t="str">
        <f>Study!CK207</f>
        <v>ريال سعودي</v>
      </c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">
      <c r="A209" s="73">
        <f>Study!CF208</f>
        <v>184</v>
      </c>
      <c r="B209" s="74" t="str">
        <f>Study!CG208</f>
        <v>أثاث الوحدات الفندقية</v>
      </c>
      <c r="C209" s="93">
        <f>Study!CH208</f>
        <v>0</v>
      </c>
      <c r="D209" s="74" t="str">
        <f>Study!CI208</f>
        <v>التكاليف الأخرى</v>
      </c>
      <c r="E209" s="76" t="str">
        <f>Study!CJ208</f>
        <v>C91</v>
      </c>
      <c r="F209" s="74" t="str">
        <f>Study!CK208</f>
        <v>ريال سعودي</v>
      </c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2">
      <c r="A210" s="65">
        <f>Study!CF209</f>
        <v>185</v>
      </c>
      <c r="B210" s="66" t="str">
        <f>Study!CG209</f>
        <v>أثاث الوحدات</v>
      </c>
      <c r="C210" s="88">
        <f>Study!CH209</f>
        <v>5445000</v>
      </c>
      <c r="D210" s="66" t="str">
        <f>Study!CI209</f>
        <v>التكاليف الأخرى</v>
      </c>
      <c r="E210" s="68" t="str">
        <f>Study!CJ209</f>
        <v>C92</v>
      </c>
      <c r="F210" s="66" t="str">
        <f>Study!CK209</f>
        <v>ريال سعودي</v>
      </c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2">
      <c r="A211" s="73">
        <f>Study!CF210</f>
        <v>186</v>
      </c>
      <c r="B211" s="74" t="str">
        <f>Study!CG210</f>
        <v>رسوم الكهرباء</v>
      </c>
      <c r="C211" s="93">
        <f>Study!CH210</f>
        <v>2475000</v>
      </c>
      <c r="D211" s="74" t="str">
        <f>Study!CI210</f>
        <v>التكاليف الأخرى</v>
      </c>
      <c r="E211" s="76" t="str">
        <f>Study!CJ210</f>
        <v>C93</v>
      </c>
      <c r="F211" s="74" t="str">
        <f>Study!CK210</f>
        <v>ريال سعودي</v>
      </c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2">
      <c r="A212" s="65">
        <f>Study!CF211</f>
        <v>187</v>
      </c>
      <c r="B212" s="66" t="str">
        <f>Study!CG211</f>
        <v>رسوم الماء وصرف الصحي</v>
      </c>
      <c r="C212" s="88">
        <f>Study!CH211</f>
        <v>1584000</v>
      </c>
      <c r="D212" s="66" t="str">
        <f>Study!CI211</f>
        <v>التكاليف الأخرى</v>
      </c>
      <c r="E212" s="68" t="str">
        <f>Study!CJ211</f>
        <v>C94</v>
      </c>
      <c r="F212" s="66" t="str">
        <f>Study!CK211</f>
        <v>ريال سعودي</v>
      </c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2">
      <c r="A213" s="73">
        <f>Study!CF212</f>
        <v>188</v>
      </c>
      <c r="B213" s="74" t="str">
        <f>Study!CG212</f>
        <v>الفرز</v>
      </c>
      <c r="C213" s="93">
        <f>Study!CH212</f>
        <v>297000</v>
      </c>
      <c r="D213" s="74" t="str">
        <f>Study!CI212</f>
        <v>التكاليف الأخرى</v>
      </c>
      <c r="E213" s="76" t="str">
        <f>Study!CJ212</f>
        <v>C95</v>
      </c>
      <c r="F213" s="74" t="str">
        <f>Study!CK212</f>
        <v>ريال سعودي</v>
      </c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2">
      <c r="A214" s="65">
        <f>Study!CF213</f>
        <v>189</v>
      </c>
      <c r="B214" s="66" t="str">
        <f>Study!CG213</f>
        <v>الصيانة والتشغيل</v>
      </c>
      <c r="C214" s="88">
        <f>Study!CH213</f>
        <v>990000</v>
      </c>
      <c r="D214" s="66" t="str">
        <f>Study!CI213</f>
        <v>التكاليف الأخرى</v>
      </c>
      <c r="E214" s="68" t="str">
        <f>Study!CJ213</f>
        <v>C96</v>
      </c>
      <c r="F214" s="66" t="str">
        <f>Study!CK213</f>
        <v>ريال سعودي</v>
      </c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2">
      <c r="A215" s="73">
        <f>Study!CF214</f>
        <v>190</v>
      </c>
      <c r="B215" s="74" t="str">
        <f>Study!CG214</f>
        <v>الاحتياطي</v>
      </c>
      <c r="C215" s="93">
        <f>Study!CH214</f>
        <v>1217694.9877659574</v>
      </c>
      <c r="D215" s="74" t="str">
        <f>Study!CI214</f>
        <v>التكاليف الأخرى</v>
      </c>
      <c r="E215" s="76" t="str">
        <f>Study!CJ214</f>
        <v>C97</v>
      </c>
      <c r="F215" s="74" t="str">
        <f>Study!CK214</f>
        <v>ريال سعودي</v>
      </c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2">
      <c r="A216" s="65">
        <f>Study!CF215</f>
        <v>191</v>
      </c>
      <c r="B216" s="66" t="str">
        <f>Study!CG215</f>
        <v>تسويق المبيعات</v>
      </c>
      <c r="C216" s="88">
        <f>Study!CH215</f>
        <v>4273691.3955249814</v>
      </c>
      <c r="D216" s="66" t="str">
        <f>Study!CI215</f>
        <v>التكاليف الأخرى</v>
      </c>
      <c r="E216" s="68" t="str">
        <f>Study!CJ215</f>
        <v>C98</v>
      </c>
      <c r="F216" s="66" t="str">
        <f>Study!CK215</f>
        <v>ريال سعودي</v>
      </c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2">
      <c r="A217" s="73">
        <f>Study!CF216</f>
        <v>192</v>
      </c>
      <c r="B217" s="74" t="str">
        <f>Study!CG216</f>
        <v>تسويق التأجير</v>
      </c>
      <c r="C217" s="93">
        <f>Study!CH216</f>
        <v>188465.17021276589</v>
      </c>
      <c r="D217" s="74" t="str">
        <f>Study!CI216</f>
        <v>التكاليف الأخرى</v>
      </c>
      <c r="E217" s="76" t="str">
        <f>Study!CJ216</f>
        <v>C99</v>
      </c>
      <c r="F217" s="74" t="str">
        <f>Study!CK216</f>
        <v>ريال سعودي</v>
      </c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2">
      <c r="A218" s="65">
        <f>Study!CF217</f>
        <v>193</v>
      </c>
      <c r="B218" s="66" t="str">
        <f>Study!CG217</f>
        <v>تسويق البيع على الخارطة</v>
      </c>
      <c r="C218" s="88">
        <f>Study!CH217</f>
        <v>1137261.0039893629</v>
      </c>
      <c r="D218" s="66" t="str">
        <f>Study!CI217</f>
        <v>التكاليف الأخرى</v>
      </c>
      <c r="E218" s="68" t="str">
        <f>Study!CJ217</f>
        <v>C100</v>
      </c>
      <c r="F218" s="66" t="str">
        <f>Study!CK217</f>
        <v>ريال سعودي</v>
      </c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2">
      <c r="A219" s="73">
        <f>Study!CF218</f>
        <v>194</v>
      </c>
      <c r="B219" s="74" t="str">
        <f>Study!CG218</f>
        <v>الإشراف الهندسي</v>
      </c>
      <c r="C219" s="93">
        <f>Study!CH218</f>
        <v>2435389.9755319147</v>
      </c>
      <c r="D219" s="74" t="str">
        <f>Study!CI218</f>
        <v>التكاليف الأخرى</v>
      </c>
      <c r="E219" s="76" t="str">
        <f>Study!CJ218</f>
        <v>C101</v>
      </c>
      <c r="F219" s="74" t="str">
        <f>Study!CK218</f>
        <v>ريال سعودي</v>
      </c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2">
      <c r="A220" s="65">
        <f>Study!CF219</f>
        <v>195</v>
      </c>
      <c r="B220" s="66" t="str">
        <f>Study!CG219</f>
        <v>إجمالي التكاليف الأخرى</v>
      </c>
      <c r="C220" s="88">
        <f>Study!CH219</f>
        <v>26529354.82802498</v>
      </c>
      <c r="D220" s="66" t="str">
        <f>Study!CI219</f>
        <v>التكاليف الأخرى</v>
      </c>
      <c r="E220" s="68" t="str">
        <f>Study!CJ219</f>
        <v>C102</v>
      </c>
      <c r="F220" s="66" t="str">
        <f>Study!CK219</f>
        <v>ريال سعودي</v>
      </c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" x14ac:dyDescent="0.2">
      <c r="A221" s="455" t="str">
        <f>Study!CF220</f>
        <v>▌ تكاليف الصندوق</v>
      </c>
      <c r="B221" s="455">
        <f>Study!CG220</f>
        <v>0</v>
      </c>
      <c r="C221" s="455">
        <f>Study!CH220</f>
        <v>0</v>
      </c>
      <c r="D221" s="455">
        <f>Study!CI220</f>
        <v>0</v>
      </c>
      <c r="E221" s="455">
        <f>Study!CJ220</f>
        <v>0</v>
      </c>
      <c r="F221" s="455">
        <f>Study!CK220</f>
        <v>0</v>
      </c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2">
      <c r="A222" s="73">
        <f>Study!CF221</f>
        <v>196</v>
      </c>
      <c r="B222" s="74" t="str">
        <f>Study!CG221</f>
        <v>تكاليف المطور</v>
      </c>
      <c r="C222" s="93">
        <f>Study!CH221</f>
        <v>10147458.231382979</v>
      </c>
      <c r="D222" s="74" t="str">
        <f>Study!CI221</f>
        <v>تكاليف الصندوق</v>
      </c>
      <c r="E222" s="76" t="str">
        <f>Study!CJ221</f>
        <v>C104</v>
      </c>
      <c r="F222" s="74" t="str">
        <f>Study!CK221</f>
        <v>ريال سعودي</v>
      </c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2">
      <c r="A223" s="65">
        <f>Study!CF222</f>
        <v>197</v>
      </c>
      <c r="B223" s="66" t="str">
        <f>Study!CG222</f>
        <v>نسبة تكاليف المطور</v>
      </c>
      <c r="C223" s="154">
        <f>Study!CH222</f>
        <v>0.125</v>
      </c>
      <c r="D223" s="66" t="str">
        <f>Study!CI222</f>
        <v>تكاليف الصندوق</v>
      </c>
      <c r="E223" s="68" t="str">
        <f>Study!CJ222</f>
        <v>D104</v>
      </c>
      <c r="F223" s="66" t="str">
        <f>Study!CK222</f>
        <v>نسبة مئوية</v>
      </c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2">
      <c r="A224" s="73">
        <f>Study!CF223</f>
        <v>198</v>
      </c>
      <c r="B224" s="74" t="str">
        <f>Study!CG223</f>
        <v>رسوم الصندوق</v>
      </c>
      <c r="C224" s="93">
        <f>Study!CH223</f>
        <v>5072943.6246633977</v>
      </c>
      <c r="D224" s="74" t="str">
        <f>Study!CI223</f>
        <v>تكاليف الصندوق</v>
      </c>
      <c r="E224" s="76" t="str">
        <f>Study!CJ223</f>
        <v>C105</v>
      </c>
      <c r="F224" s="74" t="str">
        <f>Study!CK223</f>
        <v>ريال سعودي</v>
      </c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2">
      <c r="A225" s="65">
        <f>Study!CF224</f>
        <v>199</v>
      </c>
      <c r="B225" s="66" t="str">
        <f>Study!CG224</f>
        <v>التكاليف الأخرى للصندوق</v>
      </c>
      <c r="C225" s="88">
        <f>Study!CH224</f>
        <v>1093000</v>
      </c>
      <c r="D225" s="66" t="str">
        <f>Study!CI224</f>
        <v>تكاليف الصندوق</v>
      </c>
      <c r="E225" s="68" t="str">
        <f>Study!CJ224</f>
        <v>C106</v>
      </c>
      <c r="F225" s="66" t="str">
        <f>Study!CK224</f>
        <v>ريال سعودي</v>
      </c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2">
      <c r="A226" s="73">
        <f>Study!CF225</f>
        <v>200</v>
      </c>
      <c r="B226" s="74" t="str">
        <f>Study!CG225</f>
        <v>إجمالي تكاليف الصندوق</v>
      </c>
      <c r="C226" s="93">
        <f>Study!CH225</f>
        <v>16313401.856046377</v>
      </c>
      <c r="D226" s="74" t="str">
        <f>Study!CI225</f>
        <v>تكاليف الصندوق</v>
      </c>
      <c r="E226" s="76" t="str">
        <f>Study!CJ225</f>
        <v>C107</v>
      </c>
      <c r="F226" s="74" t="str">
        <f>Study!CK225</f>
        <v>ريال سعودي</v>
      </c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" x14ac:dyDescent="0.2">
      <c r="A227" s="455" t="str">
        <f>Study!CF226</f>
        <v>▌ ملخص التكاليف</v>
      </c>
      <c r="B227" s="455">
        <f>Study!CG226</f>
        <v>0</v>
      </c>
      <c r="C227" s="455">
        <f>Study!CH226</f>
        <v>0</v>
      </c>
      <c r="D227" s="455">
        <f>Study!CI226</f>
        <v>0</v>
      </c>
      <c r="E227" s="455">
        <f>Study!CJ226</f>
        <v>0</v>
      </c>
      <c r="F227" s="455">
        <f>Study!CK226</f>
        <v>0</v>
      </c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2">
      <c r="A228" s="65">
        <f>Study!CF227</f>
        <v>201</v>
      </c>
      <c r="B228" s="66" t="str">
        <f>Study!CG227</f>
        <v>إجمالي تكلفة الأرض</v>
      </c>
      <c r="C228" s="88">
        <f>Study!CH227</f>
        <v>64193805</v>
      </c>
      <c r="D228" s="66" t="str">
        <f>Study!CI227</f>
        <v>ملخص التكاليف</v>
      </c>
      <c r="E228" s="68" t="str">
        <f>Study!CJ227</f>
        <v>C109</v>
      </c>
      <c r="F228" s="66" t="str">
        <f>Study!CK227</f>
        <v>ريال سعودي</v>
      </c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2">
      <c r="A229" s="73">
        <f>Study!CF228</f>
        <v>202</v>
      </c>
      <c r="B229" s="74" t="str">
        <f>Study!CG228</f>
        <v>إجمالي تكلفة البناء</v>
      </c>
      <c r="C229" s="93">
        <f>Study!CH228</f>
        <v>81179665.851063833</v>
      </c>
      <c r="D229" s="74" t="str">
        <f>Study!CI228</f>
        <v>ملخص التكاليف</v>
      </c>
      <c r="E229" s="76" t="str">
        <f>Study!CJ228</f>
        <v>C110</v>
      </c>
      <c r="F229" s="74" t="str">
        <f>Study!CK228</f>
        <v>ريال سعودي</v>
      </c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2">
      <c r="A230" s="65">
        <f>Study!CF229</f>
        <v>203</v>
      </c>
      <c r="B230" s="66" t="str">
        <f>Study!CG229</f>
        <v>إجمالي التكاليف الأخرى</v>
      </c>
      <c r="C230" s="88">
        <f>Study!CH229</f>
        <v>26529354.82802498</v>
      </c>
      <c r="D230" s="66" t="str">
        <f>Study!CI229</f>
        <v>ملخص التكاليف</v>
      </c>
      <c r="E230" s="68" t="str">
        <f>Study!CJ229</f>
        <v>C111</v>
      </c>
      <c r="F230" s="66" t="str">
        <f>Study!CK229</f>
        <v>ريال سعودي</v>
      </c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2">
      <c r="A231" s="73">
        <f>Study!CF230</f>
        <v>204</v>
      </c>
      <c r="B231" s="74" t="str">
        <f>Study!CG230</f>
        <v>إجمالي تكلفة التطوير</v>
      </c>
      <c r="C231" s="93">
        <f>Study!CH230</f>
        <v>107709020.67908882</v>
      </c>
      <c r="D231" s="74" t="str">
        <f>Study!CI230</f>
        <v>ملخص التكاليف</v>
      </c>
      <c r="E231" s="76" t="str">
        <f>Study!CJ230</f>
        <v>C112</v>
      </c>
      <c r="F231" s="74" t="str">
        <f>Study!CK230</f>
        <v>ريال سعودي</v>
      </c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2">
      <c r="A232" s="65">
        <f>Study!CF231</f>
        <v>205</v>
      </c>
      <c r="B232" s="66" t="str">
        <f>Study!CG231</f>
        <v>إجمالي تكاليف الصندوق</v>
      </c>
      <c r="C232" s="88">
        <f>Study!CH231</f>
        <v>16313401.856046377</v>
      </c>
      <c r="D232" s="66" t="str">
        <f>Study!CI231</f>
        <v>ملخص التكاليف</v>
      </c>
      <c r="E232" s="68" t="str">
        <f>Study!CJ231</f>
        <v>C113</v>
      </c>
      <c r="F232" s="66" t="str">
        <f>Study!CK231</f>
        <v>ريال سعودي</v>
      </c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2">
      <c r="A233" s="73">
        <f>Study!CF232</f>
        <v>206</v>
      </c>
      <c r="B233" s="74" t="str">
        <f>Study!CG232</f>
        <v>إجمالي التكاليف التشغيلية</v>
      </c>
      <c r="C233" s="93">
        <f>Study!CH232</f>
        <v>2712940.8510638298</v>
      </c>
      <c r="D233" s="74" t="str">
        <f>Study!CI232</f>
        <v>ملخص التكاليف</v>
      </c>
      <c r="E233" s="76" t="str">
        <f>Study!CJ232</f>
        <v>C114</v>
      </c>
      <c r="F233" s="74" t="str">
        <f>Study!CK232</f>
        <v>ريال سعودي</v>
      </c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2">
      <c r="A234" s="65">
        <f>Study!CF233</f>
        <v>207</v>
      </c>
      <c r="B234" s="66" t="str">
        <f>Study!CG233</f>
        <v>إجمالي التكاليف الكاملة للمشروع</v>
      </c>
      <c r="C234" s="88">
        <f>Study!CH233</f>
        <v>205738443.38619903</v>
      </c>
      <c r="D234" s="66" t="str">
        <f>Study!CI233</f>
        <v>ملخص التكاليف</v>
      </c>
      <c r="E234" s="68" t="str">
        <f>Study!CJ233</f>
        <v>C115</v>
      </c>
      <c r="F234" s="66" t="str">
        <f>Study!CK233</f>
        <v>ريال سعودي</v>
      </c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2">
      <c r="A235" s="73">
        <f>Study!CF234</f>
        <v>208</v>
      </c>
      <c r="B235" s="74" t="str">
        <f>Study!CG234</f>
        <v>الملكية</v>
      </c>
      <c r="C235" s="93">
        <f>Study!CH234</f>
        <v>72735458.231382981</v>
      </c>
      <c r="D235" s="74" t="str">
        <f>Study!CI234</f>
        <v>ملخص التكاليف</v>
      </c>
      <c r="E235" s="76" t="str">
        <f>Study!CJ234</f>
        <v>C116</v>
      </c>
      <c r="F235" s="74" t="str">
        <f>Study!CK234</f>
        <v>ريال سعودي</v>
      </c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" x14ac:dyDescent="0.2">
      <c r="A236" s="455" t="str">
        <f>Study!CF235</f>
        <v>▌ التمويل</v>
      </c>
      <c r="B236" s="455">
        <f>Study!CG235</f>
        <v>0</v>
      </c>
      <c r="C236" s="455">
        <f>Study!CH235</f>
        <v>0</v>
      </c>
      <c r="D236" s="455">
        <f>Study!CI235</f>
        <v>0</v>
      </c>
      <c r="E236" s="455">
        <f>Study!CJ235</f>
        <v>0</v>
      </c>
      <c r="F236" s="455">
        <f>Study!CK235</f>
        <v>0</v>
      </c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2">
      <c r="A237" s="65">
        <f>Study!CF236</f>
        <v>209</v>
      </c>
      <c r="B237" s="66" t="str">
        <f>Study!CG236</f>
        <v>التمويل المطلوب</v>
      </c>
      <c r="C237" s="88">
        <f>Study!CH236</f>
        <v>83100000</v>
      </c>
      <c r="D237" s="66" t="str">
        <f>Study!CI236</f>
        <v>التمويل</v>
      </c>
      <c r="E237" s="68" t="str">
        <f>Study!CJ236</f>
        <v>C118</v>
      </c>
      <c r="F237" s="66" t="str">
        <f>Study!CK236</f>
        <v>ريال سعودي</v>
      </c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2">
      <c r="A238" s="73">
        <f>Study!CF237</f>
        <v>210</v>
      </c>
      <c r="B238" s="74" t="str">
        <f>Study!CG237</f>
        <v>فوائد التمويل</v>
      </c>
      <c r="C238" s="93">
        <f>Study!CH237</f>
        <v>14809275</v>
      </c>
      <c r="D238" s="74" t="str">
        <f>Study!CI237</f>
        <v>التمويل</v>
      </c>
      <c r="E238" s="76" t="str">
        <f>Study!CJ237</f>
        <v>C119</v>
      </c>
      <c r="F238" s="74" t="str">
        <f>Study!CK237</f>
        <v>ريال سعودي</v>
      </c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2">
      <c r="A239" s="65">
        <f>Study!CF238</f>
        <v>211</v>
      </c>
      <c r="B239" s="66" t="str">
        <f>Study!CG238</f>
        <v>مدة الفوائد بالسنين</v>
      </c>
      <c r="C239" s="141">
        <f>Study!CH238</f>
        <v>3.0027397260273974</v>
      </c>
      <c r="D239" s="66" t="str">
        <f>Study!CI238</f>
        <v>التمويل</v>
      </c>
      <c r="E239" s="68" t="str">
        <f>Study!CJ238</f>
        <v>E119</v>
      </c>
      <c r="F239" s="66" t="str">
        <f>Study!CK238</f>
        <v>سنة</v>
      </c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" x14ac:dyDescent="0.2">
      <c r="A240" s="455" t="str">
        <f>Study!CF239</f>
        <v>▌ الإطار الزمني</v>
      </c>
      <c r="B240" s="455">
        <f>Study!CG239</f>
        <v>0</v>
      </c>
      <c r="C240" s="455">
        <f>Study!CH239</f>
        <v>0</v>
      </c>
      <c r="D240" s="455">
        <f>Study!CI239</f>
        <v>0</v>
      </c>
      <c r="E240" s="455">
        <f>Study!CJ239</f>
        <v>0</v>
      </c>
      <c r="F240" s="455">
        <f>Study!CK239</f>
        <v>0</v>
      </c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">
      <c r="A241" s="73">
        <f>Study!CF240</f>
        <v>212</v>
      </c>
      <c r="B241" s="74" t="str">
        <f>Study!CG240</f>
        <v>مدة المشروع - بالأشهر</v>
      </c>
      <c r="C241" s="221">
        <f>Study!CH240</f>
        <v>45.008219178082186</v>
      </c>
      <c r="D241" s="74" t="str">
        <f>Study!CI240</f>
        <v>الإطار الزمني</v>
      </c>
      <c r="E241" s="76" t="str">
        <f>Study!CJ240</f>
        <v>C122</v>
      </c>
      <c r="F241" s="74" t="str">
        <f>Study!CK240</f>
        <v>شهر</v>
      </c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">
      <c r="A242" s="65">
        <f>Study!CF241</f>
        <v>213</v>
      </c>
      <c r="B242" s="66" t="str">
        <f>Study!CG241</f>
        <v>مدة المشروع - بالسنين</v>
      </c>
      <c r="C242" s="141">
        <f>Study!CH241</f>
        <v>3.7506849315068487</v>
      </c>
      <c r="D242" s="66" t="str">
        <f>Study!CI241</f>
        <v>الإطار الزمني</v>
      </c>
      <c r="E242" s="68" t="str">
        <f>Study!CJ241</f>
        <v>D122</v>
      </c>
      <c r="F242" s="66" t="str">
        <f>Study!CK241</f>
        <v>سنة</v>
      </c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">
      <c r="A243" s="73">
        <f>Study!CF242</f>
        <v>214</v>
      </c>
      <c r="B243" s="74" t="str">
        <f>Study!CG242</f>
        <v>مدة المشروع - ربع سنوي</v>
      </c>
      <c r="C243" s="246">
        <f>Study!CH242</f>
        <v>15.002739726027395</v>
      </c>
      <c r="D243" s="74" t="str">
        <f>Study!CI242</f>
        <v>الإطار الزمني</v>
      </c>
      <c r="E243" s="76" t="str">
        <f>Study!CJ242</f>
        <v>E122</v>
      </c>
      <c r="F243" s="74" t="str">
        <f>Study!CK242</f>
        <v>ربع</v>
      </c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" x14ac:dyDescent="0.2">
      <c r="A244" s="455" t="str">
        <f>Study!CF243</f>
        <v>▌ البيع المباشر - سكني</v>
      </c>
      <c r="B244" s="455">
        <f>Study!CG243</f>
        <v>0</v>
      </c>
      <c r="C244" s="455">
        <f>Study!CH243</f>
        <v>0</v>
      </c>
      <c r="D244" s="455">
        <f>Study!CI243</f>
        <v>0</v>
      </c>
      <c r="E244" s="455">
        <f>Study!CJ243</f>
        <v>0</v>
      </c>
      <c r="F244" s="455">
        <f>Study!CK243</f>
        <v>0</v>
      </c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">
      <c r="A245" s="65">
        <f>Study!CF244</f>
        <v>215</v>
      </c>
      <c r="B245" s="66" t="str">
        <f>Study!CG244</f>
        <v>سكني - عدد الوحدات للبيع</v>
      </c>
      <c r="C245" s="231">
        <f>Study!CH244</f>
        <v>57</v>
      </c>
      <c r="D245" s="66" t="str">
        <f>Study!CI244</f>
        <v>البيع المباشر - سكني</v>
      </c>
      <c r="E245" s="68" t="str">
        <f>Study!CJ244</f>
        <v>C129</v>
      </c>
      <c r="F245" s="66" t="str">
        <f>Study!CK244</f>
        <v>وحدة</v>
      </c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">
      <c r="A246" s="73">
        <f>Study!CF245</f>
        <v>216</v>
      </c>
      <c r="B246" s="74" t="str">
        <f>Study!CG245</f>
        <v>سكني - نسبة البيع</v>
      </c>
      <c r="C246" s="148">
        <f>Study!CH245</f>
        <v>0.61956521739130432</v>
      </c>
      <c r="D246" s="74" t="str">
        <f>Study!CI245</f>
        <v>البيع المباشر - سكني</v>
      </c>
      <c r="E246" s="76" t="str">
        <f>Study!CJ245</f>
        <v>D129</v>
      </c>
      <c r="F246" s="74" t="str">
        <f>Study!CK245</f>
        <v>نسبة مئوية</v>
      </c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">
      <c r="A247" s="65">
        <f>Study!CF246</f>
        <v>217</v>
      </c>
      <c r="B247" s="66" t="str">
        <f>Study!CG246</f>
        <v>سكني - المساحات القابلة للبيع</v>
      </c>
      <c r="C247" s="141">
        <f>Study!CH246</f>
        <v>5368.4370374653154</v>
      </c>
      <c r="D247" s="66" t="str">
        <f>Study!CI246</f>
        <v>البيع المباشر - سكني</v>
      </c>
      <c r="E247" s="68" t="str">
        <f>Study!CJ246</f>
        <v>E129</v>
      </c>
      <c r="F247" s="66" t="str">
        <f>Study!CK246</f>
        <v>م²</v>
      </c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">
      <c r="A248" s="73">
        <f>Study!CF247</f>
        <v>218</v>
      </c>
      <c r="B248" s="74" t="str">
        <f>Study!CG247</f>
        <v>سكني - مساحة الوحدة</v>
      </c>
      <c r="C248" s="221">
        <f>Study!CH247</f>
        <v>94.183105920444135</v>
      </c>
      <c r="D248" s="74" t="str">
        <f>Study!CI247</f>
        <v>البيع المباشر - سكني</v>
      </c>
      <c r="E248" s="76" t="str">
        <f>Study!CJ247</f>
        <v>F129</v>
      </c>
      <c r="F248" s="74" t="str">
        <f>Study!CK247</f>
        <v>م²</v>
      </c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">
      <c r="A249" s="65">
        <f>Study!CF248</f>
        <v>219</v>
      </c>
      <c r="B249" s="66" t="str">
        <f>Study!CG248</f>
        <v>سكني - سعر بيع المتر</v>
      </c>
      <c r="C249" s="88">
        <f>Study!CH248</f>
        <v>15500</v>
      </c>
      <c r="D249" s="66" t="str">
        <f>Study!CI248</f>
        <v>البيع المباشر - سكني</v>
      </c>
      <c r="E249" s="68" t="str">
        <f>Study!CJ248</f>
        <v>H129</v>
      </c>
      <c r="F249" s="66" t="str">
        <f>Study!CK248</f>
        <v>ريال/م²</v>
      </c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">
      <c r="A250" s="73">
        <f>Study!CF249</f>
        <v>220</v>
      </c>
      <c r="B250" s="74" t="str">
        <f>Study!CG249</f>
        <v>سكني - قيمة الوحدة</v>
      </c>
      <c r="C250" s="93">
        <f>Study!CH249</f>
        <v>1459838.1417668841</v>
      </c>
      <c r="D250" s="74" t="str">
        <f>Study!CI249</f>
        <v>البيع المباشر - سكني</v>
      </c>
      <c r="E250" s="76" t="str">
        <f>Study!CJ249</f>
        <v>I129</v>
      </c>
      <c r="F250" s="74" t="str">
        <f>Study!CK249</f>
        <v>ريال سعودي</v>
      </c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">
      <c r="A251" s="65">
        <f>Study!CF250</f>
        <v>221</v>
      </c>
      <c r="B251" s="66" t="str">
        <f>Study!CG250</f>
        <v>سكني - إجمالي المبيعات</v>
      </c>
      <c r="C251" s="88">
        <f>Study!CH250</f>
        <v>83210774.080712393</v>
      </c>
      <c r="D251" s="66" t="str">
        <f>Study!CI250</f>
        <v>البيع المباشر - سكني</v>
      </c>
      <c r="E251" s="68" t="str">
        <f>Study!CJ250</f>
        <v>J129</v>
      </c>
      <c r="F251" s="66" t="str">
        <f>Study!CK250</f>
        <v>ريال سعودي</v>
      </c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" x14ac:dyDescent="0.2">
      <c r="A252" s="455" t="str">
        <f>Study!CF251</f>
        <v>▌ البيع المباشر - فلل</v>
      </c>
      <c r="B252" s="455">
        <f>Study!CG251</f>
        <v>0</v>
      </c>
      <c r="C252" s="455">
        <f>Study!CH251</f>
        <v>0</v>
      </c>
      <c r="D252" s="455">
        <f>Study!CI251</f>
        <v>0</v>
      </c>
      <c r="E252" s="455">
        <f>Study!CJ251</f>
        <v>0</v>
      </c>
      <c r="F252" s="455">
        <f>Study!CK251</f>
        <v>0</v>
      </c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">
      <c r="A253" s="73">
        <f>Study!CF252</f>
        <v>222</v>
      </c>
      <c r="B253" s="74" t="str">
        <f>Study!CG252</f>
        <v>فلل - عدد الوحدات للبيع</v>
      </c>
      <c r="C253" s="246">
        <f>Study!CH252</f>
        <v>0</v>
      </c>
      <c r="D253" s="74" t="str">
        <f>Study!CI252</f>
        <v>البيع المباشر - فلل</v>
      </c>
      <c r="E253" s="76" t="str">
        <f>Study!CJ252</f>
        <v>C130</v>
      </c>
      <c r="F253" s="74" t="str">
        <f>Study!CK252</f>
        <v>وحدة</v>
      </c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">
      <c r="A254" s="65">
        <f>Study!CF253</f>
        <v>223</v>
      </c>
      <c r="B254" s="66" t="str">
        <f>Study!CG253</f>
        <v>فلل - نسبة البيع</v>
      </c>
      <c r="C254" s="154">
        <f>Study!CH253</f>
        <v>1</v>
      </c>
      <c r="D254" s="66" t="str">
        <f>Study!CI253</f>
        <v>البيع المباشر - فلل</v>
      </c>
      <c r="E254" s="68" t="str">
        <f>Study!CJ253</f>
        <v>D130</v>
      </c>
      <c r="F254" s="66" t="str">
        <f>Study!CK253</f>
        <v>نسبة مئوية</v>
      </c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">
      <c r="A255" s="73">
        <f>Study!CF254</f>
        <v>224</v>
      </c>
      <c r="B255" s="74" t="str">
        <f>Study!CG254</f>
        <v>فلل - المساحات القابلة للبيع</v>
      </c>
      <c r="C255" s="221">
        <f>Study!CH254</f>
        <v>0</v>
      </c>
      <c r="D255" s="74" t="str">
        <f>Study!CI254</f>
        <v>البيع المباشر - فلل</v>
      </c>
      <c r="E255" s="76" t="str">
        <f>Study!CJ254</f>
        <v>E130</v>
      </c>
      <c r="F255" s="74" t="str">
        <f>Study!CK254</f>
        <v>م²</v>
      </c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">
      <c r="A256" s="65">
        <f>Study!CF255</f>
        <v>225</v>
      </c>
      <c r="B256" s="66" t="str">
        <f>Study!CG255</f>
        <v>فلل - مساحة الوحدة</v>
      </c>
      <c r="C256" s="141" t="str">
        <f>Study!CH255</f>
        <v>0</v>
      </c>
      <c r="D256" s="66" t="str">
        <f>Study!CI255</f>
        <v>البيع المباشر - فلل</v>
      </c>
      <c r="E256" s="68" t="str">
        <f>Study!CJ255</f>
        <v>F130</v>
      </c>
      <c r="F256" s="66" t="str">
        <f>Study!CK255</f>
        <v>م²</v>
      </c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">
      <c r="A257" s="73">
        <f>Study!CF256</f>
        <v>226</v>
      </c>
      <c r="B257" s="74" t="str">
        <f>Study!CG256</f>
        <v>فلل - سعر بيع المتر</v>
      </c>
      <c r="C257" s="93">
        <f>Study!CH256</f>
        <v>0</v>
      </c>
      <c r="D257" s="74" t="str">
        <f>Study!CI256</f>
        <v>البيع المباشر - فلل</v>
      </c>
      <c r="E257" s="76" t="str">
        <f>Study!CJ256</f>
        <v>H130</v>
      </c>
      <c r="F257" s="74" t="str">
        <f>Study!CK256</f>
        <v>ريال/م²</v>
      </c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">
      <c r="A258" s="65">
        <f>Study!CF257</f>
        <v>227</v>
      </c>
      <c r="B258" s="66" t="str">
        <f>Study!CG257</f>
        <v>فلل - قيمة الوحدة</v>
      </c>
      <c r="C258" s="88">
        <f>Study!CH257</f>
        <v>0</v>
      </c>
      <c r="D258" s="66" t="str">
        <f>Study!CI257</f>
        <v>البيع المباشر - فلل</v>
      </c>
      <c r="E258" s="68" t="str">
        <f>Study!CJ257</f>
        <v>I130</v>
      </c>
      <c r="F258" s="66" t="str">
        <f>Study!CK257</f>
        <v>ريال سعودي</v>
      </c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">
      <c r="A259" s="73">
        <f>Study!CF258</f>
        <v>228</v>
      </c>
      <c r="B259" s="74" t="str">
        <f>Study!CG258</f>
        <v>فلل - إجمالي المبيعات</v>
      </c>
      <c r="C259" s="93">
        <f>Study!CH258</f>
        <v>0</v>
      </c>
      <c r="D259" s="74" t="str">
        <f>Study!CI258</f>
        <v>البيع المباشر - فلل</v>
      </c>
      <c r="E259" s="76" t="str">
        <f>Study!CJ258</f>
        <v>J130</v>
      </c>
      <c r="F259" s="74" t="str">
        <f>Study!CK258</f>
        <v>ريال سعودي</v>
      </c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" x14ac:dyDescent="0.2">
      <c r="A260" s="455" t="str">
        <f>Study!CF259</f>
        <v>▌ البيع المباشر - تاون هاوس</v>
      </c>
      <c r="B260" s="455">
        <f>Study!CG259</f>
        <v>0</v>
      </c>
      <c r="C260" s="455">
        <f>Study!CH259</f>
        <v>0</v>
      </c>
      <c r="D260" s="455">
        <f>Study!CI259</f>
        <v>0</v>
      </c>
      <c r="E260" s="455">
        <f>Study!CJ259</f>
        <v>0</v>
      </c>
      <c r="F260" s="455">
        <f>Study!CK259</f>
        <v>0</v>
      </c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">
      <c r="A261" s="65">
        <f>Study!CF260</f>
        <v>229</v>
      </c>
      <c r="B261" s="66" t="str">
        <f>Study!CG260</f>
        <v>تاون هاوس - عدد الوحدات للبيع</v>
      </c>
      <c r="C261" s="231">
        <f>Study!CH260</f>
        <v>0</v>
      </c>
      <c r="D261" s="66" t="str">
        <f>Study!CI260</f>
        <v>البيع المباشر - تاون هاوس</v>
      </c>
      <c r="E261" s="68" t="str">
        <f>Study!CJ260</f>
        <v>C131</v>
      </c>
      <c r="F261" s="66" t="str">
        <f>Study!CK260</f>
        <v>وحدة</v>
      </c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">
      <c r="A262" s="73">
        <f>Study!CF261</f>
        <v>230</v>
      </c>
      <c r="B262" s="74" t="str">
        <f>Study!CG261</f>
        <v>تاون هاوس - نسبة البيع</v>
      </c>
      <c r="C262" s="148">
        <f>Study!CH261</f>
        <v>1</v>
      </c>
      <c r="D262" s="74" t="str">
        <f>Study!CI261</f>
        <v>البيع المباشر - تاون هاوس</v>
      </c>
      <c r="E262" s="76" t="str">
        <f>Study!CJ261</f>
        <v>D131</v>
      </c>
      <c r="F262" s="74" t="str">
        <f>Study!CK261</f>
        <v>نسبة مئوية</v>
      </c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">
      <c r="A263" s="65">
        <f>Study!CF262</f>
        <v>231</v>
      </c>
      <c r="B263" s="66" t="str">
        <f>Study!CG262</f>
        <v>تاون هاوس - المساحات القابلة للبيع</v>
      </c>
      <c r="C263" s="141">
        <f>Study!CH262</f>
        <v>0</v>
      </c>
      <c r="D263" s="66" t="str">
        <f>Study!CI262</f>
        <v>البيع المباشر - تاون هاوس</v>
      </c>
      <c r="E263" s="68" t="str">
        <f>Study!CJ262</f>
        <v>E131</v>
      </c>
      <c r="F263" s="66" t="str">
        <f>Study!CK262</f>
        <v>م²</v>
      </c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">
      <c r="A264" s="73">
        <f>Study!CF263</f>
        <v>232</v>
      </c>
      <c r="B264" s="74" t="str">
        <f>Study!CG263</f>
        <v>تاون هاوس - مساحة الوحدة</v>
      </c>
      <c r="C264" s="221" t="str">
        <f>Study!CH263</f>
        <v>0</v>
      </c>
      <c r="D264" s="74" t="str">
        <f>Study!CI263</f>
        <v>البيع المباشر - تاون هاوس</v>
      </c>
      <c r="E264" s="76" t="str">
        <f>Study!CJ263</f>
        <v>F131</v>
      </c>
      <c r="F264" s="74" t="str">
        <f>Study!CK263</f>
        <v>م²</v>
      </c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">
      <c r="A265" s="65">
        <f>Study!CF264</f>
        <v>233</v>
      </c>
      <c r="B265" s="66" t="str">
        <f>Study!CG264</f>
        <v>تاون هاوس - سعر بيع المتر</v>
      </c>
      <c r="C265" s="88">
        <f>Study!CH264</f>
        <v>0</v>
      </c>
      <c r="D265" s="66" t="str">
        <f>Study!CI264</f>
        <v>البيع المباشر - تاون هاوس</v>
      </c>
      <c r="E265" s="68" t="str">
        <f>Study!CJ264</f>
        <v>H131</v>
      </c>
      <c r="F265" s="66" t="str">
        <f>Study!CK264</f>
        <v>ريال/م²</v>
      </c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">
      <c r="A266" s="73">
        <f>Study!CF265</f>
        <v>234</v>
      </c>
      <c r="B266" s="74" t="str">
        <f>Study!CG265</f>
        <v>تاون هاوس - قيمة الوحدة</v>
      </c>
      <c r="C266" s="93">
        <f>Study!CH265</f>
        <v>0</v>
      </c>
      <c r="D266" s="74" t="str">
        <f>Study!CI265</f>
        <v>البيع المباشر - تاون هاوس</v>
      </c>
      <c r="E266" s="76" t="str">
        <f>Study!CJ265</f>
        <v>I131</v>
      </c>
      <c r="F266" s="74" t="str">
        <f>Study!CK265</f>
        <v>ريال سعودي</v>
      </c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">
      <c r="A267" s="65">
        <f>Study!CF266</f>
        <v>235</v>
      </c>
      <c r="B267" s="66" t="str">
        <f>Study!CG266</f>
        <v>تاون هاوس - إجمالي المبيعات</v>
      </c>
      <c r="C267" s="88">
        <f>Study!CH266</f>
        <v>0</v>
      </c>
      <c r="D267" s="66" t="str">
        <f>Study!CI266</f>
        <v>البيع المباشر - تاون هاوس</v>
      </c>
      <c r="E267" s="68" t="str">
        <f>Study!CJ266</f>
        <v>J131</v>
      </c>
      <c r="F267" s="66" t="str">
        <f>Study!CK266</f>
        <v>ريال سعودي</v>
      </c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" x14ac:dyDescent="0.2">
      <c r="A268" s="455" t="str">
        <f>Study!CF267</f>
        <v>▌ البيع المباشر - أدوار</v>
      </c>
      <c r="B268" s="455">
        <f>Study!CG267</f>
        <v>0</v>
      </c>
      <c r="C268" s="455">
        <f>Study!CH267</f>
        <v>0</v>
      </c>
      <c r="D268" s="455">
        <f>Study!CI267</f>
        <v>0</v>
      </c>
      <c r="E268" s="455">
        <f>Study!CJ267</f>
        <v>0</v>
      </c>
      <c r="F268" s="455">
        <f>Study!CK267</f>
        <v>0</v>
      </c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">
      <c r="A269" s="73">
        <f>Study!CF268</f>
        <v>236</v>
      </c>
      <c r="B269" s="74" t="str">
        <f>Study!CG268</f>
        <v>أدوار - عدد الوحدات للبيع</v>
      </c>
      <c r="C269" s="246">
        <f>Study!CH268</f>
        <v>0</v>
      </c>
      <c r="D269" s="74" t="str">
        <f>Study!CI268</f>
        <v>البيع المباشر - أدوار</v>
      </c>
      <c r="E269" s="76" t="str">
        <f>Study!CJ268</f>
        <v>C132</v>
      </c>
      <c r="F269" s="74" t="str">
        <f>Study!CK268</f>
        <v>وحدة</v>
      </c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">
      <c r="A270" s="65">
        <f>Study!CF269</f>
        <v>237</v>
      </c>
      <c r="B270" s="66" t="str">
        <f>Study!CG269</f>
        <v>أدوار - نسبة البيع</v>
      </c>
      <c r="C270" s="154">
        <f>Study!CH269</f>
        <v>1</v>
      </c>
      <c r="D270" s="66" t="str">
        <f>Study!CI269</f>
        <v>البيع المباشر - أدوار</v>
      </c>
      <c r="E270" s="68" t="str">
        <f>Study!CJ269</f>
        <v>D132</v>
      </c>
      <c r="F270" s="66" t="str">
        <f>Study!CK269</f>
        <v>نسبة مئوية</v>
      </c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">
      <c r="A271" s="73">
        <f>Study!CF270</f>
        <v>238</v>
      </c>
      <c r="B271" s="74" t="str">
        <f>Study!CG270</f>
        <v>أدوار - المساحات القابلة للبيع</v>
      </c>
      <c r="C271" s="221">
        <f>Study!CH270</f>
        <v>0</v>
      </c>
      <c r="D271" s="74" t="str">
        <f>Study!CI270</f>
        <v>البيع المباشر - أدوار</v>
      </c>
      <c r="E271" s="76" t="str">
        <f>Study!CJ270</f>
        <v>E132</v>
      </c>
      <c r="F271" s="74" t="str">
        <f>Study!CK270</f>
        <v>م²</v>
      </c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">
      <c r="A272" s="65">
        <f>Study!CF271</f>
        <v>239</v>
      </c>
      <c r="B272" s="66" t="str">
        <f>Study!CG271</f>
        <v>أدوار - مساحة الوحدة</v>
      </c>
      <c r="C272" s="141" t="str">
        <f>Study!CH271</f>
        <v>0</v>
      </c>
      <c r="D272" s="66" t="str">
        <f>Study!CI271</f>
        <v>البيع المباشر - أدوار</v>
      </c>
      <c r="E272" s="68" t="str">
        <f>Study!CJ271</f>
        <v>F132</v>
      </c>
      <c r="F272" s="66" t="str">
        <f>Study!CK271</f>
        <v>م²</v>
      </c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">
      <c r="A273" s="73">
        <f>Study!CF272</f>
        <v>240</v>
      </c>
      <c r="B273" s="74" t="str">
        <f>Study!CG272</f>
        <v>أدوار - سعر بيع المتر</v>
      </c>
      <c r="C273" s="93">
        <f>Study!CH272</f>
        <v>0</v>
      </c>
      <c r="D273" s="74" t="str">
        <f>Study!CI272</f>
        <v>البيع المباشر - أدوار</v>
      </c>
      <c r="E273" s="76" t="str">
        <f>Study!CJ272</f>
        <v>H132</v>
      </c>
      <c r="F273" s="74" t="str">
        <f>Study!CK272</f>
        <v>ريال/م²</v>
      </c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">
      <c r="A274" s="65">
        <f>Study!CF273</f>
        <v>241</v>
      </c>
      <c r="B274" s="66" t="str">
        <f>Study!CG273</f>
        <v>أدوار - قيمة الوحدة</v>
      </c>
      <c r="C274" s="88">
        <f>Study!CH273</f>
        <v>0</v>
      </c>
      <c r="D274" s="66" t="str">
        <f>Study!CI273</f>
        <v>البيع المباشر - أدوار</v>
      </c>
      <c r="E274" s="68" t="str">
        <f>Study!CJ273</f>
        <v>I132</v>
      </c>
      <c r="F274" s="66" t="str">
        <f>Study!CK273</f>
        <v>ريال سعودي</v>
      </c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">
      <c r="A275" s="73">
        <f>Study!CF274</f>
        <v>242</v>
      </c>
      <c r="B275" s="74" t="str">
        <f>Study!CG274</f>
        <v>أدوار - إجمالي المبيعات</v>
      </c>
      <c r="C275" s="93">
        <f>Study!CH274</f>
        <v>0</v>
      </c>
      <c r="D275" s="74" t="str">
        <f>Study!CI274</f>
        <v>البيع المباشر - أدوار</v>
      </c>
      <c r="E275" s="76" t="str">
        <f>Study!CJ274</f>
        <v>J132</v>
      </c>
      <c r="F275" s="74" t="str">
        <f>Study!CK274</f>
        <v>ريال سعودي</v>
      </c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" x14ac:dyDescent="0.2">
      <c r="A276" s="455" t="str">
        <f>Study!CF275</f>
        <v>▌ البيع المباشر - أستوديوهات</v>
      </c>
      <c r="B276" s="455">
        <f>Study!CG275</f>
        <v>0</v>
      </c>
      <c r="C276" s="455">
        <f>Study!CH275</f>
        <v>0</v>
      </c>
      <c r="D276" s="455">
        <f>Study!CI275</f>
        <v>0</v>
      </c>
      <c r="E276" s="455">
        <f>Study!CJ275</f>
        <v>0</v>
      </c>
      <c r="F276" s="455">
        <f>Study!CK275</f>
        <v>0</v>
      </c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">
      <c r="A277" s="65">
        <f>Study!CF276</f>
        <v>243</v>
      </c>
      <c r="B277" s="66" t="str">
        <f>Study!CG276</f>
        <v>أستوديوهات - عدد الوحدات للبيع</v>
      </c>
      <c r="C277" s="231">
        <f>Study!CH276</f>
        <v>99</v>
      </c>
      <c r="D277" s="66" t="str">
        <f>Study!CI276</f>
        <v>البيع المباشر - أستوديوهات</v>
      </c>
      <c r="E277" s="68" t="str">
        <f>Study!CJ276</f>
        <v>C133</v>
      </c>
      <c r="F277" s="66" t="str">
        <f>Study!CK276</f>
        <v>وحدة</v>
      </c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">
      <c r="A278" s="73">
        <f>Study!CF277</f>
        <v>244</v>
      </c>
      <c r="B278" s="74" t="str">
        <f>Study!CG277</f>
        <v>أستوديوهات - نسبة البيع</v>
      </c>
      <c r="C278" s="148">
        <f>Study!CH277</f>
        <v>1</v>
      </c>
      <c r="D278" s="74" t="str">
        <f>Study!CI277</f>
        <v>البيع المباشر - أستوديوهات</v>
      </c>
      <c r="E278" s="76" t="str">
        <f>Study!CJ277</f>
        <v>D133</v>
      </c>
      <c r="F278" s="74" t="str">
        <f>Study!CK277</f>
        <v>نسبة مئوية</v>
      </c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">
      <c r="A279" s="65">
        <f>Study!CF278</f>
        <v>245</v>
      </c>
      <c r="B279" s="66" t="str">
        <f>Study!CG278</f>
        <v>أستوديوهات - المساحات القابلة للبيع</v>
      </c>
      <c r="C279" s="141">
        <f>Study!CH278</f>
        <v>4805.7127659574371</v>
      </c>
      <c r="D279" s="66" t="str">
        <f>Study!CI278</f>
        <v>البيع المباشر - أستوديوهات</v>
      </c>
      <c r="E279" s="68" t="str">
        <f>Study!CJ278</f>
        <v>E133</v>
      </c>
      <c r="F279" s="66" t="str">
        <f>Study!CK278</f>
        <v>م²</v>
      </c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">
      <c r="A280" s="73">
        <f>Study!CF279</f>
        <v>246</v>
      </c>
      <c r="B280" s="74" t="str">
        <f>Study!CG279</f>
        <v>أستوديوهات - مساحة الوحدة</v>
      </c>
      <c r="C280" s="221">
        <f>Study!CH279</f>
        <v>48.542553191489262</v>
      </c>
      <c r="D280" s="74" t="str">
        <f>Study!CI279</f>
        <v>البيع المباشر - أستوديوهات</v>
      </c>
      <c r="E280" s="76" t="str">
        <f>Study!CJ279</f>
        <v>F133</v>
      </c>
      <c r="F280" s="74" t="str">
        <f>Study!CK279</f>
        <v>م²</v>
      </c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">
      <c r="A281" s="65">
        <f>Study!CF280</f>
        <v>247</v>
      </c>
      <c r="B281" s="66" t="str">
        <f>Study!CG280</f>
        <v>أستوديوهات - سعر بيع المتر</v>
      </c>
      <c r="C281" s="88">
        <f>Study!CH280</f>
        <v>0</v>
      </c>
      <c r="D281" s="66" t="str">
        <f>Study!CI280</f>
        <v>البيع المباشر - أستوديوهات</v>
      </c>
      <c r="E281" s="68" t="str">
        <f>Study!CJ280</f>
        <v>H133</v>
      </c>
      <c r="F281" s="66" t="str">
        <f>Study!CK280</f>
        <v>ريال/م²</v>
      </c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">
      <c r="A282" s="73">
        <f>Study!CF281</f>
        <v>248</v>
      </c>
      <c r="B282" s="74" t="str">
        <f>Study!CG281</f>
        <v>أستوديوهات - قيمة الوحدة</v>
      </c>
      <c r="C282" s="93">
        <f>Study!CH281</f>
        <v>0</v>
      </c>
      <c r="D282" s="74" t="str">
        <f>Study!CI281</f>
        <v>البيع المباشر - أستوديوهات</v>
      </c>
      <c r="E282" s="76" t="str">
        <f>Study!CJ281</f>
        <v>I133</v>
      </c>
      <c r="F282" s="74" t="str">
        <f>Study!CK281</f>
        <v>ريال سعودي</v>
      </c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">
      <c r="A283" s="65">
        <f>Study!CF282</f>
        <v>249</v>
      </c>
      <c r="B283" s="66" t="str">
        <f>Study!CG282</f>
        <v>أستوديوهات - إجمالي المبيعات</v>
      </c>
      <c r="C283" s="88">
        <f>Study!CH282</f>
        <v>0</v>
      </c>
      <c r="D283" s="66" t="str">
        <f>Study!CI282</f>
        <v>البيع المباشر - أستوديوهات</v>
      </c>
      <c r="E283" s="68" t="str">
        <f>Study!CJ282</f>
        <v>J133</v>
      </c>
      <c r="F283" s="66" t="str">
        <f>Study!CK282</f>
        <v>ريال سعودي</v>
      </c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" x14ac:dyDescent="0.2">
      <c r="A284" s="455" t="str">
        <f>Study!CF283</f>
        <v>▌ البيع المباشر - مكتبي</v>
      </c>
      <c r="B284" s="455">
        <f>Study!CG283</f>
        <v>0</v>
      </c>
      <c r="C284" s="455">
        <f>Study!CH283</f>
        <v>0</v>
      </c>
      <c r="D284" s="455">
        <f>Study!CI283</f>
        <v>0</v>
      </c>
      <c r="E284" s="455">
        <f>Study!CJ283</f>
        <v>0</v>
      </c>
      <c r="F284" s="455">
        <f>Study!CK283</f>
        <v>0</v>
      </c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">
      <c r="A285" s="73">
        <f>Study!CF284</f>
        <v>250</v>
      </c>
      <c r="B285" s="74" t="str">
        <f>Study!CG284</f>
        <v>مكتبي - عدد الوحدات للبيع</v>
      </c>
      <c r="C285" s="246">
        <f>Study!CH284</f>
        <v>0</v>
      </c>
      <c r="D285" s="74" t="str">
        <f>Study!CI284</f>
        <v>البيع المباشر - مكتبي</v>
      </c>
      <c r="E285" s="76" t="str">
        <f>Study!CJ284</f>
        <v>C134</v>
      </c>
      <c r="F285" s="74" t="str">
        <f>Study!CK284</f>
        <v>وحدة</v>
      </c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">
      <c r="A286" s="65">
        <f>Study!CF285</f>
        <v>251</v>
      </c>
      <c r="B286" s="66" t="str">
        <f>Study!CG285</f>
        <v>مكتبي - نسبة البيع</v>
      </c>
      <c r="C286" s="154">
        <f>Study!CH285</f>
        <v>1</v>
      </c>
      <c r="D286" s="66" t="str">
        <f>Study!CI285</f>
        <v>البيع المباشر - مكتبي</v>
      </c>
      <c r="E286" s="68" t="str">
        <f>Study!CJ285</f>
        <v>D134</v>
      </c>
      <c r="F286" s="66" t="str">
        <f>Study!CK285</f>
        <v>نسبة مئوية</v>
      </c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">
      <c r="A287" s="73">
        <f>Study!CF286</f>
        <v>252</v>
      </c>
      <c r="B287" s="74" t="str">
        <f>Study!CG286</f>
        <v>مكتبي - المساحات القابلة للبيع</v>
      </c>
      <c r="C287" s="221">
        <f>Study!CH286</f>
        <v>0</v>
      </c>
      <c r="D287" s="74" t="str">
        <f>Study!CI286</f>
        <v>البيع المباشر - مكتبي</v>
      </c>
      <c r="E287" s="76" t="str">
        <f>Study!CJ286</f>
        <v>E134</v>
      </c>
      <c r="F287" s="74" t="str">
        <f>Study!CK286</f>
        <v>م²</v>
      </c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">
      <c r="A288" s="65">
        <f>Study!CF287</f>
        <v>253</v>
      </c>
      <c r="B288" s="66" t="str">
        <f>Study!CG287</f>
        <v>مكتبي - مساحة الوحدة</v>
      </c>
      <c r="C288" s="141" t="str">
        <f>Study!CH287</f>
        <v>0</v>
      </c>
      <c r="D288" s="66" t="str">
        <f>Study!CI287</f>
        <v>البيع المباشر - مكتبي</v>
      </c>
      <c r="E288" s="68" t="str">
        <f>Study!CJ287</f>
        <v>F134</v>
      </c>
      <c r="F288" s="66" t="str">
        <f>Study!CK287</f>
        <v>م²</v>
      </c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">
      <c r="A289" s="73">
        <f>Study!CF288</f>
        <v>254</v>
      </c>
      <c r="B289" s="74" t="str">
        <f>Study!CG288</f>
        <v>مكتبي - سعر بيع المتر</v>
      </c>
      <c r="C289" s="93">
        <f>Study!CH288</f>
        <v>0</v>
      </c>
      <c r="D289" s="74" t="str">
        <f>Study!CI288</f>
        <v>البيع المباشر - مكتبي</v>
      </c>
      <c r="E289" s="76" t="str">
        <f>Study!CJ288</f>
        <v>H134</v>
      </c>
      <c r="F289" s="74" t="str">
        <f>Study!CK288</f>
        <v>ريال/م²</v>
      </c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">
      <c r="A290" s="65">
        <f>Study!CF289</f>
        <v>255</v>
      </c>
      <c r="B290" s="66" t="str">
        <f>Study!CG289</f>
        <v>مكتبي - قيمة الوحدة</v>
      </c>
      <c r="C290" s="88">
        <f>Study!CH289</f>
        <v>0</v>
      </c>
      <c r="D290" s="66" t="str">
        <f>Study!CI289</f>
        <v>البيع المباشر - مكتبي</v>
      </c>
      <c r="E290" s="68" t="str">
        <f>Study!CJ289</f>
        <v>I134</v>
      </c>
      <c r="F290" s="66" t="str">
        <f>Study!CK289</f>
        <v>ريال سعودي</v>
      </c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">
      <c r="A291" s="73">
        <f>Study!CF290</f>
        <v>256</v>
      </c>
      <c r="B291" s="74" t="str">
        <f>Study!CG290</f>
        <v>مكتبي - إجمالي المبيعات</v>
      </c>
      <c r="C291" s="93">
        <f>Study!CH290</f>
        <v>0</v>
      </c>
      <c r="D291" s="74" t="str">
        <f>Study!CI290</f>
        <v>البيع المباشر - مكتبي</v>
      </c>
      <c r="E291" s="76" t="str">
        <f>Study!CJ290</f>
        <v>J134</v>
      </c>
      <c r="F291" s="74" t="str">
        <f>Study!CK290</f>
        <v>ريال سعودي</v>
      </c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" x14ac:dyDescent="0.2">
      <c r="A292" s="455" t="str">
        <f>Study!CF291</f>
        <v>▌ البيع المباشر - تجاري</v>
      </c>
      <c r="B292" s="455">
        <f>Study!CG291</f>
        <v>0</v>
      </c>
      <c r="C292" s="455">
        <f>Study!CH291</f>
        <v>0</v>
      </c>
      <c r="D292" s="455">
        <f>Study!CI291</f>
        <v>0</v>
      </c>
      <c r="E292" s="455">
        <f>Study!CJ291</f>
        <v>0</v>
      </c>
      <c r="F292" s="455">
        <f>Study!CK291</f>
        <v>0</v>
      </c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">
      <c r="A293" s="65">
        <f>Study!CF292</f>
        <v>257</v>
      </c>
      <c r="B293" s="66" t="str">
        <f>Study!CG292</f>
        <v>تجاري - عدد الوحدات للبيع</v>
      </c>
      <c r="C293" s="231">
        <f>Study!CH292</f>
        <v>7</v>
      </c>
      <c r="D293" s="66" t="str">
        <f>Study!CI292</f>
        <v>البيع المباشر - تجاري</v>
      </c>
      <c r="E293" s="68" t="str">
        <f>Study!CJ292</f>
        <v>C135</v>
      </c>
      <c r="F293" s="66" t="str">
        <f>Study!CK292</f>
        <v>وحدة</v>
      </c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">
      <c r="A294" s="73">
        <f>Study!CF293</f>
        <v>258</v>
      </c>
      <c r="B294" s="74" t="str">
        <f>Study!CG293</f>
        <v>تجاري - نسبة البيع</v>
      </c>
      <c r="C294" s="148">
        <f>Study!CH293</f>
        <v>1</v>
      </c>
      <c r="D294" s="74" t="str">
        <f>Study!CI293</f>
        <v>البيع المباشر - تجاري</v>
      </c>
      <c r="E294" s="76" t="str">
        <f>Study!CJ293</f>
        <v>D135</v>
      </c>
      <c r="F294" s="74" t="str">
        <f>Study!CK293</f>
        <v>نسبة مئوية</v>
      </c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">
      <c r="A295" s="65">
        <f>Study!CF294</f>
        <v>259</v>
      </c>
      <c r="B295" s="66" t="str">
        <f>Study!CG294</f>
        <v>تجاري - المساحات القابلة للبيع</v>
      </c>
      <c r="C295" s="141">
        <f>Study!CH294</f>
        <v>1165.0212765957438</v>
      </c>
      <c r="D295" s="66" t="str">
        <f>Study!CI294</f>
        <v>البيع المباشر - تجاري</v>
      </c>
      <c r="E295" s="68" t="str">
        <f>Study!CJ294</f>
        <v>E135</v>
      </c>
      <c r="F295" s="66" t="str">
        <f>Study!CK294</f>
        <v>م²</v>
      </c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">
      <c r="A296" s="73">
        <f>Study!CF295</f>
        <v>260</v>
      </c>
      <c r="B296" s="74" t="str">
        <f>Study!CG295</f>
        <v>تجاري - مساحة الوحدة</v>
      </c>
      <c r="C296" s="221">
        <f>Study!CH295</f>
        <v>166.43161094224911</v>
      </c>
      <c r="D296" s="74" t="str">
        <f>Study!CI295</f>
        <v>البيع المباشر - تجاري</v>
      </c>
      <c r="E296" s="76" t="str">
        <f>Study!CJ295</f>
        <v>F135</v>
      </c>
      <c r="F296" s="74" t="str">
        <f>Study!CK295</f>
        <v>م²</v>
      </c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">
      <c r="A297" s="65">
        <f>Study!CF296</f>
        <v>261</v>
      </c>
      <c r="B297" s="66" t="str">
        <f>Study!CG296</f>
        <v>تجاري - سعر بيع المتر</v>
      </c>
      <c r="C297" s="88">
        <f>Study!CH296</f>
        <v>0</v>
      </c>
      <c r="D297" s="66" t="str">
        <f>Study!CI296</f>
        <v>البيع المباشر - تجاري</v>
      </c>
      <c r="E297" s="68" t="str">
        <f>Study!CJ296</f>
        <v>H135</v>
      </c>
      <c r="F297" s="66" t="str">
        <f>Study!CK296</f>
        <v>ريال/م²</v>
      </c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">
      <c r="A298" s="73">
        <f>Study!CF297</f>
        <v>262</v>
      </c>
      <c r="B298" s="74" t="str">
        <f>Study!CG297</f>
        <v>تجاري - قيمة الوحدة</v>
      </c>
      <c r="C298" s="93">
        <f>Study!CH297</f>
        <v>0</v>
      </c>
      <c r="D298" s="74" t="str">
        <f>Study!CI297</f>
        <v>البيع المباشر - تجاري</v>
      </c>
      <c r="E298" s="76" t="str">
        <f>Study!CJ297</f>
        <v>I135</v>
      </c>
      <c r="F298" s="74" t="str">
        <f>Study!CK297</f>
        <v>ريال سعودي</v>
      </c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">
      <c r="A299" s="65">
        <f>Study!CF298</f>
        <v>263</v>
      </c>
      <c r="B299" s="66" t="str">
        <f>Study!CG298</f>
        <v>تجاري - إجمالي المبيعات</v>
      </c>
      <c r="C299" s="88">
        <f>Study!CH298</f>
        <v>0</v>
      </c>
      <c r="D299" s="66" t="str">
        <f>Study!CI298</f>
        <v>البيع المباشر - تجاري</v>
      </c>
      <c r="E299" s="68" t="str">
        <f>Study!CJ298</f>
        <v>J135</v>
      </c>
      <c r="F299" s="66" t="str">
        <f>Study!CK298</f>
        <v>ريال سعودي</v>
      </c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" x14ac:dyDescent="0.2">
      <c r="A300" s="455" t="str">
        <f>Study!CF299</f>
        <v>▌ البيع المباشر - فندقي</v>
      </c>
      <c r="B300" s="455">
        <f>Study!CG299</f>
        <v>0</v>
      </c>
      <c r="C300" s="455">
        <f>Study!CH299</f>
        <v>0</v>
      </c>
      <c r="D300" s="455">
        <f>Study!CI299</f>
        <v>0</v>
      </c>
      <c r="E300" s="455">
        <f>Study!CJ299</f>
        <v>0</v>
      </c>
      <c r="F300" s="455">
        <f>Study!CK299</f>
        <v>0</v>
      </c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">
      <c r="A301" s="73">
        <f>Study!CF300</f>
        <v>264</v>
      </c>
      <c r="B301" s="74" t="str">
        <f>Study!CG300</f>
        <v>فندقي - عدد الوحدات للبيع</v>
      </c>
      <c r="C301" s="246">
        <f>Study!CH300</f>
        <v>0</v>
      </c>
      <c r="D301" s="74" t="str">
        <f>Study!CI300</f>
        <v>البيع المباشر - فندقي</v>
      </c>
      <c r="E301" s="76" t="str">
        <f>Study!CJ300</f>
        <v>C136</v>
      </c>
      <c r="F301" s="74" t="str">
        <f>Study!CK300</f>
        <v>وحدة</v>
      </c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">
      <c r="A302" s="65">
        <f>Study!CF301</f>
        <v>265</v>
      </c>
      <c r="B302" s="66" t="str">
        <f>Study!CG301</f>
        <v>فندقي - نسبة البيع</v>
      </c>
      <c r="C302" s="154">
        <f>Study!CH301</f>
        <v>1</v>
      </c>
      <c r="D302" s="66" t="str">
        <f>Study!CI301</f>
        <v>البيع المباشر - فندقي</v>
      </c>
      <c r="E302" s="68" t="str">
        <f>Study!CJ301</f>
        <v>D136</v>
      </c>
      <c r="F302" s="66" t="str">
        <f>Study!CK301</f>
        <v>نسبة مئوية</v>
      </c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">
      <c r="A303" s="73">
        <f>Study!CF302</f>
        <v>266</v>
      </c>
      <c r="B303" s="74" t="str">
        <f>Study!CG302</f>
        <v>فندقي - المساحات القابلة للبيع</v>
      </c>
      <c r="C303" s="221">
        <f>Study!CH302</f>
        <v>0</v>
      </c>
      <c r="D303" s="74" t="str">
        <f>Study!CI302</f>
        <v>البيع المباشر - فندقي</v>
      </c>
      <c r="E303" s="76" t="str">
        <f>Study!CJ302</f>
        <v>E136</v>
      </c>
      <c r="F303" s="74" t="str">
        <f>Study!CK302</f>
        <v>م²</v>
      </c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">
      <c r="A304" s="65">
        <f>Study!CF303</f>
        <v>267</v>
      </c>
      <c r="B304" s="66" t="str">
        <f>Study!CG303</f>
        <v>فندقي - مساحة الوحدة</v>
      </c>
      <c r="C304" s="141" t="str">
        <f>Study!CH303</f>
        <v>0</v>
      </c>
      <c r="D304" s="66" t="str">
        <f>Study!CI303</f>
        <v>البيع المباشر - فندقي</v>
      </c>
      <c r="E304" s="68" t="str">
        <f>Study!CJ303</f>
        <v>F136</v>
      </c>
      <c r="F304" s="66" t="str">
        <f>Study!CK303</f>
        <v>م²</v>
      </c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">
      <c r="A305" s="73">
        <f>Study!CF304</f>
        <v>268</v>
      </c>
      <c r="B305" s="74" t="str">
        <f>Study!CG304</f>
        <v>فندقي - سعر بيع المتر</v>
      </c>
      <c r="C305" s="93">
        <f>Study!CH304</f>
        <v>0</v>
      </c>
      <c r="D305" s="74" t="str">
        <f>Study!CI304</f>
        <v>البيع المباشر - فندقي</v>
      </c>
      <c r="E305" s="76" t="str">
        <f>Study!CJ304</f>
        <v>H136</v>
      </c>
      <c r="F305" s="74" t="str">
        <f>Study!CK304</f>
        <v>ريال/م²</v>
      </c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">
      <c r="A306" s="65">
        <f>Study!CF305</f>
        <v>269</v>
      </c>
      <c r="B306" s="66" t="str">
        <f>Study!CG305</f>
        <v>فندقي - قيمة الوحدة</v>
      </c>
      <c r="C306" s="88">
        <f>Study!CH305</f>
        <v>0</v>
      </c>
      <c r="D306" s="66" t="str">
        <f>Study!CI305</f>
        <v>البيع المباشر - فندقي</v>
      </c>
      <c r="E306" s="68" t="str">
        <f>Study!CJ305</f>
        <v>I136</v>
      </c>
      <c r="F306" s="66" t="str">
        <f>Study!CK305</f>
        <v>ريال سعودي</v>
      </c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">
      <c r="A307" s="73">
        <f>Study!CF306</f>
        <v>270</v>
      </c>
      <c r="B307" s="74" t="str">
        <f>Study!CG306</f>
        <v>فندقي - إجمالي المبيعات</v>
      </c>
      <c r="C307" s="93">
        <f>Study!CH306</f>
        <v>0</v>
      </c>
      <c r="D307" s="74" t="str">
        <f>Study!CI306</f>
        <v>البيع المباشر - فندقي</v>
      </c>
      <c r="E307" s="76" t="str">
        <f>Study!CJ306</f>
        <v>J136</v>
      </c>
      <c r="F307" s="74" t="str">
        <f>Study!CK306</f>
        <v>ريال سعودي</v>
      </c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" x14ac:dyDescent="0.2">
      <c r="A308" s="455" t="str">
        <f>Study!CF307</f>
        <v>▌ البيع المباشر - صحي</v>
      </c>
      <c r="B308" s="455">
        <f>Study!CG307</f>
        <v>0</v>
      </c>
      <c r="C308" s="455">
        <f>Study!CH307</f>
        <v>0</v>
      </c>
      <c r="D308" s="455">
        <f>Study!CI307</f>
        <v>0</v>
      </c>
      <c r="E308" s="455">
        <f>Study!CJ307</f>
        <v>0</v>
      </c>
      <c r="F308" s="455">
        <f>Study!CK307</f>
        <v>0</v>
      </c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">
      <c r="A309" s="65">
        <f>Study!CF308</f>
        <v>271</v>
      </c>
      <c r="B309" s="66" t="str">
        <f>Study!CG308</f>
        <v>صحي - عدد الوحدات للبيع</v>
      </c>
      <c r="C309" s="231">
        <f>Study!CH308</f>
        <v>0</v>
      </c>
      <c r="D309" s="66" t="str">
        <f>Study!CI308</f>
        <v>البيع المباشر - صحي</v>
      </c>
      <c r="E309" s="68" t="str">
        <f>Study!CJ308</f>
        <v>C137</v>
      </c>
      <c r="F309" s="66" t="str">
        <f>Study!CK308</f>
        <v>وحدة</v>
      </c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">
      <c r="A310" s="73">
        <f>Study!CF309</f>
        <v>272</v>
      </c>
      <c r="B310" s="74" t="str">
        <f>Study!CG309</f>
        <v>صحي - نسبة البيع</v>
      </c>
      <c r="C310" s="148">
        <f>Study!CH309</f>
        <v>1</v>
      </c>
      <c r="D310" s="74" t="str">
        <f>Study!CI309</f>
        <v>البيع المباشر - صحي</v>
      </c>
      <c r="E310" s="76" t="str">
        <f>Study!CJ309</f>
        <v>D137</v>
      </c>
      <c r="F310" s="74" t="str">
        <f>Study!CK309</f>
        <v>نسبة مئوية</v>
      </c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">
      <c r="A311" s="65">
        <f>Study!CF310</f>
        <v>273</v>
      </c>
      <c r="B311" s="66" t="str">
        <f>Study!CG310</f>
        <v>صحي - المساحات القابلة للبيع</v>
      </c>
      <c r="C311" s="141">
        <f>Study!CH310</f>
        <v>0</v>
      </c>
      <c r="D311" s="66" t="str">
        <f>Study!CI310</f>
        <v>البيع المباشر - صحي</v>
      </c>
      <c r="E311" s="68" t="str">
        <f>Study!CJ310</f>
        <v>E137</v>
      </c>
      <c r="F311" s="66" t="str">
        <f>Study!CK310</f>
        <v>م²</v>
      </c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">
      <c r="A312" s="73">
        <f>Study!CF311</f>
        <v>274</v>
      </c>
      <c r="B312" s="74" t="str">
        <f>Study!CG311</f>
        <v>صحي - مساحة الوحدة</v>
      </c>
      <c r="C312" s="221" t="str">
        <f>Study!CH311</f>
        <v>0</v>
      </c>
      <c r="D312" s="74" t="str">
        <f>Study!CI311</f>
        <v>البيع المباشر - صحي</v>
      </c>
      <c r="E312" s="76" t="str">
        <f>Study!CJ311</f>
        <v>F137</v>
      </c>
      <c r="F312" s="74" t="str">
        <f>Study!CK311</f>
        <v>م²</v>
      </c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">
      <c r="A313" s="65">
        <f>Study!CF312</f>
        <v>275</v>
      </c>
      <c r="B313" s="66" t="str">
        <f>Study!CG312</f>
        <v>صحي - سعر بيع المتر</v>
      </c>
      <c r="C313" s="88">
        <f>Study!CH312</f>
        <v>0</v>
      </c>
      <c r="D313" s="66" t="str">
        <f>Study!CI312</f>
        <v>البيع المباشر - صحي</v>
      </c>
      <c r="E313" s="68" t="str">
        <f>Study!CJ312</f>
        <v>H137</v>
      </c>
      <c r="F313" s="66" t="str">
        <f>Study!CK312</f>
        <v>ريال/م²</v>
      </c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">
      <c r="A314" s="73">
        <f>Study!CF313</f>
        <v>276</v>
      </c>
      <c r="B314" s="74" t="str">
        <f>Study!CG313</f>
        <v>صحي - قيمة الوحدة</v>
      </c>
      <c r="C314" s="93">
        <f>Study!CH313</f>
        <v>0</v>
      </c>
      <c r="D314" s="74" t="str">
        <f>Study!CI313</f>
        <v>البيع المباشر - صحي</v>
      </c>
      <c r="E314" s="76" t="str">
        <f>Study!CJ313</f>
        <v>I137</v>
      </c>
      <c r="F314" s="74" t="str">
        <f>Study!CK313</f>
        <v>ريال سعودي</v>
      </c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">
      <c r="A315" s="65">
        <f>Study!CF314</f>
        <v>277</v>
      </c>
      <c r="B315" s="66" t="str">
        <f>Study!CG314</f>
        <v>صحي - إجمالي المبيعات</v>
      </c>
      <c r="C315" s="88">
        <f>Study!CH314</f>
        <v>0</v>
      </c>
      <c r="D315" s="66" t="str">
        <f>Study!CI314</f>
        <v>البيع المباشر - صحي</v>
      </c>
      <c r="E315" s="68" t="str">
        <f>Study!CJ314</f>
        <v>J137</v>
      </c>
      <c r="F315" s="66" t="str">
        <f>Study!CK314</f>
        <v>ريال سعودي</v>
      </c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" x14ac:dyDescent="0.2">
      <c r="A316" s="455" t="str">
        <f>Study!CF315</f>
        <v>▌ البيع المباشر - أخرى</v>
      </c>
      <c r="B316" s="455">
        <f>Study!CG315</f>
        <v>0</v>
      </c>
      <c r="C316" s="455">
        <f>Study!CH315</f>
        <v>0</v>
      </c>
      <c r="D316" s="455">
        <f>Study!CI315</f>
        <v>0</v>
      </c>
      <c r="E316" s="455">
        <f>Study!CJ315</f>
        <v>0</v>
      </c>
      <c r="F316" s="455">
        <f>Study!CK315</f>
        <v>0</v>
      </c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">
      <c r="A317" s="73">
        <f>Study!CF316</f>
        <v>278</v>
      </c>
      <c r="B317" s="74" t="str">
        <f>Study!CG316</f>
        <v>أخرى - عدد الوحدات للبيع</v>
      </c>
      <c r="C317" s="246">
        <f>Study!CH316</f>
        <v>0</v>
      </c>
      <c r="D317" s="74" t="str">
        <f>Study!CI316</f>
        <v>البيع المباشر - أخرى</v>
      </c>
      <c r="E317" s="76" t="str">
        <f>Study!CJ316</f>
        <v>C138</v>
      </c>
      <c r="F317" s="74" t="str">
        <f>Study!CK316</f>
        <v>وحدة</v>
      </c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">
      <c r="A318" s="65">
        <f>Study!CF317</f>
        <v>279</v>
      </c>
      <c r="B318" s="66" t="str">
        <f>Study!CG317</f>
        <v>أخرى - نسبة البيع</v>
      </c>
      <c r="C318" s="154">
        <f>Study!CH317</f>
        <v>1</v>
      </c>
      <c r="D318" s="66" t="str">
        <f>Study!CI317</f>
        <v>البيع المباشر - أخرى</v>
      </c>
      <c r="E318" s="68" t="str">
        <f>Study!CJ317</f>
        <v>D138</v>
      </c>
      <c r="F318" s="66" t="str">
        <f>Study!CK317</f>
        <v>نسبة مئوية</v>
      </c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">
      <c r="A319" s="73">
        <f>Study!CF318</f>
        <v>280</v>
      </c>
      <c r="B319" s="74" t="str">
        <f>Study!CG318</f>
        <v>أخرى - المساحات القابلة للبيع</v>
      </c>
      <c r="C319" s="221">
        <f>Study!CH318</f>
        <v>0</v>
      </c>
      <c r="D319" s="74" t="str">
        <f>Study!CI318</f>
        <v>البيع المباشر - أخرى</v>
      </c>
      <c r="E319" s="76" t="str">
        <f>Study!CJ318</f>
        <v>E138</v>
      </c>
      <c r="F319" s="74" t="str">
        <f>Study!CK318</f>
        <v>م²</v>
      </c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">
      <c r="A320" s="65">
        <f>Study!CF319</f>
        <v>281</v>
      </c>
      <c r="B320" s="66" t="str">
        <f>Study!CG319</f>
        <v>أخرى - مساحة الوحدة</v>
      </c>
      <c r="C320" s="141" t="str">
        <f>Study!CH319</f>
        <v>0</v>
      </c>
      <c r="D320" s="66" t="str">
        <f>Study!CI319</f>
        <v>البيع المباشر - أخرى</v>
      </c>
      <c r="E320" s="68" t="str">
        <f>Study!CJ319</f>
        <v>F138</v>
      </c>
      <c r="F320" s="66" t="str">
        <f>Study!CK319</f>
        <v>م²</v>
      </c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">
      <c r="A321" s="73">
        <f>Study!CF320</f>
        <v>282</v>
      </c>
      <c r="B321" s="74" t="str">
        <f>Study!CG320</f>
        <v>أخرى - سعر بيع المتر</v>
      </c>
      <c r="C321" s="93">
        <f>Study!CH320</f>
        <v>0</v>
      </c>
      <c r="D321" s="74" t="str">
        <f>Study!CI320</f>
        <v>البيع المباشر - أخرى</v>
      </c>
      <c r="E321" s="76" t="str">
        <f>Study!CJ320</f>
        <v>H138</v>
      </c>
      <c r="F321" s="74" t="str">
        <f>Study!CK320</f>
        <v>ريال/م²</v>
      </c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">
      <c r="A322" s="65">
        <f>Study!CF321</f>
        <v>283</v>
      </c>
      <c r="B322" s="66" t="str">
        <f>Study!CG321</f>
        <v>أخرى - قيمة الوحدة</v>
      </c>
      <c r="C322" s="88">
        <f>Study!CH321</f>
        <v>0</v>
      </c>
      <c r="D322" s="66" t="str">
        <f>Study!CI321</f>
        <v>البيع المباشر - أخرى</v>
      </c>
      <c r="E322" s="68" t="str">
        <f>Study!CJ321</f>
        <v>I138</v>
      </c>
      <c r="F322" s="66" t="str">
        <f>Study!CK321</f>
        <v>ريال سعودي</v>
      </c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">
      <c r="A323" s="73">
        <f>Study!CF322</f>
        <v>284</v>
      </c>
      <c r="B323" s="74" t="str">
        <f>Study!CG322</f>
        <v>أخرى - إجمالي المبيعات</v>
      </c>
      <c r="C323" s="93">
        <f>Study!CH322</f>
        <v>0</v>
      </c>
      <c r="D323" s="74" t="str">
        <f>Study!CI322</f>
        <v>البيع المباشر - أخرى</v>
      </c>
      <c r="E323" s="76" t="str">
        <f>Study!CJ322</f>
        <v>J138</v>
      </c>
      <c r="F323" s="74" t="str">
        <f>Study!CK322</f>
        <v>ريال سعودي</v>
      </c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" x14ac:dyDescent="0.2">
      <c r="A324" s="455" t="str">
        <f>Study!CF323</f>
        <v>▌ البيع المباشر - الإجمالي</v>
      </c>
      <c r="B324" s="455">
        <f>Study!CG323</f>
        <v>0</v>
      </c>
      <c r="C324" s="455">
        <f>Study!CH323</f>
        <v>0</v>
      </c>
      <c r="D324" s="455">
        <f>Study!CI323</f>
        <v>0</v>
      </c>
      <c r="E324" s="455">
        <f>Study!CJ323</f>
        <v>0</v>
      </c>
      <c r="F324" s="455">
        <f>Study!CK323</f>
        <v>0</v>
      </c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">
      <c r="A325" s="65">
        <f>Study!CF324</f>
        <v>285</v>
      </c>
      <c r="B325" s="66" t="str">
        <f>Study!CG324</f>
        <v>إجمالي عدد الوحدات للبيع</v>
      </c>
      <c r="C325" s="231">
        <f>Study!CH324</f>
        <v>163</v>
      </c>
      <c r="D325" s="66" t="str">
        <f>Study!CI324</f>
        <v>البيع المباشر - الإجمالي</v>
      </c>
      <c r="E325" s="68" t="str">
        <f>Study!CJ324</f>
        <v>C139</v>
      </c>
      <c r="F325" s="66" t="str">
        <f>Study!CK324</f>
        <v>وحدة</v>
      </c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">
      <c r="A326" s="73">
        <f>Study!CF325</f>
        <v>286</v>
      </c>
      <c r="B326" s="74" t="str">
        <f>Study!CG325</f>
        <v>إجمالي مساحات البيع</v>
      </c>
      <c r="C326" s="221">
        <f>Study!CH325</f>
        <v>11339.171080018496</v>
      </c>
      <c r="D326" s="74" t="str">
        <f>Study!CI325</f>
        <v>البيع المباشر - الإجمالي</v>
      </c>
      <c r="E326" s="76" t="str">
        <f>Study!CJ325</f>
        <v>E139</v>
      </c>
      <c r="F326" s="74" t="str">
        <f>Study!CK325</f>
        <v>م²</v>
      </c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">
      <c r="A327" s="65">
        <f>Study!CF326</f>
        <v>287</v>
      </c>
      <c r="B327" s="66" t="str">
        <f>Study!CG326</f>
        <v>متوسط سعر بيع المتر</v>
      </c>
      <c r="C327" s="88">
        <f>Study!CH326</f>
        <v>7338.3471766594657</v>
      </c>
      <c r="D327" s="66" t="str">
        <f>Study!CI326</f>
        <v>البيع المباشر - الإجمالي</v>
      </c>
      <c r="E327" s="68" t="str">
        <f>Study!CJ326</f>
        <v>H139</v>
      </c>
      <c r="F327" s="66" t="str">
        <f>Study!CK326</f>
        <v>ريال/م²</v>
      </c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">
      <c r="A328" s="73">
        <f>Study!CF327</f>
        <v>288</v>
      </c>
      <c r="B328" s="74" t="str">
        <f>Study!CG327</f>
        <v>إجمالي مبيعات البيع المباشر</v>
      </c>
      <c r="C328" s="93">
        <f>Study!CH327</f>
        <v>83210774.080712393</v>
      </c>
      <c r="D328" s="74" t="str">
        <f>Study!CI327</f>
        <v>البيع المباشر - الإجمالي</v>
      </c>
      <c r="E328" s="76" t="str">
        <f>Study!CJ327</f>
        <v>J139</v>
      </c>
      <c r="F328" s="74" t="str">
        <f>Study!CK327</f>
        <v>ريال سعودي</v>
      </c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" x14ac:dyDescent="0.2">
      <c r="A329" s="455" t="str">
        <f>Study!CF328</f>
        <v>▌ معدلات الرسملة - سكني</v>
      </c>
      <c r="B329" s="455">
        <f>Study!CG328</f>
        <v>0</v>
      </c>
      <c r="C329" s="455">
        <f>Study!CH328</f>
        <v>0</v>
      </c>
      <c r="D329" s="455">
        <f>Study!CI328</f>
        <v>0</v>
      </c>
      <c r="E329" s="455">
        <f>Study!CJ328</f>
        <v>0</v>
      </c>
      <c r="F329" s="455">
        <f>Study!CK328</f>
        <v>0</v>
      </c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">
      <c r="A330" s="65">
        <f>Study!CF329</f>
        <v>289</v>
      </c>
      <c r="B330" s="66" t="str">
        <f>Study!CG329</f>
        <v>سكني - Cap Rate</v>
      </c>
      <c r="C330" s="154">
        <f>Study!CH329</f>
        <v>0.08</v>
      </c>
      <c r="D330" s="66" t="str">
        <f>Study!CI329</f>
        <v>معدلات الرسملة - سكني</v>
      </c>
      <c r="E330" s="68" t="str">
        <f>Study!CJ329</f>
        <v>M129</v>
      </c>
      <c r="F330" s="66" t="str">
        <f>Study!CK329</f>
        <v>نسبة مئوية</v>
      </c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">
      <c r="A331" s="73">
        <f>Study!CF330</f>
        <v>290</v>
      </c>
      <c r="B331" s="74" t="str">
        <f>Study!CG330</f>
        <v>سكني - قيمة الوحدة بعد الرسملة</v>
      </c>
      <c r="C331" s="93">
        <f>Study!CH330</f>
        <v>0</v>
      </c>
      <c r="D331" s="74" t="str">
        <f>Study!CI330</f>
        <v>معدلات الرسملة - سكني</v>
      </c>
      <c r="E331" s="76" t="str">
        <f>Study!CJ330</f>
        <v>N129</v>
      </c>
      <c r="F331" s="74" t="str">
        <f>Study!CK330</f>
        <v>ريال سعودي</v>
      </c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">
      <c r="A332" s="65">
        <f>Study!CF331</f>
        <v>291</v>
      </c>
      <c r="B332" s="66" t="str">
        <f>Study!CG331</f>
        <v>سكني - إجمالي القيمة بعد الرسملة</v>
      </c>
      <c r="C332" s="88">
        <f>Study!CH331</f>
        <v>0</v>
      </c>
      <c r="D332" s="66" t="str">
        <f>Study!CI331</f>
        <v>معدلات الرسملة - سكني</v>
      </c>
      <c r="E332" s="68" t="str">
        <f>Study!CJ331</f>
        <v>O129</v>
      </c>
      <c r="F332" s="66" t="str">
        <f>Study!CK331</f>
        <v>ريال سعودي</v>
      </c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" x14ac:dyDescent="0.2">
      <c r="A333" s="455" t="str">
        <f>Study!CF332</f>
        <v>▌ معدلات الرسملة - فلل</v>
      </c>
      <c r="B333" s="455">
        <f>Study!CG332</f>
        <v>0</v>
      </c>
      <c r="C333" s="455">
        <f>Study!CH332</f>
        <v>0</v>
      </c>
      <c r="D333" s="455">
        <f>Study!CI332</f>
        <v>0</v>
      </c>
      <c r="E333" s="455">
        <f>Study!CJ332</f>
        <v>0</v>
      </c>
      <c r="F333" s="455">
        <f>Study!CK332</f>
        <v>0</v>
      </c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">
      <c r="A334" s="73">
        <f>Study!CF333</f>
        <v>292</v>
      </c>
      <c r="B334" s="74" t="str">
        <f>Study!CG333</f>
        <v>فلل - Cap Rate</v>
      </c>
      <c r="C334" s="148">
        <f>Study!CH333</f>
        <v>0.08</v>
      </c>
      <c r="D334" s="74" t="str">
        <f>Study!CI333</f>
        <v>معدلات الرسملة - فلل</v>
      </c>
      <c r="E334" s="76" t="str">
        <f>Study!CJ333</f>
        <v>M130</v>
      </c>
      <c r="F334" s="74" t="str">
        <f>Study!CK333</f>
        <v>نسبة مئوية</v>
      </c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">
      <c r="A335" s="65">
        <f>Study!CF334</f>
        <v>293</v>
      </c>
      <c r="B335" s="66" t="str">
        <f>Study!CG334</f>
        <v>فلل - قيمة الوحدة بعد الرسملة</v>
      </c>
      <c r="C335" s="88">
        <f>Study!CH334</f>
        <v>0</v>
      </c>
      <c r="D335" s="66" t="str">
        <f>Study!CI334</f>
        <v>معدلات الرسملة - فلل</v>
      </c>
      <c r="E335" s="68" t="str">
        <f>Study!CJ334</f>
        <v>N130</v>
      </c>
      <c r="F335" s="66" t="str">
        <f>Study!CK334</f>
        <v>ريال سعودي</v>
      </c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">
      <c r="A336" s="73">
        <f>Study!CF335</f>
        <v>294</v>
      </c>
      <c r="B336" s="74" t="str">
        <f>Study!CG335</f>
        <v>فلل - إجمالي القيمة بعد الرسملة</v>
      </c>
      <c r="C336" s="93">
        <f>Study!CH335</f>
        <v>0</v>
      </c>
      <c r="D336" s="74" t="str">
        <f>Study!CI335</f>
        <v>معدلات الرسملة - فلل</v>
      </c>
      <c r="E336" s="76" t="str">
        <f>Study!CJ335</f>
        <v>O130</v>
      </c>
      <c r="F336" s="74" t="str">
        <f>Study!CK335</f>
        <v>ريال سعودي</v>
      </c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" x14ac:dyDescent="0.2">
      <c r="A337" s="455" t="str">
        <f>Study!CF336</f>
        <v>▌ معدلات الرسملة - تاون هاوس</v>
      </c>
      <c r="B337" s="455">
        <f>Study!CG336</f>
        <v>0</v>
      </c>
      <c r="C337" s="455">
        <f>Study!CH336</f>
        <v>0</v>
      </c>
      <c r="D337" s="455">
        <f>Study!CI336</f>
        <v>0</v>
      </c>
      <c r="E337" s="455">
        <f>Study!CJ336</f>
        <v>0</v>
      </c>
      <c r="F337" s="455">
        <f>Study!CK336</f>
        <v>0</v>
      </c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">
      <c r="A338" s="65">
        <f>Study!CF337</f>
        <v>295</v>
      </c>
      <c r="B338" s="66" t="str">
        <f>Study!CG337</f>
        <v>تاون هاوس - Cap Rate</v>
      </c>
      <c r="C338" s="154">
        <f>Study!CH337</f>
        <v>0.08</v>
      </c>
      <c r="D338" s="66" t="str">
        <f>Study!CI337</f>
        <v>معدلات الرسملة - تاون هاوس</v>
      </c>
      <c r="E338" s="68" t="str">
        <f>Study!CJ337</f>
        <v>M131</v>
      </c>
      <c r="F338" s="66" t="str">
        <f>Study!CK337</f>
        <v>نسبة مئوية</v>
      </c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">
      <c r="A339" s="73">
        <f>Study!CF338</f>
        <v>296</v>
      </c>
      <c r="B339" s="74" t="str">
        <f>Study!CG338</f>
        <v>تاون هاوس - قيمة الوحدة بعد الرسملة</v>
      </c>
      <c r="C339" s="93">
        <f>Study!CH338</f>
        <v>0</v>
      </c>
      <c r="D339" s="74" t="str">
        <f>Study!CI338</f>
        <v>معدلات الرسملة - تاون هاوس</v>
      </c>
      <c r="E339" s="76" t="str">
        <f>Study!CJ338</f>
        <v>N131</v>
      </c>
      <c r="F339" s="74" t="str">
        <f>Study!CK338</f>
        <v>ريال سعودي</v>
      </c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">
      <c r="A340" s="65">
        <f>Study!CF339</f>
        <v>297</v>
      </c>
      <c r="B340" s="66" t="str">
        <f>Study!CG339</f>
        <v>تاون هاوس - إجمالي القيمة بعد الرسملة</v>
      </c>
      <c r="C340" s="88">
        <f>Study!CH339</f>
        <v>0</v>
      </c>
      <c r="D340" s="66" t="str">
        <f>Study!CI339</f>
        <v>معدلات الرسملة - تاون هاوس</v>
      </c>
      <c r="E340" s="68" t="str">
        <f>Study!CJ339</f>
        <v>O131</v>
      </c>
      <c r="F340" s="66" t="str">
        <f>Study!CK339</f>
        <v>ريال سعودي</v>
      </c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" x14ac:dyDescent="0.2">
      <c r="A341" s="455" t="str">
        <f>Study!CF340</f>
        <v>▌ معدلات الرسملة - أدوار</v>
      </c>
      <c r="B341" s="455">
        <f>Study!CG340</f>
        <v>0</v>
      </c>
      <c r="C341" s="455">
        <f>Study!CH340</f>
        <v>0</v>
      </c>
      <c r="D341" s="455">
        <f>Study!CI340</f>
        <v>0</v>
      </c>
      <c r="E341" s="455">
        <f>Study!CJ340</f>
        <v>0</v>
      </c>
      <c r="F341" s="455">
        <f>Study!CK340</f>
        <v>0</v>
      </c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">
      <c r="A342" s="73">
        <f>Study!CF341</f>
        <v>298</v>
      </c>
      <c r="B342" s="74" t="str">
        <f>Study!CG341</f>
        <v>أدوار - Cap Rate</v>
      </c>
      <c r="C342" s="148">
        <f>Study!CH341</f>
        <v>0.08</v>
      </c>
      <c r="D342" s="74" t="str">
        <f>Study!CI341</f>
        <v>معدلات الرسملة - أدوار</v>
      </c>
      <c r="E342" s="76" t="str">
        <f>Study!CJ341</f>
        <v>M132</v>
      </c>
      <c r="F342" s="74" t="str">
        <f>Study!CK341</f>
        <v>نسبة مئوية</v>
      </c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">
      <c r="A343" s="65">
        <f>Study!CF342</f>
        <v>299</v>
      </c>
      <c r="B343" s="66" t="str">
        <f>Study!CG342</f>
        <v>أدوار - قيمة الوحدة بعد الرسملة</v>
      </c>
      <c r="C343" s="88">
        <f>Study!CH342</f>
        <v>0</v>
      </c>
      <c r="D343" s="66" t="str">
        <f>Study!CI342</f>
        <v>معدلات الرسملة - أدوار</v>
      </c>
      <c r="E343" s="68" t="str">
        <f>Study!CJ342</f>
        <v>N132</v>
      </c>
      <c r="F343" s="66" t="str">
        <f>Study!CK342</f>
        <v>ريال سعودي</v>
      </c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">
      <c r="A344" s="73">
        <f>Study!CF343</f>
        <v>300</v>
      </c>
      <c r="B344" s="74" t="str">
        <f>Study!CG343</f>
        <v>أدوار - إجمالي القيمة بعد الرسملة</v>
      </c>
      <c r="C344" s="93">
        <f>Study!CH343</f>
        <v>0</v>
      </c>
      <c r="D344" s="74" t="str">
        <f>Study!CI343</f>
        <v>معدلات الرسملة - أدوار</v>
      </c>
      <c r="E344" s="76" t="str">
        <f>Study!CJ343</f>
        <v>O132</v>
      </c>
      <c r="F344" s="74" t="str">
        <f>Study!CK343</f>
        <v>ريال سعودي</v>
      </c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" x14ac:dyDescent="0.2">
      <c r="A345" s="455" t="str">
        <f>Study!CF344</f>
        <v>▌ معدلات الرسملة - أستوديوهات</v>
      </c>
      <c r="B345" s="455">
        <f>Study!CG344</f>
        <v>0</v>
      </c>
      <c r="C345" s="455">
        <f>Study!CH344</f>
        <v>0</v>
      </c>
      <c r="D345" s="455">
        <f>Study!CI344</f>
        <v>0</v>
      </c>
      <c r="E345" s="455">
        <f>Study!CJ344</f>
        <v>0</v>
      </c>
      <c r="F345" s="455">
        <f>Study!CK344</f>
        <v>0</v>
      </c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">
      <c r="A346" s="65">
        <f>Study!CF345</f>
        <v>301</v>
      </c>
      <c r="B346" s="66" t="str">
        <f>Study!CG345</f>
        <v>أستوديوهات - Cap Rate</v>
      </c>
      <c r="C346" s="154">
        <f>Study!CH345</f>
        <v>7.0000000000000007E-2</v>
      </c>
      <c r="D346" s="66" t="str">
        <f>Study!CI345</f>
        <v>معدلات الرسملة - أستوديوهات</v>
      </c>
      <c r="E346" s="68" t="str">
        <f>Study!CJ345</f>
        <v>M133</v>
      </c>
      <c r="F346" s="66" t="str">
        <f>Study!CK345</f>
        <v>نسبة مئوية</v>
      </c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">
      <c r="A347" s="73">
        <f>Study!CF346</f>
        <v>302</v>
      </c>
      <c r="B347" s="74" t="str">
        <f>Study!CG346</f>
        <v>أستوديوهات - قيمة الوحدة بعد الرسملة</v>
      </c>
      <c r="C347" s="93">
        <f>Study!CH346</f>
        <v>1459999.9999999998</v>
      </c>
      <c r="D347" s="74" t="str">
        <f>Study!CI346</f>
        <v>معدلات الرسملة - أستوديوهات</v>
      </c>
      <c r="E347" s="76" t="str">
        <f>Study!CJ346</f>
        <v>N133</v>
      </c>
      <c r="F347" s="74" t="str">
        <f>Study!CK346</f>
        <v>ريال سعودي</v>
      </c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">
      <c r="A348" s="65">
        <f>Study!CF347</f>
        <v>303</v>
      </c>
      <c r="B348" s="66" t="str">
        <f>Study!CG347</f>
        <v>أستوديوهات - إجمالي القيمة بعد الرسملة</v>
      </c>
      <c r="C348" s="88">
        <f>Study!CH347</f>
        <v>108404999.99999999</v>
      </c>
      <c r="D348" s="66" t="str">
        <f>Study!CI347</f>
        <v>معدلات الرسملة - أستوديوهات</v>
      </c>
      <c r="E348" s="68" t="str">
        <f>Study!CJ347</f>
        <v>O133</v>
      </c>
      <c r="F348" s="66" t="str">
        <f>Study!CK347</f>
        <v>ريال سعودي</v>
      </c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" x14ac:dyDescent="0.2">
      <c r="A349" s="455" t="str">
        <f>Study!CF348</f>
        <v>▌ معدلات الرسملة - مكتبي</v>
      </c>
      <c r="B349" s="455">
        <f>Study!CG348</f>
        <v>0</v>
      </c>
      <c r="C349" s="455">
        <f>Study!CH348</f>
        <v>0</v>
      </c>
      <c r="D349" s="455">
        <f>Study!CI348</f>
        <v>0</v>
      </c>
      <c r="E349" s="455">
        <f>Study!CJ348</f>
        <v>0</v>
      </c>
      <c r="F349" s="455">
        <f>Study!CK348</f>
        <v>0</v>
      </c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">
      <c r="A350" s="73">
        <f>Study!CF349</f>
        <v>304</v>
      </c>
      <c r="B350" s="74" t="str">
        <f>Study!CG349</f>
        <v>مكتبي - Cap Rate</v>
      </c>
      <c r="C350" s="148">
        <f>Study!CH349</f>
        <v>0.08</v>
      </c>
      <c r="D350" s="74" t="str">
        <f>Study!CI349</f>
        <v>معدلات الرسملة - مكتبي</v>
      </c>
      <c r="E350" s="76" t="str">
        <f>Study!CJ349</f>
        <v>M134</v>
      </c>
      <c r="F350" s="74" t="str">
        <f>Study!CK349</f>
        <v>نسبة مئوية</v>
      </c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">
      <c r="A351" s="65">
        <f>Study!CF350</f>
        <v>305</v>
      </c>
      <c r="B351" s="66" t="str">
        <f>Study!CG350</f>
        <v>مكتبي - قيمة الوحدة بعد الرسملة</v>
      </c>
      <c r="C351" s="88">
        <f>Study!CH350</f>
        <v>0</v>
      </c>
      <c r="D351" s="66" t="str">
        <f>Study!CI350</f>
        <v>معدلات الرسملة - مكتبي</v>
      </c>
      <c r="E351" s="68" t="str">
        <f>Study!CJ350</f>
        <v>N134</v>
      </c>
      <c r="F351" s="66" t="str">
        <f>Study!CK350</f>
        <v>ريال سعودي</v>
      </c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">
      <c r="A352" s="73">
        <f>Study!CF351</f>
        <v>306</v>
      </c>
      <c r="B352" s="74" t="str">
        <f>Study!CG351</f>
        <v>مكتبي - إجمالي القيمة بعد الرسملة</v>
      </c>
      <c r="C352" s="93">
        <f>Study!CH351</f>
        <v>0</v>
      </c>
      <c r="D352" s="74" t="str">
        <f>Study!CI351</f>
        <v>معدلات الرسملة - مكتبي</v>
      </c>
      <c r="E352" s="76" t="str">
        <f>Study!CJ351</f>
        <v>O134</v>
      </c>
      <c r="F352" s="74" t="str">
        <f>Study!CK351</f>
        <v>ريال سعودي</v>
      </c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" x14ac:dyDescent="0.2">
      <c r="A353" s="455" t="str">
        <f>Study!CF352</f>
        <v>▌ معدلات الرسملة - تجاري</v>
      </c>
      <c r="B353" s="455">
        <f>Study!CG352</f>
        <v>0</v>
      </c>
      <c r="C353" s="455">
        <f>Study!CH352</f>
        <v>0</v>
      </c>
      <c r="D353" s="455">
        <f>Study!CI352</f>
        <v>0</v>
      </c>
      <c r="E353" s="455">
        <f>Study!CJ352</f>
        <v>0</v>
      </c>
      <c r="F353" s="455">
        <f>Study!CK352</f>
        <v>0</v>
      </c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">
      <c r="A354" s="65">
        <f>Study!CF353</f>
        <v>307</v>
      </c>
      <c r="B354" s="66" t="str">
        <f>Study!CG353</f>
        <v>تجاري - Cap Rate</v>
      </c>
      <c r="C354" s="154">
        <f>Study!CH353</f>
        <v>0.08</v>
      </c>
      <c r="D354" s="66" t="str">
        <f>Study!CI353</f>
        <v>معدلات الرسملة - تجاري</v>
      </c>
      <c r="E354" s="68" t="str">
        <f>Study!CJ353</f>
        <v>M135</v>
      </c>
      <c r="F354" s="66" t="str">
        <f>Study!CK353</f>
        <v>نسبة مئوية</v>
      </c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">
      <c r="A355" s="73">
        <f>Study!CF354</f>
        <v>308</v>
      </c>
      <c r="B355" s="74" t="str">
        <f>Study!CG354</f>
        <v>تجاري - قيمة الوحدة بعد الرسملة</v>
      </c>
      <c r="C355" s="93">
        <f>Study!CH354</f>
        <v>4368829.787234039</v>
      </c>
      <c r="D355" s="74" t="str">
        <f>Study!CI354</f>
        <v>معدلات الرسملة - تجاري</v>
      </c>
      <c r="E355" s="76" t="str">
        <f>Study!CJ354</f>
        <v>N135</v>
      </c>
      <c r="F355" s="74" t="str">
        <f>Study!CK354</f>
        <v>ريال سعودي</v>
      </c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">
      <c r="A356" s="65">
        <f>Study!CF355</f>
        <v>309</v>
      </c>
      <c r="B356" s="66" t="str">
        <f>Study!CG355</f>
        <v>تجاري - إجمالي القيمة بعد الرسملة</v>
      </c>
      <c r="C356" s="88">
        <f>Study!CH355</f>
        <v>28288172.8723404</v>
      </c>
      <c r="D356" s="66" t="str">
        <f>Study!CI355</f>
        <v>معدلات الرسملة - تجاري</v>
      </c>
      <c r="E356" s="68" t="str">
        <f>Study!CJ355</f>
        <v>O135</v>
      </c>
      <c r="F356" s="66" t="str">
        <f>Study!CK355</f>
        <v>ريال سعودي</v>
      </c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" x14ac:dyDescent="0.2">
      <c r="A357" s="455" t="str">
        <f>Study!CF356</f>
        <v>▌ معدلات الرسملة - فندقي</v>
      </c>
      <c r="B357" s="455">
        <f>Study!CG356</f>
        <v>0</v>
      </c>
      <c r="C357" s="455">
        <f>Study!CH356</f>
        <v>0</v>
      </c>
      <c r="D357" s="455">
        <f>Study!CI356</f>
        <v>0</v>
      </c>
      <c r="E357" s="455">
        <f>Study!CJ356</f>
        <v>0</v>
      </c>
      <c r="F357" s="455">
        <f>Study!CK356</f>
        <v>0</v>
      </c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">
      <c r="A358" s="73">
        <f>Study!CF357</f>
        <v>310</v>
      </c>
      <c r="B358" s="74" t="str">
        <f>Study!CG357</f>
        <v>فندقي - Cap Rate</v>
      </c>
      <c r="C358" s="148">
        <f>Study!CH357</f>
        <v>6.8000000000000005E-2</v>
      </c>
      <c r="D358" s="74" t="str">
        <f>Study!CI357</f>
        <v>معدلات الرسملة - فندقي</v>
      </c>
      <c r="E358" s="76" t="str">
        <f>Study!CJ357</f>
        <v>M136</v>
      </c>
      <c r="F358" s="74" t="str">
        <f>Study!CK357</f>
        <v>نسبة مئوية</v>
      </c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">
      <c r="A359" s="65">
        <f>Study!CF358</f>
        <v>311</v>
      </c>
      <c r="B359" s="66" t="str">
        <f>Study!CG358</f>
        <v>فندقي - قيمة الوحدة بعد الرسملة</v>
      </c>
      <c r="C359" s="88">
        <f>Study!CH358</f>
        <v>0</v>
      </c>
      <c r="D359" s="66" t="str">
        <f>Study!CI358</f>
        <v>معدلات الرسملة - فندقي</v>
      </c>
      <c r="E359" s="68" t="str">
        <f>Study!CJ358</f>
        <v>N136</v>
      </c>
      <c r="F359" s="66" t="str">
        <f>Study!CK358</f>
        <v>ريال سعودي</v>
      </c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">
      <c r="A360" s="73">
        <f>Study!CF359</f>
        <v>312</v>
      </c>
      <c r="B360" s="74" t="str">
        <f>Study!CG359</f>
        <v>فندقي - إجمالي القيمة بعد الرسملة</v>
      </c>
      <c r="C360" s="93">
        <f>Study!CH359</f>
        <v>0</v>
      </c>
      <c r="D360" s="74" t="str">
        <f>Study!CI359</f>
        <v>معدلات الرسملة - فندقي</v>
      </c>
      <c r="E360" s="76" t="str">
        <f>Study!CJ359</f>
        <v>O136</v>
      </c>
      <c r="F360" s="74" t="str">
        <f>Study!CK359</f>
        <v>ريال سعودي</v>
      </c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" x14ac:dyDescent="0.2">
      <c r="A361" s="455" t="str">
        <f>Study!CF360</f>
        <v>▌ معدلات الرسملة - صحي</v>
      </c>
      <c r="B361" s="455">
        <f>Study!CG360</f>
        <v>0</v>
      </c>
      <c r="C361" s="455">
        <f>Study!CH360</f>
        <v>0</v>
      </c>
      <c r="D361" s="455">
        <f>Study!CI360</f>
        <v>0</v>
      </c>
      <c r="E361" s="455">
        <f>Study!CJ360</f>
        <v>0</v>
      </c>
      <c r="F361" s="455">
        <f>Study!CK360</f>
        <v>0</v>
      </c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">
      <c r="A362" s="65">
        <f>Study!CF361</f>
        <v>313</v>
      </c>
      <c r="B362" s="66" t="str">
        <f>Study!CG361</f>
        <v>صحي - Cap Rate</v>
      </c>
      <c r="C362" s="154">
        <f>Study!CH361</f>
        <v>7.0000000000000007E-2</v>
      </c>
      <c r="D362" s="66" t="str">
        <f>Study!CI361</f>
        <v>معدلات الرسملة - صحي</v>
      </c>
      <c r="E362" s="68" t="str">
        <f>Study!CJ361</f>
        <v>M137</v>
      </c>
      <c r="F362" s="66" t="str">
        <f>Study!CK361</f>
        <v>نسبة مئوية</v>
      </c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">
      <c r="A363" s="73">
        <f>Study!CF362</f>
        <v>314</v>
      </c>
      <c r="B363" s="74" t="str">
        <f>Study!CG362</f>
        <v>صحي - قيمة الوحدة بعد الرسملة</v>
      </c>
      <c r="C363" s="93">
        <f>Study!CH362</f>
        <v>0</v>
      </c>
      <c r="D363" s="74" t="str">
        <f>Study!CI362</f>
        <v>معدلات الرسملة - صحي</v>
      </c>
      <c r="E363" s="76" t="str">
        <f>Study!CJ362</f>
        <v>N137</v>
      </c>
      <c r="F363" s="74" t="str">
        <f>Study!CK362</f>
        <v>ريال سعودي</v>
      </c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">
      <c r="A364" s="65">
        <f>Study!CF363</f>
        <v>315</v>
      </c>
      <c r="B364" s="66" t="str">
        <f>Study!CG363</f>
        <v>صحي - إجمالي القيمة بعد الرسملة</v>
      </c>
      <c r="C364" s="88">
        <f>Study!CH363</f>
        <v>0</v>
      </c>
      <c r="D364" s="66" t="str">
        <f>Study!CI363</f>
        <v>معدلات الرسملة - صحي</v>
      </c>
      <c r="E364" s="68" t="str">
        <f>Study!CJ363</f>
        <v>O137</v>
      </c>
      <c r="F364" s="66" t="str">
        <f>Study!CK363</f>
        <v>ريال سعودي</v>
      </c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" x14ac:dyDescent="0.2">
      <c r="A365" s="455" t="str">
        <f>Study!CF364</f>
        <v>▌ معدلات الرسملة - أخرى</v>
      </c>
      <c r="B365" s="455">
        <f>Study!CG364</f>
        <v>0</v>
      </c>
      <c r="C365" s="455">
        <f>Study!CH364</f>
        <v>0</v>
      </c>
      <c r="D365" s="455">
        <f>Study!CI364</f>
        <v>0</v>
      </c>
      <c r="E365" s="455">
        <f>Study!CJ364</f>
        <v>0</v>
      </c>
      <c r="F365" s="455">
        <f>Study!CK364</f>
        <v>0</v>
      </c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">
      <c r="A366" s="73">
        <f>Study!CF365</f>
        <v>316</v>
      </c>
      <c r="B366" s="74" t="str">
        <f>Study!CG365</f>
        <v>أخرى - Cap Rate</v>
      </c>
      <c r="C366" s="148">
        <f>Study!CH365</f>
        <v>7.0000000000000007E-2</v>
      </c>
      <c r="D366" s="74" t="str">
        <f>Study!CI365</f>
        <v>معدلات الرسملة - أخرى</v>
      </c>
      <c r="E366" s="76" t="str">
        <f>Study!CJ365</f>
        <v>M138</v>
      </c>
      <c r="F366" s="74" t="str">
        <f>Study!CK365</f>
        <v>نسبة مئوية</v>
      </c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">
      <c r="A367" s="65">
        <f>Study!CF366</f>
        <v>317</v>
      </c>
      <c r="B367" s="66" t="str">
        <f>Study!CG366</f>
        <v>أخرى - قيمة الوحدة بعد الرسملة</v>
      </c>
      <c r="C367" s="88">
        <f>Study!CH366</f>
        <v>0</v>
      </c>
      <c r="D367" s="66" t="str">
        <f>Study!CI366</f>
        <v>معدلات الرسملة - أخرى</v>
      </c>
      <c r="E367" s="68" t="str">
        <f>Study!CJ366</f>
        <v>N138</v>
      </c>
      <c r="F367" s="66" t="str">
        <f>Study!CK366</f>
        <v>ريال سعودي</v>
      </c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">
      <c r="A368" s="73">
        <f>Study!CF367</f>
        <v>318</v>
      </c>
      <c r="B368" s="74" t="str">
        <f>Study!CG367</f>
        <v>أخرى - إجمالي القيمة بعد الرسملة</v>
      </c>
      <c r="C368" s="93">
        <f>Study!CH367</f>
        <v>0</v>
      </c>
      <c r="D368" s="74" t="str">
        <f>Study!CI367</f>
        <v>معدلات الرسملة - أخرى</v>
      </c>
      <c r="E368" s="76" t="str">
        <f>Study!CJ367</f>
        <v>O138</v>
      </c>
      <c r="F368" s="74" t="str">
        <f>Study!CK367</f>
        <v>ريال سعودي</v>
      </c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" x14ac:dyDescent="0.2">
      <c r="A369" s="455" t="str">
        <f>Study!CF368</f>
        <v>▌ معدلات الرسملة - الإجمالي</v>
      </c>
      <c r="B369" s="455">
        <f>Study!CG368</f>
        <v>0</v>
      </c>
      <c r="C369" s="455">
        <f>Study!CH368</f>
        <v>0</v>
      </c>
      <c r="D369" s="455">
        <f>Study!CI368</f>
        <v>0</v>
      </c>
      <c r="E369" s="455">
        <f>Study!CJ368</f>
        <v>0</v>
      </c>
      <c r="F369" s="455">
        <f>Study!CK368</f>
        <v>0</v>
      </c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">
      <c r="A370" s="65">
        <f>Study!CF369</f>
        <v>319</v>
      </c>
      <c r="B370" s="66" t="str">
        <f>Study!CG369</f>
        <v>إجمالي قيمة المخارجة (الرسملة)</v>
      </c>
      <c r="C370" s="88">
        <f>Study!CH369</f>
        <v>136693172.87234038</v>
      </c>
      <c r="D370" s="66" t="str">
        <f>Study!CI369</f>
        <v>معدلات الرسملة - الإجمالي</v>
      </c>
      <c r="E370" s="68" t="str">
        <f>Study!CJ369</f>
        <v>O139</v>
      </c>
      <c r="F370" s="66" t="str">
        <f>Study!CK369</f>
        <v>ريال سعودي</v>
      </c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" x14ac:dyDescent="0.2">
      <c r="A371" s="455" t="str">
        <f>Study!CF370</f>
        <v>▌ التأجير السنوي - سكني</v>
      </c>
      <c r="B371" s="455">
        <f>Study!CG370</f>
        <v>0</v>
      </c>
      <c r="C371" s="455">
        <f>Study!CH370</f>
        <v>0</v>
      </c>
      <c r="D371" s="455">
        <f>Study!CI370</f>
        <v>0</v>
      </c>
      <c r="E371" s="455">
        <f>Study!CJ370</f>
        <v>0</v>
      </c>
      <c r="F371" s="455">
        <f>Study!CK370</f>
        <v>0</v>
      </c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">
      <c r="A372" s="73">
        <f>Study!CF371</f>
        <v>320</v>
      </c>
      <c r="B372" s="74" t="str">
        <f>Study!CG371</f>
        <v>سكني - عدد الوحدات للتأجير</v>
      </c>
      <c r="C372" s="246">
        <f>Study!CH371</f>
        <v>92</v>
      </c>
      <c r="D372" s="74" t="str">
        <f>Study!CI371</f>
        <v>التأجير السنوي - سكني</v>
      </c>
      <c r="E372" s="76" t="str">
        <f>Study!CJ371</f>
        <v>C147</v>
      </c>
      <c r="F372" s="74" t="str">
        <f>Study!CK371</f>
        <v>وحدة</v>
      </c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">
      <c r="A373" s="65">
        <f>Study!CF372</f>
        <v>321</v>
      </c>
      <c r="B373" s="66" t="str">
        <f>Study!CG372</f>
        <v>سكني - مساحة الوحدة</v>
      </c>
      <c r="C373" s="141">
        <f>Study!CH372</f>
        <v>94.183105920444135</v>
      </c>
      <c r="D373" s="66" t="str">
        <f>Study!CI372</f>
        <v>التأجير السنوي - سكني</v>
      </c>
      <c r="E373" s="68" t="str">
        <f>Study!CJ372</f>
        <v>D147</v>
      </c>
      <c r="F373" s="66" t="str">
        <f>Study!CK372</f>
        <v>م²</v>
      </c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">
      <c r="A374" s="73">
        <f>Study!CF373</f>
        <v>322</v>
      </c>
      <c r="B374" s="74" t="str">
        <f>Study!CG373</f>
        <v>سكني - تأجير المتر</v>
      </c>
      <c r="C374" s="93">
        <f>Study!CH373</f>
        <v>0</v>
      </c>
      <c r="D374" s="74" t="str">
        <f>Study!CI373</f>
        <v>التأجير السنوي - سكني</v>
      </c>
      <c r="E374" s="76" t="str">
        <f>Study!CJ373</f>
        <v>E147</v>
      </c>
      <c r="F374" s="74" t="str">
        <f>Study!CK373</f>
        <v>ريال/م²</v>
      </c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">
      <c r="A375" s="65">
        <f>Study!CF374</f>
        <v>323</v>
      </c>
      <c r="B375" s="66" t="str">
        <f>Study!CG374</f>
        <v>سكني - قيمة تأجير الوحدة السنوي</v>
      </c>
      <c r="C375" s="88">
        <f>Study!CH374</f>
        <v>0</v>
      </c>
      <c r="D375" s="66" t="str">
        <f>Study!CI374</f>
        <v>التأجير السنوي - سكني</v>
      </c>
      <c r="E375" s="68" t="str">
        <f>Study!CJ374</f>
        <v>F147</v>
      </c>
      <c r="F375" s="66" t="str">
        <f>Study!CK374</f>
        <v>ريال سعودي</v>
      </c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">
      <c r="A376" s="73">
        <f>Study!CF375</f>
        <v>324</v>
      </c>
      <c r="B376" s="74" t="str">
        <f>Study!CG375</f>
        <v>سكني - نسبة الإشغال</v>
      </c>
      <c r="C376" s="148">
        <f>Study!CH375</f>
        <v>0</v>
      </c>
      <c r="D376" s="74" t="str">
        <f>Study!CI375</f>
        <v>التأجير السنوي - سكني</v>
      </c>
      <c r="E376" s="76" t="str">
        <f>Study!CJ375</f>
        <v>G147</v>
      </c>
      <c r="F376" s="74" t="str">
        <f>Study!CK375</f>
        <v>نسبة مئوية</v>
      </c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">
      <c r="A377" s="65">
        <f>Study!CF376</f>
        <v>325</v>
      </c>
      <c r="B377" s="66" t="str">
        <f>Study!CG376</f>
        <v>سكني - إجمالي إيرادات التأجير السنوي</v>
      </c>
      <c r="C377" s="88">
        <f>Study!CH376</f>
        <v>0</v>
      </c>
      <c r="D377" s="66" t="str">
        <f>Study!CI376</f>
        <v>التأجير السنوي - سكني</v>
      </c>
      <c r="E377" s="68" t="str">
        <f>Study!CJ376</f>
        <v>H147</v>
      </c>
      <c r="F377" s="66" t="str">
        <f>Study!CK376</f>
        <v>ريال سعودي</v>
      </c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">
      <c r="A378" s="73">
        <f>Study!CF377</f>
        <v>326</v>
      </c>
      <c r="B378" s="74" t="str">
        <f>Study!CG377</f>
        <v>سكني - التكاليف التشغيلية</v>
      </c>
      <c r="C378" s="93">
        <f>Study!CH377</f>
        <v>0</v>
      </c>
      <c r="D378" s="74" t="str">
        <f>Study!CI377</f>
        <v>التأجير السنوي - سكني</v>
      </c>
      <c r="E378" s="76" t="str">
        <f>Study!CJ377</f>
        <v>I147</v>
      </c>
      <c r="F378" s="74" t="str">
        <f>Study!CK377</f>
        <v>ريال سعودي</v>
      </c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">
      <c r="A379" s="65">
        <f>Study!CF378</f>
        <v>327</v>
      </c>
      <c r="B379" s="66" t="str">
        <f>Study!CG378</f>
        <v>سكني - فترة استرداد رأس المال</v>
      </c>
      <c r="C379" s="141" t="str">
        <f>Study!CH378</f>
        <v>0</v>
      </c>
      <c r="D379" s="66" t="str">
        <f>Study!CI378</f>
        <v>التأجير السنوي - سكني</v>
      </c>
      <c r="E379" s="68" t="str">
        <f>Study!CJ378</f>
        <v>K147</v>
      </c>
      <c r="F379" s="66" t="str">
        <f>Study!CK378</f>
        <v>سنة</v>
      </c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">
      <c r="A380" s="73">
        <f>Study!CF379</f>
        <v>328</v>
      </c>
      <c r="B380" s="74" t="str">
        <f>Study!CG379</f>
        <v>سكني - العائد على التكلفة السنوي</v>
      </c>
      <c r="C380" s="148">
        <f>Study!CH379</f>
        <v>0</v>
      </c>
      <c r="D380" s="74" t="str">
        <f>Study!CI379</f>
        <v>التأجير السنوي - سكني</v>
      </c>
      <c r="E380" s="76" t="str">
        <f>Study!CJ379</f>
        <v>L147</v>
      </c>
      <c r="F380" s="74" t="str">
        <f>Study!CK379</f>
        <v>نسبة مئوية</v>
      </c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">
      <c r="A381" s="65">
        <f>Study!CF380</f>
        <v>329</v>
      </c>
      <c r="B381" s="66" t="str">
        <f>Study!CG380</f>
        <v>سكني - إجمالي الربح التشغيلي</v>
      </c>
      <c r="C381" s="88">
        <f>Study!CH380</f>
        <v>0</v>
      </c>
      <c r="D381" s="66" t="str">
        <f>Study!CI380</f>
        <v>التأجير السنوي - سكني</v>
      </c>
      <c r="E381" s="68" t="str">
        <f>Study!CJ380</f>
        <v>M147</v>
      </c>
      <c r="F381" s="66" t="str">
        <f>Study!CK380</f>
        <v>ريال سعودي</v>
      </c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" x14ac:dyDescent="0.2">
      <c r="A382" s="455" t="str">
        <f>Study!CF381</f>
        <v>▌ التأجير السنوي - فلل</v>
      </c>
      <c r="B382" s="455">
        <f>Study!CG381</f>
        <v>0</v>
      </c>
      <c r="C382" s="455">
        <f>Study!CH381</f>
        <v>0</v>
      </c>
      <c r="D382" s="455">
        <f>Study!CI381</f>
        <v>0</v>
      </c>
      <c r="E382" s="455">
        <f>Study!CJ381</f>
        <v>0</v>
      </c>
      <c r="F382" s="455">
        <f>Study!CK381</f>
        <v>0</v>
      </c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">
      <c r="A383" s="73">
        <f>Study!CF382</f>
        <v>330</v>
      </c>
      <c r="B383" s="74" t="str">
        <f>Study!CG382</f>
        <v>فلل - عدد الوحدات للتأجير</v>
      </c>
      <c r="C383" s="246">
        <f>Study!CH382</f>
        <v>0</v>
      </c>
      <c r="D383" s="74" t="str">
        <f>Study!CI382</f>
        <v>التأجير السنوي - فلل</v>
      </c>
      <c r="E383" s="76" t="str">
        <f>Study!CJ382</f>
        <v>C148</v>
      </c>
      <c r="F383" s="74" t="str">
        <f>Study!CK382</f>
        <v>وحدة</v>
      </c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">
      <c r="A384" s="65">
        <f>Study!CF383</f>
        <v>331</v>
      </c>
      <c r="B384" s="66" t="str">
        <f>Study!CG383</f>
        <v>فلل - مساحة الوحدة</v>
      </c>
      <c r="C384" s="141" t="str">
        <f>Study!CH383</f>
        <v>0</v>
      </c>
      <c r="D384" s="66" t="str">
        <f>Study!CI383</f>
        <v>التأجير السنوي - فلل</v>
      </c>
      <c r="E384" s="68" t="str">
        <f>Study!CJ383</f>
        <v>D148</v>
      </c>
      <c r="F384" s="66" t="str">
        <f>Study!CK383</f>
        <v>م²</v>
      </c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">
      <c r="A385" s="73">
        <f>Study!CF384</f>
        <v>332</v>
      </c>
      <c r="B385" s="74" t="str">
        <f>Study!CG384</f>
        <v>فلل - تأجير المتر</v>
      </c>
      <c r="C385" s="93">
        <f>Study!CH384</f>
        <v>0</v>
      </c>
      <c r="D385" s="74" t="str">
        <f>Study!CI384</f>
        <v>التأجير السنوي - فلل</v>
      </c>
      <c r="E385" s="76" t="str">
        <f>Study!CJ384</f>
        <v>E148</v>
      </c>
      <c r="F385" s="74" t="str">
        <f>Study!CK384</f>
        <v>ريال/م²</v>
      </c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">
      <c r="A386" s="65">
        <f>Study!CF385</f>
        <v>333</v>
      </c>
      <c r="B386" s="66" t="str">
        <f>Study!CG385</f>
        <v>فلل - قيمة تأجير الوحدة السنوي</v>
      </c>
      <c r="C386" s="88">
        <f>Study!CH385</f>
        <v>0</v>
      </c>
      <c r="D386" s="66" t="str">
        <f>Study!CI385</f>
        <v>التأجير السنوي - فلل</v>
      </c>
      <c r="E386" s="68" t="str">
        <f>Study!CJ385</f>
        <v>F148</v>
      </c>
      <c r="F386" s="66" t="str">
        <f>Study!CK385</f>
        <v>ريال سعودي</v>
      </c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">
      <c r="A387" s="73">
        <f>Study!CF386</f>
        <v>334</v>
      </c>
      <c r="B387" s="74" t="str">
        <f>Study!CG386</f>
        <v>فلل - نسبة الإشغال</v>
      </c>
      <c r="C387" s="148">
        <f>Study!CH386</f>
        <v>0</v>
      </c>
      <c r="D387" s="74" t="str">
        <f>Study!CI386</f>
        <v>التأجير السنوي - فلل</v>
      </c>
      <c r="E387" s="76" t="str">
        <f>Study!CJ386</f>
        <v>G148</v>
      </c>
      <c r="F387" s="74" t="str">
        <f>Study!CK386</f>
        <v>نسبة مئوية</v>
      </c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">
      <c r="A388" s="65">
        <f>Study!CF387</f>
        <v>335</v>
      </c>
      <c r="B388" s="66" t="str">
        <f>Study!CG387</f>
        <v>فلل - إجمالي إيرادات التأجير السنوي</v>
      </c>
      <c r="C388" s="88">
        <f>Study!CH387</f>
        <v>0</v>
      </c>
      <c r="D388" s="66" t="str">
        <f>Study!CI387</f>
        <v>التأجير السنوي - فلل</v>
      </c>
      <c r="E388" s="68" t="str">
        <f>Study!CJ387</f>
        <v>H148</v>
      </c>
      <c r="F388" s="66" t="str">
        <f>Study!CK387</f>
        <v>ريال سعودي</v>
      </c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">
      <c r="A389" s="73">
        <f>Study!CF388</f>
        <v>336</v>
      </c>
      <c r="B389" s="74" t="str">
        <f>Study!CG388</f>
        <v>فلل - التكاليف التشغيلية</v>
      </c>
      <c r="C389" s="93">
        <f>Study!CH388</f>
        <v>0</v>
      </c>
      <c r="D389" s="74" t="str">
        <f>Study!CI388</f>
        <v>التأجير السنوي - فلل</v>
      </c>
      <c r="E389" s="76" t="str">
        <f>Study!CJ388</f>
        <v>I148</v>
      </c>
      <c r="F389" s="74" t="str">
        <f>Study!CK388</f>
        <v>ريال سعودي</v>
      </c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">
      <c r="A390" s="65">
        <f>Study!CF389</f>
        <v>337</v>
      </c>
      <c r="B390" s="66" t="str">
        <f>Study!CG389</f>
        <v>فلل - فترة استرداد رأس المال</v>
      </c>
      <c r="C390" s="141" t="str">
        <f>Study!CH389</f>
        <v>0</v>
      </c>
      <c r="D390" s="66" t="str">
        <f>Study!CI389</f>
        <v>التأجير السنوي - فلل</v>
      </c>
      <c r="E390" s="68" t="str">
        <f>Study!CJ389</f>
        <v>K148</v>
      </c>
      <c r="F390" s="66" t="str">
        <f>Study!CK389</f>
        <v>سنة</v>
      </c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">
      <c r="A391" s="73">
        <f>Study!CF390</f>
        <v>338</v>
      </c>
      <c r="B391" s="74" t="str">
        <f>Study!CG390</f>
        <v>فلل - العائد على التكلفة السنوي</v>
      </c>
      <c r="C391" s="148" t="str">
        <f>Study!CH390</f>
        <v>0.00%</v>
      </c>
      <c r="D391" s="74" t="str">
        <f>Study!CI390</f>
        <v>التأجير السنوي - فلل</v>
      </c>
      <c r="E391" s="76" t="str">
        <f>Study!CJ390</f>
        <v>L148</v>
      </c>
      <c r="F391" s="74" t="str">
        <f>Study!CK390</f>
        <v>نسبة مئوية</v>
      </c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">
      <c r="A392" s="65">
        <f>Study!CF391</f>
        <v>339</v>
      </c>
      <c r="B392" s="66" t="str">
        <f>Study!CG391</f>
        <v>فلل - إجمالي الربح التشغيلي</v>
      </c>
      <c r="C392" s="88">
        <f>Study!CH391</f>
        <v>0</v>
      </c>
      <c r="D392" s="66" t="str">
        <f>Study!CI391</f>
        <v>التأجير السنوي - فلل</v>
      </c>
      <c r="E392" s="68" t="str">
        <f>Study!CJ391</f>
        <v>M148</v>
      </c>
      <c r="F392" s="66" t="str">
        <f>Study!CK391</f>
        <v>ريال سعودي</v>
      </c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" x14ac:dyDescent="0.2">
      <c r="A393" s="455" t="str">
        <f>Study!CF392</f>
        <v>▌ التأجير السنوي - تاون هاوس</v>
      </c>
      <c r="B393" s="455">
        <f>Study!CG392</f>
        <v>0</v>
      </c>
      <c r="C393" s="455">
        <f>Study!CH392</f>
        <v>0</v>
      </c>
      <c r="D393" s="455">
        <f>Study!CI392</f>
        <v>0</v>
      </c>
      <c r="E393" s="455">
        <f>Study!CJ392</f>
        <v>0</v>
      </c>
      <c r="F393" s="455">
        <f>Study!CK392</f>
        <v>0</v>
      </c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">
      <c r="A394" s="73">
        <f>Study!CF393</f>
        <v>340</v>
      </c>
      <c r="B394" s="74" t="str">
        <f>Study!CG393</f>
        <v>تاون هاوس - عدد الوحدات للتأجير</v>
      </c>
      <c r="C394" s="246">
        <f>Study!CH393</f>
        <v>0</v>
      </c>
      <c r="D394" s="74" t="str">
        <f>Study!CI393</f>
        <v>التأجير السنوي - تاون هاوس</v>
      </c>
      <c r="E394" s="76" t="str">
        <f>Study!CJ393</f>
        <v>C149</v>
      </c>
      <c r="F394" s="74" t="str">
        <f>Study!CK393</f>
        <v>وحدة</v>
      </c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">
      <c r="A395" s="65">
        <f>Study!CF394</f>
        <v>341</v>
      </c>
      <c r="B395" s="66" t="str">
        <f>Study!CG394</f>
        <v>تاون هاوس - مساحة الوحدة</v>
      </c>
      <c r="C395" s="141" t="str">
        <f>Study!CH394</f>
        <v>0</v>
      </c>
      <c r="D395" s="66" t="str">
        <f>Study!CI394</f>
        <v>التأجير السنوي - تاون هاوس</v>
      </c>
      <c r="E395" s="68" t="str">
        <f>Study!CJ394</f>
        <v>D149</v>
      </c>
      <c r="F395" s="66" t="str">
        <f>Study!CK394</f>
        <v>م²</v>
      </c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">
      <c r="A396" s="73">
        <f>Study!CF395</f>
        <v>342</v>
      </c>
      <c r="B396" s="74" t="str">
        <f>Study!CG395</f>
        <v>تاون هاوس - تأجير المتر</v>
      </c>
      <c r="C396" s="93">
        <f>Study!CH395</f>
        <v>0</v>
      </c>
      <c r="D396" s="74" t="str">
        <f>Study!CI395</f>
        <v>التأجير السنوي - تاون هاوس</v>
      </c>
      <c r="E396" s="76" t="str">
        <f>Study!CJ395</f>
        <v>E149</v>
      </c>
      <c r="F396" s="74" t="str">
        <f>Study!CK395</f>
        <v>ريال/م²</v>
      </c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">
      <c r="A397" s="65">
        <f>Study!CF396</f>
        <v>343</v>
      </c>
      <c r="B397" s="66" t="str">
        <f>Study!CG396</f>
        <v>تاون هاوس - قيمة تأجير الوحدة السنوي</v>
      </c>
      <c r="C397" s="88">
        <f>Study!CH396</f>
        <v>0</v>
      </c>
      <c r="D397" s="66" t="str">
        <f>Study!CI396</f>
        <v>التأجير السنوي - تاون هاوس</v>
      </c>
      <c r="E397" s="68" t="str">
        <f>Study!CJ396</f>
        <v>F149</v>
      </c>
      <c r="F397" s="66" t="str">
        <f>Study!CK396</f>
        <v>ريال سعودي</v>
      </c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">
      <c r="A398" s="73">
        <f>Study!CF397</f>
        <v>344</v>
      </c>
      <c r="B398" s="74" t="str">
        <f>Study!CG397</f>
        <v>تاون هاوس - نسبة الإشغال</v>
      </c>
      <c r="C398" s="148">
        <f>Study!CH397</f>
        <v>0</v>
      </c>
      <c r="D398" s="74" t="str">
        <f>Study!CI397</f>
        <v>التأجير السنوي - تاون هاوس</v>
      </c>
      <c r="E398" s="76" t="str">
        <f>Study!CJ397</f>
        <v>G149</v>
      </c>
      <c r="F398" s="74" t="str">
        <f>Study!CK397</f>
        <v>نسبة مئوية</v>
      </c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">
      <c r="A399" s="65">
        <f>Study!CF398</f>
        <v>345</v>
      </c>
      <c r="B399" s="66" t="str">
        <f>Study!CG398</f>
        <v>تاون هاوس - إجمالي إيرادات التأجير السنوي</v>
      </c>
      <c r="C399" s="88">
        <f>Study!CH398</f>
        <v>0</v>
      </c>
      <c r="D399" s="66" t="str">
        <f>Study!CI398</f>
        <v>التأجير السنوي - تاون هاوس</v>
      </c>
      <c r="E399" s="68" t="str">
        <f>Study!CJ398</f>
        <v>H149</v>
      </c>
      <c r="F399" s="66" t="str">
        <f>Study!CK398</f>
        <v>ريال سعودي</v>
      </c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">
      <c r="A400" s="73">
        <f>Study!CF399</f>
        <v>346</v>
      </c>
      <c r="B400" s="74" t="str">
        <f>Study!CG399</f>
        <v>تاون هاوس - التكاليف التشغيلية</v>
      </c>
      <c r="C400" s="93">
        <f>Study!CH399</f>
        <v>0</v>
      </c>
      <c r="D400" s="74" t="str">
        <f>Study!CI399</f>
        <v>التأجير السنوي - تاون هاوس</v>
      </c>
      <c r="E400" s="76" t="str">
        <f>Study!CJ399</f>
        <v>I149</v>
      </c>
      <c r="F400" s="74" t="str">
        <f>Study!CK399</f>
        <v>ريال سعودي</v>
      </c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">
      <c r="A401" s="65">
        <f>Study!CF400</f>
        <v>347</v>
      </c>
      <c r="B401" s="66" t="str">
        <f>Study!CG400</f>
        <v>تاون هاوس - فترة استرداد رأس المال</v>
      </c>
      <c r="C401" s="141" t="str">
        <f>Study!CH400</f>
        <v>0</v>
      </c>
      <c r="D401" s="66" t="str">
        <f>Study!CI400</f>
        <v>التأجير السنوي - تاون هاوس</v>
      </c>
      <c r="E401" s="68" t="str">
        <f>Study!CJ400</f>
        <v>K149</v>
      </c>
      <c r="F401" s="66" t="str">
        <f>Study!CK400</f>
        <v>سنة</v>
      </c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">
      <c r="A402" s="73">
        <f>Study!CF401</f>
        <v>348</v>
      </c>
      <c r="B402" s="74" t="str">
        <f>Study!CG401</f>
        <v>تاون هاوس - العائد على التكلفة السنوي</v>
      </c>
      <c r="C402" s="148" t="str">
        <f>Study!CH401</f>
        <v>0.00%</v>
      </c>
      <c r="D402" s="74" t="str">
        <f>Study!CI401</f>
        <v>التأجير السنوي - تاون هاوس</v>
      </c>
      <c r="E402" s="76" t="str">
        <f>Study!CJ401</f>
        <v>L149</v>
      </c>
      <c r="F402" s="74" t="str">
        <f>Study!CK401</f>
        <v>نسبة مئوية</v>
      </c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">
      <c r="A403" s="65">
        <f>Study!CF402</f>
        <v>349</v>
      </c>
      <c r="B403" s="66" t="str">
        <f>Study!CG402</f>
        <v>تاون هاوس - إجمالي الربح التشغيلي</v>
      </c>
      <c r="C403" s="88">
        <f>Study!CH402</f>
        <v>0</v>
      </c>
      <c r="D403" s="66" t="str">
        <f>Study!CI402</f>
        <v>التأجير السنوي - تاون هاوس</v>
      </c>
      <c r="E403" s="68" t="str">
        <f>Study!CJ402</f>
        <v>M149</v>
      </c>
      <c r="F403" s="66" t="str">
        <f>Study!CK402</f>
        <v>ريال سعودي</v>
      </c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" x14ac:dyDescent="0.2">
      <c r="A404" s="455" t="str">
        <f>Study!CF403</f>
        <v>▌ التأجير السنوي - أدوار</v>
      </c>
      <c r="B404" s="455">
        <f>Study!CG403</f>
        <v>0</v>
      </c>
      <c r="C404" s="455">
        <f>Study!CH403</f>
        <v>0</v>
      </c>
      <c r="D404" s="455">
        <f>Study!CI403</f>
        <v>0</v>
      </c>
      <c r="E404" s="455">
        <f>Study!CJ403</f>
        <v>0</v>
      </c>
      <c r="F404" s="455">
        <f>Study!CK403</f>
        <v>0</v>
      </c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">
      <c r="A405" s="73">
        <f>Study!CF404</f>
        <v>350</v>
      </c>
      <c r="B405" s="74" t="str">
        <f>Study!CG404</f>
        <v>أدوار - عدد الوحدات للتأجير</v>
      </c>
      <c r="C405" s="246">
        <f>Study!CH404</f>
        <v>0</v>
      </c>
      <c r="D405" s="74" t="str">
        <f>Study!CI404</f>
        <v>التأجير السنوي - أدوار</v>
      </c>
      <c r="E405" s="76" t="str">
        <f>Study!CJ404</f>
        <v>C150</v>
      </c>
      <c r="F405" s="74" t="str">
        <f>Study!CK404</f>
        <v>وحدة</v>
      </c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">
      <c r="A406" s="65">
        <f>Study!CF405</f>
        <v>351</v>
      </c>
      <c r="B406" s="66" t="str">
        <f>Study!CG405</f>
        <v>أدوار - مساحة الوحدة</v>
      </c>
      <c r="C406" s="141" t="str">
        <f>Study!CH405</f>
        <v>0</v>
      </c>
      <c r="D406" s="66" t="str">
        <f>Study!CI405</f>
        <v>التأجير السنوي - أدوار</v>
      </c>
      <c r="E406" s="68" t="str">
        <f>Study!CJ405</f>
        <v>D150</v>
      </c>
      <c r="F406" s="66" t="str">
        <f>Study!CK405</f>
        <v>م²</v>
      </c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">
      <c r="A407" s="73">
        <f>Study!CF406</f>
        <v>352</v>
      </c>
      <c r="B407" s="74" t="str">
        <f>Study!CG406</f>
        <v>أدوار - تأجير المتر</v>
      </c>
      <c r="C407" s="93">
        <f>Study!CH406</f>
        <v>0</v>
      </c>
      <c r="D407" s="74" t="str">
        <f>Study!CI406</f>
        <v>التأجير السنوي - أدوار</v>
      </c>
      <c r="E407" s="76" t="str">
        <f>Study!CJ406</f>
        <v>E150</v>
      </c>
      <c r="F407" s="74" t="str">
        <f>Study!CK406</f>
        <v>ريال/م²</v>
      </c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">
      <c r="A408" s="65">
        <f>Study!CF407</f>
        <v>353</v>
      </c>
      <c r="B408" s="66" t="str">
        <f>Study!CG407</f>
        <v>أدوار - قيمة تأجير الوحدة السنوي</v>
      </c>
      <c r="C408" s="88">
        <f>Study!CH407</f>
        <v>0</v>
      </c>
      <c r="D408" s="66" t="str">
        <f>Study!CI407</f>
        <v>التأجير السنوي - أدوار</v>
      </c>
      <c r="E408" s="68" t="str">
        <f>Study!CJ407</f>
        <v>F150</v>
      </c>
      <c r="F408" s="66" t="str">
        <f>Study!CK407</f>
        <v>ريال سعودي</v>
      </c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">
      <c r="A409" s="73">
        <f>Study!CF408</f>
        <v>354</v>
      </c>
      <c r="B409" s="74" t="str">
        <f>Study!CG408</f>
        <v>أدوار - نسبة الإشغال</v>
      </c>
      <c r="C409" s="148">
        <f>Study!CH408</f>
        <v>0</v>
      </c>
      <c r="D409" s="74" t="str">
        <f>Study!CI408</f>
        <v>التأجير السنوي - أدوار</v>
      </c>
      <c r="E409" s="76" t="str">
        <f>Study!CJ408</f>
        <v>G150</v>
      </c>
      <c r="F409" s="74" t="str">
        <f>Study!CK408</f>
        <v>نسبة مئوية</v>
      </c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">
      <c r="A410" s="65">
        <f>Study!CF409</f>
        <v>355</v>
      </c>
      <c r="B410" s="66" t="str">
        <f>Study!CG409</f>
        <v>أدوار - إجمالي إيرادات التأجير السنوي</v>
      </c>
      <c r="C410" s="88">
        <f>Study!CH409</f>
        <v>0</v>
      </c>
      <c r="D410" s="66" t="str">
        <f>Study!CI409</f>
        <v>التأجير السنوي - أدوار</v>
      </c>
      <c r="E410" s="68" t="str">
        <f>Study!CJ409</f>
        <v>H150</v>
      </c>
      <c r="F410" s="66" t="str">
        <f>Study!CK409</f>
        <v>ريال سعودي</v>
      </c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">
      <c r="A411" s="73">
        <f>Study!CF410</f>
        <v>356</v>
      </c>
      <c r="B411" s="74" t="str">
        <f>Study!CG410</f>
        <v>أدوار - التكاليف التشغيلية</v>
      </c>
      <c r="C411" s="93">
        <f>Study!CH410</f>
        <v>0</v>
      </c>
      <c r="D411" s="74" t="str">
        <f>Study!CI410</f>
        <v>التأجير السنوي - أدوار</v>
      </c>
      <c r="E411" s="76" t="str">
        <f>Study!CJ410</f>
        <v>I150</v>
      </c>
      <c r="F411" s="74" t="str">
        <f>Study!CK410</f>
        <v>ريال سعودي</v>
      </c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">
      <c r="A412" s="65">
        <f>Study!CF411</f>
        <v>357</v>
      </c>
      <c r="B412" s="66" t="str">
        <f>Study!CG411</f>
        <v>أدوار - فترة استرداد رأس المال</v>
      </c>
      <c r="C412" s="141" t="str">
        <f>Study!CH411</f>
        <v>0</v>
      </c>
      <c r="D412" s="66" t="str">
        <f>Study!CI411</f>
        <v>التأجير السنوي - أدوار</v>
      </c>
      <c r="E412" s="68" t="str">
        <f>Study!CJ411</f>
        <v>K150</v>
      </c>
      <c r="F412" s="66" t="str">
        <f>Study!CK411</f>
        <v>سنة</v>
      </c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">
      <c r="A413" s="73">
        <f>Study!CF412</f>
        <v>358</v>
      </c>
      <c r="B413" s="74" t="str">
        <f>Study!CG412</f>
        <v>أدوار - العائد على التكلفة السنوي</v>
      </c>
      <c r="C413" s="148" t="str">
        <f>Study!CH412</f>
        <v>0.00%</v>
      </c>
      <c r="D413" s="74" t="str">
        <f>Study!CI412</f>
        <v>التأجير السنوي - أدوار</v>
      </c>
      <c r="E413" s="76" t="str">
        <f>Study!CJ412</f>
        <v>L150</v>
      </c>
      <c r="F413" s="74" t="str">
        <f>Study!CK412</f>
        <v>نسبة مئوية</v>
      </c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">
      <c r="A414" s="65">
        <f>Study!CF413</f>
        <v>359</v>
      </c>
      <c r="B414" s="66" t="str">
        <f>Study!CG413</f>
        <v>أدوار - إجمالي الربح التشغيلي</v>
      </c>
      <c r="C414" s="88">
        <f>Study!CH413</f>
        <v>0</v>
      </c>
      <c r="D414" s="66" t="str">
        <f>Study!CI413</f>
        <v>التأجير السنوي - أدوار</v>
      </c>
      <c r="E414" s="68" t="str">
        <f>Study!CJ413</f>
        <v>M150</v>
      </c>
      <c r="F414" s="66" t="str">
        <f>Study!CK413</f>
        <v>ريال سعودي</v>
      </c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" x14ac:dyDescent="0.2">
      <c r="A415" s="455" t="str">
        <f>Study!CF414</f>
        <v>▌ التأجير السنوي - أستوديوهات</v>
      </c>
      <c r="B415" s="455">
        <f>Study!CG414</f>
        <v>0</v>
      </c>
      <c r="C415" s="455">
        <f>Study!CH414</f>
        <v>0</v>
      </c>
      <c r="D415" s="455">
        <f>Study!CI414</f>
        <v>0</v>
      </c>
      <c r="E415" s="455">
        <f>Study!CJ414</f>
        <v>0</v>
      </c>
      <c r="F415" s="455">
        <f>Study!CK414</f>
        <v>0</v>
      </c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">
      <c r="A416" s="73">
        <f>Study!CF415</f>
        <v>360</v>
      </c>
      <c r="B416" s="74" t="str">
        <f>Study!CG415</f>
        <v>أستوديوهات - عدد الوحدات للتأجير</v>
      </c>
      <c r="C416" s="246">
        <f>Study!CH415</f>
        <v>99</v>
      </c>
      <c r="D416" s="74" t="str">
        <f>Study!CI415</f>
        <v>التأجير السنوي - أستوديوهات</v>
      </c>
      <c r="E416" s="76" t="str">
        <f>Study!CJ415</f>
        <v>C151</v>
      </c>
      <c r="F416" s="74" t="str">
        <f>Study!CK415</f>
        <v>وحدة</v>
      </c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">
      <c r="A417" s="65">
        <f>Study!CF416</f>
        <v>361</v>
      </c>
      <c r="B417" s="66" t="str">
        <f>Study!CG416</f>
        <v>أستوديوهات - مساحة الوحدة</v>
      </c>
      <c r="C417" s="141">
        <f>Study!CH416</f>
        <v>48.542553191489262</v>
      </c>
      <c r="D417" s="66" t="str">
        <f>Study!CI416</f>
        <v>التأجير السنوي - أستوديوهات</v>
      </c>
      <c r="E417" s="68" t="str">
        <f>Study!CJ416</f>
        <v>D151</v>
      </c>
      <c r="F417" s="66" t="str">
        <f>Study!CK416</f>
        <v>م²</v>
      </c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">
      <c r="A418" s="73">
        <f>Study!CF417</f>
        <v>362</v>
      </c>
      <c r="B418" s="74" t="str">
        <f>Study!CG417</f>
        <v>أستوديوهات - تأجير المتر</v>
      </c>
      <c r="C418" s="93">
        <f>Study!CH417</f>
        <v>0</v>
      </c>
      <c r="D418" s="74" t="str">
        <f>Study!CI417</f>
        <v>التأجير السنوي - أستوديوهات</v>
      </c>
      <c r="E418" s="76" t="str">
        <f>Study!CJ417</f>
        <v>E151</v>
      </c>
      <c r="F418" s="74" t="str">
        <f>Study!CK417</f>
        <v>ريال/م²</v>
      </c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">
      <c r="A419" s="65">
        <f>Study!CF418</f>
        <v>363</v>
      </c>
      <c r="B419" s="66" t="str">
        <f>Study!CG418</f>
        <v>أستوديوهات - قيمة تأجير الوحدة السنوي</v>
      </c>
      <c r="C419" s="88">
        <f>Study!CH418</f>
        <v>0</v>
      </c>
      <c r="D419" s="66" t="str">
        <f>Study!CI418</f>
        <v>التأجير السنوي - أستوديوهات</v>
      </c>
      <c r="E419" s="68" t="str">
        <f>Study!CJ418</f>
        <v>F151</v>
      </c>
      <c r="F419" s="66" t="str">
        <f>Study!CK418</f>
        <v>ريال سعودي</v>
      </c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">
      <c r="A420" s="73">
        <f>Study!CF419</f>
        <v>364</v>
      </c>
      <c r="B420" s="74" t="str">
        <f>Study!CG419</f>
        <v>أستوديوهات - نسبة الإشغال</v>
      </c>
      <c r="C420" s="148">
        <f>Study!CH419</f>
        <v>0</v>
      </c>
      <c r="D420" s="74" t="str">
        <f>Study!CI419</f>
        <v>التأجير السنوي - أستوديوهات</v>
      </c>
      <c r="E420" s="76" t="str">
        <f>Study!CJ419</f>
        <v>G151</v>
      </c>
      <c r="F420" s="74" t="str">
        <f>Study!CK419</f>
        <v>نسبة مئوية</v>
      </c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">
      <c r="A421" s="65">
        <f>Study!CF420</f>
        <v>365</v>
      </c>
      <c r="B421" s="66" t="str">
        <f>Study!CG420</f>
        <v>أستوديوهات - إجمالي إيرادات التأجير السنوي</v>
      </c>
      <c r="C421" s="88">
        <f>Study!CH420</f>
        <v>0</v>
      </c>
      <c r="D421" s="66" t="str">
        <f>Study!CI420</f>
        <v>التأجير السنوي - أستوديوهات</v>
      </c>
      <c r="E421" s="68" t="str">
        <f>Study!CJ420</f>
        <v>H151</v>
      </c>
      <c r="F421" s="66" t="str">
        <f>Study!CK420</f>
        <v>ريال سعودي</v>
      </c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">
      <c r="A422" s="73">
        <f>Study!CF421</f>
        <v>366</v>
      </c>
      <c r="B422" s="74" t="str">
        <f>Study!CG421</f>
        <v>أستوديوهات - التكاليف التشغيلية</v>
      </c>
      <c r="C422" s="93">
        <f>Study!CH421</f>
        <v>0</v>
      </c>
      <c r="D422" s="74" t="str">
        <f>Study!CI421</f>
        <v>التأجير السنوي - أستوديوهات</v>
      </c>
      <c r="E422" s="76" t="str">
        <f>Study!CJ421</f>
        <v>I151</v>
      </c>
      <c r="F422" s="74" t="str">
        <f>Study!CK421</f>
        <v>ريال سعودي</v>
      </c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">
      <c r="A423" s="65">
        <f>Study!CF422</f>
        <v>367</v>
      </c>
      <c r="B423" s="66" t="str">
        <f>Study!CG422</f>
        <v>أستوديوهات - فترة استرداد رأس المال</v>
      </c>
      <c r="C423" s="141" t="str">
        <f>Study!CH422</f>
        <v>0</v>
      </c>
      <c r="D423" s="66" t="str">
        <f>Study!CI422</f>
        <v>التأجير السنوي - أستوديوهات</v>
      </c>
      <c r="E423" s="68" t="str">
        <f>Study!CJ422</f>
        <v>K151</v>
      </c>
      <c r="F423" s="66" t="str">
        <f>Study!CK422</f>
        <v>سنة</v>
      </c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">
      <c r="A424" s="73">
        <f>Study!CF423</f>
        <v>368</v>
      </c>
      <c r="B424" s="74" t="str">
        <f>Study!CG423</f>
        <v>أستوديوهات - العائد على التكلفة السنوي</v>
      </c>
      <c r="C424" s="148">
        <f>Study!CH423</f>
        <v>0</v>
      </c>
      <c r="D424" s="74" t="str">
        <f>Study!CI423</f>
        <v>التأجير السنوي - أستوديوهات</v>
      </c>
      <c r="E424" s="76" t="str">
        <f>Study!CJ423</f>
        <v>L151</v>
      </c>
      <c r="F424" s="74" t="str">
        <f>Study!CK423</f>
        <v>نسبة مئوية</v>
      </c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">
      <c r="A425" s="65">
        <f>Study!CF424</f>
        <v>369</v>
      </c>
      <c r="B425" s="66" t="str">
        <f>Study!CG424</f>
        <v>أستوديوهات - إجمالي الربح التشغيلي</v>
      </c>
      <c r="C425" s="88">
        <f>Study!CH424</f>
        <v>0</v>
      </c>
      <c r="D425" s="66" t="str">
        <f>Study!CI424</f>
        <v>التأجير السنوي - أستوديوهات</v>
      </c>
      <c r="E425" s="68" t="str">
        <f>Study!CJ424</f>
        <v>M151</v>
      </c>
      <c r="F425" s="66" t="str">
        <f>Study!CK424</f>
        <v>ريال سعودي</v>
      </c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" x14ac:dyDescent="0.2">
      <c r="A426" s="455" t="str">
        <f>Study!CF425</f>
        <v>▌ التأجير السنوي - مكتبي</v>
      </c>
      <c r="B426" s="455">
        <f>Study!CG425</f>
        <v>0</v>
      </c>
      <c r="C426" s="455">
        <f>Study!CH425</f>
        <v>0</v>
      </c>
      <c r="D426" s="455">
        <f>Study!CI425</f>
        <v>0</v>
      </c>
      <c r="E426" s="455">
        <f>Study!CJ425</f>
        <v>0</v>
      </c>
      <c r="F426" s="455">
        <f>Study!CK425</f>
        <v>0</v>
      </c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">
      <c r="A427" s="73">
        <f>Study!CF426</f>
        <v>370</v>
      </c>
      <c r="B427" s="74" t="str">
        <f>Study!CG426</f>
        <v>مكتبي - عدد الوحدات للتأجير</v>
      </c>
      <c r="C427" s="246">
        <f>Study!CH426</f>
        <v>0</v>
      </c>
      <c r="D427" s="74" t="str">
        <f>Study!CI426</f>
        <v>التأجير السنوي - مكتبي</v>
      </c>
      <c r="E427" s="76" t="str">
        <f>Study!CJ426</f>
        <v>C152</v>
      </c>
      <c r="F427" s="74" t="str">
        <f>Study!CK426</f>
        <v>وحدة</v>
      </c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">
      <c r="A428" s="65">
        <f>Study!CF427</f>
        <v>371</v>
      </c>
      <c r="B428" s="66" t="str">
        <f>Study!CG427</f>
        <v>مكتبي - مساحة الوحدة</v>
      </c>
      <c r="C428" s="141" t="str">
        <f>Study!CH427</f>
        <v>0</v>
      </c>
      <c r="D428" s="66" t="str">
        <f>Study!CI427</f>
        <v>التأجير السنوي - مكتبي</v>
      </c>
      <c r="E428" s="68" t="str">
        <f>Study!CJ427</f>
        <v>D152</v>
      </c>
      <c r="F428" s="66" t="str">
        <f>Study!CK427</f>
        <v>م²</v>
      </c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">
      <c r="A429" s="73">
        <f>Study!CF428</f>
        <v>372</v>
      </c>
      <c r="B429" s="74" t="str">
        <f>Study!CG428</f>
        <v>مكتبي - تأجير المتر</v>
      </c>
      <c r="C429" s="93">
        <f>Study!CH428</f>
        <v>0</v>
      </c>
      <c r="D429" s="74" t="str">
        <f>Study!CI428</f>
        <v>التأجير السنوي - مكتبي</v>
      </c>
      <c r="E429" s="76" t="str">
        <f>Study!CJ428</f>
        <v>E152</v>
      </c>
      <c r="F429" s="74" t="str">
        <f>Study!CK428</f>
        <v>ريال/م²</v>
      </c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">
      <c r="A430" s="65">
        <f>Study!CF429</f>
        <v>373</v>
      </c>
      <c r="B430" s="66" t="str">
        <f>Study!CG429</f>
        <v>مكتبي - قيمة تأجير الوحدة السنوي</v>
      </c>
      <c r="C430" s="88">
        <f>Study!CH429</f>
        <v>0</v>
      </c>
      <c r="D430" s="66" t="str">
        <f>Study!CI429</f>
        <v>التأجير السنوي - مكتبي</v>
      </c>
      <c r="E430" s="68" t="str">
        <f>Study!CJ429</f>
        <v>F152</v>
      </c>
      <c r="F430" s="66" t="str">
        <f>Study!CK429</f>
        <v>ريال سعودي</v>
      </c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">
      <c r="A431" s="73">
        <f>Study!CF430</f>
        <v>374</v>
      </c>
      <c r="B431" s="74" t="str">
        <f>Study!CG430</f>
        <v>مكتبي - نسبة الإشغال</v>
      </c>
      <c r="C431" s="148">
        <f>Study!CH430</f>
        <v>0</v>
      </c>
      <c r="D431" s="74" t="str">
        <f>Study!CI430</f>
        <v>التأجير السنوي - مكتبي</v>
      </c>
      <c r="E431" s="76" t="str">
        <f>Study!CJ430</f>
        <v>G152</v>
      </c>
      <c r="F431" s="74" t="str">
        <f>Study!CK430</f>
        <v>نسبة مئوية</v>
      </c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">
      <c r="A432" s="65">
        <f>Study!CF431</f>
        <v>375</v>
      </c>
      <c r="B432" s="66" t="str">
        <f>Study!CG431</f>
        <v>مكتبي - إجمالي إيرادات التأجير السنوي</v>
      </c>
      <c r="C432" s="88">
        <f>Study!CH431</f>
        <v>0</v>
      </c>
      <c r="D432" s="66" t="str">
        <f>Study!CI431</f>
        <v>التأجير السنوي - مكتبي</v>
      </c>
      <c r="E432" s="68" t="str">
        <f>Study!CJ431</f>
        <v>H152</v>
      </c>
      <c r="F432" s="66" t="str">
        <f>Study!CK431</f>
        <v>ريال سعودي</v>
      </c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">
      <c r="A433" s="73">
        <f>Study!CF432</f>
        <v>376</v>
      </c>
      <c r="B433" s="74" t="str">
        <f>Study!CG432</f>
        <v>مكتبي - التكاليف التشغيلية</v>
      </c>
      <c r="C433" s="93">
        <f>Study!CH432</f>
        <v>0</v>
      </c>
      <c r="D433" s="74" t="str">
        <f>Study!CI432</f>
        <v>التأجير السنوي - مكتبي</v>
      </c>
      <c r="E433" s="76" t="str">
        <f>Study!CJ432</f>
        <v>I152</v>
      </c>
      <c r="F433" s="74" t="str">
        <f>Study!CK432</f>
        <v>ريال سعودي</v>
      </c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">
      <c r="A434" s="65">
        <f>Study!CF433</f>
        <v>377</v>
      </c>
      <c r="B434" s="66" t="str">
        <f>Study!CG433</f>
        <v>مكتبي - فترة استرداد رأس المال</v>
      </c>
      <c r="C434" s="141" t="str">
        <f>Study!CH433</f>
        <v>0</v>
      </c>
      <c r="D434" s="66" t="str">
        <f>Study!CI433</f>
        <v>التأجير السنوي - مكتبي</v>
      </c>
      <c r="E434" s="68" t="str">
        <f>Study!CJ433</f>
        <v>K152</v>
      </c>
      <c r="F434" s="66" t="str">
        <f>Study!CK433</f>
        <v>سنة</v>
      </c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">
      <c r="A435" s="73">
        <f>Study!CF434</f>
        <v>378</v>
      </c>
      <c r="B435" s="74" t="str">
        <f>Study!CG434</f>
        <v>مكتبي - العائد على التكلفة السنوي</v>
      </c>
      <c r="C435" s="148" t="str">
        <f>Study!CH434</f>
        <v>0.00%</v>
      </c>
      <c r="D435" s="74" t="str">
        <f>Study!CI434</f>
        <v>التأجير السنوي - مكتبي</v>
      </c>
      <c r="E435" s="76" t="str">
        <f>Study!CJ434</f>
        <v>L152</v>
      </c>
      <c r="F435" s="74" t="str">
        <f>Study!CK434</f>
        <v>نسبة مئوية</v>
      </c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">
      <c r="A436" s="65">
        <f>Study!CF435</f>
        <v>379</v>
      </c>
      <c r="B436" s="66" t="str">
        <f>Study!CG435</f>
        <v>مكتبي - إجمالي الربح التشغيلي</v>
      </c>
      <c r="C436" s="88">
        <f>Study!CH435</f>
        <v>0</v>
      </c>
      <c r="D436" s="66" t="str">
        <f>Study!CI435</f>
        <v>التأجير السنوي - مكتبي</v>
      </c>
      <c r="E436" s="68" t="str">
        <f>Study!CJ435</f>
        <v>M152</v>
      </c>
      <c r="F436" s="66" t="str">
        <f>Study!CK435</f>
        <v>ريال سعودي</v>
      </c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" x14ac:dyDescent="0.2">
      <c r="A437" s="455" t="str">
        <f>Study!CF436</f>
        <v>▌ التأجير السنوي - تجاري</v>
      </c>
      <c r="B437" s="455">
        <f>Study!CG436</f>
        <v>0</v>
      </c>
      <c r="C437" s="455">
        <f>Study!CH436</f>
        <v>0</v>
      </c>
      <c r="D437" s="455">
        <f>Study!CI436</f>
        <v>0</v>
      </c>
      <c r="E437" s="455">
        <f>Study!CJ436</f>
        <v>0</v>
      </c>
      <c r="F437" s="455">
        <f>Study!CK436</f>
        <v>0</v>
      </c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">
      <c r="A438" s="73">
        <f>Study!CF437</f>
        <v>380</v>
      </c>
      <c r="B438" s="74" t="str">
        <f>Study!CG437</f>
        <v>تجاري - عدد الوحدات للتأجير</v>
      </c>
      <c r="C438" s="246">
        <f>Study!CH437</f>
        <v>7</v>
      </c>
      <c r="D438" s="74" t="str">
        <f>Study!CI437</f>
        <v>التأجير السنوي - تجاري</v>
      </c>
      <c r="E438" s="76" t="str">
        <f>Study!CJ437</f>
        <v>C153</v>
      </c>
      <c r="F438" s="74" t="str">
        <f>Study!CK437</f>
        <v>وحدة</v>
      </c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">
      <c r="A439" s="65">
        <f>Study!CF438</f>
        <v>381</v>
      </c>
      <c r="B439" s="66" t="str">
        <f>Study!CG438</f>
        <v>تجاري - مساحة الوحدة</v>
      </c>
      <c r="C439" s="141">
        <f>Study!CH438</f>
        <v>166.43161094224911</v>
      </c>
      <c r="D439" s="66" t="str">
        <f>Study!CI438</f>
        <v>التأجير السنوي - تجاري</v>
      </c>
      <c r="E439" s="68" t="str">
        <f>Study!CJ438</f>
        <v>D153</v>
      </c>
      <c r="F439" s="66" t="str">
        <f>Study!CK438</f>
        <v>م²</v>
      </c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">
      <c r="A440" s="73">
        <f>Study!CF439</f>
        <v>382</v>
      </c>
      <c r="B440" s="74" t="str">
        <f>Study!CG439</f>
        <v>تجاري - تأجير المتر</v>
      </c>
      <c r="C440" s="93">
        <f>Study!CH439</f>
        <v>2100</v>
      </c>
      <c r="D440" s="74" t="str">
        <f>Study!CI439</f>
        <v>التأجير السنوي - تجاري</v>
      </c>
      <c r="E440" s="76" t="str">
        <f>Study!CJ439</f>
        <v>E153</v>
      </c>
      <c r="F440" s="74" t="str">
        <f>Study!CK439</f>
        <v>ريال/م²</v>
      </c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">
      <c r="A441" s="65">
        <f>Study!CF440</f>
        <v>383</v>
      </c>
      <c r="B441" s="66" t="str">
        <f>Study!CG440</f>
        <v>تجاري - قيمة تأجير الوحدة السنوي</v>
      </c>
      <c r="C441" s="88">
        <f>Study!CH440</f>
        <v>349506.38297872315</v>
      </c>
      <c r="D441" s="66" t="str">
        <f>Study!CI440</f>
        <v>التأجير السنوي - تجاري</v>
      </c>
      <c r="E441" s="68" t="str">
        <f>Study!CJ440</f>
        <v>F153</v>
      </c>
      <c r="F441" s="66" t="str">
        <f>Study!CK440</f>
        <v>ريال سعودي</v>
      </c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">
      <c r="A442" s="73">
        <f>Study!CF441</f>
        <v>384</v>
      </c>
      <c r="B442" s="74" t="str">
        <f>Study!CG441</f>
        <v>تجاري - نسبة الإشغال</v>
      </c>
      <c r="C442" s="148">
        <f>Study!CH441</f>
        <v>1</v>
      </c>
      <c r="D442" s="74" t="str">
        <f>Study!CI441</f>
        <v>التأجير السنوي - تجاري</v>
      </c>
      <c r="E442" s="76" t="str">
        <f>Study!CJ441</f>
        <v>G153</v>
      </c>
      <c r="F442" s="74" t="str">
        <f>Study!CK441</f>
        <v>نسبة مئوية</v>
      </c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">
      <c r="A443" s="65">
        <f>Study!CF442</f>
        <v>385</v>
      </c>
      <c r="B443" s="66" t="str">
        <f>Study!CG442</f>
        <v>تجاري - إجمالي إيرادات التأجير السنوي</v>
      </c>
      <c r="C443" s="88">
        <f>Study!CH442</f>
        <v>2446544.6808510618</v>
      </c>
      <c r="D443" s="66" t="str">
        <f>Study!CI442</f>
        <v>التأجير السنوي - تجاري</v>
      </c>
      <c r="E443" s="68" t="str">
        <f>Study!CJ442</f>
        <v>H153</v>
      </c>
      <c r="F443" s="66" t="str">
        <f>Study!CK442</f>
        <v>ريال سعودي</v>
      </c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">
      <c r="A444" s="73">
        <f>Study!CF443</f>
        <v>386</v>
      </c>
      <c r="B444" s="74" t="str">
        <f>Study!CG443</f>
        <v>تجاري - التكاليف التشغيلية</v>
      </c>
      <c r="C444" s="93">
        <f>Study!CH443</f>
        <v>183490.85106382964</v>
      </c>
      <c r="D444" s="74" t="str">
        <f>Study!CI443</f>
        <v>التأجير السنوي - تجاري</v>
      </c>
      <c r="E444" s="76" t="str">
        <f>Study!CJ443</f>
        <v>I153</v>
      </c>
      <c r="F444" s="74" t="str">
        <f>Study!CK443</f>
        <v>ريال سعودي</v>
      </c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">
      <c r="A445" s="65">
        <f>Study!CF444</f>
        <v>387</v>
      </c>
      <c r="B445" s="66" t="str">
        <f>Study!CG444</f>
        <v>تجاري - فترة استرداد رأس المال</v>
      </c>
      <c r="C445" s="141">
        <f>Study!CH444</f>
        <v>7.3270858419364187</v>
      </c>
      <c r="D445" s="66" t="str">
        <f>Study!CI444</f>
        <v>التأجير السنوي - تجاري</v>
      </c>
      <c r="E445" s="68" t="str">
        <f>Study!CJ444</f>
        <v>K153</v>
      </c>
      <c r="F445" s="66" t="str">
        <f>Study!CK444</f>
        <v>سنة</v>
      </c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">
      <c r="A446" s="73">
        <f>Study!CF445</f>
        <v>388</v>
      </c>
      <c r="B446" s="74" t="str">
        <f>Study!CG445</f>
        <v>تجاري - العائد على التكلفة السنوي</v>
      </c>
      <c r="C446" s="148">
        <f>Study!CH445</f>
        <v>0.13647990777950511</v>
      </c>
      <c r="D446" s="74" t="str">
        <f>Study!CI445</f>
        <v>التأجير السنوي - تجاري</v>
      </c>
      <c r="E446" s="76" t="str">
        <f>Study!CJ445</f>
        <v>L153</v>
      </c>
      <c r="F446" s="74" t="str">
        <f>Study!CK445</f>
        <v>نسبة مئوية</v>
      </c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">
      <c r="A447" s="65">
        <f>Study!CF446</f>
        <v>389</v>
      </c>
      <c r="B447" s="66" t="str">
        <f>Study!CG446</f>
        <v>تجاري - إجمالي الربح التشغيلي</v>
      </c>
      <c r="C447" s="88">
        <f>Study!CH446</f>
        <v>2263053.829787232</v>
      </c>
      <c r="D447" s="66" t="str">
        <f>Study!CI446</f>
        <v>التأجير السنوي - تجاري</v>
      </c>
      <c r="E447" s="68" t="str">
        <f>Study!CJ446</f>
        <v>M153</v>
      </c>
      <c r="F447" s="66" t="str">
        <f>Study!CK446</f>
        <v>ريال سعودي</v>
      </c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" x14ac:dyDescent="0.2">
      <c r="A448" s="455" t="str">
        <f>Study!CF447</f>
        <v>▌ التأجير السنوي - فندقي</v>
      </c>
      <c r="B448" s="455">
        <f>Study!CG447</f>
        <v>0</v>
      </c>
      <c r="C448" s="455">
        <f>Study!CH447</f>
        <v>0</v>
      </c>
      <c r="D448" s="455">
        <f>Study!CI447</f>
        <v>0</v>
      </c>
      <c r="E448" s="455">
        <f>Study!CJ447</f>
        <v>0</v>
      </c>
      <c r="F448" s="455">
        <f>Study!CK447</f>
        <v>0</v>
      </c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">
      <c r="A449" s="73">
        <f>Study!CF448</f>
        <v>390</v>
      </c>
      <c r="B449" s="74" t="str">
        <f>Study!CG448</f>
        <v>فندقي - عدد الوحدات للتأجير</v>
      </c>
      <c r="C449" s="246">
        <f>Study!CH448</f>
        <v>0</v>
      </c>
      <c r="D449" s="74" t="str">
        <f>Study!CI448</f>
        <v>التأجير السنوي - فندقي</v>
      </c>
      <c r="E449" s="76" t="str">
        <f>Study!CJ448</f>
        <v>C154</v>
      </c>
      <c r="F449" s="74" t="str">
        <f>Study!CK448</f>
        <v>وحدة</v>
      </c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">
      <c r="A450" s="65">
        <f>Study!CF449</f>
        <v>391</v>
      </c>
      <c r="B450" s="66" t="str">
        <f>Study!CG449</f>
        <v>فندقي - مساحة الوحدة</v>
      </c>
      <c r="C450" s="141" t="str">
        <f>Study!CH449</f>
        <v>0</v>
      </c>
      <c r="D450" s="66" t="str">
        <f>Study!CI449</f>
        <v>التأجير السنوي - فندقي</v>
      </c>
      <c r="E450" s="68" t="str">
        <f>Study!CJ449</f>
        <v>D154</v>
      </c>
      <c r="F450" s="66" t="str">
        <f>Study!CK449</f>
        <v>م²</v>
      </c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">
      <c r="A451" s="73">
        <f>Study!CF450</f>
        <v>392</v>
      </c>
      <c r="B451" s="74" t="str">
        <f>Study!CG450</f>
        <v>فندقي - تأجير المتر</v>
      </c>
      <c r="C451" s="93">
        <f>Study!CH450</f>
        <v>0</v>
      </c>
      <c r="D451" s="74" t="str">
        <f>Study!CI450</f>
        <v>التأجير السنوي - فندقي</v>
      </c>
      <c r="E451" s="76" t="str">
        <f>Study!CJ450</f>
        <v>E154</v>
      </c>
      <c r="F451" s="74" t="str">
        <f>Study!CK450</f>
        <v>ريال/م²</v>
      </c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">
      <c r="A452" s="65">
        <f>Study!CF451</f>
        <v>393</v>
      </c>
      <c r="B452" s="66" t="str">
        <f>Study!CG451</f>
        <v>فندقي - قيمة تأجير الوحدة السنوي</v>
      </c>
      <c r="C452" s="88">
        <f>Study!CH451</f>
        <v>0</v>
      </c>
      <c r="D452" s="66" t="str">
        <f>Study!CI451</f>
        <v>التأجير السنوي - فندقي</v>
      </c>
      <c r="E452" s="68" t="str">
        <f>Study!CJ451</f>
        <v>F154</v>
      </c>
      <c r="F452" s="66" t="str">
        <f>Study!CK451</f>
        <v>ريال سعودي</v>
      </c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">
      <c r="A453" s="73">
        <f>Study!CF452</f>
        <v>394</v>
      </c>
      <c r="B453" s="74" t="str">
        <f>Study!CG452</f>
        <v>فندقي - نسبة الإشغال</v>
      </c>
      <c r="C453" s="148">
        <f>Study!CH452</f>
        <v>0</v>
      </c>
      <c r="D453" s="74" t="str">
        <f>Study!CI452</f>
        <v>التأجير السنوي - فندقي</v>
      </c>
      <c r="E453" s="76" t="str">
        <f>Study!CJ452</f>
        <v>G154</v>
      </c>
      <c r="F453" s="74" t="str">
        <f>Study!CK452</f>
        <v>نسبة مئوية</v>
      </c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">
      <c r="A454" s="65">
        <f>Study!CF453</f>
        <v>395</v>
      </c>
      <c r="B454" s="66" t="str">
        <f>Study!CG453</f>
        <v>فندقي - إجمالي إيرادات التأجير السنوي</v>
      </c>
      <c r="C454" s="88">
        <f>Study!CH453</f>
        <v>0</v>
      </c>
      <c r="D454" s="66" t="str">
        <f>Study!CI453</f>
        <v>التأجير السنوي - فندقي</v>
      </c>
      <c r="E454" s="68" t="str">
        <f>Study!CJ453</f>
        <v>H154</v>
      </c>
      <c r="F454" s="66" t="str">
        <f>Study!CK453</f>
        <v>ريال سعودي</v>
      </c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">
      <c r="A455" s="73">
        <f>Study!CF454</f>
        <v>396</v>
      </c>
      <c r="B455" s="74" t="str">
        <f>Study!CG454</f>
        <v>فندقي - التكاليف التشغيلية</v>
      </c>
      <c r="C455" s="93">
        <f>Study!CH454</f>
        <v>0</v>
      </c>
      <c r="D455" s="74" t="str">
        <f>Study!CI454</f>
        <v>التأجير السنوي - فندقي</v>
      </c>
      <c r="E455" s="76" t="str">
        <f>Study!CJ454</f>
        <v>I154</v>
      </c>
      <c r="F455" s="74" t="str">
        <f>Study!CK454</f>
        <v>ريال سعودي</v>
      </c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">
      <c r="A456" s="65">
        <f>Study!CF455</f>
        <v>397</v>
      </c>
      <c r="B456" s="66" t="str">
        <f>Study!CG455</f>
        <v>فندقي - فترة استرداد رأس المال</v>
      </c>
      <c r="C456" s="141" t="str">
        <f>Study!CH455</f>
        <v>0</v>
      </c>
      <c r="D456" s="66" t="str">
        <f>Study!CI455</f>
        <v>التأجير السنوي - فندقي</v>
      </c>
      <c r="E456" s="68" t="str">
        <f>Study!CJ455</f>
        <v>K154</v>
      </c>
      <c r="F456" s="66" t="str">
        <f>Study!CK455</f>
        <v>سنة</v>
      </c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">
      <c r="A457" s="73">
        <f>Study!CF456</f>
        <v>398</v>
      </c>
      <c r="B457" s="74" t="str">
        <f>Study!CG456</f>
        <v>فندقي - العائد على التكلفة السنوي</v>
      </c>
      <c r="C457" s="148">
        <f>Study!CH456</f>
        <v>0</v>
      </c>
      <c r="D457" s="74" t="str">
        <f>Study!CI456</f>
        <v>التأجير السنوي - فندقي</v>
      </c>
      <c r="E457" s="76" t="str">
        <f>Study!CJ456</f>
        <v>L154</v>
      </c>
      <c r="F457" s="74" t="str">
        <f>Study!CK456</f>
        <v>نسبة مئوية</v>
      </c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">
      <c r="A458" s="65">
        <f>Study!CF457</f>
        <v>399</v>
      </c>
      <c r="B458" s="66" t="str">
        <f>Study!CG457</f>
        <v>فندقي - إجمالي الربح التشغيلي</v>
      </c>
      <c r="C458" s="88">
        <f>Study!CH457</f>
        <v>0</v>
      </c>
      <c r="D458" s="66" t="str">
        <f>Study!CI457</f>
        <v>التأجير السنوي - فندقي</v>
      </c>
      <c r="E458" s="68" t="str">
        <f>Study!CJ457</f>
        <v>M154</v>
      </c>
      <c r="F458" s="66" t="str">
        <f>Study!CK457</f>
        <v>ريال سعودي</v>
      </c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" x14ac:dyDescent="0.2">
      <c r="A459" s="455" t="str">
        <f>Study!CF458</f>
        <v>▌ التأجير السنوي - صحي</v>
      </c>
      <c r="B459" s="455">
        <f>Study!CG458</f>
        <v>0</v>
      </c>
      <c r="C459" s="455">
        <f>Study!CH458</f>
        <v>0</v>
      </c>
      <c r="D459" s="455">
        <f>Study!CI458</f>
        <v>0</v>
      </c>
      <c r="E459" s="455">
        <f>Study!CJ458</f>
        <v>0</v>
      </c>
      <c r="F459" s="455">
        <f>Study!CK458</f>
        <v>0</v>
      </c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">
      <c r="A460" s="73">
        <f>Study!CF459</f>
        <v>400</v>
      </c>
      <c r="B460" s="74" t="str">
        <f>Study!CG459</f>
        <v>صحي - عدد الوحدات للتأجير</v>
      </c>
      <c r="C460" s="246">
        <f>Study!CH459</f>
        <v>0</v>
      </c>
      <c r="D460" s="74" t="str">
        <f>Study!CI459</f>
        <v>التأجير السنوي - صحي</v>
      </c>
      <c r="E460" s="76" t="str">
        <f>Study!CJ459</f>
        <v>C155</v>
      </c>
      <c r="F460" s="74" t="str">
        <f>Study!CK459</f>
        <v>وحدة</v>
      </c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">
      <c r="A461" s="65">
        <f>Study!CF460</f>
        <v>401</v>
      </c>
      <c r="B461" s="66" t="str">
        <f>Study!CG460</f>
        <v>صحي - مساحة الوحدة</v>
      </c>
      <c r="C461" s="141" t="str">
        <f>Study!CH460</f>
        <v>0</v>
      </c>
      <c r="D461" s="66" t="str">
        <f>Study!CI460</f>
        <v>التأجير السنوي - صحي</v>
      </c>
      <c r="E461" s="68" t="str">
        <f>Study!CJ460</f>
        <v>D155</v>
      </c>
      <c r="F461" s="66" t="str">
        <f>Study!CK460</f>
        <v>م²</v>
      </c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">
      <c r="A462" s="73">
        <f>Study!CF461</f>
        <v>402</v>
      </c>
      <c r="B462" s="74" t="str">
        <f>Study!CG461</f>
        <v>صحي - تأجير المتر</v>
      </c>
      <c r="C462" s="93">
        <f>Study!CH461</f>
        <v>0</v>
      </c>
      <c r="D462" s="74" t="str">
        <f>Study!CI461</f>
        <v>التأجير السنوي - صحي</v>
      </c>
      <c r="E462" s="76" t="str">
        <f>Study!CJ461</f>
        <v>E155</v>
      </c>
      <c r="F462" s="74" t="str">
        <f>Study!CK461</f>
        <v>ريال/م²</v>
      </c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">
      <c r="A463" s="65">
        <f>Study!CF462</f>
        <v>403</v>
      </c>
      <c r="B463" s="66" t="str">
        <f>Study!CG462</f>
        <v>صحي - قيمة تأجير الوحدة السنوي</v>
      </c>
      <c r="C463" s="88">
        <f>Study!CH462</f>
        <v>0</v>
      </c>
      <c r="D463" s="66" t="str">
        <f>Study!CI462</f>
        <v>التأجير السنوي - صحي</v>
      </c>
      <c r="E463" s="68" t="str">
        <f>Study!CJ462</f>
        <v>F155</v>
      </c>
      <c r="F463" s="66" t="str">
        <f>Study!CK462</f>
        <v>ريال سعودي</v>
      </c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">
      <c r="A464" s="73">
        <f>Study!CF463</f>
        <v>404</v>
      </c>
      <c r="B464" s="74" t="str">
        <f>Study!CG463</f>
        <v>صحي - نسبة الإشغال</v>
      </c>
      <c r="C464" s="148">
        <f>Study!CH463</f>
        <v>0</v>
      </c>
      <c r="D464" s="74" t="str">
        <f>Study!CI463</f>
        <v>التأجير السنوي - صحي</v>
      </c>
      <c r="E464" s="76" t="str">
        <f>Study!CJ463</f>
        <v>G155</v>
      </c>
      <c r="F464" s="74" t="str">
        <f>Study!CK463</f>
        <v>نسبة مئوية</v>
      </c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">
      <c r="A465" s="65">
        <f>Study!CF464</f>
        <v>405</v>
      </c>
      <c r="B465" s="66" t="str">
        <f>Study!CG464</f>
        <v>صحي - إجمالي إيرادات التأجير السنوي</v>
      </c>
      <c r="C465" s="88">
        <f>Study!CH464</f>
        <v>0</v>
      </c>
      <c r="D465" s="66" t="str">
        <f>Study!CI464</f>
        <v>التأجير السنوي - صحي</v>
      </c>
      <c r="E465" s="68" t="str">
        <f>Study!CJ464</f>
        <v>H155</v>
      </c>
      <c r="F465" s="66" t="str">
        <f>Study!CK464</f>
        <v>ريال سعودي</v>
      </c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">
      <c r="A466" s="73">
        <f>Study!CF465</f>
        <v>406</v>
      </c>
      <c r="B466" s="74" t="str">
        <f>Study!CG465</f>
        <v>صحي - التكاليف التشغيلية</v>
      </c>
      <c r="C466" s="93">
        <f>Study!CH465</f>
        <v>0</v>
      </c>
      <c r="D466" s="74" t="str">
        <f>Study!CI465</f>
        <v>التأجير السنوي - صحي</v>
      </c>
      <c r="E466" s="76" t="str">
        <f>Study!CJ465</f>
        <v>I155</v>
      </c>
      <c r="F466" s="74" t="str">
        <f>Study!CK465</f>
        <v>ريال سعودي</v>
      </c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">
      <c r="A467" s="65">
        <f>Study!CF466</f>
        <v>407</v>
      </c>
      <c r="B467" s="66" t="str">
        <f>Study!CG466</f>
        <v>صحي - فترة استرداد رأس المال</v>
      </c>
      <c r="C467" s="141" t="str">
        <f>Study!CH466</f>
        <v>0</v>
      </c>
      <c r="D467" s="66" t="str">
        <f>Study!CI466</f>
        <v>التأجير السنوي - صحي</v>
      </c>
      <c r="E467" s="68" t="str">
        <f>Study!CJ466</f>
        <v>K155</v>
      </c>
      <c r="F467" s="66" t="str">
        <f>Study!CK466</f>
        <v>سنة</v>
      </c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">
      <c r="A468" s="73">
        <f>Study!CF467</f>
        <v>408</v>
      </c>
      <c r="B468" s="74" t="str">
        <f>Study!CG467</f>
        <v>صحي - العائد على التكلفة السنوي</v>
      </c>
      <c r="C468" s="148" t="str">
        <f>Study!CH467</f>
        <v>0.00%</v>
      </c>
      <c r="D468" s="74" t="str">
        <f>Study!CI467</f>
        <v>التأجير السنوي - صحي</v>
      </c>
      <c r="E468" s="76" t="str">
        <f>Study!CJ467</f>
        <v>L155</v>
      </c>
      <c r="F468" s="74" t="str">
        <f>Study!CK467</f>
        <v>نسبة مئوية</v>
      </c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">
      <c r="A469" s="65">
        <f>Study!CF468</f>
        <v>409</v>
      </c>
      <c r="B469" s="66" t="str">
        <f>Study!CG468</f>
        <v>صحي - إجمالي الربح التشغيلي</v>
      </c>
      <c r="C469" s="88">
        <f>Study!CH468</f>
        <v>0</v>
      </c>
      <c r="D469" s="66" t="str">
        <f>Study!CI468</f>
        <v>التأجير السنوي - صحي</v>
      </c>
      <c r="E469" s="68" t="str">
        <f>Study!CJ468</f>
        <v>M155</v>
      </c>
      <c r="F469" s="66" t="str">
        <f>Study!CK468</f>
        <v>ريال سعودي</v>
      </c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" x14ac:dyDescent="0.2">
      <c r="A470" s="455" t="str">
        <f>Study!CF469</f>
        <v>▌ التأجير السنوي - أخرى</v>
      </c>
      <c r="B470" s="455">
        <f>Study!CG469</f>
        <v>0</v>
      </c>
      <c r="C470" s="455">
        <f>Study!CH469</f>
        <v>0</v>
      </c>
      <c r="D470" s="455">
        <f>Study!CI469</f>
        <v>0</v>
      </c>
      <c r="E470" s="455">
        <f>Study!CJ469</f>
        <v>0</v>
      </c>
      <c r="F470" s="455">
        <f>Study!CK469</f>
        <v>0</v>
      </c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">
      <c r="A471" s="73">
        <f>Study!CF470</f>
        <v>410</v>
      </c>
      <c r="B471" s="74" t="str">
        <f>Study!CG470</f>
        <v>أخرى - عدد الوحدات للتأجير</v>
      </c>
      <c r="C471" s="246">
        <f>Study!CH470</f>
        <v>0</v>
      </c>
      <c r="D471" s="74" t="str">
        <f>Study!CI470</f>
        <v>التأجير السنوي - أخرى</v>
      </c>
      <c r="E471" s="76" t="str">
        <f>Study!CJ470</f>
        <v>C156</v>
      </c>
      <c r="F471" s="74" t="str">
        <f>Study!CK470</f>
        <v>وحدة</v>
      </c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">
      <c r="A472" s="65">
        <f>Study!CF471</f>
        <v>411</v>
      </c>
      <c r="B472" s="66" t="str">
        <f>Study!CG471</f>
        <v>أخرى - مساحة الوحدة</v>
      </c>
      <c r="C472" s="141" t="str">
        <f>Study!CH471</f>
        <v>0</v>
      </c>
      <c r="D472" s="66" t="str">
        <f>Study!CI471</f>
        <v>التأجير السنوي - أخرى</v>
      </c>
      <c r="E472" s="68" t="str">
        <f>Study!CJ471</f>
        <v>D156</v>
      </c>
      <c r="F472" s="66" t="str">
        <f>Study!CK471</f>
        <v>م²</v>
      </c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">
      <c r="A473" s="73">
        <f>Study!CF472</f>
        <v>412</v>
      </c>
      <c r="B473" s="74" t="str">
        <f>Study!CG472</f>
        <v>أخرى - تأجير المتر</v>
      </c>
      <c r="C473" s="93">
        <f>Study!CH472</f>
        <v>0</v>
      </c>
      <c r="D473" s="74" t="str">
        <f>Study!CI472</f>
        <v>التأجير السنوي - أخرى</v>
      </c>
      <c r="E473" s="76" t="str">
        <f>Study!CJ472</f>
        <v>E156</v>
      </c>
      <c r="F473" s="74" t="str">
        <f>Study!CK472</f>
        <v>ريال/م²</v>
      </c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">
      <c r="A474" s="65">
        <f>Study!CF473</f>
        <v>413</v>
      </c>
      <c r="B474" s="66" t="str">
        <f>Study!CG473</f>
        <v>أخرى - قيمة تأجير الوحدة السنوي</v>
      </c>
      <c r="C474" s="88">
        <f>Study!CH473</f>
        <v>0</v>
      </c>
      <c r="D474" s="66" t="str">
        <f>Study!CI473</f>
        <v>التأجير السنوي - أخرى</v>
      </c>
      <c r="E474" s="68" t="str">
        <f>Study!CJ473</f>
        <v>F156</v>
      </c>
      <c r="F474" s="66" t="str">
        <f>Study!CK473</f>
        <v>ريال سعودي</v>
      </c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">
      <c r="A475" s="73">
        <f>Study!CF474</f>
        <v>414</v>
      </c>
      <c r="B475" s="74" t="str">
        <f>Study!CG474</f>
        <v>أخرى - نسبة الإشغال</v>
      </c>
      <c r="C475" s="148">
        <f>Study!CH474</f>
        <v>0</v>
      </c>
      <c r="D475" s="74" t="str">
        <f>Study!CI474</f>
        <v>التأجير السنوي - أخرى</v>
      </c>
      <c r="E475" s="76" t="str">
        <f>Study!CJ474</f>
        <v>G156</v>
      </c>
      <c r="F475" s="74" t="str">
        <f>Study!CK474</f>
        <v>نسبة مئوية</v>
      </c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">
      <c r="A476" s="65">
        <f>Study!CF475</f>
        <v>415</v>
      </c>
      <c r="B476" s="66" t="str">
        <f>Study!CG475</f>
        <v>أخرى - إجمالي إيرادات التأجير السنوي</v>
      </c>
      <c r="C476" s="88">
        <f>Study!CH475</f>
        <v>0</v>
      </c>
      <c r="D476" s="66" t="str">
        <f>Study!CI475</f>
        <v>التأجير السنوي - أخرى</v>
      </c>
      <c r="E476" s="68" t="str">
        <f>Study!CJ475</f>
        <v>H156</v>
      </c>
      <c r="F476" s="66" t="str">
        <f>Study!CK475</f>
        <v>ريال سعودي</v>
      </c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">
      <c r="A477" s="73">
        <f>Study!CF476</f>
        <v>416</v>
      </c>
      <c r="B477" s="74" t="str">
        <f>Study!CG476</f>
        <v>أخرى - التكاليف التشغيلية</v>
      </c>
      <c r="C477" s="93">
        <f>Study!CH476</f>
        <v>0</v>
      </c>
      <c r="D477" s="74" t="str">
        <f>Study!CI476</f>
        <v>التأجير السنوي - أخرى</v>
      </c>
      <c r="E477" s="76" t="str">
        <f>Study!CJ476</f>
        <v>I156</v>
      </c>
      <c r="F477" s="74" t="str">
        <f>Study!CK476</f>
        <v>ريال سعودي</v>
      </c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">
      <c r="A478" s="65">
        <f>Study!CF477</f>
        <v>417</v>
      </c>
      <c r="B478" s="66" t="str">
        <f>Study!CG477</f>
        <v>أخرى - فترة استرداد رأس المال</v>
      </c>
      <c r="C478" s="141" t="str">
        <f>Study!CH477</f>
        <v>0</v>
      </c>
      <c r="D478" s="66" t="str">
        <f>Study!CI477</f>
        <v>التأجير السنوي - أخرى</v>
      </c>
      <c r="E478" s="68" t="str">
        <f>Study!CJ477</f>
        <v>K156</v>
      </c>
      <c r="F478" s="66" t="str">
        <f>Study!CK477</f>
        <v>سنة</v>
      </c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">
      <c r="A479" s="73">
        <f>Study!CF478</f>
        <v>418</v>
      </c>
      <c r="B479" s="74" t="str">
        <f>Study!CG478</f>
        <v>أخرى - العائد على التكلفة السنوي</v>
      </c>
      <c r="C479" s="148" t="str">
        <f>Study!CH478</f>
        <v>0.00%</v>
      </c>
      <c r="D479" s="74" t="str">
        <f>Study!CI478</f>
        <v>التأجير السنوي - أخرى</v>
      </c>
      <c r="E479" s="76" t="str">
        <f>Study!CJ478</f>
        <v>L156</v>
      </c>
      <c r="F479" s="74" t="str">
        <f>Study!CK478</f>
        <v>نسبة مئوية</v>
      </c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">
      <c r="A480" s="65">
        <f>Study!CF479</f>
        <v>419</v>
      </c>
      <c r="B480" s="66" t="str">
        <f>Study!CG479</f>
        <v>أخرى - إجمالي الربح التشغيلي</v>
      </c>
      <c r="C480" s="88">
        <f>Study!CH479</f>
        <v>0</v>
      </c>
      <c r="D480" s="66" t="str">
        <f>Study!CI479</f>
        <v>التأجير السنوي - أخرى</v>
      </c>
      <c r="E480" s="68" t="str">
        <f>Study!CJ479</f>
        <v>M156</v>
      </c>
      <c r="F480" s="66" t="str">
        <f>Study!CK479</f>
        <v>ريال سعودي</v>
      </c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" x14ac:dyDescent="0.2">
      <c r="A481" s="455" t="str">
        <f>Study!CF480</f>
        <v>▌ التأجير السنوي - الإجمالي</v>
      </c>
      <c r="B481" s="455">
        <f>Study!CG480</f>
        <v>0</v>
      </c>
      <c r="C481" s="455">
        <f>Study!CH480</f>
        <v>0</v>
      </c>
      <c r="D481" s="455">
        <f>Study!CI480</f>
        <v>0</v>
      </c>
      <c r="E481" s="455">
        <f>Study!CJ480</f>
        <v>0</v>
      </c>
      <c r="F481" s="455">
        <f>Study!CK480</f>
        <v>0</v>
      </c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">
      <c r="A482" s="73">
        <f>Study!CF481</f>
        <v>420</v>
      </c>
      <c r="B482" s="74" t="str">
        <f>Study!CG481</f>
        <v>إجمالي عدد الوحدات للتأجير</v>
      </c>
      <c r="C482" s="246">
        <f>Study!CH481</f>
        <v>198</v>
      </c>
      <c r="D482" s="74" t="str">
        <f>Study!CI481</f>
        <v>التأجير السنوي - الإجمالي</v>
      </c>
      <c r="E482" s="76" t="str">
        <f>Study!CJ481</f>
        <v>C157</v>
      </c>
      <c r="F482" s="74" t="str">
        <f>Study!CK481</f>
        <v>وحدة</v>
      </c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">
      <c r="A483" s="65">
        <f>Study!CF482</f>
        <v>421</v>
      </c>
      <c r="B483" s="66" t="str">
        <f>Study!CG482</f>
        <v>إجمالي قيمة التأجير السنوي</v>
      </c>
      <c r="C483" s="88">
        <f>Study!CH482</f>
        <v>349506.38297872309</v>
      </c>
      <c r="D483" s="66" t="str">
        <f>Study!CI482</f>
        <v>التأجير السنوي - الإجمالي</v>
      </c>
      <c r="E483" s="68" t="str">
        <f>Study!CJ482</f>
        <v>F157</v>
      </c>
      <c r="F483" s="66" t="str">
        <f>Study!CK482</f>
        <v>ريال سعودي</v>
      </c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">
      <c r="A484" s="73">
        <f>Study!CF483</f>
        <v>422</v>
      </c>
      <c r="B484" s="74" t="str">
        <f>Study!CG483</f>
        <v>متوسط نسبة الإشغال</v>
      </c>
      <c r="C484" s="148">
        <f>Study!CH483</f>
        <v>7.9601990049751187E-2</v>
      </c>
      <c r="D484" s="74" t="str">
        <f>Study!CI483</f>
        <v>التأجير السنوي - الإجمالي</v>
      </c>
      <c r="E484" s="76" t="str">
        <f>Study!CJ483</f>
        <v>G157</v>
      </c>
      <c r="F484" s="74" t="str">
        <f>Study!CK483</f>
        <v>نسبة مئوية</v>
      </c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">
      <c r="A485" s="65">
        <f>Study!CF484</f>
        <v>423</v>
      </c>
      <c r="B485" s="66" t="str">
        <f>Study!CG484</f>
        <v>إجمالي إيرادات التأجير السنوي</v>
      </c>
      <c r="C485" s="88">
        <f>Study!CH484</f>
        <v>2446544.6808510618</v>
      </c>
      <c r="D485" s="66" t="str">
        <f>Study!CI484</f>
        <v>التأجير السنوي - الإجمالي</v>
      </c>
      <c r="E485" s="68" t="str">
        <f>Study!CJ484</f>
        <v>H157</v>
      </c>
      <c r="F485" s="66" t="str">
        <f>Study!CK484</f>
        <v>ريال سعودي</v>
      </c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">
      <c r="A486" s="73">
        <f>Study!CF485</f>
        <v>424</v>
      </c>
      <c r="B486" s="74" t="str">
        <f>Study!CG485</f>
        <v>إجمالي التكاليف التشغيلية للتأجير</v>
      </c>
      <c r="C486" s="93">
        <f>Study!CH485</f>
        <v>183490.85106382964</v>
      </c>
      <c r="D486" s="74" t="str">
        <f>Study!CI485</f>
        <v>التأجير السنوي - الإجمالي</v>
      </c>
      <c r="E486" s="76" t="str">
        <f>Study!CJ485</f>
        <v>I157</v>
      </c>
      <c r="F486" s="74" t="str">
        <f>Study!CK485</f>
        <v>ريال سعودي</v>
      </c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">
      <c r="A487" s="65">
        <f>Study!CF486</f>
        <v>425</v>
      </c>
      <c r="B487" s="66" t="str">
        <f>Study!CG486</f>
        <v>إجمالي الربح التشغيلي من التأجير</v>
      </c>
      <c r="C487" s="88">
        <f>Study!CH486</f>
        <v>2263053.829787232</v>
      </c>
      <c r="D487" s="66" t="str">
        <f>Study!CI486</f>
        <v>التأجير السنوي - الإجمالي</v>
      </c>
      <c r="E487" s="68" t="str">
        <f>Study!CJ486</f>
        <v>M157</v>
      </c>
      <c r="F487" s="66" t="str">
        <f>Study!CK486</f>
        <v>ريال سعودي</v>
      </c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" x14ac:dyDescent="0.2">
      <c r="A488" s="455" t="str">
        <f>Study!CF487</f>
        <v>▌ التأجير اليومي - سكني</v>
      </c>
      <c r="B488" s="455">
        <f>Study!CG487</f>
        <v>0</v>
      </c>
      <c r="C488" s="455">
        <f>Study!CH487</f>
        <v>0</v>
      </c>
      <c r="D488" s="455">
        <f>Study!CI487</f>
        <v>0</v>
      </c>
      <c r="E488" s="455">
        <f>Study!CJ487</f>
        <v>0</v>
      </c>
      <c r="F488" s="455">
        <f>Study!CK487</f>
        <v>0</v>
      </c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">
      <c r="A489" s="73">
        <f>Study!CF488</f>
        <v>426</v>
      </c>
      <c r="B489" s="74" t="str">
        <f>Study!CG488</f>
        <v>سكني - عدد الوحدات</v>
      </c>
      <c r="C489" s="246">
        <f>Study!CH488</f>
        <v>92</v>
      </c>
      <c r="D489" s="74" t="str">
        <f>Study!CI488</f>
        <v>التأجير اليومي - سكني</v>
      </c>
      <c r="E489" s="76" t="str">
        <f>Study!CJ488</f>
        <v>R147</v>
      </c>
      <c r="F489" s="74" t="str">
        <f>Study!CK488</f>
        <v>وحدة</v>
      </c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2">
      <c r="A490" s="65">
        <f>Study!CF489</f>
        <v>427</v>
      </c>
      <c r="B490" s="66" t="str">
        <f>Study!CG489</f>
        <v>سكني - نسبة الإشغال</v>
      </c>
      <c r="C490" s="154">
        <f>Study!CH489</f>
        <v>0</v>
      </c>
      <c r="D490" s="66" t="str">
        <f>Study!CI489</f>
        <v>التأجير اليومي - سكني</v>
      </c>
      <c r="E490" s="68" t="str">
        <f>Study!CJ489</f>
        <v>S147</v>
      </c>
      <c r="F490" s="66" t="str">
        <f>Study!CK489</f>
        <v>نسبة مئوية</v>
      </c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2">
      <c r="A491" s="73">
        <f>Study!CF490</f>
        <v>428</v>
      </c>
      <c r="B491" s="74" t="str">
        <f>Study!CG490</f>
        <v>سكني - عدد الوحدات المشغولة سنوياً</v>
      </c>
      <c r="C491" s="246">
        <f>Study!CH490</f>
        <v>0</v>
      </c>
      <c r="D491" s="74" t="str">
        <f>Study!CI490</f>
        <v>التأجير اليومي - سكني</v>
      </c>
      <c r="E491" s="76" t="str">
        <f>Study!CJ490</f>
        <v>T147</v>
      </c>
      <c r="F491" s="74" t="str">
        <f>Study!CK490</f>
        <v>ليلة</v>
      </c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2">
      <c r="A492" s="65">
        <f>Study!CF491</f>
        <v>429</v>
      </c>
      <c r="B492" s="66" t="str">
        <f>Study!CG491</f>
        <v>سكني - متوسط السعر اليومي</v>
      </c>
      <c r="C492" s="88">
        <f>Study!CH491</f>
        <v>0</v>
      </c>
      <c r="D492" s="66" t="str">
        <f>Study!CI491</f>
        <v>التأجير اليومي - سكني</v>
      </c>
      <c r="E492" s="68" t="str">
        <f>Study!CJ491</f>
        <v>U147</v>
      </c>
      <c r="F492" s="66" t="str">
        <f>Study!CK491</f>
        <v>ريال</v>
      </c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2">
      <c r="A493" s="73">
        <f>Study!CF492</f>
        <v>430</v>
      </c>
      <c r="B493" s="74" t="str">
        <f>Study!CG492</f>
        <v>سكني - الإيراد الفعلي للوحدة السنوي</v>
      </c>
      <c r="C493" s="93">
        <f>Study!CH492</f>
        <v>0</v>
      </c>
      <c r="D493" s="74" t="str">
        <f>Study!CI492</f>
        <v>التأجير اليومي - سكني</v>
      </c>
      <c r="E493" s="76" t="str">
        <f>Study!CJ492</f>
        <v>V147</v>
      </c>
      <c r="F493" s="74" t="str">
        <f>Study!CK492</f>
        <v>ريال سعودي</v>
      </c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2">
      <c r="A494" s="65">
        <f>Study!CF493</f>
        <v>431</v>
      </c>
      <c r="B494" s="66" t="str">
        <f>Study!CG493</f>
        <v>سكني - نسبة إيرادات الأنشطة الإضافية</v>
      </c>
      <c r="C494" s="154">
        <f>Study!CH493</f>
        <v>0</v>
      </c>
      <c r="D494" s="66" t="str">
        <f>Study!CI493</f>
        <v>التأجير اليومي - سكني</v>
      </c>
      <c r="E494" s="68" t="str">
        <f>Study!CJ493</f>
        <v>W147</v>
      </c>
      <c r="F494" s="66" t="str">
        <f>Study!CK493</f>
        <v>نسبة مئوية</v>
      </c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2">
      <c r="A495" s="73">
        <f>Study!CF494</f>
        <v>432</v>
      </c>
      <c r="B495" s="74" t="str">
        <f>Study!CG494</f>
        <v>سكني - إجمالي الإيرادات</v>
      </c>
      <c r="C495" s="93">
        <f>Study!CH494</f>
        <v>0</v>
      </c>
      <c r="D495" s="74" t="str">
        <f>Study!CI494</f>
        <v>التأجير اليومي - سكني</v>
      </c>
      <c r="E495" s="76" t="str">
        <f>Study!CJ494</f>
        <v>X147</v>
      </c>
      <c r="F495" s="74" t="str">
        <f>Study!CK494</f>
        <v>ريال سعودي</v>
      </c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2">
      <c r="A496" s="65">
        <f>Study!CF495</f>
        <v>433</v>
      </c>
      <c r="B496" s="66" t="str">
        <f>Study!CG495</f>
        <v>سكني - التكاليف التشغيلية والإدارية</v>
      </c>
      <c r="C496" s="88">
        <f>Study!CH495</f>
        <v>0</v>
      </c>
      <c r="D496" s="66" t="str">
        <f>Study!CI495</f>
        <v>التأجير اليومي - سكني</v>
      </c>
      <c r="E496" s="68" t="str">
        <f>Study!CJ495</f>
        <v>Y147</v>
      </c>
      <c r="F496" s="66" t="str">
        <f>Study!CK495</f>
        <v>ريال سعودي</v>
      </c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2">
      <c r="A497" s="73">
        <f>Study!CF496</f>
        <v>434</v>
      </c>
      <c r="B497" s="74" t="str">
        <f>Study!CG496</f>
        <v>سكني - فترة استرداد رأس المال</v>
      </c>
      <c r="C497" s="221">
        <f>Study!CH496</f>
        <v>0</v>
      </c>
      <c r="D497" s="74" t="str">
        <f>Study!CI496</f>
        <v>التأجير اليومي - سكني</v>
      </c>
      <c r="E497" s="76" t="str">
        <f>Study!CJ496</f>
        <v>Z147</v>
      </c>
      <c r="F497" s="74" t="str">
        <f>Study!CK496</f>
        <v>سنة</v>
      </c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2">
      <c r="A498" s="65">
        <f>Study!CF497</f>
        <v>435</v>
      </c>
      <c r="B498" s="66" t="str">
        <f>Study!CG497</f>
        <v>سكني - العائد على التكلفة السنوي</v>
      </c>
      <c r="C498" s="154">
        <f>Study!CH497</f>
        <v>0</v>
      </c>
      <c r="D498" s="66" t="str">
        <f>Study!CI497</f>
        <v>التأجير اليومي - سكني</v>
      </c>
      <c r="E498" s="68" t="str">
        <f>Study!CJ497</f>
        <v>AA147</v>
      </c>
      <c r="F498" s="66" t="str">
        <f>Study!CK497</f>
        <v>نسبة مئوية</v>
      </c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" x14ac:dyDescent="0.2">
      <c r="A499" s="455" t="str">
        <f>Study!CF498</f>
        <v>▌ التأجير اليومي - فلل</v>
      </c>
      <c r="B499" s="455">
        <f>Study!CG498</f>
        <v>0</v>
      </c>
      <c r="C499" s="455">
        <f>Study!CH498</f>
        <v>0</v>
      </c>
      <c r="D499" s="455">
        <f>Study!CI498</f>
        <v>0</v>
      </c>
      <c r="E499" s="455">
        <f>Study!CJ498</f>
        <v>0</v>
      </c>
      <c r="F499" s="455">
        <f>Study!CK498</f>
        <v>0</v>
      </c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2">
      <c r="A500" s="73">
        <f>Study!CF499</f>
        <v>436</v>
      </c>
      <c r="B500" s="74" t="str">
        <f>Study!CG499</f>
        <v>فلل - عدد الوحدات</v>
      </c>
      <c r="C500" s="246">
        <f>Study!CH499</f>
        <v>0</v>
      </c>
      <c r="D500" s="74" t="str">
        <f>Study!CI499</f>
        <v>التأجير اليومي - فلل</v>
      </c>
      <c r="E500" s="76" t="str">
        <f>Study!CJ499</f>
        <v>R148</v>
      </c>
      <c r="F500" s="74" t="str">
        <f>Study!CK499</f>
        <v>وحدة</v>
      </c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2">
      <c r="A501" s="65">
        <f>Study!CF500</f>
        <v>437</v>
      </c>
      <c r="B501" s="66" t="str">
        <f>Study!CG500</f>
        <v>فلل - نسبة الإشغال</v>
      </c>
      <c r="C501" s="154">
        <f>Study!CH500</f>
        <v>0</v>
      </c>
      <c r="D501" s="66" t="str">
        <f>Study!CI500</f>
        <v>التأجير اليومي - فلل</v>
      </c>
      <c r="E501" s="68" t="str">
        <f>Study!CJ500</f>
        <v>S148</v>
      </c>
      <c r="F501" s="66" t="str">
        <f>Study!CK500</f>
        <v>نسبة مئوية</v>
      </c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2">
      <c r="A502" s="73">
        <f>Study!CF501</f>
        <v>438</v>
      </c>
      <c r="B502" s="74" t="str">
        <f>Study!CG501</f>
        <v>فلل - عدد الوحدات المشغولة سنوياً</v>
      </c>
      <c r="C502" s="246">
        <f>Study!CH501</f>
        <v>0</v>
      </c>
      <c r="D502" s="74" t="str">
        <f>Study!CI501</f>
        <v>التأجير اليومي - فلل</v>
      </c>
      <c r="E502" s="76" t="str">
        <f>Study!CJ501</f>
        <v>T148</v>
      </c>
      <c r="F502" s="74" t="str">
        <f>Study!CK501</f>
        <v>ليلة</v>
      </c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2">
      <c r="A503" s="65">
        <f>Study!CF502</f>
        <v>439</v>
      </c>
      <c r="B503" s="66" t="str">
        <f>Study!CG502</f>
        <v>فلل - متوسط السعر اليومي</v>
      </c>
      <c r="C503" s="88">
        <f>Study!CH502</f>
        <v>0</v>
      </c>
      <c r="D503" s="66" t="str">
        <f>Study!CI502</f>
        <v>التأجير اليومي - فلل</v>
      </c>
      <c r="E503" s="68" t="str">
        <f>Study!CJ502</f>
        <v>U148</v>
      </c>
      <c r="F503" s="66" t="str">
        <f>Study!CK502</f>
        <v>ريال</v>
      </c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2">
      <c r="A504" s="73">
        <f>Study!CF503</f>
        <v>440</v>
      </c>
      <c r="B504" s="74" t="str">
        <f>Study!CG503</f>
        <v>فلل - الإيراد الفعلي للوحدة السنوي</v>
      </c>
      <c r="C504" s="93" t="str">
        <f>Study!CH503</f>
        <v>0</v>
      </c>
      <c r="D504" s="74" t="str">
        <f>Study!CI503</f>
        <v>التأجير اليومي - فلل</v>
      </c>
      <c r="E504" s="76" t="str">
        <f>Study!CJ503</f>
        <v>V148</v>
      </c>
      <c r="F504" s="74" t="str">
        <f>Study!CK503</f>
        <v>ريال سعودي</v>
      </c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2">
      <c r="A505" s="65">
        <f>Study!CF504</f>
        <v>441</v>
      </c>
      <c r="B505" s="66" t="str">
        <f>Study!CG504</f>
        <v>فلل - نسبة إيرادات الأنشطة الإضافية</v>
      </c>
      <c r="C505" s="154">
        <f>Study!CH504</f>
        <v>0</v>
      </c>
      <c r="D505" s="66" t="str">
        <f>Study!CI504</f>
        <v>التأجير اليومي - فلل</v>
      </c>
      <c r="E505" s="68" t="str">
        <f>Study!CJ504</f>
        <v>W148</v>
      </c>
      <c r="F505" s="66" t="str">
        <f>Study!CK504</f>
        <v>نسبة مئوية</v>
      </c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2">
      <c r="A506" s="73">
        <f>Study!CF505</f>
        <v>442</v>
      </c>
      <c r="B506" s="74" t="str">
        <f>Study!CG505</f>
        <v>فلل - إجمالي الإيرادات</v>
      </c>
      <c r="C506" s="93">
        <f>Study!CH505</f>
        <v>0</v>
      </c>
      <c r="D506" s="74" t="str">
        <f>Study!CI505</f>
        <v>التأجير اليومي - فلل</v>
      </c>
      <c r="E506" s="76" t="str">
        <f>Study!CJ505</f>
        <v>X148</v>
      </c>
      <c r="F506" s="74" t="str">
        <f>Study!CK505</f>
        <v>ريال سعودي</v>
      </c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2">
      <c r="A507" s="65">
        <f>Study!CF506</f>
        <v>443</v>
      </c>
      <c r="B507" s="66" t="str">
        <f>Study!CG506</f>
        <v>فلل - التكاليف التشغيلية والإدارية</v>
      </c>
      <c r="C507" s="88">
        <f>Study!CH506</f>
        <v>0</v>
      </c>
      <c r="D507" s="66" t="str">
        <f>Study!CI506</f>
        <v>التأجير اليومي - فلل</v>
      </c>
      <c r="E507" s="68" t="str">
        <f>Study!CJ506</f>
        <v>Y148</v>
      </c>
      <c r="F507" s="66" t="str">
        <f>Study!CK506</f>
        <v>ريال سعودي</v>
      </c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2">
      <c r="A508" s="73">
        <f>Study!CF507</f>
        <v>444</v>
      </c>
      <c r="B508" s="74" t="str">
        <f>Study!CG507</f>
        <v>فلل - فترة استرداد رأس المال</v>
      </c>
      <c r="C508" s="221">
        <f>Study!CH507</f>
        <v>0</v>
      </c>
      <c r="D508" s="74" t="str">
        <f>Study!CI507</f>
        <v>التأجير اليومي - فلل</v>
      </c>
      <c r="E508" s="76" t="str">
        <f>Study!CJ507</f>
        <v>Z148</v>
      </c>
      <c r="F508" s="74" t="str">
        <f>Study!CK507</f>
        <v>سنة</v>
      </c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2">
      <c r="A509" s="65">
        <f>Study!CF508</f>
        <v>445</v>
      </c>
      <c r="B509" s="66" t="str">
        <f>Study!CG508</f>
        <v>فلل - العائد على التكلفة السنوي</v>
      </c>
      <c r="C509" s="154" t="str">
        <f>Study!CH508</f>
        <v>0.00%</v>
      </c>
      <c r="D509" s="66" t="str">
        <f>Study!CI508</f>
        <v>التأجير اليومي - فلل</v>
      </c>
      <c r="E509" s="68" t="str">
        <f>Study!CJ508</f>
        <v>AA148</v>
      </c>
      <c r="F509" s="66" t="str">
        <f>Study!CK508</f>
        <v>نسبة مئوية</v>
      </c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" x14ac:dyDescent="0.2">
      <c r="A510" s="455" t="str">
        <f>Study!CF509</f>
        <v>▌ التأجير اليومي - تاون هاوس</v>
      </c>
      <c r="B510" s="455">
        <f>Study!CG509</f>
        <v>0</v>
      </c>
      <c r="C510" s="455">
        <f>Study!CH509</f>
        <v>0</v>
      </c>
      <c r="D510" s="455">
        <f>Study!CI509</f>
        <v>0</v>
      </c>
      <c r="E510" s="455">
        <f>Study!CJ509</f>
        <v>0</v>
      </c>
      <c r="F510" s="455">
        <f>Study!CK509</f>
        <v>0</v>
      </c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2">
      <c r="A511" s="73">
        <f>Study!CF510</f>
        <v>446</v>
      </c>
      <c r="B511" s="74" t="str">
        <f>Study!CG510</f>
        <v>تاون هاوس - عدد الوحدات</v>
      </c>
      <c r="C511" s="246">
        <f>Study!CH510</f>
        <v>0</v>
      </c>
      <c r="D511" s="74" t="str">
        <f>Study!CI510</f>
        <v>التأجير اليومي - تاون هاوس</v>
      </c>
      <c r="E511" s="76" t="str">
        <f>Study!CJ510</f>
        <v>R149</v>
      </c>
      <c r="F511" s="74" t="str">
        <f>Study!CK510</f>
        <v>وحدة</v>
      </c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2">
      <c r="A512" s="65">
        <f>Study!CF511</f>
        <v>447</v>
      </c>
      <c r="B512" s="66" t="str">
        <f>Study!CG511</f>
        <v>تاون هاوس - نسبة الإشغال</v>
      </c>
      <c r="C512" s="154">
        <f>Study!CH511</f>
        <v>0</v>
      </c>
      <c r="D512" s="66" t="str">
        <f>Study!CI511</f>
        <v>التأجير اليومي - تاون هاوس</v>
      </c>
      <c r="E512" s="68" t="str">
        <f>Study!CJ511</f>
        <v>S149</v>
      </c>
      <c r="F512" s="66" t="str">
        <f>Study!CK511</f>
        <v>نسبة مئوية</v>
      </c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2">
      <c r="A513" s="73">
        <f>Study!CF512</f>
        <v>448</v>
      </c>
      <c r="B513" s="74" t="str">
        <f>Study!CG512</f>
        <v>تاون هاوس - عدد الوحدات المشغولة سنوياً</v>
      </c>
      <c r="C513" s="246">
        <f>Study!CH512</f>
        <v>0</v>
      </c>
      <c r="D513" s="74" t="str">
        <f>Study!CI512</f>
        <v>التأجير اليومي - تاون هاوس</v>
      </c>
      <c r="E513" s="76" t="str">
        <f>Study!CJ512</f>
        <v>T149</v>
      </c>
      <c r="F513" s="74" t="str">
        <f>Study!CK512</f>
        <v>ليلة</v>
      </c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2">
      <c r="A514" s="65">
        <f>Study!CF513</f>
        <v>449</v>
      </c>
      <c r="B514" s="66" t="str">
        <f>Study!CG513</f>
        <v>تاون هاوس - متوسط السعر اليومي</v>
      </c>
      <c r="C514" s="88">
        <f>Study!CH513</f>
        <v>0</v>
      </c>
      <c r="D514" s="66" t="str">
        <f>Study!CI513</f>
        <v>التأجير اليومي - تاون هاوس</v>
      </c>
      <c r="E514" s="68" t="str">
        <f>Study!CJ513</f>
        <v>U149</v>
      </c>
      <c r="F514" s="66" t="str">
        <f>Study!CK513</f>
        <v>ريال</v>
      </c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2">
      <c r="A515" s="73">
        <f>Study!CF514</f>
        <v>450</v>
      </c>
      <c r="B515" s="74" t="str">
        <f>Study!CG514</f>
        <v>تاون هاوس - الإيراد الفعلي للوحدة السنوي</v>
      </c>
      <c r="C515" s="93" t="str">
        <f>Study!CH514</f>
        <v>0</v>
      </c>
      <c r="D515" s="74" t="str">
        <f>Study!CI514</f>
        <v>التأجير اليومي - تاون هاوس</v>
      </c>
      <c r="E515" s="76" t="str">
        <f>Study!CJ514</f>
        <v>V149</v>
      </c>
      <c r="F515" s="74" t="str">
        <f>Study!CK514</f>
        <v>ريال سعودي</v>
      </c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2">
      <c r="A516" s="65">
        <f>Study!CF515</f>
        <v>451</v>
      </c>
      <c r="B516" s="66" t="str">
        <f>Study!CG515</f>
        <v>تاون هاوس - نسبة إيرادات الأنشطة الإضافية</v>
      </c>
      <c r="C516" s="154">
        <f>Study!CH515</f>
        <v>0</v>
      </c>
      <c r="D516" s="66" t="str">
        <f>Study!CI515</f>
        <v>التأجير اليومي - تاون هاوس</v>
      </c>
      <c r="E516" s="68" t="str">
        <f>Study!CJ515</f>
        <v>W149</v>
      </c>
      <c r="F516" s="66" t="str">
        <f>Study!CK515</f>
        <v>نسبة مئوية</v>
      </c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2">
      <c r="A517" s="73">
        <f>Study!CF516</f>
        <v>452</v>
      </c>
      <c r="B517" s="74" t="str">
        <f>Study!CG516</f>
        <v>تاون هاوس - إجمالي الإيرادات</v>
      </c>
      <c r="C517" s="93">
        <f>Study!CH516</f>
        <v>0</v>
      </c>
      <c r="D517" s="74" t="str">
        <f>Study!CI516</f>
        <v>التأجير اليومي - تاون هاوس</v>
      </c>
      <c r="E517" s="76" t="str">
        <f>Study!CJ516</f>
        <v>X149</v>
      </c>
      <c r="F517" s="74" t="str">
        <f>Study!CK516</f>
        <v>ريال سعودي</v>
      </c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2">
      <c r="A518" s="65">
        <f>Study!CF517</f>
        <v>453</v>
      </c>
      <c r="B518" s="66" t="str">
        <f>Study!CG517</f>
        <v>تاون هاوس - التكاليف التشغيلية والإدارية</v>
      </c>
      <c r="C518" s="88">
        <f>Study!CH517</f>
        <v>0</v>
      </c>
      <c r="D518" s="66" t="str">
        <f>Study!CI517</f>
        <v>التأجير اليومي - تاون هاوس</v>
      </c>
      <c r="E518" s="68" t="str">
        <f>Study!CJ517</f>
        <v>Y149</v>
      </c>
      <c r="F518" s="66" t="str">
        <f>Study!CK517</f>
        <v>ريال سعودي</v>
      </c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2">
      <c r="A519" s="73">
        <f>Study!CF518</f>
        <v>454</v>
      </c>
      <c r="B519" s="74" t="str">
        <f>Study!CG518</f>
        <v>تاون هاوس - فترة استرداد رأس المال</v>
      </c>
      <c r="C519" s="221">
        <f>Study!CH518</f>
        <v>0</v>
      </c>
      <c r="D519" s="74" t="str">
        <f>Study!CI518</f>
        <v>التأجير اليومي - تاون هاوس</v>
      </c>
      <c r="E519" s="76" t="str">
        <f>Study!CJ518</f>
        <v>Z149</v>
      </c>
      <c r="F519" s="74" t="str">
        <f>Study!CK518</f>
        <v>سنة</v>
      </c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2">
      <c r="A520" s="65">
        <f>Study!CF519</f>
        <v>455</v>
      </c>
      <c r="B520" s="66" t="str">
        <f>Study!CG519</f>
        <v>تاون هاوس - العائد على التكلفة السنوي</v>
      </c>
      <c r="C520" s="154" t="str">
        <f>Study!CH519</f>
        <v>0.00%</v>
      </c>
      <c r="D520" s="66" t="str">
        <f>Study!CI519</f>
        <v>التأجير اليومي - تاون هاوس</v>
      </c>
      <c r="E520" s="68" t="str">
        <f>Study!CJ519</f>
        <v>AA149</v>
      </c>
      <c r="F520" s="66" t="str">
        <f>Study!CK519</f>
        <v>نسبة مئوية</v>
      </c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" x14ac:dyDescent="0.2">
      <c r="A521" s="455" t="str">
        <f>Study!CF520</f>
        <v>▌ التأجير اليومي - أدوار</v>
      </c>
      <c r="B521" s="455">
        <f>Study!CG520</f>
        <v>0</v>
      </c>
      <c r="C521" s="455">
        <f>Study!CH520</f>
        <v>0</v>
      </c>
      <c r="D521" s="455">
        <f>Study!CI520</f>
        <v>0</v>
      </c>
      <c r="E521" s="455">
        <f>Study!CJ520</f>
        <v>0</v>
      </c>
      <c r="F521" s="455">
        <f>Study!CK520</f>
        <v>0</v>
      </c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2">
      <c r="A522" s="73">
        <f>Study!CF521</f>
        <v>456</v>
      </c>
      <c r="B522" s="74" t="str">
        <f>Study!CG521</f>
        <v>أدوار - عدد الوحدات</v>
      </c>
      <c r="C522" s="246">
        <f>Study!CH521</f>
        <v>0</v>
      </c>
      <c r="D522" s="74" t="str">
        <f>Study!CI521</f>
        <v>التأجير اليومي - أدوار</v>
      </c>
      <c r="E522" s="76" t="str">
        <f>Study!CJ521</f>
        <v>R150</v>
      </c>
      <c r="F522" s="74" t="str">
        <f>Study!CK521</f>
        <v>وحدة</v>
      </c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2">
      <c r="A523" s="65">
        <f>Study!CF522</f>
        <v>457</v>
      </c>
      <c r="B523" s="66" t="str">
        <f>Study!CG522</f>
        <v>أدوار - نسبة الإشغال</v>
      </c>
      <c r="C523" s="154">
        <f>Study!CH522</f>
        <v>0</v>
      </c>
      <c r="D523" s="66" t="str">
        <f>Study!CI522</f>
        <v>التأجير اليومي - أدوار</v>
      </c>
      <c r="E523" s="68" t="str">
        <f>Study!CJ522</f>
        <v>S150</v>
      </c>
      <c r="F523" s="66" t="str">
        <f>Study!CK522</f>
        <v>نسبة مئوية</v>
      </c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2">
      <c r="A524" s="73">
        <f>Study!CF523</f>
        <v>458</v>
      </c>
      <c r="B524" s="74" t="str">
        <f>Study!CG523</f>
        <v>أدوار - عدد الوحدات المشغولة سنوياً</v>
      </c>
      <c r="C524" s="246">
        <f>Study!CH523</f>
        <v>0</v>
      </c>
      <c r="D524" s="74" t="str">
        <f>Study!CI523</f>
        <v>التأجير اليومي - أدوار</v>
      </c>
      <c r="E524" s="76" t="str">
        <f>Study!CJ523</f>
        <v>T150</v>
      </c>
      <c r="F524" s="74" t="str">
        <f>Study!CK523</f>
        <v>ليلة</v>
      </c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2">
      <c r="A525" s="65">
        <f>Study!CF524</f>
        <v>459</v>
      </c>
      <c r="B525" s="66" t="str">
        <f>Study!CG524</f>
        <v>أدوار - متوسط السعر اليومي</v>
      </c>
      <c r="C525" s="88">
        <f>Study!CH524</f>
        <v>0</v>
      </c>
      <c r="D525" s="66" t="str">
        <f>Study!CI524</f>
        <v>التأجير اليومي - أدوار</v>
      </c>
      <c r="E525" s="68" t="str">
        <f>Study!CJ524</f>
        <v>U150</v>
      </c>
      <c r="F525" s="66" t="str">
        <f>Study!CK524</f>
        <v>ريال</v>
      </c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2">
      <c r="A526" s="73">
        <f>Study!CF525</f>
        <v>460</v>
      </c>
      <c r="B526" s="74" t="str">
        <f>Study!CG525</f>
        <v>أدوار - الإيراد الفعلي للوحدة السنوي</v>
      </c>
      <c r="C526" s="93" t="str">
        <f>Study!CH525</f>
        <v>0</v>
      </c>
      <c r="D526" s="74" t="str">
        <f>Study!CI525</f>
        <v>التأجير اليومي - أدوار</v>
      </c>
      <c r="E526" s="76" t="str">
        <f>Study!CJ525</f>
        <v>V150</v>
      </c>
      <c r="F526" s="74" t="str">
        <f>Study!CK525</f>
        <v>ريال سعودي</v>
      </c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2">
      <c r="A527" s="65">
        <f>Study!CF526</f>
        <v>461</v>
      </c>
      <c r="B527" s="66" t="str">
        <f>Study!CG526</f>
        <v>أدوار - نسبة إيرادات الأنشطة الإضافية</v>
      </c>
      <c r="C527" s="154">
        <f>Study!CH526</f>
        <v>0</v>
      </c>
      <c r="D527" s="66" t="str">
        <f>Study!CI526</f>
        <v>التأجير اليومي - أدوار</v>
      </c>
      <c r="E527" s="68" t="str">
        <f>Study!CJ526</f>
        <v>W150</v>
      </c>
      <c r="F527" s="66" t="str">
        <f>Study!CK526</f>
        <v>نسبة مئوية</v>
      </c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2">
      <c r="A528" s="73">
        <f>Study!CF527</f>
        <v>462</v>
      </c>
      <c r="B528" s="74" t="str">
        <f>Study!CG527</f>
        <v>أدوار - إجمالي الإيرادات</v>
      </c>
      <c r="C528" s="93">
        <f>Study!CH527</f>
        <v>0</v>
      </c>
      <c r="D528" s="74" t="str">
        <f>Study!CI527</f>
        <v>التأجير اليومي - أدوار</v>
      </c>
      <c r="E528" s="76" t="str">
        <f>Study!CJ527</f>
        <v>X150</v>
      </c>
      <c r="F528" s="74" t="str">
        <f>Study!CK527</f>
        <v>ريال سعودي</v>
      </c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2">
      <c r="A529" s="65">
        <f>Study!CF528</f>
        <v>463</v>
      </c>
      <c r="B529" s="66" t="str">
        <f>Study!CG528</f>
        <v>أدوار - التكاليف التشغيلية والإدارية</v>
      </c>
      <c r="C529" s="88">
        <f>Study!CH528</f>
        <v>0</v>
      </c>
      <c r="D529" s="66" t="str">
        <f>Study!CI528</f>
        <v>التأجير اليومي - أدوار</v>
      </c>
      <c r="E529" s="68" t="str">
        <f>Study!CJ528</f>
        <v>Y150</v>
      </c>
      <c r="F529" s="66" t="str">
        <f>Study!CK528</f>
        <v>ريال سعودي</v>
      </c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2">
      <c r="A530" s="73">
        <f>Study!CF529</f>
        <v>464</v>
      </c>
      <c r="B530" s="74" t="str">
        <f>Study!CG529</f>
        <v>أدوار - فترة استرداد رأس المال</v>
      </c>
      <c r="C530" s="221">
        <f>Study!CH529</f>
        <v>0</v>
      </c>
      <c r="D530" s="74" t="str">
        <f>Study!CI529</f>
        <v>التأجير اليومي - أدوار</v>
      </c>
      <c r="E530" s="76" t="str">
        <f>Study!CJ529</f>
        <v>Z150</v>
      </c>
      <c r="F530" s="74" t="str">
        <f>Study!CK529</f>
        <v>سنة</v>
      </c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2">
      <c r="A531" s="65">
        <f>Study!CF530</f>
        <v>465</v>
      </c>
      <c r="B531" s="66" t="str">
        <f>Study!CG530</f>
        <v>أدوار - العائد على التكلفة السنوي</v>
      </c>
      <c r="C531" s="154" t="str">
        <f>Study!CH530</f>
        <v>0.00%</v>
      </c>
      <c r="D531" s="66" t="str">
        <f>Study!CI530</f>
        <v>التأجير اليومي - أدوار</v>
      </c>
      <c r="E531" s="68" t="str">
        <f>Study!CJ530</f>
        <v>AA150</v>
      </c>
      <c r="F531" s="66" t="str">
        <f>Study!CK530</f>
        <v>نسبة مئوية</v>
      </c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" x14ac:dyDescent="0.2">
      <c r="A532" s="455" t="str">
        <f>Study!CF531</f>
        <v>▌ التأجير اليومي - أستوديوهات</v>
      </c>
      <c r="B532" s="455">
        <f>Study!CG531</f>
        <v>0</v>
      </c>
      <c r="C532" s="455">
        <f>Study!CH531</f>
        <v>0</v>
      </c>
      <c r="D532" s="455">
        <f>Study!CI531</f>
        <v>0</v>
      </c>
      <c r="E532" s="455">
        <f>Study!CJ531</f>
        <v>0</v>
      </c>
      <c r="F532" s="455">
        <f>Study!CK531</f>
        <v>0</v>
      </c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2">
      <c r="A533" s="73">
        <f>Study!CF532</f>
        <v>466</v>
      </c>
      <c r="B533" s="74" t="str">
        <f>Study!CG532</f>
        <v>أستوديوهات - عدد الوحدات</v>
      </c>
      <c r="C533" s="246">
        <f>Study!CH532</f>
        <v>99</v>
      </c>
      <c r="D533" s="74" t="str">
        <f>Study!CI532</f>
        <v>التأجير اليومي - أستوديوهات</v>
      </c>
      <c r="E533" s="76" t="str">
        <f>Study!CJ532</f>
        <v>R151</v>
      </c>
      <c r="F533" s="74" t="str">
        <f>Study!CK532</f>
        <v>وحدة</v>
      </c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2">
      <c r="A534" s="65">
        <f>Study!CF533</f>
        <v>467</v>
      </c>
      <c r="B534" s="66" t="str">
        <f>Study!CG533</f>
        <v>أستوديوهات - نسبة الإشغال</v>
      </c>
      <c r="C534" s="154">
        <f>Study!CH533</f>
        <v>0.7</v>
      </c>
      <c r="D534" s="66" t="str">
        <f>Study!CI533</f>
        <v>التأجير اليومي - أستوديوهات</v>
      </c>
      <c r="E534" s="68" t="str">
        <f>Study!CJ533</f>
        <v>S151</v>
      </c>
      <c r="F534" s="66" t="str">
        <f>Study!CK533</f>
        <v>نسبة مئوية</v>
      </c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2">
      <c r="A535" s="73">
        <f>Study!CF534</f>
        <v>468</v>
      </c>
      <c r="B535" s="74" t="str">
        <f>Study!CG534</f>
        <v>أستوديوهات - عدد الوحدات المشغولة سنوياً</v>
      </c>
      <c r="C535" s="246">
        <f>Study!CH534</f>
        <v>25294.5</v>
      </c>
      <c r="D535" s="74" t="str">
        <f>Study!CI534</f>
        <v>التأجير اليومي - أستوديوهات</v>
      </c>
      <c r="E535" s="76" t="str">
        <f>Study!CJ534</f>
        <v>T151</v>
      </c>
      <c r="F535" s="74" t="str">
        <f>Study!CK534</f>
        <v>ليلة</v>
      </c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2">
      <c r="A536" s="65">
        <f>Study!CF535</f>
        <v>469</v>
      </c>
      <c r="B536" s="66" t="str">
        <f>Study!CG535</f>
        <v>أستوديوهات - متوسط السعر اليومي</v>
      </c>
      <c r="C536" s="88">
        <f>Study!CH535</f>
        <v>400</v>
      </c>
      <c r="D536" s="66" t="str">
        <f>Study!CI535</f>
        <v>التأجير اليومي - أستوديوهات</v>
      </c>
      <c r="E536" s="68" t="str">
        <f>Study!CJ535</f>
        <v>U151</v>
      </c>
      <c r="F536" s="66" t="str">
        <f>Study!CK535</f>
        <v>ريال</v>
      </c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2">
      <c r="A537" s="73">
        <f>Study!CF536</f>
        <v>470</v>
      </c>
      <c r="B537" s="74" t="str">
        <f>Study!CG536</f>
        <v>أستوديوهات - الإيراد الفعلي للوحدة السنوي</v>
      </c>
      <c r="C537" s="93">
        <f>Study!CH536</f>
        <v>102200</v>
      </c>
      <c r="D537" s="74" t="str">
        <f>Study!CI536</f>
        <v>التأجير اليومي - أستوديوهات</v>
      </c>
      <c r="E537" s="76" t="str">
        <f>Study!CJ536</f>
        <v>V151</v>
      </c>
      <c r="F537" s="74" t="str">
        <f>Study!CK536</f>
        <v>ريال سعودي</v>
      </c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2">
      <c r="A538" s="65">
        <f>Study!CF537</f>
        <v>471</v>
      </c>
      <c r="B538" s="66" t="str">
        <f>Study!CG537</f>
        <v>أستوديوهات - نسبة إيرادات الأنشطة الإضافية</v>
      </c>
      <c r="C538" s="154">
        <f>Study!CH537</f>
        <v>0</v>
      </c>
      <c r="D538" s="66" t="str">
        <f>Study!CI537</f>
        <v>التأجير اليومي - أستوديوهات</v>
      </c>
      <c r="E538" s="68" t="str">
        <f>Study!CJ537</f>
        <v>W151</v>
      </c>
      <c r="F538" s="66" t="str">
        <f>Study!CK537</f>
        <v>نسبة مئوية</v>
      </c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2">
      <c r="A539" s="73">
        <f>Study!CF538</f>
        <v>472</v>
      </c>
      <c r="B539" s="74" t="str">
        <f>Study!CG538</f>
        <v>أستوديوهات - إجمالي الإيرادات</v>
      </c>
      <c r="C539" s="93">
        <f>Study!CH538</f>
        <v>10117800</v>
      </c>
      <c r="D539" s="74" t="str">
        <f>Study!CI538</f>
        <v>التأجير اليومي - أستوديوهات</v>
      </c>
      <c r="E539" s="76" t="str">
        <f>Study!CJ538</f>
        <v>X151</v>
      </c>
      <c r="F539" s="74" t="str">
        <f>Study!CK538</f>
        <v>ريال سعودي</v>
      </c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2">
      <c r="A540" s="65">
        <f>Study!CF539</f>
        <v>473</v>
      </c>
      <c r="B540" s="66" t="str">
        <f>Study!CG539</f>
        <v>أستوديوهات - التكاليف التشغيلية والإدارية</v>
      </c>
      <c r="C540" s="88">
        <f>Study!CH539</f>
        <v>2529450</v>
      </c>
      <c r="D540" s="66" t="str">
        <f>Study!CI539</f>
        <v>التأجير اليومي - أستوديوهات</v>
      </c>
      <c r="E540" s="68" t="str">
        <f>Study!CJ539</f>
        <v>Y151</v>
      </c>
      <c r="F540" s="66" t="str">
        <f>Study!CK539</f>
        <v>ريال سعودي</v>
      </c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2">
      <c r="A541" s="73">
        <f>Study!CF540</f>
        <v>474</v>
      </c>
      <c r="B541" s="74" t="str">
        <f>Study!CG540</f>
        <v>أستوديوهات - فترة استرداد رأس المال</v>
      </c>
      <c r="C541" s="221">
        <f>Study!CH540</f>
        <v>8.7160408563316647</v>
      </c>
      <c r="D541" s="74" t="str">
        <f>Study!CI540</f>
        <v>التأجير اليومي - أستوديوهات</v>
      </c>
      <c r="E541" s="76" t="str">
        <f>Study!CJ540</f>
        <v>Z151</v>
      </c>
      <c r="F541" s="74" t="str">
        <f>Study!CK540</f>
        <v>سنة</v>
      </c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2">
      <c r="A542" s="65">
        <f>Study!CF541</f>
        <v>475</v>
      </c>
      <c r="B542" s="66" t="str">
        <f>Study!CG541</f>
        <v>أستوديوهات - العائد على التكلفة السنوي</v>
      </c>
      <c r="C542" s="154">
        <f>Study!CH541</f>
        <v>0.11473099042136337</v>
      </c>
      <c r="D542" s="66" t="str">
        <f>Study!CI541</f>
        <v>التأجير اليومي - أستوديوهات</v>
      </c>
      <c r="E542" s="68" t="str">
        <f>Study!CJ541</f>
        <v>AA151</v>
      </c>
      <c r="F542" s="66" t="str">
        <f>Study!CK541</f>
        <v>نسبة مئوية</v>
      </c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" x14ac:dyDescent="0.2">
      <c r="A543" s="455" t="str">
        <f>Study!CF542</f>
        <v>▌ التأجير اليومي - مكتبي</v>
      </c>
      <c r="B543" s="455">
        <f>Study!CG542</f>
        <v>0</v>
      </c>
      <c r="C543" s="455">
        <f>Study!CH542</f>
        <v>0</v>
      </c>
      <c r="D543" s="455">
        <f>Study!CI542</f>
        <v>0</v>
      </c>
      <c r="E543" s="455">
        <f>Study!CJ542</f>
        <v>0</v>
      </c>
      <c r="F543" s="455">
        <f>Study!CK542</f>
        <v>0</v>
      </c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2">
      <c r="A544" s="73">
        <f>Study!CF543</f>
        <v>476</v>
      </c>
      <c r="B544" s="74" t="str">
        <f>Study!CG543</f>
        <v>مكتبي - عدد الوحدات</v>
      </c>
      <c r="C544" s="246">
        <f>Study!CH543</f>
        <v>0</v>
      </c>
      <c r="D544" s="74" t="str">
        <f>Study!CI543</f>
        <v>التأجير اليومي - مكتبي</v>
      </c>
      <c r="E544" s="76" t="str">
        <f>Study!CJ543</f>
        <v>R152</v>
      </c>
      <c r="F544" s="74" t="str">
        <f>Study!CK543</f>
        <v>وحدة</v>
      </c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2">
      <c r="A545" s="65">
        <f>Study!CF544</f>
        <v>477</v>
      </c>
      <c r="B545" s="66" t="str">
        <f>Study!CG544</f>
        <v>مكتبي - نسبة الإشغال</v>
      </c>
      <c r="C545" s="154">
        <f>Study!CH544</f>
        <v>0</v>
      </c>
      <c r="D545" s="66" t="str">
        <f>Study!CI544</f>
        <v>التأجير اليومي - مكتبي</v>
      </c>
      <c r="E545" s="68" t="str">
        <f>Study!CJ544</f>
        <v>S152</v>
      </c>
      <c r="F545" s="66" t="str">
        <f>Study!CK544</f>
        <v>نسبة مئوية</v>
      </c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2">
      <c r="A546" s="73">
        <f>Study!CF545</f>
        <v>478</v>
      </c>
      <c r="B546" s="74" t="str">
        <f>Study!CG545</f>
        <v>مكتبي - عدد الوحدات المشغولة سنوياً</v>
      </c>
      <c r="C546" s="246">
        <f>Study!CH545</f>
        <v>0</v>
      </c>
      <c r="D546" s="74" t="str">
        <f>Study!CI545</f>
        <v>التأجير اليومي - مكتبي</v>
      </c>
      <c r="E546" s="76" t="str">
        <f>Study!CJ545</f>
        <v>T152</v>
      </c>
      <c r="F546" s="74" t="str">
        <f>Study!CK545</f>
        <v>ليلة</v>
      </c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2">
      <c r="A547" s="65">
        <f>Study!CF546</f>
        <v>479</v>
      </c>
      <c r="B547" s="66" t="str">
        <f>Study!CG546</f>
        <v>مكتبي - متوسط السعر اليومي</v>
      </c>
      <c r="C547" s="88">
        <f>Study!CH546</f>
        <v>0</v>
      </c>
      <c r="D547" s="66" t="str">
        <f>Study!CI546</f>
        <v>التأجير اليومي - مكتبي</v>
      </c>
      <c r="E547" s="68" t="str">
        <f>Study!CJ546</f>
        <v>U152</v>
      </c>
      <c r="F547" s="66" t="str">
        <f>Study!CK546</f>
        <v>ريال</v>
      </c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2">
      <c r="A548" s="73">
        <f>Study!CF547</f>
        <v>480</v>
      </c>
      <c r="B548" s="74" t="str">
        <f>Study!CG547</f>
        <v>مكتبي - الإيراد الفعلي للوحدة السنوي</v>
      </c>
      <c r="C548" s="93" t="str">
        <f>Study!CH547</f>
        <v>0</v>
      </c>
      <c r="D548" s="74" t="str">
        <f>Study!CI547</f>
        <v>التأجير اليومي - مكتبي</v>
      </c>
      <c r="E548" s="76" t="str">
        <f>Study!CJ547</f>
        <v>V152</v>
      </c>
      <c r="F548" s="74" t="str">
        <f>Study!CK547</f>
        <v>ريال سعودي</v>
      </c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2">
      <c r="A549" s="65">
        <f>Study!CF548</f>
        <v>481</v>
      </c>
      <c r="B549" s="66" t="str">
        <f>Study!CG548</f>
        <v>مكتبي - نسبة إيرادات الأنشطة الإضافية</v>
      </c>
      <c r="C549" s="154">
        <f>Study!CH548</f>
        <v>0</v>
      </c>
      <c r="D549" s="66" t="str">
        <f>Study!CI548</f>
        <v>التأجير اليومي - مكتبي</v>
      </c>
      <c r="E549" s="68" t="str">
        <f>Study!CJ548</f>
        <v>W152</v>
      </c>
      <c r="F549" s="66" t="str">
        <f>Study!CK548</f>
        <v>نسبة مئوية</v>
      </c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2">
      <c r="A550" s="73">
        <f>Study!CF549</f>
        <v>482</v>
      </c>
      <c r="B550" s="74" t="str">
        <f>Study!CG549</f>
        <v>مكتبي - إجمالي الإيرادات</v>
      </c>
      <c r="C550" s="93">
        <f>Study!CH549</f>
        <v>0</v>
      </c>
      <c r="D550" s="74" t="str">
        <f>Study!CI549</f>
        <v>التأجير اليومي - مكتبي</v>
      </c>
      <c r="E550" s="76" t="str">
        <f>Study!CJ549</f>
        <v>X152</v>
      </c>
      <c r="F550" s="74" t="str">
        <f>Study!CK549</f>
        <v>ريال سعودي</v>
      </c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2">
      <c r="A551" s="65">
        <f>Study!CF550</f>
        <v>483</v>
      </c>
      <c r="B551" s="66" t="str">
        <f>Study!CG550</f>
        <v>مكتبي - التكاليف التشغيلية والإدارية</v>
      </c>
      <c r="C551" s="88">
        <f>Study!CH550</f>
        <v>0</v>
      </c>
      <c r="D551" s="66" t="str">
        <f>Study!CI550</f>
        <v>التأجير اليومي - مكتبي</v>
      </c>
      <c r="E551" s="68" t="str">
        <f>Study!CJ550</f>
        <v>Y152</v>
      </c>
      <c r="F551" s="66" t="str">
        <f>Study!CK550</f>
        <v>ريال سعودي</v>
      </c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2">
      <c r="A552" s="73">
        <f>Study!CF551</f>
        <v>484</v>
      </c>
      <c r="B552" s="74" t="str">
        <f>Study!CG551</f>
        <v>مكتبي - فترة استرداد رأس المال</v>
      </c>
      <c r="C552" s="221">
        <f>Study!CH551</f>
        <v>0</v>
      </c>
      <c r="D552" s="74" t="str">
        <f>Study!CI551</f>
        <v>التأجير اليومي - مكتبي</v>
      </c>
      <c r="E552" s="76" t="str">
        <f>Study!CJ551</f>
        <v>Z152</v>
      </c>
      <c r="F552" s="74" t="str">
        <f>Study!CK551</f>
        <v>سنة</v>
      </c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2">
      <c r="A553" s="65">
        <f>Study!CF552</f>
        <v>485</v>
      </c>
      <c r="B553" s="66" t="str">
        <f>Study!CG552</f>
        <v>مكتبي - العائد على التكلفة السنوي</v>
      </c>
      <c r="C553" s="154" t="str">
        <f>Study!CH552</f>
        <v>0.00%</v>
      </c>
      <c r="D553" s="66" t="str">
        <f>Study!CI552</f>
        <v>التأجير اليومي - مكتبي</v>
      </c>
      <c r="E553" s="68" t="str">
        <f>Study!CJ552</f>
        <v>AA152</v>
      </c>
      <c r="F553" s="66" t="str">
        <f>Study!CK552</f>
        <v>نسبة مئوية</v>
      </c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" x14ac:dyDescent="0.2">
      <c r="A554" s="455" t="str">
        <f>Study!CF553</f>
        <v>▌ التأجير اليومي - تجاري</v>
      </c>
      <c r="B554" s="455">
        <f>Study!CG553</f>
        <v>0</v>
      </c>
      <c r="C554" s="455">
        <f>Study!CH553</f>
        <v>0</v>
      </c>
      <c r="D554" s="455">
        <f>Study!CI553</f>
        <v>0</v>
      </c>
      <c r="E554" s="455">
        <f>Study!CJ553</f>
        <v>0</v>
      </c>
      <c r="F554" s="455">
        <f>Study!CK553</f>
        <v>0</v>
      </c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2">
      <c r="A555" s="73">
        <f>Study!CF554</f>
        <v>486</v>
      </c>
      <c r="B555" s="74" t="str">
        <f>Study!CG554</f>
        <v>تجاري - عدد الوحدات</v>
      </c>
      <c r="C555" s="246">
        <f>Study!CH554</f>
        <v>7</v>
      </c>
      <c r="D555" s="74" t="str">
        <f>Study!CI554</f>
        <v>التأجير اليومي - تجاري</v>
      </c>
      <c r="E555" s="76" t="str">
        <f>Study!CJ554</f>
        <v>R153</v>
      </c>
      <c r="F555" s="74" t="str">
        <f>Study!CK554</f>
        <v>وحدة</v>
      </c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2">
      <c r="A556" s="65">
        <f>Study!CF555</f>
        <v>487</v>
      </c>
      <c r="B556" s="66" t="str">
        <f>Study!CG555</f>
        <v>تجاري - نسبة الإشغال</v>
      </c>
      <c r="C556" s="154">
        <f>Study!CH555</f>
        <v>0</v>
      </c>
      <c r="D556" s="66" t="str">
        <f>Study!CI555</f>
        <v>التأجير اليومي - تجاري</v>
      </c>
      <c r="E556" s="68" t="str">
        <f>Study!CJ555</f>
        <v>S153</v>
      </c>
      <c r="F556" s="66" t="str">
        <f>Study!CK555</f>
        <v>نسبة مئوية</v>
      </c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2">
      <c r="A557" s="73">
        <f>Study!CF556</f>
        <v>488</v>
      </c>
      <c r="B557" s="74" t="str">
        <f>Study!CG556</f>
        <v>تجاري - عدد الوحدات المشغولة سنوياً</v>
      </c>
      <c r="C557" s="246">
        <f>Study!CH556</f>
        <v>0</v>
      </c>
      <c r="D557" s="74" t="str">
        <f>Study!CI556</f>
        <v>التأجير اليومي - تجاري</v>
      </c>
      <c r="E557" s="76" t="str">
        <f>Study!CJ556</f>
        <v>T153</v>
      </c>
      <c r="F557" s="74" t="str">
        <f>Study!CK556</f>
        <v>ليلة</v>
      </c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2">
      <c r="A558" s="65">
        <f>Study!CF557</f>
        <v>489</v>
      </c>
      <c r="B558" s="66" t="str">
        <f>Study!CG557</f>
        <v>تجاري - متوسط السعر اليومي</v>
      </c>
      <c r="C558" s="88">
        <f>Study!CH557</f>
        <v>0</v>
      </c>
      <c r="D558" s="66" t="str">
        <f>Study!CI557</f>
        <v>التأجير اليومي - تجاري</v>
      </c>
      <c r="E558" s="68" t="str">
        <f>Study!CJ557</f>
        <v>U153</v>
      </c>
      <c r="F558" s="66" t="str">
        <f>Study!CK557</f>
        <v>ريال</v>
      </c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2">
      <c r="A559" s="73">
        <f>Study!CF558</f>
        <v>490</v>
      </c>
      <c r="B559" s="74" t="str">
        <f>Study!CG558</f>
        <v>تجاري - الإيراد الفعلي للوحدة السنوي</v>
      </c>
      <c r="C559" s="93">
        <f>Study!CH558</f>
        <v>0</v>
      </c>
      <c r="D559" s="74" t="str">
        <f>Study!CI558</f>
        <v>التأجير اليومي - تجاري</v>
      </c>
      <c r="E559" s="76" t="str">
        <f>Study!CJ558</f>
        <v>V153</v>
      </c>
      <c r="F559" s="74" t="str">
        <f>Study!CK558</f>
        <v>ريال سعودي</v>
      </c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2">
      <c r="A560" s="65">
        <f>Study!CF559</f>
        <v>491</v>
      </c>
      <c r="B560" s="66" t="str">
        <f>Study!CG559</f>
        <v>تجاري - نسبة إيرادات الأنشطة الإضافية</v>
      </c>
      <c r="C560" s="154">
        <f>Study!CH559</f>
        <v>0</v>
      </c>
      <c r="D560" s="66" t="str">
        <f>Study!CI559</f>
        <v>التأجير اليومي - تجاري</v>
      </c>
      <c r="E560" s="68" t="str">
        <f>Study!CJ559</f>
        <v>W153</v>
      </c>
      <c r="F560" s="66" t="str">
        <f>Study!CK559</f>
        <v>نسبة مئوية</v>
      </c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2">
      <c r="A561" s="73">
        <f>Study!CF560</f>
        <v>492</v>
      </c>
      <c r="B561" s="74" t="str">
        <f>Study!CG560</f>
        <v>تجاري - إجمالي الإيرادات</v>
      </c>
      <c r="C561" s="93">
        <f>Study!CH560</f>
        <v>0</v>
      </c>
      <c r="D561" s="74" t="str">
        <f>Study!CI560</f>
        <v>التأجير اليومي - تجاري</v>
      </c>
      <c r="E561" s="76" t="str">
        <f>Study!CJ560</f>
        <v>X153</v>
      </c>
      <c r="F561" s="74" t="str">
        <f>Study!CK560</f>
        <v>ريال سعودي</v>
      </c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2">
      <c r="A562" s="65">
        <f>Study!CF561</f>
        <v>493</v>
      </c>
      <c r="B562" s="66" t="str">
        <f>Study!CG561</f>
        <v>تجاري - التكاليف التشغيلية والإدارية</v>
      </c>
      <c r="C562" s="88">
        <f>Study!CH561</f>
        <v>0</v>
      </c>
      <c r="D562" s="66" t="str">
        <f>Study!CI561</f>
        <v>التأجير اليومي - تجاري</v>
      </c>
      <c r="E562" s="68" t="str">
        <f>Study!CJ561</f>
        <v>Y153</v>
      </c>
      <c r="F562" s="66" t="str">
        <f>Study!CK561</f>
        <v>ريال سعودي</v>
      </c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2">
      <c r="A563" s="73">
        <f>Study!CF562</f>
        <v>494</v>
      </c>
      <c r="B563" s="74" t="str">
        <f>Study!CG562</f>
        <v>تجاري - فترة استرداد رأس المال</v>
      </c>
      <c r="C563" s="221">
        <f>Study!CH562</f>
        <v>0</v>
      </c>
      <c r="D563" s="74" t="str">
        <f>Study!CI562</f>
        <v>التأجير اليومي - تجاري</v>
      </c>
      <c r="E563" s="76" t="str">
        <f>Study!CJ562</f>
        <v>Z153</v>
      </c>
      <c r="F563" s="74" t="str">
        <f>Study!CK562</f>
        <v>سنة</v>
      </c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2">
      <c r="A564" s="65">
        <f>Study!CF563</f>
        <v>495</v>
      </c>
      <c r="B564" s="66" t="str">
        <f>Study!CG563</f>
        <v>تجاري - العائد على التكلفة السنوي</v>
      </c>
      <c r="C564" s="154">
        <f>Study!CH563</f>
        <v>0</v>
      </c>
      <c r="D564" s="66" t="str">
        <f>Study!CI563</f>
        <v>التأجير اليومي - تجاري</v>
      </c>
      <c r="E564" s="68" t="str">
        <f>Study!CJ563</f>
        <v>AA153</v>
      </c>
      <c r="F564" s="66" t="str">
        <f>Study!CK563</f>
        <v>نسبة مئوية</v>
      </c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" x14ac:dyDescent="0.2">
      <c r="A565" s="455" t="str">
        <f>Study!CF564</f>
        <v>▌ التأجير اليومي - فندقي</v>
      </c>
      <c r="B565" s="455">
        <f>Study!CG564</f>
        <v>0</v>
      </c>
      <c r="C565" s="455">
        <f>Study!CH564</f>
        <v>0</v>
      </c>
      <c r="D565" s="455">
        <f>Study!CI564</f>
        <v>0</v>
      </c>
      <c r="E565" s="455">
        <f>Study!CJ564</f>
        <v>0</v>
      </c>
      <c r="F565" s="455">
        <f>Study!CK564</f>
        <v>0</v>
      </c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2">
      <c r="A566" s="73">
        <f>Study!CF565</f>
        <v>496</v>
      </c>
      <c r="B566" s="74" t="str">
        <f>Study!CG565</f>
        <v>فندقي - عدد الوحدات</v>
      </c>
      <c r="C566" s="246">
        <f>Study!CH565</f>
        <v>0</v>
      </c>
      <c r="D566" s="74" t="str">
        <f>Study!CI565</f>
        <v>التأجير اليومي - فندقي</v>
      </c>
      <c r="E566" s="76" t="str">
        <f>Study!CJ565</f>
        <v>R154</v>
      </c>
      <c r="F566" s="74" t="str">
        <f>Study!CK565</f>
        <v>وحدة</v>
      </c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2">
      <c r="A567" s="65">
        <f>Study!CF566</f>
        <v>497</v>
      </c>
      <c r="B567" s="66" t="str">
        <f>Study!CG566</f>
        <v>فندقي - نسبة الإشغال</v>
      </c>
      <c r="C567" s="154">
        <f>Study!CH566</f>
        <v>0</v>
      </c>
      <c r="D567" s="66" t="str">
        <f>Study!CI566</f>
        <v>التأجير اليومي - فندقي</v>
      </c>
      <c r="E567" s="68" t="str">
        <f>Study!CJ566</f>
        <v>S154</v>
      </c>
      <c r="F567" s="66" t="str">
        <f>Study!CK566</f>
        <v>نسبة مئوية</v>
      </c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2">
      <c r="A568" s="73">
        <f>Study!CF567</f>
        <v>498</v>
      </c>
      <c r="B568" s="74" t="str">
        <f>Study!CG567</f>
        <v>فندقي - عدد الوحدات المشغولة سنوياً</v>
      </c>
      <c r="C568" s="246">
        <f>Study!CH567</f>
        <v>0</v>
      </c>
      <c r="D568" s="74" t="str">
        <f>Study!CI567</f>
        <v>التأجير اليومي - فندقي</v>
      </c>
      <c r="E568" s="76" t="str">
        <f>Study!CJ567</f>
        <v>T154</v>
      </c>
      <c r="F568" s="74" t="str">
        <f>Study!CK567</f>
        <v>ليلة</v>
      </c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2">
      <c r="A569" s="65">
        <f>Study!CF568</f>
        <v>499</v>
      </c>
      <c r="B569" s="66" t="str">
        <f>Study!CG568</f>
        <v>فندقي - متوسط السعر اليومي</v>
      </c>
      <c r="C569" s="88">
        <f>Study!CH568</f>
        <v>0</v>
      </c>
      <c r="D569" s="66" t="str">
        <f>Study!CI568</f>
        <v>التأجير اليومي - فندقي</v>
      </c>
      <c r="E569" s="68" t="str">
        <f>Study!CJ568</f>
        <v>U154</v>
      </c>
      <c r="F569" s="66" t="str">
        <f>Study!CK568</f>
        <v>ريال</v>
      </c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2">
      <c r="A570" s="73">
        <f>Study!CF569</f>
        <v>500</v>
      </c>
      <c r="B570" s="74" t="str">
        <f>Study!CG569</f>
        <v>فندقي - الإيراد الفعلي للوحدة السنوي</v>
      </c>
      <c r="C570" s="93" t="str">
        <f>Study!CH569</f>
        <v>0</v>
      </c>
      <c r="D570" s="74" t="str">
        <f>Study!CI569</f>
        <v>التأجير اليومي - فندقي</v>
      </c>
      <c r="E570" s="76" t="str">
        <f>Study!CJ569</f>
        <v>V154</v>
      </c>
      <c r="F570" s="74" t="str">
        <f>Study!CK569</f>
        <v>ريال سعودي</v>
      </c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2">
      <c r="A571" s="65">
        <f>Study!CF570</f>
        <v>501</v>
      </c>
      <c r="B571" s="66" t="str">
        <f>Study!CG570</f>
        <v>فندقي - نسبة إيرادات الأنشطة الإضافية</v>
      </c>
      <c r="C571" s="154">
        <f>Study!CH570</f>
        <v>0</v>
      </c>
      <c r="D571" s="66" t="str">
        <f>Study!CI570</f>
        <v>التأجير اليومي - فندقي</v>
      </c>
      <c r="E571" s="68" t="str">
        <f>Study!CJ570</f>
        <v>W154</v>
      </c>
      <c r="F571" s="66" t="str">
        <f>Study!CK570</f>
        <v>نسبة مئوية</v>
      </c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2">
      <c r="A572" s="73">
        <f>Study!CF571</f>
        <v>502</v>
      </c>
      <c r="B572" s="74" t="str">
        <f>Study!CG571</f>
        <v>فندقي - إجمالي الإيرادات</v>
      </c>
      <c r="C572" s="93">
        <f>Study!CH571</f>
        <v>0</v>
      </c>
      <c r="D572" s="74" t="str">
        <f>Study!CI571</f>
        <v>التأجير اليومي - فندقي</v>
      </c>
      <c r="E572" s="76" t="str">
        <f>Study!CJ571</f>
        <v>X154</v>
      </c>
      <c r="F572" s="74" t="str">
        <f>Study!CK571</f>
        <v>ريال سعودي</v>
      </c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2">
      <c r="A573" s="65">
        <f>Study!CF572</f>
        <v>503</v>
      </c>
      <c r="B573" s="66" t="str">
        <f>Study!CG572</f>
        <v>فندقي - التكاليف التشغيلية والإدارية</v>
      </c>
      <c r="C573" s="88">
        <f>Study!CH572</f>
        <v>0</v>
      </c>
      <c r="D573" s="66" t="str">
        <f>Study!CI572</f>
        <v>التأجير اليومي - فندقي</v>
      </c>
      <c r="E573" s="68" t="str">
        <f>Study!CJ572</f>
        <v>Y154</v>
      </c>
      <c r="F573" s="66" t="str">
        <f>Study!CK572</f>
        <v>ريال سعودي</v>
      </c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2">
      <c r="A574" s="73">
        <f>Study!CF573</f>
        <v>504</v>
      </c>
      <c r="B574" s="74" t="str">
        <f>Study!CG573</f>
        <v>فندقي - فترة استرداد رأس المال</v>
      </c>
      <c r="C574" s="221">
        <f>Study!CH573</f>
        <v>0</v>
      </c>
      <c r="D574" s="74" t="str">
        <f>Study!CI573</f>
        <v>التأجير اليومي - فندقي</v>
      </c>
      <c r="E574" s="76" t="str">
        <f>Study!CJ573</f>
        <v>Z154</v>
      </c>
      <c r="F574" s="74" t="str">
        <f>Study!CK573</f>
        <v>سنة</v>
      </c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2">
      <c r="A575" s="65">
        <f>Study!CF574</f>
        <v>505</v>
      </c>
      <c r="B575" s="66" t="str">
        <f>Study!CG574</f>
        <v>فندقي - العائد على التكلفة السنوي</v>
      </c>
      <c r="C575" s="154">
        <f>Study!CH574</f>
        <v>0</v>
      </c>
      <c r="D575" s="66" t="str">
        <f>Study!CI574</f>
        <v>التأجير اليومي - فندقي</v>
      </c>
      <c r="E575" s="68" t="str">
        <f>Study!CJ574</f>
        <v>AA154</v>
      </c>
      <c r="F575" s="66" t="str">
        <f>Study!CK574</f>
        <v>نسبة مئوية</v>
      </c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" x14ac:dyDescent="0.2">
      <c r="A576" s="455" t="str">
        <f>Study!CF575</f>
        <v>▌ التأجير اليومي - صحي</v>
      </c>
      <c r="B576" s="455">
        <f>Study!CG575</f>
        <v>0</v>
      </c>
      <c r="C576" s="455">
        <f>Study!CH575</f>
        <v>0</v>
      </c>
      <c r="D576" s="455">
        <f>Study!CI575</f>
        <v>0</v>
      </c>
      <c r="E576" s="455">
        <f>Study!CJ575</f>
        <v>0</v>
      </c>
      <c r="F576" s="455">
        <f>Study!CK575</f>
        <v>0</v>
      </c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2">
      <c r="A577" s="73">
        <f>Study!CF576</f>
        <v>506</v>
      </c>
      <c r="B577" s="74" t="str">
        <f>Study!CG576</f>
        <v>صحي - عدد الوحدات</v>
      </c>
      <c r="C577" s="246">
        <f>Study!CH576</f>
        <v>0</v>
      </c>
      <c r="D577" s="74" t="str">
        <f>Study!CI576</f>
        <v>التأجير اليومي - صحي</v>
      </c>
      <c r="E577" s="76" t="str">
        <f>Study!CJ576</f>
        <v>R155</v>
      </c>
      <c r="F577" s="74" t="str">
        <f>Study!CK576</f>
        <v>وحدة</v>
      </c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2">
      <c r="A578" s="65">
        <f>Study!CF577</f>
        <v>507</v>
      </c>
      <c r="B578" s="66" t="str">
        <f>Study!CG577</f>
        <v>صحي - نسبة الإشغال</v>
      </c>
      <c r="C578" s="154">
        <f>Study!CH577</f>
        <v>0</v>
      </c>
      <c r="D578" s="66" t="str">
        <f>Study!CI577</f>
        <v>التأجير اليومي - صحي</v>
      </c>
      <c r="E578" s="68" t="str">
        <f>Study!CJ577</f>
        <v>S155</v>
      </c>
      <c r="F578" s="66" t="str">
        <f>Study!CK577</f>
        <v>نسبة مئوية</v>
      </c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2">
      <c r="A579" s="73">
        <f>Study!CF578</f>
        <v>508</v>
      </c>
      <c r="B579" s="74" t="str">
        <f>Study!CG578</f>
        <v>صحي - عدد الوحدات المشغولة سنوياً</v>
      </c>
      <c r="C579" s="246">
        <f>Study!CH578</f>
        <v>0</v>
      </c>
      <c r="D579" s="74" t="str">
        <f>Study!CI578</f>
        <v>التأجير اليومي - صحي</v>
      </c>
      <c r="E579" s="76" t="str">
        <f>Study!CJ578</f>
        <v>T155</v>
      </c>
      <c r="F579" s="74" t="str">
        <f>Study!CK578</f>
        <v>ليلة</v>
      </c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2">
      <c r="A580" s="65">
        <f>Study!CF579</f>
        <v>509</v>
      </c>
      <c r="B580" s="66" t="str">
        <f>Study!CG579</f>
        <v>صحي - متوسط السعر اليومي</v>
      </c>
      <c r="C580" s="88">
        <f>Study!CH579</f>
        <v>0</v>
      </c>
      <c r="D580" s="66" t="str">
        <f>Study!CI579</f>
        <v>التأجير اليومي - صحي</v>
      </c>
      <c r="E580" s="68" t="str">
        <f>Study!CJ579</f>
        <v>U155</v>
      </c>
      <c r="F580" s="66" t="str">
        <f>Study!CK579</f>
        <v>ريال</v>
      </c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2">
      <c r="A581" s="73">
        <f>Study!CF580</f>
        <v>510</v>
      </c>
      <c r="B581" s="74" t="str">
        <f>Study!CG580</f>
        <v>صحي - الإيراد الفعلي للوحدة السنوي</v>
      </c>
      <c r="C581" s="93" t="str">
        <f>Study!CH580</f>
        <v>0</v>
      </c>
      <c r="D581" s="74" t="str">
        <f>Study!CI580</f>
        <v>التأجير اليومي - صحي</v>
      </c>
      <c r="E581" s="76" t="str">
        <f>Study!CJ580</f>
        <v>V155</v>
      </c>
      <c r="F581" s="74" t="str">
        <f>Study!CK580</f>
        <v>ريال سعودي</v>
      </c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2">
      <c r="A582" s="65">
        <f>Study!CF581</f>
        <v>511</v>
      </c>
      <c r="B582" s="66" t="str">
        <f>Study!CG581</f>
        <v>صحي - نسبة إيرادات الأنشطة الإضافية</v>
      </c>
      <c r="C582" s="154">
        <f>Study!CH581</f>
        <v>0</v>
      </c>
      <c r="D582" s="66" t="str">
        <f>Study!CI581</f>
        <v>التأجير اليومي - صحي</v>
      </c>
      <c r="E582" s="68" t="str">
        <f>Study!CJ581</f>
        <v>W155</v>
      </c>
      <c r="F582" s="66" t="str">
        <f>Study!CK581</f>
        <v>نسبة مئوية</v>
      </c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2">
      <c r="A583" s="73">
        <f>Study!CF582</f>
        <v>512</v>
      </c>
      <c r="B583" s="74" t="str">
        <f>Study!CG582</f>
        <v>صحي - إجمالي الإيرادات</v>
      </c>
      <c r="C583" s="93">
        <f>Study!CH582</f>
        <v>0</v>
      </c>
      <c r="D583" s="74" t="str">
        <f>Study!CI582</f>
        <v>التأجير اليومي - صحي</v>
      </c>
      <c r="E583" s="76" t="str">
        <f>Study!CJ582</f>
        <v>X155</v>
      </c>
      <c r="F583" s="74" t="str">
        <f>Study!CK582</f>
        <v>ريال سعودي</v>
      </c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2">
      <c r="A584" s="65">
        <f>Study!CF583</f>
        <v>513</v>
      </c>
      <c r="B584" s="66" t="str">
        <f>Study!CG583</f>
        <v>صحي - التكاليف التشغيلية والإدارية</v>
      </c>
      <c r="C584" s="88">
        <f>Study!CH583</f>
        <v>0</v>
      </c>
      <c r="D584" s="66" t="str">
        <f>Study!CI583</f>
        <v>التأجير اليومي - صحي</v>
      </c>
      <c r="E584" s="68" t="str">
        <f>Study!CJ583</f>
        <v>Y155</v>
      </c>
      <c r="F584" s="66" t="str">
        <f>Study!CK583</f>
        <v>ريال سعودي</v>
      </c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2">
      <c r="A585" s="73">
        <f>Study!CF584</f>
        <v>514</v>
      </c>
      <c r="B585" s="74" t="str">
        <f>Study!CG584</f>
        <v>صحي - فترة استرداد رأس المال</v>
      </c>
      <c r="C585" s="221">
        <f>Study!CH584</f>
        <v>0</v>
      </c>
      <c r="D585" s="74" t="str">
        <f>Study!CI584</f>
        <v>التأجير اليومي - صحي</v>
      </c>
      <c r="E585" s="76" t="str">
        <f>Study!CJ584</f>
        <v>Z155</v>
      </c>
      <c r="F585" s="74" t="str">
        <f>Study!CK584</f>
        <v>سنة</v>
      </c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2">
      <c r="A586" s="65">
        <f>Study!CF585</f>
        <v>515</v>
      </c>
      <c r="B586" s="66" t="str">
        <f>Study!CG585</f>
        <v>صحي - العائد على التكلفة السنوي</v>
      </c>
      <c r="C586" s="154" t="str">
        <f>Study!CH585</f>
        <v>0.00%</v>
      </c>
      <c r="D586" s="66" t="str">
        <f>Study!CI585</f>
        <v>التأجير اليومي - صحي</v>
      </c>
      <c r="E586" s="68" t="str">
        <f>Study!CJ585</f>
        <v>AA155</v>
      </c>
      <c r="F586" s="66" t="str">
        <f>Study!CK585</f>
        <v>نسبة مئوية</v>
      </c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" x14ac:dyDescent="0.2">
      <c r="A587" s="455" t="str">
        <f>Study!CF586</f>
        <v>▌ التأجير اليومي - أخرى</v>
      </c>
      <c r="B587" s="455">
        <f>Study!CG586</f>
        <v>0</v>
      </c>
      <c r="C587" s="455">
        <f>Study!CH586</f>
        <v>0</v>
      </c>
      <c r="D587" s="455">
        <f>Study!CI586</f>
        <v>0</v>
      </c>
      <c r="E587" s="455">
        <f>Study!CJ586</f>
        <v>0</v>
      </c>
      <c r="F587" s="455">
        <f>Study!CK586</f>
        <v>0</v>
      </c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2">
      <c r="A588" s="73">
        <f>Study!CF587</f>
        <v>516</v>
      </c>
      <c r="B588" s="74" t="str">
        <f>Study!CG587</f>
        <v>أخرى - عدد الوحدات</v>
      </c>
      <c r="C588" s="246">
        <f>Study!CH587</f>
        <v>0</v>
      </c>
      <c r="D588" s="74" t="str">
        <f>Study!CI587</f>
        <v>التأجير اليومي - أخرى</v>
      </c>
      <c r="E588" s="76" t="str">
        <f>Study!CJ587</f>
        <v>R156</v>
      </c>
      <c r="F588" s="74" t="str">
        <f>Study!CK587</f>
        <v>وحدة</v>
      </c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2">
      <c r="A589" s="65">
        <f>Study!CF588</f>
        <v>517</v>
      </c>
      <c r="B589" s="66" t="str">
        <f>Study!CG588</f>
        <v>أخرى - نسبة الإشغال</v>
      </c>
      <c r="C589" s="154">
        <f>Study!CH588</f>
        <v>0</v>
      </c>
      <c r="D589" s="66" t="str">
        <f>Study!CI588</f>
        <v>التأجير اليومي - أخرى</v>
      </c>
      <c r="E589" s="68" t="str">
        <f>Study!CJ588</f>
        <v>S156</v>
      </c>
      <c r="F589" s="66" t="str">
        <f>Study!CK588</f>
        <v>نسبة مئوية</v>
      </c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2">
      <c r="A590" s="73">
        <f>Study!CF589</f>
        <v>518</v>
      </c>
      <c r="B590" s="74" t="str">
        <f>Study!CG589</f>
        <v>أخرى - عدد الوحدات المشغولة سنوياً</v>
      </c>
      <c r="C590" s="246">
        <f>Study!CH589</f>
        <v>0</v>
      </c>
      <c r="D590" s="74" t="str">
        <f>Study!CI589</f>
        <v>التأجير اليومي - أخرى</v>
      </c>
      <c r="E590" s="76" t="str">
        <f>Study!CJ589</f>
        <v>T156</v>
      </c>
      <c r="F590" s="74" t="str">
        <f>Study!CK589</f>
        <v>ليلة</v>
      </c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2">
      <c r="A591" s="65">
        <f>Study!CF590</f>
        <v>519</v>
      </c>
      <c r="B591" s="66" t="str">
        <f>Study!CG590</f>
        <v>أخرى - متوسط السعر اليومي</v>
      </c>
      <c r="C591" s="88">
        <f>Study!CH590</f>
        <v>0</v>
      </c>
      <c r="D591" s="66" t="str">
        <f>Study!CI590</f>
        <v>التأجير اليومي - أخرى</v>
      </c>
      <c r="E591" s="68" t="str">
        <f>Study!CJ590</f>
        <v>U156</v>
      </c>
      <c r="F591" s="66" t="str">
        <f>Study!CK590</f>
        <v>ريال</v>
      </c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2">
      <c r="A592" s="73">
        <f>Study!CF591</f>
        <v>520</v>
      </c>
      <c r="B592" s="74" t="str">
        <f>Study!CG591</f>
        <v>أخرى - الإيراد الفعلي للوحدة السنوي</v>
      </c>
      <c r="C592" s="93" t="str">
        <f>Study!CH591</f>
        <v>0</v>
      </c>
      <c r="D592" s="74" t="str">
        <f>Study!CI591</f>
        <v>التأجير اليومي - أخرى</v>
      </c>
      <c r="E592" s="76" t="str">
        <f>Study!CJ591</f>
        <v>V156</v>
      </c>
      <c r="F592" s="74" t="str">
        <f>Study!CK591</f>
        <v>ريال سعودي</v>
      </c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2">
      <c r="A593" s="65">
        <f>Study!CF592</f>
        <v>521</v>
      </c>
      <c r="B593" s="66" t="str">
        <f>Study!CG592</f>
        <v>أخرى - نسبة إيرادات الأنشطة الإضافية</v>
      </c>
      <c r="C593" s="154">
        <f>Study!CH592</f>
        <v>0</v>
      </c>
      <c r="D593" s="66" t="str">
        <f>Study!CI592</f>
        <v>التأجير اليومي - أخرى</v>
      </c>
      <c r="E593" s="68" t="str">
        <f>Study!CJ592</f>
        <v>W156</v>
      </c>
      <c r="F593" s="66" t="str">
        <f>Study!CK592</f>
        <v>نسبة مئوية</v>
      </c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2">
      <c r="A594" s="73">
        <f>Study!CF593</f>
        <v>522</v>
      </c>
      <c r="B594" s="74" t="str">
        <f>Study!CG593</f>
        <v>أخرى - إجمالي الإيرادات</v>
      </c>
      <c r="C594" s="93">
        <f>Study!CH593</f>
        <v>0</v>
      </c>
      <c r="D594" s="74" t="str">
        <f>Study!CI593</f>
        <v>التأجير اليومي - أخرى</v>
      </c>
      <c r="E594" s="76" t="str">
        <f>Study!CJ593</f>
        <v>X156</v>
      </c>
      <c r="F594" s="74" t="str">
        <f>Study!CK593</f>
        <v>ريال سعودي</v>
      </c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2">
      <c r="A595" s="65">
        <f>Study!CF594</f>
        <v>523</v>
      </c>
      <c r="B595" s="66" t="str">
        <f>Study!CG594</f>
        <v>أخرى - التكاليف التشغيلية والإدارية</v>
      </c>
      <c r="C595" s="88">
        <f>Study!CH594</f>
        <v>0</v>
      </c>
      <c r="D595" s="66" t="str">
        <f>Study!CI594</f>
        <v>التأجير اليومي - أخرى</v>
      </c>
      <c r="E595" s="68" t="str">
        <f>Study!CJ594</f>
        <v>Y156</v>
      </c>
      <c r="F595" s="66" t="str">
        <f>Study!CK594</f>
        <v>ريال سعودي</v>
      </c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2">
      <c r="A596" s="73">
        <f>Study!CF595</f>
        <v>524</v>
      </c>
      <c r="B596" s="74" t="str">
        <f>Study!CG595</f>
        <v>أخرى - فترة استرداد رأس المال</v>
      </c>
      <c r="C596" s="221">
        <f>Study!CH595</f>
        <v>0</v>
      </c>
      <c r="D596" s="74" t="str">
        <f>Study!CI595</f>
        <v>التأجير اليومي - أخرى</v>
      </c>
      <c r="E596" s="76" t="str">
        <f>Study!CJ595</f>
        <v>Z156</v>
      </c>
      <c r="F596" s="74" t="str">
        <f>Study!CK595</f>
        <v>سنة</v>
      </c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2">
      <c r="A597" s="65">
        <f>Study!CF596</f>
        <v>525</v>
      </c>
      <c r="B597" s="66" t="str">
        <f>Study!CG596</f>
        <v>أخرى - العائد على التكلفة السنوي</v>
      </c>
      <c r="C597" s="154" t="str">
        <f>Study!CH596</f>
        <v>0.00%</v>
      </c>
      <c r="D597" s="66" t="str">
        <f>Study!CI596</f>
        <v>التأجير اليومي - أخرى</v>
      </c>
      <c r="E597" s="68" t="str">
        <f>Study!CJ596</f>
        <v>AA156</v>
      </c>
      <c r="F597" s="66" t="str">
        <f>Study!CK596</f>
        <v>نسبة مئوية</v>
      </c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" x14ac:dyDescent="0.2">
      <c r="A598" s="455" t="str">
        <f>Study!CF597</f>
        <v>▌ التأجير اليومي - الإجمالي</v>
      </c>
      <c r="B598" s="455">
        <f>Study!CG597</f>
        <v>0</v>
      </c>
      <c r="C598" s="455">
        <f>Study!CH597</f>
        <v>0</v>
      </c>
      <c r="D598" s="455">
        <f>Study!CI597</f>
        <v>0</v>
      </c>
      <c r="E598" s="455">
        <f>Study!CJ597</f>
        <v>0</v>
      </c>
      <c r="F598" s="455">
        <f>Study!CK597</f>
        <v>0</v>
      </c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2">
      <c r="A599" s="73">
        <f>Study!CF598</f>
        <v>526</v>
      </c>
      <c r="B599" s="74" t="str">
        <f>Study!CG598</f>
        <v>إجمالي عدد وحدات التأجير اليومي</v>
      </c>
      <c r="C599" s="246">
        <f>Study!CH598</f>
        <v>198</v>
      </c>
      <c r="D599" s="74" t="str">
        <f>Study!CI598</f>
        <v>التأجير اليومي - الإجمالي</v>
      </c>
      <c r="E599" s="76" t="str">
        <f>Study!CJ598</f>
        <v>R157</v>
      </c>
      <c r="F599" s="74" t="str">
        <f>Study!CK598</f>
        <v>وحدة</v>
      </c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2">
      <c r="A600" s="65">
        <f>Study!CF599</f>
        <v>527</v>
      </c>
      <c r="B600" s="66" t="str">
        <f>Study!CG599</f>
        <v>إجمالي عدد الوحدات المشغولة سنوياً</v>
      </c>
      <c r="C600" s="231">
        <f>Study!CH599</f>
        <v>25294.5</v>
      </c>
      <c r="D600" s="66" t="str">
        <f>Study!CI599</f>
        <v>التأجير اليومي - الإجمالي</v>
      </c>
      <c r="E600" s="68" t="str">
        <f>Study!CJ599</f>
        <v>T157</v>
      </c>
      <c r="F600" s="66" t="str">
        <f>Study!CK599</f>
        <v>ليلة</v>
      </c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2">
      <c r="A601" s="73">
        <f>Study!CF600</f>
        <v>528</v>
      </c>
      <c r="B601" s="74" t="str">
        <f>Study!CG600</f>
        <v>إجمالي إيرادات التأجير اليومي</v>
      </c>
      <c r="C601" s="93">
        <f>Study!CH600</f>
        <v>10117800</v>
      </c>
      <c r="D601" s="74" t="str">
        <f>Study!CI600</f>
        <v>التأجير اليومي - الإجمالي</v>
      </c>
      <c r="E601" s="76" t="str">
        <f>Study!CJ600</f>
        <v>X157</v>
      </c>
      <c r="F601" s="74" t="str">
        <f>Study!CK600</f>
        <v>ريال سعودي</v>
      </c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2">
      <c r="A602" s="65">
        <f>Study!CF601</f>
        <v>529</v>
      </c>
      <c r="B602" s="66" t="str">
        <f>Study!CG601</f>
        <v>إجمالي التكاليف التشغيلية للتأجير اليومي</v>
      </c>
      <c r="C602" s="88">
        <f>Study!CH601</f>
        <v>2529450</v>
      </c>
      <c r="D602" s="66" t="str">
        <f>Study!CI601</f>
        <v>التأجير اليومي - الإجمالي</v>
      </c>
      <c r="E602" s="68" t="str">
        <f>Study!CJ601</f>
        <v>Y157</v>
      </c>
      <c r="F602" s="66" t="str">
        <f>Study!CK601</f>
        <v>ريال سعودي</v>
      </c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" x14ac:dyDescent="0.2">
      <c r="A603" s="455" t="str">
        <f>Study!CF602</f>
        <v>▌ البيع على الخارطة</v>
      </c>
      <c r="B603" s="455">
        <f>Study!CG602</f>
        <v>0</v>
      </c>
      <c r="C603" s="455">
        <f>Study!CH602</f>
        <v>0</v>
      </c>
      <c r="D603" s="455">
        <f>Study!CI602</f>
        <v>0</v>
      </c>
      <c r="E603" s="455">
        <f>Study!CJ602</f>
        <v>0</v>
      </c>
      <c r="F603" s="455">
        <f>Study!CK602</f>
        <v>0</v>
      </c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2">
      <c r="A604" s="73">
        <f>Study!CF603</f>
        <v>530</v>
      </c>
      <c r="B604" s="74" t="str">
        <f>Study!CG603</f>
        <v>إجمالي إيرادات البيع على الخارطة</v>
      </c>
      <c r="C604" s="93">
        <f>Study!CH603</f>
        <v>37908700.132978767</v>
      </c>
      <c r="D604" s="74" t="str">
        <f>Study!CI603</f>
        <v>البيع على الخارطة</v>
      </c>
      <c r="E604" s="76" t="str">
        <f>Study!CJ603</f>
        <v>C303</v>
      </c>
      <c r="F604" s="74" t="str">
        <f>Study!CK603</f>
        <v>ريال سعودي</v>
      </c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2">
      <c r="A605" s="65">
        <f>Study!CF604</f>
        <v>531</v>
      </c>
      <c r="B605" s="66" t="str">
        <f>Study!CG604</f>
        <v>دفعات مراحل الإنجاز</v>
      </c>
      <c r="C605" s="88">
        <f>Study!CH604</f>
        <v>29265516.502659611</v>
      </c>
      <c r="D605" s="66" t="str">
        <f>Study!CI604</f>
        <v>البيع على الخارطة</v>
      </c>
      <c r="E605" s="68" t="str">
        <f>Study!CJ604</f>
        <v>C304</v>
      </c>
      <c r="F605" s="66" t="str">
        <f>Study!CK604</f>
        <v>ريال سعودي</v>
      </c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2">
      <c r="A606" s="73">
        <f>Study!CF605</f>
        <v>532</v>
      </c>
      <c r="B606" s="74" t="str">
        <f>Study!CG605</f>
        <v>الدفعات الأولى + دفعات الإنجاز</v>
      </c>
      <c r="C606" s="93">
        <f>Study!CH605</f>
        <v>34951821.522606425</v>
      </c>
      <c r="D606" s="74" t="str">
        <f>Study!CI605</f>
        <v>البيع على الخارطة</v>
      </c>
      <c r="E606" s="76" t="str">
        <f>Study!CJ605</f>
        <v>C305</v>
      </c>
      <c r="F606" s="74" t="str">
        <f>Study!CK605</f>
        <v>ريال سعودي</v>
      </c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2">
      <c r="A607" s="65">
        <f>Study!CF606</f>
        <v>533</v>
      </c>
      <c r="B607" s="66" t="str">
        <f>Study!CG606</f>
        <v>عدد الوحدات المباعة على الخارطة</v>
      </c>
      <c r="C607" s="231">
        <f>Study!CH606</f>
        <v>35</v>
      </c>
      <c r="D607" s="66" t="str">
        <f>Study!CI606</f>
        <v>البيع على الخارطة</v>
      </c>
      <c r="E607" s="68" t="str">
        <f>Study!CJ606</f>
        <v>C306</v>
      </c>
      <c r="F607" s="66" t="str">
        <f>Study!CK606</f>
        <v>وحدة</v>
      </c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2">
      <c r="A608" s="73">
        <f>Study!CF607</f>
        <v>534</v>
      </c>
      <c r="B608" s="74" t="str">
        <f>Study!CG607</f>
        <v>متوسط سعر بيع الوحدة (الخارطة)</v>
      </c>
      <c r="C608" s="93">
        <f>Study!CH607</f>
        <v>1083105.7180851076</v>
      </c>
      <c r="D608" s="74" t="str">
        <f>Study!CI607</f>
        <v>البيع على الخارطة</v>
      </c>
      <c r="E608" s="76" t="str">
        <f>Study!CJ607</f>
        <v>C307</v>
      </c>
      <c r="F608" s="74" t="str">
        <f>Study!CK607</f>
        <v>ريال سعودي</v>
      </c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2">
      <c r="A609" s="65">
        <f>Study!CF608</f>
        <v>535</v>
      </c>
      <c r="B609" s="66" t="str">
        <f>Study!CG608</f>
        <v>إجمالي رسوم وافي</v>
      </c>
      <c r="C609" s="88">
        <f>Study!CH608</f>
        <v>568630.50199468143</v>
      </c>
      <c r="D609" s="66" t="str">
        <f>Study!CI608</f>
        <v>البيع على الخارطة</v>
      </c>
      <c r="E609" s="68" t="str">
        <f>Study!CJ608</f>
        <v>C308</v>
      </c>
      <c r="F609" s="66" t="str">
        <f>Study!CK608</f>
        <v>ريال سعودي</v>
      </c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2">
      <c r="A610" s="73">
        <f>Study!CF609</f>
        <v>536</v>
      </c>
      <c r="B610" s="74" t="str">
        <f>Study!CG609</f>
        <v>نسبة رسوم وافي</v>
      </c>
      <c r="C610" s="148">
        <f>Study!CH609</f>
        <v>1.4999999999999999E-2</v>
      </c>
      <c r="D610" s="74" t="str">
        <f>Study!CI609</f>
        <v>البيع على الخارطة</v>
      </c>
      <c r="E610" s="76" t="str">
        <f>Study!CJ609</f>
        <v>D308</v>
      </c>
      <c r="F610" s="74" t="str">
        <f>Study!CK609</f>
        <v>نسبة مئوية</v>
      </c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2">
      <c r="A611" s="65">
        <f>Study!CF610</f>
        <v>537</v>
      </c>
      <c r="B611" s="66" t="str">
        <f>Study!CG610</f>
        <v>أتعاب المكتب الاستشاري الهندسي</v>
      </c>
      <c r="C611" s="88">
        <f>Study!CH610</f>
        <v>379087.00132978766</v>
      </c>
      <c r="D611" s="66" t="str">
        <f>Study!CI610</f>
        <v>البيع على الخارطة</v>
      </c>
      <c r="E611" s="68" t="str">
        <f>Study!CJ610</f>
        <v>C309</v>
      </c>
      <c r="F611" s="66" t="str">
        <f>Study!CK610</f>
        <v>ريال سعودي</v>
      </c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2">
      <c r="A612" s="73">
        <f>Study!CF611</f>
        <v>538</v>
      </c>
      <c r="B612" s="74" t="str">
        <f>Study!CG611</f>
        <v>نسبة أتعاب المكتب الاستشاري</v>
      </c>
      <c r="C612" s="148">
        <f>Study!CH611</f>
        <v>0.01</v>
      </c>
      <c r="D612" s="74" t="str">
        <f>Study!CI611</f>
        <v>البيع على الخارطة</v>
      </c>
      <c r="E612" s="76" t="str">
        <f>Study!CJ611</f>
        <v>D309</v>
      </c>
      <c r="F612" s="74" t="str">
        <f>Study!CK611</f>
        <v>نسبة مئوية</v>
      </c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2">
      <c r="A613" s="65">
        <f>Study!CF612</f>
        <v>539</v>
      </c>
      <c r="B613" s="66" t="str">
        <f>Study!CG612</f>
        <v>تكاليف المحاسب القانوني المعتمد</v>
      </c>
      <c r="C613" s="88">
        <f>Study!CH612</f>
        <v>113726.10039893631</v>
      </c>
      <c r="D613" s="66" t="str">
        <f>Study!CI612</f>
        <v>البيع على الخارطة</v>
      </c>
      <c r="E613" s="68" t="str">
        <f>Study!CJ612</f>
        <v>C310</v>
      </c>
      <c r="F613" s="66" t="str">
        <f>Study!CK612</f>
        <v>ريال سعودي</v>
      </c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2">
      <c r="A614" s="73">
        <f>Study!CF613</f>
        <v>540</v>
      </c>
      <c r="B614" s="74" t="str">
        <f>Study!CG613</f>
        <v>نسبة تكاليف المحاسب القانوني</v>
      </c>
      <c r="C614" s="148">
        <f>Study!CH613</f>
        <v>3.0000000000000001E-3</v>
      </c>
      <c r="D614" s="74" t="str">
        <f>Study!CI613</f>
        <v>البيع على الخارطة</v>
      </c>
      <c r="E614" s="76" t="str">
        <f>Study!CJ613</f>
        <v>D310</v>
      </c>
      <c r="F614" s="74" t="str">
        <f>Study!CK613</f>
        <v>نسبة مئوية</v>
      </c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2">
      <c r="A615" s="65">
        <f>Study!CF614</f>
        <v>541</v>
      </c>
      <c r="B615" s="66" t="str">
        <f>Study!CG614</f>
        <v>إجمالي قيمة استقطاع الضمان</v>
      </c>
      <c r="C615" s="88">
        <f>Study!CH614</f>
        <v>1895435.0066489384</v>
      </c>
      <c r="D615" s="66" t="str">
        <f>Study!CI614</f>
        <v>البيع على الخارطة</v>
      </c>
      <c r="E615" s="68" t="str">
        <f>Study!CJ614</f>
        <v>C311</v>
      </c>
      <c r="F615" s="66" t="str">
        <f>Study!CK614</f>
        <v>ريال سعودي</v>
      </c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2">
      <c r="A616" s="73">
        <f>Study!CF615</f>
        <v>542</v>
      </c>
      <c r="B616" s="74" t="str">
        <f>Study!CG615</f>
        <v>نسبة استقطاع الضمان</v>
      </c>
      <c r="C616" s="148">
        <f>Study!CH615</f>
        <v>0.05</v>
      </c>
      <c r="D616" s="74" t="str">
        <f>Study!CI615</f>
        <v>البيع على الخارطة</v>
      </c>
      <c r="E616" s="76" t="str">
        <f>Study!CJ615</f>
        <v>D311</v>
      </c>
      <c r="F616" s="74" t="str">
        <f>Study!CK615</f>
        <v>نسبة مئوية</v>
      </c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2">
      <c r="A617" s="65">
        <f>Study!CF616</f>
        <v>543</v>
      </c>
      <c r="B617" s="66" t="str">
        <f>Study!CG616</f>
        <v>قيم الدفعات الأولى</v>
      </c>
      <c r="C617" s="88">
        <f>Study!CH616</f>
        <v>5686305.0199468145</v>
      </c>
      <c r="D617" s="66" t="str">
        <f>Study!CI616</f>
        <v>البيع على الخارطة</v>
      </c>
      <c r="E617" s="68" t="str">
        <f>Study!CJ616</f>
        <v>C312</v>
      </c>
      <c r="F617" s="66" t="str">
        <f>Study!CK616</f>
        <v>ريال سعودي</v>
      </c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2">
      <c r="A618" s="73">
        <f>Study!CF617</f>
        <v>544</v>
      </c>
      <c r="B618" s="74" t="str">
        <f>Study!CG617</f>
        <v>نسبة الدفعات الأولى</v>
      </c>
      <c r="C618" s="148">
        <f>Study!CH617</f>
        <v>0.15</v>
      </c>
      <c r="D618" s="74" t="str">
        <f>Study!CI617</f>
        <v>البيع على الخارطة</v>
      </c>
      <c r="E618" s="76" t="str">
        <f>Study!CJ617</f>
        <v>D312</v>
      </c>
      <c r="F618" s="74" t="str">
        <f>Study!CK617</f>
        <v>نسبة مئوية</v>
      </c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2">
      <c r="A619" s="65">
        <f>Study!CF618</f>
        <v>545</v>
      </c>
      <c r="B619" s="66" t="str">
        <f>Study!CG618</f>
        <v>صافي المبيعات على الخارطة</v>
      </c>
      <c r="C619" s="88">
        <f>Study!CH618</f>
        <v>36847256.52925536</v>
      </c>
      <c r="D619" s="66" t="str">
        <f>Study!CI618</f>
        <v>البيع على الخارطة</v>
      </c>
      <c r="E619" s="68" t="str">
        <f>Study!CJ618</f>
        <v>C313</v>
      </c>
      <c r="F619" s="66" t="str">
        <f>Study!CK618</f>
        <v>ريال سعودي</v>
      </c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" x14ac:dyDescent="0.2">
      <c r="A620" s="455" t="str">
        <f>Study!CF619</f>
        <v>▌ مصروفات الصندوق</v>
      </c>
      <c r="B620" s="455">
        <f>Study!CG619</f>
        <v>0</v>
      </c>
      <c r="C620" s="455">
        <f>Study!CH619</f>
        <v>0</v>
      </c>
      <c r="D620" s="455">
        <f>Study!CI619</f>
        <v>0</v>
      </c>
      <c r="E620" s="455">
        <f>Study!CJ619</f>
        <v>0</v>
      </c>
      <c r="F620" s="455">
        <f>Study!CK619</f>
        <v>0</v>
      </c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2">
      <c r="A621" s="73">
        <f>Study!CF620</f>
        <v>546</v>
      </c>
      <c r="B621" s="74" t="str">
        <f>Study!CG620</f>
        <v>رسوم ترتيب القرض</v>
      </c>
      <c r="C621" s="93">
        <f>Study!CH620</f>
        <v>831000</v>
      </c>
      <c r="D621" s="74" t="str">
        <f>Study!CI620</f>
        <v>مصروفات الصندوق</v>
      </c>
      <c r="E621" s="76" t="str">
        <f>Study!CJ620</f>
        <v>E321</v>
      </c>
      <c r="F621" s="74" t="str">
        <f>Study!CK620</f>
        <v>ريال سعودي</v>
      </c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2">
      <c r="A622" s="65">
        <f>Study!CF621</f>
        <v>547</v>
      </c>
      <c r="B622" s="66" t="str">
        <f>Study!CG621</f>
        <v>نسبة رسوم ترتيب القرض</v>
      </c>
      <c r="C622" s="154">
        <f>Study!CH621</f>
        <v>0.01</v>
      </c>
      <c r="D622" s="66" t="str">
        <f>Study!CI621</f>
        <v>مصروفات الصندوق</v>
      </c>
      <c r="E622" s="68" t="str">
        <f>Study!CJ621</f>
        <v>C321</v>
      </c>
      <c r="F622" s="66" t="str">
        <f>Study!CK621</f>
        <v>نسبة مئوية</v>
      </c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2">
      <c r="A623" s="73">
        <f>Study!CF622</f>
        <v>548</v>
      </c>
      <c r="B623" s="74" t="str">
        <f>Study!CG622</f>
        <v>رسوم إدارة الهيكل</v>
      </c>
      <c r="C623" s="93">
        <f>Study!CH622</f>
        <v>727354.5823138298</v>
      </c>
      <c r="D623" s="74" t="str">
        <f>Study!CI622</f>
        <v>مصروفات الصندوق</v>
      </c>
      <c r="E623" s="76" t="str">
        <f>Study!CJ622</f>
        <v>E322</v>
      </c>
      <c r="F623" s="74" t="str">
        <f>Study!CK622</f>
        <v>ريال سعودي</v>
      </c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2">
      <c r="A624" s="65">
        <f>Study!CF623</f>
        <v>549</v>
      </c>
      <c r="B624" s="66" t="str">
        <f>Study!CG623</f>
        <v>نسبة رسوم إدارة الهيكل</v>
      </c>
      <c r="C624" s="154">
        <f>Study!CH623</f>
        <v>0.01</v>
      </c>
      <c r="D624" s="66" t="str">
        <f>Study!CI623</f>
        <v>مصروفات الصندوق</v>
      </c>
      <c r="E624" s="68" t="str">
        <f>Study!CJ623</f>
        <v>C322</v>
      </c>
      <c r="F624" s="66" t="str">
        <f>Study!CK623</f>
        <v>نسبة مئوية</v>
      </c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2">
      <c r="A625" s="73">
        <f>Study!CF624</f>
        <v>550</v>
      </c>
      <c r="B625" s="74" t="str">
        <f>Study!CG624</f>
        <v>رسوم إدارة الأصول</v>
      </c>
      <c r="C625" s="93">
        <f>Study!CH624</f>
        <v>3033135.5048495675</v>
      </c>
      <c r="D625" s="74" t="str">
        <f>Study!CI624</f>
        <v>مصروفات الصندوق</v>
      </c>
      <c r="E625" s="76" t="str">
        <f>Study!CJ624</f>
        <v>E323</v>
      </c>
      <c r="F625" s="74" t="str">
        <f>Study!CK624</f>
        <v>ريال سعودي</v>
      </c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2">
      <c r="A626" s="65">
        <f>Study!CF625</f>
        <v>551</v>
      </c>
      <c r="B626" s="66" t="str">
        <f>Study!CG625</f>
        <v>نسبة رسوم إدارة الأصول</v>
      </c>
      <c r="C626" s="154">
        <f>Study!CH625</f>
        <v>1.2500000000000001E-2</v>
      </c>
      <c r="D626" s="66" t="str">
        <f>Study!CI625</f>
        <v>مصروفات الصندوق</v>
      </c>
      <c r="E626" s="68" t="str">
        <f>Study!CJ625</f>
        <v>C323</v>
      </c>
      <c r="F626" s="66" t="str">
        <f>Study!CK625</f>
        <v>نسبة مئوية</v>
      </c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2">
      <c r="A627" s="73">
        <f>Study!CF626</f>
        <v>552</v>
      </c>
      <c r="B627" s="74" t="str">
        <f>Study!CG626</f>
        <v>أتعاب المشغل</v>
      </c>
      <c r="C627" s="93">
        <f>Study!CH626</f>
        <v>481453.53749999998</v>
      </c>
      <c r="D627" s="74" t="str">
        <f>Study!CI626</f>
        <v>مصروفات الصندوق</v>
      </c>
      <c r="E627" s="76" t="str">
        <f>Study!CJ626</f>
        <v>E324</v>
      </c>
      <c r="F627" s="74" t="str">
        <f>Study!CK626</f>
        <v>ريال سعودي</v>
      </c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2">
      <c r="A628" s="65">
        <f>Study!CF627</f>
        <v>553</v>
      </c>
      <c r="B628" s="66" t="str">
        <f>Study!CG627</f>
        <v>نسبة أتعاب المشغل</v>
      </c>
      <c r="C628" s="154">
        <f>Study!CH627</f>
        <v>7.4999999999999997E-3</v>
      </c>
      <c r="D628" s="66" t="str">
        <f>Study!CI627</f>
        <v>مصروفات الصندوق</v>
      </c>
      <c r="E628" s="68" t="str">
        <f>Study!CJ627</f>
        <v>C324</v>
      </c>
      <c r="F628" s="66" t="str">
        <f>Study!CK627</f>
        <v>نسبة مئوية</v>
      </c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2">
      <c r="A629" s="73">
        <f>Study!CF628</f>
        <v>554</v>
      </c>
      <c r="B629" s="74" t="str">
        <f>Study!CG628</f>
        <v>إجمالي مصروفات الصندوق</v>
      </c>
      <c r="C629" s="93">
        <f>Study!CH628</f>
        <v>-5072943.6246633977</v>
      </c>
      <c r="D629" s="74" t="str">
        <f>Study!CI628</f>
        <v>مصروفات الصندوق</v>
      </c>
      <c r="E629" s="76" t="str">
        <f>Study!CJ628</f>
        <v>E325</v>
      </c>
      <c r="F629" s="74" t="str">
        <f>Study!CK628</f>
        <v>ريال سعودي</v>
      </c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" x14ac:dyDescent="0.2">
      <c r="A630" s="455" t="str">
        <f>Study!CF629</f>
        <v>▌ التسهيلات المصرفية</v>
      </c>
      <c r="B630" s="455">
        <f>Study!CG629</f>
        <v>0</v>
      </c>
      <c r="C630" s="455">
        <f>Study!CH629</f>
        <v>0</v>
      </c>
      <c r="D630" s="455">
        <f>Study!CI629</f>
        <v>0</v>
      </c>
      <c r="E630" s="455">
        <f>Study!CJ629</f>
        <v>0</v>
      </c>
      <c r="F630" s="455">
        <f>Study!CK629</f>
        <v>0</v>
      </c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2">
      <c r="A631" s="65">
        <f>Study!CF630</f>
        <v>555</v>
      </c>
      <c r="B631" s="66" t="str">
        <f>Study!CG630</f>
        <v>نسبة فوائد التمويل السنوية</v>
      </c>
      <c r="C631" s="154">
        <f>Study!CH630</f>
        <v>7.2999999999999995E-2</v>
      </c>
      <c r="D631" s="66" t="str">
        <f>Study!CI630</f>
        <v>التسهيلات المصرفية</v>
      </c>
      <c r="E631" s="68" t="str">
        <f>Study!CJ630</f>
        <v>F242</v>
      </c>
      <c r="F631" s="66" t="str">
        <f>Study!CK630</f>
        <v>نسبة مئوية</v>
      </c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2">
      <c r="A632" s="73">
        <f>Study!CF631</f>
        <v>556</v>
      </c>
      <c r="B632" s="74" t="str">
        <f>Study!CG631</f>
        <v>نسبة فوائد التمويل الربع السنوية (QER)</v>
      </c>
      <c r="C632" s="148">
        <f>Study!CH631</f>
        <v>1.8249999999999999E-2</v>
      </c>
      <c r="D632" s="74" t="str">
        <f>Study!CI631</f>
        <v>التسهيلات المصرفية</v>
      </c>
      <c r="E632" s="76" t="str">
        <f>Study!CJ631</f>
        <v>F244</v>
      </c>
      <c r="F632" s="74" t="str">
        <f>Study!CK631</f>
        <v>نسبة مئوية</v>
      </c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" x14ac:dyDescent="0.2">
      <c r="A633" s="455" t="str">
        <f>Study!CF632</f>
        <v>▌ التدفقات النقدية</v>
      </c>
      <c r="B633" s="455">
        <f>Study!CG632</f>
        <v>0</v>
      </c>
      <c r="C633" s="455">
        <f>Study!CH632</f>
        <v>0</v>
      </c>
      <c r="D633" s="455">
        <f>Study!CI632</f>
        <v>0</v>
      </c>
      <c r="E633" s="455">
        <f>Study!CJ632</f>
        <v>0</v>
      </c>
      <c r="F633" s="455">
        <f>Study!CK632</f>
        <v>0</v>
      </c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2">
      <c r="A634" s="65">
        <f>Study!CF633</f>
        <v>557</v>
      </c>
      <c r="B634" s="66" t="str">
        <f>Study!CG633</f>
        <v>الاشتراكات النقدية - قيمة إجمالية</v>
      </c>
      <c r="C634" s="88">
        <f>Study!CH633</f>
        <v>20000000</v>
      </c>
      <c r="D634" s="66" t="str">
        <f>Study!CI633</f>
        <v>التدفقات النقدية</v>
      </c>
      <c r="E634" s="68" t="str">
        <f>Study!CJ633</f>
        <v>C180</v>
      </c>
      <c r="F634" s="66" t="str">
        <f>Study!CK633</f>
        <v>ريال سعودي</v>
      </c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2">
      <c r="A635" s="73">
        <f>Study!CF634</f>
        <v>558</v>
      </c>
      <c r="B635" s="74" t="str">
        <f>Study!CG634</f>
        <v>الاشتراك النقدي من المطور - قيمة إجمالية</v>
      </c>
      <c r="C635" s="93">
        <f>Study!CH634</f>
        <v>0</v>
      </c>
      <c r="D635" s="74" t="str">
        <f>Study!CI634</f>
        <v>التدفقات النقدية</v>
      </c>
      <c r="E635" s="76" t="str">
        <f>Study!CJ634</f>
        <v>C181</v>
      </c>
      <c r="F635" s="74" t="str">
        <f>Study!CK634</f>
        <v>ريال سعودي</v>
      </c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2">
      <c r="A636" s="65">
        <f>Study!CF635</f>
        <v>559</v>
      </c>
      <c r="B636" s="66" t="str">
        <f>Study!CG635</f>
        <v>الاشتراك العيني من المطور - قيمة إجمالية</v>
      </c>
      <c r="C636" s="88">
        <f>Study!CH635</f>
        <v>10147458.231382981</v>
      </c>
      <c r="D636" s="66" t="str">
        <f>Study!CI635</f>
        <v>التدفقات النقدية</v>
      </c>
      <c r="E636" s="68" t="str">
        <f>Study!CJ635</f>
        <v>C182</v>
      </c>
      <c r="F636" s="66" t="str">
        <f>Study!CK635</f>
        <v>ريال سعودي</v>
      </c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2">
      <c r="A637" s="73">
        <f>Study!CF636</f>
        <v>560</v>
      </c>
      <c r="B637" s="74" t="str">
        <f>Study!CG636</f>
        <v>الاشتراك العيني من مالك الأرض - قيمة إجمالية</v>
      </c>
      <c r="C637" s="93">
        <f>Study!CH636</f>
        <v>42588000</v>
      </c>
      <c r="D637" s="74" t="str">
        <f>Study!CI636</f>
        <v>التدفقات النقدية</v>
      </c>
      <c r="E637" s="76" t="str">
        <f>Study!CJ636</f>
        <v>C183</v>
      </c>
      <c r="F637" s="74" t="str">
        <f>Study!CK636</f>
        <v>ريال سعودي</v>
      </c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2">
      <c r="A638" s="65">
        <f>Study!CF637</f>
        <v>561</v>
      </c>
      <c r="B638" s="66" t="str">
        <f>Study!CG637</f>
        <v>البيع على الخارطة - قيمة إجمالية</v>
      </c>
      <c r="C638" s="88">
        <f>Study!CH637</f>
        <v>36847256.52925536</v>
      </c>
      <c r="D638" s="66" t="str">
        <f>Study!CI637</f>
        <v>التدفقات النقدية</v>
      </c>
      <c r="E638" s="68" t="str">
        <f>Study!CJ637</f>
        <v>C184</v>
      </c>
      <c r="F638" s="66" t="str">
        <f>Study!CK637</f>
        <v>ريال سعودي</v>
      </c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2">
      <c r="A639" s="73">
        <f>Study!CF638</f>
        <v>562</v>
      </c>
      <c r="B639" s="74" t="str">
        <f>Study!CG638</f>
        <v>التأجير السنوي - قيمة إجمالية</v>
      </c>
      <c r="C639" s="93">
        <f>Study!CH638</f>
        <v>2446544.6808510618</v>
      </c>
      <c r="D639" s="74" t="str">
        <f>Study!CI638</f>
        <v>التدفقات النقدية</v>
      </c>
      <c r="E639" s="76" t="str">
        <f>Study!CJ638</f>
        <v>C185</v>
      </c>
      <c r="F639" s="74" t="str">
        <f>Study!CK638</f>
        <v>ريال سعودي</v>
      </c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2">
      <c r="A640" s="65">
        <f>Study!CF639</f>
        <v>563</v>
      </c>
      <c r="B640" s="66" t="str">
        <f>Study!CG639</f>
        <v>التأجير اليومي - قيمة إجمالية</v>
      </c>
      <c r="C640" s="88">
        <f>Study!CH639</f>
        <v>10117800</v>
      </c>
      <c r="D640" s="66" t="str">
        <f>Study!CI639</f>
        <v>التدفقات النقدية</v>
      </c>
      <c r="E640" s="68" t="str">
        <f>Study!CJ639</f>
        <v>C186</v>
      </c>
      <c r="F640" s="66" t="str">
        <f>Study!CK639</f>
        <v>ريال سعودي</v>
      </c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2">
      <c r="A641" s="73">
        <f>Study!CF640</f>
        <v>564</v>
      </c>
      <c r="B641" s="74" t="str">
        <f>Study!CG640</f>
        <v>البيع المباشر - قيمة إجمالية</v>
      </c>
      <c r="C641" s="93">
        <f>Study!CH640</f>
        <v>83210774.080712393</v>
      </c>
      <c r="D641" s="74" t="str">
        <f>Study!CI640</f>
        <v>التدفقات النقدية</v>
      </c>
      <c r="E641" s="76" t="str">
        <f>Study!CJ640</f>
        <v>C187</v>
      </c>
      <c r="F641" s="74" t="str">
        <f>Study!CK640</f>
        <v>ريال سعودي</v>
      </c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2">
      <c r="A642" s="65">
        <f>Study!CF641</f>
        <v>565</v>
      </c>
      <c r="B642" s="66" t="str">
        <f>Study!CG641</f>
        <v>المخارجة (Buyout) - قيمة إجمالية</v>
      </c>
      <c r="C642" s="88">
        <f>Study!CH641</f>
        <v>136693172.87234038</v>
      </c>
      <c r="D642" s="66" t="str">
        <f>Study!CI641</f>
        <v>التدفقات النقدية</v>
      </c>
      <c r="E642" s="68" t="str">
        <f>Study!CJ641</f>
        <v>C188</v>
      </c>
      <c r="F642" s="66" t="str">
        <f>Study!CK641</f>
        <v>ريال سعودي</v>
      </c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2">
      <c r="A643" s="73">
        <f>Study!CF642</f>
        <v>566</v>
      </c>
      <c r="B643" s="74" t="str">
        <f>Study!CG642</f>
        <v>أصل التمويل - قيمة إجمالية</v>
      </c>
      <c r="C643" s="93">
        <f>Study!CH642</f>
        <v>83100000</v>
      </c>
      <c r="D643" s="74" t="str">
        <f>Study!CI642</f>
        <v>التدفقات النقدية</v>
      </c>
      <c r="E643" s="76" t="str">
        <f>Study!CJ642</f>
        <v>C189</v>
      </c>
      <c r="F643" s="74" t="str">
        <f>Study!CK642</f>
        <v>ريال سعودي</v>
      </c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2">
      <c r="A644" s="65">
        <f>Study!CF643</f>
        <v>567</v>
      </c>
      <c r="B644" s="66" t="str">
        <f>Study!CG643</f>
        <v>سداد أصل التمويل - قيمة إجمالية</v>
      </c>
      <c r="C644" s="88">
        <f>Study!CH643</f>
        <v>-83100000</v>
      </c>
      <c r="D644" s="66" t="str">
        <f>Study!CI643</f>
        <v>التدفقات النقدية</v>
      </c>
      <c r="E644" s="68" t="str">
        <f>Study!CJ643</f>
        <v>C191</v>
      </c>
      <c r="F644" s="66" t="str">
        <f>Study!CK643</f>
        <v>ريال سعودي</v>
      </c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2">
      <c r="A645" s="73">
        <f>Study!CF644</f>
        <v>568</v>
      </c>
      <c r="B645" s="74" t="str">
        <f>Study!CG644</f>
        <v>نسبة فوائد التمويل</v>
      </c>
      <c r="C645" s="148">
        <f>Study!CH644</f>
        <v>7.2999999999999995E-2</v>
      </c>
      <c r="D645" s="74" t="str">
        <f>Study!CI644</f>
        <v>التدفقات النقدية</v>
      </c>
      <c r="E645" s="76" t="str">
        <f>Study!CJ644</f>
        <v>C192</v>
      </c>
      <c r="F645" s="74" t="str">
        <f>Study!CK644</f>
        <v>نسبة مئوية</v>
      </c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2">
      <c r="A646" s="65">
        <f>Study!CF645</f>
        <v>569</v>
      </c>
      <c r="B646" s="66" t="str">
        <f>Study!CG645</f>
        <v>نسبة رسوم ترتيب التمويل</v>
      </c>
      <c r="C646" s="154">
        <f>Study!CH645</f>
        <v>5.0000000000000001E-3</v>
      </c>
      <c r="D646" s="66" t="str">
        <f>Study!CI645</f>
        <v>التدفقات النقدية</v>
      </c>
      <c r="E646" s="68" t="str">
        <f>Study!CJ645</f>
        <v>C193</v>
      </c>
      <c r="F646" s="66" t="str">
        <f>Study!CK645</f>
        <v>نسبة مئوية</v>
      </c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2">
      <c r="A647" s="73">
        <f>Study!CF646</f>
        <v>570</v>
      </c>
      <c r="B647" s="74" t="str">
        <f>Study!CG646</f>
        <v>تكلفة الأرض (تدفقات)</v>
      </c>
      <c r="C647" s="93">
        <f>Study!CH646</f>
        <v>-60840000</v>
      </c>
      <c r="D647" s="74" t="str">
        <f>Study!CI646</f>
        <v>التدفقات النقدية</v>
      </c>
      <c r="E647" s="76" t="str">
        <f>Study!CJ646</f>
        <v>C194</v>
      </c>
      <c r="F647" s="74" t="str">
        <f>Study!CK646</f>
        <v>ريال سعودي</v>
      </c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2">
      <c r="A648" s="65">
        <f>Study!CF647</f>
        <v>571</v>
      </c>
      <c r="B648" s="66" t="str">
        <f>Study!CG647</f>
        <v>ضريبة التصرفات + السعي (تدفقات)</v>
      </c>
      <c r="C648" s="88">
        <f>Study!CH647</f>
        <v>-3353805</v>
      </c>
      <c r="D648" s="66" t="str">
        <f>Study!CI647</f>
        <v>التدفقات النقدية</v>
      </c>
      <c r="E648" s="68" t="str">
        <f>Study!CJ647</f>
        <v>C195</v>
      </c>
      <c r="F648" s="66" t="str">
        <f>Study!CK647</f>
        <v>ريال سعودي</v>
      </c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2">
      <c r="A649" s="73">
        <f>Study!CF648</f>
        <v>572</v>
      </c>
      <c r="B649" s="74" t="str">
        <f>Study!CG648</f>
        <v>تكاليف مسطحات البناء (تدفقات)</v>
      </c>
      <c r="C649" s="93">
        <f>Study!CH648</f>
        <v>-81179665.851063833</v>
      </c>
      <c r="D649" s="74" t="str">
        <f>Study!CI648</f>
        <v>التدفقات النقدية</v>
      </c>
      <c r="E649" s="76" t="str">
        <f>Study!CJ648</f>
        <v>C196</v>
      </c>
      <c r="F649" s="74" t="str">
        <f>Study!CK648</f>
        <v>ريال سعودي</v>
      </c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2">
      <c r="A650" s="65">
        <f>Study!CF649</f>
        <v>573</v>
      </c>
      <c r="B650" s="66" t="str">
        <f>Study!CG649</f>
        <v>صافي التدفق النقدي (تدفقات)</v>
      </c>
      <c r="C650" s="88">
        <f>Study!CH649</f>
        <v>63577104.776960149</v>
      </c>
      <c r="D650" s="66" t="str">
        <f>Study!CI649</f>
        <v>التدفقات النقدية</v>
      </c>
      <c r="E650" s="68" t="str">
        <f>Study!CJ649</f>
        <v>C218</v>
      </c>
      <c r="F650" s="66" t="str">
        <f>Study!CK649</f>
        <v>ريال سعودي</v>
      </c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2">
      <c r="A651" s="73">
        <f>Study!CF650</f>
        <v>574</v>
      </c>
      <c r="B651" s="74" t="str">
        <f>Study!CG650</f>
        <v>إجمالي CapEx + OpEx (تدفقات)</v>
      </c>
      <c r="C651" s="93">
        <f>Study!CH650</f>
        <v>205738443.386199</v>
      </c>
      <c r="D651" s="74" t="str">
        <f>Study!CI650</f>
        <v>التدفقات النقدية</v>
      </c>
      <c r="E651" s="76" t="str">
        <f>Study!CJ650</f>
        <v>C219</v>
      </c>
      <c r="F651" s="74" t="str">
        <f>Study!CK650</f>
        <v>ريال سعودي</v>
      </c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2">
      <c r="A652" s="65">
        <f>Study!CF651</f>
        <v>575</v>
      </c>
      <c r="B652" s="66" t="str">
        <f>Study!CG651</f>
        <v>إجمالي الإيرادات (تدفقات)</v>
      </c>
      <c r="C652" s="88">
        <f>Study!CH651</f>
        <v>269315548.16315919</v>
      </c>
      <c r="D652" s="66" t="str">
        <f>Study!CI651</f>
        <v>التدفقات النقدية</v>
      </c>
      <c r="E652" s="68" t="str">
        <f>Study!CJ651</f>
        <v>C220</v>
      </c>
      <c r="F652" s="66" t="str">
        <f>Study!CK651</f>
        <v>ريال سعودي</v>
      </c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2">
      <c r="A653" s="73">
        <f>Study!CF652</f>
        <v>576</v>
      </c>
      <c r="B653" s="74" t="str">
        <f>Study!CG652</f>
        <v>صافي الدخل (تدفقات)</v>
      </c>
      <c r="C653" s="93">
        <f>Study!CH652</f>
        <v>63577104.776960194</v>
      </c>
      <c r="D653" s="74" t="str">
        <f>Study!CI652</f>
        <v>التدفقات النقدية</v>
      </c>
      <c r="E653" s="76" t="str">
        <f>Study!CJ652</f>
        <v>C221</v>
      </c>
      <c r="F653" s="74" t="str">
        <f>Study!CK652</f>
        <v>ريال سعودي</v>
      </c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2">
      <c r="A654" s="65">
        <f>Study!CF653</f>
        <v>577</v>
      </c>
      <c r="B654" s="66" t="str">
        <f>Study!CG653</f>
        <v>الاطار الزمني (ربع سنوي)</v>
      </c>
      <c r="C654" s="462" t="str">
        <f>Study!CH653</f>
        <v>Q1</v>
      </c>
      <c r="D654" s="88" t="str">
        <f>Study!CI653</f>
        <v>Q2</v>
      </c>
      <c r="E654" s="88" t="str">
        <f>Study!CJ653</f>
        <v>Q3</v>
      </c>
      <c r="F654" s="88" t="str">
        <f>Study!CK653</f>
        <v>Q4</v>
      </c>
      <c r="G654" s="88" t="str">
        <f>Study!CL653</f>
        <v>Q5</v>
      </c>
      <c r="H654" s="88" t="str">
        <f>Study!CM653</f>
        <v>Q6</v>
      </c>
      <c r="I654" s="88" t="str">
        <f>Study!CN653</f>
        <v>Q7</v>
      </c>
      <c r="J654" s="88" t="str">
        <f>Study!CO653</f>
        <v>Q8</v>
      </c>
      <c r="K654" s="88" t="str">
        <f>Study!CP653</f>
        <v>Q9</v>
      </c>
      <c r="L654" s="88" t="str">
        <f>Study!CQ653</f>
        <v>Q10</v>
      </c>
      <c r="M654" s="88" t="str">
        <f>Study!CR653</f>
        <v>Q11</v>
      </c>
      <c r="N654" s="88" t="str">
        <f>Study!CS653</f>
        <v>Q12</v>
      </c>
      <c r="O654" s="88" t="str">
        <f>Study!CT653</f>
        <v>Q13</v>
      </c>
      <c r="P654" s="88" t="str">
        <f>Study!CU653</f>
        <v>Q14</v>
      </c>
      <c r="Q654" s="88" t="str">
        <f>Study!CV653</f>
        <v>Q15</v>
      </c>
      <c r="R654" s="88" t="str">
        <f>Study!CW653</f>
        <v>Q16</v>
      </c>
      <c r="S654" s="88" t="str">
        <f>Study!CX653</f>
        <v>Q17</v>
      </c>
      <c r="T654" s="88" t="str">
        <f>Study!CY653</f>
        <v>Q18</v>
      </c>
      <c r="U654" s="88" t="str">
        <f>Study!CZ653</f>
        <v>Q19</v>
      </c>
      <c r="V654" s="88" t="str">
        <f>Study!DA653</f>
        <v>Q20</v>
      </c>
      <c r="W654" s="88" t="str">
        <f>Study!DB653</f>
        <v>Q21</v>
      </c>
      <c r="X654" s="88" t="str">
        <f>Study!DC653</f>
        <v>Q22</v>
      </c>
      <c r="Y654" s="88" t="str">
        <f>Study!DD653</f>
        <v>Q23</v>
      </c>
      <c r="Z654" s="88" t="str">
        <f>Study!DE653</f>
        <v>Q24</v>
      </c>
    </row>
    <row r="655" spans="1:26" x14ac:dyDescent="0.2">
      <c r="A655" s="73">
        <f>Study!CF654</f>
        <v>578</v>
      </c>
      <c r="B655" s="74" t="str">
        <f>Study!CG654</f>
        <v>التاريخ</v>
      </c>
      <c r="C655" s="463">
        <f>Study!CH654</f>
        <v>46022</v>
      </c>
      <c r="D655" s="450">
        <f>Study!CI654</f>
        <v>46112</v>
      </c>
      <c r="E655" s="450">
        <f>Study!CJ654</f>
        <v>46203</v>
      </c>
      <c r="F655" s="450">
        <f>Study!CK654</f>
        <v>46295</v>
      </c>
      <c r="G655" s="450">
        <f>Study!CL654</f>
        <v>46387</v>
      </c>
      <c r="H655" s="450">
        <f>Study!CM654</f>
        <v>46477</v>
      </c>
      <c r="I655" s="450">
        <f>Study!CN654</f>
        <v>46568</v>
      </c>
      <c r="J655" s="450">
        <f>Study!CO654</f>
        <v>46660</v>
      </c>
      <c r="K655" s="450">
        <f>Study!CP654</f>
        <v>46752</v>
      </c>
      <c r="L655" s="450">
        <f>Study!CQ654</f>
        <v>46843</v>
      </c>
      <c r="M655" s="450">
        <f>Study!CR654</f>
        <v>46934</v>
      </c>
      <c r="N655" s="450">
        <f>Study!CS654</f>
        <v>47026</v>
      </c>
      <c r="O655" s="450">
        <f>Study!CT654</f>
        <v>47118</v>
      </c>
      <c r="P655" s="450">
        <f>Study!CU654</f>
        <v>47208</v>
      </c>
      <c r="Q655" s="450">
        <f>Study!CV654</f>
        <v>47299</v>
      </c>
      <c r="R655" s="450">
        <f>Study!CW654</f>
        <v>47391</v>
      </c>
      <c r="S655" s="450">
        <f>Study!CX654</f>
        <v>47483</v>
      </c>
      <c r="T655" s="450">
        <f>Study!CY654</f>
        <v>47573</v>
      </c>
      <c r="U655" s="450">
        <f>Study!CZ654</f>
        <v>47664</v>
      </c>
      <c r="V655" s="450">
        <f>Study!DA654</f>
        <v>47756</v>
      </c>
      <c r="W655" s="450">
        <f>Study!DB654</f>
        <v>47848</v>
      </c>
      <c r="X655" s="450">
        <f>Study!DC654</f>
        <v>47938</v>
      </c>
      <c r="Y655" s="450">
        <f>Study!DD654</f>
        <v>48029</v>
      </c>
      <c r="Z655" s="450">
        <f>Study!DE654</f>
        <v>48121</v>
      </c>
    </row>
    <row r="656" spans="1:26" ht="25.5" x14ac:dyDescent="0.2">
      <c r="A656" s="65">
        <f>Study!CF655</f>
        <v>579</v>
      </c>
      <c r="B656" s="66" t="str">
        <f>Study!CG655</f>
        <v>تكلفة الأرض
 (Land Cost)</v>
      </c>
      <c r="C656" s="462">
        <f>Study!CH655</f>
        <v>-60840000</v>
      </c>
      <c r="D656" s="462">
        <f>Study!CI655</f>
        <v>0</v>
      </c>
      <c r="E656" s="462">
        <f>Study!CJ655</f>
        <v>0</v>
      </c>
      <c r="F656" s="462">
        <f>Study!CK655</f>
        <v>0</v>
      </c>
      <c r="G656" s="462">
        <f>Study!CL655</f>
        <v>0</v>
      </c>
      <c r="H656" s="462">
        <f>Study!CM655</f>
        <v>0</v>
      </c>
      <c r="I656" s="462">
        <f>Study!CN655</f>
        <v>0</v>
      </c>
      <c r="J656" s="462">
        <f>Study!CO655</f>
        <v>0</v>
      </c>
      <c r="K656" s="462">
        <f>Study!CP655</f>
        <v>0</v>
      </c>
      <c r="L656" s="462">
        <f>Study!CQ655</f>
        <v>0</v>
      </c>
      <c r="M656" s="462">
        <f>Study!CR655</f>
        <v>0</v>
      </c>
      <c r="N656" s="462">
        <f>Study!CS655</f>
        <v>0</v>
      </c>
      <c r="O656" s="462">
        <f>Study!CT655</f>
        <v>0</v>
      </c>
      <c r="P656" s="462">
        <f>Study!CU655</f>
        <v>0</v>
      </c>
      <c r="Q656" s="462">
        <f>Study!CV655</f>
        <v>0</v>
      </c>
      <c r="R656" s="462">
        <f>Study!CW655</f>
        <v>0</v>
      </c>
      <c r="S656" s="462">
        <f>Study!CX655</f>
        <v>0</v>
      </c>
      <c r="T656" s="462">
        <f>Study!CY655</f>
        <v>0</v>
      </c>
      <c r="U656" s="462">
        <f>Study!CZ655</f>
        <v>0</v>
      </c>
      <c r="V656" s="462">
        <f>Study!DA655</f>
        <v>0</v>
      </c>
      <c r="W656" s="462">
        <f>Study!DB655</f>
        <v>0</v>
      </c>
      <c r="X656" s="462">
        <f>Study!DC655</f>
        <v>0</v>
      </c>
      <c r="Y656" s="462">
        <f>Study!DD655</f>
        <v>0</v>
      </c>
      <c r="Z656" s="462">
        <f>Study!DE655</f>
        <v>0</v>
      </c>
    </row>
    <row r="657" spans="1:26" ht="25.5" x14ac:dyDescent="0.2">
      <c r="A657" s="73">
        <f>Study!CF656</f>
        <v>580</v>
      </c>
      <c r="B657" s="74" t="str">
        <f>Study!CG656</f>
        <v>الحفر والمسح والاختبار 
 (Excavation, surveying, and testing)</v>
      </c>
      <c r="C657" s="463">
        <f>Study!CH656</f>
        <v>0</v>
      </c>
      <c r="D657" s="463">
        <f>Study!CI656</f>
        <v>-1895400</v>
      </c>
      <c r="E657" s="463">
        <f>Study!CJ656</f>
        <v>0</v>
      </c>
      <c r="F657" s="463">
        <f>Study!CK656</f>
        <v>0</v>
      </c>
      <c r="G657" s="463">
        <f>Study!CL656</f>
        <v>0</v>
      </c>
      <c r="H657" s="463">
        <f>Study!CM656</f>
        <v>0</v>
      </c>
      <c r="I657" s="463">
        <f>Study!CN656</f>
        <v>0</v>
      </c>
      <c r="J657" s="463">
        <f>Study!CO656</f>
        <v>0</v>
      </c>
      <c r="K657" s="463">
        <f>Study!CP656</f>
        <v>0</v>
      </c>
      <c r="L657" s="463">
        <f>Study!CQ656</f>
        <v>0</v>
      </c>
      <c r="M657" s="463">
        <f>Study!CR656</f>
        <v>0</v>
      </c>
      <c r="N657" s="463">
        <f>Study!CS656</f>
        <v>0</v>
      </c>
      <c r="O657" s="463">
        <f>Study!CT656</f>
        <v>0</v>
      </c>
      <c r="P657" s="463">
        <f>Study!CU656</f>
        <v>0</v>
      </c>
      <c r="Q657" s="463">
        <f>Study!CV656</f>
        <v>0</v>
      </c>
      <c r="R657" s="463">
        <f>Study!CW656</f>
        <v>0</v>
      </c>
      <c r="S657" s="463">
        <f>Study!CX656</f>
        <v>0</v>
      </c>
      <c r="T657" s="463">
        <f>Study!CY656</f>
        <v>0</v>
      </c>
      <c r="U657" s="463">
        <f>Study!CZ656</f>
        <v>0</v>
      </c>
      <c r="V657" s="463">
        <f>Study!DA656</f>
        <v>0</v>
      </c>
      <c r="W657" s="463">
        <f>Study!DB656</f>
        <v>0</v>
      </c>
      <c r="X657" s="463">
        <f>Study!DC656</f>
        <v>0</v>
      </c>
      <c r="Y657" s="463">
        <f>Study!DD656</f>
        <v>0</v>
      </c>
      <c r="Z657" s="463">
        <f>Study!DE656</f>
        <v>0</v>
      </c>
    </row>
    <row r="658" spans="1:26" ht="25.5" x14ac:dyDescent="0.2">
      <c r="A658" s="65">
        <f>Study!CF657</f>
        <v>581</v>
      </c>
      <c r="B658" s="66" t="str">
        <f>Study!CG657</f>
        <v>التصميم
 (Design)</v>
      </c>
      <c r="C658" s="462">
        <f>Study!CH657</f>
        <v>-1704772.9828723401</v>
      </c>
      <c r="D658" s="462">
        <f>Study!CI657</f>
        <v>-730616.99265957437</v>
      </c>
      <c r="E658" s="462">
        <f>Study!CJ657</f>
        <v>0</v>
      </c>
      <c r="F658" s="462">
        <f>Study!CK657</f>
        <v>0</v>
      </c>
      <c r="G658" s="462">
        <f>Study!CL657</f>
        <v>0</v>
      </c>
      <c r="H658" s="462">
        <f>Study!CM657</f>
        <v>0</v>
      </c>
      <c r="I658" s="462">
        <f>Study!CN657</f>
        <v>0</v>
      </c>
      <c r="J658" s="462">
        <f>Study!CO657</f>
        <v>0</v>
      </c>
      <c r="K658" s="462">
        <f>Study!CP657</f>
        <v>0</v>
      </c>
      <c r="L658" s="462">
        <f>Study!CQ657</f>
        <v>0</v>
      </c>
      <c r="M658" s="462">
        <f>Study!CR657</f>
        <v>0</v>
      </c>
      <c r="N658" s="462">
        <f>Study!CS657</f>
        <v>0</v>
      </c>
      <c r="O658" s="462">
        <f>Study!CT657</f>
        <v>0</v>
      </c>
      <c r="P658" s="462">
        <f>Study!CU657</f>
        <v>0</v>
      </c>
      <c r="Q658" s="462">
        <f>Study!CV657</f>
        <v>0</v>
      </c>
      <c r="R658" s="462">
        <f>Study!CW657</f>
        <v>0</v>
      </c>
      <c r="S658" s="462">
        <f>Study!CX657</f>
        <v>0</v>
      </c>
      <c r="T658" s="462">
        <f>Study!CY657</f>
        <v>0</v>
      </c>
      <c r="U658" s="462">
        <f>Study!CZ657</f>
        <v>0</v>
      </c>
      <c r="V658" s="462">
        <f>Study!DA657</f>
        <v>0</v>
      </c>
      <c r="W658" s="462">
        <f>Study!DB657</f>
        <v>0</v>
      </c>
      <c r="X658" s="462">
        <f>Study!DC657</f>
        <v>0</v>
      </c>
      <c r="Y658" s="462">
        <f>Study!DD657</f>
        <v>0</v>
      </c>
      <c r="Z658" s="462">
        <f>Study!DE657</f>
        <v>0</v>
      </c>
    </row>
    <row r="659" spans="1:26" ht="25.5" x14ac:dyDescent="0.2">
      <c r="A659" s="73">
        <f>Study!CF658</f>
        <v>582</v>
      </c>
      <c r="B659" s="74" t="str">
        <f>Study!CG658</f>
        <v>تكاليف مسطحات البناء 
(Construction Costs)</v>
      </c>
      <c r="C659" s="463">
        <f>Study!CH658</f>
        <v>0</v>
      </c>
      <c r="D659" s="463">
        <f>Study!CI658</f>
        <v>0</v>
      </c>
      <c r="E659" s="463">
        <f>Study!CJ658</f>
        <v>-16235933.170212768</v>
      </c>
      <c r="F659" s="463">
        <f>Study!CK658</f>
        <v>-12176949.877659574</v>
      </c>
      <c r="G659" s="463">
        <f>Study!CL658</f>
        <v>-8117966.585106384</v>
      </c>
      <c r="H659" s="463">
        <f>Study!CM658</f>
        <v>-8117966.585106384</v>
      </c>
      <c r="I659" s="463">
        <f>Study!CN658</f>
        <v>-8117966.585106384</v>
      </c>
      <c r="J659" s="463">
        <f>Study!CO658</f>
        <v>-8117966.585106384</v>
      </c>
      <c r="K659" s="463">
        <f>Study!CP658</f>
        <v>-8117966.585106384</v>
      </c>
      <c r="L659" s="463">
        <f>Study!CQ658</f>
        <v>-12176949.877659574</v>
      </c>
      <c r="M659" s="463">
        <f>Study!CR658</f>
        <v>0</v>
      </c>
      <c r="N659" s="463">
        <f>Study!CS658</f>
        <v>0</v>
      </c>
      <c r="O659" s="463">
        <f>Study!CT658</f>
        <v>0</v>
      </c>
      <c r="P659" s="463">
        <f>Study!CU658</f>
        <v>0</v>
      </c>
      <c r="Q659" s="463">
        <f>Study!CV658</f>
        <v>0</v>
      </c>
      <c r="R659" s="463">
        <f>Study!CW658</f>
        <v>0</v>
      </c>
      <c r="S659" s="463">
        <f>Study!CX658</f>
        <v>0</v>
      </c>
      <c r="T659" s="463">
        <f>Study!CY658</f>
        <v>0</v>
      </c>
      <c r="U659" s="463">
        <f>Study!CZ658</f>
        <v>0</v>
      </c>
      <c r="V659" s="463">
        <f>Study!DA658</f>
        <v>0</v>
      </c>
      <c r="W659" s="463">
        <f>Study!DB658</f>
        <v>0</v>
      </c>
      <c r="X659" s="463">
        <f>Study!DC658</f>
        <v>0</v>
      </c>
      <c r="Y659" s="463">
        <f>Study!DD658</f>
        <v>0</v>
      </c>
      <c r="Z659" s="463">
        <f>Study!DE658</f>
        <v>0</v>
      </c>
    </row>
    <row r="660" spans="1:26" ht="25.5" x14ac:dyDescent="0.2">
      <c r="A660" s="65">
        <f>Study!CF659</f>
        <v>583</v>
      </c>
      <c r="B660" s="66" t="str">
        <f>Study!CG659</f>
        <v>الايراد
(Revenue)</v>
      </c>
      <c r="C660" s="462">
        <f>Study!CH659</f>
        <v>0</v>
      </c>
      <c r="D660" s="462">
        <f>Study!CI659</f>
        <v>0</v>
      </c>
      <c r="E660" s="462">
        <f>Study!CJ659</f>
        <v>0</v>
      </c>
      <c r="F660" s="462">
        <f>Study!CK659</f>
        <v>0</v>
      </c>
      <c r="G660" s="462">
        <f>Study!CL659</f>
        <v>0</v>
      </c>
      <c r="H660" s="462">
        <f>Study!CM659</f>
        <v>0</v>
      </c>
      <c r="I660" s="462">
        <f>Study!CN659</f>
        <v>0</v>
      </c>
      <c r="J660" s="462">
        <f>Study!CO659</f>
        <v>0</v>
      </c>
      <c r="K660" s="462">
        <f>Study!CP659</f>
        <v>0</v>
      </c>
      <c r="L660" s="462">
        <f>Study!CQ659</f>
        <v>349506.38297872309</v>
      </c>
      <c r="M660" s="462">
        <f>Study!CR659</f>
        <v>10694143.791049963</v>
      </c>
      <c r="N660" s="462">
        <f>Study!CS659</f>
        <v>14854682.49508558</v>
      </c>
      <c r="O660" s="462">
        <f>Study!CT659</f>
        <v>16215968.878064305</v>
      </c>
      <c r="P660" s="462">
        <f>Study!CU659</f>
        <v>53242612.589327022</v>
      </c>
      <c r="Q660" s="462">
        <f>Study!CV659</f>
        <v>137111377.49739826</v>
      </c>
      <c r="R660" s="462">
        <f>Study!CW659</f>
        <v>0</v>
      </c>
      <c r="S660" s="462">
        <f>Study!CX659</f>
        <v>0</v>
      </c>
      <c r="T660" s="462">
        <f>Study!CY659</f>
        <v>0</v>
      </c>
      <c r="U660" s="462">
        <f>Study!CZ659</f>
        <v>0</v>
      </c>
      <c r="V660" s="462">
        <f>Study!DA659</f>
        <v>0</v>
      </c>
      <c r="W660" s="462">
        <f>Study!DB659</f>
        <v>0</v>
      </c>
      <c r="X660" s="462">
        <f>Study!DC659</f>
        <v>0</v>
      </c>
      <c r="Y660" s="462">
        <f>Study!DD659</f>
        <v>0</v>
      </c>
      <c r="Z660" s="462">
        <f>Study!DE659</f>
        <v>0</v>
      </c>
    </row>
    <row r="661" spans="1:26" ht="25.5" x14ac:dyDescent="0.2">
      <c r="A661" s="73">
        <f>Study!CF660</f>
        <v>584</v>
      </c>
      <c r="B661" s="74" t="str">
        <f>Study!CG660</f>
        <v>سداد أصل التمويل
 (Principal Repayment)</v>
      </c>
      <c r="C661" s="463">
        <f>Study!CH660</f>
        <v>0</v>
      </c>
      <c r="D661" s="463">
        <f>Study!CI660</f>
        <v>0</v>
      </c>
      <c r="E661" s="463">
        <f>Study!CJ660</f>
        <v>0</v>
      </c>
      <c r="F661" s="463">
        <f>Study!CK660</f>
        <v>0</v>
      </c>
      <c r="G661" s="463">
        <f>Study!CL660</f>
        <v>0</v>
      </c>
      <c r="H661" s="463">
        <f>Study!CM660</f>
        <v>0</v>
      </c>
      <c r="I661" s="463">
        <f>Study!CN660</f>
        <v>0</v>
      </c>
      <c r="J661" s="463">
        <f>Study!CO660</f>
        <v>0</v>
      </c>
      <c r="K661" s="463">
        <f>Study!CP660</f>
        <v>0</v>
      </c>
      <c r="L661" s="463">
        <f>Study!CQ660</f>
        <v>0</v>
      </c>
      <c r="M661" s="463">
        <f>Study!CR660</f>
        <v>0</v>
      </c>
      <c r="N661" s="463">
        <f>Study!CS660</f>
        <v>0</v>
      </c>
      <c r="O661" s="463">
        <f>Study!CT660</f>
        <v>0</v>
      </c>
      <c r="P661" s="463">
        <f>Study!CU660</f>
        <v>0</v>
      </c>
      <c r="Q661" s="463">
        <f>Study!CV660</f>
        <v>-83100000</v>
      </c>
      <c r="R661" s="463">
        <f>Study!CW660</f>
        <v>0</v>
      </c>
      <c r="S661" s="463">
        <f>Study!CX660</f>
        <v>0</v>
      </c>
      <c r="T661" s="463">
        <f>Study!CY660</f>
        <v>0</v>
      </c>
      <c r="U661" s="463">
        <f>Study!CZ660</f>
        <v>0</v>
      </c>
      <c r="V661" s="463">
        <f>Study!DA660</f>
        <v>0</v>
      </c>
      <c r="W661" s="463">
        <f>Study!DB660</f>
        <v>0</v>
      </c>
      <c r="X661" s="463">
        <f>Study!DC660</f>
        <v>0</v>
      </c>
      <c r="Y661" s="463">
        <f>Study!DD660</f>
        <v>0</v>
      </c>
      <c r="Z661" s="463">
        <f>Study!DE660</f>
        <v>0</v>
      </c>
    </row>
    <row r="662" spans="1:26" x14ac:dyDescent="0.2">
      <c r="A662" s="65">
        <f>Study!CF661</f>
        <v>585</v>
      </c>
      <c r="B662" s="451" t="str">
        <f>Study!CG661</f>
        <v>اجمالي التكاليف</v>
      </c>
      <c r="C662" s="464">
        <f>Study!CH661</f>
        <v>-69569285.19137089</v>
      </c>
      <c r="D662" s="464">
        <f>Study!CI661</f>
        <v>-4819403.4008123782</v>
      </c>
      <c r="E662" s="464">
        <f>Study!CJ661</f>
        <v>-18770810.24825919</v>
      </c>
      <c r="F662" s="464">
        <f>Study!CK661</f>
        <v>-14960569.780560549</v>
      </c>
      <c r="G662" s="464">
        <f>Study!CL661</f>
        <v>-10481084.183099614</v>
      </c>
      <c r="H662" s="464">
        <f>Study!CM661</f>
        <v>-10758766.070769994</v>
      </c>
      <c r="I662" s="464">
        <f>Study!CN661</f>
        <v>-10770001.101583658</v>
      </c>
      <c r="J662" s="464">
        <f>Study!CO661</f>
        <v>-11919193.250005802</v>
      </c>
      <c r="K662" s="464">
        <f>Study!CP661</f>
        <v>-14027652.039546194</v>
      </c>
      <c r="L662" s="464">
        <f>Study!CQ661</f>
        <v>-24454679.179423183</v>
      </c>
      <c r="M662" s="464">
        <f>Study!CR661</f>
        <v>-2907528.0053706588</v>
      </c>
      <c r="N662" s="464">
        <f>Study!CS661</f>
        <v>-3282154.1020606542</v>
      </c>
      <c r="O662" s="464">
        <f>Study!CT661</f>
        <v>-3373715.4668379151</v>
      </c>
      <c r="P662" s="464">
        <f>Study!CU661</f>
        <v>-3561312.0807840587</v>
      </c>
      <c r="Q662" s="464">
        <f>Study!CV661</f>
        <v>-1658003.5714285714</v>
      </c>
      <c r="R662" s="464">
        <f>Study!CW661</f>
        <v>-141428.57142857142</v>
      </c>
      <c r="S662" s="464">
        <f>Study!CX661</f>
        <v>-141428.57142857142</v>
      </c>
      <c r="T662" s="464">
        <f>Study!CY661</f>
        <v>-141428.57142857142</v>
      </c>
      <c r="U662" s="464">
        <f>Study!CZ661</f>
        <v>0</v>
      </c>
      <c r="V662" s="464">
        <f>Study!DA661</f>
        <v>0</v>
      </c>
      <c r="W662" s="464">
        <f>Study!DB661</f>
        <v>0</v>
      </c>
      <c r="X662" s="464">
        <f>Study!DC661</f>
        <v>0</v>
      </c>
      <c r="Y662" s="464">
        <f>Study!DD661</f>
        <v>0</v>
      </c>
      <c r="Z662" s="464">
        <f>Study!DE661</f>
        <v>0</v>
      </c>
    </row>
    <row r="663" spans="1:26" x14ac:dyDescent="0.2">
      <c r="A663" s="73">
        <f>Study!CF662</f>
        <v>586</v>
      </c>
      <c r="B663" s="453" t="str">
        <f>Study!CG662</f>
        <v>البيع على الخارطة</v>
      </c>
      <c r="C663" s="465">
        <f>Study!CH662</f>
        <v>0</v>
      </c>
      <c r="D663" s="465">
        <f>Study!CI662</f>
        <v>0</v>
      </c>
      <c r="E663" s="465">
        <f>Study!CJ662</f>
        <v>659394.76117021358</v>
      </c>
      <c r="F663" s="465">
        <f>Study!CK662</f>
        <v>1833611.3322606403</v>
      </c>
      <c r="G663" s="465">
        <f>Study!CL662</f>
        <v>3279997.2068258016</v>
      </c>
      <c r="H663" s="465">
        <f>Study!CM662</f>
        <v>4257444.5540742734</v>
      </c>
      <c r="I663" s="465">
        <f>Study!CN662</f>
        <v>5448418.7689535264</v>
      </c>
      <c r="J663" s="465">
        <f>Study!CO662</f>
        <v>5820187.2479622094</v>
      </c>
      <c r="K663" s="465">
        <f>Study!CP662</f>
        <v>5784892.2380972765</v>
      </c>
      <c r="L663" s="465">
        <f>Study!CQ662</f>
        <v>9763310.41991142</v>
      </c>
      <c r="M663" s="465">
        <f>Study!CR662</f>
        <v>9.3132257461547841E-10</v>
      </c>
      <c r="N663" s="465">
        <f>Study!CS662</f>
        <v>1.0339757656912845E-25</v>
      </c>
      <c r="O663" s="465">
        <f>Study!CT662</f>
        <v>1.14794370197489E-41</v>
      </c>
      <c r="P663" s="465">
        <f>Study!CU662</f>
        <v>1.2744735289059617E-57</v>
      </c>
      <c r="Q663" s="465">
        <f>Study!CV662</f>
        <v>1.4149498560666737E-73</v>
      </c>
      <c r="R663" s="465">
        <f>Study!CW662</f>
        <v>1.5709099088952723E-89</v>
      </c>
      <c r="S663" s="465">
        <f>Study!CX662</f>
        <v>1.7440603504673383E-105</v>
      </c>
      <c r="T663" s="465">
        <f>Study!CY662</f>
        <v>1.9362959574246589E-121</v>
      </c>
      <c r="U663" s="465">
        <f>Study!CZ662</f>
        <v>2.1497203544214682E-137</v>
      </c>
      <c r="V663" s="465">
        <f>Study!DA662</f>
        <v>2.3866690339840659E-153</v>
      </c>
      <c r="W663" s="465">
        <f>Study!DB662</f>
        <v>2.6497349136889902E-169</v>
      </c>
      <c r="X663" s="465">
        <f>Study!DC662</f>
        <v>2.9417967103306688E-185</v>
      </c>
      <c r="Y663" s="465">
        <f>Study!DD662</f>
        <v>3.2660504415756506E-201</v>
      </c>
      <c r="Z663" s="465">
        <f>Study!DE662</f>
        <v>3.6260443998244469E-217</v>
      </c>
    </row>
    <row r="664" spans="1:26" x14ac:dyDescent="0.2">
      <c r="A664" s="65">
        <f>Study!CF663</f>
        <v>586</v>
      </c>
      <c r="B664" s="451" t="str">
        <f>Study!CG663</f>
        <v xml:space="preserve">اجمالي الايراد </v>
      </c>
      <c r="C664" s="464">
        <f>Study!CH663</f>
        <v>0</v>
      </c>
      <c r="D664" s="464">
        <f>Study!CI663</f>
        <v>0</v>
      </c>
      <c r="E664" s="464">
        <f>Study!CJ663</f>
        <v>0</v>
      </c>
      <c r="F664" s="464">
        <f>Study!CK663</f>
        <v>0</v>
      </c>
      <c r="G664" s="464">
        <f>Study!CL663</f>
        <v>0</v>
      </c>
      <c r="H664" s="464">
        <f>Study!CM663</f>
        <v>0</v>
      </c>
      <c r="I664" s="464">
        <f>Study!CN663</f>
        <v>0</v>
      </c>
      <c r="J664" s="464">
        <f>Study!CO663</f>
        <v>0</v>
      </c>
      <c r="K664" s="464">
        <f>Study!CP663</f>
        <v>0</v>
      </c>
      <c r="L664" s="464">
        <f>Study!CQ663</f>
        <v>349506.38297872309</v>
      </c>
      <c r="M664" s="464">
        <f>Study!CR663</f>
        <v>10694143.791049963</v>
      </c>
      <c r="N664" s="464">
        <f>Study!CS663</f>
        <v>14854682.49508558</v>
      </c>
      <c r="O664" s="464">
        <f>Study!CT663</f>
        <v>16215968.878064305</v>
      </c>
      <c r="P664" s="464">
        <f>Study!CU663</f>
        <v>53242612.589327022</v>
      </c>
      <c r="Q664" s="464">
        <f>Study!CV663</f>
        <v>137111377.49739826</v>
      </c>
      <c r="R664" s="464">
        <f>Study!CW663</f>
        <v>0</v>
      </c>
      <c r="S664" s="464">
        <f>Study!CX663</f>
        <v>0</v>
      </c>
      <c r="T664" s="464">
        <f>Study!CY663</f>
        <v>0</v>
      </c>
      <c r="U664" s="464">
        <f>Study!CZ663</f>
        <v>0</v>
      </c>
      <c r="V664" s="464">
        <f>Study!DA663</f>
        <v>0</v>
      </c>
      <c r="W664" s="464">
        <f>Study!DB663</f>
        <v>0</v>
      </c>
      <c r="X664" s="464">
        <f>Study!DC663</f>
        <v>0</v>
      </c>
      <c r="Y664" s="464">
        <f>Study!DD663</f>
        <v>0</v>
      </c>
      <c r="Z664" s="464">
        <f>Study!DE663</f>
        <v>0</v>
      </c>
    </row>
  </sheetData>
  <mergeCells count="2">
    <mergeCell ref="A3:D3"/>
    <mergeCell ref="A2:D2"/>
  </mergeCells>
  <pageMargins left="0.25" right="0.25" top="0.75" bottom="0.75" header="0.3" footer="0.3"/>
  <pageSetup paperSize="8" fitToHeight="0" orientation="portrait" r:id="rId1"/>
  <rowBreaks count="2" manualBreakCount="2">
    <brk id="618" max="25" man="1"/>
    <brk id="653" max="25" man="1"/>
  </rowBreaks>
  <colBreaks count="1" manualBreakCount="1">
    <brk id="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EC663"/>
  <sheetViews>
    <sheetView showGridLines="0" rightToLeft="1" tabSelected="1" zoomScale="40" zoomScaleNormal="40" zoomScalePageLayoutView="70" workbookViewId="0">
      <selection activeCell="AY129" sqref="AY129"/>
    </sheetView>
  </sheetViews>
  <sheetFormatPr defaultColWidth="84.875" defaultRowHeight="11.25" x14ac:dyDescent="0.2"/>
  <cols>
    <col min="1" max="1" width="9.125" style="1" customWidth="1"/>
    <col min="2" max="2" width="40" style="1" customWidth="1"/>
    <col min="3" max="3" width="16.25" style="1" customWidth="1"/>
    <col min="4" max="4" width="17.375" style="1" customWidth="1"/>
    <col min="5" max="5" width="20.125" style="1" customWidth="1"/>
    <col min="6" max="6" width="14.75" style="1" customWidth="1"/>
    <col min="7" max="7" width="27.75" style="1" customWidth="1"/>
    <col min="8" max="8" width="16" style="1" customWidth="1"/>
    <col min="9" max="9" width="19" style="1" customWidth="1"/>
    <col min="10" max="10" width="21.375" style="1" customWidth="1"/>
    <col min="11" max="11" width="18.125" style="1" customWidth="1"/>
    <col min="12" max="12" width="24.25" style="1" customWidth="1"/>
    <col min="13" max="13" width="12.625" style="1" customWidth="1"/>
    <col min="14" max="14" width="9.625" style="1" customWidth="1"/>
    <col min="15" max="16" width="8.75" style="1" customWidth="1"/>
    <col min="17" max="17" width="10.125" style="1" customWidth="1"/>
    <col min="18" max="18" width="12.625" style="1" customWidth="1"/>
    <col min="19" max="19" width="9.25" style="1" customWidth="1"/>
    <col min="20" max="20" width="20" style="1" customWidth="1"/>
    <col min="21" max="21" width="13.25" style="1" customWidth="1"/>
    <col min="22" max="22" width="22.375" style="1" customWidth="1"/>
    <col min="23" max="23" width="13.375" style="1" customWidth="1"/>
    <col min="24" max="24" width="10.625" style="1" customWidth="1"/>
    <col min="25" max="25" width="24.625" style="1" customWidth="1"/>
    <col min="26" max="26" width="16.875" style="1" customWidth="1"/>
    <col min="27" max="27" width="26.625" style="1" customWidth="1"/>
    <col min="28" max="28" width="24" style="1" customWidth="1"/>
    <col min="29" max="29" width="15.375" style="1" customWidth="1"/>
    <col min="30" max="30" width="33" style="1" customWidth="1"/>
    <col min="31" max="31" width="10" style="1" customWidth="1"/>
    <col min="32" max="32" width="9.25" style="1" customWidth="1"/>
    <col min="33" max="33" width="8.75" style="1" customWidth="1"/>
    <col min="34" max="34" width="12.125" style="1" customWidth="1"/>
    <col min="35" max="36" width="7.375" style="1" customWidth="1"/>
    <col min="37" max="37" width="10.125" style="1" customWidth="1"/>
    <col min="38" max="38" width="12.375" style="1" customWidth="1"/>
    <col min="39" max="39" width="17.125" style="1" customWidth="1"/>
    <col min="40" max="40" width="12.875" style="1" customWidth="1"/>
    <col min="41" max="41" width="22.25" style="1" customWidth="1"/>
    <col min="42" max="42" width="7.875" style="1" customWidth="1"/>
    <col min="43" max="45" width="7.375" style="1" customWidth="1"/>
    <col min="46" max="46" width="9" style="1" customWidth="1"/>
    <col min="47" max="47" width="8.125" style="1" customWidth="1"/>
    <col min="48" max="48" width="19.375" style="1" customWidth="1"/>
    <col min="49" max="49" width="13.625" style="1" customWidth="1"/>
    <col min="50" max="50" width="8.125" style="1" customWidth="1"/>
    <col min="51" max="51" width="8.75" style="1" customWidth="1"/>
    <col min="52" max="52" width="7.75" style="1" customWidth="1"/>
    <col min="53" max="53" width="6.75" style="1" customWidth="1"/>
    <col min="54" max="54" width="8.625" style="1" customWidth="1"/>
    <col min="55" max="55" width="20.875" style="1" customWidth="1"/>
    <col min="56" max="56" width="8.125" style="1" customWidth="1"/>
    <col min="57" max="57" width="5.375" style="1" customWidth="1"/>
    <col min="58" max="58" width="84.875" style="1"/>
    <col min="59" max="59" width="6" style="1" customWidth="1"/>
    <col min="60" max="60" width="54.375" style="1" customWidth="1"/>
    <col min="61" max="61" width="30.125" style="1" customWidth="1"/>
    <col min="62" max="62" width="20.625" style="1" customWidth="1"/>
    <col min="63" max="63" width="30.625" style="1" customWidth="1"/>
    <col min="64" max="64" width="13.625" style="1" customWidth="1"/>
    <col min="65" max="65" width="13.875" style="1" customWidth="1"/>
    <col min="66" max="66" width="10.125" style="1" customWidth="1"/>
    <col min="67" max="67" width="3.75" style="1" customWidth="1"/>
    <col min="68" max="68" width="13.625" style="1" customWidth="1"/>
    <col min="69" max="69" width="10.125" style="1" customWidth="1"/>
    <col min="70" max="70" width="5.875" style="1" customWidth="1"/>
    <col min="71" max="71" width="8.75" style="1" customWidth="1"/>
    <col min="72" max="72" width="8.375" style="1" customWidth="1"/>
    <col min="73" max="73" width="10.875" style="1" customWidth="1"/>
    <col min="74" max="74" width="11.875" style="1" customWidth="1"/>
    <col min="75" max="75" width="14.75" style="1" customWidth="1"/>
    <col min="76" max="76" width="7.875" style="1" customWidth="1"/>
    <col min="77" max="77" width="7.25" style="1" customWidth="1"/>
    <col min="78" max="78" width="6" style="1" customWidth="1"/>
    <col min="79" max="79" width="10.375" style="1" customWidth="1"/>
    <col min="80" max="80" width="11.875" style="1" customWidth="1"/>
    <col min="81" max="81" width="38.75" style="1" customWidth="1"/>
    <col min="82" max="82" width="31.375" style="1" customWidth="1"/>
    <col min="83" max="83" width="84.875" style="1"/>
    <col min="84" max="84" width="4.25" style="1" hidden="1" customWidth="1"/>
    <col min="85" max="85" width="29.625" style="1" hidden="1" customWidth="1"/>
    <col min="86" max="87" width="17.125" style="1" hidden="1" customWidth="1"/>
    <col min="88" max="88" width="17" style="1" hidden="1" customWidth="1"/>
    <col min="89" max="89" width="17.125" style="1" hidden="1" customWidth="1"/>
    <col min="90" max="90" width="16.75" style="1" hidden="1" customWidth="1"/>
    <col min="91" max="91" width="17.125" style="1" hidden="1" customWidth="1"/>
    <col min="92" max="92" width="16.75" style="1" hidden="1" customWidth="1"/>
    <col min="93" max="93" width="16.25" style="1" hidden="1" customWidth="1"/>
    <col min="94" max="95" width="17.125" style="1" hidden="1" customWidth="1"/>
    <col min="96" max="96" width="15.75" style="1" hidden="1" customWidth="1"/>
    <col min="97" max="97" width="15.625" style="1" hidden="1" customWidth="1"/>
    <col min="98" max="98" width="15.75" style="1" hidden="1" customWidth="1"/>
    <col min="99" max="99" width="15.625" style="1" hidden="1" customWidth="1"/>
    <col min="100" max="100" width="15.75" style="1" hidden="1" customWidth="1"/>
    <col min="101" max="103" width="13.75" style="1" hidden="1" customWidth="1"/>
    <col min="104" max="105" width="8.25" style="1" hidden="1" customWidth="1"/>
    <col min="106" max="106" width="9.25" style="1" hidden="1" customWidth="1"/>
    <col min="107" max="109" width="8.25" style="1" hidden="1" customWidth="1"/>
    <col min="110" max="16384" width="84.875" style="1"/>
  </cols>
  <sheetData>
    <row r="1" spans="1:89" ht="31.5" customHeight="1" x14ac:dyDescent="0.2">
      <c r="A1" s="2"/>
      <c r="B1" s="2"/>
      <c r="C1" s="2"/>
      <c r="D1" s="2"/>
      <c r="E1" s="3"/>
      <c r="AE1" s="481" t="s">
        <v>0</v>
      </c>
      <c r="AF1" s="481"/>
      <c r="AG1" s="481"/>
      <c r="AH1" s="481"/>
      <c r="AI1" s="481"/>
      <c r="AJ1" s="481"/>
      <c r="AK1" s="481"/>
      <c r="AL1" s="481"/>
      <c r="AM1" s="481"/>
      <c r="AN1" s="481"/>
      <c r="AO1" s="481"/>
      <c r="AP1" s="481"/>
      <c r="AQ1" s="481"/>
      <c r="AR1" s="481"/>
      <c r="AS1" s="481"/>
      <c r="AT1" s="481"/>
      <c r="AU1" s="481"/>
      <c r="AV1" s="481"/>
      <c r="AW1" s="481"/>
      <c r="AX1" s="481"/>
      <c r="AY1" s="481"/>
      <c r="AZ1" s="481"/>
      <c r="BA1" s="481"/>
      <c r="BB1" s="481"/>
      <c r="BC1" s="481"/>
      <c r="BD1" s="481"/>
      <c r="BH1" s="482" t="s">
        <v>1</v>
      </c>
      <c r="BI1" s="482"/>
      <c r="BJ1" s="482"/>
      <c r="BK1" s="468" t="s">
        <v>2</v>
      </c>
      <c r="BN1" s="469" t="s">
        <v>3</v>
      </c>
      <c r="BO1" s="469"/>
      <c r="BP1" s="469"/>
      <c r="BQ1" s="469" t="s">
        <v>4</v>
      </c>
      <c r="BR1" s="469"/>
      <c r="BS1" s="469"/>
      <c r="BV1" s="4" t="s">
        <v>5</v>
      </c>
      <c r="BW1" s="5">
        <f>E1</f>
        <v>0</v>
      </c>
      <c r="BX1" s="6"/>
      <c r="BY1" s="6"/>
      <c r="BZ1" s="6"/>
      <c r="CA1" s="7" t="s">
        <v>6</v>
      </c>
      <c r="CB1" s="8" t="s">
        <v>7</v>
      </c>
      <c r="CC1" s="9"/>
      <c r="CF1" s="456" t="s">
        <v>8</v>
      </c>
      <c r="CG1" s="456"/>
      <c r="CH1" s="456"/>
      <c r="CI1" s="456"/>
      <c r="CJ1" s="456"/>
      <c r="CK1" s="456"/>
    </row>
    <row r="2" spans="1:89" ht="21.75" customHeight="1" x14ac:dyDescent="0.2">
      <c r="A2" s="2"/>
      <c r="B2" s="2"/>
      <c r="C2" s="470" t="s">
        <v>9</v>
      </c>
      <c r="D2" s="470"/>
      <c r="E2" s="10" t="s">
        <v>10</v>
      </c>
      <c r="F2" s="1" t="s">
        <v>11</v>
      </c>
      <c r="AE2" s="11" t="s">
        <v>12</v>
      </c>
      <c r="AF2" s="12" t="s">
        <v>13</v>
      </c>
      <c r="AG2" s="12" t="s">
        <v>14</v>
      </c>
      <c r="AH2" s="13" t="s">
        <v>15</v>
      </c>
      <c r="AI2" s="12" t="s">
        <v>16</v>
      </c>
      <c r="AJ2" s="12" t="s">
        <v>17</v>
      </c>
      <c r="AK2" s="12" t="s">
        <v>18</v>
      </c>
      <c r="AL2" s="12" t="s">
        <v>19</v>
      </c>
      <c r="AM2" s="13" t="s">
        <v>20</v>
      </c>
      <c r="AN2" s="13" t="s">
        <v>21</v>
      </c>
      <c r="AO2" s="12" t="s">
        <v>22</v>
      </c>
      <c r="AP2" s="12" t="s">
        <v>23</v>
      </c>
      <c r="AQ2" s="12" t="s">
        <v>24</v>
      </c>
      <c r="AR2" s="12" t="s">
        <v>25</v>
      </c>
      <c r="AS2" s="12" t="s">
        <v>26</v>
      </c>
      <c r="AT2" s="12" t="s">
        <v>27</v>
      </c>
      <c r="AU2" s="12" t="s">
        <v>28</v>
      </c>
      <c r="AV2" s="12" t="s">
        <v>29</v>
      </c>
      <c r="AW2" s="12" t="s">
        <v>30</v>
      </c>
      <c r="AX2" s="12" t="s">
        <v>31</v>
      </c>
      <c r="AY2" s="12" t="s">
        <v>32</v>
      </c>
      <c r="AZ2" s="12" t="s">
        <v>33</v>
      </c>
      <c r="BA2" s="12" t="s">
        <v>34</v>
      </c>
      <c r="BB2" s="12" t="s">
        <v>35</v>
      </c>
      <c r="BC2" s="12" t="s">
        <v>36</v>
      </c>
      <c r="BD2" s="14" t="s">
        <v>37</v>
      </c>
      <c r="BE2" s="15"/>
      <c r="BH2" s="482"/>
      <c r="BI2" s="482"/>
      <c r="BJ2" s="482"/>
      <c r="BK2" s="468"/>
      <c r="BN2" s="16" t="s">
        <v>38</v>
      </c>
      <c r="BO2" s="17" t="s">
        <v>39</v>
      </c>
      <c r="BP2" s="18" t="s">
        <v>40</v>
      </c>
      <c r="BQ2" s="16" t="s">
        <v>38</v>
      </c>
      <c r="BR2" s="17" t="s">
        <v>39</v>
      </c>
      <c r="BS2" s="18" t="s">
        <v>40</v>
      </c>
      <c r="BV2" s="19" t="s">
        <v>41</v>
      </c>
      <c r="BW2" s="20" t="s">
        <v>42</v>
      </c>
      <c r="CA2" s="21" t="s">
        <v>43</v>
      </c>
      <c r="CB2" s="22" t="s">
        <v>42</v>
      </c>
      <c r="CF2" s="457" t="s">
        <v>44</v>
      </c>
      <c r="CG2" s="457"/>
      <c r="CH2" s="457"/>
      <c r="CI2" s="457"/>
      <c r="CJ2" s="457"/>
      <c r="CK2" s="457"/>
    </row>
    <row r="3" spans="1:89" ht="22.5" customHeight="1" x14ac:dyDescent="0.2">
      <c r="A3" s="2"/>
      <c r="B3" s="2"/>
      <c r="C3" s="470"/>
      <c r="D3" s="470"/>
      <c r="E3" s="10" t="s">
        <v>45</v>
      </c>
      <c r="F3" s="23" t="s">
        <v>46</v>
      </c>
      <c r="AE3" s="24" t="s">
        <v>47</v>
      </c>
      <c r="AF3" s="25">
        <f t="shared" ref="AF3:AF12" si="0">((F61/$J$59)*$I$49)*AO3</f>
        <v>23546754.235074658</v>
      </c>
      <c r="AG3" s="25">
        <f t="shared" ref="AG3:AG12" si="1">J61*AO3</f>
        <v>17715842.223635539</v>
      </c>
      <c r="AH3" s="26"/>
      <c r="AI3" s="25">
        <f t="shared" ref="AI3:AI12" si="2">($J$73*AH3)*AO3</f>
        <v>0</v>
      </c>
      <c r="AJ3" s="25">
        <f t="shared" ref="AJ3:AJ12" si="3">((K61/$L$76)*($J$74+$J$75))*AO3</f>
        <v>5141131.8252270985</v>
      </c>
      <c r="AK3" s="25">
        <f t="shared" ref="AK3:AK12" si="4">((K61/$L$76)*$C$87)*AO3</f>
        <v>498124.01655908494</v>
      </c>
      <c r="AL3" s="25">
        <f t="shared" ref="AL3:AL12" si="5">(((D61-F61)/$H$59)*$J$71)*AO3</f>
        <v>0</v>
      </c>
      <c r="AM3" s="27">
        <f t="shared" ref="AM3:AM12" si="6">SUM(AF3:AG3,AI3:AL3)/$AM$13</f>
        <v>0.43698363058241857</v>
      </c>
      <c r="AN3" s="27">
        <f t="shared" ref="AN3:AN12" si="7">SUM(AF3:AG3,AI3:AL3)/$AN$13</f>
        <v>0.34453647331554033</v>
      </c>
      <c r="AO3" s="28">
        <f t="shared" ref="AO3:AO12" si="8">D129</f>
        <v>0.61956521739130432</v>
      </c>
      <c r="AP3" s="25">
        <f t="shared" ref="AP3:AP9" si="9">(AN3*SUM($C$86,$C$88:$C$90,$C$96:$C$97,$C$101))+((H147+X147)/($H$157+$X$157))*$C$99+(SUM($D$93:$D$95)*H61*AO3)</f>
        <v>4435290.3632015921</v>
      </c>
      <c r="AQ3" s="29">
        <f t="shared" ref="AQ3:AQ9" si="10">(($A$92+$C$98)*AM3)</f>
        <v>1867533.1820053493</v>
      </c>
      <c r="AR3" s="30">
        <f t="shared" ref="AR3:AR12" si="11">AM3*$C$119</f>
        <v>6471410.7557934467</v>
      </c>
      <c r="AS3" s="25">
        <f t="shared" ref="AS3:AS12" si="12">AN3*$C$107</f>
        <v>5620561.9432614082</v>
      </c>
      <c r="AT3" s="31">
        <f t="shared" ref="AT3:AT12" si="13">SUM(I147,Y147)</f>
        <v>0</v>
      </c>
      <c r="AU3" s="31">
        <f t="shared" ref="AU3:AU12" si="14">SUM(AF3:AG3,AI3:AL3,AP3:AT3)</f>
        <v>65296648.544758171</v>
      </c>
      <c r="AV3" s="31">
        <f t="shared" ref="AV3:AV12" si="15">IFERROR((AU3-AT3)/E129, "0")</f>
        <v>12163.064983172031</v>
      </c>
      <c r="AW3" s="32">
        <f t="shared" ref="AW3:AW12" si="16">(AU3-AT3)/($C$24)</f>
        <v>0.32161796291309785</v>
      </c>
      <c r="AX3" s="33">
        <f t="shared" ref="AX3:AX12" si="17">SUM(J129,H147,O129,X147)</f>
        <v>83210774.080712393</v>
      </c>
      <c r="AY3" s="34">
        <f t="shared" ref="AY3:AY12" si="18">IFERROR(AZ3/E129, "0")</f>
        <v>3336.9350168279707</v>
      </c>
      <c r="AZ3" s="34">
        <f t="shared" ref="AZ3:AZ12" si="19">AX3-AU3</f>
        <v>17914125.535954222</v>
      </c>
      <c r="BA3" s="35">
        <f t="shared" ref="BA3:BA12" si="20">IFERROR(BD3/AW3, "0.00")</f>
        <v>0.85303023651335608</v>
      </c>
      <c r="BB3" s="36">
        <f t="shared" ref="BB3:BB13" si="21">IFERROR(AZ3/AX3, "0.00%")</f>
        <v>0.21528613011793357</v>
      </c>
      <c r="BC3" s="36">
        <f t="shared" ref="BC3:BC12" si="22">AZ3/$C$26</f>
        <v>0.28177007428696499</v>
      </c>
      <c r="BD3" s="37">
        <f t="shared" ref="BD3:BD12" si="23">IFERROR(AZ3/(AU3-AT3), "0.00%")</f>
        <v>0.27434984697070364</v>
      </c>
      <c r="BE3" s="15"/>
      <c r="BH3" s="482"/>
      <c r="BI3" s="482"/>
      <c r="BJ3" s="482"/>
      <c r="BK3" s="468"/>
      <c r="BN3" s="38" t="s">
        <v>48</v>
      </c>
      <c r="BO3" s="39">
        <f t="shared" ref="BO3:BO12" si="24">IFERROR((AU3-AT3) / (C147 * D147 * G147 * (1 - $I$158) * BP3), 0)</f>
        <v>0</v>
      </c>
      <c r="BP3" s="40"/>
      <c r="BQ3" s="38" t="s">
        <v>48</v>
      </c>
      <c r="BR3" s="39">
        <f t="shared" ref="BR3:BR12" si="25">IFERROR((AU3-AT3) / ((R147 * S147 * (1 - $Y$158) * 365 * BS3) * (1 + W147)), 0)</f>
        <v>0</v>
      </c>
      <c r="BS3" s="40"/>
      <c r="BV3" s="24" t="s">
        <v>49</v>
      </c>
      <c r="BW3" s="41">
        <f>J76</f>
        <v>81179665.851063833</v>
      </c>
      <c r="CB3" s="42"/>
    </row>
    <row r="4" spans="1:89" ht="34.5" customHeight="1" x14ac:dyDescent="0.2">
      <c r="A4" s="2"/>
      <c r="B4" s="2"/>
      <c r="C4" s="470"/>
      <c r="D4" s="470"/>
      <c r="AE4" s="43" t="s">
        <v>50</v>
      </c>
      <c r="AF4" s="44">
        <f t="shared" si="0"/>
        <v>0</v>
      </c>
      <c r="AG4" s="44">
        <f t="shared" si="1"/>
        <v>0</v>
      </c>
      <c r="AH4" s="45"/>
      <c r="AI4" s="44">
        <f t="shared" si="2"/>
        <v>0</v>
      </c>
      <c r="AJ4" s="44">
        <f t="shared" si="3"/>
        <v>0</v>
      </c>
      <c r="AK4" s="44">
        <f t="shared" si="4"/>
        <v>0</v>
      </c>
      <c r="AL4" s="44">
        <f t="shared" si="5"/>
        <v>0</v>
      </c>
      <c r="AM4" s="46">
        <f t="shared" si="6"/>
        <v>0</v>
      </c>
      <c r="AN4" s="46">
        <f t="shared" si="7"/>
        <v>0</v>
      </c>
      <c r="AO4" s="47">
        <f t="shared" si="8"/>
        <v>1</v>
      </c>
      <c r="AP4" s="44">
        <f t="shared" si="9"/>
        <v>0</v>
      </c>
      <c r="AQ4" s="29">
        <f t="shared" si="10"/>
        <v>0</v>
      </c>
      <c r="AR4" s="48">
        <f t="shared" si="11"/>
        <v>0</v>
      </c>
      <c r="AS4" s="49">
        <f t="shared" si="12"/>
        <v>0</v>
      </c>
      <c r="AT4" s="50">
        <f t="shared" si="13"/>
        <v>0</v>
      </c>
      <c r="AU4" s="50">
        <f t="shared" si="14"/>
        <v>0</v>
      </c>
      <c r="AV4" s="50" t="str">
        <f t="shared" si="15"/>
        <v>0</v>
      </c>
      <c r="AW4" s="51">
        <f t="shared" si="16"/>
        <v>0</v>
      </c>
      <c r="AX4" s="44">
        <f t="shared" si="17"/>
        <v>0</v>
      </c>
      <c r="AY4" s="52" t="str">
        <f t="shared" si="18"/>
        <v>0</v>
      </c>
      <c r="AZ4" s="52">
        <f t="shared" si="19"/>
        <v>0</v>
      </c>
      <c r="BA4" s="53" t="str">
        <f t="shared" si="20"/>
        <v>0.00</v>
      </c>
      <c r="BB4" s="54" t="str">
        <f t="shared" si="21"/>
        <v>0.00%</v>
      </c>
      <c r="BC4" s="54">
        <f t="shared" si="22"/>
        <v>0</v>
      </c>
      <c r="BD4" s="55" t="str">
        <f t="shared" si="23"/>
        <v>0.00%</v>
      </c>
      <c r="BE4" s="15"/>
      <c r="BH4" s="471" t="s">
        <v>51</v>
      </c>
      <c r="BI4" s="471"/>
      <c r="BJ4" s="471"/>
      <c r="BK4" s="468"/>
      <c r="BN4" s="16" t="s">
        <v>52</v>
      </c>
      <c r="BO4" s="17">
        <f t="shared" si="24"/>
        <v>0</v>
      </c>
      <c r="BP4" s="40"/>
      <c r="BQ4" s="16" t="s">
        <v>52</v>
      </c>
      <c r="BR4" s="17">
        <f t="shared" si="25"/>
        <v>0</v>
      </c>
      <c r="BS4" s="40"/>
      <c r="BV4" s="43" t="s">
        <v>53</v>
      </c>
      <c r="BW4" s="56">
        <f>C24</f>
        <v>203025502.53513521</v>
      </c>
      <c r="CB4" s="42"/>
      <c r="CF4" s="57" t="s">
        <v>54</v>
      </c>
      <c r="CG4" s="57" t="s">
        <v>55</v>
      </c>
      <c r="CH4" s="57" t="s">
        <v>56</v>
      </c>
      <c r="CI4" s="57" t="s">
        <v>57</v>
      </c>
      <c r="CJ4" s="57" t="s">
        <v>58</v>
      </c>
      <c r="CK4" s="57" t="s">
        <v>59</v>
      </c>
    </row>
    <row r="5" spans="1:89" ht="25.5" customHeight="1" x14ac:dyDescent="0.2">
      <c r="A5" s="2"/>
      <c r="B5" s="2"/>
      <c r="C5" s="470"/>
      <c r="D5" s="470"/>
      <c r="AE5" s="24" t="s">
        <v>60</v>
      </c>
      <c r="AF5" s="25">
        <f t="shared" si="0"/>
        <v>0</v>
      </c>
      <c r="AG5" s="25">
        <f t="shared" si="1"/>
        <v>0</v>
      </c>
      <c r="AH5" s="26"/>
      <c r="AI5" s="25">
        <f t="shared" si="2"/>
        <v>0</v>
      </c>
      <c r="AJ5" s="25">
        <f t="shared" si="3"/>
        <v>0</v>
      </c>
      <c r="AK5" s="25">
        <f t="shared" si="4"/>
        <v>0</v>
      </c>
      <c r="AL5" s="25">
        <f t="shared" si="5"/>
        <v>0</v>
      </c>
      <c r="AM5" s="27">
        <f t="shared" si="6"/>
        <v>0</v>
      </c>
      <c r="AN5" s="27">
        <f t="shared" si="7"/>
        <v>0</v>
      </c>
      <c r="AO5" s="28">
        <f t="shared" si="8"/>
        <v>1</v>
      </c>
      <c r="AP5" s="25">
        <f t="shared" si="9"/>
        <v>0</v>
      </c>
      <c r="AQ5" s="29">
        <f t="shared" si="10"/>
        <v>0</v>
      </c>
      <c r="AR5" s="58">
        <f t="shared" si="11"/>
        <v>0</v>
      </c>
      <c r="AS5" s="33">
        <f t="shared" si="12"/>
        <v>0</v>
      </c>
      <c r="AT5" s="31">
        <f t="shared" si="13"/>
        <v>0</v>
      </c>
      <c r="AU5" s="31">
        <f t="shared" si="14"/>
        <v>0</v>
      </c>
      <c r="AV5" s="31" t="str">
        <f t="shared" si="15"/>
        <v>0</v>
      </c>
      <c r="AW5" s="32">
        <f t="shared" si="16"/>
        <v>0</v>
      </c>
      <c r="AX5" s="25">
        <f t="shared" si="17"/>
        <v>0</v>
      </c>
      <c r="AY5" s="59" t="str">
        <f t="shared" si="18"/>
        <v>0</v>
      </c>
      <c r="AZ5" s="59">
        <f t="shared" si="19"/>
        <v>0</v>
      </c>
      <c r="BA5" s="35" t="str">
        <f t="shared" si="20"/>
        <v>0.00</v>
      </c>
      <c r="BB5" s="36" t="str">
        <f t="shared" si="21"/>
        <v>0.00%</v>
      </c>
      <c r="BC5" s="36">
        <f t="shared" si="22"/>
        <v>0</v>
      </c>
      <c r="BD5" s="37" t="str">
        <f t="shared" si="23"/>
        <v>0.00%</v>
      </c>
      <c r="BE5" s="60" t="s">
        <v>60</v>
      </c>
      <c r="BH5" s="24" t="s">
        <v>61</v>
      </c>
      <c r="BI5" s="472">
        <f>C24/E59</f>
        <v>6602.9707208086229</v>
      </c>
      <c r="BJ5" s="472"/>
      <c r="BK5" s="20" t="s">
        <v>62</v>
      </c>
      <c r="BN5" s="38" t="s">
        <v>63</v>
      </c>
      <c r="BO5" s="39">
        <f t="shared" si="24"/>
        <v>0</v>
      </c>
      <c r="BP5" s="40"/>
      <c r="BQ5" s="38" t="s">
        <v>63</v>
      </c>
      <c r="BR5" s="39">
        <f t="shared" si="25"/>
        <v>0</v>
      </c>
      <c r="BS5" s="40"/>
      <c r="BV5" s="24" t="s">
        <v>64</v>
      </c>
      <c r="BW5" s="61">
        <f>SUM(J139,O139,AC139)</f>
        <v>256751203.48230812</v>
      </c>
      <c r="CB5" s="42"/>
      <c r="CF5" s="455" t="s">
        <v>65</v>
      </c>
      <c r="CG5" s="455"/>
      <c r="CH5" s="455"/>
      <c r="CI5" s="455"/>
      <c r="CJ5" s="455"/>
      <c r="CK5" s="455"/>
    </row>
    <row r="6" spans="1:89" ht="21.75" customHeight="1" x14ac:dyDescent="0.2">
      <c r="A6" s="2"/>
      <c r="B6" s="2"/>
      <c r="C6" s="470"/>
      <c r="D6" s="470"/>
      <c r="AE6" s="43" t="s">
        <v>66</v>
      </c>
      <c r="AF6" s="44">
        <f t="shared" si="0"/>
        <v>0</v>
      </c>
      <c r="AG6" s="44">
        <f t="shared" si="1"/>
        <v>0</v>
      </c>
      <c r="AH6" s="45"/>
      <c r="AI6" s="44">
        <f t="shared" si="2"/>
        <v>0</v>
      </c>
      <c r="AJ6" s="44">
        <f t="shared" si="3"/>
        <v>0</v>
      </c>
      <c r="AK6" s="44">
        <f t="shared" si="4"/>
        <v>0</v>
      </c>
      <c r="AL6" s="44">
        <f t="shared" si="5"/>
        <v>0</v>
      </c>
      <c r="AM6" s="46">
        <f t="shared" si="6"/>
        <v>0</v>
      </c>
      <c r="AN6" s="46">
        <f t="shared" si="7"/>
        <v>0</v>
      </c>
      <c r="AO6" s="47">
        <f t="shared" si="8"/>
        <v>1</v>
      </c>
      <c r="AP6" s="44">
        <f t="shared" si="9"/>
        <v>0</v>
      </c>
      <c r="AQ6" s="29">
        <f t="shared" si="10"/>
        <v>0</v>
      </c>
      <c r="AR6" s="48">
        <f t="shared" si="11"/>
        <v>0</v>
      </c>
      <c r="AS6" s="49">
        <f t="shared" si="12"/>
        <v>0</v>
      </c>
      <c r="AT6" s="50">
        <f t="shared" si="13"/>
        <v>0</v>
      </c>
      <c r="AU6" s="50">
        <f t="shared" si="14"/>
        <v>0</v>
      </c>
      <c r="AV6" s="50" t="str">
        <f t="shared" si="15"/>
        <v>0</v>
      </c>
      <c r="AW6" s="51">
        <f t="shared" si="16"/>
        <v>0</v>
      </c>
      <c r="AX6" s="44">
        <f t="shared" si="17"/>
        <v>0</v>
      </c>
      <c r="AY6" s="52" t="str">
        <f t="shared" si="18"/>
        <v>0</v>
      </c>
      <c r="AZ6" s="52">
        <f t="shared" si="19"/>
        <v>0</v>
      </c>
      <c r="BA6" s="53" t="str">
        <f t="shared" si="20"/>
        <v>0.00</v>
      </c>
      <c r="BB6" s="54" t="str">
        <f t="shared" si="21"/>
        <v>0.00%</v>
      </c>
      <c r="BC6" s="54">
        <f t="shared" si="22"/>
        <v>0</v>
      </c>
      <c r="BD6" s="55" t="str">
        <f t="shared" si="23"/>
        <v>0.00%</v>
      </c>
      <c r="BE6" s="60" t="s">
        <v>66</v>
      </c>
      <c r="BH6" s="19" t="s">
        <v>67</v>
      </c>
      <c r="BI6" s="473">
        <f>C24/J59</f>
        <v>13872.050543035217</v>
      </c>
      <c r="BJ6" s="473"/>
      <c r="BK6" s="20" t="s">
        <v>62</v>
      </c>
      <c r="BN6" s="16" t="s">
        <v>68</v>
      </c>
      <c r="BO6" s="17">
        <f t="shared" si="24"/>
        <v>0</v>
      </c>
      <c r="BP6" s="40"/>
      <c r="BQ6" s="16" t="s">
        <v>68</v>
      </c>
      <c r="BR6" s="17">
        <f t="shared" si="25"/>
        <v>0</v>
      </c>
      <c r="BS6" s="40"/>
      <c r="BV6" s="63" t="s">
        <v>69</v>
      </c>
      <c r="BW6" s="64">
        <f>C32</f>
        <v>0.87408681161685065</v>
      </c>
      <c r="CB6" s="42"/>
      <c r="CF6" s="65">
        <v>1</v>
      </c>
      <c r="CG6" s="66" t="s">
        <v>10</v>
      </c>
      <c r="CH6" s="67" t="str">
        <f>F2</f>
        <v>RF061-240904 الخليج</v>
      </c>
      <c r="CI6" s="66" t="s">
        <v>70</v>
      </c>
      <c r="CJ6" s="68" t="s">
        <v>71</v>
      </c>
      <c r="CK6" s="66" t="s">
        <v>72</v>
      </c>
    </row>
    <row r="7" spans="1:89" ht="21.75" customHeight="1" x14ac:dyDescent="0.2">
      <c r="A7" s="2"/>
      <c r="B7" s="2"/>
      <c r="C7" s="2"/>
      <c r="D7" s="2"/>
      <c r="AE7" s="24" t="s">
        <v>73</v>
      </c>
      <c r="AF7" s="25">
        <f t="shared" si="0"/>
        <v>21078562.835820857</v>
      </c>
      <c r="AG7" s="25">
        <f t="shared" si="1"/>
        <v>15858852.127659542</v>
      </c>
      <c r="AH7" s="26"/>
      <c r="AI7" s="25">
        <f t="shared" si="2"/>
        <v>0</v>
      </c>
      <c r="AJ7" s="25">
        <f t="shared" si="3"/>
        <v>8929334.2227628566</v>
      </c>
      <c r="AK7" s="25">
        <f t="shared" si="4"/>
        <v>865162.76560262125</v>
      </c>
      <c r="AL7" s="25">
        <f t="shared" si="5"/>
        <v>0</v>
      </c>
      <c r="AM7" s="27">
        <f t="shared" si="6"/>
        <v>0.43540029971394978</v>
      </c>
      <c r="AN7" s="27">
        <f t="shared" si="7"/>
        <v>0.34328810794133446</v>
      </c>
      <c r="AO7" s="28">
        <f t="shared" si="8"/>
        <v>1</v>
      </c>
      <c r="AP7" s="25">
        <f t="shared" si="9"/>
        <v>5499530.5350068938</v>
      </c>
      <c r="AQ7" s="29">
        <f t="shared" si="10"/>
        <v>1860766.5144965053</v>
      </c>
      <c r="AR7" s="58">
        <f t="shared" si="11"/>
        <v>6447962.7735463036</v>
      </c>
      <c r="AS7" s="33">
        <f t="shared" si="12"/>
        <v>5600196.8572488148</v>
      </c>
      <c r="AT7" s="31">
        <f t="shared" si="13"/>
        <v>2529450</v>
      </c>
      <c r="AU7" s="31">
        <f t="shared" si="14"/>
        <v>68669818.632144392</v>
      </c>
      <c r="AV7" s="31">
        <f t="shared" si="15"/>
        <v>13762.863461309535</v>
      </c>
      <c r="AW7" s="32">
        <f t="shared" si="16"/>
        <v>0.32577369742354539</v>
      </c>
      <c r="AX7" s="25">
        <f t="shared" si="17"/>
        <v>118522799.99999999</v>
      </c>
      <c r="AY7" s="59">
        <f t="shared" si="18"/>
        <v>10373.691436783871</v>
      </c>
      <c r="AZ7" s="59">
        <f t="shared" si="19"/>
        <v>49852981.367855594</v>
      </c>
      <c r="BA7" s="35">
        <f t="shared" si="20"/>
        <v>2.3137077832223585</v>
      </c>
      <c r="BB7" s="36">
        <f t="shared" si="21"/>
        <v>0.42061933541778967</v>
      </c>
      <c r="BC7" s="36">
        <f t="shared" si="22"/>
        <v>0.78413418702768478</v>
      </c>
      <c r="BD7" s="37">
        <f t="shared" si="23"/>
        <v>0.75374513929798259</v>
      </c>
      <c r="BE7" s="60" t="s">
        <v>73</v>
      </c>
      <c r="BH7" s="24" t="s">
        <v>74</v>
      </c>
      <c r="BI7" s="69">
        <f>-SUM(C196,C194)</f>
        <v>142019665.85106385</v>
      </c>
      <c r="BJ7" s="27">
        <f>BI7/$C$24</f>
        <v>0.69951638625539758</v>
      </c>
      <c r="BK7" s="70" t="s">
        <v>75</v>
      </c>
      <c r="BN7" s="38" t="s">
        <v>76</v>
      </c>
      <c r="BO7" s="39">
        <f t="shared" si="24"/>
        <v>0</v>
      </c>
      <c r="BP7" s="40"/>
      <c r="BQ7" s="38" t="s">
        <v>76</v>
      </c>
      <c r="BR7" s="39">
        <f t="shared" si="25"/>
        <v>0</v>
      </c>
      <c r="BS7" s="40"/>
      <c r="BV7" s="71"/>
      <c r="CA7" s="72"/>
      <c r="CB7" s="42"/>
      <c r="CF7" s="73">
        <v>2</v>
      </c>
      <c r="CG7" s="74" t="s">
        <v>45</v>
      </c>
      <c r="CH7" s="75" t="str">
        <f>F3</f>
        <v>الموقع</v>
      </c>
      <c r="CI7" s="74" t="s">
        <v>70</v>
      </c>
      <c r="CJ7" s="76" t="s">
        <v>77</v>
      </c>
      <c r="CK7" s="74"/>
    </row>
    <row r="8" spans="1:89" ht="25.5" customHeight="1" x14ac:dyDescent="0.2">
      <c r="AE8" s="43" t="s">
        <v>78</v>
      </c>
      <c r="AF8" s="44">
        <f t="shared" si="0"/>
        <v>0</v>
      </c>
      <c r="AG8" s="44">
        <f t="shared" si="1"/>
        <v>0</v>
      </c>
      <c r="AH8" s="45"/>
      <c r="AI8" s="44">
        <f t="shared" si="2"/>
        <v>0</v>
      </c>
      <c r="AJ8" s="44">
        <f t="shared" si="3"/>
        <v>0</v>
      </c>
      <c r="AK8" s="44">
        <f t="shared" si="4"/>
        <v>0</v>
      </c>
      <c r="AL8" s="44">
        <f t="shared" si="5"/>
        <v>0</v>
      </c>
      <c r="AM8" s="46">
        <f t="shared" si="6"/>
        <v>0</v>
      </c>
      <c r="AN8" s="46">
        <f t="shared" si="7"/>
        <v>0</v>
      </c>
      <c r="AO8" s="47">
        <f t="shared" si="8"/>
        <v>1</v>
      </c>
      <c r="AP8" s="44">
        <f t="shared" si="9"/>
        <v>0</v>
      </c>
      <c r="AQ8" s="29">
        <f t="shared" si="10"/>
        <v>0</v>
      </c>
      <c r="AR8" s="48">
        <f t="shared" si="11"/>
        <v>0</v>
      </c>
      <c r="AS8" s="49">
        <f t="shared" si="12"/>
        <v>0</v>
      </c>
      <c r="AT8" s="50">
        <f t="shared" si="13"/>
        <v>0</v>
      </c>
      <c r="AU8" s="50">
        <f t="shared" si="14"/>
        <v>0</v>
      </c>
      <c r="AV8" s="50" t="str">
        <f t="shared" si="15"/>
        <v>0</v>
      </c>
      <c r="AW8" s="51">
        <f t="shared" si="16"/>
        <v>0</v>
      </c>
      <c r="AX8" s="44">
        <f t="shared" si="17"/>
        <v>0</v>
      </c>
      <c r="AY8" s="52" t="str">
        <f t="shared" si="18"/>
        <v>0</v>
      </c>
      <c r="AZ8" s="52">
        <f t="shared" si="19"/>
        <v>0</v>
      </c>
      <c r="BA8" s="53" t="str">
        <f t="shared" si="20"/>
        <v>0.00</v>
      </c>
      <c r="BB8" s="54" t="str">
        <f t="shared" si="21"/>
        <v>0.00%</v>
      </c>
      <c r="BC8" s="54">
        <f t="shared" si="22"/>
        <v>0</v>
      </c>
      <c r="BD8" s="55" t="str">
        <f t="shared" si="23"/>
        <v>0.00%</v>
      </c>
      <c r="BE8" s="60" t="s">
        <v>79</v>
      </c>
      <c r="BH8" s="19" t="s">
        <v>80</v>
      </c>
      <c r="BI8" s="77">
        <f>-SUM(E192:E193,E195,E197:E212,E214:E216)</f>
        <v>61005836.684071362</v>
      </c>
      <c r="BJ8" s="78">
        <f>BI8/$C$24</f>
        <v>0.30048361374460242</v>
      </c>
      <c r="BK8" s="70" t="s">
        <v>81</v>
      </c>
      <c r="BN8" s="16" t="s">
        <v>82</v>
      </c>
      <c r="BO8" s="17">
        <f t="shared" si="24"/>
        <v>0</v>
      </c>
      <c r="BP8" s="40"/>
      <c r="BQ8" s="16" t="s">
        <v>82</v>
      </c>
      <c r="BR8" s="17">
        <f t="shared" si="25"/>
        <v>0</v>
      </c>
      <c r="BS8" s="40"/>
      <c r="BV8" s="7" t="s">
        <v>83</v>
      </c>
      <c r="BW8" s="79" t="s">
        <v>84</v>
      </c>
      <c r="BX8" s="79" t="s">
        <v>85</v>
      </c>
      <c r="BY8" s="79" t="s">
        <v>86</v>
      </c>
      <c r="BZ8" s="80" t="s">
        <v>87</v>
      </c>
      <c r="CA8" s="81" t="s">
        <v>88</v>
      </c>
      <c r="CB8" s="82" t="s">
        <v>89</v>
      </c>
      <c r="CF8" s="455" t="s">
        <v>90</v>
      </c>
      <c r="CG8" s="455"/>
      <c r="CH8" s="455"/>
      <c r="CI8" s="455"/>
      <c r="CJ8" s="455"/>
      <c r="CK8" s="455"/>
    </row>
    <row r="9" spans="1:89" ht="21.75" customHeight="1" x14ac:dyDescent="0.2">
      <c r="AE9" s="24" t="s">
        <v>91</v>
      </c>
      <c r="AF9" s="25">
        <f t="shared" si="0"/>
        <v>5109954.6268656682</v>
      </c>
      <c r="AG9" s="25">
        <f t="shared" si="1"/>
        <v>3203808.5106382952</v>
      </c>
      <c r="AH9" s="26">
        <v>0.4</v>
      </c>
      <c r="AI9" s="25">
        <f t="shared" si="2"/>
        <v>1128816.0000000002</v>
      </c>
      <c r="AJ9" s="25">
        <f t="shared" si="3"/>
        <v>2335098.6207302464</v>
      </c>
      <c r="AK9" s="25">
        <f t="shared" si="4"/>
        <v>226247.59363534683</v>
      </c>
      <c r="AL9" s="25">
        <f t="shared" si="5"/>
        <v>0</v>
      </c>
      <c r="AM9" s="27">
        <f t="shared" si="6"/>
        <v>0.11184033517253604</v>
      </c>
      <c r="AN9" s="27">
        <f t="shared" si="7"/>
        <v>8.8179675296797891E-2</v>
      </c>
      <c r="AO9" s="28">
        <f t="shared" si="8"/>
        <v>1</v>
      </c>
      <c r="AP9" s="25">
        <f t="shared" si="9"/>
        <v>1004908.4874903577</v>
      </c>
      <c r="AQ9" s="29">
        <f t="shared" si="10"/>
        <v>477971.07809949719</v>
      </c>
      <c r="AR9" s="58">
        <f t="shared" si="11"/>
        <v>1656274.2796622587</v>
      </c>
      <c r="AS9" s="33">
        <f t="shared" si="12"/>
        <v>1438510.4786523494</v>
      </c>
      <c r="AT9" s="31">
        <f t="shared" si="13"/>
        <v>183490.85106382964</v>
      </c>
      <c r="AU9" s="31">
        <f t="shared" si="14"/>
        <v>16765080.526837848</v>
      </c>
      <c r="AV9" s="31">
        <f t="shared" si="15"/>
        <v>14232.864247961494</v>
      </c>
      <c r="AW9" s="32">
        <f t="shared" si="16"/>
        <v>8.1672447395639086E-2</v>
      </c>
      <c r="AX9" s="25">
        <f t="shared" si="17"/>
        <v>30734717.553191461</v>
      </c>
      <c r="AY9" s="59">
        <f t="shared" si="18"/>
        <v>11990.885752038505</v>
      </c>
      <c r="AZ9" s="59">
        <f t="shared" si="19"/>
        <v>13969637.026353613</v>
      </c>
      <c r="BA9" s="35">
        <f t="shared" si="20"/>
        <v>10.315336222779864</v>
      </c>
      <c r="BB9" s="36">
        <f t="shared" si="21"/>
        <v>0.45452303253403481</v>
      </c>
      <c r="BC9" s="36">
        <f t="shared" si="22"/>
        <v>0.21972748012608617</v>
      </c>
      <c r="BD9" s="37">
        <f t="shared" si="23"/>
        <v>0.84247875502331881</v>
      </c>
      <c r="BE9" s="60" t="s">
        <v>91</v>
      </c>
      <c r="BH9" s="24" t="s">
        <v>92</v>
      </c>
      <c r="BI9" s="69">
        <f>C25</f>
        <v>2712940.8510638298</v>
      </c>
      <c r="BJ9" s="27">
        <f>BI9/SUM(C24:C25)</f>
        <v>1.3186358399588311E-2</v>
      </c>
      <c r="BK9" s="20" t="s">
        <v>62</v>
      </c>
      <c r="BN9" s="38" t="s">
        <v>93</v>
      </c>
      <c r="BO9" s="39">
        <f t="shared" si="24"/>
        <v>0</v>
      </c>
      <c r="BP9" s="40"/>
      <c r="BQ9" s="38" t="s">
        <v>93</v>
      </c>
      <c r="BR9" s="39">
        <f t="shared" si="25"/>
        <v>0</v>
      </c>
      <c r="BS9" s="40"/>
      <c r="BV9" s="24" t="s">
        <v>94</v>
      </c>
      <c r="BW9" s="83">
        <v>1</v>
      </c>
      <c r="BX9" s="25">
        <f>H22*BW9</f>
        <v>10147458.231382981</v>
      </c>
      <c r="BY9" s="84" t="s">
        <v>95</v>
      </c>
      <c r="BZ9" s="85">
        <f>BX9*BW6</f>
        <v>8869759.4114847165</v>
      </c>
      <c r="CA9" s="86">
        <f>BZ9+BX9</f>
        <v>19017217.642867699</v>
      </c>
      <c r="CB9" s="87"/>
      <c r="CF9" s="65">
        <v>3</v>
      </c>
      <c r="CG9" s="66" t="s">
        <v>96</v>
      </c>
      <c r="CH9" s="88">
        <f t="shared" ref="CH9:CH19" si="26">C17</f>
        <v>269315548.16315919</v>
      </c>
      <c r="CI9" s="66" t="s">
        <v>97</v>
      </c>
      <c r="CJ9" s="68" t="s">
        <v>98</v>
      </c>
      <c r="CK9" s="66" t="s">
        <v>99</v>
      </c>
    </row>
    <row r="10" spans="1:89" ht="21.75" customHeight="1" x14ac:dyDescent="0.2">
      <c r="AE10" s="43" t="s">
        <v>100</v>
      </c>
      <c r="AF10" s="44">
        <f t="shared" si="0"/>
        <v>0</v>
      </c>
      <c r="AG10" s="44">
        <f t="shared" si="1"/>
        <v>0</v>
      </c>
      <c r="AH10" s="45">
        <v>0.6</v>
      </c>
      <c r="AI10" s="44">
        <f t="shared" si="2"/>
        <v>1693224.0000000002</v>
      </c>
      <c r="AJ10" s="44">
        <f t="shared" si="3"/>
        <v>0</v>
      </c>
      <c r="AK10" s="44">
        <f t="shared" si="4"/>
        <v>0</v>
      </c>
      <c r="AL10" s="44">
        <f t="shared" si="5"/>
        <v>0</v>
      </c>
      <c r="AM10" s="46">
        <f t="shared" si="6"/>
        <v>1.5775734531095577E-2</v>
      </c>
      <c r="AN10" s="46">
        <f t="shared" si="7"/>
        <v>1.2438259831521803E-2</v>
      </c>
      <c r="AO10" s="47">
        <f t="shared" si="8"/>
        <v>1</v>
      </c>
      <c r="AP10" s="44">
        <f>(AN10*SUM($C$86,$C$88:$C$90,$C$96:$C$97,$C$101))+((H154+X154)/($H$157+$X$157))*$C$99+((SUM($D$94:$D$95)*H68*AO10)+(D93*H68/2*AO10))</f>
        <v>114849.13558274637</v>
      </c>
      <c r="AQ10" s="29">
        <f>((($C$98)*AM10))+C91</f>
        <v>67420.620923629496</v>
      </c>
      <c r="AR10" s="48">
        <f t="shared" si="11"/>
        <v>233627.19099799046</v>
      </c>
      <c r="AS10" s="49">
        <f t="shared" si="12"/>
        <v>202910.33102153486</v>
      </c>
      <c r="AT10" s="50">
        <f t="shared" si="13"/>
        <v>0</v>
      </c>
      <c r="AU10" s="50">
        <f t="shared" si="14"/>
        <v>2312031.2785259015</v>
      </c>
      <c r="AV10" s="50" t="str">
        <f t="shared" si="15"/>
        <v>0</v>
      </c>
      <c r="AW10" s="51">
        <f t="shared" si="16"/>
        <v>1.1387886002773399E-2</v>
      </c>
      <c r="AX10" s="44">
        <f t="shared" si="17"/>
        <v>0</v>
      </c>
      <c r="AY10" s="52" t="str">
        <f t="shared" si="18"/>
        <v>0</v>
      </c>
      <c r="AZ10" s="52">
        <f t="shared" si="19"/>
        <v>-2312031.2785259015</v>
      </c>
      <c r="BA10" s="53">
        <f t="shared" si="20"/>
        <v>-87.81261067738653</v>
      </c>
      <c r="BB10" s="54" t="str">
        <f t="shared" si="21"/>
        <v>0.00%</v>
      </c>
      <c r="BC10" s="54">
        <f t="shared" si="22"/>
        <v>-3.6365784296672837E-2</v>
      </c>
      <c r="BD10" s="55">
        <f t="shared" si="23"/>
        <v>-1</v>
      </c>
      <c r="BE10" s="60" t="s">
        <v>101</v>
      </c>
      <c r="BH10" s="19" t="s">
        <v>102</v>
      </c>
      <c r="BI10" s="62">
        <f>I49</f>
        <v>64193805</v>
      </c>
      <c r="BJ10" s="78">
        <f>BI10/$C$24</f>
        <v>0.31618591850987166</v>
      </c>
      <c r="BK10" s="89" t="s">
        <v>103</v>
      </c>
      <c r="BN10" s="16" t="s">
        <v>104</v>
      </c>
      <c r="BO10" s="17">
        <f t="shared" si="24"/>
        <v>0</v>
      </c>
      <c r="BP10" s="40"/>
      <c r="BQ10" s="16" t="s">
        <v>104</v>
      </c>
      <c r="BR10" s="17">
        <f t="shared" si="25"/>
        <v>0</v>
      </c>
      <c r="BS10" s="40"/>
      <c r="BV10" s="43" t="s">
        <v>105</v>
      </c>
      <c r="BW10" s="83">
        <v>0</v>
      </c>
      <c r="BX10" s="44">
        <f>H22*BW10</f>
        <v>0</v>
      </c>
      <c r="BY10" s="44"/>
      <c r="BZ10" s="90">
        <f>BX10*BW7</f>
        <v>0</v>
      </c>
      <c r="CA10" s="91">
        <f>BZ10+BX10</f>
        <v>0</v>
      </c>
      <c r="CB10" s="92"/>
      <c r="CF10" s="73">
        <v>4</v>
      </c>
      <c r="CG10" s="74" t="s">
        <v>106</v>
      </c>
      <c r="CH10" s="93">
        <f t="shared" si="26"/>
        <v>64193805</v>
      </c>
      <c r="CI10" s="74" t="s">
        <v>97</v>
      </c>
      <c r="CJ10" s="76" t="s">
        <v>107</v>
      </c>
      <c r="CK10" s="74" t="s">
        <v>99</v>
      </c>
    </row>
    <row r="11" spans="1:89" ht="21.75" customHeight="1" x14ac:dyDescent="0.2">
      <c r="AE11" s="24" t="s">
        <v>108</v>
      </c>
      <c r="AF11" s="25">
        <f t="shared" si="0"/>
        <v>0</v>
      </c>
      <c r="AG11" s="25">
        <f t="shared" si="1"/>
        <v>0</v>
      </c>
      <c r="AH11" s="26"/>
      <c r="AI11" s="25">
        <f t="shared" si="2"/>
        <v>0</v>
      </c>
      <c r="AJ11" s="25">
        <f t="shared" si="3"/>
        <v>0</v>
      </c>
      <c r="AK11" s="25">
        <f t="shared" si="4"/>
        <v>0</v>
      </c>
      <c r="AL11" s="25">
        <f t="shared" si="5"/>
        <v>0</v>
      </c>
      <c r="AM11" s="27">
        <f t="shared" si="6"/>
        <v>0</v>
      </c>
      <c r="AN11" s="27">
        <f t="shared" si="7"/>
        <v>0</v>
      </c>
      <c r="AO11" s="28">
        <f t="shared" si="8"/>
        <v>1</v>
      </c>
      <c r="AP11" s="25">
        <f>(AN11*SUM($C$86,$C$88:$C$90,$C$96:$C$97,$C$101))+((H155+X155)/($H$157+$X$157))*$C$99+(SUM($D$93:$D$95)*H69*AO11)</f>
        <v>0</v>
      </c>
      <c r="AQ11" s="29">
        <f>(($A$92+$C$98)*AM11)</f>
        <v>0</v>
      </c>
      <c r="AR11" s="58">
        <f t="shared" si="11"/>
        <v>0</v>
      </c>
      <c r="AS11" s="33">
        <f t="shared" si="12"/>
        <v>0</v>
      </c>
      <c r="AT11" s="31">
        <f t="shared" si="13"/>
        <v>0</v>
      </c>
      <c r="AU11" s="31">
        <f t="shared" si="14"/>
        <v>0</v>
      </c>
      <c r="AV11" s="31" t="str">
        <f t="shared" si="15"/>
        <v>0</v>
      </c>
      <c r="AW11" s="32">
        <f t="shared" si="16"/>
        <v>0</v>
      </c>
      <c r="AX11" s="25">
        <f t="shared" si="17"/>
        <v>0</v>
      </c>
      <c r="AY11" s="59" t="str">
        <f t="shared" si="18"/>
        <v>0</v>
      </c>
      <c r="AZ11" s="59">
        <f t="shared" si="19"/>
        <v>0</v>
      </c>
      <c r="BA11" s="35" t="str">
        <f t="shared" si="20"/>
        <v>0.00</v>
      </c>
      <c r="BB11" s="36" t="str">
        <f t="shared" si="21"/>
        <v>0.00%</v>
      </c>
      <c r="BC11" s="36">
        <f t="shared" si="22"/>
        <v>0</v>
      </c>
      <c r="BD11" s="37" t="str">
        <f t="shared" si="23"/>
        <v>0.00%</v>
      </c>
      <c r="BE11" s="60" t="s">
        <v>109</v>
      </c>
      <c r="BH11" s="24" t="s">
        <v>110</v>
      </c>
      <c r="BI11" s="69">
        <f>J76</f>
        <v>81179665.851063833</v>
      </c>
      <c r="BJ11" s="27">
        <f>BI11/$C$24</f>
        <v>0.39984959937244846</v>
      </c>
      <c r="BK11" s="89" t="s">
        <v>111</v>
      </c>
      <c r="BN11" s="38" t="s">
        <v>112</v>
      </c>
      <c r="BO11" s="39">
        <f t="shared" si="24"/>
        <v>0</v>
      </c>
      <c r="BP11" s="40"/>
      <c r="BQ11" s="38" t="s">
        <v>112</v>
      </c>
      <c r="BR11" s="39">
        <f t="shared" si="25"/>
        <v>0</v>
      </c>
      <c r="BS11" s="40"/>
      <c r="BV11" s="24" t="s">
        <v>113</v>
      </c>
      <c r="BW11" s="94">
        <v>1</v>
      </c>
      <c r="BX11" s="84">
        <f>E104*C196*BW11</f>
        <v>0</v>
      </c>
      <c r="BY11" s="84"/>
      <c r="BZ11" s="85">
        <f>BW6*$C$7</f>
        <v>0</v>
      </c>
      <c r="CA11" s="86">
        <f>BZ11+BX11</f>
        <v>0</v>
      </c>
      <c r="CB11" s="87"/>
      <c r="CF11" s="65">
        <v>5</v>
      </c>
      <c r="CG11" s="66" t="s">
        <v>114</v>
      </c>
      <c r="CH11" s="88">
        <f t="shared" si="26"/>
        <v>81179665.851063833</v>
      </c>
      <c r="CI11" s="66" t="s">
        <v>97</v>
      </c>
      <c r="CJ11" s="68" t="s">
        <v>115</v>
      </c>
      <c r="CK11" s="66" t="s">
        <v>99</v>
      </c>
    </row>
    <row r="12" spans="1:89" ht="21.75" customHeight="1" x14ac:dyDescent="0.2">
      <c r="AE12" s="43" t="s">
        <v>116</v>
      </c>
      <c r="AF12" s="44">
        <f t="shared" si="0"/>
        <v>0</v>
      </c>
      <c r="AG12" s="44">
        <f t="shared" si="1"/>
        <v>0</v>
      </c>
      <c r="AH12" s="45"/>
      <c r="AI12" s="44">
        <f t="shared" si="2"/>
        <v>0</v>
      </c>
      <c r="AJ12" s="44">
        <f t="shared" si="3"/>
        <v>0</v>
      </c>
      <c r="AK12" s="44">
        <f t="shared" si="4"/>
        <v>0</v>
      </c>
      <c r="AL12" s="44">
        <f t="shared" si="5"/>
        <v>0</v>
      </c>
      <c r="AM12" s="46">
        <f t="shared" si="6"/>
        <v>0</v>
      </c>
      <c r="AN12" s="46">
        <f t="shared" si="7"/>
        <v>0</v>
      </c>
      <c r="AO12" s="47">
        <f t="shared" si="8"/>
        <v>1</v>
      </c>
      <c r="AP12" s="44">
        <f>(AN12*SUM($C$86,$C$88:$C$90,$C$96:$C$97,$C$101))+((H156+X156)/($H$157+$X$157))*$C$99+(SUM($D$93:$D$95)*H70*AO12)</f>
        <v>0</v>
      </c>
      <c r="AQ12" s="29">
        <f>(($A$92+$C$98)*AM12)</f>
        <v>0</v>
      </c>
      <c r="AR12" s="48">
        <f t="shared" si="11"/>
        <v>0</v>
      </c>
      <c r="AS12" s="49">
        <f t="shared" si="12"/>
        <v>0</v>
      </c>
      <c r="AT12" s="50">
        <f t="shared" si="13"/>
        <v>0</v>
      </c>
      <c r="AU12" s="50">
        <f t="shared" si="14"/>
        <v>0</v>
      </c>
      <c r="AV12" s="50" t="str">
        <f t="shared" si="15"/>
        <v>0</v>
      </c>
      <c r="AW12" s="51">
        <f t="shared" si="16"/>
        <v>0</v>
      </c>
      <c r="AX12" s="44">
        <f t="shared" si="17"/>
        <v>0</v>
      </c>
      <c r="AY12" s="52" t="str">
        <f t="shared" si="18"/>
        <v>0</v>
      </c>
      <c r="AZ12" s="52">
        <f t="shared" si="19"/>
        <v>0</v>
      </c>
      <c r="BA12" s="53" t="str">
        <f t="shared" si="20"/>
        <v>0.00</v>
      </c>
      <c r="BB12" s="54" t="str">
        <f t="shared" si="21"/>
        <v>0.00%</v>
      </c>
      <c r="BC12" s="54">
        <f t="shared" si="22"/>
        <v>0</v>
      </c>
      <c r="BD12" s="55" t="str">
        <f t="shared" si="23"/>
        <v>0.00%</v>
      </c>
      <c r="BE12" s="60" t="s">
        <v>117</v>
      </c>
      <c r="BH12" s="19" t="s">
        <v>118</v>
      </c>
      <c r="BI12" s="77">
        <f>C102</f>
        <v>26529354.82802498</v>
      </c>
      <c r="BJ12" s="78">
        <f>BI12/$C$24</f>
        <v>0.1306700611339891</v>
      </c>
      <c r="BK12" s="89" t="s">
        <v>119</v>
      </c>
      <c r="BN12" s="95" t="s">
        <v>120</v>
      </c>
      <c r="BO12" s="96">
        <f t="shared" si="24"/>
        <v>0</v>
      </c>
      <c r="BP12" s="97"/>
      <c r="BQ12" s="95" t="s">
        <v>120</v>
      </c>
      <c r="BR12" s="96">
        <f t="shared" si="25"/>
        <v>0</v>
      </c>
      <c r="BS12" s="97"/>
      <c r="BV12" s="43" t="s">
        <v>121</v>
      </c>
      <c r="BW12" s="94">
        <v>0</v>
      </c>
      <c r="BX12" s="44">
        <f>E104*C196*BW12</f>
        <v>0</v>
      </c>
      <c r="BY12" s="44"/>
      <c r="BZ12" s="90">
        <f>BW7*$C$7</f>
        <v>0</v>
      </c>
      <c r="CA12" s="91">
        <f>BZ12+BX12</f>
        <v>0</v>
      </c>
      <c r="CB12" s="92"/>
      <c r="CF12" s="73">
        <v>6</v>
      </c>
      <c r="CG12" s="74" t="s">
        <v>122</v>
      </c>
      <c r="CH12" s="93">
        <f t="shared" si="26"/>
        <v>26529354.82802498</v>
      </c>
      <c r="CI12" s="74" t="s">
        <v>97</v>
      </c>
      <c r="CJ12" s="76" t="s">
        <v>123</v>
      </c>
      <c r="CK12" s="74" t="s">
        <v>99</v>
      </c>
    </row>
    <row r="13" spans="1:89" ht="21.75" customHeight="1" x14ac:dyDescent="0.2">
      <c r="AE13" s="98" t="s">
        <v>88</v>
      </c>
      <c r="AF13" s="99">
        <f>SUMIF(AF3:AF12, "&lt;&gt;#DIV/0!")</f>
        <v>49735271.697761185</v>
      </c>
      <c r="AG13" s="99">
        <f>SUMIF(AG3:AG12, "&lt;&gt;#DIV/0!")</f>
        <v>36778502.86193338</v>
      </c>
      <c r="AH13" s="100">
        <f>SUM(AH3:AH12)</f>
        <v>1</v>
      </c>
      <c r="AI13" s="99">
        <f>SUM(AI3:AI12)</f>
        <v>2822040.0000000005</v>
      </c>
      <c r="AJ13" s="99">
        <f>SUMIF(AJ3:AJ12, "&lt;&gt;#DIV/0!")</f>
        <v>16405564.668720201</v>
      </c>
      <c r="AK13" s="99">
        <f>SUMIF(AK3:AK12, "&lt;&gt;#DIV/0!")</f>
        <v>1589534.3757970529</v>
      </c>
      <c r="AL13" s="99">
        <f>SUM(AL3:AL12)</f>
        <v>0</v>
      </c>
      <c r="AM13" s="101">
        <f>SUM(AF13:AG13,AI13:AL13)</f>
        <v>107330913.60421181</v>
      </c>
      <c r="AN13" s="99">
        <f>SUM(AF3:AG12,AI3:AL12,AF21:AG30,AI21:AL30)</f>
        <v>136130296.59574467</v>
      </c>
      <c r="AO13" s="99" t="s">
        <v>62</v>
      </c>
      <c r="AP13" s="474">
        <f>SUM(AP3:AQ12)</f>
        <v>15328269.916806571</v>
      </c>
      <c r="AQ13" s="474"/>
      <c r="AR13" s="102">
        <f>SUMIF(AR3:AR12, "&lt;&gt;#DIV/0!")</f>
        <v>14809274.999999998</v>
      </c>
      <c r="AS13" s="102">
        <f>SUMIF(AS3:AS12, "&lt;&gt;#DIV/0!")</f>
        <v>12862179.610184107</v>
      </c>
      <c r="AT13" s="103">
        <f>SUM(AT3:AT12)</f>
        <v>2712940.8510638298</v>
      </c>
      <c r="AU13" s="103">
        <f>SUM(AU3:AU12)</f>
        <v>153043578.98226631</v>
      </c>
      <c r="AV13" s="104">
        <f>IFERROR(AU13/E139, "0")</f>
        <v>13496.893018216697</v>
      </c>
      <c r="AW13" s="105">
        <f>SUMIF(AW3:AW12, "&lt;&gt;#DIV/0!")</f>
        <v>0.74045199373505566</v>
      </c>
      <c r="AX13" s="99">
        <f>SUMIF(AX3:AX12, "&lt;&gt;#DIV/0!")</f>
        <v>232468291.63390383</v>
      </c>
      <c r="AY13" s="106">
        <f>AZ13/E139</f>
        <v>7004.4549192486456</v>
      </c>
      <c r="AZ13" s="107">
        <f>SUMIF(AZ3:AZ12, "&lt;&gt;#DIV/0!")</f>
        <v>79424712.651637524</v>
      </c>
      <c r="BA13" s="107"/>
      <c r="BB13" s="108">
        <f t="shared" si="21"/>
        <v>0.34165826269639088</v>
      </c>
      <c r="BC13" s="108" t="s">
        <v>62</v>
      </c>
      <c r="BD13" s="109">
        <f>IFERROR(AZ13/AU13, "0.00%")</f>
        <v>0.5189679513496005</v>
      </c>
      <c r="BE13" s="15"/>
      <c r="BH13" s="24" t="s">
        <v>124</v>
      </c>
      <c r="BI13" s="69">
        <f>C119</f>
        <v>14809275</v>
      </c>
      <c r="BJ13" s="27">
        <f>BI13/$C$24</f>
        <v>7.2942929903287074E-2</v>
      </c>
      <c r="BK13" s="89" t="s">
        <v>125</v>
      </c>
      <c r="BV13" s="24" t="s">
        <v>126</v>
      </c>
      <c r="BW13" s="110" t="s">
        <v>127</v>
      </c>
      <c r="BX13" s="25" t="s">
        <v>62</v>
      </c>
      <c r="BY13" s="84" t="s">
        <v>128</v>
      </c>
      <c r="BZ13" s="85">
        <f>(SUM(C184,C187,C188)*2.5%)</f>
        <v>6418780.0870577041</v>
      </c>
      <c r="CA13" s="86">
        <f>BZ13</f>
        <v>6418780.0870577041</v>
      </c>
      <c r="CB13" s="87"/>
      <c r="CF13" s="65">
        <v>7</v>
      </c>
      <c r="CG13" s="66" t="s">
        <v>129</v>
      </c>
      <c r="CH13" s="88">
        <f t="shared" si="26"/>
        <v>16313401.856046377</v>
      </c>
      <c r="CI13" s="66" t="s">
        <v>97</v>
      </c>
      <c r="CJ13" s="68" t="s">
        <v>130</v>
      </c>
      <c r="CK13" s="66" t="s">
        <v>99</v>
      </c>
    </row>
    <row r="14" spans="1:89" ht="21.75" customHeight="1" x14ac:dyDescent="0.2">
      <c r="A14" s="15"/>
      <c r="AE14" s="111" t="s">
        <v>131</v>
      </c>
      <c r="AF14" s="111" t="b">
        <f>(AF13+AF31)=I49</f>
        <v>1</v>
      </c>
      <c r="AG14" s="111" t="b">
        <f>(AG13+AG31)=SUM(J61:J71)</f>
        <v>0</v>
      </c>
      <c r="AH14" s="111" t="b">
        <f>AH13=100%</f>
        <v>1</v>
      </c>
      <c r="AI14" s="111" t="b">
        <f>(AI13+AI31)=SUM(J73)</f>
        <v>1</v>
      </c>
      <c r="AJ14" s="111" t="b">
        <f>(AJ13+AJ31)=SUM(J74:J75)</f>
        <v>1</v>
      </c>
      <c r="AK14" s="111" t="b">
        <f>(AK13+AK31)=SUM(C87)</f>
        <v>1</v>
      </c>
      <c r="AL14" s="111" t="b">
        <f>(AL13+AL31)=SUM(J71)</f>
        <v>0</v>
      </c>
      <c r="AM14" s="111" t="b">
        <f>SUM(AM3:AM12)=100%</f>
        <v>1</v>
      </c>
      <c r="AN14" s="111" t="b">
        <f>SUM(AN3:AN12,AN21:AN30)=100%</f>
        <v>0</v>
      </c>
      <c r="AO14" s="111" t="b">
        <f>SUM(AO3:AO12,AO21:AO30)=1000%</f>
        <v>1</v>
      </c>
      <c r="AP14" s="475" t="b">
        <f>(C102-C87)=(AP13+AP31)</f>
        <v>0</v>
      </c>
      <c r="AQ14" s="475"/>
      <c r="AR14" s="111" t="b">
        <f>IF(ABS(C119-AR13) &lt; MAX(0.00001, C119 * 0.00001), TRUE(), FALSE())</f>
        <v>1</v>
      </c>
      <c r="AS14" s="111" t="b">
        <f>(AS13+AS31)=SUM(C107)</f>
        <v>0</v>
      </c>
      <c r="AT14" s="111" t="b">
        <f>AT13=C25</f>
        <v>1</v>
      </c>
      <c r="AU14" s="111" t="b">
        <f>IF(ABS(AU13+AU31 - C24+C25) &lt; MAX(0.0001, AU13+AU31 * 0.0001), TRUE(), FALSE())</f>
        <v>1</v>
      </c>
      <c r="AV14" s="111" t="b">
        <f>AV13=AV13</f>
        <v>1</v>
      </c>
      <c r="AW14" s="111" t="b">
        <f>AW31+AW13=100%</f>
        <v>0</v>
      </c>
      <c r="AX14" s="111" t="b">
        <f>ABS((AX13 + AX31) - (C17 + AT31)) &lt; 0.1</f>
        <v>1</v>
      </c>
      <c r="AY14" s="111" t="b">
        <f>AY13=AY13</f>
        <v>1</v>
      </c>
      <c r="AZ14" s="111" t="b">
        <f>IF(ABS(AZ13+AZ31 - C26) &lt; MAX(0.0001, AZ13+AZ31 * 0.0001), TRUE(), FALSE())</f>
        <v>1</v>
      </c>
      <c r="BA14" s="111" t="b">
        <f>BA13=BA13</f>
        <v>1</v>
      </c>
      <c r="BB14" s="111" t="b">
        <f>BB13=BB13</f>
        <v>1</v>
      </c>
      <c r="BC14" s="111" t="b">
        <f>BC13=BC13</f>
        <v>1</v>
      </c>
      <c r="BD14" s="111" t="b">
        <f>BD13=BD13</f>
        <v>1</v>
      </c>
      <c r="BE14" s="15"/>
      <c r="BH14" s="19" t="s">
        <v>132</v>
      </c>
      <c r="BI14" s="77">
        <f>C107</f>
        <v>16313401.856046377</v>
      </c>
      <c r="BJ14" s="78">
        <f>BI14/$C$24</f>
        <v>8.0351491080403611E-2</v>
      </c>
      <c r="BK14" s="89" t="s">
        <v>133</v>
      </c>
      <c r="BV14" s="43" t="s">
        <v>134</v>
      </c>
      <c r="BW14" s="110" t="s">
        <v>127</v>
      </c>
      <c r="BX14" s="44">
        <v>0</v>
      </c>
      <c r="BY14" s="44"/>
      <c r="BZ14" s="90">
        <f>BX18*BW6*(1-BY18)</f>
        <v>0</v>
      </c>
      <c r="CA14" s="91"/>
      <c r="CB14" s="92"/>
      <c r="CF14" s="73">
        <v>8</v>
      </c>
      <c r="CG14" s="74" t="s">
        <v>135</v>
      </c>
      <c r="CH14" s="93">
        <f t="shared" si="26"/>
        <v>14809275</v>
      </c>
      <c r="CI14" s="74" t="s">
        <v>97</v>
      </c>
      <c r="CJ14" s="76" t="s">
        <v>136</v>
      </c>
      <c r="CK14" s="74" t="s">
        <v>99</v>
      </c>
    </row>
    <row r="15" spans="1:89" ht="21.75" customHeight="1" x14ac:dyDescent="0.2">
      <c r="A15" s="15"/>
      <c r="B15" s="476" t="s">
        <v>137</v>
      </c>
      <c r="C15" s="476"/>
      <c r="D15" s="15"/>
      <c r="E15" s="15"/>
      <c r="G15" s="476" t="s">
        <v>138</v>
      </c>
      <c r="H15" s="476"/>
      <c r="I15" s="476"/>
      <c r="J15" s="15"/>
      <c r="K15" s="15"/>
      <c r="AF15" s="15"/>
      <c r="AG15" s="15"/>
      <c r="AH15" s="15"/>
      <c r="AI15" s="15"/>
      <c r="AJ15" s="15"/>
      <c r="AK15" s="15"/>
      <c r="AL15" s="15"/>
      <c r="AO15" s="15"/>
      <c r="AQ15" s="15"/>
      <c r="AR15" s="15"/>
      <c r="AS15" s="15"/>
      <c r="AT15" s="15"/>
      <c r="AU15" s="15"/>
      <c r="AV15" s="15"/>
      <c r="AW15" s="15"/>
      <c r="AY15" s="15"/>
      <c r="AZ15" s="15"/>
      <c r="BD15" s="15"/>
      <c r="BH15" s="477" t="s">
        <v>139</v>
      </c>
      <c r="BI15" s="477"/>
      <c r="BJ15" s="477"/>
      <c r="BK15" s="20" t="s">
        <v>62</v>
      </c>
      <c r="BV15" s="24" t="s">
        <v>140</v>
      </c>
      <c r="BW15" s="83">
        <v>1</v>
      </c>
      <c r="BX15" s="84">
        <f>K23*BW15</f>
        <v>0</v>
      </c>
      <c r="BY15" s="25" t="s">
        <v>141</v>
      </c>
      <c r="BZ15" s="85">
        <f>BX15*BW6</f>
        <v>0</v>
      </c>
      <c r="CA15" s="86">
        <f>BZ15+BX15</f>
        <v>0</v>
      </c>
      <c r="CB15" s="87"/>
      <c r="CF15" s="65">
        <v>9</v>
      </c>
      <c r="CG15" s="66" t="s">
        <v>142</v>
      </c>
      <c r="CH15" s="88">
        <f t="shared" si="26"/>
        <v>83100000</v>
      </c>
      <c r="CI15" s="66" t="s">
        <v>97</v>
      </c>
      <c r="CJ15" s="68" t="s">
        <v>143</v>
      </c>
      <c r="CK15" s="66" t="s">
        <v>99</v>
      </c>
    </row>
    <row r="16" spans="1:89" ht="21.75" customHeight="1" x14ac:dyDescent="0.2">
      <c r="A16" s="15"/>
      <c r="B16" s="112" t="s">
        <v>144</v>
      </c>
      <c r="C16" s="113" t="s">
        <v>145</v>
      </c>
      <c r="D16" s="15"/>
      <c r="E16" s="15"/>
      <c r="G16" s="478" t="s">
        <v>146</v>
      </c>
      <c r="H16" s="478"/>
      <c r="I16" s="478"/>
      <c r="J16" s="15"/>
      <c r="K16" s="15"/>
      <c r="AM16" s="114"/>
      <c r="BH16" s="24" t="s">
        <v>147</v>
      </c>
      <c r="BI16" s="479">
        <f>SUM(C184,C187:C188)/J59</f>
        <v>17542.947202287174</v>
      </c>
      <c r="BJ16" s="479"/>
      <c r="BK16" s="20" t="s">
        <v>62</v>
      </c>
      <c r="BV16" s="43" t="s">
        <v>148</v>
      </c>
      <c r="BW16" s="94">
        <v>1</v>
      </c>
      <c r="BX16" s="44">
        <v>0</v>
      </c>
      <c r="BY16" s="44" t="s">
        <v>141</v>
      </c>
      <c r="BZ16" s="90">
        <f>BX16*$C$7</f>
        <v>0</v>
      </c>
      <c r="CA16" s="91">
        <f>BZ16+BX16</f>
        <v>0</v>
      </c>
      <c r="CB16" s="92"/>
      <c r="CF16" s="73">
        <v>10</v>
      </c>
      <c r="CG16" s="74" t="s">
        <v>149</v>
      </c>
      <c r="CH16" s="93">
        <f t="shared" si="26"/>
        <v>203025502.53513521</v>
      </c>
      <c r="CI16" s="74" t="s">
        <v>97</v>
      </c>
      <c r="CJ16" s="76" t="s">
        <v>150</v>
      </c>
      <c r="CK16" s="74" t="s">
        <v>99</v>
      </c>
    </row>
    <row r="17" spans="1:89" ht="21.75" customHeight="1" x14ac:dyDescent="0.2">
      <c r="A17" s="15"/>
      <c r="B17" s="115" t="s">
        <v>151</v>
      </c>
      <c r="C17" s="116">
        <f>SUM(C184:C188)</f>
        <v>269315548.16315919</v>
      </c>
      <c r="D17" s="117"/>
      <c r="E17" s="15"/>
      <c r="G17" s="112" t="s">
        <v>152</v>
      </c>
      <c r="H17" s="118" t="s">
        <v>153</v>
      </c>
      <c r="I17" s="119" t="s">
        <v>154</v>
      </c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H17" s="19" t="s">
        <v>155</v>
      </c>
      <c r="BI17" s="120">
        <f>BI16-BI6</f>
        <v>3670.8966592519573</v>
      </c>
      <c r="BJ17" s="78">
        <f>BI17/BI6</f>
        <v>0.26462538093151744</v>
      </c>
      <c r="BK17" s="20" t="s">
        <v>62</v>
      </c>
      <c r="BV17" s="121" t="s">
        <v>156</v>
      </c>
      <c r="BW17" s="122"/>
      <c r="BX17" s="123">
        <f>SUM(BX9:BX16)</f>
        <v>10147458.231382981</v>
      </c>
      <c r="BY17" s="123"/>
      <c r="BZ17" s="124">
        <f>SUM(BZ9:BZ16)</f>
        <v>15288539.498542421</v>
      </c>
      <c r="CA17" s="125">
        <f>SUM(CA9:CA16)</f>
        <v>25435997.729925402</v>
      </c>
      <c r="CB17" s="126"/>
      <c r="CF17" s="65">
        <v>11</v>
      </c>
      <c r="CG17" s="66" t="s">
        <v>157</v>
      </c>
      <c r="CH17" s="88">
        <f t="shared" si="26"/>
        <v>2712940.8510638298</v>
      </c>
      <c r="CI17" s="66" t="s">
        <v>97</v>
      </c>
      <c r="CJ17" s="68" t="s">
        <v>158</v>
      </c>
      <c r="CK17" s="66" t="s">
        <v>99</v>
      </c>
    </row>
    <row r="18" spans="1:89" ht="21.75" customHeight="1" x14ac:dyDescent="0.2">
      <c r="A18" s="15"/>
      <c r="B18" s="127" t="s">
        <v>159</v>
      </c>
      <c r="C18" s="128">
        <f>I49</f>
        <v>64193805</v>
      </c>
      <c r="D18" s="117"/>
      <c r="G18" s="480" t="s">
        <v>160</v>
      </c>
      <c r="H18" s="480"/>
      <c r="I18" s="480"/>
      <c r="AI18" s="15"/>
      <c r="AJ18" s="15"/>
      <c r="AK18" s="15"/>
      <c r="AL18" s="15"/>
      <c r="AM18" s="129"/>
      <c r="AN18" s="15"/>
      <c r="AO18" s="15"/>
      <c r="AP18" s="15"/>
      <c r="AQ18" s="15"/>
      <c r="AR18" s="15"/>
      <c r="AS18" s="15"/>
      <c r="AT18" s="15"/>
      <c r="AU18" s="130"/>
      <c r="AV18" s="15"/>
      <c r="AW18" s="15"/>
      <c r="AX18" s="15"/>
      <c r="AY18" s="15"/>
      <c r="AZ18" s="15"/>
      <c r="BA18" s="15"/>
      <c r="BB18" s="15"/>
      <c r="BH18" s="24" t="s">
        <v>161</v>
      </c>
      <c r="BI18" s="59">
        <f>C26/F76</f>
        <v>4344.0099880713724</v>
      </c>
      <c r="BJ18" s="27">
        <f>BI18/BI6</f>
        <v>0.31314836797883372</v>
      </c>
      <c r="BK18" s="20" t="s">
        <v>62</v>
      </c>
      <c r="BV18" s="24" t="s">
        <v>162</v>
      </c>
      <c r="BW18" s="131"/>
      <c r="BX18" s="25">
        <v>0</v>
      </c>
      <c r="BY18" s="83">
        <v>0.7</v>
      </c>
      <c r="BZ18" s="85">
        <f>BX18*BW6*BY18</f>
        <v>0</v>
      </c>
      <c r="CA18" s="86">
        <f>BZ18+BX18</f>
        <v>0</v>
      </c>
      <c r="CB18" s="87"/>
      <c r="CF18" s="73">
        <v>12</v>
      </c>
      <c r="CG18" s="74" t="s">
        <v>163</v>
      </c>
      <c r="CH18" s="93">
        <f t="shared" si="26"/>
        <v>63577104.776960164</v>
      </c>
      <c r="CI18" s="74" t="s">
        <v>97</v>
      </c>
      <c r="CJ18" s="76" t="s">
        <v>164</v>
      </c>
      <c r="CK18" s="74" t="s">
        <v>99</v>
      </c>
    </row>
    <row r="19" spans="1:89" ht="21.75" customHeight="1" x14ac:dyDescent="0.2">
      <c r="A19" s="15"/>
      <c r="B19" s="115" t="s">
        <v>165</v>
      </c>
      <c r="C19" s="132">
        <f>J76</f>
        <v>81179665.851063833</v>
      </c>
      <c r="E19" s="129"/>
      <c r="G19" s="115" t="s">
        <v>166</v>
      </c>
      <c r="H19" s="133">
        <v>20000000</v>
      </c>
      <c r="I19" s="134">
        <f t="shared" ref="I19:I24" si="27">H19/$H$34</f>
        <v>9.8509791874736713E-2</v>
      </c>
      <c r="J19" s="15"/>
      <c r="K19" s="15"/>
      <c r="AE19" s="481" t="s">
        <v>167</v>
      </c>
      <c r="AF19" s="481"/>
      <c r="AG19" s="481"/>
      <c r="AH19" s="481"/>
      <c r="AI19" s="481"/>
      <c r="AJ19" s="481"/>
      <c r="AK19" s="481"/>
      <c r="AL19" s="481"/>
      <c r="AM19" s="481"/>
      <c r="AN19" s="481"/>
      <c r="AO19" s="481"/>
      <c r="AP19" s="481"/>
      <c r="AQ19" s="481"/>
      <c r="AR19" s="481"/>
      <c r="AS19" s="481"/>
      <c r="AT19" s="481"/>
      <c r="AU19" s="481"/>
      <c r="AV19" s="481"/>
      <c r="AW19" s="481"/>
      <c r="AX19" s="481"/>
      <c r="AY19" s="481"/>
      <c r="AZ19" s="481"/>
      <c r="BA19" s="481"/>
      <c r="BB19" s="481"/>
      <c r="BC19" s="481"/>
      <c r="BD19" s="481"/>
      <c r="BH19" s="19" t="s">
        <v>168</v>
      </c>
      <c r="BI19" s="483">
        <f>C26/C17</f>
        <v>0.23606919544965635</v>
      </c>
      <c r="BJ19" s="483"/>
      <c r="BK19" s="89" t="s">
        <v>169</v>
      </c>
      <c r="BV19" s="135" t="s">
        <v>170</v>
      </c>
      <c r="BW19" s="136"/>
      <c r="BX19" s="137">
        <f>SUM(BX17:BX18)</f>
        <v>10147458.231382981</v>
      </c>
      <c r="BY19" s="137"/>
      <c r="BZ19" s="138">
        <f>SUM(BZ17:BZ18)</f>
        <v>15288539.498542421</v>
      </c>
      <c r="CA19" s="139">
        <f>BZ19+BX19</f>
        <v>25435997.729925402</v>
      </c>
      <c r="CB19" s="140"/>
      <c r="CF19" s="65">
        <v>13</v>
      </c>
      <c r="CG19" s="66" t="s">
        <v>171</v>
      </c>
      <c r="CH19" s="141">
        <f t="shared" si="26"/>
        <v>3.7506849315068487</v>
      </c>
      <c r="CI19" s="66" t="s">
        <v>97</v>
      </c>
      <c r="CJ19" s="68" t="s">
        <v>172</v>
      </c>
      <c r="CK19" s="66" t="s">
        <v>173</v>
      </c>
    </row>
    <row r="20" spans="1:89" ht="25.5" customHeight="1" x14ac:dyDescent="0.2">
      <c r="A20" s="15"/>
      <c r="B20" s="127" t="s">
        <v>174</v>
      </c>
      <c r="C20" s="128">
        <f>C102</f>
        <v>26529354.82802498</v>
      </c>
      <c r="D20" s="15"/>
      <c r="E20" s="129"/>
      <c r="G20" s="127" t="s">
        <v>175</v>
      </c>
      <c r="H20" s="142"/>
      <c r="I20" s="143">
        <f t="shared" si="27"/>
        <v>0</v>
      </c>
      <c r="J20" s="15"/>
      <c r="K20" s="15"/>
      <c r="AE20" s="11" t="s">
        <v>12</v>
      </c>
      <c r="AF20" s="12" t="s">
        <v>13</v>
      </c>
      <c r="AG20" s="12" t="s">
        <v>14</v>
      </c>
      <c r="AH20" s="13" t="s">
        <v>176</v>
      </c>
      <c r="AI20" s="12" t="s">
        <v>16</v>
      </c>
      <c r="AJ20" s="12" t="s">
        <v>17</v>
      </c>
      <c r="AK20" s="12" t="s">
        <v>18</v>
      </c>
      <c r="AL20" s="12" t="s">
        <v>19</v>
      </c>
      <c r="AM20" s="13" t="s">
        <v>20</v>
      </c>
      <c r="AN20" s="13" t="s">
        <v>21</v>
      </c>
      <c r="AO20" s="12" t="s">
        <v>177</v>
      </c>
      <c r="AP20" s="12" t="s">
        <v>23</v>
      </c>
      <c r="AQ20" s="12" t="s">
        <v>24</v>
      </c>
      <c r="AR20" s="12" t="s">
        <v>25</v>
      </c>
      <c r="AS20" s="12" t="s">
        <v>26</v>
      </c>
      <c r="AT20" s="12" t="s">
        <v>178</v>
      </c>
      <c r="AU20" s="12" t="s">
        <v>28</v>
      </c>
      <c r="AV20" s="12" t="s">
        <v>29</v>
      </c>
      <c r="AW20" s="12" t="s">
        <v>30</v>
      </c>
      <c r="AX20" s="12" t="s">
        <v>31</v>
      </c>
      <c r="AY20" s="12" t="s">
        <v>32</v>
      </c>
      <c r="AZ20" s="12" t="s">
        <v>33</v>
      </c>
      <c r="BA20" s="12" t="s">
        <v>34</v>
      </c>
      <c r="BB20" s="12" t="s">
        <v>35</v>
      </c>
      <c r="BC20" s="12" t="s">
        <v>36</v>
      </c>
      <c r="BD20" s="14" t="s">
        <v>37</v>
      </c>
      <c r="BE20" s="15"/>
      <c r="BH20" s="24" t="s">
        <v>179</v>
      </c>
      <c r="BI20" s="144">
        <f>C24/BI16</f>
        <v>11573.055552984029</v>
      </c>
      <c r="BJ20" s="145">
        <f>BI20/F76</f>
        <v>0.79074800733748085</v>
      </c>
      <c r="BK20" s="20" t="s">
        <v>62</v>
      </c>
      <c r="CF20" s="455" t="s">
        <v>180</v>
      </c>
      <c r="CG20" s="455"/>
      <c r="CH20" s="455"/>
      <c r="CI20" s="455"/>
      <c r="CJ20" s="455"/>
      <c r="CK20" s="455"/>
    </row>
    <row r="21" spans="1:89" ht="21.75" customHeight="1" x14ac:dyDescent="0.2">
      <c r="A21" s="15"/>
      <c r="B21" s="115" t="s">
        <v>181</v>
      </c>
      <c r="C21" s="132">
        <f>C107</f>
        <v>16313401.856046377</v>
      </c>
      <c r="D21" s="15"/>
      <c r="E21" s="129"/>
      <c r="G21" s="115" t="s">
        <v>182</v>
      </c>
      <c r="H21" s="133"/>
      <c r="I21" s="134">
        <f t="shared" si="27"/>
        <v>0</v>
      </c>
      <c r="J21" s="15"/>
      <c r="K21" s="15"/>
      <c r="AE21" s="24" t="s">
        <v>183</v>
      </c>
      <c r="AF21" s="25">
        <f t="shared" ref="AF21:AF30" si="28">((F61/$J$59)*$I$49)*AO21</f>
        <v>14458533.302238826</v>
      </c>
      <c r="AG21" s="25">
        <f t="shared" ref="AG21:AG30" si="29">J61*AO21</f>
        <v>10878148.733811298</v>
      </c>
      <c r="AH21" s="26">
        <f t="shared" ref="AH21:AH30" si="30">AH3</f>
        <v>0</v>
      </c>
      <c r="AI21" s="25">
        <f t="shared" ref="AI21:AI30" si="31">($J$73*AH21)*AO21</f>
        <v>0</v>
      </c>
      <c r="AJ21" s="25">
        <f t="shared" ref="AJ21:AJ30" si="32">((K61/$L$76)*($J$74+$J$75))*AO21</f>
        <v>3156835.3312797979</v>
      </c>
      <c r="AK21" s="25">
        <f t="shared" ref="AK21:AK30" si="33">((K61/$L$76)*$C$87)*AO21</f>
        <v>305865.62420294696</v>
      </c>
      <c r="AL21" s="25">
        <f t="shared" ref="AL21:AL30" si="34">(((D61-F61)/$H$59)*$J$71)*AO21</f>
        <v>0</v>
      </c>
      <c r="AM21" s="27">
        <f t="shared" ref="AM21:AM30" si="35">SUM(AF21:AG21,AI21:AL21)/$AM$31</f>
        <v>1</v>
      </c>
      <c r="AN21" s="27">
        <f>SUM(AF21:AG21,AI21:AL21)/$AN$31</f>
        <v>0.21155748361480556</v>
      </c>
      <c r="AO21" s="146">
        <f t="shared" ref="AO21:AO30" si="36">S129</f>
        <v>0.38043478260869568</v>
      </c>
      <c r="AP21" s="25">
        <f t="shared" ref="AP21:AP27" si="37">(AN21*SUM($C$86,$C$88:$C$90,$C$96:$C$97,$C$101))+(SUM($D$93:$D$95)*H61*AO21)</f>
        <v>2723423.9072290487</v>
      </c>
      <c r="AQ21" s="29">
        <f t="shared" ref="AQ21:AQ30" si="38">(($A$92+$C$100)*AM21)</f>
        <v>1137261.0039893629</v>
      </c>
      <c r="AR21" s="147" t="s">
        <v>184</v>
      </c>
      <c r="AS21" s="25">
        <f t="shared" ref="AS21:AS30" si="39">AN21*$C$107</f>
        <v>3451222.2458622698</v>
      </c>
      <c r="AT21" s="147" t="s">
        <v>184</v>
      </c>
      <c r="AU21" s="31">
        <f t="shared" ref="AU21:AU30" si="40">SUM(AF21:AG21,AI21:AL21,AP21:AS21)</f>
        <v>36111290.14861355</v>
      </c>
      <c r="AV21" s="31">
        <f>IFERROR((AU21)/T129, "0")</f>
        <v>10954.736914014684</v>
      </c>
      <c r="AW21" s="32">
        <f t="shared" ref="AW21:AW30" si="41">(AU21)/($C$24)</f>
        <v>0.17786578384340754</v>
      </c>
      <c r="AX21" s="33">
        <f t="shared" ref="AX21:AX30" si="42">AC129</f>
        <v>36847256.52925536</v>
      </c>
      <c r="AY21" s="34">
        <f t="shared" ref="AY21:AY30" si="43">IFERROR(AZ21/T129, "0")</f>
        <v>223.26308598531662</v>
      </c>
      <c r="AZ21" s="34">
        <f t="shared" ref="AZ21:AZ30" si="44">AX21-AU21</f>
        <v>735966.3806418106</v>
      </c>
      <c r="BA21" s="35">
        <f t="shared" ref="BA21:BA30" si="45">IFERROR(BD21/AW21, "0.00")</f>
        <v>0.114583625797875</v>
      </c>
      <c r="BB21" s="36">
        <f t="shared" ref="BB21:BB31" si="46">IFERROR(AZ21/AX21, "0.00%")</f>
        <v>1.9973437644061249E-2</v>
      </c>
      <c r="BC21" s="36">
        <f t="shared" ref="BC21:BC30" si="47">AZ21/$C$26</f>
        <v>1.1575965643980047E-2</v>
      </c>
      <c r="BD21" s="37">
        <f t="shared" ref="BD21:BD30" si="48">IFERROR(AZ21/(AU21), "0.00%")</f>
        <v>2.0380506418158729E-2</v>
      </c>
      <c r="BE21" s="60" t="s">
        <v>47</v>
      </c>
      <c r="BH21" s="477" t="s">
        <v>185</v>
      </c>
      <c r="BI21" s="477"/>
      <c r="BJ21" s="477"/>
      <c r="BK21" s="20" t="s">
        <v>62</v>
      </c>
      <c r="CF21" s="73">
        <v>14</v>
      </c>
      <c r="CG21" s="74" t="s">
        <v>186</v>
      </c>
      <c r="CH21" s="148">
        <f>C28</f>
        <v>0.23024730086326597</v>
      </c>
      <c r="CI21" s="74" t="s">
        <v>187</v>
      </c>
      <c r="CJ21" s="76" t="s">
        <v>188</v>
      </c>
      <c r="CK21" s="74" t="s">
        <v>189</v>
      </c>
    </row>
    <row r="22" spans="1:89" ht="21.75" customHeight="1" x14ac:dyDescent="0.2">
      <c r="A22" s="15"/>
      <c r="B22" s="127" t="s">
        <v>190</v>
      </c>
      <c r="C22" s="128">
        <f>C119</f>
        <v>14809275</v>
      </c>
      <c r="D22" s="15"/>
      <c r="E22" s="129"/>
      <c r="G22" s="127" t="s">
        <v>191</v>
      </c>
      <c r="H22" s="142">
        <f>J22*((D104+E104)*-E196)</f>
        <v>10147458.231382981</v>
      </c>
      <c r="I22" s="143">
        <f t="shared" si="27"/>
        <v>4.9981199921556065E-2</v>
      </c>
      <c r="J22" s="149">
        <v>1</v>
      </c>
      <c r="K22" s="15"/>
      <c r="AE22" s="43" t="s">
        <v>192</v>
      </c>
      <c r="AF22" s="44">
        <f t="shared" si="28"/>
        <v>0</v>
      </c>
      <c r="AG22" s="44">
        <f t="shared" si="29"/>
        <v>0</v>
      </c>
      <c r="AH22" s="45">
        <f t="shared" si="30"/>
        <v>0</v>
      </c>
      <c r="AI22" s="44">
        <f t="shared" si="31"/>
        <v>0</v>
      </c>
      <c r="AJ22" s="44">
        <f t="shared" si="32"/>
        <v>0</v>
      </c>
      <c r="AK22" s="44">
        <f t="shared" si="33"/>
        <v>0</v>
      </c>
      <c r="AL22" s="44">
        <f t="shared" si="34"/>
        <v>0</v>
      </c>
      <c r="AM22" s="46">
        <f t="shared" si="35"/>
        <v>0</v>
      </c>
      <c r="AN22" s="46">
        <f t="shared" ref="AN22:AN30" si="49">SUM(AF22:AL22)/$AN$31</f>
        <v>0</v>
      </c>
      <c r="AO22" s="150" t="str">
        <f t="shared" si="36"/>
        <v>0.00%</v>
      </c>
      <c r="AP22" s="44">
        <f t="shared" si="37"/>
        <v>0</v>
      </c>
      <c r="AQ22" s="29">
        <f t="shared" si="38"/>
        <v>0</v>
      </c>
      <c r="AR22" s="151" t="s">
        <v>184</v>
      </c>
      <c r="AS22" s="44">
        <f t="shared" si="39"/>
        <v>0</v>
      </c>
      <c r="AT22" s="151" t="s">
        <v>184</v>
      </c>
      <c r="AU22" s="50">
        <f t="shared" si="40"/>
        <v>0</v>
      </c>
      <c r="AV22" s="50" t="str">
        <f t="shared" ref="AV22:AV30" si="50">IFERROR((AU22-AT22)/T130, "0")</f>
        <v>0</v>
      </c>
      <c r="AW22" s="51">
        <f t="shared" si="41"/>
        <v>0</v>
      </c>
      <c r="AX22" s="49">
        <f t="shared" si="42"/>
        <v>0</v>
      </c>
      <c r="AY22" s="120" t="str">
        <f t="shared" si="43"/>
        <v>0</v>
      </c>
      <c r="AZ22" s="120">
        <f t="shared" si="44"/>
        <v>0</v>
      </c>
      <c r="BA22" s="53" t="str">
        <f t="shared" si="45"/>
        <v>0.00</v>
      </c>
      <c r="BB22" s="54" t="str">
        <f t="shared" si="46"/>
        <v>0.00%</v>
      </c>
      <c r="BC22" s="54">
        <f t="shared" si="47"/>
        <v>0</v>
      </c>
      <c r="BD22" s="55" t="str">
        <f t="shared" si="48"/>
        <v>0.00%</v>
      </c>
      <c r="BE22" s="60" t="s">
        <v>50</v>
      </c>
      <c r="BH22" s="484" t="s">
        <v>193</v>
      </c>
      <c r="BI22" s="152">
        <f>(BJ24+BJ23)-H26</f>
        <v>-880651.11488297582</v>
      </c>
      <c r="BJ22" s="153">
        <f>H26/(BJ24+BJ23)</f>
        <v>1.0107109959738734</v>
      </c>
      <c r="BK22" s="20" t="s">
        <v>62</v>
      </c>
      <c r="CF22" s="65">
        <v>15</v>
      </c>
      <c r="CG22" s="66" t="s">
        <v>194</v>
      </c>
      <c r="CH22" s="154">
        <f>C30</f>
        <v>0.31314836797883372</v>
      </c>
      <c r="CI22" s="66" t="s">
        <v>187</v>
      </c>
      <c r="CJ22" s="68" t="s">
        <v>195</v>
      </c>
      <c r="CK22" s="66" t="s">
        <v>189</v>
      </c>
    </row>
    <row r="23" spans="1:89" ht="21.75" customHeight="1" x14ac:dyDescent="0.2">
      <c r="A23" s="15"/>
      <c r="B23" s="115" t="s">
        <v>196</v>
      </c>
      <c r="C23" s="116">
        <f>H26</f>
        <v>83100000</v>
      </c>
      <c r="D23" s="15"/>
      <c r="E23" s="129"/>
      <c r="G23" s="115" t="s">
        <v>197</v>
      </c>
      <c r="H23" s="133">
        <f>(J23*E49)+K23</f>
        <v>42588000</v>
      </c>
      <c r="I23" s="134">
        <f t="shared" si="27"/>
        <v>0.20976675081806434</v>
      </c>
      <c r="J23" s="155">
        <v>0.7</v>
      </c>
      <c r="K23" s="3"/>
      <c r="AE23" s="24" t="s">
        <v>198</v>
      </c>
      <c r="AF23" s="25">
        <f t="shared" si="28"/>
        <v>0</v>
      </c>
      <c r="AG23" s="25">
        <f t="shared" si="29"/>
        <v>0</v>
      </c>
      <c r="AH23" s="26">
        <f t="shared" si="30"/>
        <v>0</v>
      </c>
      <c r="AI23" s="25">
        <f t="shared" si="31"/>
        <v>0</v>
      </c>
      <c r="AJ23" s="25">
        <f t="shared" si="32"/>
        <v>0</v>
      </c>
      <c r="AK23" s="25">
        <f t="shared" si="33"/>
        <v>0</v>
      </c>
      <c r="AL23" s="25">
        <f t="shared" si="34"/>
        <v>0</v>
      </c>
      <c r="AM23" s="27">
        <f t="shared" si="35"/>
        <v>0</v>
      </c>
      <c r="AN23" s="27">
        <f t="shared" si="49"/>
        <v>0</v>
      </c>
      <c r="AO23" s="146" t="str">
        <f t="shared" si="36"/>
        <v>0.00%</v>
      </c>
      <c r="AP23" s="25">
        <f t="shared" si="37"/>
        <v>0</v>
      </c>
      <c r="AQ23" s="29">
        <f t="shared" si="38"/>
        <v>0</v>
      </c>
      <c r="AR23" s="147" t="s">
        <v>184</v>
      </c>
      <c r="AS23" s="25">
        <f t="shared" si="39"/>
        <v>0</v>
      </c>
      <c r="AT23" s="147" t="s">
        <v>184</v>
      </c>
      <c r="AU23" s="31">
        <f t="shared" si="40"/>
        <v>0</v>
      </c>
      <c r="AV23" s="31" t="str">
        <f t="shared" si="50"/>
        <v>0</v>
      </c>
      <c r="AW23" s="32">
        <f t="shared" si="41"/>
        <v>0</v>
      </c>
      <c r="AX23" s="33">
        <f t="shared" si="42"/>
        <v>0</v>
      </c>
      <c r="AY23" s="34" t="str">
        <f t="shared" si="43"/>
        <v>0</v>
      </c>
      <c r="AZ23" s="34">
        <f t="shared" si="44"/>
        <v>0</v>
      </c>
      <c r="BA23" s="35" t="str">
        <f t="shared" si="45"/>
        <v>0.00</v>
      </c>
      <c r="BB23" s="36" t="str">
        <f t="shared" si="46"/>
        <v>0.00%</v>
      </c>
      <c r="BC23" s="36">
        <f t="shared" si="47"/>
        <v>0</v>
      </c>
      <c r="BD23" s="37" t="str">
        <f t="shared" si="48"/>
        <v>0.00%</v>
      </c>
      <c r="BE23" s="60" t="s">
        <v>60</v>
      </c>
      <c r="BG23" s="156">
        <f>H26/SUM(C109:D111)</f>
        <v>0.48341264706801573</v>
      </c>
      <c r="BH23" s="484"/>
      <c r="BI23" s="157">
        <v>0.3</v>
      </c>
      <c r="BJ23" s="158">
        <f>(I49*80%)*BI23</f>
        <v>15406513.199999999</v>
      </c>
      <c r="BK23" s="20" t="s">
        <v>62</v>
      </c>
      <c r="CF23" s="73">
        <v>16</v>
      </c>
      <c r="CG23" s="74" t="s">
        <v>199</v>
      </c>
      <c r="CH23" s="148">
        <f>C32</f>
        <v>0.87408681161685065</v>
      </c>
      <c r="CI23" s="74" t="s">
        <v>187</v>
      </c>
      <c r="CJ23" s="76" t="s">
        <v>200</v>
      </c>
      <c r="CK23" s="74" t="s">
        <v>189</v>
      </c>
    </row>
    <row r="24" spans="1:89" ht="21.75" customHeight="1" x14ac:dyDescent="0.2">
      <c r="A24" s="15"/>
      <c r="B24" s="127" t="s">
        <v>201</v>
      </c>
      <c r="C24" s="128">
        <f>SUM(C18:C22)</f>
        <v>203025502.53513521</v>
      </c>
      <c r="D24" s="159"/>
      <c r="G24" s="127" t="s">
        <v>202</v>
      </c>
      <c r="H24" s="142">
        <f>SUM(H19:H23)</f>
        <v>72735458.231382981</v>
      </c>
      <c r="I24" s="143">
        <f t="shared" si="27"/>
        <v>0.35825774261435711</v>
      </c>
      <c r="K24" s="15"/>
      <c r="AE24" s="43" t="s">
        <v>203</v>
      </c>
      <c r="AF24" s="44">
        <f t="shared" si="28"/>
        <v>0</v>
      </c>
      <c r="AG24" s="44">
        <f t="shared" si="29"/>
        <v>0</v>
      </c>
      <c r="AH24" s="45">
        <f t="shared" si="30"/>
        <v>0</v>
      </c>
      <c r="AI24" s="44">
        <f t="shared" si="31"/>
        <v>0</v>
      </c>
      <c r="AJ24" s="44">
        <f t="shared" si="32"/>
        <v>0</v>
      </c>
      <c r="AK24" s="44">
        <f t="shared" si="33"/>
        <v>0</v>
      </c>
      <c r="AL24" s="44">
        <f t="shared" si="34"/>
        <v>0</v>
      </c>
      <c r="AM24" s="46">
        <f t="shared" si="35"/>
        <v>0</v>
      </c>
      <c r="AN24" s="46">
        <f t="shared" si="49"/>
        <v>0</v>
      </c>
      <c r="AO24" s="150" t="str">
        <f t="shared" si="36"/>
        <v>0.00%</v>
      </c>
      <c r="AP24" s="44">
        <f t="shared" si="37"/>
        <v>0</v>
      </c>
      <c r="AQ24" s="29">
        <f t="shared" si="38"/>
        <v>0</v>
      </c>
      <c r="AR24" s="151" t="s">
        <v>184</v>
      </c>
      <c r="AS24" s="44">
        <f t="shared" si="39"/>
        <v>0</v>
      </c>
      <c r="AT24" s="151" t="s">
        <v>184</v>
      </c>
      <c r="AU24" s="50">
        <f t="shared" si="40"/>
        <v>0</v>
      </c>
      <c r="AV24" s="50" t="str">
        <f t="shared" si="50"/>
        <v>0</v>
      </c>
      <c r="AW24" s="51">
        <f t="shared" si="41"/>
        <v>0</v>
      </c>
      <c r="AX24" s="49">
        <f t="shared" si="42"/>
        <v>0</v>
      </c>
      <c r="AY24" s="120" t="str">
        <f t="shared" si="43"/>
        <v>0</v>
      </c>
      <c r="AZ24" s="120">
        <f t="shared" si="44"/>
        <v>0</v>
      </c>
      <c r="BA24" s="53" t="str">
        <f t="shared" si="45"/>
        <v>0.00</v>
      </c>
      <c r="BB24" s="54" t="str">
        <f t="shared" si="46"/>
        <v>0.00%</v>
      </c>
      <c r="BC24" s="54">
        <f t="shared" si="47"/>
        <v>0</v>
      </c>
      <c r="BD24" s="55" t="str">
        <f t="shared" si="48"/>
        <v>0.00%</v>
      </c>
      <c r="BE24" s="60" t="s">
        <v>66</v>
      </c>
      <c r="BH24" s="484"/>
      <c r="BI24" s="160">
        <v>0.7</v>
      </c>
      <c r="BJ24" s="158">
        <f>SUM(J76,C86:C90,C93:C95,C96:C96,C101)*BI24</f>
        <v>66812835.685117021</v>
      </c>
      <c r="BK24" s="20" t="s">
        <v>62</v>
      </c>
      <c r="CF24" s="65">
        <v>17</v>
      </c>
      <c r="CG24" s="66" t="s">
        <v>204</v>
      </c>
      <c r="CH24" s="154">
        <f>C34</f>
        <v>0.23304725072326554</v>
      </c>
      <c r="CI24" s="66" t="s">
        <v>187</v>
      </c>
      <c r="CJ24" s="68" t="s">
        <v>205</v>
      </c>
      <c r="CK24" s="66" t="s">
        <v>189</v>
      </c>
    </row>
    <row r="25" spans="1:89" ht="25.5" customHeight="1" x14ac:dyDescent="0.2">
      <c r="A25" s="15"/>
      <c r="B25" s="115" t="s">
        <v>206</v>
      </c>
      <c r="C25" s="132">
        <f>-SUM(E213)</f>
        <v>2712940.8510638298</v>
      </c>
      <c r="D25" s="15"/>
      <c r="G25" s="478" t="s">
        <v>207</v>
      </c>
      <c r="H25" s="478"/>
      <c r="I25" s="478"/>
      <c r="K25" s="15"/>
      <c r="AE25" s="24" t="s">
        <v>208</v>
      </c>
      <c r="AF25" s="25">
        <f t="shared" si="28"/>
        <v>0</v>
      </c>
      <c r="AG25" s="25">
        <f t="shared" si="29"/>
        <v>0</v>
      </c>
      <c r="AH25" s="26">
        <f t="shared" si="30"/>
        <v>0</v>
      </c>
      <c r="AI25" s="25">
        <f t="shared" si="31"/>
        <v>0</v>
      </c>
      <c r="AJ25" s="25">
        <f t="shared" si="32"/>
        <v>0</v>
      </c>
      <c r="AK25" s="25">
        <f t="shared" si="33"/>
        <v>0</v>
      </c>
      <c r="AL25" s="25">
        <f t="shared" si="34"/>
        <v>0</v>
      </c>
      <c r="AM25" s="27">
        <f t="shared" si="35"/>
        <v>0</v>
      </c>
      <c r="AN25" s="27">
        <f t="shared" si="49"/>
        <v>0</v>
      </c>
      <c r="AO25" s="146">
        <f t="shared" si="36"/>
        <v>0</v>
      </c>
      <c r="AP25" s="25">
        <f t="shared" si="37"/>
        <v>0</v>
      </c>
      <c r="AQ25" s="29">
        <f t="shared" si="38"/>
        <v>0</v>
      </c>
      <c r="AR25" s="147" t="s">
        <v>184</v>
      </c>
      <c r="AS25" s="25">
        <f t="shared" si="39"/>
        <v>0</v>
      </c>
      <c r="AT25" s="147" t="s">
        <v>184</v>
      </c>
      <c r="AU25" s="31">
        <f t="shared" si="40"/>
        <v>0</v>
      </c>
      <c r="AV25" s="31" t="str">
        <f t="shared" si="50"/>
        <v>0</v>
      </c>
      <c r="AW25" s="32">
        <f t="shared" si="41"/>
        <v>0</v>
      </c>
      <c r="AX25" s="33">
        <f t="shared" si="42"/>
        <v>0</v>
      </c>
      <c r="AY25" s="34" t="str">
        <f t="shared" si="43"/>
        <v>0</v>
      </c>
      <c r="AZ25" s="34">
        <f t="shared" si="44"/>
        <v>0</v>
      </c>
      <c r="BA25" s="35" t="str">
        <f t="shared" si="45"/>
        <v>0.00</v>
      </c>
      <c r="BB25" s="36" t="str">
        <f t="shared" si="46"/>
        <v>0.00%</v>
      </c>
      <c r="BC25" s="36">
        <f t="shared" si="47"/>
        <v>0</v>
      </c>
      <c r="BD25" s="37" t="str">
        <f t="shared" si="48"/>
        <v>0.00%</v>
      </c>
      <c r="BE25" s="60" t="s">
        <v>73</v>
      </c>
      <c r="BH25" s="484"/>
      <c r="BI25" s="161">
        <f>BJ25/E119</f>
        <v>5.9349229393396402E-2</v>
      </c>
      <c r="BJ25" s="162">
        <f>BI26/H26</f>
        <v>0.17821028880866427</v>
      </c>
      <c r="BK25" s="20" t="s">
        <v>62</v>
      </c>
      <c r="CF25" s="455" t="s">
        <v>209</v>
      </c>
      <c r="CG25" s="455"/>
      <c r="CH25" s="455"/>
      <c r="CI25" s="455"/>
      <c r="CJ25" s="455"/>
      <c r="CK25" s="455"/>
    </row>
    <row r="26" spans="1:89" ht="21.75" customHeight="1" x14ac:dyDescent="0.2">
      <c r="A26" s="15"/>
      <c r="B26" s="127" t="s">
        <v>210</v>
      </c>
      <c r="C26" s="163">
        <f>C17-(C24+C25)</f>
        <v>63577104.776960164</v>
      </c>
      <c r="D26" s="129"/>
      <c r="E26" s="114"/>
      <c r="G26" s="485" t="s">
        <v>211</v>
      </c>
      <c r="H26" s="486">
        <f>E189</f>
        <v>83100000</v>
      </c>
      <c r="I26" s="487">
        <f>H26/$H$34</f>
        <v>0.40930818523953105</v>
      </c>
      <c r="J26" s="114"/>
      <c r="AE26" s="43" t="s">
        <v>212</v>
      </c>
      <c r="AF26" s="44">
        <f t="shared" si="28"/>
        <v>0</v>
      </c>
      <c r="AG26" s="44">
        <f t="shared" si="29"/>
        <v>0</v>
      </c>
      <c r="AH26" s="45">
        <f t="shared" si="30"/>
        <v>0</v>
      </c>
      <c r="AI26" s="44">
        <f t="shared" si="31"/>
        <v>0</v>
      </c>
      <c r="AJ26" s="44">
        <f t="shared" si="32"/>
        <v>0</v>
      </c>
      <c r="AK26" s="44">
        <f t="shared" si="33"/>
        <v>0</v>
      </c>
      <c r="AL26" s="44">
        <f t="shared" si="34"/>
        <v>0</v>
      </c>
      <c r="AM26" s="46">
        <f t="shared" si="35"/>
        <v>0</v>
      </c>
      <c r="AN26" s="46">
        <f t="shared" si="49"/>
        <v>0</v>
      </c>
      <c r="AO26" s="150" t="str">
        <f t="shared" si="36"/>
        <v>0.00%</v>
      </c>
      <c r="AP26" s="44">
        <f t="shared" si="37"/>
        <v>0</v>
      </c>
      <c r="AQ26" s="29">
        <f t="shared" si="38"/>
        <v>0</v>
      </c>
      <c r="AR26" s="151" t="s">
        <v>184</v>
      </c>
      <c r="AS26" s="44">
        <f t="shared" si="39"/>
        <v>0</v>
      </c>
      <c r="AT26" s="151" t="s">
        <v>184</v>
      </c>
      <c r="AU26" s="50">
        <f t="shared" si="40"/>
        <v>0</v>
      </c>
      <c r="AV26" s="50" t="str">
        <f t="shared" si="50"/>
        <v>0</v>
      </c>
      <c r="AW26" s="51">
        <f t="shared" si="41"/>
        <v>0</v>
      </c>
      <c r="AX26" s="49">
        <f t="shared" si="42"/>
        <v>0</v>
      </c>
      <c r="AY26" s="120" t="str">
        <f t="shared" si="43"/>
        <v>0</v>
      </c>
      <c r="AZ26" s="120">
        <f t="shared" si="44"/>
        <v>0</v>
      </c>
      <c r="BA26" s="53" t="str">
        <f t="shared" si="45"/>
        <v>0.00</v>
      </c>
      <c r="BB26" s="54" t="str">
        <f t="shared" si="46"/>
        <v>0.00%</v>
      </c>
      <c r="BC26" s="54">
        <f t="shared" si="47"/>
        <v>0</v>
      </c>
      <c r="BD26" s="55" t="str">
        <f t="shared" si="48"/>
        <v>0.00%</v>
      </c>
      <c r="BE26" s="60" t="s">
        <v>79</v>
      </c>
      <c r="BF26" s="114"/>
      <c r="BH26" s="484"/>
      <c r="BI26" s="488">
        <f>C22</f>
        <v>14809275</v>
      </c>
      <c r="BJ26" s="488"/>
      <c r="BK26" s="20" t="s">
        <v>62</v>
      </c>
      <c r="BL26" s="114"/>
      <c r="CF26" s="73">
        <v>18</v>
      </c>
      <c r="CG26" s="74" t="s">
        <v>213</v>
      </c>
      <c r="CH26" s="93">
        <f>H19</f>
        <v>20000000</v>
      </c>
      <c r="CI26" s="74" t="s">
        <v>214</v>
      </c>
      <c r="CJ26" s="76" t="s">
        <v>215</v>
      </c>
      <c r="CK26" s="74" t="s">
        <v>99</v>
      </c>
    </row>
    <row r="27" spans="1:89" ht="21.75" customHeight="1" x14ac:dyDescent="0.2">
      <c r="A27" s="15"/>
      <c r="B27" s="115" t="s">
        <v>216</v>
      </c>
      <c r="C27" s="164">
        <f>D122</f>
        <v>3.7506849315068487</v>
      </c>
      <c r="D27" s="15"/>
      <c r="E27" s="129"/>
      <c r="G27" s="485"/>
      <c r="H27" s="486"/>
      <c r="I27" s="487"/>
      <c r="AE27" s="24" t="s">
        <v>217</v>
      </c>
      <c r="AF27" s="25">
        <f t="shared" si="28"/>
        <v>0</v>
      </c>
      <c r="AG27" s="25">
        <f t="shared" si="29"/>
        <v>0</v>
      </c>
      <c r="AH27" s="26">
        <f t="shared" si="30"/>
        <v>0.4</v>
      </c>
      <c r="AI27" s="25">
        <f t="shared" si="31"/>
        <v>0</v>
      </c>
      <c r="AJ27" s="25">
        <f t="shared" si="32"/>
        <v>0</v>
      </c>
      <c r="AK27" s="25">
        <f t="shared" si="33"/>
        <v>0</v>
      </c>
      <c r="AL27" s="25">
        <f t="shared" si="34"/>
        <v>0</v>
      </c>
      <c r="AM27" s="27">
        <f t="shared" si="35"/>
        <v>0</v>
      </c>
      <c r="AN27" s="27">
        <f t="shared" si="49"/>
        <v>2.9383613347133757E-9</v>
      </c>
      <c r="AO27" s="146">
        <f t="shared" si="36"/>
        <v>0</v>
      </c>
      <c r="AP27" s="25">
        <f t="shared" si="37"/>
        <v>2.713146886241782E-2</v>
      </c>
      <c r="AQ27" s="29">
        <f t="shared" si="38"/>
        <v>0</v>
      </c>
      <c r="AR27" s="147" t="s">
        <v>184</v>
      </c>
      <c r="AS27" s="25">
        <f t="shared" si="39"/>
        <v>4.7934669251448091E-2</v>
      </c>
      <c r="AT27" s="147" t="s">
        <v>184</v>
      </c>
      <c r="AU27" s="31">
        <f t="shared" si="40"/>
        <v>7.5066138113865907E-2</v>
      </c>
      <c r="AV27" s="31" t="str">
        <f t="shared" si="50"/>
        <v>0</v>
      </c>
      <c r="AW27" s="32">
        <f t="shared" si="41"/>
        <v>3.6973748212185858E-10</v>
      </c>
      <c r="AX27" s="33">
        <f t="shared" si="42"/>
        <v>0</v>
      </c>
      <c r="AY27" s="34" t="str">
        <f t="shared" si="43"/>
        <v>0</v>
      </c>
      <c r="AZ27" s="34">
        <f t="shared" si="44"/>
        <v>-7.5066138113865907E-2</v>
      </c>
      <c r="BA27" s="35">
        <f t="shared" si="45"/>
        <v>-2704621652.8039713</v>
      </c>
      <c r="BB27" s="36" t="str">
        <f t="shared" si="46"/>
        <v>0.00%</v>
      </c>
      <c r="BC27" s="36">
        <f t="shared" si="47"/>
        <v>-1.1807102317290372E-9</v>
      </c>
      <c r="BD27" s="37">
        <f t="shared" si="48"/>
        <v>-1</v>
      </c>
      <c r="BE27" s="60" t="s">
        <v>91</v>
      </c>
      <c r="BF27" s="114"/>
      <c r="BG27" s="15"/>
      <c r="BH27" s="19" t="s">
        <v>218</v>
      </c>
      <c r="BI27" s="165">
        <f>H26/(SUM(C184:C188))</f>
        <v>0.30855997942478836</v>
      </c>
      <c r="BJ27" s="166">
        <f>1-BI27</f>
        <v>0.69144002057521159</v>
      </c>
      <c r="BK27" s="167" t="s">
        <v>219</v>
      </c>
      <c r="CF27" s="65">
        <v>19</v>
      </c>
      <c r="CG27" s="66" t="s">
        <v>220</v>
      </c>
      <c r="CH27" s="154">
        <f>I19</f>
        <v>9.8509791874736713E-2</v>
      </c>
      <c r="CI27" s="66" t="s">
        <v>214</v>
      </c>
      <c r="CJ27" s="68" t="s">
        <v>221</v>
      </c>
      <c r="CK27" s="66" t="s">
        <v>189</v>
      </c>
    </row>
    <row r="28" spans="1:89" ht="21.75" customHeight="1" x14ac:dyDescent="0.2">
      <c r="A28" s="15"/>
      <c r="B28" s="489" t="s">
        <v>222</v>
      </c>
      <c r="C28" s="490">
        <f>C223</f>
        <v>0.23024730086326597</v>
      </c>
      <c r="D28" s="129"/>
      <c r="G28" s="478" t="s">
        <v>223</v>
      </c>
      <c r="H28" s="478"/>
      <c r="I28" s="478"/>
      <c r="AE28" s="43" t="s">
        <v>224</v>
      </c>
      <c r="AF28" s="44">
        <f t="shared" si="28"/>
        <v>0</v>
      </c>
      <c r="AG28" s="44">
        <f t="shared" si="29"/>
        <v>0</v>
      </c>
      <c r="AH28" s="45">
        <f t="shared" si="30"/>
        <v>0.6</v>
      </c>
      <c r="AI28" s="44">
        <f t="shared" si="31"/>
        <v>0</v>
      </c>
      <c r="AJ28" s="44">
        <f t="shared" si="32"/>
        <v>0</v>
      </c>
      <c r="AK28" s="44">
        <f t="shared" si="33"/>
        <v>0</v>
      </c>
      <c r="AL28" s="44">
        <f t="shared" si="34"/>
        <v>0</v>
      </c>
      <c r="AM28" s="46">
        <f t="shared" si="35"/>
        <v>0</v>
      </c>
      <c r="AN28" s="46">
        <f t="shared" si="49"/>
        <v>4.4075420020700634E-9</v>
      </c>
      <c r="AO28" s="150" t="str">
        <f t="shared" si="36"/>
        <v>0.00%</v>
      </c>
      <c r="AP28" s="44">
        <f>(AN28*SUM($C$86,$C$88:$C$90,$C$96:$C$97,$C$101))+((SUM($D$94:$D$95)*H68*AO28)+(D93*H68/2*AO28))</f>
        <v>4.0697203293626728E-2</v>
      </c>
      <c r="AQ28" s="29">
        <f t="shared" si="38"/>
        <v>0</v>
      </c>
      <c r="AR28" s="151" t="s">
        <v>184</v>
      </c>
      <c r="AS28" s="44">
        <f t="shared" si="39"/>
        <v>7.1902003877172133E-2</v>
      </c>
      <c r="AT28" s="151" t="s">
        <v>184</v>
      </c>
      <c r="AU28" s="50">
        <f t="shared" si="40"/>
        <v>0.11259920717079885</v>
      </c>
      <c r="AV28" s="50" t="str">
        <f t="shared" si="50"/>
        <v>0</v>
      </c>
      <c r="AW28" s="51">
        <f t="shared" si="41"/>
        <v>5.5460622318278785E-10</v>
      </c>
      <c r="AX28" s="49">
        <f t="shared" si="42"/>
        <v>0</v>
      </c>
      <c r="AY28" s="120" t="str">
        <f t="shared" si="43"/>
        <v>0</v>
      </c>
      <c r="AZ28" s="120">
        <f t="shared" si="44"/>
        <v>-0.11259920717079885</v>
      </c>
      <c r="BA28" s="53">
        <f t="shared" si="45"/>
        <v>-1803081101.8693144</v>
      </c>
      <c r="BB28" s="54" t="str">
        <f t="shared" si="46"/>
        <v>0.00%</v>
      </c>
      <c r="BC28" s="54">
        <f t="shared" si="47"/>
        <v>-1.7710653475935555E-9</v>
      </c>
      <c r="BD28" s="55">
        <f t="shared" si="48"/>
        <v>-1</v>
      </c>
      <c r="BE28" s="60" t="s">
        <v>101</v>
      </c>
      <c r="BH28" s="24" t="s">
        <v>225</v>
      </c>
      <c r="BI28" s="491">
        <f>H26/H24</f>
        <v>1.1424964112502842</v>
      </c>
      <c r="BJ28" s="491"/>
      <c r="BK28" s="89" t="s">
        <v>226</v>
      </c>
      <c r="CF28" s="73">
        <v>20</v>
      </c>
      <c r="CG28" s="74" t="s">
        <v>227</v>
      </c>
      <c r="CH28" s="93">
        <f>H20</f>
        <v>0</v>
      </c>
      <c r="CI28" s="74" t="s">
        <v>214</v>
      </c>
      <c r="CJ28" s="76" t="s">
        <v>228</v>
      </c>
      <c r="CK28" s="74" t="s">
        <v>99</v>
      </c>
    </row>
    <row r="29" spans="1:89" ht="21.75" customHeight="1" x14ac:dyDescent="0.2">
      <c r="A29" s="15"/>
      <c r="B29" s="489"/>
      <c r="C29" s="490"/>
      <c r="E29" s="129"/>
      <c r="G29" s="115" t="s">
        <v>229</v>
      </c>
      <c r="H29" s="133">
        <f>K29*J29</f>
        <v>36847256.52925536</v>
      </c>
      <c r="I29" s="134">
        <f>H29/$H$34</f>
        <v>0.18149077859259893</v>
      </c>
      <c r="J29" s="168">
        <f>AC139</f>
        <v>36847256.52925536</v>
      </c>
      <c r="K29" s="169">
        <v>1</v>
      </c>
      <c r="L29" s="170">
        <f>-H35/J29</f>
        <v>0</v>
      </c>
      <c r="AE29" s="24" t="s">
        <v>230</v>
      </c>
      <c r="AF29" s="25">
        <f t="shared" si="28"/>
        <v>0</v>
      </c>
      <c r="AG29" s="25">
        <f t="shared" si="29"/>
        <v>0</v>
      </c>
      <c r="AH29" s="26">
        <f t="shared" si="30"/>
        <v>0</v>
      </c>
      <c r="AI29" s="25">
        <f t="shared" si="31"/>
        <v>0</v>
      </c>
      <c r="AJ29" s="25">
        <f t="shared" si="32"/>
        <v>0</v>
      </c>
      <c r="AK29" s="25">
        <f t="shared" si="33"/>
        <v>0</v>
      </c>
      <c r="AL29" s="25">
        <f t="shared" si="34"/>
        <v>0</v>
      </c>
      <c r="AM29" s="27">
        <f t="shared" si="35"/>
        <v>0</v>
      </c>
      <c r="AN29" s="27">
        <f t="shared" si="49"/>
        <v>0</v>
      </c>
      <c r="AO29" s="146" t="str">
        <f t="shared" si="36"/>
        <v>0.00%</v>
      </c>
      <c r="AP29" s="25">
        <f>(AN29*SUM($C$86,$C$88:$C$90,$C$96:$C$97,$C$101))+(SUM($D$93:$D$95)*H69*AO29)</f>
        <v>0</v>
      </c>
      <c r="AQ29" s="29">
        <f t="shared" si="38"/>
        <v>0</v>
      </c>
      <c r="AR29" s="147" t="s">
        <v>184</v>
      </c>
      <c r="AS29" s="25">
        <f t="shared" si="39"/>
        <v>0</v>
      </c>
      <c r="AT29" s="147" t="s">
        <v>184</v>
      </c>
      <c r="AU29" s="31">
        <f t="shared" si="40"/>
        <v>0</v>
      </c>
      <c r="AV29" s="31" t="str">
        <f t="shared" si="50"/>
        <v>0</v>
      </c>
      <c r="AW29" s="32">
        <f t="shared" si="41"/>
        <v>0</v>
      </c>
      <c r="AX29" s="33">
        <f t="shared" si="42"/>
        <v>0</v>
      </c>
      <c r="AY29" s="34" t="str">
        <f t="shared" si="43"/>
        <v>0</v>
      </c>
      <c r="AZ29" s="34">
        <f t="shared" si="44"/>
        <v>0</v>
      </c>
      <c r="BA29" s="35" t="str">
        <f t="shared" si="45"/>
        <v>0.00</v>
      </c>
      <c r="BB29" s="36" t="str">
        <f t="shared" si="46"/>
        <v>0.00%</v>
      </c>
      <c r="BC29" s="36">
        <f t="shared" si="47"/>
        <v>0</v>
      </c>
      <c r="BD29" s="37" t="str">
        <f t="shared" si="48"/>
        <v>0.00%</v>
      </c>
      <c r="BE29" s="60" t="s">
        <v>109</v>
      </c>
      <c r="BH29" s="171" t="s">
        <v>231</v>
      </c>
      <c r="BI29" s="172">
        <f>AX21</f>
        <v>36847256.52925536</v>
      </c>
      <c r="BJ29" s="26">
        <f>C184/-(SUM(G192:S216))</f>
        <v>0.27480137935229887</v>
      </c>
      <c r="BK29" s="173" t="s">
        <v>232</v>
      </c>
      <c r="CF29" s="65">
        <v>21</v>
      </c>
      <c r="CG29" s="66" t="s">
        <v>233</v>
      </c>
      <c r="CH29" s="88">
        <f>H21</f>
        <v>0</v>
      </c>
      <c r="CI29" s="66" t="s">
        <v>214</v>
      </c>
      <c r="CJ29" s="68" t="s">
        <v>234</v>
      </c>
      <c r="CK29" s="66" t="s">
        <v>99</v>
      </c>
    </row>
    <row r="30" spans="1:89" ht="21.75" customHeight="1" x14ac:dyDescent="0.2">
      <c r="A30" s="15"/>
      <c r="B30" s="485" t="s">
        <v>235</v>
      </c>
      <c r="C30" s="492">
        <f>C26/C24</f>
        <v>0.31314836797883372</v>
      </c>
      <c r="D30" s="156"/>
      <c r="E30" s="129"/>
      <c r="G30" s="127" t="s">
        <v>236</v>
      </c>
      <c r="H30" s="142">
        <f>K30*J30</f>
        <v>10342787.774496922</v>
      </c>
      <c r="I30" s="143">
        <f>H30/$H$34</f>
        <v>5.0943293553513153E-2</v>
      </c>
      <c r="J30" s="174">
        <f>SUM(J139,M157,AC157)</f>
        <v>93062177.910499632</v>
      </c>
      <c r="K30" s="175">
        <v>0.111138466847873</v>
      </c>
      <c r="L30" s="170">
        <f>-H35/J30</f>
        <v>0</v>
      </c>
      <c r="AE30" s="43" t="s">
        <v>237</v>
      </c>
      <c r="AF30" s="44">
        <f t="shared" si="28"/>
        <v>0</v>
      </c>
      <c r="AG30" s="44">
        <f t="shared" si="29"/>
        <v>0</v>
      </c>
      <c r="AH30" s="45">
        <f t="shared" si="30"/>
        <v>0</v>
      </c>
      <c r="AI30" s="44">
        <f t="shared" si="31"/>
        <v>0</v>
      </c>
      <c r="AJ30" s="44">
        <f t="shared" si="32"/>
        <v>0</v>
      </c>
      <c r="AK30" s="44">
        <f t="shared" si="33"/>
        <v>0</v>
      </c>
      <c r="AL30" s="44">
        <f t="shared" si="34"/>
        <v>0</v>
      </c>
      <c r="AM30" s="46">
        <f t="shared" si="35"/>
        <v>0</v>
      </c>
      <c r="AN30" s="46">
        <f t="shared" si="49"/>
        <v>0</v>
      </c>
      <c r="AO30" s="150" t="str">
        <f t="shared" si="36"/>
        <v>0.00%</v>
      </c>
      <c r="AP30" s="44">
        <f>(AN30*SUM($C$86,$C$88:$C$90,$C$96:$C$97,$C$101))+(SUM($D$93:$D$95)*H70*AO30)</f>
        <v>0</v>
      </c>
      <c r="AQ30" s="29">
        <f t="shared" si="38"/>
        <v>0</v>
      </c>
      <c r="AR30" s="151" t="s">
        <v>184</v>
      </c>
      <c r="AS30" s="44">
        <f t="shared" si="39"/>
        <v>0</v>
      </c>
      <c r="AT30" s="151" t="s">
        <v>184</v>
      </c>
      <c r="AU30" s="50">
        <f t="shared" si="40"/>
        <v>0</v>
      </c>
      <c r="AV30" s="50" t="str">
        <f t="shared" si="50"/>
        <v>0</v>
      </c>
      <c r="AW30" s="51">
        <f t="shared" si="41"/>
        <v>0</v>
      </c>
      <c r="AX30" s="49">
        <f t="shared" si="42"/>
        <v>0</v>
      </c>
      <c r="AY30" s="120" t="str">
        <f t="shared" si="43"/>
        <v>0</v>
      </c>
      <c r="AZ30" s="120">
        <f t="shared" si="44"/>
        <v>0</v>
      </c>
      <c r="BA30" s="53" t="str">
        <f t="shared" si="45"/>
        <v>0.00</v>
      </c>
      <c r="BB30" s="54" t="str">
        <f t="shared" si="46"/>
        <v>0.00%</v>
      </c>
      <c r="BC30" s="54">
        <f t="shared" si="47"/>
        <v>0</v>
      </c>
      <c r="BD30" s="55" t="str">
        <f t="shared" si="48"/>
        <v>0.00%</v>
      </c>
      <c r="BE30" s="60" t="s">
        <v>117</v>
      </c>
      <c r="BF30" s="114"/>
      <c r="BG30" s="15"/>
      <c r="BH30" s="24" t="s">
        <v>238</v>
      </c>
      <c r="BI30" s="493">
        <f>(C17-C24)/C17</f>
        <v>0.24614266083094299</v>
      </c>
      <c r="BJ30" s="493"/>
      <c r="BK30" s="89" t="s">
        <v>239</v>
      </c>
      <c r="CF30" s="73">
        <v>22</v>
      </c>
      <c r="CG30" s="74" t="s">
        <v>240</v>
      </c>
      <c r="CH30" s="93">
        <f>H22</f>
        <v>10147458.231382981</v>
      </c>
      <c r="CI30" s="74" t="s">
        <v>214</v>
      </c>
      <c r="CJ30" s="76" t="s">
        <v>241</v>
      </c>
      <c r="CK30" s="74" t="s">
        <v>99</v>
      </c>
    </row>
    <row r="31" spans="1:89" ht="21.75" customHeight="1" x14ac:dyDescent="0.2">
      <c r="A31" s="15"/>
      <c r="B31" s="485"/>
      <c r="C31" s="492"/>
      <c r="D31" s="129"/>
      <c r="E31" s="15"/>
      <c r="G31" s="24" t="s">
        <v>242</v>
      </c>
      <c r="H31" s="133">
        <f>SUM(H29:H30)</f>
        <v>47190044.303752281</v>
      </c>
      <c r="I31" s="134">
        <f>H31/$H$34</f>
        <v>0.23243407214611209</v>
      </c>
      <c r="J31" s="15"/>
      <c r="K31" s="117"/>
      <c r="L31" s="15"/>
      <c r="AE31" s="98" t="s">
        <v>88</v>
      </c>
      <c r="AF31" s="99">
        <f t="shared" ref="AF31:AL31" si="51">SUM(AF21:AF30)</f>
        <v>14458533.302238826</v>
      </c>
      <c r="AG31" s="99">
        <f t="shared" si="51"/>
        <v>10878148.733811298</v>
      </c>
      <c r="AH31" s="100">
        <f t="shared" si="51"/>
        <v>1</v>
      </c>
      <c r="AI31" s="99">
        <f t="shared" si="51"/>
        <v>0</v>
      </c>
      <c r="AJ31" s="99">
        <f t="shared" si="51"/>
        <v>3156835.3312797979</v>
      </c>
      <c r="AK31" s="99">
        <f t="shared" si="51"/>
        <v>305865.62420294696</v>
      </c>
      <c r="AL31" s="99">
        <f t="shared" si="51"/>
        <v>0</v>
      </c>
      <c r="AM31" s="101">
        <f>SUM(AF31:AG31,AI31:AL31)</f>
        <v>28799382.991532873</v>
      </c>
      <c r="AN31" s="99">
        <f>SUM(AF3:AG12,AI3:AL12,AF21:AG30,AI21:AL30)</f>
        <v>136130296.59574467</v>
      </c>
      <c r="AO31" s="176" t="s">
        <v>62</v>
      </c>
      <c r="AP31" s="474">
        <f>SUM(AP21:AQ30)</f>
        <v>3860684.9790470838</v>
      </c>
      <c r="AQ31" s="474"/>
      <c r="AR31" s="102" t="s">
        <v>62</v>
      </c>
      <c r="AS31" s="102">
        <f>SUM(AS21:AS30)</f>
        <v>3451222.3656989429</v>
      </c>
      <c r="AT31" s="103">
        <f>SUM(AT21:AT30)</f>
        <v>0</v>
      </c>
      <c r="AU31" s="103">
        <f>SUM(AU21:AU30)</f>
        <v>36111290.336278901</v>
      </c>
      <c r="AV31" s="104">
        <f>IFERROR(AU31/T139, "0")</f>
        <v>10954.736970944927</v>
      </c>
      <c r="AW31" s="177">
        <f>SUM(AW21:AW30)</f>
        <v>0.17786578476775125</v>
      </c>
      <c r="AX31" s="99">
        <f>SUM(AX21:AX30)</f>
        <v>36847256.52925536</v>
      </c>
      <c r="AY31" s="106">
        <f>AZ31/T139</f>
        <v>223.26302905507467</v>
      </c>
      <c r="AZ31" s="107">
        <f>SUMIF(AZ21:AZ30, "&lt;&gt;#DIV/0!")</f>
        <v>735966.19297646533</v>
      </c>
      <c r="BA31" s="107" t="s">
        <v>62</v>
      </c>
      <c r="BB31" s="108">
        <f t="shared" si="46"/>
        <v>1.9973432550999703E-2</v>
      </c>
      <c r="BC31" s="108" t="s">
        <v>62</v>
      </c>
      <c r="BD31" s="109">
        <f>IFERROR(AZ31/AU31, "0.00%")</f>
        <v>2.0380501115383382E-2</v>
      </c>
      <c r="BE31" s="15"/>
      <c r="BH31" s="477" t="s">
        <v>243</v>
      </c>
      <c r="BI31" s="477"/>
      <c r="BJ31" s="477"/>
      <c r="BK31" s="20" t="s">
        <v>62</v>
      </c>
      <c r="CF31" s="65">
        <v>23</v>
      </c>
      <c r="CG31" s="66" t="s">
        <v>244</v>
      </c>
      <c r="CH31" s="154">
        <f>I22</f>
        <v>4.9981199921556065E-2</v>
      </c>
      <c r="CI31" s="66" t="s">
        <v>214</v>
      </c>
      <c r="CJ31" s="68" t="s">
        <v>245</v>
      </c>
      <c r="CK31" s="66" t="s">
        <v>189</v>
      </c>
    </row>
    <row r="32" spans="1:89" ht="21.75" customHeight="1" x14ac:dyDescent="0.2">
      <c r="A32" s="15"/>
      <c r="B32" s="489" t="s">
        <v>246</v>
      </c>
      <c r="C32" s="499">
        <f>(C26/H24)</f>
        <v>0.87408681161685065</v>
      </c>
      <c r="D32" s="178"/>
      <c r="E32" s="15"/>
      <c r="G32" s="478" t="s">
        <v>247</v>
      </c>
      <c r="H32" s="478"/>
      <c r="I32" s="478"/>
      <c r="K32" s="15"/>
      <c r="L32" s="15"/>
      <c r="AE32" s="111" t="s">
        <v>131</v>
      </c>
      <c r="AF32" s="111" t="b">
        <f>I49-AF13=AF31</f>
        <v>1</v>
      </c>
      <c r="AG32" s="111" t="b">
        <f>SUM(J61:J71)-AG13=AG31</f>
        <v>0</v>
      </c>
      <c r="AH32" s="111" t="b">
        <f>SUM(AH21:AH30)=AH31</f>
        <v>1</v>
      </c>
      <c r="AI32" s="111" t="b">
        <f>J73-AI13=AI31</f>
        <v>1</v>
      </c>
      <c r="AJ32" s="111" t="b">
        <f>(J74+J75)-AJ13=AJ31</f>
        <v>1</v>
      </c>
      <c r="AK32" s="111" t="b">
        <f>C87-AK13=AK31</f>
        <v>1</v>
      </c>
      <c r="AL32" s="111" t="b">
        <f>J71-AL13=AL31</f>
        <v>0</v>
      </c>
      <c r="AM32" s="111" t="b">
        <f>SUM(AF21:AG30,AI21:AL30)=AM31</f>
        <v>1</v>
      </c>
      <c r="AN32" s="111" t="b">
        <f>SUM(AI21:AL30,AF21:AG30,AF3:AG12,AI3:AL12)=AN31</f>
        <v>1</v>
      </c>
      <c r="AO32" s="111" t="b">
        <f>SUM(AO3:AO12,AO21:AO30)=1000%</f>
        <v>1</v>
      </c>
      <c r="AP32" s="475" t="b">
        <f>C102-C87=AP13+AP31</f>
        <v>0</v>
      </c>
      <c r="AQ32" s="475"/>
      <c r="AR32" s="111" t="b">
        <f>AR31=AR31</f>
        <v>1</v>
      </c>
      <c r="AS32" s="111" t="b">
        <f>C107-AS13=AS31</f>
        <v>0</v>
      </c>
      <c r="AT32" s="111" t="b">
        <f>AT31=AT31</f>
        <v>1</v>
      </c>
      <c r="AU32" s="111" t="b">
        <f>AU13+AU31=C24+C25+AT31</f>
        <v>0</v>
      </c>
      <c r="AV32" s="111" t="b">
        <f>AV31=AV31</f>
        <v>1</v>
      </c>
      <c r="AW32" s="111" t="b">
        <f>AW31+AW13=100%</f>
        <v>0</v>
      </c>
      <c r="AX32" s="111" t="b">
        <f>AX31=AC139</f>
        <v>1</v>
      </c>
      <c r="AY32" s="111" t="b">
        <f t="shared" ref="AY32:BD32" si="52">AY31=AY31</f>
        <v>1</v>
      </c>
      <c r="AZ32" s="111" t="b">
        <f t="shared" si="52"/>
        <v>1</v>
      </c>
      <c r="BA32" s="111" t="b">
        <f t="shared" si="52"/>
        <v>1</v>
      </c>
      <c r="BB32" s="111" t="b">
        <f t="shared" si="52"/>
        <v>1</v>
      </c>
      <c r="BC32" s="111" t="b">
        <f t="shared" si="52"/>
        <v>1</v>
      </c>
      <c r="BD32" s="111" t="b">
        <f t="shared" si="52"/>
        <v>1</v>
      </c>
      <c r="BE32" s="15"/>
      <c r="BH32" s="24" t="s">
        <v>248</v>
      </c>
      <c r="BI32" s="69">
        <f>I49/C49</f>
        <v>13716.625</v>
      </c>
      <c r="BJ32" s="179">
        <f>D49</f>
        <v>13000</v>
      </c>
      <c r="BK32" s="20" t="s">
        <v>62</v>
      </c>
      <c r="CF32" s="73">
        <v>24</v>
      </c>
      <c r="CG32" s="74" t="s">
        <v>249</v>
      </c>
      <c r="CH32" s="93">
        <f>H23</f>
        <v>42588000</v>
      </c>
      <c r="CI32" s="74" t="s">
        <v>214</v>
      </c>
      <c r="CJ32" s="76" t="s">
        <v>250</v>
      </c>
      <c r="CK32" s="74" t="s">
        <v>99</v>
      </c>
    </row>
    <row r="33" spans="1:89" ht="21.75" customHeight="1" x14ac:dyDescent="0.2">
      <c r="A33" s="15"/>
      <c r="B33" s="489"/>
      <c r="C33" s="499"/>
      <c r="D33" s="178"/>
      <c r="E33" s="180"/>
      <c r="G33" s="127" t="s">
        <v>251</v>
      </c>
      <c r="H33" s="142">
        <f>H24+H26+H31</f>
        <v>203025502.53513524</v>
      </c>
      <c r="I33" s="181" t="b">
        <f>SUM(I24,I26,I31,M35)=100%</f>
        <v>1</v>
      </c>
      <c r="J33" s="129"/>
      <c r="K33" s="15"/>
      <c r="L33" s="15"/>
      <c r="AT33" s="15"/>
      <c r="AX33" s="114"/>
      <c r="BF33" s="114"/>
      <c r="BH33" s="19" t="s">
        <v>252</v>
      </c>
      <c r="BI33" s="500">
        <f>((I49/C24)*C17)/C49</f>
        <v>18195.252983965402</v>
      </c>
      <c r="BJ33" s="500"/>
      <c r="BK33" s="20" t="s">
        <v>62</v>
      </c>
      <c r="CF33" s="65">
        <v>25</v>
      </c>
      <c r="CG33" s="66" t="s">
        <v>253</v>
      </c>
      <c r="CH33" s="154">
        <f>I23</f>
        <v>0.20976675081806434</v>
      </c>
      <c r="CI33" s="66" t="s">
        <v>214</v>
      </c>
      <c r="CJ33" s="68" t="s">
        <v>254</v>
      </c>
      <c r="CK33" s="66" t="s">
        <v>189</v>
      </c>
    </row>
    <row r="34" spans="1:89" ht="21.75" customHeight="1" x14ac:dyDescent="0.2">
      <c r="A34" s="15"/>
      <c r="B34" s="485" t="s">
        <v>255</v>
      </c>
      <c r="C34" s="501">
        <f>C32/C27</f>
        <v>0.23304725072326554</v>
      </c>
      <c r="D34" s="178"/>
      <c r="E34" s="117"/>
      <c r="G34" s="115" t="s">
        <v>201</v>
      </c>
      <c r="H34" s="486">
        <f>C24</f>
        <v>203025502.53513521</v>
      </c>
      <c r="I34" s="486"/>
      <c r="J34" s="15"/>
      <c r="K34" s="15"/>
      <c r="BH34" s="24" t="s">
        <v>256</v>
      </c>
      <c r="BI34" s="479">
        <f>BI33-BI32</f>
        <v>4478.6279839654017</v>
      </c>
      <c r="BJ34" s="479"/>
      <c r="BK34" s="20" t="s">
        <v>62</v>
      </c>
      <c r="CF34" s="73">
        <v>26</v>
      </c>
      <c r="CG34" s="74" t="s">
        <v>257</v>
      </c>
      <c r="CH34" s="93">
        <f>H24</f>
        <v>72735458.231382981</v>
      </c>
      <c r="CI34" s="74" t="s">
        <v>214</v>
      </c>
      <c r="CJ34" s="76" t="s">
        <v>258</v>
      </c>
      <c r="CK34" s="74" t="s">
        <v>99</v>
      </c>
    </row>
    <row r="35" spans="1:89" ht="21.75" customHeight="1" x14ac:dyDescent="0.2">
      <c r="A35" s="15"/>
      <c r="B35" s="485"/>
      <c r="C35" s="501"/>
      <c r="D35" s="178"/>
      <c r="E35" s="15"/>
      <c r="G35" s="182" t="s">
        <v>259</v>
      </c>
      <c r="H35" s="502">
        <f>H33-H34</f>
        <v>0</v>
      </c>
      <c r="I35" s="502"/>
      <c r="J35" s="15"/>
      <c r="K35" s="15"/>
      <c r="AP35" s="114"/>
      <c r="AT35" s="114"/>
      <c r="AU35" s="114"/>
      <c r="AV35" s="114"/>
      <c r="BH35" s="19" t="s">
        <v>260</v>
      </c>
      <c r="BI35" s="503">
        <f>BI34/BI32</f>
        <v>0.32651092990917241</v>
      </c>
      <c r="BJ35" s="503"/>
      <c r="BK35" s="89" t="s">
        <v>261</v>
      </c>
      <c r="CF35" s="65">
        <v>27</v>
      </c>
      <c r="CG35" s="66" t="s">
        <v>262</v>
      </c>
      <c r="CH35" s="154">
        <f>I24</f>
        <v>0.35825774261435711</v>
      </c>
      <c r="CI35" s="66" t="s">
        <v>214</v>
      </c>
      <c r="CJ35" s="68" t="s">
        <v>263</v>
      </c>
      <c r="CK35" s="66" t="s">
        <v>189</v>
      </c>
    </row>
    <row r="36" spans="1:89" ht="21.75" customHeight="1" x14ac:dyDescent="0.2">
      <c r="A36" s="15"/>
      <c r="E36" s="183"/>
      <c r="BH36" s="24" t="s">
        <v>264</v>
      </c>
      <c r="BI36" s="494">
        <f>F76/H59</f>
        <v>0.8018617021276595</v>
      </c>
      <c r="BJ36" s="494"/>
      <c r="BK36" s="89" t="s">
        <v>265</v>
      </c>
      <c r="CF36" s="73">
        <v>28</v>
      </c>
      <c r="CG36" s="74" t="s">
        <v>266</v>
      </c>
      <c r="CH36" s="93">
        <f>H26</f>
        <v>83100000</v>
      </c>
      <c r="CI36" s="74" t="s">
        <v>214</v>
      </c>
      <c r="CJ36" s="76" t="s">
        <v>267</v>
      </c>
      <c r="CK36" s="74" t="s">
        <v>99</v>
      </c>
    </row>
    <row r="37" spans="1:89" ht="21.75" customHeight="1" x14ac:dyDescent="0.2">
      <c r="A37" s="15"/>
      <c r="E37" s="183"/>
      <c r="I37" s="114"/>
      <c r="AE37" s="481" t="s">
        <v>268</v>
      </c>
      <c r="AF37" s="481"/>
      <c r="AG37" s="481"/>
      <c r="AH37" s="481"/>
      <c r="AI37" s="481"/>
      <c r="AJ37" s="481"/>
      <c r="AK37" s="481"/>
      <c r="AL37" s="481"/>
      <c r="AM37" s="481"/>
      <c r="AN37" s="481"/>
      <c r="AO37" s="481"/>
      <c r="AP37" s="481"/>
      <c r="AQ37" s="481"/>
      <c r="AR37" s="481"/>
      <c r="AS37" s="481"/>
      <c r="AT37" s="481"/>
      <c r="AU37" s="481"/>
      <c r="AV37" s="481"/>
      <c r="AW37" s="481"/>
      <c r="AX37" s="481"/>
      <c r="AY37" s="481"/>
      <c r="AZ37" s="481"/>
      <c r="BA37" s="481"/>
      <c r="BB37" s="481"/>
      <c r="BC37" s="481"/>
      <c r="BD37" s="481"/>
      <c r="BH37" s="19" t="s">
        <v>269</v>
      </c>
      <c r="BI37" s="184">
        <f>COUNTIFS(F187:AC187,"&gt;500")/4</f>
        <v>1.25</v>
      </c>
      <c r="BJ37" s="185">
        <f>BI37/D122</f>
        <v>0.33327246165084007</v>
      </c>
      <c r="BK37" s="89" t="s">
        <v>270</v>
      </c>
      <c r="CF37" s="65">
        <v>29</v>
      </c>
      <c r="CG37" s="66" t="s">
        <v>271</v>
      </c>
      <c r="CH37" s="154">
        <f>I26</f>
        <v>0.40930818523953105</v>
      </c>
      <c r="CI37" s="66" t="s">
        <v>214</v>
      </c>
      <c r="CJ37" s="68" t="s">
        <v>272</v>
      </c>
      <c r="CK37" s="66" t="s">
        <v>189</v>
      </c>
    </row>
    <row r="38" spans="1:89" ht="21.75" customHeight="1" x14ac:dyDescent="0.2">
      <c r="A38" s="15"/>
      <c r="D38" s="186"/>
      <c r="I38" s="114"/>
      <c r="AE38" s="11" t="s">
        <v>12</v>
      </c>
      <c r="AF38" s="12" t="s">
        <v>13</v>
      </c>
      <c r="AG38" s="12" t="s">
        <v>14</v>
      </c>
      <c r="AH38" s="13" t="s">
        <v>176</v>
      </c>
      <c r="AI38" s="12" t="s">
        <v>16</v>
      </c>
      <c r="AJ38" s="12" t="s">
        <v>17</v>
      </c>
      <c r="AK38" s="12" t="s">
        <v>18</v>
      </c>
      <c r="AL38" s="12" t="s">
        <v>19</v>
      </c>
      <c r="AM38" s="13" t="s">
        <v>20</v>
      </c>
      <c r="AN38" s="13" t="s">
        <v>21</v>
      </c>
      <c r="AO38" s="12" t="s">
        <v>273</v>
      </c>
      <c r="AP38" s="12" t="s">
        <v>23</v>
      </c>
      <c r="AQ38" s="12" t="s">
        <v>24</v>
      </c>
      <c r="AR38" s="12" t="s">
        <v>25</v>
      </c>
      <c r="AS38" s="12" t="s">
        <v>26</v>
      </c>
      <c r="AT38" s="12" t="s">
        <v>27</v>
      </c>
      <c r="AU38" s="12" t="s">
        <v>28</v>
      </c>
      <c r="AV38" s="12" t="s">
        <v>274</v>
      </c>
      <c r="AW38" s="12" t="s">
        <v>30</v>
      </c>
      <c r="AX38" s="12" t="s">
        <v>31</v>
      </c>
      <c r="AY38" s="12" t="s">
        <v>32</v>
      </c>
      <c r="AZ38" s="12" t="s">
        <v>33</v>
      </c>
      <c r="BA38" s="12" t="s">
        <v>34</v>
      </c>
      <c r="BB38" s="12" t="s">
        <v>35</v>
      </c>
      <c r="BC38" s="12" t="s">
        <v>36</v>
      </c>
      <c r="BD38" s="14" t="s">
        <v>37</v>
      </c>
      <c r="BH38" s="478" t="s">
        <v>275</v>
      </c>
      <c r="BI38" s="478"/>
      <c r="BJ38" s="478"/>
      <c r="BK38" s="187" t="s">
        <v>62</v>
      </c>
      <c r="CF38" s="73">
        <v>30</v>
      </c>
      <c r="CG38" s="74" t="s">
        <v>276</v>
      </c>
      <c r="CH38" s="93">
        <f>H29</f>
        <v>36847256.52925536</v>
      </c>
      <c r="CI38" s="74" t="s">
        <v>214</v>
      </c>
      <c r="CJ38" s="76" t="s">
        <v>277</v>
      </c>
      <c r="CK38" s="74" t="s">
        <v>99</v>
      </c>
    </row>
    <row r="39" spans="1:89" ht="21.75" customHeight="1" x14ac:dyDescent="0.2">
      <c r="A39" s="15"/>
      <c r="I39" s="114"/>
      <c r="AE39" s="24" t="s">
        <v>47</v>
      </c>
      <c r="AF39" s="25">
        <f t="shared" ref="AF39:AG48" si="53">SUM(AF3,AF21)</f>
        <v>38005287.537313484</v>
      </c>
      <c r="AG39" s="25">
        <f t="shared" si="53"/>
        <v>28593990.957446836</v>
      </c>
      <c r="AH39" s="26">
        <f t="shared" ref="AH39:AH48" si="54">AH3</f>
        <v>0</v>
      </c>
      <c r="AI39" s="25">
        <f t="shared" ref="AI39:AL48" si="55">SUM(AI3,AI21)</f>
        <v>0</v>
      </c>
      <c r="AJ39" s="25">
        <f t="shared" si="55"/>
        <v>8297967.156506896</v>
      </c>
      <c r="AK39" s="25">
        <f t="shared" si="55"/>
        <v>803989.64076203189</v>
      </c>
      <c r="AL39" s="25">
        <f t="shared" si="55"/>
        <v>0</v>
      </c>
      <c r="AM39" s="27" t="s">
        <v>62</v>
      </c>
      <c r="AN39" s="27">
        <f t="shared" ref="AN39:AU48" si="56">SUM(AN3,AN21)</f>
        <v>0.55609395693034591</v>
      </c>
      <c r="AO39" s="28">
        <f t="shared" si="56"/>
        <v>1</v>
      </c>
      <c r="AP39" s="25">
        <f t="shared" si="56"/>
        <v>7158714.2704306412</v>
      </c>
      <c r="AQ39" s="29">
        <f t="shared" si="56"/>
        <v>3004794.1859947122</v>
      </c>
      <c r="AR39" s="30">
        <f t="shared" si="56"/>
        <v>6471410.7557934467</v>
      </c>
      <c r="AS39" s="25">
        <f t="shared" si="56"/>
        <v>9071784.189123679</v>
      </c>
      <c r="AT39" s="31">
        <f t="shared" si="56"/>
        <v>0</v>
      </c>
      <c r="AU39" s="31">
        <f t="shared" si="56"/>
        <v>101407938.69337171</v>
      </c>
      <c r="AV39" s="31">
        <f t="shared" ref="AV39:AV48" si="57">IFERROR((AU39-AT39)/F61, "0")</f>
        <v>11703.374956862168</v>
      </c>
      <c r="AW39" s="32">
        <f t="shared" ref="AW39:AW48" si="58">SUM(AW3,AW21)</f>
        <v>0.49948374675650542</v>
      </c>
      <c r="AX39" s="33">
        <f t="shared" ref="AX39:AX48" si="59">SUM(AX21,AX3)</f>
        <v>120058030.60996775</v>
      </c>
      <c r="AY39" s="34">
        <f t="shared" ref="AY39:AY48" si="60">IFERROR(AZ39/F61, "0")</f>
        <v>2152.3859127030478</v>
      </c>
      <c r="AZ39" s="34">
        <f t="shared" ref="AZ39:AZ48" si="61">SUM(AZ21,AZ3)</f>
        <v>18650091.916596033</v>
      </c>
      <c r="BA39" s="35">
        <f t="shared" ref="BA39:BA48" si="62">IFERROR(BD39/AW39, "0.00")</f>
        <v>0.36820328666339103</v>
      </c>
      <c r="BB39" s="36">
        <f t="shared" ref="BB39:BB49" si="63">IFERROR(AZ39/AX39, "0.00%")</f>
        <v>0.1553423108961744</v>
      </c>
      <c r="BC39" s="36">
        <f t="shared" ref="BC39:BC48" si="64">AZ39/$C$26</f>
        <v>0.29334603993094505</v>
      </c>
      <c r="BD39" s="37">
        <f t="shared" ref="BD39:BD48" si="65">IFERROR(AZ39/(AU39-AT39), "0.00%")</f>
        <v>0.18391155719069016</v>
      </c>
      <c r="BE39" s="60" t="s">
        <v>47</v>
      </c>
      <c r="BH39" s="112" t="s">
        <v>278</v>
      </c>
      <c r="BI39" s="188" t="s">
        <v>279</v>
      </c>
      <c r="BJ39" s="188" t="s">
        <v>280</v>
      </c>
      <c r="BK39" s="187" t="s">
        <v>62</v>
      </c>
      <c r="CF39" s="65">
        <v>31</v>
      </c>
      <c r="CG39" s="66" t="s">
        <v>281</v>
      </c>
      <c r="CH39" s="154">
        <f>I29</f>
        <v>0.18149077859259893</v>
      </c>
      <c r="CI39" s="66" t="s">
        <v>214</v>
      </c>
      <c r="CJ39" s="68" t="s">
        <v>282</v>
      </c>
      <c r="CK39" s="66" t="s">
        <v>189</v>
      </c>
    </row>
    <row r="40" spans="1:89" ht="21.75" customHeight="1" x14ac:dyDescent="0.2">
      <c r="A40" s="15"/>
      <c r="I40" s="114"/>
      <c r="AE40" s="43" t="s">
        <v>50</v>
      </c>
      <c r="AF40" s="44">
        <f t="shared" si="53"/>
        <v>0</v>
      </c>
      <c r="AG40" s="44">
        <f t="shared" si="53"/>
        <v>0</v>
      </c>
      <c r="AH40" s="45">
        <f t="shared" si="54"/>
        <v>0</v>
      </c>
      <c r="AI40" s="44">
        <f t="shared" si="55"/>
        <v>0</v>
      </c>
      <c r="AJ40" s="44">
        <f t="shared" si="55"/>
        <v>0</v>
      </c>
      <c r="AK40" s="44">
        <f t="shared" si="55"/>
        <v>0</v>
      </c>
      <c r="AL40" s="44">
        <f t="shared" si="55"/>
        <v>0</v>
      </c>
      <c r="AM40" s="46" t="s">
        <v>62</v>
      </c>
      <c r="AN40" s="46">
        <f t="shared" si="56"/>
        <v>0</v>
      </c>
      <c r="AO40" s="47">
        <f t="shared" si="56"/>
        <v>1</v>
      </c>
      <c r="AP40" s="44">
        <f t="shared" si="56"/>
        <v>0</v>
      </c>
      <c r="AQ40" s="29">
        <f t="shared" si="56"/>
        <v>0</v>
      </c>
      <c r="AR40" s="48">
        <f t="shared" si="56"/>
        <v>0</v>
      </c>
      <c r="AS40" s="49">
        <f t="shared" si="56"/>
        <v>0</v>
      </c>
      <c r="AT40" s="50">
        <f t="shared" si="56"/>
        <v>0</v>
      </c>
      <c r="AU40" s="50">
        <f t="shared" si="56"/>
        <v>0</v>
      </c>
      <c r="AV40" s="50" t="str">
        <f t="shared" si="57"/>
        <v>0</v>
      </c>
      <c r="AW40" s="51">
        <f t="shared" si="58"/>
        <v>0</v>
      </c>
      <c r="AX40" s="44">
        <f t="shared" si="59"/>
        <v>0</v>
      </c>
      <c r="AY40" s="52" t="str">
        <f t="shared" si="60"/>
        <v>0</v>
      </c>
      <c r="AZ40" s="52">
        <f t="shared" si="61"/>
        <v>0</v>
      </c>
      <c r="BA40" s="53" t="str">
        <f t="shared" si="62"/>
        <v>0.00</v>
      </c>
      <c r="BB40" s="54" t="str">
        <f t="shared" si="63"/>
        <v>0.00%</v>
      </c>
      <c r="BC40" s="54">
        <f t="shared" si="64"/>
        <v>0</v>
      </c>
      <c r="BD40" s="55" t="str">
        <f t="shared" si="65"/>
        <v>0.00%</v>
      </c>
      <c r="BE40" s="60" t="s">
        <v>50</v>
      </c>
      <c r="BH40" s="115" t="s">
        <v>283</v>
      </c>
      <c r="BI40" s="189">
        <f>H19/$H$24</f>
        <v>0.27496905204579641</v>
      </c>
      <c r="BJ40" s="190">
        <f>BI40*$C$26</f>
        <v>17481736.232337013</v>
      </c>
      <c r="BK40" s="191" t="s">
        <v>62</v>
      </c>
      <c r="CF40" s="73">
        <v>32</v>
      </c>
      <c r="CG40" s="74" t="s">
        <v>284</v>
      </c>
      <c r="CH40" s="93">
        <f>H30</f>
        <v>10342787.774496922</v>
      </c>
      <c r="CI40" s="74" t="s">
        <v>214</v>
      </c>
      <c r="CJ40" s="76" t="s">
        <v>285</v>
      </c>
      <c r="CK40" s="74" t="s">
        <v>99</v>
      </c>
    </row>
    <row r="41" spans="1:89" ht="21.75" customHeight="1" x14ac:dyDescent="0.2">
      <c r="A41" s="15"/>
      <c r="B41" s="15"/>
      <c r="C41" s="15"/>
      <c r="D41" s="15"/>
      <c r="E41" s="15"/>
      <c r="F41" s="15"/>
      <c r="G41" s="15"/>
      <c r="H41" s="15"/>
      <c r="I41" s="129"/>
      <c r="J41" s="15"/>
      <c r="K41" s="15"/>
      <c r="L41" s="15"/>
      <c r="AE41" s="24" t="s">
        <v>60</v>
      </c>
      <c r="AF41" s="25">
        <f t="shared" si="53"/>
        <v>0</v>
      </c>
      <c r="AG41" s="25">
        <f t="shared" si="53"/>
        <v>0</v>
      </c>
      <c r="AH41" s="26">
        <f t="shared" si="54"/>
        <v>0</v>
      </c>
      <c r="AI41" s="25">
        <f t="shared" si="55"/>
        <v>0</v>
      </c>
      <c r="AJ41" s="25">
        <f t="shared" si="55"/>
        <v>0</v>
      </c>
      <c r="AK41" s="25">
        <f t="shared" si="55"/>
        <v>0</v>
      </c>
      <c r="AL41" s="25">
        <f t="shared" si="55"/>
        <v>0</v>
      </c>
      <c r="AM41" s="27" t="s">
        <v>62</v>
      </c>
      <c r="AN41" s="27">
        <f t="shared" si="56"/>
        <v>0</v>
      </c>
      <c r="AO41" s="28">
        <f t="shared" si="56"/>
        <v>1</v>
      </c>
      <c r="AP41" s="25">
        <f t="shared" si="56"/>
        <v>0</v>
      </c>
      <c r="AQ41" s="29">
        <f t="shared" si="56"/>
        <v>0</v>
      </c>
      <c r="AR41" s="58">
        <f t="shared" si="56"/>
        <v>0</v>
      </c>
      <c r="AS41" s="33">
        <f t="shared" si="56"/>
        <v>0</v>
      </c>
      <c r="AT41" s="31">
        <f t="shared" si="56"/>
        <v>0</v>
      </c>
      <c r="AU41" s="31">
        <f t="shared" si="56"/>
        <v>0</v>
      </c>
      <c r="AV41" s="31" t="str">
        <f t="shared" si="57"/>
        <v>0</v>
      </c>
      <c r="AW41" s="32">
        <f t="shared" si="58"/>
        <v>0</v>
      </c>
      <c r="AX41" s="25">
        <f t="shared" si="59"/>
        <v>0</v>
      </c>
      <c r="AY41" s="59" t="str">
        <f t="shared" si="60"/>
        <v>0</v>
      </c>
      <c r="AZ41" s="59">
        <f t="shared" si="61"/>
        <v>0</v>
      </c>
      <c r="BA41" s="35" t="str">
        <f t="shared" si="62"/>
        <v>0.00</v>
      </c>
      <c r="BB41" s="36" t="str">
        <f t="shared" si="63"/>
        <v>0.00%</v>
      </c>
      <c r="BC41" s="36">
        <f t="shared" si="64"/>
        <v>0</v>
      </c>
      <c r="BD41" s="37" t="str">
        <f t="shared" si="65"/>
        <v>0.00%</v>
      </c>
      <c r="BE41" s="60" t="s">
        <v>60</v>
      </c>
      <c r="BH41" s="127" t="s">
        <v>286</v>
      </c>
      <c r="BI41" s="192">
        <f>H20/$H$24</f>
        <v>0</v>
      </c>
      <c r="BJ41" s="193">
        <f>BI41*$C$26</f>
        <v>0</v>
      </c>
      <c r="BK41" s="191" t="s">
        <v>62</v>
      </c>
      <c r="BN41" s="194"/>
      <c r="CF41" s="65">
        <v>33</v>
      </c>
      <c r="CG41" s="66" t="s">
        <v>287</v>
      </c>
      <c r="CH41" s="154">
        <f>I30</f>
        <v>5.0943293553513153E-2</v>
      </c>
      <c r="CI41" s="66" t="s">
        <v>214</v>
      </c>
      <c r="CJ41" s="68" t="s">
        <v>288</v>
      </c>
      <c r="CK41" s="66" t="s">
        <v>189</v>
      </c>
    </row>
    <row r="42" spans="1:89" ht="21.75" customHeight="1" x14ac:dyDescent="0.2">
      <c r="A42" s="15"/>
      <c r="B42" s="495" t="s">
        <v>289</v>
      </c>
      <c r="C42" s="495"/>
      <c r="D42" s="495"/>
      <c r="E42" s="495"/>
      <c r="F42" s="495"/>
      <c r="G42" s="495"/>
      <c r="H42" s="495"/>
      <c r="I42" s="495"/>
      <c r="J42" s="495"/>
      <c r="K42" s="495"/>
      <c r="L42" s="495"/>
      <c r="AE42" s="43" t="s">
        <v>66</v>
      </c>
      <c r="AF42" s="44">
        <f t="shared" si="53"/>
        <v>0</v>
      </c>
      <c r="AG42" s="44">
        <f t="shared" si="53"/>
        <v>0</v>
      </c>
      <c r="AH42" s="45">
        <f t="shared" si="54"/>
        <v>0</v>
      </c>
      <c r="AI42" s="44">
        <f t="shared" si="55"/>
        <v>0</v>
      </c>
      <c r="AJ42" s="44">
        <f t="shared" si="55"/>
        <v>0</v>
      </c>
      <c r="AK42" s="44">
        <f t="shared" si="55"/>
        <v>0</v>
      </c>
      <c r="AL42" s="44">
        <f t="shared" si="55"/>
        <v>0</v>
      </c>
      <c r="AM42" s="46" t="s">
        <v>62</v>
      </c>
      <c r="AN42" s="46">
        <f t="shared" si="56"/>
        <v>0</v>
      </c>
      <c r="AO42" s="47">
        <f t="shared" si="56"/>
        <v>1</v>
      </c>
      <c r="AP42" s="44">
        <f t="shared" si="56"/>
        <v>0</v>
      </c>
      <c r="AQ42" s="29">
        <f t="shared" si="56"/>
        <v>0</v>
      </c>
      <c r="AR42" s="48">
        <f t="shared" si="56"/>
        <v>0</v>
      </c>
      <c r="AS42" s="49">
        <f t="shared" si="56"/>
        <v>0</v>
      </c>
      <c r="AT42" s="50">
        <f t="shared" si="56"/>
        <v>0</v>
      </c>
      <c r="AU42" s="50">
        <f t="shared" si="56"/>
        <v>0</v>
      </c>
      <c r="AV42" s="50" t="str">
        <f t="shared" si="57"/>
        <v>0</v>
      </c>
      <c r="AW42" s="51">
        <f t="shared" si="58"/>
        <v>0</v>
      </c>
      <c r="AX42" s="44">
        <f t="shared" si="59"/>
        <v>0</v>
      </c>
      <c r="AY42" s="52" t="str">
        <f t="shared" si="60"/>
        <v>0</v>
      </c>
      <c r="AZ42" s="52">
        <f t="shared" si="61"/>
        <v>0</v>
      </c>
      <c r="BA42" s="53" t="str">
        <f t="shared" si="62"/>
        <v>0.00</v>
      </c>
      <c r="BB42" s="54" t="str">
        <f t="shared" si="63"/>
        <v>0.00%</v>
      </c>
      <c r="BC42" s="54">
        <f t="shared" si="64"/>
        <v>0</v>
      </c>
      <c r="BD42" s="55" t="str">
        <f t="shared" si="65"/>
        <v>0.00%</v>
      </c>
      <c r="BE42" s="60" t="s">
        <v>66</v>
      </c>
      <c r="BH42" s="115" t="s">
        <v>182</v>
      </c>
      <c r="BI42" s="189">
        <f>H21/$H$24</f>
        <v>0</v>
      </c>
      <c r="BJ42" s="190">
        <f>BI42*$C$26</f>
        <v>0</v>
      </c>
      <c r="BK42" s="191" t="s">
        <v>62</v>
      </c>
      <c r="CF42" s="73">
        <v>34</v>
      </c>
      <c r="CG42" s="74" t="s">
        <v>290</v>
      </c>
      <c r="CH42" s="93">
        <f>H31</f>
        <v>47190044.303752281</v>
      </c>
      <c r="CI42" s="74" t="s">
        <v>214</v>
      </c>
      <c r="CJ42" s="76" t="s">
        <v>291</v>
      </c>
      <c r="CK42" s="74" t="s">
        <v>99</v>
      </c>
    </row>
    <row r="43" spans="1:89" ht="21.75" customHeight="1" x14ac:dyDescent="0.2">
      <c r="A43" s="15"/>
      <c r="B43" s="112" t="s">
        <v>292</v>
      </c>
      <c r="C43" s="188" t="s">
        <v>293</v>
      </c>
      <c r="D43" s="188" t="s">
        <v>294</v>
      </c>
      <c r="E43" s="188" t="s">
        <v>295</v>
      </c>
      <c r="F43" s="188" t="s">
        <v>296</v>
      </c>
      <c r="G43" s="188" t="s">
        <v>297</v>
      </c>
      <c r="H43" s="188" t="s">
        <v>298</v>
      </c>
      <c r="I43" s="496" t="s">
        <v>299</v>
      </c>
      <c r="J43" s="496"/>
      <c r="K43" s="188" t="s">
        <v>300</v>
      </c>
      <c r="L43" s="113" t="s">
        <v>301</v>
      </c>
      <c r="AE43" s="24" t="s">
        <v>302</v>
      </c>
      <c r="AF43" s="25">
        <f t="shared" si="53"/>
        <v>21078562.835820857</v>
      </c>
      <c r="AG43" s="25">
        <f t="shared" si="53"/>
        <v>15858852.127659542</v>
      </c>
      <c r="AH43" s="26">
        <f t="shared" si="54"/>
        <v>0</v>
      </c>
      <c r="AI43" s="25">
        <f t="shared" si="55"/>
        <v>0</v>
      </c>
      <c r="AJ43" s="25">
        <f t="shared" si="55"/>
        <v>8929334.2227628566</v>
      </c>
      <c r="AK43" s="25">
        <f t="shared" si="55"/>
        <v>865162.76560262125</v>
      </c>
      <c r="AL43" s="25">
        <f t="shared" si="55"/>
        <v>0</v>
      </c>
      <c r="AM43" s="27" t="s">
        <v>62</v>
      </c>
      <c r="AN43" s="27">
        <f t="shared" si="56"/>
        <v>0.34328810794133446</v>
      </c>
      <c r="AO43" s="28">
        <f t="shared" si="56"/>
        <v>1</v>
      </c>
      <c r="AP43" s="25">
        <f t="shared" si="56"/>
        <v>5499530.5350068938</v>
      </c>
      <c r="AQ43" s="29">
        <f t="shared" si="56"/>
        <v>1860766.5144965053</v>
      </c>
      <c r="AR43" s="58">
        <f t="shared" si="56"/>
        <v>6447962.7735463036</v>
      </c>
      <c r="AS43" s="33">
        <f t="shared" si="56"/>
        <v>5600196.8572488148</v>
      </c>
      <c r="AT43" s="31">
        <f t="shared" si="56"/>
        <v>2529450</v>
      </c>
      <c r="AU43" s="31">
        <f t="shared" si="56"/>
        <v>68669818.632144392</v>
      </c>
      <c r="AV43" s="31">
        <f t="shared" si="57"/>
        <v>13762.863461309535</v>
      </c>
      <c r="AW43" s="32">
        <f t="shared" si="58"/>
        <v>0.32577369742354539</v>
      </c>
      <c r="AX43" s="25">
        <f t="shared" si="59"/>
        <v>118522799.99999999</v>
      </c>
      <c r="AY43" s="59">
        <f t="shared" si="60"/>
        <v>10373.691436783871</v>
      </c>
      <c r="AZ43" s="59">
        <f t="shared" si="61"/>
        <v>49852981.367855594</v>
      </c>
      <c r="BA43" s="35">
        <f t="shared" si="62"/>
        <v>2.3137077832223585</v>
      </c>
      <c r="BB43" s="36">
        <f t="shared" si="63"/>
        <v>0.42061933541778967</v>
      </c>
      <c r="BC43" s="36">
        <f t="shared" si="64"/>
        <v>0.78413418702768478</v>
      </c>
      <c r="BD43" s="37">
        <f t="shared" si="65"/>
        <v>0.75374513929798259</v>
      </c>
      <c r="BE43" s="60" t="s">
        <v>73</v>
      </c>
      <c r="BH43" s="127" t="s">
        <v>191</v>
      </c>
      <c r="BI43" s="192">
        <f>H22/$H$24</f>
        <v>0.13951184852788462</v>
      </c>
      <c r="BJ43" s="193">
        <f>BI43*$C$26</f>
        <v>8869759.4114847165</v>
      </c>
      <c r="BK43" s="191" t="s">
        <v>62</v>
      </c>
      <c r="CF43" s="65">
        <v>35</v>
      </c>
      <c r="CG43" s="66" t="s">
        <v>303</v>
      </c>
      <c r="CH43" s="154">
        <f>I31</f>
        <v>0.23243407214611209</v>
      </c>
      <c r="CI43" s="66" t="s">
        <v>214</v>
      </c>
      <c r="CJ43" s="68" t="s">
        <v>304</v>
      </c>
      <c r="CK43" s="66" t="s">
        <v>189</v>
      </c>
    </row>
    <row r="44" spans="1:89" ht="21.75" customHeight="1" x14ac:dyDescent="0.2">
      <c r="A44" s="15"/>
      <c r="B44" s="195">
        <v>1</v>
      </c>
      <c r="C44" s="196">
        <v>4680</v>
      </c>
      <c r="D44" s="197">
        <v>13000</v>
      </c>
      <c r="E44" s="198">
        <f>D44*C44</f>
        <v>60840000</v>
      </c>
      <c r="F44" s="198">
        <f>(E44*$F$50)*$F$51</f>
        <v>2129400</v>
      </c>
      <c r="G44" s="198">
        <f>(E44*$G$50)*$G$51</f>
        <v>1064700</v>
      </c>
      <c r="H44" s="198">
        <f>(G44*$H$50)*$H$51</f>
        <v>159705</v>
      </c>
      <c r="I44" s="497">
        <f>SUM(E44:H44)</f>
        <v>64193805</v>
      </c>
      <c r="J44" s="497"/>
      <c r="K44" s="199">
        <v>3.9</v>
      </c>
      <c r="L44" s="200">
        <f>K44*C44</f>
        <v>18252</v>
      </c>
      <c r="AE44" s="43" t="s">
        <v>78</v>
      </c>
      <c r="AF44" s="44">
        <f t="shared" si="53"/>
        <v>0</v>
      </c>
      <c r="AG44" s="44">
        <f t="shared" si="53"/>
        <v>0</v>
      </c>
      <c r="AH44" s="45">
        <f t="shared" si="54"/>
        <v>0</v>
      </c>
      <c r="AI44" s="44">
        <f t="shared" si="55"/>
        <v>0</v>
      </c>
      <c r="AJ44" s="44">
        <f t="shared" si="55"/>
        <v>0</v>
      </c>
      <c r="AK44" s="44">
        <f t="shared" si="55"/>
        <v>0</v>
      </c>
      <c r="AL44" s="44">
        <f t="shared" si="55"/>
        <v>0</v>
      </c>
      <c r="AM44" s="46" t="s">
        <v>62</v>
      </c>
      <c r="AN44" s="46">
        <f t="shared" si="56"/>
        <v>0</v>
      </c>
      <c r="AO44" s="47">
        <f t="shared" si="56"/>
        <v>1</v>
      </c>
      <c r="AP44" s="44">
        <f t="shared" si="56"/>
        <v>0</v>
      </c>
      <c r="AQ44" s="29">
        <f t="shared" si="56"/>
        <v>0</v>
      </c>
      <c r="AR44" s="48">
        <f t="shared" si="56"/>
        <v>0</v>
      </c>
      <c r="AS44" s="49">
        <f t="shared" si="56"/>
        <v>0</v>
      </c>
      <c r="AT44" s="50">
        <f t="shared" si="56"/>
        <v>0</v>
      </c>
      <c r="AU44" s="50">
        <f t="shared" si="56"/>
        <v>0</v>
      </c>
      <c r="AV44" s="50" t="str">
        <f t="shared" si="57"/>
        <v>0</v>
      </c>
      <c r="AW44" s="51">
        <f t="shared" si="58"/>
        <v>0</v>
      </c>
      <c r="AX44" s="44">
        <f t="shared" si="59"/>
        <v>0</v>
      </c>
      <c r="AY44" s="52" t="str">
        <f t="shared" si="60"/>
        <v>0</v>
      </c>
      <c r="AZ44" s="52">
        <f t="shared" si="61"/>
        <v>0</v>
      </c>
      <c r="BA44" s="53" t="str">
        <f t="shared" si="62"/>
        <v>0.00</v>
      </c>
      <c r="BB44" s="54" t="str">
        <f t="shared" si="63"/>
        <v>0.00%</v>
      </c>
      <c r="BC44" s="54">
        <f t="shared" si="64"/>
        <v>0</v>
      </c>
      <c r="BD44" s="55" t="str">
        <f t="shared" si="65"/>
        <v>0.00%</v>
      </c>
      <c r="BE44" s="60" t="s">
        <v>79</v>
      </c>
      <c r="BH44" s="115" t="s">
        <v>305</v>
      </c>
      <c r="BI44" s="189">
        <f>H23/$H$24</f>
        <v>0.58551909942631897</v>
      </c>
      <c r="BJ44" s="190">
        <f>BI44*$C$26</f>
        <v>37225609.133138441</v>
      </c>
      <c r="BK44" s="191" t="s">
        <v>62</v>
      </c>
      <c r="CF44" s="73">
        <v>36</v>
      </c>
      <c r="CG44" s="74" t="s">
        <v>306</v>
      </c>
      <c r="CH44" s="93">
        <f>H33</f>
        <v>203025502.53513524</v>
      </c>
      <c r="CI44" s="74" t="s">
        <v>214</v>
      </c>
      <c r="CJ44" s="76" t="s">
        <v>307</v>
      </c>
      <c r="CK44" s="74" t="s">
        <v>99</v>
      </c>
    </row>
    <row r="45" spans="1:89" ht="25.5" customHeight="1" x14ac:dyDescent="0.2">
      <c r="A45" s="15"/>
      <c r="B45" s="201">
        <v>2</v>
      </c>
      <c r="C45" s="202"/>
      <c r="D45" s="203"/>
      <c r="E45" s="39">
        <f>D45*C45</f>
        <v>0</v>
      </c>
      <c r="F45" s="39">
        <f>(E45*$F$50)*$F$51</f>
        <v>0</v>
      </c>
      <c r="G45" s="39">
        <f>(E45*$G$50)*$G$51</f>
        <v>0</v>
      </c>
      <c r="H45" s="39">
        <f>(G45*$H$50)*$H$51</f>
        <v>0</v>
      </c>
      <c r="I45" s="498">
        <f>SUM(E45:H45)</f>
        <v>0</v>
      </c>
      <c r="J45" s="498"/>
      <c r="K45" s="204"/>
      <c r="L45" s="205">
        <f>K45*C45</f>
        <v>0</v>
      </c>
      <c r="AE45" s="24" t="s">
        <v>91</v>
      </c>
      <c r="AF45" s="25">
        <f t="shared" si="53"/>
        <v>5109954.6268656682</v>
      </c>
      <c r="AG45" s="25">
        <f t="shared" si="53"/>
        <v>3203808.5106382952</v>
      </c>
      <c r="AH45" s="26">
        <f t="shared" si="54"/>
        <v>0.4</v>
      </c>
      <c r="AI45" s="25">
        <f t="shared" si="55"/>
        <v>1128816.0000000002</v>
      </c>
      <c r="AJ45" s="25">
        <f t="shared" si="55"/>
        <v>2335098.6207302464</v>
      </c>
      <c r="AK45" s="25">
        <f t="shared" si="55"/>
        <v>226247.59363534683</v>
      </c>
      <c r="AL45" s="25">
        <f t="shared" si="55"/>
        <v>0</v>
      </c>
      <c r="AM45" s="27" t="s">
        <v>62</v>
      </c>
      <c r="AN45" s="27">
        <f t="shared" si="56"/>
        <v>8.8179678235159223E-2</v>
      </c>
      <c r="AO45" s="28">
        <f t="shared" si="56"/>
        <v>1</v>
      </c>
      <c r="AP45" s="25">
        <f t="shared" si="56"/>
        <v>1004908.5146218266</v>
      </c>
      <c r="AQ45" s="29">
        <f t="shared" si="56"/>
        <v>477971.07809949719</v>
      </c>
      <c r="AR45" s="58">
        <f t="shared" si="56"/>
        <v>1656274.2796622587</v>
      </c>
      <c r="AS45" s="33">
        <f t="shared" si="56"/>
        <v>1438510.5265870187</v>
      </c>
      <c r="AT45" s="31">
        <f t="shared" si="56"/>
        <v>183490.85106382964</v>
      </c>
      <c r="AU45" s="31">
        <f t="shared" si="56"/>
        <v>16765080.601903986</v>
      </c>
      <c r="AV45" s="31">
        <f t="shared" si="57"/>
        <v>14232.86431239477</v>
      </c>
      <c r="AW45" s="32">
        <f t="shared" si="58"/>
        <v>8.1672447765376563E-2</v>
      </c>
      <c r="AX45" s="25">
        <f t="shared" si="59"/>
        <v>30734717.553191461</v>
      </c>
      <c r="AY45" s="59">
        <f t="shared" si="60"/>
        <v>11990.885687605227</v>
      </c>
      <c r="AZ45" s="59">
        <f t="shared" si="61"/>
        <v>13969636.951287474</v>
      </c>
      <c r="BA45" s="35">
        <f t="shared" si="62"/>
        <v>10.315336073953542</v>
      </c>
      <c r="BB45" s="36">
        <f t="shared" si="63"/>
        <v>0.45452303009164574</v>
      </c>
      <c r="BC45" s="36">
        <f t="shared" si="64"/>
        <v>0.21972747894537595</v>
      </c>
      <c r="BD45" s="37">
        <f t="shared" si="65"/>
        <v>0.84247874668227518</v>
      </c>
      <c r="BE45" s="60" t="s">
        <v>91</v>
      </c>
      <c r="BH45" s="206" t="s">
        <v>62</v>
      </c>
      <c r="BI45" s="207" t="b">
        <f>SUM(BI40:BI44)=100%</f>
        <v>1</v>
      </c>
      <c r="BJ45" s="207" t="b">
        <f>SUM(BJ40:BJ44)=C26</f>
        <v>1</v>
      </c>
      <c r="BK45" s="208" t="s">
        <v>62</v>
      </c>
      <c r="CF45" s="455" t="s">
        <v>308</v>
      </c>
      <c r="CG45" s="455"/>
      <c r="CH45" s="455"/>
      <c r="CI45" s="455"/>
      <c r="CJ45" s="455"/>
      <c r="CK45" s="455"/>
    </row>
    <row r="46" spans="1:89" ht="21.75" customHeight="1" x14ac:dyDescent="0.2">
      <c r="A46" s="15"/>
      <c r="B46" s="195">
        <v>3</v>
      </c>
      <c r="C46" s="196"/>
      <c r="D46" s="197"/>
      <c r="E46" s="198">
        <f>D46*C46</f>
        <v>0</v>
      </c>
      <c r="F46" s="198">
        <f>(E46*$F$50)*$F$51</f>
        <v>0</v>
      </c>
      <c r="G46" s="198">
        <f>(E46*$G$50)*$G$51</f>
        <v>0</v>
      </c>
      <c r="H46" s="198">
        <f>(G46*$H$50)*$H$51</f>
        <v>0</v>
      </c>
      <c r="I46" s="497">
        <f>SUM(E46:H46)</f>
        <v>0</v>
      </c>
      <c r="J46" s="497"/>
      <c r="K46" s="199"/>
      <c r="L46" s="200">
        <f>K46*C46</f>
        <v>0</v>
      </c>
      <c r="AE46" s="43" t="s">
        <v>100</v>
      </c>
      <c r="AF46" s="44">
        <f t="shared" si="53"/>
        <v>0</v>
      </c>
      <c r="AG46" s="44">
        <f t="shared" si="53"/>
        <v>0</v>
      </c>
      <c r="AH46" s="45">
        <f t="shared" si="54"/>
        <v>0.6</v>
      </c>
      <c r="AI46" s="44">
        <f t="shared" si="55"/>
        <v>1693224.0000000002</v>
      </c>
      <c r="AJ46" s="44">
        <f t="shared" si="55"/>
        <v>0</v>
      </c>
      <c r="AK46" s="44">
        <f t="shared" si="55"/>
        <v>0</v>
      </c>
      <c r="AL46" s="44">
        <f t="shared" si="55"/>
        <v>0</v>
      </c>
      <c r="AM46" s="46" t="s">
        <v>62</v>
      </c>
      <c r="AN46" s="46">
        <f t="shared" si="56"/>
        <v>1.2438264239063804E-2</v>
      </c>
      <c r="AO46" s="47">
        <f t="shared" si="56"/>
        <v>1</v>
      </c>
      <c r="AP46" s="44">
        <f t="shared" si="56"/>
        <v>114849.17627994966</v>
      </c>
      <c r="AQ46" s="29">
        <f t="shared" si="56"/>
        <v>67420.620923629496</v>
      </c>
      <c r="AR46" s="48">
        <f t="shared" si="56"/>
        <v>233627.19099799046</v>
      </c>
      <c r="AS46" s="49">
        <f t="shared" si="56"/>
        <v>202910.40292353873</v>
      </c>
      <c r="AT46" s="50">
        <f t="shared" si="56"/>
        <v>0</v>
      </c>
      <c r="AU46" s="50">
        <f t="shared" si="56"/>
        <v>2312031.3911251086</v>
      </c>
      <c r="AV46" s="50" t="str">
        <f t="shared" si="57"/>
        <v>0</v>
      </c>
      <c r="AW46" s="51">
        <f t="shared" si="58"/>
        <v>1.1387886557379623E-2</v>
      </c>
      <c r="AX46" s="44">
        <f t="shared" si="59"/>
        <v>0</v>
      </c>
      <c r="AY46" s="52" t="str">
        <f t="shared" si="60"/>
        <v>0</v>
      </c>
      <c r="AZ46" s="52">
        <f t="shared" si="61"/>
        <v>-2312031.3911251086</v>
      </c>
      <c r="BA46" s="53">
        <f t="shared" si="62"/>
        <v>-87.812606400787871</v>
      </c>
      <c r="BB46" s="54" t="str">
        <f t="shared" si="63"/>
        <v>0.00%</v>
      </c>
      <c r="BC46" s="54">
        <f t="shared" si="64"/>
        <v>-3.636578606773818E-2</v>
      </c>
      <c r="BD46" s="55">
        <f t="shared" si="65"/>
        <v>-1</v>
      </c>
      <c r="BE46" s="60" t="s">
        <v>101</v>
      </c>
      <c r="CF46" s="65">
        <v>37</v>
      </c>
      <c r="CG46" s="66" t="s">
        <v>309</v>
      </c>
      <c r="CH46" s="141">
        <f>C49</f>
        <v>4680</v>
      </c>
      <c r="CI46" s="66" t="s">
        <v>310</v>
      </c>
      <c r="CJ46" s="68" t="s">
        <v>311</v>
      </c>
      <c r="CK46" s="66" t="s">
        <v>312</v>
      </c>
    </row>
    <row r="47" spans="1:89" ht="21.75" customHeight="1" x14ac:dyDescent="0.2">
      <c r="A47" s="15"/>
      <c r="B47" s="201">
        <v>4</v>
      </c>
      <c r="C47" s="202"/>
      <c r="D47" s="203"/>
      <c r="E47" s="39">
        <f>D47*C47</f>
        <v>0</v>
      </c>
      <c r="F47" s="39">
        <f>(E47*$F$50)*$F$51</f>
        <v>0</v>
      </c>
      <c r="G47" s="39">
        <f>(E47*$G$50)*$G$51</f>
        <v>0</v>
      </c>
      <c r="H47" s="39">
        <f>(G47*$H$50)*$H$51</f>
        <v>0</v>
      </c>
      <c r="I47" s="498">
        <f>SUM(E47:H47)</f>
        <v>0</v>
      </c>
      <c r="J47" s="498"/>
      <c r="K47" s="204"/>
      <c r="L47" s="205">
        <f>K47*C47</f>
        <v>0</v>
      </c>
      <c r="AE47" s="24" t="s">
        <v>108</v>
      </c>
      <c r="AF47" s="25">
        <f t="shared" si="53"/>
        <v>0</v>
      </c>
      <c r="AG47" s="25">
        <f t="shared" si="53"/>
        <v>0</v>
      </c>
      <c r="AH47" s="26">
        <f t="shared" si="54"/>
        <v>0</v>
      </c>
      <c r="AI47" s="25">
        <f t="shared" si="55"/>
        <v>0</v>
      </c>
      <c r="AJ47" s="25">
        <f t="shared" si="55"/>
        <v>0</v>
      </c>
      <c r="AK47" s="25">
        <f t="shared" si="55"/>
        <v>0</v>
      </c>
      <c r="AL47" s="25">
        <f t="shared" si="55"/>
        <v>0</v>
      </c>
      <c r="AM47" s="27" t="s">
        <v>62</v>
      </c>
      <c r="AN47" s="27">
        <f t="shared" si="56"/>
        <v>0</v>
      </c>
      <c r="AO47" s="28">
        <f t="shared" si="56"/>
        <v>1</v>
      </c>
      <c r="AP47" s="25">
        <f t="shared" si="56"/>
        <v>0</v>
      </c>
      <c r="AQ47" s="29">
        <f t="shared" si="56"/>
        <v>0</v>
      </c>
      <c r="AR47" s="58">
        <f t="shared" si="56"/>
        <v>0</v>
      </c>
      <c r="AS47" s="33">
        <f t="shared" si="56"/>
        <v>0</v>
      </c>
      <c r="AT47" s="31">
        <f t="shared" si="56"/>
        <v>0</v>
      </c>
      <c r="AU47" s="31">
        <f t="shared" si="56"/>
        <v>0</v>
      </c>
      <c r="AV47" s="31" t="str">
        <f t="shared" si="57"/>
        <v>0</v>
      </c>
      <c r="AW47" s="32">
        <f t="shared" si="58"/>
        <v>0</v>
      </c>
      <c r="AX47" s="25">
        <f t="shared" si="59"/>
        <v>0</v>
      </c>
      <c r="AY47" s="59" t="str">
        <f t="shared" si="60"/>
        <v>0</v>
      </c>
      <c r="AZ47" s="59">
        <f t="shared" si="61"/>
        <v>0</v>
      </c>
      <c r="BA47" s="35" t="str">
        <f t="shared" si="62"/>
        <v>0.00</v>
      </c>
      <c r="BB47" s="36" t="str">
        <f t="shared" si="63"/>
        <v>0.00%</v>
      </c>
      <c r="BC47" s="36">
        <f t="shared" si="64"/>
        <v>0</v>
      </c>
      <c r="BD47" s="37" t="str">
        <f t="shared" si="65"/>
        <v>0.00%</v>
      </c>
      <c r="BE47" s="60" t="s">
        <v>109</v>
      </c>
      <c r="CF47" s="73">
        <v>38</v>
      </c>
      <c r="CG47" s="74" t="s">
        <v>313</v>
      </c>
      <c r="CH47" s="93">
        <f>D49</f>
        <v>13000</v>
      </c>
      <c r="CI47" s="74" t="s">
        <v>310</v>
      </c>
      <c r="CJ47" s="76" t="s">
        <v>314</v>
      </c>
      <c r="CK47" s="74" t="s">
        <v>315</v>
      </c>
    </row>
    <row r="48" spans="1:89" ht="21.75" customHeight="1" x14ac:dyDescent="0.2">
      <c r="A48" s="15"/>
      <c r="B48" s="195">
        <v>5</v>
      </c>
      <c r="C48" s="196"/>
      <c r="D48" s="197"/>
      <c r="E48" s="198">
        <f>D48*C48</f>
        <v>0</v>
      </c>
      <c r="F48" s="198">
        <f>(E48*$F$50)*$F$51</f>
        <v>0</v>
      </c>
      <c r="G48" s="198">
        <f>(E48*$G$50)*$G$51</f>
        <v>0</v>
      </c>
      <c r="H48" s="198">
        <f>(G48*$H$50)*$H$51</f>
        <v>0</v>
      </c>
      <c r="I48" s="497">
        <f>SUM(E48:H48)</f>
        <v>0</v>
      </c>
      <c r="J48" s="497"/>
      <c r="K48" s="199"/>
      <c r="L48" s="200">
        <f>K48*C48</f>
        <v>0</v>
      </c>
      <c r="AE48" s="43" t="s">
        <v>116</v>
      </c>
      <c r="AF48" s="44">
        <f t="shared" si="53"/>
        <v>0</v>
      </c>
      <c r="AG48" s="44">
        <f t="shared" si="53"/>
        <v>0</v>
      </c>
      <c r="AH48" s="45">
        <f t="shared" si="54"/>
        <v>0</v>
      </c>
      <c r="AI48" s="44">
        <f t="shared" si="55"/>
        <v>0</v>
      </c>
      <c r="AJ48" s="44">
        <f t="shared" si="55"/>
        <v>0</v>
      </c>
      <c r="AK48" s="44">
        <f t="shared" si="55"/>
        <v>0</v>
      </c>
      <c r="AL48" s="44">
        <f t="shared" si="55"/>
        <v>0</v>
      </c>
      <c r="AM48" s="46" t="s">
        <v>62</v>
      </c>
      <c r="AN48" s="46">
        <f t="shared" si="56"/>
        <v>0</v>
      </c>
      <c r="AO48" s="47">
        <f t="shared" si="56"/>
        <v>1</v>
      </c>
      <c r="AP48" s="44">
        <f t="shared" si="56"/>
        <v>0</v>
      </c>
      <c r="AQ48" s="29">
        <f t="shared" si="56"/>
        <v>0</v>
      </c>
      <c r="AR48" s="48">
        <f t="shared" si="56"/>
        <v>0</v>
      </c>
      <c r="AS48" s="49">
        <f t="shared" si="56"/>
        <v>0</v>
      </c>
      <c r="AT48" s="50">
        <f t="shared" si="56"/>
        <v>0</v>
      </c>
      <c r="AU48" s="50">
        <f t="shared" si="56"/>
        <v>0</v>
      </c>
      <c r="AV48" s="50" t="str">
        <f t="shared" si="57"/>
        <v>0</v>
      </c>
      <c r="AW48" s="51">
        <f t="shared" si="58"/>
        <v>0</v>
      </c>
      <c r="AX48" s="44">
        <f t="shared" si="59"/>
        <v>0</v>
      </c>
      <c r="AY48" s="52" t="str">
        <f t="shared" si="60"/>
        <v>0</v>
      </c>
      <c r="AZ48" s="52">
        <f t="shared" si="61"/>
        <v>0</v>
      </c>
      <c r="BA48" s="53" t="str">
        <f t="shared" si="62"/>
        <v>0.00</v>
      </c>
      <c r="BB48" s="54" t="str">
        <f t="shared" si="63"/>
        <v>0.00%</v>
      </c>
      <c r="BC48" s="54">
        <f t="shared" si="64"/>
        <v>0</v>
      </c>
      <c r="BD48" s="55" t="str">
        <f t="shared" si="65"/>
        <v>0.00%</v>
      </c>
      <c r="BE48" s="60" t="s">
        <v>117</v>
      </c>
      <c r="CF48" s="65">
        <v>39</v>
      </c>
      <c r="CG48" s="66" t="s">
        <v>316</v>
      </c>
      <c r="CH48" s="88">
        <f>E49</f>
        <v>60840000</v>
      </c>
      <c r="CI48" s="66" t="s">
        <v>310</v>
      </c>
      <c r="CJ48" s="68" t="s">
        <v>317</v>
      </c>
      <c r="CK48" s="66" t="s">
        <v>99</v>
      </c>
    </row>
    <row r="49" spans="1:89" ht="21.75" customHeight="1" x14ac:dyDescent="0.2">
      <c r="B49" s="182" t="s">
        <v>318</v>
      </c>
      <c r="C49" s="209">
        <f>SUM(C44:C48)</f>
        <v>4680</v>
      </c>
      <c r="D49" s="210">
        <f>E49/C49</f>
        <v>13000</v>
      </c>
      <c r="E49" s="210">
        <f>SUM(E44:E48)</f>
        <v>60840000</v>
      </c>
      <c r="F49" s="210">
        <f>SUM(F44:F48)</f>
        <v>2129400</v>
      </c>
      <c r="G49" s="210">
        <f>SUM(G44:G48)</f>
        <v>1064700</v>
      </c>
      <c r="H49" s="210">
        <f>SUM(H44:H48)</f>
        <v>159705</v>
      </c>
      <c r="I49" s="505">
        <f>SUM(I44:I48)</f>
        <v>64193805</v>
      </c>
      <c r="J49" s="505"/>
      <c r="K49" s="211">
        <f>L49/C49</f>
        <v>3.9</v>
      </c>
      <c r="L49" s="212">
        <f>SUM(L44:L48)</f>
        <v>18252</v>
      </c>
      <c r="AE49" s="98" t="s">
        <v>88</v>
      </c>
      <c r="AF49" s="99">
        <f t="shared" ref="AF49:AL49" si="66">SUM(AF39:AF48)</f>
        <v>64193805.000000015</v>
      </c>
      <c r="AG49" s="99">
        <f t="shared" si="66"/>
        <v>47656651.595744677</v>
      </c>
      <c r="AH49" s="100">
        <f t="shared" si="66"/>
        <v>1</v>
      </c>
      <c r="AI49" s="99">
        <f t="shared" si="66"/>
        <v>2822040.0000000005</v>
      </c>
      <c r="AJ49" s="99">
        <f t="shared" si="66"/>
        <v>19562400</v>
      </c>
      <c r="AK49" s="99">
        <f t="shared" si="66"/>
        <v>1895400</v>
      </c>
      <c r="AL49" s="99">
        <f t="shared" si="66"/>
        <v>0</v>
      </c>
      <c r="AM49" s="101" t="s">
        <v>62</v>
      </c>
      <c r="AN49" s="100">
        <f>SUM(AN39:AN48)</f>
        <v>1.0000000073459034</v>
      </c>
      <c r="AO49" s="99" t="s">
        <v>62</v>
      </c>
      <c r="AP49" s="474">
        <f>SUM(AP39:AQ48)</f>
        <v>19188954.895853661</v>
      </c>
      <c r="AQ49" s="474"/>
      <c r="AR49" s="102">
        <f>SUM(AR39:AR48)</f>
        <v>14809274.999999998</v>
      </c>
      <c r="AS49" s="102">
        <f>SUM(AS39:AS48)</f>
        <v>16313401.975883052</v>
      </c>
      <c r="AT49" s="103">
        <f>SUM(AT39:AT48)</f>
        <v>2712940.8510638298</v>
      </c>
      <c r="AU49" s="103">
        <f>SUM(AU39:AU48)</f>
        <v>189154869.31854519</v>
      </c>
      <c r="AV49" s="104">
        <f>AU49/F76</f>
        <v>12924.316772440849</v>
      </c>
      <c r="AW49" s="105">
        <f>SUM(AW39:AW48)</f>
        <v>0.91831777850280705</v>
      </c>
      <c r="AX49" s="99">
        <f>SUM(AX39:AX48)</f>
        <v>269315548.16315919</v>
      </c>
      <c r="AY49" s="106">
        <f>AZ49/F76</f>
        <v>5477.1098931478318</v>
      </c>
      <c r="AZ49" s="107">
        <f>SUM(AZ39:AZ48)</f>
        <v>80160678.844613999</v>
      </c>
      <c r="BA49" s="107" t="s">
        <v>62</v>
      </c>
      <c r="BB49" s="108">
        <f t="shared" si="63"/>
        <v>0.29764593760494784</v>
      </c>
      <c r="BC49" s="108" t="s">
        <v>62</v>
      </c>
      <c r="BD49" s="109">
        <f>IFERROR(AZ49/AU49, "0.00%")</f>
        <v>0.42378332174795807</v>
      </c>
      <c r="CF49" s="73">
        <v>40</v>
      </c>
      <c r="CG49" s="74" t="s">
        <v>319</v>
      </c>
      <c r="CH49" s="93">
        <f>F49</f>
        <v>2129400</v>
      </c>
      <c r="CI49" s="74" t="s">
        <v>310</v>
      </c>
      <c r="CJ49" s="76" t="s">
        <v>320</v>
      </c>
      <c r="CK49" s="74" t="s">
        <v>99</v>
      </c>
    </row>
    <row r="50" spans="1:89" ht="21.75" customHeight="1" x14ac:dyDescent="0.2">
      <c r="A50" s="15"/>
      <c r="B50" s="15"/>
      <c r="C50" s="15"/>
      <c r="D50" s="15"/>
      <c r="E50" s="15"/>
      <c r="F50" s="213">
        <v>0.05</v>
      </c>
      <c r="G50" s="214">
        <v>2.5000000000000001E-2</v>
      </c>
      <c r="H50" s="215">
        <v>0.15</v>
      </c>
      <c r="I50" s="15"/>
      <c r="J50" s="15"/>
      <c r="L50" s="15"/>
      <c r="U50" s="114"/>
      <c r="AE50" s="111"/>
      <c r="AF50" s="111" t="b">
        <f>AF49=I49</f>
        <v>1</v>
      </c>
      <c r="AG50" s="111" t="b">
        <f>AG49=SUM(J61:J71)</f>
        <v>0</v>
      </c>
      <c r="AH50" s="111" t="b">
        <f>AH49=100%</f>
        <v>1</v>
      </c>
      <c r="AI50" s="111" t="b">
        <f>AI49=J73</f>
        <v>1</v>
      </c>
      <c r="AJ50" s="111" t="b">
        <f>AJ49=SUM(J74:J75)</f>
        <v>1</v>
      </c>
      <c r="AK50" s="111" t="b">
        <f>AK49=C87</f>
        <v>1</v>
      </c>
      <c r="AL50" s="111" t="b">
        <f>AL49=J71</f>
        <v>0</v>
      </c>
      <c r="AM50" s="111" t="b">
        <f>AM49=AM49</f>
        <v>1</v>
      </c>
      <c r="AN50" s="111" t="b">
        <f>AN49=100%</f>
        <v>0</v>
      </c>
      <c r="AO50" s="111" t="b">
        <f>AO49=AO49</f>
        <v>1</v>
      </c>
      <c r="AP50" s="475" t="b">
        <f>AP49=C102-C87</f>
        <v>0</v>
      </c>
      <c r="AQ50" s="475"/>
      <c r="AR50" s="111" t="b">
        <f>AR49=C119</f>
        <v>1</v>
      </c>
      <c r="AS50" s="111" t="b">
        <f>AS49=C107</f>
        <v>0</v>
      </c>
      <c r="AT50" s="111" t="b">
        <f>AT49=C25</f>
        <v>1</v>
      </c>
      <c r="AU50" s="111" t="b">
        <f>AU49=C24+C25</f>
        <v>0</v>
      </c>
      <c r="AV50" s="111" t="b">
        <f>AV49=AV49</f>
        <v>1</v>
      </c>
      <c r="AW50" s="111" t="b">
        <f>AW49=100%</f>
        <v>0</v>
      </c>
      <c r="AX50" s="111" t="b">
        <f>AX49=C17</f>
        <v>1</v>
      </c>
      <c r="AY50" s="111" t="b">
        <f>AY49=AY49</f>
        <v>1</v>
      </c>
      <c r="AZ50" s="111" t="b">
        <f>AZ49=C26</f>
        <v>0</v>
      </c>
      <c r="BA50" s="111" t="b">
        <f>BA49=BA49</f>
        <v>1</v>
      </c>
      <c r="BB50" s="111" t="b">
        <f>BB49=BB49</f>
        <v>1</v>
      </c>
      <c r="BC50" s="111" t="b">
        <f>BC49=BC49</f>
        <v>1</v>
      </c>
      <c r="BD50" s="111" t="b">
        <f>BD49=BD49</f>
        <v>1</v>
      </c>
      <c r="BE50" s="15"/>
      <c r="CF50" s="65">
        <v>41</v>
      </c>
      <c r="CG50" s="66" t="s">
        <v>321</v>
      </c>
      <c r="CH50" s="88">
        <f>G49</f>
        <v>1064700</v>
      </c>
      <c r="CI50" s="66" t="s">
        <v>310</v>
      </c>
      <c r="CJ50" s="68" t="s">
        <v>322</v>
      </c>
      <c r="CK50" s="66" t="s">
        <v>99</v>
      </c>
    </row>
    <row r="51" spans="1:89" ht="21.75" customHeight="1" x14ac:dyDescent="0.2">
      <c r="A51" s="15"/>
      <c r="B51" s="15"/>
      <c r="C51" s="15"/>
      <c r="D51" s="15"/>
      <c r="E51" s="15"/>
      <c r="F51" s="216">
        <v>0.7</v>
      </c>
      <c r="G51" s="217">
        <f>F51</f>
        <v>0.7</v>
      </c>
      <c r="H51" s="218">
        <v>1</v>
      </c>
      <c r="I51" s="15"/>
      <c r="J51" s="15"/>
      <c r="K51" s="15"/>
      <c r="L51" s="15"/>
      <c r="U51" s="114"/>
      <c r="AR51" s="219"/>
      <c r="CF51" s="73">
        <v>42</v>
      </c>
      <c r="CG51" s="74" t="s">
        <v>323</v>
      </c>
      <c r="CH51" s="93">
        <f>H49</f>
        <v>159705</v>
      </c>
      <c r="CI51" s="74" t="s">
        <v>310</v>
      </c>
      <c r="CJ51" s="76" t="s">
        <v>324</v>
      </c>
      <c r="CK51" s="74" t="s">
        <v>99</v>
      </c>
    </row>
    <row r="52" spans="1:89" ht="21.75" customHeight="1" x14ac:dyDescent="0.2">
      <c r="A52" s="15"/>
      <c r="CF52" s="65">
        <v>43</v>
      </c>
      <c r="CG52" s="66" t="s">
        <v>325</v>
      </c>
      <c r="CH52" s="88">
        <f>I49</f>
        <v>64193805</v>
      </c>
      <c r="CI52" s="66" t="s">
        <v>310</v>
      </c>
      <c r="CJ52" s="68" t="s">
        <v>326</v>
      </c>
      <c r="CK52" s="66" t="s">
        <v>99</v>
      </c>
    </row>
    <row r="53" spans="1:89" ht="21.75" customHeight="1" x14ac:dyDescent="0.2">
      <c r="A53" s="15"/>
      <c r="U53" s="114"/>
      <c r="CF53" s="73">
        <v>44</v>
      </c>
      <c r="CG53" s="74" t="s">
        <v>327</v>
      </c>
      <c r="CH53" s="220">
        <f>K49</f>
        <v>3.9</v>
      </c>
      <c r="CI53" s="74" t="s">
        <v>310</v>
      </c>
      <c r="CJ53" s="76" t="s">
        <v>328</v>
      </c>
      <c r="CK53" s="74" t="s">
        <v>329</v>
      </c>
    </row>
    <row r="54" spans="1:89" ht="21.75" customHeight="1" x14ac:dyDescent="0.2">
      <c r="A54" s="15"/>
      <c r="CF54" s="65">
        <v>45</v>
      </c>
      <c r="CG54" s="66" t="s">
        <v>330</v>
      </c>
      <c r="CH54" s="141">
        <f>L49</f>
        <v>18252</v>
      </c>
      <c r="CI54" s="66" t="s">
        <v>310</v>
      </c>
      <c r="CJ54" s="68" t="s">
        <v>331</v>
      </c>
      <c r="CK54" s="66" t="s">
        <v>312</v>
      </c>
    </row>
    <row r="55" spans="1:89" ht="25.5" customHeight="1" x14ac:dyDescent="0.2">
      <c r="A55" s="15"/>
      <c r="F55" s="114"/>
      <c r="H55" s="180"/>
      <c r="U55" s="114"/>
      <c r="CF55" s="455" t="s">
        <v>332</v>
      </c>
      <c r="CG55" s="455"/>
      <c r="CH55" s="455"/>
      <c r="CI55" s="455"/>
      <c r="CJ55" s="455"/>
      <c r="CK55" s="455"/>
    </row>
    <row r="56" spans="1:89" ht="21.75" customHeight="1" x14ac:dyDescent="0.2">
      <c r="A56" s="15"/>
      <c r="F56" s="114"/>
      <c r="CF56" s="73">
        <v>46</v>
      </c>
      <c r="CG56" s="74" t="s">
        <v>327</v>
      </c>
      <c r="CH56" s="220">
        <f>D59</f>
        <v>3.9</v>
      </c>
      <c r="CI56" s="74" t="s">
        <v>333</v>
      </c>
      <c r="CJ56" s="76" t="s">
        <v>334</v>
      </c>
      <c r="CK56" s="74" t="s">
        <v>329</v>
      </c>
    </row>
    <row r="57" spans="1:89" ht="21.75" customHeight="1" x14ac:dyDescent="0.2">
      <c r="B57" s="476" t="s">
        <v>335</v>
      </c>
      <c r="C57" s="476"/>
      <c r="D57" s="476"/>
      <c r="E57" s="476"/>
      <c r="F57" s="476"/>
      <c r="G57" s="476"/>
      <c r="H57" s="476"/>
      <c r="I57" s="476"/>
      <c r="J57" s="476"/>
      <c r="K57" s="476"/>
      <c r="L57" s="476"/>
      <c r="CF57" s="65">
        <v>47</v>
      </c>
      <c r="CG57" s="66" t="s">
        <v>336</v>
      </c>
      <c r="CH57" s="141">
        <f>E59</f>
        <v>30747.599999999999</v>
      </c>
      <c r="CI57" s="66" t="s">
        <v>333</v>
      </c>
      <c r="CJ57" s="68" t="s">
        <v>337</v>
      </c>
      <c r="CK57" s="66" t="s">
        <v>312</v>
      </c>
    </row>
    <row r="58" spans="1:89" ht="21.75" customHeight="1" x14ac:dyDescent="0.2">
      <c r="B58" s="112" t="s">
        <v>338</v>
      </c>
      <c r="C58" s="188" t="s">
        <v>339</v>
      </c>
      <c r="D58" s="188" t="s">
        <v>300</v>
      </c>
      <c r="E58" s="188" t="s">
        <v>340</v>
      </c>
      <c r="F58" s="496" t="s">
        <v>341</v>
      </c>
      <c r="G58" s="496"/>
      <c r="H58" s="496" t="s">
        <v>342</v>
      </c>
      <c r="I58" s="496"/>
      <c r="J58" s="188" t="s">
        <v>343</v>
      </c>
      <c r="K58" s="496" t="s">
        <v>344</v>
      </c>
      <c r="L58" s="506" t="s">
        <v>345</v>
      </c>
      <c r="N58" s="15"/>
      <c r="O58" s="15"/>
      <c r="S58" s="15"/>
      <c r="T58" s="15"/>
      <c r="CF58" s="73">
        <v>48</v>
      </c>
      <c r="CG58" s="74" t="s">
        <v>346</v>
      </c>
      <c r="CH58" s="221">
        <f>F59</f>
        <v>27612</v>
      </c>
      <c r="CI58" s="74" t="s">
        <v>333</v>
      </c>
      <c r="CJ58" s="76" t="s">
        <v>347</v>
      </c>
      <c r="CK58" s="74" t="s">
        <v>312</v>
      </c>
    </row>
    <row r="59" spans="1:89" ht="21.75" customHeight="1" x14ac:dyDescent="0.2">
      <c r="B59" s="222"/>
      <c r="C59" s="223"/>
      <c r="D59" s="199">
        <f>K49</f>
        <v>3.9</v>
      </c>
      <c r="E59" s="196">
        <f>SUM(D61:D75)</f>
        <v>30747.599999999999</v>
      </c>
      <c r="F59" s="507">
        <f>SUM(D61:D71,D74:D75)</f>
        <v>27612</v>
      </c>
      <c r="G59" s="507"/>
      <c r="H59" s="507">
        <f>SUM(D61:D71)</f>
        <v>18252</v>
      </c>
      <c r="I59" s="507"/>
      <c r="J59" s="196">
        <f>F76</f>
        <v>14635.579787234041</v>
      </c>
      <c r="K59" s="496"/>
      <c r="L59" s="506"/>
      <c r="CF59" s="65">
        <v>49</v>
      </c>
      <c r="CG59" s="66" t="s">
        <v>348</v>
      </c>
      <c r="CH59" s="141">
        <f>H59</f>
        <v>18252</v>
      </c>
      <c r="CI59" s="66" t="s">
        <v>333</v>
      </c>
      <c r="CJ59" s="68" t="s">
        <v>349</v>
      </c>
      <c r="CK59" s="66" t="s">
        <v>312</v>
      </c>
    </row>
    <row r="60" spans="1:89" ht="21.75" customHeight="1" x14ac:dyDescent="0.2">
      <c r="B60" s="224" t="s">
        <v>350</v>
      </c>
      <c r="C60" s="225" t="s">
        <v>351</v>
      </c>
      <c r="D60" s="188" t="s">
        <v>352</v>
      </c>
      <c r="E60" s="225" t="s">
        <v>353</v>
      </c>
      <c r="F60" s="188" t="s">
        <v>354</v>
      </c>
      <c r="G60" s="188" t="s">
        <v>355</v>
      </c>
      <c r="H60" s="188" t="s">
        <v>356</v>
      </c>
      <c r="I60" s="188" t="s">
        <v>357</v>
      </c>
      <c r="J60" s="188" t="s">
        <v>358</v>
      </c>
      <c r="K60" s="226">
        <f>B59/L60</f>
        <v>0</v>
      </c>
      <c r="L60" s="227">
        <v>3.5</v>
      </c>
      <c r="CF60" s="73">
        <v>50</v>
      </c>
      <c r="CG60" s="74" t="s">
        <v>359</v>
      </c>
      <c r="CH60" s="221">
        <f>J59</f>
        <v>14635.579787234041</v>
      </c>
      <c r="CI60" s="74" t="s">
        <v>333</v>
      </c>
      <c r="CJ60" s="76" t="s">
        <v>360</v>
      </c>
      <c r="CK60" s="74" t="s">
        <v>312</v>
      </c>
    </row>
    <row r="61" spans="1:89" ht="21.75" customHeight="1" x14ac:dyDescent="0.2">
      <c r="B61" s="228" t="s">
        <v>48</v>
      </c>
      <c r="C61" s="229">
        <v>0.47473404255319201</v>
      </c>
      <c r="D61" s="196">
        <f t="shared" ref="D61:D71" si="67">$L$49*C61</f>
        <v>8664.8457446808607</v>
      </c>
      <c r="E61" s="229">
        <v>1</v>
      </c>
      <c r="F61" s="196">
        <f t="shared" ref="F61:F70" si="68">E61*D61</f>
        <v>8664.8457446808607</v>
      </c>
      <c r="G61" s="196">
        <f t="shared" ref="G61:G70" si="69">IFERROR(F61/H61, "0")</f>
        <v>94.183105920444135</v>
      </c>
      <c r="H61" s="198">
        <v>92</v>
      </c>
      <c r="I61" s="197">
        <v>3300</v>
      </c>
      <c r="J61" s="197">
        <f t="shared" ref="J61:J71" si="70">I61*D61</f>
        <v>28593990.95744684</v>
      </c>
      <c r="K61" s="198">
        <f>L61*H61</f>
        <v>92</v>
      </c>
      <c r="L61" s="40">
        <v>1</v>
      </c>
      <c r="BH61" s="230"/>
      <c r="BI61" s="230"/>
      <c r="BJ61" s="230"/>
      <c r="CF61" s="65">
        <v>51</v>
      </c>
      <c r="CG61" s="66" t="s">
        <v>361</v>
      </c>
      <c r="CH61" s="231">
        <f>L60</f>
        <v>3.5</v>
      </c>
      <c r="CI61" s="66" t="s">
        <v>333</v>
      </c>
      <c r="CJ61" s="68" t="s">
        <v>362</v>
      </c>
      <c r="CK61" s="66" t="s">
        <v>363</v>
      </c>
    </row>
    <row r="62" spans="1:89" ht="25.5" hidden="1" customHeight="1" x14ac:dyDescent="0.2">
      <c r="B62" s="232" t="s">
        <v>52</v>
      </c>
      <c r="C62" s="233"/>
      <c r="D62" s="202">
        <f t="shared" si="67"/>
        <v>0</v>
      </c>
      <c r="E62" s="233"/>
      <c r="F62" s="202">
        <f t="shared" si="68"/>
        <v>0</v>
      </c>
      <c r="G62" s="202" t="str">
        <f t="shared" si="69"/>
        <v>0</v>
      </c>
      <c r="H62" s="39"/>
      <c r="I62" s="203"/>
      <c r="J62" s="203">
        <f t="shared" si="70"/>
        <v>0</v>
      </c>
      <c r="K62" s="39">
        <f>L62*H62</f>
        <v>0</v>
      </c>
      <c r="L62" s="40">
        <v>0</v>
      </c>
      <c r="AP62" s="180"/>
      <c r="AV62" s="180"/>
      <c r="AW62" s="114"/>
      <c r="BH62" s="234"/>
      <c r="BI62" s="235"/>
      <c r="BJ62" s="235"/>
      <c r="CF62" s="455" t="s">
        <v>364</v>
      </c>
      <c r="CG62" s="455"/>
      <c r="CH62" s="455"/>
      <c r="CI62" s="455"/>
      <c r="CJ62" s="455"/>
      <c r="CK62" s="455"/>
    </row>
    <row r="63" spans="1:89" ht="21.75" hidden="1" customHeight="1" x14ac:dyDescent="0.2">
      <c r="B63" s="228" t="s">
        <v>63</v>
      </c>
      <c r="C63" s="229"/>
      <c r="D63" s="196">
        <f t="shared" si="67"/>
        <v>0</v>
      </c>
      <c r="E63" s="229"/>
      <c r="F63" s="196">
        <f t="shared" si="68"/>
        <v>0</v>
      </c>
      <c r="G63" s="196" t="str">
        <f t="shared" si="69"/>
        <v>0</v>
      </c>
      <c r="H63" s="198"/>
      <c r="I63" s="197"/>
      <c r="J63" s="197">
        <f t="shared" si="70"/>
        <v>0</v>
      </c>
      <c r="K63" s="198">
        <f>L63*H63</f>
        <v>0</v>
      </c>
      <c r="L63" s="40">
        <v>0</v>
      </c>
      <c r="AV63" s="180"/>
      <c r="AW63" s="114"/>
      <c r="BH63" s="234"/>
      <c r="BI63" s="235"/>
      <c r="BJ63" s="235"/>
      <c r="CF63" s="73">
        <v>52</v>
      </c>
      <c r="CG63" s="74" t="s">
        <v>365</v>
      </c>
      <c r="CH63" s="148">
        <f>C61</f>
        <v>0.47473404255319201</v>
      </c>
      <c r="CI63" s="74" t="s">
        <v>366</v>
      </c>
      <c r="CJ63" s="76" t="s">
        <v>367</v>
      </c>
      <c r="CK63" s="74" t="s">
        <v>189</v>
      </c>
    </row>
    <row r="64" spans="1:89" ht="21.75" hidden="1" customHeight="1" x14ac:dyDescent="0.2">
      <c r="B64" s="232" t="s">
        <v>68</v>
      </c>
      <c r="C64" s="233"/>
      <c r="D64" s="202">
        <f t="shared" si="67"/>
        <v>0</v>
      </c>
      <c r="E64" s="233"/>
      <c r="F64" s="202">
        <f t="shared" si="68"/>
        <v>0</v>
      </c>
      <c r="G64" s="202" t="str">
        <f t="shared" si="69"/>
        <v>0</v>
      </c>
      <c r="H64" s="39"/>
      <c r="I64" s="203"/>
      <c r="J64" s="203">
        <f t="shared" si="70"/>
        <v>0</v>
      </c>
      <c r="K64" s="39">
        <f>L64*H64</f>
        <v>0</v>
      </c>
      <c r="L64" s="40">
        <v>0</v>
      </c>
      <c r="AV64" s="180"/>
      <c r="AW64" s="114"/>
      <c r="BH64" s="234"/>
      <c r="BI64" s="235"/>
      <c r="BJ64" s="235"/>
      <c r="CF64" s="65">
        <v>53</v>
      </c>
      <c r="CG64" s="66" t="s">
        <v>368</v>
      </c>
      <c r="CH64" s="141">
        <f>D61</f>
        <v>8664.8457446808607</v>
      </c>
      <c r="CI64" s="66" t="s">
        <v>366</v>
      </c>
      <c r="CJ64" s="68" t="s">
        <v>369</v>
      </c>
      <c r="CK64" s="66" t="s">
        <v>312</v>
      </c>
    </row>
    <row r="65" spans="1:89" ht="21.75" customHeight="1" x14ac:dyDescent="0.2">
      <c r="B65" s="228" t="s">
        <v>76</v>
      </c>
      <c r="C65" s="229">
        <v>0.26329787234042501</v>
      </c>
      <c r="D65" s="196">
        <f t="shared" si="67"/>
        <v>4805.7127659574371</v>
      </c>
      <c r="E65" s="229">
        <v>1</v>
      </c>
      <c r="F65" s="196">
        <f t="shared" si="68"/>
        <v>4805.7127659574371</v>
      </c>
      <c r="G65" s="196">
        <f t="shared" si="69"/>
        <v>48.542553191489262</v>
      </c>
      <c r="H65" s="198">
        <v>99</v>
      </c>
      <c r="I65" s="197">
        <v>3300</v>
      </c>
      <c r="J65" s="197">
        <f t="shared" si="70"/>
        <v>15858852.127659542</v>
      </c>
      <c r="K65" s="198">
        <f>L65*H65</f>
        <v>99</v>
      </c>
      <c r="L65" s="40">
        <v>1</v>
      </c>
      <c r="AV65" s="180"/>
      <c r="AW65" s="114"/>
      <c r="BH65" s="234"/>
      <c r="BI65" s="235"/>
      <c r="BJ65" s="235"/>
      <c r="BU65" s="114"/>
      <c r="CF65" s="73">
        <v>54</v>
      </c>
      <c r="CG65" s="74" t="s">
        <v>370</v>
      </c>
      <c r="CH65" s="148">
        <f>E61</f>
        <v>1</v>
      </c>
      <c r="CI65" s="74" t="s">
        <v>366</v>
      </c>
      <c r="CJ65" s="76" t="s">
        <v>371</v>
      </c>
      <c r="CK65" s="74" t="s">
        <v>189</v>
      </c>
    </row>
    <row r="66" spans="1:89" ht="21.75" hidden="1" customHeight="1" x14ac:dyDescent="0.2">
      <c r="B66" s="232" t="s">
        <v>82</v>
      </c>
      <c r="C66" s="233"/>
      <c r="D66" s="202">
        <f t="shared" si="67"/>
        <v>0</v>
      </c>
      <c r="E66" s="233"/>
      <c r="F66" s="202">
        <f t="shared" si="68"/>
        <v>0</v>
      </c>
      <c r="G66" s="202" t="str">
        <f t="shared" si="69"/>
        <v>0</v>
      </c>
      <c r="H66" s="39"/>
      <c r="I66" s="203"/>
      <c r="J66" s="203">
        <f t="shared" si="70"/>
        <v>0</v>
      </c>
      <c r="K66" s="39">
        <f>D66/L66</f>
        <v>0</v>
      </c>
      <c r="L66" s="40">
        <v>40</v>
      </c>
      <c r="AV66" s="180"/>
      <c r="AW66" s="114"/>
      <c r="BH66" s="234"/>
      <c r="BI66" s="235"/>
      <c r="BJ66" s="235"/>
      <c r="BU66" s="114"/>
      <c r="CF66" s="65">
        <v>55</v>
      </c>
      <c r="CG66" s="66" t="s">
        <v>372</v>
      </c>
      <c r="CH66" s="141">
        <f>F61</f>
        <v>8664.8457446808607</v>
      </c>
      <c r="CI66" s="66" t="s">
        <v>366</v>
      </c>
      <c r="CJ66" s="68" t="s">
        <v>373</v>
      </c>
      <c r="CK66" s="66" t="s">
        <v>312</v>
      </c>
    </row>
    <row r="67" spans="1:89" ht="21.75" customHeight="1" x14ac:dyDescent="0.2">
      <c r="B67" s="228" t="s">
        <v>93</v>
      </c>
      <c r="C67" s="229">
        <v>6.3829787234042507E-2</v>
      </c>
      <c r="D67" s="196">
        <f t="shared" si="67"/>
        <v>1165.0212765957438</v>
      </c>
      <c r="E67" s="229">
        <v>1</v>
      </c>
      <c r="F67" s="196">
        <f t="shared" si="68"/>
        <v>1165.0212765957438</v>
      </c>
      <c r="G67" s="196">
        <f t="shared" si="69"/>
        <v>166.43161094224911</v>
      </c>
      <c r="H67" s="198">
        <v>7</v>
      </c>
      <c r="I67" s="197">
        <v>2750</v>
      </c>
      <c r="J67" s="197">
        <f t="shared" si="70"/>
        <v>3203808.5106382952</v>
      </c>
      <c r="K67" s="198">
        <f>D67/L67</f>
        <v>25.889361702127641</v>
      </c>
      <c r="L67" s="40">
        <v>45</v>
      </c>
      <c r="AV67" s="180"/>
      <c r="AW67" s="114"/>
      <c r="BH67" s="234"/>
      <c r="BI67" s="235"/>
      <c r="BJ67" s="235"/>
      <c r="BU67" s="114"/>
      <c r="CF67" s="73">
        <v>56</v>
      </c>
      <c r="CG67" s="74" t="s">
        <v>374</v>
      </c>
      <c r="CH67" s="221">
        <f>G61</f>
        <v>94.183105920444135</v>
      </c>
      <c r="CI67" s="74" t="s">
        <v>366</v>
      </c>
      <c r="CJ67" s="76" t="s">
        <v>375</v>
      </c>
      <c r="CK67" s="74" t="s">
        <v>312</v>
      </c>
    </row>
    <row r="68" spans="1:89" ht="21.75" hidden="1" customHeight="1" x14ac:dyDescent="0.2">
      <c r="B68" s="232" t="s">
        <v>104</v>
      </c>
      <c r="C68" s="233"/>
      <c r="D68" s="202">
        <f t="shared" si="67"/>
        <v>0</v>
      </c>
      <c r="E68" s="233"/>
      <c r="F68" s="202">
        <f t="shared" si="68"/>
        <v>0</v>
      </c>
      <c r="G68" s="202" t="str">
        <f t="shared" si="69"/>
        <v>0</v>
      </c>
      <c r="H68" s="39"/>
      <c r="I68" s="203"/>
      <c r="J68" s="203">
        <f t="shared" si="70"/>
        <v>0</v>
      </c>
      <c r="K68" s="39">
        <f>H68/L68</f>
        <v>0</v>
      </c>
      <c r="L68" s="40">
        <v>2</v>
      </c>
      <c r="AV68" s="180"/>
      <c r="AW68" s="114"/>
      <c r="BH68" s="234"/>
      <c r="BI68" s="235"/>
      <c r="BJ68" s="235"/>
      <c r="BU68" s="114"/>
      <c r="CF68" s="65">
        <v>57</v>
      </c>
      <c r="CG68" s="66" t="s">
        <v>376</v>
      </c>
      <c r="CH68" s="231">
        <f>H61</f>
        <v>92</v>
      </c>
      <c r="CI68" s="66" t="s">
        <v>366</v>
      </c>
      <c r="CJ68" s="68" t="s">
        <v>377</v>
      </c>
      <c r="CK68" s="66" t="s">
        <v>378</v>
      </c>
    </row>
    <row r="69" spans="1:89" ht="21.75" hidden="1" customHeight="1" x14ac:dyDescent="0.2">
      <c r="B69" s="228" t="s">
        <v>112</v>
      </c>
      <c r="C69" s="229"/>
      <c r="D69" s="196">
        <f t="shared" si="67"/>
        <v>0</v>
      </c>
      <c r="E69" s="229"/>
      <c r="F69" s="196">
        <f t="shared" si="68"/>
        <v>0</v>
      </c>
      <c r="G69" s="196" t="str">
        <f t="shared" si="69"/>
        <v>0</v>
      </c>
      <c r="H69" s="198"/>
      <c r="I69" s="197"/>
      <c r="J69" s="197">
        <f t="shared" si="70"/>
        <v>0</v>
      </c>
      <c r="K69" s="198">
        <f>F69/L69</f>
        <v>0</v>
      </c>
      <c r="L69" s="40">
        <v>50</v>
      </c>
      <c r="AV69" s="180"/>
      <c r="AW69" s="114"/>
      <c r="BH69" s="234"/>
      <c r="BI69" s="235"/>
      <c r="BJ69" s="235"/>
      <c r="BU69" s="114"/>
      <c r="CF69" s="73">
        <v>58</v>
      </c>
      <c r="CG69" s="74" t="s">
        <v>379</v>
      </c>
      <c r="CH69" s="93">
        <f>I61</f>
        <v>3300</v>
      </c>
      <c r="CI69" s="74" t="s">
        <v>366</v>
      </c>
      <c r="CJ69" s="76" t="s">
        <v>380</v>
      </c>
      <c r="CK69" s="74" t="s">
        <v>315</v>
      </c>
    </row>
    <row r="70" spans="1:89" ht="21.75" hidden="1" customHeight="1" x14ac:dyDescent="0.2">
      <c r="B70" s="232" t="s">
        <v>381</v>
      </c>
      <c r="C70" s="233"/>
      <c r="D70" s="202">
        <f t="shared" si="67"/>
        <v>0</v>
      </c>
      <c r="E70" s="233"/>
      <c r="F70" s="202">
        <f t="shared" si="68"/>
        <v>0</v>
      </c>
      <c r="G70" s="202" t="str">
        <f t="shared" si="69"/>
        <v>0</v>
      </c>
      <c r="H70" s="39"/>
      <c r="I70" s="203"/>
      <c r="J70" s="203">
        <f t="shared" si="70"/>
        <v>0</v>
      </c>
      <c r="K70" s="236">
        <v>0</v>
      </c>
      <c r="L70" s="237" t="s">
        <v>184</v>
      </c>
      <c r="AV70" s="180"/>
      <c r="AW70" s="114"/>
      <c r="BH70" s="234"/>
      <c r="BI70" s="235"/>
      <c r="BJ70" s="235"/>
      <c r="BU70" s="114"/>
      <c r="CF70" s="65">
        <v>59</v>
      </c>
      <c r="CG70" s="66" t="s">
        <v>382</v>
      </c>
      <c r="CH70" s="88">
        <f>J61</f>
        <v>28593990.95744684</v>
      </c>
      <c r="CI70" s="66" t="s">
        <v>366</v>
      </c>
      <c r="CJ70" s="68" t="s">
        <v>383</v>
      </c>
      <c r="CK70" s="66" t="s">
        <v>99</v>
      </c>
    </row>
    <row r="71" spans="1:89" ht="21.75" customHeight="1" x14ac:dyDescent="0.2">
      <c r="B71" s="238" t="s">
        <v>384</v>
      </c>
      <c r="C71" s="239">
        <f>100%-SUM(C61:C70)</f>
        <v>0.1981382978723405</v>
      </c>
      <c r="D71" s="240">
        <f t="shared" si="67"/>
        <v>3616.4202127659587</v>
      </c>
      <c r="E71" s="241" t="s">
        <v>184</v>
      </c>
      <c r="F71" s="242" t="s">
        <v>184</v>
      </c>
      <c r="G71" s="242" t="s">
        <v>184</v>
      </c>
      <c r="H71" s="243" t="s">
        <v>184</v>
      </c>
      <c r="I71" s="244">
        <v>3080</v>
      </c>
      <c r="J71" s="244">
        <f t="shared" si="70"/>
        <v>11138574.255319152</v>
      </c>
      <c r="K71" s="243" t="s">
        <v>184</v>
      </c>
      <c r="L71" s="245" t="s">
        <v>184</v>
      </c>
      <c r="AV71" s="180"/>
      <c r="AW71" s="114"/>
      <c r="BH71" s="234"/>
      <c r="BI71" s="235"/>
      <c r="BJ71" s="235"/>
      <c r="BU71" s="114"/>
      <c r="CF71" s="73">
        <v>60</v>
      </c>
      <c r="CG71" s="74" t="s">
        <v>385</v>
      </c>
      <c r="CH71" s="246">
        <f>K61</f>
        <v>92</v>
      </c>
      <c r="CI71" s="74" t="s">
        <v>366</v>
      </c>
      <c r="CJ71" s="76" t="s">
        <v>386</v>
      </c>
      <c r="CK71" s="74" t="s">
        <v>387</v>
      </c>
    </row>
    <row r="72" spans="1:89" ht="21.75" customHeight="1" x14ac:dyDescent="0.2">
      <c r="B72" s="247" t="s">
        <v>62</v>
      </c>
      <c r="C72" s="248" t="s">
        <v>62</v>
      </c>
      <c r="D72" s="249" t="s">
        <v>62</v>
      </c>
      <c r="E72" s="248" t="s">
        <v>62</v>
      </c>
      <c r="F72" s="249" t="s">
        <v>62</v>
      </c>
      <c r="G72" s="249" t="s">
        <v>62</v>
      </c>
      <c r="H72" s="250" t="s">
        <v>62</v>
      </c>
      <c r="I72" s="250" t="s">
        <v>62</v>
      </c>
      <c r="J72" s="250" t="s">
        <v>62</v>
      </c>
      <c r="K72" s="250" t="s">
        <v>62</v>
      </c>
      <c r="L72" s="251" t="s">
        <v>62</v>
      </c>
      <c r="AV72" s="114"/>
      <c r="BH72" s="234"/>
      <c r="BI72" s="235"/>
      <c r="BJ72" s="235"/>
      <c r="BU72" s="114"/>
      <c r="CF72" s="65">
        <v>61</v>
      </c>
      <c r="CG72" s="66" t="s">
        <v>388</v>
      </c>
      <c r="CH72" s="252">
        <f>L61</f>
        <v>1</v>
      </c>
      <c r="CI72" s="66" t="s">
        <v>366</v>
      </c>
      <c r="CJ72" s="68" t="s">
        <v>389</v>
      </c>
      <c r="CK72" s="66" t="s">
        <v>390</v>
      </c>
    </row>
    <row r="73" spans="1:89" ht="25.5" customHeight="1" x14ac:dyDescent="0.2">
      <c r="B73" s="253" t="s">
        <v>391</v>
      </c>
      <c r="C73" s="254">
        <v>0.67</v>
      </c>
      <c r="D73" s="255">
        <f>$C$49*C73</f>
        <v>3135.6000000000004</v>
      </c>
      <c r="E73" s="256" t="s">
        <v>184</v>
      </c>
      <c r="F73" s="256" t="s">
        <v>184</v>
      </c>
      <c r="G73" s="256" t="s">
        <v>184</v>
      </c>
      <c r="H73" s="256" t="s">
        <v>184</v>
      </c>
      <c r="I73" s="257">
        <v>900</v>
      </c>
      <c r="J73" s="257">
        <f>I73*D73</f>
        <v>2822040.0000000005</v>
      </c>
      <c r="K73" s="258" t="s">
        <v>184</v>
      </c>
      <c r="L73" s="259" t="s">
        <v>184</v>
      </c>
      <c r="AC73" s="114"/>
      <c r="AV73" s="114"/>
      <c r="BH73" s="234"/>
      <c r="BI73" s="235"/>
      <c r="BJ73" s="235"/>
      <c r="CF73" s="455" t="s">
        <v>392</v>
      </c>
      <c r="CG73" s="455"/>
      <c r="CH73" s="455"/>
      <c r="CI73" s="455"/>
      <c r="CJ73" s="455"/>
      <c r="CK73" s="455"/>
    </row>
    <row r="74" spans="1:89" ht="21.75" customHeight="1" x14ac:dyDescent="0.2">
      <c r="B74" s="232" t="s">
        <v>393</v>
      </c>
      <c r="C74" s="233">
        <v>2</v>
      </c>
      <c r="D74" s="202">
        <f>$C$49*C74</f>
        <v>9360</v>
      </c>
      <c r="E74" s="151" t="s">
        <v>184</v>
      </c>
      <c r="F74" s="151" t="s">
        <v>184</v>
      </c>
      <c r="G74" s="151" t="s">
        <v>184</v>
      </c>
      <c r="H74" s="151" t="s">
        <v>184</v>
      </c>
      <c r="I74" s="203">
        <v>2090</v>
      </c>
      <c r="J74" s="203">
        <f>I74*D74</f>
        <v>19562400</v>
      </c>
      <c r="K74" s="39">
        <f>D74/L74</f>
        <v>208</v>
      </c>
      <c r="L74" s="40">
        <v>45</v>
      </c>
      <c r="AV74" s="114"/>
      <c r="BH74" s="234"/>
      <c r="BI74" s="235"/>
      <c r="BJ74" s="235"/>
      <c r="CF74" s="73">
        <v>62</v>
      </c>
      <c r="CG74" s="74" t="s">
        <v>394</v>
      </c>
      <c r="CH74" s="148">
        <f>C62</f>
        <v>0</v>
      </c>
      <c r="CI74" s="74" t="s">
        <v>395</v>
      </c>
      <c r="CJ74" s="76" t="s">
        <v>396</v>
      </c>
      <c r="CK74" s="74" t="s">
        <v>189</v>
      </c>
    </row>
    <row r="75" spans="1:89" ht="21.75" hidden="1" customHeight="1" x14ac:dyDescent="0.2">
      <c r="B75" s="228" t="s">
        <v>397</v>
      </c>
      <c r="C75" s="229"/>
      <c r="D75" s="196">
        <f>$C$49*C75</f>
        <v>0</v>
      </c>
      <c r="E75" s="147" t="s">
        <v>184</v>
      </c>
      <c r="F75" s="147" t="s">
        <v>184</v>
      </c>
      <c r="G75" s="147" t="s">
        <v>184</v>
      </c>
      <c r="H75" s="147" t="s">
        <v>184</v>
      </c>
      <c r="I75" s="197"/>
      <c r="J75" s="197">
        <f>I75*D75</f>
        <v>0</v>
      </c>
      <c r="K75" s="198">
        <f>D75/L75</f>
        <v>0</v>
      </c>
      <c r="L75" s="40">
        <v>45</v>
      </c>
      <c r="Q75" s="114"/>
      <c r="CF75" s="65">
        <v>63</v>
      </c>
      <c r="CG75" s="66" t="s">
        <v>398</v>
      </c>
      <c r="CH75" s="141">
        <f>D62</f>
        <v>0</v>
      </c>
      <c r="CI75" s="66" t="s">
        <v>395</v>
      </c>
      <c r="CJ75" s="68" t="s">
        <v>399</v>
      </c>
      <c r="CK75" s="66" t="s">
        <v>312</v>
      </c>
    </row>
    <row r="76" spans="1:89" ht="21.75" customHeight="1" x14ac:dyDescent="0.2">
      <c r="B76" s="260" t="s">
        <v>318</v>
      </c>
      <c r="C76" s="261">
        <f>SUM(C61:C71)</f>
        <v>1</v>
      </c>
      <c r="D76" s="209">
        <f>SUM(D61:D75)</f>
        <v>30747.599999999999</v>
      </c>
      <c r="E76" s="262">
        <f>SUMPRODUCT(E61:E70, C61:C70) / SUM(C61:C70)</f>
        <v>1</v>
      </c>
      <c r="F76" s="209">
        <f>SUMIF(F61:F70, "&lt;&gt;#DIV/0!")</f>
        <v>14635.579787234041</v>
      </c>
      <c r="G76" s="263">
        <f>IFERROR(F76/H76, "0")</f>
        <v>73.917069632495156</v>
      </c>
      <c r="H76" s="210">
        <f>SUMIF(H61:H75, "&lt;&gt;#DIV/0!")</f>
        <v>198</v>
      </c>
      <c r="I76" s="210">
        <f>J76/D76</f>
        <v>2640.1951973833352</v>
      </c>
      <c r="J76" s="264">
        <f>SUM(J61:J75)</f>
        <v>81179665.851063833</v>
      </c>
      <c r="K76" s="265" t="s">
        <v>400</v>
      </c>
      <c r="L76" s="266">
        <f>SUMIF(K61:K69, "&lt;&gt;#DIV/0!")</f>
        <v>216.88936170212764</v>
      </c>
      <c r="Q76" s="114"/>
      <c r="CF76" s="73">
        <v>64</v>
      </c>
      <c r="CG76" s="74" t="s">
        <v>401</v>
      </c>
      <c r="CH76" s="148">
        <f>E62</f>
        <v>0</v>
      </c>
      <c r="CI76" s="74" t="s">
        <v>395</v>
      </c>
      <c r="CJ76" s="76" t="s">
        <v>402</v>
      </c>
      <c r="CK76" s="74" t="s">
        <v>189</v>
      </c>
    </row>
    <row r="77" spans="1:89" ht="21.75" customHeight="1" x14ac:dyDescent="0.2">
      <c r="B77" s="267" t="s">
        <v>403</v>
      </c>
      <c r="C77" s="268"/>
      <c r="F77" s="15"/>
      <c r="G77" s="15"/>
      <c r="H77" s="269" t="s">
        <v>404</v>
      </c>
      <c r="I77" s="15"/>
      <c r="J77" s="15"/>
      <c r="K77" s="270" t="s">
        <v>405</v>
      </c>
      <c r="L77" s="271">
        <f>SUM(K60,K74:K75)</f>
        <v>208</v>
      </c>
      <c r="Q77" s="114"/>
      <c r="CF77" s="65">
        <v>65</v>
      </c>
      <c r="CG77" s="66" t="s">
        <v>406</v>
      </c>
      <c r="CH77" s="141">
        <f>F62</f>
        <v>0</v>
      </c>
      <c r="CI77" s="66" t="s">
        <v>395</v>
      </c>
      <c r="CJ77" s="68" t="s">
        <v>407</v>
      </c>
      <c r="CK77" s="66" t="s">
        <v>312</v>
      </c>
    </row>
    <row r="78" spans="1:89" ht="21.75" customHeight="1" x14ac:dyDescent="0.2">
      <c r="C78" s="15"/>
      <c r="D78" s="15"/>
      <c r="E78" s="159"/>
      <c r="F78" s="15"/>
      <c r="G78" s="15"/>
      <c r="H78" s="15"/>
      <c r="I78" s="15"/>
      <c r="J78" s="15"/>
      <c r="K78" s="272" t="s">
        <v>408</v>
      </c>
      <c r="L78" s="273">
        <f>L77-L76</f>
        <v>-8.8893617021276441</v>
      </c>
      <c r="CF78" s="73">
        <v>66</v>
      </c>
      <c r="CG78" s="74" t="s">
        <v>409</v>
      </c>
      <c r="CH78" s="221" t="str">
        <f>G62</f>
        <v>0</v>
      </c>
      <c r="CI78" s="74" t="s">
        <v>395</v>
      </c>
      <c r="CJ78" s="76" t="s">
        <v>410</v>
      </c>
      <c r="CK78" s="74" t="s">
        <v>312</v>
      </c>
    </row>
    <row r="79" spans="1:89" ht="21.75" customHeight="1" x14ac:dyDescent="0.2">
      <c r="A79" s="15"/>
      <c r="CF79" s="65">
        <v>67</v>
      </c>
      <c r="CG79" s="66" t="s">
        <v>411</v>
      </c>
      <c r="CH79" s="231">
        <f>H62</f>
        <v>0</v>
      </c>
      <c r="CI79" s="66" t="s">
        <v>395</v>
      </c>
      <c r="CJ79" s="68" t="s">
        <v>412</v>
      </c>
      <c r="CK79" s="66" t="s">
        <v>378</v>
      </c>
    </row>
    <row r="80" spans="1:89" ht="21.75" customHeight="1" x14ac:dyDescent="0.2">
      <c r="A80" s="15"/>
      <c r="CF80" s="73">
        <v>68</v>
      </c>
      <c r="CG80" s="74" t="s">
        <v>413</v>
      </c>
      <c r="CH80" s="93">
        <f>I62</f>
        <v>0</v>
      </c>
      <c r="CI80" s="74" t="s">
        <v>395</v>
      </c>
      <c r="CJ80" s="76" t="s">
        <v>414</v>
      </c>
      <c r="CK80" s="74" t="s">
        <v>315</v>
      </c>
    </row>
    <row r="81" spans="1:89" ht="21.75" customHeight="1" x14ac:dyDescent="0.2">
      <c r="A81" s="15"/>
      <c r="CF81" s="65">
        <v>69</v>
      </c>
      <c r="CG81" s="66" t="s">
        <v>415</v>
      </c>
      <c r="CH81" s="88">
        <f>J62</f>
        <v>0</v>
      </c>
      <c r="CI81" s="66" t="s">
        <v>395</v>
      </c>
      <c r="CJ81" s="68" t="s">
        <v>416</v>
      </c>
      <c r="CK81" s="66" t="s">
        <v>99</v>
      </c>
    </row>
    <row r="82" spans="1:89" ht="21.75" customHeight="1" x14ac:dyDescent="0.2">
      <c r="A82" s="15"/>
      <c r="CF82" s="73">
        <v>70</v>
      </c>
      <c r="CG82" s="74" t="s">
        <v>417</v>
      </c>
      <c r="CH82" s="246">
        <f>K62</f>
        <v>0</v>
      </c>
      <c r="CI82" s="74" t="s">
        <v>395</v>
      </c>
      <c r="CJ82" s="76" t="s">
        <v>418</v>
      </c>
      <c r="CK82" s="74" t="s">
        <v>387</v>
      </c>
    </row>
    <row r="83" spans="1:89" ht="21.75" customHeight="1" x14ac:dyDescent="0.2">
      <c r="A83" s="15"/>
      <c r="CF83" s="65">
        <v>71</v>
      </c>
      <c r="CG83" s="66" t="s">
        <v>419</v>
      </c>
      <c r="CH83" s="252">
        <f>L62</f>
        <v>0</v>
      </c>
      <c r="CI83" s="66" t="s">
        <v>395</v>
      </c>
      <c r="CJ83" s="68" t="s">
        <v>420</v>
      </c>
      <c r="CK83" s="66" t="s">
        <v>390</v>
      </c>
    </row>
    <row r="84" spans="1:89" ht="25.5" customHeight="1" x14ac:dyDescent="0.2">
      <c r="A84" s="15"/>
      <c r="B84" s="476" t="s">
        <v>421</v>
      </c>
      <c r="C84" s="476"/>
      <c r="D84" s="476"/>
      <c r="E84" s="274" t="s">
        <v>422</v>
      </c>
      <c r="G84" s="15"/>
      <c r="CF84" s="455" t="s">
        <v>423</v>
      </c>
      <c r="CG84" s="455"/>
      <c r="CH84" s="455"/>
      <c r="CI84" s="455"/>
      <c r="CJ84" s="455"/>
      <c r="CK84" s="455"/>
    </row>
    <row r="85" spans="1:89" ht="21.75" customHeight="1" x14ac:dyDescent="0.2">
      <c r="A85" s="15"/>
      <c r="B85" s="112" t="s">
        <v>144</v>
      </c>
      <c r="C85" s="188" t="s">
        <v>145</v>
      </c>
      <c r="D85" s="113" t="s">
        <v>424</v>
      </c>
      <c r="E85" s="275" t="s">
        <v>154</v>
      </c>
      <c r="G85" s="15"/>
      <c r="CF85" s="73">
        <v>72</v>
      </c>
      <c r="CG85" s="74" t="s">
        <v>425</v>
      </c>
      <c r="CH85" s="148">
        <f>C63</f>
        <v>0</v>
      </c>
      <c r="CI85" s="74" t="s">
        <v>426</v>
      </c>
      <c r="CJ85" s="76" t="s">
        <v>427</v>
      </c>
      <c r="CK85" s="74" t="s">
        <v>189</v>
      </c>
    </row>
    <row r="86" spans="1:89" ht="21.75" customHeight="1" x14ac:dyDescent="0.2">
      <c r="B86" s="276" t="s">
        <v>428</v>
      </c>
      <c r="C86" s="198">
        <f>D86*C44</f>
        <v>702000</v>
      </c>
      <c r="D86" s="198">
        <v>150</v>
      </c>
      <c r="E86" s="277">
        <f t="shared" ref="E86:E101" si="71">C86/$C$102</f>
        <v>2.6461254129649014E-2</v>
      </c>
      <c r="G86" s="15"/>
      <c r="CF86" s="65">
        <v>73</v>
      </c>
      <c r="CG86" s="66" t="s">
        <v>429</v>
      </c>
      <c r="CH86" s="141">
        <f>D63</f>
        <v>0</v>
      </c>
      <c r="CI86" s="66" t="s">
        <v>426</v>
      </c>
      <c r="CJ86" s="68" t="s">
        <v>430</v>
      </c>
      <c r="CK86" s="66" t="s">
        <v>312</v>
      </c>
    </row>
    <row r="87" spans="1:89" ht="21.75" customHeight="1" x14ac:dyDescent="0.2">
      <c r="B87" s="278" t="s">
        <v>431</v>
      </c>
      <c r="C87" s="39">
        <f>(D74)*4.5*D87</f>
        <v>1895400</v>
      </c>
      <c r="D87" s="39">
        <v>45</v>
      </c>
      <c r="E87" s="277">
        <f t="shared" si="71"/>
        <v>7.1445386150052331E-2</v>
      </c>
      <c r="G87" s="15"/>
      <c r="CF87" s="73">
        <v>74</v>
      </c>
      <c r="CG87" s="74" t="s">
        <v>432</v>
      </c>
      <c r="CH87" s="148">
        <f>E63</f>
        <v>0</v>
      </c>
      <c r="CI87" s="74" t="s">
        <v>426</v>
      </c>
      <c r="CJ87" s="76" t="s">
        <v>433</v>
      </c>
      <c r="CK87" s="74" t="s">
        <v>189</v>
      </c>
    </row>
    <row r="88" spans="1:89" ht="21.75" customHeight="1" x14ac:dyDescent="0.2">
      <c r="B88" s="276" t="s">
        <v>434</v>
      </c>
      <c r="C88" s="198">
        <f>D88*C110</f>
        <v>1380054.3194680852</v>
      </c>
      <c r="D88" s="279">
        <v>1.7000000000000001E-2</v>
      </c>
      <c r="E88" s="277">
        <f t="shared" si="71"/>
        <v>5.2019897521602319E-2</v>
      </c>
      <c r="G88" s="15"/>
      <c r="X88" s="15"/>
      <c r="CF88" s="65">
        <v>75</v>
      </c>
      <c r="CG88" s="66" t="s">
        <v>435</v>
      </c>
      <c r="CH88" s="141">
        <f>F63</f>
        <v>0</v>
      </c>
      <c r="CI88" s="66" t="s">
        <v>426</v>
      </c>
      <c r="CJ88" s="68" t="s">
        <v>436</v>
      </c>
      <c r="CK88" s="66" t="s">
        <v>312</v>
      </c>
    </row>
    <row r="89" spans="1:89" ht="21.75" customHeight="1" x14ac:dyDescent="0.2">
      <c r="B89" s="278" t="s">
        <v>437</v>
      </c>
      <c r="C89" s="39">
        <f>D89*H59</f>
        <v>73008</v>
      </c>
      <c r="D89" s="205">
        <v>4</v>
      </c>
      <c r="E89" s="277">
        <f t="shared" si="71"/>
        <v>2.7519704294834977E-3</v>
      </c>
      <c r="G89" s="15"/>
      <c r="CF89" s="73">
        <v>76</v>
      </c>
      <c r="CG89" s="74" t="s">
        <v>438</v>
      </c>
      <c r="CH89" s="221" t="str">
        <f>G63</f>
        <v>0</v>
      </c>
      <c r="CI89" s="74" t="s">
        <v>426</v>
      </c>
      <c r="CJ89" s="76" t="s">
        <v>439</v>
      </c>
      <c r="CK89" s="74" t="s">
        <v>312</v>
      </c>
    </row>
    <row r="90" spans="1:89" ht="21.75" customHeight="1" x14ac:dyDescent="0.2">
      <c r="B90" s="276" t="s">
        <v>440</v>
      </c>
      <c r="C90" s="198">
        <f>D90*C110</f>
        <v>2435389.9755319147</v>
      </c>
      <c r="D90" s="279">
        <v>0.03</v>
      </c>
      <c r="E90" s="277">
        <f t="shared" si="71"/>
        <v>9.1799819155768791E-2</v>
      </c>
      <c r="G90" s="15"/>
      <c r="CF90" s="65">
        <v>77</v>
      </c>
      <c r="CG90" s="66" t="s">
        <v>441</v>
      </c>
      <c r="CH90" s="231">
        <f>H63</f>
        <v>0</v>
      </c>
      <c r="CI90" s="66" t="s">
        <v>426</v>
      </c>
      <c r="CJ90" s="68" t="s">
        <v>442</v>
      </c>
      <c r="CK90" s="66" t="s">
        <v>378</v>
      </c>
    </row>
    <row r="91" spans="1:89" ht="21.75" hidden="1" customHeight="1" x14ac:dyDescent="0.2">
      <c r="A91" s="15"/>
      <c r="B91" s="278" t="s">
        <v>443</v>
      </c>
      <c r="C91" s="39">
        <f>D91*D68</f>
        <v>0</v>
      </c>
      <c r="D91" s="205"/>
      <c r="E91" s="277">
        <f t="shared" si="71"/>
        <v>0</v>
      </c>
      <c r="G91" s="15"/>
      <c r="H91" s="114"/>
      <c r="CF91" s="73">
        <v>78</v>
      </c>
      <c r="CG91" s="74" t="s">
        <v>444</v>
      </c>
      <c r="CH91" s="93">
        <f>I63</f>
        <v>0</v>
      </c>
      <c r="CI91" s="74" t="s">
        <v>426</v>
      </c>
      <c r="CJ91" s="76" t="s">
        <v>445</v>
      </c>
      <c r="CK91" s="74" t="s">
        <v>315</v>
      </c>
    </row>
    <row r="92" spans="1:89" ht="21.75" customHeight="1" x14ac:dyDescent="0.2">
      <c r="A92" s="15"/>
      <c r="B92" s="280" t="s">
        <v>446</v>
      </c>
      <c r="C92" s="281">
        <f>D92*H65</f>
        <v>5445000</v>
      </c>
      <c r="D92" s="282">
        <v>55000</v>
      </c>
      <c r="E92" s="277">
        <f t="shared" si="71"/>
        <v>0.20524434292868787</v>
      </c>
      <c r="G92" s="15"/>
      <c r="CF92" s="65">
        <v>79</v>
      </c>
      <c r="CG92" s="66" t="s">
        <v>447</v>
      </c>
      <c r="CH92" s="88">
        <f>J63</f>
        <v>0</v>
      </c>
      <c r="CI92" s="66" t="s">
        <v>426</v>
      </c>
      <c r="CJ92" s="68" t="s">
        <v>448</v>
      </c>
      <c r="CK92" s="66" t="s">
        <v>99</v>
      </c>
    </row>
    <row r="93" spans="1:89" ht="21.75" customHeight="1" x14ac:dyDescent="0.2">
      <c r="A93" s="15"/>
      <c r="B93" s="283" t="s">
        <v>449</v>
      </c>
      <c r="C93" s="39">
        <f>D93*SUM(H61:H67,H69:H70)+(D93*(H68/2))</f>
        <v>2475000</v>
      </c>
      <c r="D93" s="205">
        <v>12500</v>
      </c>
      <c r="E93" s="277">
        <f t="shared" si="71"/>
        <v>9.329288314940358E-2</v>
      </c>
      <c r="G93" s="15"/>
      <c r="CF93" s="73">
        <v>80</v>
      </c>
      <c r="CG93" s="74" t="s">
        <v>450</v>
      </c>
      <c r="CH93" s="246">
        <f>K63</f>
        <v>0</v>
      </c>
      <c r="CI93" s="74" t="s">
        <v>426</v>
      </c>
      <c r="CJ93" s="76" t="s">
        <v>451</v>
      </c>
      <c r="CK93" s="74" t="s">
        <v>387</v>
      </c>
    </row>
    <row r="94" spans="1:89" ht="21.75" customHeight="1" x14ac:dyDescent="0.2">
      <c r="A94" s="15"/>
      <c r="B94" s="284" t="s">
        <v>452</v>
      </c>
      <c r="C94" s="198">
        <f>D94*$H$76</f>
        <v>1584000</v>
      </c>
      <c r="D94" s="200">
        <v>8000</v>
      </c>
      <c r="E94" s="277">
        <f t="shared" si="71"/>
        <v>5.9707445215618285E-2</v>
      </c>
      <c r="G94" s="159"/>
      <c r="H94" s="285"/>
      <c r="CF94" s="65">
        <v>81</v>
      </c>
      <c r="CG94" s="66" t="s">
        <v>453</v>
      </c>
      <c r="CH94" s="252">
        <f>L63</f>
        <v>0</v>
      </c>
      <c r="CI94" s="66" t="s">
        <v>426</v>
      </c>
      <c r="CJ94" s="68" t="s">
        <v>454</v>
      </c>
      <c r="CK94" s="66" t="s">
        <v>390</v>
      </c>
    </row>
    <row r="95" spans="1:89" ht="25.5" customHeight="1" x14ac:dyDescent="0.2">
      <c r="A95" s="15"/>
      <c r="B95" s="283" t="s">
        <v>455</v>
      </c>
      <c r="C95" s="39">
        <f>D95*$H$76</f>
        <v>297000</v>
      </c>
      <c r="D95" s="205">
        <v>1500</v>
      </c>
      <c r="E95" s="277">
        <f t="shared" si="71"/>
        <v>1.1195145977928429E-2</v>
      </c>
      <c r="G95" s="15"/>
      <c r="H95" s="285"/>
      <c r="CF95" s="455" t="s">
        <v>456</v>
      </c>
      <c r="CG95" s="455"/>
      <c r="CH95" s="455"/>
      <c r="CI95" s="455"/>
      <c r="CJ95" s="455"/>
      <c r="CK95" s="455"/>
    </row>
    <row r="96" spans="1:89" ht="21.75" customHeight="1" x14ac:dyDescent="0.2">
      <c r="A96" s="15"/>
      <c r="B96" s="276" t="s">
        <v>457</v>
      </c>
      <c r="C96" s="198">
        <f>D96*(H61+H67)</f>
        <v>990000</v>
      </c>
      <c r="D96" s="200">
        <v>10000</v>
      </c>
      <c r="E96" s="277">
        <f t="shared" si="71"/>
        <v>3.7317153259761433E-2</v>
      </c>
      <c r="G96" s="15"/>
      <c r="H96" s="285"/>
      <c r="CF96" s="73">
        <v>82</v>
      </c>
      <c r="CG96" s="74" t="s">
        <v>458</v>
      </c>
      <c r="CH96" s="148">
        <f>C64</f>
        <v>0</v>
      </c>
      <c r="CI96" s="74" t="s">
        <v>459</v>
      </c>
      <c r="CJ96" s="76" t="s">
        <v>460</v>
      </c>
      <c r="CK96" s="74" t="s">
        <v>189</v>
      </c>
    </row>
    <row r="97" spans="1:89" ht="21.75" customHeight="1" x14ac:dyDescent="0.2">
      <c r="B97" s="278" t="s">
        <v>461</v>
      </c>
      <c r="C97" s="39">
        <f>D97*C110</f>
        <v>1217694.9877659574</v>
      </c>
      <c r="D97" s="286">
        <v>1.4999999999999999E-2</v>
      </c>
      <c r="E97" s="277">
        <f t="shared" si="71"/>
        <v>4.5899909577884396E-2</v>
      </c>
      <c r="G97" s="15"/>
      <c r="H97" s="285"/>
      <c r="CF97" s="65">
        <v>83</v>
      </c>
      <c r="CG97" s="66" t="s">
        <v>462</v>
      </c>
      <c r="CH97" s="141">
        <f>D64</f>
        <v>0</v>
      </c>
      <c r="CI97" s="66" t="s">
        <v>459</v>
      </c>
      <c r="CJ97" s="68" t="s">
        <v>463</v>
      </c>
      <c r="CK97" s="66" t="s">
        <v>312</v>
      </c>
    </row>
    <row r="98" spans="1:89" ht="21.75" customHeight="1" x14ac:dyDescent="0.2">
      <c r="B98" s="276" t="s">
        <v>464</v>
      </c>
      <c r="C98" s="198">
        <f>D98*(J139+M157)</f>
        <v>4273691.3955249814</v>
      </c>
      <c r="D98" s="279">
        <v>0.05</v>
      </c>
      <c r="E98" s="277">
        <f t="shared" si="71"/>
        <v>0.16109292605225195</v>
      </c>
      <c r="G98" s="15"/>
      <c r="H98" s="285"/>
      <c r="CF98" s="73">
        <v>84</v>
      </c>
      <c r="CG98" s="74" t="s">
        <v>465</v>
      </c>
      <c r="CH98" s="148">
        <f>E64</f>
        <v>0</v>
      </c>
      <c r="CI98" s="74" t="s">
        <v>459</v>
      </c>
      <c r="CJ98" s="76" t="s">
        <v>466</v>
      </c>
      <c r="CK98" s="74" t="s">
        <v>189</v>
      </c>
    </row>
    <row r="99" spans="1:89" ht="21.75" customHeight="1" x14ac:dyDescent="0.2">
      <c r="B99" s="287" t="s">
        <v>467</v>
      </c>
      <c r="C99" s="281">
        <f>D99*(SUM(C185:C186))</f>
        <v>188465.17021276589</v>
      </c>
      <c r="D99" s="288">
        <v>1.4999999999999999E-2</v>
      </c>
      <c r="E99" s="277">
        <f t="shared" si="71"/>
        <v>7.1040238797543528E-3</v>
      </c>
      <c r="G99" s="15"/>
      <c r="H99" s="285"/>
      <c r="CF99" s="65">
        <v>85</v>
      </c>
      <c r="CG99" s="66" t="s">
        <v>468</v>
      </c>
      <c r="CH99" s="141">
        <f>F64</f>
        <v>0</v>
      </c>
      <c r="CI99" s="66" t="s">
        <v>459</v>
      </c>
      <c r="CJ99" s="68" t="s">
        <v>469</v>
      </c>
      <c r="CK99" s="66" t="s">
        <v>312</v>
      </c>
    </row>
    <row r="100" spans="1:89" ht="21.75" customHeight="1" x14ac:dyDescent="0.2">
      <c r="A100" s="15"/>
      <c r="B100" s="276" t="s">
        <v>470</v>
      </c>
      <c r="C100" s="198">
        <f>D100*Y139</f>
        <v>1137261.0039893629</v>
      </c>
      <c r="D100" s="279">
        <v>0.03</v>
      </c>
      <c r="E100" s="277">
        <f t="shared" si="71"/>
        <v>4.2868023416385057E-2</v>
      </c>
      <c r="G100" s="15"/>
      <c r="H100" s="285"/>
      <c r="CF100" s="73">
        <v>86</v>
      </c>
      <c r="CG100" s="74" t="s">
        <v>471</v>
      </c>
      <c r="CH100" s="221" t="str">
        <f>G64</f>
        <v>0</v>
      </c>
      <c r="CI100" s="74" t="s">
        <v>459</v>
      </c>
      <c r="CJ100" s="76" t="s">
        <v>472</v>
      </c>
      <c r="CK100" s="74" t="s">
        <v>312</v>
      </c>
    </row>
    <row r="101" spans="1:89" ht="21.75" customHeight="1" x14ac:dyDescent="0.2">
      <c r="A101" s="15"/>
      <c r="B101" s="278" t="s">
        <v>473</v>
      </c>
      <c r="C101" s="39">
        <f>D101*C110</f>
        <v>2435389.9755319147</v>
      </c>
      <c r="D101" s="286">
        <v>0.03</v>
      </c>
      <c r="E101" s="289">
        <f t="shared" si="71"/>
        <v>9.1799819155768791E-2</v>
      </c>
      <c r="G101" s="15"/>
      <c r="H101" s="285"/>
      <c r="CF101" s="65">
        <v>87</v>
      </c>
      <c r="CG101" s="66" t="s">
        <v>474</v>
      </c>
      <c r="CH101" s="231">
        <f>H64</f>
        <v>0</v>
      </c>
      <c r="CI101" s="66" t="s">
        <v>459</v>
      </c>
      <c r="CJ101" s="68" t="s">
        <v>475</v>
      </c>
      <c r="CK101" s="66" t="s">
        <v>378</v>
      </c>
    </row>
    <row r="102" spans="1:89" ht="21.75" customHeight="1" x14ac:dyDescent="0.2">
      <c r="A102" s="15"/>
      <c r="B102" s="276" t="s">
        <v>476</v>
      </c>
      <c r="C102" s="497">
        <f>SUMIF(C86:C101, "&lt;&gt;#DIV/0!")</f>
        <v>26529354.82802498</v>
      </c>
      <c r="D102" s="497"/>
      <c r="H102" s="285"/>
      <c r="CF102" s="73">
        <v>88</v>
      </c>
      <c r="CG102" s="74" t="s">
        <v>477</v>
      </c>
      <c r="CH102" s="93">
        <f>I64</f>
        <v>0</v>
      </c>
      <c r="CI102" s="74" t="s">
        <v>459</v>
      </c>
      <c r="CJ102" s="76" t="s">
        <v>478</v>
      </c>
      <c r="CK102" s="74" t="s">
        <v>315</v>
      </c>
    </row>
    <row r="103" spans="1:89" ht="21.75" customHeight="1" x14ac:dyDescent="0.2">
      <c r="A103" s="15"/>
      <c r="B103" s="478" t="s">
        <v>479</v>
      </c>
      <c r="C103" s="478"/>
      <c r="D103" s="478"/>
      <c r="H103" s="285"/>
      <c r="CF103" s="65">
        <v>89</v>
      </c>
      <c r="CG103" s="66" t="s">
        <v>480</v>
      </c>
      <c r="CH103" s="88">
        <f>J64</f>
        <v>0</v>
      </c>
      <c r="CI103" s="66" t="s">
        <v>459</v>
      </c>
      <c r="CJ103" s="68" t="s">
        <v>481</v>
      </c>
      <c r="CK103" s="66" t="s">
        <v>99</v>
      </c>
    </row>
    <row r="104" spans="1:89" ht="21.75" customHeight="1" x14ac:dyDescent="0.2">
      <c r="A104" s="15"/>
      <c r="B104" s="290" t="s">
        <v>482</v>
      </c>
      <c r="C104" s="198">
        <f>D104*C110</f>
        <v>10147458.231382979</v>
      </c>
      <c r="D104" s="291">
        <v>0.125</v>
      </c>
      <c r="E104" s="292">
        <v>0</v>
      </c>
      <c r="H104" s="293"/>
      <c r="CF104" s="73">
        <v>90</v>
      </c>
      <c r="CG104" s="74" t="s">
        <v>483</v>
      </c>
      <c r="CH104" s="246">
        <f>K64</f>
        <v>0</v>
      </c>
      <c r="CI104" s="74" t="s">
        <v>459</v>
      </c>
      <c r="CJ104" s="76" t="s">
        <v>484</v>
      </c>
      <c r="CK104" s="74" t="s">
        <v>387</v>
      </c>
    </row>
    <row r="105" spans="1:89" ht="21.75" customHeight="1" x14ac:dyDescent="0.2">
      <c r="A105" s="15"/>
      <c r="B105" s="294" t="s">
        <v>485</v>
      </c>
      <c r="C105" s="504">
        <f>-E325</f>
        <v>5072943.6246633977</v>
      </c>
      <c r="D105" s="504"/>
      <c r="E105" s="15"/>
      <c r="H105" s="293"/>
      <c r="CF105" s="65">
        <v>91</v>
      </c>
      <c r="CG105" s="66" t="s">
        <v>486</v>
      </c>
      <c r="CH105" s="252">
        <f>L64</f>
        <v>0</v>
      </c>
      <c r="CI105" s="66" t="s">
        <v>459</v>
      </c>
      <c r="CJ105" s="68" t="s">
        <v>487</v>
      </c>
      <c r="CK105" s="66" t="s">
        <v>390</v>
      </c>
    </row>
    <row r="106" spans="1:89" ht="25.5" customHeight="1" x14ac:dyDescent="0.2">
      <c r="A106" s="15"/>
      <c r="B106" s="276" t="s">
        <v>488</v>
      </c>
      <c r="C106" s="497">
        <f>-E215</f>
        <v>1093000</v>
      </c>
      <c r="D106" s="497"/>
      <c r="E106" s="15"/>
      <c r="H106" s="293"/>
      <c r="CF106" s="455" t="s">
        <v>489</v>
      </c>
      <c r="CG106" s="455"/>
      <c r="CH106" s="455"/>
      <c r="CI106" s="455"/>
      <c r="CJ106" s="455"/>
      <c r="CK106" s="455"/>
    </row>
    <row r="107" spans="1:89" ht="21.75" customHeight="1" x14ac:dyDescent="0.2">
      <c r="A107" s="15"/>
      <c r="B107" s="278" t="s">
        <v>490</v>
      </c>
      <c r="C107" s="508">
        <f>SUM(C104:C106)</f>
        <v>16313401.856046377</v>
      </c>
      <c r="D107" s="508"/>
      <c r="E107" s="295"/>
      <c r="G107" s="295"/>
      <c r="H107" s="296"/>
      <c r="I107" s="15"/>
      <c r="K107" s="15"/>
      <c r="L107" s="15"/>
      <c r="M107" s="15"/>
      <c r="N107" s="15"/>
      <c r="O107" s="15"/>
      <c r="P107" s="15"/>
      <c r="Q107" s="15"/>
      <c r="CF107" s="73">
        <v>92</v>
      </c>
      <c r="CG107" s="74" t="s">
        <v>491</v>
      </c>
      <c r="CH107" s="148">
        <f>C65</f>
        <v>0.26329787234042501</v>
      </c>
      <c r="CI107" s="74" t="s">
        <v>492</v>
      </c>
      <c r="CJ107" s="76" t="s">
        <v>493</v>
      </c>
      <c r="CK107" s="74" t="s">
        <v>189</v>
      </c>
    </row>
    <row r="108" spans="1:89" ht="21.75" customHeight="1" x14ac:dyDescent="0.2">
      <c r="A108" s="15"/>
      <c r="B108" s="478" t="s">
        <v>494</v>
      </c>
      <c r="C108" s="478"/>
      <c r="D108" s="478"/>
      <c r="E108" s="295"/>
      <c r="G108" s="295"/>
      <c r="H108" s="293"/>
      <c r="I108" s="15"/>
      <c r="Q108" s="15"/>
      <c r="CF108" s="65">
        <v>93</v>
      </c>
      <c r="CG108" s="66" t="s">
        <v>495</v>
      </c>
      <c r="CH108" s="141">
        <f>D65</f>
        <v>4805.7127659574371</v>
      </c>
      <c r="CI108" s="66" t="s">
        <v>492</v>
      </c>
      <c r="CJ108" s="68" t="s">
        <v>496</v>
      </c>
      <c r="CK108" s="66" t="s">
        <v>312</v>
      </c>
    </row>
    <row r="109" spans="1:89" ht="21.75" customHeight="1" x14ac:dyDescent="0.2">
      <c r="A109" s="15"/>
      <c r="B109" s="276" t="s">
        <v>497</v>
      </c>
      <c r="C109" s="497">
        <f>I49</f>
        <v>64193805</v>
      </c>
      <c r="D109" s="497"/>
      <c r="E109" s="268"/>
      <c r="G109" s="297"/>
      <c r="H109" s="293"/>
      <c r="Q109" s="15"/>
      <c r="CF109" s="73">
        <v>94</v>
      </c>
      <c r="CG109" s="74" t="s">
        <v>498</v>
      </c>
      <c r="CH109" s="148">
        <f>E65</f>
        <v>1</v>
      </c>
      <c r="CI109" s="74" t="s">
        <v>492</v>
      </c>
      <c r="CJ109" s="76" t="s">
        <v>499</v>
      </c>
      <c r="CK109" s="74" t="s">
        <v>189</v>
      </c>
    </row>
    <row r="110" spans="1:89" ht="21.75" customHeight="1" x14ac:dyDescent="0.2">
      <c r="A110" s="15"/>
      <c r="B110" s="278" t="s">
        <v>500</v>
      </c>
      <c r="C110" s="498">
        <f>J76</f>
        <v>81179665.851063833</v>
      </c>
      <c r="D110" s="498"/>
      <c r="E110" s="15"/>
      <c r="CF110" s="65">
        <v>95</v>
      </c>
      <c r="CG110" s="66" t="s">
        <v>501</v>
      </c>
      <c r="CH110" s="141">
        <f>F65</f>
        <v>4805.7127659574371</v>
      </c>
      <c r="CI110" s="66" t="s">
        <v>492</v>
      </c>
      <c r="CJ110" s="68" t="s">
        <v>502</v>
      </c>
      <c r="CK110" s="66" t="s">
        <v>312</v>
      </c>
    </row>
    <row r="111" spans="1:89" ht="21.75" customHeight="1" x14ac:dyDescent="0.2">
      <c r="A111" s="15"/>
      <c r="B111" s="276" t="s">
        <v>503</v>
      </c>
      <c r="C111" s="497">
        <f>C102</f>
        <v>26529354.82802498</v>
      </c>
      <c r="D111" s="497"/>
      <c r="E111" s="15"/>
      <c r="CF111" s="73">
        <v>96</v>
      </c>
      <c r="CG111" s="74" t="s">
        <v>504</v>
      </c>
      <c r="CH111" s="221">
        <f>G65</f>
        <v>48.542553191489262</v>
      </c>
      <c r="CI111" s="74" t="s">
        <v>492</v>
      </c>
      <c r="CJ111" s="76" t="s">
        <v>505</v>
      </c>
      <c r="CK111" s="74" t="s">
        <v>312</v>
      </c>
    </row>
    <row r="112" spans="1:89" ht="21.75" customHeight="1" x14ac:dyDescent="0.2">
      <c r="A112" s="15"/>
      <c r="B112" s="278" t="s">
        <v>506</v>
      </c>
      <c r="C112" s="498">
        <f>C110+C111</f>
        <v>107709020.67908882</v>
      </c>
      <c r="D112" s="498"/>
      <c r="E112" s="15"/>
      <c r="CF112" s="65">
        <v>97</v>
      </c>
      <c r="CG112" s="66" t="s">
        <v>507</v>
      </c>
      <c r="CH112" s="231">
        <f>H65</f>
        <v>99</v>
      </c>
      <c r="CI112" s="66" t="s">
        <v>492</v>
      </c>
      <c r="CJ112" s="68" t="s">
        <v>508</v>
      </c>
      <c r="CK112" s="66" t="s">
        <v>378</v>
      </c>
    </row>
    <row r="113" spans="1:89" ht="21.75" customHeight="1" x14ac:dyDescent="0.2">
      <c r="A113" s="15"/>
      <c r="B113" s="276" t="s">
        <v>509</v>
      </c>
      <c r="C113" s="497">
        <f>C107</f>
        <v>16313401.856046377</v>
      </c>
      <c r="D113" s="497"/>
      <c r="E113" s="15"/>
      <c r="CF113" s="73">
        <v>98</v>
      </c>
      <c r="CG113" s="74" t="s">
        <v>510</v>
      </c>
      <c r="CH113" s="93">
        <f>I65</f>
        <v>3300</v>
      </c>
      <c r="CI113" s="74" t="s">
        <v>492</v>
      </c>
      <c r="CJ113" s="76" t="s">
        <v>511</v>
      </c>
      <c r="CK113" s="74" t="s">
        <v>315</v>
      </c>
    </row>
    <row r="114" spans="1:89" ht="21.75" customHeight="1" x14ac:dyDescent="0.2">
      <c r="A114" s="15"/>
      <c r="B114" s="278" t="s">
        <v>206</v>
      </c>
      <c r="C114" s="498">
        <f>-E213</f>
        <v>2712940.8510638298</v>
      </c>
      <c r="D114" s="498"/>
      <c r="E114" s="15"/>
      <c r="CF114" s="65">
        <v>99</v>
      </c>
      <c r="CG114" s="66" t="s">
        <v>512</v>
      </c>
      <c r="CH114" s="88">
        <f>J65</f>
        <v>15858852.127659542</v>
      </c>
      <c r="CI114" s="66" t="s">
        <v>492</v>
      </c>
      <c r="CJ114" s="68" t="s">
        <v>513</v>
      </c>
      <c r="CK114" s="66" t="s">
        <v>99</v>
      </c>
    </row>
    <row r="115" spans="1:89" ht="21.75" customHeight="1" x14ac:dyDescent="0.2">
      <c r="A115" s="15"/>
      <c r="B115" s="276" t="s">
        <v>514</v>
      </c>
      <c r="C115" s="509">
        <f>SUM(C109:D111,C113,C119,C114)</f>
        <v>205738443.38619903</v>
      </c>
      <c r="D115" s="509"/>
      <c r="E115" s="15"/>
      <c r="F115" s="299"/>
      <c r="I115" s="15"/>
      <c r="K115" s="114"/>
      <c r="CF115" s="73">
        <v>100</v>
      </c>
      <c r="CG115" s="74" t="s">
        <v>515</v>
      </c>
      <c r="CH115" s="246">
        <f>K65</f>
        <v>99</v>
      </c>
      <c r="CI115" s="74" t="s">
        <v>492</v>
      </c>
      <c r="CJ115" s="76" t="s">
        <v>516</v>
      </c>
      <c r="CK115" s="74" t="s">
        <v>387</v>
      </c>
    </row>
    <row r="116" spans="1:89" ht="21.75" customHeight="1" x14ac:dyDescent="0.2">
      <c r="A116" s="15"/>
      <c r="B116" s="278" t="s">
        <v>517</v>
      </c>
      <c r="C116" s="498">
        <f>H24</f>
        <v>72735458.231382981</v>
      </c>
      <c r="D116" s="498"/>
      <c r="E116" s="15"/>
      <c r="G116" s="114"/>
      <c r="K116" s="114"/>
      <c r="CF116" s="65">
        <v>101</v>
      </c>
      <c r="CG116" s="66" t="s">
        <v>518</v>
      </c>
      <c r="CH116" s="252">
        <f>L65</f>
        <v>1</v>
      </c>
      <c r="CI116" s="66" t="s">
        <v>492</v>
      </c>
      <c r="CJ116" s="68" t="s">
        <v>519</v>
      </c>
      <c r="CK116" s="66" t="s">
        <v>390</v>
      </c>
    </row>
    <row r="117" spans="1:89" ht="25.5" customHeight="1" x14ac:dyDescent="0.2">
      <c r="A117" s="15"/>
      <c r="B117" s="510" t="s">
        <v>520</v>
      </c>
      <c r="C117" s="510"/>
      <c r="D117" s="510"/>
      <c r="E117" s="15"/>
      <c r="G117" s="114"/>
      <c r="K117" s="114"/>
      <c r="CF117" s="455" t="s">
        <v>521</v>
      </c>
      <c r="CG117" s="455"/>
      <c r="CH117" s="455"/>
      <c r="CI117" s="455"/>
      <c r="CJ117" s="455"/>
      <c r="CK117" s="455"/>
    </row>
    <row r="118" spans="1:89" ht="21.75" customHeight="1" x14ac:dyDescent="0.2">
      <c r="A118" s="15"/>
      <c r="B118" s="276" t="s">
        <v>522</v>
      </c>
      <c r="C118" s="497">
        <f>E189</f>
        <v>83100000</v>
      </c>
      <c r="D118" s="497"/>
      <c r="E118" s="15"/>
      <c r="G118" s="114"/>
      <c r="H118" s="114"/>
      <c r="K118" s="114"/>
      <c r="CF118" s="73">
        <v>102</v>
      </c>
      <c r="CG118" s="74" t="s">
        <v>523</v>
      </c>
      <c r="CH118" s="148">
        <f>C66</f>
        <v>0</v>
      </c>
      <c r="CI118" s="74" t="s">
        <v>524</v>
      </c>
      <c r="CJ118" s="76" t="s">
        <v>525</v>
      </c>
      <c r="CK118" s="74" t="s">
        <v>189</v>
      </c>
    </row>
    <row r="119" spans="1:89" ht="21.75" customHeight="1" x14ac:dyDescent="0.2">
      <c r="A119" s="15"/>
      <c r="B119" s="278" t="s">
        <v>190</v>
      </c>
      <c r="C119" s="511">
        <f>-SUM(E192:E193)</f>
        <v>14809275</v>
      </c>
      <c r="D119" s="511"/>
      <c r="E119" s="301">
        <f>(S177-G177)/365</f>
        <v>3.0027397260273974</v>
      </c>
      <c r="G119" s="302"/>
      <c r="K119" s="114"/>
      <c r="CF119" s="65">
        <v>103</v>
      </c>
      <c r="CG119" s="66" t="s">
        <v>526</v>
      </c>
      <c r="CH119" s="141">
        <f>D66</f>
        <v>0</v>
      </c>
      <c r="CI119" s="66" t="s">
        <v>524</v>
      </c>
      <c r="CJ119" s="68" t="s">
        <v>527</v>
      </c>
      <c r="CK119" s="66" t="s">
        <v>312</v>
      </c>
    </row>
    <row r="120" spans="1:89" ht="21.75" customHeight="1" x14ac:dyDescent="0.2">
      <c r="A120" s="15"/>
      <c r="B120" s="478" t="s">
        <v>528</v>
      </c>
      <c r="C120" s="478"/>
      <c r="D120" s="478"/>
      <c r="E120" s="15"/>
      <c r="K120" s="114"/>
      <c r="CF120" s="73">
        <v>104</v>
      </c>
      <c r="CG120" s="74" t="s">
        <v>529</v>
      </c>
      <c r="CH120" s="148">
        <f>E66</f>
        <v>0</v>
      </c>
      <c r="CI120" s="74" t="s">
        <v>524</v>
      </c>
      <c r="CJ120" s="76" t="s">
        <v>530</v>
      </c>
      <c r="CK120" s="74" t="s">
        <v>189</v>
      </c>
    </row>
    <row r="121" spans="1:89" ht="21.75" customHeight="1" x14ac:dyDescent="0.2">
      <c r="A121" s="15"/>
      <c r="B121" s="512" t="s">
        <v>531</v>
      </c>
      <c r="C121" s="304" t="s">
        <v>532</v>
      </c>
      <c r="D121" s="305" t="s">
        <v>533</v>
      </c>
      <c r="E121" s="306" t="s">
        <v>534</v>
      </c>
      <c r="H121" s="307"/>
      <c r="K121" s="114"/>
      <c r="CF121" s="65">
        <v>105</v>
      </c>
      <c r="CG121" s="66" t="s">
        <v>535</v>
      </c>
      <c r="CH121" s="141">
        <f>F66</f>
        <v>0</v>
      </c>
      <c r="CI121" s="66" t="s">
        <v>524</v>
      </c>
      <c r="CJ121" s="68" t="s">
        <v>536</v>
      </c>
      <c r="CK121" s="66" t="s">
        <v>312</v>
      </c>
    </row>
    <row r="122" spans="1:89" ht="21.75" customHeight="1" x14ac:dyDescent="0.2">
      <c r="A122" s="15"/>
      <c r="B122" s="512"/>
      <c r="C122" s="308">
        <f>((U177-F177)/365)*12</f>
        <v>45.008219178082186</v>
      </c>
      <c r="D122" s="309">
        <f>C122/12</f>
        <v>3.7506849315068487</v>
      </c>
      <c r="E122" s="310">
        <f>C122/3</f>
        <v>15.002739726027395</v>
      </c>
      <c r="I122" s="114"/>
      <c r="K122" s="15"/>
      <c r="CF122" s="73">
        <v>106</v>
      </c>
      <c r="CG122" s="74" t="s">
        <v>537</v>
      </c>
      <c r="CH122" s="221" t="str">
        <f>G66</f>
        <v>0</v>
      </c>
      <c r="CI122" s="74" t="s">
        <v>524</v>
      </c>
      <c r="CJ122" s="76" t="s">
        <v>538</v>
      </c>
      <c r="CK122" s="74" t="s">
        <v>312</v>
      </c>
    </row>
    <row r="123" spans="1:89" ht="21.75" customHeight="1" x14ac:dyDescent="0.2">
      <c r="A123" s="15"/>
      <c r="K123" s="15"/>
      <c r="CF123" s="65">
        <v>107</v>
      </c>
      <c r="CG123" s="66" t="s">
        <v>539</v>
      </c>
      <c r="CH123" s="231">
        <f>H66</f>
        <v>0</v>
      </c>
      <c r="CI123" s="66" t="s">
        <v>524</v>
      </c>
      <c r="CJ123" s="68" t="s">
        <v>540</v>
      </c>
      <c r="CK123" s="66" t="s">
        <v>378</v>
      </c>
    </row>
    <row r="124" spans="1:89" ht="21.75" customHeight="1" x14ac:dyDescent="0.2">
      <c r="A124" s="15"/>
      <c r="K124" s="15"/>
      <c r="CF124" s="73">
        <v>108</v>
      </c>
      <c r="CG124" s="74" t="s">
        <v>541</v>
      </c>
      <c r="CH124" s="93">
        <f>I66</f>
        <v>0</v>
      </c>
      <c r="CI124" s="74" t="s">
        <v>524</v>
      </c>
      <c r="CJ124" s="76" t="s">
        <v>542</v>
      </c>
      <c r="CK124" s="74" t="s">
        <v>315</v>
      </c>
    </row>
    <row r="125" spans="1:89" ht="21.75" customHeight="1" x14ac:dyDescent="0.2">
      <c r="A125" s="15"/>
      <c r="K125" s="15"/>
      <c r="CF125" s="65">
        <v>109</v>
      </c>
      <c r="CG125" s="66" t="s">
        <v>543</v>
      </c>
      <c r="CH125" s="88">
        <f>J66</f>
        <v>0</v>
      </c>
      <c r="CI125" s="66" t="s">
        <v>524</v>
      </c>
      <c r="CJ125" s="68" t="s">
        <v>544</v>
      </c>
      <c r="CK125" s="66" t="s">
        <v>99</v>
      </c>
    </row>
    <row r="126" spans="1:89" ht="21.75" customHeight="1" x14ac:dyDescent="0.2">
      <c r="A126" s="15"/>
      <c r="G126" s="114"/>
      <c r="K126" s="15"/>
      <c r="CF126" s="73">
        <v>110</v>
      </c>
      <c r="CG126" s="74" t="s">
        <v>545</v>
      </c>
      <c r="CH126" s="246">
        <f>K66</f>
        <v>0</v>
      </c>
      <c r="CI126" s="74" t="s">
        <v>524</v>
      </c>
      <c r="CJ126" s="76" t="s">
        <v>546</v>
      </c>
      <c r="CK126" s="74" t="s">
        <v>387</v>
      </c>
    </row>
    <row r="127" spans="1:89" ht="21.75" customHeight="1" x14ac:dyDescent="0.2">
      <c r="A127" s="15"/>
      <c r="B127" s="495" t="s">
        <v>547</v>
      </c>
      <c r="C127" s="495"/>
      <c r="D127" s="495"/>
      <c r="E127" s="495"/>
      <c r="F127" s="495"/>
      <c r="G127" s="495"/>
      <c r="H127" s="495"/>
      <c r="I127" s="495"/>
      <c r="J127" s="495"/>
      <c r="L127" s="513" t="s">
        <v>548</v>
      </c>
      <c r="M127" s="513"/>
      <c r="N127" s="513"/>
      <c r="O127" s="513"/>
      <c r="Q127" s="495" t="s">
        <v>549</v>
      </c>
      <c r="R127" s="495"/>
      <c r="S127" s="495"/>
      <c r="T127" s="495"/>
      <c r="U127" s="495"/>
      <c r="V127" s="495"/>
      <c r="W127" s="495"/>
      <c r="X127" s="495"/>
      <c r="Y127" s="495"/>
      <c r="Z127" s="495"/>
      <c r="AA127" s="495"/>
      <c r="AB127" s="495"/>
      <c r="AC127" s="495"/>
      <c r="CF127" s="65">
        <v>111</v>
      </c>
      <c r="CG127" s="66" t="s">
        <v>550</v>
      </c>
      <c r="CH127" s="252">
        <f>L66</f>
        <v>40</v>
      </c>
      <c r="CI127" s="66" t="s">
        <v>524</v>
      </c>
      <c r="CJ127" s="68" t="s">
        <v>551</v>
      </c>
      <c r="CK127" s="66" t="s">
        <v>390</v>
      </c>
    </row>
    <row r="128" spans="1:89" ht="25.5" customHeight="1" x14ac:dyDescent="0.2">
      <c r="A128" s="15"/>
      <c r="B128" s="311" t="s">
        <v>350</v>
      </c>
      <c r="C128" s="312" t="s">
        <v>552</v>
      </c>
      <c r="D128" s="312" t="s">
        <v>553</v>
      </c>
      <c r="E128" s="313" t="str">
        <f>F60</f>
        <v>المساحات الصافية القابلة للبيع
(NSA)</v>
      </c>
      <c r="F128" s="313" t="str">
        <f>G60</f>
        <v>مساحة الوحدة
(Unit Area)</v>
      </c>
      <c r="G128" s="314" t="s">
        <v>554</v>
      </c>
      <c r="H128" s="314" t="s">
        <v>555</v>
      </c>
      <c r="I128" s="314" t="s">
        <v>556</v>
      </c>
      <c r="J128" s="315" t="s">
        <v>557</v>
      </c>
      <c r="L128" s="316" t="s">
        <v>350</v>
      </c>
      <c r="M128" s="317" t="s">
        <v>154</v>
      </c>
      <c r="N128" s="318" t="s">
        <v>558</v>
      </c>
      <c r="O128" s="319" t="s">
        <v>559</v>
      </c>
      <c r="Q128" s="311" t="s">
        <v>350</v>
      </c>
      <c r="R128" s="314" t="s">
        <v>552</v>
      </c>
      <c r="S128" s="312" t="s">
        <v>553</v>
      </c>
      <c r="T128" s="314" t="s">
        <v>354</v>
      </c>
      <c r="U128" s="314" t="s">
        <v>355</v>
      </c>
      <c r="V128" s="314" t="s">
        <v>554</v>
      </c>
      <c r="W128" s="314" t="s">
        <v>555</v>
      </c>
      <c r="X128" s="314" t="s">
        <v>556</v>
      </c>
      <c r="Y128" s="314" t="s">
        <v>557</v>
      </c>
      <c r="Z128" s="320" t="s">
        <v>560</v>
      </c>
      <c r="AA128" s="321" t="s">
        <v>561</v>
      </c>
      <c r="AB128" s="320" t="s">
        <v>562</v>
      </c>
      <c r="AC128" s="322" t="s">
        <v>563</v>
      </c>
      <c r="CF128" s="455" t="s">
        <v>564</v>
      </c>
      <c r="CG128" s="455"/>
      <c r="CH128" s="455"/>
      <c r="CI128" s="455"/>
      <c r="CJ128" s="455"/>
      <c r="CK128" s="455"/>
    </row>
    <row r="129" spans="1:89" ht="21.75" customHeight="1" x14ac:dyDescent="0.2">
      <c r="A129" s="15"/>
      <c r="B129" s="16" t="s">
        <v>48</v>
      </c>
      <c r="C129" s="198">
        <f t="shared" ref="C129:C138" si="72">H61-R129</f>
        <v>57</v>
      </c>
      <c r="D129" s="323">
        <f t="shared" ref="D129:D138" si="73">100%-S129</f>
        <v>0.61956521739130432</v>
      </c>
      <c r="E129" s="196">
        <f t="shared" ref="E129:E138" si="74">E61*D129*D61</f>
        <v>5368.4370374653154</v>
      </c>
      <c r="F129" s="196">
        <f t="shared" ref="F129:F139" si="75">IFERROR(E129/C129, "0")</f>
        <v>94.183105920444135</v>
      </c>
      <c r="G129" s="229">
        <f t="shared" ref="G129:G138" si="76">IFERROR(MAX((H129/AV3)-1, 0), 0)</f>
        <v>0.27434984697070353</v>
      </c>
      <c r="H129" s="197">
        <v>15500</v>
      </c>
      <c r="I129" s="198">
        <f t="shared" ref="I129:I138" si="77">H129*F129</f>
        <v>1459838.1417668841</v>
      </c>
      <c r="J129" s="324">
        <f t="shared" ref="J129:J138" si="78">I129*C129</f>
        <v>83210774.080712393</v>
      </c>
      <c r="L129" s="16" t="s">
        <v>48</v>
      </c>
      <c r="M129" s="229">
        <v>0.08</v>
      </c>
      <c r="N129" s="198">
        <f t="shared" ref="N129:N138" si="79">SUM(F147+V147)/M129</f>
        <v>0</v>
      </c>
      <c r="O129" s="200">
        <f t="shared" ref="O129:O138" si="80">(M147+AC147)/M129</f>
        <v>0</v>
      </c>
      <c r="Q129" s="16" t="s">
        <v>48</v>
      </c>
      <c r="R129" s="281">
        <v>35</v>
      </c>
      <c r="S129" s="325">
        <f t="shared" ref="S129:S138" si="81">IFERROR(R129/H61, "0.00%")</f>
        <v>0.38043478260869568</v>
      </c>
      <c r="T129" s="196">
        <f t="shared" ref="T129:T138" si="82">E61*S129*D61</f>
        <v>3296.4087072155448</v>
      </c>
      <c r="U129" s="196">
        <f t="shared" ref="U129:U139" si="83">IFERROR(T129/R129, "0")</f>
        <v>94.183105920444135</v>
      </c>
      <c r="V129" s="229">
        <f t="shared" ref="V129:V138" si="84">IFERROR(MAX(((AC129/T129)/AV21)-1, 0), 0)</f>
        <v>2.0380506418158584E-2</v>
      </c>
      <c r="W129" s="197">
        <v>11500</v>
      </c>
      <c r="X129" s="198">
        <f t="shared" ref="X129:X138" si="85">W129*U129</f>
        <v>1083105.7180851076</v>
      </c>
      <c r="Y129" s="198">
        <f t="shared" ref="Y129:Y138" si="86">(X129*R129)</f>
        <v>37908700.132978767</v>
      </c>
      <c r="Z129" s="298">
        <f t="shared" ref="Z129:Z138" si="87">Y129*$D$308</f>
        <v>568630.50199468143</v>
      </c>
      <c r="AA129" s="298">
        <f t="shared" ref="AA129:AA138" si="88">(Y129*$D$309)+(Y129*$D$310)</f>
        <v>492813.10172872397</v>
      </c>
      <c r="AB129" s="298">
        <f t="shared" ref="AB129:AB138" si="89">Y129*$D$311</f>
        <v>1895435.0066489384</v>
      </c>
      <c r="AC129" s="324">
        <f t="shared" ref="AC129:AC138" si="90">SUM(Y129)-SUM(Z129:AA129)</f>
        <v>36847256.52925536</v>
      </c>
      <c r="CF129" s="73">
        <v>112</v>
      </c>
      <c r="CG129" s="74" t="s">
        <v>565</v>
      </c>
      <c r="CH129" s="148">
        <f>C67</f>
        <v>6.3829787234042507E-2</v>
      </c>
      <c r="CI129" s="74" t="s">
        <v>566</v>
      </c>
      <c r="CJ129" s="76" t="s">
        <v>567</v>
      </c>
      <c r="CK129" s="74" t="s">
        <v>189</v>
      </c>
    </row>
    <row r="130" spans="1:89" ht="21.75" customHeight="1" x14ac:dyDescent="0.2">
      <c r="A130" s="15"/>
      <c r="B130" s="38" t="s">
        <v>52</v>
      </c>
      <c r="C130" s="39">
        <f t="shared" si="72"/>
        <v>0</v>
      </c>
      <c r="D130" s="326">
        <f t="shared" si="73"/>
        <v>1</v>
      </c>
      <c r="E130" s="202">
        <f t="shared" si="74"/>
        <v>0</v>
      </c>
      <c r="F130" s="202" t="str">
        <f t="shared" si="75"/>
        <v>0</v>
      </c>
      <c r="G130" s="233">
        <f t="shared" si="76"/>
        <v>0</v>
      </c>
      <c r="H130" s="203"/>
      <c r="I130" s="39">
        <f t="shared" si="77"/>
        <v>0</v>
      </c>
      <c r="J130" s="163">
        <f t="shared" si="78"/>
        <v>0</v>
      </c>
      <c r="L130" s="38" t="s">
        <v>52</v>
      </c>
      <c r="M130" s="233">
        <v>0.08</v>
      </c>
      <c r="N130" s="39">
        <f t="shared" si="79"/>
        <v>0</v>
      </c>
      <c r="O130" s="205">
        <f t="shared" si="80"/>
        <v>0</v>
      </c>
      <c r="Q130" s="38" t="s">
        <v>52</v>
      </c>
      <c r="R130" s="281"/>
      <c r="S130" s="326" t="str">
        <f t="shared" si="81"/>
        <v>0.00%</v>
      </c>
      <c r="T130" s="202">
        <f t="shared" si="82"/>
        <v>0</v>
      </c>
      <c r="U130" s="202" t="str">
        <f t="shared" si="83"/>
        <v>0</v>
      </c>
      <c r="V130" s="233">
        <f t="shared" si="84"/>
        <v>0</v>
      </c>
      <c r="W130" s="203"/>
      <c r="X130" s="39">
        <f t="shared" si="85"/>
        <v>0</v>
      </c>
      <c r="Y130" s="39">
        <f t="shared" si="86"/>
        <v>0</v>
      </c>
      <c r="Z130" s="300">
        <f t="shared" si="87"/>
        <v>0</v>
      </c>
      <c r="AA130" s="300">
        <f t="shared" si="88"/>
        <v>0</v>
      </c>
      <c r="AB130" s="300">
        <f t="shared" si="89"/>
        <v>0</v>
      </c>
      <c r="AC130" s="163">
        <f t="shared" si="90"/>
        <v>0</v>
      </c>
      <c r="CF130" s="65">
        <v>113</v>
      </c>
      <c r="CG130" s="66" t="s">
        <v>568</v>
      </c>
      <c r="CH130" s="141">
        <f>D67</f>
        <v>1165.0212765957438</v>
      </c>
      <c r="CI130" s="66" t="s">
        <v>566</v>
      </c>
      <c r="CJ130" s="68" t="s">
        <v>569</v>
      </c>
      <c r="CK130" s="66" t="s">
        <v>312</v>
      </c>
    </row>
    <row r="131" spans="1:89" ht="21.75" customHeight="1" x14ac:dyDescent="0.2">
      <c r="A131" s="15"/>
      <c r="B131" s="16" t="s">
        <v>63</v>
      </c>
      <c r="C131" s="198">
        <f t="shared" si="72"/>
        <v>0</v>
      </c>
      <c r="D131" s="325">
        <f t="shared" si="73"/>
        <v>1</v>
      </c>
      <c r="E131" s="196">
        <f t="shared" si="74"/>
        <v>0</v>
      </c>
      <c r="F131" s="196" t="str">
        <f t="shared" si="75"/>
        <v>0</v>
      </c>
      <c r="G131" s="327">
        <f t="shared" si="76"/>
        <v>0</v>
      </c>
      <c r="H131" s="197"/>
      <c r="I131" s="198">
        <f t="shared" si="77"/>
        <v>0</v>
      </c>
      <c r="J131" s="324">
        <f t="shared" si="78"/>
        <v>0</v>
      </c>
      <c r="L131" s="16" t="s">
        <v>63</v>
      </c>
      <c r="M131" s="327">
        <v>0.08</v>
      </c>
      <c r="N131" s="198">
        <f t="shared" si="79"/>
        <v>0</v>
      </c>
      <c r="O131" s="200">
        <f t="shared" si="80"/>
        <v>0</v>
      </c>
      <c r="Q131" s="16" t="s">
        <v>63</v>
      </c>
      <c r="R131" s="281"/>
      <c r="S131" s="325" t="str">
        <f t="shared" si="81"/>
        <v>0.00%</v>
      </c>
      <c r="T131" s="196">
        <f t="shared" si="82"/>
        <v>0</v>
      </c>
      <c r="U131" s="196" t="str">
        <f t="shared" si="83"/>
        <v>0</v>
      </c>
      <c r="V131" s="327">
        <f t="shared" si="84"/>
        <v>0</v>
      </c>
      <c r="W131" s="197"/>
      <c r="X131" s="198">
        <f t="shared" si="85"/>
        <v>0</v>
      </c>
      <c r="Y131" s="198">
        <f t="shared" si="86"/>
        <v>0</v>
      </c>
      <c r="Z131" s="298">
        <f t="shared" si="87"/>
        <v>0</v>
      </c>
      <c r="AA131" s="298">
        <f t="shared" si="88"/>
        <v>0</v>
      </c>
      <c r="AB131" s="298">
        <f t="shared" si="89"/>
        <v>0</v>
      </c>
      <c r="AC131" s="324">
        <f t="shared" si="90"/>
        <v>0</v>
      </c>
      <c r="CF131" s="73">
        <v>114</v>
      </c>
      <c r="CG131" s="74" t="s">
        <v>570</v>
      </c>
      <c r="CH131" s="148">
        <f>E67</f>
        <v>1</v>
      </c>
      <c r="CI131" s="74" t="s">
        <v>566</v>
      </c>
      <c r="CJ131" s="76" t="s">
        <v>571</v>
      </c>
      <c r="CK131" s="74" t="s">
        <v>189</v>
      </c>
    </row>
    <row r="132" spans="1:89" ht="21.75" customHeight="1" x14ac:dyDescent="0.2">
      <c r="A132" s="15"/>
      <c r="B132" s="38" t="s">
        <v>68</v>
      </c>
      <c r="C132" s="39">
        <f t="shared" si="72"/>
        <v>0</v>
      </c>
      <c r="D132" s="326">
        <f t="shared" si="73"/>
        <v>1</v>
      </c>
      <c r="E132" s="202">
        <f t="shared" si="74"/>
        <v>0</v>
      </c>
      <c r="F132" s="202" t="str">
        <f t="shared" si="75"/>
        <v>0</v>
      </c>
      <c r="G132" s="233">
        <f t="shared" si="76"/>
        <v>0</v>
      </c>
      <c r="H132" s="203"/>
      <c r="I132" s="39">
        <f t="shared" si="77"/>
        <v>0</v>
      </c>
      <c r="J132" s="163">
        <f t="shared" si="78"/>
        <v>0</v>
      </c>
      <c r="L132" s="38" t="s">
        <v>68</v>
      </c>
      <c r="M132" s="233">
        <v>0.08</v>
      </c>
      <c r="N132" s="39">
        <f t="shared" si="79"/>
        <v>0</v>
      </c>
      <c r="O132" s="205">
        <f t="shared" si="80"/>
        <v>0</v>
      </c>
      <c r="Q132" s="38" t="s">
        <v>68</v>
      </c>
      <c r="R132" s="281"/>
      <c r="S132" s="326" t="str">
        <f t="shared" si="81"/>
        <v>0.00%</v>
      </c>
      <c r="T132" s="202">
        <f t="shared" si="82"/>
        <v>0</v>
      </c>
      <c r="U132" s="202" t="str">
        <f t="shared" si="83"/>
        <v>0</v>
      </c>
      <c r="V132" s="233">
        <f t="shared" si="84"/>
        <v>0</v>
      </c>
      <c r="W132" s="203"/>
      <c r="X132" s="39">
        <f t="shared" si="85"/>
        <v>0</v>
      </c>
      <c r="Y132" s="39">
        <f t="shared" si="86"/>
        <v>0</v>
      </c>
      <c r="Z132" s="300">
        <f t="shared" si="87"/>
        <v>0</v>
      </c>
      <c r="AA132" s="300">
        <f t="shared" si="88"/>
        <v>0</v>
      </c>
      <c r="AB132" s="300">
        <f t="shared" si="89"/>
        <v>0</v>
      </c>
      <c r="AC132" s="163">
        <f t="shared" si="90"/>
        <v>0</v>
      </c>
      <c r="CF132" s="65">
        <v>115</v>
      </c>
      <c r="CG132" s="66" t="s">
        <v>572</v>
      </c>
      <c r="CH132" s="141">
        <f>F67</f>
        <v>1165.0212765957438</v>
      </c>
      <c r="CI132" s="66" t="s">
        <v>566</v>
      </c>
      <c r="CJ132" s="68" t="s">
        <v>573</v>
      </c>
      <c r="CK132" s="66" t="s">
        <v>312</v>
      </c>
    </row>
    <row r="133" spans="1:89" ht="21.75" customHeight="1" x14ac:dyDescent="0.2">
      <c r="A133" s="15"/>
      <c r="B133" s="16" t="s">
        <v>76</v>
      </c>
      <c r="C133" s="198">
        <f t="shared" si="72"/>
        <v>99</v>
      </c>
      <c r="D133" s="325">
        <f t="shared" si="73"/>
        <v>1</v>
      </c>
      <c r="E133" s="196">
        <f t="shared" si="74"/>
        <v>4805.7127659574371</v>
      </c>
      <c r="F133" s="196">
        <f t="shared" si="75"/>
        <v>48.542553191489262</v>
      </c>
      <c r="G133" s="327">
        <f t="shared" si="76"/>
        <v>0</v>
      </c>
      <c r="H133" s="197"/>
      <c r="I133" s="198">
        <f t="shared" si="77"/>
        <v>0</v>
      </c>
      <c r="J133" s="324">
        <f t="shared" si="78"/>
        <v>0</v>
      </c>
      <c r="L133" s="16" t="s">
        <v>76</v>
      </c>
      <c r="M133" s="327">
        <v>7.0000000000000007E-2</v>
      </c>
      <c r="N133" s="198">
        <f t="shared" si="79"/>
        <v>1459999.9999999998</v>
      </c>
      <c r="O133" s="200">
        <f t="shared" si="80"/>
        <v>108404999.99999999</v>
      </c>
      <c r="Q133" s="16" t="s">
        <v>76</v>
      </c>
      <c r="R133" s="281"/>
      <c r="S133" s="325">
        <f t="shared" si="81"/>
        <v>0</v>
      </c>
      <c r="T133" s="196">
        <f t="shared" si="82"/>
        <v>0</v>
      </c>
      <c r="U133" s="196" t="str">
        <f t="shared" si="83"/>
        <v>0</v>
      </c>
      <c r="V133" s="327">
        <f t="shared" si="84"/>
        <v>0</v>
      </c>
      <c r="W133" s="197"/>
      <c r="X133" s="198">
        <f t="shared" si="85"/>
        <v>0</v>
      </c>
      <c r="Y133" s="198">
        <f t="shared" si="86"/>
        <v>0</v>
      </c>
      <c r="Z133" s="298">
        <f t="shared" si="87"/>
        <v>0</v>
      </c>
      <c r="AA133" s="298">
        <f t="shared" si="88"/>
        <v>0</v>
      </c>
      <c r="AB133" s="298">
        <f t="shared" si="89"/>
        <v>0</v>
      </c>
      <c r="AC133" s="324">
        <f t="shared" si="90"/>
        <v>0</v>
      </c>
      <c r="CF133" s="73">
        <v>116</v>
      </c>
      <c r="CG133" s="74" t="s">
        <v>574</v>
      </c>
      <c r="CH133" s="221">
        <f>G67</f>
        <v>166.43161094224911</v>
      </c>
      <c r="CI133" s="74" t="s">
        <v>566</v>
      </c>
      <c r="CJ133" s="76" t="s">
        <v>575</v>
      </c>
      <c r="CK133" s="74" t="s">
        <v>312</v>
      </c>
    </row>
    <row r="134" spans="1:89" ht="21.75" customHeight="1" x14ac:dyDescent="0.2">
      <c r="A134" s="15"/>
      <c r="B134" s="38" t="s">
        <v>82</v>
      </c>
      <c r="C134" s="39">
        <f t="shared" si="72"/>
        <v>0</v>
      </c>
      <c r="D134" s="326">
        <f t="shared" si="73"/>
        <v>1</v>
      </c>
      <c r="E134" s="202">
        <f t="shared" si="74"/>
        <v>0</v>
      </c>
      <c r="F134" s="202" t="str">
        <f t="shared" si="75"/>
        <v>0</v>
      </c>
      <c r="G134" s="233">
        <f t="shared" si="76"/>
        <v>0</v>
      </c>
      <c r="H134" s="203"/>
      <c r="I134" s="39">
        <f t="shared" si="77"/>
        <v>0</v>
      </c>
      <c r="J134" s="163">
        <f t="shared" si="78"/>
        <v>0</v>
      </c>
      <c r="L134" s="38" t="s">
        <v>82</v>
      </c>
      <c r="M134" s="233">
        <v>0.08</v>
      </c>
      <c r="N134" s="39">
        <f t="shared" si="79"/>
        <v>0</v>
      </c>
      <c r="O134" s="205">
        <f t="shared" si="80"/>
        <v>0</v>
      </c>
      <c r="Q134" s="38" t="s">
        <v>82</v>
      </c>
      <c r="R134" s="281"/>
      <c r="S134" s="326" t="str">
        <f t="shared" si="81"/>
        <v>0.00%</v>
      </c>
      <c r="T134" s="202">
        <f t="shared" si="82"/>
        <v>0</v>
      </c>
      <c r="U134" s="202" t="str">
        <f t="shared" si="83"/>
        <v>0</v>
      </c>
      <c r="V134" s="233">
        <f t="shared" si="84"/>
        <v>0</v>
      </c>
      <c r="W134" s="203"/>
      <c r="X134" s="39">
        <f t="shared" si="85"/>
        <v>0</v>
      </c>
      <c r="Y134" s="39">
        <f t="shared" si="86"/>
        <v>0</v>
      </c>
      <c r="Z134" s="300">
        <f t="shared" si="87"/>
        <v>0</v>
      </c>
      <c r="AA134" s="300">
        <f t="shared" si="88"/>
        <v>0</v>
      </c>
      <c r="AB134" s="300">
        <f t="shared" si="89"/>
        <v>0</v>
      </c>
      <c r="AC134" s="163">
        <f t="shared" si="90"/>
        <v>0</v>
      </c>
      <c r="CF134" s="65">
        <v>117</v>
      </c>
      <c r="CG134" s="66" t="s">
        <v>576</v>
      </c>
      <c r="CH134" s="231">
        <f>H67</f>
        <v>7</v>
      </c>
      <c r="CI134" s="66" t="s">
        <v>566</v>
      </c>
      <c r="CJ134" s="68" t="s">
        <v>577</v>
      </c>
      <c r="CK134" s="66" t="s">
        <v>378</v>
      </c>
    </row>
    <row r="135" spans="1:89" ht="21.75" customHeight="1" x14ac:dyDescent="0.2">
      <c r="A135" s="15"/>
      <c r="B135" s="16" t="s">
        <v>93</v>
      </c>
      <c r="C135" s="198">
        <f t="shared" si="72"/>
        <v>7</v>
      </c>
      <c r="D135" s="325">
        <f t="shared" si="73"/>
        <v>1</v>
      </c>
      <c r="E135" s="196">
        <f t="shared" si="74"/>
        <v>1165.0212765957438</v>
      </c>
      <c r="F135" s="196">
        <f t="shared" si="75"/>
        <v>166.43161094224911</v>
      </c>
      <c r="G135" s="327">
        <f t="shared" si="76"/>
        <v>0</v>
      </c>
      <c r="H135" s="197"/>
      <c r="I135" s="198">
        <f t="shared" si="77"/>
        <v>0</v>
      </c>
      <c r="J135" s="324">
        <f t="shared" si="78"/>
        <v>0</v>
      </c>
      <c r="L135" s="16" t="s">
        <v>93</v>
      </c>
      <c r="M135" s="327">
        <v>0.08</v>
      </c>
      <c r="N135" s="198">
        <f t="shared" si="79"/>
        <v>4368829.787234039</v>
      </c>
      <c r="O135" s="200">
        <f t="shared" si="80"/>
        <v>28288172.8723404</v>
      </c>
      <c r="Q135" s="16" t="s">
        <v>93</v>
      </c>
      <c r="R135" s="281"/>
      <c r="S135" s="325">
        <f t="shared" si="81"/>
        <v>0</v>
      </c>
      <c r="T135" s="196">
        <f t="shared" si="82"/>
        <v>0</v>
      </c>
      <c r="U135" s="196" t="str">
        <f t="shared" si="83"/>
        <v>0</v>
      </c>
      <c r="V135" s="327">
        <f t="shared" si="84"/>
        <v>0</v>
      </c>
      <c r="W135" s="197"/>
      <c r="X135" s="198">
        <f t="shared" si="85"/>
        <v>0</v>
      </c>
      <c r="Y135" s="198">
        <f t="shared" si="86"/>
        <v>0</v>
      </c>
      <c r="Z135" s="298">
        <f t="shared" si="87"/>
        <v>0</v>
      </c>
      <c r="AA135" s="298">
        <f t="shared" si="88"/>
        <v>0</v>
      </c>
      <c r="AB135" s="298">
        <f t="shared" si="89"/>
        <v>0</v>
      </c>
      <c r="AC135" s="324">
        <f t="shared" si="90"/>
        <v>0</v>
      </c>
      <c r="CF135" s="73">
        <v>118</v>
      </c>
      <c r="CG135" s="74" t="s">
        <v>578</v>
      </c>
      <c r="CH135" s="93">
        <f>I67</f>
        <v>2750</v>
      </c>
      <c r="CI135" s="74" t="s">
        <v>566</v>
      </c>
      <c r="CJ135" s="76" t="s">
        <v>579</v>
      </c>
      <c r="CK135" s="74" t="s">
        <v>315</v>
      </c>
    </row>
    <row r="136" spans="1:89" ht="21.75" customHeight="1" x14ac:dyDescent="0.2">
      <c r="A136" s="15"/>
      <c r="B136" s="38" t="s">
        <v>104</v>
      </c>
      <c r="C136" s="39">
        <f t="shared" si="72"/>
        <v>0</v>
      </c>
      <c r="D136" s="326">
        <f t="shared" si="73"/>
        <v>1</v>
      </c>
      <c r="E136" s="202">
        <f t="shared" si="74"/>
        <v>0</v>
      </c>
      <c r="F136" s="202" t="str">
        <f t="shared" si="75"/>
        <v>0</v>
      </c>
      <c r="G136" s="233">
        <f t="shared" si="76"/>
        <v>0</v>
      </c>
      <c r="H136" s="203"/>
      <c r="I136" s="39">
        <f t="shared" si="77"/>
        <v>0</v>
      </c>
      <c r="J136" s="163">
        <f t="shared" si="78"/>
        <v>0</v>
      </c>
      <c r="L136" s="38" t="s">
        <v>104</v>
      </c>
      <c r="M136" s="233">
        <v>6.8000000000000005E-2</v>
      </c>
      <c r="N136" s="39">
        <f t="shared" si="79"/>
        <v>0</v>
      </c>
      <c r="O136" s="205">
        <f t="shared" si="80"/>
        <v>0</v>
      </c>
      <c r="Q136" s="38" t="s">
        <v>104</v>
      </c>
      <c r="R136" s="281"/>
      <c r="S136" s="326" t="str">
        <f t="shared" si="81"/>
        <v>0.00%</v>
      </c>
      <c r="T136" s="202">
        <f t="shared" si="82"/>
        <v>0</v>
      </c>
      <c r="U136" s="202" t="str">
        <f t="shared" si="83"/>
        <v>0</v>
      </c>
      <c r="V136" s="233">
        <f t="shared" si="84"/>
        <v>0</v>
      </c>
      <c r="W136" s="203"/>
      <c r="X136" s="39">
        <f t="shared" si="85"/>
        <v>0</v>
      </c>
      <c r="Y136" s="39">
        <f t="shared" si="86"/>
        <v>0</v>
      </c>
      <c r="Z136" s="300">
        <f t="shared" si="87"/>
        <v>0</v>
      </c>
      <c r="AA136" s="300">
        <f t="shared" si="88"/>
        <v>0</v>
      </c>
      <c r="AB136" s="300">
        <f t="shared" si="89"/>
        <v>0</v>
      </c>
      <c r="AC136" s="163">
        <f t="shared" si="90"/>
        <v>0</v>
      </c>
      <c r="CF136" s="65">
        <v>119</v>
      </c>
      <c r="CG136" s="66" t="s">
        <v>580</v>
      </c>
      <c r="CH136" s="88">
        <f>J67</f>
        <v>3203808.5106382952</v>
      </c>
      <c r="CI136" s="66" t="s">
        <v>566</v>
      </c>
      <c r="CJ136" s="68" t="s">
        <v>581</v>
      </c>
      <c r="CK136" s="66" t="s">
        <v>99</v>
      </c>
    </row>
    <row r="137" spans="1:89" ht="21.75" customHeight="1" x14ac:dyDescent="0.2">
      <c r="A137" s="15"/>
      <c r="B137" s="16" t="s">
        <v>112</v>
      </c>
      <c r="C137" s="198">
        <f t="shared" si="72"/>
        <v>0</v>
      </c>
      <c r="D137" s="325">
        <f t="shared" si="73"/>
        <v>1</v>
      </c>
      <c r="E137" s="196">
        <f t="shared" si="74"/>
        <v>0</v>
      </c>
      <c r="F137" s="196" t="str">
        <f t="shared" si="75"/>
        <v>0</v>
      </c>
      <c r="G137" s="327">
        <f t="shared" si="76"/>
        <v>0</v>
      </c>
      <c r="H137" s="197"/>
      <c r="I137" s="198">
        <f t="shared" si="77"/>
        <v>0</v>
      </c>
      <c r="J137" s="324">
        <f t="shared" si="78"/>
        <v>0</v>
      </c>
      <c r="L137" s="16" t="s">
        <v>112</v>
      </c>
      <c r="M137" s="327">
        <v>7.0000000000000007E-2</v>
      </c>
      <c r="N137" s="198">
        <f t="shared" si="79"/>
        <v>0</v>
      </c>
      <c r="O137" s="200">
        <f t="shared" si="80"/>
        <v>0</v>
      </c>
      <c r="Q137" s="16" t="s">
        <v>112</v>
      </c>
      <c r="R137" s="281"/>
      <c r="S137" s="325" t="str">
        <f t="shared" si="81"/>
        <v>0.00%</v>
      </c>
      <c r="T137" s="196">
        <f t="shared" si="82"/>
        <v>0</v>
      </c>
      <c r="U137" s="196" t="str">
        <f t="shared" si="83"/>
        <v>0</v>
      </c>
      <c r="V137" s="327">
        <f t="shared" si="84"/>
        <v>0</v>
      </c>
      <c r="W137" s="197"/>
      <c r="X137" s="198">
        <f t="shared" si="85"/>
        <v>0</v>
      </c>
      <c r="Y137" s="198">
        <f t="shared" si="86"/>
        <v>0</v>
      </c>
      <c r="Z137" s="298">
        <f t="shared" si="87"/>
        <v>0</v>
      </c>
      <c r="AA137" s="298">
        <f t="shared" si="88"/>
        <v>0</v>
      </c>
      <c r="AB137" s="298">
        <f t="shared" si="89"/>
        <v>0</v>
      </c>
      <c r="AC137" s="324">
        <f t="shared" si="90"/>
        <v>0</v>
      </c>
      <c r="CF137" s="73">
        <v>120</v>
      </c>
      <c r="CG137" s="74" t="s">
        <v>582</v>
      </c>
      <c r="CH137" s="246">
        <f>K67</f>
        <v>25.889361702127641</v>
      </c>
      <c r="CI137" s="74" t="s">
        <v>566</v>
      </c>
      <c r="CJ137" s="76" t="s">
        <v>583</v>
      </c>
      <c r="CK137" s="74" t="s">
        <v>387</v>
      </c>
    </row>
    <row r="138" spans="1:89" ht="21.75" customHeight="1" x14ac:dyDescent="0.2">
      <c r="A138" s="15"/>
      <c r="B138" s="38" t="s">
        <v>381</v>
      </c>
      <c r="C138" s="39">
        <f t="shared" si="72"/>
        <v>0</v>
      </c>
      <c r="D138" s="326">
        <f t="shared" si="73"/>
        <v>1</v>
      </c>
      <c r="E138" s="202">
        <f t="shared" si="74"/>
        <v>0</v>
      </c>
      <c r="F138" s="202" t="str">
        <f t="shared" si="75"/>
        <v>0</v>
      </c>
      <c r="G138" s="233">
        <f t="shared" si="76"/>
        <v>0</v>
      </c>
      <c r="H138" s="203"/>
      <c r="I138" s="39">
        <f t="shared" si="77"/>
        <v>0</v>
      </c>
      <c r="J138" s="163">
        <f t="shared" si="78"/>
        <v>0</v>
      </c>
      <c r="L138" s="38" t="s">
        <v>381</v>
      </c>
      <c r="M138" s="233">
        <v>7.0000000000000007E-2</v>
      </c>
      <c r="N138" s="39">
        <f t="shared" si="79"/>
        <v>0</v>
      </c>
      <c r="O138" s="205">
        <f t="shared" si="80"/>
        <v>0</v>
      </c>
      <c r="Q138" s="38" t="s">
        <v>381</v>
      </c>
      <c r="R138" s="281"/>
      <c r="S138" s="326" t="str">
        <f t="shared" si="81"/>
        <v>0.00%</v>
      </c>
      <c r="T138" s="202">
        <f t="shared" si="82"/>
        <v>0</v>
      </c>
      <c r="U138" s="202" t="str">
        <f t="shared" si="83"/>
        <v>0</v>
      </c>
      <c r="V138" s="233">
        <f t="shared" si="84"/>
        <v>0</v>
      </c>
      <c r="W138" s="203"/>
      <c r="X138" s="39">
        <f t="shared" si="85"/>
        <v>0</v>
      </c>
      <c r="Y138" s="39">
        <f t="shared" si="86"/>
        <v>0</v>
      </c>
      <c r="Z138" s="300">
        <f t="shared" si="87"/>
        <v>0</v>
      </c>
      <c r="AA138" s="300">
        <f t="shared" si="88"/>
        <v>0</v>
      </c>
      <c r="AB138" s="300">
        <f t="shared" si="89"/>
        <v>0</v>
      </c>
      <c r="AC138" s="163">
        <f t="shared" si="90"/>
        <v>0</v>
      </c>
      <c r="CF138" s="65">
        <v>121</v>
      </c>
      <c r="CG138" s="66" t="s">
        <v>584</v>
      </c>
      <c r="CH138" s="252">
        <f>L67</f>
        <v>45</v>
      </c>
      <c r="CI138" s="66" t="s">
        <v>566</v>
      </c>
      <c r="CJ138" s="68" t="s">
        <v>585</v>
      </c>
      <c r="CK138" s="66" t="s">
        <v>390</v>
      </c>
    </row>
    <row r="139" spans="1:89" ht="25.5" customHeight="1" x14ac:dyDescent="0.2">
      <c r="A139" s="15"/>
      <c r="B139" s="182" t="s">
        <v>586</v>
      </c>
      <c r="C139" s="210">
        <f>SUM(C129:C138)</f>
        <v>163</v>
      </c>
      <c r="D139" s="328" t="s">
        <v>62</v>
      </c>
      <c r="E139" s="209">
        <f>SUM(E129:E138)</f>
        <v>11339.171080018496</v>
      </c>
      <c r="F139" s="329">
        <f t="shared" si="75"/>
        <v>69.565466748579723</v>
      </c>
      <c r="G139" s="330">
        <f>SUMPRODUCT(G129:G138, E129:E138) / SUM(E129:E138)</f>
        <v>0.12988867257641412</v>
      </c>
      <c r="H139" s="331">
        <f>SUMPRODUCT(H129:H138, E129:E138) / SUM(E129:E138)</f>
        <v>7338.3471766594657</v>
      </c>
      <c r="I139" s="331">
        <f t="array" ref="I139">SUMPRODUCT((I129:I138&lt;&gt;0)*(I129:I138&lt;&gt;""), I129:I138, C129:C138) / SUMIFS(C129:C138, I129:I138, "&lt;&gt;0", I129:I138, "&lt;&gt;")</f>
        <v>1459838.1417668841</v>
      </c>
      <c r="J139" s="332">
        <f>SUMIF(J129:J138, "&lt;&gt;#DIV/0!")</f>
        <v>83210774.080712393</v>
      </c>
      <c r="L139" s="182" t="s">
        <v>586</v>
      </c>
      <c r="M139" s="333" t="s">
        <v>62</v>
      </c>
      <c r="N139" s="210" t="s">
        <v>62</v>
      </c>
      <c r="O139" s="212">
        <f>SUMIF(O129:O138, "&lt;&gt;#DIV/0!")</f>
        <v>136693172.87234038</v>
      </c>
      <c r="Q139" s="182" t="s">
        <v>586</v>
      </c>
      <c r="R139" s="210">
        <f>SUM(R129:R138)</f>
        <v>35</v>
      </c>
      <c r="S139" s="328" t="s">
        <v>62</v>
      </c>
      <c r="T139" s="209">
        <f>SUMIF(T129:T138, "&lt;&gt;#DIV/0!")</f>
        <v>3296.4087072155448</v>
      </c>
      <c r="U139" s="329">
        <f t="shared" si="83"/>
        <v>94.183105920444135</v>
      </c>
      <c r="V139" s="330">
        <f>SUMPRODUCT(V129:V138, T129:T138) / SUM(T129:T138)</f>
        <v>2.038050641815858E-2</v>
      </c>
      <c r="W139" s="331">
        <f>SUMPRODUCT(W129:W138, T129:T138) / SUM(T129:T138)</f>
        <v>11500</v>
      </c>
      <c r="X139" s="331">
        <f t="array" ref="X139">SUMPRODUCT((X129:X138&lt;&gt;0)*(X129:X138&lt;&gt;""), X129:X138, R129:R138) / SUMIFS(R129:R138, X129:X138, "&lt;&gt;0", X129:X138, "&lt;&gt;")</f>
        <v>1083105.7180851076</v>
      </c>
      <c r="Y139" s="210">
        <f>SUMIF(Y129:Y138, "&lt;&gt;#DIV/0!")</f>
        <v>37908700.132978767</v>
      </c>
      <c r="Z139" s="334">
        <f>SUMIF(Z129:Z138, "&lt;&gt;#DIV/0!")</f>
        <v>568630.50199468143</v>
      </c>
      <c r="AA139" s="334">
        <f>SUMIF(AA129:AA138, "&lt;&gt;#DIV/0!")</f>
        <v>492813.10172872397</v>
      </c>
      <c r="AB139" s="334">
        <f>SUMIF(AB129:AB138, "&lt;&gt;#DIV/0!")</f>
        <v>1895435.0066489384</v>
      </c>
      <c r="AC139" s="335">
        <f>SUMIF(AC129:AC138, "&lt;&gt;#DIV/0!")</f>
        <v>36847256.52925536</v>
      </c>
      <c r="CF139" s="455" t="s">
        <v>587</v>
      </c>
      <c r="CG139" s="455"/>
      <c r="CH139" s="455"/>
      <c r="CI139" s="455"/>
      <c r="CJ139" s="455"/>
      <c r="CK139" s="455"/>
    </row>
    <row r="140" spans="1:89" ht="21.75" customHeight="1" x14ac:dyDescent="0.2">
      <c r="AC140" s="15"/>
      <c r="CF140" s="73">
        <v>122</v>
      </c>
      <c r="CG140" s="74" t="s">
        <v>588</v>
      </c>
      <c r="CH140" s="148">
        <f>C68</f>
        <v>0</v>
      </c>
      <c r="CI140" s="74" t="s">
        <v>589</v>
      </c>
      <c r="CJ140" s="76" t="s">
        <v>590</v>
      </c>
      <c r="CK140" s="74" t="s">
        <v>189</v>
      </c>
    </row>
    <row r="141" spans="1:89" ht="21.75" customHeight="1" x14ac:dyDescent="0.2">
      <c r="A141" s="114"/>
      <c r="CF141" s="65">
        <v>123</v>
      </c>
      <c r="CG141" s="66" t="s">
        <v>591</v>
      </c>
      <c r="CH141" s="141">
        <f>D68</f>
        <v>0</v>
      </c>
      <c r="CI141" s="66" t="s">
        <v>589</v>
      </c>
      <c r="CJ141" s="68" t="s">
        <v>592</v>
      </c>
      <c r="CK141" s="66" t="s">
        <v>312</v>
      </c>
    </row>
    <row r="142" spans="1:89" ht="21.75" customHeight="1" x14ac:dyDescent="0.2">
      <c r="G142" s="114"/>
      <c r="CF142" s="73">
        <v>124</v>
      </c>
      <c r="CG142" s="74" t="s">
        <v>593</v>
      </c>
      <c r="CH142" s="148">
        <f>E68</f>
        <v>0</v>
      </c>
      <c r="CI142" s="74" t="s">
        <v>589</v>
      </c>
      <c r="CJ142" s="76" t="s">
        <v>594</v>
      </c>
      <c r="CK142" s="74" t="s">
        <v>189</v>
      </c>
    </row>
    <row r="143" spans="1:89" ht="21.75" customHeight="1" x14ac:dyDescent="0.2">
      <c r="C143" s="15"/>
      <c r="D143" s="15"/>
      <c r="E143" s="15"/>
      <c r="F143" s="15"/>
      <c r="G143" s="15"/>
      <c r="J143" s="129"/>
      <c r="L143" s="15"/>
      <c r="M143" s="15"/>
      <c r="N143" s="15"/>
      <c r="P143" s="15"/>
      <c r="Q143" s="15"/>
      <c r="R143" s="15"/>
      <c r="S143" s="15"/>
      <c r="T143" s="15"/>
      <c r="U143" s="15"/>
      <c r="V143" s="15"/>
      <c r="W143" s="15"/>
      <c r="X143" s="15"/>
      <c r="Z143" s="15"/>
      <c r="AA143" s="15"/>
      <c r="AB143" s="15"/>
      <c r="AC143" s="15"/>
      <c r="AD143" s="15"/>
      <c r="CF143" s="65">
        <v>125</v>
      </c>
      <c r="CG143" s="66" t="s">
        <v>595</v>
      </c>
      <c r="CH143" s="141">
        <f>F68</f>
        <v>0</v>
      </c>
      <c r="CI143" s="66" t="s">
        <v>589</v>
      </c>
      <c r="CJ143" s="68" t="s">
        <v>596</v>
      </c>
      <c r="CK143" s="66" t="s">
        <v>312</v>
      </c>
    </row>
    <row r="144" spans="1:89" ht="21.75" customHeight="1" x14ac:dyDescent="0.2">
      <c r="C144" s="15"/>
      <c r="D144" s="15"/>
      <c r="E144" s="15"/>
      <c r="F144" s="15"/>
      <c r="G144" s="15"/>
      <c r="J144" s="15"/>
      <c r="AD144" s="15"/>
      <c r="CF144" s="73">
        <v>126</v>
      </c>
      <c r="CG144" s="74" t="s">
        <v>597</v>
      </c>
      <c r="CH144" s="221" t="str">
        <f>G68</f>
        <v>0</v>
      </c>
      <c r="CI144" s="74" t="s">
        <v>589</v>
      </c>
      <c r="CJ144" s="76" t="s">
        <v>598</v>
      </c>
      <c r="CK144" s="74" t="s">
        <v>312</v>
      </c>
    </row>
    <row r="145" spans="1:89" ht="21.75" customHeight="1" x14ac:dyDescent="0.2">
      <c r="A145" s="114"/>
      <c r="B145" s="515" t="s">
        <v>599</v>
      </c>
      <c r="C145" s="515"/>
      <c r="D145" s="515"/>
      <c r="E145" s="515"/>
      <c r="F145" s="515"/>
      <c r="G145" s="515"/>
      <c r="H145" s="515"/>
      <c r="I145" s="515"/>
      <c r="J145" s="515"/>
      <c r="K145" s="515"/>
      <c r="L145" s="515"/>
      <c r="M145" s="515"/>
      <c r="Q145" s="495" t="s">
        <v>600</v>
      </c>
      <c r="R145" s="495"/>
      <c r="S145" s="495"/>
      <c r="T145" s="495"/>
      <c r="U145" s="495"/>
      <c r="V145" s="495"/>
      <c r="W145" s="495"/>
      <c r="X145" s="495"/>
      <c r="Y145" s="495"/>
      <c r="Z145" s="495"/>
      <c r="AA145" s="495"/>
      <c r="AB145" s="495"/>
      <c r="AC145" s="495"/>
      <c r="CF145" s="65">
        <v>127</v>
      </c>
      <c r="CG145" s="66" t="s">
        <v>601</v>
      </c>
      <c r="CH145" s="231">
        <f>H68</f>
        <v>0</v>
      </c>
      <c r="CI145" s="66" t="s">
        <v>589</v>
      </c>
      <c r="CJ145" s="68" t="s">
        <v>602</v>
      </c>
      <c r="CK145" s="66" t="s">
        <v>378</v>
      </c>
    </row>
    <row r="146" spans="1:89" ht="21.75" customHeight="1" x14ac:dyDescent="0.2">
      <c r="A146" s="114"/>
      <c r="B146" s="112" t="s">
        <v>350</v>
      </c>
      <c r="C146" s="188" t="s">
        <v>603</v>
      </c>
      <c r="D146" s="188" t="s">
        <v>604</v>
      </c>
      <c r="E146" s="188" t="s">
        <v>605</v>
      </c>
      <c r="F146" s="188" t="s">
        <v>606</v>
      </c>
      <c r="G146" s="188" t="s">
        <v>607</v>
      </c>
      <c r="H146" s="188" t="s">
        <v>608</v>
      </c>
      <c r="I146" s="188" t="s">
        <v>609</v>
      </c>
      <c r="J146" s="188" t="s">
        <v>610</v>
      </c>
      <c r="K146" s="188" t="s">
        <v>611</v>
      </c>
      <c r="L146" s="188" t="s">
        <v>612</v>
      </c>
      <c r="M146" s="113" t="s">
        <v>613</v>
      </c>
      <c r="Q146" s="11" t="s">
        <v>614</v>
      </c>
      <c r="R146" s="12" t="s">
        <v>615</v>
      </c>
      <c r="S146" s="12" t="s">
        <v>616</v>
      </c>
      <c r="T146" s="12" t="s">
        <v>617</v>
      </c>
      <c r="U146" s="12" t="s">
        <v>618</v>
      </c>
      <c r="V146" s="12" t="s">
        <v>619</v>
      </c>
      <c r="W146" s="12" t="s">
        <v>620</v>
      </c>
      <c r="X146" s="12" t="s">
        <v>621</v>
      </c>
      <c r="Y146" s="12" t="s">
        <v>622</v>
      </c>
      <c r="Z146" s="188" t="s">
        <v>611</v>
      </c>
      <c r="AA146" s="314" t="s">
        <v>612</v>
      </c>
      <c r="AB146" s="188" t="s">
        <v>623</v>
      </c>
      <c r="AC146" s="14" t="s">
        <v>624</v>
      </c>
      <c r="CF146" s="73">
        <v>128</v>
      </c>
      <c r="CG146" s="74" t="s">
        <v>625</v>
      </c>
      <c r="CH146" s="93">
        <f>I68</f>
        <v>0</v>
      </c>
      <c r="CI146" s="74" t="s">
        <v>589</v>
      </c>
      <c r="CJ146" s="76" t="s">
        <v>626</v>
      </c>
      <c r="CK146" s="74" t="s">
        <v>315</v>
      </c>
    </row>
    <row r="147" spans="1:89" ht="21.75" customHeight="1" x14ac:dyDescent="0.2">
      <c r="A147" s="114"/>
      <c r="B147" s="16" t="s">
        <v>48</v>
      </c>
      <c r="C147" s="198">
        <f t="shared" ref="C147:C156" si="91">H61</f>
        <v>92</v>
      </c>
      <c r="D147" s="196">
        <f t="shared" ref="D147:D156" si="92">G61</f>
        <v>94.183105920444135</v>
      </c>
      <c r="E147" s="190"/>
      <c r="F147" s="198">
        <f t="shared" ref="F147:F156" si="93">E147*D147</f>
        <v>0</v>
      </c>
      <c r="G147" s="229"/>
      <c r="H147" s="198">
        <f t="shared" ref="H147:H156" si="94">(F147*C147)*G147</f>
        <v>0</v>
      </c>
      <c r="I147" s="197">
        <f t="shared" ref="I147:I156" si="95">$I$158*H147</f>
        <v>0</v>
      </c>
      <c r="J147" s="198">
        <f t="shared" ref="J147:J156" si="96">IFERROR((AU3 * (M129/100)) / (F61 * (G147/100) * (1 - ($I$158/100))), 0)</f>
        <v>0</v>
      </c>
      <c r="K147" s="199" t="str">
        <f t="shared" ref="K147:K156" si="97">IFERROR(100%/L147, "0")</f>
        <v>0</v>
      </c>
      <c r="L147" s="229">
        <f t="shared" ref="L147:L156" si="98">IFERROR(M147/(AU3-AT3), "0.00%")</f>
        <v>0</v>
      </c>
      <c r="M147" s="324">
        <f t="shared" ref="M147:M156" si="99">H147-I147</f>
        <v>0</v>
      </c>
      <c r="Q147" s="16" t="s">
        <v>48</v>
      </c>
      <c r="R147" s="198">
        <f t="shared" ref="R147:R156" si="100">H61</f>
        <v>92</v>
      </c>
      <c r="S147" s="229"/>
      <c r="T147" s="198">
        <f>AF147*S147</f>
        <v>0</v>
      </c>
      <c r="U147" s="190"/>
      <c r="V147" s="198">
        <f t="shared" ref="V147:V156" si="101">IFERROR((U147*T147)/R147, "0")</f>
        <v>0</v>
      </c>
      <c r="W147" s="229"/>
      <c r="X147" s="198">
        <f t="shared" ref="X147:X156" si="102">(U147*T147)+((T147*U147)*W147)</f>
        <v>0</v>
      </c>
      <c r="Y147" s="298">
        <f t="shared" ref="Y147:Y156" si="103">X147*$Y$158</f>
        <v>0</v>
      </c>
      <c r="Z147" s="199">
        <f t="shared" ref="Z147:Z156" si="104">IFERROR((AU3-AT3) / ((U147 * R147 * (1 - $Y$158) * S147 * 365) * (1 + W147)), 0)</f>
        <v>0</v>
      </c>
      <c r="AA147" s="229">
        <f t="shared" ref="AA147:AA156" si="105">IFERROR(AC147/(AU3-AT3), "0.00%")</f>
        <v>0</v>
      </c>
      <c r="AB147" s="198">
        <f t="shared" ref="AB147:AB156" si="106">IFERROR(((AU3-AT3) * (M129/100)) / (R147 * (S147/100) * (1 - ($Y$158/100)) * 365), 0)*(1+W147)</f>
        <v>0</v>
      </c>
      <c r="AC147" s="324">
        <f t="shared" ref="AC147:AC156" si="107">X147-Y147</f>
        <v>0</v>
      </c>
      <c r="CF147" s="65">
        <v>129</v>
      </c>
      <c r="CG147" s="66" t="s">
        <v>627</v>
      </c>
      <c r="CH147" s="88">
        <f>J68</f>
        <v>0</v>
      </c>
      <c r="CI147" s="66" t="s">
        <v>589</v>
      </c>
      <c r="CJ147" s="68" t="s">
        <v>628</v>
      </c>
      <c r="CK147" s="66" t="s">
        <v>99</v>
      </c>
    </row>
    <row r="148" spans="1:89" ht="21.75" customHeight="1" x14ac:dyDescent="0.2">
      <c r="A148" s="114"/>
      <c r="B148" s="38" t="s">
        <v>52</v>
      </c>
      <c r="C148" s="39">
        <f t="shared" si="91"/>
        <v>0</v>
      </c>
      <c r="D148" s="202" t="str">
        <f t="shared" si="92"/>
        <v>0</v>
      </c>
      <c r="E148" s="193"/>
      <c r="F148" s="39">
        <f t="shared" si="93"/>
        <v>0</v>
      </c>
      <c r="G148" s="233"/>
      <c r="H148" s="39">
        <f t="shared" si="94"/>
        <v>0</v>
      </c>
      <c r="I148" s="203">
        <f t="shared" si="95"/>
        <v>0</v>
      </c>
      <c r="J148" s="39">
        <f t="shared" si="96"/>
        <v>0</v>
      </c>
      <c r="K148" s="204" t="str">
        <f t="shared" si="97"/>
        <v>0</v>
      </c>
      <c r="L148" s="336" t="str">
        <f t="shared" si="98"/>
        <v>0.00%</v>
      </c>
      <c r="M148" s="163">
        <f t="shared" si="99"/>
        <v>0</v>
      </c>
      <c r="Q148" s="38" t="s">
        <v>52</v>
      </c>
      <c r="R148" s="39">
        <f t="shared" si="100"/>
        <v>0</v>
      </c>
      <c r="S148" s="233"/>
      <c r="T148" s="39">
        <f>AF148*S148</f>
        <v>0</v>
      </c>
      <c r="U148" s="193"/>
      <c r="V148" s="39" t="str">
        <f t="shared" si="101"/>
        <v>0</v>
      </c>
      <c r="W148" s="233"/>
      <c r="X148" s="39">
        <f t="shared" si="102"/>
        <v>0</v>
      </c>
      <c r="Y148" s="300">
        <f t="shared" si="103"/>
        <v>0</v>
      </c>
      <c r="Z148" s="204">
        <f t="shared" si="104"/>
        <v>0</v>
      </c>
      <c r="AA148" s="337" t="str">
        <f t="shared" si="105"/>
        <v>0.00%</v>
      </c>
      <c r="AB148" s="39">
        <f t="shared" si="106"/>
        <v>0</v>
      </c>
      <c r="AC148" s="163">
        <f t="shared" si="107"/>
        <v>0</v>
      </c>
      <c r="CF148" s="73">
        <v>130</v>
      </c>
      <c r="CG148" s="74" t="s">
        <v>629</v>
      </c>
      <c r="CH148" s="246">
        <f>K68</f>
        <v>0</v>
      </c>
      <c r="CI148" s="74" t="s">
        <v>589</v>
      </c>
      <c r="CJ148" s="76" t="s">
        <v>630</v>
      </c>
      <c r="CK148" s="74" t="s">
        <v>387</v>
      </c>
    </row>
    <row r="149" spans="1:89" ht="21.75" customHeight="1" x14ac:dyDescent="0.2">
      <c r="A149" s="114"/>
      <c r="B149" s="16" t="s">
        <v>63</v>
      </c>
      <c r="C149" s="198">
        <f t="shared" si="91"/>
        <v>0</v>
      </c>
      <c r="D149" s="196" t="str">
        <f t="shared" si="92"/>
        <v>0</v>
      </c>
      <c r="E149" s="190"/>
      <c r="F149" s="198">
        <f t="shared" si="93"/>
        <v>0</v>
      </c>
      <c r="G149" s="229"/>
      <c r="H149" s="198">
        <f t="shared" si="94"/>
        <v>0</v>
      </c>
      <c r="I149" s="197">
        <f t="shared" si="95"/>
        <v>0</v>
      </c>
      <c r="J149" s="198">
        <f t="shared" si="96"/>
        <v>0</v>
      </c>
      <c r="K149" s="199" t="str">
        <f t="shared" si="97"/>
        <v>0</v>
      </c>
      <c r="L149" s="327" t="str">
        <f t="shared" si="98"/>
        <v>0.00%</v>
      </c>
      <c r="M149" s="324">
        <f t="shared" si="99"/>
        <v>0</v>
      </c>
      <c r="Q149" s="16" t="s">
        <v>63</v>
      </c>
      <c r="R149" s="198">
        <f t="shared" si="100"/>
        <v>0</v>
      </c>
      <c r="S149" s="229"/>
      <c r="T149" s="198">
        <f>AF149*S149</f>
        <v>0</v>
      </c>
      <c r="U149" s="190"/>
      <c r="V149" s="198" t="str">
        <f t="shared" si="101"/>
        <v>0</v>
      </c>
      <c r="W149" s="229"/>
      <c r="X149" s="198">
        <f t="shared" si="102"/>
        <v>0</v>
      </c>
      <c r="Y149" s="298">
        <f t="shared" si="103"/>
        <v>0</v>
      </c>
      <c r="Z149" s="199">
        <f t="shared" si="104"/>
        <v>0</v>
      </c>
      <c r="AA149" s="327" t="str">
        <f t="shared" si="105"/>
        <v>0.00%</v>
      </c>
      <c r="AB149" s="198">
        <f t="shared" si="106"/>
        <v>0</v>
      </c>
      <c r="AC149" s="324">
        <f t="shared" si="107"/>
        <v>0</v>
      </c>
      <c r="CF149" s="65">
        <v>131</v>
      </c>
      <c r="CG149" s="66" t="s">
        <v>631</v>
      </c>
      <c r="CH149" s="252">
        <f>L68</f>
        <v>2</v>
      </c>
      <c r="CI149" s="66" t="s">
        <v>589</v>
      </c>
      <c r="CJ149" s="68" t="s">
        <v>632</v>
      </c>
      <c r="CK149" s="66" t="s">
        <v>390</v>
      </c>
    </row>
    <row r="150" spans="1:89" ht="25.5" customHeight="1" x14ac:dyDescent="0.2">
      <c r="A150" s="114"/>
      <c r="B150" s="38" t="s">
        <v>68</v>
      </c>
      <c r="C150" s="39">
        <f t="shared" si="91"/>
        <v>0</v>
      </c>
      <c r="D150" s="202" t="str">
        <f t="shared" si="92"/>
        <v>0</v>
      </c>
      <c r="E150" s="193"/>
      <c r="F150" s="39">
        <f t="shared" si="93"/>
        <v>0</v>
      </c>
      <c r="G150" s="233"/>
      <c r="H150" s="39">
        <f t="shared" si="94"/>
        <v>0</v>
      </c>
      <c r="I150" s="203">
        <f t="shared" si="95"/>
        <v>0</v>
      </c>
      <c r="J150" s="39">
        <f t="shared" si="96"/>
        <v>0</v>
      </c>
      <c r="K150" s="204" t="str">
        <f t="shared" si="97"/>
        <v>0</v>
      </c>
      <c r="L150" s="233" t="str">
        <f t="shared" si="98"/>
        <v>0.00%</v>
      </c>
      <c r="M150" s="163">
        <f t="shared" si="99"/>
        <v>0</v>
      </c>
      <c r="Q150" s="38" t="s">
        <v>68</v>
      </c>
      <c r="R150" s="39">
        <f t="shared" si="100"/>
        <v>0</v>
      </c>
      <c r="S150" s="233"/>
      <c r="T150" s="39">
        <f>AF150*S150</f>
        <v>0</v>
      </c>
      <c r="U150" s="193"/>
      <c r="V150" s="39" t="str">
        <f t="shared" si="101"/>
        <v>0</v>
      </c>
      <c r="W150" s="233"/>
      <c r="X150" s="39">
        <f t="shared" si="102"/>
        <v>0</v>
      </c>
      <c r="Y150" s="300">
        <f t="shared" si="103"/>
        <v>0</v>
      </c>
      <c r="Z150" s="204">
        <f t="shared" si="104"/>
        <v>0</v>
      </c>
      <c r="AA150" s="233" t="str">
        <f t="shared" si="105"/>
        <v>0.00%</v>
      </c>
      <c r="AB150" s="39">
        <f t="shared" si="106"/>
        <v>0</v>
      </c>
      <c r="AC150" s="163">
        <f t="shared" si="107"/>
        <v>0</v>
      </c>
      <c r="CF150" s="455" t="s">
        <v>633</v>
      </c>
      <c r="CG150" s="455"/>
      <c r="CH150" s="455"/>
      <c r="CI150" s="455"/>
      <c r="CJ150" s="455"/>
      <c r="CK150" s="455"/>
    </row>
    <row r="151" spans="1:89" ht="21.75" customHeight="1" x14ac:dyDescent="0.2">
      <c r="A151" s="114"/>
      <c r="B151" s="16" t="s">
        <v>76</v>
      </c>
      <c r="C151" s="198">
        <f t="shared" si="91"/>
        <v>99</v>
      </c>
      <c r="D151" s="196">
        <f t="shared" si="92"/>
        <v>48.542553191489262</v>
      </c>
      <c r="E151" s="190"/>
      <c r="F151" s="198">
        <f t="shared" si="93"/>
        <v>0</v>
      </c>
      <c r="G151" s="229"/>
      <c r="H151" s="198">
        <f t="shared" si="94"/>
        <v>0</v>
      </c>
      <c r="I151" s="197">
        <f t="shared" si="95"/>
        <v>0</v>
      </c>
      <c r="J151" s="198">
        <f t="shared" si="96"/>
        <v>0</v>
      </c>
      <c r="K151" s="199" t="str">
        <f t="shared" si="97"/>
        <v>0</v>
      </c>
      <c r="L151" s="327">
        <f t="shared" si="98"/>
        <v>0</v>
      </c>
      <c r="M151" s="324">
        <f t="shared" si="99"/>
        <v>0</v>
      </c>
      <c r="Q151" s="16" t="s">
        <v>76</v>
      </c>
      <c r="R151" s="198">
        <f t="shared" si="100"/>
        <v>99</v>
      </c>
      <c r="S151" s="229">
        <v>0.7</v>
      </c>
      <c r="T151" s="198">
        <f>R151*S151*365</f>
        <v>25294.5</v>
      </c>
      <c r="U151" s="190">
        <v>400</v>
      </c>
      <c r="V151" s="198">
        <f t="shared" si="101"/>
        <v>102200</v>
      </c>
      <c r="W151" s="229">
        <v>0</v>
      </c>
      <c r="X151" s="198">
        <f t="shared" si="102"/>
        <v>10117800</v>
      </c>
      <c r="Y151" s="298">
        <f t="shared" si="103"/>
        <v>2529450</v>
      </c>
      <c r="Z151" s="199">
        <f t="shared" si="104"/>
        <v>8.7160408563316647</v>
      </c>
      <c r="AA151" s="327">
        <f t="shared" si="105"/>
        <v>0.11473099042136337</v>
      </c>
      <c r="AB151" s="198">
        <f t="shared" si="106"/>
        <v>183.49559697540349</v>
      </c>
      <c r="AC151" s="324">
        <f t="shared" si="107"/>
        <v>7588350</v>
      </c>
      <c r="CF151" s="73">
        <v>132</v>
      </c>
      <c r="CG151" s="74" t="s">
        <v>634</v>
      </c>
      <c r="CH151" s="148">
        <f>C69</f>
        <v>0</v>
      </c>
      <c r="CI151" s="74" t="s">
        <v>635</v>
      </c>
      <c r="CJ151" s="76" t="s">
        <v>636</v>
      </c>
      <c r="CK151" s="74" t="s">
        <v>189</v>
      </c>
    </row>
    <row r="152" spans="1:89" ht="21.75" customHeight="1" x14ac:dyDescent="0.2">
      <c r="A152" s="114"/>
      <c r="B152" s="38" t="s">
        <v>82</v>
      </c>
      <c r="C152" s="39">
        <f t="shared" si="91"/>
        <v>0</v>
      </c>
      <c r="D152" s="202" t="str">
        <f t="shared" si="92"/>
        <v>0</v>
      </c>
      <c r="E152" s="193"/>
      <c r="F152" s="39">
        <f t="shared" si="93"/>
        <v>0</v>
      </c>
      <c r="G152" s="233"/>
      <c r="H152" s="39">
        <f t="shared" si="94"/>
        <v>0</v>
      </c>
      <c r="I152" s="203">
        <f t="shared" si="95"/>
        <v>0</v>
      </c>
      <c r="J152" s="39">
        <f t="shared" si="96"/>
        <v>0</v>
      </c>
      <c r="K152" s="204" t="str">
        <f t="shared" si="97"/>
        <v>0</v>
      </c>
      <c r="L152" s="233" t="str">
        <f t="shared" si="98"/>
        <v>0.00%</v>
      </c>
      <c r="M152" s="163">
        <f t="shared" si="99"/>
        <v>0</v>
      </c>
      <c r="Q152" s="38" t="s">
        <v>82</v>
      </c>
      <c r="R152" s="39">
        <f t="shared" si="100"/>
        <v>0</v>
      </c>
      <c r="S152" s="233"/>
      <c r="T152" s="39">
        <f>AF152*S152</f>
        <v>0</v>
      </c>
      <c r="U152" s="193"/>
      <c r="V152" s="39" t="str">
        <f t="shared" si="101"/>
        <v>0</v>
      </c>
      <c r="W152" s="233"/>
      <c r="X152" s="39">
        <f t="shared" si="102"/>
        <v>0</v>
      </c>
      <c r="Y152" s="300">
        <f t="shared" si="103"/>
        <v>0</v>
      </c>
      <c r="Z152" s="204">
        <f t="shared" si="104"/>
        <v>0</v>
      </c>
      <c r="AA152" s="233" t="str">
        <f t="shared" si="105"/>
        <v>0.00%</v>
      </c>
      <c r="AB152" s="39">
        <f t="shared" si="106"/>
        <v>0</v>
      </c>
      <c r="AC152" s="163">
        <f t="shared" si="107"/>
        <v>0</v>
      </c>
      <c r="CF152" s="65">
        <v>133</v>
      </c>
      <c r="CG152" s="66" t="s">
        <v>637</v>
      </c>
      <c r="CH152" s="141">
        <f>D69</f>
        <v>0</v>
      </c>
      <c r="CI152" s="66" t="s">
        <v>635</v>
      </c>
      <c r="CJ152" s="68" t="s">
        <v>638</v>
      </c>
      <c r="CK152" s="66" t="s">
        <v>312</v>
      </c>
    </row>
    <row r="153" spans="1:89" ht="21.75" customHeight="1" x14ac:dyDescent="0.2">
      <c r="A153" s="114"/>
      <c r="B153" s="16" t="s">
        <v>93</v>
      </c>
      <c r="C153" s="198">
        <f t="shared" si="91"/>
        <v>7</v>
      </c>
      <c r="D153" s="196">
        <f t="shared" si="92"/>
        <v>166.43161094224911</v>
      </c>
      <c r="E153" s="190">
        <v>2100</v>
      </c>
      <c r="F153" s="198">
        <f t="shared" si="93"/>
        <v>349506.38297872315</v>
      </c>
      <c r="G153" s="229">
        <v>1</v>
      </c>
      <c r="H153" s="198">
        <f t="shared" si="94"/>
        <v>2446544.6808510618</v>
      </c>
      <c r="I153" s="197">
        <f t="shared" si="95"/>
        <v>183490.85106382964</v>
      </c>
      <c r="J153" s="198">
        <f t="shared" si="96"/>
        <v>1152.0932097442276</v>
      </c>
      <c r="K153" s="199">
        <f t="shared" si="97"/>
        <v>7.3270858419364187</v>
      </c>
      <c r="L153" s="327">
        <f t="shared" si="98"/>
        <v>0.13647990777950511</v>
      </c>
      <c r="M153" s="324">
        <f t="shared" si="99"/>
        <v>2263053.829787232</v>
      </c>
      <c r="Q153" s="16" t="s">
        <v>93</v>
      </c>
      <c r="R153" s="198">
        <f t="shared" si="100"/>
        <v>7</v>
      </c>
      <c r="S153" s="229"/>
      <c r="T153" s="198">
        <f>AF153*S153</f>
        <v>0</v>
      </c>
      <c r="U153" s="190"/>
      <c r="V153" s="198">
        <f t="shared" si="101"/>
        <v>0</v>
      </c>
      <c r="W153" s="229"/>
      <c r="X153" s="198">
        <f t="shared" si="102"/>
        <v>0</v>
      </c>
      <c r="Y153" s="298">
        <f t="shared" si="103"/>
        <v>0</v>
      </c>
      <c r="Z153" s="199">
        <f t="shared" si="104"/>
        <v>0</v>
      </c>
      <c r="AA153" s="327">
        <f t="shared" si="105"/>
        <v>0</v>
      </c>
      <c r="AB153" s="198">
        <f t="shared" si="106"/>
        <v>0</v>
      </c>
      <c r="AC153" s="324">
        <f t="shared" si="107"/>
        <v>0</v>
      </c>
      <c r="CF153" s="73">
        <v>134</v>
      </c>
      <c r="CG153" s="74" t="s">
        <v>639</v>
      </c>
      <c r="CH153" s="148">
        <f>E69</f>
        <v>0</v>
      </c>
      <c r="CI153" s="74" t="s">
        <v>635</v>
      </c>
      <c r="CJ153" s="76" t="s">
        <v>640</v>
      </c>
      <c r="CK153" s="74" t="s">
        <v>189</v>
      </c>
    </row>
    <row r="154" spans="1:89" ht="21.75" customHeight="1" x14ac:dyDescent="0.2">
      <c r="A154" s="114"/>
      <c r="B154" s="38" t="s">
        <v>104</v>
      </c>
      <c r="C154" s="39">
        <f t="shared" si="91"/>
        <v>0</v>
      </c>
      <c r="D154" s="202" t="str">
        <f t="shared" si="92"/>
        <v>0</v>
      </c>
      <c r="E154" s="193"/>
      <c r="F154" s="39">
        <f t="shared" si="93"/>
        <v>0</v>
      </c>
      <c r="G154" s="233"/>
      <c r="H154" s="39">
        <f t="shared" si="94"/>
        <v>0</v>
      </c>
      <c r="I154" s="203">
        <f t="shared" si="95"/>
        <v>0</v>
      </c>
      <c r="J154" s="39">
        <f t="shared" si="96"/>
        <v>0</v>
      </c>
      <c r="K154" s="204" t="str">
        <f t="shared" si="97"/>
        <v>0</v>
      </c>
      <c r="L154" s="233">
        <f t="shared" si="98"/>
        <v>0</v>
      </c>
      <c r="M154" s="163">
        <f t="shared" si="99"/>
        <v>0</v>
      </c>
      <c r="Q154" s="38" t="s">
        <v>104</v>
      </c>
      <c r="R154" s="39">
        <f t="shared" si="100"/>
        <v>0</v>
      </c>
      <c r="S154" s="233"/>
      <c r="T154" s="39">
        <f>(R154*365)*S154</f>
        <v>0</v>
      </c>
      <c r="U154" s="193"/>
      <c r="V154" s="39" t="str">
        <f t="shared" si="101"/>
        <v>0</v>
      </c>
      <c r="W154" s="233"/>
      <c r="X154" s="39">
        <f t="shared" si="102"/>
        <v>0</v>
      </c>
      <c r="Y154" s="300">
        <f t="shared" si="103"/>
        <v>0</v>
      </c>
      <c r="Z154" s="204">
        <f t="shared" si="104"/>
        <v>0</v>
      </c>
      <c r="AA154" s="233">
        <f t="shared" si="105"/>
        <v>0</v>
      </c>
      <c r="AB154" s="39">
        <f t="shared" si="106"/>
        <v>0</v>
      </c>
      <c r="AC154" s="163">
        <f t="shared" si="107"/>
        <v>0</v>
      </c>
      <c r="CF154" s="65">
        <v>135</v>
      </c>
      <c r="CG154" s="66" t="s">
        <v>641</v>
      </c>
      <c r="CH154" s="141">
        <f>F69</f>
        <v>0</v>
      </c>
      <c r="CI154" s="66" t="s">
        <v>635</v>
      </c>
      <c r="CJ154" s="68" t="s">
        <v>642</v>
      </c>
      <c r="CK154" s="66" t="s">
        <v>312</v>
      </c>
    </row>
    <row r="155" spans="1:89" ht="21.75" customHeight="1" x14ac:dyDescent="0.2">
      <c r="A155" s="114"/>
      <c r="B155" s="16" t="s">
        <v>112</v>
      </c>
      <c r="C155" s="198">
        <f t="shared" si="91"/>
        <v>0</v>
      </c>
      <c r="D155" s="196" t="str">
        <f t="shared" si="92"/>
        <v>0</v>
      </c>
      <c r="E155" s="190"/>
      <c r="F155" s="198">
        <f t="shared" si="93"/>
        <v>0</v>
      </c>
      <c r="G155" s="229"/>
      <c r="H155" s="198">
        <f t="shared" si="94"/>
        <v>0</v>
      </c>
      <c r="I155" s="197">
        <f t="shared" si="95"/>
        <v>0</v>
      </c>
      <c r="J155" s="198">
        <f t="shared" si="96"/>
        <v>0</v>
      </c>
      <c r="K155" s="199" t="str">
        <f t="shared" si="97"/>
        <v>0</v>
      </c>
      <c r="L155" s="327" t="str">
        <f t="shared" si="98"/>
        <v>0.00%</v>
      </c>
      <c r="M155" s="324">
        <f t="shared" si="99"/>
        <v>0</v>
      </c>
      <c r="Q155" s="16" t="s">
        <v>112</v>
      </c>
      <c r="R155" s="198">
        <f t="shared" si="100"/>
        <v>0</v>
      </c>
      <c r="S155" s="229"/>
      <c r="T155" s="198">
        <f>AF155*S155</f>
        <v>0</v>
      </c>
      <c r="U155" s="190"/>
      <c r="V155" s="198" t="str">
        <f t="shared" si="101"/>
        <v>0</v>
      </c>
      <c r="W155" s="229"/>
      <c r="X155" s="198">
        <f t="shared" si="102"/>
        <v>0</v>
      </c>
      <c r="Y155" s="298">
        <f t="shared" si="103"/>
        <v>0</v>
      </c>
      <c r="Z155" s="199">
        <f t="shared" si="104"/>
        <v>0</v>
      </c>
      <c r="AA155" s="327" t="str">
        <f t="shared" si="105"/>
        <v>0.00%</v>
      </c>
      <c r="AB155" s="198">
        <f t="shared" si="106"/>
        <v>0</v>
      </c>
      <c r="AC155" s="324">
        <f t="shared" si="107"/>
        <v>0</v>
      </c>
      <c r="CF155" s="73">
        <v>136</v>
      </c>
      <c r="CG155" s="74" t="s">
        <v>643</v>
      </c>
      <c r="CH155" s="221" t="str">
        <f>G69</f>
        <v>0</v>
      </c>
      <c r="CI155" s="74" t="s">
        <v>635</v>
      </c>
      <c r="CJ155" s="76" t="s">
        <v>644</v>
      </c>
      <c r="CK155" s="74" t="s">
        <v>312</v>
      </c>
    </row>
    <row r="156" spans="1:89" ht="21.75" customHeight="1" x14ac:dyDescent="0.2">
      <c r="A156" s="114"/>
      <c r="B156" s="38" t="s">
        <v>381</v>
      </c>
      <c r="C156" s="39">
        <f t="shared" si="91"/>
        <v>0</v>
      </c>
      <c r="D156" s="202" t="str">
        <f t="shared" si="92"/>
        <v>0</v>
      </c>
      <c r="E156" s="193"/>
      <c r="F156" s="39">
        <f t="shared" si="93"/>
        <v>0</v>
      </c>
      <c r="G156" s="233"/>
      <c r="H156" s="39">
        <f t="shared" si="94"/>
        <v>0</v>
      </c>
      <c r="I156" s="203">
        <f t="shared" si="95"/>
        <v>0</v>
      </c>
      <c r="J156" s="39">
        <f t="shared" si="96"/>
        <v>0</v>
      </c>
      <c r="K156" s="204" t="str">
        <f t="shared" si="97"/>
        <v>0</v>
      </c>
      <c r="L156" s="233" t="str">
        <f t="shared" si="98"/>
        <v>0.00%</v>
      </c>
      <c r="M156" s="163">
        <f t="shared" si="99"/>
        <v>0</v>
      </c>
      <c r="Q156" s="38" t="s">
        <v>381</v>
      </c>
      <c r="R156" s="39">
        <f t="shared" si="100"/>
        <v>0</v>
      </c>
      <c r="S156" s="233"/>
      <c r="T156" s="39">
        <f>AF156*S156</f>
        <v>0</v>
      </c>
      <c r="U156" s="193"/>
      <c r="V156" s="39" t="str">
        <f t="shared" si="101"/>
        <v>0</v>
      </c>
      <c r="W156" s="233"/>
      <c r="X156" s="39">
        <f t="shared" si="102"/>
        <v>0</v>
      </c>
      <c r="Y156" s="300">
        <f t="shared" si="103"/>
        <v>0</v>
      </c>
      <c r="Z156" s="204">
        <f t="shared" si="104"/>
        <v>0</v>
      </c>
      <c r="AA156" s="233" t="str">
        <f t="shared" si="105"/>
        <v>0.00%</v>
      </c>
      <c r="AB156" s="39">
        <f t="shared" si="106"/>
        <v>0</v>
      </c>
      <c r="AC156" s="163">
        <f t="shared" si="107"/>
        <v>0</v>
      </c>
      <c r="CF156" s="65">
        <v>137</v>
      </c>
      <c r="CG156" s="66" t="s">
        <v>645</v>
      </c>
      <c r="CH156" s="231">
        <f>H69</f>
        <v>0</v>
      </c>
      <c r="CI156" s="66" t="s">
        <v>635</v>
      </c>
      <c r="CJ156" s="68" t="s">
        <v>646</v>
      </c>
      <c r="CK156" s="66" t="s">
        <v>378</v>
      </c>
    </row>
    <row r="157" spans="1:89" ht="21.75" customHeight="1" x14ac:dyDescent="0.2">
      <c r="A157" s="114"/>
      <c r="B157" s="182" t="s">
        <v>586</v>
      </c>
      <c r="C157" s="210">
        <f>SUM(C147:C156)</f>
        <v>198</v>
      </c>
      <c r="D157" s="263" t="s">
        <v>62</v>
      </c>
      <c r="E157" s="338" t="s">
        <v>62</v>
      </c>
      <c r="F157" s="338">
        <f t="array" ref="F157">SUMPRODUCT((F147:F156&lt;&gt;0)*(F147:F156&lt;&gt;""), F147:F156, C147:C156) / SUMIFS(C147:C156, F147:F156, "&lt;&gt;0", F147:F156, "&lt;&gt;")</f>
        <v>349506.38297872309</v>
      </c>
      <c r="G157" s="339">
        <f t="array" ref="G157">SUMPRODUCT((C147:C156&gt;0)*(D147:D156&gt;0), G147:G156, C147:C156, D147:D156) / SUMPRODUCT((C147:C156&gt;0)*(D147:D156&gt;0), C147:C156, D147:D156)</f>
        <v>7.9601990049751187E-2</v>
      </c>
      <c r="H157" s="207">
        <f>SUMIF(H147:H156, "&lt;&gt;#DIV/0!")</f>
        <v>2446544.6808510618</v>
      </c>
      <c r="I157" s="340">
        <f>SUM(I147:I156)</f>
        <v>183490.85106382964</v>
      </c>
      <c r="J157" s="338">
        <f t="array" ref="J157">SUMPRODUCT((C147:C156&gt;0)*(D147:D156&gt;0), J147:J156, C147:C156, D147:D156) /
 SUMPRODUCT((C147:C156&gt;0)*(D147:D156&gt;0), C147:C156, D147:D156)</f>
        <v>91.708912218445917</v>
      </c>
      <c r="K157" s="341" t="s">
        <v>62</v>
      </c>
      <c r="L157" s="342" t="s">
        <v>62</v>
      </c>
      <c r="M157" s="335">
        <f>SUMIF(M147:M156, "&lt;&gt;#DIV/0!")</f>
        <v>2263053.829787232</v>
      </c>
      <c r="Q157" s="182" t="s">
        <v>586</v>
      </c>
      <c r="R157" s="210">
        <f>SUM(R147:R156)</f>
        <v>198</v>
      </c>
      <c r="S157" s="343" t="s">
        <v>62</v>
      </c>
      <c r="T157" s="210">
        <f>SUM(T147:T156)</f>
        <v>25294.5</v>
      </c>
      <c r="U157" s="210" t="s">
        <v>62</v>
      </c>
      <c r="V157" s="210" t="s">
        <v>62</v>
      </c>
      <c r="W157" s="261" t="s">
        <v>62</v>
      </c>
      <c r="X157" s="210">
        <f>SUM(X147:X156)</f>
        <v>10117800</v>
      </c>
      <c r="Y157" s="334">
        <f>SUM(Y147:Y156)</f>
        <v>2529450</v>
      </c>
      <c r="Z157" s="341" t="s">
        <v>62</v>
      </c>
      <c r="AA157" s="342" t="s">
        <v>62</v>
      </c>
      <c r="AB157" s="207" t="s">
        <v>62</v>
      </c>
      <c r="AC157" s="335">
        <f>SUM(AC147:AC156)</f>
        <v>7588350</v>
      </c>
      <c r="CF157" s="73">
        <v>138</v>
      </c>
      <c r="CG157" s="74" t="s">
        <v>647</v>
      </c>
      <c r="CH157" s="93">
        <f>I69</f>
        <v>0</v>
      </c>
      <c r="CI157" s="74" t="s">
        <v>635</v>
      </c>
      <c r="CJ157" s="76" t="s">
        <v>648</v>
      </c>
      <c r="CK157" s="74" t="s">
        <v>315</v>
      </c>
    </row>
    <row r="158" spans="1:89" ht="21.75" customHeight="1" x14ac:dyDescent="0.2">
      <c r="C158" s="15"/>
      <c r="D158" s="15"/>
      <c r="E158" s="15"/>
      <c r="F158" s="15"/>
      <c r="G158" s="15"/>
      <c r="I158" s="344">
        <v>7.4999999999999997E-2</v>
      </c>
      <c r="J158" s="15"/>
      <c r="L158" s="114"/>
      <c r="P158" s="15"/>
      <c r="Q158" s="15"/>
      <c r="R158" s="15"/>
      <c r="S158" s="15"/>
      <c r="T158" s="15"/>
      <c r="U158" s="15"/>
      <c r="V158" s="15"/>
      <c r="W158" s="15"/>
      <c r="X158" s="15"/>
      <c r="Y158" s="345">
        <v>0.25</v>
      </c>
      <c r="CF158" s="65">
        <v>139</v>
      </c>
      <c r="CG158" s="66" t="s">
        <v>649</v>
      </c>
      <c r="CH158" s="88">
        <f>J69</f>
        <v>0</v>
      </c>
      <c r="CI158" s="66" t="s">
        <v>635</v>
      </c>
      <c r="CJ158" s="68" t="s">
        <v>650</v>
      </c>
      <c r="CK158" s="66" t="s">
        <v>99</v>
      </c>
    </row>
    <row r="159" spans="1:89" ht="21.75" customHeight="1" x14ac:dyDescent="0.2">
      <c r="C159" s="15"/>
      <c r="D159" s="15"/>
      <c r="E159" s="15"/>
      <c r="F159" s="15"/>
      <c r="G159" s="15"/>
      <c r="H159" s="15"/>
      <c r="I159" s="15"/>
      <c r="J159" s="15"/>
      <c r="K159" s="114"/>
      <c r="L159" s="129"/>
      <c r="M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AB159" s="15"/>
      <c r="AC159" s="15"/>
      <c r="AD159" s="15"/>
      <c r="AE159" s="15"/>
      <c r="CF159" s="73">
        <v>140</v>
      </c>
      <c r="CG159" s="74" t="s">
        <v>651</v>
      </c>
      <c r="CH159" s="246">
        <f>K69</f>
        <v>0</v>
      </c>
      <c r="CI159" s="74" t="s">
        <v>635</v>
      </c>
      <c r="CJ159" s="76" t="s">
        <v>652</v>
      </c>
      <c r="CK159" s="74" t="s">
        <v>387</v>
      </c>
    </row>
    <row r="160" spans="1:89" ht="21.75" customHeight="1" x14ac:dyDescent="0.2">
      <c r="X160" s="114"/>
      <c r="AA160" s="180"/>
      <c r="AB160" s="114"/>
      <c r="CF160" s="65">
        <v>141</v>
      </c>
      <c r="CG160" s="66" t="s">
        <v>653</v>
      </c>
      <c r="CH160" s="252">
        <f>L69</f>
        <v>50</v>
      </c>
      <c r="CI160" s="66" t="s">
        <v>635</v>
      </c>
      <c r="CJ160" s="68" t="s">
        <v>654</v>
      </c>
      <c r="CK160" s="66" t="s">
        <v>390</v>
      </c>
    </row>
    <row r="161" spans="1:89" ht="25.5" customHeight="1" x14ac:dyDescent="0.2">
      <c r="E161" s="114"/>
      <c r="CF161" s="455" t="s">
        <v>655</v>
      </c>
      <c r="CG161" s="455"/>
      <c r="CH161" s="455"/>
      <c r="CI161" s="455"/>
      <c r="CJ161" s="455"/>
      <c r="CK161" s="455"/>
    </row>
    <row r="162" spans="1:89" ht="21.75" customHeight="1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CF162" s="73">
        <v>142</v>
      </c>
      <c r="CG162" s="74" t="s">
        <v>656</v>
      </c>
      <c r="CH162" s="148">
        <f>C70</f>
        <v>0</v>
      </c>
      <c r="CI162" s="74" t="s">
        <v>657</v>
      </c>
      <c r="CJ162" s="76" t="s">
        <v>658</v>
      </c>
      <c r="CK162" s="74" t="s">
        <v>189</v>
      </c>
    </row>
    <row r="163" spans="1:89" ht="21.75" customHeight="1" x14ac:dyDescent="0.2">
      <c r="A163" s="15"/>
      <c r="B163" s="516" t="s">
        <v>659</v>
      </c>
      <c r="C163" s="516"/>
      <c r="D163" s="516"/>
      <c r="E163" s="516"/>
      <c r="F163" s="516"/>
      <c r="G163" s="516"/>
      <c r="H163" s="516"/>
      <c r="I163" s="516"/>
      <c r="J163" s="516"/>
      <c r="K163" s="516"/>
      <c r="L163" s="516"/>
      <c r="M163" s="516"/>
      <c r="N163" s="516"/>
      <c r="O163" s="516"/>
      <c r="P163" s="516"/>
      <c r="Q163" s="516"/>
      <c r="R163" s="516"/>
      <c r="S163" s="516"/>
      <c r="T163" s="516"/>
      <c r="U163" s="516"/>
      <c r="V163" s="516"/>
      <c r="W163" s="516"/>
      <c r="X163" s="516"/>
      <c r="Y163" s="516"/>
      <c r="Z163" s="516"/>
      <c r="AA163" s="516"/>
      <c r="AB163" s="516"/>
      <c r="AC163" s="516"/>
      <c r="AD163" s="15"/>
      <c r="CF163" s="65">
        <v>143</v>
      </c>
      <c r="CG163" s="66" t="s">
        <v>660</v>
      </c>
      <c r="CH163" s="141">
        <f>D70</f>
        <v>0</v>
      </c>
      <c r="CI163" s="66" t="s">
        <v>657</v>
      </c>
      <c r="CJ163" s="68" t="s">
        <v>661</v>
      </c>
      <c r="CK163" s="66" t="s">
        <v>312</v>
      </c>
    </row>
    <row r="164" spans="1:89" ht="21.75" customHeight="1" x14ac:dyDescent="0.2">
      <c r="A164" s="15"/>
      <c r="B164" s="516"/>
      <c r="C164" s="516"/>
      <c r="D164" s="516"/>
      <c r="E164" s="516"/>
      <c r="F164" s="516"/>
      <c r="G164" s="516"/>
      <c r="H164" s="516"/>
      <c r="I164" s="516"/>
      <c r="J164" s="516"/>
      <c r="K164" s="516"/>
      <c r="L164" s="516"/>
      <c r="M164" s="516"/>
      <c r="N164" s="516"/>
      <c r="O164" s="516"/>
      <c r="P164" s="516"/>
      <c r="Q164" s="516"/>
      <c r="R164" s="516"/>
      <c r="S164" s="516"/>
      <c r="T164" s="516"/>
      <c r="U164" s="516"/>
      <c r="V164" s="516"/>
      <c r="W164" s="516"/>
      <c r="X164" s="516"/>
      <c r="Y164" s="516"/>
      <c r="Z164" s="516"/>
      <c r="AA164" s="516"/>
      <c r="AB164" s="516"/>
      <c r="AC164" s="516"/>
      <c r="AD164" s="129"/>
      <c r="CF164" s="73">
        <v>144</v>
      </c>
      <c r="CG164" s="74" t="s">
        <v>662</v>
      </c>
      <c r="CH164" s="148">
        <f>E70</f>
        <v>0</v>
      </c>
      <c r="CI164" s="74" t="s">
        <v>657</v>
      </c>
      <c r="CJ164" s="76" t="s">
        <v>663</v>
      </c>
      <c r="CK164" s="74" t="s">
        <v>189</v>
      </c>
    </row>
    <row r="165" spans="1:89" ht="21.75" customHeight="1" x14ac:dyDescent="0.2">
      <c r="A165" s="15"/>
      <c r="B165" s="478" t="s">
        <v>664</v>
      </c>
      <c r="C165" s="517" t="s">
        <v>665</v>
      </c>
      <c r="D165" s="517"/>
      <c r="E165" s="517"/>
      <c r="F165" s="518" t="s">
        <v>666</v>
      </c>
      <c r="G165" s="518"/>
      <c r="H165" s="518"/>
      <c r="I165" s="518"/>
      <c r="J165" s="518" t="s">
        <v>667</v>
      </c>
      <c r="K165" s="518"/>
      <c r="L165" s="518"/>
      <c r="M165" s="518"/>
      <c r="N165" s="518" t="s">
        <v>668</v>
      </c>
      <c r="O165" s="518"/>
      <c r="P165" s="518"/>
      <c r="Q165" s="518"/>
      <c r="R165" s="518" t="s">
        <v>669</v>
      </c>
      <c r="S165" s="518"/>
      <c r="T165" s="518"/>
      <c r="U165" s="518"/>
      <c r="V165" s="518" t="s">
        <v>670</v>
      </c>
      <c r="W165" s="518"/>
      <c r="X165" s="518"/>
      <c r="Y165" s="518"/>
      <c r="Z165" s="518" t="s">
        <v>671</v>
      </c>
      <c r="AA165" s="518"/>
      <c r="AB165" s="518"/>
      <c r="AC165" s="518"/>
      <c r="AD165" s="15"/>
      <c r="CF165" s="65">
        <v>145</v>
      </c>
      <c r="CG165" s="66" t="s">
        <v>672</v>
      </c>
      <c r="CH165" s="141">
        <f>F70</f>
        <v>0</v>
      </c>
      <c r="CI165" s="66" t="s">
        <v>657</v>
      </c>
      <c r="CJ165" s="68" t="s">
        <v>673</v>
      </c>
      <c r="CK165" s="66" t="s">
        <v>312</v>
      </c>
    </row>
    <row r="166" spans="1:89" ht="21.75" customHeight="1" x14ac:dyDescent="0.2">
      <c r="A166" s="15"/>
      <c r="B166" s="478"/>
      <c r="C166" s="346" t="s">
        <v>62</v>
      </c>
      <c r="D166" s="347" t="s">
        <v>62</v>
      </c>
      <c r="E166" s="348" t="s">
        <v>674</v>
      </c>
      <c r="F166" s="349" t="s">
        <v>675</v>
      </c>
      <c r="G166" s="349" t="s">
        <v>676</v>
      </c>
      <c r="H166" s="349" t="s">
        <v>677</v>
      </c>
      <c r="I166" s="349" t="s">
        <v>678</v>
      </c>
      <c r="J166" s="349" t="s">
        <v>679</v>
      </c>
      <c r="K166" s="349" t="s">
        <v>680</v>
      </c>
      <c r="L166" s="349" t="s">
        <v>681</v>
      </c>
      <c r="M166" s="349" t="s">
        <v>682</v>
      </c>
      <c r="N166" s="349" t="s">
        <v>683</v>
      </c>
      <c r="O166" s="349" t="s">
        <v>684</v>
      </c>
      <c r="P166" s="349" t="s">
        <v>685</v>
      </c>
      <c r="Q166" s="349" t="s">
        <v>686</v>
      </c>
      <c r="R166" s="349" t="s">
        <v>687</v>
      </c>
      <c r="S166" s="349" t="s">
        <v>688</v>
      </c>
      <c r="T166" s="349" t="s">
        <v>689</v>
      </c>
      <c r="U166" s="349" t="s">
        <v>690</v>
      </c>
      <c r="V166" s="349" t="s">
        <v>691</v>
      </c>
      <c r="W166" s="349" t="s">
        <v>692</v>
      </c>
      <c r="X166" s="349" t="s">
        <v>693</v>
      </c>
      <c r="Y166" s="349" t="s">
        <v>694</v>
      </c>
      <c r="Z166" s="349" t="s">
        <v>695</v>
      </c>
      <c r="AA166" s="349" t="s">
        <v>696</v>
      </c>
      <c r="AB166" s="349" t="s">
        <v>697</v>
      </c>
      <c r="AC166" s="350" t="s">
        <v>698</v>
      </c>
      <c r="AD166" s="15"/>
      <c r="CF166" s="73">
        <v>146</v>
      </c>
      <c r="CG166" s="74" t="s">
        <v>699</v>
      </c>
      <c r="CH166" s="221" t="str">
        <f>G70</f>
        <v>0</v>
      </c>
      <c r="CI166" s="74" t="s">
        <v>657</v>
      </c>
      <c r="CJ166" s="76" t="s">
        <v>700</v>
      </c>
      <c r="CK166" s="74" t="s">
        <v>312</v>
      </c>
    </row>
    <row r="167" spans="1:89" ht="21.75" customHeight="1" x14ac:dyDescent="0.2">
      <c r="A167" s="15"/>
      <c r="B167" s="112" t="s">
        <v>701</v>
      </c>
      <c r="C167" s="346" t="s">
        <v>62</v>
      </c>
      <c r="D167" s="351" t="b">
        <f t="shared" ref="D167:D175" si="108">E167=100%</f>
        <v>1</v>
      </c>
      <c r="E167" s="352">
        <f t="shared" ref="E167:E175" si="109">SUM(F167:AC167)</f>
        <v>1</v>
      </c>
      <c r="F167" s="353">
        <f t="shared" ref="F167:AC167" si="110">F184/$C$184</f>
        <v>0</v>
      </c>
      <c r="G167" s="353">
        <f t="shared" si="110"/>
        <v>0</v>
      </c>
      <c r="H167" s="353">
        <f t="shared" si="110"/>
        <v>1.7895355673133453E-2</v>
      </c>
      <c r="I167" s="353">
        <f t="shared" si="110"/>
        <v>4.9762492651381537E-2</v>
      </c>
      <c r="J167" s="353">
        <f t="shared" si="110"/>
        <v>8.9016049382716053E-2</v>
      </c>
      <c r="K167" s="353">
        <f t="shared" si="110"/>
        <v>0.11554305408583186</v>
      </c>
      <c r="L167" s="353">
        <f t="shared" si="110"/>
        <v>0.14786497780717225</v>
      </c>
      <c r="M167" s="353">
        <f t="shared" si="110"/>
        <v>0.15795442581569663</v>
      </c>
      <c r="N167" s="353">
        <f t="shared" si="110"/>
        <v>0.15699655233502352</v>
      </c>
      <c r="O167" s="353">
        <f t="shared" si="110"/>
        <v>0.26496709224904469</v>
      </c>
      <c r="P167" s="353">
        <f t="shared" si="110"/>
        <v>2.5275221613203217E-17</v>
      </c>
      <c r="Q167" s="353">
        <f t="shared" si="110"/>
        <v>2.8061132987481604E-33</v>
      </c>
      <c r="R167" s="353">
        <f t="shared" si="110"/>
        <v>3.1154115939770581E-49</v>
      </c>
      <c r="S167" s="353">
        <f t="shared" si="110"/>
        <v>3.4588016828174896E-65</v>
      </c>
      <c r="T167" s="353">
        <f t="shared" si="110"/>
        <v>3.8400412658762146E-81</v>
      </c>
      <c r="U167" s="353">
        <f t="shared" si="110"/>
        <v>4.2633022288865059E-97</v>
      </c>
      <c r="V167" s="353">
        <f t="shared" si="110"/>
        <v>4.733216295445548E-113</v>
      </c>
      <c r="W167" s="353">
        <f t="shared" si="110"/>
        <v>5.2549257117346348E-129</v>
      </c>
      <c r="X167" s="353">
        <f t="shared" si="110"/>
        <v>5.8341395178625298E-145</v>
      </c>
      <c r="Y167" s="353">
        <f t="shared" si="110"/>
        <v>6.4771960216064903E-161</v>
      </c>
      <c r="Z167" s="353">
        <f t="shared" si="110"/>
        <v>7.1911321581979884E-177</v>
      </c>
      <c r="AA167" s="353">
        <f t="shared" si="110"/>
        <v>7.9837604951538004E-193</v>
      </c>
      <c r="AB167" s="353">
        <f t="shared" si="110"/>
        <v>8.8637547248124897E-209</v>
      </c>
      <c r="AC167" s="354">
        <f t="shared" si="110"/>
        <v>9.8407445801168444E-225</v>
      </c>
      <c r="AD167" s="295"/>
      <c r="CF167" s="65">
        <v>147</v>
      </c>
      <c r="CG167" s="66" t="s">
        <v>702</v>
      </c>
      <c r="CH167" s="231">
        <f>H70</f>
        <v>0</v>
      </c>
      <c r="CI167" s="66" t="s">
        <v>657</v>
      </c>
      <c r="CJ167" s="68" t="s">
        <v>703</v>
      </c>
      <c r="CK167" s="66" t="s">
        <v>378</v>
      </c>
    </row>
    <row r="168" spans="1:89" ht="21.75" customHeight="1" x14ac:dyDescent="0.2">
      <c r="A168" s="15"/>
      <c r="B168" s="112" t="s">
        <v>704</v>
      </c>
      <c r="C168" s="346" t="s">
        <v>62</v>
      </c>
      <c r="D168" s="351" t="b">
        <f t="shared" si="108"/>
        <v>1</v>
      </c>
      <c r="E168" s="352">
        <f t="shared" si="109"/>
        <v>1</v>
      </c>
      <c r="F168" s="353">
        <f t="shared" ref="F168:AC168" si="111">F189/$E$189</f>
        <v>8.4235860409145602E-2</v>
      </c>
      <c r="G168" s="353">
        <f t="shared" si="111"/>
        <v>6.0168471720818288E-2</v>
      </c>
      <c r="H168" s="353">
        <f t="shared" si="111"/>
        <v>0.20457280385078219</v>
      </c>
      <c r="I168" s="353">
        <f t="shared" si="111"/>
        <v>0.13237063778580024</v>
      </c>
      <c r="J168" s="353">
        <f t="shared" si="111"/>
        <v>7.8219013237063775E-2</v>
      </c>
      <c r="K168" s="353">
        <f t="shared" si="111"/>
        <v>6.6185318892900122E-2</v>
      </c>
      <c r="L168" s="353">
        <f t="shared" si="111"/>
        <v>4.8134777376654635E-2</v>
      </c>
      <c r="M168" s="353">
        <f t="shared" si="111"/>
        <v>6.7388688327316482E-2</v>
      </c>
      <c r="N168" s="353">
        <f t="shared" si="111"/>
        <v>9.0252707581227443E-2</v>
      </c>
      <c r="O168" s="353">
        <f t="shared" si="111"/>
        <v>0.1684717208182912</v>
      </c>
      <c r="P168" s="353">
        <f t="shared" si="111"/>
        <v>0</v>
      </c>
      <c r="Q168" s="353">
        <f t="shared" si="111"/>
        <v>0</v>
      </c>
      <c r="R168" s="353">
        <f t="shared" si="111"/>
        <v>0</v>
      </c>
      <c r="S168" s="353">
        <f t="shared" si="111"/>
        <v>0</v>
      </c>
      <c r="T168" s="353">
        <f t="shared" si="111"/>
        <v>0</v>
      </c>
      <c r="U168" s="353">
        <f t="shared" si="111"/>
        <v>0</v>
      </c>
      <c r="V168" s="353">
        <f t="shared" si="111"/>
        <v>0</v>
      </c>
      <c r="W168" s="353">
        <f t="shared" si="111"/>
        <v>0</v>
      </c>
      <c r="X168" s="353">
        <f t="shared" si="111"/>
        <v>0</v>
      </c>
      <c r="Y168" s="353">
        <f t="shared" si="111"/>
        <v>0</v>
      </c>
      <c r="Z168" s="353">
        <f t="shared" si="111"/>
        <v>0</v>
      </c>
      <c r="AA168" s="353">
        <f t="shared" si="111"/>
        <v>0</v>
      </c>
      <c r="AB168" s="353">
        <f t="shared" si="111"/>
        <v>0</v>
      </c>
      <c r="AC168" s="354">
        <f t="shared" si="111"/>
        <v>0</v>
      </c>
      <c r="AD168" s="295"/>
      <c r="CF168" s="73">
        <v>148</v>
      </c>
      <c r="CG168" s="74" t="s">
        <v>705</v>
      </c>
      <c r="CH168" s="93">
        <f>I70</f>
        <v>0</v>
      </c>
      <c r="CI168" s="74" t="s">
        <v>657</v>
      </c>
      <c r="CJ168" s="76" t="s">
        <v>706</v>
      </c>
      <c r="CK168" s="74" t="s">
        <v>315</v>
      </c>
    </row>
    <row r="169" spans="1:89" ht="21.75" customHeight="1" x14ac:dyDescent="0.2">
      <c r="A169" s="15"/>
      <c r="B169" s="112" t="s">
        <v>707</v>
      </c>
      <c r="C169" s="346" t="s">
        <v>62</v>
      </c>
      <c r="D169" s="351" t="b">
        <f t="shared" si="108"/>
        <v>1</v>
      </c>
      <c r="E169" s="352">
        <f t="shared" si="109"/>
        <v>1</v>
      </c>
      <c r="F169" s="353">
        <f t="shared" ref="F169:AC169" si="112">F191/$E$191</f>
        <v>0</v>
      </c>
      <c r="G169" s="353">
        <f t="shared" si="112"/>
        <v>0</v>
      </c>
      <c r="H169" s="353">
        <f t="shared" si="112"/>
        <v>0</v>
      </c>
      <c r="I169" s="353">
        <f t="shared" si="112"/>
        <v>0</v>
      </c>
      <c r="J169" s="353">
        <f t="shared" si="112"/>
        <v>0</v>
      </c>
      <c r="K169" s="353">
        <f t="shared" si="112"/>
        <v>0</v>
      </c>
      <c r="L169" s="353">
        <f t="shared" si="112"/>
        <v>0</v>
      </c>
      <c r="M169" s="353">
        <f t="shared" si="112"/>
        <v>0</v>
      </c>
      <c r="N169" s="353">
        <f t="shared" si="112"/>
        <v>0</v>
      </c>
      <c r="O169" s="353">
        <f t="shared" si="112"/>
        <v>0</v>
      </c>
      <c r="P169" s="353">
        <f t="shared" si="112"/>
        <v>0</v>
      </c>
      <c r="Q169" s="353">
        <f t="shared" si="112"/>
        <v>0</v>
      </c>
      <c r="R169" s="353">
        <f t="shared" si="112"/>
        <v>0</v>
      </c>
      <c r="S169" s="353">
        <f t="shared" si="112"/>
        <v>0</v>
      </c>
      <c r="T169" s="353">
        <f t="shared" si="112"/>
        <v>1</v>
      </c>
      <c r="U169" s="353">
        <f t="shared" si="112"/>
        <v>0</v>
      </c>
      <c r="V169" s="353">
        <f t="shared" si="112"/>
        <v>0</v>
      </c>
      <c r="W169" s="353">
        <f t="shared" si="112"/>
        <v>0</v>
      </c>
      <c r="X169" s="353">
        <f t="shared" si="112"/>
        <v>0</v>
      </c>
      <c r="Y169" s="353">
        <f t="shared" si="112"/>
        <v>0</v>
      </c>
      <c r="Z169" s="353">
        <f t="shared" si="112"/>
        <v>0</v>
      </c>
      <c r="AA169" s="353">
        <f t="shared" si="112"/>
        <v>0</v>
      </c>
      <c r="AB169" s="353">
        <f t="shared" si="112"/>
        <v>0</v>
      </c>
      <c r="AC169" s="354">
        <f t="shared" si="112"/>
        <v>0</v>
      </c>
      <c r="AD169" s="295"/>
      <c r="CF169" s="65">
        <v>149</v>
      </c>
      <c r="CG169" s="66" t="s">
        <v>708</v>
      </c>
      <c r="CH169" s="88">
        <f>J70</f>
        <v>0</v>
      </c>
      <c r="CI169" s="66" t="s">
        <v>657</v>
      </c>
      <c r="CJ169" s="68" t="s">
        <v>709</v>
      </c>
      <c r="CK169" s="66" t="s">
        <v>99</v>
      </c>
    </row>
    <row r="170" spans="1:89" ht="21.75" customHeight="1" x14ac:dyDescent="0.2">
      <c r="A170" s="15"/>
      <c r="B170" s="112" t="s">
        <v>710</v>
      </c>
      <c r="C170" s="346" t="s">
        <v>62</v>
      </c>
      <c r="D170" s="351" t="b">
        <f t="shared" si="108"/>
        <v>1</v>
      </c>
      <c r="E170" s="352">
        <f t="shared" si="109"/>
        <v>0.99999999999999978</v>
      </c>
      <c r="F170" s="353">
        <f t="shared" ref="F170:AC170" si="113">F214/$C$214</f>
        <v>0.40209556240617123</v>
      </c>
      <c r="G170" s="353">
        <f t="shared" si="113"/>
        <v>7.7110062508521454E-2</v>
      </c>
      <c r="H170" s="353">
        <f t="shared" si="113"/>
        <v>0</v>
      </c>
      <c r="I170" s="353">
        <f t="shared" si="113"/>
        <v>8.1485739930448886E-2</v>
      </c>
      <c r="J170" s="353">
        <f t="shared" si="113"/>
        <v>0</v>
      </c>
      <c r="K170" s="353">
        <f t="shared" si="113"/>
        <v>8.3986127028693111E-2</v>
      </c>
      <c r="L170" s="353">
        <f t="shared" si="113"/>
        <v>0</v>
      </c>
      <c r="M170" s="353">
        <f t="shared" si="113"/>
        <v>8.6486514126937336E-2</v>
      </c>
      <c r="N170" s="353">
        <f t="shared" si="113"/>
        <v>0</v>
      </c>
      <c r="O170" s="353">
        <f t="shared" si="113"/>
        <v>8.9611997999742635E-2</v>
      </c>
      <c r="P170" s="353">
        <f t="shared" si="113"/>
        <v>0</v>
      </c>
      <c r="Q170" s="353">
        <f t="shared" si="113"/>
        <v>8.9611997999742635E-2</v>
      </c>
      <c r="R170" s="353">
        <f t="shared" si="113"/>
        <v>0</v>
      </c>
      <c r="S170" s="353">
        <f t="shared" si="113"/>
        <v>8.9611997999742635E-2</v>
      </c>
      <c r="T170" s="353">
        <f t="shared" si="113"/>
        <v>0</v>
      </c>
      <c r="U170" s="353">
        <f t="shared" si="113"/>
        <v>0</v>
      </c>
      <c r="V170" s="353">
        <f t="shared" si="113"/>
        <v>0</v>
      </c>
      <c r="W170" s="353">
        <f t="shared" si="113"/>
        <v>0</v>
      </c>
      <c r="X170" s="353">
        <f t="shared" si="113"/>
        <v>0</v>
      </c>
      <c r="Y170" s="353">
        <f t="shared" si="113"/>
        <v>0</v>
      </c>
      <c r="Z170" s="353">
        <f t="shared" si="113"/>
        <v>0</v>
      </c>
      <c r="AA170" s="353">
        <f t="shared" si="113"/>
        <v>0</v>
      </c>
      <c r="AB170" s="353">
        <f t="shared" si="113"/>
        <v>0</v>
      </c>
      <c r="AC170" s="354">
        <f t="shared" si="113"/>
        <v>0</v>
      </c>
      <c r="AD170" s="295"/>
      <c r="CF170" s="73">
        <v>150</v>
      </c>
      <c r="CG170" s="74" t="s">
        <v>711</v>
      </c>
      <c r="CH170" s="246">
        <f>K70</f>
        <v>0</v>
      </c>
      <c r="CI170" s="74" t="s">
        <v>657</v>
      </c>
      <c r="CJ170" s="76" t="s">
        <v>712</v>
      </c>
      <c r="CK170" s="74" t="s">
        <v>387</v>
      </c>
    </row>
    <row r="171" spans="1:89" ht="21.75" customHeight="1" x14ac:dyDescent="0.2">
      <c r="A171" s="15"/>
      <c r="B171" s="112" t="s">
        <v>713</v>
      </c>
      <c r="C171" s="346" t="s">
        <v>62</v>
      </c>
      <c r="D171" s="351" t="b">
        <f t="shared" si="108"/>
        <v>1</v>
      </c>
      <c r="E171" s="352">
        <f t="shared" si="109"/>
        <v>0.99999999999999989</v>
      </c>
      <c r="F171" s="355">
        <v>0</v>
      </c>
      <c r="G171" s="355">
        <v>0</v>
      </c>
      <c r="H171" s="355">
        <v>0</v>
      </c>
      <c r="I171" s="355">
        <v>0</v>
      </c>
      <c r="J171" s="355"/>
      <c r="K171" s="355"/>
      <c r="L171" s="355"/>
      <c r="M171" s="355"/>
      <c r="N171" s="355"/>
      <c r="O171" s="355">
        <f>1/7</f>
        <v>0.14285714285714285</v>
      </c>
      <c r="P171" s="355">
        <f>1/7</f>
        <v>0.14285714285714285</v>
      </c>
      <c r="Q171" s="355">
        <f>1/7</f>
        <v>0.14285714285714285</v>
      </c>
      <c r="R171" s="355">
        <f>2/7</f>
        <v>0.2857142857142857</v>
      </c>
      <c r="S171" s="355">
        <f>2/7</f>
        <v>0.2857142857142857</v>
      </c>
      <c r="T171" s="355"/>
      <c r="U171" s="355">
        <v>0</v>
      </c>
      <c r="V171" s="355">
        <v>0</v>
      </c>
      <c r="W171" s="355">
        <v>0</v>
      </c>
      <c r="X171" s="355">
        <v>0</v>
      </c>
      <c r="Y171" s="355">
        <v>0</v>
      </c>
      <c r="Z171" s="355">
        <v>0</v>
      </c>
      <c r="AA171" s="355">
        <v>0</v>
      </c>
      <c r="AB171" s="355">
        <v>0</v>
      </c>
      <c r="AC171" s="356">
        <v>0</v>
      </c>
      <c r="AD171" s="295"/>
      <c r="CF171" s="65">
        <v>151</v>
      </c>
      <c r="CG171" s="66" t="s">
        <v>714</v>
      </c>
      <c r="CH171" s="252" t="str">
        <f>L70</f>
        <v>لا يــــنــطــبــق</v>
      </c>
      <c r="CI171" s="66" t="s">
        <v>657</v>
      </c>
      <c r="CJ171" s="68" t="s">
        <v>715</v>
      </c>
      <c r="CK171" s="66" t="s">
        <v>390</v>
      </c>
    </row>
    <row r="172" spans="1:89" ht="25.5" customHeight="1" x14ac:dyDescent="0.2">
      <c r="A172" s="15"/>
      <c r="B172" s="112" t="s">
        <v>716</v>
      </c>
      <c r="C172" s="346" t="s">
        <v>62</v>
      </c>
      <c r="D172" s="351" t="b">
        <f t="shared" si="108"/>
        <v>1</v>
      </c>
      <c r="E172" s="352">
        <f t="shared" si="109"/>
        <v>1</v>
      </c>
      <c r="F172" s="355">
        <v>0</v>
      </c>
      <c r="G172" s="355">
        <v>0</v>
      </c>
      <c r="H172" s="355">
        <v>0</v>
      </c>
      <c r="I172" s="355">
        <v>0</v>
      </c>
      <c r="J172" s="355"/>
      <c r="K172" s="355"/>
      <c r="L172" s="355"/>
      <c r="M172" s="355"/>
      <c r="N172" s="355"/>
      <c r="O172" s="355"/>
      <c r="P172" s="355">
        <v>0.2</v>
      </c>
      <c r="Q172" s="355">
        <v>0.2</v>
      </c>
      <c r="R172" s="355">
        <v>0.3</v>
      </c>
      <c r="S172" s="355">
        <v>0.3</v>
      </c>
      <c r="T172" s="355"/>
      <c r="U172" s="355">
        <v>0</v>
      </c>
      <c r="V172" s="355">
        <v>0</v>
      </c>
      <c r="W172" s="355">
        <v>0</v>
      </c>
      <c r="X172" s="355">
        <v>0</v>
      </c>
      <c r="Y172" s="355">
        <v>0</v>
      </c>
      <c r="Z172" s="355">
        <v>0</v>
      </c>
      <c r="AA172" s="355">
        <v>0</v>
      </c>
      <c r="AB172" s="355">
        <v>0</v>
      </c>
      <c r="AC172" s="356">
        <v>0</v>
      </c>
      <c r="AD172" s="295"/>
      <c r="CF172" s="455" t="s">
        <v>717</v>
      </c>
      <c r="CG172" s="455"/>
      <c r="CH172" s="455"/>
      <c r="CI172" s="455"/>
      <c r="CJ172" s="455"/>
      <c r="CK172" s="455"/>
    </row>
    <row r="173" spans="1:89" ht="21.75" customHeight="1" x14ac:dyDescent="0.2">
      <c r="A173" s="15"/>
      <c r="B173" s="112" t="s">
        <v>718</v>
      </c>
      <c r="C173" s="346" t="s">
        <v>62</v>
      </c>
      <c r="D173" s="351" t="b">
        <f t="shared" si="108"/>
        <v>1</v>
      </c>
      <c r="E173" s="352">
        <f t="shared" si="109"/>
        <v>1</v>
      </c>
      <c r="F173" s="355">
        <v>0</v>
      </c>
      <c r="G173" s="355">
        <v>0</v>
      </c>
      <c r="H173" s="355">
        <v>0</v>
      </c>
      <c r="I173" s="355">
        <v>0</v>
      </c>
      <c r="J173" s="355"/>
      <c r="K173" s="355"/>
      <c r="L173" s="355"/>
      <c r="M173" s="355"/>
      <c r="N173" s="355"/>
      <c r="O173" s="355">
        <v>0</v>
      </c>
      <c r="P173" s="355">
        <v>0.1</v>
      </c>
      <c r="Q173" s="355">
        <v>0.15</v>
      </c>
      <c r="R173" s="355">
        <v>0.15</v>
      </c>
      <c r="S173" s="355">
        <v>0.25</v>
      </c>
      <c r="T173" s="355">
        <v>0.35</v>
      </c>
      <c r="U173" s="355">
        <v>0</v>
      </c>
      <c r="V173" s="355">
        <v>0</v>
      </c>
      <c r="W173" s="355">
        <v>0</v>
      </c>
      <c r="X173" s="355">
        <v>0</v>
      </c>
      <c r="Y173" s="355">
        <v>0</v>
      </c>
      <c r="Z173" s="355">
        <v>0</v>
      </c>
      <c r="AA173" s="355">
        <v>0</v>
      </c>
      <c r="AB173" s="355">
        <v>0</v>
      </c>
      <c r="AC173" s="356">
        <v>0</v>
      </c>
      <c r="AD173" s="295"/>
      <c r="CF173" s="73">
        <v>152</v>
      </c>
      <c r="CG173" s="74" t="s">
        <v>719</v>
      </c>
      <c r="CH173" s="148">
        <f>C71</f>
        <v>0.1981382978723405</v>
      </c>
      <c r="CI173" s="74" t="s">
        <v>720</v>
      </c>
      <c r="CJ173" s="76" t="s">
        <v>721</v>
      </c>
      <c r="CK173" s="74" t="s">
        <v>189</v>
      </c>
    </row>
    <row r="174" spans="1:89" ht="21.75" customHeight="1" x14ac:dyDescent="0.2">
      <c r="A174" s="15"/>
      <c r="B174" s="112" t="s">
        <v>722</v>
      </c>
      <c r="C174" s="346" t="s">
        <v>62</v>
      </c>
      <c r="D174" s="351" t="b">
        <f t="shared" si="108"/>
        <v>1</v>
      </c>
      <c r="E174" s="352">
        <f t="shared" si="109"/>
        <v>1</v>
      </c>
      <c r="F174" s="355">
        <v>0</v>
      </c>
      <c r="G174" s="355">
        <v>0</v>
      </c>
      <c r="H174" s="355">
        <v>0</v>
      </c>
      <c r="I174" s="355">
        <v>0</v>
      </c>
      <c r="J174" s="355"/>
      <c r="K174" s="355"/>
      <c r="L174" s="355"/>
      <c r="M174" s="355"/>
      <c r="N174" s="355"/>
      <c r="O174" s="355"/>
      <c r="P174" s="355"/>
      <c r="Q174" s="355"/>
      <c r="R174" s="355"/>
      <c r="S174" s="355">
        <v>0.21</v>
      </c>
      <c r="T174" s="355">
        <v>0.79</v>
      </c>
      <c r="U174" s="355">
        <v>0</v>
      </c>
      <c r="V174" s="355">
        <v>0</v>
      </c>
      <c r="W174" s="355">
        <v>0</v>
      </c>
      <c r="X174" s="355">
        <v>0</v>
      </c>
      <c r="Y174" s="355">
        <v>0</v>
      </c>
      <c r="Z174" s="355">
        <v>0</v>
      </c>
      <c r="AA174" s="355">
        <v>0</v>
      </c>
      <c r="AB174" s="355">
        <v>0</v>
      </c>
      <c r="AC174" s="356">
        <v>0</v>
      </c>
      <c r="AD174" s="295"/>
      <c r="CF174" s="65">
        <v>153</v>
      </c>
      <c r="CG174" s="66" t="s">
        <v>723</v>
      </c>
      <c r="CH174" s="141">
        <f>D71</f>
        <v>3616.4202127659587</v>
      </c>
      <c r="CI174" s="66" t="s">
        <v>720</v>
      </c>
      <c r="CJ174" s="68" t="s">
        <v>724</v>
      </c>
      <c r="CK174" s="66" t="s">
        <v>312</v>
      </c>
    </row>
    <row r="175" spans="1:89" ht="21.75" customHeight="1" x14ac:dyDescent="0.2">
      <c r="A175" s="15"/>
      <c r="B175" s="357" t="s">
        <v>725</v>
      </c>
      <c r="C175" s="358" t="s">
        <v>62</v>
      </c>
      <c r="D175" s="359" t="b">
        <f t="shared" si="108"/>
        <v>1</v>
      </c>
      <c r="E175" s="360">
        <f t="shared" si="109"/>
        <v>0.99999999999999989</v>
      </c>
      <c r="F175" s="361">
        <v>0</v>
      </c>
      <c r="G175" s="361">
        <v>0</v>
      </c>
      <c r="H175" s="361">
        <v>0.2</v>
      </c>
      <c r="I175" s="361">
        <v>0.15</v>
      </c>
      <c r="J175" s="361">
        <v>0.1</v>
      </c>
      <c r="K175" s="361">
        <v>0.1</v>
      </c>
      <c r="L175" s="361">
        <v>0.1</v>
      </c>
      <c r="M175" s="361">
        <v>0.1</v>
      </c>
      <c r="N175" s="361">
        <v>0.1</v>
      </c>
      <c r="O175" s="361">
        <v>0.15</v>
      </c>
      <c r="P175" s="361"/>
      <c r="Q175" s="361"/>
      <c r="R175" s="361"/>
      <c r="S175" s="361"/>
      <c r="T175" s="361"/>
      <c r="U175" s="361">
        <v>0</v>
      </c>
      <c r="V175" s="361">
        <v>0</v>
      </c>
      <c r="W175" s="361">
        <v>0</v>
      </c>
      <c r="X175" s="361">
        <v>0</v>
      </c>
      <c r="Y175" s="361">
        <v>0</v>
      </c>
      <c r="Z175" s="361">
        <v>0</v>
      </c>
      <c r="AA175" s="361">
        <v>0</v>
      </c>
      <c r="AB175" s="361">
        <v>0</v>
      </c>
      <c r="AC175" s="362">
        <v>0</v>
      </c>
      <c r="AD175" s="295"/>
      <c r="CF175" s="73">
        <v>154</v>
      </c>
      <c r="CG175" s="74" t="s">
        <v>726</v>
      </c>
      <c r="CH175" s="93">
        <f>I71</f>
        <v>3080</v>
      </c>
      <c r="CI175" s="74" t="s">
        <v>720</v>
      </c>
      <c r="CJ175" s="76" t="s">
        <v>727</v>
      </c>
      <c r="CK175" s="74" t="s">
        <v>315</v>
      </c>
    </row>
    <row r="176" spans="1:89" ht="21.75" customHeight="1" x14ac:dyDescent="0.2">
      <c r="A176" s="15"/>
      <c r="AD176" s="295"/>
      <c r="CF176" s="65">
        <v>155</v>
      </c>
      <c r="CG176" s="66" t="s">
        <v>728</v>
      </c>
      <c r="CH176" s="88">
        <f>J71</f>
        <v>11138574.255319152</v>
      </c>
      <c r="CI176" s="66" t="s">
        <v>720</v>
      </c>
      <c r="CJ176" s="68" t="s">
        <v>729</v>
      </c>
      <c r="CK176" s="66" t="s">
        <v>99</v>
      </c>
    </row>
    <row r="177" spans="1:89" ht="25.5" customHeight="1" x14ac:dyDescent="0.2">
      <c r="A177" s="15"/>
      <c r="B177" s="519" t="s">
        <v>730</v>
      </c>
      <c r="C177" s="519"/>
      <c r="D177" s="519"/>
      <c r="E177" s="363" t="s">
        <v>731</v>
      </c>
      <c r="F177" s="364">
        <v>46022</v>
      </c>
      <c r="G177" s="364">
        <f t="shared" ref="G177:AC177" si="114">EOMONTH(F177,3)</f>
        <v>46112</v>
      </c>
      <c r="H177" s="364">
        <f t="shared" si="114"/>
        <v>46203</v>
      </c>
      <c r="I177" s="364">
        <f t="shared" si="114"/>
        <v>46295</v>
      </c>
      <c r="J177" s="364">
        <f t="shared" si="114"/>
        <v>46387</v>
      </c>
      <c r="K177" s="364">
        <f t="shared" si="114"/>
        <v>46477</v>
      </c>
      <c r="L177" s="364">
        <f t="shared" si="114"/>
        <v>46568</v>
      </c>
      <c r="M177" s="364">
        <f t="shared" si="114"/>
        <v>46660</v>
      </c>
      <c r="N177" s="364">
        <f t="shared" si="114"/>
        <v>46752</v>
      </c>
      <c r="O177" s="364">
        <f t="shared" si="114"/>
        <v>46843</v>
      </c>
      <c r="P177" s="364">
        <f t="shared" si="114"/>
        <v>46934</v>
      </c>
      <c r="Q177" s="364">
        <f t="shared" si="114"/>
        <v>47026</v>
      </c>
      <c r="R177" s="364">
        <f t="shared" si="114"/>
        <v>47118</v>
      </c>
      <c r="S177" s="364">
        <f t="shared" si="114"/>
        <v>47208</v>
      </c>
      <c r="T177" s="364">
        <f t="shared" si="114"/>
        <v>47299</v>
      </c>
      <c r="U177" s="364">
        <f t="shared" si="114"/>
        <v>47391</v>
      </c>
      <c r="V177" s="364">
        <f t="shared" si="114"/>
        <v>47483</v>
      </c>
      <c r="W177" s="364">
        <f t="shared" si="114"/>
        <v>47573</v>
      </c>
      <c r="X177" s="364">
        <f t="shared" si="114"/>
        <v>47664</v>
      </c>
      <c r="Y177" s="364">
        <f t="shared" si="114"/>
        <v>47756</v>
      </c>
      <c r="Z177" s="364">
        <f t="shared" si="114"/>
        <v>47848</v>
      </c>
      <c r="AA177" s="364">
        <f t="shared" si="114"/>
        <v>47938</v>
      </c>
      <c r="AB177" s="364">
        <f t="shared" si="114"/>
        <v>48029</v>
      </c>
      <c r="AC177" s="365">
        <f t="shared" si="114"/>
        <v>48121</v>
      </c>
      <c r="AD177" s="295"/>
      <c r="CF177" s="455" t="s">
        <v>732</v>
      </c>
      <c r="CG177" s="455"/>
      <c r="CH177" s="455"/>
      <c r="CI177" s="455"/>
      <c r="CJ177" s="455"/>
      <c r="CK177" s="455"/>
    </row>
    <row r="178" spans="1:89" ht="21.75" customHeight="1" x14ac:dyDescent="0.2">
      <c r="A178" s="15"/>
      <c r="B178" s="520" t="s">
        <v>733</v>
      </c>
      <c r="C178" s="520"/>
      <c r="D178" s="520"/>
      <c r="E178" s="520"/>
      <c r="F178" s="348">
        <f>F189</f>
        <v>7000000</v>
      </c>
      <c r="G178" s="348">
        <f t="shared" ref="G178:AC178" si="115">F178+G189+G191</f>
        <v>12000000</v>
      </c>
      <c r="H178" s="348">
        <f t="shared" si="115"/>
        <v>29000000</v>
      </c>
      <c r="I178" s="348">
        <f t="shared" si="115"/>
        <v>40000000</v>
      </c>
      <c r="J178" s="348">
        <f t="shared" si="115"/>
        <v>46500000</v>
      </c>
      <c r="K178" s="348">
        <f t="shared" si="115"/>
        <v>52000000</v>
      </c>
      <c r="L178" s="348">
        <f t="shared" si="115"/>
        <v>56000000</v>
      </c>
      <c r="M178" s="348">
        <f t="shared" si="115"/>
        <v>61600000</v>
      </c>
      <c r="N178" s="348">
        <f t="shared" si="115"/>
        <v>69100000</v>
      </c>
      <c r="O178" s="348">
        <f t="shared" si="115"/>
        <v>83100000</v>
      </c>
      <c r="P178" s="348">
        <f t="shared" si="115"/>
        <v>83100000</v>
      </c>
      <c r="Q178" s="348">
        <f t="shared" si="115"/>
        <v>83100000</v>
      </c>
      <c r="R178" s="348">
        <f t="shared" si="115"/>
        <v>83100000</v>
      </c>
      <c r="S178" s="348">
        <f t="shared" si="115"/>
        <v>83100000</v>
      </c>
      <c r="T178" s="348">
        <f t="shared" si="115"/>
        <v>0</v>
      </c>
      <c r="U178" s="348">
        <f t="shared" si="115"/>
        <v>0</v>
      </c>
      <c r="V178" s="348">
        <f t="shared" si="115"/>
        <v>0</v>
      </c>
      <c r="W178" s="348">
        <f t="shared" si="115"/>
        <v>0</v>
      </c>
      <c r="X178" s="348">
        <f t="shared" si="115"/>
        <v>0</v>
      </c>
      <c r="Y178" s="348">
        <f t="shared" si="115"/>
        <v>0</v>
      </c>
      <c r="Z178" s="348">
        <f t="shared" si="115"/>
        <v>0</v>
      </c>
      <c r="AA178" s="348">
        <f t="shared" si="115"/>
        <v>0</v>
      </c>
      <c r="AB178" s="348">
        <f t="shared" si="115"/>
        <v>0</v>
      </c>
      <c r="AC178" s="205">
        <f t="shared" si="115"/>
        <v>0</v>
      </c>
      <c r="AD178" s="295"/>
      <c r="CF178" s="73">
        <v>156</v>
      </c>
      <c r="CG178" s="74" t="s">
        <v>734</v>
      </c>
      <c r="CH178" s="220">
        <f>C73</f>
        <v>0.67</v>
      </c>
      <c r="CI178" s="74" t="s">
        <v>735</v>
      </c>
      <c r="CJ178" s="76" t="s">
        <v>736</v>
      </c>
      <c r="CK178" s="74" t="s">
        <v>737</v>
      </c>
    </row>
    <row r="179" spans="1:89" ht="21.75" customHeight="1" x14ac:dyDescent="0.2">
      <c r="A179" s="15"/>
      <c r="B179" s="112" t="s">
        <v>144</v>
      </c>
      <c r="C179" s="348" t="s">
        <v>738</v>
      </c>
      <c r="D179" s="347" t="s">
        <v>62</v>
      </c>
      <c r="E179" s="348" t="s">
        <v>739</v>
      </c>
      <c r="F179" s="349" t="s">
        <v>675</v>
      </c>
      <c r="G179" s="349" t="s">
        <v>676</v>
      </c>
      <c r="H179" s="349" t="s">
        <v>677</v>
      </c>
      <c r="I179" s="349" t="s">
        <v>678</v>
      </c>
      <c r="J179" s="349" t="s">
        <v>679</v>
      </c>
      <c r="K179" s="349" t="s">
        <v>680</v>
      </c>
      <c r="L179" s="349" t="s">
        <v>681</v>
      </c>
      <c r="M179" s="349" t="s">
        <v>682</v>
      </c>
      <c r="N179" s="349" t="s">
        <v>683</v>
      </c>
      <c r="O179" s="349" t="s">
        <v>684</v>
      </c>
      <c r="P179" s="349" t="s">
        <v>685</v>
      </c>
      <c r="Q179" s="349" t="s">
        <v>686</v>
      </c>
      <c r="R179" s="349" t="s">
        <v>687</v>
      </c>
      <c r="S179" s="349" t="s">
        <v>688</v>
      </c>
      <c r="T179" s="349" t="s">
        <v>689</v>
      </c>
      <c r="U179" s="349" t="s">
        <v>690</v>
      </c>
      <c r="V179" s="349" t="s">
        <v>691</v>
      </c>
      <c r="W179" s="349" t="s">
        <v>692</v>
      </c>
      <c r="X179" s="349" t="s">
        <v>693</v>
      </c>
      <c r="Y179" s="349" t="s">
        <v>694</v>
      </c>
      <c r="Z179" s="349" t="s">
        <v>695</v>
      </c>
      <c r="AA179" s="349" t="s">
        <v>696</v>
      </c>
      <c r="AB179" s="349" t="s">
        <v>697</v>
      </c>
      <c r="AC179" s="350" t="s">
        <v>698</v>
      </c>
      <c r="AD179" s="295"/>
      <c r="CF179" s="65">
        <v>157</v>
      </c>
      <c r="CG179" s="66" t="s">
        <v>740</v>
      </c>
      <c r="CH179" s="141">
        <f>D73</f>
        <v>3135.6000000000004</v>
      </c>
      <c r="CI179" s="66" t="s">
        <v>735</v>
      </c>
      <c r="CJ179" s="68" t="s">
        <v>741</v>
      </c>
      <c r="CK179" s="66" t="s">
        <v>312</v>
      </c>
    </row>
    <row r="180" spans="1:89" ht="21.75" customHeight="1" x14ac:dyDescent="0.2">
      <c r="A180" s="15"/>
      <c r="B180" s="366" t="s">
        <v>742</v>
      </c>
      <c r="C180" s="367">
        <f>H19</f>
        <v>20000000</v>
      </c>
      <c r="D180" s="351" t="b">
        <f t="shared" ref="D180:D189" si="116">IF(ABS(E180 - C180) &lt; MAX(0.00001, E180 * 0.00001), TRUE(), FALSE())</f>
        <v>1</v>
      </c>
      <c r="E180" s="367">
        <f t="shared" ref="E180:E189" si="117">SUM(F180:AC180)</f>
        <v>20000000</v>
      </c>
      <c r="F180" s="198">
        <f>C180</f>
        <v>20000000</v>
      </c>
      <c r="G180" s="198">
        <v>0</v>
      </c>
      <c r="H180" s="198">
        <v>0</v>
      </c>
      <c r="I180" s="198">
        <v>0</v>
      </c>
      <c r="J180" s="198">
        <v>0</v>
      </c>
      <c r="K180" s="198">
        <v>0</v>
      </c>
      <c r="L180" s="198">
        <v>0</v>
      </c>
      <c r="M180" s="198">
        <v>0</v>
      </c>
      <c r="N180" s="198">
        <v>0</v>
      </c>
      <c r="O180" s="198">
        <v>0</v>
      </c>
      <c r="P180" s="198">
        <v>0</v>
      </c>
      <c r="Q180" s="198">
        <v>0</v>
      </c>
      <c r="R180" s="198">
        <v>0</v>
      </c>
      <c r="S180" s="198">
        <v>0</v>
      </c>
      <c r="T180" s="198">
        <v>0</v>
      </c>
      <c r="U180" s="198">
        <v>0</v>
      </c>
      <c r="V180" s="198">
        <v>0</v>
      </c>
      <c r="W180" s="198">
        <v>0</v>
      </c>
      <c r="X180" s="198">
        <v>0</v>
      </c>
      <c r="Y180" s="198">
        <v>0</v>
      </c>
      <c r="Z180" s="198">
        <v>0</v>
      </c>
      <c r="AA180" s="198">
        <v>0</v>
      </c>
      <c r="AB180" s="198">
        <v>0</v>
      </c>
      <c r="AC180" s="200">
        <v>0</v>
      </c>
      <c r="AD180" s="295"/>
      <c r="CF180" s="73">
        <v>158</v>
      </c>
      <c r="CG180" s="74" t="s">
        <v>743</v>
      </c>
      <c r="CH180" s="93">
        <f>I73</f>
        <v>900</v>
      </c>
      <c r="CI180" s="74" t="s">
        <v>735</v>
      </c>
      <c r="CJ180" s="76" t="s">
        <v>744</v>
      </c>
      <c r="CK180" s="74" t="s">
        <v>315</v>
      </c>
    </row>
    <row r="181" spans="1:89" ht="21.75" customHeight="1" x14ac:dyDescent="0.2">
      <c r="A181" s="15"/>
      <c r="B181" s="366" t="s">
        <v>745</v>
      </c>
      <c r="C181" s="367">
        <f>H21</f>
        <v>0</v>
      </c>
      <c r="D181" s="351" t="b">
        <f t="shared" si="116"/>
        <v>1</v>
      </c>
      <c r="E181" s="367">
        <f t="shared" si="117"/>
        <v>0</v>
      </c>
      <c r="F181" s="198">
        <f>C181</f>
        <v>0</v>
      </c>
      <c r="G181" s="368">
        <v>0</v>
      </c>
      <c r="H181" s="368">
        <v>0</v>
      </c>
      <c r="I181" s="368">
        <v>0</v>
      </c>
      <c r="J181" s="368">
        <v>0</v>
      </c>
      <c r="K181" s="368">
        <v>0</v>
      </c>
      <c r="L181" s="368">
        <v>0</v>
      </c>
      <c r="M181" s="368">
        <v>0</v>
      </c>
      <c r="N181" s="368">
        <v>0</v>
      </c>
      <c r="O181" s="368">
        <v>0</v>
      </c>
      <c r="P181" s="368">
        <v>0</v>
      </c>
      <c r="Q181" s="368">
        <v>0</v>
      </c>
      <c r="R181" s="368">
        <v>0</v>
      </c>
      <c r="S181" s="368">
        <v>0</v>
      </c>
      <c r="T181" s="368">
        <v>0</v>
      </c>
      <c r="U181" s="368">
        <v>0</v>
      </c>
      <c r="V181" s="368">
        <v>0</v>
      </c>
      <c r="W181" s="368">
        <v>0</v>
      </c>
      <c r="X181" s="368">
        <v>0</v>
      </c>
      <c r="Y181" s="368">
        <v>0</v>
      </c>
      <c r="Z181" s="368">
        <v>0</v>
      </c>
      <c r="AA181" s="368">
        <v>0</v>
      </c>
      <c r="AB181" s="368">
        <v>0</v>
      </c>
      <c r="AC181" s="369">
        <v>0</v>
      </c>
      <c r="AD181" s="295"/>
      <c r="CF181" s="65">
        <v>159</v>
      </c>
      <c r="CG181" s="66" t="s">
        <v>746</v>
      </c>
      <c r="CH181" s="88">
        <f>J73</f>
        <v>2822040.0000000005</v>
      </c>
      <c r="CI181" s="66" t="s">
        <v>735</v>
      </c>
      <c r="CJ181" s="68" t="s">
        <v>747</v>
      </c>
      <c r="CK181" s="66" t="s">
        <v>99</v>
      </c>
    </row>
    <row r="182" spans="1:89" ht="21.75" customHeight="1" x14ac:dyDescent="0.2">
      <c r="A182" s="15"/>
      <c r="B182" s="366" t="s">
        <v>748</v>
      </c>
      <c r="C182" s="367">
        <f>H22</f>
        <v>10147458.231382981</v>
      </c>
      <c r="D182" s="351" t="b">
        <f t="shared" si="116"/>
        <v>1</v>
      </c>
      <c r="E182" s="367">
        <f t="shared" si="117"/>
        <v>10147458.231382981</v>
      </c>
      <c r="F182" s="198">
        <f t="shared" ref="F182:AC182" si="118">((-$D$104*F196)+(-$E$104*F196))*$J$22</f>
        <v>0</v>
      </c>
      <c r="G182" s="198">
        <f t="shared" si="118"/>
        <v>0</v>
      </c>
      <c r="H182" s="198">
        <f t="shared" si="118"/>
        <v>2029491.646276596</v>
      </c>
      <c r="I182" s="198">
        <f t="shared" si="118"/>
        <v>1522118.7347074468</v>
      </c>
      <c r="J182" s="198">
        <f t="shared" si="118"/>
        <v>1014745.823138298</v>
      </c>
      <c r="K182" s="198">
        <f t="shared" si="118"/>
        <v>1014745.823138298</v>
      </c>
      <c r="L182" s="198">
        <f t="shared" si="118"/>
        <v>1014745.823138298</v>
      </c>
      <c r="M182" s="198">
        <f t="shared" si="118"/>
        <v>1014745.823138298</v>
      </c>
      <c r="N182" s="198">
        <f t="shared" si="118"/>
        <v>1014745.823138298</v>
      </c>
      <c r="O182" s="198">
        <f t="shared" si="118"/>
        <v>1522118.7347074468</v>
      </c>
      <c r="P182" s="198">
        <f t="shared" si="118"/>
        <v>0</v>
      </c>
      <c r="Q182" s="198">
        <f t="shared" si="118"/>
        <v>0</v>
      </c>
      <c r="R182" s="198">
        <f t="shared" si="118"/>
        <v>0</v>
      </c>
      <c r="S182" s="198">
        <f t="shared" si="118"/>
        <v>0</v>
      </c>
      <c r="T182" s="198">
        <f t="shared" si="118"/>
        <v>0</v>
      </c>
      <c r="U182" s="198">
        <f t="shared" si="118"/>
        <v>0</v>
      </c>
      <c r="V182" s="198">
        <f t="shared" si="118"/>
        <v>0</v>
      </c>
      <c r="W182" s="198">
        <f t="shared" si="118"/>
        <v>0</v>
      </c>
      <c r="X182" s="198">
        <f t="shared" si="118"/>
        <v>0</v>
      </c>
      <c r="Y182" s="198">
        <f t="shared" si="118"/>
        <v>0</v>
      </c>
      <c r="Z182" s="198">
        <f t="shared" si="118"/>
        <v>0</v>
      </c>
      <c r="AA182" s="198">
        <f t="shared" si="118"/>
        <v>0</v>
      </c>
      <c r="AB182" s="198">
        <f t="shared" si="118"/>
        <v>0</v>
      </c>
      <c r="AC182" s="369">
        <f t="shared" si="118"/>
        <v>0</v>
      </c>
      <c r="AD182" s="295"/>
      <c r="CF182" s="73">
        <v>160</v>
      </c>
      <c r="CG182" s="74" t="s">
        <v>749</v>
      </c>
      <c r="CH182" s="220">
        <f>C74</f>
        <v>2</v>
      </c>
      <c r="CI182" s="74" t="s">
        <v>735</v>
      </c>
      <c r="CJ182" s="76" t="s">
        <v>750</v>
      </c>
      <c r="CK182" s="74" t="s">
        <v>737</v>
      </c>
    </row>
    <row r="183" spans="1:89" ht="21.75" customHeight="1" x14ac:dyDescent="0.2">
      <c r="A183" s="15"/>
      <c r="B183" s="366" t="s">
        <v>751</v>
      </c>
      <c r="C183" s="367">
        <f>H23</f>
        <v>42588000</v>
      </c>
      <c r="D183" s="351" t="b">
        <f t="shared" si="116"/>
        <v>1</v>
      </c>
      <c r="E183" s="367">
        <f t="shared" si="117"/>
        <v>42588000</v>
      </c>
      <c r="F183" s="198">
        <f>C183</f>
        <v>42588000</v>
      </c>
      <c r="G183" s="368">
        <v>0</v>
      </c>
      <c r="H183" s="368">
        <v>0</v>
      </c>
      <c r="I183" s="368">
        <v>0</v>
      </c>
      <c r="J183" s="368">
        <v>0</v>
      </c>
      <c r="K183" s="368">
        <v>0</v>
      </c>
      <c r="L183" s="368">
        <v>0</v>
      </c>
      <c r="M183" s="368">
        <v>0</v>
      </c>
      <c r="N183" s="368">
        <v>0</v>
      </c>
      <c r="O183" s="368">
        <v>0</v>
      </c>
      <c r="P183" s="368">
        <v>0</v>
      </c>
      <c r="Q183" s="368">
        <v>0</v>
      </c>
      <c r="R183" s="368">
        <v>0</v>
      </c>
      <c r="S183" s="368">
        <v>0</v>
      </c>
      <c r="T183" s="368">
        <v>0</v>
      </c>
      <c r="U183" s="368">
        <v>0</v>
      </c>
      <c r="V183" s="368">
        <v>0</v>
      </c>
      <c r="W183" s="368">
        <v>0</v>
      </c>
      <c r="X183" s="368">
        <v>0</v>
      </c>
      <c r="Y183" s="368">
        <v>0</v>
      </c>
      <c r="Z183" s="368">
        <v>0</v>
      </c>
      <c r="AA183" s="368">
        <v>0</v>
      </c>
      <c r="AB183" s="368">
        <v>0</v>
      </c>
      <c r="AC183" s="369">
        <v>0</v>
      </c>
      <c r="AD183" s="295"/>
      <c r="CF183" s="65">
        <v>161</v>
      </c>
      <c r="CG183" s="66" t="s">
        <v>752</v>
      </c>
      <c r="CH183" s="141">
        <f>D74</f>
        <v>9360</v>
      </c>
      <c r="CI183" s="66" t="s">
        <v>735</v>
      </c>
      <c r="CJ183" s="68" t="s">
        <v>753</v>
      </c>
      <c r="CK183" s="66" t="s">
        <v>312</v>
      </c>
    </row>
    <row r="184" spans="1:89" ht="21.75" customHeight="1" x14ac:dyDescent="0.2">
      <c r="A184" s="295"/>
      <c r="B184" s="112" t="s">
        <v>701</v>
      </c>
      <c r="C184" s="367">
        <f>AC139</f>
        <v>36847256.52925536</v>
      </c>
      <c r="D184" s="351" t="b">
        <f t="shared" si="116"/>
        <v>1</v>
      </c>
      <c r="E184" s="367">
        <f t="shared" si="117"/>
        <v>36847256.52925536</v>
      </c>
      <c r="F184" s="370">
        <f t="shared" ref="F184:N184" si="119">F296</f>
        <v>0</v>
      </c>
      <c r="G184" s="368">
        <f t="shared" si="119"/>
        <v>0</v>
      </c>
      <c r="H184" s="368">
        <f t="shared" si="119"/>
        <v>659394.76117021358</v>
      </c>
      <c r="I184" s="368">
        <f t="shared" si="119"/>
        <v>1833611.3322606403</v>
      </c>
      <c r="J184" s="368">
        <f t="shared" si="119"/>
        <v>3279997.2068258016</v>
      </c>
      <c r="K184" s="368">
        <f t="shared" si="119"/>
        <v>4257444.5540742734</v>
      </c>
      <c r="L184" s="368">
        <f t="shared" si="119"/>
        <v>5448418.7689535264</v>
      </c>
      <c r="M184" s="368">
        <f t="shared" si="119"/>
        <v>5820187.2479622094</v>
      </c>
      <c r="N184" s="368">
        <f t="shared" si="119"/>
        <v>5784892.2380972765</v>
      </c>
      <c r="O184" s="368">
        <f>O296+C311</f>
        <v>9763310.41991142</v>
      </c>
      <c r="P184" s="368">
        <f t="shared" ref="P184:AC184" si="120">P296</f>
        <v>9.3132257461547841E-10</v>
      </c>
      <c r="Q184" s="368">
        <f t="shared" si="120"/>
        <v>1.0339757656912845E-25</v>
      </c>
      <c r="R184" s="368">
        <f t="shared" si="120"/>
        <v>1.14794370197489E-41</v>
      </c>
      <c r="S184" s="368">
        <f t="shared" si="120"/>
        <v>1.2744735289059617E-57</v>
      </c>
      <c r="T184" s="368">
        <f t="shared" si="120"/>
        <v>1.4149498560666737E-73</v>
      </c>
      <c r="U184" s="368">
        <f t="shared" si="120"/>
        <v>1.5709099088952723E-89</v>
      </c>
      <c r="V184" s="368">
        <f t="shared" si="120"/>
        <v>1.7440603504673383E-105</v>
      </c>
      <c r="W184" s="368">
        <f t="shared" si="120"/>
        <v>1.9362959574246589E-121</v>
      </c>
      <c r="X184" s="368">
        <f t="shared" si="120"/>
        <v>2.1497203544214682E-137</v>
      </c>
      <c r="Y184" s="368">
        <f t="shared" si="120"/>
        <v>2.3866690339840659E-153</v>
      </c>
      <c r="Z184" s="368">
        <f t="shared" si="120"/>
        <v>2.6497349136889902E-169</v>
      </c>
      <c r="AA184" s="368">
        <f t="shared" si="120"/>
        <v>2.9417967103306688E-185</v>
      </c>
      <c r="AB184" s="368">
        <f t="shared" si="120"/>
        <v>3.2660504415756506E-201</v>
      </c>
      <c r="AC184" s="369">
        <f t="shared" si="120"/>
        <v>3.6260443998244469E-217</v>
      </c>
      <c r="AD184" s="295"/>
      <c r="CF184" s="73">
        <v>162</v>
      </c>
      <c r="CG184" s="74" t="s">
        <v>754</v>
      </c>
      <c r="CH184" s="93">
        <f>I74</f>
        <v>2090</v>
      </c>
      <c r="CI184" s="74" t="s">
        <v>735</v>
      </c>
      <c r="CJ184" s="76" t="s">
        <v>755</v>
      </c>
      <c r="CK184" s="74" t="s">
        <v>315</v>
      </c>
    </row>
    <row r="185" spans="1:89" ht="21.75" customHeight="1" x14ac:dyDescent="0.2">
      <c r="A185" s="295"/>
      <c r="B185" s="112" t="s">
        <v>608</v>
      </c>
      <c r="C185" s="367">
        <f>H157</f>
        <v>2446544.6808510618</v>
      </c>
      <c r="D185" s="351" t="b">
        <f t="shared" si="116"/>
        <v>1</v>
      </c>
      <c r="E185" s="367">
        <f t="shared" si="117"/>
        <v>2446544.6808510618</v>
      </c>
      <c r="F185" s="371">
        <f t="shared" ref="F185:AC185" si="121">$C$185*F171</f>
        <v>0</v>
      </c>
      <c r="G185" s="371">
        <f t="shared" si="121"/>
        <v>0</v>
      </c>
      <c r="H185" s="371">
        <f t="shared" si="121"/>
        <v>0</v>
      </c>
      <c r="I185" s="371">
        <f t="shared" si="121"/>
        <v>0</v>
      </c>
      <c r="J185" s="371">
        <f t="shared" si="121"/>
        <v>0</v>
      </c>
      <c r="K185" s="371">
        <f t="shared" si="121"/>
        <v>0</v>
      </c>
      <c r="L185" s="371">
        <f t="shared" si="121"/>
        <v>0</v>
      </c>
      <c r="M185" s="371">
        <f t="shared" si="121"/>
        <v>0</v>
      </c>
      <c r="N185" s="371">
        <f t="shared" si="121"/>
        <v>0</v>
      </c>
      <c r="O185" s="371">
        <f t="shared" si="121"/>
        <v>349506.38297872309</v>
      </c>
      <c r="P185" s="371">
        <f t="shared" si="121"/>
        <v>349506.38297872309</v>
      </c>
      <c r="Q185" s="371">
        <f t="shared" si="121"/>
        <v>349506.38297872309</v>
      </c>
      <c r="R185" s="371">
        <f t="shared" si="121"/>
        <v>699012.76595744619</v>
      </c>
      <c r="S185" s="371">
        <f t="shared" si="121"/>
        <v>699012.76595744619</v>
      </c>
      <c r="T185" s="371">
        <f t="shared" si="121"/>
        <v>0</v>
      </c>
      <c r="U185" s="371">
        <f t="shared" si="121"/>
        <v>0</v>
      </c>
      <c r="V185" s="371">
        <f t="shared" si="121"/>
        <v>0</v>
      </c>
      <c r="W185" s="371">
        <f t="shared" si="121"/>
        <v>0</v>
      </c>
      <c r="X185" s="371">
        <f t="shared" si="121"/>
        <v>0</v>
      </c>
      <c r="Y185" s="371">
        <f t="shared" si="121"/>
        <v>0</v>
      </c>
      <c r="Z185" s="371">
        <f t="shared" si="121"/>
        <v>0</v>
      </c>
      <c r="AA185" s="371">
        <f t="shared" si="121"/>
        <v>0</v>
      </c>
      <c r="AB185" s="371">
        <f t="shared" si="121"/>
        <v>0</v>
      </c>
      <c r="AC185" s="372">
        <f t="shared" si="121"/>
        <v>0</v>
      </c>
      <c r="AD185" s="295"/>
      <c r="CF185" s="65">
        <v>163</v>
      </c>
      <c r="CG185" s="66" t="s">
        <v>756</v>
      </c>
      <c r="CH185" s="88">
        <f>J74</f>
        <v>19562400</v>
      </c>
      <c r="CI185" s="66" t="s">
        <v>735</v>
      </c>
      <c r="CJ185" s="68" t="s">
        <v>757</v>
      </c>
      <c r="CK185" s="66" t="s">
        <v>99</v>
      </c>
    </row>
    <row r="186" spans="1:89" ht="21.75" customHeight="1" x14ac:dyDescent="0.2">
      <c r="A186" s="295"/>
      <c r="B186" s="112" t="s">
        <v>758</v>
      </c>
      <c r="C186" s="367">
        <f>X157</f>
        <v>10117800</v>
      </c>
      <c r="D186" s="351" t="b">
        <f t="shared" si="116"/>
        <v>1</v>
      </c>
      <c r="E186" s="367">
        <f t="shared" si="117"/>
        <v>10117800</v>
      </c>
      <c r="F186" s="39">
        <f t="shared" ref="F186:AC186" si="122">F172*$C$186</f>
        <v>0</v>
      </c>
      <c r="G186" s="39">
        <f t="shared" si="122"/>
        <v>0</v>
      </c>
      <c r="H186" s="39">
        <f t="shared" si="122"/>
        <v>0</v>
      </c>
      <c r="I186" s="39">
        <f t="shared" si="122"/>
        <v>0</v>
      </c>
      <c r="J186" s="39">
        <f t="shared" si="122"/>
        <v>0</v>
      </c>
      <c r="K186" s="39">
        <f t="shared" si="122"/>
        <v>0</v>
      </c>
      <c r="L186" s="39">
        <f t="shared" si="122"/>
        <v>0</v>
      </c>
      <c r="M186" s="39">
        <f t="shared" si="122"/>
        <v>0</v>
      </c>
      <c r="N186" s="39">
        <f t="shared" si="122"/>
        <v>0</v>
      </c>
      <c r="O186" s="39">
        <f t="shared" si="122"/>
        <v>0</v>
      </c>
      <c r="P186" s="39">
        <f t="shared" si="122"/>
        <v>2023560</v>
      </c>
      <c r="Q186" s="39">
        <f t="shared" si="122"/>
        <v>2023560</v>
      </c>
      <c r="R186" s="39">
        <f t="shared" si="122"/>
        <v>3035340</v>
      </c>
      <c r="S186" s="39">
        <f t="shared" si="122"/>
        <v>3035340</v>
      </c>
      <c r="T186" s="39">
        <f t="shared" si="122"/>
        <v>0</v>
      </c>
      <c r="U186" s="39">
        <f t="shared" si="122"/>
        <v>0</v>
      </c>
      <c r="V186" s="39">
        <f t="shared" si="122"/>
        <v>0</v>
      </c>
      <c r="W186" s="39">
        <f t="shared" si="122"/>
        <v>0</v>
      </c>
      <c r="X186" s="39">
        <f t="shared" si="122"/>
        <v>0</v>
      </c>
      <c r="Y186" s="39">
        <f t="shared" si="122"/>
        <v>0</v>
      </c>
      <c r="Z186" s="39">
        <f t="shared" si="122"/>
        <v>0</v>
      </c>
      <c r="AA186" s="39">
        <f t="shared" si="122"/>
        <v>0</v>
      </c>
      <c r="AB186" s="39">
        <f t="shared" si="122"/>
        <v>0</v>
      </c>
      <c r="AC186" s="205">
        <f t="shared" si="122"/>
        <v>0</v>
      </c>
      <c r="AD186" s="295"/>
      <c r="CF186" s="73">
        <v>164</v>
      </c>
      <c r="CG186" s="74" t="s">
        <v>759</v>
      </c>
      <c r="CH186" s="246">
        <f>K74</f>
        <v>208</v>
      </c>
      <c r="CI186" s="74" t="s">
        <v>735</v>
      </c>
      <c r="CJ186" s="76" t="s">
        <v>760</v>
      </c>
      <c r="CK186" s="74" t="s">
        <v>387</v>
      </c>
    </row>
    <row r="187" spans="1:89" ht="21.75" customHeight="1" x14ac:dyDescent="0.2">
      <c r="A187" s="295"/>
      <c r="B187" s="112" t="s">
        <v>718</v>
      </c>
      <c r="C187" s="367">
        <f>J139</f>
        <v>83210774.080712393</v>
      </c>
      <c r="D187" s="351" t="b">
        <f t="shared" si="116"/>
        <v>1</v>
      </c>
      <c r="E187" s="367">
        <f t="shared" si="117"/>
        <v>83210774.080712378</v>
      </c>
      <c r="F187" s="39">
        <f t="shared" ref="F187:AC187" si="123">F173*$C$187</f>
        <v>0</v>
      </c>
      <c r="G187" s="39">
        <f t="shared" si="123"/>
        <v>0</v>
      </c>
      <c r="H187" s="39">
        <f t="shared" si="123"/>
        <v>0</v>
      </c>
      <c r="I187" s="39">
        <f t="shared" si="123"/>
        <v>0</v>
      </c>
      <c r="J187" s="39">
        <f t="shared" si="123"/>
        <v>0</v>
      </c>
      <c r="K187" s="39">
        <f t="shared" si="123"/>
        <v>0</v>
      </c>
      <c r="L187" s="39">
        <f t="shared" si="123"/>
        <v>0</v>
      </c>
      <c r="M187" s="39">
        <f t="shared" si="123"/>
        <v>0</v>
      </c>
      <c r="N187" s="39">
        <f t="shared" si="123"/>
        <v>0</v>
      </c>
      <c r="O187" s="39">
        <f t="shared" si="123"/>
        <v>0</v>
      </c>
      <c r="P187" s="39">
        <f t="shared" si="123"/>
        <v>8321077.4080712395</v>
      </c>
      <c r="Q187" s="39">
        <f t="shared" si="123"/>
        <v>12481616.112106858</v>
      </c>
      <c r="R187" s="39">
        <f t="shared" si="123"/>
        <v>12481616.112106858</v>
      </c>
      <c r="S187" s="39">
        <f t="shared" si="123"/>
        <v>20802693.520178098</v>
      </c>
      <c r="T187" s="39">
        <f t="shared" si="123"/>
        <v>29123770.928249337</v>
      </c>
      <c r="U187" s="39">
        <f t="shared" si="123"/>
        <v>0</v>
      </c>
      <c r="V187" s="39">
        <f t="shared" si="123"/>
        <v>0</v>
      </c>
      <c r="W187" s="39">
        <f t="shared" si="123"/>
        <v>0</v>
      </c>
      <c r="X187" s="39">
        <f t="shared" si="123"/>
        <v>0</v>
      </c>
      <c r="Y187" s="39">
        <f t="shared" si="123"/>
        <v>0</v>
      </c>
      <c r="Z187" s="39">
        <f t="shared" si="123"/>
        <v>0</v>
      </c>
      <c r="AA187" s="39">
        <f t="shared" si="123"/>
        <v>0</v>
      </c>
      <c r="AB187" s="39">
        <f t="shared" si="123"/>
        <v>0</v>
      </c>
      <c r="AC187" s="205">
        <f t="shared" si="123"/>
        <v>0</v>
      </c>
      <c r="AD187" s="295"/>
      <c r="CF187" s="65">
        <v>165</v>
      </c>
      <c r="CG187" s="66" t="s">
        <v>761</v>
      </c>
      <c r="CH187" s="252">
        <f>C75</f>
        <v>0</v>
      </c>
      <c r="CI187" s="66" t="s">
        <v>735</v>
      </c>
      <c r="CJ187" s="68" t="s">
        <v>762</v>
      </c>
      <c r="CK187" s="66" t="s">
        <v>737</v>
      </c>
    </row>
    <row r="188" spans="1:89" ht="21.75" customHeight="1" x14ac:dyDescent="0.2">
      <c r="A188" s="295"/>
      <c r="B188" s="112" t="s">
        <v>763</v>
      </c>
      <c r="C188" s="367">
        <f>O139</f>
        <v>136693172.87234038</v>
      </c>
      <c r="D188" s="351" t="b">
        <f t="shared" si="116"/>
        <v>1</v>
      </c>
      <c r="E188" s="367">
        <f t="shared" si="117"/>
        <v>136693172.87234038</v>
      </c>
      <c r="F188" s="371">
        <f t="shared" ref="F188:AC188" si="124">F174*$C$188</f>
        <v>0</v>
      </c>
      <c r="G188" s="371">
        <f t="shared" si="124"/>
        <v>0</v>
      </c>
      <c r="H188" s="371">
        <f t="shared" si="124"/>
        <v>0</v>
      </c>
      <c r="I188" s="371">
        <f t="shared" si="124"/>
        <v>0</v>
      </c>
      <c r="J188" s="371">
        <f t="shared" si="124"/>
        <v>0</v>
      </c>
      <c r="K188" s="371">
        <f t="shared" si="124"/>
        <v>0</v>
      </c>
      <c r="L188" s="371">
        <f t="shared" si="124"/>
        <v>0</v>
      </c>
      <c r="M188" s="371">
        <f t="shared" si="124"/>
        <v>0</v>
      </c>
      <c r="N188" s="371">
        <f t="shared" si="124"/>
        <v>0</v>
      </c>
      <c r="O188" s="371">
        <f t="shared" si="124"/>
        <v>0</v>
      </c>
      <c r="P188" s="371">
        <f t="shared" si="124"/>
        <v>0</v>
      </c>
      <c r="Q188" s="371">
        <f t="shared" si="124"/>
        <v>0</v>
      </c>
      <c r="R188" s="371">
        <f t="shared" si="124"/>
        <v>0</v>
      </c>
      <c r="S188" s="371">
        <f t="shared" si="124"/>
        <v>28705566.303191479</v>
      </c>
      <c r="T188" s="371">
        <f t="shared" si="124"/>
        <v>107987606.56914891</v>
      </c>
      <c r="U188" s="371">
        <f t="shared" si="124"/>
        <v>0</v>
      </c>
      <c r="V188" s="371">
        <f t="shared" si="124"/>
        <v>0</v>
      </c>
      <c r="W188" s="371">
        <f t="shared" si="124"/>
        <v>0</v>
      </c>
      <c r="X188" s="371">
        <f t="shared" si="124"/>
        <v>0</v>
      </c>
      <c r="Y188" s="371">
        <f t="shared" si="124"/>
        <v>0</v>
      </c>
      <c r="Z188" s="371">
        <f t="shared" si="124"/>
        <v>0</v>
      </c>
      <c r="AA188" s="371">
        <f t="shared" si="124"/>
        <v>0</v>
      </c>
      <c r="AB188" s="371">
        <f t="shared" si="124"/>
        <v>0</v>
      </c>
      <c r="AC188" s="372">
        <f t="shared" si="124"/>
        <v>0</v>
      </c>
      <c r="AD188" s="295"/>
      <c r="CF188" s="73">
        <v>166</v>
      </c>
      <c r="CG188" s="74" t="s">
        <v>764</v>
      </c>
      <c r="CH188" s="221">
        <f>D75</f>
        <v>0</v>
      </c>
      <c r="CI188" s="74" t="s">
        <v>735</v>
      </c>
      <c r="CJ188" s="76" t="s">
        <v>765</v>
      </c>
      <c r="CK188" s="74" t="s">
        <v>312</v>
      </c>
    </row>
    <row r="189" spans="1:89" ht="21.75" customHeight="1" x14ac:dyDescent="0.2">
      <c r="A189" s="373">
        <v>0.02</v>
      </c>
      <c r="B189" s="357" t="s">
        <v>766</v>
      </c>
      <c r="C189" s="374">
        <f>E189</f>
        <v>83100000</v>
      </c>
      <c r="D189" s="359" t="b">
        <f t="shared" si="116"/>
        <v>1</v>
      </c>
      <c r="E189" s="374">
        <f t="shared" si="117"/>
        <v>83100000</v>
      </c>
      <c r="F189" s="375">
        <v>7000000</v>
      </c>
      <c r="G189" s="375">
        <v>5000000</v>
      </c>
      <c r="H189" s="375">
        <v>17000000</v>
      </c>
      <c r="I189" s="375">
        <v>11000000</v>
      </c>
      <c r="J189" s="375">
        <v>6500000</v>
      </c>
      <c r="K189" s="375">
        <v>5500000</v>
      </c>
      <c r="L189" s="375">
        <v>4000000</v>
      </c>
      <c r="M189" s="375">
        <v>5600000</v>
      </c>
      <c r="N189" s="375">
        <v>7500000</v>
      </c>
      <c r="O189" s="375">
        <v>14000000</v>
      </c>
      <c r="P189" s="375"/>
      <c r="Q189" s="375"/>
      <c r="R189" s="375"/>
      <c r="S189" s="375"/>
      <c r="T189" s="375"/>
      <c r="U189" s="375"/>
      <c r="V189" s="375"/>
      <c r="W189" s="375"/>
      <c r="X189" s="375"/>
      <c r="Y189" s="375"/>
      <c r="Z189" s="375"/>
      <c r="AA189" s="375"/>
      <c r="AB189" s="375"/>
      <c r="AC189" s="375"/>
      <c r="AD189" s="295">
        <f>IF(AB225 + SUM(AC180:AC188) + SUM(AC192:AC216) &gt;= 0, 0, ABS(AB225 + SUM(AC180:AC188) + SUM(AC192:AC216)) * (1 + $A$189))</f>
        <v>0</v>
      </c>
      <c r="CF189" s="65">
        <v>167</v>
      </c>
      <c r="CG189" s="66" t="s">
        <v>767</v>
      </c>
      <c r="CH189" s="88">
        <f>I75</f>
        <v>0</v>
      </c>
      <c r="CI189" s="66" t="s">
        <v>735</v>
      </c>
      <c r="CJ189" s="68" t="s">
        <v>768</v>
      </c>
      <c r="CK189" s="66" t="s">
        <v>315</v>
      </c>
    </row>
    <row r="190" spans="1:89" ht="21.75" customHeight="1" x14ac:dyDescent="0.2">
      <c r="A190" s="15"/>
      <c r="B190" s="376" t="s">
        <v>769</v>
      </c>
      <c r="C190" s="377"/>
      <c r="D190" s="378"/>
      <c r="E190" s="379">
        <f>BI22</f>
        <v>-880651.11488297582</v>
      </c>
      <c r="Y190" s="377"/>
      <c r="Z190" s="377"/>
      <c r="AA190" s="377"/>
      <c r="AB190" s="377"/>
      <c r="AC190" s="380"/>
      <c r="AD190" s="295"/>
      <c r="CF190" s="73">
        <v>168</v>
      </c>
      <c r="CG190" s="74" t="s">
        <v>770</v>
      </c>
      <c r="CH190" s="93">
        <f>J75</f>
        <v>0</v>
      </c>
      <c r="CI190" s="74" t="s">
        <v>735</v>
      </c>
      <c r="CJ190" s="76" t="s">
        <v>771</v>
      </c>
      <c r="CK190" s="74" t="s">
        <v>99</v>
      </c>
    </row>
    <row r="191" spans="1:89" ht="21.75" customHeight="1" x14ac:dyDescent="0.2">
      <c r="A191" s="15"/>
      <c r="B191" s="381" t="s">
        <v>707</v>
      </c>
      <c r="C191" s="382">
        <f>-E189</f>
        <v>-83100000</v>
      </c>
      <c r="D191" s="383">
        <f>C191-E191</f>
        <v>0</v>
      </c>
      <c r="E191" s="384">
        <f t="shared" ref="E191:E216" si="125">SUM(F191:AC191)</f>
        <v>-83100000</v>
      </c>
      <c r="F191" s="385"/>
      <c r="G191" s="385"/>
      <c r="H191" s="385"/>
      <c r="I191" s="385"/>
      <c r="J191" s="385"/>
      <c r="K191" s="385"/>
      <c r="L191" s="385"/>
      <c r="M191" s="385"/>
      <c r="N191" s="385"/>
      <c r="O191" s="385"/>
      <c r="P191" s="385"/>
      <c r="Q191" s="385"/>
      <c r="R191" s="385"/>
      <c r="S191" s="385"/>
      <c r="T191" s="385">
        <f>C191</f>
        <v>-83100000</v>
      </c>
      <c r="U191" s="385"/>
      <c r="V191" s="385"/>
      <c r="W191" s="385"/>
      <c r="X191" s="385"/>
      <c r="Y191" s="385"/>
      <c r="Z191" s="385"/>
      <c r="AA191" s="385"/>
      <c r="AB191" s="385"/>
      <c r="AC191" s="386"/>
      <c r="AD191" s="295"/>
      <c r="CF191" s="65">
        <v>169</v>
      </c>
      <c r="CG191" s="66" t="s">
        <v>772</v>
      </c>
      <c r="CH191" s="231">
        <f>K75</f>
        <v>0</v>
      </c>
      <c r="CI191" s="66" t="s">
        <v>735</v>
      </c>
      <c r="CJ191" s="68" t="s">
        <v>773</v>
      </c>
      <c r="CK191" s="66" t="s">
        <v>387</v>
      </c>
    </row>
    <row r="192" spans="1:89" ht="25.5" customHeight="1" x14ac:dyDescent="0.2">
      <c r="A192" s="129"/>
      <c r="B192" s="112" t="s">
        <v>774</v>
      </c>
      <c r="C192" s="387">
        <v>7.2999999999999995E-2</v>
      </c>
      <c r="D192" s="351" t="b">
        <f>IF(ABS(E192+E193 - AC259) &lt; MAX(0.00001, E192+E193 * 0.00001), TRUE(), FALSE())</f>
        <v>1</v>
      </c>
      <c r="E192" s="367">
        <f t="shared" si="125"/>
        <v>-14393775</v>
      </c>
      <c r="F192" s="368">
        <v>0</v>
      </c>
      <c r="G192" s="368">
        <f t="shared" ref="G192:AC192" si="126">-(F178*$C$192)/4</f>
        <v>-127749.99999999999</v>
      </c>
      <c r="H192" s="368">
        <f t="shared" si="126"/>
        <v>-219000</v>
      </c>
      <c r="I192" s="368">
        <f t="shared" si="126"/>
        <v>-529250</v>
      </c>
      <c r="J192" s="368">
        <f t="shared" si="126"/>
        <v>-730000</v>
      </c>
      <c r="K192" s="368">
        <f t="shared" si="126"/>
        <v>-848625</v>
      </c>
      <c r="L192" s="368">
        <f t="shared" si="126"/>
        <v>-948999.99999999988</v>
      </c>
      <c r="M192" s="368">
        <f t="shared" si="126"/>
        <v>-1021999.9999999999</v>
      </c>
      <c r="N192" s="368">
        <f t="shared" si="126"/>
        <v>-1124200</v>
      </c>
      <c r="O192" s="368">
        <f t="shared" si="126"/>
        <v>-1261075</v>
      </c>
      <c r="P192" s="368">
        <f t="shared" si="126"/>
        <v>-1516575</v>
      </c>
      <c r="Q192" s="368">
        <f t="shared" si="126"/>
        <v>-1516575</v>
      </c>
      <c r="R192" s="368">
        <f t="shared" si="126"/>
        <v>-1516575</v>
      </c>
      <c r="S192" s="368">
        <f t="shared" si="126"/>
        <v>-1516575</v>
      </c>
      <c r="T192" s="368">
        <f t="shared" si="126"/>
        <v>-1516575</v>
      </c>
      <c r="U192" s="368">
        <f t="shared" si="126"/>
        <v>0</v>
      </c>
      <c r="V192" s="368">
        <f t="shared" si="126"/>
        <v>0</v>
      </c>
      <c r="W192" s="368">
        <f t="shared" si="126"/>
        <v>0</v>
      </c>
      <c r="X192" s="368">
        <f t="shared" si="126"/>
        <v>0</v>
      </c>
      <c r="Y192" s="368">
        <f t="shared" si="126"/>
        <v>0</v>
      </c>
      <c r="Z192" s="368">
        <f t="shared" si="126"/>
        <v>0</v>
      </c>
      <c r="AA192" s="368">
        <f t="shared" si="126"/>
        <v>0</v>
      </c>
      <c r="AB192" s="368">
        <f t="shared" si="126"/>
        <v>0</v>
      </c>
      <c r="AC192" s="369">
        <f t="shared" si="126"/>
        <v>0</v>
      </c>
      <c r="AD192" s="295"/>
      <c r="CF192" s="455" t="s">
        <v>775</v>
      </c>
      <c r="CG192" s="455"/>
      <c r="CH192" s="455"/>
      <c r="CI192" s="455"/>
      <c r="CJ192" s="455"/>
      <c r="CK192" s="455"/>
    </row>
    <row r="193" spans="1:89" ht="21.75" customHeight="1" x14ac:dyDescent="0.2">
      <c r="A193" s="15"/>
      <c r="B193" s="112" t="s">
        <v>776</v>
      </c>
      <c r="C193" s="387">
        <v>5.0000000000000001E-3</v>
      </c>
      <c r="D193" s="351" t="b">
        <f>C193*E191=E193</f>
        <v>1</v>
      </c>
      <c r="E193" s="367">
        <f t="shared" si="125"/>
        <v>-415500</v>
      </c>
      <c r="F193" s="371">
        <f>C193*E191</f>
        <v>-415500</v>
      </c>
      <c r="G193" s="371">
        <v>0</v>
      </c>
      <c r="H193" s="371">
        <v>0</v>
      </c>
      <c r="I193" s="371">
        <v>0</v>
      </c>
      <c r="J193" s="371">
        <v>0</v>
      </c>
      <c r="K193" s="371">
        <v>0</v>
      </c>
      <c r="L193" s="371">
        <v>0</v>
      </c>
      <c r="M193" s="371">
        <v>0</v>
      </c>
      <c r="N193" s="371">
        <v>0</v>
      </c>
      <c r="O193" s="371">
        <v>0</v>
      </c>
      <c r="P193" s="371">
        <v>0</v>
      </c>
      <c r="Q193" s="371">
        <v>0</v>
      </c>
      <c r="R193" s="371">
        <v>0</v>
      </c>
      <c r="S193" s="371">
        <v>0</v>
      </c>
      <c r="T193" s="371">
        <v>0</v>
      </c>
      <c r="U193" s="371">
        <v>0</v>
      </c>
      <c r="V193" s="371">
        <v>0</v>
      </c>
      <c r="W193" s="371">
        <v>0</v>
      </c>
      <c r="X193" s="371">
        <v>0</v>
      </c>
      <c r="Y193" s="371">
        <v>0</v>
      </c>
      <c r="Z193" s="371">
        <v>0</v>
      </c>
      <c r="AA193" s="371">
        <v>0</v>
      </c>
      <c r="AB193" s="371">
        <v>0</v>
      </c>
      <c r="AC193" s="372">
        <v>0</v>
      </c>
      <c r="AD193" s="295"/>
      <c r="CF193" s="73">
        <v>170</v>
      </c>
      <c r="CG193" s="74" t="s">
        <v>777</v>
      </c>
      <c r="CH193" s="221">
        <f>D76</f>
        <v>30747.599999999999</v>
      </c>
      <c r="CI193" s="74" t="s">
        <v>778</v>
      </c>
      <c r="CJ193" s="76" t="s">
        <v>779</v>
      </c>
      <c r="CK193" s="74" t="s">
        <v>312</v>
      </c>
    </row>
    <row r="194" spans="1:89" ht="21.75" customHeight="1" x14ac:dyDescent="0.2">
      <c r="A194" s="15"/>
      <c r="B194" s="112" t="s">
        <v>780</v>
      </c>
      <c r="C194" s="367">
        <f>-E49</f>
        <v>-60840000</v>
      </c>
      <c r="D194" s="351" t="b">
        <f t="shared" ref="D194:D216" si="127">IF(ABS(E194 - C194) &lt; MAX(0.00001, E194 * 0.00001), TRUE(), FALSE())</f>
        <v>1</v>
      </c>
      <c r="E194" s="367">
        <f t="shared" si="125"/>
        <v>-60840000</v>
      </c>
      <c r="F194" s="368">
        <f>-E49</f>
        <v>-60840000</v>
      </c>
      <c r="G194" s="368">
        <v>0</v>
      </c>
      <c r="H194" s="368">
        <v>0</v>
      </c>
      <c r="I194" s="368">
        <v>0</v>
      </c>
      <c r="J194" s="368">
        <v>0</v>
      </c>
      <c r="K194" s="368">
        <v>0</v>
      </c>
      <c r="L194" s="368">
        <v>0</v>
      </c>
      <c r="M194" s="368">
        <v>0</v>
      </c>
      <c r="N194" s="368">
        <v>0</v>
      </c>
      <c r="O194" s="368">
        <v>0</v>
      </c>
      <c r="P194" s="368">
        <v>0</v>
      </c>
      <c r="Q194" s="368">
        <v>0</v>
      </c>
      <c r="R194" s="368">
        <v>0</v>
      </c>
      <c r="S194" s="368">
        <v>0</v>
      </c>
      <c r="T194" s="368">
        <v>0</v>
      </c>
      <c r="U194" s="368">
        <v>0</v>
      </c>
      <c r="V194" s="368">
        <v>0</v>
      </c>
      <c r="W194" s="368">
        <v>0</v>
      </c>
      <c r="X194" s="368">
        <v>0</v>
      </c>
      <c r="Y194" s="368">
        <v>0</v>
      </c>
      <c r="Z194" s="368">
        <v>0</v>
      </c>
      <c r="AA194" s="368">
        <v>0</v>
      </c>
      <c r="AB194" s="368">
        <v>0</v>
      </c>
      <c r="AC194" s="369">
        <v>0</v>
      </c>
      <c r="AD194" s="295"/>
      <c r="CF194" s="65">
        <v>171</v>
      </c>
      <c r="CG194" s="66" t="s">
        <v>781</v>
      </c>
      <c r="CH194" s="141">
        <f>F76</f>
        <v>14635.579787234041</v>
      </c>
      <c r="CI194" s="66" t="s">
        <v>778</v>
      </c>
      <c r="CJ194" s="68" t="s">
        <v>782</v>
      </c>
      <c r="CK194" s="66" t="s">
        <v>312</v>
      </c>
    </row>
    <row r="195" spans="1:89" ht="21.75" customHeight="1" x14ac:dyDescent="0.2">
      <c r="A195" s="15"/>
      <c r="B195" s="388" t="s">
        <v>783</v>
      </c>
      <c r="C195" s="389">
        <f>-SUM(F49:H49)</f>
        <v>-3353805</v>
      </c>
      <c r="D195" s="390" t="b">
        <f t="shared" si="127"/>
        <v>1</v>
      </c>
      <c r="E195" s="389">
        <f t="shared" si="125"/>
        <v>-3353805</v>
      </c>
      <c r="F195" s="391">
        <f>-SUM(F49:H49)</f>
        <v>-3353805</v>
      </c>
      <c r="G195" s="391">
        <v>0</v>
      </c>
      <c r="H195" s="391">
        <v>0</v>
      </c>
      <c r="I195" s="391">
        <v>0</v>
      </c>
      <c r="J195" s="391">
        <v>0</v>
      </c>
      <c r="K195" s="391">
        <v>0</v>
      </c>
      <c r="L195" s="391">
        <v>0</v>
      </c>
      <c r="M195" s="391">
        <v>0</v>
      </c>
      <c r="N195" s="391">
        <v>0</v>
      </c>
      <c r="O195" s="391">
        <v>0</v>
      </c>
      <c r="P195" s="391">
        <v>0</v>
      </c>
      <c r="Q195" s="391">
        <v>0</v>
      </c>
      <c r="R195" s="391">
        <v>0</v>
      </c>
      <c r="S195" s="391">
        <v>0</v>
      </c>
      <c r="T195" s="391">
        <v>0</v>
      </c>
      <c r="U195" s="391">
        <v>0</v>
      </c>
      <c r="V195" s="391">
        <v>0</v>
      </c>
      <c r="W195" s="391">
        <v>0</v>
      </c>
      <c r="X195" s="391">
        <v>0</v>
      </c>
      <c r="Y195" s="391">
        <v>0</v>
      </c>
      <c r="Z195" s="391">
        <v>0</v>
      </c>
      <c r="AA195" s="391">
        <v>0</v>
      </c>
      <c r="AB195" s="391">
        <v>0</v>
      </c>
      <c r="AC195" s="392">
        <v>0</v>
      </c>
      <c r="AD195" s="295"/>
      <c r="CF195" s="73">
        <v>172</v>
      </c>
      <c r="CG195" s="74" t="s">
        <v>784</v>
      </c>
      <c r="CH195" s="221">
        <f>G76</f>
        <v>73.917069632495156</v>
      </c>
      <c r="CI195" s="74" t="s">
        <v>778</v>
      </c>
      <c r="CJ195" s="76" t="s">
        <v>785</v>
      </c>
      <c r="CK195" s="74" t="s">
        <v>312</v>
      </c>
    </row>
    <row r="196" spans="1:89" ht="21.75" customHeight="1" x14ac:dyDescent="0.2">
      <c r="A196" s="15"/>
      <c r="B196" s="393" t="s">
        <v>786</v>
      </c>
      <c r="C196" s="394">
        <f>-J76</f>
        <v>-81179665.851063833</v>
      </c>
      <c r="D196" s="395" t="b">
        <f t="shared" si="127"/>
        <v>1</v>
      </c>
      <c r="E196" s="396">
        <f t="shared" si="125"/>
        <v>-81179665.851063848</v>
      </c>
      <c r="F196" s="397">
        <f t="shared" ref="F196:AC196" si="128">F175*$C$196</f>
        <v>0</v>
      </c>
      <c r="G196" s="397">
        <f t="shared" si="128"/>
        <v>0</v>
      </c>
      <c r="H196" s="397">
        <f t="shared" si="128"/>
        <v>-16235933.170212768</v>
      </c>
      <c r="I196" s="397">
        <f t="shared" si="128"/>
        <v>-12176949.877659574</v>
      </c>
      <c r="J196" s="397">
        <f t="shared" si="128"/>
        <v>-8117966.585106384</v>
      </c>
      <c r="K196" s="397">
        <f t="shared" si="128"/>
        <v>-8117966.585106384</v>
      </c>
      <c r="L196" s="397">
        <f t="shared" si="128"/>
        <v>-8117966.585106384</v>
      </c>
      <c r="M196" s="397">
        <f t="shared" si="128"/>
        <v>-8117966.585106384</v>
      </c>
      <c r="N196" s="397">
        <f t="shared" si="128"/>
        <v>-8117966.585106384</v>
      </c>
      <c r="O196" s="397">
        <f t="shared" si="128"/>
        <v>-12176949.877659574</v>
      </c>
      <c r="P196" s="397">
        <f t="shared" si="128"/>
        <v>0</v>
      </c>
      <c r="Q196" s="397">
        <f t="shared" si="128"/>
        <v>0</v>
      </c>
      <c r="R196" s="397">
        <f t="shared" si="128"/>
        <v>0</v>
      </c>
      <c r="S196" s="397">
        <f t="shared" si="128"/>
        <v>0</v>
      </c>
      <c r="T196" s="397">
        <f t="shared" si="128"/>
        <v>0</v>
      </c>
      <c r="U196" s="397">
        <f t="shared" si="128"/>
        <v>0</v>
      </c>
      <c r="V196" s="397">
        <f t="shared" si="128"/>
        <v>0</v>
      </c>
      <c r="W196" s="397">
        <f t="shared" si="128"/>
        <v>0</v>
      </c>
      <c r="X196" s="397">
        <f t="shared" si="128"/>
        <v>0</v>
      </c>
      <c r="Y196" s="397">
        <f t="shared" si="128"/>
        <v>0</v>
      </c>
      <c r="Z196" s="397">
        <f t="shared" si="128"/>
        <v>0</v>
      </c>
      <c r="AA196" s="397">
        <f t="shared" si="128"/>
        <v>0</v>
      </c>
      <c r="AB196" s="397">
        <f t="shared" si="128"/>
        <v>0</v>
      </c>
      <c r="AC196" s="398">
        <f t="shared" si="128"/>
        <v>0</v>
      </c>
      <c r="AD196" s="295"/>
      <c r="CF196" s="65">
        <v>173</v>
      </c>
      <c r="CG196" s="66" t="s">
        <v>787</v>
      </c>
      <c r="CH196" s="231">
        <f>H76</f>
        <v>198</v>
      </c>
      <c r="CI196" s="66" t="s">
        <v>778</v>
      </c>
      <c r="CJ196" s="68" t="s">
        <v>788</v>
      </c>
      <c r="CK196" s="66" t="s">
        <v>378</v>
      </c>
    </row>
    <row r="197" spans="1:89" ht="21.75" customHeight="1" x14ac:dyDescent="0.2">
      <c r="A197" s="15"/>
      <c r="B197" s="399" t="s">
        <v>789</v>
      </c>
      <c r="C197" s="400">
        <f t="shared" ref="C197:C212" si="129">-C86</f>
        <v>-702000</v>
      </c>
      <c r="D197" s="401" t="b">
        <f t="shared" si="127"/>
        <v>1</v>
      </c>
      <c r="E197" s="400">
        <f t="shared" si="125"/>
        <v>-702000</v>
      </c>
      <c r="F197" s="402">
        <f>C197</f>
        <v>-702000</v>
      </c>
      <c r="G197" s="402">
        <v>0</v>
      </c>
      <c r="H197" s="402">
        <v>0</v>
      </c>
      <c r="I197" s="402">
        <v>0</v>
      </c>
      <c r="J197" s="402">
        <v>0</v>
      </c>
      <c r="K197" s="402">
        <v>0</v>
      </c>
      <c r="L197" s="402">
        <v>0</v>
      </c>
      <c r="M197" s="402">
        <v>0</v>
      </c>
      <c r="N197" s="402">
        <v>0</v>
      </c>
      <c r="O197" s="402">
        <v>0</v>
      </c>
      <c r="P197" s="402">
        <v>0</v>
      </c>
      <c r="Q197" s="402">
        <v>0</v>
      </c>
      <c r="R197" s="402">
        <v>0</v>
      </c>
      <c r="S197" s="402">
        <v>0</v>
      </c>
      <c r="T197" s="402">
        <v>0</v>
      </c>
      <c r="U197" s="402">
        <v>0</v>
      </c>
      <c r="V197" s="402">
        <v>0</v>
      </c>
      <c r="W197" s="402">
        <v>0</v>
      </c>
      <c r="X197" s="402">
        <v>0</v>
      </c>
      <c r="Y197" s="402">
        <v>0</v>
      </c>
      <c r="Z197" s="402">
        <v>0</v>
      </c>
      <c r="AA197" s="402">
        <v>0</v>
      </c>
      <c r="AB197" s="402">
        <v>0</v>
      </c>
      <c r="AC197" s="403">
        <v>0</v>
      </c>
      <c r="AD197" s="295"/>
      <c r="CF197" s="73">
        <v>174</v>
      </c>
      <c r="CG197" s="74" t="s">
        <v>790</v>
      </c>
      <c r="CH197" s="93">
        <f>I76</f>
        <v>2640.1951973833352</v>
      </c>
      <c r="CI197" s="74" t="s">
        <v>778</v>
      </c>
      <c r="CJ197" s="76" t="s">
        <v>791</v>
      </c>
      <c r="CK197" s="74" t="s">
        <v>315</v>
      </c>
    </row>
    <row r="198" spans="1:89" ht="21.75" customHeight="1" x14ac:dyDescent="0.2">
      <c r="A198" s="15"/>
      <c r="B198" s="224" t="s">
        <v>792</v>
      </c>
      <c r="C198" s="367">
        <f t="shared" si="129"/>
        <v>-1895400</v>
      </c>
      <c r="D198" s="351" t="b">
        <f t="shared" si="127"/>
        <v>1</v>
      </c>
      <c r="E198" s="367">
        <f t="shared" si="125"/>
        <v>-1895400</v>
      </c>
      <c r="F198" s="368"/>
      <c r="G198" s="368">
        <f>$C$198</f>
        <v>-1895400</v>
      </c>
      <c r="H198" s="368"/>
      <c r="I198" s="368">
        <v>0</v>
      </c>
      <c r="J198" s="368">
        <v>0</v>
      </c>
      <c r="K198" s="368">
        <v>0</v>
      </c>
      <c r="L198" s="368">
        <v>0</v>
      </c>
      <c r="M198" s="368">
        <v>0</v>
      </c>
      <c r="N198" s="368">
        <v>0</v>
      </c>
      <c r="O198" s="368">
        <v>0</v>
      </c>
      <c r="P198" s="368">
        <v>0</v>
      </c>
      <c r="Q198" s="368">
        <v>0</v>
      </c>
      <c r="R198" s="368">
        <v>0</v>
      </c>
      <c r="S198" s="368">
        <v>0</v>
      </c>
      <c r="T198" s="368">
        <v>0</v>
      </c>
      <c r="U198" s="368">
        <v>0</v>
      </c>
      <c r="V198" s="368">
        <v>0</v>
      </c>
      <c r="W198" s="368">
        <v>0</v>
      </c>
      <c r="X198" s="368">
        <v>0</v>
      </c>
      <c r="Y198" s="368">
        <v>0</v>
      </c>
      <c r="Z198" s="368">
        <v>0</v>
      </c>
      <c r="AA198" s="368">
        <v>0</v>
      </c>
      <c r="AB198" s="368">
        <v>0</v>
      </c>
      <c r="AC198" s="369">
        <v>0</v>
      </c>
      <c r="AD198" s="295"/>
      <c r="CF198" s="65">
        <v>175</v>
      </c>
      <c r="CG198" s="66" t="s">
        <v>49</v>
      </c>
      <c r="CH198" s="88">
        <f>J76</f>
        <v>81179665.851063833</v>
      </c>
      <c r="CI198" s="66" t="s">
        <v>778</v>
      </c>
      <c r="CJ198" s="68" t="s">
        <v>793</v>
      </c>
      <c r="CK198" s="66" t="s">
        <v>99</v>
      </c>
    </row>
    <row r="199" spans="1:89" ht="21.75" customHeight="1" x14ac:dyDescent="0.2">
      <c r="A199" s="15"/>
      <c r="B199" s="224" t="s">
        <v>794</v>
      </c>
      <c r="C199" s="367">
        <f t="shared" si="129"/>
        <v>-1380054.3194680852</v>
      </c>
      <c r="D199" s="351" t="b">
        <f t="shared" si="127"/>
        <v>1</v>
      </c>
      <c r="E199" s="367">
        <f t="shared" si="125"/>
        <v>-1380054.3194680852</v>
      </c>
      <c r="F199" s="371">
        <f t="shared" ref="F199:AC199" si="130">IF(F200&lt;0,$C$199,0)</f>
        <v>0</v>
      </c>
      <c r="G199" s="371">
        <f t="shared" si="130"/>
        <v>-1380054.3194680852</v>
      </c>
      <c r="H199" s="371">
        <f t="shared" si="130"/>
        <v>0</v>
      </c>
      <c r="I199" s="371">
        <f t="shared" si="130"/>
        <v>0</v>
      </c>
      <c r="J199" s="371">
        <f t="shared" si="130"/>
        <v>0</v>
      </c>
      <c r="K199" s="371">
        <f t="shared" si="130"/>
        <v>0</v>
      </c>
      <c r="L199" s="371">
        <f t="shared" si="130"/>
        <v>0</v>
      </c>
      <c r="M199" s="371">
        <f t="shared" si="130"/>
        <v>0</v>
      </c>
      <c r="N199" s="371">
        <f t="shared" si="130"/>
        <v>0</v>
      </c>
      <c r="O199" s="371">
        <f t="shared" si="130"/>
        <v>0</v>
      </c>
      <c r="P199" s="371">
        <f t="shared" si="130"/>
        <v>0</v>
      </c>
      <c r="Q199" s="371">
        <f t="shared" si="130"/>
        <v>0</v>
      </c>
      <c r="R199" s="371">
        <f t="shared" si="130"/>
        <v>0</v>
      </c>
      <c r="S199" s="371">
        <f t="shared" si="130"/>
        <v>0</v>
      </c>
      <c r="T199" s="371">
        <f t="shared" si="130"/>
        <v>0</v>
      </c>
      <c r="U199" s="371">
        <f t="shared" si="130"/>
        <v>0</v>
      </c>
      <c r="V199" s="371">
        <f t="shared" si="130"/>
        <v>0</v>
      </c>
      <c r="W199" s="371">
        <f t="shared" si="130"/>
        <v>0</v>
      </c>
      <c r="X199" s="371">
        <f t="shared" si="130"/>
        <v>0</v>
      </c>
      <c r="Y199" s="371">
        <f t="shared" si="130"/>
        <v>0</v>
      </c>
      <c r="Z199" s="371">
        <f t="shared" si="130"/>
        <v>0</v>
      </c>
      <c r="AA199" s="371">
        <f t="shared" si="130"/>
        <v>0</v>
      </c>
      <c r="AB199" s="371">
        <f t="shared" si="130"/>
        <v>0</v>
      </c>
      <c r="AC199" s="372">
        <f t="shared" si="130"/>
        <v>0</v>
      </c>
      <c r="AD199" s="295"/>
      <c r="CF199" s="73">
        <v>176</v>
      </c>
      <c r="CG199" s="74" t="s">
        <v>795</v>
      </c>
      <c r="CH199" s="246">
        <f>L76</f>
        <v>216.88936170212764</v>
      </c>
      <c r="CI199" s="74" t="s">
        <v>778</v>
      </c>
      <c r="CJ199" s="76" t="s">
        <v>796</v>
      </c>
      <c r="CK199" s="74" t="s">
        <v>387</v>
      </c>
    </row>
    <row r="200" spans="1:89" ht="21.75" customHeight="1" x14ac:dyDescent="0.2">
      <c r="A200" s="15"/>
      <c r="B200" s="224" t="s">
        <v>797</v>
      </c>
      <c r="C200" s="367">
        <f t="shared" si="129"/>
        <v>-73008</v>
      </c>
      <c r="D200" s="351" t="b">
        <f t="shared" si="127"/>
        <v>1</v>
      </c>
      <c r="E200" s="367">
        <f t="shared" si="125"/>
        <v>-73008</v>
      </c>
      <c r="F200" s="370">
        <v>0</v>
      </c>
      <c r="G200" s="368">
        <f>C200</f>
        <v>-73008</v>
      </c>
      <c r="H200" s="368">
        <v>0</v>
      </c>
      <c r="I200" s="368"/>
      <c r="J200" s="368">
        <v>0</v>
      </c>
      <c r="K200" s="368">
        <v>0</v>
      </c>
      <c r="L200" s="368">
        <v>0</v>
      </c>
      <c r="M200" s="368">
        <v>0</v>
      </c>
      <c r="N200" s="368">
        <v>0</v>
      </c>
      <c r="O200" s="368">
        <v>0</v>
      </c>
      <c r="P200" s="368">
        <v>0</v>
      </c>
      <c r="Q200" s="368">
        <v>0</v>
      </c>
      <c r="R200" s="368">
        <v>0</v>
      </c>
      <c r="S200" s="368">
        <v>0</v>
      </c>
      <c r="T200" s="368">
        <v>0</v>
      </c>
      <c r="U200" s="368">
        <v>0</v>
      </c>
      <c r="V200" s="368">
        <v>0</v>
      </c>
      <c r="W200" s="368">
        <v>0</v>
      </c>
      <c r="X200" s="368">
        <v>0</v>
      </c>
      <c r="Y200" s="368">
        <v>0</v>
      </c>
      <c r="Z200" s="368">
        <v>0</v>
      </c>
      <c r="AA200" s="368">
        <v>0</v>
      </c>
      <c r="AB200" s="368">
        <v>0</v>
      </c>
      <c r="AC200" s="369">
        <v>0</v>
      </c>
      <c r="AD200" s="295"/>
      <c r="CF200" s="65">
        <v>177</v>
      </c>
      <c r="CG200" s="66" t="s">
        <v>798</v>
      </c>
      <c r="CH200" s="231">
        <f>L77</f>
        <v>208</v>
      </c>
      <c r="CI200" s="66" t="s">
        <v>778</v>
      </c>
      <c r="CJ200" s="68" t="s">
        <v>799</v>
      </c>
      <c r="CK200" s="66" t="s">
        <v>387</v>
      </c>
    </row>
    <row r="201" spans="1:89" ht="21.75" customHeight="1" x14ac:dyDescent="0.2">
      <c r="A201" s="15"/>
      <c r="B201" s="224" t="s">
        <v>800</v>
      </c>
      <c r="C201" s="367">
        <f t="shared" si="129"/>
        <v>-2435389.9755319147</v>
      </c>
      <c r="D201" s="351" t="b">
        <f t="shared" si="127"/>
        <v>1</v>
      </c>
      <c r="E201" s="367">
        <f t="shared" si="125"/>
        <v>-2435389.9755319143</v>
      </c>
      <c r="F201" s="370">
        <f>$C$201*0.7</f>
        <v>-1704772.9828723401</v>
      </c>
      <c r="G201" s="371">
        <f>C201*0.3</f>
        <v>-730616.99265957437</v>
      </c>
      <c r="H201" s="371">
        <v>0</v>
      </c>
      <c r="I201" s="371">
        <v>0</v>
      </c>
      <c r="J201" s="371">
        <v>0</v>
      </c>
      <c r="K201" s="371">
        <v>0</v>
      </c>
      <c r="L201" s="371">
        <v>0</v>
      </c>
      <c r="M201" s="371">
        <v>0</v>
      </c>
      <c r="N201" s="371">
        <v>0</v>
      </c>
      <c r="O201" s="371">
        <v>0</v>
      </c>
      <c r="P201" s="371">
        <v>0</v>
      </c>
      <c r="Q201" s="371">
        <v>0</v>
      </c>
      <c r="R201" s="371">
        <v>0</v>
      </c>
      <c r="S201" s="371">
        <v>0</v>
      </c>
      <c r="T201" s="371">
        <v>0</v>
      </c>
      <c r="U201" s="371">
        <v>0</v>
      </c>
      <c r="V201" s="371">
        <v>0</v>
      </c>
      <c r="W201" s="371">
        <v>0</v>
      </c>
      <c r="X201" s="371">
        <v>0</v>
      </c>
      <c r="Y201" s="371">
        <v>0</v>
      </c>
      <c r="Z201" s="371">
        <v>0</v>
      </c>
      <c r="AA201" s="371">
        <v>0</v>
      </c>
      <c r="AB201" s="371">
        <v>0</v>
      </c>
      <c r="AC201" s="372">
        <v>0</v>
      </c>
      <c r="AD201" s="295"/>
      <c r="CF201" s="73">
        <v>178</v>
      </c>
      <c r="CG201" s="74" t="s">
        <v>801</v>
      </c>
      <c r="CH201" s="246">
        <f>L78</f>
        <v>-8.8893617021276441</v>
      </c>
      <c r="CI201" s="74" t="s">
        <v>778</v>
      </c>
      <c r="CJ201" s="76" t="s">
        <v>802</v>
      </c>
      <c r="CK201" s="74" t="s">
        <v>387</v>
      </c>
    </row>
    <row r="202" spans="1:89" ht="25.5" customHeight="1" x14ac:dyDescent="0.2">
      <c r="A202" s="15"/>
      <c r="B202" s="224" t="s">
        <v>803</v>
      </c>
      <c r="C202" s="367">
        <f t="shared" si="129"/>
        <v>0</v>
      </c>
      <c r="D202" s="351" t="b">
        <f t="shared" si="127"/>
        <v>1</v>
      </c>
      <c r="E202" s="367">
        <f t="shared" si="125"/>
        <v>0</v>
      </c>
      <c r="F202" s="370">
        <v>0</v>
      </c>
      <c r="G202" s="368">
        <v>0</v>
      </c>
      <c r="H202" s="368">
        <v>0</v>
      </c>
      <c r="I202" s="368">
        <v>0</v>
      </c>
      <c r="J202" s="368">
        <v>0</v>
      </c>
      <c r="K202" s="368">
        <v>0</v>
      </c>
      <c r="L202" s="368">
        <v>0</v>
      </c>
      <c r="M202" s="368">
        <v>0</v>
      </c>
      <c r="N202" s="368">
        <v>0</v>
      </c>
      <c r="O202" s="368">
        <f>C202</f>
        <v>0</v>
      </c>
      <c r="P202" s="368">
        <v>0</v>
      </c>
      <c r="Q202" s="368">
        <v>0</v>
      </c>
      <c r="R202" s="368">
        <v>0</v>
      </c>
      <c r="S202" s="368">
        <v>0</v>
      </c>
      <c r="T202" s="368">
        <v>0</v>
      </c>
      <c r="U202" s="368">
        <v>0</v>
      </c>
      <c r="V202" s="368">
        <v>0</v>
      </c>
      <c r="W202" s="368">
        <v>0</v>
      </c>
      <c r="X202" s="368">
        <v>0</v>
      </c>
      <c r="Y202" s="368">
        <v>0</v>
      </c>
      <c r="Z202" s="368">
        <v>0</v>
      </c>
      <c r="AA202" s="368">
        <v>0</v>
      </c>
      <c r="AB202" s="368">
        <v>0</v>
      </c>
      <c r="AC202" s="369">
        <v>0</v>
      </c>
      <c r="AD202" s="295"/>
      <c r="CF202" s="455" t="s">
        <v>804</v>
      </c>
      <c r="CG202" s="455"/>
      <c r="CH202" s="455"/>
      <c r="CI202" s="455"/>
      <c r="CJ202" s="455"/>
      <c r="CK202" s="455"/>
    </row>
    <row r="203" spans="1:89" ht="21.75" customHeight="1" x14ac:dyDescent="0.2">
      <c r="A203" s="15"/>
      <c r="B203" s="224" t="s">
        <v>805</v>
      </c>
      <c r="C203" s="367">
        <f t="shared" si="129"/>
        <v>-5445000</v>
      </c>
      <c r="D203" s="351" t="b">
        <f t="shared" si="127"/>
        <v>1</v>
      </c>
      <c r="E203" s="367">
        <f t="shared" si="125"/>
        <v>-5445000</v>
      </c>
      <c r="F203" s="370">
        <v>0</v>
      </c>
      <c r="G203" s="371">
        <v>0</v>
      </c>
      <c r="H203" s="371">
        <v>0</v>
      </c>
      <c r="I203" s="371">
        <v>0</v>
      </c>
      <c r="J203" s="371">
        <v>0</v>
      </c>
      <c r="K203" s="371">
        <v>0</v>
      </c>
      <c r="L203" s="371">
        <v>0</v>
      </c>
      <c r="M203" s="371">
        <v>0</v>
      </c>
      <c r="N203" s="371">
        <f>C203*0.4</f>
        <v>-2178000</v>
      </c>
      <c r="O203" s="371">
        <f>C203*0.6</f>
        <v>-3267000</v>
      </c>
      <c r="P203" s="371">
        <v>0</v>
      </c>
      <c r="Q203" s="371">
        <v>0</v>
      </c>
      <c r="R203" s="371">
        <v>0</v>
      </c>
      <c r="S203" s="371">
        <v>0</v>
      </c>
      <c r="T203" s="371">
        <v>0</v>
      </c>
      <c r="U203" s="371">
        <v>0</v>
      </c>
      <c r="V203" s="371">
        <v>0</v>
      </c>
      <c r="W203" s="371">
        <v>0</v>
      </c>
      <c r="X203" s="371">
        <v>0</v>
      </c>
      <c r="Y203" s="371">
        <v>0</v>
      </c>
      <c r="Z203" s="371">
        <v>0</v>
      </c>
      <c r="AA203" s="371">
        <v>0</v>
      </c>
      <c r="AB203" s="371">
        <v>0</v>
      </c>
      <c r="AC203" s="372">
        <v>0</v>
      </c>
      <c r="AD203" s="295"/>
      <c r="CF203" s="65">
        <v>179</v>
      </c>
      <c r="CG203" s="66" t="s">
        <v>806</v>
      </c>
      <c r="CH203" s="88">
        <f t="shared" ref="CH203:CH219" si="131">C86</f>
        <v>702000</v>
      </c>
      <c r="CI203" s="66" t="s">
        <v>807</v>
      </c>
      <c r="CJ203" s="68" t="s">
        <v>808</v>
      </c>
      <c r="CK203" s="66" t="s">
        <v>99</v>
      </c>
    </row>
    <row r="204" spans="1:89" ht="21.75" customHeight="1" x14ac:dyDescent="0.2">
      <c r="A204" s="15"/>
      <c r="B204" s="224" t="s">
        <v>809</v>
      </c>
      <c r="C204" s="367">
        <f t="shared" si="129"/>
        <v>-2475000</v>
      </c>
      <c r="D204" s="351" t="b">
        <f t="shared" si="127"/>
        <v>1</v>
      </c>
      <c r="E204" s="367">
        <f t="shared" si="125"/>
        <v>-2475000</v>
      </c>
      <c r="F204" s="370">
        <v>0</v>
      </c>
      <c r="G204" s="368">
        <v>0</v>
      </c>
      <c r="H204" s="368">
        <v>0</v>
      </c>
      <c r="I204" s="368">
        <v>0</v>
      </c>
      <c r="J204" s="368">
        <v>0</v>
      </c>
      <c r="K204" s="368">
        <v>0</v>
      </c>
      <c r="L204" s="368">
        <v>0</v>
      </c>
      <c r="M204" s="368">
        <v>0</v>
      </c>
      <c r="N204" s="368">
        <v>0</v>
      </c>
      <c r="O204" s="368">
        <f>C204</f>
        <v>-2475000</v>
      </c>
      <c r="P204" s="368">
        <v>0</v>
      </c>
      <c r="Q204" s="368">
        <v>0</v>
      </c>
      <c r="R204" s="368">
        <v>0</v>
      </c>
      <c r="S204" s="368">
        <v>0</v>
      </c>
      <c r="T204" s="368">
        <v>0</v>
      </c>
      <c r="U204" s="368">
        <v>0</v>
      </c>
      <c r="V204" s="368">
        <v>0</v>
      </c>
      <c r="W204" s="368">
        <v>0</v>
      </c>
      <c r="X204" s="368">
        <v>0</v>
      </c>
      <c r="Y204" s="368">
        <v>0</v>
      </c>
      <c r="Z204" s="368">
        <v>0</v>
      </c>
      <c r="AA204" s="368">
        <v>0</v>
      </c>
      <c r="AB204" s="368">
        <v>0</v>
      </c>
      <c r="AC204" s="369">
        <v>0</v>
      </c>
      <c r="AD204" s="295"/>
      <c r="CF204" s="73">
        <v>180</v>
      </c>
      <c r="CG204" s="74" t="s">
        <v>810</v>
      </c>
      <c r="CH204" s="93">
        <f t="shared" si="131"/>
        <v>1895400</v>
      </c>
      <c r="CI204" s="74" t="s">
        <v>807</v>
      </c>
      <c r="CJ204" s="76" t="s">
        <v>811</v>
      </c>
      <c r="CK204" s="74" t="s">
        <v>99</v>
      </c>
    </row>
    <row r="205" spans="1:89" ht="21.75" customHeight="1" x14ac:dyDescent="0.2">
      <c r="A205" s="15"/>
      <c r="B205" s="224" t="s">
        <v>812</v>
      </c>
      <c r="C205" s="367">
        <f t="shared" si="129"/>
        <v>-1584000</v>
      </c>
      <c r="D205" s="351" t="b">
        <f t="shared" si="127"/>
        <v>1</v>
      </c>
      <c r="E205" s="367">
        <f t="shared" si="125"/>
        <v>-1584000</v>
      </c>
      <c r="F205" s="370">
        <v>0</v>
      </c>
      <c r="G205" s="371">
        <v>0</v>
      </c>
      <c r="H205" s="371">
        <v>0</v>
      </c>
      <c r="I205" s="371">
        <v>0</v>
      </c>
      <c r="J205" s="371">
        <v>0</v>
      </c>
      <c r="K205" s="371">
        <v>0</v>
      </c>
      <c r="L205" s="371">
        <v>0</v>
      </c>
      <c r="M205" s="371">
        <v>0</v>
      </c>
      <c r="N205" s="371">
        <v>0</v>
      </c>
      <c r="O205" s="371">
        <f>C205</f>
        <v>-1584000</v>
      </c>
      <c r="P205" s="371">
        <v>0</v>
      </c>
      <c r="Q205" s="371">
        <v>0</v>
      </c>
      <c r="R205" s="371">
        <v>0</v>
      </c>
      <c r="S205" s="371">
        <v>0</v>
      </c>
      <c r="T205" s="371">
        <v>0</v>
      </c>
      <c r="U205" s="371">
        <v>0</v>
      </c>
      <c r="V205" s="371">
        <v>0</v>
      </c>
      <c r="W205" s="371">
        <v>0</v>
      </c>
      <c r="X205" s="371">
        <v>0</v>
      </c>
      <c r="Y205" s="371">
        <v>0</v>
      </c>
      <c r="Z205" s="371">
        <v>0</v>
      </c>
      <c r="AA205" s="371">
        <v>0</v>
      </c>
      <c r="AB205" s="371">
        <v>0</v>
      </c>
      <c r="AC205" s="372">
        <v>0</v>
      </c>
      <c r="AD205" s="295"/>
      <c r="CF205" s="65">
        <v>181</v>
      </c>
      <c r="CG205" s="66" t="s">
        <v>813</v>
      </c>
      <c r="CH205" s="88">
        <f t="shared" si="131"/>
        <v>1380054.3194680852</v>
      </c>
      <c r="CI205" s="66" t="s">
        <v>807</v>
      </c>
      <c r="CJ205" s="68" t="s">
        <v>814</v>
      </c>
      <c r="CK205" s="66" t="s">
        <v>99</v>
      </c>
    </row>
    <row r="206" spans="1:89" ht="21.75" customHeight="1" x14ac:dyDescent="0.2">
      <c r="A206" s="15"/>
      <c r="B206" s="224" t="s">
        <v>815</v>
      </c>
      <c r="C206" s="367">
        <f t="shared" si="129"/>
        <v>-297000</v>
      </c>
      <c r="D206" s="351" t="b">
        <f t="shared" si="127"/>
        <v>1</v>
      </c>
      <c r="E206" s="367">
        <f t="shared" si="125"/>
        <v>-297000</v>
      </c>
      <c r="F206" s="370">
        <v>0</v>
      </c>
      <c r="G206" s="368">
        <v>0</v>
      </c>
      <c r="H206" s="368">
        <v>0</v>
      </c>
      <c r="I206" s="368">
        <v>0</v>
      </c>
      <c r="J206" s="368">
        <v>0</v>
      </c>
      <c r="K206" s="368">
        <v>0</v>
      </c>
      <c r="L206" s="368">
        <v>0</v>
      </c>
      <c r="M206" s="368">
        <v>0</v>
      </c>
      <c r="N206" s="368">
        <v>0</v>
      </c>
      <c r="O206" s="368">
        <f>C206</f>
        <v>-297000</v>
      </c>
      <c r="P206" s="368">
        <v>0</v>
      </c>
      <c r="Q206" s="368">
        <v>0</v>
      </c>
      <c r="R206" s="368">
        <v>0</v>
      </c>
      <c r="S206" s="368">
        <v>0</v>
      </c>
      <c r="T206" s="368">
        <v>0</v>
      </c>
      <c r="U206" s="368">
        <v>0</v>
      </c>
      <c r="V206" s="368">
        <v>0</v>
      </c>
      <c r="W206" s="368">
        <v>0</v>
      </c>
      <c r="X206" s="368">
        <v>0</v>
      </c>
      <c r="Y206" s="368">
        <v>0</v>
      </c>
      <c r="Z206" s="368">
        <v>0</v>
      </c>
      <c r="AA206" s="368">
        <v>0</v>
      </c>
      <c r="AB206" s="368">
        <v>0</v>
      </c>
      <c r="AC206" s="369">
        <v>0</v>
      </c>
      <c r="AD206" s="295"/>
      <c r="CF206" s="73">
        <v>182</v>
      </c>
      <c r="CG206" s="74" t="s">
        <v>816</v>
      </c>
      <c r="CH206" s="93">
        <f t="shared" si="131"/>
        <v>73008</v>
      </c>
      <c r="CI206" s="74" t="s">
        <v>807</v>
      </c>
      <c r="CJ206" s="76" t="s">
        <v>817</v>
      </c>
      <c r="CK206" s="74" t="s">
        <v>99</v>
      </c>
    </row>
    <row r="207" spans="1:89" ht="21.75" customHeight="1" x14ac:dyDescent="0.2">
      <c r="A207" s="15"/>
      <c r="B207" s="224" t="s">
        <v>818</v>
      </c>
      <c r="C207" s="367">
        <f t="shared" si="129"/>
        <v>-990000</v>
      </c>
      <c r="D207" s="351" t="b">
        <f t="shared" si="127"/>
        <v>1</v>
      </c>
      <c r="E207" s="367">
        <f t="shared" si="125"/>
        <v>-989999.99999999977</v>
      </c>
      <c r="F207" s="370">
        <v>0</v>
      </c>
      <c r="G207" s="371">
        <v>0</v>
      </c>
      <c r="H207" s="371">
        <v>0</v>
      </c>
      <c r="I207" s="371">
        <v>0</v>
      </c>
      <c r="J207" s="371">
        <v>0</v>
      </c>
      <c r="K207" s="371">
        <v>0</v>
      </c>
      <c r="L207" s="371">
        <v>0</v>
      </c>
      <c r="M207" s="371">
        <v>0</v>
      </c>
      <c r="N207" s="371">
        <v>0</v>
      </c>
      <c r="O207" s="371">
        <v>0</v>
      </c>
      <c r="P207" s="371">
        <v>0</v>
      </c>
      <c r="Q207" s="371">
        <f t="shared" ref="Q207:W207" si="132">$C$207/7</f>
        <v>-141428.57142857142</v>
      </c>
      <c r="R207" s="371">
        <f t="shared" si="132"/>
        <v>-141428.57142857142</v>
      </c>
      <c r="S207" s="371">
        <f t="shared" si="132"/>
        <v>-141428.57142857142</v>
      </c>
      <c r="T207" s="371">
        <f t="shared" si="132"/>
        <v>-141428.57142857142</v>
      </c>
      <c r="U207" s="371">
        <f t="shared" si="132"/>
        <v>-141428.57142857142</v>
      </c>
      <c r="V207" s="371">
        <f t="shared" si="132"/>
        <v>-141428.57142857142</v>
      </c>
      <c r="W207" s="371">
        <f t="shared" si="132"/>
        <v>-141428.57142857142</v>
      </c>
      <c r="X207" s="371">
        <v>0</v>
      </c>
      <c r="Y207" s="371">
        <v>0</v>
      </c>
      <c r="Z207" s="371">
        <v>0</v>
      </c>
      <c r="AA207" s="371">
        <v>0</v>
      </c>
      <c r="AB207" s="371">
        <v>0</v>
      </c>
      <c r="AC207" s="372">
        <v>0</v>
      </c>
      <c r="AD207" s="295"/>
      <c r="CF207" s="65">
        <v>183</v>
      </c>
      <c r="CG207" s="66" t="s">
        <v>819</v>
      </c>
      <c r="CH207" s="88">
        <f t="shared" si="131"/>
        <v>2435389.9755319147</v>
      </c>
      <c r="CI207" s="66" t="s">
        <v>807</v>
      </c>
      <c r="CJ207" s="68" t="s">
        <v>820</v>
      </c>
      <c r="CK207" s="66" t="s">
        <v>99</v>
      </c>
    </row>
    <row r="208" spans="1:89" ht="21.75" customHeight="1" x14ac:dyDescent="0.2">
      <c r="A208" s="15"/>
      <c r="B208" s="224" t="s">
        <v>821</v>
      </c>
      <c r="C208" s="367">
        <f t="shared" si="129"/>
        <v>-1217694.9877659574</v>
      </c>
      <c r="D208" s="351" t="b">
        <f t="shared" si="127"/>
        <v>1</v>
      </c>
      <c r="E208" s="367">
        <f t="shared" si="125"/>
        <v>-1217694.9877659574</v>
      </c>
      <c r="F208" s="370">
        <v>0</v>
      </c>
      <c r="G208" s="368">
        <v>0</v>
      </c>
      <c r="H208" s="368">
        <v>0</v>
      </c>
      <c r="I208" s="368">
        <v>0</v>
      </c>
      <c r="J208" s="368">
        <v>0</v>
      </c>
      <c r="K208" s="368">
        <v>0</v>
      </c>
      <c r="L208" s="368">
        <f>$C$208/4</f>
        <v>-304423.74694148934</v>
      </c>
      <c r="M208" s="368">
        <f>$C$208/4</f>
        <v>-304423.74694148934</v>
      </c>
      <c r="N208" s="368">
        <f>$C$208/4</f>
        <v>-304423.74694148934</v>
      </c>
      <c r="O208" s="368">
        <f>$C$208/4</f>
        <v>-304423.74694148934</v>
      </c>
      <c r="P208" s="368">
        <v>0</v>
      </c>
      <c r="Q208" s="368">
        <v>0</v>
      </c>
      <c r="R208" s="368">
        <v>0</v>
      </c>
      <c r="S208" s="368">
        <v>0</v>
      </c>
      <c r="T208" s="368">
        <v>0</v>
      </c>
      <c r="U208" s="368">
        <v>0</v>
      </c>
      <c r="V208" s="368">
        <v>0</v>
      </c>
      <c r="W208" s="368">
        <v>0</v>
      </c>
      <c r="X208" s="368">
        <v>0</v>
      </c>
      <c r="Y208" s="368">
        <v>0</v>
      </c>
      <c r="Z208" s="368">
        <v>0</v>
      </c>
      <c r="AA208" s="368">
        <v>0</v>
      </c>
      <c r="AB208" s="368">
        <v>0</v>
      </c>
      <c r="AC208" s="369">
        <v>0</v>
      </c>
      <c r="AD208" s="295"/>
      <c r="CF208" s="73">
        <v>184</v>
      </c>
      <c r="CG208" s="74" t="s">
        <v>822</v>
      </c>
      <c r="CH208" s="93">
        <f t="shared" si="131"/>
        <v>0</v>
      </c>
      <c r="CI208" s="74" t="s">
        <v>807</v>
      </c>
      <c r="CJ208" s="76" t="s">
        <v>823</v>
      </c>
      <c r="CK208" s="74" t="s">
        <v>99</v>
      </c>
    </row>
    <row r="209" spans="1:89" ht="21.75" customHeight="1" x14ac:dyDescent="0.2">
      <c r="A209" s="15"/>
      <c r="B209" s="224" t="s">
        <v>824</v>
      </c>
      <c r="C209" s="367">
        <f t="shared" si="129"/>
        <v>-4273691.3955249814</v>
      </c>
      <c r="D209" s="351" t="b">
        <f t="shared" si="127"/>
        <v>1</v>
      </c>
      <c r="E209" s="367">
        <f t="shared" si="125"/>
        <v>-4273691.3955249805</v>
      </c>
      <c r="F209" s="370">
        <v>0</v>
      </c>
      <c r="G209" s="371">
        <v>0</v>
      </c>
      <c r="H209" s="371">
        <v>0</v>
      </c>
      <c r="I209" s="371">
        <v>0</v>
      </c>
      <c r="J209" s="371">
        <v>0</v>
      </c>
      <c r="K209" s="371">
        <v>0</v>
      </c>
      <c r="L209" s="371">
        <v>0</v>
      </c>
      <c r="M209" s="371">
        <f t="shared" ref="M209:S209" si="133">$C$209/7</f>
        <v>-610527.34221785446</v>
      </c>
      <c r="N209" s="371">
        <f t="shared" si="133"/>
        <v>-610527.34221785446</v>
      </c>
      <c r="O209" s="371">
        <f t="shared" si="133"/>
        <v>-610527.34221785446</v>
      </c>
      <c r="P209" s="371">
        <f t="shared" si="133"/>
        <v>-610527.34221785446</v>
      </c>
      <c r="Q209" s="371">
        <f t="shared" si="133"/>
        <v>-610527.34221785446</v>
      </c>
      <c r="R209" s="371">
        <f t="shared" si="133"/>
        <v>-610527.34221785446</v>
      </c>
      <c r="S209" s="371">
        <f t="shared" si="133"/>
        <v>-610527.34221785446</v>
      </c>
      <c r="T209" s="371"/>
      <c r="U209" s="371">
        <v>0</v>
      </c>
      <c r="V209" s="371">
        <v>0</v>
      </c>
      <c r="W209" s="371">
        <v>0</v>
      </c>
      <c r="X209" s="371">
        <v>0</v>
      </c>
      <c r="Y209" s="371">
        <v>0</v>
      </c>
      <c r="Z209" s="371">
        <v>0</v>
      </c>
      <c r="AA209" s="371">
        <v>0</v>
      </c>
      <c r="AB209" s="371">
        <v>0</v>
      </c>
      <c r="AC209" s="372">
        <v>0</v>
      </c>
      <c r="AD209" s="295"/>
      <c r="CF209" s="65">
        <v>185</v>
      </c>
      <c r="CG209" s="66" t="s">
        <v>825</v>
      </c>
      <c r="CH209" s="88">
        <f t="shared" si="131"/>
        <v>5445000</v>
      </c>
      <c r="CI209" s="66" t="s">
        <v>807</v>
      </c>
      <c r="CJ209" s="68" t="s">
        <v>826</v>
      </c>
      <c r="CK209" s="66" t="s">
        <v>99</v>
      </c>
    </row>
    <row r="210" spans="1:89" ht="21.75" customHeight="1" x14ac:dyDescent="0.2">
      <c r="A210" s="15"/>
      <c r="B210" s="224" t="s">
        <v>827</v>
      </c>
      <c r="C210" s="367">
        <f t="shared" si="129"/>
        <v>-188465.17021276589</v>
      </c>
      <c r="D210" s="351" t="b">
        <f t="shared" si="127"/>
        <v>1</v>
      </c>
      <c r="E210" s="367">
        <f t="shared" si="125"/>
        <v>-188465.17021276589</v>
      </c>
      <c r="F210" s="370">
        <v>0</v>
      </c>
      <c r="G210" s="371">
        <v>0</v>
      </c>
      <c r="H210" s="371">
        <v>0</v>
      </c>
      <c r="I210" s="371">
        <v>0</v>
      </c>
      <c r="J210" s="371">
        <v>0</v>
      </c>
      <c r="K210" s="371">
        <v>0</v>
      </c>
      <c r="L210" s="371">
        <v>0</v>
      </c>
      <c r="M210" s="371">
        <f t="shared" ref="M210:S210" si="134">$C$210/7</f>
        <v>-26923.595744680842</v>
      </c>
      <c r="N210" s="371">
        <f t="shared" si="134"/>
        <v>-26923.595744680842</v>
      </c>
      <c r="O210" s="371">
        <f t="shared" si="134"/>
        <v>-26923.595744680842</v>
      </c>
      <c r="P210" s="371">
        <f t="shared" si="134"/>
        <v>-26923.595744680842</v>
      </c>
      <c r="Q210" s="371">
        <f t="shared" si="134"/>
        <v>-26923.595744680842</v>
      </c>
      <c r="R210" s="371">
        <f t="shared" si="134"/>
        <v>-26923.595744680842</v>
      </c>
      <c r="S210" s="371">
        <f t="shared" si="134"/>
        <v>-26923.595744680842</v>
      </c>
      <c r="T210" s="371"/>
      <c r="U210" s="371">
        <v>0</v>
      </c>
      <c r="V210" s="371">
        <v>0</v>
      </c>
      <c r="W210" s="371">
        <v>0</v>
      </c>
      <c r="X210" s="371">
        <v>0</v>
      </c>
      <c r="Y210" s="371">
        <v>0</v>
      </c>
      <c r="Z210" s="371">
        <v>0</v>
      </c>
      <c r="AA210" s="371">
        <v>0</v>
      </c>
      <c r="AB210" s="371">
        <v>0</v>
      </c>
      <c r="AC210" s="372">
        <v>0</v>
      </c>
      <c r="AD210" s="295"/>
      <c r="CF210" s="73">
        <v>186</v>
      </c>
      <c r="CG210" s="74" t="s">
        <v>828</v>
      </c>
      <c r="CH210" s="93">
        <f t="shared" si="131"/>
        <v>2475000</v>
      </c>
      <c r="CI210" s="74" t="s">
        <v>807</v>
      </c>
      <c r="CJ210" s="76" t="s">
        <v>829</v>
      </c>
      <c r="CK210" s="74" t="s">
        <v>99</v>
      </c>
    </row>
    <row r="211" spans="1:89" ht="21.75" customHeight="1" x14ac:dyDescent="0.2">
      <c r="A211" s="15"/>
      <c r="B211" s="224" t="s">
        <v>830</v>
      </c>
      <c r="C211" s="367">
        <f t="shared" si="129"/>
        <v>-1137261.0039893629</v>
      </c>
      <c r="D211" s="351" t="b">
        <f t="shared" si="127"/>
        <v>1</v>
      </c>
      <c r="E211" s="367">
        <f t="shared" si="125"/>
        <v>-1137261.0039893631</v>
      </c>
      <c r="F211" s="368">
        <f t="shared" ref="F211:AC211" si="135">$D$100*-F278</f>
        <v>0</v>
      </c>
      <c r="G211" s="368">
        <f t="shared" si="135"/>
        <v>0</v>
      </c>
      <c r="H211" s="368">
        <f t="shared" si="135"/>
        <v>-64986.343085106455</v>
      </c>
      <c r="I211" s="368">
        <f t="shared" si="135"/>
        <v>-97479.514627659693</v>
      </c>
      <c r="J211" s="368">
        <f t="shared" si="135"/>
        <v>-129972.68617021291</v>
      </c>
      <c r="K211" s="368">
        <f t="shared" si="135"/>
        <v>-129972.68617021291</v>
      </c>
      <c r="L211" s="368">
        <f t="shared" si="135"/>
        <v>-162465.85771276613</v>
      </c>
      <c r="M211" s="368">
        <f t="shared" si="135"/>
        <v>-162465.85771276613</v>
      </c>
      <c r="N211" s="368">
        <f t="shared" si="135"/>
        <v>-162465.85771276613</v>
      </c>
      <c r="O211" s="368">
        <f t="shared" si="135"/>
        <v>-227452.20079787259</v>
      </c>
      <c r="P211" s="368">
        <f t="shared" si="135"/>
        <v>0</v>
      </c>
      <c r="Q211" s="368">
        <f t="shared" si="135"/>
        <v>0</v>
      </c>
      <c r="R211" s="368">
        <f t="shared" si="135"/>
        <v>0</v>
      </c>
      <c r="S211" s="368">
        <f t="shared" si="135"/>
        <v>0</v>
      </c>
      <c r="T211" s="368">
        <f t="shared" si="135"/>
        <v>0</v>
      </c>
      <c r="U211" s="368">
        <f t="shared" si="135"/>
        <v>0</v>
      </c>
      <c r="V211" s="368">
        <f t="shared" si="135"/>
        <v>0</v>
      </c>
      <c r="W211" s="368">
        <f t="shared" si="135"/>
        <v>0</v>
      </c>
      <c r="X211" s="368">
        <f t="shared" si="135"/>
        <v>0</v>
      </c>
      <c r="Y211" s="368">
        <f t="shared" si="135"/>
        <v>0</v>
      </c>
      <c r="Z211" s="368">
        <f t="shared" si="135"/>
        <v>0</v>
      </c>
      <c r="AA211" s="368">
        <f t="shared" si="135"/>
        <v>0</v>
      </c>
      <c r="AB211" s="368">
        <f t="shared" si="135"/>
        <v>0</v>
      </c>
      <c r="AC211" s="369">
        <f t="shared" si="135"/>
        <v>0</v>
      </c>
      <c r="AD211" s="295"/>
      <c r="CF211" s="65">
        <v>187</v>
      </c>
      <c r="CG211" s="66" t="s">
        <v>831</v>
      </c>
      <c r="CH211" s="88">
        <f t="shared" si="131"/>
        <v>1584000</v>
      </c>
      <c r="CI211" s="66" t="s">
        <v>807</v>
      </c>
      <c r="CJ211" s="68" t="s">
        <v>832</v>
      </c>
      <c r="CK211" s="66" t="s">
        <v>99</v>
      </c>
    </row>
    <row r="212" spans="1:89" ht="21.75" customHeight="1" x14ac:dyDescent="0.2">
      <c r="A212" s="15"/>
      <c r="B212" s="404" t="s">
        <v>833</v>
      </c>
      <c r="C212" s="389">
        <f t="shared" si="129"/>
        <v>-2435389.9755319147</v>
      </c>
      <c r="D212" s="390" t="b">
        <f t="shared" si="127"/>
        <v>1</v>
      </c>
      <c r="E212" s="389">
        <f t="shared" si="125"/>
        <v>-2435389.9755319147</v>
      </c>
      <c r="F212" s="391">
        <f t="shared" ref="F212:P212" si="136">$C$212/11</f>
        <v>-221399.08868471952</v>
      </c>
      <c r="G212" s="391">
        <f t="shared" si="136"/>
        <v>-221399.08868471952</v>
      </c>
      <c r="H212" s="391">
        <f t="shared" si="136"/>
        <v>-221399.08868471952</v>
      </c>
      <c r="I212" s="391">
        <f t="shared" si="136"/>
        <v>-221399.08868471952</v>
      </c>
      <c r="J212" s="391">
        <f t="shared" si="136"/>
        <v>-221399.08868471952</v>
      </c>
      <c r="K212" s="391">
        <f t="shared" si="136"/>
        <v>-221399.08868471952</v>
      </c>
      <c r="L212" s="391">
        <f t="shared" si="136"/>
        <v>-221399.08868471952</v>
      </c>
      <c r="M212" s="391">
        <f t="shared" si="136"/>
        <v>-221399.08868471952</v>
      </c>
      <c r="N212" s="391">
        <f t="shared" si="136"/>
        <v>-221399.08868471952</v>
      </c>
      <c r="O212" s="391">
        <f t="shared" si="136"/>
        <v>-221399.08868471952</v>
      </c>
      <c r="P212" s="391">
        <f t="shared" si="136"/>
        <v>-221399.08868471952</v>
      </c>
      <c r="Q212" s="391">
        <f t="shared" ref="Q212:AC212" si="137">$D$101*Q196</f>
        <v>0</v>
      </c>
      <c r="R212" s="391">
        <f t="shared" si="137"/>
        <v>0</v>
      </c>
      <c r="S212" s="391">
        <f t="shared" si="137"/>
        <v>0</v>
      </c>
      <c r="T212" s="391">
        <f t="shared" si="137"/>
        <v>0</v>
      </c>
      <c r="U212" s="391">
        <f t="shared" si="137"/>
        <v>0</v>
      </c>
      <c r="V212" s="391">
        <f t="shared" si="137"/>
        <v>0</v>
      </c>
      <c r="W212" s="391">
        <f t="shared" si="137"/>
        <v>0</v>
      </c>
      <c r="X212" s="391">
        <f t="shared" si="137"/>
        <v>0</v>
      </c>
      <c r="Y212" s="391">
        <f t="shared" si="137"/>
        <v>0</v>
      </c>
      <c r="Z212" s="391">
        <f t="shared" si="137"/>
        <v>0</v>
      </c>
      <c r="AA212" s="391">
        <f t="shared" si="137"/>
        <v>0</v>
      </c>
      <c r="AB212" s="391">
        <f t="shared" si="137"/>
        <v>0</v>
      </c>
      <c r="AC212" s="392">
        <f t="shared" si="137"/>
        <v>0</v>
      </c>
      <c r="AD212" s="295"/>
      <c r="CF212" s="73">
        <v>188</v>
      </c>
      <c r="CG212" s="74" t="s">
        <v>834</v>
      </c>
      <c r="CH212" s="93">
        <f t="shared" si="131"/>
        <v>297000</v>
      </c>
      <c r="CI212" s="74" t="s">
        <v>807</v>
      </c>
      <c r="CJ212" s="76" t="s">
        <v>835</v>
      </c>
      <c r="CK212" s="74" t="s">
        <v>99</v>
      </c>
    </row>
    <row r="213" spans="1:89" ht="21.75" customHeight="1" x14ac:dyDescent="0.2">
      <c r="A213" s="15"/>
      <c r="B213" s="405" t="s">
        <v>836</v>
      </c>
      <c r="C213" s="384">
        <f>-I157+-Y157</f>
        <v>-2712940.8510638298</v>
      </c>
      <c r="D213" s="406" t="b">
        <f t="shared" si="127"/>
        <v>1</v>
      </c>
      <c r="E213" s="384">
        <f t="shared" si="125"/>
        <v>-2712940.8510638298</v>
      </c>
      <c r="F213" s="407">
        <f t="shared" ref="F213:AC213" si="138">-($I$158*F185)+-($Y$158*F186)</f>
        <v>0</v>
      </c>
      <c r="G213" s="407">
        <f t="shared" si="138"/>
        <v>0</v>
      </c>
      <c r="H213" s="407">
        <f t="shared" si="138"/>
        <v>0</v>
      </c>
      <c r="I213" s="407">
        <f t="shared" si="138"/>
        <v>0</v>
      </c>
      <c r="J213" s="407">
        <f t="shared" si="138"/>
        <v>0</v>
      </c>
      <c r="K213" s="407">
        <f t="shared" si="138"/>
        <v>0</v>
      </c>
      <c r="L213" s="407">
        <f t="shared" si="138"/>
        <v>0</v>
      </c>
      <c r="M213" s="407">
        <f t="shared" si="138"/>
        <v>0</v>
      </c>
      <c r="N213" s="407">
        <f t="shared" si="138"/>
        <v>0</v>
      </c>
      <c r="O213" s="407">
        <f t="shared" si="138"/>
        <v>-26212.978723404231</v>
      </c>
      <c r="P213" s="407">
        <f t="shared" si="138"/>
        <v>-532102.97872340423</v>
      </c>
      <c r="Q213" s="407">
        <f t="shared" si="138"/>
        <v>-532102.97872340423</v>
      </c>
      <c r="R213" s="407">
        <f t="shared" si="138"/>
        <v>-811260.95744680846</v>
      </c>
      <c r="S213" s="407">
        <f t="shared" si="138"/>
        <v>-811260.95744680846</v>
      </c>
      <c r="T213" s="407">
        <f t="shared" si="138"/>
        <v>0</v>
      </c>
      <c r="U213" s="407">
        <f t="shared" si="138"/>
        <v>0</v>
      </c>
      <c r="V213" s="407">
        <f t="shared" si="138"/>
        <v>0</v>
      </c>
      <c r="W213" s="407">
        <f t="shared" si="138"/>
        <v>0</v>
      </c>
      <c r="X213" s="407">
        <f t="shared" si="138"/>
        <v>0</v>
      </c>
      <c r="Y213" s="407">
        <f t="shared" si="138"/>
        <v>0</v>
      </c>
      <c r="Z213" s="407">
        <f t="shared" si="138"/>
        <v>0</v>
      </c>
      <c r="AA213" s="407">
        <f t="shared" si="138"/>
        <v>0</v>
      </c>
      <c r="AB213" s="407">
        <f t="shared" si="138"/>
        <v>0</v>
      </c>
      <c r="AC213" s="408">
        <f t="shared" si="138"/>
        <v>0</v>
      </c>
      <c r="AD213" s="295"/>
      <c r="CF213" s="65">
        <v>189</v>
      </c>
      <c r="CG213" s="66" t="s">
        <v>837</v>
      </c>
      <c r="CH213" s="88">
        <f t="shared" si="131"/>
        <v>990000</v>
      </c>
      <c r="CI213" s="66" t="s">
        <v>807</v>
      </c>
      <c r="CJ213" s="68" t="s">
        <v>838</v>
      </c>
      <c r="CK213" s="66" t="s">
        <v>99</v>
      </c>
    </row>
    <row r="214" spans="1:89" ht="21.75" customHeight="1" x14ac:dyDescent="0.2">
      <c r="A214" s="15"/>
      <c r="B214" s="224" t="s">
        <v>839</v>
      </c>
      <c r="C214" s="367">
        <f>-C105</f>
        <v>-5072943.6246633977</v>
      </c>
      <c r="D214" s="351" t="b">
        <f t="shared" si="127"/>
        <v>1</v>
      </c>
      <c r="E214" s="367">
        <f t="shared" si="125"/>
        <v>-5072943.6246633977</v>
      </c>
      <c r="F214" s="371">
        <f t="shared" ref="F214:Y214" si="139">F325</f>
        <v>-2039808.1198138297</v>
      </c>
      <c r="G214" s="371">
        <f t="shared" si="139"/>
        <v>-391175</v>
      </c>
      <c r="H214" s="371">
        <f t="shared" si="139"/>
        <v>0</v>
      </c>
      <c r="I214" s="371">
        <f t="shared" si="139"/>
        <v>-413372.56488115032</v>
      </c>
      <c r="J214" s="371">
        <f t="shared" si="139"/>
        <v>0</v>
      </c>
      <c r="K214" s="371">
        <f t="shared" si="139"/>
        <v>-426056.88767037896</v>
      </c>
      <c r="L214" s="371">
        <f t="shared" si="139"/>
        <v>0</v>
      </c>
      <c r="M214" s="371">
        <f t="shared" si="139"/>
        <v>-438741.21045960765</v>
      </c>
      <c r="N214" s="371">
        <f t="shared" si="139"/>
        <v>0</v>
      </c>
      <c r="O214" s="371">
        <f t="shared" si="139"/>
        <v>-454596.61394614354</v>
      </c>
      <c r="P214" s="371">
        <f t="shared" si="139"/>
        <v>0</v>
      </c>
      <c r="Q214" s="371">
        <f t="shared" si="139"/>
        <v>-454596.61394614354</v>
      </c>
      <c r="R214" s="371">
        <f t="shared" si="139"/>
        <v>0</v>
      </c>
      <c r="S214" s="371">
        <f t="shared" si="139"/>
        <v>-454596.61394614354</v>
      </c>
      <c r="T214" s="371">
        <f t="shared" si="139"/>
        <v>0</v>
      </c>
      <c r="U214" s="371">
        <f t="shared" si="139"/>
        <v>0</v>
      </c>
      <c r="V214" s="371">
        <f t="shared" si="139"/>
        <v>0</v>
      </c>
      <c r="W214" s="371">
        <f t="shared" si="139"/>
        <v>0</v>
      </c>
      <c r="X214" s="371">
        <f t="shared" si="139"/>
        <v>0</v>
      </c>
      <c r="Y214" s="371">
        <f t="shared" si="139"/>
        <v>0</v>
      </c>
      <c r="Z214" s="371">
        <v>0</v>
      </c>
      <c r="AA214" s="371">
        <v>0</v>
      </c>
      <c r="AB214" s="371">
        <v>0</v>
      </c>
      <c r="AC214" s="372">
        <v>0</v>
      </c>
      <c r="AD214" s="295"/>
      <c r="CF214" s="73">
        <v>190</v>
      </c>
      <c r="CG214" s="74" t="s">
        <v>840</v>
      </c>
      <c r="CH214" s="93">
        <f t="shared" si="131"/>
        <v>1217694.9877659574</v>
      </c>
      <c r="CI214" s="74" t="s">
        <v>807</v>
      </c>
      <c r="CJ214" s="76" t="s">
        <v>841</v>
      </c>
      <c r="CK214" s="74" t="s">
        <v>99</v>
      </c>
    </row>
    <row r="215" spans="1:89" ht="21.75" customHeight="1" x14ac:dyDescent="0.2">
      <c r="A215" s="15"/>
      <c r="B215" s="112" t="s">
        <v>842</v>
      </c>
      <c r="C215" s="367">
        <f>(((TRUNC(D122))*267000)+292000)*-1</f>
        <v>-1093000</v>
      </c>
      <c r="D215" s="351" t="b">
        <f t="shared" si="127"/>
        <v>1</v>
      </c>
      <c r="E215" s="367">
        <f t="shared" si="125"/>
        <v>-1093000</v>
      </c>
      <c r="F215" s="370">
        <v>-292000</v>
      </c>
      <c r="G215" s="368">
        <v>0</v>
      </c>
      <c r="H215" s="368">
        <v>0</v>
      </c>
      <c r="I215" s="368">
        <v>0</v>
      </c>
      <c r="J215" s="370">
        <v>-267000</v>
      </c>
      <c r="K215" s="368">
        <v>0</v>
      </c>
      <c r="L215" s="368">
        <v>0</v>
      </c>
      <c r="M215" s="368">
        <v>0</v>
      </c>
      <c r="N215" s="370">
        <v>-267000</v>
      </c>
      <c r="O215" s="368">
        <v>0</v>
      </c>
      <c r="P215" s="368">
        <v>0</v>
      </c>
      <c r="Q215" s="368">
        <v>0</v>
      </c>
      <c r="R215" s="370">
        <v>-267000</v>
      </c>
      <c r="S215" s="368">
        <v>0</v>
      </c>
      <c r="T215" s="368">
        <v>0</v>
      </c>
      <c r="U215" s="368">
        <v>0</v>
      </c>
      <c r="V215" s="370">
        <v>0</v>
      </c>
      <c r="W215" s="368">
        <v>0</v>
      </c>
      <c r="X215" s="368">
        <v>0</v>
      </c>
      <c r="Y215" s="368">
        <v>0</v>
      </c>
      <c r="Z215" s="370">
        <v>0</v>
      </c>
      <c r="AA215" s="368">
        <v>0</v>
      </c>
      <c r="AB215" s="368">
        <v>0</v>
      </c>
      <c r="AC215" s="369">
        <v>0</v>
      </c>
      <c r="AD215" s="295"/>
      <c r="CF215" s="65">
        <v>191</v>
      </c>
      <c r="CG215" s="66" t="s">
        <v>843</v>
      </c>
      <c r="CH215" s="88">
        <f t="shared" si="131"/>
        <v>4273691.3955249814</v>
      </c>
      <c r="CI215" s="66" t="s">
        <v>807</v>
      </c>
      <c r="CJ215" s="68" t="s">
        <v>844</v>
      </c>
      <c r="CK215" s="66" t="s">
        <v>99</v>
      </c>
    </row>
    <row r="216" spans="1:89" ht="21.75" customHeight="1" x14ac:dyDescent="0.2">
      <c r="A216" s="15"/>
      <c r="B216" s="112" t="s">
        <v>845</v>
      </c>
      <c r="C216" s="367">
        <f>-C104</f>
        <v>-10147458.231382979</v>
      </c>
      <c r="D216" s="351" t="b">
        <f t="shared" si="127"/>
        <v>1</v>
      </c>
      <c r="E216" s="367">
        <f t="shared" si="125"/>
        <v>-10147458.231382981</v>
      </c>
      <c r="F216" s="371">
        <f t="shared" ref="F216:AC216" si="140">F196*$D$104</f>
        <v>0</v>
      </c>
      <c r="G216" s="371">
        <f t="shared" si="140"/>
        <v>0</v>
      </c>
      <c r="H216" s="371">
        <f t="shared" si="140"/>
        <v>-2029491.646276596</v>
      </c>
      <c r="I216" s="371">
        <f t="shared" si="140"/>
        <v>-1522118.7347074468</v>
      </c>
      <c r="J216" s="371">
        <f t="shared" si="140"/>
        <v>-1014745.823138298</v>
      </c>
      <c r="K216" s="371">
        <f t="shared" si="140"/>
        <v>-1014745.823138298</v>
      </c>
      <c r="L216" s="371">
        <f t="shared" si="140"/>
        <v>-1014745.823138298</v>
      </c>
      <c r="M216" s="371">
        <f t="shared" si="140"/>
        <v>-1014745.823138298</v>
      </c>
      <c r="N216" s="371">
        <f t="shared" si="140"/>
        <v>-1014745.823138298</v>
      </c>
      <c r="O216" s="371">
        <f t="shared" si="140"/>
        <v>-1522118.7347074468</v>
      </c>
      <c r="P216" s="371">
        <f t="shared" si="140"/>
        <v>0</v>
      </c>
      <c r="Q216" s="371">
        <f t="shared" si="140"/>
        <v>0</v>
      </c>
      <c r="R216" s="371">
        <f t="shared" si="140"/>
        <v>0</v>
      </c>
      <c r="S216" s="371">
        <f t="shared" si="140"/>
        <v>0</v>
      </c>
      <c r="T216" s="371">
        <f t="shared" si="140"/>
        <v>0</v>
      </c>
      <c r="U216" s="371">
        <f t="shared" si="140"/>
        <v>0</v>
      </c>
      <c r="V216" s="371">
        <f t="shared" si="140"/>
        <v>0</v>
      </c>
      <c r="W216" s="371">
        <f t="shared" si="140"/>
        <v>0</v>
      </c>
      <c r="X216" s="371">
        <f t="shared" si="140"/>
        <v>0</v>
      </c>
      <c r="Y216" s="371">
        <f t="shared" si="140"/>
        <v>0</v>
      </c>
      <c r="Z216" s="371">
        <f t="shared" si="140"/>
        <v>0</v>
      </c>
      <c r="AA216" s="371">
        <f t="shared" si="140"/>
        <v>0</v>
      </c>
      <c r="AB216" s="371">
        <f t="shared" si="140"/>
        <v>0</v>
      </c>
      <c r="AC216" s="372">
        <f t="shared" si="140"/>
        <v>0</v>
      </c>
      <c r="AD216" s="295"/>
      <c r="CF216" s="73">
        <v>192</v>
      </c>
      <c r="CG216" s="74" t="s">
        <v>846</v>
      </c>
      <c r="CH216" s="93">
        <f t="shared" si="131"/>
        <v>188465.17021276589</v>
      </c>
      <c r="CI216" s="74" t="s">
        <v>807</v>
      </c>
      <c r="CJ216" s="76" t="s">
        <v>847</v>
      </c>
      <c r="CK216" s="74" t="s">
        <v>99</v>
      </c>
    </row>
    <row r="217" spans="1:89" ht="21.75" customHeight="1" x14ac:dyDescent="0.2">
      <c r="A217" s="15"/>
      <c r="B217" s="409"/>
      <c r="C217" s="410"/>
      <c r="D217" s="411">
        <f>E218-C218</f>
        <v>0</v>
      </c>
      <c r="E217" s="412"/>
      <c r="F217" s="410"/>
      <c r="G217" s="410"/>
      <c r="H217" s="410"/>
      <c r="I217" s="410"/>
      <c r="J217" s="410"/>
      <c r="K217" s="410"/>
      <c r="L217" s="410"/>
      <c r="M217" s="410"/>
      <c r="N217" s="410"/>
      <c r="O217" s="410"/>
      <c r="P217" s="410"/>
      <c r="Q217" s="410"/>
      <c r="R217" s="410"/>
      <c r="S217" s="410"/>
      <c r="T217" s="410"/>
      <c r="U217" s="410"/>
      <c r="V217" s="410"/>
      <c r="W217" s="410"/>
      <c r="X217" s="410"/>
      <c r="Y217" s="410"/>
      <c r="Z217" s="410"/>
      <c r="AA217" s="410"/>
      <c r="AB217" s="410"/>
      <c r="AC217" s="413"/>
      <c r="AD217" s="15"/>
      <c r="CF217" s="65">
        <v>193</v>
      </c>
      <c r="CG217" s="66" t="s">
        <v>848</v>
      </c>
      <c r="CH217" s="88">
        <f t="shared" si="131"/>
        <v>1137261.0039893629</v>
      </c>
      <c r="CI217" s="66" t="s">
        <v>807</v>
      </c>
      <c r="CJ217" s="68" t="s">
        <v>849</v>
      </c>
      <c r="CK217" s="66" t="s">
        <v>99</v>
      </c>
    </row>
    <row r="218" spans="1:89" ht="21.75" customHeight="1" x14ac:dyDescent="0.2">
      <c r="A218" s="15"/>
      <c r="B218" s="38" t="s">
        <v>850</v>
      </c>
      <c r="C218" s="367">
        <f>SUM(E184:E189,E191:E216)</f>
        <v>63577104.776960149</v>
      </c>
      <c r="D218" s="351" t="b">
        <f>IF(ABS(E218 - C218) &lt; MAX(0.00001, E218 * 0.00001), TRUE(), FALSE())</f>
        <v>1</v>
      </c>
      <c r="E218" s="367">
        <f>SUM(F218:AC218)</f>
        <v>63577104.776960179</v>
      </c>
      <c r="F218" s="368">
        <f t="shared" ref="F218:AC218" si="141">SUM(F184:F189,F191:F216)</f>
        <v>-62569285.19137089</v>
      </c>
      <c r="G218" s="368">
        <f t="shared" si="141"/>
        <v>180596.59918762092</v>
      </c>
      <c r="H218" s="368">
        <f t="shared" si="141"/>
        <v>-1111415.4870889778</v>
      </c>
      <c r="I218" s="368">
        <f t="shared" si="141"/>
        <v>-2126958.4482999099</v>
      </c>
      <c r="J218" s="368">
        <f t="shared" si="141"/>
        <v>-701086.97627381235</v>
      </c>
      <c r="K218" s="368">
        <f t="shared" si="141"/>
        <v>-1001321.5166957208</v>
      </c>
      <c r="L218" s="368">
        <f t="shared" si="141"/>
        <v>-1321582.3326301305</v>
      </c>
      <c r="M218" s="368">
        <f t="shared" si="141"/>
        <v>-499006.00204358972</v>
      </c>
      <c r="N218" s="368">
        <f t="shared" si="141"/>
        <v>-742759.80144891585</v>
      </c>
      <c r="O218" s="368">
        <f t="shared" si="141"/>
        <v>-341862.37653304054</v>
      </c>
      <c r="P218" s="368">
        <f t="shared" si="141"/>
        <v>7786615.785679304</v>
      </c>
      <c r="Q218" s="368">
        <f t="shared" si="141"/>
        <v>11572528.393024925</v>
      </c>
      <c r="R218" s="368">
        <f t="shared" si="141"/>
        <v>12842253.41122639</v>
      </c>
      <c r="S218" s="368">
        <f t="shared" si="141"/>
        <v>49681300.508542955</v>
      </c>
      <c r="T218" s="368">
        <f t="shared" si="141"/>
        <v>52353373.925969683</v>
      </c>
      <c r="U218" s="368">
        <f t="shared" si="141"/>
        <v>-141428.57142857142</v>
      </c>
      <c r="V218" s="368">
        <f t="shared" si="141"/>
        <v>-141428.57142857142</v>
      </c>
      <c r="W218" s="368">
        <f t="shared" si="141"/>
        <v>-141428.57142857142</v>
      </c>
      <c r="X218" s="368">
        <f t="shared" si="141"/>
        <v>2.1497203544214682E-137</v>
      </c>
      <c r="Y218" s="368">
        <f t="shared" si="141"/>
        <v>2.3866690339840659E-153</v>
      </c>
      <c r="Z218" s="368">
        <f t="shared" si="141"/>
        <v>2.6497349136889902E-169</v>
      </c>
      <c r="AA218" s="368">
        <f t="shared" si="141"/>
        <v>2.9417967103306688E-185</v>
      </c>
      <c r="AB218" s="368">
        <f t="shared" si="141"/>
        <v>3.2660504415756506E-201</v>
      </c>
      <c r="AC218" s="369">
        <f t="shared" si="141"/>
        <v>3.6260443998244469E-217</v>
      </c>
      <c r="AD218" s="15"/>
      <c r="CF218" s="73">
        <v>194</v>
      </c>
      <c r="CG218" s="74" t="s">
        <v>851</v>
      </c>
      <c r="CH218" s="93">
        <f t="shared" si="131"/>
        <v>2435389.9755319147</v>
      </c>
      <c r="CI218" s="74" t="s">
        <v>807</v>
      </c>
      <c r="CJ218" s="76" t="s">
        <v>852</v>
      </c>
      <c r="CK218" s="74" t="s">
        <v>99</v>
      </c>
    </row>
    <row r="219" spans="1:89" ht="21.75" customHeight="1" x14ac:dyDescent="0.2">
      <c r="A219" s="15"/>
      <c r="B219" s="43" t="s">
        <v>853</v>
      </c>
      <c r="C219" s="414">
        <f>-SUM(E192:E216)</f>
        <v>205738443.386199</v>
      </c>
      <c r="D219" s="351" t="b">
        <f>IF(ABS(C219 - C115) &lt; MAX(0.0001, C219 * 0.0001), TRUE(), FALSE())</f>
        <v>1</v>
      </c>
      <c r="E219" s="521"/>
      <c r="F219" s="391">
        <f>F218</f>
        <v>-62569285.19137089</v>
      </c>
      <c r="G219" s="391">
        <f t="shared" ref="G219:AC219" si="142">F219+G218</f>
        <v>-62388688.59218327</v>
      </c>
      <c r="H219" s="391">
        <f t="shared" si="142"/>
        <v>-63500104.079272248</v>
      </c>
      <c r="I219" s="391">
        <f t="shared" si="142"/>
        <v>-65627062.527572155</v>
      </c>
      <c r="J219" s="391">
        <f t="shared" si="142"/>
        <v>-66328149.503845967</v>
      </c>
      <c r="K219" s="391">
        <f t="shared" si="142"/>
        <v>-67329471.020541683</v>
      </c>
      <c r="L219" s="391">
        <f t="shared" si="142"/>
        <v>-68651053.353171811</v>
      </c>
      <c r="M219" s="391">
        <f t="shared" si="142"/>
        <v>-69150059.3552154</v>
      </c>
      <c r="N219" s="391">
        <f t="shared" si="142"/>
        <v>-69892819.156664312</v>
      </c>
      <c r="O219" s="391">
        <f t="shared" si="142"/>
        <v>-70234681.533197358</v>
      </c>
      <c r="P219" s="391">
        <f t="shared" si="142"/>
        <v>-62448065.747518055</v>
      </c>
      <c r="Q219" s="391">
        <f t="shared" si="142"/>
        <v>-50875537.354493126</v>
      </c>
      <c r="R219" s="391">
        <f t="shared" si="142"/>
        <v>-38033283.943266734</v>
      </c>
      <c r="S219" s="391">
        <f t="shared" si="142"/>
        <v>11648016.56527622</v>
      </c>
      <c r="T219" s="391">
        <f t="shared" si="142"/>
        <v>64001390.491245903</v>
      </c>
      <c r="U219" s="391">
        <f t="shared" si="142"/>
        <v>63859961.919817328</v>
      </c>
      <c r="V219" s="391">
        <f t="shared" si="142"/>
        <v>63718533.348388754</v>
      </c>
      <c r="W219" s="391">
        <f t="shared" si="142"/>
        <v>63577104.776960179</v>
      </c>
      <c r="X219" s="391">
        <f t="shared" si="142"/>
        <v>63577104.776960179</v>
      </c>
      <c r="Y219" s="391">
        <f t="shared" si="142"/>
        <v>63577104.776960179</v>
      </c>
      <c r="Z219" s="391">
        <f t="shared" si="142"/>
        <v>63577104.776960179</v>
      </c>
      <c r="AA219" s="391">
        <f t="shared" si="142"/>
        <v>63577104.776960179</v>
      </c>
      <c r="AB219" s="391">
        <f t="shared" si="142"/>
        <v>63577104.776960179</v>
      </c>
      <c r="AC219" s="392">
        <f t="shared" si="142"/>
        <v>63577104.776960179</v>
      </c>
      <c r="AD219" s="15"/>
      <c r="CF219" s="65">
        <v>195</v>
      </c>
      <c r="CG219" s="66" t="s">
        <v>122</v>
      </c>
      <c r="CH219" s="88">
        <f t="shared" si="131"/>
        <v>26529354.82802498</v>
      </c>
      <c r="CI219" s="66" t="s">
        <v>807</v>
      </c>
      <c r="CJ219" s="68" t="s">
        <v>854</v>
      </c>
      <c r="CK219" s="66" t="s">
        <v>99</v>
      </c>
    </row>
    <row r="220" spans="1:89" ht="25.5" customHeight="1" x14ac:dyDescent="0.2">
      <c r="A220" s="15"/>
      <c r="B220" s="38" t="s">
        <v>855</v>
      </c>
      <c r="C220" s="415">
        <f>SUM(C184:C188)</f>
        <v>269315548.16315919</v>
      </c>
      <c r="D220" s="351" t="b">
        <f>IF(ABS(C220 - C17) &lt; MAX(0.00001, C220 * 0.00001), TRUE(), FALSE())</f>
        <v>1</v>
      </c>
      <c r="E220" s="521"/>
      <c r="F220" s="416"/>
      <c r="G220" s="417"/>
      <c r="H220" s="417"/>
      <c r="I220" s="417"/>
      <c r="J220" s="417"/>
      <c r="K220" s="417"/>
      <c r="L220" s="417"/>
      <c r="M220" s="417"/>
      <c r="N220" s="417"/>
      <c r="O220" s="417"/>
      <c r="P220" s="417"/>
      <c r="Q220" s="417"/>
      <c r="R220" s="417"/>
      <c r="S220" s="417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8"/>
      <c r="AD220" s="15"/>
      <c r="CF220" s="455" t="s">
        <v>856</v>
      </c>
      <c r="CG220" s="455"/>
      <c r="CH220" s="455"/>
      <c r="CI220" s="455"/>
      <c r="CJ220" s="455"/>
      <c r="CK220" s="455"/>
    </row>
    <row r="221" spans="1:89" ht="21.75" customHeight="1" x14ac:dyDescent="0.2">
      <c r="A221" s="15"/>
      <c r="B221" s="419" t="s">
        <v>857</v>
      </c>
      <c r="C221" s="367">
        <f>SUM(C184:C188)+SUM(E192:E216)</f>
        <v>63577104.776960194</v>
      </c>
      <c r="D221" s="351" t="b">
        <f>IF(ABS(E218 - C221) &lt; MAX(0.00001, E218 * 0.00001), TRUE(), FALSE())</f>
        <v>1</v>
      </c>
      <c r="E221" s="521"/>
      <c r="F221" s="420"/>
      <c r="G221" s="421"/>
      <c r="H221" s="421"/>
      <c r="I221" s="421"/>
      <c r="J221" s="421"/>
      <c r="K221" s="421"/>
      <c r="L221" s="421"/>
      <c r="M221" s="421"/>
      <c r="N221" s="421"/>
      <c r="O221" s="421"/>
      <c r="P221" s="421"/>
      <c r="Q221" s="421"/>
      <c r="R221" s="421"/>
      <c r="S221" s="421"/>
      <c r="T221" s="421"/>
      <c r="U221" s="421"/>
      <c r="V221" s="421"/>
      <c r="W221" s="421"/>
      <c r="X221" s="421"/>
      <c r="Y221" s="421"/>
      <c r="Z221" s="421"/>
      <c r="AA221" s="421"/>
      <c r="AB221" s="421"/>
      <c r="AC221" s="422"/>
      <c r="AD221" s="15"/>
      <c r="CF221" s="73">
        <v>196</v>
      </c>
      <c r="CG221" s="74" t="s">
        <v>858</v>
      </c>
      <c r="CH221" s="93">
        <f>C104</f>
        <v>10147458.231382979</v>
      </c>
      <c r="CI221" s="74" t="s">
        <v>859</v>
      </c>
      <c r="CJ221" s="76" t="s">
        <v>860</v>
      </c>
      <c r="CK221" s="74" t="s">
        <v>99</v>
      </c>
    </row>
    <row r="222" spans="1:89" ht="21.75" customHeight="1" x14ac:dyDescent="0.2">
      <c r="A222" s="15"/>
      <c r="B222" s="522" t="s">
        <v>861</v>
      </c>
      <c r="C222" s="522"/>
      <c r="D222" s="522"/>
      <c r="E222" s="521"/>
      <c r="F222" s="423"/>
      <c r="G222" s="424"/>
      <c r="H222" s="424"/>
      <c r="I222" s="424"/>
      <c r="J222" s="424"/>
      <c r="K222" s="424"/>
      <c r="L222" s="424"/>
      <c r="M222" s="424"/>
      <c r="N222" s="424"/>
      <c r="O222" s="424"/>
      <c r="P222" s="424"/>
      <c r="Q222" s="424"/>
      <c r="R222" s="424"/>
      <c r="S222" s="424"/>
      <c r="T222" s="424"/>
      <c r="U222" s="424"/>
      <c r="V222" s="424"/>
      <c r="W222" s="424"/>
      <c r="X222" s="424"/>
      <c r="Y222" s="424"/>
      <c r="Z222" s="424"/>
      <c r="AA222" s="424"/>
      <c r="AB222" s="424"/>
      <c r="AC222" s="425"/>
      <c r="AD222" s="15"/>
      <c r="CF222" s="65">
        <v>197</v>
      </c>
      <c r="CG222" s="66" t="s">
        <v>862</v>
      </c>
      <c r="CH222" s="154">
        <f>D104</f>
        <v>0.125</v>
      </c>
      <c r="CI222" s="66" t="s">
        <v>859</v>
      </c>
      <c r="CJ222" s="68" t="s">
        <v>863</v>
      </c>
      <c r="CK222" s="66" t="s">
        <v>189</v>
      </c>
    </row>
    <row r="223" spans="1:89" ht="21.75" customHeight="1" x14ac:dyDescent="0.2">
      <c r="A223" s="15"/>
      <c r="B223" s="115" t="s">
        <v>222</v>
      </c>
      <c r="C223" s="523">
        <f>XIRR(F218:AC218,F177:AC177)</f>
        <v>0.23024730086326597</v>
      </c>
      <c r="D223" s="523"/>
      <c r="E223" s="521"/>
      <c r="F223" s="514">
        <f t="shared" ref="F223:AC223" si="143">SUM(F180:F189,F191:F216)</f>
        <v>18714.808629110921</v>
      </c>
      <c r="G223" s="514">
        <f t="shared" si="143"/>
        <v>180596.59918762092</v>
      </c>
      <c r="H223" s="514">
        <f t="shared" si="143"/>
        <v>918076.15918761911</v>
      </c>
      <c r="I223" s="514">
        <f t="shared" si="143"/>
        <v>-604839.71359246341</v>
      </c>
      <c r="J223" s="514">
        <f t="shared" si="143"/>
        <v>313658.84686448611</v>
      </c>
      <c r="K223" s="514">
        <f t="shared" si="143"/>
        <v>13424.306442577625</v>
      </c>
      <c r="L223" s="514">
        <f t="shared" si="143"/>
        <v>-306836.50949183223</v>
      </c>
      <c r="M223" s="514">
        <f t="shared" si="143"/>
        <v>515739.82109470759</v>
      </c>
      <c r="N223" s="514">
        <f t="shared" si="143"/>
        <v>271986.02168938285</v>
      </c>
      <c r="O223" s="514">
        <f t="shared" si="143"/>
        <v>1180256.3581744041</v>
      </c>
      <c r="P223" s="514">
        <f t="shared" si="143"/>
        <v>7786615.785679304</v>
      </c>
      <c r="Q223" s="514">
        <f t="shared" si="143"/>
        <v>11572528.393024925</v>
      </c>
      <c r="R223" s="514">
        <f t="shared" si="143"/>
        <v>12842253.41122639</v>
      </c>
      <c r="S223" s="514">
        <f t="shared" si="143"/>
        <v>49681300.508542955</v>
      </c>
      <c r="T223" s="514">
        <f t="shared" si="143"/>
        <v>52353373.925969683</v>
      </c>
      <c r="U223" s="514">
        <f t="shared" si="143"/>
        <v>-141428.57142857142</v>
      </c>
      <c r="V223" s="514">
        <f t="shared" si="143"/>
        <v>-141428.57142857142</v>
      </c>
      <c r="W223" s="514">
        <f t="shared" si="143"/>
        <v>-141428.57142857142</v>
      </c>
      <c r="X223" s="514">
        <f t="shared" si="143"/>
        <v>2.1497203544214682E-137</v>
      </c>
      <c r="Y223" s="514">
        <f t="shared" si="143"/>
        <v>2.3866690339840659E-153</v>
      </c>
      <c r="Z223" s="514">
        <f t="shared" si="143"/>
        <v>2.6497349136889902E-169</v>
      </c>
      <c r="AA223" s="514">
        <f t="shared" si="143"/>
        <v>2.9417967103306688E-185</v>
      </c>
      <c r="AB223" s="514">
        <f t="shared" si="143"/>
        <v>3.2660504415756506E-201</v>
      </c>
      <c r="AC223" s="524">
        <f t="shared" si="143"/>
        <v>3.6260443998244469E-217</v>
      </c>
      <c r="AD223" s="15"/>
      <c r="CF223" s="73">
        <v>198</v>
      </c>
      <c r="CG223" s="74" t="s">
        <v>864</v>
      </c>
      <c r="CH223" s="93">
        <f>C105</f>
        <v>5072943.6246633977</v>
      </c>
      <c r="CI223" s="74" t="s">
        <v>859</v>
      </c>
      <c r="CJ223" s="76" t="s">
        <v>865</v>
      </c>
      <c r="CK223" s="74" t="s">
        <v>99</v>
      </c>
    </row>
    <row r="224" spans="1:89" ht="21.75" customHeight="1" x14ac:dyDescent="0.2">
      <c r="A224" s="15"/>
      <c r="B224" s="127" t="s">
        <v>235</v>
      </c>
      <c r="C224" s="525">
        <f>C218/(C219+E213)</f>
        <v>0.31314836797883372</v>
      </c>
      <c r="D224" s="525"/>
      <c r="E224" s="521"/>
      <c r="F224" s="514"/>
      <c r="G224" s="514"/>
      <c r="H224" s="514"/>
      <c r="I224" s="514"/>
      <c r="J224" s="514"/>
      <c r="K224" s="514"/>
      <c r="L224" s="514"/>
      <c r="M224" s="514"/>
      <c r="N224" s="514"/>
      <c r="O224" s="514"/>
      <c r="P224" s="514"/>
      <c r="Q224" s="514"/>
      <c r="R224" s="514"/>
      <c r="S224" s="514"/>
      <c r="T224" s="514"/>
      <c r="U224" s="514"/>
      <c r="V224" s="514"/>
      <c r="W224" s="514"/>
      <c r="X224" s="514"/>
      <c r="Y224" s="514"/>
      <c r="Z224" s="514"/>
      <c r="AA224" s="514"/>
      <c r="AB224" s="514"/>
      <c r="AC224" s="524"/>
      <c r="AD224" s="15"/>
      <c r="CF224" s="65">
        <v>199</v>
      </c>
      <c r="CG224" s="66" t="s">
        <v>866</v>
      </c>
      <c r="CH224" s="88">
        <f>C106</f>
        <v>1093000</v>
      </c>
      <c r="CI224" s="66" t="s">
        <v>859</v>
      </c>
      <c r="CJ224" s="68" t="s">
        <v>867</v>
      </c>
      <c r="CK224" s="66" t="s">
        <v>99</v>
      </c>
    </row>
    <row r="225" spans="1:89" ht="21.75" customHeight="1" x14ac:dyDescent="0.2">
      <c r="A225" s="15"/>
      <c r="B225" s="115" t="s">
        <v>246</v>
      </c>
      <c r="C225" s="523">
        <f>C221/H24</f>
        <v>0.87408681161685109</v>
      </c>
      <c r="D225" s="523"/>
      <c r="E225" s="521"/>
      <c r="F225" s="526">
        <f>F223</f>
        <v>18714.808629110921</v>
      </c>
      <c r="G225" s="526">
        <f t="shared" ref="G225:AC225" si="144">F225+G223</f>
        <v>199311.40781673184</v>
      </c>
      <c r="H225" s="526">
        <f t="shared" si="144"/>
        <v>1117387.5670043509</v>
      </c>
      <c r="I225" s="526">
        <f t="shared" si="144"/>
        <v>512547.85341188754</v>
      </c>
      <c r="J225" s="526">
        <f t="shared" si="144"/>
        <v>826206.70027637365</v>
      </c>
      <c r="K225" s="526">
        <f t="shared" si="144"/>
        <v>839631.00671895128</v>
      </c>
      <c r="L225" s="526">
        <f t="shared" si="144"/>
        <v>532794.49722711905</v>
      </c>
      <c r="M225" s="526">
        <f t="shared" si="144"/>
        <v>1048534.3183218266</v>
      </c>
      <c r="N225" s="526">
        <f t="shared" si="144"/>
        <v>1320520.3400112095</v>
      </c>
      <c r="O225" s="526">
        <f t="shared" si="144"/>
        <v>2500776.6981856134</v>
      </c>
      <c r="P225" s="526">
        <f t="shared" si="144"/>
        <v>10287392.483864918</v>
      </c>
      <c r="Q225" s="526">
        <f t="shared" si="144"/>
        <v>21859920.876889843</v>
      </c>
      <c r="R225" s="526">
        <f t="shared" si="144"/>
        <v>34702174.288116232</v>
      </c>
      <c r="S225" s="526">
        <f t="shared" si="144"/>
        <v>84383474.796659186</v>
      </c>
      <c r="T225" s="526">
        <f t="shared" si="144"/>
        <v>136736848.72262886</v>
      </c>
      <c r="U225" s="526">
        <f t="shared" si="144"/>
        <v>136595420.15120029</v>
      </c>
      <c r="V225" s="526">
        <f t="shared" si="144"/>
        <v>136453991.57977173</v>
      </c>
      <c r="W225" s="526">
        <f t="shared" si="144"/>
        <v>136312563.00834316</v>
      </c>
      <c r="X225" s="526">
        <f t="shared" si="144"/>
        <v>136312563.00834316</v>
      </c>
      <c r="Y225" s="526">
        <f t="shared" si="144"/>
        <v>136312563.00834316</v>
      </c>
      <c r="Z225" s="526">
        <f t="shared" si="144"/>
        <v>136312563.00834316</v>
      </c>
      <c r="AA225" s="526">
        <f t="shared" si="144"/>
        <v>136312563.00834316</v>
      </c>
      <c r="AB225" s="526">
        <f t="shared" si="144"/>
        <v>136312563.00834316</v>
      </c>
      <c r="AC225" s="527">
        <f t="shared" si="144"/>
        <v>136312563.00834316</v>
      </c>
      <c r="AD225" s="15"/>
      <c r="CF225" s="73">
        <v>200</v>
      </c>
      <c r="CG225" s="74" t="s">
        <v>868</v>
      </c>
      <c r="CH225" s="93">
        <f>C107</f>
        <v>16313401.856046377</v>
      </c>
      <c r="CI225" s="74" t="s">
        <v>859</v>
      </c>
      <c r="CJ225" s="76" t="s">
        <v>869</v>
      </c>
      <c r="CK225" s="74" t="s">
        <v>99</v>
      </c>
    </row>
    <row r="226" spans="1:89" ht="25.5" customHeight="1" x14ac:dyDescent="0.2">
      <c r="A226" s="15"/>
      <c r="B226" s="303" t="s">
        <v>255</v>
      </c>
      <c r="C226" s="528">
        <f>C225/D122</f>
        <v>0.23304725072326568</v>
      </c>
      <c r="D226" s="528"/>
      <c r="E226" s="521"/>
      <c r="F226" s="521"/>
      <c r="G226" s="521"/>
      <c r="H226" s="521"/>
      <c r="I226" s="521"/>
      <c r="J226" s="521"/>
      <c r="K226" s="521"/>
      <c r="L226" s="521"/>
      <c r="M226" s="521"/>
      <c r="N226" s="521"/>
      <c r="O226" s="521"/>
      <c r="P226" s="521"/>
      <c r="Q226" s="521"/>
      <c r="R226" s="521"/>
      <c r="S226" s="521"/>
      <c r="T226" s="521"/>
      <c r="U226" s="521"/>
      <c r="V226" s="521"/>
      <c r="W226" s="521"/>
      <c r="X226" s="521"/>
      <c r="Y226" s="521"/>
      <c r="Z226" s="521"/>
      <c r="AA226" s="521"/>
      <c r="AB226" s="521"/>
      <c r="AC226" s="527"/>
      <c r="AD226" s="15"/>
      <c r="CF226" s="455" t="s">
        <v>870</v>
      </c>
      <c r="CG226" s="455"/>
      <c r="CH226" s="455"/>
      <c r="CI226" s="455"/>
      <c r="CJ226" s="455"/>
      <c r="CK226" s="455"/>
    </row>
    <row r="227" spans="1:89" ht="21.75" customHeight="1" x14ac:dyDescent="0.2">
      <c r="A227" s="15"/>
      <c r="B227" s="529" t="b">
        <f>SUM(C223:D226)=SUM(C28:C34)</f>
        <v>1</v>
      </c>
      <c r="C227" s="529"/>
      <c r="D227" s="529"/>
      <c r="E227" s="426"/>
      <c r="F227" s="427"/>
      <c r="G227" s="427"/>
      <c r="H227" s="427"/>
      <c r="I227" s="427"/>
      <c r="J227" s="428"/>
      <c r="K227" s="428"/>
      <c r="L227" s="428"/>
      <c r="M227" s="428"/>
      <c r="N227" s="428">
        <f t="shared" ref="N227:AC227" si="145">N225*70%</f>
        <v>924364.23800784652</v>
      </c>
      <c r="O227" s="428">
        <f t="shared" si="145"/>
        <v>1750543.6887299293</v>
      </c>
      <c r="P227" s="428">
        <f t="shared" si="145"/>
        <v>7201174.7387054423</v>
      </c>
      <c r="Q227" s="428">
        <f t="shared" si="145"/>
        <v>15301944.613822889</v>
      </c>
      <c r="R227" s="428">
        <f t="shared" si="145"/>
        <v>24291522.001681361</v>
      </c>
      <c r="S227" s="428">
        <f t="shared" si="145"/>
        <v>59068432.357661426</v>
      </c>
      <c r="T227" s="428">
        <f t="shared" si="145"/>
        <v>95715794.105840191</v>
      </c>
      <c r="U227" s="428">
        <f t="shared" si="145"/>
        <v>95616794.105840206</v>
      </c>
      <c r="V227" s="428">
        <f t="shared" si="145"/>
        <v>95517794.105840206</v>
      </c>
      <c r="W227" s="428">
        <f t="shared" si="145"/>
        <v>95418794.105840206</v>
      </c>
      <c r="X227" s="428">
        <f t="shared" si="145"/>
        <v>95418794.105840206</v>
      </c>
      <c r="Y227" s="428">
        <f t="shared" si="145"/>
        <v>95418794.105840206</v>
      </c>
      <c r="Z227" s="428">
        <f t="shared" si="145"/>
        <v>95418794.105840206</v>
      </c>
      <c r="AA227" s="428">
        <f t="shared" si="145"/>
        <v>95418794.105840206</v>
      </c>
      <c r="AB227" s="428">
        <f t="shared" si="145"/>
        <v>95418794.105840206</v>
      </c>
      <c r="AC227" s="428">
        <f t="shared" si="145"/>
        <v>95418794.105840206</v>
      </c>
      <c r="AD227" s="15"/>
      <c r="CF227" s="65">
        <v>201</v>
      </c>
      <c r="CG227" s="66" t="s">
        <v>106</v>
      </c>
      <c r="CH227" s="88">
        <f t="shared" ref="CH227:CH234" si="146">C109</f>
        <v>64193805</v>
      </c>
      <c r="CI227" s="66" t="s">
        <v>871</v>
      </c>
      <c r="CJ227" s="68" t="s">
        <v>872</v>
      </c>
      <c r="CK227" s="66" t="s">
        <v>99</v>
      </c>
    </row>
    <row r="228" spans="1:89" ht="21.75" customHeight="1" x14ac:dyDescent="0.2">
      <c r="A228" s="15"/>
      <c r="F228" s="429"/>
      <c r="G228" s="429"/>
      <c r="H228" s="429"/>
      <c r="I228" s="429"/>
      <c r="J228" s="429"/>
      <c r="K228" s="429"/>
      <c r="L228" s="429"/>
      <c r="M228" s="429"/>
      <c r="N228" s="429"/>
      <c r="O228" s="429"/>
      <c r="P228" s="429"/>
      <c r="Q228" s="429"/>
      <c r="R228" s="429"/>
      <c r="S228" s="429"/>
      <c r="T228" s="429"/>
      <c r="U228" s="429"/>
      <c r="V228" s="429"/>
      <c r="W228" s="429"/>
      <c r="X228" s="156"/>
      <c r="CF228" s="73">
        <v>202</v>
      </c>
      <c r="CG228" s="74" t="s">
        <v>114</v>
      </c>
      <c r="CH228" s="93">
        <f t="shared" si="146"/>
        <v>81179665.851063833</v>
      </c>
      <c r="CI228" s="74" t="s">
        <v>871</v>
      </c>
      <c r="CJ228" s="76" t="s">
        <v>873</v>
      </c>
      <c r="CK228" s="74" t="s">
        <v>99</v>
      </c>
    </row>
    <row r="229" spans="1:89" ht="21.75" customHeight="1" x14ac:dyDescent="0.2">
      <c r="A229" s="15"/>
      <c r="CF229" s="65">
        <v>203</v>
      </c>
      <c r="CG229" s="66" t="s">
        <v>122</v>
      </c>
      <c r="CH229" s="88">
        <f t="shared" si="146"/>
        <v>26529354.82802498</v>
      </c>
      <c r="CI229" s="66" t="s">
        <v>871</v>
      </c>
      <c r="CJ229" s="68" t="s">
        <v>874</v>
      </c>
      <c r="CK229" s="66" t="s">
        <v>99</v>
      </c>
    </row>
    <row r="230" spans="1:89" ht="21.75" customHeight="1" x14ac:dyDescent="0.2">
      <c r="A230" s="15"/>
      <c r="CF230" s="73">
        <v>204</v>
      </c>
      <c r="CG230" s="74" t="s">
        <v>875</v>
      </c>
      <c r="CH230" s="93">
        <f t="shared" si="146"/>
        <v>107709020.67908882</v>
      </c>
      <c r="CI230" s="74" t="s">
        <v>871</v>
      </c>
      <c r="CJ230" s="76" t="s">
        <v>876</v>
      </c>
      <c r="CK230" s="74" t="s">
        <v>99</v>
      </c>
    </row>
    <row r="231" spans="1:89" ht="21.75" customHeight="1" x14ac:dyDescent="0.2">
      <c r="A231" s="15"/>
      <c r="I231" s="129"/>
      <c r="CF231" s="65">
        <v>205</v>
      </c>
      <c r="CG231" s="66" t="s">
        <v>868</v>
      </c>
      <c r="CH231" s="88">
        <f t="shared" si="146"/>
        <v>16313401.856046377</v>
      </c>
      <c r="CI231" s="66" t="s">
        <v>871</v>
      </c>
      <c r="CJ231" s="68" t="s">
        <v>877</v>
      </c>
      <c r="CK231" s="66" t="s">
        <v>99</v>
      </c>
    </row>
    <row r="232" spans="1:89" ht="21.75" customHeight="1" x14ac:dyDescent="0.2">
      <c r="A232" s="15"/>
      <c r="I232" s="15"/>
      <c r="CF232" s="73">
        <v>206</v>
      </c>
      <c r="CG232" s="74" t="s">
        <v>878</v>
      </c>
      <c r="CH232" s="93">
        <f t="shared" si="146"/>
        <v>2712940.8510638298</v>
      </c>
      <c r="CI232" s="74" t="s">
        <v>871</v>
      </c>
      <c r="CJ232" s="76" t="s">
        <v>879</v>
      </c>
      <c r="CK232" s="74" t="s">
        <v>99</v>
      </c>
    </row>
    <row r="233" spans="1:89" ht="21.75" customHeight="1" x14ac:dyDescent="0.2">
      <c r="A233" s="15"/>
      <c r="I233" s="15"/>
      <c r="CF233" s="65">
        <v>207</v>
      </c>
      <c r="CG233" s="66" t="s">
        <v>880</v>
      </c>
      <c r="CH233" s="88">
        <f t="shared" si="146"/>
        <v>205738443.38619903</v>
      </c>
      <c r="CI233" s="66" t="s">
        <v>871</v>
      </c>
      <c r="CJ233" s="68" t="s">
        <v>881</v>
      </c>
      <c r="CK233" s="66" t="s">
        <v>99</v>
      </c>
    </row>
    <row r="234" spans="1:89" ht="21.75" customHeight="1" x14ac:dyDescent="0.2">
      <c r="A234" s="15"/>
      <c r="B234" s="15"/>
      <c r="D234" s="15"/>
      <c r="E234" s="15"/>
      <c r="F234" s="15"/>
      <c r="G234" s="15"/>
      <c r="H234" s="15"/>
      <c r="I234" s="15"/>
      <c r="CF234" s="73">
        <v>208</v>
      </c>
      <c r="CG234" s="74" t="s">
        <v>882</v>
      </c>
      <c r="CH234" s="93">
        <f t="shared" si="146"/>
        <v>72735458.231382981</v>
      </c>
      <c r="CI234" s="74" t="s">
        <v>871</v>
      </c>
      <c r="CJ234" s="76" t="s">
        <v>883</v>
      </c>
      <c r="CK234" s="74" t="s">
        <v>99</v>
      </c>
    </row>
    <row r="235" spans="1:89" ht="25.5" customHeight="1" x14ac:dyDescent="0.2">
      <c r="A235" s="15"/>
      <c r="B235" s="15"/>
      <c r="D235" s="129"/>
      <c r="E235" s="15"/>
      <c r="F235" s="15"/>
      <c r="G235" s="15"/>
      <c r="H235" s="15"/>
      <c r="I235" s="15"/>
      <c r="CF235" s="455" t="s">
        <v>884</v>
      </c>
      <c r="CG235" s="455"/>
      <c r="CH235" s="455"/>
      <c r="CI235" s="455"/>
      <c r="CJ235" s="455"/>
      <c r="CK235" s="455"/>
    </row>
    <row r="236" spans="1:89" ht="21.75" customHeight="1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CF236" s="65">
        <v>209</v>
      </c>
      <c r="CG236" s="66" t="s">
        <v>885</v>
      </c>
      <c r="CH236" s="88">
        <f>C118</f>
        <v>83100000</v>
      </c>
      <c r="CI236" s="66" t="s">
        <v>886</v>
      </c>
      <c r="CJ236" s="68" t="s">
        <v>887</v>
      </c>
      <c r="CK236" s="66" t="s">
        <v>99</v>
      </c>
    </row>
    <row r="237" spans="1:89" ht="21.75" customHeight="1" x14ac:dyDescent="0.2">
      <c r="A237" s="15"/>
      <c r="CF237" s="73">
        <v>210</v>
      </c>
      <c r="CG237" s="74" t="s">
        <v>135</v>
      </c>
      <c r="CH237" s="93">
        <f>C119</f>
        <v>14809275</v>
      </c>
      <c r="CI237" s="74" t="s">
        <v>886</v>
      </c>
      <c r="CJ237" s="76" t="s">
        <v>888</v>
      </c>
      <c r="CK237" s="74" t="s">
        <v>99</v>
      </c>
    </row>
    <row r="238" spans="1:89" ht="21.75" customHeight="1" x14ac:dyDescent="0.2">
      <c r="A238" s="15"/>
      <c r="B238" s="495" t="s">
        <v>889</v>
      </c>
      <c r="C238" s="495"/>
      <c r="D238" s="495"/>
      <c r="E238" s="495"/>
      <c r="F238" s="495"/>
      <c r="G238" s="495"/>
      <c r="H238" s="495"/>
      <c r="I238" s="495"/>
      <c r="J238" s="495"/>
      <c r="K238" s="495"/>
      <c r="L238" s="495"/>
      <c r="M238" s="495"/>
      <c r="N238" s="495"/>
      <c r="O238" s="495"/>
      <c r="P238" s="495"/>
      <c r="Q238" s="495"/>
      <c r="R238" s="495"/>
      <c r="S238" s="495"/>
      <c r="T238" s="495"/>
      <c r="U238" s="495"/>
      <c r="V238" s="495"/>
      <c r="W238" s="495"/>
      <c r="X238" s="495"/>
      <c r="Y238" s="495"/>
      <c r="Z238" s="495"/>
      <c r="AA238" s="495"/>
      <c r="AB238" s="495"/>
      <c r="AC238" s="495"/>
      <c r="CF238" s="65">
        <v>211</v>
      </c>
      <c r="CG238" s="66" t="s">
        <v>890</v>
      </c>
      <c r="CH238" s="141">
        <f>E119</f>
        <v>3.0027397260273974</v>
      </c>
      <c r="CI238" s="66" t="s">
        <v>886</v>
      </c>
      <c r="CJ238" s="68" t="s">
        <v>891</v>
      </c>
      <c r="CK238" s="66" t="s">
        <v>173</v>
      </c>
    </row>
    <row r="239" spans="1:89" ht="25.5" customHeight="1" x14ac:dyDescent="0.2">
      <c r="A239" s="15"/>
      <c r="B239" s="530" t="s">
        <v>892</v>
      </c>
      <c r="C239" s="530"/>
      <c r="D239" s="530"/>
      <c r="E239" s="530"/>
      <c r="F239" s="486" t="s">
        <v>666</v>
      </c>
      <c r="G239" s="486"/>
      <c r="H239" s="486"/>
      <c r="I239" s="486"/>
      <c r="J239" s="486" t="s">
        <v>667</v>
      </c>
      <c r="K239" s="486"/>
      <c r="L239" s="486"/>
      <c r="M239" s="486"/>
      <c r="N239" s="486" t="s">
        <v>668</v>
      </c>
      <c r="O239" s="486"/>
      <c r="P239" s="486"/>
      <c r="Q239" s="486"/>
      <c r="R239" s="486" t="s">
        <v>669</v>
      </c>
      <c r="S239" s="486"/>
      <c r="T239" s="486"/>
      <c r="U239" s="486"/>
      <c r="V239" s="486" t="s">
        <v>670</v>
      </c>
      <c r="W239" s="486"/>
      <c r="X239" s="486"/>
      <c r="Y239" s="486"/>
      <c r="Z239" s="486" t="s">
        <v>671</v>
      </c>
      <c r="AA239" s="486"/>
      <c r="AB239" s="486"/>
      <c r="AC239" s="486"/>
      <c r="CF239" s="455" t="s">
        <v>893</v>
      </c>
      <c r="CG239" s="455"/>
      <c r="CH239" s="455"/>
      <c r="CI239" s="455"/>
      <c r="CJ239" s="455"/>
      <c r="CK239" s="455"/>
    </row>
    <row r="240" spans="1:89" ht="21.75" customHeight="1" x14ac:dyDescent="0.2">
      <c r="A240" s="15"/>
      <c r="B240" s="530"/>
      <c r="C240" s="530"/>
      <c r="D240" s="530"/>
      <c r="E240" s="530"/>
      <c r="F240" s="430">
        <f t="shared" ref="F240:AC240" si="147">F177</f>
        <v>46022</v>
      </c>
      <c r="G240" s="430">
        <f t="shared" si="147"/>
        <v>46112</v>
      </c>
      <c r="H240" s="430">
        <f t="shared" si="147"/>
        <v>46203</v>
      </c>
      <c r="I240" s="430">
        <f t="shared" si="147"/>
        <v>46295</v>
      </c>
      <c r="J240" s="430">
        <f t="shared" si="147"/>
        <v>46387</v>
      </c>
      <c r="K240" s="430">
        <f t="shared" si="147"/>
        <v>46477</v>
      </c>
      <c r="L240" s="430">
        <f t="shared" si="147"/>
        <v>46568</v>
      </c>
      <c r="M240" s="430">
        <f t="shared" si="147"/>
        <v>46660</v>
      </c>
      <c r="N240" s="430">
        <f t="shared" si="147"/>
        <v>46752</v>
      </c>
      <c r="O240" s="430">
        <f t="shared" si="147"/>
        <v>46843</v>
      </c>
      <c r="P240" s="430">
        <f t="shared" si="147"/>
        <v>46934</v>
      </c>
      <c r="Q240" s="430">
        <f t="shared" si="147"/>
        <v>47026</v>
      </c>
      <c r="R240" s="430">
        <f t="shared" si="147"/>
        <v>47118</v>
      </c>
      <c r="S240" s="430">
        <f t="shared" si="147"/>
        <v>47208</v>
      </c>
      <c r="T240" s="430">
        <f t="shared" si="147"/>
        <v>47299</v>
      </c>
      <c r="U240" s="430">
        <f t="shared" si="147"/>
        <v>47391</v>
      </c>
      <c r="V240" s="430">
        <f t="shared" si="147"/>
        <v>47483</v>
      </c>
      <c r="W240" s="430">
        <f t="shared" si="147"/>
        <v>47573</v>
      </c>
      <c r="X240" s="430">
        <f t="shared" si="147"/>
        <v>47664</v>
      </c>
      <c r="Y240" s="430">
        <f t="shared" si="147"/>
        <v>47756</v>
      </c>
      <c r="Z240" s="430">
        <f t="shared" si="147"/>
        <v>47848</v>
      </c>
      <c r="AA240" s="430">
        <f t="shared" si="147"/>
        <v>47938</v>
      </c>
      <c r="AB240" s="430">
        <f t="shared" si="147"/>
        <v>48029</v>
      </c>
      <c r="AC240" s="431">
        <f t="shared" si="147"/>
        <v>48121</v>
      </c>
      <c r="CF240" s="73">
        <v>212</v>
      </c>
      <c r="CG240" s="74" t="s">
        <v>894</v>
      </c>
      <c r="CH240" s="221">
        <f>C122</f>
        <v>45.008219178082186</v>
      </c>
      <c r="CI240" s="74" t="s">
        <v>895</v>
      </c>
      <c r="CJ240" s="76" t="s">
        <v>896</v>
      </c>
      <c r="CK240" s="74" t="s">
        <v>897</v>
      </c>
    </row>
    <row r="241" spans="1:89" ht="21.75" customHeight="1" x14ac:dyDescent="0.2">
      <c r="A241" s="15"/>
      <c r="B241" s="530"/>
      <c r="C241" s="530"/>
      <c r="D241" s="530"/>
      <c r="E241" s="530"/>
      <c r="F241" s="133" t="s">
        <v>675</v>
      </c>
      <c r="G241" s="133" t="s">
        <v>676</v>
      </c>
      <c r="H241" s="133" t="s">
        <v>677</v>
      </c>
      <c r="I241" s="133" t="s">
        <v>678</v>
      </c>
      <c r="J241" s="133" t="s">
        <v>679</v>
      </c>
      <c r="K241" s="133" t="s">
        <v>680</v>
      </c>
      <c r="L241" s="133" t="s">
        <v>681</v>
      </c>
      <c r="M241" s="133" t="s">
        <v>682</v>
      </c>
      <c r="N241" s="133" t="s">
        <v>683</v>
      </c>
      <c r="O241" s="133" t="s">
        <v>684</v>
      </c>
      <c r="P241" s="133" t="s">
        <v>685</v>
      </c>
      <c r="Q241" s="133" t="s">
        <v>686</v>
      </c>
      <c r="R241" s="133" t="s">
        <v>687</v>
      </c>
      <c r="S241" s="133" t="s">
        <v>688</v>
      </c>
      <c r="T241" s="133" t="s">
        <v>689</v>
      </c>
      <c r="U241" s="133" t="s">
        <v>690</v>
      </c>
      <c r="V241" s="133" t="s">
        <v>691</v>
      </c>
      <c r="W241" s="133" t="s">
        <v>692</v>
      </c>
      <c r="X241" s="133" t="s">
        <v>693</v>
      </c>
      <c r="Y241" s="133" t="s">
        <v>694</v>
      </c>
      <c r="Z241" s="133" t="s">
        <v>695</v>
      </c>
      <c r="AA241" s="133" t="s">
        <v>696</v>
      </c>
      <c r="AB241" s="133" t="s">
        <v>697</v>
      </c>
      <c r="AC241" s="116" t="s">
        <v>698</v>
      </c>
      <c r="CF241" s="65">
        <v>213</v>
      </c>
      <c r="CG241" s="66" t="s">
        <v>898</v>
      </c>
      <c r="CH241" s="141">
        <f>D122</f>
        <v>3.7506849315068487</v>
      </c>
      <c r="CI241" s="66" t="s">
        <v>895</v>
      </c>
      <c r="CJ241" s="68" t="s">
        <v>899</v>
      </c>
      <c r="CK241" s="66" t="s">
        <v>173</v>
      </c>
    </row>
    <row r="242" spans="1:89" ht="21.75" customHeight="1" x14ac:dyDescent="0.2">
      <c r="A242" s="15"/>
      <c r="B242" s="531" t="s">
        <v>900</v>
      </c>
      <c r="C242" s="531"/>
      <c r="D242" s="531"/>
      <c r="E242" s="531"/>
      <c r="F242" s="532">
        <f>$C$192</f>
        <v>7.2999999999999995E-2</v>
      </c>
      <c r="G242" s="532"/>
      <c r="H242" s="532"/>
      <c r="I242" s="532"/>
      <c r="J242" s="532">
        <f>$C$192</f>
        <v>7.2999999999999995E-2</v>
      </c>
      <c r="K242" s="532"/>
      <c r="L242" s="532"/>
      <c r="M242" s="532"/>
      <c r="N242" s="532">
        <f>$C$192</f>
        <v>7.2999999999999995E-2</v>
      </c>
      <c r="O242" s="532"/>
      <c r="P242" s="532"/>
      <c r="Q242" s="532"/>
      <c r="R242" s="532">
        <f>$C$192</f>
        <v>7.2999999999999995E-2</v>
      </c>
      <c r="S242" s="532"/>
      <c r="T242" s="532"/>
      <c r="U242" s="532"/>
      <c r="V242" s="532">
        <f>$C$192</f>
        <v>7.2999999999999995E-2</v>
      </c>
      <c r="W242" s="532"/>
      <c r="X242" s="532"/>
      <c r="Y242" s="532"/>
      <c r="Z242" s="532">
        <f>$C$192</f>
        <v>7.2999999999999995E-2</v>
      </c>
      <c r="AA242" s="532"/>
      <c r="AB242" s="532"/>
      <c r="AC242" s="532"/>
      <c r="CF242" s="73">
        <v>214</v>
      </c>
      <c r="CG242" s="74" t="s">
        <v>901</v>
      </c>
      <c r="CH242" s="246">
        <f>E122</f>
        <v>15.002739726027395</v>
      </c>
      <c r="CI242" s="74" t="s">
        <v>895</v>
      </c>
      <c r="CJ242" s="76" t="s">
        <v>902</v>
      </c>
      <c r="CK242" s="74" t="s">
        <v>903</v>
      </c>
    </row>
    <row r="243" spans="1:89" ht="25.5" customHeight="1" x14ac:dyDescent="0.2">
      <c r="A243" s="15"/>
      <c r="B243" s="531"/>
      <c r="C243" s="531"/>
      <c r="D243" s="531"/>
      <c r="E243" s="531"/>
      <c r="F243" s="532"/>
      <c r="G243" s="532"/>
      <c r="H243" s="532"/>
      <c r="I243" s="532"/>
      <c r="J243" s="532"/>
      <c r="K243" s="532"/>
      <c r="L243" s="532"/>
      <c r="M243" s="532"/>
      <c r="N243" s="532"/>
      <c r="O243" s="532"/>
      <c r="P243" s="532"/>
      <c r="Q243" s="532"/>
      <c r="R243" s="532"/>
      <c r="S243" s="532"/>
      <c r="T243" s="532"/>
      <c r="U243" s="532"/>
      <c r="V243" s="532"/>
      <c r="W243" s="532"/>
      <c r="X243" s="532"/>
      <c r="Y243" s="532"/>
      <c r="Z243" s="532"/>
      <c r="AA243" s="532"/>
      <c r="AB243" s="532"/>
      <c r="AC243" s="532"/>
      <c r="CF243" s="455" t="s">
        <v>904</v>
      </c>
      <c r="CG243" s="455"/>
      <c r="CH243" s="455"/>
      <c r="CI243" s="455"/>
      <c r="CJ243" s="455"/>
      <c r="CK243" s="455"/>
    </row>
    <row r="244" spans="1:89" ht="21.75" customHeight="1" x14ac:dyDescent="0.2">
      <c r="A244" s="15"/>
      <c r="B244" s="530" t="s">
        <v>905</v>
      </c>
      <c r="C244" s="530"/>
      <c r="D244" s="530"/>
      <c r="E244" s="530"/>
      <c r="F244" s="533">
        <f t="shared" ref="F244:AC244" si="148">$C$192/4</f>
        <v>1.8249999999999999E-2</v>
      </c>
      <c r="G244" s="533">
        <f t="shared" si="148"/>
        <v>1.8249999999999999E-2</v>
      </c>
      <c r="H244" s="533">
        <f t="shared" si="148"/>
        <v>1.8249999999999999E-2</v>
      </c>
      <c r="I244" s="533">
        <f t="shared" si="148"/>
        <v>1.8249999999999999E-2</v>
      </c>
      <c r="J244" s="533">
        <f t="shared" si="148"/>
        <v>1.8249999999999999E-2</v>
      </c>
      <c r="K244" s="533">
        <f t="shared" si="148"/>
        <v>1.8249999999999999E-2</v>
      </c>
      <c r="L244" s="533">
        <f t="shared" si="148"/>
        <v>1.8249999999999999E-2</v>
      </c>
      <c r="M244" s="533">
        <f t="shared" si="148"/>
        <v>1.8249999999999999E-2</v>
      </c>
      <c r="N244" s="533">
        <f t="shared" si="148"/>
        <v>1.8249999999999999E-2</v>
      </c>
      <c r="O244" s="533">
        <f t="shared" si="148"/>
        <v>1.8249999999999999E-2</v>
      </c>
      <c r="P244" s="533">
        <f t="shared" si="148"/>
        <v>1.8249999999999999E-2</v>
      </c>
      <c r="Q244" s="533">
        <f t="shared" si="148"/>
        <v>1.8249999999999999E-2</v>
      </c>
      <c r="R244" s="533">
        <f t="shared" si="148"/>
        <v>1.8249999999999999E-2</v>
      </c>
      <c r="S244" s="533">
        <f t="shared" si="148"/>
        <v>1.8249999999999999E-2</v>
      </c>
      <c r="T244" s="533">
        <f t="shared" si="148"/>
        <v>1.8249999999999999E-2</v>
      </c>
      <c r="U244" s="533">
        <f t="shared" si="148"/>
        <v>1.8249999999999999E-2</v>
      </c>
      <c r="V244" s="533">
        <f t="shared" si="148"/>
        <v>1.8249999999999999E-2</v>
      </c>
      <c r="W244" s="533">
        <f t="shared" si="148"/>
        <v>1.8249999999999999E-2</v>
      </c>
      <c r="X244" s="533">
        <f t="shared" si="148"/>
        <v>1.8249999999999999E-2</v>
      </c>
      <c r="Y244" s="533">
        <f t="shared" si="148"/>
        <v>1.8249999999999999E-2</v>
      </c>
      <c r="Z244" s="533">
        <f t="shared" si="148"/>
        <v>1.8249999999999999E-2</v>
      </c>
      <c r="AA244" s="533">
        <f t="shared" si="148"/>
        <v>1.8249999999999999E-2</v>
      </c>
      <c r="AB244" s="533">
        <f t="shared" si="148"/>
        <v>1.8249999999999999E-2</v>
      </c>
      <c r="AC244" s="534">
        <f t="shared" si="148"/>
        <v>1.8249999999999999E-2</v>
      </c>
      <c r="CF244" s="65">
        <v>215</v>
      </c>
      <c r="CG244" s="66" t="s">
        <v>906</v>
      </c>
      <c r="CH244" s="231">
        <f>C129</f>
        <v>57</v>
      </c>
      <c r="CI244" s="66" t="s">
        <v>907</v>
      </c>
      <c r="CJ244" s="68" t="s">
        <v>908</v>
      </c>
      <c r="CK244" s="66" t="s">
        <v>378</v>
      </c>
    </row>
    <row r="245" spans="1:89" ht="21.75" customHeight="1" x14ac:dyDescent="0.2">
      <c r="A245" s="15"/>
      <c r="B245" s="530"/>
      <c r="C245" s="530"/>
      <c r="D245" s="530"/>
      <c r="E245" s="530"/>
      <c r="F245" s="533"/>
      <c r="G245" s="533"/>
      <c r="H245" s="533"/>
      <c r="I245" s="533"/>
      <c r="J245" s="533"/>
      <c r="K245" s="533"/>
      <c r="L245" s="533"/>
      <c r="M245" s="533"/>
      <c r="N245" s="533"/>
      <c r="O245" s="533"/>
      <c r="P245" s="533"/>
      <c r="Q245" s="533"/>
      <c r="R245" s="533"/>
      <c r="S245" s="533"/>
      <c r="T245" s="533"/>
      <c r="U245" s="533"/>
      <c r="V245" s="533"/>
      <c r="W245" s="533"/>
      <c r="X245" s="533"/>
      <c r="Y245" s="533"/>
      <c r="Z245" s="533"/>
      <c r="AA245" s="533"/>
      <c r="AB245" s="533"/>
      <c r="AC245" s="534"/>
      <c r="CF245" s="73">
        <v>216</v>
      </c>
      <c r="CG245" s="74" t="s">
        <v>909</v>
      </c>
      <c r="CH245" s="148">
        <f>D129</f>
        <v>0.61956521739130432</v>
      </c>
      <c r="CI245" s="74" t="s">
        <v>907</v>
      </c>
      <c r="CJ245" s="76" t="s">
        <v>910</v>
      </c>
      <c r="CK245" s="74" t="s">
        <v>189</v>
      </c>
    </row>
    <row r="246" spans="1:89" ht="21.75" customHeight="1" x14ac:dyDescent="0.2">
      <c r="A246" s="15"/>
      <c r="B246" s="535" t="s">
        <v>911</v>
      </c>
      <c r="C246" s="535"/>
      <c r="D246" s="535"/>
      <c r="E246" s="535"/>
      <c r="F246" s="526">
        <f>F248</f>
        <v>7000000</v>
      </c>
      <c r="G246" s="526">
        <f t="shared" ref="G246:AC246" si="149">F246+G248+G256</f>
        <v>12000000</v>
      </c>
      <c r="H246" s="526">
        <f t="shared" si="149"/>
        <v>29000000</v>
      </c>
      <c r="I246" s="526">
        <f t="shared" si="149"/>
        <v>40000000</v>
      </c>
      <c r="J246" s="526">
        <f t="shared" si="149"/>
        <v>46500000</v>
      </c>
      <c r="K246" s="526">
        <f t="shared" si="149"/>
        <v>52000000</v>
      </c>
      <c r="L246" s="526">
        <f t="shared" si="149"/>
        <v>56000000</v>
      </c>
      <c r="M246" s="526">
        <f t="shared" si="149"/>
        <v>61600000</v>
      </c>
      <c r="N246" s="526">
        <f t="shared" si="149"/>
        <v>69100000</v>
      </c>
      <c r="O246" s="526">
        <f t="shared" si="149"/>
        <v>83100000</v>
      </c>
      <c r="P246" s="526">
        <f t="shared" si="149"/>
        <v>83100000</v>
      </c>
      <c r="Q246" s="526">
        <f t="shared" si="149"/>
        <v>83100000</v>
      </c>
      <c r="R246" s="526">
        <f t="shared" si="149"/>
        <v>83100000</v>
      </c>
      <c r="S246" s="526">
        <f t="shared" si="149"/>
        <v>83100000</v>
      </c>
      <c r="T246" s="526">
        <f t="shared" si="149"/>
        <v>0</v>
      </c>
      <c r="U246" s="526">
        <f t="shared" si="149"/>
        <v>0</v>
      </c>
      <c r="V246" s="526">
        <f t="shared" si="149"/>
        <v>0</v>
      </c>
      <c r="W246" s="526">
        <f t="shared" si="149"/>
        <v>0</v>
      </c>
      <c r="X246" s="526">
        <f t="shared" si="149"/>
        <v>0</v>
      </c>
      <c r="Y246" s="526">
        <f t="shared" si="149"/>
        <v>0</v>
      </c>
      <c r="Z246" s="526">
        <f t="shared" si="149"/>
        <v>0</v>
      </c>
      <c r="AA246" s="526">
        <f t="shared" si="149"/>
        <v>0</v>
      </c>
      <c r="AB246" s="526">
        <f t="shared" si="149"/>
        <v>0</v>
      </c>
      <c r="AC246" s="527">
        <f t="shared" si="149"/>
        <v>0</v>
      </c>
      <c r="CF246" s="65">
        <v>217</v>
      </c>
      <c r="CG246" s="66" t="s">
        <v>912</v>
      </c>
      <c r="CH246" s="141">
        <f>E129</f>
        <v>5368.4370374653154</v>
      </c>
      <c r="CI246" s="66" t="s">
        <v>907</v>
      </c>
      <c r="CJ246" s="68" t="s">
        <v>913</v>
      </c>
      <c r="CK246" s="66" t="s">
        <v>312</v>
      </c>
    </row>
    <row r="247" spans="1:89" ht="21.75" customHeight="1" x14ac:dyDescent="0.2">
      <c r="A247" s="129"/>
      <c r="B247" s="535"/>
      <c r="C247" s="535"/>
      <c r="D247" s="535"/>
      <c r="E247" s="535"/>
      <c r="F247" s="526"/>
      <c r="G247" s="526"/>
      <c r="H247" s="526"/>
      <c r="I247" s="526"/>
      <c r="J247" s="526"/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7"/>
      <c r="CF247" s="73">
        <v>218</v>
      </c>
      <c r="CG247" s="74" t="s">
        <v>374</v>
      </c>
      <c r="CH247" s="221">
        <f>F129</f>
        <v>94.183105920444135</v>
      </c>
      <c r="CI247" s="74" t="s">
        <v>907</v>
      </c>
      <c r="CJ247" s="76" t="s">
        <v>914</v>
      </c>
      <c r="CK247" s="74" t="s">
        <v>312</v>
      </c>
    </row>
    <row r="248" spans="1:89" ht="21.75" customHeight="1" x14ac:dyDescent="0.2">
      <c r="A248" s="129"/>
      <c r="B248" s="530" t="s">
        <v>915</v>
      </c>
      <c r="C248" s="530"/>
      <c r="D248" s="530"/>
      <c r="E248" s="530"/>
      <c r="F248" s="536">
        <f t="shared" ref="F248:AC248" si="150">F189</f>
        <v>7000000</v>
      </c>
      <c r="G248" s="536">
        <f t="shared" si="150"/>
        <v>5000000</v>
      </c>
      <c r="H248" s="536">
        <f t="shared" si="150"/>
        <v>17000000</v>
      </c>
      <c r="I248" s="536">
        <f t="shared" si="150"/>
        <v>11000000</v>
      </c>
      <c r="J248" s="536">
        <f t="shared" si="150"/>
        <v>6500000</v>
      </c>
      <c r="K248" s="536">
        <f t="shared" si="150"/>
        <v>5500000</v>
      </c>
      <c r="L248" s="536">
        <f t="shared" si="150"/>
        <v>4000000</v>
      </c>
      <c r="M248" s="536">
        <f t="shared" si="150"/>
        <v>5600000</v>
      </c>
      <c r="N248" s="536">
        <f t="shared" si="150"/>
        <v>7500000</v>
      </c>
      <c r="O248" s="536">
        <f t="shared" si="150"/>
        <v>14000000</v>
      </c>
      <c r="P248" s="536">
        <f t="shared" si="150"/>
        <v>0</v>
      </c>
      <c r="Q248" s="536">
        <f t="shared" si="150"/>
        <v>0</v>
      </c>
      <c r="R248" s="536">
        <f t="shared" si="150"/>
        <v>0</v>
      </c>
      <c r="S248" s="536">
        <f t="shared" si="150"/>
        <v>0</v>
      </c>
      <c r="T248" s="536">
        <f t="shared" si="150"/>
        <v>0</v>
      </c>
      <c r="U248" s="536">
        <f t="shared" si="150"/>
        <v>0</v>
      </c>
      <c r="V248" s="536">
        <f t="shared" si="150"/>
        <v>0</v>
      </c>
      <c r="W248" s="536">
        <f t="shared" si="150"/>
        <v>0</v>
      </c>
      <c r="X248" s="536">
        <f t="shared" si="150"/>
        <v>0</v>
      </c>
      <c r="Y248" s="536">
        <f t="shared" si="150"/>
        <v>0</v>
      </c>
      <c r="Z248" s="536">
        <f t="shared" si="150"/>
        <v>0</v>
      </c>
      <c r="AA248" s="536">
        <f t="shared" si="150"/>
        <v>0</v>
      </c>
      <c r="AB248" s="536">
        <f t="shared" si="150"/>
        <v>0</v>
      </c>
      <c r="AC248" s="537">
        <f t="shared" si="150"/>
        <v>0</v>
      </c>
      <c r="CF248" s="65">
        <v>219</v>
      </c>
      <c r="CG248" s="66" t="s">
        <v>916</v>
      </c>
      <c r="CH248" s="88">
        <f>H129</f>
        <v>15500</v>
      </c>
      <c r="CI248" s="66" t="s">
        <v>907</v>
      </c>
      <c r="CJ248" s="68" t="s">
        <v>917</v>
      </c>
      <c r="CK248" s="66" t="s">
        <v>315</v>
      </c>
    </row>
    <row r="249" spans="1:89" ht="21.75" customHeight="1" x14ac:dyDescent="0.2">
      <c r="A249" s="129"/>
      <c r="B249" s="530"/>
      <c r="C249" s="530"/>
      <c r="D249" s="530"/>
      <c r="E249" s="530"/>
      <c r="F249" s="536"/>
      <c r="G249" s="536"/>
      <c r="H249" s="536"/>
      <c r="I249" s="536"/>
      <c r="J249" s="536"/>
      <c r="K249" s="536"/>
      <c r="L249" s="536"/>
      <c r="M249" s="536"/>
      <c r="N249" s="536"/>
      <c r="O249" s="536"/>
      <c r="P249" s="536"/>
      <c r="Q249" s="536"/>
      <c r="R249" s="536"/>
      <c r="S249" s="536"/>
      <c r="T249" s="536"/>
      <c r="U249" s="536"/>
      <c r="V249" s="536"/>
      <c r="W249" s="536"/>
      <c r="X249" s="536"/>
      <c r="Y249" s="536"/>
      <c r="Z249" s="536"/>
      <c r="AA249" s="536"/>
      <c r="AB249" s="536"/>
      <c r="AC249" s="537"/>
      <c r="CF249" s="73">
        <v>220</v>
      </c>
      <c r="CG249" s="74" t="s">
        <v>918</v>
      </c>
      <c r="CH249" s="93">
        <f>I129</f>
        <v>1459838.1417668841</v>
      </c>
      <c r="CI249" s="74" t="s">
        <v>907</v>
      </c>
      <c r="CJ249" s="76" t="s">
        <v>919</v>
      </c>
      <c r="CK249" s="74" t="s">
        <v>99</v>
      </c>
    </row>
    <row r="250" spans="1:89" ht="21.75" customHeight="1" x14ac:dyDescent="0.2">
      <c r="A250" s="129"/>
      <c r="B250" s="535" t="s">
        <v>920</v>
      </c>
      <c r="C250" s="535"/>
      <c r="D250" s="535"/>
      <c r="E250" s="535"/>
      <c r="F250" s="526">
        <f t="shared" ref="F250:AC250" si="151">F192</f>
        <v>0</v>
      </c>
      <c r="G250" s="526">
        <f t="shared" si="151"/>
        <v>-127749.99999999999</v>
      </c>
      <c r="H250" s="526">
        <f t="shared" si="151"/>
        <v>-219000</v>
      </c>
      <c r="I250" s="526">
        <f t="shared" si="151"/>
        <v>-529250</v>
      </c>
      <c r="J250" s="526">
        <f t="shared" si="151"/>
        <v>-730000</v>
      </c>
      <c r="K250" s="526">
        <f t="shared" si="151"/>
        <v>-848625</v>
      </c>
      <c r="L250" s="526">
        <f t="shared" si="151"/>
        <v>-948999.99999999988</v>
      </c>
      <c r="M250" s="526">
        <f t="shared" si="151"/>
        <v>-1021999.9999999999</v>
      </c>
      <c r="N250" s="526">
        <f t="shared" si="151"/>
        <v>-1124200</v>
      </c>
      <c r="O250" s="526">
        <f t="shared" si="151"/>
        <v>-1261075</v>
      </c>
      <c r="P250" s="526">
        <f t="shared" si="151"/>
        <v>-1516575</v>
      </c>
      <c r="Q250" s="526">
        <f t="shared" si="151"/>
        <v>-1516575</v>
      </c>
      <c r="R250" s="526">
        <f t="shared" si="151"/>
        <v>-1516575</v>
      </c>
      <c r="S250" s="526">
        <f t="shared" si="151"/>
        <v>-1516575</v>
      </c>
      <c r="T250" s="526">
        <f t="shared" si="151"/>
        <v>-1516575</v>
      </c>
      <c r="U250" s="526">
        <f t="shared" si="151"/>
        <v>0</v>
      </c>
      <c r="V250" s="526">
        <f t="shared" si="151"/>
        <v>0</v>
      </c>
      <c r="W250" s="526">
        <f t="shared" si="151"/>
        <v>0</v>
      </c>
      <c r="X250" s="526">
        <f t="shared" si="151"/>
        <v>0</v>
      </c>
      <c r="Y250" s="526">
        <f t="shared" si="151"/>
        <v>0</v>
      </c>
      <c r="Z250" s="526">
        <f t="shared" si="151"/>
        <v>0</v>
      </c>
      <c r="AA250" s="526">
        <f t="shared" si="151"/>
        <v>0</v>
      </c>
      <c r="AB250" s="526">
        <f t="shared" si="151"/>
        <v>0</v>
      </c>
      <c r="AC250" s="527">
        <f t="shared" si="151"/>
        <v>0</v>
      </c>
      <c r="CF250" s="65">
        <v>221</v>
      </c>
      <c r="CG250" s="66" t="s">
        <v>921</v>
      </c>
      <c r="CH250" s="88">
        <f>J129</f>
        <v>83210774.080712393</v>
      </c>
      <c r="CI250" s="66" t="s">
        <v>907</v>
      </c>
      <c r="CJ250" s="68" t="s">
        <v>922</v>
      </c>
      <c r="CK250" s="66" t="s">
        <v>99</v>
      </c>
    </row>
    <row r="251" spans="1:89" ht="25.5" customHeight="1" x14ac:dyDescent="0.2">
      <c r="B251" s="535"/>
      <c r="C251" s="535"/>
      <c r="D251" s="535"/>
      <c r="E251" s="535"/>
      <c r="F251" s="526"/>
      <c r="G251" s="526"/>
      <c r="H251" s="526"/>
      <c r="I251" s="526"/>
      <c r="J251" s="526"/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7"/>
      <c r="CF251" s="455" t="s">
        <v>923</v>
      </c>
      <c r="CG251" s="455"/>
      <c r="CH251" s="455"/>
      <c r="CI251" s="455"/>
      <c r="CJ251" s="455"/>
      <c r="CK251" s="455"/>
    </row>
    <row r="252" spans="1:89" ht="21.75" customHeight="1" x14ac:dyDescent="0.2">
      <c r="A252" s="432"/>
      <c r="B252" s="538" t="s">
        <v>924</v>
      </c>
      <c r="C252" s="538"/>
      <c r="D252" s="538"/>
      <c r="E252" s="538"/>
      <c r="F252" s="536">
        <f t="shared" ref="F252:AC252" si="152">F193</f>
        <v>-415500</v>
      </c>
      <c r="G252" s="536">
        <f t="shared" si="152"/>
        <v>0</v>
      </c>
      <c r="H252" s="536">
        <f t="shared" si="152"/>
        <v>0</v>
      </c>
      <c r="I252" s="536">
        <f t="shared" si="152"/>
        <v>0</v>
      </c>
      <c r="J252" s="536">
        <f t="shared" si="152"/>
        <v>0</v>
      </c>
      <c r="K252" s="536">
        <f t="shared" si="152"/>
        <v>0</v>
      </c>
      <c r="L252" s="536">
        <f t="shared" si="152"/>
        <v>0</v>
      </c>
      <c r="M252" s="536">
        <f t="shared" si="152"/>
        <v>0</v>
      </c>
      <c r="N252" s="536">
        <f t="shared" si="152"/>
        <v>0</v>
      </c>
      <c r="O252" s="536">
        <f t="shared" si="152"/>
        <v>0</v>
      </c>
      <c r="P252" s="536">
        <f t="shared" si="152"/>
        <v>0</v>
      </c>
      <c r="Q252" s="536">
        <f t="shared" si="152"/>
        <v>0</v>
      </c>
      <c r="R252" s="536">
        <f t="shared" si="152"/>
        <v>0</v>
      </c>
      <c r="S252" s="536">
        <f t="shared" si="152"/>
        <v>0</v>
      </c>
      <c r="T252" s="536">
        <f t="shared" si="152"/>
        <v>0</v>
      </c>
      <c r="U252" s="536">
        <f t="shared" si="152"/>
        <v>0</v>
      </c>
      <c r="V252" s="536">
        <f t="shared" si="152"/>
        <v>0</v>
      </c>
      <c r="W252" s="536">
        <f t="shared" si="152"/>
        <v>0</v>
      </c>
      <c r="X252" s="536">
        <f t="shared" si="152"/>
        <v>0</v>
      </c>
      <c r="Y252" s="536">
        <f t="shared" si="152"/>
        <v>0</v>
      </c>
      <c r="Z252" s="536">
        <f t="shared" si="152"/>
        <v>0</v>
      </c>
      <c r="AA252" s="536">
        <f t="shared" si="152"/>
        <v>0</v>
      </c>
      <c r="AB252" s="536">
        <f t="shared" si="152"/>
        <v>0</v>
      </c>
      <c r="AC252" s="537">
        <f t="shared" si="152"/>
        <v>0</v>
      </c>
      <c r="CF252" s="73">
        <v>222</v>
      </c>
      <c r="CG252" s="74" t="s">
        <v>925</v>
      </c>
      <c r="CH252" s="246">
        <f>C130</f>
        <v>0</v>
      </c>
      <c r="CI252" s="74" t="s">
        <v>926</v>
      </c>
      <c r="CJ252" s="76" t="s">
        <v>927</v>
      </c>
      <c r="CK252" s="74" t="s">
        <v>378</v>
      </c>
    </row>
    <row r="253" spans="1:89" ht="21.75" customHeight="1" x14ac:dyDescent="0.2">
      <c r="A253" s="432"/>
      <c r="B253" s="538"/>
      <c r="C253" s="538"/>
      <c r="D253" s="538"/>
      <c r="E253" s="538"/>
      <c r="F253" s="536"/>
      <c r="G253" s="536"/>
      <c r="H253" s="536"/>
      <c r="I253" s="536"/>
      <c r="J253" s="536"/>
      <c r="K253" s="536"/>
      <c r="L253" s="536"/>
      <c r="M253" s="536"/>
      <c r="N253" s="536"/>
      <c r="O253" s="536"/>
      <c r="P253" s="536"/>
      <c r="Q253" s="536"/>
      <c r="R253" s="536"/>
      <c r="S253" s="536"/>
      <c r="T253" s="536"/>
      <c r="U253" s="536"/>
      <c r="V253" s="536"/>
      <c r="W253" s="536"/>
      <c r="X253" s="536"/>
      <c r="Y253" s="536"/>
      <c r="Z253" s="536"/>
      <c r="AA253" s="536"/>
      <c r="AB253" s="536"/>
      <c r="AC253" s="537"/>
      <c r="CF253" s="65">
        <v>223</v>
      </c>
      <c r="CG253" s="66" t="s">
        <v>928</v>
      </c>
      <c r="CH253" s="154">
        <f>D130</f>
        <v>1</v>
      </c>
      <c r="CI253" s="66" t="s">
        <v>926</v>
      </c>
      <c r="CJ253" s="68" t="s">
        <v>929</v>
      </c>
      <c r="CK253" s="66" t="s">
        <v>189</v>
      </c>
    </row>
    <row r="254" spans="1:89" ht="21.75" customHeight="1" x14ac:dyDescent="0.2">
      <c r="A254" s="15"/>
      <c r="B254" s="535" t="s">
        <v>930</v>
      </c>
      <c r="C254" s="535"/>
      <c r="D254" s="535"/>
      <c r="E254" s="535"/>
      <c r="F254" s="526">
        <f t="shared" ref="F254:AC254" si="153">F250+F252</f>
        <v>-415500</v>
      </c>
      <c r="G254" s="526">
        <f t="shared" si="153"/>
        <v>-127749.99999999999</v>
      </c>
      <c r="H254" s="526">
        <f t="shared" si="153"/>
        <v>-219000</v>
      </c>
      <c r="I254" s="526">
        <f t="shared" si="153"/>
        <v>-529250</v>
      </c>
      <c r="J254" s="526">
        <f t="shared" si="153"/>
        <v>-730000</v>
      </c>
      <c r="K254" s="526">
        <f t="shared" si="153"/>
        <v>-848625</v>
      </c>
      <c r="L254" s="526">
        <f t="shared" si="153"/>
        <v>-948999.99999999988</v>
      </c>
      <c r="M254" s="526">
        <f t="shared" si="153"/>
        <v>-1021999.9999999999</v>
      </c>
      <c r="N254" s="526">
        <f t="shared" si="153"/>
        <v>-1124200</v>
      </c>
      <c r="O254" s="526">
        <f t="shared" si="153"/>
        <v>-1261075</v>
      </c>
      <c r="P254" s="526">
        <f t="shared" si="153"/>
        <v>-1516575</v>
      </c>
      <c r="Q254" s="526">
        <f t="shared" si="153"/>
        <v>-1516575</v>
      </c>
      <c r="R254" s="526">
        <f t="shared" si="153"/>
        <v>-1516575</v>
      </c>
      <c r="S254" s="526">
        <f t="shared" si="153"/>
        <v>-1516575</v>
      </c>
      <c r="T254" s="526">
        <f t="shared" si="153"/>
        <v>-1516575</v>
      </c>
      <c r="U254" s="526">
        <f t="shared" si="153"/>
        <v>0</v>
      </c>
      <c r="V254" s="526">
        <f t="shared" si="153"/>
        <v>0</v>
      </c>
      <c r="W254" s="526">
        <f t="shared" si="153"/>
        <v>0</v>
      </c>
      <c r="X254" s="526">
        <f t="shared" si="153"/>
        <v>0</v>
      </c>
      <c r="Y254" s="526">
        <f t="shared" si="153"/>
        <v>0</v>
      </c>
      <c r="Z254" s="526">
        <f t="shared" si="153"/>
        <v>0</v>
      </c>
      <c r="AA254" s="526">
        <f t="shared" si="153"/>
        <v>0</v>
      </c>
      <c r="AB254" s="526">
        <f t="shared" si="153"/>
        <v>0</v>
      </c>
      <c r="AC254" s="527">
        <f t="shared" si="153"/>
        <v>0</v>
      </c>
      <c r="CF254" s="73">
        <v>224</v>
      </c>
      <c r="CG254" s="74" t="s">
        <v>931</v>
      </c>
      <c r="CH254" s="221">
        <f>E130</f>
        <v>0</v>
      </c>
      <c r="CI254" s="74" t="s">
        <v>926</v>
      </c>
      <c r="CJ254" s="76" t="s">
        <v>932</v>
      </c>
      <c r="CK254" s="74" t="s">
        <v>312</v>
      </c>
    </row>
    <row r="255" spans="1:89" ht="21.75" customHeight="1" x14ac:dyDescent="0.2">
      <c r="A255" s="15"/>
      <c r="B255" s="535"/>
      <c r="C255" s="535"/>
      <c r="D255" s="535"/>
      <c r="E255" s="535"/>
      <c r="F255" s="526"/>
      <c r="G255" s="526"/>
      <c r="H255" s="526"/>
      <c r="I255" s="526"/>
      <c r="J255" s="526"/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7"/>
      <c r="CF255" s="65">
        <v>225</v>
      </c>
      <c r="CG255" s="66" t="s">
        <v>409</v>
      </c>
      <c r="CH255" s="141" t="str">
        <f>F130</f>
        <v>0</v>
      </c>
      <c r="CI255" s="66" t="s">
        <v>926</v>
      </c>
      <c r="CJ255" s="68" t="s">
        <v>933</v>
      </c>
      <c r="CK255" s="66" t="s">
        <v>312</v>
      </c>
    </row>
    <row r="256" spans="1:89" ht="21.75" customHeight="1" x14ac:dyDescent="0.2">
      <c r="A256" s="15"/>
      <c r="B256" s="530" t="s">
        <v>934</v>
      </c>
      <c r="C256" s="530"/>
      <c r="D256" s="530"/>
      <c r="E256" s="530"/>
      <c r="F256" s="536">
        <f t="shared" ref="F256:AC256" si="154">F191</f>
        <v>0</v>
      </c>
      <c r="G256" s="536">
        <f t="shared" si="154"/>
        <v>0</v>
      </c>
      <c r="H256" s="536">
        <f t="shared" si="154"/>
        <v>0</v>
      </c>
      <c r="I256" s="536">
        <f t="shared" si="154"/>
        <v>0</v>
      </c>
      <c r="J256" s="536">
        <f t="shared" si="154"/>
        <v>0</v>
      </c>
      <c r="K256" s="536">
        <f t="shared" si="154"/>
        <v>0</v>
      </c>
      <c r="L256" s="536">
        <f t="shared" si="154"/>
        <v>0</v>
      </c>
      <c r="M256" s="536">
        <f t="shared" si="154"/>
        <v>0</v>
      </c>
      <c r="N256" s="536">
        <f t="shared" si="154"/>
        <v>0</v>
      </c>
      <c r="O256" s="536">
        <f t="shared" si="154"/>
        <v>0</v>
      </c>
      <c r="P256" s="536">
        <f t="shared" si="154"/>
        <v>0</v>
      </c>
      <c r="Q256" s="536">
        <f t="shared" si="154"/>
        <v>0</v>
      </c>
      <c r="R256" s="536">
        <f t="shared" si="154"/>
        <v>0</v>
      </c>
      <c r="S256" s="536">
        <f t="shared" si="154"/>
        <v>0</v>
      </c>
      <c r="T256" s="536">
        <f t="shared" si="154"/>
        <v>-83100000</v>
      </c>
      <c r="U256" s="536">
        <f t="shared" si="154"/>
        <v>0</v>
      </c>
      <c r="V256" s="536">
        <f t="shared" si="154"/>
        <v>0</v>
      </c>
      <c r="W256" s="536">
        <f t="shared" si="154"/>
        <v>0</v>
      </c>
      <c r="X256" s="536">
        <f t="shared" si="154"/>
        <v>0</v>
      </c>
      <c r="Y256" s="536">
        <f t="shared" si="154"/>
        <v>0</v>
      </c>
      <c r="Z256" s="536">
        <f t="shared" si="154"/>
        <v>0</v>
      </c>
      <c r="AA256" s="536">
        <f t="shared" si="154"/>
        <v>0</v>
      </c>
      <c r="AB256" s="536">
        <f t="shared" si="154"/>
        <v>0</v>
      </c>
      <c r="AC256" s="537">
        <f t="shared" si="154"/>
        <v>0</v>
      </c>
      <c r="CF256" s="73">
        <v>226</v>
      </c>
      <c r="CG256" s="74" t="s">
        <v>935</v>
      </c>
      <c r="CH256" s="93">
        <f>H130</f>
        <v>0</v>
      </c>
      <c r="CI256" s="74" t="s">
        <v>926</v>
      </c>
      <c r="CJ256" s="76" t="s">
        <v>936</v>
      </c>
      <c r="CK256" s="74" t="s">
        <v>315</v>
      </c>
    </row>
    <row r="257" spans="1:89" ht="21.75" customHeight="1" x14ac:dyDescent="0.2">
      <c r="B257" s="530"/>
      <c r="C257" s="530"/>
      <c r="D257" s="530"/>
      <c r="E257" s="530"/>
      <c r="F257" s="536"/>
      <c r="G257" s="536"/>
      <c r="H257" s="536"/>
      <c r="I257" s="536"/>
      <c r="J257" s="536"/>
      <c r="K257" s="536"/>
      <c r="L257" s="536"/>
      <c r="M257" s="536"/>
      <c r="N257" s="536"/>
      <c r="O257" s="536"/>
      <c r="P257" s="536"/>
      <c r="Q257" s="536"/>
      <c r="R257" s="536"/>
      <c r="S257" s="536"/>
      <c r="T257" s="536"/>
      <c r="U257" s="536"/>
      <c r="V257" s="536"/>
      <c r="W257" s="536"/>
      <c r="X257" s="536"/>
      <c r="Y257" s="536"/>
      <c r="Z257" s="536"/>
      <c r="AA257" s="536"/>
      <c r="AB257" s="536"/>
      <c r="AC257" s="537"/>
      <c r="CF257" s="65">
        <v>227</v>
      </c>
      <c r="CG257" s="66" t="s">
        <v>937</v>
      </c>
      <c r="CH257" s="88">
        <f>I130</f>
        <v>0</v>
      </c>
      <c r="CI257" s="66" t="s">
        <v>926</v>
      </c>
      <c r="CJ257" s="68" t="s">
        <v>938</v>
      </c>
      <c r="CK257" s="66" t="s">
        <v>99</v>
      </c>
    </row>
    <row r="258" spans="1:89" ht="21.75" customHeight="1" x14ac:dyDescent="0.2">
      <c r="A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AB258" s="433" t="s">
        <v>939</v>
      </c>
      <c r="AC258" s="434" t="s">
        <v>940</v>
      </c>
      <c r="CF258" s="73">
        <v>228</v>
      </c>
      <c r="CG258" s="74" t="s">
        <v>941</v>
      </c>
      <c r="CH258" s="93">
        <f>J130</f>
        <v>0</v>
      </c>
      <c r="CI258" s="74" t="s">
        <v>926</v>
      </c>
      <c r="CJ258" s="76" t="s">
        <v>942</v>
      </c>
      <c r="CK258" s="74" t="s">
        <v>99</v>
      </c>
    </row>
    <row r="259" spans="1:89" ht="25.5" customHeight="1" x14ac:dyDescent="0.2">
      <c r="A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AB259" s="435">
        <f>SUM(F248:AC249)</f>
        <v>83100000</v>
      </c>
      <c r="AC259" s="436">
        <f>SUM(F254:AC255)</f>
        <v>-14809275</v>
      </c>
      <c r="CF259" s="455" t="s">
        <v>943</v>
      </c>
      <c r="CG259" s="455"/>
      <c r="CH259" s="455"/>
      <c r="CI259" s="455"/>
      <c r="CJ259" s="455"/>
      <c r="CK259" s="455"/>
    </row>
    <row r="260" spans="1:89" ht="21.75" customHeight="1" x14ac:dyDescent="0.2">
      <c r="A260" s="15"/>
      <c r="AB260" s="111" t="b">
        <f>AB259=E189</f>
        <v>1</v>
      </c>
      <c r="AC260" s="111" t="b">
        <f>AC259=SUM(E192:E193)</f>
        <v>1</v>
      </c>
      <c r="CF260" s="65">
        <v>229</v>
      </c>
      <c r="CG260" s="66" t="s">
        <v>944</v>
      </c>
      <c r="CH260" s="231">
        <f>C131</f>
        <v>0</v>
      </c>
      <c r="CI260" s="66" t="s">
        <v>945</v>
      </c>
      <c r="CJ260" s="68" t="s">
        <v>946</v>
      </c>
      <c r="CK260" s="66" t="s">
        <v>378</v>
      </c>
    </row>
    <row r="261" spans="1:89" ht="21.75" customHeight="1" x14ac:dyDescent="0.2">
      <c r="A261" s="15"/>
      <c r="W261" s="15"/>
      <c r="CF261" s="73">
        <v>230</v>
      </c>
      <c r="CG261" s="74" t="s">
        <v>947</v>
      </c>
      <c r="CH261" s="148">
        <f>D131</f>
        <v>1</v>
      </c>
      <c r="CI261" s="74" t="s">
        <v>945</v>
      </c>
      <c r="CJ261" s="76" t="s">
        <v>948</v>
      </c>
      <c r="CK261" s="74" t="s">
        <v>189</v>
      </c>
    </row>
    <row r="262" spans="1:89" ht="21.75" customHeight="1" x14ac:dyDescent="0.2">
      <c r="A262" s="15"/>
      <c r="H262" s="114"/>
      <c r="W262" s="15"/>
      <c r="CF262" s="65">
        <v>231</v>
      </c>
      <c r="CG262" s="66" t="s">
        <v>949</v>
      </c>
      <c r="CH262" s="141">
        <f>E131</f>
        <v>0</v>
      </c>
      <c r="CI262" s="66" t="s">
        <v>945</v>
      </c>
      <c r="CJ262" s="68" t="s">
        <v>950</v>
      </c>
      <c r="CK262" s="66" t="s">
        <v>312</v>
      </c>
    </row>
    <row r="263" spans="1:89" ht="21.75" customHeight="1" x14ac:dyDescent="0.2">
      <c r="A263" s="15"/>
      <c r="W263" s="15"/>
      <c r="CF263" s="73">
        <v>232</v>
      </c>
      <c r="CG263" s="74" t="s">
        <v>438</v>
      </c>
      <c r="CH263" s="221" t="str">
        <f>F131</f>
        <v>0</v>
      </c>
      <c r="CI263" s="74" t="s">
        <v>945</v>
      </c>
      <c r="CJ263" s="76" t="s">
        <v>951</v>
      </c>
      <c r="CK263" s="74" t="s">
        <v>312</v>
      </c>
    </row>
    <row r="264" spans="1:89" ht="21.75" customHeight="1" x14ac:dyDescent="0.2">
      <c r="A264" s="15"/>
      <c r="W264" s="15"/>
      <c r="CF264" s="65">
        <v>233</v>
      </c>
      <c r="CG264" s="66" t="s">
        <v>952</v>
      </c>
      <c r="CH264" s="88">
        <f>H131</f>
        <v>0</v>
      </c>
      <c r="CI264" s="66" t="s">
        <v>945</v>
      </c>
      <c r="CJ264" s="68" t="s">
        <v>953</v>
      </c>
      <c r="CK264" s="66" t="s">
        <v>315</v>
      </c>
    </row>
    <row r="265" spans="1:89" ht="21.75" customHeight="1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CF265" s="73">
        <v>234</v>
      </c>
      <c r="CG265" s="74" t="s">
        <v>954</v>
      </c>
      <c r="CH265" s="93">
        <f>I131</f>
        <v>0</v>
      </c>
      <c r="CI265" s="74" t="s">
        <v>945</v>
      </c>
      <c r="CJ265" s="76" t="s">
        <v>955</v>
      </c>
      <c r="CK265" s="74" t="s">
        <v>99</v>
      </c>
    </row>
    <row r="266" spans="1:89" ht="21.75" customHeight="1" x14ac:dyDescent="0.2">
      <c r="B266" s="437"/>
      <c r="C266" s="437"/>
      <c r="D266" s="437"/>
      <c r="E266" s="437"/>
      <c r="F266" s="437" t="str">
        <f t="shared" ref="F266:K266" si="155">IF(AND(F200&lt;&gt;"", F200&lt;&gt;0), 1, "")</f>
        <v/>
      </c>
      <c r="G266" s="437">
        <f t="shared" si="155"/>
        <v>1</v>
      </c>
      <c r="H266" s="437" t="str">
        <f t="shared" si="155"/>
        <v/>
      </c>
      <c r="I266" s="437" t="str">
        <f t="shared" si="155"/>
        <v/>
      </c>
      <c r="J266" s="437" t="str">
        <f t="shared" si="155"/>
        <v/>
      </c>
      <c r="K266" s="437" t="str">
        <f t="shared" si="155"/>
        <v/>
      </c>
      <c r="L266" s="437">
        <f t="shared" ref="L266:Y266" si="156">IF(AND(L196&lt;&gt;"", L196&lt;&gt;0), 1, "")</f>
        <v>1</v>
      </c>
      <c r="M266" s="437">
        <f t="shared" si="156"/>
        <v>1</v>
      </c>
      <c r="N266" s="437">
        <f t="shared" si="156"/>
        <v>1</v>
      </c>
      <c r="O266" s="437">
        <f t="shared" si="156"/>
        <v>1</v>
      </c>
      <c r="P266" s="437" t="str">
        <f t="shared" si="156"/>
        <v/>
      </c>
      <c r="Q266" s="437" t="str">
        <f t="shared" si="156"/>
        <v/>
      </c>
      <c r="R266" s="437" t="str">
        <f t="shared" si="156"/>
        <v/>
      </c>
      <c r="S266" s="437" t="str">
        <f t="shared" si="156"/>
        <v/>
      </c>
      <c r="T266" s="437" t="str">
        <f t="shared" si="156"/>
        <v/>
      </c>
      <c r="U266" s="437" t="str">
        <f t="shared" si="156"/>
        <v/>
      </c>
      <c r="V266" s="437" t="str">
        <f t="shared" si="156"/>
        <v/>
      </c>
      <c r="W266" s="437" t="str">
        <f t="shared" si="156"/>
        <v/>
      </c>
      <c r="X266" s="437" t="str">
        <f t="shared" si="156"/>
        <v/>
      </c>
      <c r="Y266" s="437" t="str">
        <f t="shared" si="156"/>
        <v/>
      </c>
      <c r="Z266" s="437"/>
      <c r="AA266" s="437"/>
      <c r="AB266" s="437"/>
      <c r="AC266" s="437"/>
      <c r="CF266" s="65">
        <v>235</v>
      </c>
      <c r="CG266" s="66" t="s">
        <v>956</v>
      </c>
      <c r="CH266" s="88">
        <f>J131</f>
        <v>0</v>
      </c>
      <c r="CI266" s="66" t="s">
        <v>945</v>
      </c>
      <c r="CJ266" s="68" t="s">
        <v>957</v>
      </c>
      <c r="CK266" s="66" t="s">
        <v>99</v>
      </c>
    </row>
    <row r="267" spans="1:89" ht="25.5" customHeight="1" x14ac:dyDescent="0.2">
      <c r="B267" s="539" t="s">
        <v>958</v>
      </c>
      <c r="C267" s="539"/>
      <c r="D267" s="539"/>
      <c r="E267" s="539"/>
      <c r="F267" s="539"/>
      <c r="G267" s="539"/>
      <c r="H267" s="539"/>
      <c r="I267" s="539"/>
      <c r="J267" s="539"/>
      <c r="K267" s="539"/>
      <c r="L267" s="539"/>
      <c r="M267" s="539"/>
      <c r="N267" s="539"/>
      <c r="O267" s="539"/>
      <c r="P267" s="539"/>
      <c r="Q267" s="539"/>
      <c r="R267" s="539"/>
      <c r="S267" s="539"/>
      <c r="T267" s="539"/>
      <c r="U267" s="539"/>
      <c r="V267" s="539"/>
      <c r="W267" s="539"/>
      <c r="X267" s="539"/>
      <c r="Y267" s="539"/>
      <c r="Z267" s="539"/>
      <c r="AA267" s="539"/>
      <c r="AB267" s="539"/>
      <c r="AC267" s="539"/>
      <c r="CF267" s="455" t="s">
        <v>959</v>
      </c>
      <c r="CG267" s="455"/>
      <c r="CH267" s="455"/>
      <c r="CI267" s="455"/>
      <c r="CJ267" s="455"/>
      <c r="CK267" s="455"/>
    </row>
    <row r="268" spans="1:89" ht="21.75" customHeight="1" x14ac:dyDescent="0.2">
      <c r="B268" s="540">
        <f>R139-SUM(F270:Y271)</f>
        <v>0</v>
      </c>
      <c r="C268" s="540"/>
      <c r="D268" s="541" t="b">
        <f>B268=0</f>
        <v>1</v>
      </c>
      <c r="E268" s="542" t="s">
        <v>892</v>
      </c>
      <c r="F268" s="497" t="s">
        <v>666</v>
      </c>
      <c r="G268" s="497"/>
      <c r="H268" s="497"/>
      <c r="I268" s="497"/>
      <c r="J268" s="497" t="s">
        <v>667</v>
      </c>
      <c r="K268" s="497"/>
      <c r="L268" s="497"/>
      <c r="M268" s="497"/>
      <c r="N268" s="497" t="s">
        <v>668</v>
      </c>
      <c r="O268" s="497"/>
      <c r="P268" s="497"/>
      <c r="Q268" s="497"/>
      <c r="R268" s="497" t="s">
        <v>669</v>
      </c>
      <c r="S268" s="497"/>
      <c r="T268" s="497"/>
      <c r="U268" s="497"/>
      <c r="V268" s="497" t="s">
        <v>670</v>
      </c>
      <c r="W268" s="497"/>
      <c r="X268" s="497"/>
      <c r="Y268" s="497"/>
      <c r="Z268" s="543" t="s">
        <v>671</v>
      </c>
      <c r="AA268" s="543"/>
      <c r="AB268" s="543"/>
      <c r="AC268" s="543"/>
      <c r="CF268" s="73">
        <v>236</v>
      </c>
      <c r="CG268" s="74" t="s">
        <v>960</v>
      </c>
      <c r="CH268" s="246">
        <f>C132</f>
        <v>0</v>
      </c>
      <c r="CI268" s="74" t="s">
        <v>961</v>
      </c>
      <c r="CJ268" s="76" t="s">
        <v>962</v>
      </c>
      <c r="CK268" s="74" t="s">
        <v>378</v>
      </c>
    </row>
    <row r="269" spans="1:89" ht="21.75" customHeight="1" x14ac:dyDescent="0.2">
      <c r="B269" s="540"/>
      <c r="C269" s="540"/>
      <c r="D269" s="541"/>
      <c r="E269" s="542"/>
      <c r="F269" s="198" t="s">
        <v>675</v>
      </c>
      <c r="G269" s="198" t="s">
        <v>676</v>
      </c>
      <c r="H269" s="198" t="s">
        <v>677</v>
      </c>
      <c r="I269" s="198" t="s">
        <v>678</v>
      </c>
      <c r="J269" s="198" t="s">
        <v>679</v>
      </c>
      <c r="K269" s="198" t="s">
        <v>680</v>
      </c>
      <c r="L269" s="198" t="s">
        <v>681</v>
      </c>
      <c r="M269" s="198" t="s">
        <v>682</v>
      </c>
      <c r="N269" s="198" t="s">
        <v>683</v>
      </c>
      <c r="O269" s="198" t="s">
        <v>684</v>
      </c>
      <c r="P269" s="198" t="s">
        <v>685</v>
      </c>
      <c r="Q269" s="198" t="s">
        <v>686</v>
      </c>
      <c r="R269" s="198" t="s">
        <v>687</v>
      </c>
      <c r="S269" s="198" t="s">
        <v>688</v>
      </c>
      <c r="T269" s="198" t="s">
        <v>689</v>
      </c>
      <c r="U269" s="198" t="s">
        <v>690</v>
      </c>
      <c r="V269" s="198" t="s">
        <v>691</v>
      </c>
      <c r="W269" s="198" t="s">
        <v>692</v>
      </c>
      <c r="X269" s="198" t="s">
        <v>693</v>
      </c>
      <c r="Y269" s="198" t="s">
        <v>694</v>
      </c>
      <c r="Z269" s="198" t="s">
        <v>695</v>
      </c>
      <c r="AA269" s="198" t="s">
        <v>696</v>
      </c>
      <c r="AB269" s="198" t="s">
        <v>697</v>
      </c>
      <c r="AC269" s="200" t="s">
        <v>698</v>
      </c>
      <c r="CF269" s="65">
        <v>237</v>
      </c>
      <c r="CG269" s="66" t="s">
        <v>963</v>
      </c>
      <c r="CH269" s="154">
        <f>D132</f>
        <v>1</v>
      </c>
      <c r="CI269" s="66" t="s">
        <v>961</v>
      </c>
      <c r="CJ269" s="68" t="s">
        <v>964</v>
      </c>
      <c r="CK269" s="66" t="s">
        <v>189</v>
      </c>
    </row>
    <row r="270" spans="1:89" ht="21.75" customHeight="1" x14ac:dyDescent="0.2">
      <c r="B270" s="531" t="s">
        <v>965</v>
      </c>
      <c r="C270" s="531"/>
      <c r="D270" s="544" t="b">
        <f>IF(ABS(E270 - R139) &lt; MAX(0.00001, E270 * 0.00001), TRUE(), FALSE())</f>
        <v>1</v>
      </c>
      <c r="E270" s="526">
        <f>SUM(F270:Y271)</f>
        <v>35</v>
      </c>
      <c r="F270" s="498"/>
      <c r="G270" s="498"/>
      <c r="H270" s="498">
        <v>2</v>
      </c>
      <c r="I270" s="498">
        <v>3</v>
      </c>
      <c r="J270" s="498">
        <v>4</v>
      </c>
      <c r="K270" s="498">
        <v>4</v>
      </c>
      <c r="L270" s="498">
        <v>5</v>
      </c>
      <c r="M270" s="498">
        <v>5</v>
      </c>
      <c r="N270" s="498">
        <v>5</v>
      </c>
      <c r="O270" s="498">
        <v>7</v>
      </c>
      <c r="P270" s="498"/>
      <c r="Q270" s="498"/>
      <c r="R270" s="498"/>
      <c r="S270" s="498"/>
      <c r="T270" s="498"/>
      <c r="U270" s="498"/>
      <c r="V270" s="498"/>
      <c r="W270" s="498"/>
      <c r="X270" s="498"/>
      <c r="Y270" s="498"/>
      <c r="Z270" s="498"/>
      <c r="AA270" s="498"/>
      <c r="AB270" s="498"/>
      <c r="AC270" s="504"/>
      <c r="CF270" s="73">
        <v>238</v>
      </c>
      <c r="CG270" s="74" t="s">
        <v>966</v>
      </c>
      <c r="CH270" s="221">
        <f>E132</f>
        <v>0</v>
      </c>
      <c r="CI270" s="74" t="s">
        <v>961</v>
      </c>
      <c r="CJ270" s="76" t="s">
        <v>967</v>
      </c>
      <c r="CK270" s="74" t="s">
        <v>312</v>
      </c>
    </row>
    <row r="271" spans="1:89" ht="21.75" customHeight="1" x14ac:dyDescent="0.2">
      <c r="B271" s="531"/>
      <c r="C271" s="531"/>
      <c r="D271" s="544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04"/>
      <c r="CF271" s="65">
        <v>239</v>
      </c>
      <c r="CG271" s="66" t="s">
        <v>471</v>
      </c>
      <c r="CH271" s="141" t="str">
        <f>F132</f>
        <v>0</v>
      </c>
      <c r="CI271" s="66" t="s">
        <v>961</v>
      </c>
      <c r="CJ271" s="68" t="s">
        <v>968</v>
      </c>
      <c r="CK271" s="66" t="s">
        <v>312</v>
      </c>
    </row>
    <row r="272" spans="1:89" ht="21.75" customHeight="1" x14ac:dyDescent="0.2">
      <c r="B272" s="530" t="s">
        <v>969</v>
      </c>
      <c r="C272" s="530"/>
      <c r="D272" s="541" t="b">
        <f>IF(ABS(E272 - C196) &lt; MAX(0.00001, E272 * 0.00001), TRUE(), FALSE())</f>
        <v>1</v>
      </c>
      <c r="E272" s="545">
        <f>SUM(F272:AC273)</f>
        <v>-81179665.851063848</v>
      </c>
      <c r="F272" s="536">
        <f t="shared" ref="F272:AC272" si="157">F196</f>
        <v>0</v>
      </c>
      <c r="G272" s="536">
        <f t="shared" si="157"/>
        <v>0</v>
      </c>
      <c r="H272" s="536">
        <f t="shared" si="157"/>
        <v>-16235933.170212768</v>
      </c>
      <c r="I272" s="536">
        <f t="shared" si="157"/>
        <v>-12176949.877659574</v>
      </c>
      <c r="J272" s="536">
        <f t="shared" si="157"/>
        <v>-8117966.585106384</v>
      </c>
      <c r="K272" s="536">
        <f t="shared" si="157"/>
        <v>-8117966.585106384</v>
      </c>
      <c r="L272" s="536">
        <f t="shared" si="157"/>
        <v>-8117966.585106384</v>
      </c>
      <c r="M272" s="536">
        <f t="shared" si="157"/>
        <v>-8117966.585106384</v>
      </c>
      <c r="N272" s="536">
        <f t="shared" si="157"/>
        <v>-8117966.585106384</v>
      </c>
      <c r="O272" s="536">
        <f t="shared" si="157"/>
        <v>-12176949.877659574</v>
      </c>
      <c r="P272" s="536">
        <f t="shared" si="157"/>
        <v>0</v>
      </c>
      <c r="Q272" s="536">
        <f t="shared" si="157"/>
        <v>0</v>
      </c>
      <c r="R272" s="536">
        <f t="shared" si="157"/>
        <v>0</v>
      </c>
      <c r="S272" s="536">
        <f t="shared" si="157"/>
        <v>0</v>
      </c>
      <c r="T272" s="536">
        <f t="shared" si="157"/>
        <v>0</v>
      </c>
      <c r="U272" s="536">
        <f t="shared" si="157"/>
        <v>0</v>
      </c>
      <c r="V272" s="536">
        <f t="shared" si="157"/>
        <v>0</v>
      </c>
      <c r="W272" s="536">
        <f t="shared" si="157"/>
        <v>0</v>
      </c>
      <c r="X272" s="536">
        <f t="shared" si="157"/>
        <v>0</v>
      </c>
      <c r="Y272" s="536">
        <f t="shared" si="157"/>
        <v>0</v>
      </c>
      <c r="Z272" s="536">
        <f t="shared" si="157"/>
        <v>0</v>
      </c>
      <c r="AA272" s="536">
        <f t="shared" si="157"/>
        <v>0</v>
      </c>
      <c r="AB272" s="536">
        <f t="shared" si="157"/>
        <v>0</v>
      </c>
      <c r="AC272" s="537">
        <f t="shared" si="157"/>
        <v>0</v>
      </c>
      <c r="CF272" s="73">
        <v>240</v>
      </c>
      <c r="CG272" s="74" t="s">
        <v>970</v>
      </c>
      <c r="CH272" s="93">
        <f>H132</f>
        <v>0</v>
      </c>
      <c r="CI272" s="74" t="s">
        <v>961</v>
      </c>
      <c r="CJ272" s="76" t="s">
        <v>971</v>
      </c>
      <c r="CK272" s="74" t="s">
        <v>315</v>
      </c>
    </row>
    <row r="273" spans="2:89" ht="21.75" customHeight="1" x14ac:dyDescent="0.2">
      <c r="B273" s="530"/>
      <c r="C273" s="530"/>
      <c r="D273" s="541"/>
      <c r="E273" s="545"/>
      <c r="F273" s="536"/>
      <c r="G273" s="536"/>
      <c r="H273" s="536"/>
      <c r="I273" s="536"/>
      <c r="J273" s="536"/>
      <c r="K273" s="536"/>
      <c r="L273" s="536"/>
      <c r="M273" s="536"/>
      <c r="N273" s="536"/>
      <c r="O273" s="536"/>
      <c r="P273" s="536"/>
      <c r="Q273" s="536"/>
      <c r="R273" s="536"/>
      <c r="S273" s="536"/>
      <c r="T273" s="536"/>
      <c r="U273" s="536"/>
      <c r="V273" s="536"/>
      <c r="W273" s="536"/>
      <c r="X273" s="536"/>
      <c r="Y273" s="536"/>
      <c r="Z273" s="536"/>
      <c r="AA273" s="536"/>
      <c r="AB273" s="536"/>
      <c r="AC273" s="537"/>
      <c r="CF273" s="65">
        <v>241</v>
      </c>
      <c r="CG273" s="66" t="s">
        <v>972</v>
      </c>
      <c r="CH273" s="88">
        <f>I132</f>
        <v>0</v>
      </c>
      <c r="CI273" s="66" t="s">
        <v>961</v>
      </c>
      <c r="CJ273" s="68" t="s">
        <v>973</v>
      </c>
      <c r="CK273" s="66" t="s">
        <v>99</v>
      </c>
    </row>
    <row r="274" spans="2:89" ht="21.75" customHeight="1" x14ac:dyDescent="0.2">
      <c r="B274" s="531" t="s">
        <v>974</v>
      </c>
      <c r="C274" s="531"/>
      <c r="D274" s="544" t="b">
        <f>E274=100%</f>
        <v>1</v>
      </c>
      <c r="E274" s="546">
        <f>SUM(F274:AC275)</f>
        <v>0.99999999999999989</v>
      </c>
      <c r="F274" s="546">
        <f t="shared" ref="F274:AC274" si="158">F272/$C$196</f>
        <v>0</v>
      </c>
      <c r="G274" s="546">
        <f t="shared" si="158"/>
        <v>0</v>
      </c>
      <c r="H274" s="546">
        <f t="shared" si="158"/>
        <v>0.2</v>
      </c>
      <c r="I274" s="546">
        <f t="shared" si="158"/>
        <v>0.15</v>
      </c>
      <c r="J274" s="546">
        <f t="shared" si="158"/>
        <v>0.1</v>
      </c>
      <c r="K274" s="546">
        <f t="shared" si="158"/>
        <v>0.1</v>
      </c>
      <c r="L274" s="546">
        <f t="shared" si="158"/>
        <v>0.1</v>
      </c>
      <c r="M274" s="546">
        <f t="shared" si="158"/>
        <v>0.1</v>
      </c>
      <c r="N274" s="546">
        <f t="shared" si="158"/>
        <v>0.1</v>
      </c>
      <c r="O274" s="546">
        <f t="shared" si="158"/>
        <v>0.15</v>
      </c>
      <c r="P274" s="546">
        <f t="shared" si="158"/>
        <v>0</v>
      </c>
      <c r="Q274" s="546">
        <f t="shared" si="158"/>
        <v>0</v>
      </c>
      <c r="R274" s="546">
        <f t="shared" si="158"/>
        <v>0</v>
      </c>
      <c r="S274" s="546">
        <f t="shared" si="158"/>
        <v>0</v>
      </c>
      <c r="T274" s="546">
        <f t="shared" si="158"/>
        <v>0</v>
      </c>
      <c r="U274" s="546">
        <f t="shared" si="158"/>
        <v>0</v>
      </c>
      <c r="V274" s="546">
        <f t="shared" si="158"/>
        <v>0</v>
      </c>
      <c r="W274" s="546">
        <f t="shared" si="158"/>
        <v>0</v>
      </c>
      <c r="X274" s="546">
        <f t="shared" si="158"/>
        <v>0</v>
      </c>
      <c r="Y274" s="546">
        <f t="shared" si="158"/>
        <v>0</v>
      </c>
      <c r="Z274" s="546">
        <f t="shared" si="158"/>
        <v>0</v>
      </c>
      <c r="AA274" s="546">
        <f t="shared" si="158"/>
        <v>0</v>
      </c>
      <c r="AB274" s="546">
        <f t="shared" si="158"/>
        <v>0</v>
      </c>
      <c r="AC274" s="547">
        <f t="shared" si="158"/>
        <v>0</v>
      </c>
      <c r="CF274" s="73">
        <v>242</v>
      </c>
      <c r="CG274" s="74" t="s">
        <v>975</v>
      </c>
      <c r="CH274" s="93">
        <f>J132</f>
        <v>0</v>
      </c>
      <c r="CI274" s="74" t="s">
        <v>961</v>
      </c>
      <c r="CJ274" s="76" t="s">
        <v>976</v>
      </c>
      <c r="CK274" s="74" t="s">
        <v>99</v>
      </c>
    </row>
    <row r="275" spans="2:89" ht="25.5" customHeight="1" x14ac:dyDescent="0.2">
      <c r="B275" s="531"/>
      <c r="C275" s="531"/>
      <c r="D275" s="544"/>
      <c r="E275" s="546"/>
      <c r="F275" s="546"/>
      <c r="G275" s="546"/>
      <c r="H275" s="546"/>
      <c r="I275" s="546"/>
      <c r="J275" s="546"/>
      <c r="K275" s="546"/>
      <c r="L275" s="546"/>
      <c r="M275" s="546"/>
      <c r="N275" s="546"/>
      <c r="O275" s="546"/>
      <c r="P275" s="546"/>
      <c r="Q275" s="546"/>
      <c r="R275" s="546"/>
      <c r="S275" s="546"/>
      <c r="T275" s="546"/>
      <c r="U275" s="546"/>
      <c r="V275" s="546"/>
      <c r="W275" s="546"/>
      <c r="X275" s="546"/>
      <c r="Y275" s="546"/>
      <c r="Z275" s="546"/>
      <c r="AA275" s="546"/>
      <c r="AB275" s="546"/>
      <c r="AC275" s="547"/>
      <c r="CF275" s="455" t="s">
        <v>977</v>
      </c>
      <c r="CG275" s="455"/>
      <c r="CH275" s="455"/>
      <c r="CI275" s="455"/>
      <c r="CJ275" s="455"/>
      <c r="CK275" s="455"/>
    </row>
    <row r="276" spans="2:89" ht="21.75" customHeight="1" x14ac:dyDescent="0.2">
      <c r="B276" s="530" t="s">
        <v>978</v>
      </c>
      <c r="C276" s="530"/>
      <c r="D276" s="541" t="b">
        <f>B266=B266</f>
        <v>1</v>
      </c>
      <c r="E276" s="526" t="s">
        <v>62</v>
      </c>
      <c r="F276" s="548">
        <f>F274</f>
        <v>0</v>
      </c>
      <c r="G276" s="548">
        <f t="shared" ref="G276:AC276" si="159">G274+F276</f>
        <v>0</v>
      </c>
      <c r="H276" s="548">
        <f t="shared" si="159"/>
        <v>0.2</v>
      </c>
      <c r="I276" s="548">
        <f t="shared" si="159"/>
        <v>0.35</v>
      </c>
      <c r="J276" s="548">
        <f t="shared" si="159"/>
        <v>0.44999999999999996</v>
      </c>
      <c r="K276" s="548">
        <f t="shared" si="159"/>
        <v>0.54999999999999993</v>
      </c>
      <c r="L276" s="548">
        <f t="shared" si="159"/>
        <v>0.64999999999999991</v>
      </c>
      <c r="M276" s="548">
        <f t="shared" si="159"/>
        <v>0.74999999999999989</v>
      </c>
      <c r="N276" s="548">
        <f t="shared" si="159"/>
        <v>0.84999999999999987</v>
      </c>
      <c r="O276" s="548">
        <f t="shared" si="159"/>
        <v>0.99999999999999989</v>
      </c>
      <c r="P276" s="548">
        <f t="shared" si="159"/>
        <v>0.99999999999999989</v>
      </c>
      <c r="Q276" s="548">
        <f t="shared" si="159"/>
        <v>0.99999999999999989</v>
      </c>
      <c r="R276" s="548">
        <f t="shared" si="159"/>
        <v>0.99999999999999989</v>
      </c>
      <c r="S276" s="548">
        <f t="shared" si="159"/>
        <v>0.99999999999999989</v>
      </c>
      <c r="T276" s="548">
        <f t="shared" si="159"/>
        <v>0.99999999999999989</v>
      </c>
      <c r="U276" s="548">
        <f t="shared" si="159"/>
        <v>0.99999999999999989</v>
      </c>
      <c r="V276" s="548">
        <f t="shared" si="159"/>
        <v>0.99999999999999989</v>
      </c>
      <c r="W276" s="548">
        <f t="shared" si="159"/>
        <v>0.99999999999999989</v>
      </c>
      <c r="X276" s="548">
        <f t="shared" si="159"/>
        <v>0.99999999999999989</v>
      </c>
      <c r="Y276" s="548">
        <f t="shared" si="159"/>
        <v>0.99999999999999989</v>
      </c>
      <c r="Z276" s="548">
        <f t="shared" si="159"/>
        <v>0.99999999999999989</v>
      </c>
      <c r="AA276" s="548">
        <f t="shared" si="159"/>
        <v>0.99999999999999989</v>
      </c>
      <c r="AB276" s="548">
        <f t="shared" si="159"/>
        <v>0.99999999999999989</v>
      </c>
      <c r="AC276" s="549">
        <f t="shared" si="159"/>
        <v>0.99999999999999989</v>
      </c>
      <c r="CF276" s="65">
        <v>243</v>
      </c>
      <c r="CG276" s="66" t="s">
        <v>979</v>
      </c>
      <c r="CH276" s="231">
        <f>C133</f>
        <v>99</v>
      </c>
      <c r="CI276" s="66" t="s">
        <v>980</v>
      </c>
      <c r="CJ276" s="68" t="s">
        <v>981</v>
      </c>
      <c r="CK276" s="66" t="s">
        <v>378</v>
      </c>
    </row>
    <row r="277" spans="2:89" ht="21.75" customHeight="1" x14ac:dyDescent="0.2">
      <c r="B277" s="530"/>
      <c r="C277" s="530"/>
      <c r="D277" s="541"/>
      <c r="E277" s="541"/>
      <c r="F277" s="548"/>
      <c r="G277" s="548"/>
      <c r="H277" s="548"/>
      <c r="I277" s="548"/>
      <c r="J277" s="548"/>
      <c r="K277" s="548"/>
      <c r="L277" s="548"/>
      <c r="M277" s="548"/>
      <c r="N277" s="548"/>
      <c r="O277" s="548"/>
      <c r="P277" s="548"/>
      <c r="Q277" s="548"/>
      <c r="R277" s="548"/>
      <c r="S277" s="548"/>
      <c r="T277" s="548"/>
      <c r="U277" s="548"/>
      <c r="V277" s="548"/>
      <c r="W277" s="548"/>
      <c r="X277" s="548"/>
      <c r="Y277" s="548"/>
      <c r="Z277" s="548"/>
      <c r="AA277" s="548"/>
      <c r="AB277" s="548"/>
      <c r="AC277" s="549"/>
      <c r="CF277" s="73">
        <v>244</v>
      </c>
      <c r="CG277" s="74" t="s">
        <v>982</v>
      </c>
      <c r="CH277" s="148">
        <f>D133</f>
        <v>1</v>
      </c>
      <c r="CI277" s="74" t="s">
        <v>980</v>
      </c>
      <c r="CJ277" s="76" t="s">
        <v>983</v>
      </c>
      <c r="CK277" s="74" t="s">
        <v>189</v>
      </c>
    </row>
    <row r="278" spans="2:89" ht="21.75" customHeight="1" x14ac:dyDescent="0.2">
      <c r="B278" s="531" t="s">
        <v>984</v>
      </c>
      <c r="C278" s="531"/>
      <c r="D278" s="544" t="b">
        <f>IF(ABS(E278 - C303) &lt; MAX(0.00001, E278 * 0.00001), TRUE(), FALSE())</f>
        <v>1</v>
      </c>
      <c r="E278" s="526">
        <f>SUM(F278:AC279)</f>
        <v>37908700.132978767</v>
      </c>
      <c r="F278" s="526">
        <f t="shared" ref="F278:AC278" si="160">F270*$C$307</f>
        <v>0</v>
      </c>
      <c r="G278" s="526">
        <f t="shared" si="160"/>
        <v>0</v>
      </c>
      <c r="H278" s="526">
        <f t="shared" si="160"/>
        <v>2166211.4361702153</v>
      </c>
      <c r="I278" s="526">
        <f t="shared" si="160"/>
        <v>3249317.1542553231</v>
      </c>
      <c r="J278" s="526">
        <f t="shared" si="160"/>
        <v>4332422.8723404305</v>
      </c>
      <c r="K278" s="526">
        <f t="shared" si="160"/>
        <v>4332422.8723404305</v>
      </c>
      <c r="L278" s="526">
        <f t="shared" si="160"/>
        <v>5415528.5904255379</v>
      </c>
      <c r="M278" s="526">
        <f t="shared" si="160"/>
        <v>5415528.5904255379</v>
      </c>
      <c r="N278" s="526">
        <f t="shared" si="160"/>
        <v>5415528.5904255379</v>
      </c>
      <c r="O278" s="526">
        <f t="shared" si="160"/>
        <v>7581740.0265957536</v>
      </c>
      <c r="P278" s="526">
        <f t="shared" si="160"/>
        <v>0</v>
      </c>
      <c r="Q278" s="526">
        <f t="shared" si="160"/>
        <v>0</v>
      </c>
      <c r="R278" s="526">
        <f t="shared" si="160"/>
        <v>0</v>
      </c>
      <c r="S278" s="526">
        <f t="shared" si="160"/>
        <v>0</v>
      </c>
      <c r="T278" s="526">
        <f t="shared" si="160"/>
        <v>0</v>
      </c>
      <c r="U278" s="526">
        <f t="shared" si="160"/>
        <v>0</v>
      </c>
      <c r="V278" s="526">
        <f t="shared" si="160"/>
        <v>0</v>
      </c>
      <c r="W278" s="526">
        <f t="shared" si="160"/>
        <v>0</v>
      </c>
      <c r="X278" s="526">
        <f t="shared" si="160"/>
        <v>0</v>
      </c>
      <c r="Y278" s="526">
        <f t="shared" si="160"/>
        <v>0</v>
      </c>
      <c r="Z278" s="526">
        <f t="shared" si="160"/>
        <v>0</v>
      </c>
      <c r="AA278" s="526">
        <f t="shared" si="160"/>
        <v>0</v>
      </c>
      <c r="AB278" s="526">
        <f t="shared" si="160"/>
        <v>0</v>
      </c>
      <c r="AC278" s="527">
        <f t="shared" si="160"/>
        <v>0</v>
      </c>
      <c r="CF278" s="65">
        <v>245</v>
      </c>
      <c r="CG278" s="66" t="s">
        <v>985</v>
      </c>
      <c r="CH278" s="141">
        <f>E133</f>
        <v>4805.7127659574371</v>
      </c>
      <c r="CI278" s="66" t="s">
        <v>980</v>
      </c>
      <c r="CJ278" s="68" t="s">
        <v>986</v>
      </c>
      <c r="CK278" s="66" t="s">
        <v>312</v>
      </c>
    </row>
    <row r="279" spans="2:89" ht="21.75" customHeight="1" x14ac:dyDescent="0.2">
      <c r="B279" s="531"/>
      <c r="C279" s="531"/>
      <c r="D279" s="544"/>
      <c r="E279" s="526"/>
      <c r="F279" s="526"/>
      <c r="G279" s="526"/>
      <c r="H279" s="526"/>
      <c r="I279" s="526"/>
      <c r="J279" s="526"/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7"/>
      <c r="CF279" s="73">
        <v>246</v>
      </c>
      <c r="CG279" s="74" t="s">
        <v>504</v>
      </c>
      <c r="CH279" s="221">
        <f>F133</f>
        <v>48.542553191489262</v>
      </c>
      <c r="CI279" s="74" t="s">
        <v>980</v>
      </c>
      <c r="CJ279" s="76" t="s">
        <v>987</v>
      </c>
      <c r="CK279" s="74" t="s">
        <v>312</v>
      </c>
    </row>
    <row r="280" spans="2:89" ht="21.75" customHeight="1" x14ac:dyDescent="0.2">
      <c r="B280" s="530" t="s">
        <v>988</v>
      </c>
      <c r="C280" s="530"/>
      <c r="D280" s="541" t="b">
        <f>IF(ABS(E280 - C308) &lt; MAX(0.00001, E280 * 0.00001), TRUE(), FALSE())</f>
        <v>1</v>
      </c>
      <c r="E280" s="545">
        <f>-SUM(F280:AC281)</f>
        <v>568630.50199468154</v>
      </c>
      <c r="F280" s="536">
        <f t="shared" ref="F280:AC280" si="161">$D$308*-F278</f>
        <v>0</v>
      </c>
      <c r="G280" s="536">
        <f t="shared" si="161"/>
        <v>0</v>
      </c>
      <c r="H280" s="536">
        <f t="shared" si="161"/>
        <v>-32493.171542553227</v>
      </c>
      <c r="I280" s="536">
        <f t="shared" si="161"/>
        <v>-48739.757313829847</v>
      </c>
      <c r="J280" s="536">
        <f t="shared" si="161"/>
        <v>-64986.343085106455</v>
      </c>
      <c r="K280" s="536">
        <f t="shared" si="161"/>
        <v>-64986.343085106455</v>
      </c>
      <c r="L280" s="536">
        <f t="shared" si="161"/>
        <v>-81232.928856383063</v>
      </c>
      <c r="M280" s="536">
        <f t="shared" si="161"/>
        <v>-81232.928856383063</v>
      </c>
      <c r="N280" s="536">
        <f t="shared" si="161"/>
        <v>-81232.928856383063</v>
      </c>
      <c r="O280" s="536">
        <f t="shared" si="161"/>
        <v>-113726.10039893629</v>
      </c>
      <c r="P280" s="536">
        <f t="shared" si="161"/>
        <v>0</v>
      </c>
      <c r="Q280" s="536">
        <f t="shared" si="161"/>
        <v>0</v>
      </c>
      <c r="R280" s="536">
        <f t="shared" si="161"/>
        <v>0</v>
      </c>
      <c r="S280" s="536">
        <f t="shared" si="161"/>
        <v>0</v>
      </c>
      <c r="T280" s="536">
        <f t="shared" si="161"/>
        <v>0</v>
      </c>
      <c r="U280" s="536">
        <f t="shared" si="161"/>
        <v>0</v>
      </c>
      <c r="V280" s="536">
        <f t="shared" si="161"/>
        <v>0</v>
      </c>
      <c r="W280" s="536">
        <f t="shared" si="161"/>
        <v>0</v>
      </c>
      <c r="X280" s="536">
        <f t="shared" si="161"/>
        <v>0</v>
      </c>
      <c r="Y280" s="536">
        <f t="shared" si="161"/>
        <v>0</v>
      </c>
      <c r="Z280" s="536">
        <f t="shared" si="161"/>
        <v>0</v>
      </c>
      <c r="AA280" s="536">
        <f t="shared" si="161"/>
        <v>0</v>
      </c>
      <c r="AB280" s="536">
        <f t="shared" si="161"/>
        <v>0</v>
      </c>
      <c r="AC280" s="537">
        <f t="shared" si="161"/>
        <v>0</v>
      </c>
      <c r="CF280" s="65">
        <v>247</v>
      </c>
      <c r="CG280" s="66" t="s">
        <v>989</v>
      </c>
      <c r="CH280" s="88">
        <f>H133</f>
        <v>0</v>
      </c>
      <c r="CI280" s="66" t="s">
        <v>980</v>
      </c>
      <c r="CJ280" s="68" t="s">
        <v>990</v>
      </c>
      <c r="CK280" s="66" t="s">
        <v>315</v>
      </c>
    </row>
    <row r="281" spans="2:89" ht="21.75" customHeight="1" x14ac:dyDescent="0.2">
      <c r="B281" s="530"/>
      <c r="C281" s="530"/>
      <c r="D281" s="541"/>
      <c r="E281" s="545"/>
      <c r="F281" s="536"/>
      <c r="G281" s="536"/>
      <c r="H281" s="536"/>
      <c r="I281" s="536"/>
      <c r="J281" s="536"/>
      <c r="K281" s="536"/>
      <c r="L281" s="536"/>
      <c r="M281" s="536"/>
      <c r="N281" s="536"/>
      <c r="O281" s="536"/>
      <c r="P281" s="536"/>
      <c r="Q281" s="536"/>
      <c r="R281" s="536"/>
      <c r="S281" s="536"/>
      <c r="T281" s="536"/>
      <c r="U281" s="536"/>
      <c r="V281" s="536"/>
      <c r="W281" s="536"/>
      <c r="X281" s="536"/>
      <c r="Y281" s="536"/>
      <c r="Z281" s="536"/>
      <c r="AA281" s="536"/>
      <c r="AB281" s="536"/>
      <c r="AC281" s="537"/>
      <c r="CF281" s="73">
        <v>248</v>
      </c>
      <c r="CG281" s="74" t="s">
        <v>991</v>
      </c>
      <c r="CH281" s="93">
        <f>I133</f>
        <v>0</v>
      </c>
      <c r="CI281" s="74" t="s">
        <v>980</v>
      </c>
      <c r="CJ281" s="76" t="s">
        <v>992</v>
      </c>
      <c r="CK281" s="74" t="s">
        <v>99</v>
      </c>
    </row>
    <row r="282" spans="2:89" ht="21.75" customHeight="1" x14ac:dyDescent="0.2">
      <c r="B282" s="531" t="s">
        <v>993</v>
      </c>
      <c r="C282" s="531"/>
      <c r="D282" s="544" t="b">
        <f>IF(ABS(E282 - C309) &lt; MAX(0.00001, E282 * 0.00001), TRUE(), FALSE())</f>
        <v>1</v>
      </c>
      <c r="E282" s="545">
        <f>-SUM(F282:AC283)</f>
        <v>379087.00132978766</v>
      </c>
      <c r="F282" s="526">
        <f t="shared" ref="F282:AC282" si="162">F278*-$D$309</f>
        <v>0</v>
      </c>
      <c r="G282" s="526">
        <f t="shared" si="162"/>
        <v>0</v>
      </c>
      <c r="H282" s="526">
        <f t="shared" si="162"/>
        <v>-21662.114361702152</v>
      </c>
      <c r="I282" s="526">
        <f t="shared" si="162"/>
        <v>-32493.171542553231</v>
      </c>
      <c r="J282" s="526">
        <f t="shared" si="162"/>
        <v>-43324.228723404303</v>
      </c>
      <c r="K282" s="526">
        <f t="shared" si="162"/>
        <v>-43324.228723404303</v>
      </c>
      <c r="L282" s="526">
        <f t="shared" si="162"/>
        <v>-54155.285904255383</v>
      </c>
      <c r="M282" s="526">
        <f t="shared" si="162"/>
        <v>-54155.285904255383</v>
      </c>
      <c r="N282" s="526">
        <f t="shared" si="162"/>
        <v>-54155.285904255383</v>
      </c>
      <c r="O282" s="526">
        <f t="shared" si="162"/>
        <v>-75817.400265957534</v>
      </c>
      <c r="P282" s="526">
        <f t="shared" si="162"/>
        <v>0</v>
      </c>
      <c r="Q282" s="526">
        <f t="shared" si="162"/>
        <v>0</v>
      </c>
      <c r="R282" s="526">
        <f t="shared" si="162"/>
        <v>0</v>
      </c>
      <c r="S282" s="526">
        <f t="shared" si="162"/>
        <v>0</v>
      </c>
      <c r="T282" s="526">
        <f t="shared" si="162"/>
        <v>0</v>
      </c>
      <c r="U282" s="526">
        <f t="shared" si="162"/>
        <v>0</v>
      </c>
      <c r="V282" s="526">
        <f t="shared" si="162"/>
        <v>0</v>
      </c>
      <c r="W282" s="526">
        <f t="shared" si="162"/>
        <v>0</v>
      </c>
      <c r="X282" s="526">
        <f t="shared" si="162"/>
        <v>0</v>
      </c>
      <c r="Y282" s="526">
        <f t="shared" si="162"/>
        <v>0</v>
      </c>
      <c r="Z282" s="526">
        <f t="shared" si="162"/>
        <v>0</v>
      </c>
      <c r="AA282" s="526">
        <f t="shared" si="162"/>
        <v>0</v>
      </c>
      <c r="AB282" s="526">
        <f t="shared" si="162"/>
        <v>0</v>
      </c>
      <c r="AC282" s="527">
        <f t="shared" si="162"/>
        <v>0</v>
      </c>
      <c r="CF282" s="65">
        <v>249</v>
      </c>
      <c r="CG282" s="66" t="s">
        <v>994</v>
      </c>
      <c r="CH282" s="88">
        <f>J133</f>
        <v>0</v>
      </c>
      <c r="CI282" s="66" t="s">
        <v>980</v>
      </c>
      <c r="CJ282" s="68" t="s">
        <v>995</v>
      </c>
      <c r="CK282" s="66" t="s">
        <v>99</v>
      </c>
    </row>
    <row r="283" spans="2:89" ht="25.5" customHeight="1" x14ac:dyDescent="0.2">
      <c r="B283" s="531"/>
      <c r="C283" s="531"/>
      <c r="D283" s="544"/>
      <c r="E283" s="545"/>
      <c r="F283" s="526"/>
      <c r="G283" s="526"/>
      <c r="H283" s="526"/>
      <c r="I283" s="526"/>
      <c r="J283" s="526"/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7"/>
      <c r="CF283" s="455" t="s">
        <v>996</v>
      </c>
      <c r="CG283" s="455"/>
      <c r="CH283" s="455"/>
      <c r="CI283" s="455"/>
      <c r="CJ283" s="455"/>
      <c r="CK283" s="455"/>
    </row>
    <row r="284" spans="2:89" ht="21.75" customHeight="1" x14ac:dyDescent="0.2">
      <c r="B284" s="530" t="s">
        <v>997</v>
      </c>
      <c r="C284" s="530"/>
      <c r="D284" s="541" t="b">
        <f>IF(ABS(E284 - C310) &lt; MAX(0.00001, E284 * 0.00001), TRUE(), FALSE())</f>
        <v>1</v>
      </c>
      <c r="E284" s="545">
        <f>-SUM(F284:AC285)</f>
        <v>113726.10039893631</v>
      </c>
      <c r="F284" s="536">
        <f t="shared" ref="F284:AC284" si="163">F278*-$D$310</f>
        <v>0</v>
      </c>
      <c r="G284" s="536">
        <f t="shared" si="163"/>
        <v>0</v>
      </c>
      <c r="H284" s="536">
        <f t="shared" si="163"/>
        <v>-6498.6343085106455</v>
      </c>
      <c r="I284" s="536">
        <f t="shared" si="163"/>
        <v>-9747.9514627659701</v>
      </c>
      <c r="J284" s="536">
        <f t="shared" si="163"/>
        <v>-12997.268617021291</v>
      </c>
      <c r="K284" s="536">
        <f t="shared" si="163"/>
        <v>-12997.268617021291</v>
      </c>
      <c r="L284" s="536">
        <f t="shared" si="163"/>
        <v>-16246.585771276614</v>
      </c>
      <c r="M284" s="536">
        <f t="shared" si="163"/>
        <v>-16246.585771276614</v>
      </c>
      <c r="N284" s="536">
        <f t="shared" si="163"/>
        <v>-16246.585771276614</v>
      </c>
      <c r="O284" s="536">
        <f t="shared" si="163"/>
        <v>-22745.220079787261</v>
      </c>
      <c r="P284" s="536">
        <f t="shared" si="163"/>
        <v>0</v>
      </c>
      <c r="Q284" s="536">
        <f t="shared" si="163"/>
        <v>0</v>
      </c>
      <c r="R284" s="536">
        <f t="shared" si="163"/>
        <v>0</v>
      </c>
      <c r="S284" s="536">
        <f t="shared" si="163"/>
        <v>0</v>
      </c>
      <c r="T284" s="536">
        <f t="shared" si="163"/>
        <v>0</v>
      </c>
      <c r="U284" s="536">
        <f t="shared" si="163"/>
        <v>0</v>
      </c>
      <c r="V284" s="536">
        <f t="shared" si="163"/>
        <v>0</v>
      </c>
      <c r="W284" s="536">
        <f t="shared" si="163"/>
        <v>0</v>
      </c>
      <c r="X284" s="536">
        <f t="shared" si="163"/>
        <v>0</v>
      </c>
      <c r="Y284" s="536">
        <f t="shared" si="163"/>
        <v>0</v>
      </c>
      <c r="Z284" s="536">
        <f t="shared" si="163"/>
        <v>0</v>
      </c>
      <c r="AA284" s="536">
        <f t="shared" si="163"/>
        <v>0</v>
      </c>
      <c r="AB284" s="536">
        <f t="shared" si="163"/>
        <v>0</v>
      </c>
      <c r="AC284" s="537">
        <f t="shared" si="163"/>
        <v>0</v>
      </c>
      <c r="CF284" s="73">
        <v>250</v>
      </c>
      <c r="CG284" s="74" t="s">
        <v>998</v>
      </c>
      <c r="CH284" s="246">
        <f>C134</f>
        <v>0</v>
      </c>
      <c r="CI284" s="74" t="s">
        <v>999</v>
      </c>
      <c r="CJ284" s="76" t="s">
        <v>1000</v>
      </c>
      <c r="CK284" s="74" t="s">
        <v>378</v>
      </c>
    </row>
    <row r="285" spans="2:89" ht="21.75" customHeight="1" x14ac:dyDescent="0.2">
      <c r="B285" s="530"/>
      <c r="C285" s="530"/>
      <c r="D285" s="541"/>
      <c r="E285" s="545"/>
      <c r="F285" s="536"/>
      <c r="G285" s="536"/>
      <c r="H285" s="536"/>
      <c r="I285" s="536"/>
      <c r="J285" s="536"/>
      <c r="K285" s="536"/>
      <c r="L285" s="536"/>
      <c r="M285" s="536"/>
      <c r="N285" s="536"/>
      <c r="O285" s="536"/>
      <c r="P285" s="536"/>
      <c r="Q285" s="536"/>
      <c r="R285" s="536"/>
      <c r="S285" s="536"/>
      <c r="T285" s="536"/>
      <c r="U285" s="536"/>
      <c r="V285" s="536"/>
      <c r="W285" s="536"/>
      <c r="X285" s="536"/>
      <c r="Y285" s="536"/>
      <c r="Z285" s="536"/>
      <c r="AA285" s="536"/>
      <c r="AB285" s="536"/>
      <c r="AC285" s="537"/>
      <c r="CF285" s="65">
        <v>251</v>
      </c>
      <c r="CG285" s="66" t="s">
        <v>1001</v>
      </c>
      <c r="CH285" s="154">
        <f>D134</f>
        <v>1</v>
      </c>
      <c r="CI285" s="66" t="s">
        <v>999</v>
      </c>
      <c r="CJ285" s="68" t="s">
        <v>1002</v>
      </c>
      <c r="CK285" s="66" t="s">
        <v>189</v>
      </c>
    </row>
    <row r="286" spans="2:89" ht="21.75" customHeight="1" x14ac:dyDescent="0.2">
      <c r="B286" s="531" t="s">
        <v>1003</v>
      </c>
      <c r="C286" s="531"/>
      <c r="D286" s="544" t="b">
        <f>IF(ABS(E286 - C311) &lt; MAX(0.00001, E286 * 0.00001), TRUE(), FALSE())</f>
        <v>1</v>
      </c>
      <c r="E286" s="550">
        <f>-SUM(F286:AC287)</f>
        <v>1895435.0066489384</v>
      </c>
      <c r="F286" s="526">
        <f t="shared" ref="F286:AC286" si="164">$D$311*-F278</f>
        <v>0</v>
      </c>
      <c r="G286" s="526">
        <f t="shared" si="164"/>
        <v>0</v>
      </c>
      <c r="H286" s="526">
        <f t="shared" si="164"/>
        <v>-108310.57180851077</v>
      </c>
      <c r="I286" s="526">
        <f t="shared" si="164"/>
        <v>-162465.85771276616</v>
      </c>
      <c r="J286" s="526">
        <f t="shared" si="164"/>
        <v>-216621.14361702153</v>
      </c>
      <c r="K286" s="526">
        <f t="shared" si="164"/>
        <v>-216621.14361702153</v>
      </c>
      <c r="L286" s="526">
        <f t="shared" si="164"/>
        <v>-270776.42952127691</v>
      </c>
      <c r="M286" s="526">
        <f t="shared" si="164"/>
        <v>-270776.42952127691</v>
      </c>
      <c r="N286" s="526">
        <f t="shared" si="164"/>
        <v>-270776.42952127691</v>
      </c>
      <c r="O286" s="526">
        <f t="shared" si="164"/>
        <v>-379087.00132978772</v>
      </c>
      <c r="P286" s="526">
        <f t="shared" si="164"/>
        <v>0</v>
      </c>
      <c r="Q286" s="526">
        <f t="shared" si="164"/>
        <v>0</v>
      </c>
      <c r="R286" s="526">
        <f t="shared" si="164"/>
        <v>0</v>
      </c>
      <c r="S286" s="526">
        <f t="shared" si="164"/>
        <v>0</v>
      </c>
      <c r="T286" s="526">
        <f t="shared" si="164"/>
        <v>0</v>
      </c>
      <c r="U286" s="526">
        <f t="shared" si="164"/>
        <v>0</v>
      </c>
      <c r="V286" s="526">
        <f t="shared" si="164"/>
        <v>0</v>
      </c>
      <c r="W286" s="526">
        <f t="shared" si="164"/>
        <v>0</v>
      </c>
      <c r="X286" s="526">
        <f t="shared" si="164"/>
        <v>0</v>
      </c>
      <c r="Y286" s="526">
        <f t="shared" si="164"/>
        <v>0</v>
      </c>
      <c r="Z286" s="526">
        <f t="shared" si="164"/>
        <v>0</v>
      </c>
      <c r="AA286" s="526">
        <f t="shared" si="164"/>
        <v>0</v>
      </c>
      <c r="AB286" s="526">
        <f t="shared" si="164"/>
        <v>0</v>
      </c>
      <c r="AC286" s="527">
        <f t="shared" si="164"/>
        <v>0</v>
      </c>
      <c r="CF286" s="73">
        <v>252</v>
      </c>
      <c r="CG286" s="74" t="s">
        <v>1004</v>
      </c>
      <c r="CH286" s="221">
        <f>E134</f>
        <v>0</v>
      </c>
      <c r="CI286" s="74" t="s">
        <v>999</v>
      </c>
      <c r="CJ286" s="76" t="s">
        <v>1005</v>
      </c>
      <c r="CK286" s="74" t="s">
        <v>312</v>
      </c>
    </row>
    <row r="287" spans="2:89" ht="21.75" customHeight="1" x14ac:dyDescent="0.2">
      <c r="B287" s="531"/>
      <c r="C287" s="531"/>
      <c r="D287" s="544"/>
      <c r="E287" s="550"/>
      <c r="F287" s="526"/>
      <c r="G287" s="526"/>
      <c r="H287" s="526"/>
      <c r="I287" s="526"/>
      <c r="J287" s="526"/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7"/>
      <c r="CF287" s="65">
        <v>253</v>
      </c>
      <c r="CG287" s="66" t="s">
        <v>537</v>
      </c>
      <c r="CH287" s="141" t="str">
        <f>F134</f>
        <v>0</v>
      </c>
      <c r="CI287" s="66" t="s">
        <v>999</v>
      </c>
      <c r="CJ287" s="68" t="s">
        <v>1006</v>
      </c>
      <c r="CK287" s="66" t="s">
        <v>312</v>
      </c>
    </row>
    <row r="288" spans="2:89" ht="21.75" customHeight="1" x14ac:dyDescent="0.2">
      <c r="B288" s="551" t="s">
        <v>1007</v>
      </c>
      <c r="C288" s="551"/>
      <c r="D288" s="541" t="b">
        <f>IF(ABS(C312 - -E288) &lt; MAX(0.00001, C312 * 0.00001), TRUE(), FALSE())</f>
        <v>1</v>
      </c>
      <c r="E288" s="552">
        <f>SUM(F288:AC289)</f>
        <v>-5686305.0199468154</v>
      </c>
      <c r="F288" s="553">
        <f t="shared" ref="F288:AC288" si="165">-F278*$D$312</f>
        <v>0</v>
      </c>
      <c r="G288" s="553">
        <f t="shared" si="165"/>
        <v>0</v>
      </c>
      <c r="H288" s="553">
        <f t="shared" si="165"/>
        <v>-324931.71542553225</v>
      </c>
      <c r="I288" s="553">
        <f t="shared" si="165"/>
        <v>-487397.57313829847</v>
      </c>
      <c r="J288" s="553">
        <f t="shared" si="165"/>
        <v>-649863.43085106451</v>
      </c>
      <c r="K288" s="553">
        <f t="shared" si="165"/>
        <v>-649863.43085106451</v>
      </c>
      <c r="L288" s="553">
        <f t="shared" si="165"/>
        <v>-812329.28856383066</v>
      </c>
      <c r="M288" s="553">
        <f t="shared" si="165"/>
        <v>-812329.28856383066</v>
      </c>
      <c r="N288" s="553">
        <f t="shared" si="165"/>
        <v>-812329.28856383066</v>
      </c>
      <c r="O288" s="553">
        <f t="shared" si="165"/>
        <v>-1137261.0039893631</v>
      </c>
      <c r="P288" s="553">
        <f t="shared" si="165"/>
        <v>0</v>
      </c>
      <c r="Q288" s="553">
        <f t="shared" si="165"/>
        <v>0</v>
      </c>
      <c r="R288" s="553">
        <f t="shared" si="165"/>
        <v>0</v>
      </c>
      <c r="S288" s="553">
        <f t="shared" si="165"/>
        <v>0</v>
      </c>
      <c r="T288" s="553">
        <f t="shared" si="165"/>
        <v>0</v>
      </c>
      <c r="U288" s="553">
        <f t="shared" si="165"/>
        <v>0</v>
      </c>
      <c r="V288" s="553">
        <f t="shared" si="165"/>
        <v>0</v>
      </c>
      <c r="W288" s="553">
        <f t="shared" si="165"/>
        <v>0</v>
      </c>
      <c r="X288" s="553">
        <f t="shared" si="165"/>
        <v>0</v>
      </c>
      <c r="Y288" s="553">
        <f t="shared" si="165"/>
        <v>0</v>
      </c>
      <c r="Z288" s="553">
        <f t="shared" si="165"/>
        <v>0</v>
      </c>
      <c r="AA288" s="553">
        <f t="shared" si="165"/>
        <v>0</v>
      </c>
      <c r="AB288" s="553">
        <f t="shared" si="165"/>
        <v>0</v>
      </c>
      <c r="AC288" s="554">
        <f t="shared" si="165"/>
        <v>0</v>
      </c>
      <c r="CF288" s="73">
        <v>254</v>
      </c>
      <c r="CG288" s="74" t="s">
        <v>1008</v>
      </c>
      <c r="CH288" s="93">
        <f>H134</f>
        <v>0</v>
      </c>
      <c r="CI288" s="74" t="s">
        <v>999</v>
      </c>
      <c r="CJ288" s="76" t="s">
        <v>1009</v>
      </c>
      <c r="CK288" s="74" t="s">
        <v>315</v>
      </c>
    </row>
    <row r="289" spans="2:89" ht="21.75" customHeight="1" x14ac:dyDescent="0.2">
      <c r="B289" s="551"/>
      <c r="C289" s="551"/>
      <c r="D289" s="541"/>
      <c r="E289" s="552"/>
      <c r="F289" s="553"/>
      <c r="G289" s="553"/>
      <c r="H289" s="553"/>
      <c r="I289" s="553"/>
      <c r="J289" s="553"/>
      <c r="K289" s="553"/>
      <c r="L289" s="553"/>
      <c r="M289" s="553"/>
      <c r="N289" s="553"/>
      <c r="O289" s="553"/>
      <c r="P289" s="553"/>
      <c r="Q289" s="553"/>
      <c r="R289" s="553"/>
      <c r="S289" s="553"/>
      <c r="T289" s="553"/>
      <c r="U289" s="553"/>
      <c r="V289" s="553"/>
      <c r="W289" s="553"/>
      <c r="X289" s="553"/>
      <c r="Y289" s="553"/>
      <c r="Z289" s="553"/>
      <c r="AA289" s="553"/>
      <c r="AB289" s="553"/>
      <c r="AC289" s="554"/>
      <c r="CF289" s="65">
        <v>255</v>
      </c>
      <c r="CG289" s="66" t="s">
        <v>1010</v>
      </c>
      <c r="CH289" s="88">
        <f>I134</f>
        <v>0</v>
      </c>
      <c r="CI289" s="66" t="s">
        <v>999</v>
      </c>
      <c r="CJ289" s="68" t="s">
        <v>1011</v>
      </c>
      <c r="CK289" s="66" t="s">
        <v>99</v>
      </c>
    </row>
    <row r="290" spans="2:89" ht="21.75" customHeight="1" x14ac:dyDescent="0.2">
      <c r="B290" s="535" t="s">
        <v>1012</v>
      </c>
      <c r="C290" s="535"/>
      <c r="D290" s="544" t="b">
        <f>IF(ABS(E290 - (C305-C312)) &lt; MAX(0.00001, E290 * 0.00001), TRUE(), FALSE())</f>
        <v>1</v>
      </c>
      <c r="E290" s="526">
        <f>SUM(F290:AC291)</f>
        <v>29265516.502659611</v>
      </c>
      <c r="F290" s="526">
        <f t="shared" ref="F290:AC290" si="166">F278+SUM(F280:F289)</f>
        <v>0</v>
      </c>
      <c r="G290" s="526">
        <f t="shared" si="166"/>
        <v>0</v>
      </c>
      <c r="H290" s="526">
        <f t="shared" si="166"/>
        <v>1672315.2287234063</v>
      </c>
      <c r="I290" s="526">
        <f t="shared" si="166"/>
        <v>2508472.8430851093</v>
      </c>
      <c r="J290" s="526">
        <f t="shared" si="166"/>
        <v>3344630.4574468127</v>
      </c>
      <c r="K290" s="526">
        <f t="shared" si="166"/>
        <v>3344630.4574468127</v>
      </c>
      <c r="L290" s="526">
        <f t="shared" si="166"/>
        <v>4180788.0718085151</v>
      </c>
      <c r="M290" s="526">
        <f t="shared" si="166"/>
        <v>4180788.0718085151</v>
      </c>
      <c r="N290" s="526">
        <f t="shared" si="166"/>
        <v>4180788.0718085151</v>
      </c>
      <c r="O290" s="526">
        <f t="shared" si="166"/>
        <v>5853103.3005319219</v>
      </c>
      <c r="P290" s="526">
        <f t="shared" si="166"/>
        <v>0</v>
      </c>
      <c r="Q290" s="526">
        <f t="shared" si="166"/>
        <v>0</v>
      </c>
      <c r="R290" s="526">
        <f t="shared" si="166"/>
        <v>0</v>
      </c>
      <c r="S290" s="526">
        <f t="shared" si="166"/>
        <v>0</v>
      </c>
      <c r="T290" s="526">
        <f t="shared" si="166"/>
        <v>0</v>
      </c>
      <c r="U290" s="526">
        <f t="shared" si="166"/>
        <v>0</v>
      </c>
      <c r="V290" s="526">
        <f t="shared" si="166"/>
        <v>0</v>
      </c>
      <c r="W290" s="526">
        <f t="shared" si="166"/>
        <v>0</v>
      </c>
      <c r="X290" s="526">
        <f t="shared" si="166"/>
        <v>0</v>
      </c>
      <c r="Y290" s="526">
        <f t="shared" si="166"/>
        <v>0</v>
      </c>
      <c r="Z290" s="526">
        <f t="shared" si="166"/>
        <v>0</v>
      </c>
      <c r="AA290" s="526">
        <f t="shared" si="166"/>
        <v>0</v>
      </c>
      <c r="AB290" s="526">
        <f t="shared" si="166"/>
        <v>0</v>
      </c>
      <c r="AC290" s="527">
        <f t="shared" si="166"/>
        <v>0</v>
      </c>
      <c r="CF290" s="73">
        <v>256</v>
      </c>
      <c r="CG290" s="74" t="s">
        <v>1013</v>
      </c>
      <c r="CH290" s="93">
        <f>J134</f>
        <v>0</v>
      </c>
      <c r="CI290" s="74" t="s">
        <v>999</v>
      </c>
      <c r="CJ290" s="76" t="s">
        <v>1014</v>
      </c>
      <c r="CK290" s="74" t="s">
        <v>99</v>
      </c>
    </row>
    <row r="291" spans="2:89" ht="25.5" customHeight="1" x14ac:dyDescent="0.2">
      <c r="B291" s="535"/>
      <c r="C291" s="535"/>
      <c r="D291" s="544"/>
      <c r="E291" s="526"/>
      <c r="F291" s="526"/>
      <c r="G291" s="526"/>
      <c r="H291" s="526"/>
      <c r="I291" s="526"/>
      <c r="J291" s="526"/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7"/>
      <c r="CF291" s="455" t="s">
        <v>1015</v>
      </c>
      <c r="CG291" s="455"/>
      <c r="CH291" s="455"/>
      <c r="CI291" s="455"/>
      <c r="CJ291" s="455"/>
      <c r="CK291" s="455"/>
    </row>
    <row r="292" spans="2:89" ht="21.75" customHeight="1" x14ac:dyDescent="0.2">
      <c r="B292" s="530" t="s">
        <v>1016</v>
      </c>
      <c r="C292" s="530"/>
      <c r="D292" s="541" t="b">
        <f>B266=B266</f>
        <v>1</v>
      </c>
      <c r="E292" s="526" t="s">
        <v>62</v>
      </c>
      <c r="F292" s="536">
        <f>F290</f>
        <v>0</v>
      </c>
      <c r="G292" s="536">
        <f t="shared" ref="G292:AC292" si="167">MAX((G290+F292)-F294, 0)</f>
        <v>0</v>
      </c>
      <c r="H292" s="536">
        <f t="shared" si="167"/>
        <v>1672315.2287234063</v>
      </c>
      <c r="I292" s="536">
        <f t="shared" si="167"/>
        <v>3846325.0260638343</v>
      </c>
      <c r="J292" s="536">
        <f t="shared" si="167"/>
        <v>5844741.7243883051</v>
      </c>
      <c r="K292" s="536">
        <f t="shared" si="167"/>
        <v>6559238.4058603812</v>
      </c>
      <c r="L292" s="536">
        <f t="shared" si="167"/>
        <v>7132445.3544456866</v>
      </c>
      <c r="M292" s="536">
        <f t="shared" si="167"/>
        <v>6677143.9458645061</v>
      </c>
      <c r="N292" s="536">
        <f t="shared" si="167"/>
        <v>5850074.0582746426</v>
      </c>
      <c r="O292" s="536">
        <f t="shared" si="167"/>
        <v>6730614.4092731196</v>
      </c>
      <c r="P292" s="536">
        <f t="shared" si="167"/>
        <v>9.3132257461547852E-10</v>
      </c>
      <c r="Q292" s="536">
        <f t="shared" si="167"/>
        <v>1.0339757656912846E-25</v>
      </c>
      <c r="R292" s="536">
        <f t="shared" si="167"/>
        <v>1.1479437019748901E-41</v>
      </c>
      <c r="S292" s="536">
        <f t="shared" si="167"/>
        <v>1.2744735289059618E-57</v>
      </c>
      <c r="T292" s="536">
        <f t="shared" si="167"/>
        <v>1.4149498560666738E-73</v>
      </c>
      <c r="U292" s="536">
        <f t="shared" si="167"/>
        <v>1.5709099088952725E-89</v>
      </c>
      <c r="V292" s="536">
        <f t="shared" si="167"/>
        <v>1.7440603504673385E-105</v>
      </c>
      <c r="W292" s="536">
        <f t="shared" si="167"/>
        <v>1.9362959574246591E-121</v>
      </c>
      <c r="X292" s="536">
        <f t="shared" si="167"/>
        <v>2.1497203544214684E-137</v>
      </c>
      <c r="Y292" s="536">
        <f t="shared" si="167"/>
        <v>2.3866690339840662E-153</v>
      </c>
      <c r="Z292" s="536">
        <f t="shared" si="167"/>
        <v>2.6497349136889905E-169</v>
      </c>
      <c r="AA292" s="536">
        <f t="shared" si="167"/>
        <v>2.9417967103306691E-185</v>
      </c>
      <c r="AB292" s="536">
        <f t="shared" si="167"/>
        <v>3.2660504415756509E-201</v>
      </c>
      <c r="AC292" s="537">
        <f t="shared" si="167"/>
        <v>3.6260443998244473E-217</v>
      </c>
      <c r="CF292" s="65">
        <v>257</v>
      </c>
      <c r="CG292" s="66" t="s">
        <v>1017</v>
      </c>
      <c r="CH292" s="231">
        <f>C135</f>
        <v>7</v>
      </c>
      <c r="CI292" s="66" t="s">
        <v>1018</v>
      </c>
      <c r="CJ292" s="68" t="s">
        <v>1019</v>
      </c>
      <c r="CK292" s="66" t="s">
        <v>378</v>
      </c>
    </row>
    <row r="293" spans="2:89" ht="21.75" customHeight="1" x14ac:dyDescent="0.2">
      <c r="B293" s="530"/>
      <c r="C293" s="530"/>
      <c r="D293" s="541"/>
      <c r="E293" s="541"/>
      <c r="F293" s="536"/>
      <c r="G293" s="536"/>
      <c r="H293" s="536"/>
      <c r="I293" s="536"/>
      <c r="J293" s="536"/>
      <c r="K293" s="536"/>
      <c r="L293" s="536"/>
      <c r="M293" s="536"/>
      <c r="N293" s="536"/>
      <c r="O293" s="536"/>
      <c r="P293" s="536"/>
      <c r="Q293" s="536"/>
      <c r="R293" s="536"/>
      <c r="S293" s="536"/>
      <c r="T293" s="536"/>
      <c r="U293" s="536"/>
      <c r="V293" s="536"/>
      <c r="W293" s="536"/>
      <c r="X293" s="536"/>
      <c r="Y293" s="536"/>
      <c r="Z293" s="536"/>
      <c r="AA293" s="536"/>
      <c r="AB293" s="536"/>
      <c r="AC293" s="537"/>
      <c r="CF293" s="73">
        <v>258</v>
      </c>
      <c r="CG293" s="74" t="s">
        <v>1020</v>
      </c>
      <c r="CH293" s="148">
        <f>D135</f>
        <v>1</v>
      </c>
      <c r="CI293" s="74" t="s">
        <v>1018</v>
      </c>
      <c r="CJ293" s="76" t="s">
        <v>1021</v>
      </c>
      <c r="CK293" s="74" t="s">
        <v>189</v>
      </c>
    </row>
    <row r="294" spans="2:89" ht="21.75" customHeight="1" x14ac:dyDescent="0.2">
      <c r="B294" s="531" t="s">
        <v>1022</v>
      </c>
      <c r="C294" s="531"/>
      <c r="D294" s="544" t="b">
        <f>IF(ABS(E294 - C304) &lt; MAX(0.00001, E294 * 0.00001), TRUE(), FALSE())</f>
        <v>1</v>
      </c>
      <c r="E294" s="526">
        <f>SUM(F294:AC295)</f>
        <v>29265516.502659604</v>
      </c>
      <c r="F294" s="526">
        <f t="shared" ref="F294:AC294" si="168">MAX(((F292*F276)), 0)</f>
        <v>0</v>
      </c>
      <c r="G294" s="526">
        <f t="shared" si="168"/>
        <v>0</v>
      </c>
      <c r="H294" s="526">
        <f t="shared" si="168"/>
        <v>334463.04574468127</v>
      </c>
      <c r="I294" s="526">
        <f t="shared" si="168"/>
        <v>1346213.7591223419</v>
      </c>
      <c r="J294" s="526">
        <f t="shared" si="168"/>
        <v>2630133.775974737</v>
      </c>
      <c r="K294" s="526">
        <f t="shared" si="168"/>
        <v>3607581.1232232093</v>
      </c>
      <c r="L294" s="526">
        <f t="shared" si="168"/>
        <v>4636089.4803896956</v>
      </c>
      <c r="M294" s="526">
        <f t="shared" si="168"/>
        <v>5007857.9593983786</v>
      </c>
      <c r="N294" s="526">
        <f t="shared" si="168"/>
        <v>4972562.9495334458</v>
      </c>
      <c r="O294" s="526">
        <f t="shared" si="168"/>
        <v>6730614.4092731187</v>
      </c>
      <c r="P294" s="526">
        <f t="shared" si="168"/>
        <v>9.3132257461547841E-10</v>
      </c>
      <c r="Q294" s="526">
        <f t="shared" si="168"/>
        <v>1.0339757656912845E-25</v>
      </c>
      <c r="R294" s="526">
        <f t="shared" si="168"/>
        <v>1.14794370197489E-41</v>
      </c>
      <c r="S294" s="526">
        <f t="shared" si="168"/>
        <v>1.2744735289059617E-57</v>
      </c>
      <c r="T294" s="526">
        <f t="shared" si="168"/>
        <v>1.4149498560666737E-73</v>
      </c>
      <c r="U294" s="526">
        <f t="shared" si="168"/>
        <v>1.5709099088952723E-89</v>
      </c>
      <c r="V294" s="526">
        <f t="shared" si="168"/>
        <v>1.7440603504673383E-105</v>
      </c>
      <c r="W294" s="526">
        <f t="shared" si="168"/>
        <v>1.9362959574246589E-121</v>
      </c>
      <c r="X294" s="526">
        <f t="shared" si="168"/>
        <v>2.1497203544214682E-137</v>
      </c>
      <c r="Y294" s="526">
        <f t="shared" si="168"/>
        <v>2.3866690339840659E-153</v>
      </c>
      <c r="Z294" s="526">
        <f t="shared" si="168"/>
        <v>2.6497349136889902E-169</v>
      </c>
      <c r="AA294" s="526">
        <f t="shared" si="168"/>
        <v>2.9417967103306688E-185</v>
      </c>
      <c r="AB294" s="526">
        <f t="shared" si="168"/>
        <v>3.2660504415756506E-201</v>
      </c>
      <c r="AC294" s="527">
        <f t="shared" si="168"/>
        <v>3.6260443998244469E-217</v>
      </c>
      <c r="CF294" s="65">
        <v>259</v>
      </c>
      <c r="CG294" s="66" t="s">
        <v>1023</v>
      </c>
      <c r="CH294" s="141">
        <f>E135</f>
        <v>1165.0212765957438</v>
      </c>
      <c r="CI294" s="66" t="s">
        <v>1018</v>
      </c>
      <c r="CJ294" s="68" t="s">
        <v>1024</v>
      </c>
      <c r="CK294" s="66" t="s">
        <v>312</v>
      </c>
    </row>
    <row r="295" spans="2:89" ht="21.75" customHeight="1" x14ac:dyDescent="0.2">
      <c r="B295" s="531"/>
      <c r="C295" s="531"/>
      <c r="D295" s="544"/>
      <c r="E295" s="526"/>
      <c r="F295" s="526"/>
      <c r="G295" s="526"/>
      <c r="H295" s="526"/>
      <c r="I295" s="526"/>
      <c r="J295" s="526"/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7"/>
      <c r="CF295" s="73">
        <v>260</v>
      </c>
      <c r="CG295" s="74" t="s">
        <v>574</v>
      </c>
      <c r="CH295" s="221">
        <f>F135</f>
        <v>166.43161094224911</v>
      </c>
      <c r="CI295" s="74" t="s">
        <v>1018</v>
      </c>
      <c r="CJ295" s="76" t="s">
        <v>1025</v>
      </c>
      <c r="CK295" s="74" t="s">
        <v>312</v>
      </c>
    </row>
    <row r="296" spans="2:89" ht="21.75" customHeight="1" x14ac:dyDescent="0.2">
      <c r="B296" s="530" t="s">
        <v>1026</v>
      </c>
      <c r="C296" s="530"/>
      <c r="D296" s="541" t="b">
        <f>IF(ABS(E296 - C305) &lt; MAX(0.00001, E296 * 0.00001), TRUE(), FALSE())</f>
        <v>1</v>
      </c>
      <c r="E296" s="526">
        <f>SUM(F296:AC297)</f>
        <v>34951821.522606425</v>
      </c>
      <c r="F296" s="555">
        <f t="shared" ref="F296:AC296" si="169">-F288+F294</f>
        <v>0</v>
      </c>
      <c r="G296" s="555">
        <f t="shared" si="169"/>
        <v>0</v>
      </c>
      <c r="H296" s="555">
        <f t="shared" si="169"/>
        <v>659394.76117021358</v>
      </c>
      <c r="I296" s="555">
        <f t="shared" si="169"/>
        <v>1833611.3322606403</v>
      </c>
      <c r="J296" s="555">
        <f t="shared" si="169"/>
        <v>3279997.2068258016</v>
      </c>
      <c r="K296" s="555">
        <f t="shared" si="169"/>
        <v>4257444.5540742734</v>
      </c>
      <c r="L296" s="555">
        <f t="shared" si="169"/>
        <v>5448418.7689535264</v>
      </c>
      <c r="M296" s="555">
        <f t="shared" si="169"/>
        <v>5820187.2479622094</v>
      </c>
      <c r="N296" s="555">
        <f t="shared" si="169"/>
        <v>5784892.2380972765</v>
      </c>
      <c r="O296" s="555">
        <f t="shared" si="169"/>
        <v>7867875.4132624818</v>
      </c>
      <c r="P296" s="555">
        <f t="shared" si="169"/>
        <v>9.3132257461547841E-10</v>
      </c>
      <c r="Q296" s="555">
        <f t="shared" si="169"/>
        <v>1.0339757656912845E-25</v>
      </c>
      <c r="R296" s="555">
        <f t="shared" si="169"/>
        <v>1.14794370197489E-41</v>
      </c>
      <c r="S296" s="555">
        <f t="shared" si="169"/>
        <v>1.2744735289059617E-57</v>
      </c>
      <c r="T296" s="555">
        <f t="shared" si="169"/>
        <v>1.4149498560666737E-73</v>
      </c>
      <c r="U296" s="555">
        <f t="shared" si="169"/>
        <v>1.5709099088952723E-89</v>
      </c>
      <c r="V296" s="555">
        <f t="shared" si="169"/>
        <v>1.7440603504673383E-105</v>
      </c>
      <c r="W296" s="555">
        <f t="shared" si="169"/>
        <v>1.9362959574246589E-121</v>
      </c>
      <c r="X296" s="555">
        <f t="shared" si="169"/>
        <v>2.1497203544214682E-137</v>
      </c>
      <c r="Y296" s="555">
        <f t="shared" si="169"/>
        <v>2.3866690339840659E-153</v>
      </c>
      <c r="Z296" s="555">
        <f t="shared" si="169"/>
        <v>2.6497349136889902E-169</v>
      </c>
      <c r="AA296" s="555">
        <f t="shared" si="169"/>
        <v>2.9417967103306688E-185</v>
      </c>
      <c r="AB296" s="555">
        <f t="shared" si="169"/>
        <v>3.2660504415756506E-201</v>
      </c>
      <c r="AC296" s="558">
        <f t="shared" si="169"/>
        <v>3.6260443998244469E-217</v>
      </c>
      <c r="CF296" s="65">
        <v>261</v>
      </c>
      <c r="CG296" s="66" t="s">
        <v>1027</v>
      </c>
      <c r="CH296" s="88">
        <f>H135</f>
        <v>0</v>
      </c>
      <c r="CI296" s="66" t="s">
        <v>1018</v>
      </c>
      <c r="CJ296" s="68" t="s">
        <v>1028</v>
      </c>
      <c r="CK296" s="66" t="s">
        <v>315</v>
      </c>
    </row>
    <row r="297" spans="2:89" ht="21.75" customHeight="1" x14ac:dyDescent="0.2">
      <c r="B297" s="530"/>
      <c r="C297" s="530"/>
      <c r="D297" s="541"/>
      <c r="E297" s="526"/>
      <c r="F297" s="555"/>
      <c r="G297" s="555"/>
      <c r="H297" s="555"/>
      <c r="I297" s="555"/>
      <c r="J297" s="555"/>
      <c r="K297" s="555"/>
      <c r="L297" s="555"/>
      <c r="M297" s="555"/>
      <c r="N297" s="555"/>
      <c r="O297" s="555"/>
      <c r="P297" s="555"/>
      <c r="Q297" s="555"/>
      <c r="R297" s="555"/>
      <c r="S297" s="555"/>
      <c r="T297" s="555"/>
      <c r="U297" s="555"/>
      <c r="V297" s="555"/>
      <c r="W297" s="555"/>
      <c r="X297" s="555"/>
      <c r="Y297" s="555"/>
      <c r="Z297" s="555"/>
      <c r="AA297" s="555"/>
      <c r="AB297" s="555"/>
      <c r="AC297" s="558"/>
      <c r="CF297" s="73">
        <v>262</v>
      </c>
      <c r="CG297" s="74" t="s">
        <v>1029</v>
      </c>
      <c r="CH297" s="93">
        <f>I135</f>
        <v>0</v>
      </c>
      <c r="CI297" s="74" t="s">
        <v>1018</v>
      </c>
      <c r="CJ297" s="76" t="s">
        <v>1030</v>
      </c>
      <c r="CK297" s="74" t="s">
        <v>99</v>
      </c>
    </row>
    <row r="298" spans="2:89" ht="21.75" customHeight="1" x14ac:dyDescent="0.2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CF298" s="65">
        <v>263</v>
      </c>
      <c r="CG298" s="66" t="s">
        <v>1031</v>
      </c>
      <c r="CH298" s="88">
        <f>J135</f>
        <v>0</v>
      </c>
      <c r="CI298" s="66" t="s">
        <v>1018</v>
      </c>
      <c r="CJ298" s="68" t="s">
        <v>1032</v>
      </c>
      <c r="CK298" s="66" t="s">
        <v>99</v>
      </c>
    </row>
    <row r="299" spans="2:89" ht="25.5" customHeight="1" x14ac:dyDescent="0.2"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CF299" s="455" t="s">
        <v>1033</v>
      </c>
      <c r="CG299" s="455"/>
      <c r="CH299" s="455"/>
      <c r="CI299" s="455"/>
      <c r="CJ299" s="455"/>
      <c r="CK299" s="455"/>
    </row>
    <row r="300" spans="2:89" ht="21.75" customHeight="1" x14ac:dyDescent="0.2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CF300" s="73">
        <v>264</v>
      </c>
      <c r="CG300" s="74" t="s">
        <v>1034</v>
      </c>
      <c r="CH300" s="246">
        <f>C136</f>
        <v>0</v>
      </c>
      <c r="CI300" s="74" t="s">
        <v>1035</v>
      </c>
      <c r="CJ300" s="76" t="s">
        <v>1036</v>
      </c>
      <c r="CK300" s="74" t="s">
        <v>378</v>
      </c>
    </row>
    <row r="301" spans="2:89" ht="21.75" customHeight="1" x14ac:dyDescent="0.2">
      <c r="E301" s="15"/>
      <c r="F301" s="15"/>
      <c r="G301" s="15"/>
      <c r="H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CF301" s="65">
        <v>265</v>
      </c>
      <c r="CG301" s="66" t="s">
        <v>1037</v>
      </c>
      <c r="CH301" s="154">
        <f>D136</f>
        <v>1</v>
      </c>
      <c r="CI301" s="66" t="s">
        <v>1035</v>
      </c>
      <c r="CJ301" s="68" t="s">
        <v>1038</v>
      </c>
      <c r="CK301" s="66" t="s">
        <v>189</v>
      </c>
    </row>
    <row r="302" spans="2:89" ht="21.75" customHeight="1" x14ac:dyDescent="0.2">
      <c r="B302" s="556" t="s">
        <v>1039</v>
      </c>
      <c r="C302" s="556"/>
      <c r="D302" s="15"/>
      <c r="CF302" s="73">
        <v>266</v>
      </c>
      <c r="CG302" s="74" t="s">
        <v>1040</v>
      </c>
      <c r="CH302" s="221">
        <f>E136</f>
        <v>0</v>
      </c>
      <c r="CI302" s="74" t="s">
        <v>1035</v>
      </c>
      <c r="CJ302" s="76" t="s">
        <v>1041</v>
      </c>
      <c r="CK302" s="74" t="s">
        <v>312</v>
      </c>
    </row>
    <row r="303" spans="2:89" ht="21.75" customHeight="1" x14ac:dyDescent="0.2">
      <c r="B303" s="115" t="s">
        <v>1042</v>
      </c>
      <c r="C303" s="116">
        <f>C306*C307</f>
        <v>37908700.132978767</v>
      </c>
      <c r="CF303" s="65">
        <v>267</v>
      </c>
      <c r="CG303" s="66" t="s">
        <v>597</v>
      </c>
      <c r="CH303" s="141" t="str">
        <f>F136</f>
        <v>0</v>
      </c>
      <c r="CI303" s="66" t="s">
        <v>1035</v>
      </c>
      <c r="CJ303" s="68" t="s">
        <v>1043</v>
      </c>
      <c r="CK303" s="66" t="s">
        <v>312</v>
      </c>
    </row>
    <row r="304" spans="2:89" ht="21.75" customHeight="1" x14ac:dyDescent="0.2">
      <c r="B304" s="127" t="s">
        <v>1044</v>
      </c>
      <c r="C304" s="187">
        <f>C303-C308-C309-C310-C311-C312</f>
        <v>29265516.502659611</v>
      </c>
      <c r="CF304" s="73">
        <v>268</v>
      </c>
      <c r="CG304" s="74" t="s">
        <v>1045</v>
      </c>
      <c r="CH304" s="93">
        <f>H136</f>
        <v>0</v>
      </c>
      <c r="CI304" s="74" t="s">
        <v>1035</v>
      </c>
      <c r="CJ304" s="76" t="s">
        <v>1046</v>
      </c>
      <c r="CK304" s="74" t="s">
        <v>315</v>
      </c>
    </row>
    <row r="305" spans="1:89" ht="21.75" customHeight="1" x14ac:dyDescent="0.2">
      <c r="B305" s="115" t="s">
        <v>1026</v>
      </c>
      <c r="C305" s="116">
        <f>C303-(SUM(C308:C311))</f>
        <v>34951821.522606425</v>
      </c>
      <c r="G305" s="114"/>
      <c r="CF305" s="65">
        <v>269</v>
      </c>
      <c r="CG305" s="66" t="s">
        <v>1047</v>
      </c>
      <c r="CH305" s="88">
        <f>I136</f>
        <v>0</v>
      </c>
      <c r="CI305" s="66" t="s">
        <v>1035</v>
      </c>
      <c r="CJ305" s="68" t="s">
        <v>1048</v>
      </c>
      <c r="CK305" s="66" t="s">
        <v>99</v>
      </c>
    </row>
    <row r="306" spans="1:89" ht="21.75" customHeight="1" x14ac:dyDescent="0.2">
      <c r="B306" s="127" t="s">
        <v>1049</v>
      </c>
      <c r="C306" s="187">
        <f>R139</f>
        <v>35</v>
      </c>
      <c r="CF306" s="73">
        <v>270</v>
      </c>
      <c r="CG306" s="74" t="s">
        <v>1050</v>
      </c>
      <c r="CH306" s="93">
        <f>J136</f>
        <v>0</v>
      </c>
      <c r="CI306" s="74" t="s">
        <v>1035</v>
      </c>
      <c r="CJ306" s="76" t="s">
        <v>1051</v>
      </c>
      <c r="CK306" s="74" t="s">
        <v>99</v>
      </c>
    </row>
    <row r="307" spans="1:89" ht="25.5" customHeight="1" x14ac:dyDescent="0.2">
      <c r="B307" s="115" t="s">
        <v>1052</v>
      </c>
      <c r="C307" s="116">
        <f>Y139/R139</f>
        <v>1083105.7180851076</v>
      </c>
      <c r="D307" s="114"/>
      <c r="CF307" s="455" t="s">
        <v>1053</v>
      </c>
      <c r="CG307" s="455"/>
      <c r="CH307" s="455"/>
      <c r="CI307" s="455"/>
      <c r="CJ307" s="455"/>
      <c r="CK307" s="455"/>
    </row>
    <row r="308" spans="1:89" ht="21.75" customHeight="1" x14ac:dyDescent="0.2">
      <c r="B308" s="127" t="s">
        <v>1054</v>
      </c>
      <c r="C308" s="128">
        <f>C303*D308</f>
        <v>568630.50199468143</v>
      </c>
      <c r="D308" s="438">
        <v>1.4999999999999999E-2</v>
      </c>
      <c r="N308" s="114"/>
      <c r="CF308" s="65">
        <v>271</v>
      </c>
      <c r="CG308" s="66" t="s">
        <v>1055</v>
      </c>
      <c r="CH308" s="231">
        <f>C137</f>
        <v>0</v>
      </c>
      <c r="CI308" s="66" t="s">
        <v>1056</v>
      </c>
      <c r="CJ308" s="68" t="s">
        <v>1057</v>
      </c>
      <c r="CK308" s="66" t="s">
        <v>378</v>
      </c>
    </row>
    <row r="309" spans="1:89" ht="21.75" customHeight="1" x14ac:dyDescent="0.2">
      <c r="B309" s="115" t="s">
        <v>1058</v>
      </c>
      <c r="C309" s="132">
        <f>D309*C303</f>
        <v>379087.00132978766</v>
      </c>
      <c r="D309" s="439">
        <v>0.01</v>
      </c>
      <c r="N309" s="114"/>
      <c r="CF309" s="73">
        <v>272</v>
      </c>
      <c r="CG309" s="74" t="s">
        <v>1059</v>
      </c>
      <c r="CH309" s="148">
        <f>D137</f>
        <v>1</v>
      </c>
      <c r="CI309" s="74" t="s">
        <v>1056</v>
      </c>
      <c r="CJ309" s="76" t="s">
        <v>1060</v>
      </c>
      <c r="CK309" s="74" t="s">
        <v>189</v>
      </c>
    </row>
    <row r="310" spans="1:89" ht="21.75" customHeight="1" x14ac:dyDescent="0.2">
      <c r="B310" s="127" t="s">
        <v>997</v>
      </c>
      <c r="C310" s="128">
        <f>D310*C303</f>
        <v>113726.10039893631</v>
      </c>
      <c r="D310" s="440">
        <v>3.0000000000000001E-3</v>
      </c>
      <c r="CF310" s="65">
        <v>273</v>
      </c>
      <c r="CG310" s="66" t="s">
        <v>1061</v>
      </c>
      <c r="CH310" s="141">
        <f>E137</f>
        <v>0</v>
      </c>
      <c r="CI310" s="66" t="s">
        <v>1056</v>
      </c>
      <c r="CJ310" s="68" t="s">
        <v>1062</v>
      </c>
      <c r="CK310" s="66" t="s">
        <v>312</v>
      </c>
    </row>
    <row r="311" spans="1:89" ht="21.75" customHeight="1" x14ac:dyDescent="0.2">
      <c r="A311" s="15"/>
      <c r="B311" s="115" t="s">
        <v>1063</v>
      </c>
      <c r="C311" s="132">
        <f>C303*D311</f>
        <v>1895435.0066489384</v>
      </c>
      <c r="D311" s="439">
        <v>0.05</v>
      </c>
      <c r="CF311" s="73">
        <v>274</v>
      </c>
      <c r="CG311" s="74" t="s">
        <v>643</v>
      </c>
      <c r="CH311" s="221" t="str">
        <f>F137</f>
        <v>0</v>
      </c>
      <c r="CI311" s="74" t="s">
        <v>1056</v>
      </c>
      <c r="CJ311" s="76" t="s">
        <v>1064</v>
      </c>
      <c r="CK311" s="74" t="s">
        <v>312</v>
      </c>
    </row>
    <row r="312" spans="1:89" ht="21.75" customHeight="1" x14ac:dyDescent="0.2">
      <c r="A312" s="15"/>
      <c r="B312" s="127" t="s">
        <v>1065</v>
      </c>
      <c r="C312" s="89">
        <f>D312*C303</f>
        <v>5686305.0199468145</v>
      </c>
      <c r="D312" s="441">
        <v>0.15</v>
      </c>
      <c r="CF312" s="65">
        <v>275</v>
      </c>
      <c r="CG312" s="66" t="s">
        <v>1066</v>
      </c>
      <c r="CH312" s="88">
        <f>H137</f>
        <v>0</v>
      </c>
      <c r="CI312" s="66" t="s">
        <v>1056</v>
      </c>
      <c r="CJ312" s="68" t="s">
        <v>1067</v>
      </c>
      <c r="CK312" s="66" t="s">
        <v>315</v>
      </c>
    </row>
    <row r="313" spans="1:89" ht="21.75" customHeight="1" x14ac:dyDescent="0.2">
      <c r="A313" s="15"/>
      <c r="B313" s="442" t="s">
        <v>1068</v>
      </c>
      <c r="C313" s="443">
        <f>C303-(SUM(C308:C310))</f>
        <v>36847256.52925536</v>
      </c>
      <c r="D313" s="444" t="b">
        <f>C313=E278-SUM(E280:E285)</f>
        <v>1</v>
      </c>
      <c r="CF313" s="73">
        <v>276</v>
      </c>
      <c r="CG313" s="74" t="s">
        <v>1069</v>
      </c>
      <c r="CH313" s="93">
        <f>I137</f>
        <v>0</v>
      </c>
      <c r="CI313" s="74" t="s">
        <v>1056</v>
      </c>
      <c r="CJ313" s="76" t="s">
        <v>1070</v>
      </c>
      <c r="CK313" s="74" t="s">
        <v>99</v>
      </c>
    </row>
    <row r="314" spans="1:89" ht="21.75" customHeight="1" x14ac:dyDescent="0.2">
      <c r="A314" s="15"/>
      <c r="CF314" s="65">
        <v>277</v>
      </c>
      <c r="CG314" s="66" t="s">
        <v>1071</v>
      </c>
      <c r="CH314" s="88">
        <f>J137</f>
        <v>0</v>
      </c>
      <c r="CI314" s="66" t="s">
        <v>1056</v>
      </c>
      <c r="CJ314" s="68" t="s">
        <v>1072</v>
      </c>
      <c r="CK314" s="66" t="s">
        <v>99</v>
      </c>
    </row>
    <row r="315" spans="1:89" ht="25.5" customHeight="1" x14ac:dyDescent="0.2">
      <c r="A315" s="15"/>
      <c r="CF315" s="455" t="s">
        <v>1073</v>
      </c>
      <c r="CG315" s="455"/>
      <c r="CH315" s="455"/>
      <c r="CI315" s="455"/>
      <c r="CJ315" s="455"/>
      <c r="CK315" s="455"/>
    </row>
    <row r="316" spans="1:89" ht="21.75" customHeight="1" x14ac:dyDescent="0.2">
      <c r="A316" s="15"/>
      <c r="CF316" s="73">
        <v>278</v>
      </c>
      <c r="CG316" s="74" t="s">
        <v>1074</v>
      </c>
      <c r="CH316" s="246">
        <f>C138</f>
        <v>0</v>
      </c>
      <c r="CI316" s="74" t="s">
        <v>1075</v>
      </c>
      <c r="CJ316" s="76" t="s">
        <v>1076</v>
      </c>
      <c r="CK316" s="74" t="s">
        <v>378</v>
      </c>
    </row>
    <row r="317" spans="1:89" ht="21.75" customHeight="1" x14ac:dyDescent="0.2">
      <c r="A317" s="15"/>
      <c r="CF317" s="65">
        <v>279</v>
      </c>
      <c r="CG317" s="66" t="s">
        <v>1077</v>
      </c>
      <c r="CH317" s="154">
        <f>D138</f>
        <v>1</v>
      </c>
      <c r="CI317" s="66" t="s">
        <v>1075</v>
      </c>
      <c r="CJ317" s="68" t="s">
        <v>1078</v>
      </c>
      <c r="CK317" s="66" t="s">
        <v>189</v>
      </c>
    </row>
    <row r="318" spans="1:89" ht="21.75" customHeight="1" x14ac:dyDescent="0.2">
      <c r="A318" s="15"/>
      <c r="CF318" s="73">
        <v>280</v>
      </c>
      <c r="CG318" s="74" t="s">
        <v>1079</v>
      </c>
      <c r="CH318" s="221">
        <f>E138</f>
        <v>0</v>
      </c>
      <c r="CI318" s="74" t="s">
        <v>1075</v>
      </c>
      <c r="CJ318" s="76" t="s">
        <v>1080</v>
      </c>
      <c r="CK318" s="74" t="s">
        <v>312</v>
      </c>
    </row>
    <row r="319" spans="1:89" ht="21.75" customHeight="1" x14ac:dyDescent="0.2">
      <c r="A319" s="15"/>
      <c r="CF319" s="65">
        <v>281</v>
      </c>
      <c r="CG319" s="66" t="s">
        <v>699</v>
      </c>
      <c r="CH319" s="141" t="str">
        <f>F138</f>
        <v>0</v>
      </c>
      <c r="CI319" s="66" t="s">
        <v>1075</v>
      </c>
      <c r="CJ319" s="68" t="s">
        <v>1081</v>
      </c>
      <c r="CK319" s="66" t="s">
        <v>312</v>
      </c>
    </row>
    <row r="320" spans="1:89" ht="21.75" customHeight="1" x14ac:dyDescent="0.2">
      <c r="A320" s="15"/>
      <c r="B320" s="476" t="s">
        <v>1082</v>
      </c>
      <c r="C320" s="476"/>
      <c r="D320" s="476"/>
      <c r="E320" s="476"/>
      <c r="F320" s="476"/>
      <c r="G320" s="476"/>
      <c r="H320" s="476"/>
      <c r="I320" s="476"/>
      <c r="J320" s="476"/>
      <c r="K320" s="476"/>
      <c r="L320" s="476"/>
      <c r="M320" s="476"/>
      <c r="N320" s="476"/>
      <c r="O320" s="476"/>
      <c r="P320" s="476"/>
      <c r="Q320" s="476"/>
      <c r="R320" s="476"/>
      <c r="S320" s="476"/>
      <c r="T320" s="476"/>
      <c r="U320" s="476"/>
      <c r="V320" s="476"/>
      <c r="W320" s="476"/>
      <c r="X320" s="476"/>
      <c r="Y320" s="476"/>
      <c r="Z320" s="476"/>
      <c r="AA320" s="476"/>
      <c r="AB320" s="476"/>
      <c r="AC320" s="476"/>
      <c r="CF320" s="73">
        <v>282</v>
      </c>
      <c r="CG320" s="74" t="s">
        <v>1083</v>
      </c>
      <c r="CH320" s="93">
        <f>H138</f>
        <v>0</v>
      </c>
      <c r="CI320" s="74" t="s">
        <v>1075</v>
      </c>
      <c r="CJ320" s="76" t="s">
        <v>1084</v>
      </c>
      <c r="CK320" s="74" t="s">
        <v>315</v>
      </c>
    </row>
    <row r="321" spans="1:89" ht="21.75" customHeight="1" x14ac:dyDescent="0.2">
      <c r="A321" s="15"/>
      <c r="B321" s="224" t="s">
        <v>1085</v>
      </c>
      <c r="C321" s="387">
        <v>0.01</v>
      </c>
      <c r="D321" s="351" t="s">
        <v>1086</v>
      </c>
      <c r="E321" s="367">
        <f>SUM(F321:AC321)</f>
        <v>831000</v>
      </c>
      <c r="F321" s="368">
        <f>C321*H26</f>
        <v>831000</v>
      </c>
      <c r="G321" s="368"/>
      <c r="H321" s="368"/>
      <c r="I321" s="368"/>
      <c r="J321" s="368"/>
      <c r="K321" s="368"/>
      <c r="L321" s="368"/>
      <c r="M321" s="368"/>
      <c r="N321" s="368"/>
      <c r="O321" s="368"/>
      <c r="P321" s="368"/>
      <c r="Q321" s="368"/>
      <c r="R321" s="368"/>
      <c r="S321" s="368"/>
      <c r="T321" s="368"/>
      <c r="U321" s="368"/>
      <c r="V321" s="368"/>
      <c r="W321" s="368"/>
      <c r="X321" s="368"/>
      <c r="Y321" s="368"/>
      <c r="Z321" s="368"/>
      <c r="AA321" s="368"/>
      <c r="AB321" s="368"/>
      <c r="AC321" s="369"/>
      <c r="CF321" s="65">
        <v>283</v>
      </c>
      <c r="CG321" s="66" t="s">
        <v>1087</v>
      </c>
      <c r="CH321" s="88">
        <f>I138</f>
        <v>0</v>
      </c>
      <c r="CI321" s="66" t="s">
        <v>1075</v>
      </c>
      <c r="CJ321" s="68" t="s">
        <v>1088</v>
      </c>
      <c r="CK321" s="66" t="s">
        <v>99</v>
      </c>
    </row>
    <row r="322" spans="1:89" ht="21.75" customHeight="1" x14ac:dyDescent="0.2">
      <c r="A322" s="15"/>
      <c r="B322" s="224" t="s">
        <v>1089</v>
      </c>
      <c r="C322" s="387">
        <v>0.01</v>
      </c>
      <c r="D322" s="351" t="s">
        <v>1086</v>
      </c>
      <c r="E322" s="367">
        <f>SUM(F322:AC322)</f>
        <v>727354.5823138298</v>
      </c>
      <c r="F322" s="371">
        <f>C322*H24</f>
        <v>727354.5823138298</v>
      </c>
      <c r="G322" s="371"/>
      <c r="H322" s="371"/>
      <c r="I322" s="371"/>
      <c r="J322" s="371"/>
      <c r="K322" s="371"/>
      <c r="L322" s="371"/>
      <c r="M322" s="371"/>
      <c r="N322" s="371"/>
      <c r="O322" s="371"/>
      <c r="P322" s="371"/>
      <c r="Q322" s="371"/>
      <c r="R322" s="371"/>
      <c r="S322" s="371"/>
      <c r="T322" s="371"/>
      <c r="U322" s="371"/>
      <c r="V322" s="371"/>
      <c r="W322" s="371"/>
      <c r="X322" s="371"/>
      <c r="Y322" s="371"/>
      <c r="Z322" s="371"/>
      <c r="AA322" s="371"/>
      <c r="AB322" s="371"/>
      <c r="AC322" s="372"/>
      <c r="CF322" s="73">
        <v>284</v>
      </c>
      <c r="CG322" s="74" t="s">
        <v>1090</v>
      </c>
      <c r="CH322" s="93">
        <f>J138</f>
        <v>0</v>
      </c>
      <c r="CI322" s="74" t="s">
        <v>1075</v>
      </c>
      <c r="CJ322" s="76" t="s">
        <v>1091</v>
      </c>
      <c r="CK322" s="74" t="s">
        <v>99</v>
      </c>
    </row>
    <row r="323" spans="1:89" ht="25.5" customHeight="1" x14ac:dyDescent="0.2">
      <c r="A323" s="15"/>
      <c r="B323" s="224" t="s">
        <v>1092</v>
      </c>
      <c r="C323" s="387">
        <v>1.2500000000000001E-2</v>
      </c>
      <c r="D323" s="351" t="s">
        <v>1093</v>
      </c>
      <c r="E323" s="367">
        <f>SUM(F323:AC323)</f>
        <v>3033135.5048495675</v>
      </c>
      <c r="F323" s="368"/>
      <c r="G323" s="368">
        <f>SUM($F$180:G183)*$C$323/2</f>
        <v>391175</v>
      </c>
      <c r="H323" s="368"/>
      <c r="I323" s="368">
        <f>SUM($F$180:I183)*$C$323/2</f>
        <v>413372.56488115032</v>
      </c>
      <c r="J323" s="368"/>
      <c r="K323" s="368">
        <f>SUM($F$180:K183)*$C$323/2</f>
        <v>426056.88767037896</v>
      </c>
      <c r="L323" s="368"/>
      <c r="M323" s="368">
        <f>SUM($F$180:M183)*$C$323/2</f>
        <v>438741.21045960765</v>
      </c>
      <c r="N323" s="368"/>
      <c r="O323" s="368">
        <f>SUM($F$180:O183)*$C$323/2</f>
        <v>454596.61394614354</v>
      </c>
      <c r="P323" s="368"/>
      <c r="Q323" s="368">
        <f>SUM($F$180:Q183)*$C$323/2</f>
        <v>454596.61394614354</v>
      </c>
      <c r="R323" s="368"/>
      <c r="S323" s="368">
        <f>SUM($F$180:S183)*$C$323/2</f>
        <v>454596.61394614354</v>
      </c>
      <c r="T323" s="368">
        <v>0</v>
      </c>
      <c r="U323" s="368"/>
      <c r="V323" s="368">
        <v>0</v>
      </c>
      <c r="W323" s="368"/>
      <c r="X323" s="368"/>
      <c r="Y323" s="368"/>
      <c r="Z323" s="368"/>
      <c r="AA323" s="368"/>
      <c r="AB323" s="368"/>
      <c r="AC323" s="369"/>
      <c r="CF323" s="455" t="s">
        <v>1094</v>
      </c>
      <c r="CG323" s="455"/>
      <c r="CH323" s="455"/>
      <c r="CI323" s="455"/>
      <c r="CJ323" s="455"/>
      <c r="CK323" s="455"/>
    </row>
    <row r="324" spans="1:89" ht="21.75" customHeight="1" x14ac:dyDescent="0.2">
      <c r="A324" s="15"/>
      <c r="B324" s="224" t="s">
        <v>1095</v>
      </c>
      <c r="C324" s="387">
        <v>7.4999999999999997E-3</v>
      </c>
      <c r="D324" s="390" t="s">
        <v>1093</v>
      </c>
      <c r="E324" s="389">
        <f>SUM(F324:AC324)</f>
        <v>481453.53749999998</v>
      </c>
      <c r="F324" s="391">
        <f>C324*(C18)</f>
        <v>481453.53749999998</v>
      </c>
      <c r="G324" s="391"/>
      <c r="H324" s="391"/>
      <c r="I324" s="391"/>
      <c r="J324" s="391"/>
      <c r="K324" s="391"/>
      <c r="L324" s="391"/>
      <c r="M324" s="391"/>
      <c r="N324" s="391"/>
      <c r="O324" s="391"/>
      <c r="P324" s="391"/>
      <c r="Q324" s="391"/>
      <c r="R324" s="391"/>
      <c r="S324" s="391"/>
      <c r="T324" s="391"/>
      <c r="U324" s="391"/>
      <c r="V324" s="391"/>
      <c r="W324" s="391"/>
      <c r="X324" s="391"/>
      <c r="Y324" s="391"/>
      <c r="Z324" s="391"/>
      <c r="AA324" s="391"/>
      <c r="AB324" s="391"/>
      <c r="AC324" s="392"/>
      <c r="CF324" s="65">
        <v>285</v>
      </c>
      <c r="CG324" s="66" t="s">
        <v>1096</v>
      </c>
      <c r="CH324" s="231">
        <f>C139</f>
        <v>163</v>
      </c>
      <c r="CI324" s="66" t="s">
        <v>1097</v>
      </c>
      <c r="CJ324" s="68" t="s">
        <v>1098</v>
      </c>
      <c r="CK324" s="66" t="s">
        <v>378</v>
      </c>
    </row>
    <row r="325" spans="1:89" ht="21.75" customHeight="1" x14ac:dyDescent="0.2">
      <c r="A325" s="15"/>
      <c r="B325" s="557" t="s">
        <v>586</v>
      </c>
      <c r="C325" s="557"/>
      <c r="D325" s="557"/>
      <c r="E325" s="396">
        <f>SUM(F325:AC325)</f>
        <v>-5072943.6246633977</v>
      </c>
      <c r="F325" s="397">
        <f t="shared" ref="F325:AC325" si="170">-SUM(F321:F324)</f>
        <v>-2039808.1198138297</v>
      </c>
      <c r="G325" s="397">
        <f t="shared" si="170"/>
        <v>-391175</v>
      </c>
      <c r="H325" s="397">
        <f t="shared" si="170"/>
        <v>0</v>
      </c>
      <c r="I325" s="397">
        <f t="shared" si="170"/>
        <v>-413372.56488115032</v>
      </c>
      <c r="J325" s="397">
        <f t="shared" si="170"/>
        <v>0</v>
      </c>
      <c r="K325" s="397">
        <f t="shared" si="170"/>
        <v>-426056.88767037896</v>
      </c>
      <c r="L325" s="397">
        <f t="shared" si="170"/>
        <v>0</v>
      </c>
      <c r="M325" s="397">
        <f t="shared" si="170"/>
        <v>-438741.21045960765</v>
      </c>
      <c r="N325" s="397">
        <f t="shared" si="170"/>
        <v>0</v>
      </c>
      <c r="O325" s="397">
        <f t="shared" si="170"/>
        <v>-454596.61394614354</v>
      </c>
      <c r="P325" s="397">
        <f t="shared" si="170"/>
        <v>0</v>
      </c>
      <c r="Q325" s="397">
        <f t="shared" si="170"/>
        <v>-454596.61394614354</v>
      </c>
      <c r="R325" s="397">
        <f t="shared" si="170"/>
        <v>0</v>
      </c>
      <c r="S325" s="397">
        <f t="shared" si="170"/>
        <v>-454596.61394614354</v>
      </c>
      <c r="T325" s="397">
        <f t="shared" si="170"/>
        <v>0</v>
      </c>
      <c r="U325" s="397">
        <f t="shared" si="170"/>
        <v>0</v>
      </c>
      <c r="V325" s="397">
        <f t="shared" si="170"/>
        <v>0</v>
      </c>
      <c r="W325" s="397">
        <f t="shared" si="170"/>
        <v>0</v>
      </c>
      <c r="X325" s="397">
        <f t="shared" si="170"/>
        <v>0</v>
      </c>
      <c r="Y325" s="397">
        <f t="shared" si="170"/>
        <v>0</v>
      </c>
      <c r="Z325" s="397">
        <f t="shared" si="170"/>
        <v>0</v>
      </c>
      <c r="AA325" s="397">
        <f t="shared" si="170"/>
        <v>0</v>
      </c>
      <c r="AB325" s="397">
        <f t="shared" si="170"/>
        <v>0</v>
      </c>
      <c r="AC325" s="398">
        <f t="shared" si="170"/>
        <v>0</v>
      </c>
      <c r="CF325" s="73">
        <v>286</v>
      </c>
      <c r="CG325" s="74" t="s">
        <v>1099</v>
      </c>
      <c r="CH325" s="221">
        <f>E139</f>
        <v>11339.171080018496</v>
      </c>
      <c r="CI325" s="74" t="s">
        <v>1097</v>
      </c>
      <c r="CJ325" s="76" t="s">
        <v>1100</v>
      </c>
      <c r="CK325" s="74" t="s">
        <v>312</v>
      </c>
    </row>
    <row r="326" spans="1:89" ht="21.75" customHeight="1" x14ac:dyDescent="0.2">
      <c r="A326" s="15"/>
      <c r="G326" s="114"/>
      <c r="CF326" s="65">
        <v>287</v>
      </c>
      <c r="CG326" s="66" t="s">
        <v>1101</v>
      </c>
      <c r="CH326" s="88">
        <f>H139</f>
        <v>7338.3471766594657</v>
      </c>
      <c r="CI326" s="66" t="s">
        <v>1097</v>
      </c>
      <c r="CJ326" s="68" t="s">
        <v>1102</v>
      </c>
      <c r="CK326" s="66" t="s">
        <v>315</v>
      </c>
    </row>
    <row r="327" spans="1:89" ht="21.75" customHeight="1" x14ac:dyDescent="0.2">
      <c r="A327" s="15"/>
      <c r="CF327" s="73">
        <v>288</v>
      </c>
      <c r="CG327" s="74" t="s">
        <v>1103</v>
      </c>
      <c r="CH327" s="93">
        <f>J139</f>
        <v>83210774.080712393</v>
      </c>
      <c r="CI327" s="74" t="s">
        <v>1097</v>
      </c>
      <c r="CJ327" s="76" t="s">
        <v>1104</v>
      </c>
      <c r="CK327" s="74" t="s">
        <v>99</v>
      </c>
    </row>
    <row r="328" spans="1:89" ht="25.5" customHeight="1" x14ac:dyDescent="0.2">
      <c r="A328" s="15"/>
      <c r="CF328" s="455" t="s">
        <v>1105</v>
      </c>
      <c r="CG328" s="455"/>
      <c r="CH328" s="455"/>
      <c r="CI328" s="455"/>
      <c r="CJ328" s="455"/>
      <c r="CK328" s="455"/>
    </row>
    <row r="329" spans="1:89" ht="21.75" customHeight="1" x14ac:dyDescent="0.2">
      <c r="A329" s="15"/>
      <c r="CF329" s="65">
        <v>289</v>
      </c>
      <c r="CG329" s="66" t="s">
        <v>1106</v>
      </c>
      <c r="CH329" s="154">
        <f>M129</f>
        <v>0.08</v>
      </c>
      <c r="CI329" s="66" t="s">
        <v>1107</v>
      </c>
      <c r="CJ329" s="68" t="s">
        <v>1108</v>
      </c>
      <c r="CK329" s="66" t="s">
        <v>189</v>
      </c>
    </row>
    <row r="330" spans="1:89" ht="21.75" customHeight="1" x14ac:dyDescent="0.2">
      <c r="A330" s="15"/>
      <c r="CF330" s="73">
        <v>290</v>
      </c>
      <c r="CG330" s="74" t="s">
        <v>1109</v>
      </c>
      <c r="CH330" s="93">
        <f>N129</f>
        <v>0</v>
      </c>
      <c r="CI330" s="74" t="s">
        <v>1107</v>
      </c>
      <c r="CJ330" s="76" t="s">
        <v>1110</v>
      </c>
      <c r="CK330" s="74" t="s">
        <v>99</v>
      </c>
    </row>
    <row r="331" spans="1:89" ht="21.75" customHeight="1" x14ac:dyDescent="0.2">
      <c r="A331" s="15"/>
      <c r="CF331" s="65">
        <v>291</v>
      </c>
      <c r="CG331" s="66" t="s">
        <v>1111</v>
      </c>
      <c r="CH331" s="88">
        <f>O129</f>
        <v>0</v>
      </c>
      <c r="CI331" s="66" t="s">
        <v>1107</v>
      </c>
      <c r="CJ331" s="68" t="s">
        <v>1112</v>
      </c>
      <c r="CK331" s="66" t="s">
        <v>99</v>
      </c>
    </row>
    <row r="332" spans="1:89" ht="25.5" customHeight="1" x14ac:dyDescent="0.2">
      <c r="CF332" s="455" t="s">
        <v>1113</v>
      </c>
      <c r="CG332" s="455"/>
      <c r="CH332" s="455"/>
      <c r="CI332" s="455"/>
      <c r="CJ332" s="455"/>
      <c r="CK332" s="455"/>
    </row>
    <row r="333" spans="1:89" ht="21.75" customHeight="1" x14ac:dyDescent="0.2">
      <c r="CF333" s="73">
        <v>292</v>
      </c>
      <c r="CG333" s="74" t="s">
        <v>1114</v>
      </c>
      <c r="CH333" s="148">
        <f>M130</f>
        <v>0.08</v>
      </c>
      <c r="CI333" s="74" t="s">
        <v>1115</v>
      </c>
      <c r="CJ333" s="76" t="s">
        <v>1116</v>
      </c>
      <c r="CK333" s="74" t="s">
        <v>189</v>
      </c>
    </row>
    <row r="334" spans="1:89" ht="21.75" customHeight="1" x14ac:dyDescent="0.2">
      <c r="CF334" s="65">
        <v>293</v>
      </c>
      <c r="CG334" s="66" t="s">
        <v>1117</v>
      </c>
      <c r="CH334" s="88">
        <f>N130</f>
        <v>0</v>
      </c>
      <c r="CI334" s="66" t="s">
        <v>1115</v>
      </c>
      <c r="CJ334" s="68" t="s">
        <v>1118</v>
      </c>
      <c r="CK334" s="66" t="s">
        <v>99</v>
      </c>
    </row>
    <row r="335" spans="1:89" ht="21.75" customHeight="1" x14ac:dyDescent="0.2">
      <c r="CF335" s="73">
        <v>294</v>
      </c>
      <c r="CG335" s="74" t="s">
        <v>1119</v>
      </c>
      <c r="CH335" s="93">
        <f>O130</f>
        <v>0</v>
      </c>
      <c r="CI335" s="74" t="s">
        <v>1115</v>
      </c>
      <c r="CJ335" s="76" t="s">
        <v>1120</v>
      </c>
      <c r="CK335" s="74" t="s">
        <v>99</v>
      </c>
    </row>
    <row r="336" spans="1:89" ht="25.5" customHeight="1" x14ac:dyDescent="0.2">
      <c r="CF336" s="455" t="s">
        <v>1121</v>
      </c>
      <c r="CG336" s="455"/>
      <c r="CH336" s="455"/>
      <c r="CI336" s="455"/>
      <c r="CJ336" s="455"/>
      <c r="CK336" s="455"/>
    </row>
    <row r="337" spans="1:89" ht="21.75" customHeight="1" x14ac:dyDescent="0.2">
      <c r="CF337" s="65">
        <v>295</v>
      </c>
      <c r="CG337" s="66" t="s">
        <v>1122</v>
      </c>
      <c r="CH337" s="154">
        <f>M131</f>
        <v>0.08</v>
      </c>
      <c r="CI337" s="66" t="s">
        <v>1123</v>
      </c>
      <c r="CJ337" s="68" t="s">
        <v>1124</v>
      </c>
      <c r="CK337" s="66" t="s">
        <v>189</v>
      </c>
    </row>
    <row r="338" spans="1:89" ht="21.75" customHeight="1" x14ac:dyDescent="0.2">
      <c r="CF338" s="73">
        <v>296</v>
      </c>
      <c r="CG338" s="74" t="s">
        <v>1125</v>
      </c>
      <c r="CH338" s="93">
        <f>N131</f>
        <v>0</v>
      </c>
      <c r="CI338" s="74" t="s">
        <v>1123</v>
      </c>
      <c r="CJ338" s="76" t="s">
        <v>1126</v>
      </c>
      <c r="CK338" s="74" t="s">
        <v>99</v>
      </c>
    </row>
    <row r="339" spans="1:89" ht="21.75" customHeight="1" x14ac:dyDescent="0.2">
      <c r="CF339" s="65">
        <v>297</v>
      </c>
      <c r="CG339" s="66" t="s">
        <v>1127</v>
      </c>
      <c r="CH339" s="88">
        <f>O131</f>
        <v>0</v>
      </c>
      <c r="CI339" s="66" t="s">
        <v>1123</v>
      </c>
      <c r="CJ339" s="68" t="s">
        <v>1128</v>
      </c>
      <c r="CK339" s="66" t="s">
        <v>99</v>
      </c>
    </row>
    <row r="340" spans="1:89" ht="25.5" customHeight="1" x14ac:dyDescent="0.2">
      <c r="CF340" s="455" t="s">
        <v>1129</v>
      </c>
      <c r="CG340" s="455"/>
      <c r="CH340" s="455"/>
      <c r="CI340" s="455"/>
      <c r="CJ340" s="455"/>
      <c r="CK340" s="455"/>
    </row>
    <row r="341" spans="1:89" ht="21.75" customHeight="1" x14ac:dyDescent="0.2">
      <c r="CF341" s="73">
        <v>298</v>
      </c>
      <c r="CG341" s="74" t="s">
        <v>1130</v>
      </c>
      <c r="CH341" s="148">
        <f>M132</f>
        <v>0.08</v>
      </c>
      <c r="CI341" s="74" t="s">
        <v>1131</v>
      </c>
      <c r="CJ341" s="76" t="s">
        <v>1132</v>
      </c>
      <c r="CK341" s="74" t="s">
        <v>189</v>
      </c>
    </row>
    <row r="342" spans="1:89" ht="21.75" customHeight="1" x14ac:dyDescent="0.2">
      <c r="CF342" s="65">
        <v>299</v>
      </c>
      <c r="CG342" s="66" t="s">
        <v>1133</v>
      </c>
      <c r="CH342" s="88">
        <f>N132</f>
        <v>0</v>
      </c>
      <c r="CI342" s="66" t="s">
        <v>1131</v>
      </c>
      <c r="CJ342" s="68" t="s">
        <v>1134</v>
      </c>
      <c r="CK342" s="66" t="s">
        <v>99</v>
      </c>
    </row>
    <row r="343" spans="1:89" ht="21.75" customHeight="1" x14ac:dyDescent="0.2">
      <c r="A343" s="15"/>
      <c r="CF343" s="73">
        <v>300</v>
      </c>
      <c r="CG343" s="74" t="s">
        <v>1135</v>
      </c>
      <c r="CH343" s="93">
        <f>O132</f>
        <v>0</v>
      </c>
      <c r="CI343" s="74" t="s">
        <v>1131</v>
      </c>
      <c r="CJ343" s="76" t="s">
        <v>1136</v>
      </c>
      <c r="CK343" s="74" t="s">
        <v>99</v>
      </c>
    </row>
    <row r="344" spans="1:89" ht="25.5" customHeight="1" x14ac:dyDescent="0.2">
      <c r="A344" s="15"/>
      <c r="CF344" s="455" t="s">
        <v>1137</v>
      </c>
      <c r="CG344" s="455"/>
      <c r="CH344" s="455"/>
      <c r="CI344" s="455"/>
      <c r="CJ344" s="455"/>
      <c r="CK344" s="455"/>
    </row>
    <row r="345" spans="1:89" ht="21.75" customHeight="1" x14ac:dyDescent="0.2">
      <c r="A345" s="15"/>
      <c r="CF345" s="65">
        <v>301</v>
      </c>
      <c r="CG345" s="66" t="s">
        <v>1138</v>
      </c>
      <c r="CH345" s="154">
        <f>M133</f>
        <v>7.0000000000000007E-2</v>
      </c>
      <c r="CI345" s="66" t="s">
        <v>1139</v>
      </c>
      <c r="CJ345" s="68" t="s">
        <v>1140</v>
      </c>
      <c r="CK345" s="66" t="s">
        <v>189</v>
      </c>
    </row>
    <row r="346" spans="1:89" ht="21.75" customHeight="1" x14ac:dyDescent="0.2">
      <c r="A346" s="15"/>
      <c r="CF346" s="73">
        <v>302</v>
      </c>
      <c r="CG346" s="74" t="s">
        <v>1141</v>
      </c>
      <c r="CH346" s="93">
        <f>N133</f>
        <v>1459999.9999999998</v>
      </c>
      <c r="CI346" s="74" t="s">
        <v>1139</v>
      </c>
      <c r="CJ346" s="76" t="s">
        <v>1142</v>
      </c>
      <c r="CK346" s="74" t="s">
        <v>99</v>
      </c>
    </row>
    <row r="347" spans="1:89" ht="21.75" customHeight="1" x14ac:dyDescent="0.2">
      <c r="A347" s="15"/>
      <c r="CF347" s="65">
        <v>303</v>
      </c>
      <c r="CG347" s="66" t="s">
        <v>1143</v>
      </c>
      <c r="CH347" s="88">
        <f>O133</f>
        <v>108404999.99999999</v>
      </c>
      <c r="CI347" s="66" t="s">
        <v>1139</v>
      </c>
      <c r="CJ347" s="68" t="s">
        <v>1144</v>
      </c>
      <c r="CK347" s="66" t="s">
        <v>99</v>
      </c>
    </row>
    <row r="348" spans="1:89" ht="25.5" customHeight="1" x14ac:dyDescent="0.2">
      <c r="A348" s="15"/>
      <c r="CF348" s="455" t="s">
        <v>1145</v>
      </c>
      <c r="CG348" s="455"/>
      <c r="CH348" s="455"/>
      <c r="CI348" s="455"/>
      <c r="CJ348" s="455"/>
      <c r="CK348" s="455"/>
    </row>
    <row r="349" spans="1:89" ht="21.75" customHeight="1" x14ac:dyDescent="0.2">
      <c r="A349" s="15"/>
      <c r="CF349" s="73">
        <v>304</v>
      </c>
      <c r="CG349" s="74" t="s">
        <v>1146</v>
      </c>
      <c r="CH349" s="148">
        <f>M134</f>
        <v>0.08</v>
      </c>
      <c r="CI349" s="74" t="s">
        <v>1147</v>
      </c>
      <c r="CJ349" s="76" t="s">
        <v>1148</v>
      </c>
      <c r="CK349" s="74" t="s">
        <v>189</v>
      </c>
    </row>
    <row r="350" spans="1:89" ht="21.75" customHeight="1" x14ac:dyDescent="0.2">
      <c r="A350" s="15"/>
      <c r="CF350" s="65">
        <v>305</v>
      </c>
      <c r="CG350" s="66" t="s">
        <v>1149</v>
      </c>
      <c r="CH350" s="88">
        <f>N134</f>
        <v>0</v>
      </c>
      <c r="CI350" s="66" t="s">
        <v>1147</v>
      </c>
      <c r="CJ350" s="68" t="s">
        <v>1150</v>
      </c>
      <c r="CK350" s="66" t="s">
        <v>99</v>
      </c>
    </row>
    <row r="351" spans="1:89" ht="21.75" customHeight="1" x14ac:dyDescent="0.2">
      <c r="A351" s="15"/>
      <c r="CF351" s="73">
        <v>306</v>
      </c>
      <c r="CG351" s="74" t="s">
        <v>1151</v>
      </c>
      <c r="CH351" s="93">
        <f>O134</f>
        <v>0</v>
      </c>
      <c r="CI351" s="74" t="s">
        <v>1147</v>
      </c>
      <c r="CJ351" s="76" t="s">
        <v>1152</v>
      </c>
      <c r="CK351" s="74" t="s">
        <v>99</v>
      </c>
    </row>
    <row r="352" spans="1:89" ht="25.5" customHeight="1" x14ac:dyDescent="0.2">
      <c r="A352" s="15"/>
      <c r="CF352" s="455" t="s">
        <v>1153</v>
      </c>
      <c r="CG352" s="455"/>
      <c r="CH352" s="455"/>
      <c r="CI352" s="455"/>
      <c r="CJ352" s="455"/>
      <c r="CK352" s="455"/>
    </row>
    <row r="353" spans="1:89" ht="21.75" customHeight="1" x14ac:dyDescent="0.2">
      <c r="A353" s="15"/>
      <c r="CF353" s="65">
        <v>307</v>
      </c>
      <c r="CG353" s="66" t="s">
        <v>1154</v>
      </c>
      <c r="CH353" s="154">
        <f>M135</f>
        <v>0.08</v>
      </c>
      <c r="CI353" s="66" t="s">
        <v>1155</v>
      </c>
      <c r="CJ353" s="68" t="s">
        <v>1156</v>
      </c>
      <c r="CK353" s="66" t="s">
        <v>189</v>
      </c>
    </row>
    <row r="354" spans="1:89" ht="21.75" customHeight="1" x14ac:dyDescent="0.2">
      <c r="A354" s="15"/>
      <c r="CF354" s="73">
        <v>308</v>
      </c>
      <c r="CG354" s="74" t="s">
        <v>1157</v>
      </c>
      <c r="CH354" s="93">
        <f>N135</f>
        <v>4368829.787234039</v>
      </c>
      <c r="CI354" s="74" t="s">
        <v>1155</v>
      </c>
      <c r="CJ354" s="76" t="s">
        <v>1158</v>
      </c>
      <c r="CK354" s="74" t="s">
        <v>99</v>
      </c>
    </row>
    <row r="355" spans="1:89" ht="21.75" customHeight="1" x14ac:dyDescent="0.2">
      <c r="A355" s="15"/>
      <c r="CF355" s="65">
        <v>309</v>
      </c>
      <c r="CG355" s="66" t="s">
        <v>1159</v>
      </c>
      <c r="CH355" s="88">
        <f>O135</f>
        <v>28288172.8723404</v>
      </c>
      <c r="CI355" s="66" t="s">
        <v>1155</v>
      </c>
      <c r="CJ355" s="68" t="s">
        <v>1160</v>
      </c>
      <c r="CK355" s="66" t="s">
        <v>99</v>
      </c>
    </row>
    <row r="356" spans="1:89" ht="25.5" customHeight="1" x14ac:dyDescent="0.2">
      <c r="A356" s="15"/>
      <c r="CF356" s="455" t="s">
        <v>1161</v>
      </c>
      <c r="CG356" s="455"/>
      <c r="CH356" s="455"/>
      <c r="CI356" s="455"/>
      <c r="CJ356" s="455"/>
      <c r="CK356" s="455"/>
    </row>
    <row r="357" spans="1:89" ht="21.75" customHeight="1" x14ac:dyDescent="0.2">
      <c r="A357" s="15"/>
      <c r="CF357" s="73">
        <v>310</v>
      </c>
      <c r="CG357" s="74" t="s">
        <v>1162</v>
      </c>
      <c r="CH357" s="148">
        <f>M136</f>
        <v>6.8000000000000005E-2</v>
      </c>
      <c r="CI357" s="74" t="s">
        <v>1163</v>
      </c>
      <c r="CJ357" s="76" t="s">
        <v>1164</v>
      </c>
      <c r="CK357" s="74" t="s">
        <v>189</v>
      </c>
    </row>
    <row r="358" spans="1:89" ht="21.75" customHeight="1" x14ac:dyDescent="0.2">
      <c r="A358" s="15"/>
      <c r="CF358" s="65">
        <v>311</v>
      </c>
      <c r="CG358" s="66" t="s">
        <v>1165</v>
      </c>
      <c r="CH358" s="88">
        <f>N136</f>
        <v>0</v>
      </c>
      <c r="CI358" s="66" t="s">
        <v>1163</v>
      </c>
      <c r="CJ358" s="68" t="s">
        <v>1166</v>
      </c>
      <c r="CK358" s="66" t="s">
        <v>99</v>
      </c>
    </row>
    <row r="359" spans="1:89" ht="21.75" customHeight="1" x14ac:dyDescent="0.2">
      <c r="A359" s="15"/>
      <c r="CF359" s="73">
        <v>312</v>
      </c>
      <c r="CG359" s="74" t="s">
        <v>1167</v>
      </c>
      <c r="CH359" s="93">
        <f>O136</f>
        <v>0</v>
      </c>
      <c r="CI359" s="74" t="s">
        <v>1163</v>
      </c>
      <c r="CJ359" s="76" t="s">
        <v>1168</v>
      </c>
      <c r="CK359" s="74" t="s">
        <v>99</v>
      </c>
    </row>
    <row r="360" spans="1:89" ht="25.5" customHeight="1" x14ac:dyDescent="0.2">
      <c r="A360" s="15"/>
      <c r="CF360" s="455" t="s">
        <v>1169</v>
      </c>
      <c r="CG360" s="455"/>
      <c r="CH360" s="455"/>
      <c r="CI360" s="455"/>
      <c r="CJ360" s="455"/>
      <c r="CK360" s="455"/>
    </row>
    <row r="361" spans="1:89" ht="21.75" customHeight="1" x14ac:dyDescent="0.2">
      <c r="A361" s="15"/>
      <c r="CF361" s="65">
        <v>313</v>
      </c>
      <c r="CG361" s="66" t="s">
        <v>1170</v>
      </c>
      <c r="CH361" s="154">
        <f>M137</f>
        <v>7.0000000000000007E-2</v>
      </c>
      <c r="CI361" s="66" t="s">
        <v>1171</v>
      </c>
      <c r="CJ361" s="68" t="s">
        <v>1172</v>
      </c>
      <c r="CK361" s="66" t="s">
        <v>189</v>
      </c>
    </row>
    <row r="362" spans="1:89" ht="21.75" customHeight="1" x14ac:dyDescent="0.2">
      <c r="A362" s="15"/>
      <c r="CF362" s="73">
        <v>314</v>
      </c>
      <c r="CG362" s="74" t="s">
        <v>1173</v>
      </c>
      <c r="CH362" s="93">
        <f>N137</f>
        <v>0</v>
      </c>
      <c r="CI362" s="74" t="s">
        <v>1171</v>
      </c>
      <c r="CJ362" s="76" t="s">
        <v>1174</v>
      </c>
      <c r="CK362" s="74" t="s">
        <v>99</v>
      </c>
    </row>
    <row r="363" spans="1:89" ht="21.75" customHeight="1" x14ac:dyDescent="0.2">
      <c r="A363" s="15"/>
      <c r="CF363" s="65">
        <v>315</v>
      </c>
      <c r="CG363" s="66" t="s">
        <v>1175</v>
      </c>
      <c r="CH363" s="88">
        <f>O137</f>
        <v>0</v>
      </c>
      <c r="CI363" s="66" t="s">
        <v>1171</v>
      </c>
      <c r="CJ363" s="68" t="s">
        <v>1176</v>
      </c>
      <c r="CK363" s="66" t="s">
        <v>99</v>
      </c>
    </row>
    <row r="364" spans="1:89" ht="25.5" customHeight="1" x14ac:dyDescent="0.2">
      <c r="CF364" s="455" t="s">
        <v>1177</v>
      </c>
      <c r="CG364" s="455"/>
      <c r="CH364" s="455"/>
      <c r="CI364" s="455"/>
      <c r="CJ364" s="455"/>
      <c r="CK364" s="455"/>
    </row>
    <row r="365" spans="1:89" ht="21.75" customHeight="1" x14ac:dyDescent="0.2">
      <c r="CF365" s="73">
        <v>316</v>
      </c>
      <c r="CG365" s="74" t="s">
        <v>1178</v>
      </c>
      <c r="CH365" s="148">
        <f>M138</f>
        <v>7.0000000000000007E-2</v>
      </c>
      <c r="CI365" s="74" t="s">
        <v>1179</v>
      </c>
      <c r="CJ365" s="76" t="s">
        <v>1180</v>
      </c>
      <c r="CK365" s="74" t="s">
        <v>189</v>
      </c>
    </row>
    <row r="366" spans="1:89" ht="21.75" customHeight="1" x14ac:dyDescent="0.2">
      <c r="CF366" s="65">
        <v>317</v>
      </c>
      <c r="CG366" s="66" t="s">
        <v>1181</v>
      </c>
      <c r="CH366" s="88">
        <f>N138</f>
        <v>0</v>
      </c>
      <c r="CI366" s="66" t="s">
        <v>1179</v>
      </c>
      <c r="CJ366" s="68" t="s">
        <v>1182</v>
      </c>
      <c r="CK366" s="66" t="s">
        <v>99</v>
      </c>
    </row>
    <row r="367" spans="1:89" ht="21.75" customHeight="1" x14ac:dyDescent="0.2">
      <c r="CF367" s="73">
        <v>318</v>
      </c>
      <c r="CG367" s="74" t="s">
        <v>1183</v>
      </c>
      <c r="CH367" s="93">
        <f>O138</f>
        <v>0</v>
      </c>
      <c r="CI367" s="74" t="s">
        <v>1179</v>
      </c>
      <c r="CJ367" s="76" t="s">
        <v>1184</v>
      </c>
      <c r="CK367" s="74" t="s">
        <v>99</v>
      </c>
    </row>
    <row r="368" spans="1:89" ht="25.5" customHeight="1" x14ac:dyDescent="0.2">
      <c r="CF368" s="455" t="s">
        <v>1185</v>
      </c>
      <c r="CG368" s="455"/>
      <c r="CH368" s="455"/>
      <c r="CI368" s="455"/>
      <c r="CJ368" s="455"/>
      <c r="CK368" s="455"/>
    </row>
    <row r="369" spans="84:89" ht="21.75" customHeight="1" x14ac:dyDescent="0.2">
      <c r="CF369" s="65">
        <v>319</v>
      </c>
      <c r="CG369" s="66" t="s">
        <v>1186</v>
      </c>
      <c r="CH369" s="88">
        <f>O139</f>
        <v>136693172.87234038</v>
      </c>
      <c r="CI369" s="66" t="s">
        <v>1187</v>
      </c>
      <c r="CJ369" s="68" t="s">
        <v>1188</v>
      </c>
      <c r="CK369" s="66" t="s">
        <v>99</v>
      </c>
    </row>
    <row r="370" spans="84:89" ht="25.5" customHeight="1" x14ac:dyDescent="0.2">
      <c r="CF370" s="455" t="s">
        <v>1189</v>
      </c>
      <c r="CG370" s="455"/>
      <c r="CH370" s="455"/>
      <c r="CI370" s="455"/>
      <c r="CJ370" s="455"/>
      <c r="CK370" s="455"/>
    </row>
    <row r="371" spans="84:89" ht="21.75" customHeight="1" x14ac:dyDescent="0.2">
      <c r="CF371" s="73">
        <v>320</v>
      </c>
      <c r="CG371" s="74" t="s">
        <v>1190</v>
      </c>
      <c r="CH371" s="246">
        <f>C147</f>
        <v>92</v>
      </c>
      <c r="CI371" s="74" t="s">
        <v>1191</v>
      </c>
      <c r="CJ371" s="76" t="s">
        <v>1192</v>
      </c>
      <c r="CK371" s="74" t="s">
        <v>378</v>
      </c>
    </row>
    <row r="372" spans="84:89" ht="21.75" customHeight="1" x14ac:dyDescent="0.2">
      <c r="CF372" s="65">
        <v>321</v>
      </c>
      <c r="CG372" s="66" t="s">
        <v>374</v>
      </c>
      <c r="CH372" s="141">
        <f>D147</f>
        <v>94.183105920444135</v>
      </c>
      <c r="CI372" s="66" t="s">
        <v>1191</v>
      </c>
      <c r="CJ372" s="68" t="s">
        <v>1193</v>
      </c>
      <c r="CK372" s="66" t="s">
        <v>312</v>
      </c>
    </row>
    <row r="373" spans="84:89" ht="21.75" customHeight="1" x14ac:dyDescent="0.2">
      <c r="CF373" s="73">
        <v>322</v>
      </c>
      <c r="CG373" s="74" t="s">
        <v>1194</v>
      </c>
      <c r="CH373" s="93">
        <f>E147</f>
        <v>0</v>
      </c>
      <c r="CI373" s="74" t="s">
        <v>1191</v>
      </c>
      <c r="CJ373" s="76" t="s">
        <v>1195</v>
      </c>
      <c r="CK373" s="74" t="s">
        <v>315</v>
      </c>
    </row>
    <row r="374" spans="84:89" ht="21.75" customHeight="1" x14ac:dyDescent="0.2">
      <c r="CF374" s="65">
        <v>323</v>
      </c>
      <c r="CG374" s="66" t="s">
        <v>1196</v>
      </c>
      <c r="CH374" s="88">
        <f>F147</f>
        <v>0</v>
      </c>
      <c r="CI374" s="66" t="s">
        <v>1191</v>
      </c>
      <c r="CJ374" s="68" t="s">
        <v>1197</v>
      </c>
      <c r="CK374" s="66" t="s">
        <v>99</v>
      </c>
    </row>
    <row r="375" spans="84:89" ht="21.75" customHeight="1" x14ac:dyDescent="0.2">
      <c r="CF375" s="73">
        <v>324</v>
      </c>
      <c r="CG375" s="74" t="s">
        <v>1198</v>
      </c>
      <c r="CH375" s="148">
        <f>G147</f>
        <v>0</v>
      </c>
      <c r="CI375" s="74" t="s">
        <v>1191</v>
      </c>
      <c r="CJ375" s="76" t="s">
        <v>1199</v>
      </c>
      <c r="CK375" s="74" t="s">
        <v>189</v>
      </c>
    </row>
    <row r="376" spans="84:89" ht="21.75" customHeight="1" x14ac:dyDescent="0.2">
      <c r="CF376" s="65">
        <v>325</v>
      </c>
      <c r="CG376" s="66" t="s">
        <v>1200</v>
      </c>
      <c r="CH376" s="88">
        <f>H147</f>
        <v>0</v>
      </c>
      <c r="CI376" s="66" t="s">
        <v>1191</v>
      </c>
      <c r="CJ376" s="68" t="s">
        <v>1201</v>
      </c>
      <c r="CK376" s="66" t="s">
        <v>99</v>
      </c>
    </row>
    <row r="377" spans="84:89" ht="21.75" customHeight="1" x14ac:dyDescent="0.2">
      <c r="CF377" s="73">
        <v>326</v>
      </c>
      <c r="CG377" s="74" t="s">
        <v>1202</v>
      </c>
      <c r="CH377" s="93">
        <f>I147</f>
        <v>0</v>
      </c>
      <c r="CI377" s="74" t="s">
        <v>1191</v>
      </c>
      <c r="CJ377" s="76" t="s">
        <v>1203</v>
      </c>
      <c r="CK377" s="74" t="s">
        <v>99</v>
      </c>
    </row>
    <row r="378" spans="84:89" ht="21.75" customHeight="1" x14ac:dyDescent="0.2">
      <c r="CF378" s="65">
        <v>327</v>
      </c>
      <c r="CG378" s="66" t="s">
        <v>1204</v>
      </c>
      <c r="CH378" s="141" t="str">
        <f>K147</f>
        <v>0</v>
      </c>
      <c r="CI378" s="66" t="s">
        <v>1191</v>
      </c>
      <c r="CJ378" s="68" t="s">
        <v>1205</v>
      </c>
      <c r="CK378" s="66" t="s">
        <v>173</v>
      </c>
    </row>
    <row r="379" spans="84:89" ht="21.75" customHeight="1" x14ac:dyDescent="0.2">
      <c r="CF379" s="73">
        <v>328</v>
      </c>
      <c r="CG379" s="74" t="s">
        <v>1206</v>
      </c>
      <c r="CH379" s="148">
        <f>L147</f>
        <v>0</v>
      </c>
      <c r="CI379" s="74" t="s">
        <v>1191</v>
      </c>
      <c r="CJ379" s="76" t="s">
        <v>1207</v>
      </c>
      <c r="CK379" s="74" t="s">
        <v>189</v>
      </c>
    </row>
    <row r="380" spans="84:89" ht="21.75" customHeight="1" x14ac:dyDescent="0.2">
      <c r="CF380" s="65">
        <v>329</v>
      </c>
      <c r="CG380" s="66" t="s">
        <v>1208</v>
      </c>
      <c r="CH380" s="88">
        <f>M147</f>
        <v>0</v>
      </c>
      <c r="CI380" s="66" t="s">
        <v>1191</v>
      </c>
      <c r="CJ380" s="68" t="s">
        <v>1209</v>
      </c>
      <c r="CK380" s="66" t="s">
        <v>99</v>
      </c>
    </row>
    <row r="381" spans="84:89" ht="25.5" customHeight="1" x14ac:dyDescent="0.2">
      <c r="CF381" s="455" t="s">
        <v>1210</v>
      </c>
      <c r="CG381" s="455"/>
      <c r="CH381" s="455"/>
      <c r="CI381" s="455"/>
      <c r="CJ381" s="455"/>
      <c r="CK381" s="455"/>
    </row>
    <row r="382" spans="84:89" ht="21.75" customHeight="1" x14ac:dyDescent="0.2">
      <c r="CF382" s="73">
        <v>330</v>
      </c>
      <c r="CG382" s="74" t="s">
        <v>1211</v>
      </c>
      <c r="CH382" s="246">
        <f>C148</f>
        <v>0</v>
      </c>
      <c r="CI382" s="74" t="s">
        <v>1212</v>
      </c>
      <c r="CJ382" s="76" t="s">
        <v>1213</v>
      </c>
      <c r="CK382" s="74" t="s">
        <v>378</v>
      </c>
    </row>
    <row r="383" spans="84:89" ht="21.75" customHeight="1" x14ac:dyDescent="0.2">
      <c r="CF383" s="65">
        <v>331</v>
      </c>
      <c r="CG383" s="66" t="s">
        <v>409</v>
      </c>
      <c r="CH383" s="141" t="str">
        <f>D148</f>
        <v>0</v>
      </c>
      <c r="CI383" s="66" t="s">
        <v>1212</v>
      </c>
      <c r="CJ383" s="68" t="s">
        <v>1214</v>
      </c>
      <c r="CK383" s="66" t="s">
        <v>312</v>
      </c>
    </row>
    <row r="384" spans="84:89" ht="21.75" customHeight="1" x14ac:dyDescent="0.2">
      <c r="CF384" s="73">
        <v>332</v>
      </c>
      <c r="CG384" s="74" t="s">
        <v>1215</v>
      </c>
      <c r="CH384" s="93">
        <f>E148</f>
        <v>0</v>
      </c>
      <c r="CI384" s="74" t="s">
        <v>1212</v>
      </c>
      <c r="CJ384" s="76" t="s">
        <v>1216</v>
      </c>
      <c r="CK384" s="74" t="s">
        <v>315</v>
      </c>
    </row>
    <row r="385" spans="84:89" ht="21.75" customHeight="1" x14ac:dyDescent="0.2">
      <c r="CF385" s="65">
        <v>333</v>
      </c>
      <c r="CG385" s="66" t="s">
        <v>1217</v>
      </c>
      <c r="CH385" s="88">
        <f>F148</f>
        <v>0</v>
      </c>
      <c r="CI385" s="66" t="s">
        <v>1212</v>
      </c>
      <c r="CJ385" s="68" t="s">
        <v>1218</v>
      </c>
      <c r="CK385" s="66" t="s">
        <v>99</v>
      </c>
    </row>
    <row r="386" spans="84:89" ht="21.75" customHeight="1" x14ac:dyDescent="0.2">
      <c r="CF386" s="73">
        <v>334</v>
      </c>
      <c r="CG386" s="74" t="s">
        <v>1219</v>
      </c>
      <c r="CH386" s="148">
        <f>G148</f>
        <v>0</v>
      </c>
      <c r="CI386" s="74" t="s">
        <v>1212</v>
      </c>
      <c r="CJ386" s="76" t="s">
        <v>1220</v>
      </c>
      <c r="CK386" s="74" t="s">
        <v>189</v>
      </c>
    </row>
    <row r="387" spans="84:89" ht="21.75" customHeight="1" x14ac:dyDescent="0.2">
      <c r="CF387" s="65">
        <v>335</v>
      </c>
      <c r="CG387" s="66" t="s">
        <v>1221</v>
      </c>
      <c r="CH387" s="88">
        <f>H148</f>
        <v>0</v>
      </c>
      <c r="CI387" s="66" t="s">
        <v>1212</v>
      </c>
      <c r="CJ387" s="68" t="s">
        <v>1222</v>
      </c>
      <c r="CK387" s="66" t="s">
        <v>99</v>
      </c>
    </row>
    <row r="388" spans="84:89" ht="21.75" customHeight="1" x14ac:dyDescent="0.2">
      <c r="CF388" s="73">
        <v>336</v>
      </c>
      <c r="CG388" s="74" t="s">
        <v>1223</v>
      </c>
      <c r="CH388" s="93">
        <f>I148</f>
        <v>0</v>
      </c>
      <c r="CI388" s="74" t="s">
        <v>1212</v>
      </c>
      <c r="CJ388" s="76" t="s">
        <v>1224</v>
      </c>
      <c r="CK388" s="74" t="s">
        <v>99</v>
      </c>
    </row>
    <row r="389" spans="84:89" ht="21.75" customHeight="1" x14ac:dyDescent="0.2">
      <c r="CF389" s="65">
        <v>337</v>
      </c>
      <c r="CG389" s="66" t="s">
        <v>1225</v>
      </c>
      <c r="CH389" s="141" t="str">
        <f>K148</f>
        <v>0</v>
      </c>
      <c r="CI389" s="66" t="s">
        <v>1212</v>
      </c>
      <c r="CJ389" s="68" t="s">
        <v>1226</v>
      </c>
      <c r="CK389" s="66" t="s">
        <v>173</v>
      </c>
    </row>
    <row r="390" spans="84:89" ht="21.75" customHeight="1" x14ac:dyDescent="0.2">
      <c r="CF390" s="73">
        <v>338</v>
      </c>
      <c r="CG390" s="74" t="s">
        <v>1227</v>
      </c>
      <c r="CH390" s="148" t="str">
        <f>L148</f>
        <v>0.00%</v>
      </c>
      <c r="CI390" s="74" t="s">
        <v>1212</v>
      </c>
      <c r="CJ390" s="76" t="s">
        <v>1228</v>
      </c>
      <c r="CK390" s="74" t="s">
        <v>189</v>
      </c>
    </row>
    <row r="391" spans="84:89" ht="21.75" customHeight="1" x14ac:dyDescent="0.2">
      <c r="CF391" s="65">
        <v>339</v>
      </c>
      <c r="CG391" s="66" t="s">
        <v>1229</v>
      </c>
      <c r="CH391" s="88">
        <f>M148</f>
        <v>0</v>
      </c>
      <c r="CI391" s="66" t="s">
        <v>1212</v>
      </c>
      <c r="CJ391" s="68" t="s">
        <v>1230</v>
      </c>
      <c r="CK391" s="66" t="s">
        <v>99</v>
      </c>
    </row>
    <row r="392" spans="84:89" ht="25.5" customHeight="1" x14ac:dyDescent="0.2">
      <c r="CF392" s="455" t="s">
        <v>1231</v>
      </c>
      <c r="CG392" s="455"/>
      <c r="CH392" s="455"/>
      <c r="CI392" s="455"/>
      <c r="CJ392" s="455"/>
      <c r="CK392" s="455"/>
    </row>
    <row r="393" spans="84:89" ht="21.75" customHeight="1" x14ac:dyDescent="0.2">
      <c r="CF393" s="73">
        <v>340</v>
      </c>
      <c r="CG393" s="74" t="s">
        <v>1232</v>
      </c>
      <c r="CH393" s="246">
        <f>C149</f>
        <v>0</v>
      </c>
      <c r="CI393" s="74" t="s">
        <v>1233</v>
      </c>
      <c r="CJ393" s="76" t="s">
        <v>1234</v>
      </c>
      <c r="CK393" s="74" t="s">
        <v>378</v>
      </c>
    </row>
    <row r="394" spans="84:89" ht="21.75" customHeight="1" x14ac:dyDescent="0.2">
      <c r="CF394" s="65">
        <v>341</v>
      </c>
      <c r="CG394" s="66" t="s">
        <v>438</v>
      </c>
      <c r="CH394" s="141" t="str">
        <f>D149</f>
        <v>0</v>
      </c>
      <c r="CI394" s="66" t="s">
        <v>1233</v>
      </c>
      <c r="CJ394" s="68" t="s">
        <v>1235</v>
      </c>
      <c r="CK394" s="66" t="s">
        <v>312</v>
      </c>
    </row>
    <row r="395" spans="84:89" ht="21.75" customHeight="1" x14ac:dyDescent="0.2">
      <c r="CF395" s="73">
        <v>342</v>
      </c>
      <c r="CG395" s="74" t="s">
        <v>1236</v>
      </c>
      <c r="CH395" s="93">
        <f>E149</f>
        <v>0</v>
      </c>
      <c r="CI395" s="74" t="s">
        <v>1233</v>
      </c>
      <c r="CJ395" s="76" t="s">
        <v>1237</v>
      </c>
      <c r="CK395" s="74" t="s">
        <v>315</v>
      </c>
    </row>
    <row r="396" spans="84:89" ht="21.75" customHeight="1" x14ac:dyDescent="0.2">
      <c r="CF396" s="65">
        <v>343</v>
      </c>
      <c r="CG396" s="66" t="s">
        <v>1238</v>
      </c>
      <c r="CH396" s="88">
        <f>F149</f>
        <v>0</v>
      </c>
      <c r="CI396" s="66" t="s">
        <v>1233</v>
      </c>
      <c r="CJ396" s="68" t="s">
        <v>1239</v>
      </c>
      <c r="CK396" s="66" t="s">
        <v>99</v>
      </c>
    </row>
    <row r="397" spans="84:89" ht="21.75" customHeight="1" x14ac:dyDescent="0.2">
      <c r="CF397" s="73">
        <v>344</v>
      </c>
      <c r="CG397" s="74" t="s">
        <v>1240</v>
      </c>
      <c r="CH397" s="148">
        <f>G149</f>
        <v>0</v>
      </c>
      <c r="CI397" s="74" t="s">
        <v>1233</v>
      </c>
      <c r="CJ397" s="76" t="s">
        <v>1241</v>
      </c>
      <c r="CK397" s="74" t="s">
        <v>189</v>
      </c>
    </row>
    <row r="398" spans="84:89" ht="21.75" customHeight="1" x14ac:dyDescent="0.2">
      <c r="CF398" s="65">
        <v>345</v>
      </c>
      <c r="CG398" s="66" t="s">
        <v>1242</v>
      </c>
      <c r="CH398" s="88">
        <f>H149</f>
        <v>0</v>
      </c>
      <c r="CI398" s="66" t="s">
        <v>1233</v>
      </c>
      <c r="CJ398" s="68" t="s">
        <v>1243</v>
      </c>
      <c r="CK398" s="66" t="s">
        <v>99</v>
      </c>
    </row>
    <row r="399" spans="84:89" ht="21.75" customHeight="1" x14ac:dyDescent="0.2">
      <c r="CF399" s="73">
        <v>346</v>
      </c>
      <c r="CG399" s="74" t="s">
        <v>1244</v>
      </c>
      <c r="CH399" s="93">
        <f>I149</f>
        <v>0</v>
      </c>
      <c r="CI399" s="74" t="s">
        <v>1233</v>
      </c>
      <c r="CJ399" s="76" t="s">
        <v>1245</v>
      </c>
      <c r="CK399" s="74" t="s">
        <v>99</v>
      </c>
    </row>
    <row r="400" spans="84:89" ht="21.75" customHeight="1" x14ac:dyDescent="0.2">
      <c r="CF400" s="65">
        <v>347</v>
      </c>
      <c r="CG400" s="66" t="s">
        <v>1246</v>
      </c>
      <c r="CH400" s="141" t="str">
        <f>K149</f>
        <v>0</v>
      </c>
      <c r="CI400" s="66" t="s">
        <v>1233</v>
      </c>
      <c r="CJ400" s="68" t="s">
        <v>1247</v>
      </c>
      <c r="CK400" s="66" t="s">
        <v>173</v>
      </c>
    </row>
    <row r="401" spans="84:89" ht="21.75" customHeight="1" x14ac:dyDescent="0.2">
      <c r="CF401" s="73">
        <v>348</v>
      </c>
      <c r="CG401" s="74" t="s">
        <v>1248</v>
      </c>
      <c r="CH401" s="148" t="str">
        <f>L149</f>
        <v>0.00%</v>
      </c>
      <c r="CI401" s="74" t="s">
        <v>1233</v>
      </c>
      <c r="CJ401" s="76" t="s">
        <v>1249</v>
      </c>
      <c r="CK401" s="74" t="s">
        <v>189</v>
      </c>
    </row>
    <row r="402" spans="84:89" ht="21.75" customHeight="1" x14ac:dyDescent="0.2">
      <c r="CF402" s="65">
        <v>349</v>
      </c>
      <c r="CG402" s="66" t="s">
        <v>1250</v>
      </c>
      <c r="CH402" s="88">
        <f>M149</f>
        <v>0</v>
      </c>
      <c r="CI402" s="66" t="s">
        <v>1233</v>
      </c>
      <c r="CJ402" s="68" t="s">
        <v>1251</v>
      </c>
      <c r="CK402" s="66" t="s">
        <v>99</v>
      </c>
    </row>
    <row r="403" spans="84:89" ht="25.5" customHeight="1" x14ac:dyDescent="0.2">
      <c r="CF403" s="455" t="s">
        <v>1252</v>
      </c>
      <c r="CG403" s="455"/>
      <c r="CH403" s="455"/>
      <c r="CI403" s="455"/>
      <c r="CJ403" s="455"/>
      <c r="CK403" s="455"/>
    </row>
    <row r="404" spans="84:89" ht="21.75" customHeight="1" x14ac:dyDescent="0.2">
      <c r="CF404" s="73">
        <v>350</v>
      </c>
      <c r="CG404" s="74" t="s">
        <v>1253</v>
      </c>
      <c r="CH404" s="246">
        <f>C150</f>
        <v>0</v>
      </c>
      <c r="CI404" s="74" t="s">
        <v>1254</v>
      </c>
      <c r="CJ404" s="76" t="s">
        <v>1255</v>
      </c>
      <c r="CK404" s="74" t="s">
        <v>378</v>
      </c>
    </row>
    <row r="405" spans="84:89" ht="21.75" customHeight="1" x14ac:dyDescent="0.2">
      <c r="CF405" s="65">
        <v>351</v>
      </c>
      <c r="CG405" s="66" t="s">
        <v>471</v>
      </c>
      <c r="CH405" s="141" t="str">
        <f>D150</f>
        <v>0</v>
      </c>
      <c r="CI405" s="66" t="s">
        <v>1254</v>
      </c>
      <c r="CJ405" s="68" t="s">
        <v>1256</v>
      </c>
      <c r="CK405" s="66" t="s">
        <v>312</v>
      </c>
    </row>
    <row r="406" spans="84:89" ht="21.75" customHeight="1" x14ac:dyDescent="0.2">
      <c r="CF406" s="73">
        <v>352</v>
      </c>
      <c r="CG406" s="74" t="s">
        <v>1257</v>
      </c>
      <c r="CH406" s="93">
        <f>E150</f>
        <v>0</v>
      </c>
      <c r="CI406" s="74" t="s">
        <v>1254</v>
      </c>
      <c r="CJ406" s="76" t="s">
        <v>1258</v>
      </c>
      <c r="CK406" s="74" t="s">
        <v>315</v>
      </c>
    </row>
    <row r="407" spans="84:89" ht="21.75" customHeight="1" x14ac:dyDescent="0.2">
      <c r="CF407" s="65">
        <v>353</v>
      </c>
      <c r="CG407" s="66" t="s">
        <v>1259</v>
      </c>
      <c r="CH407" s="88">
        <f>F150</f>
        <v>0</v>
      </c>
      <c r="CI407" s="66" t="s">
        <v>1254</v>
      </c>
      <c r="CJ407" s="68" t="s">
        <v>1260</v>
      </c>
      <c r="CK407" s="66" t="s">
        <v>99</v>
      </c>
    </row>
    <row r="408" spans="84:89" ht="21.75" customHeight="1" x14ac:dyDescent="0.2">
      <c r="CF408" s="73">
        <v>354</v>
      </c>
      <c r="CG408" s="74" t="s">
        <v>1261</v>
      </c>
      <c r="CH408" s="148">
        <f>G150</f>
        <v>0</v>
      </c>
      <c r="CI408" s="74" t="s">
        <v>1254</v>
      </c>
      <c r="CJ408" s="76" t="s">
        <v>1262</v>
      </c>
      <c r="CK408" s="74" t="s">
        <v>189</v>
      </c>
    </row>
    <row r="409" spans="84:89" ht="21.75" customHeight="1" x14ac:dyDescent="0.2">
      <c r="CF409" s="65">
        <v>355</v>
      </c>
      <c r="CG409" s="66" t="s">
        <v>1263</v>
      </c>
      <c r="CH409" s="88">
        <f>H150</f>
        <v>0</v>
      </c>
      <c r="CI409" s="66" t="s">
        <v>1254</v>
      </c>
      <c r="CJ409" s="68" t="s">
        <v>1264</v>
      </c>
      <c r="CK409" s="66" t="s">
        <v>99</v>
      </c>
    </row>
    <row r="410" spans="84:89" ht="21.75" customHeight="1" x14ac:dyDescent="0.2">
      <c r="CF410" s="73">
        <v>356</v>
      </c>
      <c r="CG410" s="74" t="s">
        <v>1265</v>
      </c>
      <c r="CH410" s="93">
        <f>I150</f>
        <v>0</v>
      </c>
      <c r="CI410" s="74" t="s">
        <v>1254</v>
      </c>
      <c r="CJ410" s="76" t="s">
        <v>1266</v>
      </c>
      <c r="CK410" s="74" t="s">
        <v>99</v>
      </c>
    </row>
    <row r="411" spans="84:89" ht="21.75" customHeight="1" x14ac:dyDescent="0.2">
      <c r="CF411" s="65">
        <v>357</v>
      </c>
      <c r="CG411" s="66" t="s">
        <v>1267</v>
      </c>
      <c r="CH411" s="141" t="str">
        <f>K150</f>
        <v>0</v>
      </c>
      <c r="CI411" s="66" t="s">
        <v>1254</v>
      </c>
      <c r="CJ411" s="68" t="s">
        <v>1268</v>
      </c>
      <c r="CK411" s="66" t="s">
        <v>173</v>
      </c>
    </row>
    <row r="412" spans="84:89" ht="21.75" customHeight="1" x14ac:dyDescent="0.2">
      <c r="CF412" s="73">
        <v>358</v>
      </c>
      <c r="CG412" s="74" t="s">
        <v>1269</v>
      </c>
      <c r="CH412" s="148" t="str">
        <f>L150</f>
        <v>0.00%</v>
      </c>
      <c r="CI412" s="74" t="s">
        <v>1254</v>
      </c>
      <c r="CJ412" s="76" t="s">
        <v>1270</v>
      </c>
      <c r="CK412" s="74" t="s">
        <v>189</v>
      </c>
    </row>
    <row r="413" spans="84:89" ht="21.75" customHeight="1" x14ac:dyDescent="0.2">
      <c r="CF413" s="65">
        <v>359</v>
      </c>
      <c r="CG413" s="66" t="s">
        <v>1271</v>
      </c>
      <c r="CH413" s="88">
        <f>M150</f>
        <v>0</v>
      </c>
      <c r="CI413" s="66" t="s">
        <v>1254</v>
      </c>
      <c r="CJ413" s="68" t="s">
        <v>1272</v>
      </c>
      <c r="CK413" s="66" t="s">
        <v>99</v>
      </c>
    </row>
    <row r="414" spans="84:89" ht="25.5" customHeight="1" x14ac:dyDescent="0.2">
      <c r="CF414" s="455" t="s">
        <v>1273</v>
      </c>
      <c r="CG414" s="455"/>
      <c r="CH414" s="455"/>
      <c r="CI414" s="455"/>
      <c r="CJ414" s="455"/>
      <c r="CK414" s="455"/>
    </row>
    <row r="415" spans="84:89" ht="21.75" customHeight="1" x14ac:dyDescent="0.2">
      <c r="CF415" s="73">
        <v>360</v>
      </c>
      <c r="CG415" s="74" t="s">
        <v>1274</v>
      </c>
      <c r="CH415" s="246">
        <f>C151</f>
        <v>99</v>
      </c>
      <c r="CI415" s="74" t="s">
        <v>1275</v>
      </c>
      <c r="CJ415" s="76" t="s">
        <v>1276</v>
      </c>
      <c r="CK415" s="74" t="s">
        <v>378</v>
      </c>
    </row>
    <row r="416" spans="84:89" ht="21.75" customHeight="1" x14ac:dyDescent="0.2">
      <c r="CF416" s="65">
        <v>361</v>
      </c>
      <c r="CG416" s="66" t="s">
        <v>504</v>
      </c>
      <c r="CH416" s="141">
        <f>D151</f>
        <v>48.542553191489262</v>
      </c>
      <c r="CI416" s="66" t="s">
        <v>1275</v>
      </c>
      <c r="CJ416" s="68" t="s">
        <v>1277</v>
      </c>
      <c r="CK416" s="66" t="s">
        <v>312</v>
      </c>
    </row>
    <row r="417" spans="84:89" ht="21.75" customHeight="1" x14ac:dyDescent="0.2">
      <c r="CF417" s="73">
        <v>362</v>
      </c>
      <c r="CG417" s="74" t="s">
        <v>1278</v>
      </c>
      <c r="CH417" s="93">
        <f>E151</f>
        <v>0</v>
      </c>
      <c r="CI417" s="74" t="s">
        <v>1275</v>
      </c>
      <c r="CJ417" s="76" t="s">
        <v>1279</v>
      </c>
      <c r="CK417" s="74" t="s">
        <v>315</v>
      </c>
    </row>
    <row r="418" spans="84:89" ht="21.75" customHeight="1" x14ac:dyDescent="0.2">
      <c r="CF418" s="65">
        <v>363</v>
      </c>
      <c r="CG418" s="66" t="s">
        <v>1280</v>
      </c>
      <c r="CH418" s="88">
        <f>F151</f>
        <v>0</v>
      </c>
      <c r="CI418" s="66" t="s">
        <v>1275</v>
      </c>
      <c r="CJ418" s="68" t="s">
        <v>1281</v>
      </c>
      <c r="CK418" s="66" t="s">
        <v>99</v>
      </c>
    </row>
    <row r="419" spans="84:89" ht="21.75" customHeight="1" x14ac:dyDescent="0.2">
      <c r="CF419" s="73">
        <v>364</v>
      </c>
      <c r="CG419" s="74" t="s">
        <v>1282</v>
      </c>
      <c r="CH419" s="148">
        <f>G151</f>
        <v>0</v>
      </c>
      <c r="CI419" s="74" t="s">
        <v>1275</v>
      </c>
      <c r="CJ419" s="76" t="s">
        <v>1283</v>
      </c>
      <c r="CK419" s="74" t="s">
        <v>189</v>
      </c>
    </row>
    <row r="420" spans="84:89" ht="21.75" customHeight="1" x14ac:dyDescent="0.2">
      <c r="CF420" s="65">
        <v>365</v>
      </c>
      <c r="CG420" s="66" t="s">
        <v>1284</v>
      </c>
      <c r="CH420" s="88">
        <f>H151</f>
        <v>0</v>
      </c>
      <c r="CI420" s="66" t="s">
        <v>1275</v>
      </c>
      <c r="CJ420" s="68" t="s">
        <v>1285</v>
      </c>
      <c r="CK420" s="66" t="s">
        <v>99</v>
      </c>
    </row>
    <row r="421" spans="84:89" ht="21.75" customHeight="1" x14ac:dyDescent="0.2">
      <c r="CF421" s="73">
        <v>366</v>
      </c>
      <c r="CG421" s="74" t="s">
        <v>1286</v>
      </c>
      <c r="CH421" s="93">
        <f>I151</f>
        <v>0</v>
      </c>
      <c r="CI421" s="74" t="s">
        <v>1275</v>
      </c>
      <c r="CJ421" s="76" t="s">
        <v>1287</v>
      </c>
      <c r="CK421" s="74" t="s">
        <v>99</v>
      </c>
    </row>
    <row r="422" spans="84:89" ht="21.75" customHeight="1" x14ac:dyDescent="0.2">
      <c r="CF422" s="65">
        <v>367</v>
      </c>
      <c r="CG422" s="66" t="s">
        <v>1288</v>
      </c>
      <c r="CH422" s="141" t="str">
        <f>K151</f>
        <v>0</v>
      </c>
      <c r="CI422" s="66" t="s">
        <v>1275</v>
      </c>
      <c r="CJ422" s="68" t="s">
        <v>1289</v>
      </c>
      <c r="CK422" s="66" t="s">
        <v>173</v>
      </c>
    </row>
    <row r="423" spans="84:89" ht="21.75" customHeight="1" x14ac:dyDescent="0.2">
      <c r="CF423" s="73">
        <v>368</v>
      </c>
      <c r="CG423" s="74" t="s">
        <v>1290</v>
      </c>
      <c r="CH423" s="148">
        <f>L151</f>
        <v>0</v>
      </c>
      <c r="CI423" s="74" t="s">
        <v>1275</v>
      </c>
      <c r="CJ423" s="76" t="s">
        <v>1291</v>
      </c>
      <c r="CK423" s="74" t="s">
        <v>189</v>
      </c>
    </row>
    <row r="424" spans="84:89" ht="21.75" customHeight="1" x14ac:dyDescent="0.2">
      <c r="CF424" s="65">
        <v>369</v>
      </c>
      <c r="CG424" s="66" t="s">
        <v>1292</v>
      </c>
      <c r="CH424" s="88">
        <f>M151</f>
        <v>0</v>
      </c>
      <c r="CI424" s="66" t="s">
        <v>1275</v>
      </c>
      <c r="CJ424" s="68" t="s">
        <v>1293</v>
      </c>
      <c r="CK424" s="66" t="s">
        <v>99</v>
      </c>
    </row>
    <row r="425" spans="84:89" ht="25.5" customHeight="1" x14ac:dyDescent="0.2">
      <c r="CF425" s="455" t="s">
        <v>1294</v>
      </c>
      <c r="CG425" s="455"/>
      <c r="CH425" s="455"/>
      <c r="CI425" s="455"/>
      <c r="CJ425" s="455"/>
      <c r="CK425" s="455"/>
    </row>
    <row r="426" spans="84:89" ht="21.75" customHeight="1" x14ac:dyDescent="0.2">
      <c r="CF426" s="73">
        <v>370</v>
      </c>
      <c r="CG426" s="74" t="s">
        <v>1295</v>
      </c>
      <c r="CH426" s="246">
        <f>C152</f>
        <v>0</v>
      </c>
      <c r="CI426" s="74" t="s">
        <v>1296</v>
      </c>
      <c r="CJ426" s="76" t="s">
        <v>1297</v>
      </c>
      <c r="CK426" s="74" t="s">
        <v>378</v>
      </c>
    </row>
    <row r="427" spans="84:89" ht="21.75" customHeight="1" x14ac:dyDescent="0.2">
      <c r="CF427" s="65">
        <v>371</v>
      </c>
      <c r="CG427" s="66" t="s">
        <v>537</v>
      </c>
      <c r="CH427" s="141" t="str">
        <f>D152</f>
        <v>0</v>
      </c>
      <c r="CI427" s="66" t="s">
        <v>1296</v>
      </c>
      <c r="CJ427" s="68" t="s">
        <v>1298</v>
      </c>
      <c r="CK427" s="66" t="s">
        <v>312</v>
      </c>
    </row>
    <row r="428" spans="84:89" ht="21.75" customHeight="1" x14ac:dyDescent="0.2">
      <c r="CF428" s="73">
        <v>372</v>
      </c>
      <c r="CG428" s="74" t="s">
        <v>1299</v>
      </c>
      <c r="CH428" s="93">
        <f>E152</f>
        <v>0</v>
      </c>
      <c r="CI428" s="74" t="s">
        <v>1296</v>
      </c>
      <c r="CJ428" s="76" t="s">
        <v>1300</v>
      </c>
      <c r="CK428" s="74" t="s">
        <v>315</v>
      </c>
    </row>
    <row r="429" spans="84:89" ht="21.75" customHeight="1" x14ac:dyDescent="0.2">
      <c r="CF429" s="65">
        <v>373</v>
      </c>
      <c r="CG429" s="66" t="s">
        <v>1301</v>
      </c>
      <c r="CH429" s="88">
        <f>F152</f>
        <v>0</v>
      </c>
      <c r="CI429" s="66" t="s">
        <v>1296</v>
      </c>
      <c r="CJ429" s="68" t="s">
        <v>1302</v>
      </c>
      <c r="CK429" s="66" t="s">
        <v>99</v>
      </c>
    </row>
    <row r="430" spans="84:89" ht="21.75" customHeight="1" x14ac:dyDescent="0.2">
      <c r="CF430" s="73">
        <v>374</v>
      </c>
      <c r="CG430" s="74" t="s">
        <v>1303</v>
      </c>
      <c r="CH430" s="148">
        <f>G152</f>
        <v>0</v>
      </c>
      <c r="CI430" s="74" t="s">
        <v>1296</v>
      </c>
      <c r="CJ430" s="76" t="s">
        <v>1304</v>
      </c>
      <c r="CK430" s="74" t="s">
        <v>189</v>
      </c>
    </row>
    <row r="431" spans="84:89" ht="21.75" customHeight="1" x14ac:dyDescent="0.2">
      <c r="CF431" s="65">
        <v>375</v>
      </c>
      <c r="CG431" s="66" t="s">
        <v>1305</v>
      </c>
      <c r="CH431" s="88">
        <f>H152</f>
        <v>0</v>
      </c>
      <c r="CI431" s="66" t="s">
        <v>1296</v>
      </c>
      <c r="CJ431" s="68" t="s">
        <v>1306</v>
      </c>
      <c r="CK431" s="66" t="s">
        <v>99</v>
      </c>
    </row>
    <row r="432" spans="84:89" ht="21.75" customHeight="1" x14ac:dyDescent="0.2">
      <c r="CF432" s="73">
        <v>376</v>
      </c>
      <c r="CG432" s="74" t="s">
        <v>1307</v>
      </c>
      <c r="CH432" s="93">
        <f>I152</f>
        <v>0</v>
      </c>
      <c r="CI432" s="74" t="s">
        <v>1296</v>
      </c>
      <c r="CJ432" s="76" t="s">
        <v>1308</v>
      </c>
      <c r="CK432" s="74" t="s">
        <v>99</v>
      </c>
    </row>
    <row r="433" spans="84:89" ht="21.75" customHeight="1" x14ac:dyDescent="0.2">
      <c r="CF433" s="65">
        <v>377</v>
      </c>
      <c r="CG433" s="66" t="s">
        <v>1309</v>
      </c>
      <c r="CH433" s="141" t="str">
        <f>K152</f>
        <v>0</v>
      </c>
      <c r="CI433" s="66" t="s">
        <v>1296</v>
      </c>
      <c r="CJ433" s="68" t="s">
        <v>1310</v>
      </c>
      <c r="CK433" s="66" t="s">
        <v>173</v>
      </c>
    </row>
    <row r="434" spans="84:89" ht="21.75" customHeight="1" x14ac:dyDescent="0.2">
      <c r="CF434" s="73">
        <v>378</v>
      </c>
      <c r="CG434" s="74" t="s">
        <v>1311</v>
      </c>
      <c r="CH434" s="148" t="str">
        <f>L152</f>
        <v>0.00%</v>
      </c>
      <c r="CI434" s="74" t="s">
        <v>1296</v>
      </c>
      <c r="CJ434" s="76" t="s">
        <v>1312</v>
      </c>
      <c r="CK434" s="74" t="s">
        <v>189</v>
      </c>
    </row>
    <row r="435" spans="84:89" ht="21.75" customHeight="1" x14ac:dyDescent="0.2">
      <c r="CF435" s="65">
        <v>379</v>
      </c>
      <c r="CG435" s="66" t="s">
        <v>1313</v>
      </c>
      <c r="CH435" s="88">
        <f>M152</f>
        <v>0</v>
      </c>
      <c r="CI435" s="66" t="s">
        <v>1296</v>
      </c>
      <c r="CJ435" s="68" t="s">
        <v>1314</v>
      </c>
      <c r="CK435" s="66" t="s">
        <v>99</v>
      </c>
    </row>
    <row r="436" spans="84:89" ht="25.5" customHeight="1" x14ac:dyDescent="0.2">
      <c r="CF436" s="455" t="s">
        <v>1315</v>
      </c>
      <c r="CG436" s="455"/>
      <c r="CH436" s="455"/>
      <c r="CI436" s="455"/>
      <c r="CJ436" s="455"/>
      <c r="CK436" s="455"/>
    </row>
    <row r="437" spans="84:89" ht="21.75" customHeight="1" x14ac:dyDescent="0.2">
      <c r="CF437" s="73">
        <v>380</v>
      </c>
      <c r="CG437" s="74" t="s">
        <v>1316</v>
      </c>
      <c r="CH437" s="246">
        <f>C153</f>
        <v>7</v>
      </c>
      <c r="CI437" s="74" t="s">
        <v>1317</v>
      </c>
      <c r="CJ437" s="76" t="s">
        <v>1318</v>
      </c>
      <c r="CK437" s="74" t="s">
        <v>378</v>
      </c>
    </row>
    <row r="438" spans="84:89" ht="21.75" customHeight="1" x14ac:dyDescent="0.2">
      <c r="CF438" s="65">
        <v>381</v>
      </c>
      <c r="CG438" s="66" t="s">
        <v>574</v>
      </c>
      <c r="CH438" s="141">
        <f>D153</f>
        <v>166.43161094224911</v>
      </c>
      <c r="CI438" s="66" t="s">
        <v>1317</v>
      </c>
      <c r="CJ438" s="68" t="s">
        <v>1319</v>
      </c>
      <c r="CK438" s="66" t="s">
        <v>312</v>
      </c>
    </row>
    <row r="439" spans="84:89" ht="21.75" customHeight="1" x14ac:dyDescent="0.2">
      <c r="CF439" s="73">
        <v>382</v>
      </c>
      <c r="CG439" s="74" t="s">
        <v>1320</v>
      </c>
      <c r="CH439" s="93">
        <f>E153</f>
        <v>2100</v>
      </c>
      <c r="CI439" s="74" t="s">
        <v>1317</v>
      </c>
      <c r="CJ439" s="76" t="s">
        <v>1321</v>
      </c>
      <c r="CK439" s="74" t="s">
        <v>315</v>
      </c>
    </row>
    <row r="440" spans="84:89" ht="21.75" customHeight="1" x14ac:dyDescent="0.2">
      <c r="CF440" s="65">
        <v>383</v>
      </c>
      <c r="CG440" s="66" t="s">
        <v>1322</v>
      </c>
      <c r="CH440" s="88">
        <f>F153</f>
        <v>349506.38297872315</v>
      </c>
      <c r="CI440" s="66" t="s">
        <v>1317</v>
      </c>
      <c r="CJ440" s="68" t="s">
        <v>1323</v>
      </c>
      <c r="CK440" s="66" t="s">
        <v>99</v>
      </c>
    </row>
    <row r="441" spans="84:89" ht="21.75" customHeight="1" x14ac:dyDescent="0.2">
      <c r="CF441" s="73">
        <v>384</v>
      </c>
      <c r="CG441" s="74" t="s">
        <v>1324</v>
      </c>
      <c r="CH441" s="148">
        <f>G153</f>
        <v>1</v>
      </c>
      <c r="CI441" s="74" t="s">
        <v>1317</v>
      </c>
      <c r="CJ441" s="76" t="s">
        <v>1325</v>
      </c>
      <c r="CK441" s="74" t="s">
        <v>189</v>
      </c>
    </row>
    <row r="442" spans="84:89" ht="21.75" customHeight="1" x14ac:dyDescent="0.2">
      <c r="CF442" s="65">
        <v>385</v>
      </c>
      <c r="CG442" s="66" t="s">
        <v>1326</v>
      </c>
      <c r="CH442" s="88">
        <f>H153</f>
        <v>2446544.6808510618</v>
      </c>
      <c r="CI442" s="66" t="s">
        <v>1317</v>
      </c>
      <c r="CJ442" s="68" t="s">
        <v>1327</v>
      </c>
      <c r="CK442" s="66" t="s">
        <v>99</v>
      </c>
    </row>
    <row r="443" spans="84:89" ht="21.75" customHeight="1" x14ac:dyDescent="0.2">
      <c r="CF443" s="73">
        <v>386</v>
      </c>
      <c r="CG443" s="74" t="s">
        <v>1328</v>
      </c>
      <c r="CH443" s="93">
        <f>I153</f>
        <v>183490.85106382964</v>
      </c>
      <c r="CI443" s="74" t="s">
        <v>1317</v>
      </c>
      <c r="CJ443" s="76" t="s">
        <v>1329</v>
      </c>
      <c r="CK443" s="74" t="s">
        <v>99</v>
      </c>
    </row>
    <row r="444" spans="84:89" ht="21.75" customHeight="1" x14ac:dyDescent="0.2">
      <c r="CF444" s="65">
        <v>387</v>
      </c>
      <c r="CG444" s="66" t="s">
        <v>1330</v>
      </c>
      <c r="CH444" s="141">
        <f>K153</f>
        <v>7.3270858419364187</v>
      </c>
      <c r="CI444" s="66" t="s">
        <v>1317</v>
      </c>
      <c r="CJ444" s="68" t="s">
        <v>1331</v>
      </c>
      <c r="CK444" s="66" t="s">
        <v>173</v>
      </c>
    </row>
    <row r="445" spans="84:89" ht="21.75" customHeight="1" x14ac:dyDescent="0.2">
      <c r="CF445" s="73">
        <v>388</v>
      </c>
      <c r="CG445" s="74" t="s">
        <v>1332</v>
      </c>
      <c r="CH445" s="148">
        <f>L153</f>
        <v>0.13647990777950511</v>
      </c>
      <c r="CI445" s="74" t="s">
        <v>1317</v>
      </c>
      <c r="CJ445" s="76" t="s">
        <v>1333</v>
      </c>
      <c r="CK445" s="74" t="s">
        <v>189</v>
      </c>
    </row>
    <row r="446" spans="84:89" ht="21.75" customHeight="1" x14ac:dyDescent="0.2">
      <c r="CF446" s="65">
        <v>389</v>
      </c>
      <c r="CG446" s="66" t="s">
        <v>1334</v>
      </c>
      <c r="CH446" s="88">
        <f>M153</f>
        <v>2263053.829787232</v>
      </c>
      <c r="CI446" s="66" t="s">
        <v>1317</v>
      </c>
      <c r="CJ446" s="68" t="s">
        <v>1335</v>
      </c>
      <c r="CK446" s="66" t="s">
        <v>99</v>
      </c>
    </row>
    <row r="447" spans="84:89" ht="25.5" customHeight="1" x14ac:dyDescent="0.2">
      <c r="CF447" s="455" t="s">
        <v>1336</v>
      </c>
      <c r="CG447" s="455"/>
      <c r="CH447" s="455"/>
      <c r="CI447" s="455"/>
      <c r="CJ447" s="455"/>
      <c r="CK447" s="455"/>
    </row>
    <row r="448" spans="84:89" ht="21.75" customHeight="1" x14ac:dyDescent="0.2">
      <c r="CF448" s="73">
        <v>390</v>
      </c>
      <c r="CG448" s="74" t="s">
        <v>1337</v>
      </c>
      <c r="CH448" s="246">
        <f>C154</f>
        <v>0</v>
      </c>
      <c r="CI448" s="74" t="s">
        <v>1338</v>
      </c>
      <c r="CJ448" s="76" t="s">
        <v>1339</v>
      </c>
      <c r="CK448" s="74" t="s">
        <v>378</v>
      </c>
    </row>
    <row r="449" spans="84:89" ht="21.75" customHeight="1" x14ac:dyDescent="0.2">
      <c r="CF449" s="65">
        <v>391</v>
      </c>
      <c r="CG449" s="66" t="s">
        <v>597</v>
      </c>
      <c r="CH449" s="141" t="str">
        <f>D154</f>
        <v>0</v>
      </c>
      <c r="CI449" s="66" t="s">
        <v>1338</v>
      </c>
      <c r="CJ449" s="68" t="s">
        <v>1340</v>
      </c>
      <c r="CK449" s="66" t="s">
        <v>312</v>
      </c>
    </row>
    <row r="450" spans="84:89" ht="21.75" customHeight="1" x14ac:dyDescent="0.2">
      <c r="CF450" s="73">
        <v>392</v>
      </c>
      <c r="CG450" s="74" t="s">
        <v>1341</v>
      </c>
      <c r="CH450" s="93">
        <f>E154</f>
        <v>0</v>
      </c>
      <c r="CI450" s="74" t="s">
        <v>1338</v>
      </c>
      <c r="CJ450" s="76" t="s">
        <v>1342</v>
      </c>
      <c r="CK450" s="74" t="s">
        <v>315</v>
      </c>
    </row>
    <row r="451" spans="84:89" ht="21.75" customHeight="1" x14ac:dyDescent="0.2">
      <c r="CF451" s="65">
        <v>393</v>
      </c>
      <c r="CG451" s="66" t="s">
        <v>1343</v>
      </c>
      <c r="CH451" s="88">
        <f>F154</f>
        <v>0</v>
      </c>
      <c r="CI451" s="66" t="s">
        <v>1338</v>
      </c>
      <c r="CJ451" s="68" t="s">
        <v>1344</v>
      </c>
      <c r="CK451" s="66" t="s">
        <v>99</v>
      </c>
    </row>
    <row r="452" spans="84:89" ht="21.75" customHeight="1" x14ac:dyDescent="0.2">
      <c r="CF452" s="73">
        <v>394</v>
      </c>
      <c r="CG452" s="74" t="s">
        <v>1345</v>
      </c>
      <c r="CH452" s="148">
        <f>G154</f>
        <v>0</v>
      </c>
      <c r="CI452" s="74" t="s">
        <v>1338</v>
      </c>
      <c r="CJ452" s="76" t="s">
        <v>1346</v>
      </c>
      <c r="CK452" s="74" t="s">
        <v>189</v>
      </c>
    </row>
    <row r="453" spans="84:89" ht="21.75" customHeight="1" x14ac:dyDescent="0.2">
      <c r="CF453" s="65">
        <v>395</v>
      </c>
      <c r="CG453" s="66" t="s">
        <v>1347</v>
      </c>
      <c r="CH453" s="88">
        <f>H154</f>
        <v>0</v>
      </c>
      <c r="CI453" s="66" t="s">
        <v>1338</v>
      </c>
      <c r="CJ453" s="68" t="s">
        <v>1348</v>
      </c>
      <c r="CK453" s="66" t="s">
        <v>99</v>
      </c>
    </row>
    <row r="454" spans="84:89" ht="21.75" customHeight="1" x14ac:dyDescent="0.2">
      <c r="CF454" s="73">
        <v>396</v>
      </c>
      <c r="CG454" s="74" t="s">
        <v>1349</v>
      </c>
      <c r="CH454" s="93">
        <f>I154</f>
        <v>0</v>
      </c>
      <c r="CI454" s="74" t="s">
        <v>1338</v>
      </c>
      <c r="CJ454" s="76" t="s">
        <v>1350</v>
      </c>
      <c r="CK454" s="74" t="s">
        <v>99</v>
      </c>
    </row>
    <row r="455" spans="84:89" ht="21.75" customHeight="1" x14ac:dyDescent="0.2">
      <c r="CF455" s="65">
        <v>397</v>
      </c>
      <c r="CG455" s="66" t="s">
        <v>1351</v>
      </c>
      <c r="CH455" s="141" t="str">
        <f>K154</f>
        <v>0</v>
      </c>
      <c r="CI455" s="66" t="s">
        <v>1338</v>
      </c>
      <c r="CJ455" s="68" t="s">
        <v>1352</v>
      </c>
      <c r="CK455" s="66" t="s">
        <v>173</v>
      </c>
    </row>
    <row r="456" spans="84:89" ht="21.75" customHeight="1" x14ac:dyDescent="0.2">
      <c r="CF456" s="73">
        <v>398</v>
      </c>
      <c r="CG456" s="74" t="s">
        <v>1353</v>
      </c>
      <c r="CH456" s="148">
        <f>L154</f>
        <v>0</v>
      </c>
      <c r="CI456" s="74" t="s">
        <v>1338</v>
      </c>
      <c r="CJ456" s="76" t="s">
        <v>1354</v>
      </c>
      <c r="CK456" s="74" t="s">
        <v>189</v>
      </c>
    </row>
    <row r="457" spans="84:89" ht="21.75" customHeight="1" x14ac:dyDescent="0.2">
      <c r="CF457" s="65">
        <v>399</v>
      </c>
      <c r="CG457" s="66" t="s">
        <v>1355</v>
      </c>
      <c r="CH457" s="88">
        <f>M154</f>
        <v>0</v>
      </c>
      <c r="CI457" s="66" t="s">
        <v>1338</v>
      </c>
      <c r="CJ457" s="68" t="s">
        <v>1356</v>
      </c>
      <c r="CK457" s="66" t="s">
        <v>99</v>
      </c>
    </row>
    <row r="458" spans="84:89" ht="25.5" customHeight="1" x14ac:dyDescent="0.2">
      <c r="CF458" s="455" t="s">
        <v>1357</v>
      </c>
      <c r="CG458" s="455"/>
      <c r="CH458" s="455"/>
      <c r="CI458" s="455"/>
      <c r="CJ458" s="455"/>
      <c r="CK458" s="455"/>
    </row>
    <row r="459" spans="84:89" ht="21.75" customHeight="1" x14ac:dyDescent="0.2">
      <c r="CF459" s="73">
        <v>400</v>
      </c>
      <c r="CG459" s="74" t="s">
        <v>1358</v>
      </c>
      <c r="CH459" s="246">
        <f>C155</f>
        <v>0</v>
      </c>
      <c r="CI459" s="74" t="s">
        <v>1359</v>
      </c>
      <c r="CJ459" s="76" t="s">
        <v>1360</v>
      </c>
      <c r="CK459" s="74" t="s">
        <v>378</v>
      </c>
    </row>
    <row r="460" spans="84:89" ht="21.75" customHeight="1" x14ac:dyDescent="0.2">
      <c r="CF460" s="65">
        <v>401</v>
      </c>
      <c r="CG460" s="66" t="s">
        <v>643</v>
      </c>
      <c r="CH460" s="141" t="str">
        <f>D155</f>
        <v>0</v>
      </c>
      <c r="CI460" s="66" t="s">
        <v>1359</v>
      </c>
      <c r="CJ460" s="68" t="s">
        <v>1361</v>
      </c>
      <c r="CK460" s="66" t="s">
        <v>312</v>
      </c>
    </row>
    <row r="461" spans="84:89" ht="21.75" customHeight="1" x14ac:dyDescent="0.2">
      <c r="CF461" s="73">
        <v>402</v>
      </c>
      <c r="CG461" s="74" t="s">
        <v>1362</v>
      </c>
      <c r="CH461" s="93">
        <f>E155</f>
        <v>0</v>
      </c>
      <c r="CI461" s="74" t="s">
        <v>1359</v>
      </c>
      <c r="CJ461" s="76" t="s">
        <v>1363</v>
      </c>
      <c r="CK461" s="74" t="s">
        <v>315</v>
      </c>
    </row>
    <row r="462" spans="84:89" ht="21.75" customHeight="1" x14ac:dyDescent="0.2">
      <c r="CF462" s="65">
        <v>403</v>
      </c>
      <c r="CG462" s="66" t="s">
        <v>1364</v>
      </c>
      <c r="CH462" s="88">
        <f>F155</f>
        <v>0</v>
      </c>
      <c r="CI462" s="66" t="s">
        <v>1359</v>
      </c>
      <c r="CJ462" s="68" t="s">
        <v>1365</v>
      </c>
      <c r="CK462" s="66" t="s">
        <v>99</v>
      </c>
    </row>
    <row r="463" spans="84:89" ht="21.75" customHeight="1" x14ac:dyDescent="0.2">
      <c r="CF463" s="73">
        <v>404</v>
      </c>
      <c r="CG463" s="74" t="s">
        <v>1366</v>
      </c>
      <c r="CH463" s="148">
        <f>G155</f>
        <v>0</v>
      </c>
      <c r="CI463" s="74" t="s">
        <v>1359</v>
      </c>
      <c r="CJ463" s="76" t="s">
        <v>1367</v>
      </c>
      <c r="CK463" s="74" t="s">
        <v>189</v>
      </c>
    </row>
    <row r="464" spans="84:89" ht="21.75" customHeight="1" x14ac:dyDescent="0.2">
      <c r="CF464" s="65">
        <v>405</v>
      </c>
      <c r="CG464" s="66" t="s">
        <v>1368</v>
      </c>
      <c r="CH464" s="88">
        <f>H155</f>
        <v>0</v>
      </c>
      <c r="CI464" s="66" t="s">
        <v>1359</v>
      </c>
      <c r="CJ464" s="68" t="s">
        <v>1369</v>
      </c>
      <c r="CK464" s="66" t="s">
        <v>99</v>
      </c>
    </row>
    <row r="465" spans="2:89" ht="21.75" customHeight="1" x14ac:dyDescent="0.2">
      <c r="CF465" s="73">
        <v>406</v>
      </c>
      <c r="CG465" s="74" t="s">
        <v>1370</v>
      </c>
      <c r="CH465" s="93">
        <f>I155</f>
        <v>0</v>
      </c>
      <c r="CI465" s="74" t="s">
        <v>1359</v>
      </c>
      <c r="CJ465" s="76" t="s">
        <v>1371</v>
      </c>
      <c r="CK465" s="74" t="s">
        <v>99</v>
      </c>
    </row>
    <row r="466" spans="2:89" ht="21.75" customHeight="1" x14ac:dyDescent="0.2">
      <c r="CF466" s="65">
        <v>407</v>
      </c>
      <c r="CG466" s="66" t="s">
        <v>1372</v>
      </c>
      <c r="CH466" s="141" t="str">
        <f>K155</f>
        <v>0</v>
      </c>
      <c r="CI466" s="66" t="s">
        <v>1359</v>
      </c>
      <c r="CJ466" s="68" t="s">
        <v>1373</v>
      </c>
      <c r="CK466" s="66" t="s">
        <v>173</v>
      </c>
    </row>
    <row r="467" spans="2:89" ht="21.75" customHeight="1" x14ac:dyDescent="0.2">
      <c r="CF467" s="73">
        <v>408</v>
      </c>
      <c r="CG467" s="74" t="s">
        <v>1374</v>
      </c>
      <c r="CH467" s="148" t="str">
        <f>L155</f>
        <v>0.00%</v>
      </c>
      <c r="CI467" s="74" t="s">
        <v>1359</v>
      </c>
      <c r="CJ467" s="76" t="s">
        <v>1375</v>
      </c>
      <c r="CK467" s="74" t="s">
        <v>189</v>
      </c>
    </row>
    <row r="468" spans="2:89" ht="21.75" customHeight="1" x14ac:dyDescent="0.2">
      <c r="CF468" s="65">
        <v>409</v>
      </c>
      <c r="CG468" s="66" t="s">
        <v>1376</v>
      </c>
      <c r="CH468" s="88">
        <f>M155</f>
        <v>0</v>
      </c>
      <c r="CI468" s="66" t="s">
        <v>1359</v>
      </c>
      <c r="CJ468" s="68" t="s">
        <v>1377</v>
      </c>
      <c r="CK468" s="66" t="s">
        <v>99</v>
      </c>
    </row>
    <row r="469" spans="2:89" ht="25.5" customHeight="1" x14ac:dyDescent="0.2">
      <c r="B469" s="445"/>
      <c r="C469" s="445"/>
      <c r="CF469" s="455" t="s">
        <v>1378</v>
      </c>
      <c r="CG469" s="455"/>
      <c r="CH469" s="455"/>
      <c r="CI469" s="455"/>
      <c r="CJ469" s="455"/>
      <c r="CK469" s="455"/>
    </row>
    <row r="470" spans="2:89" ht="21.75" customHeight="1" x14ac:dyDescent="0.2">
      <c r="B470" s="446"/>
      <c r="C470" s="446"/>
      <c r="CF470" s="73">
        <v>410</v>
      </c>
      <c r="CG470" s="74" t="s">
        <v>1379</v>
      </c>
      <c r="CH470" s="246">
        <f>C156</f>
        <v>0</v>
      </c>
      <c r="CI470" s="74" t="s">
        <v>1380</v>
      </c>
      <c r="CJ470" s="76" t="s">
        <v>1381</v>
      </c>
      <c r="CK470" s="74" t="s">
        <v>378</v>
      </c>
    </row>
    <row r="471" spans="2:89" ht="21.75" customHeight="1" x14ac:dyDescent="0.2">
      <c r="B471" s="447"/>
      <c r="C471" s="446"/>
      <c r="CF471" s="65">
        <v>411</v>
      </c>
      <c r="CG471" s="66" t="s">
        <v>699</v>
      </c>
      <c r="CH471" s="141" t="str">
        <f>D156</f>
        <v>0</v>
      </c>
      <c r="CI471" s="66" t="s">
        <v>1380</v>
      </c>
      <c r="CJ471" s="68" t="s">
        <v>1382</v>
      </c>
      <c r="CK471" s="66" t="s">
        <v>312</v>
      </c>
    </row>
    <row r="472" spans="2:89" ht="21.75" customHeight="1" x14ac:dyDescent="0.2">
      <c r="B472" s="447"/>
      <c r="C472" s="446"/>
      <c r="CF472" s="73">
        <v>412</v>
      </c>
      <c r="CG472" s="74" t="s">
        <v>1383</v>
      </c>
      <c r="CH472" s="93">
        <f>E156</f>
        <v>0</v>
      </c>
      <c r="CI472" s="74" t="s">
        <v>1380</v>
      </c>
      <c r="CJ472" s="76" t="s">
        <v>1384</v>
      </c>
      <c r="CK472" s="74" t="s">
        <v>315</v>
      </c>
    </row>
    <row r="473" spans="2:89" ht="21.75" customHeight="1" x14ac:dyDescent="0.2">
      <c r="B473" s="446"/>
      <c r="C473" s="446"/>
      <c r="CF473" s="65">
        <v>413</v>
      </c>
      <c r="CG473" s="66" t="s">
        <v>1385</v>
      </c>
      <c r="CH473" s="88">
        <f>F156</f>
        <v>0</v>
      </c>
      <c r="CI473" s="66" t="s">
        <v>1380</v>
      </c>
      <c r="CJ473" s="68" t="s">
        <v>1386</v>
      </c>
      <c r="CK473" s="66" t="s">
        <v>99</v>
      </c>
    </row>
    <row r="474" spans="2:89" ht="21.75" customHeight="1" x14ac:dyDescent="0.2">
      <c r="B474" s="446"/>
      <c r="C474" s="446"/>
      <c r="CF474" s="73">
        <v>414</v>
      </c>
      <c r="CG474" s="74" t="s">
        <v>1387</v>
      </c>
      <c r="CH474" s="148">
        <f>G156</f>
        <v>0</v>
      </c>
      <c r="CI474" s="74" t="s">
        <v>1380</v>
      </c>
      <c r="CJ474" s="76" t="s">
        <v>1388</v>
      </c>
      <c r="CK474" s="74" t="s">
        <v>189</v>
      </c>
    </row>
    <row r="475" spans="2:89" ht="21.75" customHeight="1" x14ac:dyDescent="0.2">
      <c r="B475" s="446"/>
      <c r="C475" s="446"/>
      <c r="CF475" s="65">
        <v>415</v>
      </c>
      <c r="CG475" s="66" t="s">
        <v>1389</v>
      </c>
      <c r="CH475" s="88">
        <f>H156</f>
        <v>0</v>
      </c>
      <c r="CI475" s="66" t="s">
        <v>1380</v>
      </c>
      <c r="CJ475" s="68" t="s">
        <v>1390</v>
      </c>
      <c r="CK475" s="66" t="s">
        <v>99</v>
      </c>
    </row>
    <row r="476" spans="2:89" ht="21.75" customHeight="1" x14ac:dyDescent="0.2">
      <c r="B476" s="446"/>
      <c r="C476" s="446"/>
      <c r="CF476" s="73">
        <v>416</v>
      </c>
      <c r="CG476" s="74" t="s">
        <v>1391</v>
      </c>
      <c r="CH476" s="93">
        <f>I156</f>
        <v>0</v>
      </c>
      <c r="CI476" s="74" t="s">
        <v>1380</v>
      </c>
      <c r="CJ476" s="76" t="s">
        <v>1392</v>
      </c>
      <c r="CK476" s="74" t="s">
        <v>99</v>
      </c>
    </row>
    <row r="477" spans="2:89" ht="21.75" customHeight="1" x14ac:dyDescent="0.2">
      <c r="B477" s="446"/>
      <c r="C477" s="446"/>
      <c r="CF477" s="65">
        <v>417</v>
      </c>
      <c r="CG477" s="66" t="s">
        <v>1393</v>
      </c>
      <c r="CH477" s="141" t="str">
        <f>K156</f>
        <v>0</v>
      </c>
      <c r="CI477" s="66" t="s">
        <v>1380</v>
      </c>
      <c r="CJ477" s="68" t="s">
        <v>1394</v>
      </c>
      <c r="CK477" s="66" t="s">
        <v>173</v>
      </c>
    </row>
    <row r="478" spans="2:89" ht="21.75" customHeight="1" x14ac:dyDescent="0.2">
      <c r="B478" s="446"/>
      <c r="C478" s="446"/>
      <c r="CF478" s="73">
        <v>418</v>
      </c>
      <c r="CG478" s="74" t="s">
        <v>1395</v>
      </c>
      <c r="CH478" s="148" t="str">
        <f>L156</f>
        <v>0.00%</v>
      </c>
      <c r="CI478" s="74" t="s">
        <v>1380</v>
      </c>
      <c r="CJ478" s="76" t="s">
        <v>1396</v>
      </c>
      <c r="CK478" s="74" t="s">
        <v>189</v>
      </c>
    </row>
    <row r="479" spans="2:89" ht="21.75" customHeight="1" x14ac:dyDescent="0.2">
      <c r="B479" s="446"/>
      <c r="C479" s="446"/>
      <c r="CF479" s="65">
        <v>419</v>
      </c>
      <c r="CG479" s="66" t="s">
        <v>1397</v>
      </c>
      <c r="CH479" s="88">
        <f>M156</f>
        <v>0</v>
      </c>
      <c r="CI479" s="66" t="s">
        <v>1380</v>
      </c>
      <c r="CJ479" s="68" t="s">
        <v>1398</v>
      </c>
      <c r="CK479" s="66" t="s">
        <v>99</v>
      </c>
    </row>
    <row r="480" spans="2:89" ht="25.5" customHeight="1" x14ac:dyDescent="0.2">
      <c r="B480" s="446"/>
      <c r="C480" s="446"/>
      <c r="CF480" s="455" t="s">
        <v>1399</v>
      </c>
      <c r="CG480" s="455"/>
      <c r="CH480" s="455"/>
      <c r="CI480" s="455"/>
      <c r="CJ480" s="455"/>
      <c r="CK480" s="455"/>
    </row>
    <row r="481" spans="2:89" ht="21.75" customHeight="1" x14ac:dyDescent="0.2">
      <c r="B481" s="446"/>
      <c r="C481" s="446"/>
      <c r="CF481" s="73">
        <v>420</v>
      </c>
      <c r="CG481" s="74" t="s">
        <v>1400</v>
      </c>
      <c r="CH481" s="246">
        <f>C157</f>
        <v>198</v>
      </c>
      <c r="CI481" s="74" t="s">
        <v>1401</v>
      </c>
      <c r="CJ481" s="76" t="s">
        <v>1402</v>
      </c>
      <c r="CK481" s="74" t="s">
        <v>378</v>
      </c>
    </row>
    <row r="482" spans="2:89" ht="21.75" customHeight="1" x14ac:dyDescent="0.2">
      <c r="B482" s="446"/>
      <c r="C482" s="446"/>
      <c r="CF482" s="65">
        <v>421</v>
      </c>
      <c r="CG482" s="66" t="s">
        <v>1403</v>
      </c>
      <c r="CH482" s="88">
        <f>F157</f>
        <v>349506.38297872309</v>
      </c>
      <c r="CI482" s="66" t="s">
        <v>1401</v>
      </c>
      <c r="CJ482" s="68" t="s">
        <v>1404</v>
      </c>
      <c r="CK482" s="66" t="s">
        <v>99</v>
      </c>
    </row>
    <row r="483" spans="2:89" ht="21.75" customHeight="1" x14ac:dyDescent="0.2">
      <c r="B483" s="446"/>
      <c r="C483" s="446"/>
      <c r="CF483" s="73">
        <v>422</v>
      </c>
      <c r="CG483" s="74" t="s">
        <v>1405</v>
      </c>
      <c r="CH483" s="148">
        <f>G157</f>
        <v>7.9601990049751187E-2</v>
      </c>
      <c r="CI483" s="74" t="s">
        <v>1401</v>
      </c>
      <c r="CJ483" s="76" t="s">
        <v>1406</v>
      </c>
      <c r="CK483" s="74" t="s">
        <v>189</v>
      </c>
    </row>
    <row r="484" spans="2:89" ht="21.75" customHeight="1" x14ac:dyDescent="0.2">
      <c r="B484" s="446"/>
      <c r="C484" s="446"/>
      <c r="CF484" s="65">
        <v>423</v>
      </c>
      <c r="CG484" s="66" t="s">
        <v>1407</v>
      </c>
      <c r="CH484" s="88">
        <f>H157</f>
        <v>2446544.6808510618</v>
      </c>
      <c r="CI484" s="66" t="s">
        <v>1401</v>
      </c>
      <c r="CJ484" s="68" t="s">
        <v>1408</v>
      </c>
      <c r="CK484" s="66" t="s">
        <v>99</v>
      </c>
    </row>
    <row r="485" spans="2:89" ht="21.75" customHeight="1" x14ac:dyDescent="0.2">
      <c r="B485" s="446"/>
      <c r="C485" s="446"/>
      <c r="CF485" s="73">
        <v>424</v>
      </c>
      <c r="CG485" s="74" t="s">
        <v>1409</v>
      </c>
      <c r="CH485" s="93">
        <f>I157</f>
        <v>183490.85106382964</v>
      </c>
      <c r="CI485" s="74" t="s">
        <v>1401</v>
      </c>
      <c r="CJ485" s="76" t="s">
        <v>1410</v>
      </c>
      <c r="CK485" s="74" t="s">
        <v>99</v>
      </c>
    </row>
    <row r="486" spans="2:89" ht="21.75" customHeight="1" x14ac:dyDescent="0.2">
      <c r="B486" s="446"/>
      <c r="C486" s="448"/>
      <c r="CF486" s="65">
        <v>425</v>
      </c>
      <c r="CG486" s="66" t="s">
        <v>1411</v>
      </c>
      <c r="CH486" s="88">
        <f>M157</f>
        <v>2263053.829787232</v>
      </c>
      <c r="CI486" s="66" t="s">
        <v>1401</v>
      </c>
      <c r="CJ486" s="68" t="s">
        <v>1412</v>
      </c>
      <c r="CK486" s="66" t="s">
        <v>99</v>
      </c>
    </row>
    <row r="487" spans="2:89" ht="25.5" customHeight="1" x14ac:dyDescent="0.2">
      <c r="B487" s="446"/>
      <c r="C487" s="448"/>
      <c r="CF487" s="455" t="s">
        <v>1413</v>
      </c>
      <c r="CG487" s="455"/>
      <c r="CH487" s="455"/>
      <c r="CI487" s="455"/>
      <c r="CJ487" s="455"/>
      <c r="CK487" s="455"/>
    </row>
    <row r="488" spans="2:89" ht="21.75" customHeight="1" x14ac:dyDescent="0.2">
      <c r="B488" s="446"/>
      <c r="C488" s="448"/>
      <c r="CF488" s="73">
        <v>426</v>
      </c>
      <c r="CG488" s="74" t="s">
        <v>376</v>
      </c>
      <c r="CH488" s="246">
        <f>R147</f>
        <v>92</v>
      </c>
      <c r="CI488" s="74" t="s">
        <v>1414</v>
      </c>
      <c r="CJ488" s="76" t="s">
        <v>1415</v>
      </c>
      <c r="CK488" s="74" t="s">
        <v>378</v>
      </c>
    </row>
    <row r="489" spans="2:89" ht="21.75" customHeight="1" x14ac:dyDescent="0.2">
      <c r="B489" s="446"/>
      <c r="C489" s="448"/>
      <c r="CF489" s="65">
        <v>427</v>
      </c>
      <c r="CG489" s="66" t="s">
        <v>1198</v>
      </c>
      <c r="CH489" s="154">
        <f>S147</f>
        <v>0</v>
      </c>
      <c r="CI489" s="66" t="s">
        <v>1414</v>
      </c>
      <c r="CJ489" s="68" t="s">
        <v>1416</v>
      </c>
      <c r="CK489" s="66" t="s">
        <v>189</v>
      </c>
    </row>
    <row r="490" spans="2:89" ht="21.75" customHeight="1" x14ac:dyDescent="0.2">
      <c r="B490" s="446"/>
      <c r="C490" s="446"/>
      <c r="CF490" s="73">
        <v>428</v>
      </c>
      <c r="CG490" s="74" t="s">
        <v>1417</v>
      </c>
      <c r="CH490" s="246">
        <f>T147</f>
        <v>0</v>
      </c>
      <c r="CI490" s="74" t="s">
        <v>1414</v>
      </c>
      <c r="CJ490" s="76" t="s">
        <v>1418</v>
      </c>
      <c r="CK490" s="74" t="s">
        <v>1419</v>
      </c>
    </row>
    <row r="491" spans="2:89" ht="21.75" customHeight="1" x14ac:dyDescent="0.2">
      <c r="B491" s="446"/>
      <c r="C491" s="446"/>
      <c r="CF491" s="65">
        <v>429</v>
      </c>
      <c r="CG491" s="66" t="s">
        <v>1420</v>
      </c>
      <c r="CH491" s="88">
        <f>U147</f>
        <v>0</v>
      </c>
      <c r="CI491" s="66" t="s">
        <v>1414</v>
      </c>
      <c r="CJ491" s="68" t="s">
        <v>1421</v>
      </c>
      <c r="CK491" s="66" t="s">
        <v>1422</v>
      </c>
    </row>
    <row r="492" spans="2:89" ht="21.75" customHeight="1" x14ac:dyDescent="0.2">
      <c r="B492" s="446"/>
      <c r="C492" s="446"/>
      <c r="CF492" s="73">
        <v>430</v>
      </c>
      <c r="CG492" s="74" t="s">
        <v>1423</v>
      </c>
      <c r="CH492" s="93">
        <f>V147</f>
        <v>0</v>
      </c>
      <c r="CI492" s="74" t="s">
        <v>1414</v>
      </c>
      <c r="CJ492" s="76" t="s">
        <v>1424</v>
      </c>
      <c r="CK492" s="74" t="s">
        <v>99</v>
      </c>
    </row>
    <row r="493" spans="2:89" ht="21.75" customHeight="1" x14ac:dyDescent="0.2">
      <c r="B493" s="446"/>
      <c r="C493" s="446"/>
      <c r="CF493" s="65">
        <v>431</v>
      </c>
      <c r="CG493" s="66" t="s">
        <v>1425</v>
      </c>
      <c r="CH493" s="154">
        <f>W147</f>
        <v>0</v>
      </c>
      <c r="CI493" s="66" t="s">
        <v>1414</v>
      </c>
      <c r="CJ493" s="68" t="s">
        <v>1426</v>
      </c>
      <c r="CK493" s="66" t="s">
        <v>189</v>
      </c>
    </row>
    <row r="494" spans="2:89" ht="21.75" customHeight="1" x14ac:dyDescent="0.2">
      <c r="CF494" s="73">
        <v>432</v>
      </c>
      <c r="CG494" s="74" t="s">
        <v>1427</v>
      </c>
      <c r="CH494" s="93">
        <f>X147</f>
        <v>0</v>
      </c>
      <c r="CI494" s="74" t="s">
        <v>1414</v>
      </c>
      <c r="CJ494" s="76" t="s">
        <v>1428</v>
      </c>
      <c r="CK494" s="74" t="s">
        <v>99</v>
      </c>
    </row>
    <row r="495" spans="2:89" ht="21.75" customHeight="1" x14ac:dyDescent="0.2">
      <c r="CF495" s="65">
        <v>433</v>
      </c>
      <c r="CG495" s="66" t="s">
        <v>1429</v>
      </c>
      <c r="CH495" s="88">
        <f>Y147</f>
        <v>0</v>
      </c>
      <c r="CI495" s="66" t="s">
        <v>1414</v>
      </c>
      <c r="CJ495" s="68" t="s">
        <v>1430</v>
      </c>
      <c r="CK495" s="66" t="s">
        <v>99</v>
      </c>
    </row>
    <row r="496" spans="2:89" ht="21.75" customHeight="1" x14ac:dyDescent="0.2">
      <c r="D496" s="114"/>
      <c r="CF496" s="73">
        <v>434</v>
      </c>
      <c r="CG496" s="74" t="s">
        <v>1204</v>
      </c>
      <c r="CH496" s="221">
        <f>Z147</f>
        <v>0</v>
      </c>
      <c r="CI496" s="74" t="s">
        <v>1414</v>
      </c>
      <c r="CJ496" s="76" t="s">
        <v>1431</v>
      </c>
      <c r="CK496" s="74" t="s">
        <v>173</v>
      </c>
    </row>
    <row r="497" spans="2:89" ht="21.75" customHeight="1" x14ac:dyDescent="0.2">
      <c r="D497" s="114"/>
      <c r="CF497" s="65">
        <v>435</v>
      </c>
      <c r="CG497" s="66" t="s">
        <v>1206</v>
      </c>
      <c r="CH497" s="154">
        <f>AA147</f>
        <v>0</v>
      </c>
      <c r="CI497" s="66" t="s">
        <v>1414</v>
      </c>
      <c r="CJ497" s="68" t="s">
        <v>1432</v>
      </c>
      <c r="CK497" s="66" t="s">
        <v>189</v>
      </c>
    </row>
    <row r="498" spans="2:89" ht="25.5" customHeight="1" x14ac:dyDescent="0.2">
      <c r="D498" s="114"/>
      <c r="CF498" s="455" t="s">
        <v>1433</v>
      </c>
      <c r="CG498" s="455"/>
      <c r="CH498" s="455"/>
      <c r="CI498" s="455"/>
      <c r="CJ498" s="455"/>
      <c r="CK498" s="455"/>
    </row>
    <row r="499" spans="2:89" ht="21.75" customHeight="1" x14ac:dyDescent="0.2">
      <c r="D499" s="114"/>
      <c r="CF499" s="73">
        <v>436</v>
      </c>
      <c r="CG499" s="74" t="s">
        <v>411</v>
      </c>
      <c r="CH499" s="246">
        <f>R148</f>
        <v>0</v>
      </c>
      <c r="CI499" s="74" t="s">
        <v>1434</v>
      </c>
      <c r="CJ499" s="76" t="s">
        <v>1435</v>
      </c>
      <c r="CK499" s="74" t="s">
        <v>378</v>
      </c>
    </row>
    <row r="500" spans="2:89" ht="21.75" customHeight="1" x14ac:dyDescent="0.2">
      <c r="D500" s="114"/>
      <c r="CF500" s="65">
        <v>437</v>
      </c>
      <c r="CG500" s="66" t="s">
        <v>1219</v>
      </c>
      <c r="CH500" s="154">
        <f>S148</f>
        <v>0</v>
      </c>
      <c r="CI500" s="66" t="s">
        <v>1434</v>
      </c>
      <c r="CJ500" s="68" t="s">
        <v>1436</v>
      </c>
      <c r="CK500" s="66" t="s">
        <v>189</v>
      </c>
    </row>
    <row r="501" spans="2:89" ht="21.75" customHeight="1" x14ac:dyDescent="0.2">
      <c r="D501" s="114"/>
      <c r="CF501" s="73">
        <v>438</v>
      </c>
      <c r="CG501" s="74" t="s">
        <v>1437</v>
      </c>
      <c r="CH501" s="246">
        <f>T148</f>
        <v>0</v>
      </c>
      <c r="CI501" s="74" t="s">
        <v>1434</v>
      </c>
      <c r="CJ501" s="76" t="s">
        <v>1438</v>
      </c>
      <c r="CK501" s="74" t="s">
        <v>1419</v>
      </c>
    </row>
    <row r="502" spans="2:89" ht="21.75" customHeight="1" x14ac:dyDescent="0.2">
      <c r="D502" s="114"/>
      <c r="CF502" s="65">
        <v>439</v>
      </c>
      <c r="CG502" s="66" t="s">
        <v>1439</v>
      </c>
      <c r="CH502" s="88">
        <f>U148</f>
        <v>0</v>
      </c>
      <c r="CI502" s="66" t="s">
        <v>1434</v>
      </c>
      <c r="CJ502" s="68" t="s">
        <v>1440</v>
      </c>
      <c r="CK502" s="66" t="s">
        <v>1422</v>
      </c>
    </row>
    <row r="503" spans="2:89" ht="21.75" customHeight="1" x14ac:dyDescent="0.2">
      <c r="CF503" s="73">
        <v>440</v>
      </c>
      <c r="CG503" s="74" t="s">
        <v>1441</v>
      </c>
      <c r="CH503" s="93" t="str">
        <f>V148</f>
        <v>0</v>
      </c>
      <c r="CI503" s="74" t="s">
        <v>1434</v>
      </c>
      <c r="CJ503" s="76" t="s">
        <v>1442</v>
      </c>
      <c r="CK503" s="74" t="s">
        <v>99</v>
      </c>
    </row>
    <row r="504" spans="2:89" ht="21.75" customHeight="1" x14ac:dyDescent="0.2">
      <c r="D504" s="114"/>
      <c r="CF504" s="65">
        <v>441</v>
      </c>
      <c r="CG504" s="66" t="s">
        <v>1443</v>
      </c>
      <c r="CH504" s="154">
        <f>W148</f>
        <v>0</v>
      </c>
      <c r="CI504" s="66" t="s">
        <v>1434</v>
      </c>
      <c r="CJ504" s="68" t="s">
        <v>1444</v>
      </c>
      <c r="CK504" s="66" t="s">
        <v>189</v>
      </c>
    </row>
    <row r="505" spans="2:89" ht="21.75" customHeight="1" x14ac:dyDescent="0.2">
      <c r="CF505" s="73">
        <v>442</v>
      </c>
      <c r="CG505" s="74" t="s">
        <v>1445</v>
      </c>
      <c r="CH505" s="93">
        <f>X148</f>
        <v>0</v>
      </c>
      <c r="CI505" s="74" t="s">
        <v>1434</v>
      </c>
      <c r="CJ505" s="76" t="s">
        <v>1446</v>
      </c>
      <c r="CK505" s="74" t="s">
        <v>99</v>
      </c>
    </row>
    <row r="506" spans="2:89" ht="21.75" customHeight="1" x14ac:dyDescent="0.2">
      <c r="D506" s="114"/>
      <c r="CF506" s="65">
        <v>443</v>
      </c>
      <c r="CG506" s="66" t="s">
        <v>1447</v>
      </c>
      <c r="CH506" s="88">
        <f>Y148</f>
        <v>0</v>
      </c>
      <c r="CI506" s="66" t="s">
        <v>1434</v>
      </c>
      <c r="CJ506" s="68" t="s">
        <v>1448</v>
      </c>
      <c r="CK506" s="66" t="s">
        <v>99</v>
      </c>
    </row>
    <row r="507" spans="2:89" ht="21.75" customHeight="1" x14ac:dyDescent="0.2">
      <c r="D507" s="114"/>
      <c r="CF507" s="73">
        <v>444</v>
      </c>
      <c r="CG507" s="74" t="s">
        <v>1225</v>
      </c>
      <c r="CH507" s="221">
        <f>Z148</f>
        <v>0</v>
      </c>
      <c r="CI507" s="74" t="s">
        <v>1434</v>
      </c>
      <c r="CJ507" s="76" t="s">
        <v>1449</v>
      </c>
      <c r="CK507" s="74" t="s">
        <v>173</v>
      </c>
    </row>
    <row r="508" spans="2:89" ht="21.75" customHeight="1" x14ac:dyDescent="0.2">
      <c r="D508" s="114"/>
      <c r="CF508" s="65">
        <v>445</v>
      </c>
      <c r="CG508" s="66" t="s">
        <v>1227</v>
      </c>
      <c r="CH508" s="154" t="str">
        <f>AA148</f>
        <v>0.00%</v>
      </c>
      <c r="CI508" s="66" t="s">
        <v>1434</v>
      </c>
      <c r="CJ508" s="68" t="s">
        <v>1450</v>
      </c>
      <c r="CK508" s="66" t="s">
        <v>189</v>
      </c>
    </row>
    <row r="509" spans="2:89" ht="25.5" customHeight="1" x14ac:dyDescent="0.2">
      <c r="D509" s="114"/>
      <c r="CF509" s="455" t="s">
        <v>1451</v>
      </c>
      <c r="CG509" s="455"/>
      <c r="CH509" s="455"/>
      <c r="CI509" s="455"/>
      <c r="CJ509" s="455"/>
      <c r="CK509" s="455"/>
    </row>
    <row r="510" spans="2:89" ht="21.75" customHeight="1" x14ac:dyDescent="0.2">
      <c r="B510" s="446"/>
      <c r="C510" s="446"/>
      <c r="D510" s="114"/>
      <c r="CF510" s="73">
        <v>446</v>
      </c>
      <c r="CG510" s="74" t="s">
        <v>441</v>
      </c>
      <c r="CH510" s="246">
        <f>R149</f>
        <v>0</v>
      </c>
      <c r="CI510" s="74" t="s">
        <v>1452</v>
      </c>
      <c r="CJ510" s="76" t="s">
        <v>1453</v>
      </c>
      <c r="CK510" s="74" t="s">
        <v>378</v>
      </c>
    </row>
    <row r="511" spans="2:89" ht="21.75" customHeight="1" x14ac:dyDescent="0.2">
      <c r="B511" s="446"/>
      <c r="C511" s="446"/>
      <c r="D511" s="114"/>
      <c r="CF511" s="65">
        <v>447</v>
      </c>
      <c r="CG511" s="66" t="s">
        <v>1240</v>
      </c>
      <c r="CH511" s="154">
        <f>S149</f>
        <v>0</v>
      </c>
      <c r="CI511" s="66" t="s">
        <v>1452</v>
      </c>
      <c r="CJ511" s="68" t="s">
        <v>1454</v>
      </c>
      <c r="CK511" s="66" t="s">
        <v>189</v>
      </c>
    </row>
    <row r="512" spans="2:89" ht="21.75" customHeight="1" x14ac:dyDescent="0.2">
      <c r="B512" s="446"/>
      <c r="C512" s="446"/>
      <c r="D512" s="114"/>
      <c r="CF512" s="73">
        <v>448</v>
      </c>
      <c r="CG512" s="74" t="s">
        <v>1455</v>
      </c>
      <c r="CH512" s="246">
        <f>T149</f>
        <v>0</v>
      </c>
      <c r="CI512" s="74" t="s">
        <v>1452</v>
      </c>
      <c r="CJ512" s="76" t="s">
        <v>1456</v>
      </c>
      <c r="CK512" s="74" t="s">
        <v>1419</v>
      </c>
    </row>
    <row r="513" spans="2:89" ht="21.75" customHeight="1" x14ac:dyDescent="0.2">
      <c r="B513" s="446"/>
      <c r="C513" s="446"/>
      <c r="D513" s="114"/>
      <c r="CF513" s="65">
        <v>449</v>
      </c>
      <c r="CG513" s="66" t="s">
        <v>1457</v>
      </c>
      <c r="CH513" s="88">
        <f>U149</f>
        <v>0</v>
      </c>
      <c r="CI513" s="66" t="s">
        <v>1452</v>
      </c>
      <c r="CJ513" s="68" t="s">
        <v>1458</v>
      </c>
      <c r="CK513" s="66" t="s">
        <v>1422</v>
      </c>
    </row>
    <row r="514" spans="2:89" ht="21.75" customHeight="1" x14ac:dyDescent="0.2">
      <c r="B514" s="446"/>
      <c r="C514" s="446"/>
      <c r="D514" s="114"/>
      <c r="CF514" s="73">
        <v>450</v>
      </c>
      <c r="CG514" s="74" t="s">
        <v>1459</v>
      </c>
      <c r="CH514" s="93" t="str">
        <f>V149</f>
        <v>0</v>
      </c>
      <c r="CI514" s="74" t="s">
        <v>1452</v>
      </c>
      <c r="CJ514" s="76" t="s">
        <v>1460</v>
      </c>
      <c r="CK514" s="74" t="s">
        <v>99</v>
      </c>
    </row>
    <row r="515" spans="2:89" ht="21.75" customHeight="1" x14ac:dyDescent="0.2">
      <c r="B515" s="446"/>
      <c r="C515" s="446"/>
      <c r="D515" s="114"/>
      <c r="CF515" s="65">
        <v>451</v>
      </c>
      <c r="CG515" s="66" t="s">
        <v>1461</v>
      </c>
      <c r="CH515" s="154">
        <f>W149</f>
        <v>0</v>
      </c>
      <c r="CI515" s="66" t="s">
        <v>1452</v>
      </c>
      <c r="CJ515" s="68" t="s">
        <v>1462</v>
      </c>
      <c r="CK515" s="66" t="s">
        <v>189</v>
      </c>
    </row>
    <row r="516" spans="2:89" ht="21.75" customHeight="1" x14ac:dyDescent="0.2">
      <c r="B516" s="446"/>
      <c r="C516" s="446"/>
      <c r="D516" s="114"/>
      <c r="CF516" s="73">
        <v>452</v>
      </c>
      <c r="CG516" s="74" t="s">
        <v>1463</v>
      </c>
      <c r="CH516" s="93">
        <f>X149</f>
        <v>0</v>
      </c>
      <c r="CI516" s="74" t="s">
        <v>1452</v>
      </c>
      <c r="CJ516" s="76" t="s">
        <v>1464</v>
      </c>
      <c r="CK516" s="74" t="s">
        <v>99</v>
      </c>
    </row>
    <row r="517" spans="2:89" ht="21.75" customHeight="1" x14ac:dyDescent="0.2">
      <c r="B517" s="446"/>
      <c r="C517" s="446"/>
      <c r="D517" s="114"/>
      <c r="CF517" s="65">
        <v>453</v>
      </c>
      <c r="CG517" s="66" t="s">
        <v>1465</v>
      </c>
      <c r="CH517" s="88">
        <f>Y149</f>
        <v>0</v>
      </c>
      <c r="CI517" s="66" t="s">
        <v>1452</v>
      </c>
      <c r="CJ517" s="68" t="s">
        <v>1466</v>
      </c>
      <c r="CK517" s="66" t="s">
        <v>99</v>
      </c>
    </row>
    <row r="518" spans="2:89" ht="21.75" customHeight="1" x14ac:dyDescent="0.2">
      <c r="B518" s="446"/>
      <c r="C518" s="446"/>
      <c r="D518" s="114"/>
      <c r="CF518" s="73">
        <v>454</v>
      </c>
      <c r="CG518" s="74" t="s">
        <v>1246</v>
      </c>
      <c r="CH518" s="221">
        <f>Z149</f>
        <v>0</v>
      </c>
      <c r="CI518" s="74" t="s">
        <v>1452</v>
      </c>
      <c r="CJ518" s="76" t="s">
        <v>1467</v>
      </c>
      <c r="CK518" s="74" t="s">
        <v>173</v>
      </c>
    </row>
    <row r="519" spans="2:89" ht="21.75" customHeight="1" x14ac:dyDescent="0.2">
      <c r="CF519" s="65">
        <v>455</v>
      </c>
      <c r="CG519" s="66" t="s">
        <v>1248</v>
      </c>
      <c r="CH519" s="154" t="str">
        <f>AA149</f>
        <v>0.00%</v>
      </c>
      <c r="CI519" s="66" t="s">
        <v>1452</v>
      </c>
      <c r="CJ519" s="68" t="s">
        <v>1468</v>
      </c>
      <c r="CK519" s="66" t="s">
        <v>189</v>
      </c>
    </row>
    <row r="520" spans="2:89" ht="25.5" customHeight="1" x14ac:dyDescent="0.2">
      <c r="CF520" s="455" t="s">
        <v>1469</v>
      </c>
      <c r="CG520" s="455"/>
      <c r="CH520" s="455"/>
      <c r="CI520" s="455"/>
      <c r="CJ520" s="455"/>
      <c r="CK520" s="455"/>
    </row>
    <row r="521" spans="2:89" ht="21.75" customHeight="1" x14ac:dyDescent="0.2">
      <c r="CF521" s="73">
        <v>456</v>
      </c>
      <c r="CG521" s="74" t="s">
        <v>474</v>
      </c>
      <c r="CH521" s="246">
        <f>R150</f>
        <v>0</v>
      </c>
      <c r="CI521" s="74" t="s">
        <v>1470</v>
      </c>
      <c r="CJ521" s="76" t="s">
        <v>1471</v>
      </c>
      <c r="CK521" s="74" t="s">
        <v>378</v>
      </c>
    </row>
    <row r="522" spans="2:89" ht="21.75" customHeight="1" x14ac:dyDescent="0.2">
      <c r="CF522" s="65">
        <v>457</v>
      </c>
      <c r="CG522" s="66" t="s">
        <v>1261</v>
      </c>
      <c r="CH522" s="154">
        <f>S150</f>
        <v>0</v>
      </c>
      <c r="CI522" s="66" t="s">
        <v>1470</v>
      </c>
      <c r="CJ522" s="68" t="s">
        <v>1472</v>
      </c>
      <c r="CK522" s="66" t="s">
        <v>189</v>
      </c>
    </row>
    <row r="523" spans="2:89" ht="21.75" customHeight="1" x14ac:dyDescent="0.2">
      <c r="CF523" s="73">
        <v>458</v>
      </c>
      <c r="CG523" s="74" t="s">
        <v>1473</v>
      </c>
      <c r="CH523" s="246">
        <f>T150</f>
        <v>0</v>
      </c>
      <c r="CI523" s="74" t="s">
        <v>1470</v>
      </c>
      <c r="CJ523" s="76" t="s">
        <v>1474</v>
      </c>
      <c r="CK523" s="74" t="s">
        <v>1419</v>
      </c>
    </row>
    <row r="524" spans="2:89" ht="21.75" customHeight="1" x14ac:dyDescent="0.2">
      <c r="CF524" s="65">
        <v>459</v>
      </c>
      <c r="CG524" s="66" t="s">
        <v>1475</v>
      </c>
      <c r="CH524" s="88">
        <f>U150</f>
        <v>0</v>
      </c>
      <c r="CI524" s="66" t="s">
        <v>1470</v>
      </c>
      <c r="CJ524" s="68" t="s">
        <v>1476</v>
      </c>
      <c r="CK524" s="66" t="s">
        <v>1422</v>
      </c>
    </row>
    <row r="525" spans="2:89" ht="21.75" customHeight="1" x14ac:dyDescent="0.2">
      <c r="CF525" s="73">
        <v>460</v>
      </c>
      <c r="CG525" s="74" t="s">
        <v>1477</v>
      </c>
      <c r="CH525" s="93" t="str">
        <f>V150</f>
        <v>0</v>
      </c>
      <c r="CI525" s="74" t="s">
        <v>1470</v>
      </c>
      <c r="CJ525" s="76" t="s">
        <v>1478</v>
      </c>
      <c r="CK525" s="74" t="s">
        <v>99</v>
      </c>
    </row>
    <row r="526" spans="2:89" ht="21.75" customHeight="1" x14ac:dyDescent="0.2">
      <c r="CF526" s="65">
        <v>461</v>
      </c>
      <c r="CG526" s="66" t="s">
        <v>1479</v>
      </c>
      <c r="CH526" s="154">
        <f>W150</f>
        <v>0</v>
      </c>
      <c r="CI526" s="66" t="s">
        <v>1470</v>
      </c>
      <c r="CJ526" s="68" t="s">
        <v>1480</v>
      </c>
      <c r="CK526" s="66" t="s">
        <v>189</v>
      </c>
    </row>
    <row r="527" spans="2:89" ht="21.75" customHeight="1" x14ac:dyDescent="0.2">
      <c r="CF527" s="73">
        <v>462</v>
      </c>
      <c r="CG527" s="74" t="s">
        <v>1481</v>
      </c>
      <c r="CH527" s="93">
        <f>X150</f>
        <v>0</v>
      </c>
      <c r="CI527" s="74" t="s">
        <v>1470</v>
      </c>
      <c r="CJ527" s="76" t="s">
        <v>1482</v>
      </c>
      <c r="CK527" s="74" t="s">
        <v>99</v>
      </c>
    </row>
    <row r="528" spans="2:89" ht="21.75" customHeight="1" x14ac:dyDescent="0.2">
      <c r="CF528" s="65">
        <v>463</v>
      </c>
      <c r="CG528" s="66" t="s">
        <v>1483</v>
      </c>
      <c r="CH528" s="88">
        <f>Y150</f>
        <v>0</v>
      </c>
      <c r="CI528" s="66" t="s">
        <v>1470</v>
      </c>
      <c r="CJ528" s="68" t="s">
        <v>1484</v>
      </c>
      <c r="CK528" s="66" t="s">
        <v>99</v>
      </c>
    </row>
    <row r="529" spans="2:89" ht="21.75" customHeight="1" x14ac:dyDescent="0.2">
      <c r="CF529" s="73">
        <v>464</v>
      </c>
      <c r="CG529" s="74" t="s">
        <v>1267</v>
      </c>
      <c r="CH529" s="221">
        <f>Z150</f>
        <v>0</v>
      </c>
      <c r="CI529" s="74" t="s">
        <v>1470</v>
      </c>
      <c r="CJ529" s="76" t="s">
        <v>1485</v>
      </c>
      <c r="CK529" s="74" t="s">
        <v>173</v>
      </c>
    </row>
    <row r="530" spans="2:89" ht="21.75" customHeight="1" x14ac:dyDescent="0.2">
      <c r="CF530" s="65">
        <v>465</v>
      </c>
      <c r="CG530" s="66" t="s">
        <v>1269</v>
      </c>
      <c r="CH530" s="154" t="str">
        <f>AA150</f>
        <v>0.00%</v>
      </c>
      <c r="CI530" s="66" t="s">
        <v>1470</v>
      </c>
      <c r="CJ530" s="68" t="s">
        <v>1486</v>
      </c>
      <c r="CK530" s="66" t="s">
        <v>189</v>
      </c>
    </row>
    <row r="531" spans="2:89" ht="25.5" customHeight="1" x14ac:dyDescent="0.2">
      <c r="B531" s="446"/>
      <c r="C531" s="446"/>
      <c r="CF531" s="455" t="s">
        <v>1487</v>
      </c>
      <c r="CG531" s="455"/>
      <c r="CH531" s="455"/>
      <c r="CI531" s="455"/>
      <c r="CJ531" s="455"/>
      <c r="CK531" s="455"/>
    </row>
    <row r="532" spans="2:89" ht="21.75" customHeight="1" x14ac:dyDescent="0.2">
      <c r="B532" s="445"/>
      <c r="C532" s="445"/>
      <c r="CF532" s="73">
        <v>466</v>
      </c>
      <c r="CG532" s="74" t="s">
        <v>507</v>
      </c>
      <c r="CH532" s="246">
        <f>R151</f>
        <v>99</v>
      </c>
      <c r="CI532" s="74" t="s">
        <v>1488</v>
      </c>
      <c r="CJ532" s="76" t="s">
        <v>1489</v>
      </c>
      <c r="CK532" s="74" t="s">
        <v>378</v>
      </c>
    </row>
    <row r="533" spans="2:89" ht="21.75" customHeight="1" x14ac:dyDescent="0.2">
      <c r="B533" s="446"/>
      <c r="C533" s="446"/>
      <c r="CF533" s="65">
        <v>467</v>
      </c>
      <c r="CG533" s="66" t="s">
        <v>1282</v>
      </c>
      <c r="CH533" s="154">
        <f>S151</f>
        <v>0.7</v>
      </c>
      <c r="CI533" s="66" t="s">
        <v>1488</v>
      </c>
      <c r="CJ533" s="68" t="s">
        <v>1490</v>
      </c>
      <c r="CK533" s="66" t="s">
        <v>189</v>
      </c>
    </row>
    <row r="534" spans="2:89" ht="21.75" customHeight="1" x14ac:dyDescent="0.2">
      <c r="B534" s="446"/>
      <c r="C534" s="446"/>
      <c r="CF534" s="73">
        <v>468</v>
      </c>
      <c r="CG534" s="74" t="s">
        <v>1491</v>
      </c>
      <c r="CH534" s="246">
        <f>T151</f>
        <v>25294.5</v>
      </c>
      <c r="CI534" s="74" t="s">
        <v>1488</v>
      </c>
      <c r="CJ534" s="76" t="s">
        <v>1492</v>
      </c>
      <c r="CK534" s="74" t="s">
        <v>1419</v>
      </c>
    </row>
    <row r="535" spans="2:89" ht="21.75" customHeight="1" x14ac:dyDescent="0.2">
      <c r="B535" s="446"/>
      <c r="C535" s="446"/>
      <c r="CF535" s="65">
        <v>469</v>
      </c>
      <c r="CG535" s="66" t="s">
        <v>1493</v>
      </c>
      <c r="CH535" s="88">
        <f>U151</f>
        <v>400</v>
      </c>
      <c r="CI535" s="66" t="s">
        <v>1488</v>
      </c>
      <c r="CJ535" s="68" t="s">
        <v>1494</v>
      </c>
      <c r="CK535" s="66" t="s">
        <v>1422</v>
      </c>
    </row>
    <row r="536" spans="2:89" ht="21.75" customHeight="1" x14ac:dyDescent="0.2">
      <c r="B536" s="446"/>
      <c r="C536" s="446"/>
      <c r="CF536" s="73">
        <v>470</v>
      </c>
      <c r="CG536" s="74" t="s">
        <v>1495</v>
      </c>
      <c r="CH536" s="93">
        <f>V151</f>
        <v>102200</v>
      </c>
      <c r="CI536" s="74" t="s">
        <v>1488</v>
      </c>
      <c r="CJ536" s="76" t="s">
        <v>1496</v>
      </c>
      <c r="CK536" s="74" t="s">
        <v>99</v>
      </c>
    </row>
    <row r="537" spans="2:89" ht="21.75" customHeight="1" x14ac:dyDescent="0.2">
      <c r="B537" s="446"/>
      <c r="C537" s="446"/>
      <c r="CF537" s="65">
        <v>471</v>
      </c>
      <c r="CG537" s="66" t="s">
        <v>1497</v>
      </c>
      <c r="CH537" s="154">
        <f>W151</f>
        <v>0</v>
      </c>
      <c r="CI537" s="66" t="s">
        <v>1488</v>
      </c>
      <c r="CJ537" s="68" t="s">
        <v>1498</v>
      </c>
      <c r="CK537" s="66" t="s">
        <v>189</v>
      </c>
    </row>
    <row r="538" spans="2:89" ht="21.75" customHeight="1" x14ac:dyDescent="0.2">
      <c r="B538" s="446"/>
      <c r="C538" s="446"/>
      <c r="CF538" s="73">
        <v>472</v>
      </c>
      <c r="CG538" s="74" t="s">
        <v>1499</v>
      </c>
      <c r="CH538" s="93">
        <f>X151</f>
        <v>10117800</v>
      </c>
      <c r="CI538" s="74" t="s">
        <v>1488</v>
      </c>
      <c r="CJ538" s="76" t="s">
        <v>1500</v>
      </c>
      <c r="CK538" s="74" t="s">
        <v>99</v>
      </c>
    </row>
    <row r="539" spans="2:89" ht="21.75" customHeight="1" x14ac:dyDescent="0.2">
      <c r="B539" s="446"/>
      <c r="C539" s="446"/>
      <c r="CF539" s="65">
        <v>473</v>
      </c>
      <c r="CG539" s="66" t="s">
        <v>1501</v>
      </c>
      <c r="CH539" s="88">
        <f>Y151</f>
        <v>2529450</v>
      </c>
      <c r="CI539" s="66" t="s">
        <v>1488</v>
      </c>
      <c r="CJ539" s="68" t="s">
        <v>1502</v>
      </c>
      <c r="CK539" s="66" t="s">
        <v>99</v>
      </c>
    </row>
    <row r="540" spans="2:89" ht="21.75" customHeight="1" x14ac:dyDescent="0.2">
      <c r="B540" s="446"/>
      <c r="C540" s="446"/>
      <c r="CF540" s="73">
        <v>474</v>
      </c>
      <c r="CG540" s="74" t="s">
        <v>1288</v>
      </c>
      <c r="CH540" s="221">
        <f>Z151</f>
        <v>8.7160408563316647</v>
      </c>
      <c r="CI540" s="74" t="s">
        <v>1488</v>
      </c>
      <c r="CJ540" s="76" t="s">
        <v>1503</v>
      </c>
      <c r="CK540" s="74" t="s">
        <v>173</v>
      </c>
    </row>
    <row r="541" spans="2:89" ht="21.75" customHeight="1" x14ac:dyDescent="0.2">
      <c r="B541" s="446"/>
      <c r="C541" s="446"/>
      <c r="CF541" s="65">
        <v>475</v>
      </c>
      <c r="CG541" s="66" t="s">
        <v>1290</v>
      </c>
      <c r="CH541" s="154">
        <f>AA151</f>
        <v>0.11473099042136337</v>
      </c>
      <c r="CI541" s="66" t="s">
        <v>1488</v>
      </c>
      <c r="CJ541" s="68" t="s">
        <v>1504</v>
      </c>
      <c r="CK541" s="66" t="s">
        <v>189</v>
      </c>
    </row>
    <row r="542" spans="2:89" ht="25.5" customHeight="1" x14ac:dyDescent="0.2">
      <c r="B542" s="446"/>
      <c r="C542" s="446"/>
      <c r="CF542" s="455" t="s">
        <v>1505</v>
      </c>
      <c r="CG542" s="455"/>
      <c r="CH542" s="455"/>
      <c r="CI542" s="455"/>
      <c r="CJ542" s="455"/>
      <c r="CK542" s="455"/>
    </row>
    <row r="543" spans="2:89" ht="21.75" customHeight="1" x14ac:dyDescent="0.2">
      <c r="B543" s="446"/>
      <c r="C543" s="446"/>
      <c r="CF543" s="73">
        <v>476</v>
      </c>
      <c r="CG543" s="74" t="s">
        <v>539</v>
      </c>
      <c r="CH543" s="246">
        <f>R152</f>
        <v>0</v>
      </c>
      <c r="CI543" s="74" t="s">
        <v>1506</v>
      </c>
      <c r="CJ543" s="76" t="s">
        <v>1507</v>
      </c>
      <c r="CK543" s="74" t="s">
        <v>378</v>
      </c>
    </row>
    <row r="544" spans="2:89" ht="21.75" customHeight="1" x14ac:dyDescent="0.2">
      <c r="B544" s="446"/>
      <c r="C544" s="446"/>
      <c r="CF544" s="65">
        <v>477</v>
      </c>
      <c r="CG544" s="66" t="s">
        <v>1303</v>
      </c>
      <c r="CH544" s="154">
        <f>S152</f>
        <v>0</v>
      </c>
      <c r="CI544" s="66" t="s">
        <v>1506</v>
      </c>
      <c r="CJ544" s="68" t="s">
        <v>1508</v>
      </c>
      <c r="CK544" s="66" t="s">
        <v>189</v>
      </c>
    </row>
    <row r="545" spans="2:89" ht="21.75" customHeight="1" x14ac:dyDescent="0.2">
      <c r="B545" s="446"/>
      <c r="C545" s="446"/>
      <c r="CF545" s="73">
        <v>478</v>
      </c>
      <c r="CG545" s="74" t="s">
        <v>1509</v>
      </c>
      <c r="CH545" s="246">
        <f>T152</f>
        <v>0</v>
      </c>
      <c r="CI545" s="74" t="s">
        <v>1506</v>
      </c>
      <c r="CJ545" s="76" t="s">
        <v>1510</v>
      </c>
      <c r="CK545" s="74" t="s">
        <v>1419</v>
      </c>
    </row>
    <row r="546" spans="2:89" ht="21.75" customHeight="1" x14ac:dyDescent="0.2">
      <c r="CF546" s="65">
        <v>479</v>
      </c>
      <c r="CG546" s="66" t="s">
        <v>1511</v>
      </c>
      <c r="CH546" s="88">
        <f>U152</f>
        <v>0</v>
      </c>
      <c r="CI546" s="66" t="s">
        <v>1506</v>
      </c>
      <c r="CJ546" s="68" t="s">
        <v>1512</v>
      </c>
      <c r="CK546" s="66" t="s">
        <v>1422</v>
      </c>
    </row>
    <row r="547" spans="2:89" ht="21.75" customHeight="1" x14ac:dyDescent="0.2">
      <c r="B547" s="446"/>
      <c r="C547" s="446"/>
      <c r="CF547" s="73">
        <v>480</v>
      </c>
      <c r="CG547" s="74" t="s">
        <v>1513</v>
      </c>
      <c r="CH547" s="93" t="str">
        <f>V152</f>
        <v>0</v>
      </c>
      <c r="CI547" s="74" t="s">
        <v>1506</v>
      </c>
      <c r="CJ547" s="76" t="s">
        <v>1514</v>
      </c>
      <c r="CK547" s="74" t="s">
        <v>99</v>
      </c>
    </row>
    <row r="548" spans="2:89" ht="21.75" customHeight="1" x14ac:dyDescent="0.2">
      <c r="B548" s="446"/>
      <c r="C548" s="446"/>
      <c r="CF548" s="65">
        <v>481</v>
      </c>
      <c r="CG548" s="66" t="s">
        <v>1515</v>
      </c>
      <c r="CH548" s="154">
        <f>W152</f>
        <v>0</v>
      </c>
      <c r="CI548" s="66" t="s">
        <v>1506</v>
      </c>
      <c r="CJ548" s="68" t="s">
        <v>1516</v>
      </c>
      <c r="CK548" s="66" t="s">
        <v>189</v>
      </c>
    </row>
    <row r="549" spans="2:89" ht="21.75" customHeight="1" x14ac:dyDescent="0.2">
      <c r="B549" s="446"/>
      <c r="C549" s="446"/>
      <c r="CF549" s="73">
        <v>482</v>
      </c>
      <c r="CG549" s="74" t="s">
        <v>1517</v>
      </c>
      <c r="CH549" s="93">
        <f>X152</f>
        <v>0</v>
      </c>
      <c r="CI549" s="74" t="s">
        <v>1506</v>
      </c>
      <c r="CJ549" s="76" t="s">
        <v>1518</v>
      </c>
      <c r="CK549" s="74" t="s">
        <v>99</v>
      </c>
    </row>
    <row r="550" spans="2:89" ht="21.75" customHeight="1" x14ac:dyDescent="0.2">
      <c r="B550" s="446"/>
      <c r="C550" s="446"/>
      <c r="CF550" s="65">
        <v>483</v>
      </c>
      <c r="CG550" s="66" t="s">
        <v>1519</v>
      </c>
      <c r="CH550" s="88">
        <f>Y152</f>
        <v>0</v>
      </c>
      <c r="CI550" s="66" t="s">
        <v>1506</v>
      </c>
      <c r="CJ550" s="68" t="s">
        <v>1520</v>
      </c>
      <c r="CK550" s="66" t="s">
        <v>99</v>
      </c>
    </row>
    <row r="551" spans="2:89" ht="21.75" customHeight="1" x14ac:dyDescent="0.2">
      <c r="CF551" s="73">
        <v>484</v>
      </c>
      <c r="CG551" s="74" t="s">
        <v>1309</v>
      </c>
      <c r="CH551" s="221">
        <f>Z152</f>
        <v>0</v>
      </c>
      <c r="CI551" s="74" t="s">
        <v>1506</v>
      </c>
      <c r="CJ551" s="76" t="s">
        <v>1521</v>
      </c>
      <c r="CK551" s="74" t="s">
        <v>173</v>
      </c>
    </row>
    <row r="552" spans="2:89" ht="21.75" customHeight="1" x14ac:dyDescent="0.2">
      <c r="B552" s="446"/>
      <c r="C552" s="446"/>
      <c r="CF552" s="65">
        <v>485</v>
      </c>
      <c r="CG552" s="66" t="s">
        <v>1311</v>
      </c>
      <c r="CH552" s="154" t="str">
        <f>AA152</f>
        <v>0.00%</v>
      </c>
      <c r="CI552" s="66" t="s">
        <v>1506</v>
      </c>
      <c r="CJ552" s="68" t="s">
        <v>1522</v>
      </c>
      <c r="CK552" s="66" t="s">
        <v>189</v>
      </c>
    </row>
    <row r="553" spans="2:89" ht="25.5" customHeight="1" x14ac:dyDescent="0.2">
      <c r="B553" s="446"/>
      <c r="C553" s="446"/>
      <c r="CF553" s="455" t="s">
        <v>1523</v>
      </c>
      <c r="CG553" s="455"/>
      <c r="CH553" s="455"/>
      <c r="CI553" s="455"/>
      <c r="CJ553" s="455"/>
      <c r="CK553" s="455"/>
    </row>
    <row r="554" spans="2:89" ht="21.75" customHeight="1" x14ac:dyDescent="0.2">
      <c r="B554" s="445"/>
      <c r="C554" s="445"/>
      <c r="CF554" s="73">
        <v>486</v>
      </c>
      <c r="CG554" s="74" t="s">
        <v>576</v>
      </c>
      <c r="CH554" s="246">
        <f>R153</f>
        <v>7</v>
      </c>
      <c r="CI554" s="74" t="s">
        <v>1524</v>
      </c>
      <c r="CJ554" s="76" t="s">
        <v>1525</v>
      </c>
      <c r="CK554" s="74" t="s">
        <v>378</v>
      </c>
    </row>
    <row r="555" spans="2:89" ht="21.75" customHeight="1" x14ac:dyDescent="0.2">
      <c r="CF555" s="65">
        <v>487</v>
      </c>
      <c r="CG555" s="66" t="s">
        <v>1324</v>
      </c>
      <c r="CH555" s="154">
        <f>S153</f>
        <v>0</v>
      </c>
      <c r="CI555" s="66" t="s">
        <v>1524</v>
      </c>
      <c r="CJ555" s="68" t="s">
        <v>1526</v>
      </c>
      <c r="CK555" s="66" t="s">
        <v>189</v>
      </c>
    </row>
    <row r="556" spans="2:89" ht="21.75" customHeight="1" x14ac:dyDescent="0.2">
      <c r="CF556" s="73">
        <v>488</v>
      </c>
      <c r="CG556" s="74" t="s">
        <v>1527</v>
      </c>
      <c r="CH556" s="246">
        <f>T153</f>
        <v>0</v>
      </c>
      <c r="CI556" s="74" t="s">
        <v>1524</v>
      </c>
      <c r="CJ556" s="76" t="s">
        <v>1528</v>
      </c>
      <c r="CK556" s="74" t="s">
        <v>1419</v>
      </c>
    </row>
    <row r="557" spans="2:89" ht="21.75" customHeight="1" x14ac:dyDescent="0.2">
      <c r="CF557" s="65">
        <v>489</v>
      </c>
      <c r="CG557" s="66" t="s">
        <v>1529</v>
      </c>
      <c r="CH557" s="88">
        <f>U153</f>
        <v>0</v>
      </c>
      <c r="CI557" s="66" t="s">
        <v>1524</v>
      </c>
      <c r="CJ557" s="68" t="s">
        <v>1530</v>
      </c>
      <c r="CK557" s="66" t="s">
        <v>1422</v>
      </c>
    </row>
    <row r="558" spans="2:89" ht="21.75" customHeight="1" x14ac:dyDescent="0.2">
      <c r="B558" s="446"/>
      <c r="C558" s="446"/>
      <c r="CF558" s="73">
        <v>490</v>
      </c>
      <c r="CG558" s="74" t="s">
        <v>1531</v>
      </c>
      <c r="CH558" s="93">
        <f>V153</f>
        <v>0</v>
      </c>
      <c r="CI558" s="74" t="s">
        <v>1524</v>
      </c>
      <c r="CJ558" s="76" t="s">
        <v>1532</v>
      </c>
      <c r="CK558" s="74" t="s">
        <v>99</v>
      </c>
    </row>
    <row r="559" spans="2:89" ht="21.75" customHeight="1" x14ac:dyDescent="0.2">
      <c r="CF559" s="65">
        <v>491</v>
      </c>
      <c r="CG559" s="66" t="s">
        <v>1533</v>
      </c>
      <c r="CH559" s="154">
        <f>W153</f>
        <v>0</v>
      </c>
      <c r="CI559" s="66" t="s">
        <v>1524</v>
      </c>
      <c r="CJ559" s="68" t="s">
        <v>1534</v>
      </c>
      <c r="CK559" s="66" t="s">
        <v>189</v>
      </c>
    </row>
    <row r="560" spans="2:89" ht="21.75" customHeight="1" x14ac:dyDescent="0.2">
      <c r="CF560" s="73">
        <v>492</v>
      </c>
      <c r="CG560" s="74" t="s">
        <v>1535</v>
      </c>
      <c r="CH560" s="93">
        <f>X153</f>
        <v>0</v>
      </c>
      <c r="CI560" s="74" t="s">
        <v>1524</v>
      </c>
      <c r="CJ560" s="76" t="s">
        <v>1536</v>
      </c>
      <c r="CK560" s="74" t="s">
        <v>99</v>
      </c>
    </row>
    <row r="561" spans="84:89" ht="21.75" customHeight="1" x14ac:dyDescent="0.2">
      <c r="CF561" s="65">
        <v>493</v>
      </c>
      <c r="CG561" s="66" t="s">
        <v>1537</v>
      </c>
      <c r="CH561" s="88">
        <f>Y153</f>
        <v>0</v>
      </c>
      <c r="CI561" s="66" t="s">
        <v>1524</v>
      </c>
      <c r="CJ561" s="68" t="s">
        <v>1538</v>
      </c>
      <c r="CK561" s="66" t="s">
        <v>99</v>
      </c>
    </row>
    <row r="562" spans="84:89" ht="21.75" customHeight="1" x14ac:dyDescent="0.2">
      <c r="CF562" s="73">
        <v>494</v>
      </c>
      <c r="CG562" s="74" t="s">
        <v>1330</v>
      </c>
      <c r="CH562" s="221">
        <f>Z153</f>
        <v>0</v>
      </c>
      <c r="CI562" s="74" t="s">
        <v>1524</v>
      </c>
      <c r="CJ562" s="76" t="s">
        <v>1539</v>
      </c>
      <c r="CK562" s="74" t="s">
        <v>173</v>
      </c>
    </row>
    <row r="563" spans="84:89" ht="21.75" customHeight="1" x14ac:dyDescent="0.2">
      <c r="CF563" s="65">
        <v>495</v>
      </c>
      <c r="CG563" s="66" t="s">
        <v>1332</v>
      </c>
      <c r="CH563" s="154">
        <f>AA153</f>
        <v>0</v>
      </c>
      <c r="CI563" s="66" t="s">
        <v>1524</v>
      </c>
      <c r="CJ563" s="68" t="s">
        <v>1540</v>
      </c>
      <c r="CK563" s="66" t="s">
        <v>189</v>
      </c>
    </row>
    <row r="564" spans="84:89" ht="25.5" customHeight="1" x14ac:dyDescent="0.2">
      <c r="CF564" s="455" t="s">
        <v>1541</v>
      </c>
      <c r="CG564" s="455"/>
      <c r="CH564" s="455"/>
      <c r="CI564" s="455"/>
      <c r="CJ564" s="455"/>
      <c r="CK564" s="455"/>
    </row>
    <row r="565" spans="84:89" ht="21.75" customHeight="1" x14ac:dyDescent="0.2">
      <c r="CF565" s="73">
        <v>496</v>
      </c>
      <c r="CG565" s="74" t="s">
        <v>601</v>
      </c>
      <c r="CH565" s="246">
        <f>R154</f>
        <v>0</v>
      </c>
      <c r="CI565" s="74" t="s">
        <v>1542</v>
      </c>
      <c r="CJ565" s="76" t="s">
        <v>1543</v>
      </c>
      <c r="CK565" s="74" t="s">
        <v>378</v>
      </c>
    </row>
    <row r="566" spans="84:89" ht="21.75" customHeight="1" x14ac:dyDescent="0.2">
      <c r="CF566" s="65">
        <v>497</v>
      </c>
      <c r="CG566" s="66" t="s">
        <v>1345</v>
      </c>
      <c r="CH566" s="154">
        <f>S154</f>
        <v>0</v>
      </c>
      <c r="CI566" s="66" t="s">
        <v>1542</v>
      </c>
      <c r="CJ566" s="68" t="s">
        <v>1544</v>
      </c>
      <c r="CK566" s="66" t="s">
        <v>189</v>
      </c>
    </row>
    <row r="567" spans="84:89" ht="21.75" customHeight="1" x14ac:dyDescent="0.2">
      <c r="CF567" s="73">
        <v>498</v>
      </c>
      <c r="CG567" s="74" t="s">
        <v>1545</v>
      </c>
      <c r="CH567" s="246">
        <f>T154</f>
        <v>0</v>
      </c>
      <c r="CI567" s="74" t="s">
        <v>1542</v>
      </c>
      <c r="CJ567" s="76" t="s">
        <v>1546</v>
      </c>
      <c r="CK567" s="74" t="s">
        <v>1419</v>
      </c>
    </row>
    <row r="568" spans="84:89" ht="21.75" customHeight="1" x14ac:dyDescent="0.2">
      <c r="CF568" s="65">
        <v>499</v>
      </c>
      <c r="CG568" s="66" t="s">
        <v>1547</v>
      </c>
      <c r="CH568" s="88">
        <f>U154</f>
        <v>0</v>
      </c>
      <c r="CI568" s="66" t="s">
        <v>1542</v>
      </c>
      <c r="CJ568" s="68" t="s">
        <v>1548</v>
      </c>
      <c r="CK568" s="66" t="s">
        <v>1422</v>
      </c>
    </row>
    <row r="569" spans="84:89" ht="21.75" customHeight="1" x14ac:dyDescent="0.2">
      <c r="CF569" s="73">
        <v>500</v>
      </c>
      <c r="CG569" s="74" t="s">
        <v>1549</v>
      </c>
      <c r="CH569" s="93" t="str">
        <f>V154</f>
        <v>0</v>
      </c>
      <c r="CI569" s="74" t="s">
        <v>1542</v>
      </c>
      <c r="CJ569" s="76" t="s">
        <v>1550</v>
      </c>
      <c r="CK569" s="74" t="s">
        <v>99</v>
      </c>
    </row>
    <row r="570" spans="84:89" ht="21.75" customHeight="1" x14ac:dyDescent="0.2">
      <c r="CF570" s="65">
        <v>501</v>
      </c>
      <c r="CG570" s="66" t="s">
        <v>1551</v>
      </c>
      <c r="CH570" s="154">
        <f>W154</f>
        <v>0</v>
      </c>
      <c r="CI570" s="66" t="s">
        <v>1542</v>
      </c>
      <c r="CJ570" s="68" t="s">
        <v>1552</v>
      </c>
      <c r="CK570" s="66" t="s">
        <v>189</v>
      </c>
    </row>
    <row r="571" spans="84:89" ht="21.75" customHeight="1" x14ac:dyDescent="0.2">
      <c r="CF571" s="73">
        <v>502</v>
      </c>
      <c r="CG571" s="74" t="s">
        <v>1553</v>
      </c>
      <c r="CH571" s="93">
        <f>X154</f>
        <v>0</v>
      </c>
      <c r="CI571" s="74" t="s">
        <v>1542</v>
      </c>
      <c r="CJ571" s="76" t="s">
        <v>1554</v>
      </c>
      <c r="CK571" s="74" t="s">
        <v>99</v>
      </c>
    </row>
    <row r="572" spans="84:89" ht="21.75" customHeight="1" x14ac:dyDescent="0.2">
      <c r="CF572" s="65">
        <v>503</v>
      </c>
      <c r="CG572" s="66" t="s">
        <v>1555</v>
      </c>
      <c r="CH572" s="88">
        <f>Y154</f>
        <v>0</v>
      </c>
      <c r="CI572" s="66" t="s">
        <v>1542</v>
      </c>
      <c r="CJ572" s="68" t="s">
        <v>1556</v>
      </c>
      <c r="CK572" s="66" t="s">
        <v>99</v>
      </c>
    </row>
    <row r="573" spans="84:89" ht="21.75" customHeight="1" x14ac:dyDescent="0.2">
      <c r="CF573" s="73">
        <v>504</v>
      </c>
      <c r="CG573" s="74" t="s">
        <v>1351</v>
      </c>
      <c r="CH573" s="221">
        <f>Z154</f>
        <v>0</v>
      </c>
      <c r="CI573" s="74" t="s">
        <v>1542</v>
      </c>
      <c r="CJ573" s="76" t="s">
        <v>1557</v>
      </c>
      <c r="CK573" s="74" t="s">
        <v>173</v>
      </c>
    </row>
    <row r="574" spans="84:89" ht="21.75" customHeight="1" x14ac:dyDescent="0.2">
      <c r="CF574" s="65">
        <v>505</v>
      </c>
      <c r="CG574" s="66" t="s">
        <v>1353</v>
      </c>
      <c r="CH574" s="154">
        <f>AA154</f>
        <v>0</v>
      </c>
      <c r="CI574" s="66" t="s">
        <v>1542</v>
      </c>
      <c r="CJ574" s="68" t="s">
        <v>1558</v>
      </c>
      <c r="CK574" s="66" t="s">
        <v>189</v>
      </c>
    </row>
    <row r="575" spans="84:89" ht="25.5" customHeight="1" x14ac:dyDescent="0.2">
      <c r="CF575" s="455" t="s">
        <v>1559</v>
      </c>
      <c r="CG575" s="455"/>
      <c r="CH575" s="455"/>
      <c r="CI575" s="455"/>
      <c r="CJ575" s="455"/>
      <c r="CK575" s="455"/>
    </row>
    <row r="576" spans="84:89" ht="21.75" customHeight="1" x14ac:dyDescent="0.2">
      <c r="CF576" s="73">
        <v>506</v>
      </c>
      <c r="CG576" s="74" t="s">
        <v>645</v>
      </c>
      <c r="CH576" s="246">
        <f>R155</f>
        <v>0</v>
      </c>
      <c r="CI576" s="74" t="s">
        <v>1560</v>
      </c>
      <c r="CJ576" s="76" t="s">
        <v>1561</v>
      </c>
      <c r="CK576" s="74" t="s">
        <v>378</v>
      </c>
    </row>
    <row r="577" spans="84:89" ht="21.75" customHeight="1" x14ac:dyDescent="0.2">
      <c r="CF577" s="65">
        <v>507</v>
      </c>
      <c r="CG577" s="66" t="s">
        <v>1366</v>
      </c>
      <c r="CH577" s="154">
        <f>S155</f>
        <v>0</v>
      </c>
      <c r="CI577" s="66" t="s">
        <v>1560</v>
      </c>
      <c r="CJ577" s="68" t="s">
        <v>1562</v>
      </c>
      <c r="CK577" s="66" t="s">
        <v>189</v>
      </c>
    </row>
    <row r="578" spans="84:89" ht="21.75" customHeight="1" x14ac:dyDescent="0.2">
      <c r="CF578" s="73">
        <v>508</v>
      </c>
      <c r="CG578" s="74" t="s">
        <v>1563</v>
      </c>
      <c r="CH578" s="246">
        <f>T155</f>
        <v>0</v>
      </c>
      <c r="CI578" s="74" t="s">
        <v>1560</v>
      </c>
      <c r="CJ578" s="76" t="s">
        <v>1564</v>
      </c>
      <c r="CK578" s="74" t="s">
        <v>1419</v>
      </c>
    </row>
    <row r="579" spans="84:89" ht="21.75" customHeight="1" x14ac:dyDescent="0.2">
      <c r="CF579" s="65">
        <v>509</v>
      </c>
      <c r="CG579" s="66" t="s">
        <v>1565</v>
      </c>
      <c r="CH579" s="88">
        <f>U155</f>
        <v>0</v>
      </c>
      <c r="CI579" s="66" t="s">
        <v>1560</v>
      </c>
      <c r="CJ579" s="68" t="s">
        <v>1566</v>
      </c>
      <c r="CK579" s="66" t="s">
        <v>1422</v>
      </c>
    </row>
    <row r="580" spans="84:89" ht="21.75" customHeight="1" x14ac:dyDescent="0.2">
      <c r="CF580" s="73">
        <v>510</v>
      </c>
      <c r="CG580" s="74" t="s">
        <v>1567</v>
      </c>
      <c r="CH580" s="93" t="str">
        <f>V155</f>
        <v>0</v>
      </c>
      <c r="CI580" s="74" t="s">
        <v>1560</v>
      </c>
      <c r="CJ580" s="76" t="s">
        <v>1568</v>
      </c>
      <c r="CK580" s="74" t="s">
        <v>99</v>
      </c>
    </row>
    <row r="581" spans="84:89" ht="21.75" customHeight="1" x14ac:dyDescent="0.2">
      <c r="CF581" s="65">
        <v>511</v>
      </c>
      <c r="CG581" s="66" t="s">
        <v>1569</v>
      </c>
      <c r="CH581" s="154">
        <f>W155</f>
        <v>0</v>
      </c>
      <c r="CI581" s="66" t="s">
        <v>1560</v>
      </c>
      <c r="CJ581" s="68" t="s">
        <v>1570</v>
      </c>
      <c r="CK581" s="66" t="s">
        <v>189</v>
      </c>
    </row>
    <row r="582" spans="84:89" ht="21.75" customHeight="1" x14ac:dyDescent="0.2">
      <c r="CF582" s="73">
        <v>512</v>
      </c>
      <c r="CG582" s="74" t="s">
        <v>1571</v>
      </c>
      <c r="CH582" s="93">
        <f>X155</f>
        <v>0</v>
      </c>
      <c r="CI582" s="74" t="s">
        <v>1560</v>
      </c>
      <c r="CJ582" s="76" t="s">
        <v>1572</v>
      </c>
      <c r="CK582" s="74" t="s">
        <v>99</v>
      </c>
    </row>
    <row r="583" spans="84:89" ht="21.75" customHeight="1" x14ac:dyDescent="0.2">
      <c r="CF583" s="65">
        <v>513</v>
      </c>
      <c r="CG583" s="66" t="s">
        <v>1573</v>
      </c>
      <c r="CH583" s="88">
        <f>Y155</f>
        <v>0</v>
      </c>
      <c r="CI583" s="66" t="s">
        <v>1560</v>
      </c>
      <c r="CJ583" s="68" t="s">
        <v>1574</v>
      </c>
      <c r="CK583" s="66" t="s">
        <v>99</v>
      </c>
    </row>
    <row r="584" spans="84:89" ht="21.75" customHeight="1" x14ac:dyDescent="0.2">
      <c r="CF584" s="73">
        <v>514</v>
      </c>
      <c r="CG584" s="74" t="s">
        <v>1372</v>
      </c>
      <c r="CH584" s="221">
        <f>Z155</f>
        <v>0</v>
      </c>
      <c r="CI584" s="74" t="s">
        <v>1560</v>
      </c>
      <c r="CJ584" s="76" t="s">
        <v>1575</v>
      </c>
      <c r="CK584" s="74" t="s">
        <v>173</v>
      </c>
    </row>
    <row r="585" spans="84:89" ht="21.75" customHeight="1" x14ac:dyDescent="0.2">
      <c r="CF585" s="65">
        <v>515</v>
      </c>
      <c r="CG585" s="66" t="s">
        <v>1374</v>
      </c>
      <c r="CH585" s="154" t="str">
        <f>AA155</f>
        <v>0.00%</v>
      </c>
      <c r="CI585" s="66" t="s">
        <v>1560</v>
      </c>
      <c r="CJ585" s="68" t="s">
        <v>1576</v>
      </c>
      <c r="CK585" s="66" t="s">
        <v>189</v>
      </c>
    </row>
    <row r="586" spans="84:89" ht="25.5" customHeight="1" x14ac:dyDescent="0.2">
      <c r="CF586" s="455" t="s">
        <v>1577</v>
      </c>
      <c r="CG586" s="455"/>
      <c r="CH586" s="455"/>
      <c r="CI586" s="455"/>
      <c r="CJ586" s="455"/>
      <c r="CK586" s="455"/>
    </row>
    <row r="587" spans="84:89" ht="21.75" customHeight="1" x14ac:dyDescent="0.2">
      <c r="CF587" s="73">
        <v>516</v>
      </c>
      <c r="CG587" s="74" t="s">
        <v>702</v>
      </c>
      <c r="CH587" s="246">
        <f>R156</f>
        <v>0</v>
      </c>
      <c r="CI587" s="74" t="s">
        <v>1578</v>
      </c>
      <c r="CJ587" s="76" t="s">
        <v>1579</v>
      </c>
      <c r="CK587" s="74" t="s">
        <v>378</v>
      </c>
    </row>
    <row r="588" spans="84:89" ht="21.75" customHeight="1" x14ac:dyDescent="0.2">
      <c r="CF588" s="65">
        <v>517</v>
      </c>
      <c r="CG588" s="66" t="s">
        <v>1387</v>
      </c>
      <c r="CH588" s="154">
        <f>S156</f>
        <v>0</v>
      </c>
      <c r="CI588" s="66" t="s">
        <v>1578</v>
      </c>
      <c r="CJ588" s="68" t="s">
        <v>1580</v>
      </c>
      <c r="CK588" s="66" t="s">
        <v>189</v>
      </c>
    </row>
    <row r="589" spans="84:89" ht="21.75" customHeight="1" x14ac:dyDescent="0.2">
      <c r="CF589" s="73">
        <v>518</v>
      </c>
      <c r="CG589" s="74" t="s">
        <v>1581</v>
      </c>
      <c r="CH589" s="246">
        <f>T156</f>
        <v>0</v>
      </c>
      <c r="CI589" s="74" t="s">
        <v>1578</v>
      </c>
      <c r="CJ589" s="76" t="s">
        <v>1582</v>
      </c>
      <c r="CK589" s="74" t="s">
        <v>1419</v>
      </c>
    </row>
    <row r="590" spans="84:89" ht="21.75" customHeight="1" x14ac:dyDescent="0.2">
      <c r="CF590" s="65">
        <v>519</v>
      </c>
      <c r="CG590" s="66" t="s">
        <v>1583</v>
      </c>
      <c r="CH590" s="88">
        <f>U156</f>
        <v>0</v>
      </c>
      <c r="CI590" s="66" t="s">
        <v>1578</v>
      </c>
      <c r="CJ590" s="68" t="s">
        <v>1584</v>
      </c>
      <c r="CK590" s="66" t="s">
        <v>1422</v>
      </c>
    </row>
    <row r="591" spans="84:89" ht="21.75" customHeight="1" x14ac:dyDescent="0.2">
      <c r="CF591" s="73">
        <v>520</v>
      </c>
      <c r="CG591" s="74" t="s">
        <v>1585</v>
      </c>
      <c r="CH591" s="93" t="str">
        <f>V156</f>
        <v>0</v>
      </c>
      <c r="CI591" s="74" t="s">
        <v>1578</v>
      </c>
      <c r="CJ591" s="76" t="s">
        <v>1586</v>
      </c>
      <c r="CK591" s="74" t="s">
        <v>99</v>
      </c>
    </row>
    <row r="592" spans="84:89" ht="21.75" customHeight="1" x14ac:dyDescent="0.2">
      <c r="CF592" s="65">
        <v>521</v>
      </c>
      <c r="CG592" s="66" t="s">
        <v>1587</v>
      </c>
      <c r="CH592" s="154">
        <f>W156</f>
        <v>0</v>
      </c>
      <c r="CI592" s="66" t="s">
        <v>1578</v>
      </c>
      <c r="CJ592" s="68" t="s">
        <v>1588</v>
      </c>
      <c r="CK592" s="66" t="s">
        <v>189</v>
      </c>
    </row>
    <row r="593" spans="84:89" ht="21.75" customHeight="1" x14ac:dyDescent="0.2">
      <c r="CF593" s="73">
        <v>522</v>
      </c>
      <c r="CG593" s="74" t="s">
        <v>1589</v>
      </c>
      <c r="CH593" s="93">
        <f>X156</f>
        <v>0</v>
      </c>
      <c r="CI593" s="74" t="s">
        <v>1578</v>
      </c>
      <c r="CJ593" s="76" t="s">
        <v>1590</v>
      </c>
      <c r="CK593" s="74" t="s">
        <v>99</v>
      </c>
    </row>
    <row r="594" spans="84:89" ht="21.75" customHeight="1" x14ac:dyDescent="0.2">
      <c r="CF594" s="65">
        <v>523</v>
      </c>
      <c r="CG594" s="66" t="s">
        <v>1591</v>
      </c>
      <c r="CH594" s="88">
        <f>Y156</f>
        <v>0</v>
      </c>
      <c r="CI594" s="66" t="s">
        <v>1578</v>
      </c>
      <c r="CJ594" s="68" t="s">
        <v>1592</v>
      </c>
      <c r="CK594" s="66" t="s">
        <v>99</v>
      </c>
    </row>
    <row r="595" spans="84:89" ht="21.75" customHeight="1" x14ac:dyDescent="0.2">
      <c r="CF595" s="73">
        <v>524</v>
      </c>
      <c r="CG595" s="74" t="s">
        <v>1393</v>
      </c>
      <c r="CH595" s="221">
        <f>Z156</f>
        <v>0</v>
      </c>
      <c r="CI595" s="74" t="s">
        <v>1578</v>
      </c>
      <c r="CJ595" s="76" t="s">
        <v>1593</v>
      </c>
      <c r="CK595" s="74" t="s">
        <v>173</v>
      </c>
    </row>
    <row r="596" spans="84:89" ht="21.75" customHeight="1" x14ac:dyDescent="0.2">
      <c r="CF596" s="65">
        <v>525</v>
      </c>
      <c r="CG596" s="66" t="s">
        <v>1395</v>
      </c>
      <c r="CH596" s="154" t="str">
        <f>AA156</f>
        <v>0.00%</v>
      </c>
      <c r="CI596" s="66" t="s">
        <v>1578</v>
      </c>
      <c r="CJ596" s="68" t="s">
        <v>1594</v>
      </c>
      <c r="CK596" s="66" t="s">
        <v>189</v>
      </c>
    </row>
    <row r="597" spans="84:89" ht="25.5" customHeight="1" x14ac:dyDescent="0.2">
      <c r="CF597" s="455" t="s">
        <v>1595</v>
      </c>
      <c r="CG597" s="455"/>
      <c r="CH597" s="455"/>
      <c r="CI597" s="455"/>
      <c r="CJ597" s="455"/>
      <c r="CK597" s="455"/>
    </row>
    <row r="598" spans="84:89" ht="21.75" customHeight="1" x14ac:dyDescent="0.2">
      <c r="CF598" s="73">
        <v>526</v>
      </c>
      <c r="CG598" s="74" t="s">
        <v>1596</v>
      </c>
      <c r="CH598" s="246">
        <f>R157</f>
        <v>198</v>
      </c>
      <c r="CI598" s="74" t="s">
        <v>1597</v>
      </c>
      <c r="CJ598" s="76" t="s">
        <v>1598</v>
      </c>
      <c r="CK598" s="74" t="s">
        <v>378</v>
      </c>
    </row>
    <row r="599" spans="84:89" ht="21.75" customHeight="1" x14ac:dyDescent="0.2">
      <c r="CF599" s="65">
        <v>527</v>
      </c>
      <c r="CG599" s="66" t="s">
        <v>1599</v>
      </c>
      <c r="CH599" s="231">
        <f>T157</f>
        <v>25294.5</v>
      </c>
      <c r="CI599" s="66" t="s">
        <v>1597</v>
      </c>
      <c r="CJ599" s="68" t="s">
        <v>1600</v>
      </c>
      <c r="CK599" s="66" t="s">
        <v>1419</v>
      </c>
    </row>
    <row r="600" spans="84:89" ht="21.75" customHeight="1" x14ac:dyDescent="0.2">
      <c r="CF600" s="73">
        <v>528</v>
      </c>
      <c r="CG600" s="74" t="s">
        <v>1601</v>
      </c>
      <c r="CH600" s="93">
        <f>X157</f>
        <v>10117800</v>
      </c>
      <c r="CI600" s="74" t="s">
        <v>1597</v>
      </c>
      <c r="CJ600" s="76" t="s">
        <v>1602</v>
      </c>
      <c r="CK600" s="74" t="s">
        <v>99</v>
      </c>
    </row>
    <row r="601" spans="84:89" ht="21.75" customHeight="1" x14ac:dyDescent="0.2">
      <c r="CF601" s="65">
        <v>529</v>
      </c>
      <c r="CG601" s="66" t="s">
        <v>1603</v>
      </c>
      <c r="CH601" s="88">
        <f>Y157</f>
        <v>2529450</v>
      </c>
      <c r="CI601" s="66" t="s">
        <v>1597</v>
      </c>
      <c r="CJ601" s="68" t="s">
        <v>1604</v>
      </c>
      <c r="CK601" s="66" t="s">
        <v>99</v>
      </c>
    </row>
    <row r="602" spans="84:89" ht="25.5" customHeight="1" x14ac:dyDescent="0.2">
      <c r="CF602" s="455" t="s">
        <v>1605</v>
      </c>
      <c r="CG602" s="455"/>
      <c r="CH602" s="455"/>
      <c r="CI602" s="455"/>
      <c r="CJ602" s="455"/>
      <c r="CK602" s="455"/>
    </row>
    <row r="603" spans="84:89" ht="21.75" customHeight="1" x14ac:dyDescent="0.2">
      <c r="CF603" s="73">
        <v>530</v>
      </c>
      <c r="CG603" s="74" t="s">
        <v>1606</v>
      </c>
      <c r="CH603" s="93">
        <f t="shared" ref="CH603:CH608" si="171">C303</f>
        <v>37908700.132978767</v>
      </c>
      <c r="CI603" s="74" t="s">
        <v>1607</v>
      </c>
      <c r="CJ603" s="76" t="s">
        <v>1608</v>
      </c>
      <c r="CK603" s="74" t="s">
        <v>99</v>
      </c>
    </row>
    <row r="604" spans="84:89" ht="21.75" customHeight="1" x14ac:dyDescent="0.2">
      <c r="CF604" s="65">
        <v>531</v>
      </c>
      <c r="CG604" s="66" t="s">
        <v>1609</v>
      </c>
      <c r="CH604" s="88">
        <f t="shared" si="171"/>
        <v>29265516.502659611</v>
      </c>
      <c r="CI604" s="66" t="s">
        <v>1607</v>
      </c>
      <c r="CJ604" s="68" t="s">
        <v>1610</v>
      </c>
      <c r="CK604" s="66" t="s">
        <v>99</v>
      </c>
    </row>
    <row r="605" spans="84:89" ht="21.75" customHeight="1" x14ac:dyDescent="0.2">
      <c r="CF605" s="73">
        <v>532</v>
      </c>
      <c r="CG605" s="74" t="s">
        <v>1611</v>
      </c>
      <c r="CH605" s="93">
        <f t="shared" si="171"/>
        <v>34951821.522606425</v>
      </c>
      <c r="CI605" s="74" t="s">
        <v>1607</v>
      </c>
      <c r="CJ605" s="76" t="s">
        <v>1612</v>
      </c>
      <c r="CK605" s="74" t="s">
        <v>99</v>
      </c>
    </row>
    <row r="606" spans="84:89" ht="21.75" customHeight="1" x14ac:dyDescent="0.2">
      <c r="CF606" s="65">
        <v>533</v>
      </c>
      <c r="CG606" s="66" t="s">
        <v>1613</v>
      </c>
      <c r="CH606" s="231">
        <f t="shared" si="171"/>
        <v>35</v>
      </c>
      <c r="CI606" s="66" t="s">
        <v>1607</v>
      </c>
      <c r="CJ606" s="68" t="s">
        <v>1614</v>
      </c>
      <c r="CK606" s="66" t="s">
        <v>378</v>
      </c>
    </row>
    <row r="607" spans="84:89" ht="21.75" customHeight="1" x14ac:dyDescent="0.2">
      <c r="CF607" s="73">
        <v>534</v>
      </c>
      <c r="CG607" s="74" t="s">
        <v>1615</v>
      </c>
      <c r="CH607" s="93">
        <f t="shared" si="171"/>
        <v>1083105.7180851076</v>
      </c>
      <c r="CI607" s="74" t="s">
        <v>1607</v>
      </c>
      <c r="CJ607" s="76" t="s">
        <v>1616</v>
      </c>
      <c r="CK607" s="74" t="s">
        <v>99</v>
      </c>
    </row>
    <row r="608" spans="84:89" ht="21.75" customHeight="1" x14ac:dyDescent="0.2">
      <c r="CF608" s="65">
        <v>535</v>
      </c>
      <c r="CG608" s="66" t="s">
        <v>1617</v>
      </c>
      <c r="CH608" s="88">
        <f t="shared" si="171"/>
        <v>568630.50199468143</v>
      </c>
      <c r="CI608" s="66" t="s">
        <v>1607</v>
      </c>
      <c r="CJ608" s="68" t="s">
        <v>1618</v>
      </c>
      <c r="CK608" s="66" t="s">
        <v>99</v>
      </c>
    </row>
    <row r="609" spans="84:89" ht="21.75" customHeight="1" x14ac:dyDescent="0.2">
      <c r="CF609" s="73">
        <v>536</v>
      </c>
      <c r="CG609" s="74" t="s">
        <v>1619</v>
      </c>
      <c r="CH609" s="148">
        <f>D308</f>
        <v>1.4999999999999999E-2</v>
      </c>
      <c r="CI609" s="74" t="s">
        <v>1607</v>
      </c>
      <c r="CJ609" s="76" t="s">
        <v>1620</v>
      </c>
      <c r="CK609" s="74" t="s">
        <v>189</v>
      </c>
    </row>
    <row r="610" spans="84:89" ht="21.75" customHeight="1" x14ac:dyDescent="0.2">
      <c r="CF610" s="65">
        <v>537</v>
      </c>
      <c r="CG610" s="66" t="s">
        <v>1621</v>
      </c>
      <c r="CH610" s="88">
        <f>C309</f>
        <v>379087.00132978766</v>
      </c>
      <c r="CI610" s="66" t="s">
        <v>1607</v>
      </c>
      <c r="CJ610" s="68" t="s">
        <v>1622</v>
      </c>
      <c r="CK610" s="66" t="s">
        <v>99</v>
      </c>
    </row>
    <row r="611" spans="84:89" ht="21.75" customHeight="1" x14ac:dyDescent="0.2">
      <c r="CF611" s="73">
        <v>538</v>
      </c>
      <c r="CG611" s="74" t="s">
        <v>1623</v>
      </c>
      <c r="CH611" s="148">
        <f>D309</f>
        <v>0.01</v>
      </c>
      <c r="CI611" s="74" t="s">
        <v>1607</v>
      </c>
      <c r="CJ611" s="76" t="s">
        <v>1624</v>
      </c>
      <c r="CK611" s="74" t="s">
        <v>189</v>
      </c>
    </row>
    <row r="612" spans="84:89" ht="21.75" customHeight="1" x14ac:dyDescent="0.2">
      <c r="CF612" s="65">
        <v>539</v>
      </c>
      <c r="CG612" s="66" t="s">
        <v>1625</v>
      </c>
      <c r="CH612" s="88">
        <f>C310</f>
        <v>113726.10039893631</v>
      </c>
      <c r="CI612" s="66" t="s">
        <v>1607</v>
      </c>
      <c r="CJ612" s="68" t="s">
        <v>1626</v>
      </c>
      <c r="CK612" s="66" t="s">
        <v>99</v>
      </c>
    </row>
    <row r="613" spans="84:89" ht="21.75" customHeight="1" x14ac:dyDescent="0.2">
      <c r="CF613" s="73">
        <v>540</v>
      </c>
      <c r="CG613" s="74" t="s">
        <v>1627</v>
      </c>
      <c r="CH613" s="148">
        <f>D310</f>
        <v>3.0000000000000001E-3</v>
      </c>
      <c r="CI613" s="74" t="s">
        <v>1607</v>
      </c>
      <c r="CJ613" s="76" t="s">
        <v>1628</v>
      </c>
      <c r="CK613" s="74" t="s">
        <v>189</v>
      </c>
    </row>
    <row r="614" spans="84:89" ht="21.75" customHeight="1" x14ac:dyDescent="0.2">
      <c r="CF614" s="65">
        <v>541</v>
      </c>
      <c r="CG614" s="66" t="s">
        <v>1629</v>
      </c>
      <c r="CH614" s="88">
        <f>C311</f>
        <v>1895435.0066489384</v>
      </c>
      <c r="CI614" s="66" t="s">
        <v>1607</v>
      </c>
      <c r="CJ614" s="68" t="s">
        <v>1630</v>
      </c>
      <c r="CK614" s="66" t="s">
        <v>99</v>
      </c>
    </row>
    <row r="615" spans="84:89" ht="21.75" customHeight="1" x14ac:dyDescent="0.2">
      <c r="CF615" s="73">
        <v>542</v>
      </c>
      <c r="CG615" s="74" t="s">
        <v>1631</v>
      </c>
      <c r="CH615" s="148">
        <f>D311</f>
        <v>0.05</v>
      </c>
      <c r="CI615" s="74" t="s">
        <v>1607</v>
      </c>
      <c r="CJ615" s="76" t="s">
        <v>1632</v>
      </c>
      <c r="CK615" s="74" t="s">
        <v>189</v>
      </c>
    </row>
    <row r="616" spans="84:89" ht="21.75" customHeight="1" x14ac:dyDescent="0.2">
      <c r="CF616" s="65">
        <v>543</v>
      </c>
      <c r="CG616" s="66" t="s">
        <v>1633</v>
      </c>
      <c r="CH616" s="88">
        <f>C312</f>
        <v>5686305.0199468145</v>
      </c>
      <c r="CI616" s="66" t="s">
        <v>1607</v>
      </c>
      <c r="CJ616" s="68" t="s">
        <v>1634</v>
      </c>
      <c r="CK616" s="66" t="s">
        <v>99</v>
      </c>
    </row>
    <row r="617" spans="84:89" ht="21.75" customHeight="1" x14ac:dyDescent="0.2">
      <c r="CF617" s="73">
        <v>544</v>
      </c>
      <c r="CG617" s="74" t="s">
        <v>1635</v>
      </c>
      <c r="CH617" s="148">
        <f>D312</f>
        <v>0.15</v>
      </c>
      <c r="CI617" s="74" t="s">
        <v>1607</v>
      </c>
      <c r="CJ617" s="76" t="s">
        <v>1636</v>
      </c>
      <c r="CK617" s="74" t="s">
        <v>189</v>
      </c>
    </row>
    <row r="618" spans="84:89" ht="21.75" customHeight="1" x14ac:dyDescent="0.2">
      <c r="CF618" s="65">
        <v>545</v>
      </c>
      <c r="CG618" s="66" t="s">
        <v>1637</v>
      </c>
      <c r="CH618" s="88">
        <f>C313</f>
        <v>36847256.52925536</v>
      </c>
      <c r="CI618" s="66" t="s">
        <v>1607</v>
      </c>
      <c r="CJ618" s="68" t="s">
        <v>1638</v>
      </c>
      <c r="CK618" s="66" t="s">
        <v>99</v>
      </c>
    </row>
    <row r="619" spans="84:89" ht="25.5" customHeight="1" x14ac:dyDescent="0.2">
      <c r="CF619" s="455" t="s">
        <v>1639</v>
      </c>
      <c r="CG619" s="455"/>
      <c r="CH619" s="455"/>
      <c r="CI619" s="455"/>
      <c r="CJ619" s="455"/>
      <c r="CK619" s="455"/>
    </row>
    <row r="620" spans="84:89" ht="21.75" customHeight="1" x14ac:dyDescent="0.2">
      <c r="CF620" s="73">
        <v>546</v>
      </c>
      <c r="CG620" s="74" t="s">
        <v>1640</v>
      </c>
      <c r="CH620" s="93">
        <f>E321</f>
        <v>831000</v>
      </c>
      <c r="CI620" s="74" t="s">
        <v>1641</v>
      </c>
      <c r="CJ620" s="76" t="s">
        <v>1642</v>
      </c>
      <c r="CK620" s="74" t="s">
        <v>99</v>
      </c>
    </row>
    <row r="621" spans="84:89" ht="21.75" customHeight="1" x14ac:dyDescent="0.2">
      <c r="CF621" s="65">
        <v>547</v>
      </c>
      <c r="CG621" s="66" t="s">
        <v>1643</v>
      </c>
      <c r="CH621" s="154">
        <f>C321</f>
        <v>0.01</v>
      </c>
      <c r="CI621" s="66" t="s">
        <v>1641</v>
      </c>
      <c r="CJ621" s="68" t="s">
        <v>1644</v>
      </c>
      <c r="CK621" s="66" t="s">
        <v>189</v>
      </c>
    </row>
    <row r="622" spans="84:89" ht="21.75" customHeight="1" x14ac:dyDescent="0.2">
      <c r="CF622" s="73">
        <v>548</v>
      </c>
      <c r="CG622" s="74" t="s">
        <v>1645</v>
      </c>
      <c r="CH622" s="93">
        <f>E322</f>
        <v>727354.5823138298</v>
      </c>
      <c r="CI622" s="74" t="s">
        <v>1641</v>
      </c>
      <c r="CJ622" s="76" t="s">
        <v>1646</v>
      </c>
      <c r="CK622" s="74" t="s">
        <v>99</v>
      </c>
    </row>
    <row r="623" spans="84:89" ht="21.75" customHeight="1" x14ac:dyDescent="0.2">
      <c r="CF623" s="65">
        <v>549</v>
      </c>
      <c r="CG623" s="66" t="s">
        <v>1647</v>
      </c>
      <c r="CH623" s="154">
        <f>C322</f>
        <v>0.01</v>
      </c>
      <c r="CI623" s="66" t="s">
        <v>1641</v>
      </c>
      <c r="CJ623" s="68" t="s">
        <v>1648</v>
      </c>
      <c r="CK623" s="66" t="s">
        <v>189</v>
      </c>
    </row>
    <row r="624" spans="84:89" ht="21.75" customHeight="1" x14ac:dyDescent="0.2">
      <c r="CF624" s="73">
        <v>550</v>
      </c>
      <c r="CG624" s="74" t="s">
        <v>1649</v>
      </c>
      <c r="CH624" s="93">
        <f>E323</f>
        <v>3033135.5048495675</v>
      </c>
      <c r="CI624" s="74" t="s">
        <v>1641</v>
      </c>
      <c r="CJ624" s="76" t="s">
        <v>1650</v>
      </c>
      <c r="CK624" s="74" t="s">
        <v>99</v>
      </c>
    </row>
    <row r="625" spans="84:89" ht="21.75" customHeight="1" x14ac:dyDescent="0.2">
      <c r="CF625" s="65">
        <v>551</v>
      </c>
      <c r="CG625" s="66" t="s">
        <v>1651</v>
      </c>
      <c r="CH625" s="154">
        <f>C323</f>
        <v>1.2500000000000001E-2</v>
      </c>
      <c r="CI625" s="66" t="s">
        <v>1641</v>
      </c>
      <c r="CJ625" s="68" t="s">
        <v>1652</v>
      </c>
      <c r="CK625" s="66" t="s">
        <v>189</v>
      </c>
    </row>
    <row r="626" spans="84:89" ht="21.75" customHeight="1" x14ac:dyDescent="0.2">
      <c r="CF626" s="73">
        <v>552</v>
      </c>
      <c r="CG626" s="74" t="s">
        <v>1653</v>
      </c>
      <c r="CH626" s="93">
        <f>E324</f>
        <v>481453.53749999998</v>
      </c>
      <c r="CI626" s="74" t="s">
        <v>1641</v>
      </c>
      <c r="CJ626" s="76" t="s">
        <v>1654</v>
      </c>
      <c r="CK626" s="74" t="s">
        <v>99</v>
      </c>
    </row>
    <row r="627" spans="84:89" ht="21.75" customHeight="1" x14ac:dyDescent="0.2">
      <c r="CF627" s="65">
        <v>553</v>
      </c>
      <c r="CG627" s="66" t="s">
        <v>1655</v>
      </c>
      <c r="CH627" s="154">
        <f>C324</f>
        <v>7.4999999999999997E-3</v>
      </c>
      <c r="CI627" s="66" t="s">
        <v>1641</v>
      </c>
      <c r="CJ627" s="68" t="s">
        <v>1656</v>
      </c>
      <c r="CK627" s="66" t="s">
        <v>189</v>
      </c>
    </row>
    <row r="628" spans="84:89" ht="21.75" customHeight="1" x14ac:dyDescent="0.2">
      <c r="CF628" s="73">
        <v>554</v>
      </c>
      <c r="CG628" s="74" t="s">
        <v>1657</v>
      </c>
      <c r="CH628" s="93">
        <f>E325</f>
        <v>-5072943.6246633977</v>
      </c>
      <c r="CI628" s="74" t="s">
        <v>1641</v>
      </c>
      <c r="CJ628" s="76" t="s">
        <v>1658</v>
      </c>
      <c r="CK628" s="74" t="s">
        <v>99</v>
      </c>
    </row>
    <row r="629" spans="84:89" ht="25.5" customHeight="1" x14ac:dyDescent="0.2">
      <c r="CF629" s="455" t="s">
        <v>1659</v>
      </c>
      <c r="CG629" s="455"/>
      <c r="CH629" s="455"/>
      <c r="CI629" s="455"/>
      <c r="CJ629" s="455"/>
      <c r="CK629" s="455"/>
    </row>
    <row r="630" spans="84:89" ht="21.75" customHeight="1" x14ac:dyDescent="0.2">
      <c r="CF630" s="65">
        <v>555</v>
      </c>
      <c r="CG630" s="66" t="s">
        <v>1660</v>
      </c>
      <c r="CH630" s="154">
        <f>F242</f>
        <v>7.2999999999999995E-2</v>
      </c>
      <c r="CI630" s="66" t="s">
        <v>1661</v>
      </c>
      <c r="CJ630" s="68" t="s">
        <v>1662</v>
      </c>
      <c r="CK630" s="66" t="s">
        <v>189</v>
      </c>
    </row>
    <row r="631" spans="84:89" ht="21.75" customHeight="1" x14ac:dyDescent="0.2">
      <c r="CF631" s="73">
        <v>556</v>
      </c>
      <c r="CG631" s="74" t="s">
        <v>1663</v>
      </c>
      <c r="CH631" s="148">
        <f>F244</f>
        <v>1.8249999999999999E-2</v>
      </c>
      <c r="CI631" s="74" t="s">
        <v>1661</v>
      </c>
      <c r="CJ631" s="76" t="s">
        <v>1664</v>
      </c>
      <c r="CK631" s="74" t="s">
        <v>189</v>
      </c>
    </row>
    <row r="632" spans="84:89" ht="25.5" customHeight="1" x14ac:dyDescent="0.2">
      <c r="CF632" s="455" t="s">
        <v>1665</v>
      </c>
      <c r="CG632" s="455"/>
      <c r="CH632" s="455"/>
      <c r="CI632" s="455"/>
      <c r="CJ632" s="455"/>
      <c r="CK632" s="455"/>
    </row>
    <row r="633" spans="84:89" ht="21.75" customHeight="1" x14ac:dyDescent="0.2">
      <c r="CF633" s="65">
        <v>557</v>
      </c>
      <c r="CG633" s="66" t="s">
        <v>1666</v>
      </c>
      <c r="CH633" s="88">
        <f t="shared" ref="CH633:CH642" si="172">C180</f>
        <v>20000000</v>
      </c>
      <c r="CI633" s="66" t="s">
        <v>1667</v>
      </c>
      <c r="CJ633" s="68" t="s">
        <v>1668</v>
      </c>
      <c r="CK633" s="66" t="s">
        <v>99</v>
      </c>
    </row>
    <row r="634" spans="84:89" ht="21.75" customHeight="1" x14ac:dyDescent="0.2">
      <c r="CF634" s="73">
        <v>558</v>
      </c>
      <c r="CG634" s="74" t="s">
        <v>1669</v>
      </c>
      <c r="CH634" s="93">
        <f t="shared" si="172"/>
        <v>0</v>
      </c>
      <c r="CI634" s="74" t="s">
        <v>1667</v>
      </c>
      <c r="CJ634" s="76" t="s">
        <v>1670</v>
      </c>
      <c r="CK634" s="74" t="s">
        <v>99</v>
      </c>
    </row>
    <row r="635" spans="84:89" ht="21.75" customHeight="1" x14ac:dyDescent="0.2">
      <c r="CF635" s="65">
        <v>559</v>
      </c>
      <c r="CG635" s="66" t="s">
        <v>1671</v>
      </c>
      <c r="CH635" s="88">
        <f t="shared" si="172"/>
        <v>10147458.231382981</v>
      </c>
      <c r="CI635" s="66" t="s">
        <v>1667</v>
      </c>
      <c r="CJ635" s="68" t="s">
        <v>1672</v>
      </c>
      <c r="CK635" s="66" t="s">
        <v>99</v>
      </c>
    </row>
    <row r="636" spans="84:89" ht="21.75" customHeight="1" x14ac:dyDescent="0.2">
      <c r="CF636" s="73">
        <v>560</v>
      </c>
      <c r="CG636" s="74" t="s">
        <v>1673</v>
      </c>
      <c r="CH636" s="93">
        <f t="shared" si="172"/>
        <v>42588000</v>
      </c>
      <c r="CI636" s="74" t="s">
        <v>1667</v>
      </c>
      <c r="CJ636" s="76" t="s">
        <v>1674</v>
      </c>
      <c r="CK636" s="74" t="s">
        <v>99</v>
      </c>
    </row>
    <row r="637" spans="84:89" ht="21.75" customHeight="1" x14ac:dyDescent="0.2">
      <c r="CF637" s="65">
        <v>561</v>
      </c>
      <c r="CG637" s="66" t="s">
        <v>1675</v>
      </c>
      <c r="CH637" s="88">
        <f t="shared" si="172"/>
        <v>36847256.52925536</v>
      </c>
      <c r="CI637" s="66" t="s">
        <v>1667</v>
      </c>
      <c r="CJ637" s="68" t="s">
        <v>1676</v>
      </c>
      <c r="CK637" s="66" t="s">
        <v>99</v>
      </c>
    </row>
    <row r="638" spans="84:89" ht="21.75" customHeight="1" x14ac:dyDescent="0.2">
      <c r="CF638" s="73">
        <v>562</v>
      </c>
      <c r="CG638" s="74" t="s">
        <v>1677</v>
      </c>
      <c r="CH638" s="93">
        <f t="shared" si="172"/>
        <v>2446544.6808510618</v>
      </c>
      <c r="CI638" s="74" t="s">
        <v>1667</v>
      </c>
      <c r="CJ638" s="76" t="s">
        <v>1678</v>
      </c>
      <c r="CK638" s="74" t="s">
        <v>99</v>
      </c>
    </row>
    <row r="639" spans="84:89" ht="21.75" customHeight="1" x14ac:dyDescent="0.2">
      <c r="CF639" s="65">
        <v>563</v>
      </c>
      <c r="CG639" s="66" t="s">
        <v>1679</v>
      </c>
      <c r="CH639" s="88">
        <f t="shared" si="172"/>
        <v>10117800</v>
      </c>
      <c r="CI639" s="66" t="s">
        <v>1667</v>
      </c>
      <c r="CJ639" s="68" t="s">
        <v>1680</v>
      </c>
      <c r="CK639" s="66" t="s">
        <v>99</v>
      </c>
    </row>
    <row r="640" spans="84:89" ht="21.75" customHeight="1" x14ac:dyDescent="0.2">
      <c r="CF640" s="73">
        <v>564</v>
      </c>
      <c r="CG640" s="74" t="s">
        <v>1681</v>
      </c>
      <c r="CH640" s="93">
        <f t="shared" si="172"/>
        <v>83210774.080712393</v>
      </c>
      <c r="CI640" s="74" t="s">
        <v>1667</v>
      </c>
      <c r="CJ640" s="76" t="s">
        <v>1682</v>
      </c>
      <c r="CK640" s="74" t="s">
        <v>99</v>
      </c>
    </row>
    <row r="641" spans="84:133" ht="21.75" customHeight="1" x14ac:dyDescent="0.2">
      <c r="CF641" s="65">
        <v>565</v>
      </c>
      <c r="CG641" s="66" t="s">
        <v>1683</v>
      </c>
      <c r="CH641" s="88">
        <f t="shared" si="172"/>
        <v>136693172.87234038</v>
      </c>
      <c r="CI641" s="66" t="s">
        <v>1667</v>
      </c>
      <c r="CJ641" s="68" t="s">
        <v>1684</v>
      </c>
      <c r="CK641" s="66" t="s">
        <v>99</v>
      </c>
    </row>
    <row r="642" spans="84:133" ht="21.75" customHeight="1" x14ac:dyDescent="0.2">
      <c r="CF642" s="73">
        <v>566</v>
      </c>
      <c r="CG642" s="74" t="s">
        <v>1685</v>
      </c>
      <c r="CH642" s="93">
        <f t="shared" si="172"/>
        <v>83100000</v>
      </c>
      <c r="CI642" s="74" t="s">
        <v>1667</v>
      </c>
      <c r="CJ642" s="76" t="s">
        <v>1686</v>
      </c>
      <c r="CK642" s="74" t="s">
        <v>99</v>
      </c>
    </row>
    <row r="643" spans="84:133" ht="21.75" customHeight="1" x14ac:dyDescent="0.2">
      <c r="CF643" s="65">
        <v>567</v>
      </c>
      <c r="CG643" s="66" t="s">
        <v>1687</v>
      </c>
      <c r="CH643" s="88">
        <f t="shared" ref="CH643:CH648" si="173">C191</f>
        <v>-83100000</v>
      </c>
      <c r="CI643" s="66" t="s">
        <v>1667</v>
      </c>
      <c r="CJ643" s="68" t="s">
        <v>1688</v>
      </c>
      <c r="CK643" s="66" t="s">
        <v>99</v>
      </c>
    </row>
    <row r="644" spans="84:133" ht="21.75" customHeight="1" x14ac:dyDescent="0.2">
      <c r="CF644" s="73">
        <v>568</v>
      </c>
      <c r="CG644" s="74" t="s">
        <v>1689</v>
      </c>
      <c r="CH644" s="148">
        <f t="shared" si="173"/>
        <v>7.2999999999999995E-2</v>
      </c>
      <c r="CI644" s="74" t="s">
        <v>1667</v>
      </c>
      <c r="CJ644" s="76" t="s">
        <v>1690</v>
      </c>
      <c r="CK644" s="74" t="s">
        <v>189</v>
      </c>
    </row>
    <row r="645" spans="84:133" ht="21.75" customHeight="1" x14ac:dyDescent="0.2">
      <c r="CF645" s="65">
        <v>569</v>
      </c>
      <c r="CG645" s="66" t="s">
        <v>1691</v>
      </c>
      <c r="CH645" s="154">
        <f t="shared" si="173"/>
        <v>5.0000000000000001E-3</v>
      </c>
      <c r="CI645" s="66" t="s">
        <v>1667</v>
      </c>
      <c r="CJ645" s="68" t="s">
        <v>1692</v>
      </c>
      <c r="CK645" s="66" t="s">
        <v>189</v>
      </c>
    </row>
    <row r="646" spans="84:133" ht="21.75" customHeight="1" x14ac:dyDescent="0.2">
      <c r="CF646" s="73">
        <v>570</v>
      </c>
      <c r="CG646" s="74" t="s">
        <v>1693</v>
      </c>
      <c r="CH646" s="93">
        <f t="shared" si="173"/>
        <v>-60840000</v>
      </c>
      <c r="CI646" s="74" t="s">
        <v>1667</v>
      </c>
      <c r="CJ646" s="76" t="s">
        <v>1694</v>
      </c>
      <c r="CK646" s="74" t="s">
        <v>99</v>
      </c>
    </row>
    <row r="647" spans="84:133" ht="21.75" customHeight="1" x14ac:dyDescent="0.2">
      <c r="CF647" s="65">
        <v>571</v>
      </c>
      <c r="CG647" s="66" t="s">
        <v>1695</v>
      </c>
      <c r="CH647" s="88">
        <f t="shared" si="173"/>
        <v>-3353805</v>
      </c>
      <c r="CI647" s="66" t="s">
        <v>1667</v>
      </c>
      <c r="CJ647" s="68" t="s">
        <v>1696</v>
      </c>
      <c r="CK647" s="66" t="s">
        <v>99</v>
      </c>
    </row>
    <row r="648" spans="84:133" ht="21.75" customHeight="1" x14ac:dyDescent="0.2">
      <c r="CF648" s="73">
        <v>572</v>
      </c>
      <c r="CG648" s="74" t="s">
        <v>1697</v>
      </c>
      <c r="CH648" s="93">
        <f t="shared" si="173"/>
        <v>-81179665.851063833</v>
      </c>
      <c r="CI648" s="74" t="s">
        <v>1667</v>
      </c>
      <c r="CJ648" s="76" t="s">
        <v>1698</v>
      </c>
      <c r="CK648" s="74" t="s">
        <v>99</v>
      </c>
    </row>
    <row r="649" spans="84:133" ht="21.75" customHeight="1" x14ac:dyDescent="0.2">
      <c r="CF649" s="65">
        <v>573</v>
      </c>
      <c r="CG649" s="66" t="s">
        <v>1699</v>
      </c>
      <c r="CH649" s="88">
        <f>C218</f>
        <v>63577104.776960149</v>
      </c>
      <c r="CI649" s="66" t="s">
        <v>1667</v>
      </c>
      <c r="CJ649" s="68" t="s">
        <v>1700</v>
      </c>
      <c r="CK649" s="66" t="s">
        <v>99</v>
      </c>
    </row>
    <row r="650" spans="84:133" ht="21.75" customHeight="1" x14ac:dyDescent="0.2">
      <c r="CF650" s="73">
        <v>574</v>
      </c>
      <c r="CG650" s="74" t="s">
        <v>1701</v>
      </c>
      <c r="CH650" s="93">
        <f>C219</f>
        <v>205738443.386199</v>
      </c>
      <c r="CI650" s="74" t="s">
        <v>1667</v>
      </c>
      <c r="CJ650" s="76" t="s">
        <v>1702</v>
      </c>
      <c r="CK650" s="74" t="s">
        <v>99</v>
      </c>
    </row>
    <row r="651" spans="84:133" ht="21.75" customHeight="1" x14ac:dyDescent="0.2">
      <c r="CF651" s="65">
        <v>575</v>
      </c>
      <c r="CG651" s="66" t="s">
        <v>1703</v>
      </c>
      <c r="CH651" s="88">
        <f>C220</f>
        <v>269315548.16315919</v>
      </c>
      <c r="CI651" s="66" t="s">
        <v>1667</v>
      </c>
      <c r="CJ651" s="68" t="s">
        <v>1704</v>
      </c>
      <c r="CK651" s="66" t="s">
        <v>99</v>
      </c>
    </row>
    <row r="652" spans="84:133" ht="21.75" customHeight="1" x14ac:dyDescent="0.2">
      <c r="CF652" s="73">
        <v>576</v>
      </c>
      <c r="CG652" s="74" t="s">
        <v>1705</v>
      </c>
      <c r="CH652" s="93">
        <f>C221</f>
        <v>63577104.776960194</v>
      </c>
      <c r="CI652" s="74" t="s">
        <v>1667</v>
      </c>
      <c r="CJ652" s="76" t="s">
        <v>1706</v>
      </c>
      <c r="CK652" s="74" t="s">
        <v>99</v>
      </c>
    </row>
    <row r="653" spans="84:133" ht="12.75" x14ac:dyDescent="0.2">
      <c r="CF653" s="65">
        <v>577</v>
      </c>
      <c r="CG653" s="66" t="s">
        <v>1707</v>
      </c>
      <c r="CH653" s="88" t="str">
        <f>F179</f>
        <v>Q1</v>
      </c>
      <c r="CI653" s="88" t="str">
        <f t="shared" ref="CI653:CR653" si="174">G179</f>
        <v>Q2</v>
      </c>
      <c r="CJ653" s="88" t="str">
        <f t="shared" si="174"/>
        <v>Q3</v>
      </c>
      <c r="CK653" s="88" t="str">
        <f t="shared" si="174"/>
        <v>Q4</v>
      </c>
      <c r="CL653" s="88" t="str">
        <f t="shared" si="174"/>
        <v>Q5</v>
      </c>
      <c r="CM653" s="88" t="str">
        <f t="shared" si="174"/>
        <v>Q6</v>
      </c>
      <c r="CN653" s="88" t="str">
        <f t="shared" si="174"/>
        <v>Q7</v>
      </c>
      <c r="CO653" s="88" t="str">
        <f t="shared" si="174"/>
        <v>Q8</v>
      </c>
      <c r="CP653" s="88" t="str">
        <f t="shared" si="174"/>
        <v>Q9</v>
      </c>
      <c r="CQ653" s="88" t="str">
        <f t="shared" si="174"/>
        <v>Q10</v>
      </c>
      <c r="CR653" s="88" t="str">
        <f t="shared" si="174"/>
        <v>Q11</v>
      </c>
      <c r="CS653" s="88" t="str">
        <f t="shared" ref="CS653" si="175">Q179</f>
        <v>Q12</v>
      </c>
      <c r="CT653" s="88" t="str">
        <f t="shared" ref="CT653" si="176">R179</f>
        <v>Q13</v>
      </c>
      <c r="CU653" s="88" t="str">
        <f t="shared" ref="CU653" si="177">S179</f>
        <v>Q14</v>
      </c>
      <c r="CV653" s="88" t="str">
        <f t="shared" ref="CV653" si="178">T179</f>
        <v>Q15</v>
      </c>
      <c r="CW653" s="88" t="str">
        <f t="shared" ref="CW653" si="179">U179</f>
        <v>Q16</v>
      </c>
      <c r="CX653" s="88" t="str">
        <f t="shared" ref="CX653" si="180">V179</f>
        <v>Q17</v>
      </c>
      <c r="CY653" s="88" t="str">
        <f t="shared" ref="CY653" si="181">W179</f>
        <v>Q18</v>
      </c>
      <c r="CZ653" s="88" t="str">
        <f t="shared" ref="CZ653" si="182">X179</f>
        <v>Q19</v>
      </c>
      <c r="DA653" s="88" t="str">
        <f t="shared" ref="DA653:DB653" si="183">Y179</f>
        <v>Q20</v>
      </c>
      <c r="DB653" s="88" t="str">
        <f t="shared" si="183"/>
        <v>Q21</v>
      </c>
      <c r="DC653" s="88" t="str">
        <f t="shared" ref="DC653" si="184">AA179</f>
        <v>Q22</v>
      </c>
      <c r="DD653" s="88" t="str">
        <f t="shared" ref="DD653" si="185">AB179</f>
        <v>Q23</v>
      </c>
      <c r="DE653" s="88" t="str">
        <f t="shared" ref="DE653" si="186">AC179</f>
        <v>Q24</v>
      </c>
    </row>
    <row r="654" spans="84:133" ht="12.75" x14ac:dyDescent="0.2">
      <c r="CF654" s="73">
        <v>578</v>
      </c>
      <c r="CG654" s="74" t="s">
        <v>1708</v>
      </c>
      <c r="CH654" s="450">
        <f>F177</f>
        <v>46022</v>
      </c>
      <c r="CI654" s="450">
        <f t="shared" ref="CI654:CR654" si="187">G177</f>
        <v>46112</v>
      </c>
      <c r="CJ654" s="450">
        <f t="shared" si="187"/>
        <v>46203</v>
      </c>
      <c r="CK654" s="450">
        <f t="shared" si="187"/>
        <v>46295</v>
      </c>
      <c r="CL654" s="450">
        <f t="shared" si="187"/>
        <v>46387</v>
      </c>
      <c r="CM654" s="450">
        <f t="shared" si="187"/>
        <v>46477</v>
      </c>
      <c r="CN654" s="450">
        <f t="shared" si="187"/>
        <v>46568</v>
      </c>
      <c r="CO654" s="450">
        <f t="shared" si="187"/>
        <v>46660</v>
      </c>
      <c r="CP654" s="450">
        <f t="shared" si="187"/>
        <v>46752</v>
      </c>
      <c r="CQ654" s="450">
        <f t="shared" si="187"/>
        <v>46843</v>
      </c>
      <c r="CR654" s="450">
        <f t="shared" si="187"/>
        <v>46934</v>
      </c>
      <c r="CS654" s="450">
        <f t="shared" ref="CS654" si="188">Q177</f>
        <v>47026</v>
      </c>
      <c r="CT654" s="450">
        <f t="shared" ref="CT654" si="189">R177</f>
        <v>47118</v>
      </c>
      <c r="CU654" s="450">
        <f t="shared" ref="CU654" si="190">S177</f>
        <v>47208</v>
      </c>
      <c r="CV654" s="450">
        <f t="shared" ref="CV654" si="191">T177</f>
        <v>47299</v>
      </c>
      <c r="CW654" s="450">
        <f t="shared" ref="CW654" si="192">U177</f>
        <v>47391</v>
      </c>
      <c r="CX654" s="450">
        <f t="shared" ref="CX654" si="193">V177</f>
        <v>47483</v>
      </c>
      <c r="CY654" s="450">
        <f t="shared" ref="CY654" si="194">W177</f>
        <v>47573</v>
      </c>
      <c r="CZ654" s="450">
        <f t="shared" ref="CZ654" si="195">X177</f>
        <v>47664</v>
      </c>
      <c r="DA654" s="450">
        <f t="shared" ref="DA654:DB654" si="196">Y177</f>
        <v>47756</v>
      </c>
      <c r="DB654" s="450">
        <f t="shared" si="196"/>
        <v>47848</v>
      </c>
      <c r="DC654" s="450">
        <f t="shared" ref="DC654" si="197">AA177</f>
        <v>47938</v>
      </c>
      <c r="DD654" s="450">
        <f t="shared" ref="DD654" si="198">AB177</f>
        <v>48029</v>
      </c>
      <c r="DE654" s="450">
        <f t="shared" ref="DE654" si="199">AC177</f>
        <v>48121</v>
      </c>
      <c r="DF654" s="449"/>
      <c r="DG654" s="449"/>
      <c r="DH654" s="449"/>
      <c r="DI654" s="449"/>
      <c r="DJ654" s="449"/>
      <c r="DK654" s="449"/>
      <c r="DL654" s="449"/>
      <c r="DM654" s="449"/>
      <c r="DN654" s="449"/>
      <c r="DO654" s="449"/>
      <c r="DP654" s="449"/>
      <c r="DQ654" s="449"/>
      <c r="DR654" s="449"/>
      <c r="DS654" s="449"/>
      <c r="DT654" s="449"/>
      <c r="DU654" s="449"/>
      <c r="DV654" s="449"/>
      <c r="DW654" s="449"/>
      <c r="DX654" s="449"/>
      <c r="DY654" s="449"/>
      <c r="DZ654" s="449"/>
      <c r="EA654" s="449"/>
      <c r="EB654" s="449"/>
      <c r="EC654" s="449"/>
    </row>
    <row r="655" spans="84:133" ht="25.5" x14ac:dyDescent="0.2">
      <c r="CF655" s="65">
        <v>579</v>
      </c>
      <c r="CG655" s="66" t="str">
        <f>B194</f>
        <v>تكلفة الأرض
 (Land Cost)</v>
      </c>
      <c r="CH655" s="88">
        <f>F194</f>
        <v>-60840000</v>
      </c>
      <c r="CI655" s="88">
        <f t="shared" ref="CI655:DE655" si="200">G194</f>
        <v>0</v>
      </c>
      <c r="CJ655" s="88">
        <f t="shared" si="200"/>
        <v>0</v>
      </c>
      <c r="CK655" s="88">
        <f t="shared" si="200"/>
        <v>0</v>
      </c>
      <c r="CL655" s="88">
        <f t="shared" si="200"/>
        <v>0</v>
      </c>
      <c r="CM655" s="88">
        <f t="shared" si="200"/>
        <v>0</v>
      </c>
      <c r="CN655" s="88">
        <f t="shared" si="200"/>
        <v>0</v>
      </c>
      <c r="CO655" s="88">
        <f t="shared" si="200"/>
        <v>0</v>
      </c>
      <c r="CP655" s="88">
        <f t="shared" si="200"/>
        <v>0</v>
      </c>
      <c r="CQ655" s="88">
        <f t="shared" si="200"/>
        <v>0</v>
      </c>
      <c r="CR655" s="88">
        <f t="shared" si="200"/>
        <v>0</v>
      </c>
      <c r="CS655" s="88">
        <f t="shared" si="200"/>
        <v>0</v>
      </c>
      <c r="CT655" s="88">
        <f t="shared" si="200"/>
        <v>0</v>
      </c>
      <c r="CU655" s="88">
        <f t="shared" si="200"/>
        <v>0</v>
      </c>
      <c r="CV655" s="88">
        <f t="shared" si="200"/>
        <v>0</v>
      </c>
      <c r="CW655" s="88">
        <f t="shared" si="200"/>
        <v>0</v>
      </c>
      <c r="CX655" s="88">
        <f t="shared" si="200"/>
        <v>0</v>
      </c>
      <c r="CY655" s="88">
        <f t="shared" si="200"/>
        <v>0</v>
      </c>
      <c r="CZ655" s="88">
        <f t="shared" si="200"/>
        <v>0</v>
      </c>
      <c r="DA655" s="88">
        <f t="shared" si="200"/>
        <v>0</v>
      </c>
      <c r="DB655" s="88">
        <f t="shared" si="200"/>
        <v>0</v>
      </c>
      <c r="DC655" s="88">
        <f t="shared" si="200"/>
        <v>0</v>
      </c>
      <c r="DD655" s="88">
        <f t="shared" si="200"/>
        <v>0</v>
      </c>
      <c r="DE655" s="88">
        <f t="shared" si="200"/>
        <v>0</v>
      </c>
    </row>
    <row r="656" spans="84:133" ht="25.5" x14ac:dyDescent="0.2">
      <c r="CF656" s="73">
        <v>580</v>
      </c>
      <c r="CG656" s="74" t="str">
        <f>B198</f>
        <v>الحفر والمسح والاختبار 
 (Excavation, surveying, and testing)</v>
      </c>
      <c r="CH656" s="93">
        <f>F198</f>
        <v>0</v>
      </c>
      <c r="CI656" s="93">
        <f t="shared" ref="CI656:DE656" si="201">G198</f>
        <v>-1895400</v>
      </c>
      <c r="CJ656" s="93">
        <f t="shared" si="201"/>
        <v>0</v>
      </c>
      <c r="CK656" s="93">
        <f t="shared" si="201"/>
        <v>0</v>
      </c>
      <c r="CL656" s="93">
        <f t="shared" si="201"/>
        <v>0</v>
      </c>
      <c r="CM656" s="93">
        <f t="shared" si="201"/>
        <v>0</v>
      </c>
      <c r="CN656" s="93">
        <f t="shared" si="201"/>
        <v>0</v>
      </c>
      <c r="CO656" s="93">
        <f t="shared" si="201"/>
        <v>0</v>
      </c>
      <c r="CP656" s="93">
        <f t="shared" si="201"/>
        <v>0</v>
      </c>
      <c r="CQ656" s="93">
        <f t="shared" si="201"/>
        <v>0</v>
      </c>
      <c r="CR656" s="93">
        <f t="shared" si="201"/>
        <v>0</v>
      </c>
      <c r="CS656" s="93">
        <f t="shared" si="201"/>
        <v>0</v>
      </c>
      <c r="CT656" s="93">
        <f t="shared" si="201"/>
        <v>0</v>
      </c>
      <c r="CU656" s="93">
        <f t="shared" si="201"/>
        <v>0</v>
      </c>
      <c r="CV656" s="93">
        <f t="shared" si="201"/>
        <v>0</v>
      </c>
      <c r="CW656" s="93">
        <f t="shared" si="201"/>
        <v>0</v>
      </c>
      <c r="CX656" s="93">
        <f t="shared" si="201"/>
        <v>0</v>
      </c>
      <c r="CY656" s="93">
        <f t="shared" si="201"/>
        <v>0</v>
      </c>
      <c r="CZ656" s="93">
        <f t="shared" si="201"/>
        <v>0</v>
      </c>
      <c r="DA656" s="93">
        <f t="shared" si="201"/>
        <v>0</v>
      </c>
      <c r="DB656" s="93">
        <f t="shared" si="201"/>
        <v>0</v>
      </c>
      <c r="DC656" s="93">
        <f t="shared" si="201"/>
        <v>0</v>
      </c>
      <c r="DD656" s="93">
        <f t="shared" si="201"/>
        <v>0</v>
      </c>
      <c r="DE656" s="93">
        <f t="shared" si="201"/>
        <v>0</v>
      </c>
    </row>
    <row r="657" spans="84:109" ht="25.5" x14ac:dyDescent="0.2">
      <c r="CF657" s="65">
        <v>581</v>
      </c>
      <c r="CG657" s="66" t="str">
        <f>B201</f>
        <v>التصميم
 (Design)</v>
      </c>
      <c r="CH657" s="88">
        <f>F201</f>
        <v>-1704772.9828723401</v>
      </c>
      <c r="CI657" s="88">
        <f t="shared" ref="CI657:DE657" si="202">G201</f>
        <v>-730616.99265957437</v>
      </c>
      <c r="CJ657" s="88">
        <f t="shared" si="202"/>
        <v>0</v>
      </c>
      <c r="CK657" s="88">
        <f t="shared" si="202"/>
        <v>0</v>
      </c>
      <c r="CL657" s="88">
        <f t="shared" si="202"/>
        <v>0</v>
      </c>
      <c r="CM657" s="88">
        <f t="shared" si="202"/>
        <v>0</v>
      </c>
      <c r="CN657" s="88">
        <f t="shared" si="202"/>
        <v>0</v>
      </c>
      <c r="CO657" s="88">
        <f t="shared" si="202"/>
        <v>0</v>
      </c>
      <c r="CP657" s="88">
        <f t="shared" si="202"/>
        <v>0</v>
      </c>
      <c r="CQ657" s="88">
        <f t="shared" si="202"/>
        <v>0</v>
      </c>
      <c r="CR657" s="88">
        <f t="shared" si="202"/>
        <v>0</v>
      </c>
      <c r="CS657" s="88">
        <f t="shared" si="202"/>
        <v>0</v>
      </c>
      <c r="CT657" s="88">
        <f t="shared" si="202"/>
        <v>0</v>
      </c>
      <c r="CU657" s="88">
        <f t="shared" si="202"/>
        <v>0</v>
      </c>
      <c r="CV657" s="88">
        <f t="shared" si="202"/>
        <v>0</v>
      </c>
      <c r="CW657" s="88">
        <f t="shared" si="202"/>
        <v>0</v>
      </c>
      <c r="CX657" s="88">
        <f t="shared" si="202"/>
        <v>0</v>
      </c>
      <c r="CY657" s="88">
        <f t="shared" si="202"/>
        <v>0</v>
      </c>
      <c r="CZ657" s="88">
        <f t="shared" si="202"/>
        <v>0</v>
      </c>
      <c r="DA657" s="88">
        <f t="shared" si="202"/>
        <v>0</v>
      </c>
      <c r="DB657" s="88">
        <f t="shared" si="202"/>
        <v>0</v>
      </c>
      <c r="DC657" s="88">
        <f t="shared" si="202"/>
        <v>0</v>
      </c>
      <c r="DD657" s="88">
        <f t="shared" si="202"/>
        <v>0</v>
      </c>
      <c r="DE657" s="88">
        <f t="shared" si="202"/>
        <v>0</v>
      </c>
    </row>
    <row r="658" spans="84:109" ht="25.5" x14ac:dyDescent="0.2">
      <c r="CF658" s="73">
        <v>582</v>
      </c>
      <c r="CG658" s="74" t="str">
        <f>B196</f>
        <v>تكاليف مسطحات البناء 
(Construction Costs)</v>
      </c>
      <c r="CH658" s="93">
        <f>F196</f>
        <v>0</v>
      </c>
      <c r="CI658" s="93">
        <f t="shared" ref="CI658:DE658" si="203">G196</f>
        <v>0</v>
      </c>
      <c r="CJ658" s="93">
        <f t="shared" si="203"/>
        <v>-16235933.170212768</v>
      </c>
      <c r="CK658" s="93">
        <f t="shared" si="203"/>
        <v>-12176949.877659574</v>
      </c>
      <c r="CL658" s="93">
        <f t="shared" si="203"/>
        <v>-8117966.585106384</v>
      </c>
      <c r="CM658" s="93">
        <f t="shared" si="203"/>
        <v>-8117966.585106384</v>
      </c>
      <c r="CN658" s="93">
        <f t="shared" si="203"/>
        <v>-8117966.585106384</v>
      </c>
      <c r="CO658" s="93">
        <f t="shared" si="203"/>
        <v>-8117966.585106384</v>
      </c>
      <c r="CP658" s="93">
        <f t="shared" si="203"/>
        <v>-8117966.585106384</v>
      </c>
      <c r="CQ658" s="93">
        <f t="shared" si="203"/>
        <v>-12176949.877659574</v>
      </c>
      <c r="CR658" s="93">
        <f t="shared" si="203"/>
        <v>0</v>
      </c>
      <c r="CS658" s="93">
        <f t="shared" si="203"/>
        <v>0</v>
      </c>
      <c r="CT658" s="93">
        <f t="shared" si="203"/>
        <v>0</v>
      </c>
      <c r="CU658" s="93">
        <f t="shared" si="203"/>
        <v>0</v>
      </c>
      <c r="CV658" s="93">
        <f t="shared" si="203"/>
        <v>0</v>
      </c>
      <c r="CW658" s="93">
        <f t="shared" si="203"/>
        <v>0</v>
      </c>
      <c r="CX658" s="93">
        <f t="shared" si="203"/>
        <v>0</v>
      </c>
      <c r="CY658" s="93">
        <f t="shared" si="203"/>
        <v>0</v>
      </c>
      <c r="CZ658" s="93">
        <f t="shared" si="203"/>
        <v>0</v>
      </c>
      <c r="DA658" s="93">
        <f t="shared" si="203"/>
        <v>0</v>
      </c>
      <c r="DB658" s="93">
        <f t="shared" si="203"/>
        <v>0</v>
      </c>
      <c r="DC658" s="93">
        <f t="shared" si="203"/>
        <v>0</v>
      </c>
      <c r="DD658" s="93">
        <f t="shared" si="203"/>
        <v>0</v>
      </c>
      <c r="DE658" s="93">
        <f t="shared" si="203"/>
        <v>0</v>
      </c>
    </row>
    <row r="659" spans="84:109" ht="25.5" x14ac:dyDescent="0.2">
      <c r="CF659" s="65">
        <v>583</v>
      </c>
      <c r="CG659" s="66" t="s">
        <v>1709</v>
      </c>
      <c r="CH659" s="88">
        <f>SUM(F185:F188)</f>
        <v>0</v>
      </c>
      <c r="CI659" s="88">
        <f t="shared" ref="CI659:DE659" si="204">SUM(G185:G188)</f>
        <v>0</v>
      </c>
      <c r="CJ659" s="88">
        <f t="shared" si="204"/>
        <v>0</v>
      </c>
      <c r="CK659" s="88">
        <f t="shared" si="204"/>
        <v>0</v>
      </c>
      <c r="CL659" s="88">
        <f t="shared" si="204"/>
        <v>0</v>
      </c>
      <c r="CM659" s="88">
        <f t="shared" si="204"/>
        <v>0</v>
      </c>
      <c r="CN659" s="88">
        <f t="shared" si="204"/>
        <v>0</v>
      </c>
      <c r="CO659" s="88">
        <f t="shared" si="204"/>
        <v>0</v>
      </c>
      <c r="CP659" s="88">
        <f t="shared" si="204"/>
        <v>0</v>
      </c>
      <c r="CQ659" s="88">
        <f t="shared" si="204"/>
        <v>349506.38297872309</v>
      </c>
      <c r="CR659" s="88">
        <f t="shared" si="204"/>
        <v>10694143.791049963</v>
      </c>
      <c r="CS659" s="88">
        <f t="shared" si="204"/>
        <v>14854682.49508558</v>
      </c>
      <c r="CT659" s="88">
        <f t="shared" si="204"/>
        <v>16215968.878064305</v>
      </c>
      <c r="CU659" s="88">
        <f t="shared" si="204"/>
        <v>53242612.589327022</v>
      </c>
      <c r="CV659" s="88">
        <f t="shared" si="204"/>
        <v>137111377.49739826</v>
      </c>
      <c r="CW659" s="88">
        <f t="shared" si="204"/>
        <v>0</v>
      </c>
      <c r="CX659" s="88">
        <f t="shared" si="204"/>
        <v>0</v>
      </c>
      <c r="CY659" s="88">
        <f t="shared" si="204"/>
        <v>0</v>
      </c>
      <c r="CZ659" s="88">
        <f t="shared" si="204"/>
        <v>0</v>
      </c>
      <c r="DA659" s="88">
        <f t="shared" si="204"/>
        <v>0</v>
      </c>
      <c r="DB659" s="88">
        <f t="shared" si="204"/>
        <v>0</v>
      </c>
      <c r="DC659" s="88">
        <f t="shared" si="204"/>
        <v>0</v>
      </c>
      <c r="DD659" s="88">
        <f t="shared" si="204"/>
        <v>0</v>
      </c>
      <c r="DE659" s="88">
        <f t="shared" si="204"/>
        <v>0</v>
      </c>
    </row>
    <row r="660" spans="84:109" ht="25.5" x14ac:dyDescent="0.2">
      <c r="CF660" s="73">
        <v>584</v>
      </c>
      <c r="CG660" s="74" t="str">
        <f>B191</f>
        <v>سداد أصل التمويل
 (Principal Repayment)</v>
      </c>
      <c r="CH660" s="93">
        <f>F191</f>
        <v>0</v>
      </c>
      <c r="CI660" s="93">
        <f t="shared" ref="CI660:DE660" si="205">G191</f>
        <v>0</v>
      </c>
      <c r="CJ660" s="93">
        <f t="shared" si="205"/>
        <v>0</v>
      </c>
      <c r="CK660" s="93">
        <f t="shared" si="205"/>
        <v>0</v>
      </c>
      <c r="CL660" s="93">
        <f t="shared" si="205"/>
        <v>0</v>
      </c>
      <c r="CM660" s="93">
        <f t="shared" si="205"/>
        <v>0</v>
      </c>
      <c r="CN660" s="93">
        <f t="shared" si="205"/>
        <v>0</v>
      </c>
      <c r="CO660" s="93">
        <f t="shared" si="205"/>
        <v>0</v>
      </c>
      <c r="CP660" s="93">
        <f t="shared" si="205"/>
        <v>0</v>
      </c>
      <c r="CQ660" s="93">
        <f t="shared" si="205"/>
        <v>0</v>
      </c>
      <c r="CR660" s="93">
        <f t="shared" si="205"/>
        <v>0</v>
      </c>
      <c r="CS660" s="93">
        <f t="shared" si="205"/>
        <v>0</v>
      </c>
      <c r="CT660" s="93">
        <f t="shared" si="205"/>
        <v>0</v>
      </c>
      <c r="CU660" s="93">
        <f t="shared" si="205"/>
        <v>0</v>
      </c>
      <c r="CV660" s="93">
        <f t="shared" si="205"/>
        <v>-83100000</v>
      </c>
      <c r="CW660" s="93">
        <f t="shared" si="205"/>
        <v>0</v>
      </c>
      <c r="CX660" s="93">
        <f t="shared" si="205"/>
        <v>0</v>
      </c>
      <c r="CY660" s="93">
        <f t="shared" si="205"/>
        <v>0</v>
      </c>
      <c r="CZ660" s="93">
        <f t="shared" si="205"/>
        <v>0</v>
      </c>
      <c r="DA660" s="93">
        <f t="shared" si="205"/>
        <v>0</v>
      </c>
      <c r="DB660" s="93">
        <f t="shared" si="205"/>
        <v>0</v>
      </c>
      <c r="DC660" s="93">
        <f t="shared" si="205"/>
        <v>0</v>
      </c>
      <c r="DD660" s="93">
        <f t="shared" si="205"/>
        <v>0</v>
      </c>
      <c r="DE660" s="93">
        <f t="shared" si="205"/>
        <v>0</v>
      </c>
    </row>
    <row r="661" spans="84:109" ht="12.75" x14ac:dyDescent="0.2">
      <c r="CF661" s="65">
        <v>585</v>
      </c>
      <c r="CG661" s="451" t="s">
        <v>1710</v>
      </c>
      <c r="CH661" s="452">
        <f>SUM(F192:F216)</f>
        <v>-69569285.19137089</v>
      </c>
      <c r="CI661" s="452">
        <f t="shared" ref="CI661:DE661" si="206">SUM(G192:G216)</f>
        <v>-4819403.4008123782</v>
      </c>
      <c r="CJ661" s="452">
        <f t="shared" si="206"/>
        <v>-18770810.24825919</v>
      </c>
      <c r="CK661" s="452">
        <f t="shared" si="206"/>
        <v>-14960569.780560549</v>
      </c>
      <c r="CL661" s="452">
        <f t="shared" si="206"/>
        <v>-10481084.183099614</v>
      </c>
      <c r="CM661" s="452">
        <f t="shared" si="206"/>
        <v>-10758766.070769994</v>
      </c>
      <c r="CN661" s="452">
        <f t="shared" si="206"/>
        <v>-10770001.101583658</v>
      </c>
      <c r="CO661" s="452">
        <f t="shared" si="206"/>
        <v>-11919193.250005802</v>
      </c>
      <c r="CP661" s="452">
        <f t="shared" si="206"/>
        <v>-14027652.039546194</v>
      </c>
      <c r="CQ661" s="452">
        <f t="shared" si="206"/>
        <v>-24454679.179423183</v>
      </c>
      <c r="CR661" s="452">
        <f t="shared" si="206"/>
        <v>-2907528.0053706588</v>
      </c>
      <c r="CS661" s="452">
        <f t="shared" si="206"/>
        <v>-3282154.1020606542</v>
      </c>
      <c r="CT661" s="452">
        <f t="shared" si="206"/>
        <v>-3373715.4668379151</v>
      </c>
      <c r="CU661" s="452">
        <f t="shared" si="206"/>
        <v>-3561312.0807840587</v>
      </c>
      <c r="CV661" s="452">
        <f t="shared" si="206"/>
        <v>-1658003.5714285714</v>
      </c>
      <c r="CW661" s="452">
        <f t="shared" si="206"/>
        <v>-141428.57142857142</v>
      </c>
      <c r="CX661" s="452">
        <f t="shared" si="206"/>
        <v>-141428.57142857142</v>
      </c>
      <c r="CY661" s="452">
        <f t="shared" si="206"/>
        <v>-141428.57142857142</v>
      </c>
      <c r="CZ661" s="452">
        <f t="shared" si="206"/>
        <v>0</v>
      </c>
      <c r="DA661" s="452">
        <f t="shared" si="206"/>
        <v>0</v>
      </c>
      <c r="DB661" s="452">
        <f t="shared" si="206"/>
        <v>0</v>
      </c>
      <c r="DC661" s="452">
        <f t="shared" si="206"/>
        <v>0</v>
      </c>
      <c r="DD661" s="452">
        <f t="shared" si="206"/>
        <v>0</v>
      </c>
      <c r="DE661" s="452">
        <f t="shared" si="206"/>
        <v>0</v>
      </c>
    </row>
    <row r="662" spans="84:109" ht="12.75" x14ac:dyDescent="0.2">
      <c r="CF662" s="73">
        <v>586</v>
      </c>
      <c r="CG662" s="453" t="s">
        <v>1607</v>
      </c>
      <c r="CH662" s="454">
        <f>F184</f>
        <v>0</v>
      </c>
      <c r="CI662" s="454">
        <f t="shared" ref="CI662:DE662" si="207">G184</f>
        <v>0</v>
      </c>
      <c r="CJ662" s="454">
        <f t="shared" si="207"/>
        <v>659394.76117021358</v>
      </c>
      <c r="CK662" s="454">
        <f t="shared" si="207"/>
        <v>1833611.3322606403</v>
      </c>
      <c r="CL662" s="454">
        <f t="shared" si="207"/>
        <v>3279997.2068258016</v>
      </c>
      <c r="CM662" s="454">
        <f t="shared" si="207"/>
        <v>4257444.5540742734</v>
      </c>
      <c r="CN662" s="454">
        <f t="shared" si="207"/>
        <v>5448418.7689535264</v>
      </c>
      <c r="CO662" s="454">
        <f t="shared" si="207"/>
        <v>5820187.2479622094</v>
      </c>
      <c r="CP662" s="454">
        <f t="shared" si="207"/>
        <v>5784892.2380972765</v>
      </c>
      <c r="CQ662" s="454">
        <f t="shared" si="207"/>
        <v>9763310.41991142</v>
      </c>
      <c r="CR662" s="454">
        <f t="shared" si="207"/>
        <v>9.3132257461547841E-10</v>
      </c>
      <c r="CS662" s="454">
        <f t="shared" si="207"/>
        <v>1.0339757656912845E-25</v>
      </c>
      <c r="CT662" s="454">
        <f t="shared" si="207"/>
        <v>1.14794370197489E-41</v>
      </c>
      <c r="CU662" s="454">
        <f t="shared" si="207"/>
        <v>1.2744735289059617E-57</v>
      </c>
      <c r="CV662" s="454">
        <f t="shared" si="207"/>
        <v>1.4149498560666737E-73</v>
      </c>
      <c r="CW662" s="454">
        <f t="shared" si="207"/>
        <v>1.5709099088952723E-89</v>
      </c>
      <c r="CX662" s="454">
        <f t="shared" si="207"/>
        <v>1.7440603504673383E-105</v>
      </c>
      <c r="CY662" s="454">
        <f t="shared" si="207"/>
        <v>1.9362959574246589E-121</v>
      </c>
      <c r="CZ662" s="454">
        <f t="shared" si="207"/>
        <v>2.1497203544214682E-137</v>
      </c>
      <c r="DA662" s="454">
        <f t="shared" si="207"/>
        <v>2.3866690339840659E-153</v>
      </c>
      <c r="DB662" s="454">
        <f t="shared" si="207"/>
        <v>2.6497349136889902E-169</v>
      </c>
      <c r="DC662" s="454">
        <f t="shared" si="207"/>
        <v>2.9417967103306688E-185</v>
      </c>
      <c r="DD662" s="454">
        <f t="shared" si="207"/>
        <v>3.2660504415756506E-201</v>
      </c>
      <c r="DE662" s="454">
        <f t="shared" si="207"/>
        <v>3.6260443998244469E-217</v>
      </c>
    </row>
    <row r="663" spans="84:109" ht="12.75" x14ac:dyDescent="0.2">
      <c r="CF663" s="65">
        <v>586</v>
      </c>
      <c r="CG663" s="451" t="s">
        <v>1711</v>
      </c>
      <c r="CH663" s="452">
        <f>SUM(F185:F188)</f>
        <v>0</v>
      </c>
      <c r="CI663" s="452">
        <f t="shared" ref="CI663:DE663" si="208">SUM(G185:G188)</f>
        <v>0</v>
      </c>
      <c r="CJ663" s="452">
        <f t="shared" si="208"/>
        <v>0</v>
      </c>
      <c r="CK663" s="452">
        <f t="shared" si="208"/>
        <v>0</v>
      </c>
      <c r="CL663" s="452">
        <f t="shared" si="208"/>
        <v>0</v>
      </c>
      <c r="CM663" s="452">
        <f t="shared" si="208"/>
        <v>0</v>
      </c>
      <c r="CN663" s="452">
        <f t="shared" si="208"/>
        <v>0</v>
      </c>
      <c r="CO663" s="452">
        <f t="shared" si="208"/>
        <v>0</v>
      </c>
      <c r="CP663" s="452">
        <f t="shared" si="208"/>
        <v>0</v>
      </c>
      <c r="CQ663" s="452">
        <f t="shared" si="208"/>
        <v>349506.38297872309</v>
      </c>
      <c r="CR663" s="452">
        <f t="shared" si="208"/>
        <v>10694143.791049963</v>
      </c>
      <c r="CS663" s="452">
        <f t="shared" si="208"/>
        <v>14854682.49508558</v>
      </c>
      <c r="CT663" s="452">
        <f t="shared" si="208"/>
        <v>16215968.878064305</v>
      </c>
      <c r="CU663" s="452">
        <f t="shared" si="208"/>
        <v>53242612.589327022</v>
      </c>
      <c r="CV663" s="452">
        <f t="shared" si="208"/>
        <v>137111377.49739826</v>
      </c>
      <c r="CW663" s="452">
        <f t="shared" si="208"/>
        <v>0</v>
      </c>
      <c r="CX663" s="452">
        <f t="shared" si="208"/>
        <v>0</v>
      </c>
      <c r="CY663" s="452">
        <f t="shared" si="208"/>
        <v>0</v>
      </c>
      <c r="CZ663" s="452">
        <f t="shared" si="208"/>
        <v>0</v>
      </c>
      <c r="DA663" s="452">
        <f t="shared" si="208"/>
        <v>0</v>
      </c>
      <c r="DB663" s="452">
        <f t="shared" si="208"/>
        <v>0</v>
      </c>
      <c r="DC663" s="452">
        <f t="shared" si="208"/>
        <v>0</v>
      </c>
      <c r="DD663" s="452">
        <f t="shared" si="208"/>
        <v>0</v>
      </c>
      <c r="DE663" s="452">
        <f t="shared" si="208"/>
        <v>0</v>
      </c>
    </row>
  </sheetData>
  <mergeCells count="738">
    <mergeCell ref="D296:D297"/>
    <mergeCell ref="E296:E297"/>
    <mergeCell ref="V294:V295"/>
    <mergeCell ref="W294:W295"/>
    <mergeCell ref="B302:C302"/>
    <mergeCell ref="B320:AC320"/>
    <mergeCell ref="B325:D325"/>
    <mergeCell ref="U296:U297"/>
    <mergeCell ref="V296:V297"/>
    <mergeCell ref="W296:W297"/>
    <mergeCell ref="X296:X297"/>
    <mergeCell ref="Y296:Y297"/>
    <mergeCell ref="Z296:Z297"/>
    <mergeCell ref="AA296:AA297"/>
    <mergeCell ref="AB296:AB297"/>
    <mergeCell ref="AC296:AC297"/>
    <mergeCell ref="L296:L297"/>
    <mergeCell ref="M296:M297"/>
    <mergeCell ref="N296:N297"/>
    <mergeCell ref="O296:O297"/>
    <mergeCell ref="P296:P297"/>
    <mergeCell ref="Q296:Q297"/>
    <mergeCell ref="R296:R297"/>
    <mergeCell ref="S296:S297"/>
    <mergeCell ref="T296:T297"/>
    <mergeCell ref="B296:C297"/>
    <mergeCell ref="S294:S295"/>
    <mergeCell ref="T294:T295"/>
    <mergeCell ref="F296:F297"/>
    <mergeCell ref="G296:G297"/>
    <mergeCell ref="H296:H297"/>
    <mergeCell ref="I296:I297"/>
    <mergeCell ref="J296:J297"/>
    <mergeCell ref="K296:K297"/>
    <mergeCell ref="U294:U295"/>
    <mergeCell ref="AB292:AB293"/>
    <mergeCell ref="AC292:AC293"/>
    <mergeCell ref="B294:C295"/>
    <mergeCell ref="D294:D295"/>
    <mergeCell ref="E294:E295"/>
    <mergeCell ref="F294:F295"/>
    <mergeCell ref="G294:G295"/>
    <mergeCell ref="H294:H295"/>
    <mergeCell ref="I294:I295"/>
    <mergeCell ref="J294:J295"/>
    <mergeCell ref="K294:K295"/>
    <mergeCell ref="X294:X295"/>
    <mergeCell ref="Y294:Y295"/>
    <mergeCell ref="Z294:Z295"/>
    <mergeCell ref="AA294:AA295"/>
    <mergeCell ref="AB294:AB295"/>
    <mergeCell ref="AC294:AC295"/>
    <mergeCell ref="L294:L295"/>
    <mergeCell ref="M294:M295"/>
    <mergeCell ref="N294:N295"/>
    <mergeCell ref="O294:O295"/>
    <mergeCell ref="P294:P295"/>
    <mergeCell ref="Q294:Q295"/>
    <mergeCell ref="R294:R295"/>
    <mergeCell ref="S292:S293"/>
    <mergeCell ref="T292:T293"/>
    <mergeCell ref="U292:U293"/>
    <mergeCell ref="V292:V293"/>
    <mergeCell ref="W292:W293"/>
    <mergeCell ref="X292:X293"/>
    <mergeCell ref="Y292:Y293"/>
    <mergeCell ref="Z292:Z293"/>
    <mergeCell ref="AA292:AA293"/>
    <mergeCell ref="AB290:AB291"/>
    <mergeCell ref="AC290:AC291"/>
    <mergeCell ref="Y288:Y289"/>
    <mergeCell ref="Z288:Z289"/>
    <mergeCell ref="AA288:AA289"/>
    <mergeCell ref="AB288:AB289"/>
    <mergeCell ref="AC288:AC289"/>
    <mergeCell ref="X288:X289"/>
    <mergeCell ref="B292:C293"/>
    <mergeCell ref="D292:D293"/>
    <mergeCell ref="E292:E293"/>
    <mergeCell ref="F292:F293"/>
    <mergeCell ref="G292:G293"/>
    <mergeCell ref="H292:H293"/>
    <mergeCell ref="I292:I293"/>
    <mergeCell ref="J292:J293"/>
    <mergeCell ref="K292:K293"/>
    <mergeCell ref="L292:L293"/>
    <mergeCell ref="M292:M293"/>
    <mergeCell ref="N292:N293"/>
    <mergeCell ref="O292:O293"/>
    <mergeCell ref="P292:P293"/>
    <mergeCell ref="Q292:Q293"/>
    <mergeCell ref="R292:R293"/>
    <mergeCell ref="B290:C291"/>
    <mergeCell ref="D290:D291"/>
    <mergeCell ref="E290:E291"/>
    <mergeCell ref="F290:F291"/>
    <mergeCell ref="G290:G291"/>
    <mergeCell ref="H290:H291"/>
    <mergeCell ref="I290:I291"/>
    <mergeCell ref="J290:J291"/>
    <mergeCell ref="K290:K291"/>
    <mergeCell ref="L290:L291"/>
    <mergeCell ref="M290:M291"/>
    <mergeCell ref="N290:N291"/>
    <mergeCell ref="O290:O291"/>
    <mergeCell ref="P290:P291"/>
    <mergeCell ref="Q290:Q291"/>
    <mergeCell ref="R290:R291"/>
    <mergeCell ref="S290:S291"/>
    <mergeCell ref="T290:T291"/>
    <mergeCell ref="AB286:AB287"/>
    <mergeCell ref="AC286:AC287"/>
    <mergeCell ref="B288:C289"/>
    <mergeCell ref="D288:D289"/>
    <mergeCell ref="E288:E289"/>
    <mergeCell ref="F288:F289"/>
    <mergeCell ref="G288:G289"/>
    <mergeCell ref="H288:H289"/>
    <mergeCell ref="I288:I289"/>
    <mergeCell ref="J288:J289"/>
    <mergeCell ref="K288:K289"/>
    <mergeCell ref="L288:L289"/>
    <mergeCell ref="M288:M289"/>
    <mergeCell ref="N288:N289"/>
    <mergeCell ref="O288:O289"/>
    <mergeCell ref="P288:P289"/>
    <mergeCell ref="Q288:Q289"/>
    <mergeCell ref="R288:R289"/>
    <mergeCell ref="S288:S289"/>
    <mergeCell ref="T288:T289"/>
    <mergeCell ref="U288:U289"/>
    <mergeCell ref="V288:V289"/>
    <mergeCell ref="W288:W289"/>
    <mergeCell ref="T286:T287"/>
    <mergeCell ref="U286:U287"/>
    <mergeCell ref="V286:V287"/>
    <mergeCell ref="W286:W287"/>
    <mergeCell ref="X286:X287"/>
    <mergeCell ref="Y286:Y287"/>
    <mergeCell ref="Z286:Z287"/>
    <mergeCell ref="AA286:AA287"/>
    <mergeCell ref="U290:U291"/>
    <mergeCell ref="V290:V291"/>
    <mergeCell ref="W290:W291"/>
    <mergeCell ref="X290:X291"/>
    <mergeCell ref="Y290:Y291"/>
    <mergeCell ref="Z290:Z291"/>
    <mergeCell ref="AA290:AA291"/>
    <mergeCell ref="W284:W285"/>
    <mergeCell ref="X284:X285"/>
    <mergeCell ref="Y284:Y285"/>
    <mergeCell ref="Z284:Z285"/>
    <mergeCell ref="AA284:AA285"/>
    <mergeCell ref="AB284:AB285"/>
    <mergeCell ref="AC284:AC285"/>
    <mergeCell ref="B286:C287"/>
    <mergeCell ref="D286:D287"/>
    <mergeCell ref="E286:E287"/>
    <mergeCell ref="F286:F287"/>
    <mergeCell ref="G286:G287"/>
    <mergeCell ref="H286:H287"/>
    <mergeCell ref="I286:I287"/>
    <mergeCell ref="J286:J287"/>
    <mergeCell ref="K286:K287"/>
    <mergeCell ref="L286:L287"/>
    <mergeCell ref="M286:M287"/>
    <mergeCell ref="N286:N287"/>
    <mergeCell ref="O286:O287"/>
    <mergeCell ref="P286:P287"/>
    <mergeCell ref="Q286:Q287"/>
    <mergeCell ref="R286:R287"/>
    <mergeCell ref="S286:S287"/>
    <mergeCell ref="Z282:Z283"/>
    <mergeCell ref="AA282:AA283"/>
    <mergeCell ref="AB282:AB283"/>
    <mergeCell ref="AC282:AC283"/>
    <mergeCell ref="B284:C285"/>
    <mergeCell ref="D284:D285"/>
    <mergeCell ref="E284:E285"/>
    <mergeCell ref="F284:F285"/>
    <mergeCell ref="G284:G285"/>
    <mergeCell ref="H284:H285"/>
    <mergeCell ref="I284:I285"/>
    <mergeCell ref="J284:J285"/>
    <mergeCell ref="K284:K285"/>
    <mergeCell ref="L284:L285"/>
    <mergeCell ref="M284:M285"/>
    <mergeCell ref="N284:N285"/>
    <mergeCell ref="O284:O285"/>
    <mergeCell ref="P284:P285"/>
    <mergeCell ref="Q284:Q285"/>
    <mergeCell ref="R284:R285"/>
    <mergeCell ref="S284:S285"/>
    <mergeCell ref="T284:T285"/>
    <mergeCell ref="U284:U285"/>
    <mergeCell ref="V284:V285"/>
    <mergeCell ref="AC280:AC281"/>
    <mergeCell ref="B282:C283"/>
    <mergeCell ref="D282:D283"/>
    <mergeCell ref="E282:E283"/>
    <mergeCell ref="F282:F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O282:O283"/>
    <mergeCell ref="P282:P283"/>
    <mergeCell ref="Q282:Q283"/>
    <mergeCell ref="R282:R283"/>
    <mergeCell ref="S282:S283"/>
    <mergeCell ref="T282:T283"/>
    <mergeCell ref="U282:U283"/>
    <mergeCell ref="V282:V283"/>
    <mergeCell ref="W282:W283"/>
    <mergeCell ref="X282:X283"/>
    <mergeCell ref="Y282:Y283"/>
    <mergeCell ref="T280:T281"/>
    <mergeCell ref="U280:U281"/>
    <mergeCell ref="V280:V281"/>
    <mergeCell ref="W280:W281"/>
    <mergeCell ref="X280:X281"/>
    <mergeCell ref="Y280:Y281"/>
    <mergeCell ref="Z280:Z281"/>
    <mergeCell ref="AA280:AA281"/>
    <mergeCell ref="AB280:AB281"/>
    <mergeCell ref="W278:W279"/>
    <mergeCell ref="X278:X279"/>
    <mergeCell ref="Y278:Y279"/>
    <mergeCell ref="Z278:Z279"/>
    <mergeCell ref="AA278:AA279"/>
    <mergeCell ref="AB278:AB279"/>
    <mergeCell ref="AC278:AC279"/>
    <mergeCell ref="B280:C281"/>
    <mergeCell ref="D280:D281"/>
    <mergeCell ref="E280:E281"/>
    <mergeCell ref="F280:F281"/>
    <mergeCell ref="G280:G281"/>
    <mergeCell ref="H280:H281"/>
    <mergeCell ref="I280:I281"/>
    <mergeCell ref="J280:J281"/>
    <mergeCell ref="K280:K281"/>
    <mergeCell ref="L280:L281"/>
    <mergeCell ref="M280:M281"/>
    <mergeCell ref="N280:N281"/>
    <mergeCell ref="O280:O281"/>
    <mergeCell ref="P280:P281"/>
    <mergeCell ref="Q280:Q281"/>
    <mergeCell ref="R280:R281"/>
    <mergeCell ref="S280:S281"/>
    <mergeCell ref="Z276:Z277"/>
    <mergeCell ref="AA276:AA277"/>
    <mergeCell ref="AB276:AB277"/>
    <mergeCell ref="AC276:AC277"/>
    <mergeCell ref="B278:C279"/>
    <mergeCell ref="D278:D279"/>
    <mergeCell ref="E278:E279"/>
    <mergeCell ref="F278:F279"/>
    <mergeCell ref="G278:G279"/>
    <mergeCell ref="H278:H279"/>
    <mergeCell ref="I278:I279"/>
    <mergeCell ref="J278:J279"/>
    <mergeCell ref="K278:K279"/>
    <mergeCell ref="L278:L279"/>
    <mergeCell ref="M278:M279"/>
    <mergeCell ref="N278:N279"/>
    <mergeCell ref="O278:O279"/>
    <mergeCell ref="P278:P279"/>
    <mergeCell ref="Q278:Q279"/>
    <mergeCell ref="R278:R279"/>
    <mergeCell ref="S278:S279"/>
    <mergeCell ref="T278:T279"/>
    <mergeCell ref="U278:U279"/>
    <mergeCell ref="V278:V279"/>
    <mergeCell ref="B276:C277"/>
    <mergeCell ref="D276:D277"/>
    <mergeCell ref="E276:E277"/>
    <mergeCell ref="F276:F277"/>
    <mergeCell ref="G276:G277"/>
    <mergeCell ref="H276:H277"/>
    <mergeCell ref="I276:I277"/>
    <mergeCell ref="J276:J277"/>
    <mergeCell ref="K276:K277"/>
    <mergeCell ref="L276:L277"/>
    <mergeCell ref="M276:M277"/>
    <mergeCell ref="N276:N277"/>
    <mergeCell ref="O276:O277"/>
    <mergeCell ref="P276:P277"/>
    <mergeCell ref="Q276:Q277"/>
    <mergeCell ref="R276:R277"/>
    <mergeCell ref="S276:S277"/>
    <mergeCell ref="T276:T277"/>
    <mergeCell ref="U276:U277"/>
    <mergeCell ref="V276:V277"/>
    <mergeCell ref="W276:W277"/>
    <mergeCell ref="X276:X277"/>
    <mergeCell ref="Y276:Y277"/>
    <mergeCell ref="U274:U275"/>
    <mergeCell ref="V274:V275"/>
    <mergeCell ref="W274:W275"/>
    <mergeCell ref="X274:X275"/>
    <mergeCell ref="Y274:Y275"/>
    <mergeCell ref="Z274:Z275"/>
    <mergeCell ref="AA274:AA275"/>
    <mergeCell ref="AB274:AB275"/>
    <mergeCell ref="AC274:AC275"/>
    <mergeCell ref="L274:L275"/>
    <mergeCell ref="M274:M275"/>
    <mergeCell ref="N274:N275"/>
    <mergeCell ref="O274:O275"/>
    <mergeCell ref="P274:P275"/>
    <mergeCell ref="Q274:Q275"/>
    <mergeCell ref="R274:R275"/>
    <mergeCell ref="S274:S275"/>
    <mergeCell ref="T274:T275"/>
    <mergeCell ref="B274:C275"/>
    <mergeCell ref="D274:D275"/>
    <mergeCell ref="E274:E275"/>
    <mergeCell ref="F274:F275"/>
    <mergeCell ref="G274:G275"/>
    <mergeCell ref="H274:H275"/>
    <mergeCell ref="I274:I275"/>
    <mergeCell ref="J274:J275"/>
    <mergeCell ref="K274:K275"/>
    <mergeCell ref="U272:U273"/>
    <mergeCell ref="V272:V273"/>
    <mergeCell ref="W272:W273"/>
    <mergeCell ref="X272:X273"/>
    <mergeCell ref="Y272:Y273"/>
    <mergeCell ref="Z272:Z273"/>
    <mergeCell ref="AA272:AA273"/>
    <mergeCell ref="AB272:AB273"/>
    <mergeCell ref="AC272:AC273"/>
    <mergeCell ref="L272:L273"/>
    <mergeCell ref="M272:M273"/>
    <mergeCell ref="N272:N273"/>
    <mergeCell ref="O272:O273"/>
    <mergeCell ref="P272:P273"/>
    <mergeCell ref="Q272:Q273"/>
    <mergeCell ref="R272:R273"/>
    <mergeCell ref="S272:S273"/>
    <mergeCell ref="T272:T273"/>
    <mergeCell ref="B272:C273"/>
    <mergeCell ref="D272:D273"/>
    <mergeCell ref="E272:E273"/>
    <mergeCell ref="F272:F273"/>
    <mergeCell ref="G272:G273"/>
    <mergeCell ref="H272:H273"/>
    <mergeCell ref="I272:I273"/>
    <mergeCell ref="J272:J273"/>
    <mergeCell ref="K272:K273"/>
    <mergeCell ref="U270:U271"/>
    <mergeCell ref="V270:V271"/>
    <mergeCell ref="W270:W271"/>
    <mergeCell ref="X270:X271"/>
    <mergeCell ref="Y270:Y271"/>
    <mergeCell ref="Z270:Z271"/>
    <mergeCell ref="AA270:AA271"/>
    <mergeCell ref="AB270:AB271"/>
    <mergeCell ref="AC270:AC271"/>
    <mergeCell ref="L270:L271"/>
    <mergeCell ref="M270:M271"/>
    <mergeCell ref="N270:N271"/>
    <mergeCell ref="O270:O271"/>
    <mergeCell ref="P270:P271"/>
    <mergeCell ref="Q270:Q271"/>
    <mergeCell ref="R270:R271"/>
    <mergeCell ref="S270:S271"/>
    <mergeCell ref="T270:T271"/>
    <mergeCell ref="B270:C271"/>
    <mergeCell ref="D270:D271"/>
    <mergeCell ref="E270:E271"/>
    <mergeCell ref="F270:F271"/>
    <mergeCell ref="G270:G271"/>
    <mergeCell ref="H270:H271"/>
    <mergeCell ref="I270:I271"/>
    <mergeCell ref="J270:J271"/>
    <mergeCell ref="K270:K271"/>
    <mergeCell ref="Z256:Z257"/>
    <mergeCell ref="AA256:AA257"/>
    <mergeCell ref="AB256:AB257"/>
    <mergeCell ref="AC256:AC257"/>
    <mergeCell ref="B267:AC267"/>
    <mergeCell ref="B268:C269"/>
    <mergeCell ref="D268:D269"/>
    <mergeCell ref="E268:E269"/>
    <mergeCell ref="F268:I268"/>
    <mergeCell ref="J268:M268"/>
    <mergeCell ref="N268:Q268"/>
    <mergeCell ref="R268:U268"/>
    <mergeCell ref="V268:Y268"/>
    <mergeCell ref="Z268:AC268"/>
    <mergeCell ref="AA254:AA255"/>
    <mergeCell ref="AB254:AB255"/>
    <mergeCell ref="AC254:AC255"/>
    <mergeCell ref="B256:E257"/>
    <mergeCell ref="F256:F257"/>
    <mergeCell ref="G256:G257"/>
    <mergeCell ref="H256:H257"/>
    <mergeCell ref="I256:I257"/>
    <mergeCell ref="J256:J257"/>
    <mergeCell ref="K256:K257"/>
    <mergeCell ref="L256:L257"/>
    <mergeCell ref="M256:M257"/>
    <mergeCell ref="N256:N257"/>
    <mergeCell ref="O256:O257"/>
    <mergeCell ref="P256:P257"/>
    <mergeCell ref="Q256:Q257"/>
    <mergeCell ref="R256:R257"/>
    <mergeCell ref="S256:S257"/>
    <mergeCell ref="T256:T257"/>
    <mergeCell ref="U256:U257"/>
    <mergeCell ref="V256:V257"/>
    <mergeCell ref="W256:W257"/>
    <mergeCell ref="X256:X257"/>
    <mergeCell ref="Y256:Y257"/>
    <mergeCell ref="AB252:AB253"/>
    <mergeCell ref="AC252:AC253"/>
    <mergeCell ref="B254:E255"/>
    <mergeCell ref="F254:F255"/>
    <mergeCell ref="G254:G255"/>
    <mergeCell ref="H254:H255"/>
    <mergeCell ref="I254:I255"/>
    <mergeCell ref="J254:J255"/>
    <mergeCell ref="K254:K255"/>
    <mergeCell ref="L254:L255"/>
    <mergeCell ref="M254:M255"/>
    <mergeCell ref="N254:N255"/>
    <mergeCell ref="O254:O255"/>
    <mergeCell ref="P254:P255"/>
    <mergeCell ref="Q254:Q255"/>
    <mergeCell ref="R254:R255"/>
    <mergeCell ref="S254:S255"/>
    <mergeCell ref="T254:T255"/>
    <mergeCell ref="U254:U255"/>
    <mergeCell ref="V254:V255"/>
    <mergeCell ref="W254:W255"/>
    <mergeCell ref="X254:X255"/>
    <mergeCell ref="Y254:Y255"/>
    <mergeCell ref="Z254:Z255"/>
    <mergeCell ref="B252:E253"/>
    <mergeCell ref="F252:F253"/>
    <mergeCell ref="G252:G253"/>
    <mergeCell ref="H252:H253"/>
    <mergeCell ref="I252:I253"/>
    <mergeCell ref="J252:J253"/>
    <mergeCell ref="K252:K253"/>
    <mergeCell ref="L252:L253"/>
    <mergeCell ref="M252:M253"/>
    <mergeCell ref="N252:N253"/>
    <mergeCell ref="O252:O253"/>
    <mergeCell ref="P252:P253"/>
    <mergeCell ref="Q252:Q253"/>
    <mergeCell ref="R252:R253"/>
    <mergeCell ref="S252:S253"/>
    <mergeCell ref="T252:T253"/>
    <mergeCell ref="U252:U253"/>
    <mergeCell ref="V252:V253"/>
    <mergeCell ref="W252:W253"/>
    <mergeCell ref="X252:X253"/>
    <mergeCell ref="Y252:Y253"/>
    <mergeCell ref="Z252:Z253"/>
    <mergeCell ref="AA252:AA253"/>
    <mergeCell ref="U250:U251"/>
    <mergeCell ref="V250:V251"/>
    <mergeCell ref="W250:W251"/>
    <mergeCell ref="X250:X251"/>
    <mergeCell ref="Y250:Y251"/>
    <mergeCell ref="Z250:Z251"/>
    <mergeCell ref="AA250:AA251"/>
    <mergeCell ref="AB250:AB251"/>
    <mergeCell ref="AC250:AC251"/>
    <mergeCell ref="V248:V249"/>
    <mergeCell ref="W248:W249"/>
    <mergeCell ref="X248:X249"/>
    <mergeCell ref="Y248:Y249"/>
    <mergeCell ref="Z248:Z249"/>
    <mergeCell ref="AA248:AA249"/>
    <mergeCell ref="AB248:AB249"/>
    <mergeCell ref="AC248:AC249"/>
    <mergeCell ref="B250:E251"/>
    <mergeCell ref="F250:F251"/>
    <mergeCell ref="G250:G251"/>
    <mergeCell ref="H250:H251"/>
    <mergeCell ref="I250:I251"/>
    <mergeCell ref="J250:J251"/>
    <mergeCell ref="K250:K251"/>
    <mergeCell ref="L250:L251"/>
    <mergeCell ref="M250:M251"/>
    <mergeCell ref="N250:N251"/>
    <mergeCell ref="O250:O251"/>
    <mergeCell ref="P250:P251"/>
    <mergeCell ref="Q250:Q251"/>
    <mergeCell ref="R250:R251"/>
    <mergeCell ref="S250:S251"/>
    <mergeCell ref="T250:T251"/>
    <mergeCell ref="W246:W247"/>
    <mergeCell ref="X246:X247"/>
    <mergeCell ref="P246:P247"/>
    <mergeCell ref="Q246:Q247"/>
    <mergeCell ref="R246:R247"/>
    <mergeCell ref="S246:S247"/>
    <mergeCell ref="T246:T247"/>
    <mergeCell ref="U246:U247"/>
    <mergeCell ref="V246:V247"/>
    <mergeCell ref="N248:N249"/>
    <mergeCell ref="O248:O249"/>
    <mergeCell ref="P248:P249"/>
    <mergeCell ref="Q248:Q249"/>
    <mergeCell ref="R248:R249"/>
    <mergeCell ref="S248:S249"/>
    <mergeCell ref="T248:T249"/>
    <mergeCell ref="U248:U249"/>
    <mergeCell ref="N246:N247"/>
    <mergeCell ref="O246:O247"/>
    <mergeCell ref="B248:E249"/>
    <mergeCell ref="F248:F249"/>
    <mergeCell ref="G248:G249"/>
    <mergeCell ref="H248:H249"/>
    <mergeCell ref="I248:I249"/>
    <mergeCell ref="J248:J249"/>
    <mergeCell ref="K248:K249"/>
    <mergeCell ref="L248:L249"/>
    <mergeCell ref="M248:M249"/>
    <mergeCell ref="V244:V245"/>
    <mergeCell ref="W244:W245"/>
    <mergeCell ref="X244:X245"/>
    <mergeCell ref="Y244:Y245"/>
    <mergeCell ref="Z244:Z245"/>
    <mergeCell ref="AA244:AA245"/>
    <mergeCell ref="AB244:AB245"/>
    <mergeCell ref="AC244:AC245"/>
    <mergeCell ref="B246:E247"/>
    <mergeCell ref="F246:F247"/>
    <mergeCell ref="G246:G247"/>
    <mergeCell ref="H246:H247"/>
    <mergeCell ref="I246:I247"/>
    <mergeCell ref="J246:J247"/>
    <mergeCell ref="K246:K247"/>
    <mergeCell ref="L246:L247"/>
    <mergeCell ref="M246:M247"/>
    <mergeCell ref="Y246:Y247"/>
    <mergeCell ref="Z246:Z247"/>
    <mergeCell ref="AA246:AA247"/>
    <mergeCell ref="AB246:AB247"/>
    <mergeCell ref="AC246:AC247"/>
    <mergeCell ref="B242:E243"/>
    <mergeCell ref="F242:I243"/>
    <mergeCell ref="J242:M243"/>
    <mergeCell ref="N242:Q243"/>
    <mergeCell ref="R242:U243"/>
    <mergeCell ref="V242:Y243"/>
    <mergeCell ref="Z242:AC243"/>
    <mergeCell ref="B244:E245"/>
    <mergeCell ref="F244:F245"/>
    <mergeCell ref="G244:G245"/>
    <mergeCell ref="H244:H245"/>
    <mergeCell ref="I244:I245"/>
    <mergeCell ref="J244:J245"/>
    <mergeCell ref="K244:K245"/>
    <mergeCell ref="L244:L245"/>
    <mergeCell ref="M244:M245"/>
    <mergeCell ref="N244:N245"/>
    <mergeCell ref="O244:O245"/>
    <mergeCell ref="P244:P245"/>
    <mergeCell ref="Q244:Q245"/>
    <mergeCell ref="R244:R245"/>
    <mergeCell ref="S244:S245"/>
    <mergeCell ref="T244:T245"/>
    <mergeCell ref="U244:U245"/>
    <mergeCell ref="C226:D226"/>
    <mergeCell ref="B227:D227"/>
    <mergeCell ref="B238:AC238"/>
    <mergeCell ref="B239:E241"/>
    <mergeCell ref="F239:I239"/>
    <mergeCell ref="J239:M239"/>
    <mergeCell ref="N239:Q239"/>
    <mergeCell ref="R239:U239"/>
    <mergeCell ref="V239:Y239"/>
    <mergeCell ref="Z239:AC239"/>
    <mergeCell ref="U225:U226"/>
    <mergeCell ref="V225:V226"/>
    <mergeCell ref="W225:W226"/>
    <mergeCell ref="X225:X226"/>
    <mergeCell ref="Y225:Y226"/>
    <mergeCell ref="Z225:Z226"/>
    <mergeCell ref="AA225:AA226"/>
    <mergeCell ref="AB225:AB226"/>
    <mergeCell ref="AC225:AC226"/>
    <mergeCell ref="W223:W224"/>
    <mergeCell ref="X223:X224"/>
    <mergeCell ref="Y223:Y224"/>
    <mergeCell ref="Z223:Z224"/>
    <mergeCell ref="AA223:AA224"/>
    <mergeCell ref="AB223:AB224"/>
    <mergeCell ref="AC223:AC224"/>
    <mergeCell ref="C224:D224"/>
    <mergeCell ref="C225:D225"/>
    <mergeCell ref="F225:F226"/>
    <mergeCell ref="G225:G226"/>
    <mergeCell ref="H225:H226"/>
    <mergeCell ref="I225:I226"/>
    <mergeCell ref="J225:J226"/>
    <mergeCell ref="K225:K226"/>
    <mergeCell ref="L225:L226"/>
    <mergeCell ref="M225:M226"/>
    <mergeCell ref="N225:N226"/>
    <mergeCell ref="O225:O226"/>
    <mergeCell ref="P225:P226"/>
    <mergeCell ref="Q225:Q226"/>
    <mergeCell ref="R225:R226"/>
    <mergeCell ref="S225:S226"/>
    <mergeCell ref="T225:T226"/>
    <mergeCell ref="B222:D222"/>
    <mergeCell ref="C223:D223"/>
    <mergeCell ref="F223:F224"/>
    <mergeCell ref="G223:G224"/>
    <mergeCell ref="H223:H224"/>
    <mergeCell ref="I223:I224"/>
    <mergeCell ref="T223:T224"/>
    <mergeCell ref="U223:U224"/>
    <mergeCell ref="V223:V224"/>
    <mergeCell ref="S223:S224"/>
    <mergeCell ref="B145:M145"/>
    <mergeCell ref="Q145:AC145"/>
    <mergeCell ref="B163:AC164"/>
    <mergeCell ref="B165:B166"/>
    <mergeCell ref="C165:E165"/>
    <mergeCell ref="F165:I165"/>
    <mergeCell ref="J165:M165"/>
    <mergeCell ref="N165:Q165"/>
    <mergeCell ref="R165:U165"/>
    <mergeCell ref="V165:Y165"/>
    <mergeCell ref="Z165:AC165"/>
    <mergeCell ref="J223:J224"/>
    <mergeCell ref="K223:K224"/>
    <mergeCell ref="L223:L224"/>
    <mergeCell ref="M223:M224"/>
    <mergeCell ref="N223:N224"/>
    <mergeCell ref="O223:O224"/>
    <mergeCell ref="P223:P224"/>
    <mergeCell ref="Q223:Q224"/>
    <mergeCell ref="R223:R224"/>
    <mergeCell ref="B177:D177"/>
    <mergeCell ref="B178:E178"/>
    <mergeCell ref="E219:E226"/>
    <mergeCell ref="C116:D116"/>
    <mergeCell ref="B117:D117"/>
    <mergeCell ref="C118:D118"/>
    <mergeCell ref="C119:D119"/>
    <mergeCell ref="B120:D120"/>
    <mergeCell ref="B121:B122"/>
    <mergeCell ref="B127:J127"/>
    <mergeCell ref="L127:O127"/>
    <mergeCell ref="Q127:AC127"/>
    <mergeCell ref="C107:D107"/>
    <mergeCell ref="B108:D108"/>
    <mergeCell ref="C109:D109"/>
    <mergeCell ref="C110:D110"/>
    <mergeCell ref="C111:D111"/>
    <mergeCell ref="C112:D112"/>
    <mergeCell ref="C113:D113"/>
    <mergeCell ref="C114:D114"/>
    <mergeCell ref="C115:D115"/>
    <mergeCell ref="B84:D84"/>
    <mergeCell ref="C102:D102"/>
    <mergeCell ref="B103:D103"/>
    <mergeCell ref="C105:D105"/>
    <mergeCell ref="C106:D106"/>
    <mergeCell ref="I47:J47"/>
    <mergeCell ref="I48:J48"/>
    <mergeCell ref="I49:J49"/>
    <mergeCell ref="AP49:AQ49"/>
    <mergeCell ref="AP50:AQ50"/>
    <mergeCell ref="B57:L57"/>
    <mergeCell ref="F58:G58"/>
    <mergeCell ref="H58:I58"/>
    <mergeCell ref="K58:K59"/>
    <mergeCell ref="L58:L59"/>
    <mergeCell ref="F59:G59"/>
    <mergeCell ref="H59:I59"/>
    <mergeCell ref="I43:J43"/>
    <mergeCell ref="I44:J44"/>
    <mergeCell ref="I45:J45"/>
    <mergeCell ref="I46:J46"/>
    <mergeCell ref="B32:B33"/>
    <mergeCell ref="C32:C33"/>
    <mergeCell ref="G32:I32"/>
    <mergeCell ref="AP32:AQ32"/>
    <mergeCell ref="BI33:BJ33"/>
    <mergeCell ref="B34:B35"/>
    <mergeCell ref="C34:C35"/>
    <mergeCell ref="H34:I34"/>
    <mergeCell ref="BI34:BJ34"/>
    <mergeCell ref="H35:I35"/>
    <mergeCell ref="BI35:BJ35"/>
    <mergeCell ref="B30:B31"/>
    <mergeCell ref="C30:C31"/>
    <mergeCell ref="BI30:BJ30"/>
    <mergeCell ref="AP31:AQ31"/>
    <mergeCell ref="BH31:BJ31"/>
    <mergeCell ref="BI36:BJ36"/>
    <mergeCell ref="AE37:BD37"/>
    <mergeCell ref="BH38:BJ38"/>
    <mergeCell ref="B42:L42"/>
    <mergeCell ref="BH21:BJ21"/>
    <mergeCell ref="BH22:BH26"/>
    <mergeCell ref="G25:I25"/>
    <mergeCell ref="G26:G27"/>
    <mergeCell ref="H26:H27"/>
    <mergeCell ref="I26:I27"/>
    <mergeCell ref="BI26:BJ26"/>
    <mergeCell ref="B28:B29"/>
    <mergeCell ref="C28:C29"/>
    <mergeCell ref="G28:I28"/>
    <mergeCell ref="BI28:BJ28"/>
    <mergeCell ref="B15:C15"/>
    <mergeCell ref="G15:I15"/>
    <mergeCell ref="BH15:BJ15"/>
    <mergeCell ref="G16:I16"/>
    <mergeCell ref="BI16:BJ16"/>
    <mergeCell ref="G18:I18"/>
    <mergeCell ref="AE1:BD1"/>
    <mergeCell ref="BH1:BJ3"/>
    <mergeCell ref="AE19:BD19"/>
    <mergeCell ref="BI19:BJ19"/>
    <mergeCell ref="BK1:BK4"/>
    <mergeCell ref="BN1:BP1"/>
    <mergeCell ref="BQ1:BS1"/>
    <mergeCell ref="C2:D6"/>
    <mergeCell ref="BH4:BJ4"/>
    <mergeCell ref="BI5:BJ5"/>
    <mergeCell ref="BI6:BJ6"/>
    <mergeCell ref="AP13:AQ13"/>
    <mergeCell ref="AP14:AQ14"/>
  </mergeCells>
  <conditionalFormatting sqref="F321:AC325">
    <cfRule type="expression" dxfId="38" priority="2">
      <formula>OR(AND(ISNUMBER(F321), ABS(F321) &lt; 0.0000001), F321="0", F321="0.00%")</formula>
    </cfRule>
  </conditionalFormatting>
  <conditionalFormatting sqref="D321:D324">
    <cfRule type="containsText" dxfId="37" priority="3" operator="containsText" text="FALSE">
      <formula>NOT(ISERROR(SEARCH("FALSE",D321)))</formula>
    </cfRule>
    <cfRule type="containsText" dxfId="36" priority="4" operator="containsText" text="TRUE">
      <formula>NOT(ISERROR(SEARCH("TRUE",D321)))</formula>
    </cfRule>
  </conditionalFormatting>
  <conditionalFormatting sqref="AP3:AP12">
    <cfRule type="expression" dxfId="35" priority="5">
      <formula>OR(AND(ISNUMBER(AP3), ABS(AP3) &lt; 0.0000001), AP3="0", AP3="0.00%")</formula>
    </cfRule>
    <cfRule type="expression" dxfId="34" priority="6">
      <formula>OR(AND(ISNUMBER(AP3), ABS(AP3) &lt; 0.0000001), AP3="0", AP3="0.00%")</formula>
    </cfRule>
  </conditionalFormatting>
  <conditionalFormatting sqref="BX9:CB16">
    <cfRule type="expression" dxfId="33" priority="7">
      <formula>OR(AND(ISNUMBER(BX9), ABS(BX9) &lt; 0.0000001), BX9="0", BX9="0.00%")</formula>
    </cfRule>
  </conditionalFormatting>
  <conditionalFormatting sqref="BV9:BV16">
    <cfRule type="expression" dxfId="32" priority="8">
      <formula>OR(AND(ISNUMBER(BV9), ABS(BV9) &lt; 0.0000001), BV9="0", BV9="0.00%")</formula>
    </cfRule>
  </conditionalFormatting>
  <conditionalFormatting sqref="AF21:AF30">
    <cfRule type="expression" dxfId="31" priority="9">
      <formula>OR(AND(ISNUMBER(AF21), ABS(AF21) &lt; 0.0000001), AF21="0", AF21="0.00%")</formula>
    </cfRule>
  </conditionalFormatting>
  <conditionalFormatting sqref="AF3:AF12">
    <cfRule type="expression" dxfId="30" priority="10">
      <formula>OR(AND(ISNUMBER(AF3), ABS(AF3) &lt; 0.0000001), AF3="0", AF3="0.00%")</formula>
    </cfRule>
  </conditionalFormatting>
  <conditionalFormatting sqref="AQ21:AQ30">
    <cfRule type="expression" dxfId="29" priority="11">
      <formula>OR(AND(ISNUMBER(AQ21), ABS(AQ21) &lt; 0.0000001), AQ21="0", AQ21="0.00%")</formula>
    </cfRule>
  </conditionalFormatting>
  <conditionalFormatting sqref="AQ3:AQ12">
    <cfRule type="expression" dxfId="28" priority="12">
      <formula>OR(AND(ISNUMBER(AQ3), ABS(AQ3) &lt; 0.0000001), AQ3="0", AQ3="0.00%")</formula>
    </cfRule>
  </conditionalFormatting>
  <conditionalFormatting sqref="AP21:AP30">
    <cfRule type="expression" dxfId="27" priority="13">
      <formula>OR(AND(ISNUMBER(AP21), ABS(AP21) &lt; 0.0000001), AP21="0", AP21="0.00%")</formula>
    </cfRule>
    <cfRule type="expression" dxfId="26" priority="14">
      <formula>OR(AND(ISNUMBER(AP21), ABS(AP21) &lt; 0.0000001), AP21="0", AP21="0.00%")</formula>
    </cfRule>
  </conditionalFormatting>
  <conditionalFormatting sqref="BW17:BW18">
    <cfRule type="expression" dxfId="25" priority="15">
      <formula>OR(AND(ISNUMBER(BW17), ABS(BW17) &lt; 0.0000001), BW17="0", BW17="0.00%")</formula>
    </cfRule>
  </conditionalFormatting>
  <conditionalFormatting sqref="B268:C269">
    <cfRule type="dataBar" priority="16">
      <dataBar>
        <cfvo type="formula" val="$R$139"/>
        <cfvo type="num" val="0"/>
        <color rgb="FFF0EAE4"/>
      </dataBar>
      <extLst>
        <ext xmlns:x14="http://schemas.microsoft.com/office/spreadsheetml/2009/9/main" uri="{B025F937-C7B1-47D3-B67F-A62EFF666E3E}">
          <x14:id>{1E83A5E3-EB43-4829-9B30-51904A90A826}</x14:id>
        </ext>
      </extLst>
    </cfRule>
  </conditionalFormatting>
  <conditionalFormatting sqref="BA3:BA12 BA21:BA30 BA39:BA48">
    <cfRule type="containsText" dxfId="24" priority="17" operator="containsText" text="0.00">
      <formula>NOT(ISERROR(SEARCH("0.00",BA3)))</formula>
    </cfRule>
    <cfRule type="cellIs" dxfId="23" priority="18" operator="equal">
      <formula>0</formula>
    </cfRule>
    <cfRule type="cellIs" dxfId="22" priority="19" operator="lessThan">
      <formula>1</formula>
    </cfRule>
    <cfRule type="cellIs" dxfId="21" priority="20" operator="greaterThan">
      <formula>1</formula>
    </cfRule>
  </conditionalFormatting>
  <conditionalFormatting sqref="AO20:BA20 AO21:AO30 AR21:BA30">
    <cfRule type="expression" dxfId="20" priority="21">
      <formula>OR(AND(ISNUMBER(AO20), ABS(AO20) &lt; 0.0000001), AO20="0", AO20="0.00%")</formula>
    </cfRule>
  </conditionalFormatting>
  <conditionalFormatting sqref="BA3:BC14">
    <cfRule type="expression" dxfId="19" priority="22">
      <formula>OR(AND(ISNUMBER(BA3), ABS(BA3) &lt; 0.0000001), BA3="0", BA3="0.00%")</formula>
    </cfRule>
  </conditionalFormatting>
  <conditionalFormatting sqref="BA39:BD50">
    <cfRule type="expression" dxfId="18" priority="23">
      <formula>OR(AND(ISNUMBER(BA39), ABS(BA39) &lt; 0.0000001), BA39="0", BA39="0.00%")</formula>
    </cfRule>
  </conditionalFormatting>
  <conditionalFormatting sqref="BB21:BC32">
    <cfRule type="expression" dxfId="17" priority="24">
      <formula>OR(AND(ISNUMBER(BB21), ABS(BB21) &lt; 0.0000001), BB21="0", BB21="0.00%")</formula>
    </cfRule>
  </conditionalFormatting>
  <conditionalFormatting sqref="BN2:BS12">
    <cfRule type="expression" dxfId="16" priority="25">
      <formula>OR(AND(ISNUMBER(BN2), ABS(BN2) &lt; 0.0000001), BN2="0", BN2="0.00%")</formula>
    </cfRule>
  </conditionalFormatting>
  <conditionalFormatting sqref="AE39:AZ48">
    <cfRule type="expression" dxfId="15" priority="26">
      <formula>OR(AND(ISNUMBER(AE39), ABS(AE39) &lt; 0.0000001), AE39="0", AE39="0.00%")</formula>
    </cfRule>
  </conditionalFormatting>
  <conditionalFormatting sqref="AF50:AP50">
    <cfRule type="containsText" dxfId="14" priority="27" operator="containsText" text="FALSE">
      <formula>NOT(ISERROR(SEARCH("FALSE",AF50)))</formula>
    </cfRule>
    <cfRule type="containsText" dxfId="13" priority="28" operator="containsText" text="TRUE">
      <formula>NOT(ISERROR(SEARCH("TRUE",AF50)))</formula>
    </cfRule>
  </conditionalFormatting>
  <conditionalFormatting sqref="AO49:AP50 AR49:AZ50">
    <cfRule type="expression" dxfId="12" priority="29">
      <formula>OR(AND(ISNUMBER(AO49), ABS(AO49) &lt; 0.0000001), AO49="0", AO49="0.00%")</formula>
    </cfRule>
  </conditionalFormatting>
  <conditionalFormatting sqref="AE3:AE12 AG3:AO12 AR3:AZ12">
    <cfRule type="expression" dxfId="11" priority="30">
      <formula>OR(AND(ISNUMBER(AE3), ABS(AE3) &lt; 0.0000001), AE3="0", AE3="0.00%")</formula>
    </cfRule>
  </conditionalFormatting>
  <conditionalFormatting sqref="AG32:AP32">
    <cfRule type="containsText" dxfId="10" priority="31" operator="containsText" text="FALSE">
      <formula>NOT(ISERROR(SEARCH("FALSE",AG32)))</formula>
    </cfRule>
    <cfRule type="containsText" dxfId="9" priority="32" operator="containsText" text="TRUE">
      <formula>NOT(ISERROR(SEARCH("TRUE",AG32)))</formula>
    </cfRule>
  </conditionalFormatting>
  <conditionalFormatting sqref="AG21:AN30">
    <cfRule type="expression" dxfId="8" priority="33">
      <formula>OR(AND(ISNUMBER(AG21), ABS(AG21) &lt; 0.0000001), AG21="0", AG21="0.00%")</formula>
    </cfRule>
  </conditionalFormatting>
  <conditionalFormatting sqref="AF14:AP14">
    <cfRule type="containsText" dxfId="7" priority="34" operator="containsText" text="FALSE">
      <formula>NOT(ISERROR(SEARCH("FALSE",AF14)))</formula>
    </cfRule>
    <cfRule type="containsText" dxfId="6" priority="35" operator="containsText" text="TRUE">
      <formula>NOT(ISERROR(SEARCH("TRUE",AF14)))</formula>
    </cfRule>
  </conditionalFormatting>
  <conditionalFormatting sqref="AO24 AO26 AO28 AO30">
    <cfRule type="expression" dxfId="5" priority="36">
      <formula>OR(AND(ISNUMBER(AO24), ABS(AO24) &lt; 0.0000001), AO24="0", AO24="0.00%")</formula>
    </cfRule>
  </conditionalFormatting>
  <conditionalFormatting sqref="AO22">
    <cfRule type="expression" dxfId="4" priority="37">
      <formula>OR(AND(ISNUMBER(AO22), ABS(AO22) &lt; 0.0000001), AO22="0", AO22="0.00%")</formula>
    </cfRule>
  </conditionalFormatting>
  <conditionalFormatting sqref="L60 AO13:AP14 AP17:BA17 AP18:BB18 AR13:AZ14 BD3:BD15 BD20:BD30">
    <cfRule type="expression" dxfId="3" priority="38">
      <formula>OR(AND(ISNUMBER(L3), ABS(L3) &lt; 0.0000001), L3="0", L3="0.00%")</formula>
    </cfRule>
  </conditionalFormatting>
  <conditionalFormatting sqref="B44:L48 B59:J59 C61:L75 C86:E101 C104:E104 C105 C106:D107 C109:D116 C118:E119 C129:J138 C147:M156 F167:AC175 F180:AC189 F192:AC216 F246:AC257 F272:AC297 H19:I24 H29:I31 M129:O138 R129:AC138 R147:AC156 AO15:AZ15 AO16:AW16 AY16:AZ16 BV2:BW6 BW9:BW16 BX17:CB18">
    <cfRule type="expression" dxfId="2" priority="39">
      <formula>OR(AND(ISNUMBER(B2), ABS(B2) &lt; 0.0000001), B2="0", B2="0.00%")</formula>
    </cfRule>
  </conditionalFormatting>
  <conditionalFormatting sqref="B227:D227 D167:D175 D180:D189 D192:D216 D218:D221 D268:D275 D278:D291 D294:D297 D313 I33 AB260:AC260 AR14:BD14 AR32:BD32 AR50:BD50">
    <cfRule type="containsText" dxfId="1" priority="40" operator="containsText" text="FALSE">
      <formula>NOT(ISERROR(SEARCH("FALSE",B14)))</formula>
    </cfRule>
    <cfRule type="containsText" dxfId="0" priority="41" operator="containsText" text="TRUE">
      <formula>NOT(ISERROR(SEARCH("TRUE",B14)))</formula>
    </cfRule>
  </conditionalFormatting>
  <hyperlinks>
    <hyperlink ref="F3" r:id="rId1" xr:uid="{00000000-0004-0000-0000-000000000000}"/>
  </hyperlinks>
  <pageMargins left="0" right="5.9722222222222197E-2" top="0" bottom="0" header="0.511811023622047" footer="0.511811023622047"/>
  <pageSetup paperSize="9" orientation="landscape" horizontalDpi="300" verticalDpi="3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83A5E3-EB43-4829-9B30-51904A90A826}">
            <x14:dataBar axisPosition="none">
              <x14:cfvo type="formula">
                <xm:f>$R$139</xm:f>
              </x14:cfvo>
              <x14:cfvo type="num">
                <xm:f>0</xm:f>
              </x14:cfvo>
              <x14:negativeFillColor rgb="FFF0EAE4"/>
            </x14:dataBar>
          </x14:cfRule>
          <xm:sqref>B268:C269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2</vt:i4>
      </vt:variant>
      <vt:variant>
        <vt:lpstr>النطاقات المسماة</vt:lpstr>
      </vt:variant>
      <vt:variant>
        <vt:i4>2</vt:i4>
      </vt:variant>
    </vt:vector>
  </HeadingPairs>
  <TitlesOfParts>
    <vt:vector size="4" baseType="lpstr">
      <vt:lpstr>APP</vt:lpstr>
      <vt:lpstr>Study</vt:lpstr>
      <vt:lpstr>APP!Print_Area</vt:lpstr>
      <vt:lpstr>Study!Print_Area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Omar Almayouf</dc:creator>
  <dc:description/>
  <cp:lastModifiedBy>Omare Almayouf</cp:lastModifiedBy>
  <cp:revision>1</cp:revision>
  <cp:lastPrinted>2026-05-28T19:25:46Z</cp:lastPrinted>
  <dcterms:created xsi:type="dcterms:W3CDTF">2025-03-23T09:18:25Z</dcterms:created>
  <dcterms:modified xsi:type="dcterms:W3CDTF">2026-05-30T02:20:55Z</dcterms:modified>
  <dc:language>en-US</dc:language>
</cp:coreProperties>
</file>