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y work\الدراسات المالية - (عمر - عبدالله)\الدراسات\مرحلة التنفيذ\RF030-240630 - برج جدة - Rasf Rise\الدراسة المالية\"/>
    </mc:Choice>
  </mc:AlternateContent>
  <xr:revisionPtr revIDLastSave="0" documentId="13_ncr:1_{262881AB-0114-4995-9080-59EEE5860C94}" xr6:coauthVersionLast="47" xr6:coauthVersionMax="47" xr10:uidLastSave="{00000000-0000-0000-0000-000000000000}"/>
  <bookViews>
    <workbookView xWindow="-120" yWindow="-120" windowWidth="51840" windowHeight="21120" tabRatio="851" xr2:uid="{08494FB3-3157-40BF-A39A-1857DBA01C82}"/>
  </bookViews>
  <sheets>
    <sheet name="Study" sheetId="1" r:id="rId1"/>
  </sheets>
  <externalReferences>
    <externalReference r:id="rId2"/>
  </externalReferences>
  <definedNames>
    <definedName name="_xlnm._FilterDatabase" localSheetId="0" hidden="1">Study!$AG$160:$AG$161</definedName>
    <definedName name="AuditFailsCommercial">[1]Audit!$G$12</definedName>
    <definedName name="AuditFailsStructural">[1]Audit!$G$11</definedName>
    <definedName name="AuditOK">[1]Audit!$G$13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91" i="1" l="1"/>
  <c r="C122" i="1"/>
  <c r="W188" i="1"/>
  <c r="V188" i="1"/>
  <c r="S188" i="1"/>
  <c r="BJ23" i="1"/>
  <c r="C71" i="1" l="1"/>
  <c r="AC325" i="1" l="1"/>
  <c r="AB325" i="1"/>
  <c r="AA325" i="1"/>
  <c r="Z325" i="1"/>
  <c r="Y325" i="1"/>
  <c r="X325" i="1"/>
  <c r="V325" i="1"/>
  <c r="T325" i="1"/>
  <c r="R325" i="1"/>
  <c r="P325" i="1"/>
  <c r="N325" i="1"/>
  <c r="L325" i="1"/>
  <c r="J325" i="1"/>
  <c r="H325" i="1"/>
  <c r="J199" i="1" l="1"/>
  <c r="BW1" i="1" l="1"/>
  <c r="BZ12" i="1"/>
  <c r="AH13" i="1"/>
  <c r="AH14" i="1" s="1"/>
  <c r="BA14" i="1"/>
  <c r="BC14" i="1"/>
  <c r="BX15" i="1"/>
  <c r="BZ16" i="1"/>
  <c r="CA16" i="1" s="1"/>
  <c r="AH21" i="1"/>
  <c r="AH22" i="1"/>
  <c r="AH23" i="1"/>
  <c r="AH24" i="1"/>
  <c r="AH25" i="1"/>
  <c r="AH26" i="1"/>
  <c r="AH27" i="1"/>
  <c r="AH28" i="1"/>
  <c r="AH29" i="1"/>
  <c r="AH30" i="1"/>
  <c r="AT31" i="1"/>
  <c r="AT32" i="1" s="1"/>
  <c r="AR32" i="1"/>
  <c r="BA32" i="1"/>
  <c r="BC32" i="1"/>
  <c r="AH39" i="1"/>
  <c r="AH40" i="1"/>
  <c r="AH41" i="1"/>
  <c r="AH42" i="1"/>
  <c r="AH43" i="1"/>
  <c r="AH44" i="1"/>
  <c r="AH45" i="1"/>
  <c r="AH46" i="1"/>
  <c r="AH47" i="1"/>
  <c r="AH48" i="1"/>
  <c r="AM50" i="1"/>
  <c r="AO50" i="1"/>
  <c r="BA50" i="1"/>
  <c r="BC50" i="1"/>
  <c r="C129" i="1"/>
  <c r="C130" i="1"/>
  <c r="C131" i="1"/>
  <c r="C132" i="1"/>
  <c r="C133" i="1"/>
  <c r="C134" i="1"/>
  <c r="C135" i="1"/>
  <c r="C136" i="1"/>
  <c r="C137" i="1"/>
  <c r="C138" i="1"/>
  <c r="O129" i="1"/>
  <c r="D129" i="1" s="1"/>
  <c r="AO3" i="1" s="1"/>
  <c r="C156" i="1"/>
  <c r="C155" i="1"/>
  <c r="C154" i="1"/>
  <c r="C153" i="1"/>
  <c r="C152" i="1"/>
  <c r="C151" i="1"/>
  <c r="C150" i="1"/>
  <c r="C149" i="1"/>
  <c r="C148" i="1"/>
  <c r="C147" i="1"/>
  <c r="N148" i="1"/>
  <c r="P148" i="1" s="1"/>
  <c r="N149" i="1"/>
  <c r="P149" i="1" s="1"/>
  <c r="N150" i="1"/>
  <c r="P150" i="1" s="1"/>
  <c r="N151" i="1"/>
  <c r="P151" i="1" s="1"/>
  <c r="N152" i="1"/>
  <c r="P152" i="1" s="1"/>
  <c r="N153" i="1"/>
  <c r="P153" i="1" s="1"/>
  <c r="N154" i="1"/>
  <c r="P154" i="1" s="1"/>
  <c r="N155" i="1"/>
  <c r="P155" i="1" s="1"/>
  <c r="N156" i="1"/>
  <c r="P156" i="1" s="1"/>
  <c r="N147" i="1"/>
  <c r="P147" i="1" s="1"/>
  <c r="AH49" i="1" l="1"/>
  <c r="AH50" i="1" s="1"/>
  <c r="AH31" i="1"/>
  <c r="AH32" i="1" s="1"/>
  <c r="AO21" i="1"/>
  <c r="AO39" i="1" s="1"/>
  <c r="C93" i="1"/>
  <c r="BJ24" i="1" s="1"/>
  <c r="E215" i="1"/>
  <c r="C106" i="1" s="1"/>
  <c r="K60" i="1" l="1"/>
  <c r="D276" i="1"/>
  <c r="D292" i="1"/>
  <c r="R154" i="1"/>
  <c r="O130" i="1" l="1"/>
  <c r="AO22" i="1" s="1"/>
  <c r="C157" i="1"/>
  <c r="N139" i="1"/>
  <c r="B268" i="1" s="1"/>
  <c r="C139" i="1"/>
  <c r="D130" i="1" l="1"/>
  <c r="AO4" i="1" s="1"/>
  <c r="T154" i="1"/>
  <c r="U154" i="1" s="1"/>
  <c r="V154" i="1" s="1"/>
  <c r="AO40" i="1" l="1"/>
  <c r="F250" i="1"/>
  <c r="F256" i="1" l="1"/>
  <c r="F244" i="1"/>
  <c r="E270" i="1"/>
  <c r="Z252" i="1"/>
  <c r="Y256" i="1"/>
  <c r="Z256" i="1"/>
  <c r="AA252" i="1"/>
  <c r="AB252" i="1"/>
  <c r="AC252" i="1"/>
  <c r="AA256" i="1"/>
  <c r="AB256" i="1"/>
  <c r="AC256" i="1"/>
  <c r="Y252" i="1"/>
  <c r="Z244" i="1"/>
  <c r="AA244" i="1"/>
  <c r="AB244" i="1"/>
  <c r="AC244" i="1"/>
  <c r="Y244" i="1"/>
  <c r="Z242" i="1"/>
  <c r="J266" i="1"/>
  <c r="K266" i="1"/>
  <c r="I266" i="1"/>
  <c r="F266" i="1"/>
  <c r="F199" i="1"/>
  <c r="L44" i="1"/>
  <c r="X256" i="1" l="1"/>
  <c r="U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V242" i="1"/>
  <c r="R242" i="1"/>
  <c r="N242" i="1"/>
  <c r="J242" i="1"/>
  <c r="F242" i="1"/>
  <c r="F240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C180" i="1"/>
  <c r="F180" i="1" s="1"/>
  <c r="G177" i="1"/>
  <c r="E175" i="1"/>
  <c r="D175" i="1" s="1"/>
  <c r="E174" i="1"/>
  <c r="D174" i="1" s="1"/>
  <c r="E173" i="1"/>
  <c r="D173" i="1" s="1"/>
  <c r="E172" i="1"/>
  <c r="D172" i="1" s="1"/>
  <c r="E171" i="1"/>
  <c r="D171" i="1" s="1"/>
  <c r="N157" i="1"/>
  <c r="T156" i="1"/>
  <c r="U156" i="1" s="1"/>
  <c r="T153" i="1"/>
  <c r="U153" i="1" s="1"/>
  <c r="T152" i="1"/>
  <c r="U152" i="1" s="1"/>
  <c r="T151" i="1"/>
  <c r="U151" i="1" s="1"/>
  <c r="T148" i="1"/>
  <c r="U148" i="1" s="1"/>
  <c r="O138" i="1"/>
  <c r="AO30" i="1" s="1"/>
  <c r="O137" i="1"/>
  <c r="AO29" i="1" s="1"/>
  <c r="O136" i="1"/>
  <c r="AO28" i="1" s="1"/>
  <c r="O135" i="1"/>
  <c r="AO27" i="1" s="1"/>
  <c r="O134" i="1"/>
  <c r="AO26" i="1" s="1"/>
  <c r="O133" i="1"/>
  <c r="AO25" i="1" s="1"/>
  <c r="O132" i="1"/>
  <c r="AO24" i="1" s="1"/>
  <c r="O131" i="1"/>
  <c r="AO23" i="1" s="1"/>
  <c r="D270" i="1"/>
  <c r="F128" i="1"/>
  <c r="E128" i="1"/>
  <c r="C204" i="1"/>
  <c r="C86" i="1"/>
  <c r="H76" i="1"/>
  <c r="K68" i="1"/>
  <c r="K65" i="1"/>
  <c r="K64" i="1"/>
  <c r="K63" i="1"/>
  <c r="K62" i="1"/>
  <c r="K61" i="1"/>
  <c r="C49" i="1"/>
  <c r="L48" i="1"/>
  <c r="E48" i="1"/>
  <c r="G48" i="1" s="1"/>
  <c r="H48" i="1" s="1"/>
  <c r="L47" i="1"/>
  <c r="E47" i="1"/>
  <c r="G47" i="1" s="1"/>
  <c r="H47" i="1" s="1"/>
  <c r="L46" i="1"/>
  <c r="E46" i="1"/>
  <c r="G46" i="1" s="1"/>
  <c r="H46" i="1" s="1"/>
  <c r="L45" i="1"/>
  <c r="E45" i="1"/>
  <c r="E44" i="1"/>
  <c r="G44" i="1" s="1"/>
  <c r="R204" i="1" l="1"/>
  <c r="Q204" i="1"/>
  <c r="H177" i="1"/>
  <c r="C94" i="1"/>
  <c r="C95" i="1"/>
  <c r="D134" i="1"/>
  <c r="AO8" i="1" s="1"/>
  <c r="AO44" i="1" s="1"/>
  <c r="D133" i="1"/>
  <c r="AO7" i="1" s="1"/>
  <c r="AO43" i="1" s="1"/>
  <c r="D135" i="1"/>
  <c r="AO9" i="1" s="1"/>
  <c r="AO45" i="1" s="1"/>
  <c r="D138" i="1"/>
  <c r="AO12" i="1" s="1"/>
  <c r="AO48" i="1" s="1"/>
  <c r="D136" i="1"/>
  <c r="AO10" i="1" s="1"/>
  <c r="AO46" i="1" s="1"/>
  <c r="D137" i="1"/>
  <c r="AO11" i="1" s="1"/>
  <c r="AO47" i="1" s="1"/>
  <c r="D131" i="1"/>
  <c r="AO5" i="1" s="1"/>
  <c r="D132" i="1"/>
  <c r="AO6" i="1" s="1"/>
  <c r="AO42" i="1" s="1"/>
  <c r="C306" i="1"/>
  <c r="T155" i="1"/>
  <c r="R149" i="1"/>
  <c r="T149" i="1"/>
  <c r="U149" i="1" s="1"/>
  <c r="T150" i="1"/>
  <c r="U150" i="1" s="1"/>
  <c r="F44" i="1"/>
  <c r="L49" i="1"/>
  <c r="D268" i="1"/>
  <c r="C197" i="1"/>
  <c r="R155" i="1"/>
  <c r="R150" i="1"/>
  <c r="H44" i="1"/>
  <c r="F48" i="1"/>
  <c r="I48" i="1" s="1"/>
  <c r="E49" i="1"/>
  <c r="G240" i="1"/>
  <c r="F47" i="1"/>
  <c r="I47" i="1" s="1"/>
  <c r="E180" i="1"/>
  <c r="D180" i="1" s="1"/>
  <c r="C96" i="1"/>
  <c r="R156" i="1"/>
  <c r="R151" i="1"/>
  <c r="R153" i="1"/>
  <c r="D74" i="1"/>
  <c r="D73" i="1"/>
  <c r="J73" i="1" s="1"/>
  <c r="D75" i="1"/>
  <c r="F45" i="1"/>
  <c r="G45" i="1"/>
  <c r="H45" i="1" s="1"/>
  <c r="P157" i="1"/>
  <c r="R148" i="1"/>
  <c r="R152" i="1"/>
  <c r="F46" i="1"/>
  <c r="I46" i="1" s="1"/>
  <c r="E204" i="1" l="1"/>
  <c r="D204" i="1" s="1"/>
  <c r="C207" i="1"/>
  <c r="C206" i="1"/>
  <c r="F197" i="1"/>
  <c r="I177" i="1"/>
  <c r="H240" i="1"/>
  <c r="AI25" i="1"/>
  <c r="AI7" i="1"/>
  <c r="AI27" i="1"/>
  <c r="AI29" i="1"/>
  <c r="AI3" i="1"/>
  <c r="AI6" i="1"/>
  <c r="AI12" i="1"/>
  <c r="AI22" i="1"/>
  <c r="AI11" i="1"/>
  <c r="AI10" i="1"/>
  <c r="AI24" i="1"/>
  <c r="AI5" i="1"/>
  <c r="AI9" i="1"/>
  <c r="AI26" i="1"/>
  <c r="AI28" i="1"/>
  <c r="AI30" i="1"/>
  <c r="AI8" i="1"/>
  <c r="AI4" i="1"/>
  <c r="AI21" i="1"/>
  <c r="AI23" i="1"/>
  <c r="AO41" i="1"/>
  <c r="AO32" i="1"/>
  <c r="AO14" i="1"/>
  <c r="D49" i="1"/>
  <c r="BJ32" i="1" s="1"/>
  <c r="C205" i="1"/>
  <c r="D65" i="1"/>
  <c r="U155" i="1"/>
  <c r="T147" i="1"/>
  <c r="D63" i="1"/>
  <c r="D64" i="1"/>
  <c r="D62" i="1"/>
  <c r="K49" i="1"/>
  <c r="D59" i="1" s="1"/>
  <c r="D70" i="1"/>
  <c r="F194" i="1"/>
  <c r="C194" i="1"/>
  <c r="F49" i="1"/>
  <c r="H49" i="1"/>
  <c r="G49" i="1"/>
  <c r="I45" i="1"/>
  <c r="I44" i="1"/>
  <c r="J74" i="1"/>
  <c r="C87" i="1"/>
  <c r="K74" i="1"/>
  <c r="K75" i="1"/>
  <c r="J75" i="1"/>
  <c r="R147" i="1"/>
  <c r="Q205" i="1" l="1"/>
  <c r="R205" i="1"/>
  <c r="R206" i="1"/>
  <c r="Q206" i="1"/>
  <c r="E206" i="1" s="1"/>
  <c r="D206" i="1" s="1"/>
  <c r="S207" i="1"/>
  <c r="U207" i="1"/>
  <c r="T207" i="1"/>
  <c r="V207" i="1"/>
  <c r="AI41" i="1"/>
  <c r="AI46" i="1"/>
  <c r="AI47" i="1"/>
  <c r="E194" i="1"/>
  <c r="D194" i="1" s="1"/>
  <c r="AI43" i="1"/>
  <c r="E205" i="1"/>
  <c r="D205" i="1" s="1"/>
  <c r="AI48" i="1"/>
  <c r="AI44" i="1"/>
  <c r="AI45" i="1"/>
  <c r="I240" i="1"/>
  <c r="J177" i="1"/>
  <c r="AI42" i="1"/>
  <c r="AI31" i="1"/>
  <c r="AI40" i="1"/>
  <c r="AI13" i="1"/>
  <c r="AI39" i="1"/>
  <c r="E130" i="1"/>
  <c r="C183" i="1"/>
  <c r="F183" i="1" s="1"/>
  <c r="P133" i="1"/>
  <c r="F62" i="1"/>
  <c r="E133" i="1"/>
  <c r="P130" i="1"/>
  <c r="P132" i="1"/>
  <c r="E132" i="1"/>
  <c r="P131" i="1"/>
  <c r="E131" i="1"/>
  <c r="E138" i="1"/>
  <c r="P138" i="1"/>
  <c r="U147" i="1"/>
  <c r="L77" i="1"/>
  <c r="V155" i="1"/>
  <c r="V148" i="1"/>
  <c r="V150" i="1"/>
  <c r="E197" i="1"/>
  <c r="D197" i="1" s="1"/>
  <c r="C198" i="1"/>
  <c r="F195" i="1"/>
  <c r="E195" i="1" s="1"/>
  <c r="I49" i="1"/>
  <c r="C195" i="1"/>
  <c r="E207" i="1" l="1"/>
  <c r="D207" i="1" s="1"/>
  <c r="H198" i="1"/>
  <c r="G198" i="1"/>
  <c r="BI10" i="1"/>
  <c r="BI32" i="1"/>
  <c r="J240" i="1"/>
  <c r="K177" i="1"/>
  <c r="AI49" i="1"/>
  <c r="AI50" i="1" s="1"/>
  <c r="AI14" i="1"/>
  <c r="AI32" i="1"/>
  <c r="C109" i="1"/>
  <c r="E183" i="1"/>
  <c r="D183" i="1" s="1"/>
  <c r="G62" i="1"/>
  <c r="D195" i="1"/>
  <c r="C18" i="1"/>
  <c r="V147" i="1"/>
  <c r="V151" i="1"/>
  <c r="V153" i="1"/>
  <c r="V152" i="1"/>
  <c r="V156" i="1"/>
  <c r="V149" i="1"/>
  <c r="L177" i="1" l="1"/>
  <c r="K240" i="1"/>
  <c r="E198" i="1"/>
  <c r="D198" i="1" s="1"/>
  <c r="M177" i="1" l="1"/>
  <c r="L240" i="1"/>
  <c r="M240" i="1" l="1"/>
  <c r="N177" i="1"/>
  <c r="E203" i="1"/>
  <c r="O177" i="1" l="1"/>
  <c r="N240" i="1"/>
  <c r="I199" i="1"/>
  <c r="P177" i="1" l="1"/>
  <c r="O240" i="1"/>
  <c r="Q177" i="1" l="1"/>
  <c r="P240" i="1"/>
  <c r="R177" i="1" l="1"/>
  <c r="Q240" i="1"/>
  <c r="S177" i="1" l="1"/>
  <c r="R240" i="1"/>
  <c r="E119" i="1" l="1"/>
  <c r="T177" i="1"/>
  <c r="S240" i="1"/>
  <c r="T240" i="1" l="1"/>
  <c r="U177" i="1"/>
  <c r="U240" i="1" l="1"/>
  <c r="V177" i="1"/>
  <c r="V240" i="1" l="1"/>
  <c r="W177" i="1"/>
  <c r="X177" i="1" l="1"/>
  <c r="W240" i="1"/>
  <c r="Y177" i="1" l="1"/>
  <c r="X240" i="1"/>
  <c r="D122" i="1" l="1"/>
  <c r="E122" i="1"/>
  <c r="Y240" i="1"/>
  <c r="Z177" i="1"/>
  <c r="C215" i="1" l="1"/>
  <c r="D215" i="1" s="1"/>
  <c r="C27" i="1"/>
  <c r="AA177" i="1"/>
  <c r="Z240" i="1"/>
  <c r="AB177" i="1" l="1"/>
  <c r="AA240" i="1"/>
  <c r="AC177" i="1" l="1"/>
  <c r="AB240" i="1"/>
  <c r="AC240" i="1" l="1"/>
  <c r="Q130" i="1" l="1"/>
  <c r="T130" i="1" s="1"/>
  <c r="Q132" i="1"/>
  <c r="T132" i="1" s="1"/>
  <c r="U132" i="1" s="1"/>
  <c r="F70" i="1"/>
  <c r="Q131" i="1"/>
  <c r="T131" i="1" s="1"/>
  <c r="U131" i="1" s="1"/>
  <c r="Q133" i="1"/>
  <c r="T133" i="1" s="1"/>
  <c r="U133" i="1" s="1"/>
  <c r="J62" i="1"/>
  <c r="J63" i="1"/>
  <c r="Q138" i="1"/>
  <c r="T138" i="1" s="1"/>
  <c r="U138" i="1" s="1"/>
  <c r="J70" i="1"/>
  <c r="F64" i="1"/>
  <c r="J64" i="1"/>
  <c r="J65" i="1"/>
  <c r="F63" i="1"/>
  <c r="F65" i="1"/>
  <c r="AG22" i="1" l="1"/>
  <c r="AG4" i="1"/>
  <c r="AG7" i="1"/>
  <c r="AG25" i="1"/>
  <c r="AG5" i="1"/>
  <c r="AG23" i="1"/>
  <c r="AG6" i="1"/>
  <c r="AG24" i="1"/>
  <c r="AG12" i="1"/>
  <c r="AG30" i="1"/>
  <c r="U130" i="1"/>
  <c r="V130" i="1" s="1"/>
  <c r="G65" i="1"/>
  <c r="F133" i="1"/>
  <c r="H133" i="1" s="1"/>
  <c r="I133" i="1" s="1"/>
  <c r="W132" i="1"/>
  <c r="V133" i="1"/>
  <c r="W133" i="1"/>
  <c r="V138" i="1"/>
  <c r="W138" i="1"/>
  <c r="G266" i="1"/>
  <c r="V131" i="1"/>
  <c r="W131" i="1"/>
  <c r="V132" i="1"/>
  <c r="F138" i="1"/>
  <c r="H138" i="1" s="1"/>
  <c r="I138" i="1" s="1"/>
  <c r="G70" i="1"/>
  <c r="G63" i="1"/>
  <c r="X131" i="1"/>
  <c r="X138" i="1"/>
  <c r="F131" i="1"/>
  <c r="H131" i="1" s="1"/>
  <c r="I131" i="1" s="1"/>
  <c r="F132" i="1"/>
  <c r="H132" i="1" s="1"/>
  <c r="I132" i="1" s="1"/>
  <c r="G64" i="1"/>
  <c r="X133" i="1"/>
  <c r="X132" i="1"/>
  <c r="AG41" i="1" l="1"/>
  <c r="AG40" i="1"/>
  <c r="AG42" i="1"/>
  <c r="AG43" i="1"/>
  <c r="AG48" i="1"/>
  <c r="D149" i="1"/>
  <c r="F149" i="1" s="1"/>
  <c r="Z149" i="1" s="1"/>
  <c r="W130" i="1"/>
  <c r="X130" i="1"/>
  <c r="D151" i="1"/>
  <c r="F151" i="1" s="1"/>
  <c r="Y138" i="1"/>
  <c r="AX30" i="1" s="1"/>
  <c r="Y132" i="1"/>
  <c r="AX24" i="1" s="1"/>
  <c r="Y131" i="1"/>
  <c r="AX23" i="1" s="1"/>
  <c r="Y133" i="1"/>
  <c r="AX25" i="1" s="1"/>
  <c r="D156" i="1"/>
  <c r="F156" i="1" s="1"/>
  <c r="D148" i="1"/>
  <c r="D150" i="1"/>
  <c r="F150" i="1" s="1"/>
  <c r="Z150" i="1" s="1"/>
  <c r="F130" i="1"/>
  <c r="H130" i="1" s="1"/>
  <c r="Y130" i="1" l="1"/>
  <c r="AX22" i="1" s="1"/>
  <c r="F148" i="1"/>
  <c r="H148" i="1" s="1"/>
  <c r="H156" i="1"/>
  <c r="Z156" i="1"/>
  <c r="H151" i="1"/>
  <c r="Z151" i="1"/>
  <c r="H150" i="1"/>
  <c r="H149" i="1"/>
  <c r="Z148" i="1" l="1"/>
  <c r="I156" i="1"/>
  <c r="I151" i="1"/>
  <c r="AT7" i="1" s="1"/>
  <c r="AT43" i="1" s="1"/>
  <c r="I148" i="1"/>
  <c r="AT4" i="1" s="1"/>
  <c r="I150" i="1"/>
  <c r="AT6" i="1" s="1"/>
  <c r="AT42" i="1" s="1"/>
  <c r="I149" i="1"/>
  <c r="AT5" i="1" s="1"/>
  <c r="AT41" i="1" s="1"/>
  <c r="AT40" i="1" l="1"/>
  <c r="J156" i="1"/>
  <c r="AA156" i="1" s="1"/>
  <c r="AX12" i="1" s="1"/>
  <c r="AT12" i="1"/>
  <c r="AT48" i="1" s="1"/>
  <c r="J151" i="1"/>
  <c r="J149" i="1"/>
  <c r="J150" i="1"/>
  <c r="J148" i="1"/>
  <c r="G199" i="1"/>
  <c r="AX48" i="1" l="1"/>
  <c r="AA151" i="1"/>
  <c r="AX7" i="1" s="1"/>
  <c r="AA150" i="1"/>
  <c r="AX6" i="1" s="1"/>
  <c r="AA149" i="1"/>
  <c r="AX5" i="1" s="1"/>
  <c r="AA148" i="1"/>
  <c r="AX42" i="1" l="1"/>
  <c r="AX43" i="1"/>
  <c r="AX41" i="1"/>
  <c r="I130" i="1" l="1"/>
  <c r="AX4" i="1" s="1"/>
  <c r="AX40" i="1" l="1"/>
  <c r="T256" i="1" l="1"/>
  <c r="W256" i="1"/>
  <c r="T157" i="1" l="1"/>
  <c r="C186" i="1" l="1"/>
  <c r="U157" i="1"/>
  <c r="O186" i="1" l="1"/>
  <c r="F186" i="1"/>
  <c r="H186" i="1"/>
  <c r="P186" i="1"/>
  <c r="Q186" i="1"/>
  <c r="K186" i="1"/>
  <c r="R186" i="1"/>
  <c r="V186" i="1"/>
  <c r="W186" i="1"/>
  <c r="I186" i="1"/>
  <c r="L186" i="1"/>
  <c r="S186" i="1"/>
  <c r="G186" i="1"/>
  <c r="J186" i="1"/>
  <c r="T186" i="1"/>
  <c r="N186" i="1"/>
  <c r="U186" i="1"/>
  <c r="M186" i="1"/>
  <c r="AC186" i="1"/>
  <c r="Z186" i="1"/>
  <c r="Y186" i="1"/>
  <c r="X186" i="1"/>
  <c r="AB186" i="1"/>
  <c r="AA186" i="1"/>
  <c r="V157" i="1"/>
  <c r="E186" i="1" l="1"/>
  <c r="D186" i="1" s="1"/>
  <c r="F248" i="1" l="1"/>
  <c r="F246" i="1" s="1"/>
  <c r="F178" i="1"/>
  <c r="G192" i="1" l="1"/>
  <c r="G178" i="1" l="1"/>
  <c r="H192" i="1" s="1"/>
  <c r="H250" i="1" s="1"/>
  <c r="H254" i="1" s="1"/>
  <c r="G250" i="1"/>
  <c r="G254" i="1" s="1"/>
  <c r="G248" i="1" l="1"/>
  <c r="G246" i="1" s="1"/>
  <c r="H248" i="1" l="1"/>
  <c r="H246" i="1" s="1"/>
  <c r="H178" i="1"/>
  <c r="I192" i="1" s="1"/>
  <c r="I248" i="1" l="1"/>
  <c r="I250" i="1"/>
  <c r="I254" i="1" s="1"/>
  <c r="I178" i="1" l="1"/>
  <c r="J192" i="1" s="1"/>
  <c r="I246" i="1"/>
  <c r="J250" i="1" l="1"/>
  <c r="J254" i="1" s="1"/>
  <c r="J178" i="1" l="1"/>
  <c r="K192" i="1" s="1"/>
  <c r="J248" i="1"/>
  <c r="J246" i="1" s="1"/>
  <c r="K178" i="1" l="1"/>
  <c r="L192" i="1" s="1"/>
  <c r="L250" i="1" s="1"/>
  <c r="L254" i="1" s="1"/>
  <c r="K250" i="1"/>
  <c r="K254" i="1" s="1"/>
  <c r="K248" i="1" l="1"/>
  <c r="K246" i="1" s="1"/>
  <c r="L248" i="1" l="1"/>
  <c r="L246" i="1" s="1"/>
  <c r="L178" i="1"/>
  <c r="M192" i="1" s="1"/>
  <c r="M250" i="1" s="1"/>
  <c r="M254" i="1" s="1"/>
  <c r="M178" i="1" l="1"/>
  <c r="N192" i="1" s="1"/>
  <c r="M248" i="1"/>
  <c r="M246" i="1" s="1"/>
  <c r="N250" i="1" l="1"/>
  <c r="N254" i="1" s="1"/>
  <c r="N248" i="1"/>
  <c r="N246" i="1" s="1"/>
  <c r="N178" i="1" l="1"/>
  <c r="O192" i="1" s="1"/>
  <c r="O250" i="1" l="1"/>
  <c r="O254" i="1" s="1"/>
  <c r="O178" i="1"/>
  <c r="P192" i="1" s="1"/>
  <c r="O248" i="1"/>
  <c r="O246" i="1" s="1"/>
  <c r="P250" i="1" l="1"/>
  <c r="P254" i="1" s="1"/>
  <c r="P178" i="1"/>
  <c r="Q192" i="1" s="1"/>
  <c r="P248" i="1"/>
  <c r="P246" i="1" s="1"/>
  <c r="Q250" i="1" l="1"/>
  <c r="Q254" i="1" s="1"/>
  <c r="Q178" i="1"/>
  <c r="R192" i="1" s="1"/>
  <c r="Q248" i="1"/>
  <c r="Q246" i="1" s="1"/>
  <c r="R250" i="1" l="1"/>
  <c r="R254" i="1" s="1"/>
  <c r="R248" i="1"/>
  <c r="R246" i="1" s="1"/>
  <c r="R178" i="1" l="1"/>
  <c r="S192" i="1" s="1"/>
  <c r="S178" i="1" l="1"/>
  <c r="T192" i="1" s="1"/>
  <c r="S250" i="1"/>
  <c r="S254" i="1" s="1"/>
  <c r="T250" i="1" l="1"/>
  <c r="T254" i="1" s="1"/>
  <c r="S248" i="1"/>
  <c r="S246" i="1" s="1"/>
  <c r="T248" i="1" l="1"/>
  <c r="T246" i="1" s="1"/>
  <c r="T178" i="1"/>
  <c r="U192" i="1" l="1"/>
  <c r="U250" i="1" l="1"/>
  <c r="U254" i="1" s="1"/>
  <c r="U178" i="1"/>
  <c r="V192" i="1" s="1"/>
  <c r="V250" i="1" l="1"/>
  <c r="V254" i="1" s="1"/>
  <c r="U248" i="1"/>
  <c r="U246" i="1" s="1"/>
  <c r="V248" i="1" l="1"/>
  <c r="W248" i="1" l="1"/>
  <c r="X248" i="1" l="1"/>
  <c r="Y248" i="1" l="1"/>
  <c r="Z248" i="1" l="1"/>
  <c r="AA248" i="1" l="1"/>
  <c r="AB248" i="1" l="1"/>
  <c r="D61" i="1" l="1"/>
  <c r="F61" i="1" l="1"/>
  <c r="E129" i="1"/>
  <c r="J61" i="1"/>
  <c r="P129" i="1"/>
  <c r="Q129" i="1" l="1"/>
  <c r="T129" i="1" s="1"/>
  <c r="AG21" i="1"/>
  <c r="AG3" i="1"/>
  <c r="F129" i="1"/>
  <c r="H129" i="1" s="1"/>
  <c r="G61" i="1"/>
  <c r="U129" i="1" l="1"/>
  <c r="D147" i="1"/>
  <c r="I129" i="1"/>
  <c r="AG39" i="1"/>
  <c r="F147" i="1" l="1"/>
  <c r="X129" i="1"/>
  <c r="V129" i="1"/>
  <c r="W129" i="1"/>
  <c r="Y129" i="1" l="1"/>
  <c r="Z147" i="1"/>
  <c r="H147" i="1"/>
  <c r="I147" i="1" l="1"/>
  <c r="J147" i="1"/>
  <c r="AX21" i="1"/>
  <c r="BI29" i="1" l="1"/>
  <c r="AA147" i="1"/>
  <c r="AT3" i="1"/>
  <c r="AX3" i="1" l="1"/>
  <c r="AT39" i="1"/>
  <c r="AX39" i="1" l="1"/>
  <c r="D68" i="1"/>
  <c r="J68" i="1" l="1"/>
  <c r="AG28" i="1" s="1"/>
  <c r="C91" i="1"/>
  <c r="AG10" i="1"/>
  <c r="AG46" i="1" l="1"/>
  <c r="C202" i="1"/>
  <c r="Q202" i="1" l="1"/>
  <c r="R202" i="1"/>
  <c r="E202" i="1" l="1"/>
  <c r="D202" i="1" s="1"/>
  <c r="E136" i="1"/>
  <c r="P136" i="1"/>
  <c r="Q136" i="1" s="1"/>
  <c r="T136" i="1" s="1"/>
  <c r="F68" i="1"/>
  <c r="F136" i="1" l="1"/>
  <c r="H136" i="1" s="1"/>
  <c r="U136" i="1"/>
  <c r="G68" i="1"/>
  <c r="I136" i="1" l="1"/>
  <c r="D154" i="1"/>
  <c r="W136" i="1"/>
  <c r="X136" i="1"/>
  <c r="V136" i="1"/>
  <c r="F154" i="1" l="1"/>
  <c r="Y136" i="1"/>
  <c r="AX28" i="1" l="1"/>
  <c r="Z154" i="1"/>
  <c r="H154" i="1"/>
  <c r="I154" i="1" l="1"/>
  <c r="AT10" i="1" l="1"/>
  <c r="J154" i="1"/>
  <c r="AA154" i="1" l="1"/>
  <c r="AT46" i="1"/>
  <c r="AX10" i="1" l="1"/>
  <c r="AX46" i="1" l="1"/>
  <c r="D66" i="1"/>
  <c r="F66" i="1" l="1"/>
  <c r="K66" i="1" s="1"/>
  <c r="P134" i="1"/>
  <c r="Q134" i="1" s="1"/>
  <c r="T134" i="1" s="1"/>
  <c r="G66" i="1"/>
  <c r="E134" i="1"/>
  <c r="J66" i="1"/>
  <c r="U134" i="1" l="1"/>
  <c r="F134" i="1"/>
  <c r="H134" i="1" s="1"/>
  <c r="V134" i="1"/>
  <c r="X134" i="1"/>
  <c r="W134" i="1"/>
  <c r="C92" i="1"/>
  <c r="D152" i="1"/>
  <c r="AG8" i="1"/>
  <c r="AG26" i="1"/>
  <c r="F152" i="1" l="1"/>
  <c r="Y134" i="1"/>
  <c r="C203" i="1"/>
  <c r="AG44" i="1"/>
  <c r="I134" i="1"/>
  <c r="Z152" i="1" l="1"/>
  <c r="H152" i="1"/>
  <c r="D203" i="1"/>
  <c r="AX26" i="1"/>
  <c r="I152" i="1" l="1"/>
  <c r="J152" i="1" s="1"/>
  <c r="AT8" i="1" l="1"/>
  <c r="AA152" i="1"/>
  <c r="AX8" i="1" l="1"/>
  <c r="AT44" i="1"/>
  <c r="AX44" i="1" l="1"/>
  <c r="D69" i="1"/>
  <c r="P137" i="1" s="1"/>
  <c r="E137" i="1" l="1"/>
  <c r="Q137" i="1"/>
  <c r="T137" i="1" s="1"/>
  <c r="F69" i="1"/>
  <c r="J69" i="1"/>
  <c r="AG29" i="1" l="1"/>
  <c r="AG11" i="1"/>
  <c r="K69" i="1"/>
  <c r="G69" i="1"/>
  <c r="F137" i="1"/>
  <c r="H137" i="1" s="1"/>
  <c r="U137" i="1"/>
  <c r="AG47" i="1" l="1"/>
  <c r="V137" i="1"/>
  <c r="X137" i="1"/>
  <c r="W137" i="1"/>
  <c r="I137" i="1"/>
  <c r="D155" i="1"/>
  <c r="F155" i="1" l="1"/>
  <c r="Y137" i="1"/>
  <c r="AX29" i="1" l="1"/>
  <c r="Z155" i="1"/>
  <c r="H155" i="1"/>
  <c r="I155" i="1" l="1"/>
  <c r="AT11" i="1" l="1"/>
  <c r="J155" i="1"/>
  <c r="AT47" i="1" l="1"/>
  <c r="AA155" i="1"/>
  <c r="AX11" i="1" l="1"/>
  <c r="AX47" i="1" l="1"/>
  <c r="D71" i="1"/>
  <c r="E76" i="1"/>
  <c r="C76" i="1"/>
  <c r="D67" i="1"/>
  <c r="F67" i="1" l="1"/>
  <c r="G67" i="1" s="1"/>
  <c r="E59" i="1"/>
  <c r="K67" i="1"/>
  <c r="J67" i="1"/>
  <c r="AG27" i="1" s="1"/>
  <c r="AG31" i="1" s="1"/>
  <c r="P135" i="1"/>
  <c r="E135" i="1"/>
  <c r="D76" i="1"/>
  <c r="H59" i="1"/>
  <c r="J71" i="1"/>
  <c r="F59" i="1"/>
  <c r="F76" i="1"/>
  <c r="D153" i="1" l="1"/>
  <c r="G157" i="1" s="1" a="1"/>
  <c r="G157" i="1" s="1"/>
  <c r="AG9" i="1"/>
  <c r="F135" i="1"/>
  <c r="H135" i="1" s="1"/>
  <c r="H139" i="1" s="1" a="1"/>
  <c r="E139" i="1"/>
  <c r="F139" i="1" s="1"/>
  <c r="G139" i="1"/>
  <c r="S139" i="1"/>
  <c r="Q135" i="1"/>
  <c r="T135" i="1" s="1"/>
  <c r="T139" i="1" s="1" a="1"/>
  <c r="P139" i="1"/>
  <c r="Q139" i="1" s="1"/>
  <c r="AL9" i="1"/>
  <c r="L76" i="1"/>
  <c r="AJ27" i="1" s="1"/>
  <c r="F153" i="1"/>
  <c r="F157" i="1" s="1" a="1"/>
  <c r="J59" i="1"/>
  <c r="G76" i="1"/>
  <c r="BI36" i="1"/>
  <c r="AL8" i="1"/>
  <c r="AL24" i="1"/>
  <c r="AL30" i="1"/>
  <c r="AL26" i="1"/>
  <c r="AL28" i="1"/>
  <c r="AL29" i="1"/>
  <c r="AL11" i="1"/>
  <c r="AL21" i="1"/>
  <c r="AL23" i="1"/>
  <c r="AL7" i="1"/>
  <c r="AL3" i="1"/>
  <c r="AL10" i="1"/>
  <c r="C89" i="1"/>
  <c r="AL5" i="1"/>
  <c r="AL4" i="1"/>
  <c r="AL22" i="1"/>
  <c r="AL12" i="1"/>
  <c r="AL6" i="1"/>
  <c r="AL27" i="1"/>
  <c r="AL25" i="1"/>
  <c r="J76" i="1"/>
  <c r="AG13" i="1"/>
  <c r="AG14" i="1" s="1"/>
  <c r="AG45" i="1"/>
  <c r="AG49" i="1" s="1"/>
  <c r="AG50" i="1" s="1"/>
  <c r="AL46" i="1" l="1"/>
  <c r="AL43" i="1"/>
  <c r="C181" i="1"/>
  <c r="F181" i="1" s="1"/>
  <c r="E181" i="1" s="1"/>
  <c r="D181" i="1" s="1"/>
  <c r="AL47" i="1"/>
  <c r="AL41" i="1"/>
  <c r="U135" i="1"/>
  <c r="T139" i="1"/>
  <c r="AL45" i="1"/>
  <c r="I135" i="1"/>
  <c r="I139" i="1" s="1"/>
  <c r="C187" i="1" s="1"/>
  <c r="H139" i="1"/>
  <c r="C200" i="1"/>
  <c r="H200" i="1" s="1"/>
  <c r="AL39" i="1"/>
  <c r="AL13" i="1"/>
  <c r="AF22" i="1"/>
  <c r="AF28" i="1"/>
  <c r="AF8" i="1"/>
  <c r="AF29" i="1"/>
  <c r="AF6" i="1"/>
  <c r="AF11" i="1"/>
  <c r="AF23" i="1"/>
  <c r="AF7" i="1"/>
  <c r="AF24" i="1"/>
  <c r="AF4" i="1"/>
  <c r="AF21" i="1"/>
  <c r="AF12" i="1"/>
  <c r="AF10" i="1"/>
  <c r="AF26" i="1"/>
  <c r="AF3" i="1"/>
  <c r="AF30" i="1"/>
  <c r="AF25" i="1"/>
  <c r="AF5" i="1"/>
  <c r="AF27" i="1"/>
  <c r="AF9" i="1"/>
  <c r="AK27" i="1"/>
  <c r="AJ9" i="1"/>
  <c r="AJ45" i="1" s="1"/>
  <c r="AL31" i="1"/>
  <c r="AK9" i="1"/>
  <c r="AL44" i="1"/>
  <c r="H153" i="1"/>
  <c r="F157" i="1"/>
  <c r="Z153" i="1"/>
  <c r="BW3" i="1"/>
  <c r="BI11" i="1"/>
  <c r="I76" i="1"/>
  <c r="C110" i="1"/>
  <c r="C196" i="1"/>
  <c r="I196" i="1" s="1"/>
  <c r="C19" i="1"/>
  <c r="L78" i="1"/>
  <c r="AJ24" i="1"/>
  <c r="AK30" i="1"/>
  <c r="AJ28" i="1"/>
  <c r="AK4" i="1"/>
  <c r="AK24" i="1"/>
  <c r="AK22" i="1"/>
  <c r="AJ8" i="1"/>
  <c r="AK6" i="1"/>
  <c r="AK25" i="1"/>
  <c r="AJ21" i="1"/>
  <c r="AK7" i="1"/>
  <c r="AK5" i="1"/>
  <c r="AK3" i="1"/>
  <c r="AK10" i="1"/>
  <c r="AJ6" i="1"/>
  <c r="AK28" i="1"/>
  <c r="AJ10" i="1"/>
  <c r="AJ11" i="1"/>
  <c r="AK26" i="1"/>
  <c r="AJ22" i="1"/>
  <c r="AK29" i="1"/>
  <c r="AK11" i="1"/>
  <c r="AJ3" i="1"/>
  <c r="AK12" i="1"/>
  <c r="AK8" i="1"/>
  <c r="AK21" i="1"/>
  <c r="AJ30" i="1"/>
  <c r="AJ29" i="1"/>
  <c r="AJ5" i="1"/>
  <c r="AJ4" i="1"/>
  <c r="AJ7" i="1"/>
  <c r="AJ12" i="1"/>
  <c r="AJ25" i="1"/>
  <c r="AK23" i="1"/>
  <c r="AJ26" i="1"/>
  <c r="AJ23" i="1"/>
  <c r="AL42" i="1"/>
  <c r="AL48" i="1"/>
  <c r="AL40" i="1"/>
  <c r="AG32" i="1"/>
  <c r="H266" i="1" l="1"/>
  <c r="E200" i="1"/>
  <c r="D200" i="1" s="1"/>
  <c r="Q187" i="1"/>
  <c r="T187" i="1"/>
  <c r="F187" i="1"/>
  <c r="J187" i="1"/>
  <c r="L187" i="1"/>
  <c r="N187" i="1"/>
  <c r="P187" i="1"/>
  <c r="R187" i="1"/>
  <c r="U187" i="1"/>
  <c r="G187" i="1"/>
  <c r="H187" i="1"/>
  <c r="I187" i="1"/>
  <c r="M187" i="1"/>
  <c r="O187" i="1"/>
  <c r="S187" i="1"/>
  <c r="V187" i="1"/>
  <c r="W187" i="1"/>
  <c r="K187" i="1"/>
  <c r="AK47" i="1"/>
  <c r="AJ48" i="1"/>
  <c r="AJ46" i="1"/>
  <c r="AK42" i="1"/>
  <c r="AJ41" i="1"/>
  <c r="AK41" i="1"/>
  <c r="AJ42" i="1"/>
  <c r="AJ43" i="1"/>
  <c r="AK43" i="1"/>
  <c r="AJ40" i="1"/>
  <c r="AK44" i="1"/>
  <c r="AJ44" i="1"/>
  <c r="AK48" i="1"/>
  <c r="U139" i="1"/>
  <c r="X135" i="1"/>
  <c r="X139" i="1" s="1"/>
  <c r="V135" i="1"/>
  <c r="W135" i="1"/>
  <c r="W139" i="1" s="1"/>
  <c r="AB196" i="1"/>
  <c r="BX11" i="1"/>
  <c r="N196" i="1"/>
  <c r="U196" i="1"/>
  <c r="Z196" i="1"/>
  <c r="BI7" i="1"/>
  <c r="V196" i="1"/>
  <c r="Y196" i="1"/>
  <c r="R196" i="1"/>
  <c r="F196" i="1"/>
  <c r="F182" i="1" s="1"/>
  <c r="O196" i="1"/>
  <c r="H196" i="1"/>
  <c r="M196" i="1"/>
  <c r="T196" i="1"/>
  <c r="K196" i="1"/>
  <c r="L196" i="1"/>
  <c r="AC196" i="1"/>
  <c r="G196" i="1"/>
  <c r="W196" i="1"/>
  <c r="J196" i="1"/>
  <c r="Q196" i="1"/>
  <c r="AA196" i="1"/>
  <c r="X196" i="1"/>
  <c r="S196" i="1"/>
  <c r="P196" i="1"/>
  <c r="BX12" i="1"/>
  <c r="CA12" i="1" s="1"/>
  <c r="C104" i="1"/>
  <c r="H22" i="1" s="1"/>
  <c r="C97" i="1"/>
  <c r="C101" i="1"/>
  <c r="C90" i="1"/>
  <c r="C88" i="1"/>
  <c r="AF42" i="1"/>
  <c r="AF44" i="1"/>
  <c r="I153" i="1"/>
  <c r="H157" i="1"/>
  <c r="C185" i="1" s="1"/>
  <c r="AF39" i="1"/>
  <c r="AF13" i="1"/>
  <c r="AN13" i="1"/>
  <c r="AN3" i="1" s="1"/>
  <c r="AN31" i="1"/>
  <c r="AN23" i="1" s="1"/>
  <c r="AL14" i="1"/>
  <c r="AL32" i="1"/>
  <c r="AL49" i="1"/>
  <c r="AL50" i="1" s="1"/>
  <c r="AK31" i="1"/>
  <c r="AJ39" i="1"/>
  <c r="AJ13" i="1"/>
  <c r="AK45" i="1"/>
  <c r="AF46" i="1"/>
  <c r="Z187" i="1"/>
  <c r="AB187" i="1"/>
  <c r="Y187" i="1"/>
  <c r="X187" i="1"/>
  <c r="AC187" i="1"/>
  <c r="AA187" i="1"/>
  <c r="AK46" i="1"/>
  <c r="AK39" i="1"/>
  <c r="AK13" i="1"/>
  <c r="AF48" i="1"/>
  <c r="AF43" i="1"/>
  <c r="AF45" i="1"/>
  <c r="AJ31" i="1"/>
  <c r="AK40" i="1"/>
  <c r="AJ47" i="1"/>
  <c r="AF31" i="1"/>
  <c r="AF47" i="1"/>
  <c r="AF41" i="1"/>
  <c r="AF40" i="1"/>
  <c r="S185" i="1" l="1"/>
  <c r="W185" i="1"/>
  <c r="J185" i="1"/>
  <c r="M185" i="1"/>
  <c r="T185" i="1"/>
  <c r="V185" i="1"/>
  <c r="I185" i="1"/>
  <c r="K185" i="1"/>
  <c r="L185" i="1"/>
  <c r="O185" i="1"/>
  <c r="R185" i="1"/>
  <c r="U185" i="1"/>
  <c r="F185" i="1"/>
  <c r="G185" i="1"/>
  <c r="H185" i="1"/>
  <c r="P185" i="1"/>
  <c r="Q185" i="1"/>
  <c r="N185" i="1"/>
  <c r="AF49" i="1"/>
  <c r="AF50" i="1" s="1"/>
  <c r="AN6" i="1"/>
  <c r="AN26" i="1"/>
  <c r="AP26" i="1" s="1"/>
  <c r="AN4" i="1"/>
  <c r="AN21" i="1"/>
  <c r="AP21" i="1" s="1"/>
  <c r="AN32" i="1"/>
  <c r="AN9" i="1"/>
  <c r="AN30" i="1"/>
  <c r="AP30" i="1" s="1"/>
  <c r="AN10" i="1"/>
  <c r="AN28" i="1"/>
  <c r="AP28" i="1" s="1"/>
  <c r="AN7" i="1"/>
  <c r="AN5" i="1"/>
  <c r="AN41" i="1" s="1"/>
  <c r="AN27" i="1"/>
  <c r="AP27" i="1" s="1"/>
  <c r="AN25" i="1"/>
  <c r="AP25" i="1" s="1"/>
  <c r="AN8" i="1"/>
  <c r="AN11" i="1"/>
  <c r="AN29" i="1"/>
  <c r="AP29" i="1" s="1"/>
  <c r="AN12" i="1"/>
  <c r="AN22" i="1"/>
  <c r="AJ49" i="1"/>
  <c r="AJ50" i="1" s="1"/>
  <c r="V139" i="1"/>
  <c r="Y135" i="1"/>
  <c r="AM31" i="1"/>
  <c r="AM32" i="1" s="1"/>
  <c r="C100" i="1"/>
  <c r="C307" i="1"/>
  <c r="AP23" i="1"/>
  <c r="AN39" i="1"/>
  <c r="S182" i="1"/>
  <c r="S272" i="1"/>
  <c r="S274" i="1" s="1"/>
  <c r="S212" i="1"/>
  <c r="S216" i="1"/>
  <c r="S266" i="1"/>
  <c r="R182" i="1"/>
  <c r="R216" i="1"/>
  <c r="R266" i="1"/>
  <c r="R272" i="1"/>
  <c r="R274" i="1" s="1"/>
  <c r="Y182" i="1"/>
  <c r="Y212" i="1"/>
  <c r="Y216" i="1"/>
  <c r="Y266" i="1"/>
  <c r="Y272" i="1"/>
  <c r="Y274" i="1" s="1"/>
  <c r="Q182" i="1"/>
  <c r="Q272" i="1"/>
  <c r="Q274" i="1" s="1"/>
  <c r="Q216" i="1"/>
  <c r="Q266" i="1"/>
  <c r="AT9" i="1"/>
  <c r="I157" i="1"/>
  <c r="C213" i="1" s="1"/>
  <c r="Z182" i="1"/>
  <c r="Z272" i="1"/>
  <c r="Z274" i="1" s="1"/>
  <c r="Z212" i="1"/>
  <c r="Z216" i="1"/>
  <c r="J153" i="1"/>
  <c r="J182" i="1"/>
  <c r="J272" i="1"/>
  <c r="J274" i="1" s="1"/>
  <c r="J216" i="1"/>
  <c r="I182" i="1"/>
  <c r="I272" i="1"/>
  <c r="I274" i="1" s="1"/>
  <c r="I216" i="1"/>
  <c r="W182" i="1"/>
  <c r="W272" i="1"/>
  <c r="W274" i="1" s="1"/>
  <c r="W216" i="1"/>
  <c r="W266" i="1"/>
  <c r="W212" i="1"/>
  <c r="U182" i="1"/>
  <c r="U212" i="1"/>
  <c r="U272" i="1"/>
  <c r="U274" i="1" s="1"/>
  <c r="U216" i="1"/>
  <c r="U266" i="1"/>
  <c r="C199" i="1"/>
  <c r="H199" i="1" s="1"/>
  <c r="E199" i="1" s="1"/>
  <c r="G182" i="1"/>
  <c r="G272" i="1"/>
  <c r="G274" i="1" s="1"/>
  <c r="G216" i="1"/>
  <c r="N182" i="1"/>
  <c r="N266" i="1"/>
  <c r="N272" i="1"/>
  <c r="N274" i="1" s="1"/>
  <c r="N216" i="1"/>
  <c r="V182" i="1"/>
  <c r="V216" i="1"/>
  <c r="V266" i="1"/>
  <c r="V272" i="1"/>
  <c r="V274" i="1" s="1"/>
  <c r="V212" i="1"/>
  <c r="C201" i="1"/>
  <c r="AC182" i="1"/>
  <c r="AC212" i="1"/>
  <c r="AC216" i="1"/>
  <c r="AC272" i="1"/>
  <c r="AC274" i="1" s="1"/>
  <c r="C99" i="1"/>
  <c r="Z185" i="1"/>
  <c r="Y185" i="1"/>
  <c r="AA185" i="1"/>
  <c r="AB185" i="1"/>
  <c r="AC185" i="1"/>
  <c r="X185" i="1"/>
  <c r="C212" i="1"/>
  <c r="L182" i="1"/>
  <c r="L272" i="1"/>
  <c r="L274" i="1" s="1"/>
  <c r="L266" i="1"/>
  <c r="L216" i="1"/>
  <c r="AB182" i="1"/>
  <c r="AB272" i="1"/>
  <c r="AB274" i="1" s="1"/>
  <c r="AB216" i="1"/>
  <c r="AB212" i="1"/>
  <c r="AJ32" i="1"/>
  <c r="AJ14" i="1"/>
  <c r="AA182" i="1"/>
  <c r="AA272" i="1"/>
  <c r="AA274" i="1" s="1"/>
  <c r="AA216" i="1"/>
  <c r="AA212" i="1"/>
  <c r="BI37" i="1"/>
  <c r="E187" i="1"/>
  <c r="D187" i="1" s="1"/>
  <c r="K182" i="1"/>
  <c r="K272" i="1"/>
  <c r="K274" i="1" s="1"/>
  <c r="K216" i="1"/>
  <c r="AN24" i="1"/>
  <c r="C208" i="1"/>
  <c r="T182" i="1"/>
  <c r="T216" i="1"/>
  <c r="T266" i="1"/>
  <c r="T212" i="1"/>
  <c r="T272" i="1"/>
  <c r="T274" i="1" s="1"/>
  <c r="X182" i="1"/>
  <c r="X216" i="1"/>
  <c r="X272" i="1"/>
  <c r="X274" i="1" s="1"/>
  <c r="X266" i="1"/>
  <c r="X212" i="1"/>
  <c r="C216" i="1"/>
  <c r="M182" i="1"/>
  <c r="M266" i="1"/>
  <c r="M216" i="1"/>
  <c r="M272" i="1"/>
  <c r="M274" i="1" s="1"/>
  <c r="H182" i="1"/>
  <c r="H216" i="1"/>
  <c r="H272" i="1"/>
  <c r="H274" i="1" s="1"/>
  <c r="O182" i="1"/>
  <c r="O266" i="1"/>
  <c r="O216" i="1"/>
  <c r="O272" i="1"/>
  <c r="O274" i="1" s="1"/>
  <c r="AK14" i="1"/>
  <c r="AK32" i="1"/>
  <c r="AK49" i="1"/>
  <c r="AK50" i="1" s="1"/>
  <c r="AF32" i="1"/>
  <c r="AF14" i="1"/>
  <c r="AM13" i="1"/>
  <c r="P182" i="1"/>
  <c r="P272" i="1"/>
  <c r="P274" i="1" s="1"/>
  <c r="P266" i="1"/>
  <c r="P216" i="1"/>
  <c r="F272" i="1"/>
  <c r="F216" i="1"/>
  <c r="E196" i="1"/>
  <c r="P208" i="1" l="1"/>
  <c r="Q208" i="1"/>
  <c r="R208" i="1"/>
  <c r="M208" i="1"/>
  <c r="N208" i="1"/>
  <c r="O208" i="1"/>
  <c r="P212" i="1"/>
  <c r="Q212" i="1"/>
  <c r="H212" i="1"/>
  <c r="K212" i="1"/>
  <c r="M212" i="1"/>
  <c r="R212" i="1"/>
  <c r="G212" i="1"/>
  <c r="I212" i="1"/>
  <c r="L212" i="1"/>
  <c r="O212" i="1"/>
  <c r="F212" i="1"/>
  <c r="J212" i="1"/>
  <c r="N212" i="1"/>
  <c r="AM22" i="1"/>
  <c r="AQ22" i="1" s="1"/>
  <c r="AM28" i="1"/>
  <c r="AQ28" i="1" s="1"/>
  <c r="C211" i="1"/>
  <c r="AN48" i="1"/>
  <c r="AN44" i="1"/>
  <c r="AM27" i="1"/>
  <c r="AQ27" i="1" s="1"/>
  <c r="AM30" i="1"/>
  <c r="AQ30" i="1" s="1"/>
  <c r="AM23" i="1"/>
  <c r="AQ23" i="1" s="1"/>
  <c r="AM25" i="1"/>
  <c r="AQ25" i="1" s="1"/>
  <c r="AM24" i="1"/>
  <c r="AQ24" i="1" s="1"/>
  <c r="AM26" i="1"/>
  <c r="AQ26" i="1" s="1"/>
  <c r="AN46" i="1"/>
  <c r="AN45" i="1"/>
  <c r="AM29" i="1"/>
  <c r="AQ29" i="1" s="1"/>
  <c r="AM21" i="1"/>
  <c r="AQ21" i="1" s="1"/>
  <c r="AN43" i="1"/>
  <c r="AN40" i="1"/>
  <c r="AN14" i="1"/>
  <c r="AP22" i="1"/>
  <c r="AN47" i="1"/>
  <c r="AN42" i="1"/>
  <c r="S278" i="1"/>
  <c r="R211" i="1" s="1"/>
  <c r="AC278" i="1"/>
  <c r="AB211" i="1" s="1"/>
  <c r="Z278" i="1"/>
  <c r="Y211" i="1" s="1"/>
  <c r="I278" i="1"/>
  <c r="H211" i="1" s="1"/>
  <c r="F278" i="1"/>
  <c r="F211" i="1" s="1"/>
  <c r="AB278" i="1"/>
  <c r="AA211" i="1" s="1"/>
  <c r="T278" i="1"/>
  <c r="S211" i="1" s="1"/>
  <c r="P278" i="1"/>
  <c r="O211" i="1" s="1"/>
  <c r="M278" i="1"/>
  <c r="L211" i="1" s="1"/>
  <c r="X278" i="1"/>
  <c r="W211" i="1" s="1"/>
  <c r="H278" i="1"/>
  <c r="O278" i="1"/>
  <c r="N211" i="1" s="1"/>
  <c r="C303" i="1"/>
  <c r="V278" i="1"/>
  <c r="U211" i="1" s="1"/>
  <c r="K278" i="1"/>
  <c r="J211" i="1" s="1"/>
  <c r="Y278" i="1"/>
  <c r="X211" i="1" s="1"/>
  <c r="J278" i="1"/>
  <c r="I211" i="1" s="1"/>
  <c r="R278" i="1"/>
  <c r="Q211" i="1" s="1"/>
  <c r="G278" i="1"/>
  <c r="Q278" i="1"/>
  <c r="P211" i="1" s="1"/>
  <c r="AA278" i="1"/>
  <c r="Z211" i="1" s="1"/>
  <c r="U278" i="1"/>
  <c r="T211" i="1" s="1"/>
  <c r="N278" i="1"/>
  <c r="M211" i="1" s="1"/>
  <c r="L278" i="1"/>
  <c r="K211" i="1" s="1"/>
  <c r="W278" i="1"/>
  <c r="V211" i="1" s="1"/>
  <c r="Y139" i="1"/>
  <c r="AX27" i="1"/>
  <c r="AX31" i="1" s="1"/>
  <c r="C210" i="1"/>
  <c r="AP5" i="1"/>
  <c r="T213" i="1"/>
  <c r="AP6" i="1"/>
  <c r="H213" i="1"/>
  <c r="AB213" i="1"/>
  <c r="O213" i="1"/>
  <c r="AC213" i="1"/>
  <c r="AA213" i="1"/>
  <c r="AP11" i="1"/>
  <c r="AP10" i="1"/>
  <c r="J213" i="1"/>
  <c r="F201" i="1"/>
  <c r="H201" i="1"/>
  <c r="G201" i="1"/>
  <c r="V213" i="1"/>
  <c r="F213" i="1"/>
  <c r="E185" i="1"/>
  <c r="D185" i="1" s="1"/>
  <c r="BJ37" i="1"/>
  <c r="M213" i="1"/>
  <c r="X213" i="1"/>
  <c r="Q213" i="1"/>
  <c r="F274" i="1"/>
  <c r="E272" i="1"/>
  <c r="D272" i="1" s="1"/>
  <c r="U213" i="1"/>
  <c r="N213" i="1"/>
  <c r="AP7" i="1"/>
  <c r="AP24" i="1"/>
  <c r="G213" i="1"/>
  <c r="S213" i="1"/>
  <c r="AM11" i="1"/>
  <c r="AM3" i="1"/>
  <c r="AM7" i="1"/>
  <c r="AM4" i="1"/>
  <c r="AM9" i="1"/>
  <c r="AM10" i="1"/>
  <c r="AM12" i="1"/>
  <c r="AM8" i="1"/>
  <c r="AM6" i="1"/>
  <c r="AM5" i="1"/>
  <c r="R213" i="1"/>
  <c r="Y213" i="1"/>
  <c r="E182" i="1"/>
  <c r="AP9" i="1"/>
  <c r="K213" i="1"/>
  <c r="Z213" i="1"/>
  <c r="D199" i="1"/>
  <c r="AT13" i="1"/>
  <c r="AT45" i="1"/>
  <c r="AT49" i="1" s="1"/>
  <c r="AP3" i="1"/>
  <c r="D196" i="1"/>
  <c r="AP4" i="1"/>
  <c r="AP8" i="1"/>
  <c r="I213" i="1"/>
  <c r="L213" i="1"/>
  <c r="AA153" i="1"/>
  <c r="J157" i="1"/>
  <c r="AP12" i="1"/>
  <c r="E216" i="1"/>
  <c r="D216" i="1" s="1"/>
  <c r="W213" i="1"/>
  <c r="P213" i="1"/>
  <c r="E212" i="1" l="1"/>
  <c r="D212" i="1" s="1"/>
  <c r="E208" i="1"/>
  <c r="D208" i="1" s="1"/>
  <c r="AP31" i="1"/>
  <c r="U210" i="1"/>
  <c r="V210" i="1"/>
  <c r="T210" i="1"/>
  <c r="R210" i="1"/>
  <c r="S210" i="1"/>
  <c r="Q210" i="1"/>
  <c r="E210" i="1" s="1"/>
  <c r="D210" i="1" s="1"/>
  <c r="AN49" i="1"/>
  <c r="AN50" i="1" s="1"/>
  <c r="AX32" i="1"/>
  <c r="O280" i="1"/>
  <c r="O288" i="1"/>
  <c r="O282" i="1"/>
  <c r="O286" i="1"/>
  <c r="O284" i="1"/>
  <c r="C184" i="1"/>
  <c r="X288" i="1"/>
  <c r="X284" i="1"/>
  <c r="X280" i="1"/>
  <c r="X282" i="1"/>
  <c r="X286" i="1"/>
  <c r="W280" i="1"/>
  <c r="W284" i="1"/>
  <c r="W286" i="1"/>
  <c r="W282" i="1"/>
  <c r="W288" i="1"/>
  <c r="M284" i="1"/>
  <c r="M280" i="1"/>
  <c r="M286" i="1"/>
  <c r="M282" i="1"/>
  <c r="M288" i="1"/>
  <c r="L288" i="1"/>
  <c r="L280" i="1"/>
  <c r="L286" i="1"/>
  <c r="L284" i="1"/>
  <c r="L282" i="1"/>
  <c r="P288" i="1"/>
  <c r="P282" i="1"/>
  <c r="P284" i="1"/>
  <c r="P286" i="1"/>
  <c r="P280" i="1"/>
  <c r="N280" i="1"/>
  <c r="N282" i="1"/>
  <c r="N288" i="1"/>
  <c r="N284" i="1"/>
  <c r="N286" i="1"/>
  <c r="T286" i="1"/>
  <c r="T288" i="1"/>
  <c r="T282" i="1"/>
  <c r="T280" i="1"/>
  <c r="T284" i="1"/>
  <c r="U286" i="1"/>
  <c r="U280" i="1"/>
  <c r="U284" i="1"/>
  <c r="U288" i="1"/>
  <c r="U282" i="1"/>
  <c r="AB288" i="1"/>
  <c r="AB286" i="1"/>
  <c r="AB284" i="1"/>
  <c r="AB282" i="1"/>
  <c r="AB280" i="1"/>
  <c r="H288" i="1"/>
  <c r="H284" i="1"/>
  <c r="H280" i="1"/>
  <c r="H286" i="1"/>
  <c r="H282" i="1"/>
  <c r="AA282" i="1"/>
  <c r="AA288" i="1"/>
  <c r="AA284" i="1"/>
  <c r="AA286" i="1"/>
  <c r="AA280" i="1"/>
  <c r="F280" i="1"/>
  <c r="F288" i="1"/>
  <c r="F286" i="1"/>
  <c r="E278" i="1"/>
  <c r="D278" i="1" s="1"/>
  <c r="F282" i="1"/>
  <c r="F284" i="1"/>
  <c r="Q288" i="1"/>
  <c r="Q286" i="1"/>
  <c r="Q282" i="1"/>
  <c r="Q284" i="1"/>
  <c r="Q280" i="1"/>
  <c r="I288" i="1"/>
  <c r="I282" i="1"/>
  <c r="I280" i="1"/>
  <c r="I286" i="1"/>
  <c r="I284" i="1"/>
  <c r="E201" i="1"/>
  <c r="D201" i="1" s="1"/>
  <c r="G288" i="1"/>
  <c r="G282" i="1"/>
  <c r="G280" i="1"/>
  <c r="G286" i="1"/>
  <c r="G284" i="1"/>
  <c r="Z284" i="1"/>
  <c r="Z286" i="1"/>
  <c r="Z280" i="1"/>
  <c r="Z282" i="1"/>
  <c r="Z288" i="1"/>
  <c r="R284" i="1"/>
  <c r="R288" i="1"/>
  <c r="R280" i="1"/>
  <c r="R286" i="1"/>
  <c r="R282" i="1"/>
  <c r="AC280" i="1"/>
  <c r="AC284" i="1"/>
  <c r="AC288" i="1"/>
  <c r="AC282" i="1"/>
  <c r="AC286" i="1"/>
  <c r="AC211" i="1"/>
  <c r="J286" i="1"/>
  <c r="J288" i="1"/>
  <c r="J280" i="1"/>
  <c r="J284" i="1"/>
  <c r="J282" i="1"/>
  <c r="S288" i="1"/>
  <c r="S282" i="1"/>
  <c r="S284" i="1"/>
  <c r="S286" i="1"/>
  <c r="S280" i="1"/>
  <c r="Y280" i="1"/>
  <c r="Y288" i="1"/>
  <c r="Y284" i="1"/>
  <c r="Y286" i="1"/>
  <c r="Y282" i="1"/>
  <c r="K288" i="1"/>
  <c r="K286" i="1"/>
  <c r="K282" i="1"/>
  <c r="K284" i="1"/>
  <c r="K280" i="1"/>
  <c r="V288" i="1"/>
  <c r="V280" i="1"/>
  <c r="V286" i="1"/>
  <c r="V284" i="1"/>
  <c r="V282" i="1"/>
  <c r="C312" i="1"/>
  <c r="C308" i="1"/>
  <c r="C310" i="1"/>
  <c r="C309" i="1"/>
  <c r="C311" i="1"/>
  <c r="AP43" i="1"/>
  <c r="C98" i="1"/>
  <c r="AP46" i="1"/>
  <c r="AP41" i="1"/>
  <c r="AP42" i="1"/>
  <c r="AA157" i="1"/>
  <c r="AX9" i="1"/>
  <c r="E274" i="1"/>
  <c r="D274" i="1" s="1"/>
  <c r="F276" i="1"/>
  <c r="G276" i="1" s="1"/>
  <c r="H276" i="1" s="1"/>
  <c r="I276" i="1" s="1"/>
  <c r="J276" i="1" s="1"/>
  <c r="K276" i="1" s="1"/>
  <c r="L276" i="1" s="1"/>
  <c r="M276" i="1" s="1"/>
  <c r="N276" i="1" s="1"/>
  <c r="O276" i="1" s="1"/>
  <c r="P276" i="1" s="1"/>
  <c r="Q276" i="1" s="1"/>
  <c r="R276" i="1" s="1"/>
  <c r="S276" i="1" s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AP47" i="1"/>
  <c r="AP45" i="1"/>
  <c r="AP40" i="1"/>
  <c r="AP48" i="1"/>
  <c r="AM14" i="1"/>
  <c r="AP39" i="1"/>
  <c r="AP44" i="1"/>
  <c r="BX9" i="1"/>
  <c r="C182" i="1"/>
  <c r="D182" i="1" s="1"/>
  <c r="BX10" i="1"/>
  <c r="BZ10" i="1" s="1"/>
  <c r="CA10" i="1" s="1"/>
  <c r="H24" i="1"/>
  <c r="J21" i="1" s="1"/>
  <c r="E213" i="1"/>
  <c r="Y290" i="1" l="1"/>
  <c r="Q290" i="1"/>
  <c r="F322" i="1"/>
  <c r="E322" i="1" s="1"/>
  <c r="J20" i="1"/>
  <c r="J24" i="1"/>
  <c r="J19" i="1"/>
  <c r="J23" i="1"/>
  <c r="J22" i="1"/>
  <c r="AA290" i="1"/>
  <c r="P290" i="1"/>
  <c r="S290" i="1"/>
  <c r="AC290" i="1"/>
  <c r="H290" i="1"/>
  <c r="T290" i="1"/>
  <c r="O290" i="1"/>
  <c r="G290" i="1"/>
  <c r="K290" i="1"/>
  <c r="AB290" i="1"/>
  <c r="W290" i="1"/>
  <c r="R290" i="1"/>
  <c r="E282" i="1"/>
  <c r="D282" i="1" s="1"/>
  <c r="E288" i="1"/>
  <c r="D288" i="1" s="1"/>
  <c r="L290" i="1"/>
  <c r="E280" i="1"/>
  <c r="D280" i="1" s="1"/>
  <c r="E284" i="1"/>
  <c r="D284" i="1" s="1"/>
  <c r="I290" i="1"/>
  <c r="X290" i="1"/>
  <c r="J290" i="1"/>
  <c r="E286" i="1"/>
  <c r="D286" i="1" s="1"/>
  <c r="Z290" i="1"/>
  <c r="N290" i="1"/>
  <c r="M290" i="1"/>
  <c r="U290" i="1"/>
  <c r="V290" i="1"/>
  <c r="F290" i="1"/>
  <c r="C304" i="1"/>
  <c r="C305" i="1"/>
  <c r="C313" i="1"/>
  <c r="H29" i="1" s="1"/>
  <c r="E211" i="1"/>
  <c r="AQ12" i="1"/>
  <c r="AQ9" i="1"/>
  <c r="C209" i="1"/>
  <c r="AQ3" i="1"/>
  <c r="AQ11" i="1"/>
  <c r="AQ8" i="1"/>
  <c r="AQ4" i="1"/>
  <c r="AQ7" i="1"/>
  <c r="AQ10" i="1"/>
  <c r="AQ6" i="1"/>
  <c r="AQ5" i="1"/>
  <c r="C102" i="1"/>
  <c r="BX17" i="1"/>
  <c r="BX19" i="1" s="1"/>
  <c r="BI41" i="1"/>
  <c r="BI44" i="1"/>
  <c r="BI42" i="1"/>
  <c r="BI40" i="1"/>
  <c r="C116" i="1"/>
  <c r="BI43" i="1"/>
  <c r="C114" i="1"/>
  <c r="C25" i="1"/>
  <c r="D213" i="1"/>
  <c r="AX13" i="1"/>
  <c r="AX45" i="1"/>
  <c r="C188" i="1"/>
  <c r="C17" i="1" s="1"/>
  <c r="BW5" i="1"/>
  <c r="V209" i="1" l="1"/>
  <c r="T209" i="1"/>
  <c r="Q209" i="1"/>
  <c r="S209" i="1"/>
  <c r="U209" i="1"/>
  <c r="R209" i="1"/>
  <c r="M188" i="1"/>
  <c r="U188" i="1"/>
  <c r="F188" i="1"/>
  <c r="H188" i="1"/>
  <c r="I188" i="1"/>
  <c r="J188" i="1"/>
  <c r="L188" i="1"/>
  <c r="N188" i="1"/>
  <c r="P188" i="1"/>
  <c r="T188" i="1"/>
  <c r="G188" i="1"/>
  <c r="O188" i="1"/>
  <c r="Q188" i="1"/>
  <c r="R188" i="1"/>
  <c r="K188" i="1"/>
  <c r="AQ48" i="1"/>
  <c r="AQ41" i="1"/>
  <c r="AQ42" i="1"/>
  <c r="AQ46" i="1"/>
  <c r="AQ43" i="1"/>
  <c r="AQ40" i="1"/>
  <c r="AQ44" i="1"/>
  <c r="AQ45" i="1"/>
  <c r="AQ47" i="1"/>
  <c r="AQ39" i="1"/>
  <c r="AP13" i="1"/>
  <c r="AP32" i="1" s="1"/>
  <c r="D313" i="1"/>
  <c r="D211" i="1"/>
  <c r="E290" i="1"/>
  <c r="D290" i="1" s="1"/>
  <c r="F292" i="1"/>
  <c r="F294" i="1" s="1"/>
  <c r="BI12" i="1"/>
  <c r="E91" i="1"/>
  <c r="E94" i="1"/>
  <c r="E92" i="1"/>
  <c r="C20" i="1"/>
  <c r="E86" i="1"/>
  <c r="C111" i="1"/>
  <c r="E95" i="1"/>
  <c r="E96" i="1"/>
  <c r="E87" i="1"/>
  <c r="E93" i="1"/>
  <c r="E89" i="1"/>
  <c r="E100" i="1"/>
  <c r="E88" i="1"/>
  <c r="E97" i="1"/>
  <c r="E101" i="1"/>
  <c r="E90" i="1"/>
  <c r="E99" i="1"/>
  <c r="X188" i="1"/>
  <c r="AC188" i="1"/>
  <c r="Y188" i="1"/>
  <c r="AB188" i="1"/>
  <c r="Z188" i="1"/>
  <c r="AA188" i="1"/>
  <c r="AX14" i="1"/>
  <c r="BI16" i="1"/>
  <c r="BZ13" i="1"/>
  <c r="CA13" i="1" s="1"/>
  <c r="C220" i="1"/>
  <c r="BI45" i="1"/>
  <c r="BI9" i="1"/>
  <c r="AT14" i="1"/>
  <c r="AT50" i="1"/>
  <c r="AX49" i="1"/>
  <c r="E98" i="1"/>
  <c r="E209" i="1" l="1"/>
  <c r="D209" i="1" s="1"/>
  <c r="AX50" i="1"/>
  <c r="AP14" i="1"/>
  <c r="AP49" i="1"/>
  <c r="AP50" i="1" s="1"/>
  <c r="D220" i="1"/>
  <c r="G292" i="1"/>
  <c r="G294" i="1" s="1"/>
  <c r="G296" i="1" s="1"/>
  <c r="G184" i="1" s="1"/>
  <c r="F296" i="1"/>
  <c r="F184" i="1" s="1"/>
  <c r="C112" i="1"/>
  <c r="E188" i="1"/>
  <c r="D188" i="1" s="1"/>
  <c r="H292" i="1" l="1"/>
  <c r="H294" i="1" s="1"/>
  <c r="H296" i="1" s="1"/>
  <c r="H184" i="1" s="1"/>
  <c r="F167" i="1"/>
  <c r="G167" i="1"/>
  <c r="G323" i="1" l="1"/>
  <c r="G324" i="1"/>
  <c r="H167" i="1"/>
  <c r="I292" i="1"/>
  <c r="G325" i="1" l="1"/>
  <c r="I294" i="1"/>
  <c r="I296" i="1" l="1"/>
  <c r="I184" i="1" s="1"/>
  <c r="J292" i="1"/>
  <c r="J294" i="1" s="1"/>
  <c r="J296" i="1" s="1"/>
  <c r="J184" i="1" s="1"/>
  <c r="K292" i="1" l="1"/>
  <c r="K294" i="1" s="1"/>
  <c r="J167" i="1"/>
  <c r="I323" i="1" l="1"/>
  <c r="I324" i="1"/>
  <c r="K296" i="1"/>
  <c r="K184" i="1" s="1"/>
  <c r="I167" i="1"/>
  <c r="L292" i="1"/>
  <c r="L294" i="1" s="1"/>
  <c r="L296" i="1" s="1"/>
  <c r="L184" i="1" s="1"/>
  <c r="M292" i="1" l="1"/>
  <c r="L167" i="1"/>
  <c r="K323" i="1" l="1"/>
  <c r="K324" i="1"/>
  <c r="K167" i="1"/>
  <c r="M294" i="1"/>
  <c r="M296" i="1" s="1"/>
  <c r="M184" i="1" s="1"/>
  <c r="K325" i="1" l="1"/>
  <c r="N292" i="1"/>
  <c r="N294" i="1" s="1"/>
  <c r="N296" i="1" s="1"/>
  <c r="N184" i="1" s="1"/>
  <c r="M167" i="1"/>
  <c r="M323" i="1" l="1"/>
  <c r="M324" i="1"/>
  <c r="O292" i="1"/>
  <c r="O294" i="1" s="1"/>
  <c r="O296" i="1" s="1"/>
  <c r="O184" i="1" s="1"/>
  <c r="N167" i="1"/>
  <c r="O323" i="1" l="1"/>
  <c r="O324" i="1"/>
  <c r="P292" i="1"/>
  <c r="P294" i="1" s="1"/>
  <c r="P296" i="1" s="1"/>
  <c r="P184" i="1" s="1"/>
  <c r="O167" i="1"/>
  <c r="O325" i="1" l="1"/>
  <c r="Q292" i="1"/>
  <c r="P167" i="1"/>
  <c r="Q294" i="1" l="1"/>
  <c r="Q296" i="1" s="1"/>
  <c r="Q184" i="1" s="1"/>
  <c r="Q323" i="1" l="1"/>
  <c r="Q324" i="1"/>
  <c r="Q167" i="1"/>
  <c r="R292" i="1"/>
  <c r="R294" i="1" l="1"/>
  <c r="R296" i="1" s="1"/>
  <c r="R184" i="1" s="1"/>
  <c r="S292" i="1" l="1"/>
  <c r="S294" i="1" s="1"/>
  <c r="S296" i="1" s="1"/>
  <c r="S184" i="1" s="1"/>
  <c r="R167" i="1"/>
  <c r="S323" i="1" l="1"/>
  <c r="S324" i="1"/>
  <c r="T292" i="1"/>
  <c r="T294" i="1" s="1"/>
  <c r="S167" i="1"/>
  <c r="S325" i="1" l="1"/>
  <c r="T296" i="1"/>
  <c r="T184" i="1" s="1"/>
  <c r="T167" i="1" s="1"/>
  <c r="U292" i="1"/>
  <c r="U294" i="1" s="1"/>
  <c r="U296" i="1" s="1"/>
  <c r="U184" i="1" s="1"/>
  <c r="U230" i="1" s="1"/>
  <c r="U324" i="1" l="1"/>
  <c r="U323" i="1"/>
  <c r="V292" i="1"/>
  <c r="V294" i="1" s="1"/>
  <c r="V296" i="1" s="1"/>
  <c r="V184" i="1" s="1"/>
  <c r="V230" i="1" s="1"/>
  <c r="U167" i="1"/>
  <c r="U218" i="1"/>
  <c r="U223" i="1"/>
  <c r="W292" i="1" l="1"/>
  <c r="W294" i="1" s="1"/>
  <c r="W296" i="1" s="1"/>
  <c r="W184" i="1" s="1"/>
  <c r="V167" i="1"/>
  <c r="X292" i="1" l="1"/>
  <c r="X294" i="1" s="1"/>
  <c r="X296" i="1" s="1"/>
  <c r="X184" i="1" s="1"/>
  <c r="W167" i="1"/>
  <c r="Y292" i="1" l="1"/>
  <c r="Y294" i="1" s="1"/>
  <c r="Y296" i="1" s="1"/>
  <c r="Y184" i="1" s="1"/>
  <c r="X167" i="1"/>
  <c r="Y167" i="1" l="1"/>
  <c r="Z292" i="1"/>
  <c r="Z294" i="1" l="1"/>
  <c r="Z296" i="1" s="1"/>
  <c r="Z184" i="1" s="1"/>
  <c r="Z167" i="1" l="1"/>
  <c r="AA292" i="1"/>
  <c r="AA294" i="1" l="1"/>
  <c r="AA296" i="1" s="1"/>
  <c r="AA184" i="1" s="1"/>
  <c r="AB292" i="1" l="1"/>
  <c r="AB294" i="1" s="1"/>
  <c r="AB296" i="1" s="1"/>
  <c r="AB184" i="1" s="1"/>
  <c r="AA167" i="1"/>
  <c r="AC292" i="1" l="1"/>
  <c r="AC294" i="1" s="1"/>
  <c r="AB167" i="1"/>
  <c r="AC296" i="1" l="1"/>
  <c r="AC184" i="1" s="1"/>
  <c r="E294" i="1"/>
  <c r="D294" i="1" s="1"/>
  <c r="E296" i="1" l="1"/>
  <c r="D296" i="1" s="1"/>
  <c r="E184" i="1" l="1"/>
  <c r="AC167" i="1"/>
  <c r="E167" i="1" s="1"/>
  <c r="D167" i="1" s="1"/>
  <c r="D184" i="1" l="1"/>
  <c r="AC248" i="1" l="1"/>
  <c r="AB259" i="1" s="1"/>
  <c r="E189" i="1"/>
  <c r="Z168" i="1" l="1"/>
  <c r="H26" i="1"/>
  <c r="AB260" i="1"/>
  <c r="W168" i="1"/>
  <c r="S168" i="1"/>
  <c r="V168" i="1"/>
  <c r="C118" i="1"/>
  <c r="L168" i="1"/>
  <c r="AB168" i="1"/>
  <c r="Q168" i="1"/>
  <c r="F321" i="1"/>
  <c r="E321" i="1" s="1"/>
  <c r="X168" i="1"/>
  <c r="H168" i="1"/>
  <c r="C191" i="1"/>
  <c r="G168" i="1"/>
  <c r="N168" i="1"/>
  <c r="J168" i="1"/>
  <c r="T168" i="1"/>
  <c r="Y168" i="1"/>
  <c r="K168" i="1"/>
  <c r="I168" i="1"/>
  <c r="P168" i="1"/>
  <c r="M168" i="1"/>
  <c r="O168" i="1"/>
  <c r="F168" i="1"/>
  <c r="C189" i="1"/>
  <c r="AC168" i="1"/>
  <c r="AA168" i="1"/>
  <c r="U168" i="1"/>
  <c r="R168" i="1"/>
  <c r="E191" i="1" l="1"/>
  <c r="E168" i="1"/>
  <c r="D168" i="1" s="1"/>
  <c r="D189" i="1"/>
  <c r="BI22" i="1"/>
  <c r="E190" i="1" s="1"/>
  <c r="BI27" i="1"/>
  <c r="BG23" i="1"/>
  <c r="BI28" i="1"/>
  <c r="C23" i="1"/>
  <c r="BJ22" i="1"/>
  <c r="V256" i="1" l="1"/>
  <c r="V246" i="1" s="1"/>
  <c r="W246" i="1" s="1"/>
  <c r="V169" i="1"/>
  <c r="V178" i="1"/>
  <c r="V218" i="1"/>
  <c r="V223" i="1"/>
  <c r="BJ27" i="1"/>
  <c r="F325" i="1"/>
  <c r="X246" i="1" l="1"/>
  <c r="Y246" i="1" s="1"/>
  <c r="Z246" i="1" s="1"/>
  <c r="AA246" i="1" s="1"/>
  <c r="AB246" i="1" s="1"/>
  <c r="AC246" i="1" s="1"/>
  <c r="W192" i="1"/>
  <c r="W230" i="1" s="1"/>
  <c r="W178" i="1"/>
  <c r="F193" i="1"/>
  <c r="Y169" i="1"/>
  <c r="S169" i="1"/>
  <c r="X169" i="1"/>
  <c r="U169" i="1"/>
  <c r="M169" i="1"/>
  <c r="AC169" i="1"/>
  <c r="T169" i="1"/>
  <c r="Z169" i="1"/>
  <c r="W169" i="1"/>
  <c r="Q169" i="1"/>
  <c r="P169" i="1"/>
  <c r="K169" i="1"/>
  <c r="F169" i="1"/>
  <c r="AA169" i="1"/>
  <c r="R169" i="1"/>
  <c r="H169" i="1"/>
  <c r="I169" i="1"/>
  <c r="L169" i="1"/>
  <c r="O169" i="1"/>
  <c r="N169" i="1"/>
  <c r="J169" i="1"/>
  <c r="AB169" i="1"/>
  <c r="G169" i="1"/>
  <c r="D191" i="1"/>
  <c r="X192" i="1" l="1"/>
  <c r="X230" i="1" s="1"/>
  <c r="X178" i="1"/>
  <c r="W250" i="1"/>
  <c r="W254" i="1" s="1"/>
  <c r="W218" i="1"/>
  <c r="W223" i="1"/>
  <c r="E193" i="1"/>
  <c r="D193" i="1" s="1"/>
  <c r="F252" i="1"/>
  <c r="E169" i="1"/>
  <c r="D169" i="1" s="1"/>
  <c r="W325" i="1"/>
  <c r="E324" i="1"/>
  <c r="F254" i="1" l="1"/>
  <c r="Y192" i="1"/>
  <c r="Y230" i="1" s="1"/>
  <c r="Y178" i="1"/>
  <c r="X250" i="1"/>
  <c r="X254" i="1" s="1"/>
  <c r="X218" i="1"/>
  <c r="X223" i="1"/>
  <c r="Z192" i="1" l="1"/>
  <c r="Z230" i="1" s="1"/>
  <c r="Z178" i="1"/>
  <c r="Y250" i="1"/>
  <c r="Y254" i="1" s="1"/>
  <c r="Y218" i="1"/>
  <c r="Y223" i="1"/>
  <c r="AA192" i="1" l="1"/>
  <c r="AA230" i="1" s="1"/>
  <c r="AA178" i="1"/>
  <c r="Z250" i="1"/>
  <c r="Z254" i="1" s="1"/>
  <c r="Z218" i="1"/>
  <c r="Z223" i="1"/>
  <c r="AB192" i="1" l="1"/>
  <c r="AB230" i="1" s="1"/>
  <c r="AB178" i="1"/>
  <c r="AA250" i="1"/>
  <c r="AA254" i="1" s="1"/>
  <c r="AA218" i="1"/>
  <c r="AA223" i="1"/>
  <c r="AC192" i="1" l="1"/>
  <c r="AC178" i="1"/>
  <c r="AB250" i="1"/>
  <c r="AB254" i="1" s="1"/>
  <c r="AB218" i="1"/>
  <c r="AB223" i="1"/>
  <c r="E192" i="1" l="1"/>
  <c r="AC230" i="1"/>
  <c r="AC250" i="1"/>
  <c r="AC254" i="1" s="1"/>
  <c r="AC259" i="1" s="1"/>
  <c r="AC260" i="1" s="1"/>
  <c r="AC218" i="1"/>
  <c r="AC223" i="1"/>
  <c r="C119" i="1" l="1"/>
  <c r="D192" i="1"/>
  <c r="BI13" i="1"/>
  <c r="C22" i="1"/>
  <c r="AR9" i="1" l="1"/>
  <c r="AR5" i="1"/>
  <c r="AR3" i="1"/>
  <c r="AR4" i="1"/>
  <c r="AR6" i="1"/>
  <c r="AR12" i="1"/>
  <c r="AR7" i="1"/>
  <c r="AR10" i="1"/>
  <c r="AR11" i="1"/>
  <c r="AR8" i="1"/>
  <c r="BI26" i="1"/>
  <c r="AR44" i="1"/>
  <c r="AR46" i="1"/>
  <c r="AR42" i="1"/>
  <c r="AR41" i="1"/>
  <c r="AR47" i="1"/>
  <c r="AR43" i="1"/>
  <c r="AR13" i="1"/>
  <c r="AR14" i="1" s="1"/>
  <c r="AR39" i="1"/>
  <c r="AR45" i="1" l="1"/>
  <c r="AR40" i="1"/>
  <c r="AR48" i="1"/>
  <c r="BJ25" i="1"/>
  <c r="AR49" i="1" l="1"/>
  <c r="AR50" i="1" s="1"/>
  <c r="BI25" i="1"/>
  <c r="I325" i="1" l="1"/>
  <c r="U325" i="1"/>
  <c r="Q325" i="1"/>
  <c r="E323" i="1"/>
  <c r="M325" i="1"/>
  <c r="E325" i="1" l="1"/>
  <c r="C105" i="1" s="1"/>
  <c r="C107" i="1" s="1"/>
  <c r="C214" i="1" l="1"/>
  <c r="R214" i="1" s="1"/>
  <c r="R230" i="1" s="1"/>
  <c r="AS29" i="1"/>
  <c r="AU29" i="1" s="1"/>
  <c r="AS11" i="1"/>
  <c r="AS4" i="1"/>
  <c r="AS27" i="1"/>
  <c r="AU27" i="1" s="1"/>
  <c r="AS24" i="1"/>
  <c r="AU24" i="1" s="1"/>
  <c r="AS9" i="1"/>
  <c r="C113" i="1"/>
  <c r="C115" i="1" s="1"/>
  <c r="AS23" i="1"/>
  <c r="AU23" i="1" s="1"/>
  <c r="C21" i="1"/>
  <c r="C24" i="1" s="1"/>
  <c r="AS12" i="1"/>
  <c r="AS25" i="1"/>
  <c r="AU25" i="1" s="1"/>
  <c r="AS30" i="1"/>
  <c r="AU30" i="1" s="1"/>
  <c r="AS3" i="1"/>
  <c r="AS5" i="1"/>
  <c r="AS10" i="1"/>
  <c r="AS28" i="1"/>
  <c r="AU28" i="1" s="1"/>
  <c r="AS22" i="1"/>
  <c r="AU22" i="1" s="1"/>
  <c r="AS26" i="1"/>
  <c r="AU26" i="1" s="1"/>
  <c r="BI14" i="1"/>
  <c r="AS7" i="1"/>
  <c r="AS21" i="1"/>
  <c r="AS6" i="1"/>
  <c r="AS8" i="1"/>
  <c r="Y170" i="1"/>
  <c r="W170" i="1"/>
  <c r="N214" i="1"/>
  <c r="N230" i="1" s="1"/>
  <c r="M214" i="1"/>
  <c r="M230" i="1" s="1"/>
  <c r="AB170" i="1"/>
  <c r="F214" i="1"/>
  <c r="F230" i="1" s="1"/>
  <c r="F231" i="1" s="1"/>
  <c r="T214" i="1"/>
  <c r="T230" i="1" s="1"/>
  <c r="AC170" i="1"/>
  <c r="Z170" i="1"/>
  <c r="K214" i="1"/>
  <c r="K230" i="1" s="1"/>
  <c r="G214" i="1"/>
  <c r="G230" i="1" s="1"/>
  <c r="G231" i="1" l="1"/>
  <c r="J214" i="1"/>
  <c r="J218" i="1" s="1"/>
  <c r="X170" i="1"/>
  <c r="U170" i="1"/>
  <c r="AA170" i="1"/>
  <c r="S214" i="1"/>
  <c r="I214" i="1"/>
  <c r="Q214" i="1"/>
  <c r="L214" i="1"/>
  <c r="H214" i="1"/>
  <c r="P214" i="1"/>
  <c r="V170" i="1"/>
  <c r="O214" i="1"/>
  <c r="AS13" i="1"/>
  <c r="AU3" i="1"/>
  <c r="AS39" i="1"/>
  <c r="AS48" i="1"/>
  <c r="AU12" i="1"/>
  <c r="AZ25" i="1"/>
  <c r="AW25" i="1"/>
  <c r="AV25" i="1"/>
  <c r="R133" i="1" s="1"/>
  <c r="AS44" i="1"/>
  <c r="AU8" i="1"/>
  <c r="AZ30" i="1"/>
  <c r="AV30" i="1"/>
  <c r="R138" i="1" s="1"/>
  <c r="AW30" i="1"/>
  <c r="T218" i="1"/>
  <c r="T223" i="1"/>
  <c r="T170" i="1"/>
  <c r="F218" i="1"/>
  <c r="F223" i="1"/>
  <c r="F225" i="1" s="1"/>
  <c r="G225" i="1" s="1"/>
  <c r="F170" i="1"/>
  <c r="AV26" i="1"/>
  <c r="R134" i="1" s="1"/>
  <c r="AZ26" i="1"/>
  <c r="AW26" i="1"/>
  <c r="R218" i="1"/>
  <c r="R170" i="1"/>
  <c r="R223" i="1"/>
  <c r="BI30" i="1"/>
  <c r="BI6" i="1"/>
  <c r="BJ12" i="1"/>
  <c r="H34" i="1"/>
  <c r="I21" i="1" s="1"/>
  <c r="BJ7" i="1"/>
  <c r="C26" i="1"/>
  <c r="BJ9" i="1"/>
  <c r="BJ13" i="1"/>
  <c r="BI33" i="1"/>
  <c r="BJ11" i="1"/>
  <c r="BI5" i="1"/>
  <c r="BW4" i="1"/>
  <c r="BI20" i="1"/>
  <c r="BJ10" i="1"/>
  <c r="S218" i="1"/>
  <c r="AW22" i="1"/>
  <c r="AZ22" i="1"/>
  <c r="AV22" i="1"/>
  <c r="R130" i="1" s="1"/>
  <c r="AS47" i="1"/>
  <c r="AU11" i="1"/>
  <c r="AS45" i="1"/>
  <c r="AU9" i="1"/>
  <c r="AZ27" i="1"/>
  <c r="AW27" i="1"/>
  <c r="AV27" i="1"/>
  <c r="R135" i="1" s="1"/>
  <c r="AV29" i="1"/>
  <c r="R137" i="1" s="1"/>
  <c r="AW29" i="1"/>
  <c r="AZ29" i="1"/>
  <c r="AU5" i="1"/>
  <c r="AS41" i="1"/>
  <c r="M170" i="1"/>
  <c r="M223" i="1"/>
  <c r="M218" i="1"/>
  <c r="N223" i="1"/>
  <c r="N218" i="1"/>
  <c r="N170" i="1"/>
  <c r="AW24" i="1"/>
  <c r="AV24" i="1"/>
  <c r="R132" i="1" s="1"/>
  <c r="AZ24" i="1"/>
  <c r="AS40" i="1"/>
  <c r="AU4" i="1"/>
  <c r="G170" i="1"/>
  <c r="G223" i="1"/>
  <c r="G218" i="1"/>
  <c r="AW23" i="1"/>
  <c r="AV23" i="1"/>
  <c r="R131" i="1" s="1"/>
  <c r="AZ23" i="1"/>
  <c r="AS42" i="1"/>
  <c r="AU6" i="1"/>
  <c r="AS31" i="1"/>
  <c r="AU21" i="1"/>
  <c r="AU7" i="1"/>
  <c r="AS43" i="1"/>
  <c r="BJ14" i="1"/>
  <c r="AZ28" i="1"/>
  <c r="AW28" i="1"/>
  <c r="AV28" i="1"/>
  <c r="R136" i="1" s="1"/>
  <c r="K170" i="1"/>
  <c r="K218" i="1"/>
  <c r="K223" i="1"/>
  <c r="AS46" i="1"/>
  <c r="AU10" i="1"/>
  <c r="H170" i="1" l="1"/>
  <c r="H230" i="1"/>
  <c r="H231" i="1" s="1"/>
  <c r="L170" i="1"/>
  <c r="L230" i="1"/>
  <c r="Q170" i="1"/>
  <c r="Q230" i="1"/>
  <c r="P223" i="1"/>
  <c r="P230" i="1"/>
  <c r="I170" i="1"/>
  <c r="I230" i="1"/>
  <c r="S223" i="1"/>
  <c r="S230" i="1"/>
  <c r="O170" i="1"/>
  <c r="O230" i="1"/>
  <c r="J223" i="1"/>
  <c r="J230" i="1"/>
  <c r="I223" i="1"/>
  <c r="S170" i="1"/>
  <c r="J170" i="1"/>
  <c r="I30" i="1"/>
  <c r="I218" i="1"/>
  <c r="I26" i="1"/>
  <c r="E214" i="1"/>
  <c r="BI8" i="1" s="1"/>
  <c r="H218" i="1"/>
  <c r="H223" i="1"/>
  <c r="BJ29" i="1"/>
  <c r="L218" i="1"/>
  <c r="L223" i="1"/>
  <c r="Q223" i="1"/>
  <c r="Q218" i="1"/>
  <c r="O218" i="1"/>
  <c r="O223" i="1"/>
  <c r="P218" i="1"/>
  <c r="P170" i="1"/>
  <c r="AU41" i="1"/>
  <c r="AW5" i="1"/>
  <c r="AW41" i="1" s="1"/>
  <c r="AV5" i="1"/>
  <c r="BR5" i="1"/>
  <c r="BO5" i="1"/>
  <c r="AZ5" i="1"/>
  <c r="AZ41" i="1" s="1"/>
  <c r="BD30" i="1"/>
  <c r="BA30" i="1" s="1"/>
  <c r="BC30" i="1"/>
  <c r="BB30" i="1"/>
  <c r="AY30" i="1"/>
  <c r="BD22" i="1"/>
  <c r="BA22" i="1" s="1"/>
  <c r="BC22" i="1"/>
  <c r="AY22" i="1"/>
  <c r="BB22" i="1"/>
  <c r="BC23" i="1"/>
  <c r="BD23" i="1"/>
  <c r="BA23" i="1" s="1"/>
  <c r="AY23" i="1"/>
  <c r="BB23" i="1"/>
  <c r="AV8" i="1"/>
  <c r="AU44" i="1"/>
  <c r="AW8" i="1"/>
  <c r="AW44" i="1" s="1"/>
  <c r="AZ8" i="1"/>
  <c r="AZ44" i="1" s="1"/>
  <c r="BO8" i="1"/>
  <c r="BR8" i="1"/>
  <c r="BO6" i="1"/>
  <c r="BR6" i="1"/>
  <c r="AW6" i="1"/>
  <c r="AW42" i="1" s="1"/>
  <c r="AZ6" i="1"/>
  <c r="AZ42" i="1" s="1"/>
  <c r="AV6" i="1"/>
  <c r="AU42" i="1"/>
  <c r="BD27" i="1"/>
  <c r="BA27" i="1" s="1"/>
  <c r="BC27" i="1"/>
  <c r="BB27" i="1"/>
  <c r="AY27" i="1"/>
  <c r="AW21" i="1"/>
  <c r="AW31" i="1" s="1"/>
  <c r="AZ21" i="1"/>
  <c r="AU31" i="1"/>
  <c r="AV31" i="1" s="1"/>
  <c r="AV32" i="1" s="1"/>
  <c r="AV21" i="1"/>
  <c r="R129" i="1" s="1"/>
  <c r="R139" i="1" s="1"/>
  <c r="BO9" i="1"/>
  <c r="AZ9" i="1"/>
  <c r="AW9" i="1"/>
  <c r="AW45" i="1" s="1"/>
  <c r="AU45" i="1"/>
  <c r="BR9" i="1"/>
  <c r="AV9" i="1"/>
  <c r="BC26" i="1"/>
  <c r="AY26" i="1"/>
  <c r="BB26" i="1"/>
  <c r="BD26" i="1"/>
  <c r="BA26" i="1" s="1"/>
  <c r="BD25" i="1"/>
  <c r="BA25" i="1" s="1"/>
  <c r="BC25" i="1"/>
  <c r="AY25" i="1"/>
  <c r="BB25" i="1"/>
  <c r="BO12" i="1"/>
  <c r="AU48" i="1"/>
  <c r="AZ12" i="1"/>
  <c r="AZ48" i="1" s="1"/>
  <c r="AW12" i="1"/>
  <c r="AW48" i="1" s="1"/>
  <c r="BR12" i="1"/>
  <c r="AV12" i="1"/>
  <c r="BJ20" i="1"/>
  <c r="BO7" i="1"/>
  <c r="AU43" i="1"/>
  <c r="AV7" i="1"/>
  <c r="BR7" i="1"/>
  <c r="AW7" i="1"/>
  <c r="AW43" i="1" s="1"/>
  <c r="AZ7" i="1"/>
  <c r="AZ43" i="1" s="1"/>
  <c r="BI34" i="1"/>
  <c r="BI17" i="1"/>
  <c r="BD24" i="1"/>
  <c r="BA24" i="1" s="1"/>
  <c r="BC24" i="1"/>
  <c r="AY24" i="1"/>
  <c r="BB24" i="1"/>
  <c r="AS49" i="1"/>
  <c r="AS50" i="1" s="1"/>
  <c r="AU46" i="1"/>
  <c r="AW10" i="1"/>
  <c r="AW46" i="1" s="1"/>
  <c r="BR10" i="1"/>
  <c r="AZ10" i="1"/>
  <c r="AZ46" i="1" s="1"/>
  <c r="BO10" i="1"/>
  <c r="AV10" i="1"/>
  <c r="AV4" i="1"/>
  <c r="BO4" i="1"/>
  <c r="BR4" i="1"/>
  <c r="AU40" i="1"/>
  <c r="AZ4" i="1"/>
  <c r="AZ40" i="1" s="1"/>
  <c r="AW4" i="1"/>
  <c r="AW40" i="1" s="1"/>
  <c r="F219" i="1"/>
  <c r="G219" i="1" s="1"/>
  <c r="AU13" i="1"/>
  <c r="AV3" i="1"/>
  <c r="AZ3" i="1"/>
  <c r="AU39" i="1"/>
  <c r="BR3" i="1"/>
  <c r="BO3" i="1"/>
  <c r="AW3" i="1"/>
  <c r="BC29" i="1"/>
  <c r="BB29" i="1"/>
  <c r="AY29" i="1"/>
  <c r="BD29" i="1"/>
  <c r="BA29" i="1" s="1"/>
  <c r="I19" i="1"/>
  <c r="I22" i="1"/>
  <c r="I23" i="1"/>
  <c r="I29" i="1"/>
  <c r="I20" i="1"/>
  <c r="I24" i="1"/>
  <c r="BC28" i="1"/>
  <c r="AY28" i="1"/>
  <c r="BB28" i="1"/>
  <c r="BD28" i="1"/>
  <c r="BA28" i="1" s="1"/>
  <c r="BR11" i="1"/>
  <c r="AZ11" i="1"/>
  <c r="AV11" i="1"/>
  <c r="AU47" i="1"/>
  <c r="AW11" i="1"/>
  <c r="AW47" i="1" s="1"/>
  <c r="BO11" i="1"/>
  <c r="BJ44" i="1"/>
  <c r="BI19" i="1"/>
  <c r="C32" i="1"/>
  <c r="BJ41" i="1"/>
  <c r="BJ42" i="1"/>
  <c r="C30" i="1"/>
  <c r="BJ43" i="1"/>
  <c r="BI18" i="1"/>
  <c r="BJ40" i="1"/>
  <c r="AS14" i="1"/>
  <c r="AS32" i="1"/>
  <c r="I231" i="1" l="1"/>
  <c r="J231" i="1" s="1"/>
  <c r="K231" i="1" s="1"/>
  <c r="L231" i="1" s="1"/>
  <c r="M231" i="1" s="1"/>
  <c r="N231" i="1" s="1"/>
  <c r="O231" i="1" s="1"/>
  <c r="P231" i="1" s="1"/>
  <c r="Q231" i="1" s="1"/>
  <c r="R231" i="1" s="1"/>
  <c r="S231" i="1" s="1"/>
  <c r="T231" i="1" s="1"/>
  <c r="U231" i="1" s="1"/>
  <c r="V231" i="1" s="1"/>
  <c r="W231" i="1" s="1"/>
  <c r="X231" i="1" s="1"/>
  <c r="Y231" i="1" s="1"/>
  <c r="Z231" i="1" s="1"/>
  <c r="AA231" i="1" s="1"/>
  <c r="AB231" i="1" s="1"/>
  <c r="AC231" i="1" s="1"/>
  <c r="E170" i="1"/>
  <c r="D170" i="1" s="1"/>
  <c r="C221" i="1"/>
  <c r="C225" i="1" s="1"/>
  <c r="C226" i="1" s="1"/>
  <c r="C219" i="1"/>
  <c r="D219" i="1" s="1"/>
  <c r="D214" i="1"/>
  <c r="H219" i="1"/>
  <c r="I219" i="1" s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T219" i="1" s="1"/>
  <c r="U219" i="1" s="1"/>
  <c r="V219" i="1" s="1"/>
  <c r="W219" i="1" s="1"/>
  <c r="X219" i="1" s="1"/>
  <c r="Y219" i="1" s="1"/>
  <c r="Z219" i="1" s="1"/>
  <c r="AA219" i="1" s="1"/>
  <c r="AB219" i="1" s="1"/>
  <c r="AC219" i="1" s="1"/>
  <c r="H225" i="1"/>
  <c r="I225" i="1" s="1"/>
  <c r="J225" i="1" s="1"/>
  <c r="K225" i="1" s="1"/>
  <c r="L225" i="1" s="1"/>
  <c r="M225" i="1" s="1"/>
  <c r="N225" i="1" s="1"/>
  <c r="C218" i="1"/>
  <c r="C223" i="1"/>
  <c r="C28" i="1" s="1"/>
  <c r="E218" i="1"/>
  <c r="BJ45" i="1"/>
  <c r="BB40" i="1"/>
  <c r="BC40" i="1"/>
  <c r="AY40" i="1"/>
  <c r="BD40" i="1"/>
  <c r="AV42" i="1"/>
  <c r="BB11" i="1"/>
  <c r="BC11" i="1"/>
  <c r="BD11" i="1"/>
  <c r="BA11" i="1" s="1"/>
  <c r="AY11" i="1"/>
  <c r="BD6" i="1"/>
  <c r="BA6" i="1" s="1"/>
  <c r="BB6" i="1"/>
  <c r="AY6" i="1"/>
  <c r="BC6" i="1"/>
  <c r="AV13" i="1"/>
  <c r="AV14" i="1" s="1"/>
  <c r="AU32" i="1"/>
  <c r="AU14" i="1"/>
  <c r="BB42" i="1"/>
  <c r="BD42" i="1"/>
  <c r="AY42" i="1"/>
  <c r="BC42" i="1"/>
  <c r="AY48" i="1"/>
  <c r="BC48" i="1"/>
  <c r="BB48" i="1"/>
  <c r="BD48" i="1"/>
  <c r="AZ47" i="1"/>
  <c r="BC9" i="1"/>
  <c r="BB9" i="1"/>
  <c r="AY9" i="1"/>
  <c r="BD9" i="1"/>
  <c r="BA9" i="1" s="1"/>
  <c r="BB5" i="1"/>
  <c r="BD5" i="1"/>
  <c r="BA5" i="1" s="1"/>
  <c r="BC5" i="1"/>
  <c r="AY5" i="1"/>
  <c r="BJ17" i="1"/>
  <c r="BD43" i="1"/>
  <c r="BB43" i="1"/>
  <c r="AY43" i="1"/>
  <c r="BC43" i="1"/>
  <c r="AY41" i="1"/>
  <c r="BB41" i="1"/>
  <c r="BC41" i="1"/>
  <c r="BD41" i="1"/>
  <c r="AV48" i="1"/>
  <c r="BC44" i="1"/>
  <c r="BB44" i="1"/>
  <c r="BD44" i="1"/>
  <c r="AY44" i="1"/>
  <c r="AW39" i="1"/>
  <c r="AW49" i="1" s="1"/>
  <c r="AW50" i="1" s="1"/>
  <c r="AW13" i="1"/>
  <c r="AW14" i="1" s="1"/>
  <c r="BI35" i="1"/>
  <c r="AZ39" i="1"/>
  <c r="BC21" i="1"/>
  <c r="AY21" i="1"/>
  <c r="BD21" i="1"/>
  <c r="BA21" i="1" s="1"/>
  <c r="BB21" i="1"/>
  <c r="AZ31" i="1"/>
  <c r="BW6" i="1"/>
  <c r="C34" i="1"/>
  <c r="AY46" i="1"/>
  <c r="BD46" i="1"/>
  <c r="BC46" i="1"/>
  <c r="BB46" i="1"/>
  <c r="AV44" i="1"/>
  <c r="AV46" i="1"/>
  <c r="BD12" i="1"/>
  <c r="BA12" i="1" s="1"/>
  <c r="BB12" i="1"/>
  <c r="BC12" i="1"/>
  <c r="AY12" i="1"/>
  <c r="BB7" i="1"/>
  <c r="BC7" i="1"/>
  <c r="BD7" i="1"/>
  <c r="BA7" i="1" s="1"/>
  <c r="AY7" i="1"/>
  <c r="BD8" i="1"/>
  <c r="BA8" i="1" s="1"/>
  <c r="AY8" i="1"/>
  <c r="BB8" i="1"/>
  <c r="BC8" i="1"/>
  <c r="AV43" i="1"/>
  <c r="BD10" i="1"/>
  <c r="BA10" i="1" s="1"/>
  <c r="AY10" i="1"/>
  <c r="BC10" i="1"/>
  <c r="BB10" i="1"/>
  <c r="AV47" i="1"/>
  <c r="AV39" i="1"/>
  <c r="AU49" i="1"/>
  <c r="BD4" i="1"/>
  <c r="BA4" i="1" s="1"/>
  <c r="BB4" i="1"/>
  <c r="AY4" i="1"/>
  <c r="BC4" i="1"/>
  <c r="BJ18" i="1"/>
  <c r="BJ8" i="1"/>
  <c r="AY3" i="1"/>
  <c r="BB3" i="1"/>
  <c r="BC3" i="1"/>
  <c r="AZ13" i="1"/>
  <c r="BD3" i="1"/>
  <c r="BA3" i="1" s="1"/>
  <c r="AV40" i="1"/>
  <c r="AV45" i="1"/>
  <c r="AZ45" i="1"/>
  <c r="AV41" i="1"/>
  <c r="D221" i="1" l="1"/>
  <c r="C224" i="1"/>
  <c r="B227" i="1" s="1"/>
  <c r="O225" i="1"/>
  <c r="O227" i="1" s="1"/>
  <c r="N227" i="1"/>
  <c r="D218" i="1"/>
  <c r="D217" i="1"/>
  <c r="AW32" i="1"/>
  <c r="BD13" i="1"/>
  <c r="BD14" i="1" s="1"/>
  <c r="BB13" i="1"/>
  <c r="BB14" i="1" s="1"/>
  <c r="AZ14" i="1"/>
  <c r="AY13" i="1"/>
  <c r="AY14" i="1" s="1"/>
  <c r="BZ9" i="1"/>
  <c r="BZ18" i="1"/>
  <c r="CA18" i="1" s="1"/>
  <c r="BZ15" i="1"/>
  <c r="CA15" i="1" s="1"/>
  <c r="BZ14" i="1"/>
  <c r="BZ11" i="1"/>
  <c r="CA11" i="1" s="1"/>
  <c r="AZ32" i="1"/>
  <c r="BD31" i="1"/>
  <c r="BD32" i="1" s="1"/>
  <c r="AY31" i="1"/>
  <c r="AY32" i="1" s="1"/>
  <c r="BB31" i="1"/>
  <c r="BB32" i="1" s="1"/>
  <c r="BA41" i="1"/>
  <c r="BA44" i="1"/>
  <c r="BA48" i="1"/>
  <c r="BC45" i="1"/>
  <c r="BB45" i="1"/>
  <c r="BD45" i="1"/>
  <c r="AY45" i="1"/>
  <c r="BD47" i="1"/>
  <c r="BB47" i="1"/>
  <c r="AY47" i="1"/>
  <c r="BC47" i="1"/>
  <c r="AZ49" i="1"/>
  <c r="BD39" i="1"/>
  <c r="AY39" i="1"/>
  <c r="BB39" i="1"/>
  <c r="BC39" i="1"/>
  <c r="BA42" i="1"/>
  <c r="BA40" i="1"/>
  <c r="BA43" i="1"/>
  <c r="AV49" i="1"/>
  <c r="AV50" i="1" s="1"/>
  <c r="AU50" i="1"/>
  <c r="BA46" i="1"/>
  <c r="P225" i="1" l="1"/>
  <c r="P227" i="1" s="1"/>
  <c r="BA45" i="1"/>
  <c r="AZ50" i="1"/>
  <c r="BB49" i="1"/>
  <c r="BB50" i="1" s="1"/>
  <c r="AY49" i="1"/>
  <c r="AY50" i="1" s="1"/>
  <c r="BD49" i="1"/>
  <c r="BD50" i="1" s="1"/>
  <c r="CA9" i="1"/>
  <c r="CA17" i="1" s="1"/>
  <c r="BZ17" i="1"/>
  <c r="BZ19" i="1" s="1"/>
  <c r="CA19" i="1" s="1"/>
  <c r="BA47" i="1"/>
  <c r="BA39" i="1"/>
  <c r="Q225" i="1" l="1"/>
  <c r="Q227" i="1" s="1"/>
  <c r="R225" i="1" l="1"/>
  <c r="R227" i="1" s="1"/>
  <c r="S225" i="1" l="1"/>
  <c r="S227" i="1" s="1"/>
  <c r="T225" i="1" l="1"/>
  <c r="T227" i="1" s="1"/>
  <c r="U225" i="1" l="1"/>
  <c r="U227" i="1" s="1"/>
  <c r="V225" i="1" l="1"/>
  <c r="V227" i="1" s="1"/>
  <c r="W225" i="1" l="1"/>
  <c r="W227" i="1" s="1"/>
  <c r="X225" i="1" l="1"/>
  <c r="X227" i="1" s="1"/>
  <c r="Y225" i="1" l="1"/>
  <c r="Y227" i="1" s="1"/>
  <c r="Z225" i="1" l="1"/>
  <c r="Z227" i="1" s="1"/>
  <c r="AA225" i="1" l="1"/>
  <c r="AA227" i="1" s="1"/>
  <c r="AB225" i="1" l="1"/>
  <c r="AB227" i="1" s="1"/>
  <c r="AD189" i="1" l="1"/>
  <c r="AC225" i="1"/>
  <c r="AC227" i="1" s="1"/>
  <c r="H31" i="1"/>
  <c r="H33" i="1" s="1"/>
  <c r="H35" i="1" s="1"/>
  <c r="O190" i="1" l="1"/>
  <c r="I31" i="1"/>
  <c r="I33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<sst xmlns="http://schemas.openxmlformats.org/spreadsheetml/2006/main" count="897" uniqueCount="430">
  <si>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</si>
  <si>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</si>
  <si>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</si>
  <si>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</si>
  <si>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</si>
  <si>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</si>
  <si>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</si>
  <si>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</si>
  <si>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</si>
  <si>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</si>
  <si>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</si>
  <si>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</si>
  <si>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</si>
  <si>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</si>
  <si>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</si>
  <si>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</si>
  <si>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</si>
  <si>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</si>
  <si>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</si>
  <si>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</si>
  <si>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</si>
  <si>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</si>
  <si>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</si>
  <si>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</si>
  <si>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</si>
  <si>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</si>
  <si>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</si>
  <si>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</si>
  <si>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</si>
  <si>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</si>
  <si>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</si>
  <si>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</si>
  <si>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</si>
  <si>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</si>
  <si>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</si>
  <si>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</si>
  <si>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</si>
  <si>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</si>
  <si>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</si>
  <si>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</si>
  <si>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</si>
  <si>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</si>
  <si>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</si>
  <si>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</si>
  <si>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</si>
  <si>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</si>
  <si>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</si>
  <si>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</si>
  <si>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</si>
  <si>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</si>
  <si>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</si>
  <si>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</si>
  <si>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</si>
  <si>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</si>
  <si>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</si>
  <si>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</si>
  <si>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</si>
  <si>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</si>
  <si>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</si>
  <si>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</si>
  <si>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</si>
  <si>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</si>
  <si>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</si>
  <si>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</si>
  <si>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</si>
  <si>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</si>
  <si>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</si>
  <si>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</si>
  <si>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</si>
  <si>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</si>
  <si>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</si>
  <si>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</si>
  <si>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</si>
  <si>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</si>
  <si>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</si>
  <si>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</si>
  <si>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</si>
  <si>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</si>
  <si>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</si>
  <si>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</si>
  <si>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</si>
  <si>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</si>
  <si>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</si>
  <si>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</si>
  <si>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</si>
  <si>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</si>
  <si>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</si>
  <si>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</si>
  <si>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</si>
  <si>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</si>
  <si>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</si>
  <si>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</si>
  <si>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</si>
  <si>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</si>
  <si>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</si>
  <si>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</si>
  <si>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</si>
  <si>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</si>
  <si>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</si>
  <si>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</si>
  <si>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</si>
  <si>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</si>
  <si>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</si>
  <si>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</si>
  <si>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</si>
  <si>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</si>
  <si>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</si>
  <si>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</si>
  <si>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</si>
  <si>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</si>
  <si>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</si>
  <si>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</si>
  <si>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</si>
  <si>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</si>
  <si>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</si>
  <si>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</si>
  <si>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</si>
  <si>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</si>
  <si>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</si>
  <si>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</si>
  <si>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</si>
  <si>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</si>
  <si>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</si>
  <si>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</si>
  <si>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</si>
  <si>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</si>
  <si>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</si>
  <si>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</si>
  <si>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</si>
  <si>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</si>
  <si>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</si>
  <si>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</si>
  <si>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</si>
  <si>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</si>
  <si>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</si>
  <si>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</si>
  <si>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</si>
  <si>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</si>
  <si>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</si>
  <si>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</si>
  <si>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</si>
  <si>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</si>
  <si>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</si>
  <si>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</si>
  <si>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</si>
  <si>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</si>
  <si>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</si>
  <si>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</si>
  <si>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</si>
  <si>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</si>
  <si>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</si>
  <si>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</si>
  <si>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</si>
  <si>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</si>
  <si>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</si>
  <si>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</si>
  <si>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</si>
  <si>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</si>
  <si>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</si>
  <si>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</si>
  <si>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</si>
  <si>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</si>
  <si>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</si>
  <si>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</si>
  <si>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</si>
  <si>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</si>
  <si>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</si>
  <si>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</si>
  <si>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</si>
  <si>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</si>
  <si>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</si>
  <si>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</si>
  <si>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</si>
  <si>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</si>
  <si>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</si>
  <si>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</si>
  <si>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</si>
  <si>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</si>
  <si>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</si>
  <si>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</si>
  <si>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</si>
  <si>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</si>
  <si>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</si>
  <si>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</si>
  <si>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</si>
  <si>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</si>
  <si>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</si>
  <si>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</si>
  <si>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</si>
  <si>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</si>
  <si>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</si>
  <si>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</si>
  <si>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</si>
  <si>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</si>
  <si>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</si>
  <si>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</si>
  <si>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</si>
  <si>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</si>
  <si>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</si>
  <si>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</si>
  <si>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</si>
  <si>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</si>
  <si>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</si>
  <si>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</si>
  <si>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</si>
  <si>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</si>
  <si>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</si>
  <si>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</si>
  <si>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</si>
  <si>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</si>
  <si>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</si>
  <si>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</si>
  <si>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</si>
  <si>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</si>
  <si>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</si>
  <si>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</si>
  <si>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</si>
  <si>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</si>
  <si>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</si>
  <si>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</si>
  <si>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</si>
  <si>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</si>
  <si>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شاليهات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</si>
  <si>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</si>
  <si>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</si>
  <si>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</si>
  <si>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</si>
  <si>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</si>
  <si>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</si>
  <si>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تكلفة الأرض قبل الضرائب
(Land Cost Before Taxes) </t>
  </si>
  <si>
    <t>إجمالي تكلفة الأرض بعد الضرائب 
 (Total Land Cost After Taxes)</t>
  </si>
  <si>
    <t>مكتبي 
(Office)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</si>
  <si>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</si>
  <si>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</si>
  <si>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</si>
  <si>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</si>
  <si>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</si>
  <si>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</si>
  <si>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</si>
  <si>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</si>
  <si>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</si>
  <si>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</si>
  <si>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</si>
  <si>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</si>
  <si>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</si>
  <si>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</si>
  <si>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</si>
  <si>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</si>
  <si>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</si>
  <si>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</si>
  <si>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</si>
  <si>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</si>
  <si>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</si>
  <si>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</si>
  <si>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</si>
  <si>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</si>
  <si>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</si>
  <si>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</si>
  <si>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</si>
  <si>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</si>
  <si>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</si>
  <si>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</si>
  <si>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</si>
  <si>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</si>
  <si>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</si>
  <si>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</si>
  <si>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</si>
  <si>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</si>
  <si>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</si>
  <si>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</si>
  <si>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</si>
  <si>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</si>
  <si>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</si>
  <si>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</si>
  <si>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</si>
  <si>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</si>
  <si>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</si>
  <si>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</si>
  <si>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</si>
  <si>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</si>
  <si>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</si>
  <si>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</si>
  <si>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</si>
  <si>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</si>
  <si>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</si>
  <si>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</si>
  <si>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</si>
  <si>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</si>
  <si>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</si>
  <si>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</si>
  <si>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قيمة الوحدة
(Units Value)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</si>
  <si>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</si>
  <si>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</si>
  <si>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</si>
  <si>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</si>
  <si>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</si>
  <si>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</si>
  <si>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</si>
  <si>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</si>
  <si>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</si>
  <si>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</si>
  <si>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</si>
  <si>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</si>
  <si>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</si>
  <si>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</si>
  <si>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</si>
  <si>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</si>
  <si>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</si>
  <si>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</si>
  <si>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</si>
  <si>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</si>
  <si>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</si>
  <si>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</si>
  <si>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</si>
  <si>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</si>
  <si>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</si>
  <si>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</si>
  <si>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</si>
  <si>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</si>
  <si>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</si>
  <si>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</si>
  <si>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</si>
  <si>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</si>
  <si>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</si>
  <si>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</si>
  <si>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</si>
  <si>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</si>
  <si>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</si>
  <si>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</si>
  <si>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</si>
  <si>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</si>
  <si>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</si>
  <si>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</si>
  <si>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</si>
  <si>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</si>
  <si>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</si>
  <si>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</si>
  <si>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</si>
  <si>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</si>
  <si>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</si>
  <si>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</si>
  <si>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</si>
  <si>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</si>
  <si>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</si>
  <si>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</si>
  <si>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</si>
  <si>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</si>
  <si>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</si>
  <si>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</si>
  <si>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</si>
  <si>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</si>
  <si>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</si>
  <si>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</si>
  <si>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</si>
  <si>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</si>
  <si>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</si>
  <si>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</si>
  <si>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</si>
  <si>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</si>
  <si>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</si>
  <si>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</si>
  <si>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</si>
  <si>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</si>
  <si>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</si>
  <si>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</si>
  <si>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</si>
  <si>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</si>
  <si>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</si>
  <si>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</si>
  <si>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</si>
  <si>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</si>
  <si>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</si>
  <si>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</si>
  <si>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</si>
  <si>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</si>
  <si>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</si>
  <si>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</si>
  <si>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</si>
  <si>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</si>
  <si>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</si>
  <si>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</si>
  <si>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</si>
  <si>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</si>
  <si>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</si>
  <si>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</si>
  <si>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</si>
  <si>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</si>
  <si>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</si>
  <si>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</si>
  <si>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</si>
  <si>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</si>
  <si>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</si>
  <si>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</si>
  <si>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</si>
  <si>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</si>
  <si>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</si>
  <si>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</si>
  <si>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</si>
  <si>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</si>
  <si>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</si>
  <si>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</si>
  <si>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</si>
  <si>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</si>
  <si>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</si>
  <si>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</si>
  <si>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</si>
  <si>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</si>
  <si>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</si>
  <si>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</si>
  <si>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</si>
  <si>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</si>
  <si>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</si>
  <si>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</si>
  <si>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</si>
  <si>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</si>
  <si>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</si>
  <si>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</si>
  <si>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</si>
  <si>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</si>
  <si>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</si>
  <si>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أخرى
(Other)</t>
  </si>
  <si>
    <t>أخرى
(Other)
(بيع على الخارطة)</t>
  </si>
  <si>
    <t>RF030-240630 - برج جدة</t>
  </si>
  <si>
    <t>الموقع</t>
  </si>
  <si>
    <t>معدل العائد الداخلي
(IRR)</t>
  </si>
  <si>
    <t xml:space="preserve">العائد على الإستثمار
(ROI)  </t>
  </si>
  <si>
    <t xml:space="preserve">العائد على الملكية
(ROE) </t>
  </si>
  <si>
    <t xml:space="preserve">  العائد على الملكية السنوي
(ROE Annually)</t>
  </si>
  <si>
    <t>الأشتراك النقدي من المقاول
(Cash Subscription from Developer)</t>
  </si>
  <si>
    <t>نسبة الملكية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</si>
</sst>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43" formatCode="_(* #,##0.00_);_(* \(#,##0.00\);_(* &quot;-&quot;??_);_(@_)"/>
    <numFmt numFmtId="164" formatCode="0%&quot; نسبة الأشتراك العيني من المطور&quot;"/>
    <numFmt numFmtId="165" formatCode="#,##0\ &quot;اجمالي قيمة فائدة البنك&quot;"/>
    <numFmt numFmtId="166" formatCode="#,##0.0"/>
    <numFmt numFmtId="167" formatCode="#,##0&quot; m²&quot;"/>
    <numFmt numFmtId="168" formatCode="0%\ &quot;نسبة التحمل&quot;"/>
    <numFmt numFmtId="169" formatCode="#,##0.00_ ;[Red]\-#,##0.00\ "/>
    <numFmt numFmtId="170" formatCode="#,##0\ &quot;إجمالي تكاليف البناء&quot;"/>
    <numFmt numFmtId="171" formatCode="#,##0_ ;[Red]\-#,##0\ "/>
    <numFmt numFmtId="172" formatCode="0.0%"/>
    <numFmt numFmtId="173" formatCode="0.00%\ &quot;نسبة رسوم المطور&quot;"/>
    <numFmt numFmtId="174" formatCode="0.00%\ &quot;إجمالي نسبة فائدة التمويل&quot;"/>
    <numFmt numFmtId="175" formatCode="0.00%\ &quot;نسبة الفائدة السنوية خلال فترة المشروع&quot;"/>
    <numFmt numFmtId="176" formatCode="#,##0.00\ &quot;الفترة الزمنية للتمويل (سنوي)&quot;"/>
    <numFmt numFmtId="177" formatCode="0.00%\ &quot;المتوسط&quot;"/>
    <numFmt numFmtId="178" formatCode="0%\ &quot; نسبة تكاليف الصيانة السنوية&quot;"/>
    <numFmt numFmtId="179" formatCode="#,##0\ &quot;المتبقي من الحد الأعلى للتمويل&quot;"/>
    <numFmt numFmtId="180" formatCode="#,##0\ \ &quot;عدد الوحدات المتبقية&quot;"/>
    <numFmt numFmtId="181" formatCode="&quot;Avg&quot;\ #,##0"/>
    <numFmt numFmtId="182" formatCode="&quot;Avg&quot;\ #,##0&quot; m²&quot;"/>
    <numFmt numFmtId="183" formatCode="&quot;Avg&quot;\ 0%"/>
    <numFmt numFmtId="184" formatCode="&quot;Avg&quot;\ 0.00%"/>
    <numFmt numFmtId="185" formatCode="#,##0\ \ &quot;إجمالي قيمة الصيانة السنوية&quot;"/>
    <numFmt numFmtId="186" formatCode="0.00%\ &quot;نسبة التمويل المطلوب من المسموح&quot;"/>
    <numFmt numFmtId="187" formatCode="0.00%\ &quot;الحد الأعلى لنسبة التمويل البنكي من تكاليف التطوير&quot;"/>
    <numFmt numFmtId="188" formatCode="0.00%\ &quot;نسبة الرسوم&quot;"/>
    <numFmt numFmtId="189" formatCode="0%\ &quot;نسبة الدفعة المقدمة&quot;"/>
    <numFmt numFmtId="190" formatCode="0.00%\ &quot; نسبة التكاليف التشغيلية والإدارية&quot;"/>
    <numFmt numFmtId="191" formatCode="0.000%"/>
    <numFmt numFmtId="192" formatCode="0.00%\ \ &quot;نسبة التحوط&quot;"/>
    <numFmt numFmtId="193" formatCode="0.00%\ &quot;الحد الأعلى لنسبة التمويل البنكي من الأرض&quot;"/>
    <numFmt numFmtId="194" formatCode="_(* #,##0_);_(* \(#,##0\);_(* &quot;-&quot;??_);_(@_)"/>
    <numFmt numFmtId="195" formatCode="0.00%\ \ &quot;من مدة المشروع الإجمالية&quot;"/>
    <numFmt numFmtId="196" formatCode="#,##0\ \ &quot;مجموع القيم السابقة&quot;"/>
    <numFmt numFmtId="197" formatCode="#,##0\ &quot;تكلفة متر الأرض قبل الضريبة و السعي&quot;"/>
    <numFmt numFmtId="198" formatCode="0%\ &quot;من إجمالي الأمتار البيعية&quot;"/>
    <numFmt numFmtId="199" formatCode="#,##0.000000000000"/>
    <numFmt numFmtId="200" formatCode="#,##0.000000"/>
    <numFmt numFmtId="201" formatCode="#,##0.0000000000000000000000000000000000000000000"/>
  </numFmts>
  <fonts count="50" x14ac:knownFonts="1"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Arial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Arial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u/>
      <sz val="11"/>
      <color theme="10"/>
      <name val="Arial"/>
      <family val="2"/>
      <scheme val="minor"/>
    </font>
    <font>
      <b/>
      <sz val="8"/>
      <color theme="1"/>
      <name val="Calibri"/>
      <family val="2"/>
    </font>
    <font>
      <b/>
      <sz val="7"/>
      <color theme="1"/>
      <name val="Calibri"/>
      <family val="2"/>
    </font>
    <font>
      <sz val="8"/>
      <color theme="1" tint="0.1499984740745262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6" fillId="0" borderId="0" applyNumberFormat="0" applyFill="0" applyBorder="0" applyAlignment="0" applyProtection="0"/>
  </cellStyleXfs>
  <cellXfs count="632">
    <xf numFmtId="0" fontId="0" fillId="0" borderId="0" xfId="0"/>
    <xf numFmtId="3" fontId="3" fillId="2" borderId="0" xfId="0" applyNumberFormat="1" applyFont="1" applyFill="1" applyAlignment="1">
      <alignment horizontal="center" vertical="center" wrapText="1" shrinkToFit="1"/>
    </xf>
    <xf numFmtId="9" fontId="3" fillId="3" borderId="6" xfId="2" applyFont="1" applyFill="1" applyBorder="1" applyAlignment="1">
      <alignment horizontal="center" vertical="center" wrapText="1" shrinkToFit="1"/>
    </xf>
    <xf numFmtId="9" fontId="3" fillId="0" borderId="6" xfId="2" applyFont="1" applyFill="1" applyBorder="1" applyAlignment="1">
      <alignment horizontal="center" vertical="center" wrapText="1" shrinkToFit="1"/>
    </xf>
    <xf numFmtId="3" fontId="12" fillId="0" borderId="4" xfId="0" applyNumberFormat="1" applyFont="1" applyBorder="1" applyAlignment="1">
      <alignment horizontal="center" vertical="center" wrapText="1" shrinkToFit="1"/>
    </xf>
    <xf numFmtId="3" fontId="12" fillId="3" borderId="4" xfId="0" applyNumberFormat="1" applyFont="1" applyFill="1" applyBorder="1" applyAlignment="1">
      <alignment horizontal="center" vertical="center" wrapText="1" shrinkToFit="1"/>
    </xf>
    <xf numFmtId="3" fontId="12" fillId="2" borderId="7" xfId="0" applyNumberFormat="1" applyFont="1" applyFill="1" applyBorder="1" applyAlignment="1">
      <alignment horizontal="center" vertical="center" wrapText="1" shrinkToFit="1"/>
    </xf>
    <xf numFmtId="167" fontId="12" fillId="2" borderId="8" xfId="0" applyNumberFormat="1" applyFont="1" applyFill="1" applyBorder="1" applyAlignment="1">
      <alignment horizontal="center" vertical="center" wrapText="1" shrinkToFit="1"/>
    </xf>
    <xf numFmtId="3" fontId="12" fillId="2" borderId="8" xfId="0" applyNumberFormat="1" applyFont="1" applyFill="1" applyBorder="1" applyAlignment="1">
      <alignment horizontal="center" vertical="center" wrapText="1" shrinkToFit="1"/>
    </xf>
    <xf numFmtId="4" fontId="12" fillId="2" borderId="8" xfId="0" applyNumberFormat="1" applyFont="1" applyFill="1" applyBorder="1" applyAlignment="1">
      <alignment horizontal="center" vertical="center" wrapText="1" shrinkToFit="1"/>
    </xf>
    <xf numFmtId="3" fontId="12" fillId="2" borderId="9" xfId="0" applyNumberFormat="1" applyFont="1" applyFill="1" applyBorder="1" applyAlignment="1">
      <alignment horizontal="center" vertical="center" wrapText="1" shrinkToFit="1"/>
    </xf>
    <xf numFmtId="10" fontId="6" fillId="3" borderId="1" xfId="2" applyNumberFormat="1" applyFont="1" applyFill="1" applyBorder="1" applyAlignment="1">
      <alignment horizontal="center" vertical="center" wrapText="1" shrinkToFit="1"/>
    </xf>
    <xf numFmtId="10" fontId="6" fillId="3" borderId="2" xfId="2" applyNumberFormat="1" applyFont="1" applyFill="1" applyBorder="1" applyAlignment="1">
      <alignment horizontal="center" vertical="center" wrapText="1" shrinkToFit="1"/>
    </xf>
    <xf numFmtId="10" fontId="6" fillId="3" borderId="3" xfId="2" applyNumberFormat="1" applyFont="1" applyFill="1" applyBorder="1" applyAlignment="1">
      <alignment horizontal="center" vertical="center" wrapText="1" shrinkToFit="1"/>
    </xf>
    <xf numFmtId="168" fontId="6" fillId="4" borderId="7" xfId="2" applyNumberFormat="1" applyFont="1" applyFill="1" applyBorder="1" applyAlignment="1">
      <alignment horizontal="center" vertical="center" wrapText="1" shrinkToFit="1"/>
    </xf>
    <xf numFmtId="168" fontId="6" fillId="4" borderId="8" xfId="2" applyNumberFormat="1" applyFont="1" applyFill="1" applyBorder="1" applyAlignment="1">
      <alignment horizontal="center" vertical="center" wrapText="1" shrinkToFit="1"/>
    </xf>
    <xf numFmtId="168" fontId="6" fillId="4" borderId="9" xfId="2" applyNumberFormat="1" applyFont="1" applyFill="1" applyBorder="1" applyAlignment="1">
      <alignment horizontal="center" vertical="center" wrapText="1" shrinkToFit="1"/>
    </xf>
    <xf numFmtId="4" fontId="12" fillId="0" borderId="5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 readingOrder="1"/>
    </xf>
    <xf numFmtId="3" fontId="8" fillId="2" borderId="5" xfId="0" applyNumberFormat="1" applyFont="1" applyFill="1" applyBorder="1" applyAlignment="1">
      <alignment horizontal="center" vertical="center" wrapText="1" shrinkToFit="1" readingOrder="1"/>
    </xf>
    <xf numFmtId="4" fontId="12" fillId="4" borderId="6" xfId="0" applyNumberFormat="1" applyFont="1" applyFill="1" applyBorder="1" applyAlignment="1">
      <alignment horizontal="center" vertical="center" wrapText="1" shrinkToFit="1"/>
    </xf>
    <xf numFmtId="167" fontId="12" fillId="0" borderId="4" xfId="0" applyNumberFormat="1" applyFont="1" applyBorder="1" applyAlignment="1">
      <alignment horizontal="center" vertical="center" wrapText="1" shrinkToFit="1"/>
    </xf>
    <xf numFmtId="167" fontId="12" fillId="3" borderId="4" xfId="0" applyNumberFormat="1" applyFont="1" applyFill="1" applyBorder="1" applyAlignment="1">
      <alignment horizontal="center" vertical="center" wrapText="1" shrinkToFit="1"/>
    </xf>
    <xf numFmtId="167" fontId="12" fillId="3" borderId="5" xfId="0" applyNumberFormat="1" applyFont="1" applyFill="1" applyBorder="1" applyAlignment="1">
      <alignment horizontal="center" vertical="center" wrapText="1" shrinkToFit="1"/>
    </xf>
    <xf numFmtId="3" fontId="16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167" fontId="12" fillId="2" borderId="7" xfId="0" applyNumberFormat="1" applyFont="1" applyFill="1" applyBorder="1" applyAlignment="1">
      <alignment horizontal="center" vertical="center" wrapText="1" shrinkToFit="1"/>
    </xf>
    <xf numFmtId="10" fontId="12" fillId="2" borderId="8" xfId="0" applyNumberFormat="1" applyFont="1" applyFill="1" applyBorder="1" applyAlignment="1">
      <alignment horizontal="center" vertical="center" wrapText="1" shrinkToFit="1"/>
    </xf>
    <xf numFmtId="3" fontId="6" fillId="3" borderId="10" xfId="0" applyNumberFormat="1" applyFont="1" applyFill="1" applyBorder="1" applyAlignment="1">
      <alignment horizontal="center" vertical="center" wrapText="1" shrinkToFit="1"/>
    </xf>
    <xf numFmtId="3" fontId="14" fillId="3" borderId="1" xfId="0" applyNumberFormat="1" applyFont="1" applyFill="1" applyBorder="1" applyAlignment="1">
      <alignment horizontal="center" vertical="center" wrapText="1" shrinkToFit="1"/>
    </xf>
    <xf numFmtId="171" fontId="6" fillId="3" borderId="7" xfId="0" applyNumberFormat="1" applyFont="1" applyFill="1" applyBorder="1" applyAlignment="1">
      <alignment horizontal="center" vertical="center" wrapText="1" shrinkToFit="1"/>
    </xf>
    <xf numFmtId="38" fontId="14" fillId="3" borderId="9" xfId="0" applyNumberFormat="1" applyFont="1" applyFill="1" applyBorder="1" applyAlignment="1">
      <alignment horizontal="center" vertical="center" wrapText="1" shrinkToFit="1"/>
    </xf>
    <xf numFmtId="10" fontId="3" fillId="0" borderId="4" xfId="2" applyNumberFormat="1" applyFont="1" applyFill="1" applyBorder="1" applyAlignment="1">
      <alignment horizontal="center" vertical="center" wrapText="1" shrinkToFit="1"/>
    </xf>
    <xf numFmtId="10" fontId="3" fillId="3" borderId="4" xfId="0" applyNumberFormat="1" applyFont="1" applyFill="1" applyBorder="1" applyAlignment="1">
      <alignment horizontal="center" vertical="center" wrapText="1" shrinkToFit="1"/>
    </xf>
    <xf numFmtId="10" fontId="3" fillId="0" borderId="4" xfId="0" applyNumberFormat="1" applyFont="1" applyBorder="1" applyAlignment="1">
      <alignment horizontal="center" vertical="center" wrapText="1" shrinkToFit="1"/>
    </xf>
    <xf numFmtId="173" fontId="12" fillId="4" borderId="6" xfId="0" applyNumberFormat="1" applyFont="1" applyFill="1" applyBorder="1" applyAlignment="1">
      <alignment horizontal="center" vertical="center" wrapText="1" shrinkToFit="1"/>
    </xf>
    <xf numFmtId="10" fontId="3" fillId="3" borderId="4" xfId="2" applyNumberFormat="1" applyFont="1" applyFill="1" applyBorder="1" applyAlignment="1">
      <alignment horizontal="center" vertical="center" wrapText="1" shrinkToFit="1"/>
    </xf>
    <xf numFmtId="3" fontId="6" fillId="3" borderId="14" xfId="0" applyNumberFormat="1" applyFont="1" applyFill="1" applyBorder="1" applyAlignment="1">
      <alignment horizontal="center" vertical="center" shrinkToFit="1"/>
    </xf>
    <xf numFmtId="3" fontId="3" fillId="4" borderId="8" xfId="0" applyNumberFormat="1" applyFont="1" applyFill="1" applyBorder="1" applyAlignment="1">
      <alignment horizontal="center" vertical="center" wrapText="1" shrinkToFit="1"/>
    </xf>
    <xf numFmtId="10" fontId="8" fillId="2" borderId="4" xfId="2" applyNumberFormat="1" applyFont="1" applyFill="1" applyBorder="1" applyAlignment="1">
      <alignment horizontal="center" vertical="center" wrapText="1" shrinkToFit="1"/>
    </xf>
    <xf numFmtId="10" fontId="8" fillId="2" borderId="5" xfId="2" applyNumberFormat="1" applyFont="1" applyFill="1" applyBorder="1" applyAlignment="1">
      <alignment horizontal="center" vertical="center" wrapText="1" shrinkToFit="1"/>
    </xf>
    <xf numFmtId="9" fontId="8" fillId="2" borderId="5" xfId="2" applyFont="1" applyFill="1" applyBorder="1" applyAlignment="1">
      <alignment horizontal="center" vertical="center" wrapText="1" shrinkToFit="1" readingOrder="1"/>
    </xf>
    <xf numFmtId="10" fontId="8" fillId="2" borderId="6" xfId="2" applyNumberFormat="1" applyFont="1" applyFill="1" applyBorder="1" applyAlignment="1">
      <alignment horizontal="center" vertical="center" wrapText="1" shrinkToFit="1"/>
    </xf>
    <xf numFmtId="10" fontId="12" fillId="0" borderId="5" xfId="2" applyNumberFormat="1" applyFont="1" applyBorder="1" applyAlignment="1">
      <alignment horizontal="center" vertical="center" wrapText="1" shrinkToFit="1"/>
    </xf>
    <xf numFmtId="10" fontId="12" fillId="3" borderId="5" xfId="2" applyNumberFormat="1" applyFont="1" applyFill="1" applyBorder="1" applyAlignment="1">
      <alignment horizontal="center" vertical="center" wrapText="1" shrinkToFit="1"/>
    </xf>
    <xf numFmtId="9" fontId="12" fillId="2" borderId="8" xfId="2" applyFont="1" applyFill="1" applyBorder="1" applyAlignment="1">
      <alignment horizontal="center" vertical="center" wrapText="1" shrinkToFit="1"/>
    </xf>
    <xf numFmtId="0" fontId="8" fillId="2" borderId="6" xfId="0" applyFont="1" applyFill="1" applyBorder="1" applyAlignment="1">
      <alignment horizontal="center" vertical="center" wrapText="1" shrinkToFit="1"/>
    </xf>
    <xf numFmtId="3" fontId="18" fillId="2" borderId="4" xfId="0" applyNumberFormat="1" applyFont="1" applyFill="1" applyBorder="1" applyAlignment="1">
      <alignment horizontal="center" vertical="center" wrapText="1" shrinkToFit="1"/>
    </xf>
    <xf numFmtId="3" fontId="18" fillId="2" borderId="5" xfId="0" applyNumberFormat="1" applyFont="1" applyFill="1" applyBorder="1" applyAlignment="1">
      <alignment horizontal="center" vertical="center" wrapText="1" shrinkToFit="1"/>
    </xf>
    <xf numFmtId="3" fontId="18" fillId="2" borderId="6" xfId="0" applyNumberFormat="1" applyFont="1" applyFill="1" applyBorder="1" applyAlignment="1">
      <alignment horizontal="center" vertical="center" wrapText="1" shrinkToFit="1"/>
    </xf>
    <xf numFmtId="10" fontId="12" fillId="4" borderId="5" xfId="2" applyNumberFormat="1" applyFont="1" applyFill="1" applyBorder="1" applyAlignment="1">
      <alignment horizontal="center" vertical="center" wrapText="1" shrinkToFit="1"/>
    </xf>
    <xf numFmtId="177" fontId="12" fillId="2" borderId="8" xfId="2" applyNumberFormat="1" applyFont="1" applyFill="1" applyBorder="1" applyAlignment="1">
      <alignment horizontal="center" vertical="center" wrapText="1" shrinkToFit="1"/>
    </xf>
    <xf numFmtId="40" fontId="21" fillId="3" borderId="5" xfId="0" applyNumberFormat="1" applyFont="1" applyFill="1" applyBorder="1" applyAlignment="1">
      <alignment horizontal="center" vertical="center" wrapText="1" shrinkToFit="1"/>
    </xf>
    <xf numFmtId="3" fontId="20" fillId="3" borderId="5" xfId="0" applyNumberFormat="1" applyFont="1" applyFill="1" applyBorder="1" applyAlignment="1">
      <alignment horizontal="center" vertical="center" wrapText="1" shrinkToFit="1"/>
    </xf>
    <xf numFmtId="3" fontId="20" fillId="3" borderId="6" xfId="0" applyNumberFormat="1" applyFont="1" applyFill="1" applyBorder="1" applyAlignment="1">
      <alignment horizontal="center" vertical="center" wrapText="1" shrinkToFit="1"/>
    </xf>
    <xf numFmtId="9" fontId="12" fillId="4" borderId="5" xfId="2" applyFont="1" applyFill="1" applyBorder="1" applyAlignment="1">
      <alignment horizontal="center" vertical="center" wrapText="1" shrinkToFit="1"/>
    </xf>
    <xf numFmtId="9" fontId="12" fillId="4" borderId="6" xfId="2" applyFont="1" applyFill="1" applyBorder="1" applyAlignment="1">
      <alignment horizontal="center" vertical="center" wrapText="1" shrinkToFit="1"/>
    </xf>
    <xf numFmtId="3" fontId="8" fillId="2" borderId="7" xfId="0" applyNumberFormat="1" applyFont="1" applyFill="1" applyBorder="1" applyAlignment="1">
      <alignment horizontal="center" vertical="center" wrapText="1" shrinkToFit="1"/>
    </xf>
    <xf numFmtId="3" fontId="15" fillId="3" borderId="8" xfId="0" applyNumberFormat="1" applyFont="1" applyFill="1" applyBorder="1" applyAlignment="1">
      <alignment horizontal="center" vertical="center" wrapText="1" shrinkToFit="1"/>
    </xf>
    <xf numFmtId="9" fontId="12" fillId="3" borderId="8" xfId="2" applyFont="1" applyFill="1" applyBorder="1" applyAlignment="1">
      <alignment horizontal="center" vertical="center" wrapText="1" shrinkToFit="1"/>
    </xf>
    <xf numFmtId="9" fontId="12" fillId="4" borderId="8" xfId="2" applyFont="1" applyFill="1" applyBorder="1" applyAlignment="1">
      <alignment horizontal="center" vertical="center" wrapText="1" shrinkToFit="1"/>
    </xf>
    <xf numFmtId="9" fontId="12" fillId="4" borderId="9" xfId="2" applyFont="1" applyFill="1" applyBorder="1" applyAlignment="1">
      <alignment horizontal="center" vertical="center" wrapText="1" shrinkToFit="1"/>
    </xf>
    <xf numFmtId="3" fontId="12" fillId="0" borderId="2" xfId="0" applyNumberFormat="1" applyFont="1" applyBorder="1" applyAlignment="1">
      <alignment horizontal="center" vertical="center" wrapText="1" shrinkToFit="1"/>
    </xf>
    <xf numFmtId="14" fontId="12" fillId="4" borderId="2" xfId="0" applyNumberFormat="1" applyFont="1" applyFill="1" applyBorder="1" applyAlignment="1">
      <alignment horizontal="center" vertical="center" wrapText="1" shrinkToFit="1"/>
    </xf>
    <xf numFmtId="14" fontId="12" fillId="4" borderId="3" xfId="0" applyNumberFormat="1" applyFont="1" applyFill="1" applyBorder="1" applyAlignment="1">
      <alignment horizontal="center" vertical="center" wrapText="1" shrinkToFit="1"/>
    </xf>
    <xf numFmtId="3" fontId="8" fillId="5" borderId="4" xfId="0" applyNumberFormat="1" applyFont="1" applyFill="1" applyBorder="1" applyAlignment="1">
      <alignment horizontal="center" vertical="center" wrapText="1" shrinkToFit="1"/>
    </xf>
    <xf numFmtId="38" fontId="12" fillId="3" borderId="2" xfId="0" applyNumberFormat="1" applyFont="1" applyFill="1" applyBorder="1" applyAlignment="1">
      <alignment horizontal="center" vertical="center" wrapText="1" shrinkToFit="1"/>
    </xf>
    <xf numFmtId="38" fontId="12" fillId="4" borderId="5" xfId="1" applyNumberFormat="1" applyFont="1" applyFill="1" applyBorder="1" applyAlignment="1">
      <alignment horizontal="center" vertical="center" wrapText="1" shrinkToFit="1"/>
    </xf>
    <xf numFmtId="10" fontId="6" fillId="3" borderId="14" xfId="2" applyNumberFormat="1" applyFont="1" applyFill="1" applyBorder="1" applyAlignment="1">
      <alignment horizontal="center" vertical="center" wrapText="1" shrinkToFit="1"/>
    </xf>
    <xf numFmtId="181" fontId="3" fillId="2" borderId="8" xfId="0" applyNumberFormat="1" applyFont="1" applyFill="1" applyBorder="1" applyAlignment="1">
      <alignment horizontal="center" vertical="center" wrapText="1" shrinkToFit="1"/>
    </xf>
    <xf numFmtId="182" fontId="3" fillId="2" borderId="8" xfId="0" applyNumberFormat="1" applyFont="1" applyFill="1" applyBorder="1" applyAlignment="1">
      <alignment horizontal="center" vertical="center" wrapText="1" shrinkToFit="1"/>
    </xf>
    <xf numFmtId="182" fontId="12" fillId="2" borderId="8" xfId="0" applyNumberFormat="1" applyFont="1" applyFill="1" applyBorder="1" applyAlignment="1">
      <alignment horizontal="center" vertical="center" wrapText="1" shrinkToFit="1"/>
    </xf>
    <xf numFmtId="181" fontId="12" fillId="2" borderId="8" xfId="0" applyNumberFormat="1" applyFont="1" applyFill="1" applyBorder="1" applyAlignment="1">
      <alignment horizontal="center" vertical="center" wrapText="1" shrinkToFit="1"/>
    </xf>
    <xf numFmtId="183" fontId="3" fillId="2" borderId="8" xfId="2" applyNumberFormat="1" applyFont="1" applyFill="1" applyBorder="1" applyAlignment="1">
      <alignment horizontal="center" vertical="center" wrapText="1" shrinkToFit="1"/>
    </xf>
    <xf numFmtId="184" fontId="3" fillId="2" borderId="8" xfId="0" applyNumberFormat="1" applyFont="1" applyFill="1" applyBorder="1" applyAlignment="1">
      <alignment horizontal="center" vertical="center" wrapText="1" shrinkToFit="1"/>
    </xf>
    <xf numFmtId="3" fontId="6" fillId="6" borderId="15" xfId="0" applyNumberFormat="1" applyFont="1" applyFill="1" applyBorder="1" applyAlignment="1">
      <alignment horizontal="center" vertical="center" wrapText="1" shrinkToFit="1"/>
    </xf>
    <xf numFmtId="166" fontId="3" fillId="6" borderId="9" xfId="0" applyNumberFormat="1" applyFont="1" applyFill="1" applyBorder="1" applyAlignment="1">
      <alignment horizontal="center" vertical="center" wrapText="1" shrinkToFit="1"/>
    </xf>
    <xf numFmtId="164" fontId="6" fillId="4" borderId="14" xfId="0" applyNumberFormat="1" applyFont="1" applyFill="1" applyBorder="1" applyAlignment="1">
      <alignment horizontal="center" vertical="center" wrapText="1" shrinkToFit="1"/>
    </xf>
    <xf numFmtId="3" fontId="3" fillId="0" borderId="0" xfId="0" applyNumberFormat="1" applyFont="1" applyAlignment="1">
      <alignment horizontal="center" vertical="center" wrapText="1" shrinkToFit="1"/>
    </xf>
    <xf numFmtId="3" fontId="17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10" fontId="25" fillId="3" borderId="6" xfId="2" applyNumberFormat="1" applyFont="1" applyFill="1" applyBorder="1" applyAlignment="1">
      <alignment horizontal="center" vertical="center" wrapText="1" shrinkToFit="1"/>
    </xf>
    <xf numFmtId="14" fontId="12" fillId="0" borderId="5" xfId="0" applyNumberFormat="1" applyFont="1" applyBorder="1" applyAlignment="1">
      <alignment horizontal="center" vertical="center" wrapText="1" shrinkToFit="1"/>
    </xf>
    <xf numFmtId="14" fontId="12" fillId="0" borderId="6" xfId="0" applyNumberFormat="1" applyFont="1" applyBorder="1" applyAlignment="1">
      <alignment horizontal="center" vertical="center" wrapText="1" shrinkToFit="1"/>
    </xf>
    <xf numFmtId="40" fontId="25" fillId="0" borderId="2" xfId="0" applyNumberFormat="1" applyFont="1" applyBorder="1" applyAlignment="1">
      <alignment horizontal="center" vertical="center" wrapText="1" shrinkToFit="1"/>
    </xf>
    <xf numFmtId="40" fontId="25" fillId="0" borderId="5" xfId="0" applyNumberFormat="1" applyFont="1" applyBorder="1" applyAlignment="1">
      <alignment horizontal="center" vertical="center" wrapText="1" shrinkToFit="1"/>
    </xf>
    <xf numFmtId="40" fontId="25" fillId="0" borderId="8" xfId="0" applyNumberFormat="1" applyFont="1" applyBorder="1" applyAlignment="1">
      <alignment horizontal="center" vertical="center" wrapText="1" shrinkToFit="1"/>
    </xf>
    <xf numFmtId="3" fontId="12" fillId="0" borderId="6" xfId="0" applyNumberFormat="1" applyFont="1" applyBorder="1" applyAlignment="1">
      <alignment horizontal="center" vertical="center" wrapText="1" shrinkToFit="1"/>
    </xf>
    <xf numFmtId="3" fontId="3" fillId="0" borderId="4" xfId="0" applyNumberFormat="1" applyFont="1" applyBorder="1" applyAlignment="1">
      <alignment horizontal="center" vertical="center" wrapText="1" shrinkToFit="1"/>
    </xf>
    <xf numFmtId="9" fontId="12" fillId="0" borderId="5" xfId="2" applyFont="1" applyFill="1" applyBorder="1" applyAlignment="1">
      <alignment horizontal="center" vertical="center" wrapText="1" shrinkToFit="1"/>
    </xf>
    <xf numFmtId="9" fontId="12" fillId="0" borderId="6" xfId="2" applyFont="1" applyFill="1" applyBorder="1" applyAlignment="1">
      <alignment horizontal="center" vertical="center" wrapText="1" shrinkToFit="1"/>
    </xf>
    <xf numFmtId="9" fontId="12" fillId="3" borderId="5" xfId="2" applyFont="1" applyFill="1" applyBorder="1" applyAlignment="1">
      <alignment horizontal="center" vertical="center" wrapText="1" shrinkToFit="1"/>
    </xf>
    <xf numFmtId="3" fontId="12" fillId="4" borderId="5" xfId="0" applyNumberFormat="1" applyFont="1" applyFill="1" applyBorder="1" applyAlignment="1">
      <alignment horizontal="center" vertical="center" wrapText="1" shrinkToFit="1"/>
    </xf>
    <xf numFmtId="3" fontId="12" fillId="4" borderId="6" xfId="0" applyNumberFormat="1" applyFont="1" applyFill="1" applyBorder="1" applyAlignment="1">
      <alignment horizontal="center" vertical="center" wrapText="1" shrinkToFit="1"/>
    </xf>
    <xf numFmtId="3" fontId="3" fillId="3" borderId="4" xfId="0" applyNumberFormat="1" applyFont="1" applyFill="1" applyBorder="1" applyAlignment="1">
      <alignment horizontal="center" vertical="center" wrapText="1" shrinkToFit="1"/>
    </xf>
    <xf numFmtId="3" fontId="3" fillId="3" borderId="5" xfId="0" applyNumberFormat="1" applyFont="1" applyFill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3" fillId="0" borderId="5" xfId="0" applyNumberFormat="1" applyFont="1" applyBorder="1" applyAlignment="1">
      <alignment horizontal="center" vertical="center" wrapText="1" shrinkToFit="1"/>
    </xf>
    <xf numFmtId="3" fontId="3" fillId="0" borderId="6" xfId="0" applyNumberFormat="1" applyFont="1" applyBorder="1" applyAlignment="1">
      <alignment horizontal="center" vertical="center" wrapText="1" shrinkToFit="1"/>
    </xf>
    <xf numFmtId="3" fontId="8" fillId="2" borderId="5" xfId="0" applyNumberFormat="1" applyFont="1" applyFill="1" applyBorder="1" applyAlignment="1">
      <alignment horizontal="center" vertical="center" wrapText="1" shrinkToFit="1"/>
    </xf>
    <xf numFmtId="3" fontId="8" fillId="2" borderId="6" xfId="0" applyNumberFormat="1" applyFont="1" applyFill="1" applyBorder="1" applyAlignment="1">
      <alignment horizontal="center" vertical="center" wrapText="1" shrinkToFit="1"/>
    </xf>
    <xf numFmtId="167" fontId="12" fillId="0" borderId="5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" vertical="center" wrapText="1" shrinkToFit="1"/>
    </xf>
    <xf numFmtId="3" fontId="12" fillId="3" borderId="5" xfId="0" applyNumberFormat="1" applyFont="1" applyFill="1" applyBorder="1" applyAlignment="1">
      <alignment horizontal="center" vertical="center" wrapText="1" shrinkToFit="1"/>
    </xf>
    <xf numFmtId="3" fontId="12" fillId="3" borderId="6" xfId="0" applyNumberFormat="1" applyFont="1" applyFill="1" applyBorder="1" applyAlignment="1">
      <alignment horizontal="center" vertical="center" wrapText="1" shrinkToFit="1"/>
    </xf>
    <xf numFmtId="0" fontId="8" fillId="2" borderId="4" xfId="0" applyFont="1" applyFill="1" applyBorder="1" applyAlignment="1">
      <alignment horizontal="center" vertical="center" wrapText="1" shrinkToFit="1"/>
    </xf>
    <xf numFmtId="0" fontId="8" fillId="2" borderId="5" xfId="0" applyFont="1" applyFill="1" applyBorder="1" applyAlignment="1">
      <alignment horizontal="center" vertical="center" wrapText="1" shrinkToFit="1"/>
    </xf>
    <xf numFmtId="3" fontId="3" fillId="3" borderId="7" xfId="0" applyNumberFormat="1" applyFont="1" applyFill="1" applyBorder="1" applyAlignment="1">
      <alignment horizontal="center" vertical="center" wrapText="1" shrinkToFit="1"/>
    </xf>
    <xf numFmtId="10" fontId="26" fillId="0" borderId="0" xfId="2" applyNumberFormat="1" applyFont="1" applyFill="1" applyBorder="1" applyAlignment="1">
      <alignment horizontal="center" vertical="center" wrapText="1" shrinkToFit="1"/>
    </xf>
    <xf numFmtId="167" fontId="26" fillId="0" borderId="5" xfId="0" applyNumberFormat="1" applyFont="1" applyBorder="1" applyAlignment="1">
      <alignment horizontal="center" vertical="center" wrapText="1" shrinkToFit="1"/>
    </xf>
    <xf numFmtId="167" fontId="26" fillId="3" borderId="5" xfId="0" applyNumberFormat="1" applyFont="1" applyFill="1" applyBorder="1" applyAlignment="1">
      <alignment horizontal="center" vertical="center" wrapText="1" shrinkToFit="1"/>
    </xf>
    <xf numFmtId="3" fontId="26" fillId="3" borderId="5" xfId="0" applyNumberFormat="1" applyFont="1" applyFill="1" applyBorder="1" applyAlignment="1">
      <alignment horizontal="center" vertical="center" wrapText="1" shrinkToFit="1"/>
    </xf>
    <xf numFmtId="4" fontId="26" fillId="4" borderId="6" xfId="0" applyNumberFormat="1" applyFont="1" applyFill="1" applyBorder="1" applyAlignment="1">
      <alignment horizontal="center" vertical="center" wrapText="1" shrinkToFit="1"/>
    </xf>
    <xf numFmtId="38" fontId="12" fillId="2" borderId="5" xfId="0" applyNumberFormat="1" applyFont="1" applyFill="1" applyBorder="1" applyAlignment="1">
      <alignment horizontal="center" vertical="center" wrapText="1" shrinkToFit="1"/>
    </xf>
    <xf numFmtId="3" fontId="12" fillId="2" borderId="5" xfId="0" applyNumberFormat="1" applyFont="1" applyFill="1" applyBorder="1" applyAlignment="1">
      <alignment horizontal="center" vertical="center" wrapText="1" shrinkToFit="1"/>
    </xf>
    <xf numFmtId="3" fontId="18" fillId="2" borderId="19" xfId="0" applyNumberFormat="1" applyFont="1" applyFill="1" applyBorder="1" applyAlignment="1">
      <alignment horizontal="center" vertical="center" wrapText="1" shrinkToFit="1"/>
    </xf>
    <xf numFmtId="38" fontId="12" fillId="3" borderId="16" xfId="0" applyNumberFormat="1" applyFont="1" applyFill="1" applyBorder="1" applyAlignment="1">
      <alignment horizontal="center" vertical="center" wrapText="1" shrinkToFit="1"/>
    </xf>
    <xf numFmtId="40" fontId="25" fillId="0" borderId="16" xfId="0" applyNumberFormat="1" applyFont="1" applyBorder="1" applyAlignment="1">
      <alignment horizontal="center" vertical="center" wrapText="1" shrinkToFit="1"/>
    </xf>
    <xf numFmtId="3" fontId="8" fillId="2" borderId="21" xfId="0" applyNumberFormat="1" applyFont="1" applyFill="1" applyBorder="1" applyAlignment="1">
      <alignment horizontal="center" vertical="center" wrapText="1" shrinkToFit="1" readingOrder="1"/>
    </xf>
    <xf numFmtId="38" fontId="12" fillId="3" borderId="18" xfId="0" applyNumberFormat="1" applyFont="1" applyFill="1" applyBorder="1" applyAlignment="1">
      <alignment horizontal="center" vertical="center" wrapText="1" shrinkToFit="1"/>
    </xf>
    <xf numFmtId="40" fontId="25" fillId="0" borderId="18" xfId="0" applyNumberFormat="1" applyFont="1" applyBorder="1" applyAlignment="1">
      <alignment horizontal="center" vertical="center" wrapText="1" shrinkToFit="1"/>
    </xf>
    <xf numFmtId="0" fontId="8" fillId="2" borderId="11" xfId="0" applyFont="1" applyFill="1" applyBorder="1" applyAlignment="1">
      <alignment horizontal="center" vertical="center" wrapText="1" shrinkToFit="1"/>
    </xf>
    <xf numFmtId="0" fontId="25" fillId="0" borderId="12" xfId="0" applyFont="1" applyBorder="1" applyAlignment="1">
      <alignment horizontal="center" vertical="center" wrapText="1" shrinkToFit="1"/>
    </xf>
    <xf numFmtId="3" fontId="27" fillId="3" borderId="3" xfId="0" applyNumberFormat="1" applyFont="1" applyFill="1" applyBorder="1" applyAlignment="1">
      <alignment horizontal="center" vertical="center" wrapText="1" shrinkToFit="1"/>
    </xf>
    <xf numFmtId="10" fontId="3" fillId="4" borderId="4" xfId="2" applyNumberFormat="1" applyFont="1" applyFill="1" applyBorder="1" applyAlignment="1">
      <alignment horizontal="center" vertical="center" wrapText="1" shrinkToFit="1"/>
    </xf>
    <xf numFmtId="10" fontId="6" fillId="3" borderId="17" xfId="2" applyNumberFormat="1" applyFont="1" applyFill="1" applyBorder="1" applyAlignment="1">
      <alignment horizontal="center" vertical="center" wrapText="1" shrinkToFit="1"/>
    </xf>
    <xf numFmtId="172" fontId="14" fillId="3" borderId="17" xfId="0" applyNumberFormat="1" applyFont="1" applyFill="1" applyBorder="1" applyAlignment="1">
      <alignment horizontal="center" vertical="center" wrapText="1" shrinkToFit="1"/>
    </xf>
    <xf numFmtId="172" fontId="14" fillId="3" borderId="15" xfId="0" applyNumberFormat="1" applyFont="1" applyFill="1" applyBorder="1" applyAlignment="1">
      <alignment horizontal="center" vertical="center" wrapText="1" shrinkToFit="1"/>
    </xf>
    <xf numFmtId="176" fontId="6" fillId="4" borderId="10" xfId="0" applyNumberFormat="1" applyFont="1" applyFill="1" applyBorder="1" applyAlignment="1">
      <alignment horizontal="center" vertical="center" wrapText="1" shrinkToFit="1"/>
    </xf>
    <xf numFmtId="40" fontId="12" fillId="3" borderId="12" xfId="0" applyNumberFormat="1" applyFont="1" applyFill="1" applyBorder="1" applyAlignment="1">
      <alignment horizontal="center" vertical="center" wrapText="1" shrinkToFit="1"/>
    </xf>
    <xf numFmtId="3" fontId="8" fillId="2" borderId="19" xfId="0" applyNumberFormat="1" applyFont="1" applyFill="1" applyBorder="1" applyAlignment="1">
      <alignment horizontal="center" vertical="center" wrapText="1" shrinkToFit="1" readingOrder="1"/>
    </xf>
    <xf numFmtId="3" fontId="8" fillId="2" borderId="1" xfId="0" applyNumberFormat="1" applyFont="1" applyFill="1" applyBorder="1" applyAlignment="1">
      <alignment horizontal="center" vertical="center" wrapText="1" shrinkToFit="1" readingOrder="1"/>
    </xf>
    <xf numFmtId="38" fontId="12" fillId="0" borderId="2" xfId="1" applyNumberFormat="1" applyFont="1" applyFill="1" applyBorder="1" applyAlignment="1">
      <alignment horizontal="center" vertical="center" wrapText="1" shrinkToFit="1"/>
    </xf>
    <xf numFmtId="38" fontId="12" fillId="0" borderId="3" xfId="1" applyNumberFormat="1" applyFont="1" applyFill="1" applyBorder="1" applyAlignment="1">
      <alignment horizontal="center" vertical="center" wrapText="1" shrinkToFit="1"/>
    </xf>
    <xf numFmtId="10" fontId="18" fillId="2" borderId="6" xfId="2" applyNumberFormat="1" applyFont="1" applyFill="1" applyBorder="1" applyAlignment="1">
      <alignment horizontal="center" vertical="center" wrapText="1" shrinkToFit="1"/>
    </xf>
    <xf numFmtId="38" fontId="12" fillId="0" borderId="12" xfId="1" applyNumberFormat="1" applyFont="1" applyFill="1" applyBorder="1" applyAlignment="1">
      <alignment horizontal="center" vertical="center" wrapText="1" shrinkToFit="1"/>
    </xf>
    <xf numFmtId="38" fontId="12" fillId="0" borderId="13" xfId="1" applyNumberFormat="1" applyFont="1" applyFill="1" applyBorder="1" applyAlignment="1">
      <alignment horizontal="center" vertical="center" wrapText="1" shrinkToFit="1"/>
    </xf>
    <xf numFmtId="38" fontId="12" fillId="2" borderId="6" xfId="0" applyNumberFormat="1" applyFont="1" applyFill="1" applyBorder="1" applyAlignment="1">
      <alignment horizontal="center" vertical="center" wrapText="1" shrinkToFit="1"/>
    </xf>
    <xf numFmtId="38" fontId="12" fillId="3" borderId="12" xfId="0" applyNumberFormat="1" applyFont="1" applyFill="1" applyBorder="1" applyAlignment="1">
      <alignment horizontal="center" vertical="center" wrapText="1" shrinkToFit="1"/>
    </xf>
    <xf numFmtId="3" fontId="16" fillId="3" borderId="6" xfId="0" applyNumberFormat="1" applyFont="1" applyFill="1" applyBorder="1" applyAlignment="1">
      <alignment horizontal="center" vertical="center" wrapText="1" shrinkToFit="1"/>
    </xf>
    <xf numFmtId="38" fontId="12" fillId="0" borderId="5" xfId="1" applyNumberFormat="1" applyFont="1" applyFill="1" applyBorder="1" applyAlignment="1">
      <alignment horizontal="center" vertical="center" wrapText="1" shrinkToFit="1"/>
    </xf>
    <xf numFmtId="38" fontId="12" fillId="0" borderId="6" xfId="1" applyNumberFormat="1" applyFont="1" applyFill="1" applyBorder="1" applyAlignment="1">
      <alignment horizontal="center" vertical="center" wrapText="1" shrinkToFit="1"/>
    </xf>
    <xf numFmtId="38" fontId="12" fillId="3" borderId="5" xfId="1" applyNumberFormat="1" applyFont="1" applyFill="1" applyBorder="1" applyAlignment="1">
      <alignment horizontal="center" vertical="center" wrapText="1" shrinkToFit="1"/>
    </xf>
    <xf numFmtId="38" fontId="12" fillId="3" borderId="6" xfId="1" applyNumberFormat="1" applyFont="1" applyFill="1" applyBorder="1" applyAlignment="1">
      <alignment horizontal="center" vertical="center" wrapText="1" shrinkToFit="1"/>
    </xf>
    <xf numFmtId="38" fontId="12" fillId="3" borderId="16" xfId="1" applyNumberFormat="1" applyFont="1" applyFill="1" applyBorder="1" applyAlignment="1">
      <alignment horizontal="center" vertical="center" wrapText="1" shrinkToFit="1"/>
    </xf>
    <xf numFmtId="38" fontId="12" fillId="3" borderId="18" xfId="1" applyNumberFormat="1" applyFont="1" applyFill="1" applyBorder="1" applyAlignment="1">
      <alignment horizontal="center" vertical="center" wrapText="1" shrinkToFit="1"/>
    </xf>
    <xf numFmtId="38" fontId="12" fillId="3" borderId="20" xfId="1" applyNumberFormat="1" applyFont="1" applyFill="1" applyBorder="1" applyAlignment="1">
      <alignment horizontal="center" vertical="center" wrapText="1" shrinkToFit="1"/>
    </xf>
    <xf numFmtId="38" fontId="12" fillId="3" borderId="22" xfId="1" applyNumberFormat="1" applyFont="1" applyFill="1" applyBorder="1" applyAlignment="1">
      <alignment horizontal="center" vertical="center" wrapText="1" shrinkToFit="1"/>
    </xf>
    <xf numFmtId="38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8" xfId="0" applyNumberFormat="1" applyFont="1" applyFill="1" applyBorder="1" applyAlignment="1">
      <alignment horizontal="center" vertical="center" wrapText="1" shrinkToFit="1"/>
    </xf>
    <xf numFmtId="10" fontId="18" fillId="2" borderId="5" xfId="2" applyNumberFormat="1" applyFont="1" applyFill="1" applyBorder="1" applyAlignment="1">
      <alignment horizontal="center" vertical="center" wrapText="1" shrinkToFit="1"/>
    </xf>
    <xf numFmtId="38" fontId="12" fillId="6" borderId="0" xfId="1" applyNumberFormat="1" applyFont="1" applyFill="1" applyBorder="1" applyAlignment="1">
      <alignment vertical="center" wrapText="1" shrinkToFit="1"/>
    </xf>
    <xf numFmtId="38" fontId="12" fillId="6" borderId="23" xfId="1" applyNumberFormat="1" applyFont="1" applyFill="1" applyBorder="1" applyAlignment="1">
      <alignment vertical="center" wrapText="1" shrinkToFit="1"/>
    </xf>
    <xf numFmtId="3" fontId="16" fillId="0" borderId="5" xfId="0" applyNumberFormat="1" applyFont="1" applyBorder="1" applyAlignment="1">
      <alignment horizontal="center" vertical="center" wrapText="1" shrinkToFit="1"/>
    </xf>
    <xf numFmtId="3" fontId="16" fillId="2" borderId="8" xfId="0" applyNumberFormat="1" applyFont="1" applyFill="1" applyBorder="1" applyAlignment="1">
      <alignment horizontal="center" vertical="center" wrapText="1" shrinkToFit="1"/>
    </xf>
    <xf numFmtId="3" fontId="28" fillId="0" borderId="6" xfId="0" applyNumberFormat="1" applyFont="1" applyBorder="1" applyAlignment="1">
      <alignment horizontal="center" vertical="center" wrapText="1" shrinkToFit="1"/>
    </xf>
    <xf numFmtId="3" fontId="28" fillId="3" borderId="6" xfId="0" applyNumberFormat="1" applyFont="1" applyFill="1" applyBorder="1" applyAlignment="1">
      <alignment horizontal="center" vertical="center" wrapText="1" shrinkToFit="1"/>
    </xf>
    <xf numFmtId="3" fontId="28" fillId="2" borderId="9" xfId="0" applyNumberFormat="1" applyFont="1" applyFill="1" applyBorder="1" applyAlignment="1">
      <alignment horizontal="center" vertical="center" wrapText="1" shrinkToFit="1"/>
    </xf>
    <xf numFmtId="3" fontId="16" fillId="0" borderId="6" xfId="0" applyNumberFormat="1" applyFont="1" applyBorder="1" applyAlignment="1">
      <alignment horizontal="center" vertical="center" wrapText="1" shrinkToFit="1"/>
    </xf>
    <xf numFmtId="170" fontId="16" fillId="2" borderId="8" xfId="0" applyNumberFormat="1" applyFont="1" applyFill="1" applyBorder="1" applyAlignment="1">
      <alignment horizontal="center" vertical="center" wrapText="1" shrinkToFit="1"/>
    </xf>
    <xf numFmtId="3" fontId="16" fillId="2" borderId="9" xfId="0" applyNumberFormat="1" applyFont="1" applyFill="1" applyBorder="1" applyAlignment="1">
      <alignment horizontal="center" vertical="center" wrapText="1" shrinkToFit="1"/>
    </xf>
    <xf numFmtId="3" fontId="30" fillId="3" borderId="3" xfId="0" applyNumberFormat="1" applyFont="1" applyFill="1" applyBorder="1" applyAlignment="1">
      <alignment horizontal="center" vertical="center" wrapText="1" shrinkToFit="1"/>
    </xf>
    <xf numFmtId="38" fontId="30" fillId="3" borderId="9" xfId="0" applyNumberFormat="1" applyFont="1" applyFill="1" applyBorder="1" applyAlignment="1">
      <alignment horizontal="center" vertical="center" wrapText="1" shrinkToFit="1"/>
    </xf>
    <xf numFmtId="3" fontId="17" fillId="0" borderId="0" xfId="0" applyNumberFormat="1" applyFont="1" applyAlignment="1">
      <alignment vertical="center" wrapText="1" shrinkToFit="1"/>
    </xf>
    <xf numFmtId="179" fontId="29" fillId="0" borderId="5" xfId="2" applyNumberFormat="1" applyFont="1" applyFill="1" applyBorder="1" applyAlignment="1">
      <alignment horizontal="center" vertical="center" wrapText="1" shrinkToFit="1"/>
    </xf>
    <xf numFmtId="38" fontId="29" fillId="3" borderId="1" xfId="0" applyNumberFormat="1" applyFont="1" applyFill="1" applyBorder="1" applyAlignment="1">
      <alignment horizontal="center" vertical="center" wrapText="1" shrinkToFit="1"/>
    </xf>
    <xf numFmtId="3" fontId="29" fillId="3" borderId="7" xfId="0" applyNumberFormat="1" applyFont="1" applyFill="1" applyBorder="1" applyAlignment="1">
      <alignment horizontal="center" vertical="center" wrapText="1" shrinkToFit="1"/>
    </xf>
    <xf numFmtId="3" fontId="12" fillId="3" borderId="5" xfId="2" applyNumberFormat="1" applyFont="1" applyFill="1" applyBorder="1" applyAlignment="1">
      <alignment horizontal="center" vertical="center" wrapText="1" shrinkToFit="1"/>
    </xf>
    <xf numFmtId="187" fontId="14" fillId="4" borderId="5" xfId="2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Continuous" vertical="center" wrapText="1" shrinkToFit="1"/>
    </xf>
    <xf numFmtId="3" fontId="3" fillId="0" borderId="5" xfId="0" applyNumberFormat="1" applyFont="1" applyBorder="1" applyAlignment="1">
      <alignment horizontal="centerContinuous" vertical="center" wrapText="1" shrinkToFit="1"/>
    </xf>
    <xf numFmtId="3" fontId="3" fillId="0" borderId="6" xfId="0" applyNumberFormat="1" applyFont="1" applyBorder="1" applyAlignment="1">
      <alignment horizontal="centerContinuous" vertical="center" wrapText="1" shrinkToFit="1"/>
    </xf>
    <xf numFmtId="3" fontId="3" fillId="2" borderId="8" xfId="0" applyNumberFormat="1" applyFont="1" applyFill="1" applyBorder="1" applyAlignment="1">
      <alignment horizontal="center" vertical="center" wrapText="1" shrinkToFit="1"/>
    </xf>
    <xf numFmtId="10" fontId="12" fillId="0" borderId="5" xfId="0" applyNumberFormat="1" applyFont="1" applyBorder="1" applyAlignment="1">
      <alignment horizontal="center" vertical="center" wrapText="1" shrinkToFit="1"/>
    </xf>
    <xf numFmtId="3" fontId="14" fillId="3" borderId="4" xfId="0" applyNumberFormat="1" applyFont="1" applyFill="1" applyBorder="1" applyAlignment="1">
      <alignment horizontal="center" vertical="center" wrapText="1" shrinkToFit="1"/>
    </xf>
    <xf numFmtId="3" fontId="14" fillId="2" borderId="7" xfId="0" applyNumberFormat="1" applyFont="1" applyFill="1" applyBorder="1" applyAlignment="1">
      <alignment horizontal="center" vertical="center" wrapText="1" shrinkToFit="1"/>
    </xf>
    <xf numFmtId="3" fontId="33" fillId="0" borderId="5" xfId="0" applyNumberFormat="1" applyFont="1" applyBorder="1" applyAlignment="1">
      <alignment horizontal="center" vertical="center" wrapText="1" shrinkToFit="1"/>
    </xf>
    <xf numFmtId="3" fontId="33" fillId="3" borderId="5" xfId="0" applyNumberFormat="1" applyFont="1" applyFill="1" applyBorder="1" applyAlignment="1">
      <alignment horizontal="center" vertical="center" wrapText="1" shrinkToFit="1"/>
    </xf>
    <xf numFmtId="185" fontId="33" fillId="2" borderId="8" xfId="0" applyNumberFormat="1" applyFont="1" applyFill="1" applyBorder="1" applyAlignment="1">
      <alignment horizontal="center" vertical="center" wrapText="1" shrinkToFit="1"/>
    </xf>
    <xf numFmtId="178" fontId="6" fillId="4" borderId="10" xfId="2" applyNumberFormat="1" applyFont="1" applyFill="1" applyBorder="1" applyAlignment="1">
      <alignment horizontal="center" vertical="center" wrapText="1" shrinkToFit="1"/>
    </xf>
    <xf numFmtId="10" fontId="5" fillId="2" borderId="5" xfId="2" applyNumberFormat="1" applyFont="1" applyFill="1" applyBorder="1" applyAlignment="1">
      <alignment horizontal="center" vertical="center" wrapText="1" shrinkToFit="1"/>
    </xf>
    <xf numFmtId="40" fontId="12" fillId="3" borderId="4" xfId="0" applyNumberFormat="1" applyFont="1" applyFill="1" applyBorder="1" applyAlignment="1">
      <alignment horizontal="center" vertical="center" wrapText="1" shrinkToFit="1"/>
    </xf>
    <xf numFmtId="3" fontId="12" fillId="4" borderId="9" xfId="0" applyNumberFormat="1" applyFont="1" applyFill="1" applyBorder="1" applyAlignment="1">
      <alignment horizontal="center" vertical="center" wrapText="1" shrinkToFit="1"/>
    </xf>
    <xf numFmtId="3" fontId="8" fillId="2" borderId="1" xfId="0" applyNumberFormat="1" applyFont="1" applyFill="1" applyBorder="1" applyAlignment="1">
      <alignment horizontal="center" vertical="center" wrapText="1" shrinkToFit="1"/>
    </xf>
    <xf numFmtId="38" fontId="9" fillId="3" borderId="2" xfId="0" applyNumberFormat="1" applyFont="1" applyFill="1" applyBorder="1" applyAlignment="1">
      <alignment horizontal="center" vertical="center" wrapText="1" shrinkToFit="1"/>
    </xf>
    <xf numFmtId="38" fontId="12" fillId="4" borderId="2" xfId="1" applyNumberFormat="1" applyFont="1" applyFill="1" applyBorder="1" applyAlignment="1">
      <alignment horizontal="center" vertical="center" wrapText="1" shrinkToFit="1"/>
    </xf>
    <xf numFmtId="38" fontId="12" fillId="4" borderId="3" xfId="1" applyNumberFormat="1" applyFont="1" applyFill="1" applyBorder="1" applyAlignment="1">
      <alignment horizontal="center" vertical="center" wrapText="1" shrinkToFit="1"/>
    </xf>
    <xf numFmtId="3" fontId="12" fillId="2" borderId="4" xfId="0" applyNumberFormat="1" applyFont="1" applyFill="1" applyBorder="1" applyAlignment="1">
      <alignment horizontal="center" vertical="center" wrapText="1" shrinkToFit="1"/>
    </xf>
    <xf numFmtId="38" fontId="12" fillId="6" borderId="27" xfId="1" applyNumberFormat="1" applyFont="1" applyFill="1" applyBorder="1" applyAlignment="1">
      <alignment vertical="center" wrapText="1" shrinkToFit="1"/>
    </xf>
    <xf numFmtId="38" fontId="12" fillId="6" borderId="29" xfId="1" applyNumberFormat="1" applyFont="1" applyFill="1" applyBorder="1" applyAlignment="1">
      <alignment vertical="center" wrapText="1" shrinkToFit="1"/>
    </xf>
    <xf numFmtId="38" fontId="12" fillId="6" borderId="30" xfId="1" applyNumberFormat="1" applyFont="1" applyFill="1" applyBorder="1" applyAlignment="1">
      <alignment vertical="center" wrapText="1" shrinkToFit="1"/>
    </xf>
    <xf numFmtId="38" fontId="12" fillId="6" borderId="25" xfId="1" applyNumberFormat="1" applyFont="1" applyFill="1" applyBorder="1" applyAlignment="1">
      <alignment vertical="center" wrapText="1" shrinkToFit="1"/>
    </xf>
    <xf numFmtId="38" fontId="12" fillId="6" borderId="26" xfId="1" applyNumberFormat="1" applyFont="1" applyFill="1" applyBorder="1" applyAlignment="1">
      <alignment vertical="center" wrapText="1" shrinkToFit="1"/>
    </xf>
    <xf numFmtId="38" fontId="12" fillId="6" borderId="31" xfId="1" applyNumberFormat="1" applyFont="1" applyFill="1" applyBorder="1" applyAlignment="1">
      <alignment vertical="center" wrapText="1" shrinkToFit="1"/>
    </xf>
    <xf numFmtId="3" fontId="12" fillId="0" borderId="32" xfId="0" applyNumberFormat="1" applyFont="1" applyBorder="1" applyAlignment="1">
      <alignment horizontal="right" vertical="center" wrapText="1" shrinkToFit="1"/>
    </xf>
    <xf numFmtId="38" fontId="12" fillId="0" borderId="33" xfId="0" applyNumberFormat="1" applyFont="1" applyBorder="1" applyAlignment="1">
      <alignment horizontal="center" vertical="center" wrapText="1" shrinkToFit="1"/>
    </xf>
    <xf numFmtId="3" fontId="12" fillId="0" borderId="33" xfId="0" applyNumberFormat="1" applyFont="1" applyBorder="1" applyAlignment="1">
      <alignment horizontal="center" vertical="center" wrapText="1" shrinkToFit="1"/>
    </xf>
    <xf numFmtId="38" fontId="12" fillId="0" borderId="34" xfId="0" applyNumberFormat="1" applyFont="1" applyBorder="1" applyAlignment="1">
      <alignment horizontal="center" vertical="center" wrapText="1" shrinkToFit="1"/>
    </xf>
    <xf numFmtId="4" fontId="30" fillId="2" borderId="5" xfId="0" applyNumberFormat="1" applyFont="1" applyFill="1" applyBorder="1" applyAlignment="1">
      <alignment horizontal="center" vertical="center" wrapText="1" shrinkToFit="1"/>
    </xf>
    <xf numFmtId="3" fontId="29" fillId="2" borderId="9" xfId="0" applyNumberFormat="1" applyFont="1" applyFill="1" applyBorder="1" applyAlignment="1">
      <alignment horizontal="center" vertical="center" wrapText="1" shrinkToFit="1"/>
    </xf>
    <xf numFmtId="3" fontId="12" fillId="0" borderId="0" xfId="2" applyNumberFormat="1" applyFont="1" applyFill="1" applyAlignment="1">
      <alignment horizontal="center" vertical="center" wrapText="1" shrinkToFit="1"/>
    </xf>
    <xf numFmtId="9" fontId="3" fillId="0" borderId="6" xfId="2" applyFont="1" applyBorder="1" applyAlignment="1">
      <alignment horizontal="center" vertical="center" wrapText="1" shrinkToFit="1"/>
    </xf>
    <xf numFmtId="3" fontId="6" fillId="0" borderId="4" xfId="0" applyNumberFormat="1" applyFont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Continuous" vertical="center" wrapText="1" shrinkToFit="1"/>
    </xf>
    <xf numFmtId="3" fontId="7" fillId="2" borderId="2" xfId="0" applyNumberFormat="1" applyFont="1" applyFill="1" applyBorder="1" applyAlignment="1">
      <alignment horizontal="centerContinuous" vertical="center" wrapText="1" shrinkToFit="1"/>
    </xf>
    <xf numFmtId="3" fontId="7" fillId="2" borderId="3" xfId="0" applyNumberFormat="1" applyFont="1" applyFill="1" applyBorder="1" applyAlignment="1">
      <alignment horizontal="centerContinuous" vertical="center" wrapText="1" shrinkToFit="1"/>
    </xf>
    <xf numFmtId="3" fontId="28" fillId="0" borderId="9" xfId="0" applyNumberFormat="1" applyFont="1" applyBorder="1" applyAlignment="1">
      <alignment horizontal="center" vertical="center" wrapText="1" shrinkToFit="1"/>
    </xf>
    <xf numFmtId="3" fontId="6" fillId="3" borderId="6" xfId="0" applyNumberFormat="1" applyFont="1" applyFill="1" applyBorder="1" applyAlignment="1">
      <alignment horizontal="center" vertical="center" wrapText="1" shrinkToFit="1"/>
    </xf>
    <xf numFmtId="3" fontId="3" fillId="0" borderId="7" xfId="0" applyNumberFormat="1" applyFont="1" applyBorder="1" applyAlignment="1">
      <alignment horizontal="center" vertical="center" wrapText="1" shrinkToFit="1"/>
    </xf>
    <xf numFmtId="38" fontId="16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3" fontId="14" fillId="0" borderId="5" xfId="0" applyNumberFormat="1" applyFont="1" applyBorder="1" applyAlignment="1">
      <alignment horizontal="center" vertical="center" wrapText="1" shrinkToFit="1"/>
    </xf>
    <xf numFmtId="166" fontId="3" fillId="0" borderId="6" xfId="0" applyNumberFormat="1" applyFont="1" applyBorder="1" applyAlignment="1">
      <alignment horizontal="center" vertical="center" shrinkToFit="1"/>
    </xf>
    <xf numFmtId="190" fontId="6" fillId="4" borderId="10" xfId="2" applyNumberFormat="1" applyFont="1" applyFill="1" applyBorder="1" applyAlignment="1">
      <alignment horizontal="center" vertical="center" wrapText="1" shrinkToFit="1"/>
    </xf>
    <xf numFmtId="3" fontId="14" fillId="2" borderId="8" xfId="0" applyNumberFormat="1" applyFont="1" applyFill="1" applyBorder="1" applyAlignment="1">
      <alignment horizontal="center" vertical="center" wrapText="1" shrinkToFit="1"/>
    </xf>
    <xf numFmtId="38" fontId="12" fillId="0" borderId="28" xfId="1" applyNumberFormat="1" applyFont="1" applyFill="1" applyBorder="1" applyAlignment="1">
      <alignment vertical="center" wrapText="1" shrinkToFit="1"/>
    </xf>
    <xf numFmtId="38" fontId="25" fillId="0" borderId="2" xfId="0" applyNumberFormat="1" applyFont="1" applyBorder="1" applyAlignment="1">
      <alignment horizontal="center" vertical="center" wrapText="1" shrinkToFit="1"/>
    </xf>
    <xf numFmtId="38" fontId="29" fillId="0" borderId="33" xfId="0" applyNumberFormat="1" applyFont="1" applyBorder="1" applyAlignment="1">
      <alignment horizontal="center" vertical="center" wrapText="1" shrinkToFit="1"/>
    </xf>
    <xf numFmtId="4" fontId="12" fillId="3" borderId="5" xfId="0" applyNumberFormat="1" applyFont="1" applyFill="1" applyBorder="1" applyAlignment="1">
      <alignment horizontal="center" vertical="center" wrapText="1" shrinkToFit="1"/>
    </xf>
    <xf numFmtId="192" fontId="4" fillId="4" borderId="10" xfId="2" applyNumberFormat="1" applyFont="1" applyFill="1" applyBorder="1" applyAlignment="1">
      <alignment horizontal="center" vertical="center" wrapText="1" shrinkToFit="1"/>
    </xf>
    <xf numFmtId="193" fontId="14" fillId="4" borderId="5" xfId="2" applyNumberFormat="1" applyFont="1" applyFill="1" applyBorder="1" applyAlignment="1">
      <alignment horizontal="center" vertical="center" wrapText="1" shrinkToFit="1"/>
    </xf>
    <xf numFmtId="3" fontId="28" fillId="3" borderId="5" xfId="0" applyNumberFormat="1" applyFont="1" applyFill="1" applyBorder="1" applyAlignment="1">
      <alignment horizontal="center" vertical="center" wrapText="1" shrinkToFit="1"/>
    </xf>
    <xf numFmtId="10" fontId="3" fillId="2" borderId="8" xfId="2" applyNumberFormat="1" applyFont="1" applyFill="1" applyBorder="1" applyAlignment="1">
      <alignment horizontal="center" vertical="center" wrapText="1" shrinkToFit="1"/>
    </xf>
    <xf numFmtId="3" fontId="28" fillId="0" borderId="5" xfId="0" applyNumberFormat="1" applyFont="1" applyBorder="1" applyAlignment="1">
      <alignment horizontal="center" vertical="center" wrapText="1" shrinkToFit="1"/>
    </xf>
    <xf numFmtId="169" fontId="12" fillId="0" borderId="4" xfId="0" applyNumberFormat="1" applyFont="1" applyBorder="1" applyAlignment="1">
      <alignment horizontal="center" vertical="center" wrapText="1" shrinkToFit="1"/>
    </xf>
    <xf numFmtId="169" fontId="12" fillId="0" borderId="5" xfId="0" applyNumberFormat="1" applyFont="1" applyBorder="1" applyAlignment="1">
      <alignment horizontal="center" vertical="center" wrapText="1" shrinkToFit="1"/>
    </xf>
    <xf numFmtId="188" fontId="3" fillId="0" borderId="17" xfId="2" applyNumberFormat="1" applyFont="1" applyFill="1" applyBorder="1" applyAlignment="1">
      <alignment horizontal="center" vertical="center" wrapText="1" shrinkToFit="1"/>
    </xf>
    <xf numFmtId="188" fontId="3" fillId="3" borderId="14" xfId="2" applyNumberFormat="1" applyFont="1" applyFill="1" applyBorder="1" applyAlignment="1">
      <alignment horizontal="center" vertical="center" wrapText="1" shrinkToFit="1"/>
    </xf>
    <xf numFmtId="188" fontId="3" fillId="3" borderId="17" xfId="2" applyNumberFormat="1" applyFont="1" applyFill="1" applyBorder="1" applyAlignment="1">
      <alignment horizontal="center" vertical="center" wrapText="1" shrinkToFit="1"/>
    </xf>
    <xf numFmtId="189" fontId="3" fillId="3" borderId="17" xfId="2" applyNumberFormat="1" applyFont="1" applyFill="1" applyBorder="1" applyAlignment="1">
      <alignment horizontal="center" vertical="center" wrapText="1" shrinkToFit="1"/>
    </xf>
    <xf numFmtId="172" fontId="12" fillId="0" borderId="6" xfId="0" applyNumberFormat="1" applyFont="1" applyBorder="1" applyAlignment="1">
      <alignment horizontal="center" vertical="center" wrapText="1" shrinkToFit="1"/>
    </xf>
    <xf numFmtId="172" fontId="12" fillId="3" borderId="6" xfId="0" applyNumberFormat="1" applyFont="1" applyFill="1" applyBorder="1" applyAlignment="1">
      <alignment horizontal="center" vertical="center" wrapText="1" shrinkToFit="1"/>
    </xf>
    <xf numFmtId="184" fontId="12" fillId="2" borderId="8" xfId="0" applyNumberFormat="1" applyFont="1" applyFill="1" applyBorder="1" applyAlignment="1">
      <alignment horizontal="center" vertical="center" wrapText="1" shrinkToFit="1"/>
    </xf>
    <xf numFmtId="10" fontId="30" fillId="0" borderId="5" xfId="2" applyNumberFormat="1" applyFont="1" applyFill="1" applyBorder="1" applyAlignment="1">
      <alignment horizontal="center" vertical="center" wrapText="1" shrinkToFit="1"/>
    </xf>
    <xf numFmtId="10" fontId="30" fillId="3" borderId="5" xfId="2" applyNumberFormat="1" applyFont="1" applyFill="1" applyBorder="1" applyAlignment="1">
      <alignment horizontal="center" vertical="center" wrapText="1" shrinkToFit="1"/>
    </xf>
    <xf numFmtId="175" fontId="30" fillId="0" borderId="5" xfId="2" applyNumberFormat="1" applyFont="1" applyFill="1" applyBorder="1" applyAlignment="1">
      <alignment horizontal="center" vertical="center" wrapText="1" shrinkToFit="1"/>
    </xf>
    <xf numFmtId="3" fontId="18" fillId="2" borderId="5" xfId="0" applyNumberFormat="1" applyFont="1" applyFill="1" applyBorder="1" applyAlignment="1">
      <alignment horizontal="center" vertical="center" wrapText="1" shrinkToFit="1" readingOrder="1"/>
    </xf>
    <xf numFmtId="10" fontId="6" fillId="0" borderId="5" xfId="2" applyNumberFormat="1" applyFont="1" applyBorder="1" applyAlignment="1">
      <alignment horizontal="center" vertical="center" wrapText="1" shrinkToFit="1"/>
    </xf>
    <xf numFmtId="3" fontId="14" fillId="4" borderId="5" xfId="2" applyNumberFormat="1" applyFont="1" applyFill="1" applyBorder="1" applyAlignment="1">
      <alignment horizontal="center" vertical="center" wrapText="1" shrinkToFit="1"/>
    </xf>
    <xf numFmtId="3" fontId="30" fillId="0" borderId="5" xfId="0" applyNumberFormat="1" applyFont="1" applyBorder="1" applyAlignment="1">
      <alignment horizontal="center" vertical="center" wrapText="1" shrinkToFit="1"/>
    </xf>
    <xf numFmtId="38" fontId="29" fillId="0" borderId="5" xfId="0" applyNumberFormat="1" applyFont="1" applyBorder="1" applyAlignment="1">
      <alignment horizontal="center" vertical="center" wrapText="1" shrinkToFit="1"/>
    </xf>
    <xf numFmtId="10" fontId="29" fillId="0" borderId="6" xfId="2" applyNumberFormat="1" applyFont="1" applyFill="1" applyBorder="1" applyAlignment="1">
      <alignment horizontal="center" vertical="center" wrapText="1" shrinkToFit="1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3" fontId="30" fillId="3" borderId="5" xfId="0" applyNumberFormat="1" applyFont="1" applyFill="1" applyBorder="1" applyAlignment="1">
      <alignment horizontal="center" vertical="center" wrapText="1" shrinkToFit="1"/>
    </xf>
    <xf numFmtId="10" fontId="29" fillId="3" borderId="6" xfId="2" applyNumberFormat="1" applyFont="1" applyFill="1" applyBorder="1" applyAlignment="1">
      <alignment horizontal="center" vertical="center" wrapText="1" shrinkToFit="1"/>
    </xf>
    <xf numFmtId="10" fontId="29" fillId="0" borderId="6" xfId="2" applyNumberFormat="1" applyFont="1" applyBorder="1" applyAlignment="1">
      <alignment horizontal="center" vertical="center" wrapText="1" shrinkToFit="1"/>
    </xf>
    <xf numFmtId="3" fontId="30" fillId="2" borderId="8" xfId="0" applyNumberFormat="1" applyFont="1" applyFill="1" applyBorder="1" applyAlignment="1">
      <alignment horizontal="center" vertical="center" wrapText="1" shrinkToFit="1"/>
    </xf>
    <xf numFmtId="181" fontId="30" fillId="2" borderId="8" xfId="0" applyNumberFormat="1" applyFont="1" applyFill="1" applyBorder="1" applyAlignment="1">
      <alignment horizontal="center" vertical="center" wrapText="1" shrinkToFit="1"/>
    </xf>
    <xf numFmtId="9" fontId="30" fillId="2" borderId="8" xfId="2" applyFont="1" applyFill="1" applyBorder="1" applyAlignment="1">
      <alignment horizontal="center" vertical="center" wrapText="1" shrinkToFit="1"/>
    </xf>
    <xf numFmtId="181" fontId="29" fillId="2" borderId="8" xfId="0" applyNumberFormat="1" applyFont="1" applyFill="1" applyBorder="1" applyAlignment="1">
      <alignment horizontal="center" vertical="center" wrapText="1" shrinkToFit="1"/>
    </xf>
    <xf numFmtId="3" fontId="29" fillId="2" borderId="8" xfId="0" applyNumberFormat="1" applyFont="1" applyFill="1" applyBorder="1" applyAlignment="1">
      <alignment horizontal="center" vertical="center" wrapText="1" shrinkToFit="1"/>
    </xf>
    <xf numFmtId="183" fontId="29" fillId="2" borderId="9" xfId="2" applyNumberFormat="1" applyFont="1" applyFill="1" applyBorder="1" applyAlignment="1">
      <alignment horizontal="center" vertical="center" wrapText="1" shrinkToFit="1"/>
    </xf>
    <xf numFmtId="10" fontId="35" fillId="0" borderId="5" xfId="2" applyNumberFormat="1" applyFont="1" applyBorder="1" applyAlignment="1">
      <alignment horizontal="center" vertical="center" wrapText="1" shrinkToFit="1" readingOrder="2"/>
    </xf>
    <xf numFmtId="10" fontId="15" fillId="3" borderId="5" xfId="2" applyNumberFormat="1" applyFont="1" applyFill="1" applyBorder="1" applyAlignment="1">
      <alignment horizontal="center" vertical="center" wrapText="1" shrinkToFit="1"/>
    </xf>
    <xf numFmtId="9" fontId="6" fillId="2" borderId="8" xfId="2" applyFont="1" applyFill="1" applyBorder="1" applyAlignment="1">
      <alignment horizontal="center" vertical="center" wrapText="1" shrinkToFit="1"/>
    </xf>
    <xf numFmtId="196" fontId="6" fillId="2" borderId="8" xfId="0" applyNumberFormat="1" applyFont="1" applyFill="1" applyBorder="1" applyAlignment="1">
      <alignment horizontal="center" vertical="center" wrapText="1" shrinkToFit="1"/>
    </xf>
    <xf numFmtId="38" fontId="29" fillId="3" borderId="5" xfId="0" applyNumberFormat="1" applyFont="1" applyFill="1" applyBorder="1" applyAlignment="1">
      <alignment horizontal="center" vertical="center" wrapText="1" shrinkToFit="1"/>
    </xf>
    <xf numFmtId="3" fontId="14" fillId="0" borderId="5" xfId="2" applyNumberFormat="1" applyFont="1" applyFill="1" applyBorder="1" applyAlignment="1">
      <alignment horizontal="center" vertical="center" wrapText="1" shrinkToFit="1"/>
    </xf>
    <xf numFmtId="3" fontId="29" fillId="0" borderId="5" xfId="0" applyNumberFormat="1" applyFont="1" applyBorder="1" applyAlignment="1">
      <alignment horizontal="center" vertical="center" wrapText="1" shrinkToFit="1"/>
    </xf>
    <xf numFmtId="9" fontId="6" fillId="3" borderId="6" xfId="2" applyFont="1" applyFill="1" applyBorder="1" applyAlignment="1">
      <alignment horizontal="center" vertical="center" wrapText="1" shrinkToFit="1"/>
    </xf>
    <xf numFmtId="9" fontId="14" fillId="2" borderId="8" xfId="2" applyFont="1" applyFill="1" applyBorder="1" applyAlignment="1">
      <alignment horizontal="center" vertical="center" wrapText="1" shrinkToFit="1"/>
    </xf>
    <xf numFmtId="10" fontId="6" fillId="4" borderId="5" xfId="2" applyNumberFormat="1" applyFont="1" applyFill="1" applyBorder="1" applyAlignment="1">
      <alignment horizontal="center" vertical="center" wrapText="1" shrinkToFit="1"/>
    </xf>
    <xf numFmtId="10" fontId="14" fillId="4" borderId="5" xfId="2" applyNumberFormat="1" applyFont="1" applyFill="1" applyBorder="1" applyAlignment="1">
      <alignment horizontal="center" vertical="center" wrapText="1" shrinkToFit="1"/>
    </xf>
    <xf numFmtId="10" fontId="6" fillId="0" borderId="5" xfId="2" applyNumberFormat="1" applyFont="1" applyFill="1" applyBorder="1" applyAlignment="1">
      <alignment horizontal="center" vertical="center" wrapText="1" shrinkToFit="1"/>
    </xf>
    <xf numFmtId="186" fontId="29" fillId="0" borderId="5" xfId="2" applyNumberFormat="1" applyFont="1" applyFill="1" applyBorder="1" applyAlignment="1">
      <alignment horizontal="center" vertical="center" wrapText="1" shrinkToFit="1"/>
    </xf>
    <xf numFmtId="194" fontId="6" fillId="0" borderId="5" xfId="1" applyNumberFormat="1" applyFont="1" applyBorder="1" applyAlignment="1">
      <alignment horizontal="center" vertical="center" wrapText="1" shrinkToFit="1"/>
    </xf>
    <xf numFmtId="174" fontId="30" fillId="0" borderId="5" xfId="2" applyNumberFormat="1" applyFont="1" applyFill="1" applyBorder="1" applyAlignment="1">
      <alignment horizontal="center" vertical="center" wrapText="1" shrinkToFit="1"/>
    </xf>
    <xf numFmtId="9" fontId="3" fillId="0" borderId="5" xfId="2" applyFont="1" applyBorder="1" applyAlignment="1">
      <alignment horizontal="center" vertical="center" wrapText="1" shrinkToFit="1"/>
    </xf>
    <xf numFmtId="9" fontId="3" fillId="3" borderId="5" xfId="2" applyFont="1" applyFill="1" applyBorder="1" applyAlignment="1">
      <alignment horizontal="center" vertical="center" wrapText="1" shrinkToFit="1"/>
    </xf>
    <xf numFmtId="3" fontId="3" fillId="2" borderId="7" xfId="0" applyNumberFormat="1" applyFont="1" applyFill="1" applyBorder="1" applyAlignment="1">
      <alignment horizontal="center" vertical="center" wrapText="1" shrinkToFit="1"/>
    </xf>
    <xf numFmtId="10" fontId="17" fillId="0" borderId="5" xfId="2" applyNumberFormat="1" applyFont="1" applyBorder="1" applyAlignment="1">
      <alignment horizontal="center" vertical="center" wrapText="1" shrinkToFit="1"/>
    </xf>
    <xf numFmtId="10" fontId="17" fillId="3" borderId="5" xfId="2" applyNumberFormat="1" applyFont="1" applyFill="1" applyBorder="1" applyAlignment="1">
      <alignment horizontal="center" vertical="center" wrapText="1" shrinkToFit="1"/>
    </xf>
    <xf numFmtId="3" fontId="6" fillId="2" borderId="8" xfId="0" applyNumberFormat="1" applyFont="1" applyFill="1" applyBorder="1" applyAlignment="1">
      <alignment horizontal="center" vertical="center" wrapText="1" shrinkToFit="1"/>
    </xf>
    <xf numFmtId="3" fontId="29" fillId="3" borderId="5" xfId="0" applyNumberFormat="1" applyFont="1" applyFill="1" applyBorder="1" applyAlignment="1">
      <alignment horizontal="center" vertical="center" wrapText="1" shrinkToFit="1"/>
    </xf>
    <xf numFmtId="3" fontId="6" fillId="0" borderId="5" xfId="0" applyNumberFormat="1" applyFont="1" applyBorder="1" applyAlignment="1">
      <alignment horizontal="center" vertical="center" wrapText="1" shrinkToFit="1"/>
    </xf>
    <xf numFmtId="3" fontId="6" fillId="3" borderId="5" xfId="0" applyNumberFormat="1" applyFont="1" applyFill="1" applyBorder="1" applyAlignment="1">
      <alignment horizontal="center" vertical="center" wrapText="1" shrinkToFit="1"/>
    </xf>
    <xf numFmtId="3" fontId="6" fillId="0" borderId="5" xfId="2" applyNumberFormat="1" applyFont="1" applyBorder="1" applyAlignment="1">
      <alignment horizontal="center" vertical="center" wrapText="1" shrinkToFit="1"/>
    </xf>
    <xf numFmtId="3" fontId="6" fillId="3" borderId="5" xfId="2" applyNumberFormat="1" applyFont="1" applyFill="1" applyBorder="1" applyAlignment="1">
      <alignment horizontal="center" vertical="center" wrapText="1" shrinkToFit="1"/>
    </xf>
    <xf numFmtId="10" fontId="29" fillId="0" borderId="5" xfId="2" applyNumberFormat="1" applyFont="1" applyFill="1" applyBorder="1" applyAlignment="1">
      <alignment horizontal="center" vertical="center" wrapText="1" shrinkToFit="1"/>
    </xf>
    <xf numFmtId="10" fontId="29" fillId="3" borderId="5" xfId="2" applyNumberFormat="1" applyFont="1" applyFill="1" applyBorder="1" applyAlignment="1">
      <alignment horizontal="center" vertical="center" wrapText="1" shrinkToFit="1"/>
    </xf>
    <xf numFmtId="183" fontId="29" fillId="2" borderId="8" xfId="2" applyNumberFormat="1" applyFont="1" applyFill="1" applyBorder="1" applyAlignment="1">
      <alignment horizontal="center" vertical="center" wrapText="1" shrinkToFit="1"/>
    </xf>
    <xf numFmtId="3" fontId="6" fillId="3" borderId="4" xfId="0" applyNumberFormat="1" applyFont="1" applyFill="1" applyBorder="1" applyAlignment="1">
      <alignment horizontal="center" vertical="center" wrapText="1" shrinkToFit="1"/>
    </xf>
    <xf numFmtId="10" fontId="6" fillId="3" borderId="5" xfId="2" applyNumberFormat="1" applyFont="1" applyFill="1" applyBorder="1" applyAlignment="1">
      <alignment horizontal="center" vertical="center" wrapText="1" shrinkToFit="1"/>
    </xf>
    <xf numFmtId="10" fontId="3" fillId="3" borderId="6" xfId="2" applyNumberFormat="1" applyFont="1" applyFill="1" applyBorder="1" applyAlignment="1">
      <alignment horizontal="center" vertical="center" wrapText="1" shrinkToFit="1"/>
    </xf>
    <xf numFmtId="3" fontId="3" fillId="3" borderId="9" xfId="0" applyNumberFormat="1" applyFont="1" applyFill="1" applyBorder="1" applyAlignment="1">
      <alignment horizontal="center" vertical="center" wrapText="1" shrinkToFit="1"/>
    </xf>
    <xf numFmtId="167" fontId="3" fillId="0" borderId="0" xfId="0" applyNumberFormat="1" applyFont="1" applyAlignment="1">
      <alignment horizontal="center" vertical="center" wrapText="1" shrinkToFit="1"/>
    </xf>
    <xf numFmtId="3" fontId="25" fillId="0" borderId="0" xfId="0" applyNumberFormat="1" applyFont="1" applyAlignment="1">
      <alignment horizontal="center" vertical="center" wrapText="1" shrinkToFit="1"/>
    </xf>
    <xf numFmtId="10" fontId="30" fillId="2" borderId="8" xfId="2" applyNumberFormat="1" applyFont="1" applyFill="1" applyBorder="1" applyAlignment="1">
      <alignment horizontal="center" vertical="center" wrapText="1" shrinkToFit="1"/>
    </xf>
    <xf numFmtId="3" fontId="12" fillId="0" borderId="7" xfId="0" applyNumberFormat="1" applyFont="1" applyBorder="1" applyAlignment="1">
      <alignment horizontal="center" vertical="center" wrapText="1" shrinkToFit="1"/>
    </xf>
    <xf numFmtId="3" fontId="12" fillId="0" borderId="8" xfId="0" applyNumberFormat="1" applyFont="1" applyBorder="1" applyAlignment="1">
      <alignment horizontal="center" vertical="center" wrapText="1" shrinkToFit="1"/>
    </xf>
    <xf numFmtId="4" fontId="12" fillId="4" borderId="9" xfId="0" applyNumberFormat="1" applyFont="1" applyFill="1" applyBorder="1" applyAlignment="1">
      <alignment horizontal="center" vertical="center" wrapText="1" shrinkToFit="1"/>
    </xf>
    <xf numFmtId="3" fontId="34" fillId="0" borderId="5" xfId="0" applyNumberFormat="1" applyFont="1" applyBorder="1" applyAlignment="1">
      <alignment horizontal="center" vertical="center" wrapText="1" shrinkToFit="1"/>
    </xf>
    <xf numFmtId="10" fontId="36" fillId="0" borderId="5" xfId="0" applyNumberFormat="1" applyFont="1" applyBorder="1" applyAlignment="1">
      <alignment horizontal="center" vertical="center" wrapText="1" shrinkToFit="1"/>
    </xf>
    <xf numFmtId="10" fontId="36" fillId="3" borderId="5" xfId="2" applyNumberFormat="1" applyFont="1" applyFill="1" applyBorder="1" applyAlignment="1">
      <alignment horizontal="center" vertical="center" wrapText="1" shrinkToFit="1"/>
    </xf>
    <xf numFmtId="10" fontId="36" fillId="0" borderId="5" xfId="2" applyNumberFormat="1" applyFont="1" applyBorder="1" applyAlignment="1">
      <alignment horizontal="center" vertical="center" wrapText="1" shrinkToFit="1"/>
    </xf>
    <xf numFmtId="3" fontId="3" fillId="0" borderId="15" xfId="0" applyNumberFormat="1" applyFont="1" applyBorder="1" applyAlignment="1">
      <alignment horizontal="center" vertical="center" wrapText="1" shrinkToFit="1"/>
    </xf>
    <xf numFmtId="40" fontId="29" fillId="0" borderId="5" xfId="0" applyNumberFormat="1" applyFont="1" applyBorder="1" applyAlignment="1">
      <alignment horizontal="center" vertical="center" wrapText="1" shrinkToFit="1"/>
    </xf>
    <xf numFmtId="40" fontId="29" fillId="3" borderId="5" xfId="0" applyNumberFormat="1" applyFont="1" applyFill="1" applyBorder="1" applyAlignment="1">
      <alignment horizontal="center" vertical="center" wrapText="1" shrinkToFit="1"/>
    </xf>
    <xf numFmtId="3" fontId="34" fillId="3" borderId="5" xfId="2" applyNumberFormat="1" applyFont="1" applyFill="1" applyBorder="1" applyAlignment="1">
      <alignment horizontal="center" vertical="center" wrapText="1" shrinkToFit="1"/>
    </xf>
    <xf numFmtId="3" fontId="34" fillId="3" borderId="5" xfId="0" applyNumberFormat="1" applyFont="1" applyFill="1" applyBorder="1" applyAlignment="1">
      <alignment horizontal="center" vertical="center" wrapText="1" shrinkToFit="1"/>
    </xf>
    <xf numFmtId="198" fontId="3" fillId="0" borderId="0" xfId="2" applyNumberFormat="1" applyFont="1" applyAlignment="1">
      <alignment horizontal="center" vertical="center" wrapText="1" shrinkToFit="1"/>
    </xf>
    <xf numFmtId="4" fontId="12" fillId="2" borderId="6" xfId="0" applyNumberFormat="1" applyFont="1" applyFill="1" applyBorder="1" applyAlignment="1">
      <alignment horizontal="center" vertical="center" wrapText="1" shrinkToFit="1"/>
    </xf>
    <xf numFmtId="4" fontId="12" fillId="2" borderId="5" xfId="0" applyNumberFormat="1" applyFont="1" applyFill="1" applyBorder="1" applyAlignment="1">
      <alignment horizontal="center" vertical="center" wrapText="1" shrinkToFit="1"/>
    </xf>
    <xf numFmtId="3" fontId="6" fillId="4" borderId="4" xfId="0" applyNumberFormat="1" applyFont="1" applyFill="1" applyBorder="1" applyAlignment="1">
      <alignment horizontal="center" vertical="center" wrapText="1" shrinkToFit="1"/>
    </xf>
    <xf numFmtId="3" fontId="6" fillId="4" borderId="5" xfId="0" applyNumberFormat="1" applyFont="1" applyFill="1" applyBorder="1" applyAlignment="1">
      <alignment horizontal="center" vertical="center" wrapText="1" shrinkToFit="1"/>
    </xf>
    <xf numFmtId="3" fontId="6" fillId="4" borderId="6" xfId="0" applyNumberFormat="1" applyFont="1" applyFill="1" applyBorder="1" applyAlignment="1">
      <alignment horizontal="center" vertical="center" wrapText="1" shrinkToFit="1"/>
    </xf>
    <xf numFmtId="197" fontId="34" fillId="0" borderId="5" xfId="0" applyNumberFormat="1" applyFont="1" applyBorder="1" applyAlignment="1">
      <alignment horizontal="center" vertical="center" wrapText="1" shrinkToFit="1"/>
    </xf>
    <xf numFmtId="3" fontId="4" fillId="3" borderId="6" xfId="0" applyNumberFormat="1" applyFont="1" applyFill="1" applyBorder="1" applyAlignment="1">
      <alignment horizontal="center" vertical="center" wrapText="1" shrinkToFit="1"/>
    </xf>
    <xf numFmtId="3" fontId="12" fillId="0" borderId="0" xfId="2" applyNumberFormat="1" applyFont="1" applyFill="1" applyBorder="1" applyAlignment="1">
      <alignment horizontal="center" vertical="center" wrapText="1" shrinkToFit="1"/>
    </xf>
    <xf numFmtId="3" fontId="14" fillId="0" borderId="0" xfId="0" applyNumberFormat="1" applyFont="1" applyAlignment="1">
      <alignment horizontal="center" vertical="center" wrapText="1" shrinkToFit="1"/>
    </xf>
    <xf numFmtId="3" fontId="12" fillId="0" borderId="0" xfId="0" applyNumberFormat="1" applyFont="1" applyAlignment="1">
      <alignment horizontal="center" vertical="center" wrapText="1" shrinkToFit="1"/>
    </xf>
    <xf numFmtId="3" fontId="24" fillId="0" borderId="0" xfId="0" applyNumberFormat="1" applyFont="1" applyAlignment="1">
      <alignment vertical="center" wrapText="1" shrinkToFit="1"/>
    </xf>
    <xf numFmtId="3" fontId="24" fillId="0" borderId="0" xfId="0" applyNumberFormat="1" applyFont="1" applyAlignment="1">
      <alignment horizontal="center" vertical="center" wrapText="1" shrinkToFit="1"/>
    </xf>
    <xf numFmtId="3" fontId="24" fillId="0" borderId="0" xfId="0" applyNumberFormat="1" applyFont="1" applyAlignment="1">
      <alignment horizontal="center" vertical="center" shrinkToFit="1" readingOrder="2"/>
    </xf>
    <xf numFmtId="3" fontId="15" fillId="0" borderId="0" xfId="0" applyNumberFormat="1" applyFont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24" fillId="0" borderId="0" xfId="2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12" fillId="0" borderId="0" xfId="1" applyNumberFormat="1" applyFont="1" applyFill="1" applyAlignment="1">
      <alignment horizontal="center" vertical="center" wrapText="1" shrinkToFit="1"/>
    </xf>
    <xf numFmtId="3" fontId="15" fillId="0" borderId="0" xfId="2" applyNumberFormat="1" applyFont="1" applyFill="1" applyAlignment="1">
      <alignment horizontal="center" vertical="center" wrapText="1" shrinkToFit="1"/>
    </xf>
    <xf numFmtId="3" fontId="15" fillId="0" borderId="0" xfId="1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5" fillId="0" borderId="0" xfId="2" applyNumberFormat="1" applyFont="1" applyFill="1" applyBorder="1" applyAlignment="1">
      <alignment horizontal="center" vertical="center" wrapText="1" shrinkToFit="1"/>
    </xf>
    <xf numFmtId="3" fontId="39" fillId="2" borderId="8" xfId="0" applyNumberFormat="1" applyFont="1" applyFill="1" applyBorder="1" applyAlignment="1">
      <alignment horizontal="center" vertical="center"/>
    </xf>
    <xf numFmtId="0" fontId="39" fillId="2" borderId="7" xfId="0" applyFont="1" applyFill="1" applyBorder="1" applyAlignment="1">
      <alignment horizontal="center" vertical="center"/>
    </xf>
    <xf numFmtId="3" fontId="12" fillId="0" borderId="35" xfId="0" applyNumberFormat="1" applyFont="1" applyBorder="1" applyAlignment="1">
      <alignment horizontal="center" vertical="center" wrapText="1" shrinkToFit="1"/>
    </xf>
    <xf numFmtId="3" fontId="12" fillId="0" borderId="23" xfId="0" applyNumberFormat="1" applyFont="1" applyBorder="1" applyAlignment="1">
      <alignment horizontal="center" vertical="center" wrapText="1" shrinkToFit="1"/>
    </xf>
    <xf numFmtId="3" fontId="12" fillId="0" borderId="47" xfId="0" applyNumberFormat="1" applyFont="1" applyBorder="1" applyAlignment="1">
      <alignment horizontal="center" vertical="center" wrapText="1" shrinkToFit="1"/>
    </xf>
    <xf numFmtId="0" fontId="40" fillId="0" borderId="7" xfId="0" applyFont="1" applyBorder="1" applyAlignment="1">
      <alignment horizontal="center" vertical="center"/>
    </xf>
    <xf numFmtId="14" fontId="40" fillId="0" borderId="9" xfId="0" applyNumberFormat="1" applyFont="1" applyBorder="1" applyAlignment="1">
      <alignment horizontal="center" vertical="center"/>
    </xf>
    <xf numFmtId="3" fontId="6" fillId="2" borderId="4" xfId="0" applyNumberFormat="1" applyFont="1" applyFill="1" applyBorder="1" applyAlignment="1">
      <alignment horizontal="center" vertical="center" wrapText="1" shrinkToFit="1"/>
    </xf>
    <xf numFmtId="3" fontId="14" fillId="2" borderId="5" xfId="0" applyNumberFormat="1" applyFont="1" applyFill="1" applyBorder="1" applyAlignment="1">
      <alignment horizontal="center" vertical="center" wrapText="1" shrinkToFit="1"/>
    </xf>
    <xf numFmtId="3" fontId="14" fillId="3" borderId="7" xfId="0" applyNumberFormat="1" applyFont="1" applyFill="1" applyBorder="1" applyAlignment="1">
      <alignment horizontal="center" vertical="center" wrapText="1" shrinkToFit="1"/>
    </xf>
    <xf numFmtId="4" fontId="12" fillId="0" borderId="0" xfId="0" applyNumberFormat="1" applyFont="1" applyAlignment="1">
      <alignment horizontal="center" vertical="center" wrapText="1" shrinkToFit="1"/>
    </xf>
    <xf numFmtId="4" fontId="6" fillId="3" borderId="5" xfId="0" applyNumberFormat="1" applyFont="1" applyFill="1" applyBorder="1" applyAlignment="1">
      <alignment horizontal="center" vertical="center" wrapText="1" shrinkToFit="1"/>
    </xf>
    <xf numFmtId="195" fontId="6" fillId="3" borderId="5" xfId="2" applyNumberFormat="1" applyFont="1" applyFill="1" applyBorder="1" applyAlignment="1">
      <alignment horizontal="center" vertical="center" wrapText="1" shrinkToFit="1"/>
    </xf>
    <xf numFmtId="0" fontId="3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8" fillId="0" borderId="0" xfId="0" applyFont="1" applyAlignment="1">
      <alignment vertical="center" wrapText="1"/>
    </xf>
    <xf numFmtId="167" fontId="12" fillId="0" borderId="19" xfId="0" applyNumberFormat="1" applyFont="1" applyBorder="1" applyAlignment="1">
      <alignment horizontal="center" vertical="center" wrapText="1" shrinkToFit="1"/>
    </xf>
    <xf numFmtId="10" fontId="3" fillId="6" borderId="16" xfId="2" applyNumberFormat="1" applyFont="1" applyFill="1" applyBorder="1" applyAlignment="1">
      <alignment horizontal="center" vertical="center" wrapText="1" shrinkToFit="1"/>
    </xf>
    <xf numFmtId="167" fontId="12" fillId="0" borderId="16" xfId="0" applyNumberFormat="1" applyFont="1" applyBorder="1" applyAlignment="1">
      <alignment horizontal="center" vertical="center" wrapText="1" shrinkToFit="1"/>
    </xf>
    <xf numFmtId="10" fontId="26" fillId="0" borderId="16" xfId="2" applyNumberFormat="1" applyFont="1" applyFill="1" applyBorder="1" applyAlignment="1">
      <alignment horizontal="center" vertical="center" wrapText="1" shrinkToFit="1"/>
    </xf>
    <xf numFmtId="167" fontId="26" fillId="0" borderId="16" xfId="0" applyNumberFormat="1" applyFont="1" applyBorder="1" applyAlignment="1">
      <alignment horizontal="center" vertical="center" wrapText="1" shrinkToFit="1"/>
    </xf>
    <xf numFmtId="3" fontId="26" fillId="0" borderId="16" xfId="0" applyNumberFormat="1" applyFont="1" applyBorder="1" applyAlignment="1">
      <alignment horizontal="center" vertical="center" wrapText="1" shrinkToFit="1"/>
    </xf>
    <xf numFmtId="3" fontId="33" fillId="0" borderId="16" xfId="0" applyNumberFormat="1" applyFont="1" applyBorder="1" applyAlignment="1">
      <alignment horizontal="center" vertical="center" wrapText="1" shrinkToFit="1"/>
    </xf>
    <xf numFmtId="4" fontId="26" fillId="0" borderId="20" xfId="0" applyNumberFormat="1" applyFont="1" applyBorder="1" applyAlignment="1">
      <alignment horizontal="center" vertical="center" wrapText="1" shrinkToFit="1"/>
    </xf>
    <xf numFmtId="167" fontId="12" fillId="0" borderId="21" xfId="0" applyNumberFormat="1" applyFont="1" applyBorder="1" applyAlignment="1">
      <alignment horizontal="center" vertical="center" wrapText="1" shrinkToFit="1"/>
    </xf>
    <xf numFmtId="10" fontId="12" fillId="0" borderId="18" xfId="0" applyNumberFormat="1" applyFont="1" applyBorder="1" applyAlignment="1">
      <alignment horizontal="center" vertical="center" wrapText="1" shrinkToFit="1"/>
    </xf>
    <xf numFmtId="167" fontId="12" fillId="0" borderId="18" xfId="0" applyNumberFormat="1" applyFont="1" applyBorder="1" applyAlignment="1">
      <alignment horizontal="center" vertical="center" wrapText="1" shrinkToFit="1"/>
    </xf>
    <xf numFmtId="167" fontId="26" fillId="0" borderId="18" xfId="0" applyNumberFormat="1" applyFont="1" applyBorder="1" applyAlignment="1">
      <alignment horizontal="center" vertical="center" wrapText="1" shrinkToFit="1"/>
    </xf>
    <xf numFmtId="3" fontId="33" fillId="0" borderId="18" xfId="0" applyNumberFormat="1" applyFont="1" applyBorder="1" applyAlignment="1">
      <alignment horizontal="center" vertical="center" wrapText="1" shrinkToFit="1"/>
    </xf>
    <xf numFmtId="3" fontId="26" fillId="0" borderId="18" xfId="0" applyNumberFormat="1" applyFont="1" applyBorder="1" applyAlignment="1">
      <alignment horizontal="center" vertical="center" wrapText="1" shrinkToFit="1"/>
    </xf>
    <xf numFmtId="4" fontId="26" fillId="4" borderId="22" xfId="0" applyNumberFormat="1" applyFont="1" applyFill="1" applyBorder="1" applyAlignment="1">
      <alignment horizontal="center" vertical="center" wrapText="1" shrinkToFit="1"/>
    </xf>
    <xf numFmtId="167" fontId="12" fillId="3" borderId="11" xfId="0" applyNumberFormat="1" applyFont="1" applyFill="1" applyBorder="1" applyAlignment="1">
      <alignment horizontal="center" vertical="center" wrapText="1" shrinkToFit="1"/>
    </xf>
    <xf numFmtId="10" fontId="15" fillId="3" borderId="12" xfId="0" applyNumberFormat="1" applyFont="1" applyFill="1" applyBorder="1" applyAlignment="1">
      <alignment horizontal="center" vertical="center" wrapText="1" shrinkToFit="1"/>
    </xf>
    <xf numFmtId="167" fontId="15" fillId="3" borderId="12" xfId="0" applyNumberFormat="1" applyFont="1" applyFill="1" applyBorder="1" applyAlignment="1">
      <alignment horizontal="center" vertical="center" wrapText="1" shrinkToFit="1"/>
    </xf>
    <xf numFmtId="3" fontId="15" fillId="3" borderId="12" xfId="0" applyNumberFormat="1" applyFont="1" applyFill="1" applyBorder="1" applyAlignment="1">
      <alignment horizontal="center" vertical="center" wrapText="1" shrinkToFit="1"/>
    </xf>
    <xf numFmtId="4" fontId="15" fillId="3" borderId="13" xfId="0" applyNumberFormat="1" applyFont="1" applyFill="1" applyBorder="1" applyAlignment="1">
      <alignment horizontal="center" vertical="center" wrapText="1" shrinkToFit="1"/>
    </xf>
    <xf numFmtId="0" fontId="41" fillId="2" borderId="1" xfId="0" applyFont="1" applyFill="1" applyBorder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0" fontId="41" fillId="2" borderId="3" xfId="0" applyFont="1" applyFill="1" applyBorder="1" applyAlignment="1">
      <alignment horizontal="center" vertical="center"/>
    </xf>
    <xf numFmtId="10" fontId="14" fillId="0" borderId="0" xfId="2" applyNumberFormat="1" applyFont="1" applyFill="1" applyAlignment="1">
      <alignment horizontal="center" vertical="center" wrapText="1" shrinkToFit="1"/>
    </xf>
    <xf numFmtId="9" fontId="6" fillId="0" borderId="5" xfId="2" applyFont="1" applyBorder="1" applyAlignment="1">
      <alignment horizontal="center" vertical="center" wrapText="1" shrinkToFit="1"/>
    </xf>
    <xf numFmtId="9" fontId="6" fillId="4" borderId="5" xfId="2" applyFont="1" applyFill="1" applyBorder="1" applyAlignment="1">
      <alignment horizontal="center" vertical="center" wrapText="1" shrinkToFit="1"/>
    </xf>
    <xf numFmtId="9" fontId="14" fillId="2" borderId="5" xfId="2" applyFont="1" applyFill="1" applyBorder="1" applyAlignment="1">
      <alignment horizontal="center" vertical="center" wrapText="1" shrinkToFit="1"/>
    </xf>
    <xf numFmtId="9" fontId="39" fillId="2" borderId="8" xfId="2" applyFont="1" applyFill="1" applyBorder="1" applyAlignment="1">
      <alignment horizontal="center" vertical="center"/>
    </xf>
    <xf numFmtId="9" fontId="14" fillId="4" borderId="5" xfId="2" applyFont="1" applyFill="1" applyBorder="1" applyAlignment="1">
      <alignment horizontal="center" vertical="center" wrapText="1" shrinkToFit="1"/>
    </xf>
    <xf numFmtId="10" fontId="3" fillId="4" borderId="4" xfId="0" applyNumberFormat="1" applyFont="1" applyFill="1" applyBorder="1" applyAlignment="1">
      <alignment horizontal="center" vertical="center" wrapText="1" shrinkToFit="1"/>
    </xf>
    <xf numFmtId="172" fontId="12" fillId="4" borderId="6" xfId="2" applyNumberFormat="1" applyFont="1" applyFill="1" applyBorder="1" applyAlignment="1">
      <alignment horizontal="center" vertical="center" wrapText="1" shrinkToFit="1"/>
    </xf>
    <xf numFmtId="9" fontId="12" fillId="0" borderId="0" xfId="2" applyFont="1" applyAlignment="1">
      <alignment horizontal="center" vertical="center" wrapText="1" shrinkToFit="1"/>
    </xf>
    <xf numFmtId="43" fontId="12" fillId="0" borderId="0" xfId="1" applyFont="1" applyAlignment="1">
      <alignment horizontal="center" vertical="center" wrapText="1" shrinkToFit="1"/>
    </xf>
    <xf numFmtId="9" fontId="12" fillId="0" borderId="0" xfId="1" applyNumberFormat="1" applyFont="1" applyAlignment="1">
      <alignment horizontal="center" vertical="center" wrapText="1" shrinkToFit="1"/>
    </xf>
    <xf numFmtId="0" fontId="41" fillId="2" borderId="50" xfId="0" applyFont="1" applyFill="1" applyBorder="1" applyAlignment="1">
      <alignment horizontal="center" vertical="center"/>
    </xf>
    <xf numFmtId="3" fontId="6" fillId="0" borderId="24" xfId="0" applyNumberFormat="1" applyFont="1" applyBorder="1" applyAlignment="1">
      <alignment horizontal="center" vertical="center" wrapText="1" shrinkToFit="1"/>
    </xf>
    <xf numFmtId="3" fontId="14" fillId="3" borderId="24" xfId="0" applyNumberFormat="1" applyFont="1" applyFill="1" applyBorder="1" applyAlignment="1">
      <alignment horizontal="center" vertical="center" wrapText="1" shrinkToFit="1"/>
    </xf>
    <xf numFmtId="3" fontId="14" fillId="2" borderId="24" xfId="0" applyNumberFormat="1" applyFont="1" applyFill="1" applyBorder="1" applyAlignment="1">
      <alignment horizontal="center" vertical="center" wrapText="1" shrinkToFit="1"/>
    </xf>
    <xf numFmtId="3" fontId="39" fillId="2" borderId="37" xfId="0" applyNumberFormat="1" applyFont="1" applyFill="1" applyBorder="1" applyAlignment="1">
      <alignment horizontal="center" vertical="center"/>
    </xf>
    <xf numFmtId="0" fontId="41" fillId="2" borderId="49" xfId="0" applyFont="1" applyFill="1" applyBorder="1" applyAlignment="1">
      <alignment horizontal="center" vertical="center"/>
    </xf>
    <xf numFmtId="3" fontId="6" fillId="0" borderId="51" xfId="0" applyNumberFormat="1" applyFont="1" applyBorder="1" applyAlignment="1">
      <alignment horizontal="center" vertical="center" wrapText="1" shrinkToFit="1"/>
    </xf>
    <xf numFmtId="3" fontId="14" fillId="3" borderId="51" xfId="0" applyNumberFormat="1" applyFont="1" applyFill="1" applyBorder="1" applyAlignment="1">
      <alignment horizontal="center" vertical="center" wrapText="1" shrinkToFit="1"/>
    </xf>
    <xf numFmtId="3" fontId="14" fillId="2" borderId="51" xfId="0" applyNumberFormat="1" applyFont="1" applyFill="1" applyBorder="1" applyAlignment="1">
      <alignment horizontal="center" vertical="center" wrapText="1" shrinkToFit="1"/>
    </xf>
    <xf numFmtId="0" fontId="39" fillId="2" borderId="52" xfId="0" applyFont="1" applyFill="1" applyBorder="1" applyAlignment="1">
      <alignment horizontal="center" vertical="center"/>
    </xf>
    <xf numFmtId="3" fontId="12" fillId="0" borderId="53" xfId="0" applyNumberFormat="1" applyFont="1" applyBorder="1" applyAlignment="1">
      <alignment horizontal="center" vertical="center" wrapText="1" shrinkToFit="1"/>
    </xf>
    <xf numFmtId="0" fontId="41" fillId="2" borderId="14" xfId="0" applyFont="1" applyFill="1" applyBorder="1" applyAlignment="1">
      <alignment horizontal="center" vertical="center"/>
    </xf>
    <xf numFmtId="3" fontId="6" fillId="0" borderId="17" xfId="0" applyNumberFormat="1" applyFont="1" applyBorder="1" applyAlignment="1">
      <alignment horizontal="center" vertical="center" wrapText="1" shrinkToFit="1"/>
    </xf>
    <xf numFmtId="3" fontId="14" fillId="3" borderId="17" xfId="0" applyNumberFormat="1" applyFont="1" applyFill="1" applyBorder="1" applyAlignment="1">
      <alignment horizontal="center" vertical="center" wrapText="1" shrinkToFit="1"/>
    </xf>
    <xf numFmtId="3" fontId="14" fillId="2" borderId="17" xfId="0" applyNumberFormat="1" applyFont="1" applyFill="1" applyBorder="1" applyAlignment="1">
      <alignment horizontal="center" vertical="center" wrapText="1" shrinkToFit="1"/>
    </xf>
    <xf numFmtId="3" fontId="39" fillId="2" borderId="15" xfId="0" applyNumberFormat="1" applyFont="1" applyFill="1" applyBorder="1" applyAlignment="1">
      <alignment horizontal="center" vertical="center"/>
    </xf>
    <xf numFmtId="3" fontId="34" fillId="3" borderId="6" xfId="0" applyNumberFormat="1" applyFont="1" applyFill="1" applyBorder="1" applyAlignment="1">
      <alignment horizontal="center" vertical="center" wrapText="1" shrinkToFit="1"/>
    </xf>
    <xf numFmtId="3" fontId="34" fillId="0" borderId="6" xfId="0" applyNumberFormat="1" applyFont="1" applyBorder="1" applyAlignment="1">
      <alignment horizontal="center" vertical="center" wrapText="1" shrinkToFit="1"/>
    </xf>
    <xf numFmtId="167" fontId="25" fillId="4" borderId="5" xfId="0" applyNumberFormat="1" applyFont="1" applyFill="1" applyBorder="1" applyAlignment="1">
      <alignment horizontal="center" vertical="center" wrapText="1" shrinkToFit="1"/>
    </xf>
    <xf numFmtId="9" fontId="29" fillId="3" borderId="9" xfId="2" applyFont="1" applyFill="1" applyBorder="1" applyAlignment="1">
      <alignment horizontal="center" vertical="center" wrapText="1" shrinkToFit="1"/>
    </xf>
    <xf numFmtId="3" fontId="29" fillId="0" borderId="6" xfId="0" applyNumberFormat="1" applyFont="1" applyBorder="1" applyAlignment="1">
      <alignment horizontal="center" vertical="center" wrapText="1" shrinkToFit="1"/>
    </xf>
    <xf numFmtId="0" fontId="42" fillId="0" borderId="1" xfId="0" applyFont="1" applyBorder="1" applyAlignment="1">
      <alignment horizontal="center" vertical="center"/>
    </xf>
    <xf numFmtId="3" fontId="42" fillId="0" borderId="3" xfId="0" applyNumberFormat="1" applyFont="1" applyBorder="1" applyAlignment="1">
      <alignment horizontal="center" vertical="center"/>
    </xf>
    <xf numFmtId="191" fontId="12" fillId="0" borderId="0" xfId="2" applyNumberFormat="1" applyFont="1" applyAlignment="1">
      <alignment horizontal="center" vertical="center" wrapText="1" shrinkToFit="1"/>
    </xf>
    <xf numFmtId="3" fontId="12" fillId="0" borderId="0" xfId="0" applyNumberFormat="1" applyFont="1" applyAlignment="1">
      <alignment vertical="center" wrapText="1" shrinkToFit="1"/>
    </xf>
    <xf numFmtId="9" fontId="14" fillId="0" borderId="0" xfId="2" applyFont="1" applyFill="1" applyAlignment="1">
      <alignment horizontal="center" vertical="center" wrapText="1" shrinkToFit="1"/>
    </xf>
    <xf numFmtId="9" fontId="14" fillId="0" borderId="0" xfId="2" applyFont="1" applyAlignment="1">
      <alignment horizontal="center" vertical="center" wrapText="1" shrinkToFit="1"/>
    </xf>
    <xf numFmtId="172" fontId="12" fillId="0" borderId="47" xfId="2" applyNumberFormat="1" applyFont="1" applyFill="1" applyBorder="1" applyAlignment="1">
      <alignment vertical="center" wrapText="1" shrinkToFit="1"/>
    </xf>
    <xf numFmtId="172" fontId="12" fillId="0" borderId="47" xfId="2" applyNumberFormat="1" applyFont="1" applyBorder="1" applyAlignment="1">
      <alignment vertical="center" wrapText="1" shrinkToFit="1"/>
    </xf>
    <xf numFmtId="199" fontId="12" fillId="0" borderId="0" xfId="0" applyNumberFormat="1" applyFont="1" applyAlignment="1">
      <alignment horizontal="center" vertical="center" wrapText="1" shrinkToFit="1"/>
    </xf>
    <xf numFmtId="172" fontId="12" fillId="0" borderId="0" xfId="2" applyNumberFormat="1" applyFont="1" applyAlignment="1">
      <alignment horizontal="center" vertical="center" wrapText="1" shrinkToFit="1"/>
    </xf>
    <xf numFmtId="10" fontId="3" fillId="3" borderId="41" xfId="0" applyNumberFormat="1" applyFont="1" applyFill="1" applyBorder="1" applyAlignment="1">
      <alignment horizontal="center" vertical="center" wrapText="1" shrinkToFit="1"/>
    </xf>
    <xf numFmtId="10" fontId="3" fillId="0" borderId="41" xfId="2" applyNumberFormat="1" applyFont="1" applyFill="1" applyBorder="1" applyAlignment="1">
      <alignment horizontal="center" vertical="center" wrapText="1" shrinkToFit="1"/>
    </xf>
    <xf numFmtId="3" fontId="12" fillId="7" borderId="0" xfId="0" applyNumberFormat="1" applyFont="1" applyFill="1" applyAlignment="1">
      <alignment horizontal="center" vertical="center" wrapText="1" shrinkToFit="1"/>
    </xf>
    <xf numFmtId="200" fontId="12" fillId="0" borderId="0" xfId="0" applyNumberFormat="1" applyFont="1" applyAlignment="1">
      <alignment horizontal="center" vertical="center" wrapText="1" shrinkToFit="1"/>
    </xf>
    <xf numFmtId="38" fontId="14" fillId="0" borderId="0" xfId="0" applyNumberFormat="1" applyFont="1" applyAlignment="1">
      <alignment horizontal="center" vertical="center" wrapText="1" shrinkToFit="1"/>
    </xf>
    <xf numFmtId="10" fontId="14" fillId="0" borderId="0" xfId="2" applyNumberFormat="1" applyFont="1" applyAlignment="1">
      <alignment horizontal="center" vertical="center" wrapText="1" shrinkToFit="1"/>
    </xf>
    <xf numFmtId="201" fontId="12" fillId="0" borderId="0" xfId="0" applyNumberFormat="1" applyFont="1" applyAlignment="1">
      <alignment horizontal="center" vertical="center" wrapText="1" shrinkToFit="1"/>
    </xf>
    <xf numFmtId="10" fontId="6" fillId="3" borderId="24" xfId="2" applyNumberFormat="1" applyFont="1" applyFill="1" applyBorder="1" applyAlignment="1">
      <alignment vertical="center" wrapText="1" shrinkToFit="1"/>
    </xf>
    <xf numFmtId="10" fontId="6" fillId="3" borderId="41" xfId="2" applyNumberFormat="1" applyFont="1" applyFill="1" applyBorder="1" applyAlignment="1">
      <alignment vertical="center" wrapText="1" shrinkToFit="1"/>
    </xf>
    <xf numFmtId="10" fontId="14" fillId="4" borderId="10" xfId="0" applyNumberFormat="1" applyFont="1" applyFill="1" applyBorder="1" applyAlignment="1">
      <alignment horizontal="center" vertical="center" wrapText="1" shrinkToFit="1"/>
    </xf>
    <xf numFmtId="3" fontId="46" fillId="0" borderId="0" xfId="3" applyNumberFormat="1" applyAlignment="1">
      <alignment horizontal="center" vertical="center" wrapText="1" shrinkToFit="1"/>
    </xf>
    <xf numFmtId="172" fontId="28" fillId="3" borderId="6" xfId="2" applyNumberFormat="1" applyFont="1" applyFill="1" applyBorder="1" applyAlignment="1">
      <alignment horizontal="center" vertical="center" wrapText="1" shrinkToFit="1"/>
    </xf>
    <xf numFmtId="172" fontId="28" fillId="0" borderId="6" xfId="2" applyNumberFormat="1" applyFont="1" applyFill="1" applyBorder="1" applyAlignment="1">
      <alignment horizontal="center" vertical="center" wrapText="1" shrinkToFit="1"/>
    </xf>
    <xf numFmtId="9" fontId="28" fillId="0" borderId="6" xfId="2" applyFont="1" applyFill="1" applyBorder="1" applyAlignment="1">
      <alignment horizontal="center" vertical="center" wrapText="1" shrinkToFit="1"/>
    </xf>
    <xf numFmtId="9" fontId="28" fillId="3" borderId="6" xfId="2" applyFont="1" applyFill="1" applyBorder="1" applyAlignment="1">
      <alignment horizontal="center" vertical="center" wrapText="1" shrinkToFit="1"/>
    </xf>
    <xf numFmtId="3" fontId="47" fillId="3" borderId="4" xfId="0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9" fontId="47" fillId="3" borderId="6" xfId="2" applyFont="1" applyFill="1" applyBorder="1" applyAlignment="1">
      <alignment horizontal="center" vertical="center" wrapText="1" shrinkToFit="1"/>
    </xf>
    <xf numFmtId="3" fontId="48" fillId="0" borderId="4" xfId="0" applyNumberFormat="1" applyFont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9" fontId="47" fillId="0" borderId="6" xfId="2" applyFont="1" applyFill="1" applyBorder="1" applyAlignment="1">
      <alignment horizontal="center" vertical="center" wrapText="1" shrinkToFit="1"/>
    </xf>
    <xf numFmtId="3" fontId="49" fillId="0" borderId="4" xfId="0" applyNumberFormat="1" applyFont="1" applyBorder="1" applyAlignment="1">
      <alignment horizontal="center" vertical="center" wrapText="1" shrinkToFit="1"/>
    </xf>
    <xf numFmtId="3" fontId="49" fillId="0" borderId="5" xfId="0" applyNumberFormat="1" applyFont="1" applyBorder="1" applyAlignment="1">
      <alignment horizontal="center" vertical="center" wrapText="1" shrinkToFit="1"/>
    </xf>
    <xf numFmtId="9" fontId="49" fillId="0" borderId="6" xfId="2" applyFont="1" applyFill="1" applyBorder="1" applyAlignment="1">
      <alignment horizontal="center" vertical="center" wrapText="1" shrinkToFit="1"/>
    </xf>
    <xf numFmtId="3" fontId="49" fillId="3" borderId="4" xfId="0" applyNumberFormat="1" applyFont="1" applyFill="1" applyBorder="1" applyAlignment="1">
      <alignment horizontal="center" vertical="center" wrapText="1" shrinkToFit="1"/>
    </xf>
    <xf numFmtId="3" fontId="49" fillId="3" borderId="5" xfId="0" applyNumberFormat="1" applyFont="1" applyFill="1" applyBorder="1" applyAlignment="1">
      <alignment horizontal="center" vertical="center" wrapText="1" shrinkToFit="1"/>
    </xf>
    <xf numFmtId="9" fontId="49" fillId="3" borderId="6" xfId="2" applyFont="1" applyFill="1" applyBorder="1" applyAlignment="1">
      <alignment horizontal="center" vertical="center" wrapText="1" shrinkToFit="1"/>
    </xf>
    <xf numFmtId="9" fontId="49" fillId="0" borderId="6" xfId="2" applyFont="1" applyBorder="1" applyAlignment="1">
      <alignment horizontal="center" vertical="center" wrapText="1" shrinkToFit="1"/>
    </xf>
    <xf numFmtId="3" fontId="7" fillId="0" borderId="0" xfId="0" applyNumberFormat="1" applyFont="1" applyAlignment="1">
      <alignment vertical="center" wrapText="1" shrinkToFit="1"/>
    </xf>
    <xf numFmtId="3" fontId="8" fillId="0" borderId="0" xfId="0" applyNumberFormat="1" applyFont="1" applyAlignment="1">
      <alignment horizontal="center" vertical="center" wrapText="1" shrinkToFit="1"/>
    </xf>
    <xf numFmtId="3" fontId="8" fillId="0" borderId="0" xfId="0" applyNumberFormat="1" applyFont="1" applyAlignment="1">
      <alignment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9" fontId="3" fillId="0" borderId="0" xfId="2" applyFont="1" applyFill="1" applyBorder="1" applyAlignment="1">
      <alignment horizontal="center" vertical="center" wrapText="1" shrinkToFit="1"/>
    </xf>
    <xf numFmtId="3" fontId="28" fillId="0" borderId="0" xfId="0" applyNumberFormat="1" applyFont="1" applyAlignment="1">
      <alignment horizontal="center" vertical="center" wrapText="1" shrinkToFit="1"/>
    </xf>
    <xf numFmtId="3" fontId="3" fillId="0" borderId="0" xfId="0" applyNumberFormat="1" applyFont="1" applyAlignment="1">
      <alignment vertical="center" wrapText="1" shrinkToFit="1"/>
    </xf>
    <xf numFmtId="9" fontId="3" fillId="0" borderId="0" xfId="2" applyFont="1" applyFill="1" applyBorder="1" applyAlignment="1">
      <alignment vertical="center" wrapText="1" shrinkToFit="1"/>
    </xf>
    <xf numFmtId="166" fontId="3" fillId="0" borderId="0" xfId="0" applyNumberFormat="1" applyFont="1" applyAlignment="1">
      <alignment horizontal="center" vertical="center" shrinkToFit="1"/>
    </xf>
    <xf numFmtId="9" fontId="28" fillId="0" borderId="0" xfId="2" applyFont="1" applyFill="1" applyBorder="1" applyAlignment="1">
      <alignment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172" fontId="28" fillId="0" borderId="0" xfId="2" applyNumberFormat="1" applyFont="1" applyFill="1" applyBorder="1" applyAlignment="1">
      <alignment vertical="center" wrapText="1" shrinkToFit="1"/>
    </xf>
    <xf numFmtId="10" fontId="25" fillId="0" borderId="0" xfId="2" applyNumberFormat="1" applyFont="1" applyFill="1" applyBorder="1" applyAlignment="1">
      <alignment horizontal="center" vertical="center" wrapText="1" shrinkToFit="1"/>
    </xf>
    <xf numFmtId="10" fontId="12" fillId="0" borderId="0" xfId="2" applyNumberFormat="1" applyFont="1" applyAlignment="1">
      <alignment horizontal="center" vertical="center" wrapText="1" shrinkToFit="1"/>
    </xf>
    <xf numFmtId="38" fontId="12" fillId="0" borderId="0" xfId="0" applyNumberFormat="1" applyFont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" fontId="7" fillId="2" borderId="2" xfId="0" applyNumberFormat="1" applyFont="1" applyFill="1" applyBorder="1" applyAlignment="1">
      <alignment horizontal="center" vertical="center" wrapText="1" shrinkToFit="1"/>
    </xf>
    <xf numFmtId="3" fontId="7" fillId="2" borderId="3" xfId="0" applyNumberFormat="1" applyFont="1" applyFill="1" applyBorder="1" applyAlignment="1">
      <alignment horizontal="center" vertical="center" wrapText="1" shrinkToFit="1"/>
    </xf>
    <xf numFmtId="3" fontId="12" fillId="2" borderId="57" xfId="0" applyNumberFormat="1" applyFont="1" applyFill="1" applyBorder="1" applyAlignment="1">
      <alignment horizontal="center" vertical="center" wrapText="1" shrinkToFit="1"/>
    </xf>
    <xf numFmtId="3" fontId="12" fillId="2" borderId="58" xfId="0" applyNumberFormat="1" applyFont="1" applyFill="1" applyBorder="1" applyAlignment="1">
      <alignment horizontal="center" vertical="center" wrapText="1" shrinkToFit="1"/>
    </xf>
    <xf numFmtId="3" fontId="12" fillId="2" borderId="59" xfId="0" applyNumberFormat="1" applyFont="1" applyFill="1" applyBorder="1" applyAlignment="1">
      <alignment horizontal="center" vertical="center" wrapText="1" shrinkToFit="1"/>
    </xf>
    <xf numFmtId="3" fontId="43" fillId="2" borderId="0" xfId="0" applyNumberFormat="1" applyFont="1" applyFill="1" applyAlignment="1">
      <alignment horizontal="center" vertical="center" wrapText="1" shrinkToFit="1"/>
    </xf>
    <xf numFmtId="3" fontId="3" fillId="0" borderId="4" xfId="0" applyNumberFormat="1" applyFont="1" applyBorder="1" applyAlignment="1">
      <alignment horizontal="center" vertical="center" wrapText="1" shrinkToFit="1"/>
    </xf>
    <xf numFmtId="3" fontId="3" fillId="3" borderId="4" xfId="0" applyNumberFormat="1" applyFont="1" applyFill="1" applyBorder="1" applyAlignment="1">
      <alignment horizontal="center" vertical="center" wrapText="1" shrinkToFit="1"/>
    </xf>
    <xf numFmtId="10" fontId="12" fillId="0" borderId="5" xfId="0" applyNumberFormat="1" applyFont="1" applyBorder="1" applyAlignment="1">
      <alignment horizontal="center" vertical="center" wrapText="1" shrinkToFit="1"/>
    </xf>
    <xf numFmtId="10" fontId="12" fillId="3" borderId="8" xfId="0" applyNumberFormat="1" applyFont="1" applyFill="1" applyBorder="1" applyAlignment="1">
      <alignment horizontal="center" vertical="center" wrapText="1" shrinkToFit="1"/>
    </xf>
    <xf numFmtId="49" fontId="3" fillId="0" borderId="4" xfId="0" applyNumberFormat="1" applyFont="1" applyBorder="1" applyAlignment="1">
      <alignment horizontal="center" vertical="center" wrapText="1" shrinkToFit="1"/>
    </xf>
    <xf numFmtId="49" fontId="3" fillId="0" borderId="5" xfId="0" applyNumberFormat="1" applyFont="1" applyBorder="1" applyAlignment="1">
      <alignment horizontal="center" vertical="center" wrapText="1" shrinkToFit="1"/>
    </xf>
    <xf numFmtId="3" fontId="17" fillId="0" borderId="0" xfId="0" applyNumberFormat="1" applyFont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/>
    </xf>
    <xf numFmtId="3" fontId="8" fillId="2" borderId="5" xfId="0" applyNumberFormat="1" applyFont="1" applyFill="1" applyBorder="1" applyAlignment="1">
      <alignment horizontal="center" vertical="center" wrapText="1" shrinkToFit="1"/>
    </xf>
    <xf numFmtId="3" fontId="8" fillId="2" borderId="6" xfId="0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" vertical="center" wrapText="1" shrinkToFit="1"/>
    </xf>
    <xf numFmtId="3" fontId="12" fillId="0" borderId="6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shrinkToFit="1"/>
    </xf>
    <xf numFmtId="3" fontId="8" fillId="2" borderId="5" xfId="0" applyNumberFormat="1" applyFont="1" applyFill="1" applyBorder="1" applyAlignment="1">
      <alignment horizontal="center" vertical="center" shrinkToFit="1"/>
    </xf>
    <xf numFmtId="3" fontId="8" fillId="2" borderId="6" xfId="0" applyNumberFormat="1" applyFont="1" applyFill="1" applyBorder="1" applyAlignment="1">
      <alignment horizontal="center" vertical="center" shrinkToFit="1"/>
    </xf>
    <xf numFmtId="3" fontId="16" fillId="3" borderId="5" xfId="0" applyNumberFormat="1" applyFont="1" applyFill="1" applyBorder="1" applyAlignment="1">
      <alignment horizontal="center" vertical="center" wrapText="1" shrinkToFit="1"/>
    </xf>
    <xf numFmtId="3" fontId="16" fillId="3" borderId="6" xfId="0" applyNumberFormat="1" applyFont="1" applyFill="1" applyBorder="1" applyAlignment="1">
      <alignment horizontal="center" vertical="center" wrapText="1" shrinkToFit="1"/>
    </xf>
    <xf numFmtId="3" fontId="3" fillId="0" borderId="5" xfId="0" applyNumberFormat="1" applyFont="1" applyBorder="1" applyAlignment="1">
      <alignment horizontal="center" vertical="center" wrapText="1" shrinkToFit="1"/>
    </xf>
    <xf numFmtId="3" fontId="3" fillId="0" borderId="6" xfId="0" applyNumberFormat="1" applyFont="1" applyBorder="1" applyAlignment="1">
      <alignment horizontal="center" vertical="center" wrapText="1" shrinkToFit="1"/>
    </xf>
    <xf numFmtId="38" fontId="12" fillId="3" borderId="5" xfId="1" applyNumberFormat="1" applyFont="1" applyFill="1" applyBorder="1" applyAlignment="1">
      <alignment horizontal="center" vertical="center" wrapText="1" shrinkToFit="1"/>
    </xf>
    <xf numFmtId="38" fontId="12" fillId="3" borderId="8" xfId="1" applyNumberFormat="1" applyFont="1" applyFill="1" applyBorder="1" applyAlignment="1">
      <alignment horizontal="center" vertical="center" wrapText="1" shrinkToFit="1"/>
    </xf>
    <xf numFmtId="38" fontId="12" fillId="0" borderId="18" xfId="1" applyNumberFormat="1" applyFont="1" applyFill="1" applyBorder="1" applyAlignment="1">
      <alignment horizontal="center" vertical="center" wrapText="1" shrinkToFit="1"/>
    </xf>
    <xf numFmtId="38" fontId="12" fillId="0" borderId="5" xfId="1" applyNumberFormat="1" applyFont="1" applyFill="1" applyBorder="1" applyAlignment="1">
      <alignment horizontal="center" vertical="center" wrapText="1" shrinkToFit="1"/>
    </xf>
    <xf numFmtId="3" fontId="3" fillId="3" borderId="19" xfId="0" applyNumberFormat="1" applyFont="1" applyFill="1" applyBorder="1" applyAlignment="1">
      <alignment horizontal="center" vertical="center" wrapText="1" shrinkToFit="1"/>
    </xf>
    <xf numFmtId="3" fontId="3" fillId="3" borderId="60" xfId="0" applyNumberFormat="1" applyFont="1" applyFill="1" applyBorder="1" applyAlignment="1">
      <alignment horizontal="center" vertical="center" wrapText="1" shrinkToFit="1"/>
    </xf>
    <xf numFmtId="38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24" xfId="0" applyNumberFormat="1" applyFont="1" applyFill="1" applyBorder="1" applyAlignment="1">
      <alignment horizontal="center" vertical="center" wrapText="1" shrinkToFit="1"/>
    </xf>
    <xf numFmtId="38" fontId="12" fillId="3" borderId="8" xfId="0" applyNumberFormat="1" applyFont="1" applyFill="1" applyBorder="1" applyAlignment="1">
      <alignment horizontal="center" vertical="center" wrapText="1" shrinkToFit="1"/>
    </xf>
    <xf numFmtId="3" fontId="17" fillId="0" borderId="35" xfId="0" applyNumberFormat="1" applyFont="1" applyBorder="1" applyAlignment="1">
      <alignment horizontal="center" vertical="center" wrapText="1" shrinkToFit="1"/>
    </xf>
    <xf numFmtId="3" fontId="6" fillId="2" borderId="37" xfId="0" applyNumberFormat="1" applyFont="1" applyFill="1" applyBorder="1" applyAlignment="1">
      <alignment horizontal="center" vertical="center" wrapText="1" shrinkToFit="1"/>
    </xf>
    <xf numFmtId="3" fontId="6" fillId="2" borderId="38" xfId="0" applyNumberFormat="1" applyFont="1" applyFill="1" applyBorder="1" applyAlignment="1">
      <alignment horizontal="center" vertical="center" wrapText="1" shrinkToFit="1"/>
    </xf>
    <xf numFmtId="3" fontId="7" fillId="2" borderId="36" xfId="0" applyNumberFormat="1" applyFont="1" applyFill="1" applyBorder="1" applyAlignment="1">
      <alignment horizontal="center" vertical="center" wrapText="1" shrinkToFit="1"/>
    </xf>
    <xf numFmtId="3" fontId="7" fillId="2" borderId="26" xfId="0" applyNumberFormat="1" applyFont="1" applyFill="1" applyBorder="1" applyAlignment="1">
      <alignment horizontal="center" vertical="center" wrapText="1" shrinkToFit="1"/>
    </xf>
    <xf numFmtId="3" fontId="12" fillId="2" borderId="8" xfId="0" applyNumberFormat="1" applyFont="1" applyFill="1" applyBorder="1" applyAlignment="1">
      <alignment horizontal="center" vertical="center" wrapText="1" shrinkToFit="1"/>
    </xf>
    <xf numFmtId="9" fontId="28" fillId="0" borderId="6" xfId="2" applyFont="1" applyFill="1" applyBorder="1" applyAlignment="1">
      <alignment horizontal="center" vertical="center" wrapText="1" shrinkToFit="1"/>
    </xf>
    <xf numFmtId="172" fontId="28" fillId="3" borderId="6" xfId="2" applyNumberFormat="1" applyFont="1" applyFill="1" applyBorder="1" applyAlignment="1">
      <alignment horizontal="center" vertical="center" wrapText="1" shrinkToFit="1"/>
    </xf>
    <xf numFmtId="3" fontId="12" fillId="3" borderId="5" xfId="0" applyNumberFormat="1" applyFont="1" applyFill="1" applyBorder="1" applyAlignment="1">
      <alignment horizontal="center" vertical="center" wrapText="1" shrinkToFit="1"/>
    </xf>
    <xf numFmtId="3" fontId="12" fillId="3" borderId="6" xfId="0" applyNumberFormat="1" applyFont="1" applyFill="1" applyBorder="1" applyAlignment="1">
      <alignment horizontal="center" vertical="center" wrapText="1" shrinkToFit="1"/>
    </xf>
    <xf numFmtId="167" fontId="12" fillId="0" borderId="5" xfId="0" applyNumberFormat="1" applyFont="1" applyBorder="1" applyAlignment="1">
      <alignment horizontal="center" vertical="center" wrapText="1" shrinkToFit="1"/>
    </xf>
    <xf numFmtId="3" fontId="3" fillId="3" borderId="5" xfId="0" applyNumberFormat="1" applyFont="1" applyFill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8" fontId="12" fillId="2" borderId="8" xfId="0" applyNumberFormat="1" applyFont="1" applyFill="1" applyBorder="1" applyAlignment="1">
      <alignment horizontal="center" vertical="center" wrapText="1" shrinkToFit="1"/>
    </xf>
    <xf numFmtId="38" fontId="12" fillId="2" borderId="9" xfId="0" applyNumberFormat="1" applyFont="1" applyFill="1" applyBorder="1" applyAlignment="1">
      <alignment horizontal="center" vertical="center" wrapText="1" shrinkToFit="1"/>
    </xf>
    <xf numFmtId="172" fontId="28" fillId="0" borderId="6" xfId="2" applyNumberFormat="1" applyFont="1" applyFill="1" applyBorder="1" applyAlignment="1">
      <alignment horizontal="center" vertical="center" wrapText="1" shrinkToFit="1"/>
    </xf>
    <xf numFmtId="172" fontId="28" fillId="0" borderId="9" xfId="2" applyNumberFormat="1" applyFont="1" applyFill="1" applyBorder="1" applyAlignment="1">
      <alignment horizontal="center" vertical="center" wrapText="1" shrinkToFit="1"/>
    </xf>
    <xf numFmtId="3" fontId="3" fillId="0" borderId="7" xfId="0" applyNumberFormat="1" applyFont="1" applyBorder="1" applyAlignment="1">
      <alignment horizontal="center" vertical="center" wrapText="1" shrinkToFit="1"/>
    </xf>
    <xf numFmtId="3" fontId="47" fillId="0" borderId="4" xfId="0" applyNumberFormat="1" applyFont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9" fontId="47" fillId="0" borderId="6" xfId="2" applyFont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3" fontId="7" fillId="2" borderId="0" xfId="0" applyNumberFormat="1" applyFont="1" applyFill="1" applyAlignment="1">
      <alignment horizontal="center" vertical="center" wrapText="1" shrinkToFit="1"/>
    </xf>
    <xf numFmtId="3" fontId="8" fillId="2" borderId="36" xfId="0" applyNumberFormat="1" applyFont="1" applyFill="1" applyBorder="1" applyAlignment="1">
      <alignment horizontal="center" vertical="center" wrapText="1" shrinkToFit="1"/>
    </xf>
    <xf numFmtId="3" fontId="8" fillId="2" borderId="26" xfId="0" applyNumberFormat="1" applyFont="1" applyFill="1" applyBorder="1" applyAlignment="1">
      <alignment horizontal="center" vertical="center" wrapText="1" shrinkToFit="1"/>
    </xf>
    <xf numFmtId="3" fontId="8" fillId="2" borderId="39" xfId="0" applyNumberFormat="1" applyFont="1" applyFill="1" applyBorder="1" applyAlignment="1">
      <alignment horizontal="center" vertical="center" wrapText="1" shrinkToFit="1"/>
    </xf>
    <xf numFmtId="3" fontId="8" fillId="2" borderId="40" xfId="0" applyNumberFormat="1" applyFont="1" applyFill="1" applyBorder="1" applyAlignment="1">
      <alignment horizontal="center" vertical="center" wrapText="1" shrinkToFit="1"/>
    </xf>
    <xf numFmtId="3" fontId="8" fillId="2" borderId="41" xfId="0" applyNumberFormat="1" applyFont="1" applyFill="1" applyBorder="1" applyAlignment="1">
      <alignment horizontal="center" vertical="center" wrapText="1" shrinkToFit="1"/>
    </xf>
    <xf numFmtId="3" fontId="18" fillId="2" borderId="55" xfId="0" applyNumberFormat="1" applyFont="1" applyFill="1" applyBorder="1" applyAlignment="1">
      <alignment horizontal="center" vertical="center" wrapText="1" shrinkToFit="1"/>
    </xf>
    <xf numFmtId="3" fontId="18" fillId="2" borderId="56" xfId="0" applyNumberFormat="1" applyFont="1" applyFill="1" applyBorder="1" applyAlignment="1">
      <alignment horizontal="center" vertical="center" wrapText="1" shrinkToFit="1"/>
    </xf>
    <xf numFmtId="3" fontId="18" fillId="2" borderId="49" xfId="0" applyNumberFormat="1" applyFont="1" applyFill="1" applyBorder="1" applyAlignment="1">
      <alignment horizontal="center" vertical="center" wrapText="1" shrinkToFit="1"/>
    </xf>
    <xf numFmtId="3" fontId="7" fillId="2" borderId="43" xfId="0" applyNumberFormat="1" applyFont="1" applyFill="1" applyBorder="1" applyAlignment="1">
      <alignment horizontal="center" vertical="center" wrapText="1" shrinkToFit="1"/>
    </xf>
    <xf numFmtId="3" fontId="7" fillId="2" borderId="44" xfId="0" applyNumberFormat="1" applyFont="1" applyFill="1" applyBorder="1" applyAlignment="1">
      <alignment horizontal="center" vertical="center" wrapText="1" shrinkToFit="1"/>
    </xf>
    <xf numFmtId="3" fontId="7" fillId="2" borderId="22" xfId="0" applyNumberFormat="1" applyFont="1" applyFill="1" applyBorder="1" applyAlignment="1">
      <alignment horizontal="center" vertical="center" wrapText="1" shrinkToFit="1"/>
    </xf>
    <xf numFmtId="3" fontId="7" fillId="2" borderId="39" xfId="0" applyNumberFormat="1" applyFont="1" applyFill="1" applyBorder="1" applyAlignment="1">
      <alignment horizontal="center" vertical="center" wrapText="1" shrinkToFit="1"/>
    </xf>
    <xf numFmtId="3" fontId="7" fillId="2" borderId="40" xfId="0" applyNumberFormat="1" applyFont="1" applyFill="1" applyBorder="1" applyAlignment="1">
      <alignment horizontal="center" vertical="center" wrapText="1" shrinkToFit="1"/>
    </xf>
    <xf numFmtId="3" fontId="7" fillId="2" borderId="41" xfId="0" applyNumberFormat="1" applyFont="1" applyFill="1" applyBorder="1" applyAlignment="1">
      <alignment horizontal="center" vertical="center" wrapText="1" shrinkToFit="1"/>
    </xf>
    <xf numFmtId="3" fontId="34" fillId="0" borderId="24" xfId="2" applyNumberFormat="1" applyFont="1" applyBorder="1" applyAlignment="1">
      <alignment horizontal="center" vertical="center" wrapText="1" shrinkToFit="1"/>
    </xf>
    <xf numFmtId="3" fontId="34" fillId="0" borderId="41" xfId="2" applyNumberFormat="1" applyFont="1" applyBorder="1" applyAlignment="1">
      <alignment horizontal="center" vertical="center" wrapText="1" shrinkToFit="1"/>
    </xf>
    <xf numFmtId="3" fontId="34" fillId="3" borderId="24" xfId="2" applyNumberFormat="1" applyFont="1" applyFill="1" applyBorder="1" applyAlignment="1">
      <alignment horizontal="center" vertical="center" wrapText="1" shrinkToFit="1"/>
    </xf>
    <xf numFmtId="3" fontId="34" fillId="3" borderId="41" xfId="2" applyNumberFormat="1" applyFont="1" applyFill="1" applyBorder="1" applyAlignment="1">
      <alignment horizontal="center" vertical="center" wrapText="1" shrinkToFit="1"/>
    </xf>
    <xf numFmtId="3" fontId="6" fillId="0" borderId="24" xfId="0" applyNumberFormat="1" applyFont="1" applyBorder="1" applyAlignment="1">
      <alignment horizontal="center" vertical="center" wrapText="1" shrinkToFit="1"/>
    </xf>
    <xf numFmtId="3" fontId="6" fillId="0" borderId="41" xfId="0" applyNumberFormat="1" applyFont="1" applyBorder="1" applyAlignment="1">
      <alignment horizontal="center" vertical="center" wrapText="1" shrinkToFit="1"/>
    </xf>
    <xf numFmtId="9" fontId="6" fillId="3" borderId="24" xfId="2" applyFont="1" applyFill="1" applyBorder="1" applyAlignment="1">
      <alignment horizontal="center" vertical="center" wrapText="1" shrinkToFit="1"/>
    </xf>
    <xf numFmtId="9" fontId="6" fillId="3" borderId="41" xfId="2" applyFont="1" applyFill="1" applyBorder="1" applyAlignment="1">
      <alignment horizontal="center" vertical="center" wrapText="1" shrinkToFit="1"/>
    </xf>
    <xf numFmtId="3" fontId="37" fillId="2" borderId="45" xfId="0" applyNumberFormat="1" applyFont="1" applyFill="1" applyBorder="1" applyAlignment="1">
      <alignment horizontal="center" vertical="center" wrapText="1" shrinkToFit="1"/>
    </xf>
    <xf numFmtId="3" fontId="37" fillId="2" borderId="35" xfId="0" applyNumberFormat="1" applyFont="1" applyFill="1" applyBorder="1" applyAlignment="1">
      <alignment horizontal="center" vertical="center" wrapText="1" shrinkToFit="1"/>
    </xf>
    <xf numFmtId="3" fontId="37" fillId="2" borderId="46" xfId="0" applyNumberFormat="1" applyFont="1" applyFill="1" applyBorder="1" applyAlignment="1">
      <alignment horizontal="center" vertical="center" wrapText="1" shrinkToFit="1"/>
    </xf>
    <xf numFmtId="3" fontId="37" fillId="2" borderId="47" xfId="0" applyNumberFormat="1" applyFont="1" applyFill="1" applyBorder="1" applyAlignment="1">
      <alignment horizontal="center" vertical="center" wrapText="1" shrinkToFit="1"/>
    </xf>
    <xf numFmtId="3" fontId="37" fillId="2" borderId="0" xfId="0" applyNumberFormat="1" applyFont="1" applyFill="1" applyAlignment="1">
      <alignment horizontal="center" vertical="center" wrapText="1" shrinkToFit="1"/>
    </xf>
    <xf numFmtId="3" fontId="37" fillId="2" borderId="48" xfId="0" applyNumberFormat="1" applyFont="1" applyFill="1" applyBorder="1" applyAlignment="1">
      <alignment horizontal="center" vertical="center" wrapText="1" shrinkToFit="1"/>
    </xf>
    <xf numFmtId="3" fontId="37" fillId="2" borderId="36" xfId="0" applyNumberFormat="1" applyFont="1" applyFill="1" applyBorder="1" applyAlignment="1">
      <alignment horizontal="center" vertical="center" wrapText="1" shrinkToFit="1"/>
    </xf>
    <xf numFmtId="3" fontId="37" fillId="2" borderId="26" xfId="0" applyNumberFormat="1" applyFont="1" applyFill="1" applyBorder="1" applyAlignment="1">
      <alignment horizontal="center" vertical="center" wrapText="1" shrinkToFit="1"/>
    </xf>
    <xf numFmtId="3" fontId="37" fillId="2" borderId="42" xfId="0" applyNumberFormat="1" applyFont="1" applyFill="1" applyBorder="1" applyAlignment="1">
      <alignment horizontal="center" vertical="center" wrapText="1" shrinkToFit="1"/>
    </xf>
    <xf numFmtId="9" fontId="18" fillId="2" borderId="39" xfId="2" applyFont="1" applyFill="1" applyBorder="1" applyAlignment="1">
      <alignment horizontal="center" vertical="center" wrapText="1" shrinkToFit="1"/>
    </xf>
    <xf numFmtId="9" fontId="18" fillId="2" borderId="40" xfId="2" applyFont="1" applyFill="1" applyBorder="1" applyAlignment="1">
      <alignment horizontal="center" vertical="center" wrapText="1" shrinkToFit="1"/>
    </xf>
    <xf numFmtId="9" fontId="18" fillId="2" borderId="41" xfId="2" applyFont="1" applyFill="1" applyBorder="1" applyAlignment="1">
      <alignment horizontal="center" vertical="center" wrapText="1" shrinkToFit="1"/>
    </xf>
    <xf numFmtId="10" fontId="6" fillId="3" borderId="24" xfId="2" applyNumberFormat="1" applyFont="1" applyFill="1" applyBorder="1" applyAlignment="1">
      <alignment horizontal="center" vertical="center" wrapText="1" shrinkToFit="1"/>
    </xf>
    <xf numFmtId="10" fontId="6" fillId="3" borderId="41" xfId="2" applyNumberFormat="1" applyFont="1" applyFill="1" applyBorder="1" applyAlignment="1">
      <alignment horizontal="center" vertical="center" wrapText="1" shrinkToFit="1"/>
    </xf>
    <xf numFmtId="3" fontId="29" fillId="3" borderId="24" xfId="0" applyNumberFormat="1" applyFont="1" applyFill="1" applyBorder="1" applyAlignment="1">
      <alignment horizontal="center" vertical="center" wrapText="1" shrinkToFit="1"/>
    </xf>
    <xf numFmtId="3" fontId="29" fillId="3" borderId="41" xfId="0" applyNumberFormat="1" applyFont="1" applyFill="1" applyBorder="1" applyAlignment="1">
      <alignment horizontal="center" vertical="center" wrapText="1" shrinkToFit="1"/>
    </xf>
    <xf numFmtId="9" fontId="6" fillId="0" borderId="24" xfId="2" applyFont="1" applyFill="1" applyBorder="1" applyAlignment="1">
      <alignment horizontal="center" vertical="center" wrapText="1" shrinkToFit="1"/>
    </xf>
    <xf numFmtId="9" fontId="6" fillId="0" borderId="41" xfId="2" applyFont="1" applyFill="1" applyBorder="1" applyAlignment="1">
      <alignment horizontal="center" vertical="center" wrapText="1" shrinkToFit="1"/>
    </xf>
    <xf numFmtId="10" fontId="6" fillId="0" borderId="24" xfId="2" applyNumberFormat="1" applyFont="1" applyFill="1" applyBorder="1" applyAlignment="1">
      <alignment horizontal="center" vertical="center" wrapText="1" shrinkToFit="1"/>
    </xf>
    <xf numFmtId="10" fontId="6" fillId="0" borderId="41" xfId="2" applyNumberFormat="1" applyFont="1" applyFill="1" applyBorder="1" applyAlignment="1">
      <alignment horizontal="center" vertical="center" wrapText="1" shrinkToFit="1"/>
    </xf>
    <xf numFmtId="4" fontId="6" fillId="0" borderId="24" xfId="0" applyNumberFormat="1" applyFont="1" applyBorder="1" applyAlignment="1">
      <alignment horizontal="center" vertical="center" wrapText="1" shrinkToFit="1"/>
    </xf>
    <xf numFmtId="4" fontId="6" fillId="0" borderId="41" xfId="0" applyNumberFormat="1" applyFont="1" applyBorder="1" applyAlignment="1">
      <alignment horizontal="center" vertical="center" wrapText="1" shrinkToFit="1"/>
    </xf>
    <xf numFmtId="165" fontId="30" fillId="0" borderId="24" xfId="2" applyNumberFormat="1" applyFont="1" applyFill="1" applyBorder="1" applyAlignment="1">
      <alignment horizontal="center" vertical="center" wrapText="1" shrinkToFit="1"/>
    </xf>
    <xf numFmtId="165" fontId="30" fillId="0" borderId="41" xfId="2" applyNumberFormat="1" applyFont="1" applyFill="1" applyBorder="1" applyAlignment="1">
      <alignment horizontal="center" vertical="center" wrapText="1" shrinkToFi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54" xfId="0" applyNumberFormat="1" applyFont="1" applyBorder="1" applyAlignment="1">
      <alignment horizontal="center" vertical="center" wrapText="1" shrinkToFit="1"/>
    </xf>
    <xf numFmtId="3" fontId="6" fillId="0" borderId="21" xfId="0" applyNumberFormat="1" applyFont="1" applyBorder="1" applyAlignment="1">
      <alignment horizontal="center" vertical="center" wrapText="1" shrinkToFit="1"/>
    </xf>
    <xf numFmtId="3" fontId="16" fillId="0" borderId="5" xfId="0" applyNumberFormat="1" applyFont="1" applyBorder="1" applyAlignment="1">
      <alignment horizontal="center" vertical="center" wrapText="1" shrinkToFit="1"/>
    </xf>
    <xf numFmtId="3" fontId="16" fillId="0" borderId="6" xfId="0" applyNumberFormat="1" applyFont="1" applyBorder="1" applyAlignment="1">
      <alignment horizontal="center" vertical="center" wrapText="1" shrinkToFit="1"/>
    </xf>
    <xf numFmtId="3" fontId="12" fillId="3" borderId="4" xfId="0" applyNumberFormat="1" applyFont="1" applyFill="1" applyBorder="1" applyAlignment="1">
      <alignment horizontal="right" vertical="center" wrapText="1" shrinkToFit="1"/>
    </xf>
    <xf numFmtId="3" fontId="12" fillId="3" borderId="5" xfId="0" applyNumberFormat="1" applyFont="1" applyFill="1" applyBorder="1" applyAlignment="1">
      <alignment horizontal="right" vertical="center" wrapText="1" shrinkToFit="1"/>
    </xf>
    <xf numFmtId="0" fontId="8" fillId="2" borderId="4" xfId="0" applyFont="1" applyFill="1" applyBorder="1" applyAlignment="1">
      <alignment horizontal="center" vertical="center" wrapText="1" shrinkToFit="1"/>
    </xf>
    <xf numFmtId="0" fontId="8" fillId="2" borderId="5" xfId="0" applyFont="1" applyFill="1" applyBorder="1" applyAlignment="1">
      <alignment horizontal="center" vertical="center" wrapText="1" shrinkToFit="1"/>
    </xf>
    <xf numFmtId="3" fontId="20" fillId="0" borderId="5" xfId="0" applyNumberFormat="1" applyFont="1" applyBorder="1" applyAlignment="1">
      <alignment horizontal="center" vertical="center" wrapText="1" shrinkToFit="1"/>
    </xf>
    <xf numFmtId="3" fontId="7" fillId="2" borderId="55" xfId="0" applyNumberFormat="1" applyFont="1" applyFill="1" applyBorder="1" applyAlignment="1">
      <alignment horizontal="center" vertical="center" wrapText="1" shrinkToFit="1"/>
    </xf>
    <xf numFmtId="3" fontId="7" fillId="2" borderId="56" xfId="0" applyNumberFormat="1" applyFont="1" applyFill="1" applyBorder="1" applyAlignment="1">
      <alignment horizontal="center" vertical="center" wrapText="1" shrinkToFit="1"/>
    </xf>
    <xf numFmtId="3" fontId="7" fillId="2" borderId="49" xfId="0" applyNumberFormat="1" applyFont="1" applyFill="1" applyBorder="1" applyAlignment="1">
      <alignment horizontal="center" vertical="center" wrapText="1" shrinkToFit="1"/>
    </xf>
    <xf numFmtId="3" fontId="7" fillId="2" borderId="55" xfId="0" applyNumberFormat="1" applyFont="1" applyFill="1" applyBorder="1" applyAlignment="1">
      <alignment horizontal="center" vertical="center" shrinkToFit="1" readingOrder="2"/>
    </xf>
    <xf numFmtId="3" fontId="7" fillId="2" borderId="56" xfId="0" applyNumberFormat="1" applyFont="1" applyFill="1" applyBorder="1" applyAlignment="1">
      <alignment horizontal="center" vertical="center" shrinkToFit="1" readingOrder="2"/>
    </xf>
    <xf numFmtId="3" fontId="7" fillId="2" borderId="49" xfId="0" applyNumberFormat="1" applyFont="1" applyFill="1" applyBorder="1" applyAlignment="1">
      <alignment horizontal="center" vertical="center" shrinkToFit="1" readingOrder="2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3" xfId="0" applyFont="1" applyFill="1" applyBorder="1" applyAlignment="1">
      <alignment horizontal="center" vertical="center" shrinkToFit="1"/>
    </xf>
    <xf numFmtId="10" fontId="12" fillId="3" borderId="5" xfId="2" applyNumberFormat="1" applyFont="1" applyFill="1" applyBorder="1" applyAlignment="1">
      <alignment horizontal="center" vertical="center" wrapText="1" shrinkToFit="1"/>
    </xf>
    <xf numFmtId="3" fontId="12" fillId="0" borderId="1" xfId="0" applyNumberFormat="1" applyFont="1" applyBorder="1" applyAlignment="1">
      <alignment horizontal="right" vertical="center" wrapText="1" shrinkToFit="1"/>
    </xf>
    <xf numFmtId="3" fontId="12" fillId="0" borderId="2" xfId="0" applyNumberFormat="1" applyFont="1" applyBorder="1" applyAlignment="1">
      <alignment horizontal="right" vertical="center" wrapText="1" shrinkToFit="1"/>
    </xf>
    <xf numFmtId="3" fontId="31" fillId="2" borderId="1" xfId="0" applyNumberFormat="1" applyFont="1" applyFill="1" applyBorder="1" applyAlignment="1">
      <alignment horizontal="right" vertical="center" shrinkToFit="1"/>
    </xf>
    <xf numFmtId="3" fontId="31" fillId="2" borderId="2" xfId="0" applyNumberFormat="1" applyFont="1" applyFill="1" applyBorder="1" applyAlignment="1">
      <alignment horizontal="right" vertical="center" shrinkToFit="1"/>
    </xf>
    <xf numFmtId="3" fontId="31" fillId="2" borderId="3" xfId="0" applyNumberFormat="1" applyFont="1" applyFill="1" applyBorder="1" applyAlignment="1">
      <alignment horizontal="right" vertical="center" shrinkToFit="1"/>
    </xf>
    <xf numFmtId="3" fontId="31" fillId="2" borderId="4" xfId="0" applyNumberFormat="1" applyFont="1" applyFill="1" applyBorder="1" applyAlignment="1">
      <alignment horizontal="right" vertical="center" shrinkToFit="1"/>
    </xf>
    <xf numFmtId="3" fontId="31" fillId="2" borderId="5" xfId="0" applyNumberFormat="1" applyFont="1" applyFill="1" applyBorder="1" applyAlignment="1">
      <alignment horizontal="right" vertical="center" shrinkToFit="1"/>
    </xf>
    <xf numFmtId="3" fontId="31" fillId="2" borderId="6" xfId="0" applyNumberFormat="1" applyFont="1" applyFill="1" applyBorder="1" applyAlignment="1">
      <alignment horizontal="right" vertical="center" shrinkToFit="1"/>
    </xf>
    <xf numFmtId="3" fontId="20" fillId="0" borderId="6" xfId="0" applyNumberFormat="1" applyFont="1" applyBorder="1" applyAlignment="1">
      <alignment horizontal="center" vertical="center" wrapText="1" shrinkToFit="1"/>
    </xf>
    <xf numFmtId="38" fontId="12" fillId="3" borderId="6" xfId="1" applyNumberFormat="1" applyFont="1" applyFill="1" applyBorder="1" applyAlignment="1">
      <alignment horizontal="center" vertical="center" wrapText="1" shrinkToFit="1"/>
    </xf>
    <xf numFmtId="38" fontId="12" fillId="3" borderId="9" xfId="1" applyNumberFormat="1" applyFont="1" applyFill="1" applyBorder="1" applyAlignment="1">
      <alignment horizontal="center" vertical="center" wrapText="1" shrinkToFit="1"/>
    </xf>
    <xf numFmtId="38" fontId="12" fillId="0" borderId="8" xfId="1" applyNumberFormat="1" applyFont="1" applyFill="1" applyBorder="1" applyAlignment="1">
      <alignment horizontal="center" vertical="center" wrapText="1" shrinkToFit="1"/>
    </xf>
    <xf numFmtId="9" fontId="12" fillId="3" borderId="5" xfId="2" applyFont="1" applyFill="1" applyBorder="1" applyAlignment="1">
      <alignment horizontal="center" vertical="center" wrapText="1" shrinkToFit="1"/>
    </xf>
    <xf numFmtId="9" fontId="12" fillId="0" borderId="5" xfId="2" applyFont="1" applyFill="1" applyBorder="1" applyAlignment="1">
      <alignment horizontal="center" vertical="center" wrapText="1" shrinkToFit="1"/>
    </xf>
    <xf numFmtId="38" fontId="12" fillId="0" borderId="6" xfId="1" applyNumberFormat="1" applyFont="1" applyFill="1" applyBorder="1" applyAlignment="1">
      <alignment horizontal="center" vertical="center" wrapText="1" shrinkToFit="1"/>
    </xf>
    <xf numFmtId="38" fontId="12" fillId="0" borderId="9" xfId="1" applyNumberFormat="1" applyFont="1" applyFill="1" applyBorder="1" applyAlignment="1">
      <alignment horizontal="center" vertical="center" wrapText="1" shrinkToFit="1"/>
    </xf>
    <xf numFmtId="9" fontId="12" fillId="0" borderId="6" xfId="2" applyFont="1" applyFill="1" applyBorder="1" applyAlignment="1">
      <alignment horizontal="center" vertical="center" wrapText="1" shrinkToFit="1"/>
    </xf>
    <xf numFmtId="9" fontId="12" fillId="3" borderId="6" xfId="2" applyFont="1" applyFill="1" applyBorder="1" applyAlignment="1">
      <alignment horizontal="center" vertical="center" wrapText="1" shrinkToFit="1"/>
    </xf>
    <xf numFmtId="37" fontId="12" fillId="0" borderId="6" xfId="1" applyNumberFormat="1" applyFont="1" applyFill="1" applyBorder="1" applyAlignment="1">
      <alignment horizontal="center" vertical="center" wrapText="1" shrinkToFit="1"/>
    </xf>
    <xf numFmtId="37" fontId="12" fillId="0" borderId="5" xfId="1" applyNumberFormat="1" applyFont="1" applyFill="1" applyBorder="1" applyAlignment="1">
      <alignment horizontal="center" vertical="center" wrapText="1" shrinkToFit="1"/>
    </xf>
    <xf numFmtId="3" fontId="7" fillId="2" borderId="18" xfId="0" applyNumberFormat="1" applyFont="1" applyFill="1" applyBorder="1" applyAlignment="1">
      <alignment horizontal="center" vertical="center" wrapText="1" shrinkToFit="1"/>
    </xf>
    <xf numFmtId="10" fontId="3" fillId="0" borderId="5" xfId="2" applyNumberFormat="1" applyFont="1" applyFill="1" applyBorder="1" applyAlignment="1">
      <alignment horizontal="center" vertical="center" wrapText="1" shrinkToFit="1"/>
    </xf>
    <xf numFmtId="10" fontId="12" fillId="3" borderId="5" xfId="0" applyNumberFormat="1" applyFont="1" applyFill="1" applyBorder="1" applyAlignment="1">
      <alignment horizontal="center" vertical="center" wrapText="1" shrinkToFit="1"/>
    </xf>
    <xf numFmtId="10" fontId="3" fillId="0" borderId="6" xfId="2" applyNumberFormat="1" applyFont="1" applyFill="1" applyBorder="1" applyAlignment="1">
      <alignment horizontal="center" vertical="center" wrapText="1" shrinkToFit="1"/>
    </xf>
    <xf numFmtId="10" fontId="12" fillId="3" borderId="6" xfId="0" applyNumberFormat="1" applyFont="1" applyFill="1" applyBorder="1" applyAlignment="1">
      <alignment horizontal="center" vertical="center" wrapText="1" shrinkToFit="1"/>
    </xf>
    <xf numFmtId="38" fontId="12" fillId="0" borderId="22" xfId="1" applyNumberFormat="1" applyFont="1" applyFill="1" applyBorder="1" applyAlignment="1">
      <alignment horizontal="center" vertical="center" wrapText="1" shrinkToFi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49" fontId="3" fillId="3" borderId="4" xfId="0" applyNumberFormat="1" applyFont="1" applyFill="1" applyBorder="1" applyAlignment="1">
      <alignment horizontal="center" vertical="center" wrapText="1" shrinkToFit="1"/>
    </xf>
    <xf numFmtId="49" fontId="3" fillId="3" borderId="5" xfId="0" applyNumberFormat="1" applyFont="1" applyFill="1" applyBorder="1" applyAlignment="1">
      <alignment horizontal="center" vertical="center" wrapText="1" shrinkToFit="1"/>
    </xf>
    <xf numFmtId="49" fontId="3" fillId="0" borderId="7" xfId="0" applyNumberFormat="1" applyFont="1" applyBorder="1" applyAlignment="1">
      <alignment horizontal="center" vertical="center" wrapText="1" shrinkToFit="1"/>
    </xf>
    <xf numFmtId="49" fontId="3" fillId="0" borderId="8" xfId="0" applyNumberFormat="1" applyFont="1" applyBorder="1" applyAlignment="1">
      <alignment horizontal="center" vertical="center" wrapText="1" shrinkToFit="1"/>
    </xf>
    <xf numFmtId="49" fontId="12" fillId="3" borderId="4" xfId="0" applyNumberFormat="1" applyFont="1" applyFill="1" applyBorder="1" applyAlignment="1">
      <alignment horizontal="center" vertical="center" wrapText="1" shrinkToFit="1"/>
    </xf>
    <xf numFmtId="49" fontId="12" fillId="3" borderId="5" xfId="0" applyNumberFormat="1" applyFont="1" applyFill="1" applyBorder="1" applyAlignment="1">
      <alignment horizontal="center" vertical="center" wrapText="1" shrinkToFit="1"/>
    </xf>
    <xf numFmtId="0" fontId="25" fillId="3" borderId="5" xfId="0" applyFont="1" applyFill="1" applyBorder="1" applyAlignment="1">
      <alignment horizontal="center" vertical="center" wrapText="1" shrinkToFit="1"/>
    </xf>
    <xf numFmtId="38" fontId="16" fillId="3" borderId="5" xfId="1" applyNumberFormat="1" applyFont="1" applyFill="1" applyBorder="1" applyAlignment="1">
      <alignment horizontal="center" vertical="center" wrapText="1" shrinkToFit="1"/>
    </xf>
    <xf numFmtId="0" fontId="25" fillId="0" borderId="5" xfId="0" applyFont="1" applyBorder="1" applyAlignment="1">
      <alignment horizontal="center" vertical="center" wrapText="1" shrinkToFit="1"/>
    </xf>
    <xf numFmtId="180" fontId="16" fillId="0" borderId="4" xfId="0" applyNumberFormat="1" applyFont="1" applyBorder="1" applyAlignment="1">
      <alignment horizontal="center" vertical="center" wrapText="1" shrinkToFit="1"/>
    </xf>
    <xf numFmtId="180" fontId="16" fillId="0" borderId="5" xfId="0" applyNumberFormat="1" applyFont="1" applyBorder="1" applyAlignment="1">
      <alignment horizontal="center" vertical="center" wrapText="1" shrinkToFit="1"/>
    </xf>
    <xf numFmtId="49" fontId="12" fillId="0" borderId="4" xfId="0" applyNumberFormat="1" applyFont="1" applyBorder="1" applyAlignment="1">
      <alignment horizontal="center" vertical="center" wrapText="1" shrinkToFit="1"/>
    </xf>
    <xf numFmtId="49" fontId="12" fillId="0" borderId="5" xfId="0" applyNumberFormat="1" applyFont="1" applyBorder="1" applyAlignment="1">
      <alignment horizontal="center" vertical="center" wrapText="1" shrinkToFit="1"/>
    </xf>
    <xf numFmtId="3" fontId="16" fillId="3" borderId="5" xfId="1" applyNumberFormat="1" applyFont="1" applyFill="1" applyBorder="1" applyAlignment="1">
      <alignment horizontal="center" vertical="center" wrapText="1" shrinkToFit="1"/>
    </xf>
    <xf numFmtId="38" fontId="28" fillId="0" borderId="5" xfId="1" applyNumberFormat="1" applyFont="1" applyFill="1" applyBorder="1" applyAlignment="1">
      <alignment horizontal="center" vertical="center" wrapText="1" shrinkToFit="1"/>
    </xf>
    <xf numFmtId="38" fontId="28" fillId="0" borderId="8" xfId="1" applyNumberFormat="1" applyFont="1" applyFill="1" applyBorder="1" applyAlignment="1">
      <alignment horizontal="center" vertical="center" wrapText="1" shrinkToFit="1"/>
    </xf>
    <xf numFmtId="0" fontId="25" fillId="0" borderId="8" xfId="0" applyFont="1" applyBorder="1" applyAlignment="1">
      <alignment horizontal="center" vertical="center" wrapText="1" shrinkToFit="1"/>
    </xf>
    <xf numFmtId="37" fontId="12" fillId="3" borderId="5" xfId="1" applyNumberFormat="1" applyFont="1" applyFill="1" applyBorder="1" applyAlignment="1">
      <alignment horizontal="center" vertical="center" wrapText="1" shrinkToFit="1"/>
    </xf>
    <xf numFmtId="0" fontId="7" fillId="2" borderId="55" xfId="0" applyFont="1" applyFill="1" applyBorder="1" applyAlignment="1">
      <alignment horizontal="center" vertical="center" wrapText="1" shrinkToFit="1"/>
    </xf>
    <xf numFmtId="0" fontId="7" fillId="2" borderId="49" xfId="0" applyFont="1" applyFill="1" applyBorder="1" applyAlignment="1">
      <alignment horizontal="center" vertical="center" wrapText="1" shrinkToFit="1"/>
    </xf>
    <xf numFmtId="38" fontId="28" fillId="0" borderId="6" xfId="1" applyNumberFormat="1" applyFont="1" applyFill="1" applyBorder="1" applyAlignment="1">
      <alignment horizontal="center" vertical="center" wrapText="1" shrinkToFit="1"/>
    </xf>
    <xf numFmtId="38" fontId="28" fillId="0" borderId="9" xfId="1" applyNumberFormat="1" applyFont="1" applyFill="1" applyBorder="1" applyAlignment="1">
      <alignment horizontal="center" vertical="center" wrapText="1" shrinkToFit="1"/>
    </xf>
    <xf numFmtId="3" fontId="12" fillId="3" borderId="24" xfId="0" applyNumberFormat="1" applyFont="1" applyFill="1" applyBorder="1" applyAlignment="1">
      <alignment horizontal="center" vertical="center" wrapText="1" shrinkToFit="1"/>
    </xf>
    <xf numFmtId="3" fontId="12" fillId="3" borderId="51" xfId="0" applyNumberFormat="1" applyFont="1" applyFill="1" applyBorder="1" applyAlignment="1">
      <alignment horizontal="center" vertical="center" wrapText="1" shrinkToFit="1"/>
    </xf>
    <xf numFmtId="3" fontId="8" fillId="2" borderId="51" xfId="0" applyNumberFormat="1" applyFont="1" applyFill="1" applyBorder="1" applyAlignment="1">
      <alignment horizontal="center" vertical="center" wrapText="1" shrinkToFit="1"/>
    </xf>
    <xf numFmtId="3" fontId="47" fillId="0" borderId="19" xfId="0" applyNumberFormat="1" applyFont="1" applyBorder="1" applyAlignment="1">
      <alignment horizontal="center" vertical="center" wrapText="1" shrinkToFit="1"/>
    </xf>
    <xf numFmtId="3" fontId="47" fillId="0" borderId="21" xfId="0" applyNumberFormat="1" applyFont="1" applyBorder="1" applyAlignment="1">
      <alignment horizontal="center" vertical="center" wrapText="1" shrinkToFit="1"/>
    </xf>
    <xf numFmtId="3" fontId="47" fillId="0" borderId="16" xfId="0" applyNumberFormat="1" applyFont="1" applyBorder="1" applyAlignment="1">
      <alignment horizontal="center" vertical="center" wrapText="1" shrinkToFit="1"/>
    </xf>
    <xf numFmtId="3" fontId="47" fillId="0" borderId="18" xfId="0" applyNumberFormat="1" applyFont="1" applyBorder="1" applyAlignment="1">
      <alignment horizontal="center" vertical="center" wrapText="1" shrinkToFit="1"/>
    </xf>
    <xf numFmtId="9" fontId="47" fillId="0" borderId="20" xfId="2" applyFont="1" applyBorder="1" applyAlignment="1">
      <alignment horizontal="center" vertical="center" wrapText="1" shrinkToFit="1"/>
    </xf>
    <xf numFmtId="9" fontId="47" fillId="0" borderId="22" xfId="2" applyFont="1" applyBorder="1" applyAlignment="1">
      <alignment horizontal="center" vertical="center" wrapText="1" shrinkToFi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5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342C24"/>
      <color rgb="FFA4907E"/>
      <color rgb="FFF8F5F2"/>
      <color rgb="FFEDE4D6"/>
      <color rgb="FFF0EAE4"/>
      <color rgb="FFDAD2CC"/>
      <color rgb="FFB5A495"/>
      <color rgb="FFFFFFFF"/>
      <color rgb="FFA18D7B"/>
      <color rgb="FFF1EC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100853</xdr:colOff>
      <xdr:row>1</xdr:row>
      <xdr:rowOff>54428</xdr:rowOff>
    </xdr:from>
    <xdr:to>
      <xdr:col>1</xdr:col>
      <xdr:colOff>2217964</xdr:colOff>
      <xdr:row>5</xdr:row>
      <xdr:rowOff>122977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460976893" y="217714"/>
          <a:ext cx="2811075" cy="1225156"/>
        </a:xfrm>
        <a:prstGeom prst="rect">
          <a:avLst/>
        </a:prstGeom>
      </xdr:spPr>
    </xdr:pic>
    <xdr:clientData/>
  </xdr:twoCellAnchor>
  <xdr:twoCellAnchor editAs="oneCell">
    <xdr:from>
      <xdr:col>1</xdr:col>
      <xdr:colOff>29307</xdr:colOff>
      <xdr:row>366</xdr:row>
      <xdr:rowOff>65941</xdr:rowOff>
    </xdr:from>
    <xdr:to>
      <xdr:col>1</xdr:col>
      <xdr:colOff>2036885</xdr:colOff>
      <xdr:row>373</xdr:row>
      <xdr:rowOff>21981</xdr:rowOff>
    </xdr:to>
    <xdr:pic>
      <xdr:nvPicPr>
        <xdr:cNvPr id="4" name="صورة 266">
          <a:extLst>
            <a:ext uri="{FF2B5EF4-FFF2-40B4-BE49-F238E27FC236}">
              <a16:creationId xmlns:a16="http://schemas.microsoft.com/office/drawing/2014/main" id="{5FAB00E0-C0D6-0D1D-CA71-62065E6FBB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1" t="28500" r="9553" b="32711"/>
        <a:stretch>
          <a:fillRect/>
        </a:stretch>
      </xdr:blipFill>
      <xdr:spPr>
        <a:xfrm>
          <a:off x="105564754384" y="83900595"/>
          <a:ext cx="2007578" cy="981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Relationship Id="rId1" Type="http://schemas.openxmlformats.org/officeDocument/2006/relationships/externalLinkPath" Target="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ps.app.goo.gl/6xkiwmWzeHJ4piTV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>
    <pageSetUpPr fitToPage="1"/>
  </sheetPr>
  <dimension ref="A1:CC558"/>
  <sheetViews>
    <sheetView showGridLines="0" rightToLeft="1" tabSelected="1" topLeftCell="B1" zoomScale="85" zoomScaleNormal="85" workbookViewId="0">
      <selection activeCell="U220" sqref="U220"/>
    </sheetView>
  </sheetViews>
  <sheetFormatPr defaultColWidth="84.875" defaultRowHeight="11.25" x14ac:dyDescent="0.2"/>
  <cols>
    <col min="1" max="1" width="9.125" style="311" bestFit="1" customWidth="1"/>
    <col min="2" max="2" width="37.25" style="311" bestFit="1" customWidth="1"/>
    <col min="3" max="3" width="17.125" style="311" bestFit="1" customWidth="1"/>
    <col min="4" max="4" width="17.25" style="311" bestFit="1" customWidth="1"/>
    <col min="5" max="5" width="28.625" style="311" bestFit="1" customWidth="1"/>
    <col min="6" max="6" width="15.625" style="311" bestFit="1" customWidth="1"/>
    <col min="7" max="7" width="28.625" style="311" bestFit="1" customWidth="1"/>
    <col min="8" max="8" width="16.375" style="311" bestFit="1" customWidth="1"/>
    <col min="9" max="9" width="21.875" style="311" bestFit="1" customWidth="1"/>
    <col min="10" max="10" width="20.125" style="311" bestFit="1" customWidth="1"/>
    <col min="11" max="11" width="18.25" style="311" bestFit="1" customWidth="1"/>
    <col min="12" max="12" width="26.375" style="311" bestFit="1" customWidth="1"/>
    <col min="13" max="15" width="10.375" style="311" bestFit="1" customWidth="1"/>
    <col min="16" max="16" width="19.125" style="311" bestFit="1" customWidth="1"/>
    <col min="17" max="17" width="10.375" style="311" bestFit="1" customWidth="1"/>
    <col min="18" max="18" width="19" style="311" bestFit="1" customWidth="1"/>
    <col min="19" max="19" width="10.375" style="311" bestFit="1" customWidth="1"/>
    <col min="20" max="20" width="10.875" style="311" bestFit="1" customWidth="1"/>
    <col min="21" max="21" width="20.25" style="311" bestFit="1" customWidth="1"/>
    <col min="22" max="22" width="15.375" style="311" bestFit="1" customWidth="1"/>
    <col min="23" max="23" width="16.625" style="311" bestFit="1" customWidth="1"/>
    <col min="24" max="24" width="10.75" style="311" bestFit="1" customWidth="1"/>
    <col min="25" max="25" width="13.25" style="311" bestFit="1" customWidth="1"/>
    <col min="26" max="29" width="10.375" style="311" bestFit="1" customWidth="1"/>
    <col min="30" max="30" width="1.75" style="311" bestFit="1" customWidth="1"/>
    <col min="31" max="31" width="9.75" style="311" bestFit="1" customWidth="1"/>
    <col min="32" max="32" width="9.25" style="311" bestFit="1" customWidth="1"/>
    <col min="33" max="33" width="9.375" style="311" bestFit="1" customWidth="1"/>
    <col min="34" max="34" width="12.125" style="311" bestFit="1" customWidth="1"/>
    <col min="35" max="35" width="7.625" style="311" bestFit="1" customWidth="1"/>
    <col min="36" max="36" width="8.375" style="311" bestFit="1" customWidth="1"/>
    <col min="37" max="38" width="9.375" style="311" bestFit="1" customWidth="1"/>
    <col min="39" max="39" width="17.875" style="311" bestFit="1" customWidth="1"/>
    <col min="40" max="40" width="10" style="311" bestFit="1" customWidth="1"/>
    <col min="41" max="41" width="21.375" style="311" bestFit="1" customWidth="1"/>
    <col min="42" max="42" width="8.375" style="311" bestFit="1" customWidth="1"/>
    <col min="43" max="43" width="8" style="311" bestFit="1" customWidth="1"/>
    <col min="44" max="44" width="8.125" style="311" bestFit="1" customWidth="1"/>
    <col min="45" max="45" width="8.375" style="311" bestFit="1" customWidth="1"/>
    <col min="46" max="46" width="9" style="311" bestFit="1" customWidth="1"/>
    <col min="47" max="47" width="9.125" style="311" bestFit="1" customWidth="1"/>
    <col min="48" max="48" width="19.375" style="311" bestFit="1" customWidth="1"/>
    <col min="49" max="49" width="12.125" style="311" bestFit="1" customWidth="1"/>
    <col min="50" max="50" width="9.375" style="311" bestFit="1" customWidth="1"/>
    <col min="51" max="51" width="8.375" style="311" bestFit="1" customWidth="1"/>
    <col min="52" max="52" width="9.25" style="311" bestFit="1" customWidth="1"/>
    <col min="53" max="53" width="13.875" style="311" bestFit="1" customWidth="1"/>
    <col min="54" max="54" width="6.875" style="311" bestFit="1" customWidth="1"/>
    <col min="55" max="55" width="14.25" style="311" bestFit="1" customWidth="1"/>
    <col min="56" max="56" width="7.375" style="311" bestFit="1" customWidth="1"/>
    <col min="57" max="57" width="5" style="311" bestFit="1" customWidth="1"/>
    <col min="58" max="58" width="84.875" style="311"/>
    <col min="59" max="59" width="5.25" style="311" bestFit="1" customWidth="1"/>
    <col min="60" max="60" width="50.625" style="311" bestFit="1" customWidth="1"/>
    <col min="61" max="61" width="28.875" style="311" bestFit="1" customWidth="1"/>
    <col min="62" max="62" width="23.125" style="311" bestFit="1" customWidth="1"/>
    <col min="63" max="63" width="27.875" style="311" bestFit="1" customWidth="1"/>
    <col min="64" max="64" width="13.625" style="311" customWidth="1"/>
    <col min="65" max="65" width="13.875" style="311" customWidth="1"/>
    <col min="66" max="66" width="10.625" style="311" bestFit="1" customWidth="1"/>
    <col min="67" max="67" width="3.875" style="311" bestFit="1" customWidth="1"/>
    <col min="68" max="68" width="13.625" style="311" bestFit="1" customWidth="1"/>
    <col min="69" max="69" width="10.625" style="311" bestFit="1" customWidth="1"/>
    <col min="70" max="70" width="5.875" style="311" bestFit="1" customWidth="1"/>
    <col min="71" max="71" width="8.75" style="311" bestFit="1" customWidth="1"/>
    <col min="72" max="72" width="8.375" style="311" bestFit="1" customWidth="1"/>
    <col min="73" max="73" width="10.875" style="311" bestFit="1" customWidth="1"/>
    <col min="74" max="74" width="14.625" style="311" bestFit="1" customWidth="1"/>
    <col min="75" max="75" width="9.25" style="311" bestFit="1" customWidth="1"/>
    <col min="76" max="76" width="8.75" style="311" bestFit="1" customWidth="1"/>
    <col min="77" max="77" width="6.375" style="311" bestFit="1" customWidth="1"/>
    <col min="78" max="78" width="8.75" style="311" bestFit="1" customWidth="1"/>
    <col min="79" max="79" width="10.375" style="311" bestFit="1" customWidth="1"/>
    <col min="80" max="80" width="11.875" style="311" bestFit="1" customWidth="1"/>
    <col min="81" max="81" width="38.75" style="311" customWidth="1"/>
    <col min="82" max="82" width="31.375" style="311" customWidth="1"/>
    <col min="83" max="16384" width="84.875" style="311"/>
  </cols>
  <sheetData>
    <row r="1" spans="1:81" ht="12.75" x14ac:dyDescent="0.2">
      <c r="A1" s="1"/>
      <c r="B1" s="1"/>
      <c r="C1" s="1"/>
      <c r="D1" s="1"/>
      <c r="E1" s="78"/>
      <c r="AE1" s="487" t="s">
        <v>328</v>
      </c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H1" s="529" t="s">
        <v>292</v>
      </c>
      <c r="BI1" s="530"/>
      <c r="BJ1" s="531"/>
      <c r="BK1" s="515" t="s">
        <v>298</v>
      </c>
      <c r="BN1" s="512" t="s">
        <v>334</v>
      </c>
      <c r="BO1" s="513"/>
      <c r="BP1" s="514"/>
      <c r="BQ1" s="512" t="s">
        <v>335</v>
      </c>
      <c r="BR1" s="513"/>
      <c r="BS1" s="514"/>
      <c r="BV1" s="396" t="s">
        <v>352</v>
      </c>
      <c r="BW1" s="397">
        <f>E1</f>
        <v>0</v>
      </c>
      <c r="BX1" s="327"/>
      <c r="BY1" s="327"/>
      <c r="BZ1" s="327"/>
      <c r="CA1" s="361" t="s">
        <v>353</v>
      </c>
      <c r="CB1" s="363" t="s">
        <v>356</v>
      </c>
      <c r="CC1" s="408"/>
    </row>
    <row r="2" spans="1:81" ht="27.75" thickBot="1" x14ac:dyDescent="0.25">
      <c r="A2" s="1"/>
      <c r="B2" s="1"/>
      <c r="C2" s="455" t="s">
        <v>412</v>
      </c>
      <c r="D2" s="455"/>
      <c r="E2" s="311" t="s">
        <v>410</v>
      </c>
      <c r="F2" s="311" t="s">
        <v>422</v>
      </c>
      <c r="AE2" s="47" t="s">
        <v>282</v>
      </c>
      <c r="AF2" s="48" t="s">
        <v>266</v>
      </c>
      <c r="AG2" s="48" t="s">
        <v>267</v>
      </c>
      <c r="AH2" s="237" t="s">
        <v>336</v>
      </c>
      <c r="AI2" s="48" t="s">
        <v>268</v>
      </c>
      <c r="AJ2" s="48" t="s">
        <v>269</v>
      </c>
      <c r="AK2" s="48" t="s">
        <v>270</v>
      </c>
      <c r="AL2" s="48" t="s">
        <v>271</v>
      </c>
      <c r="AM2" s="237" t="s">
        <v>323</v>
      </c>
      <c r="AN2" s="237" t="s">
        <v>322</v>
      </c>
      <c r="AO2" s="48" t="s">
        <v>348</v>
      </c>
      <c r="AP2" s="48" t="s">
        <v>272</v>
      </c>
      <c r="AQ2" s="48" t="s">
        <v>321</v>
      </c>
      <c r="AR2" s="48" t="s">
        <v>273</v>
      </c>
      <c r="AS2" s="48" t="s">
        <v>274</v>
      </c>
      <c r="AT2" s="48" t="s">
        <v>320</v>
      </c>
      <c r="AU2" s="48" t="s">
        <v>275</v>
      </c>
      <c r="AV2" s="48" t="s">
        <v>331</v>
      </c>
      <c r="AW2" s="48" t="s">
        <v>277</v>
      </c>
      <c r="AX2" s="48" t="s">
        <v>278</v>
      </c>
      <c r="AY2" s="48" t="s">
        <v>279</v>
      </c>
      <c r="AZ2" s="48" t="s">
        <v>280</v>
      </c>
      <c r="BA2" s="48" t="s">
        <v>338</v>
      </c>
      <c r="BB2" s="48" t="s">
        <v>327</v>
      </c>
      <c r="BC2" s="48" t="s">
        <v>337</v>
      </c>
      <c r="BD2" s="49" t="s">
        <v>281</v>
      </c>
      <c r="BE2" s="310"/>
      <c r="BH2" s="532"/>
      <c r="BI2" s="533"/>
      <c r="BJ2" s="534"/>
      <c r="BK2" s="516"/>
      <c r="BN2" s="4" t="s">
        <v>38</v>
      </c>
      <c r="BO2" s="103" t="s">
        <v>332</v>
      </c>
      <c r="BP2" s="87" t="s">
        <v>333</v>
      </c>
      <c r="BQ2" s="4" t="s">
        <v>38</v>
      </c>
      <c r="BR2" s="103" t="s">
        <v>332</v>
      </c>
      <c r="BS2" s="87" t="s">
        <v>333</v>
      </c>
      <c r="BV2" s="282" t="s">
        <v>355</v>
      </c>
      <c r="BW2" s="208" t="s">
        <v>373</v>
      </c>
      <c r="CA2" s="330" t="s">
        <v>354</v>
      </c>
      <c r="CB2" s="331" t="s">
        <v>373</v>
      </c>
    </row>
    <row r="3" spans="1:81" ht="22.5" x14ac:dyDescent="0.2">
      <c r="A3" s="1"/>
      <c r="B3" s="1"/>
      <c r="C3" s="455"/>
      <c r="D3" s="455"/>
      <c r="E3" s="311" t="s">
        <v>411</v>
      </c>
      <c r="F3" s="416" t="s">
        <v>423</v>
      </c>
      <c r="AE3" s="203" t="s">
        <v>214</v>
      </c>
      <c r="AF3" s="275">
        <f t="shared" ref="AF3:AF12" si="0">((F61/$J$59)*$I$49)*AO3</f>
        <v>86374196.095843241</v>
      </c>
      <c r="AG3" s="275">
        <f t="shared" ref="AG3:AG12" si="1">J61*AO3</f>
        <v>90740527.206025109</v>
      </c>
      <c r="AH3" s="262">
        <v>0.1</v>
      </c>
      <c r="AI3" s="275">
        <f t="shared" ref="AI3:AI12" si="2">($J$73*AH3)*AO3</f>
        <v>672831.68133891211</v>
      </c>
      <c r="AJ3" s="275">
        <f t="shared" ref="AJ3:AJ12" si="3">((K61/$L$76)*($J$74+$J$75))*AO3</f>
        <v>29792392.956054289</v>
      </c>
      <c r="AK3" s="275">
        <f t="shared" ref="AK3:AK12" si="4">((K61/$L$76)*$C$87)*AO3</f>
        <v>2474368.2069206168</v>
      </c>
      <c r="AL3" s="275">
        <f t="shared" ref="AL3:AL12" si="5">(((D61-F61)/$H$59)*$J$71)*AO3</f>
        <v>0</v>
      </c>
      <c r="AM3" s="238">
        <f t="shared" ref="AM3:AM12" si="6">SUM(AF3:AG3,AI3:AL3)/$AM$13</f>
        <v>0.33020043186065662</v>
      </c>
      <c r="AN3" s="238">
        <f t="shared" ref="AN3:AN12" si="7">SUM(AF3:AG3,AI3:AL3)/$AN$13</f>
        <v>0.29047265791868915</v>
      </c>
      <c r="AO3" s="271">
        <f t="shared" ref="AO3:AO12" si="8">D129</f>
        <v>0.70711297071129708</v>
      </c>
      <c r="AP3" s="275">
        <f t="shared" ref="AP3:AP9" si="9">(AN3*SUM($C$86,$C$88:$C$90,$C$96:$C$97,$C$101))+((H147+T147)/($H$157+$T$157))*$C$99+(SUM($D$93:$D$95)*H61*AO3)</f>
        <v>16261159.974028561</v>
      </c>
      <c r="AQ3" s="239">
        <f t="shared" ref="AQ3:AQ9" si="10">(($A$92+$C$98)*AM3)</f>
        <v>2572157.3123761402</v>
      </c>
      <c r="AR3" s="277">
        <f t="shared" ref="AR3:AR12" si="11">AM3*$C$119</f>
        <v>26035900.458545703</v>
      </c>
      <c r="AS3" s="275">
        <f t="shared" ref="AS3:AS12" si="12">AN3*$C$107</f>
        <v>27385408.696309481</v>
      </c>
      <c r="AT3" s="240">
        <f t="shared" ref="AT3:AT12" si="13">SUM(I147,U147)</f>
        <v>0</v>
      </c>
      <c r="AU3" s="240">
        <f t="shared" ref="AU3:AU12" si="14">SUM(AF3:AG3,AI3:AL3,AP3:AT3)</f>
        <v>282308942.5874421</v>
      </c>
      <c r="AV3" s="240">
        <f t="shared" ref="AV3:AV12" si="15">IFERROR((AU3-AT3)/E129, "0")</f>
        <v>17839.725156074121</v>
      </c>
      <c r="AW3" s="234">
        <f t="shared" ref="AW3:AW12" si="16">(AU3-AT3)/($C$24)</f>
        <v>0.28727740992572082</v>
      </c>
      <c r="AX3" s="212">
        <f t="shared" ref="AX3:AX12" si="17">SUM(I129,H147,AA147,T147)</f>
        <v>414608085.66731781</v>
      </c>
      <c r="AY3" s="241">
        <f t="shared" ref="AY3:AY12" si="18">IFERROR(AZ3/E129, "0")</f>
        <v>8360.2748439258812</v>
      </c>
      <c r="AZ3" s="241">
        <f>AX3-AU3</f>
        <v>132299143.07987571</v>
      </c>
      <c r="BA3" s="297">
        <f>IFERROR(BD3/AW3, "0.00")</f>
        <v>1.6312890436359462</v>
      </c>
      <c r="BB3" s="279">
        <f t="shared" ref="BB3:BB13" si="19">IFERROR(AZ3/AX3, "0.00%")</f>
        <v>0.31909445969182748</v>
      </c>
      <c r="BC3" s="279">
        <f t="shared" ref="BC3:BC12" si="20">AZ3/$C$26</f>
        <v>0.38897708458262031</v>
      </c>
      <c r="BD3" s="242">
        <f t="shared" ref="BD3:BD12" si="21">IFERROR(AZ3/(AU3-AT3), "0.00%")</f>
        <v>0.46863249129594081</v>
      </c>
      <c r="BE3" s="310"/>
      <c r="BH3" s="535"/>
      <c r="BI3" s="536"/>
      <c r="BJ3" s="537"/>
      <c r="BK3" s="516"/>
      <c r="BN3" s="5" t="s">
        <v>39</v>
      </c>
      <c r="BO3" s="104">
        <f t="shared" ref="BO3:BO12" si="22">IFERROR((AU3-AT3) / (C147 * D147 * G147 * (1 - $I$158) * BP3), 0)</f>
        <v>0</v>
      </c>
      <c r="BP3" s="20"/>
      <c r="BQ3" s="5" t="s">
        <v>39</v>
      </c>
      <c r="BR3" s="104">
        <f t="shared" ref="BR3:BR12" si="23">IFERROR((AU3-AT3) / ((N147 * O147 * (1 - $U$158) * 365 * BS3) * (1 + S147)), 0)</f>
        <v>0</v>
      </c>
      <c r="BS3" s="20"/>
      <c r="BV3" s="203" t="s">
        <v>405</v>
      </c>
      <c r="BW3" s="392">
        <f>J76</f>
        <v>475846181.75999999</v>
      </c>
      <c r="CB3" s="328"/>
    </row>
    <row r="4" spans="1:81" ht="22.5" x14ac:dyDescent="0.2">
      <c r="A4" s="1"/>
      <c r="B4" s="1"/>
      <c r="C4" s="455"/>
      <c r="D4" s="455"/>
      <c r="AE4" s="175" t="s">
        <v>215</v>
      </c>
      <c r="AF4" s="211">
        <f t="shared" si="0"/>
        <v>0</v>
      </c>
      <c r="AG4" s="211">
        <f t="shared" si="1"/>
        <v>0</v>
      </c>
      <c r="AH4" s="263"/>
      <c r="AI4" s="211">
        <f t="shared" si="2"/>
        <v>0</v>
      </c>
      <c r="AJ4" s="211">
        <f t="shared" si="3"/>
        <v>0</v>
      </c>
      <c r="AK4" s="211">
        <f t="shared" si="4"/>
        <v>0</v>
      </c>
      <c r="AL4" s="211">
        <f t="shared" si="5"/>
        <v>0</v>
      </c>
      <c r="AM4" s="243">
        <f t="shared" si="6"/>
        <v>0</v>
      </c>
      <c r="AN4" s="243">
        <f t="shared" si="7"/>
        <v>0</v>
      </c>
      <c r="AO4" s="272">
        <f t="shared" si="8"/>
        <v>1</v>
      </c>
      <c r="AP4" s="211">
        <f t="shared" si="9"/>
        <v>0</v>
      </c>
      <c r="AQ4" s="239">
        <f t="shared" si="10"/>
        <v>0</v>
      </c>
      <c r="AR4" s="278">
        <f t="shared" si="11"/>
        <v>0</v>
      </c>
      <c r="AS4" s="276">
        <f t="shared" si="12"/>
        <v>0</v>
      </c>
      <c r="AT4" s="244">
        <f t="shared" si="13"/>
        <v>0</v>
      </c>
      <c r="AU4" s="244">
        <f t="shared" si="14"/>
        <v>0</v>
      </c>
      <c r="AV4" s="244" t="str">
        <f t="shared" si="15"/>
        <v>0</v>
      </c>
      <c r="AW4" s="235">
        <f t="shared" si="16"/>
        <v>0</v>
      </c>
      <c r="AX4" s="211">
        <f t="shared" si="17"/>
        <v>0</v>
      </c>
      <c r="AY4" s="257" t="str">
        <f t="shared" si="18"/>
        <v>0</v>
      </c>
      <c r="AZ4" s="257">
        <f t="shared" ref="AZ4:AZ12" si="24">AX4-AU4</f>
        <v>0</v>
      </c>
      <c r="BA4" s="298" t="str">
        <f t="shared" ref="BA4:BA12" si="25">IFERROR(BD4/AW4, "0.00")</f>
        <v>0.00</v>
      </c>
      <c r="BB4" s="280" t="str">
        <f t="shared" si="19"/>
        <v>0.00%</v>
      </c>
      <c r="BC4" s="280">
        <f t="shared" si="20"/>
        <v>0</v>
      </c>
      <c r="BD4" s="245" t="str">
        <f t="shared" si="21"/>
        <v>0.00%</v>
      </c>
      <c r="BE4" s="310"/>
      <c r="BH4" s="538" t="s">
        <v>293</v>
      </c>
      <c r="BI4" s="539"/>
      <c r="BJ4" s="540"/>
      <c r="BK4" s="517"/>
      <c r="BN4" s="4" t="s">
        <v>40</v>
      </c>
      <c r="BO4" s="103">
        <f t="shared" si="22"/>
        <v>0</v>
      </c>
      <c r="BP4" s="20"/>
      <c r="BQ4" s="4" t="s">
        <v>40</v>
      </c>
      <c r="BR4" s="103">
        <f t="shared" si="23"/>
        <v>0</v>
      </c>
      <c r="BS4" s="20"/>
      <c r="BV4" s="175" t="s">
        <v>357</v>
      </c>
      <c r="BW4" s="391">
        <f>C24</f>
        <v>982704984.21869171</v>
      </c>
      <c r="CB4" s="328"/>
    </row>
    <row r="5" spans="1:81" ht="22.5" x14ac:dyDescent="0.2">
      <c r="A5" s="1"/>
      <c r="B5" s="1"/>
      <c r="C5" s="455"/>
      <c r="D5" s="455"/>
      <c r="AE5" s="203" t="s">
        <v>216</v>
      </c>
      <c r="AF5" s="275">
        <f t="shared" si="0"/>
        <v>0</v>
      </c>
      <c r="AG5" s="275">
        <f t="shared" si="1"/>
        <v>0</v>
      </c>
      <c r="AH5" s="262"/>
      <c r="AI5" s="275">
        <f t="shared" si="2"/>
        <v>0</v>
      </c>
      <c r="AJ5" s="275">
        <f t="shared" si="3"/>
        <v>0</v>
      </c>
      <c r="AK5" s="275">
        <f t="shared" si="4"/>
        <v>0</v>
      </c>
      <c r="AL5" s="275">
        <f t="shared" si="5"/>
        <v>0</v>
      </c>
      <c r="AM5" s="238">
        <f t="shared" si="6"/>
        <v>0</v>
      </c>
      <c r="AN5" s="238">
        <f t="shared" si="7"/>
        <v>0</v>
      </c>
      <c r="AO5" s="271">
        <f t="shared" si="8"/>
        <v>1</v>
      </c>
      <c r="AP5" s="275">
        <f t="shared" si="9"/>
        <v>0</v>
      </c>
      <c r="AQ5" s="239">
        <f t="shared" si="10"/>
        <v>0</v>
      </c>
      <c r="AR5" s="258">
        <f t="shared" si="11"/>
        <v>0</v>
      </c>
      <c r="AS5" s="212">
        <f t="shared" si="12"/>
        <v>0</v>
      </c>
      <c r="AT5" s="240">
        <f t="shared" si="13"/>
        <v>0</v>
      </c>
      <c r="AU5" s="240">
        <f t="shared" si="14"/>
        <v>0</v>
      </c>
      <c r="AV5" s="240" t="str">
        <f t="shared" si="15"/>
        <v>0</v>
      </c>
      <c r="AW5" s="234">
        <f t="shared" si="16"/>
        <v>0</v>
      </c>
      <c r="AX5" s="275">
        <f t="shared" si="17"/>
        <v>0</v>
      </c>
      <c r="AY5" s="259" t="str">
        <f t="shared" si="18"/>
        <v>0</v>
      </c>
      <c r="AZ5" s="259">
        <f t="shared" si="24"/>
        <v>0</v>
      </c>
      <c r="BA5" s="297" t="str">
        <f t="shared" si="25"/>
        <v>0.00</v>
      </c>
      <c r="BB5" s="279" t="str">
        <f t="shared" si="19"/>
        <v>0.00%</v>
      </c>
      <c r="BC5" s="279">
        <f t="shared" si="20"/>
        <v>0</v>
      </c>
      <c r="BD5" s="242" t="str">
        <f t="shared" si="21"/>
        <v>0.00%</v>
      </c>
      <c r="BE5" s="79" t="s">
        <v>216</v>
      </c>
      <c r="BH5" s="203" t="s">
        <v>389</v>
      </c>
      <c r="BI5" s="521">
        <f>C24/E59</f>
        <v>8573.977443152311</v>
      </c>
      <c r="BJ5" s="522"/>
      <c r="BK5" s="208" t="s">
        <v>66</v>
      </c>
      <c r="BN5" s="5" t="s">
        <v>41</v>
      </c>
      <c r="BO5" s="104">
        <f t="shared" si="22"/>
        <v>0</v>
      </c>
      <c r="BP5" s="20"/>
      <c r="BQ5" s="5" t="s">
        <v>41</v>
      </c>
      <c r="BR5" s="104">
        <f t="shared" si="23"/>
        <v>0</v>
      </c>
      <c r="BS5" s="20"/>
      <c r="BV5" s="203" t="s">
        <v>397</v>
      </c>
      <c r="BW5" s="395">
        <f>SUM(I139,AA157,Y139)</f>
        <v>1260572115.507921</v>
      </c>
      <c r="CB5" s="328"/>
    </row>
    <row r="6" spans="1:81" ht="23.25" thickBot="1" x14ac:dyDescent="0.25">
      <c r="A6" s="1"/>
      <c r="B6" s="1"/>
      <c r="C6" s="455"/>
      <c r="D6" s="455"/>
      <c r="AE6" s="175" t="s">
        <v>217</v>
      </c>
      <c r="AF6" s="211">
        <f t="shared" si="0"/>
        <v>0</v>
      </c>
      <c r="AG6" s="211">
        <f t="shared" si="1"/>
        <v>0</v>
      </c>
      <c r="AH6" s="263"/>
      <c r="AI6" s="211">
        <f t="shared" si="2"/>
        <v>0</v>
      </c>
      <c r="AJ6" s="211">
        <f t="shared" si="3"/>
        <v>0</v>
      </c>
      <c r="AK6" s="211">
        <f t="shared" si="4"/>
        <v>0</v>
      </c>
      <c r="AL6" s="211">
        <f t="shared" si="5"/>
        <v>0</v>
      </c>
      <c r="AM6" s="243">
        <f t="shared" si="6"/>
        <v>0</v>
      </c>
      <c r="AN6" s="243">
        <f t="shared" si="7"/>
        <v>0</v>
      </c>
      <c r="AO6" s="272">
        <f t="shared" si="8"/>
        <v>1</v>
      </c>
      <c r="AP6" s="211">
        <f t="shared" si="9"/>
        <v>0</v>
      </c>
      <c r="AQ6" s="239">
        <f t="shared" si="10"/>
        <v>0</v>
      </c>
      <c r="AR6" s="278">
        <f t="shared" si="11"/>
        <v>0</v>
      </c>
      <c r="AS6" s="276">
        <f t="shared" si="12"/>
        <v>0</v>
      </c>
      <c r="AT6" s="244">
        <f t="shared" si="13"/>
        <v>0</v>
      </c>
      <c r="AU6" s="244">
        <f t="shared" si="14"/>
        <v>0</v>
      </c>
      <c r="AV6" s="244" t="str">
        <f t="shared" si="15"/>
        <v>0</v>
      </c>
      <c r="AW6" s="235">
        <f t="shared" si="16"/>
        <v>0</v>
      </c>
      <c r="AX6" s="211">
        <f t="shared" si="17"/>
        <v>0</v>
      </c>
      <c r="AY6" s="257" t="str">
        <f t="shared" si="18"/>
        <v>0</v>
      </c>
      <c r="AZ6" s="257">
        <f t="shared" si="24"/>
        <v>0</v>
      </c>
      <c r="BA6" s="298" t="str">
        <f t="shared" si="25"/>
        <v>0.00</v>
      </c>
      <c r="BB6" s="280" t="str">
        <f t="shared" si="19"/>
        <v>0.00%</v>
      </c>
      <c r="BC6" s="280">
        <f t="shared" si="20"/>
        <v>0</v>
      </c>
      <c r="BD6" s="245" t="str">
        <f t="shared" si="21"/>
        <v>0.00%</v>
      </c>
      <c r="BE6" s="79" t="s">
        <v>217</v>
      </c>
      <c r="BH6" s="282" t="s">
        <v>388</v>
      </c>
      <c r="BI6" s="523">
        <f>C24/J59</f>
        <v>22417.07071063498</v>
      </c>
      <c r="BJ6" s="524"/>
      <c r="BK6" s="208" t="s">
        <v>66</v>
      </c>
      <c r="BN6" s="4" t="s">
        <v>42</v>
      </c>
      <c r="BO6" s="103">
        <f t="shared" si="22"/>
        <v>0</v>
      </c>
      <c r="BP6" s="20"/>
      <c r="BQ6" s="4" t="s">
        <v>42</v>
      </c>
      <c r="BR6" s="103">
        <f t="shared" si="23"/>
        <v>0</v>
      </c>
      <c r="BS6" s="20"/>
      <c r="BV6" s="334" t="s">
        <v>398</v>
      </c>
      <c r="BW6" s="394">
        <f>C32</f>
        <v>1.0191216580857358</v>
      </c>
      <c r="CB6" s="328"/>
    </row>
    <row r="7" spans="1:81" ht="23.25" thickBot="1" x14ac:dyDescent="0.25">
      <c r="A7" s="1"/>
      <c r="B7" s="1"/>
      <c r="C7" s="1"/>
      <c r="D7" s="1"/>
      <c r="AE7" s="203" t="s">
        <v>218</v>
      </c>
      <c r="AF7" s="275">
        <f t="shared" si="0"/>
        <v>0</v>
      </c>
      <c r="AG7" s="275">
        <f t="shared" si="1"/>
        <v>0</v>
      </c>
      <c r="AH7" s="262"/>
      <c r="AI7" s="275">
        <f t="shared" si="2"/>
        <v>0</v>
      </c>
      <c r="AJ7" s="275">
        <f t="shared" si="3"/>
        <v>0</v>
      </c>
      <c r="AK7" s="275">
        <f t="shared" si="4"/>
        <v>0</v>
      </c>
      <c r="AL7" s="275">
        <f t="shared" si="5"/>
        <v>0</v>
      </c>
      <c r="AM7" s="238">
        <f t="shared" si="6"/>
        <v>0</v>
      </c>
      <c r="AN7" s="238">
        <f t="shared" si="7"/>
        <v>0</v>
      </c>
      <c r="AO7" s="271">
        <f t="shared" si="8"/>
        <v>1</v>
      </c>
      <c r="AP7" s="275">
        <f t="shared" si="9"/>
        <v>0</v>
      </c>
      <c r="AQ7" s="239">
        <f t="shared" si="10"/>
        <v>0</v>
      </c>
      <c r="AR7" s="258">
        <f t="shared" si="11"/>
        <v>0</v>
      </c>
      <c r="AS7" s="212">
        <f t="shared" si="12"/>
        <v>0</v>
      </c>
      <c r="AT7" s="240">
        <f t="shared" si="13"/>
        <v>0</v>
      </c>
      <c r="AU7" s="240">
        <f t="shared" si="14"/>
        <v>0</v>
      </c>
      <c r="AV7" s="240" t="str">
        <f t="shared" si="15"/>
        <v>0</v>
      </c>
      <c r="AW7" s="234">
        <f t="shared" si="16"/>
        <v>0</v>
      </c>
      <c r="AX7" s="275">
        <f t="shared" si="17"/>
        <v>0</v>
      </c>
      <c r="AY7" s="259" t="str">
        <f t="shared" si="18"/>
        <v>0</v>
      </c>
      <c r="AZ7" s="259">
        <f t="shared" si="24"/>
        <v>0</v>
      </c>
      <c r="BA7" s="297" t="str">
        <f t="shared" si="25"/>
        <v>0.00</v>
      </c>
      <c r="BB7" s="279" t="str">
        <f t="shared" si="19"/>
        <v>0.00%</v>
      </c>
      <c r="BC7" s="279">
        <f t="shared" si="20"/>
        <v>0</v>
      </c>
      <c r="BD7" s="242" t="str">
        <f t="shared" si="21"/>
        <v>0.00%</v>
      </c>
      <c r="BE7" s="79" t="s">
        <v>218</v>
      </c>
      <c r="BH7" s="203" t="s">
        <v>339</v>
      </c>
      <c r="BI7" s="292">
        <f>-SUM(C196,C194)</f>
        <v>702913301.75999999</v>
      </c>
      <c r="BJ7" s="238">
        <f>BI7/$C$24</f>
        <v>0.71528415246500188</v>
      </c>
      <c r="BK7" s="260" t="s">
        <v>299</v>
      </c>
      <c r="BN7" s="5" t="s">
        <v>64</v>
      </c>
      <c r="BO7" s="104">
        <f t="shared" si="22"/>
        <v>0</v>
      </c>
      <c r="BP7" s="20"/>
      <c r="BQ7" s="5" t="s">
        <v>64</v>
      </c>
      <c r="BR7" s="104">
        <f t="shared" si="23"/>
        <v>0</v>
      </c>
      <c r="BS7" s="20"/>
      <c r="BV7" s="329"/>
      <c r="CA7" s="385"/>
      <c r="CB7" s="328"/>
    </row>
    <row r="8" spans="1:81" ht="22.5" x14ac:dyDescent="0.2">
      <c r="AE8" s="175" t="s">
        <v>287</v>
      </c>
      <c r="AF8" s="211">
        <f t="shared" si="0"/>
        <v>36117855.524616897</v>
      </c>
      <c r="AG8" s="211">
        <f t="shared" si="1"/>
        <v>23355475.199999996</v>
      </c>
      <c r="AH8" s="263">
        <v>0.3</v>
      </c>
      <c r="AI8" s="211">
        <f t="shared" si="2"/>
        <v>2854558.0799999996</v>
      </c>
      <c r="AJ8" s="211">
        <f t="shared" si="3"/>
        <v>31107265.040007085</v>
      </c>
      <c r="AK8" s="211">
        <f t="shared" si="4"/>
        <v>2583573.1870475681</v>
      </c>
      <c r="AL8" s="211">
        <f t="shared" si="5"/>
        <v>0</v>
      </c>
      <c r="AM8" s="243">
        <f t="shared" si="6"/>
        <v>0.15093917475375193</v>
      </c>
      <c r="AN8" s="243">
        <f t="shared" si="7"/>
        <v>0.13277906097130035</v>
      </c>
      <c r="AO8" s="272">
        <f t="shared" si="8"/>
        <v>1</v>
      </c>
      <c r="AP8" s="211">
        <f t="shared" si="9"/>
        <v>6881708.1870793588</v>
      </c>
      <c r="AQ8" s="239">
        <f t="shared" si="10"/>
        <v>1175768.6078094493</v>
      </c>
      <c r="AR8" s="278">
        <f t="shared" si="11"/>
        <v>11901369.441097815</v>
      </c>
      <c r="AS8" s="276">
        <f t="shared" si="12"/>
        <v>12518248.282181261</v>
      </c>
      <c r="AT8" s="244">
        <f t="shared" si="13"/>
        <v>590585.30826994812</v>
      </c>
      <c r="AU8" s="244">
        <f t="shared" si="14"/>
        <v>129086406.85810938</v>
      </c>
      <c r="AV8" s="244">
        <f t="shared" si="15"/>
        <v>19418.451344341931</v>
      </c>
      <c r="AW8" s="235">
        <f t="shared" si="16"/>
        <v>0.13075727060853484</v>
      </c>
      <c r="AX8" s="211">
        <f t="shared" si="17"/>
        <v>143824892.71985796</v>
      </c>
      <c r="AY8" s="257">
        <f t="shared" si="18"/>
        <v>2227.2986556580663</v>
      </c>
      <c r="AZ8" s="257">
        <f>AX8-AU8</f>
        <v>14738485.861748576</v>
      </c>
      <c r="BA8" s="298">
        <f>IFERROR(BD8/AW8, "0.00")</f>
        <v>0.87719877612214825</v>
      </c>
      <c r="BB8" s="280">
        <f>IFERROR(AZ8/AX8, "0.00%")</f>
        <v>0.10247520844987655</v>
      </c>
      <c r="BC8" s="280">
        <f t="shared" si="20"/>
        <v>4.3333109559174292E-2</v>
      </c>
      <c r="BD8" s="245">
        <f t="shared" si="21"/>
        <v>0.11470011774687931</v>
      </c>
      <c r="BE8" s="79" t="s">
        <v>245</v>
      </c>
      <c r="BH8" s="282" t="s">
        <v>294</v>
      </c>
      <c r="BI8" s="300">
        <f>-SUM(E192:E193,E195,E197:E212,E214:E216)</f>
        <v>279791682.45869172</v>
      </c>
      <c r="BJ8" s="283">
        <f>BI8/$C$24</f>
        <v>0.28471584753499807</v>
      </c>
      <c r="BK8" s="260" t="s">
        <v>350</v>
      </c>
      <c r="BN8" s="4" t="s">
        <v>231</v>
      </c>
      <c r="BO8" s="103">
        <f t="shared" si="22"/>
        <v>0</v>
      </c>
      <c r="BP8" s="20"/>
      <c r="BQ8" s="4" t="s">
        <v>231</v>
      </c>
      <c r="BR8" s="103">
        <f t="shared" si="23"/>
        <v>0</v>
      </c>
      <c r="BS8" s="20"/>
      <c r="BV8" s="361" t="s">
        <v>358</v>
      </c>
      <c r="BW8" s="362" t="s">
        <v>403</v>
      </c>
      <c r="BX8" s="362" t="s">
        <v>359</v>
      </c>
      <c r="BY8" s="362" t="s">
        <v>360</v>
      </c>
      <c r="BZ8" s="375" t="s">
        <v>361</v>
      </c>
      <c r="CA8" s="386" t="s">
        <v>286</v>
      </c>
      <c r="CB8" s="380" t="s">
        <v>362</v>
      </c>
    </row>
    <row r="9" spans="1:81" ht="22.5" x14ac:dyDescent="0.2">
      <c r="AE9" s="203" t="s">
        <v>219</v>
      </c>
      <c r="AF9" s="275">
        <f t="shared" si="0"/>
        <v>22309286.058214776</v>
      </c>
      <c r="AG9" s="275">
        <f t="shared" si="1"/>
        <v>13624027.199999999</v>
      </c>
      <c r="AH9" s="262">
        <v>0.3</v>
      </c>
      <c r="AI9" s="275">
        <f t="shared" si="2"/>
        <v>2854558.0799999996</v>
      </c>
      <c r="AJ9" s="275">
        <f t="shared" si="3"/>
        <v>10674635.150614763</v>
      </c>
      <c r="AK9" s="275">
        <f t="shared" si="4"/>
        <v>886567.85227421275</v>
      </c>
      <c r="AL9" s="275">
        <f t="shared" si="5"/>
        <v>0</v>
      </c>
      <c r="AM9" s="238">
        <f t="shared" si="6"/>
        <v>7.9147557623366324E-2</v>
      </c>
      <c r="AN9" s="238">
        <f t="shared" si="7"/>
        <v>6.9624988983459604E-2</v>
      </c>
      <c r="AO9" s="271">
        <f t="shared" si="8"/>
        <v>1</v>
      </c>
      <c r="AP9" s="275">
        <f t="shared" si="9"/>
        <v>3682402.2300224998</v>
      </c>
      <c r="AQ9" s="239">
        <f t="shared" si="10"/>
        <v>616534.53313338978</v>
      </c>
      <c r="AR9" s="258">
        <f t="shared" si="11"/>
        <v>6240688.1790165985</v>
      </c>
      <c r="AS9" s="212">
        <f t="shared" si="12"/>
        <v>6564159.2308554696</v>
      </c>
      <c r="AT9" s="240">
        <f t="shared" si="13"/>
        <v>364792.88132134988</v>
      </c>
      <c r="AU9" s="240">
        <f t="shared" si="14"/>
        <v>67817651.395453051</v>
      </c>
      <c r="AV9" s="240">
        <f t="shared" si="15"/>
        <v>16502.974511399592</v>
      </c>
      <c r="AW9" s="234">
        <f t="shared" si="16"/>
        <v>6.8639988193161236E-2</v>
      </c>
      <c r="AX9" s="275">
        <f t="shared" si="17"/>
        <v>88837795.804140478</v>
      </c>
      <c r="AY9" s="259">
        <f t="shared" si="18"/>
        <v>5142.7754886004004</v>
      </c>
      <c r="AZ9" s="259">
        <f t="shared" si="24"/>
        <v>21020144.408687428</v>
      </c>
      <c r="BA9" s="297">
        <f t="shared" si="25"/>
        <v>4.5400238702069551</v>
      </c>
      <c r="BB9" s="279">
        <f t="shared" si="19"/>
        <v>0.23661262887510473</v>
      </c>
      <c r="BC9" s="279">
        <f t="shared" si="20"/>
        <v>6.1802021534337698E-2</v>
      </c>
      <c r="BD9" s="242">
        <f t="shared" si="21"/>
        <v>0.3116271848476756</v>
      </c>
      <c r="BE9" s="79" t="s">
        <v>219</v>
      </c>
      <c r="BH9" s="203" t="s">
        <v>387</v>
      </c>
      <c r="BI9" s="292">
        <f>C25</f>
        <v>17683474.1895913</v>
      </c>
      <c r="BJ9" s="238">
        <f>BI9/SUM(C24:C25)</f>
        <v>1.7676607562753629E-2</v>
      </c>
      <c r="BK9" s="208" t="s">
        <v>66</v>
      </c>
      <c r="BN9" s="5" t="s">
        <v>43</v>
      </c>
      <c r="BO9" s="104">
        <f t="shared" si="22"/>
        <v>0</v>
      </c>
      <c r="BP9" s="20"/>
      <c r="BQ9" s="5" t="s">
        <v>43</v>
      </c>
      <c r="BR9" s="104">
        <f t="shared" si="23"/>
        <v>0</v>
      </c>
      <c r="BS9" s="20"/>
      <c r="BV9" s="203" t="s">
        <v>363</v>
      </c>
      <c r="BW9" s="366">
        <v>1</v>
      </c>
      <c r="BX9" s="275">
        <f>H22*BW9</f>
        <v>24981924.542399999</v>
      </c>
      <c r="BY9" s="275" t="s">
        <v>364</v>
      </c>
      <c r="BZ9" s="376">
        <f>BX9*BW6</f>
        <v>25459620.361823425</v>
      </c>
      <c r="CA9" s="387">
        <f>BZ9+BX9</f>
        <v>50441544.904223427</v>
      </c>
      <c r="CB9" s="381"/>
    </row>
    <row r="10" spans="1:81" ht="22.5" x14ac:dyDescent="0.2">
      <c r="AE10" s="175" t="s">
        <v>284</v>
      </c>
      <c r="AF10" s="211">
        <f t="shared" si="0"/>
        <v>58694345.780443259</v>
      </c>
      <c r="AG10" s="211">
        <f t="shared" si="1"/>
        <v>204360407.99999997</v>
      </c>
      <c r="AH10" s="263">
        <v>0.3</v>
      </c>
      <c r="AI10" s="211">
        <f t="shared" si="2"/>
        <v>2854558.0799999996</v>
      </c>
      <c r="AJ10" s="211">
        <f t="shared" si="3"/>
        <v>12751379.233656373</v>
      </c>
      <c r="AK10" s="211">
        <f t="shared" si="4"/>
        <v>1059049.1142046819</v>
      </c>
      <c r="AL10" s="211">
        <f t="shared" si="5"/>
        <v>0</v>
      </c>
      <c r="AM10" s="243">
        <f t="shared" si="6"/>
        <v>0.43971283576222525</v>
      </c>
      <c r="AN10" s="243">
        <f t="shared" si="7"/>
        <v>0.38680917346200477</v>
      </c>
      <c r="AO10" s="272">
        <f t="shared" si="8"/>
        <v>1</v>
      </c>
      <c r="AP10" s="211">
        <f>(AN10*SUM($C$86,$C$88:$C$90,$C$96:$C$97,$C$101))+((H154+T154)/($H$157+$T$157))*$C$99+((SUM($D$94:$D$95)*H68*AO10)+(D93*H68/2*AO10))</f>
        <v>20982035.210224371</v>
      </c>
      <c r="AQ10" s="239">
        <f>((($C$98)*AM10))+C91</f>
        <v>23861265.229532965</v>
      </c>
      <c r="AR10" s="278">
        <f t="shared" si="11"/>
        <v>34670819.652596034</v>
      </c>
      <c r="AS10" s="276">
        <f t="shared" si="12"/>
        <v>36467898.144492157</v>
      </c>
      <c r="AT10" s="244">
        <f t="shared" si="13"/>
        <v>16728096.000000002</v>
      </c>
      <c r="AU10" s="244">
        <f t="shared" si="14"/>
        <v>412429854.44514984</v>
      </c>
      <c r="AV10" s="244">
        <f t="shared" si="15"/>
        <v>36797.579833273361</v>
      </c>
      <c r="AW10" s="235">
        <f t="shared" si="16"/>
        <v>0.40266587103937002</v>
      </c>
      <c r="AX10" s="211">
        <f t="shared" si="17"/>
        <v>550844373.33333337</v>
      </c>
      <c r="AY10" s="257">
        <f t="shared" si="18"/>
        <v>12871.611510864859</v>
      </c>
      <c r="AZ10" s="257">
        <f>AX10-AU10</f>
        <v>138414518.88818353</v>
      </c>
      <c r="BA10" s="298">
        <f t="shared" si="25"/>
        <v>0.8686980484207365</v>
      </c>
      <c r="BB10" s="280">
        <f t="shared" si="19"/>
        <v>0.25127699508046808</v>
      </c>
      <c r="BC10" s="280">
        <f t="shared" si="20"/>
        <v>0.40695710318037115</v>
      </c>
      <c r="BD10" s="245">
        <f t="shared" si="21"/>
        <v>0.34979505633753671</v>
      </c>
      <c r="BE10" s="79" t="s">
        <v>220</v>
      </c>
      <c r="BH10" s="282" t="s">
        <v>386</v>
      </c>
      <c r="BI10" s="299">
        <f>I49</f>
        <v>239271977.69999999</v>
      </c>
      <c r="BJ10" s="283">
        <f>BI10/$C$24</f>
        <v>0.24348302037995187</v>
      </c>
      <c r="BK10" s="208" t="s">
        <v>300</v>
      </c>
      <c r="BN10" s="4" t="s">
        <v>44</v>
      </c>
      <c r="BO10" s="103">
        <f t="shared" si="22"/>
        <v>0</v>
      </c>
      <c r="BP10" s="20"/>
      <c r="BQ10" s="4" t="s">
        <v>44</v>
      </c>
      <c r="BR10" s="103">
        <f t="shared" si="23"/>
        <v>0</v>
      </c>
      <c r="BS10" s="20"/>
      <c r="BV10" s="175" t="s">
        <v>401</v>
      </c>
      <c r="BW10" s="366">
        <v>0</v>
      </c>
      <c r="BX10" s="211">
        <f>H22*BW10</f>
        <v>0</v>
      </c>
      <c r="BY10" s="211"/>
      <c r="BZ10" s="377">
        <f>BX10*BW7</f>
        <v>0</v>
      </c>
      <c r="CA10" s="388">
        <f>BZ10+BX10</f>
        <v>0</v>
      </c>
      <c r="CB10" s="382"/>
    </row>
    <row r="11" spans="1:81" ht="22.5" x14ac:dyDescent="0.2">
      <c r="AE11" s="203" t="s">
        <v>285</v>
      </c>
      <c r="AF11" s="275">
        <f t="shared" si="0"/>
        <v>0</v>
      </c>
      <c r="AG11" s="275">
        <f t="shared" si="1"/>
        <v>0</v>
      </c>
      <c r="AH11" s="262"/>
      <c r="AI11" s="275">
        <f t="shared" si="2"/>
        <v>0</v>
      </c>
      <c r="AJ11" s="275">
        <f t="shared" si="3"/>
        <v>0</v>
      </c>
      <c r="AK11" s="275">
        <f t="shared" si="4"/>
        <v>0</v>
      </c>
      <c r="AL11" s="275">
        <f t="shared" si="5"/>
        <v>0</v>
      </c>
      <c r="AM11" s="238">
        <f t="shared" si="6"/>
        <v>0</v>
      </c>
      <c r="AN11" s="238">
        <f t="shared" si="7"/>
        <v>0</v>
      </c>
      <c r="AO11" s="271">
        <f t="shared" si="8"/>
        <v>1</v>
      </c>
      <c r="AP11" s="275">
        <f>(AN11*SUM($C$86,$C$88:$C$90,$C$96:$C$97,$C$101))+((H155+T155)/($H$157+$T$157))*$C$99+(SUM($D$93:$D$95)*H69*AO11)</f>
        <v>0</v>
      </c>
      <c r="AQ11" s="239">
        <f>(($A$92+$C$98)*AM11)</f>
        <v>0</v>
      </c>
      <c r="AR11" s="258">
        <f t="shared" si="11"/>
        <v>0</v>
      </c>
      <c r="AS11" s="212">
        <f t="shared" si="12"/>
        <v>0</v>
      </c>
      <c r="AT11" s="240">
        <f t="shared" si="13"/>
        <v>0</v>
      </c>
      <c r="AU11" s="240">
        <f t="shared" si="14"/>
        <v>0</v>
      </c>
      <c r="AV11" s="240" t="str">
        <f t="shared" si="15"/>
        <v>0</v>
      </c>
      <c r="AW11" s="234">
        <f t="shared" si="16"/>
        <v>0</v>
      </c>
      <c r="AX11" s="275">
        <f t="shared" si="17"/>
        <v>0</v>
      </c>
      <c r="AY11" s="259" t="str">
        <f t="shared" si="18"/>
        <v>0</v>
      </c>
      <c r="AZ11" s="259">
        <f t="shared" si="24"/>
        <v>0</v>
      </c>
      <c r="BA11" s="297" t="str">
        <f t="shared" si="25"/>
        <v>0.00</v>
      </c>
      <c r="BB11" s="279" t="str">
        <f t="shared" si="19"/>
        <v>0.00%</v>
      </c>
      <c r="BC11" s="279">
        <f t="shared" si="20"/>
        <v>0</v>
      </c>
      <c r="BD11" s="242" t="str">
        <f t="shared" si="21"/>
        <v>0.00%</v>
      </c>
      <c r="BE11" s="79" t="s">
        <v>221</v>
      </c>
      <c r="BH11" s="203" t="s">
        <v>385</v>
      </c>
      <c r="BI11" s="292">
        <f>J76</f>
        <v>475846181.75999999</v>
      </c>
      <c r="BJ11" s="238">
        <f>BI11/$C$24</f>
        <v>0.4842207879288673</v>
      </c>
      <c r="BK11" s="208" t="s">
        <v>301</v>
      </c>
      <c r="BN11" s="5" t="s">
        <v>45</v>
      </c>
      <c r="BO11" s="104">
        <f t="shared" si="22"/>
        <v>0</v>
      </c>
      <c r="BP11" s="20"/>
      <c r="BQ11" s="5" t="s">
        <v>45</v>
      </c>
      <c r="BR11" s="104">
        <f t="shared" si="23"/>
        <v>0</v>
      </c>
      <c r="BS11" s="20"/>
      <c r="BV11" s="203" t="s">
        <v>365</v>
      </c>
      <c r="BW11" s="369">
        <v>1</v>
      </c>
      <c r="BX11" s="275">
        <f>E104*C196*BW11</f>
        <v>0</v>
      </c>
      <c r="BY11" s="275"/>
      <c r="BZ11" s="376">
        <f>BW6*$C$7</f>
        <v>0</v>
      </c>
      <c r="CA11" s="387">
        <f>BZ11+BX11</f>
        <v>0</v>
      </c>
      <c r="CB11" s="381"/>
    </row>
    <row r="12" spans="1:81" ht="23.25" thickBot="1" x14ac:dyDescent="0.25">
      <c r="AE12" s="175" t="s">
        <v>420</v>
      </c>
      <c r="AF12" s="211">
        <f t="shared" si="0"/>
        <v>0</v>
      </c>
      <c r="AG12" s="211">
        <f t="shared" si="1"/>
        <v>0</v>
      </c>
      <c r="AH12" s="263"/>
      <c r="AI12" s="211">
        <f t="shared" si="2"/>
        <v>0</v>
      </c>
      <c r="AJ12" s="211">
        <f t="shared" si="3"/>
        <v>0</v>
      </c>
      <c r="AK12" s="211">
        <f t="shared" si="4"/>
        <v>0</v>
      </c>
      <c r="AL12" s="211">
        <f t="shared" si="5"/>
        <v>0</v>
      </c>
      <c r="AM12" s="243">
        <f t="shared" si="6"/>
        <v>0</v>
      </c>
      <c r="AN12" s="243">
        <f t="shared" si="7"/>
        <v>0</v>
      </c>
      <c r="AO12" s="272">
        <f t="shared" si="8"/>
        <v>1</v>
      </c>
      <c r="AP12" s="211">
        <f>(AN12*SUM($C$86,$C$88:$C$90,$C$96:$C$97,$C$101))+((H156+T156)/($H$157+$T$157))*$C$99+(SUM($D$93:$D$95)*H70*AO12)</f>
        <v>0</v>
      </c>
      <c r="AQ12" s="239">
        <f>(($A$92+$C$98)*AM12)</f>
        <v>0</v>
      </c>
      <c r="AR12" s="278">
        <f t="shared" si="11"/>
        <v>0</v>
      </c>
      <c r="AS12" s="276">
        <f t="shared" si="12"/>
        <v>0</v>
      </c>
      <c r="AT12" s="244">
        <f t="shared" si="13"/>
        <v>0</v>
      </c>
      <c r="AU12" s="244">
        <f t="shared" si="14"/>
        <v>0</v>
      </c>
      <c r="AV12" s="244" t="str">
        <f t="shared" si="15"/>
        <v>0</v>
      </c>
      <c r="AW12" s="235">
        <f t="shared" si="16"/>
        <v>0</v>
      </c>
      <c r="AX12" s="211">
        <f t="shared" si="17"/>
        <v>0</v>
      </c>
      <c r="AY12" s="257" t="str">
        <f t="shared" si="18"/>
        <v>0</v>
      </c>
      <c r="AZ12" s="257">
        <f t="shared" si="24"/>
        <v>0</v>
      </c>
      <c r="BA12" s="298" t="str">
        <f t="shared" si="25"/>
        <v>0.00</v>
      </c>
      <c r="BB12" s="280" t="str">
        <f t="shared" si="19"/>
        <v>0.00%</v>
      </c>
      <c r="BC12" s="280">
        <f t="shared" si="20"/>
        <v>0</v>
      </c>
      <c r="BD12" s="245" t="str">
        <f t="shared" si="21"/>
        <v>0.00%</v>
      </c>
      <c r="BE12" s="79" t="s">
        <v>222</v>
      </c>
      <c r="BH12" s="282" t="s">
        <v>384</v>
      </c>
      <c r="BI12" s="300">
        <f>C102</f>
        <v>94459263.982818097</v>
      </c>
      <c r="BJ12" s="283">
        <f>BI12/$C$24</f>
        <v>9.6121690130552023E-2</v>
      </c>
      <c r="BK12" s="208" t="s">
        <v>351</v>
      </c>
      <c r="BN12" s="289" t="s">
        <v>46</v>
      </c>
      <c r="BO12" s="290">
        <f t="shared" si="22"/>
        <v>0</v>
      </c>
      <c r="BP12" s="291"/>
      <c r="BQ12" s="289" t="s">
        <v>46</v>
      </c>
      <c r="BR12" s="290">
        <f t="shared" si="23"/>
        <v>0</v>
      </c>
      <c r="BS12" s="291"/>
      <c r="BV12" s="175" t="s">
        <v>402</v>
      </c>
      <c r="BW12" s="369">
        <v>0</v>
      </c>
      <c r="BX12" s="211">
        <f>E104*C196*BW12</f>
        <v>0</v>
      </c>
      <c r="BY12" s="211"/>
      <c r="BZ12" s="377">
        <f>BW7*$C$7</f>
        <v>0</v>
      </c>
      <c r="CA12" s="388">
        <f>BZ12+BX12</f>
        <v>0</v>
      </c>
      <c r="CB12" s="382"/>
    </row>
    <row r="13" spans="1:81" ht="18.75" thickBot="1" x14ac:dyDescent="0.25">
      <c r="AE13" s="176" t="s">
        <v>286</v>
      </c>
      <c r="AF13" s="215">
        <f>SUMIF(AF3:AF12, "&lt;&gt;#DIV/0!")</f>
        <v>203495683.45911816</v>
      </c>
      <c r="AG13" s="215">
        <f>SUMIF(AG3:AG12, "&lt;&gt;#DIV/0!")</f>
        <v>332080437.6060251</v>
      </c>
      <c r="AH13" s="261">
        <f>SUM(AH3:AH12)</f>
        <v>1</v>
      </c>
      <c r="AI13" s="215">
        <f>SUM(AI3:AI12)</f>
        <v>9236505.9213389121</v>
      </c>
      <c r="AJ13" s="215">
        <f>SUMIF(AJ3:AJ12, "&lt;&gt;#DIV/0!")</f>
        <v>84325672.380332515</v>
      </c>
      <c r="AK13" s="215">
        <f>SUMIF(AK3:AK12, "&lt;&gt;#DIV/0!")</f>
        <v>7003558.3604470808</v>
      </c>
      <c r="AL13" s="215">
        <f>SUM(AL3:AL12)</f>
        <v>0</v>
      </c>
      <c r="AM13" s="256">
        <f>SUM(AF13:AG13,AI13:AL13)</f>
        <v>636141857.72726166</v>
      </c>
      <c r="AN13" s="215">
        <f>SUM(AF3:AG12,AI3:AL12,AF21:AG30,AI21:AL30)</f>
        <v>723146604.06000018</v>
      </c>
      <c r="AO13" s="215" t="s">
        <v>66</v>
      </c>
      <c r="AP13" s="485">
        <f>SUM(AP3:AQ12)</f>
        <v>76033031.284206748</v>
      </c>
      <c r="AQ13" s="486"/>
      <c r="AR13" s="273">
        <f>SUMIF(AR3:AR12, "&lt;&gt;#DIV/0!")</f>
        <v>78848777.731256157</v>
      </c>
      <c r="AS13" s="273">
        <f>SUMIF(AS3:AS12, "&lt;&gt;#DIV/0!")</f>
        <v>82935714.353838369</v>
      </c>
      <c r="AT13" s="247">
        <f>SUM(AT3:AT12)</f>
        <v>17683474.1895913</v>
      </c>
      <c r="AU13" s="247">
        <f>SUM(AU3:AU12)</f>
        <v>891642855.28615439</v>
      </c>
      <c r="AV13" s="248">
        <f>IFERROR(AU13/E139, "0")</f>
        <v>23915.709788463311</v>
      </c>
      <c r="AW13" s="249">
        <f>SUMIF(AW3:AW12, "&lt;&gt;#DIV/0!")</f>
        <v>0.88934053976678684</v>
      </c>
      <c r="AX13" s="215">
        <f>SUMIF(AX3:AX12, "&lt;&gt;#DIV/0!")</f>
        <v>1198115147.5246496</v>
      </c>
      <c r="AY13" s="250">
        <f>AZ13/E139</f>
        <v>8220.2222066016748</v>
      </c>
      <c r="AZ13" s="251">
        <f>SUMIF(AZ3:AZ12, "&lt;&gt;#DIV/0!")</f>
        <v>306472292.23849523</v>
      </c>
      <c r="BA13" s="251"/>
      <c r="BB13" s="281">
        <f t="shared" si="19"/>
        <v>0.25579535729239244</v>
      </c>
      <c r="BC13" s="281" t="s">
        <v>66</v>
      </c>
      <c r="BD13" s="252">
        <f>IFERROR(AZ13/AU13, "0.00%")</f>
        <v>0.34371642235627992</v>
      </c>
      <c r="BE13" s="310"/>
      <c r="BH13" s="203" t="s">
        <v>383</v>
      </c>
      <c r="BI13" s="292">
        <f>C119</f>
        <v>78848777.731256142</v>
      </c>
      <c r="BJ13" s="238">
        <f>BI13/$C$24</f>
        <v>8.0236468724075471E-2</v>
      </c>
      <c r="BK13" s="208" t="s">
        <v>302</v>
      </c>
      <c r="BV13" s="203" t="s">
        <v>399</v>
      </c>
      <c r="BW13" s="393" t="s">
        <v>406</v>
      </c>
      <c r="BX13" s="275" t="s">
        <v>66</v>
      </c>
      <c r="BY13" s="275" t="s">
        <v>369</v>
      </c>
      <c r="BZ13" s="376">
        <f>(SUM(C184,C187,C188)*2.5%)</f>
        <v>31514302.887698025</v>
      </c>
      <c r="CA13" s="387">
        <f>BZ13</f>
        <v>31514302.887698025</v>
      </c>
      <c r="CB13" s="381"/>
    </row>
    <row r="14" spans="1:81" ht="18.75" thickBot="1" x14ac:dyDescent="0.25">
      <c r="A14" s="310"/>
      <c r="AE14" s="79" t="s">
        <v>67</v>
      </c>
      <c r="AF14" s="79" t="b">
        <f>(AF13+AF31)=I49</f>
        <v>1</v>
      </c>
      <c r="AG14" s="79" t="b">
        <f>(AG13+AG31)=SUM(J61:J71)</f>
        <v>1</v>
      </c>
      <c r="AH14" s="79" t="b">
        <f>AH13=100%</f>
        <v>1</v>
      </c>
      <c r="AI14" s="79" t="b">
        <f>(AI13+AI31)=SUM(J73)</f>
        <v>1</v>
      </c>
      <c r="AJ14" s="79" t="b">
        <f>(AJ13+AJ31)=SUM(J74:J75)</f>
        <v>1</v>
      </c>
      <c r="AK14" s="79" t="b">
        <f>(AK13+AK31)=SUM(C87)</f>
        <v>1</v>
      </c>
      <c r="AL14" s="79" t="b">
        <f>(AL13+AL31)=SUM(J71)</f>
        <v>1</v>
      </c>
      <c r="AM14" s="79" t="b">
        <f>SUM(AM3:AM12)=100%</f>
        <v>1</v>
      </c>
      <c r="AN14" s="79" t="b">
        <f>SUM(AN3:AN12,AN21:AN30)=100%</f>
        <v>0</v>
      </c>
      <c r="AO14" s="79" t="b">
        <f>SUM(AO3:AO12,AO21:AO30)=1000%</f>
        <v>1</v>
      </c>
      <c r="AP14" s="484" t="b">
        <f>(C102-C87)=(AP13+AP31)</f>
        <v>0</v>
      </c>
      <c r="AQ14" s="484"/>
      <c r="AR14" s="79" t="b">
        <f>IF(ABS(C119-AR13) &lt; MAX(0.00001, C119 * 0.00001), TRUE, FALSE)</f>
        <v>1</v>
      </c>
      <c r="AS14" s="79" t="b">
        <f>(AS13+AS31)=SUM(C107)</f>
        <v>0</v>
      </c>
      <c r="AT14" s="79" t="b">
        <f>AT13=C25</f>
        <v>1</v>
      </c>
      <c r="AU14" s="79" t="b">
        <f>IF(ABS(AU13+AU31 - C24+C25) &lt; MAX(0.0001, AU13+AU31 * 0.0001), TRUE, FALSE)</f>
        <v>1</v>
      </c>
      <c r="AV14" s="79" t="b">
        <f>AV13=AV13</f>
        <v>1</v>
      </c>
      <c r="AW14" s="79" t="b">
        <f>AW31+AW13=100%</f>
        <v>0</v>
      </c>
      <c r="AX14" s="79" t="b">
        <f>ABS((AX13 + AX31) - (C17 + AT31)) &lt; 0.1</f>
        <v>1</v>
      </c>
      <c r="AY14" s="79" t="b">
        <f>AY13=AY13</f>
        <v>1</v>
      </c>
      <c r="AZ14" s="79" t="b">
        <f>IF(ABS(AZ13+AZ31 - C26) &lt; MAX(0.0001, AZ13+AZ31 * 0.0001), TRUE, FALSE)</f>
        <v>1</v>
      </c>
      <c r="BA14" s="79" t="b">
        <f>BA13=BA13</f>
        <v>1</v>
      </c>
      <c r="BB14" s="79" t="b">
        <f>BB13=BB13</f>
        <v>1</v>
      </c>
      <c r="BC14" s="79" t="b">
        <f>BC13=BC13</f>
        <v>1</v>
      </c>
      <c r="BD14" s="79" t="b">
        <f>BD13=BD13</f>
        <v>1</v>
      </c>
      <c r="BE14" s="310"/>
      <c r="BH14" s="282" t="s">
        <v>382</v>
      </c>
      <c r="BI14" s="300">
        <f>C107</f>
        <v>94278783.044617474</v>
      </c>
      <c r="BJ14" s="283">
        <f>BI14/$C$24</f>
        <v>9.5938032836553333E-2</v>
      </c>
      <c r="BK14" s="208" t="s">
        <v>303</v>
      </c>
      <c r="BV14" s="175" t="s">
        <v>400</v>
      </c>
      <c r="BW14" s="393" t="s">
        <v>406</v>
      </c>
      <c r="BX14" s="211">
        <v>0</v>
      </c>
      <c r="BY14" s="211"/>
      <c r="BZ14" s="377">
        <f>BX18*BW6*(1-BY18)</f>
        <v>0</v>
      </c>
      <c r="CA14" s="388"/>
      <c r="CB14" s="382"/>
    </row>
    <row r="15" spans="1:81" ht="12.75" x14ac:dyDescent="0.2">
      <c r="A15" s="310"/>
      <c r="B15" s="449" t="s">
        <v>1</v>
      </c>
      <c r="C15" s="451"/>
      <c r="D15" s="310"/>
      <c r="E15" s="310"/>
      <c r="G15" s="505" t="s">
        <v>0</v>
      </c>
      <c r="H15" s="506"/>
      <c r="I15" s="506"/>
      <c r="J15" s="506"/>
      <c r="K15" s="310"/>
      <c r="AF15" s="310"/>
      <c r="AG15" s="310"/>
      <c r="AH15" s="310"/>
      <c r="AI15" s="310"/>
      <c r="AJ15" s="310"/>
      <c r="AK15" s="310"/>
      <c r="AL15" s="310"/>
      <c r="AO15" s="310"/>
      <c r="AQ15" s="310"/>
      <c r="AR15" s="310"/>
      <c r="AS15" s="310"/>
      <c r="AT15" s="310"/>
      <c r="AU15" s="310"/>
      <c r="AV15" s="310"/>
      <c r="AW15" s="310"/>
      <c r="AY15" s="310"/>
      <c r="AZ15" s="310"/>
      <c r="BD15" s="310"/>
      <c r="BH15" s="518" t="s">
        <v>396</v>
      </c>
      <c r="BI15" s="519"/>
      <c r="BJ15" s="520"/>
      <c r="BK15" s="208" t="s">
        <v>66</v>
      </c>
      <c r="BV15" s="203" t="s">
        <v>366</v>
      </c>
      <c r="BW15" s="366">
        <v>1</v>
      </c>
      <c r="BX15" s="275">
        <f>L23*BW15</f>
        <v>0</v>
      </c>
      <c r="BY15" s="275" t="s">
        <v>367</v>
      </c>
      <c r="BZ15" s="376">
        <f>BX15*BW6</f>
        <v>0</v>
      </c>
      <c r="CA15" s="387">
        <f>BZ15+BX15</f>
        <v>0</v>
      </c>
      <c r="CB15" s="381"/>
    </row>
    <row r="16" spans="1:81" ht="22.5" x14ac:dyDescent="0.2">
      <c r="A16" s="310"/>
      <c r="B16" s="102" t="s">
        <v>5</v>
      </c>
      <c r="C16" s="100" t="s">
        <v>6</v>
      </c>
      <c r="D16" s="310"/>
      <c r="E16" s="310"/>
      <c r="G16" s="507" t="s">
        <v>9</v>
      </c>
      <c r="H16" s="508"/>
      <c r="I16" s="508"/>
      <c r="J16" s="508"/>
      <c r="K16" s="310"/>
      <c r="AM16" s="201"/>
      <c r="BH16" s="203" t="s">
        <v>330</v>
      </c>
      <c r="BI16" s="525">
        <f>SUM(C184,C187:C188)/J59</f>
        <v>28755.66391032689</v>
      </c>
      <c r="BJ16" s="526"/>
      <c r="BK16" s="208" t="s">
        <v>66</v>
      </c>
      <c r="BV16" s="175" t="s">
        <v>368</v>
      </c>
      <c r="BW16" s="369">
        <v>1</v>
      </c>
      <c r="BX16" s="211">
        <v>0</v>
      </c>
      <c r="BY16" s="211" t="s">
        <v>367</v>
      </c>
      <c r="BZ16" s="377">
        <f>BX16*$C$7</f>
        <v>0</v>
      </c>
      <c r="CA16" s="388">
        <f>BZ16+BX16</f>
        <v>0</v>
      </c>
      <c r="CB16" s="382"/>
    </row>
    <row r="17" spans="1:80" ht="22.5" x14ac:dyDescent="0.2">
      <c r="A17" s="310"/>
      <c r="B17" s="88" t="s">
        <v>8</v>
      </c>
      <c r="C17" s="98">
        <f>SUM(C184:C188)</f>
        <v>1340509119.299747</v>
      </c>
      <c r="D17" s="400"/>
      <c r="E17" s="310"/>
      <c r="G17" s="102" t="s">
        <v>2</v>
      </c>
      <c r="H17" s="99" t="s">
        <v>3</v>
      </c>
      <c r="I17" s="100" t="s">
        <v>4</v>
      </c>
      <c r="J17" s="100" t="s">
        <v>429</v>
      </c>
      <c r="P17" s="434"/>
      <c r="Q17" s="434"/>
      <c r="S17" s="434"/>
      <c r="T17" s="434"/>
      <c r="U17" s="434"/>
      <c r="AI17" s="310"/>
      <c r="AJ17" s="310"/>
      <c r="AK17" s="310"/>
      <c r="AL17" s="310"/>
      <c r="AM17" s="310"/>
      <c r="AN17" s="310"/>
      <c r="AO17" s="310"/>
      <c r="AP17" s="310"/>
      <c r="AQ17" s="310"/>
      <c r="AR17" s="310"/>
      <c r="AS17" s="310"/>
      <c r="AT17" s="310"/>
      <c r="AU17" s="310"/>
      <c r="AV17" s="310"/>
      <c r="AW17" s="310"/>
      <c r="AX17" s="310"/>
      <c r="AY17" s="310"/>
      <c r="AZ17" s="310"/>
      <c r="BA17" s="310"/>
      <c r="BH17" s="282" t="s">
        <v>340</v>
      </c>
      <c r="BI17" s="274">
        <f>BI16-BI6</f>
        <v>6338.5931996919098</v>
      </c>
      <c r="BJ17" s="283">
        <f>BI17/BI6</f>
        <v>0.28275742542422327</v>
      </c>
      <c r="BK17" s="208" t="s">
        <v>66</v>
      </c>
      <c r="BV17" s="332" t="s">
        <v>370</v>
      </c>
      <c r="BW17" s="367"/>
      <c r="BX17" s="333">
        <f>SUM(BX9:BX16)</f>
        <v>24981924.542399999</v>
      </c>
      <c r="BY17" s="333"/>
      <c r="BZ17" s="378">
        <f>SUM(BZ9:BZ16)</f>
        <v>56973923.249521449</v>
      </c>
      <c r="CA17" s="389">
        <f>SUM(CA9:CA16)</f>
        <v>81955847.791921452</v>
      </c>
      <c r="CB17" s="383"/>
    </row>
    <row r="18" spans="1:80" ht="22.5" x14ac:dyDescent="0.2">
      <c r="A18" s="310"/>
      <c r="B18" s="94" t="s">
        <v>10</v>
      </c>
      <c r="C18" s="140">
        <f>I49</f>
        <v>239271977.69999999</v>
      </c>
      <c r="D18" s="401"/>
      <c r="G18" s="509" t="s">
        <v>7</v>
      </c>
      <c r="H18" s="510"/>
      <c r="I18" s="510"/>
      <c r="J18" s="510"/>
      <c r="P18" s="435"/>
      <c r="Q18" s="435"/>
      <c r="S18" s="436"/>
      <c r="T18" s="436"/>
      <c r="U18" s="436"/>
      <c r="AI18" s="310"/>
      <c r="AJ18" s="310"/>
      <c r="AK18" s="310"/>
      <c r="AL18" s="310"/>
      <c r="AM18" s="316"/>
      <c r="AN18" s="310"/>
      <c r="AO18" s="310"/>
      <c r="AP18" s="310"/>
      <c r="AQ18" s="310"/>
      <c r="AR18" s="310"/>
      <c r="AS18" s="310"/>
      <c r="AT18" s="310"/>
      <c r="AU18" s="310"/>
      <c r="AV18" s="310"/>
      <c r="AW18" s="310"/>
      <c r="AX18" s="310"/>
      <c r="AY18" s="310"/>
      <c r="AZ18" s="310"/>
      <c r="BA18" s="310"/>
      <c r="BB18" s="310"/>
      <c r="BH18" s="203" t="s">
        <v>381</v>
      </c>
      <c r="BI18" s="259">
        <f>C26/F76</f>
        <v>7758.6956693964294</v>
      </c>
      <c r="BJ18" s="264">
        <f>BI18/BI6</f>
        <v>0.34610657964849945</v>
      </c>
      <c r="BK18" s="208" t="s">
        <v>66</v>
      </c>
      <c r="BV18" s="203" t="s">
        <v>371</v>
      </c>
      <c r="BW18" s="365"/>
      <c r="BX18" s="275">
        <v>0</v>
      </c>
      <c r="BY18" s="366">
        <v>0.7</v>
      </c>
      <c r="BZ18" s="376">
        <f>BX18*BW6*BY18</f>
        <v>0</v>
      </c>
      <c r="CA18" s="387">
        <f>BZ18+BX18</f>
        <v>0</v>
      </c>
      <c r="CB18" s="381"/>
    </row>
    <row r="19" spans="1:80" ht="23.25" thickBot="1" x14ac:dyDescent="0.25">
      <c r="A19" s="310"/>
      <c r="B19" s="88" t="s">
        <v>12</v>
      </c>
      <c r="C19" s="159">
        <f>J76</f>
        <v>475846181.75999999</v>
      </c>
      <c r="E19" s="316"/>
      <c r="G19" s="88" t="s">
        <v>11</v>
      </c>
      <c r="H19" s="97">
        <v>160000000</v>
      </c>
      <c r="I19" s="3">
        <f t="shared" ref="I19:I24" si="26">H19/$H$34</f>
        <v>0.16281590362260084</v>
      </c>
      <c r="J19" s="3">
        <f>H19/$H$24</f>
        <v>0.47941652490717612</v>
      </c>
      <c r="K19" s="310"/>
      <c r="P19" s="78"/>
      <c r="Q19" s="78"/>
      <c r="S19" s="435"/>
      <c r="T19" s="435"/>
      <c r="U19" s="435"/>
      <c r="AE19" s="487" t="s">
        <v>309</v>
      </c>
      <c r="AF19" s="488"/>
      <c r="AG19" s="488"/>
      <c r="AH19" s="488"/>
      <c r="AI19" s="488"/>
      <c r="AJ19" s="488"/>
      <c r="AK19" s="488"/>
      <c r="AL19" s="488"/>
      <c r="AM19" s="488"/>
      <c r="AN19" s="488"/>
      <c r="AO19" s="488"/>
      <c r="AP19" s="488"/>
      <c r="AQ19" s="488"/>
      <c r="AR19" s="488"/>
      <c r="AS19" s="488"/>
      <c r="AT19" s="488"/>
      <c r="AU19" s="488"/>
      <c r="AV19" s="488"/>
      <c r="AW19" s="488"/>
      <c r="AX19" s="488"/>
      <c r="AY19" s="488"/>
      <c r="AZ19" s="488"/>
      <c r="BA19" s="488"/>
      <c r="BB19" s="488"/>
      <c r="BC19" s="488"/>
      <c r="BD19" s="488"/>
      <c r="BH19" s="282" t="s">
        <v>380</v>
      </c>
      <c r="BI19" s="527">
        <f>C26/C17</f>
        <v>0.25372498850969077</v>
      </c>
      <c r="BJ19" s="528"/>
      <c r="BK19" s="208" t="s">
        <v>305</v>
      </c>
      <c r="BV19" s="326" t="s">
        <v>372</v>
      </c>
      <c r="BW19" s="368"/>
      <c r="BX19" s="325">
        <f>SUM(BX17:BX18)</f>
        <v>24981924.542399999</v>
      </c>
      <c r="BY19" s="325"/>
      <c r="BZ19" s="379">
        <f>SUM(BZ17:BZ18)</f>
        <v>56973923.249521449</v>
      </c>
      <c r="CA19" s="390">
        <f>BZ19+BX19</f>
        <v>81955847.791921452</v>
      </c>
      <c r="CB19" s="384"/>
    </row>
    <row r="20" spans="1:80" ht="27" x14ac:dyDescent="0.2">
      <c r="A20" s="310"/>
      <c r="B20" s="94" t="s">
        <v>14</v>
      </c>
      <c r="C20" s="140">
        <f>C102</f>
        <v>94459263.982818097</v>
      </c>
      <c r="D20" s="310"/>
      <c r="E20" s="316"/>
      <c r="G20" s="94" t="s">
        <v>13</v>
      </c>
      <c r="H20" s="95"/>
      <c r="I20" s="2">
        <f t="shared" si="26"/>
        <v>0</v>
      </c>
      <c r="J20" s="2">
        <f t="shared" ref="J20:J24" si="27">H20/$H$24</f>
        <v>0</v>
      </c>
      <c r="K20" s="310"/>
      <c r="P20" s="78"/>
      <c r="Q20" s="437"/>
      <c r="S20" s="436"/>
      <c r="T20" s="436"/>
      <c r="U20" s="436"/>
      <c r="AE20" s="47" t="s">
        <v>282</v>
      </c>
      <c r="AF20" s="48" t="s">
        <v>266</v>
      </c>
      <c r="AG20" s="48" t="s">
        <v>267</v>
      </c>
      <c r="AH20" s="237" t="s">
        <v>325</v>
      </c>
      <c r="AI20" s="48" t="s">
        <v>268</v>
      </c>
      <c r="AJ20" s="48" t="s">
        <v>269</v>
      </c>
      <c r="AK20" s="48" t="s">
        <v>270</v>
      </c>
      <c r="AL20" s="48" t="s">
        <v>271</v>
      </c>
      <c r="AM20" s="237" t="s">
        <v>323</v>
      </c>
      <c r="AN20" s="237" t="s">
        <v>322</v>
      </c>
      <c r="AO20" s="48" t="s">
        <v>319</v>
      </c>
      <c r="AP20" s="48" t="s">
        <v>272</v>
      </c>
      <c r="AQ20" s="48" t="s">
        <v>321</v>
      </c>
      <c r="AR20" s="48" t="s">
        <v>273</v>
      </c>
      <c r="AS20" s="48" t="s">
        <v>274</v>
      </c>
      <c r="AT20" s="48" t="s">
        <v>324</v>
      </c>
      <c r="AU20" s="48" t="s">
        <v>275</v>
      </c>
      <c r="AV20" s="48" t="s">
        <v>331</v>
      </c>
      <c r="AW20" s="48" t="s">
        <v>277</v>
      </c>
      <c r="AX20" s="48" t="s">
        <v>278</v>
      </c>
      <c r="AY20" s="48" t="s">
        <v>279</v>
      </c>
      <c r="AZ20" s="48" t="s">
        <v>280</v>
      </c>
      <c r="BA20" s="48" t="s">
        <v>338</v>
      </c>
      <c r="BB20" s="48" t="s">
        <v>327</v>
      </c>
      <c r="BC20" s="48" t="s">
        <v>337</v>
      </c>
      <c r="BD20" s="49" t="s">
        <v>281</v>
      </c>
      <c r="BE20" s="310"/>
      <c r="BH20" s="203" t="s">
        <v>347</v>
      </c>
      <c r="BI20" s="286">
        <f>C24/BI16</f>
        <v>34174.310399621041</v>
      </c>
      <c r="BJ20" s="301">
        <f>BI20/F76</f>
        <v>0.77957061887152046</v>
      </c>
      <c r="BK20" s="208" t="s">
        <v>66</v>
      </c>
    </row>
    <row r="21" spans="1:80" ht="23.25" thickBot="1" x14ac:dyDescent="0.25">
      <c r="A21" s="310"/>
      <c r="B21" s="88" t="s">
        <v>16</v>
      </c>
      <c r="C21" s="159">
        <f>C107</f>
        <v>94278783.044617474</v>
      </c>
      <c r="D21" s="310"/>
      <c r="E21" s="316"/>
      <c r="G21" s="88" t="s">
        <v>428</v>
      </c>
      <c r="H21" s="97">
        <v>35223532.966391452</v>
      </c>
      <c r="I21" s="3">
        <f>H21/$H$34</f>
        <v>3.5843445929396839E-2</v>
      </c>
      <c r="J21" s="3">
        <f>H21/$H$24</f>
        <v>0.10554214856062967</v>
      </c>
      <c r="K21" s="310"/>
      <c r="L21" s="310"/>
      <c r="P21" s="78"/>
      <c r="Q21" s="437"/>
      <c r="S21" s="78"/>
      <c r="T21" s="78"/>
      <c r="U21" s="438"/>
      <c r="AE21" s="203" t="s">
        <v>310</v>
      </c>
      <c r="AF21" s="275">
        <f t="shared" ref="AF21:AF30" si="28">((F61/$J$59)*$I$49)*AO21</f>
        <v>35776294.240881816</v>
      </c>
      <c r="AG21" s="275">
        <f t="shared" ref="AG21:AG30" si="29">J61*AO21</f>
        <v>37584833.753974892</v>
      </c>
      <c r="AH21" s="262">
        <f t="shared" ref="AH21:AH30" si="30">AH3</f>
        <v>0.1</v>
      </c>
      <c r="AI21" s="275">
        <f t="shared" ref="AI21:AI30" si="31">($J$73*AH21)*AO21</f>
        <v>278687.67866108788</v>
      </c>
      <c r="AJ21" s="275">
        <f t="shared" ref="AJ21:AJ30" si="32">((K61/$L$76)*($J$74+$J$75))*AO21</f>
        <v>12340044.419667456</v>
      </c>
      <c r="AK21" s="275">
        <f t="shared" ref="AK21:AK30" si="33">((K61/$L$76)*$C$87)*AO21</f>
        <v>1024886.239552918</v>
      </c>
      <c r="AL21" s="275">
        <f t="shared" ref="AL21:AL30" si="34">(((D61-F61)/$H$59)*$J$71)*AO21</f>
        <v>0</v>
      </c>
      <c r="AM21" s="238">
        <f t="shared" ref="AM21:AM30" si="35">SUM(AF21:AG21,AI21:AL21)/$AM$31</f>
        <v>1</v>
      </c>
      <c r="AN21" s="238">
        <f>SUM(AF21:AG21,AI21:AL21)/$AN$31</f>
        <v>0.12031411866454579</v>
      </c>
      <c r="AO21" s="253">
        <f t="shared" ref="AO21:AO30" si="36">O129</f>
        <v>0.29288702928870292</v>
      </c>
      <c r="AP21" s="275">
        <f>(AN21*SUM($C$86,$C$88:$C$90,$C$96:$C$97,$C$101))+(SUM($D$93:$D$95)*H61*AO21)</f>
        <v>6735391.7052189307</v>
      </c>
      <c r="AQ21" s="239">
        <f t="shared" ref="AQ21:AQ30" si="37">(($A$92+$C$100)*AM21)</f>
        <v>3662396.3933924213</v>
      </c>
      <c r="AR21" s="110" t="s">
        <v>65</v>
      </c>
      <c r="AS21" s="275">
        <f t="shared" ref="AS21:AS30" si="38">AN21*$C$107</f>
        <v>11343068.690779075</v>
      </c>
      <c r="AT21" s="110" t="s">
        <v>65</v>
      </c>
      <c r="AU21" s="240">
        <f t="shared" ref="AU21:AU30" si="39">SUM(AF21:AG21,AI21:AL21,AP21:AS21)</f>
        <v>108745603.12212859</v>
      </c>
      <c r="AV21" s="240">
        <f>IFERROR((AU21)/P129, "0")</f>
        <v>16590.6688457081</v>
      </c>
      <c r="AW21" s="234">
        <f>(AU21)/($C$24)</f>
        <v>0.11065946023321308</v>
      </c>
      <c r="AX21" s="212">
        <f t="shared" ref="AX21:AX30" si="40">Y129</f>
        <v>142393971.77509734</v>
      </c>
      <c r="AY21" s="241">
        <f t="shared" ref="AY21:AY30" si="41">IFERROR(AZ21/P129, "0")</f>
        <v>5133.5311542918998</v>
      </c>
      <c r="AZ21" s="241">
        <f>AX21-AU21</f>
        <v>33648368.652968749</v>
      </c>
      <c r="BA21" s="297">
        <f>IFERROR(BD21/AW21, "0.00")</f>
        <v>2.796171209437603</v>
      </c>
      <c r="BB21" s="279">
        <f t="shared" ref="BB21:BB31" si="42">IFERROR(AZ21/AX21, "0.00%")</f>
        <v>0.23630472718405743</v>
      </c>
      <c r="BC21" s="279">
        <f t="shared" ref="BC21:BC30" si="43">AZ21/$C$26</f>
        <v>9.8930681143496568E-2</v>
      </c>
      <c r="BD21" s="246">
        <f>IFERROR(AZ21/(AU21), "0.00%")</f>
        <v>0.30942279675601575</v>
      </c>
      <c r="BE21" s="79" t="s">
        <v>214</v>
      </c>
      <c r="BH21" s="518" t="s">
        <v>341</v>
      </c>
      <c r="BI21" s="519"/>
      <c r="BJ21" s="520">
        <v>0</v>
      </c>
      <c r="BK21" s="208" t="s">
        <v>66</v>
      </c>
    </row>
    <row r="22" spans="1:80" ht="22.5" x14ac:dyDescent="0.2">
      <c r="A22" s="310"/>
      <c r="B22" s="94" t="s">
        <v>18</v>
      </c>
      <c r="C22" s="140">
        <f>C119</f>
        <v>78848777.731256142</v>
      </c>
      <c r="D22" s="310"/>
      <c r="E22" s="316"/>
      <c r="G22" s="94" t="s">
        <v>17</v>
      </c>
      <c r="H22" s="95">
        <f>(K22*C104)</f>
        <v>24981924.542399999</v>
      </c>
      <c r="I22" s="2">
        <f t="shared" si="26"/>
        <v>2.5421591366265532E-2</v>
      </c>
      <c r="J22" s="2">
        <f t="shared" si="27"/>
        <v>7.4854671560066893E-2</v>
      </c>
      <c r="K22" s="77">
        <v>0.35</v>
      </c>
      <c r="L22" s="310"/>
      <c r="P22" s="78"/>
      <c r="Q22" s="437"/>
      <c r="S22" s="78"/>
      <c r="T22" s="78"/>
      <c r="U22" s="438"/>
      <c r="AE22" s="175" t="s">
        <v>311</v>
      </c>
      <c r="AF22" s="211">
        <f t="shared" si="28"/>
        <v>0</v>
      </c>
      <c r="AG22" s="211">
        <f t="shared" si="29"/>
        <v>0</v>
      </c>
      <c r="AH22" s="263">
        <f t="shared" si="30"/>
        <v>0</v>
      </c>
      <c r="AI22" s="211">
        <f t="shared" si="31"/>
        <v>0</v>
      </c>
      <c r="AJ22" s="211">
        <f t="shared" si="32"/>
        <v>0</v>
      </c>
      <c r="AK22" s="211">
        <f t="shared" si="33"/>
        <v>0</v>
      </c>
      <c r="AL22" s="211">
        <f t="shared" si="34"/>
        <v>0</v>
      </c>
      <c r="AM22" s="243">
        <f t="shared" si="35"/>
        <v>0</v>
      </c>
      <c r="AN22" s="243">
        <f t="shared" ref="AN22:AN30" si="44">SUM(AF22:AL22)/$AN$31</f>
        <v>0</v>
      </c>
      <c r="AO22" s="254" t="str">
        <f t="shared" si="36"/>
        <v>0.00%</v>
      </c>
      <c r="AP22" s="211">
        <f t="shared" ref="AP22:AP27" si="45">(AN22*SUM($C$86,$C$88:$C$90,$C$96:$C$97,$C$101))+(SUM($D$93:$D$95)*H62*AO22)</f>
        <v>0</v>
      </c>
      <c r="AQ22" s="239">
        <f t="shared" si="37"/>
        <v>0</v>
      </c>
      <c r="AR22" s="111" t="s">
        <v>65</v>
      </c>
      <c r="AS22" s="211">
        <f t="shared" si="38"/>
        <v>0</v>
      </c>
      <c r="AT22" s="111" t="s">
        <v>65</v>
      </c>
      <c r="AU22" s="244">
        <f t="shared" si="39"/>
        <v>0</v>
      </c>
      <c r="AV22" s="244" t="str">
        <f t="shared" ref="AV22:AV30" si="46">IFERROR((AU22-AT22)/P130, "0")</f>
        <v>0</v>
      </c>
      <c r="AW22" s="235">
        <f t="shared" ref="AW22:AW30" si="47">(AU22)/($C$24)</f>
        <v>0</v>
      </c>
      <c r="AX22" s="276">
        <f t="shared" si="40"/>
        <v>0</v>
      </c>
      <c r="AY22" s="274" t="str">
        <f t="shared" si="41"/>
        <v>0</v>
      </c>
      <c r="AZ22" s="274">
        <f t="shared" ref="AZ22:AZ30" si="48">AX22-AU22</f>
        <v>0</v>
      </c>
      <c r="BA22" s="298" t="str">
        <f>IFERROR(BD22/AW22, "0.00")</f>
        <v>0.00</v>
      </c>
      <c r="BB22" s="280" t="str">
        <f t="shared" si="42"/>
        <v>0.00%</v>
      </c>
      <c r="BC22" s="280">
        <f t="shared" si="43"/>
        <v>0</v>
      </c>
      <c r="BD22" s="245" t="str">
        <f t="shared" ref="BD22:BD30" si="49">IFERROR(AZ22/(AU22), "0.00%")</f>
        <v>0.00%</v>
      </c>
      <c r="BE22" s="79" t="s">
        <v>215</v>
      </c>
      <c r="BH22" s="553" t="s">
        <v>379</v>
      </c>
      <c r="BI22" s="165">
        <f>(BJ24+BJ23)-H26</f>
        <v>0</v>
      </c>
      <c r="BJ22" s="265">
        <f>H26/(BJ24+BJ23)</f>
        <v>1</v>
      </c>
      <c r="BK22" s="208" t="s">
        <v>66</v>
      </c>
    </row>
    <row r="23" spans="1:80" ht="22.5" x14ac:dyDescent="0.2">
      <c r="A23" s="310"/>
      <c r="B23" s="88" t="s">
        <v>19</v>
      </c>
      <c r="C23" s="98">
        <f>H26</f>
        <v>483510881.47408962</v>
      </c>
      <c r="D23" s="310"/>
      <c r="E23" s="316"/>
      <c r="G23" s="88" t="s">
        <v>20</v>
      </c>
      <c r="H23" s="97">
        <v>113533560</v>
      </c>
      <c r="I23" s="3">
        <f t="shared" si="26"/>
        <v>0.11553168226806732</v>
      </c>
      <c r="J23" s="3">
        <f t="shared" si="27"/>
        <v>0.34018665497212736</v>
      </c>
      <c r="K23" s="78"/>
      <c r="L23" s="78"/>
      <c r="P23" s="78"/>
      <c r="Q23" s="437"/>
      <c r="S23" s="78"/>
      <c r="T23" s="78"/>
      <c r="U23" s="438"/>
      <c r="AE23" s="203" t="s">
        <v>312</v>
      </c>
      <c r="AF23" s="275">
        <f t="shared" si="28"/>
        <v>0</v>
      </c>
      <c r="AG23" s="275">
        <f t="shared" si="29"/>
        <v>0</v>
      </c>
      <c r="AH23" s="262">
        <f t="shared" si="30"/>
        <v>0</v>
      </c>
      <c r="AI23" s="275">
        <f t="shared" si="31"/>
        <v>0</v>
      </c>
      <c r="AJ23" s="275">
        <f t="shared" si="32"/>
        <v>0</v>
      </c>
      <c r="AK23" s="275">
        <f t="shared" si="33"/>
        <v>0</v>
      </c>
      <c r="AL23" s="275">
        <f t="shared" si="34"/>
        <v>0</v>
      </c>
      <c r="AM23" s="238">
        <f t="shared" si="35"/>
        <v>0</v>
      </c>
      <c r="AN23" s="238">
        <f t="shared" si="44"/>
        <v>0</v>
      </c>
      <c r="AO23" s="253" t="str">
        <f t="shared" si="36"/>
        <v>0.00%</v>
      </c>
      <c r="AP23" s="275">
        <f t="shared" si="45"/>
        <v>0</v>
      </c>
      <c r="AQ23" s="239">
        <f t="shared" si="37"/>
        <v>0</v>
      </c>
      <c r="AR23" s="110" t="s">
        <v>65</v>
      </c>
      <c r="AS23" s="275">
        <f t="shared" si="38"/>
        <v>0</v>
      </c>
      <c r="AT23" s="110" t="s">
        <v>65</v>
      </c>
      <c r="AU23" s="240">
        <f t="shared" si="39"/>
        <v>0</v>
      </c>
      <c r="AV23" s="240" t="str">
        <f t="shared" si="46"/>
        <v>0</v>
      </c>
      <c r="AW23" s="234">
        <f t="shared" si="47"/>
        <v>0</v>
      </c>
      <c r="AX23" s="212">
        <f t="shared" si="40"/>
        <v>0</v>
      </c>
      <c r="AY23" s="241" t="str">
        <f t="shared" si="41"/>
        <v>0</v>
      </c>
      <c r="AZ23" s="241">
        <f t="shared" si="48"/>
        <v>0</v>
      </c>
      <c r="BA23" s="297" t="str">
        <f t="shared" ref="BA23:BA30" si="50">IFERROR(BD23/AW23, "0.00")</f>
        <v>0.00</v>
      </c>
      <c r="BB23" s="279" t="str">
        <f t="shared" si="42"/>
        <v>0.00%</v>
      </c>
      <c r="BC23" s="279">
        <f t="shared" si="43"/>
        <v>0</v>
      </c>
      <c r="BD23" s="246" t="str">
        <f t="shared" si="49"/>
        <v>0.00%</v>
      </c>
      <c r="BE23" s="79" t="s">
        <v>216</v>
      </c>
      <c r="BG23" s="411">
        <f>H26/SUM(C109:D111)</f>
        <v>0.59723859321311823</v>
      </c>
      <c r="BH23" s="554"/>
      <c r="BI23" s="221">
        <v>0.67</v>
      </c>
      <c r="BJ23" s="266">
        <f>(I49*80%)*BI23</f>
        <v>128249780.04720001</v>
      </c>
      <c r="BK23" s="208" t="s">
        <v>66</v>
      </c>
    </row>
    <row r="24" spans="1:80" ht="22.5" x14ac:dyDescent="0.2">
      <c r="A24" s="310"/>
      <c r="B24" s="94" t="s">
        <v>262</v>
      </c>
      <c r="C24" s="140">
        <f>SUM(C18:C22)</f>
        <v>982704984.21869171</v>
      </c>
      <c r="D24" s="323"/>
      <c r="G24" s="421" t="s">
        <v>21</v>
      </c>
      <c r="H24" s="422">
        <f>SUM(H19:H23)</f>
        <v>333739017.50879145</v>
      </c>
      <c r="I24" s="423">
        <f t="shared" si="26"/>
        <v>0.33961262318633056</v>
      </c>
      <c r="J24" s="423">
        <f t="shared" si="27"/>
        <v>1</v>
      </c>
      <c r="K24" s="310"/>
      <c r="P24" s="78"/>
      <c r="Q24" s="437"/>
      <c r="S24" s="78"/>
      <c r="T24" s="78"/>
      <c r="U24" s="438"/>
      <c r="AE24" s="175" t="s">
        <v>313</v>
      </c>
      <c r="AF24" s="211">
        <f t="shared" si="28"/>
        <v>0</v>
      </c>
      <c r="AG24" s="211">
        <f t="shared" si="29"/>
        <v>0</v>
      </c>
      <c r="AH24" s="263">
        <f t="shared" si="30"/>
        <v>0</v>
      </c>
      <c r="AI24" s="211">
        <f t="shared" si="31"/>
        <v>0</v>
      </c>
      <c r="AJ24" s="211">
        <f t="shared" si="32"/>
        <v>0</v>
      </c>
      <c r="AK24" s="211">
        <f t="shared" si="33"/>
        <v>0</v>
      </c>
      <c r="AL24" s="211">
        <f t="shared" si="34"/>
        <v>0</v>
      </c>
      <c r="AM24" s="243">
        <f t="shared" si="35"/>
        <v>0</v>
      </c>
      <c r="AN24" s="243">
        <f t="shared" si="44"/>
        <v>0</v>
      </c>
      <c r="AO24" s="254" t="str">
        <f t="shared" si="36"/>
        <v>0.00%</v>
      </c>
      <c r="AP24" s="211">
        <f t="shared" si="45"/>
        <v>0</v>
      </c>
      <c r="AQ24" s="239">
        <f t="shared" si="37"/>
        <v>0</v>
      </c>
      <c r="AR24" s="111" t="s">
        <v>65</v>
      </c>
      <c r="AS24" s="211">
        <f t="shared" si="38"/>
        <v>0</v>
      </c>
      <c r="AT24" s="111" t="s">
        <v>65</v>
      </c>
      <c r="AU24" s="244">
        <f t="shared" si="39"/>
        <v>0</v>
      </c>
      <c r="AV24" s="244" t="str">
        <f t="shared" si="46"/>
        <v>0</v>
      </c>
      <c r="AW24" s="235">
        <f t="shared" si="47"/>
        <v>0</v>
      </c>
      <c r="AX24" s="276">
        <f t="shared" si="40"/>
        <v>0</v>
      </c>
      <c r="AY24" s="274" t="str">
        <f t="shared" si="41"/>
        <v>0</v>
      </c>
      <c r="AZ24" s="274">
        <f t="shared" si="48"/>
        <v>0</v>
      </c>
      <c r="BA24" s="298" t="str">
        <f t="shared" si="50"/>
        <v>0.00</v>
      </c>
      <c r="BB24" s="280" t="str">
        <f t="shared" si="42"/>
        <v>0.00%</v>
      </c>
      <c r="BC24" s="280">
        <f t="shared" si="43"/>
        <v>0</v>
      </c>
      <c r="BD24" s="245" t="str">
        <f t="shared" si="49"/>
        <v>0.00%</v>
      </c>
      <c r="BE24" s="79" t="s">
        <v>217</v>
      </c>
      <c r="BH24" s="554"/>
      <c r="BI24" s="169">
        <v>0.67</v>
      </c>
      <c r="BJ24" s="266">
        <f>SUM(J76,C86:C90,C93:C95,C96:C96,C101)*BI24</f>
        <v>355261101.4268896</v>
      </c>
      <c r="BK24" s="208" t="s">
        <v>66</v>
      </c>
    </row>
    <row r="25" spans="1:80" ht="22.5" x14ac:dyDescent="0.2">
      <c r="A25" s="310"/>
      <c r="B25" s="88" t="s">
        <v>260</v>
      </c>
      <c r="C25" s="159">
        <f>-SUM(E213)</f>
        <v>17683474.1895913</v>
      </c>
      <c r="D25" s="310"/>
      <c r="G25" s="463" t="s">
        <v>204</v>
      </c>
      <c r="H25" s="464"/>
      <c r="I25" s="465"/>
      <c r="K25" s="310"/>
      <c r="P25" s="78"/>
      <c r="Q25" s="78"/>
      <c r="S25" s="78"/>
      <c r="T25" s="78"/>
      <c r="U25" s="438"/>
      <c r="AE25" s="203" t="s">
        <v>314</v>
      </c>
      <c r="AF25" s="275">
        <f t="shared" si="28"/>
        <v>0</v>
      </c>
      <c r="AG25" s="275">
        <f t="shared" si="29"/>
        <v>0</v>
      </c>
      <c r="AH25" s="262">
        <f t="shared" si="30"/>
        <v>0</v>
      </c>
      <c r="AI25" s="275">
        <f t="shared" si="31"/>
        <v>0</v>
      </c>
      <c r="AJ25" s="275">
        <f t="shared" si="32"/>
        <v>0</v>
      </c>
      <c r="AK25" s="275">
        <f t="shared" si="33"/>
        <v>0</v>
      </c>
      <c r="AL25" s="275">
        <f t="shared" si="34"/>
        <v>0</v>
      </c>
      <c r="AM25" s="238">
        <f t="shared" si="35"/>
        <v>0</v>
      </c>
      <c r="AN25" s="238">
        <f t="shared" si="44"/>
        <v>0</v>
      </c>
      <c r="AO25" s="253" t="str">
        <f t="shared" si="36"/>
        <v>0.00%</v>
      </c>
      <c r="AP25" s="275">
        <f t="shared" si="45"/>
        <v>0</v>
      </c>
      <c r="AQ25" s="239">
        <f t="shared" si="37"/>
        <v>0</v>
      </c>
      <c r="AR25" s="110" t="s">
        <v>65</v>
      </c>
      <c r="AS25" s="275">
        <f t="shared" si="38"/>
        <v>0</v>
      </c>
      <c r="AT25" s="110" t="s">
        <v>65</v>
      </c>
      <c r="AU25" s="240">
        <f t="shared" si="39"/>
        <v>0</v>
      </c>
      <c r="AV25" s="240" t="str">
        <f t="shared" si="46"/>
        <v>0</v>
      </c>
      <c r="AW25" s="234">
        <f t="shared" si="47"/>
        <v>0</v>
      </c>
      <c r="AX25" s="212">
        <f t="shared" si="40"/>
        <v>0</v>
      </c>
      <c r="AY25" s="241" t="str">
        <f t="shared" si="41"/>
        <v>0</v>
      </c>
      <c r="AZ25" s="241">
        <f t="shared" si="48"/>
        <v>0</v>
      </c>
      <c r="BA25" s="297" t="str">
        <f t="shared" si="50"/>
        <v>0.00</v>
      </c>
      <c r="BB25" s="279" t="str">
        <f t="shared" si="42"/>
        <v>0.00%</v>
      </c>
      <c r="BC25" s="279">
        <f t="shared" si="43"/>
        <v>0</v>
      </c>
      <c r="BD25" s="246" t="str">
        <f t="shared" si="49"/>
        <v>0.00%</v>
      </c>
      <c r="BE25" s="79" t="s">
        <v>218</v>
      </c>
      <c r="BH25" s="554"/>
      <c r="BI25" s="236">
        <f>BJ25/E119</f>
        <v>5.4308902125524965E-2</v>
      </c>
      <c r="BJ25" s="267">
        <f>BI26/H26</f>
        <v>0.16307549788924758</v>
      </c>
      <c r="BK25" s="208" t="s">
        <v>66</v>
      </c>
    </row>
    <row r="26" spans="1:80" ht="22.5" x14ac:dyDescent="0.2">
      <c r="A26" s="310"/>
      <c r="B26" s="94" t="s">
        <v>22</v>
      </c>
      <c r="C26" s="157">
        <f>C17-(C24+C25)</f>
        <v>340120660.89146399</v>
      </c>
      <c r="D26" s="316"/>
      <c r="E26" s="201"/>
      <c r="G26" s="502" t="s">
        <v>256</v>
      </c>
      <c r="H26" s="503">
        <f>E189</f>
        <v>483510881.47408962</v>
      </c>
      <c r="I26" s="504">
        <f>H26/$H$34</f>
        <v>0.49202038174102602</v>
      </c>
      <c r="J26" s="201"/>
      <c r="P26" s="78"/>
      <c r="Q26" s="437"/>
      <c r="S26" s="78"/>
      <c r="T26" s="78"/>
      <c r="U26" s="438"/>
      <c r="AE26" s="175" t="s">
        <v>315</v>
      </c>
      <c r="AF26" s="211">
        <f t="shared" si="28"/>
        <v>0</v>
      </c>
      <c r="AG26" s="211">
        <f t="shared" si="29"/>
        <v>0</v>
      </c>
      <c r="AH26" s="263">
        <f t="shared" si="30"/>
        <v>0.3</v>
      </c>
      <c r="AI26" s="211">
        <f t="shared" si="31"/>
        <v>0</v>
      </c>
      <c r="AJ26" s="211">
        <f t="shared" si="32"/>
        <v>0</v>
      </c>
      <c r="AK26" s="211">
        <f t="shared" si="33"/>
        <v>0</v>
      </c>
      <c r="AL26" s="211">
        <f t="shared" si="34"/>
        <v>0</v>
      </c>
      <c r="AM26" s="243">
        <f t="shared" si="35"/>
        <v>0</v>
      </c>
      <c r="AN26" s="243">
        <f t="shared" si="44"/>
        <v>4.1485363868915949E-10</v>
      </c>
      <c r="AO26" s="254">
        <f t="shared" si="36"/>
        <v>0</v>
      </c>
      <c r="AP26" s="211">
        <f>(AN26*SUM($C$86,$C$88:$C$90,$C$96:$C$97,$C$101))+(SUM($D$93:$D$95)*H66*AO26)</f>
        <v>1.8396898778881884E-2</v>
      </c>
      <c r="AQ26" s="239">
        <f t="shared" si="37"/>
        <v>0</v>
      </c>
      <c r="AR26" s="111" t="s">
        <v>65</v>
      </c>
      <c r="AS26" s="211">
        <f t="shared" si="38"/>
        <v>3.9111896197245394E-2</v>
      </c>
      <c r="AT26" s="111" t="s">
        <v>65</v>
      </c>
      <c r="AU26" s="244">
        <f t="shared" si="39"/>
        <v>5.7508794976127278E-2</v>
      </c>
      <c r="AV26" s="244" t="str">
        <f t="shared" si="46"/>
        <v>0</v>
      </c>
      <c r="AW26" s="235">
        <f t="shared" si="47"/>
        <v>5.8520915126781572E-11</v>
      </c>
      <c r="AX26" s="276">
        <f t="shared" si="40"/>
        <v>0</v>
      </c>
      <c r="AY26" s="274" t="str">
        <f t="shared" si="41"/>
        <v>0</v>
      </c>
      <c r="AZ26" s="274">
        <f t="shared" si="48"/>
        <v>-5.7508794976127278E-2</v>
      </c>
      <c r="BA26" s="298">
        <f t="shared" si="50"/>
        <v>-17087907764.831909</v>
      </c>
      <c r="BB26" s="280" t="str">
        <f t="shared" si="42"/>
        <v>0.00%</v>
      </c>
      <c r="BC26" s="280">
        <f t="shared" si="43"/>
        <v>-1.6908350943866631E-10</v>
      </c>
      <c r="BD26" s="245">
        <f t="shared" si="49"/>
        <v>-1</v>
      </c>
      <c r="BE26" s="79" t="s">
        <v>245</v>
      </c>
      <c r="BF26" s="201"/>
      <c r="BH26" s="555"/>
      <c r="BI26" s="551">
        <f>C22</f>
        <v>78848777.731256142</v>
      </c>
      <c r="BJ26" s="552"/>
      <c r="BK26" s="208" t="s">
        <v>66</v>
      </c>
      <c r="BL26" s="201"/>
    </row>
    <row r="27" spans="1:80" ht="24.75" x14ac:dyDescent="0.2">
      <c r="A27" s="310"/>
      <c r="B27" s="88" t="s">
        <v>246</v>
      </c>
      <c r="C27" s="213">
        <f>D122</f>
        <v>4.580821917808219</v>
      </c>
      <c r="D27" s="310"/>
      <c r="E27" s="316"/>
      <c r="G27" s="502"/>
      <c r="H27" s="503"/>
      <c r="I27" s="504"/>
      <c r="P27" s="78"/>
      <c r="Q27" s="437"/>
      <c r="S27" s="436"/>
      <c r="T27" s="436"/>
      <c r="U27" s="436"/>
      <c r="AE27" s="203" t="s">
        <v>316</v>
      </c>
      <c r="AF27" s="275">
        <f t="shared" si="28"/>
        <v>0</v>
      </c>
      <c r="AG27" s="275">
        <f t="shared" si="29"/>
        <v>0</v>
      </c>
      <c r="AH27" s="262">
        <f t="shared" si="30"/>
        <v>0.3</v>
      </c>
      <c r="AI27" s="275">
        <f t="shared" si="31"/>
        <v>0</v>
      </c>
      <c r="AJ27" s="275">
        <f t="shared" si="32"/>
        <v>0</v>
      </c>
      <c r="AK27" s="275">
        <f t="shared" si="33"/>
        <v>0</v>
      </c>
      <c r="AL27" s="275">
        <f t="shared" si="34"/>
        <v>0</v>
      </c>
      <c r="AM27" s="238">
        <f t="shared" si="35"/>
        <v>0</v>
      </c>
      <c r="AN27" s="238">
        <f t="shared" si="44"/>
        <v>4.1485363868915949E-10</v>
      </c>
      <c r="AO27" s="253">
        <f t="shared" si="36"/>
        <v>0</v>
      </c>
      <c r="AP27" s="275">
        <f t="shared" si="45"/>
        <v>1.8396898778881884E-2</v>
      </c>
      <c r="AQ27" s="239">
        <f t="shared" si="37"/>
        <v>0</v>
      </c>
      <c r="AR27" s="110" t="s">
        <v>65</v>
      </c>
      <c r="AS27" s="275">
        <f t="shared" si="38"/>
        <v>3.9111896197245394E-2</v>
      </c>
      <c r="AT27" s="110" t="s">
        <v>65</v>
      </c>
      <c r="AU27" s="240">
        <f t="shared" si="39"/>
        <v>5.7508794976127278E-2</v>
      </c>
      <c r="AV27" s="240" t="str">
        <f t="shared" si="46"/>
        <v>0</v>
      </c>
      <c r="AW27" s="234">
        <f t="shared" si="47"/>
        <v>5.8520915126781572E-11</v>
      </c>
      <c r="AX27" s="212">
        <f t="shared" si="40"/>
        <v>0</v>
      </c>
      <c r="AY27" s="241" t="str">
        <f t="shared" si="41"/>
        <v>0</v>
      </c>
      <c r="AZ27" s="241">
        <f t="shared" si="48"/>
        <v>-5.7508794976127278E-2</v>
      </c>
      <c r="BA27" s="297">
        <f t="shared" si="50"/>
        <v>-17087907764.831909</v>
      </c>
      <c r="BB27" s="279" t="str">
        <f t="shared" si="42"/>
        <v>0.00%</v>
      </c>
      <c r="BC27" s="279">
        <f t="shared" si="43"/>
        <v>-1.6908350943866631E-10</v>
      </c>
      <c r="BD27" s="246">
        <f t="shared" si="49"/>
        <v>-1</v>
      </c>
      <c r="BE27" s="79" t="s">
        <v>219</v>
      </c>
      <c r="BF27" s="201"/>
      <c r="BG27" s="310"/>
      <c r="BH27" s="282" t="s">
        <v>378</v>
      </c>
      <c r="BI27" s="413">
        <f>H26/(SUM(C184:C188))</f>
        <v>0.36069197479735554</v>
      </c>
      <c r="BJ27" s="414">
        <f>1-BI27</f>
        <v>0.6393080252026444</v>
      </c>
      <c r="BK27" s="308" t="s">
        <v>349</v>
      </c>
    </row>
    <row r="28" spans="1:80" ht="18" x14ac:dyDescent="0.2">
      <c r="A28" s="310"/>
      <c r="B28" s="457" t="s">
        <v>23</v>
      </c>
      <c r="C28" s="491">
        <f>C223</f>
        <v>0.21425482630729678</v>
      </c>
      <c r="D28" s="316"/>
      <c r="G28" s="463" t="s">
        <v>257</v>
      </c>
      <c r="H28" s="464"/>
      <c r="I28" s="465"/>
      <c r="P28" s="78"/>
      <c r="Q28" s="439"/>
      <c r="S28" s="440"/>
      <c r="T28" s="440"/>
      <c r="U28" s="441"/>
      <c r="AE28" s="175" t="s">
        <v>317</v>
      </c>
      <c r="AF28" s="211">
        <f t="shared" si="28"/>
        <v>0</v>
      </c>
      <c r="AG28" s="211">
        <f t="shared" si="29"/>
        <v>0</v>
      </c>
      <c r="AH28" s="263">
        <f t="shared" si="30"/>
        <v>0.3</v>
      </c>
      <c r="AI28" s="211">
        <f t="shared" si="31"/>
        <v>0</v>
      </c>
      <c r="AJ28" s="211">
        <f t="shared" si="32"/>
        <v>0</v>
      </c>
      <c r="AK28" s="211">
        <f t="shared" si="33"/>
        <v>0</v>
      </c>
      <c r="AL28" s="211">
        <f t="shared" si="34"/>
        <v>0</v>
      </c>
      <c r="AM28" s="243">
        <f t="shared" si="35"/>
        <v>0</v>
      </c>
      <c r="AN28" s="243">
        <f t="shared" si="44"/>
        <v>4.1485363868915949E-10</v>
      </c>
      <c r="AO28" s="254">
        <f t="shared" si="36"/>
        <v>0</v>
      </c>
      <c r="AP28" s="211">
        <f>(AN28*SUM($C$86,$C$88:$C$90,$C$96:$C$97,$C$101))+((SUM($D$94:$D$95)*H68*AO28)+(D93*H68/2*AO28))</f>
        <v>1.8396898778881884E-2</v>
      </c>
      <c r="AQ28" s="239">
        <f t="shared" si="37"/>
        <v>0</v>
      </c>
      <c r="AR28" s="111" t="s">
        <v>65</v>
      </c>
      <c r="AS28" s="211">
        <f t="shared" si="38"/>
        <v>3.9111896197245394E-2</v>
      </c>
      <c r="AT28" s="111" t="s">
        <v>65</v>
      </c>
      <c r="AU28" s="244">
        <f t="shared" si="39"/>
        <v>5.7508794976127278E-2</v>
      </c>
      <c r="AV28" s="244" t="str">
        <f t="shared" si="46"/>
        <v>0</v>
      </c>
      <c r="AW28" s="235">
        <f t="shared" si="47"/>
        <v>5.8520915126781572E-11</v>
      </c>
      <c r="AX28" s="276">
        <f t="shared" si="40"/>
        <v>0</v>
      </c>
      <c r="AY28" s="274" t="str">
        <f t="shared" si="41"/>
        <v>0</v>
      </c>
      <c r="AZ28" s="274">
        <f t="shared" si="48"/>
        <v>-5.7508794976127278E-2</v>
      </c>
      <c r="BA28" s="298">
        <f t="shared" si="50"/>
        <v>-17087907764.831909</v>
      </c>
      <c r="BB28" s="280" t="str">
        <f t="shared" si="42"/>
        <v>0.00%</v>
      </c>
      <c r="BC28" s="280">
        <f t="shared" si="43"/>
        <v>-1.6908350943866631E-10</v>
      </c>
      <c r="BD28" s="245">
        <f t="shared" si="49"/>
        <v>-1</v>
      </c>
      <c r="BE28" s="79" t="s">
        <v>220</v>
      </c>
      <c r="BH28" s="203" t="s">
        <v>377</v>
      </c>
      <c r="BI28" s="549">
        <f>H26/H24</f>
        <v>1.4487694159444597</v>
      </c>
      <c r="BJ28" s="550"/>
      <c r="BK28" s="208" t="s">
        <v>306</v>
      </c>
    </row>
    <row r="29" spans="1:80" ht="22.5" x14ac:dyDescent="0.2">
      <c r="A29" s="310"/>
      <c r="B29" s="457"/>
      <c r="C29" s="491"/>
      <c r="E29" s="316"/>
      <c r="G29" s="88" t="s">
        <v>26</v>
      </c>
      <c r="H29" s="97">
        <f>C313</f>
        <v>142393971.77509734</v>
      </c>
      <c r="I29" s="202">
        <f>H29/$H$34</f>
        <v>0.14490001990608498</v>
      </c>
      <c r="P29" s="78"/>
      <c r="Q29" s="442"/>
      <c r="S29" s="440"/>
      <c r="T29" s="440"/>
      <c r="U29" s="441"/>
      <c r="AE29" s="203" t="s">
        <v>318</v>
      </c>
      <c r="AF29" s="275">
        <f t="shared" si="28"/>
        <v>0</v>
      </c>
      <c r="AG29" s="275">
        <f t="shared" si="29"/>
        <v>0</v>
      </c>
      <c r="AH29" s="262">
        <f t="shared" si="30"/>
        <v>0</v>
      </c>
      <c r="AI29" s="275">
        <f t="shared" si="31"/>
        <v>0</v>
      </c>
      <c r="AJ29" s="275">
        <f t="shared" si="32"/>
        <v>0</v>
      </c>
      <c r="AK29" s="275">
        <f t="shared" si="33"/>
        <v>0</v>
      </c>
      <c r="AL29" s="275">
        <f t="shared" si="34"/>
        <v>0</v>
      </c>
      <c r="AM29" s="238">
        <f t="shared" si="35"/>
        <v>0</v>
      </c>
      <c r="AN29" s="238">
        <f t="shared" si="44"/>
        <v>0</v>
      </c>
      <c r="AO29" s="253" t="str">
        <f t="shared" si="36"/>
        <v>0.00%</v>
      </c>
      <c r="AP29" s="275">
        <f>(AN29*SUM($C$86,$C$88:$C$90,$C$96:$C$97,$C$101))+(SUM($D$93:$D$95)*H69*AO29)</f>
        <v>0</v>
      </c>
      <c r="AQ29" s="239">
        <f t="shared" si="37"/>
        <v>0</v>
      </c>
      <c r="AR29" s="110" t="s">
        <v>65</v>
      </c>
      <c r="AS29" s="275">
        <f t="shared" si="38"/>
        <v>0</v>
      </c>
      <c r="AT29" s="110" t="s">
        <v>65</v>
      </c>
      <c r="AU29" s="240">
        <f t="shared" si="39"/>
        <v>0</v>
      </c>
      <c r="AV29" s="240" t="str">
        <f t="shared" si="46"/>
        <v>0</v>
      </c>
      <c r="AW29" s="234">
        <f t="shared" si="47"/>
        <v>0</v>
      </c>
      <c r="AX29" s="212">
        <f t="shared" si="40"/>
        <v>0</v>
      </c>
      <c r="AY29" s="241" t="str">
        <f t="shared" si="41"/>
        <v>0</v>
      </c>
      <c r="AZ29" s="241">
        <f t="shared" si="48"/>
        <v>0</v>
      </c>
      <c r="BA29" s="297" t="str">
        <f t="shared" si="50"/>
        <v>0.00</v>
      </c>
      <c r="BB29" s="279" t="str">
        <f t="shared" si="42"/>
        <v>0.00%</v>
      </c>
      <c r="BC29" s="279">
        <f t="shared" si="43"/>
        <v>0</v>
      </c>
      <c r="BD29" s="246" t="str">
        <f t="shared" si="49"/>
        <v>0.00%</v>
      </c>
      <c r="BE29" s="79" t="s">
        <v>221</v>
      </c>
      <c r="BH29" s="304" t="s">
        <v>296</v>
      </c>
      <c r="BI29" s="305">
        <f>AX21</f>
        <v>142393971.77509734</v>
      </c>
      <c r="BJ29" s="262">
        <f>C184/-(SUM(G192:S216))</f>
        <v>0.20356778935618416</v>
      </c>
      <c r="BK29" s="306" t="s">
        <v>409</v>
      </c>
    </row>
    <row r="30" spans="1:80" ht="27" x14ac:dyDescent="0.2">
      <c r="A30" s="310"/>
      <c r="B30" s="456" t="s">
        <v>24</v>
      </c>
      <c r="C30" s="490">
        <f>C26/C24</f>
        <v>0.34610657964849945</v>
      </c>
      <c r="D30" s="364"/>
      <c r="E30" s="316"/>
      <c r="G30" s="94" t="s">
        <v>28</v>
      </c>
      <c r="H30" s="95">
        <v>23061113.460713301</v>
      </c>
      <c r="I30" s="2">
        <f>H30/$H$34</f>
        <v>2.3466975166558501E-2</v>
      </c>
      <c r="P30" s="440"/>
      <c r="Q30" s="443"/>
      <c r="S30" s="436"/>
      <c r="T30" s="436"/>
      <c r="U30" s="436"/>
      <c r="AE30" s="175" t="s">
        <v>421</v>
      </c>
      <c r="AF30" s="211">
        <f t="shared" si="28"/>
        <v>0</v>
      </c>
      <c r="AG30" s="211">
        <f t="shared" si="29"/>
        <v>0</v>
      </c>
      <c r="AH30" s="263">
        <f t="shared" si="30"/>
        <v>0</v>
      </c>
      <c r="AI30" s="211">
        <f t="shared" si="31"/>
        <v>0</v>
      </c>
      <c r="AJ30" s="211">
        <f t="shared" si="32"/>
        <v>0</v>
      </c>
      <c r="AK30" s="211">
        <f t="shared" si="33"/>
        <v>0</v>
      </c>
      <c r="AL30" s="211">
        <f t="shared" si="34"/>
        <v>0</v>
      </c>
      <c r="AM30" s="243">
        <f t="shared" si="35"/>
        <v>0</v>
      </c>
      <c r="AN30" s="243">
        <f t="shared" si="44"/>
        <v>0</v>
      </c>
      <c r="AO30" s="254" t="str">
        <f t="shared" si="36"/>
        <v>0.00%</v>
      </c>
      <c r="AP30" s="211">
        <f>(AN30*SUM($C$86,$C$88:$C$90,$C$96:$C$97,$C$101))+(SUM($D$93:$D$95)*H70*AO30)</f>
        <v>0</v>
      </c>
      <c r="AQ30" s="239">
        <f t="shared" si="37"/>
        <v>0</v>
      </c>
      <c r="AR30" s="111" t="s">
        <v>65</v>
      </c>
      <c r="AS30" s="211">
        <f t="shared" si="38"/>
        <v>0</v>
      </c>
      <c r="AT30" s="111" t="s">
        <v>65</v>
      </c>
      <c r="AU30" s="244">
        <f t="shared" si="39"/>
        <v>0</v>
      </c>
      <c r="AV30" s="244" t="str">
        <f t="shared" si="46"/>
        <v>0</v>
      </c>
      <c r="AW30" s="235">
        <f t="shared" si="47"/>
        <v>0</v>
      </c>
      <c r="AX30" s="276">
        <f t="shared" si="40"/>
        <v>0</v>
      </c>
      <c r="AY30" s="274" t="str">
        <f t="shared" si="41"/>
        <v>0</v>
      </c>
      <c r="AZ30" s="274">
        <f t="shared" si="48"/>
        <v>0</v>
      </c>
      <c r="BA30" s="298" t="str">
        <f t="shared" si="50"/>
        <v>0.00</v>
      </c>
      <c r="BB30" s="280" t="str">
        <f t="shared" si="42"/>
        <v>0.00%</v>
      </c>
      <c r="BC30" s="280">
        <f t="shared" si="43"/>
        <v>0</v>
      </c>
      <c r="BD30" s="245" t="str">
        <f t="shared" si="49"/>
        <v>0.00%</v>
      </c>
      <c r="BE30" s="79" t="s">
        <v>222</v>
      </c>
      <c r="BF30" s="201"/>
      <c r="BG30" s="310"/>
      <c r="BH30" s="203" t="s">
        <v>376</v>
      </c>
      <c r="BI30" s="547">
        <f>(C17-C24)/C17</f>
        <v>0.2669165990216944</v>
      </c>
      <c r="BJ30" s="548"/>
      <c r="BK30" s="208" t="s">
        <v>307</v>
      </c>
    </row>
    <row r="31" spans="1:80" ht="18.75" thickBot="1" x14ac:dyDescent="0.25">
      <c r="A31" s="310"/>
      <c r="B31" s="456"/>
      <c r="C31" s="490"/>
      <c r="D31" s="316"/>
      <c r="E31" s="310"/>
      <c r="G31" s="424" t="s">
        <v>258</v>
      </c>
      <c r="H31" s="425">
        <f>SUM(H29:H30)</f>
        <v>165455085.23581064</v>
      </c>
      <c r="I31" s="426">
        <f>H31/$H$34</f>
        <v>0.16836699507264347</v>
      </c>
      <c r="J31" s="310"/>
      <c r="K31" s="401"/>
      <c r="L31" s="310"/>
      <c r="P31" s="440"/>
      <c r="Q31" s="443"/>
      <c r="S31" s="78"/>
      <c r="T31" s="78"/>
      <c r="U31" s="438"/>
      <c r="AE31" s="176" t="s">
        <v>286</v>
      </c>
      <c r="AF31" s="215">
        <f t="shared" ref="AF31:AL31" si="51">SUM(AF21:AF30)</f>
        <v>35776294.240881816</v>
      </c>
      <c r="AG31" s="215">
        <f t="shared" si="51"/>
        <v>37584833.753974892</v>
      </c>
      <c r="AH31" s="261">
        <f t="shared" si="51"/>
        <v>1</v>
      </c>
      <c r="AI31" s="215">
        <f t="shared" si="51"/>
        <v>278687.67866108788</v>
      </c>
      <c r="AJ31" s="215">
        <f t="shared" si="51"/>
        <v>12340044.419667456</v>
      </c>
      <c r="AK31" s="215">
        <f t="shared" si="51"/>
        <v>1024886.239552918</v>
      </c>
      <c r="AL31" s="215">
        <f t="shared" si="51"/>
        <v>0</v>
      </c>
      <c r="AM31" s="256">
        <f>SUM(AF31:AG31,AI31:AL31)</f>
        <v>87004746.332738176</v>
      </c>
      <c r="AN31" s="215">
        <f>SUM(AF3:AG12,AI3:AL12,AF21:AG30,AI21:AL30)</f>
        <v>723146604.06000018</v>
      </c>
      <c r="AO31" s="255" t="s">
        <v>66</v>
      </c>
      <c r="AP31" s="485">
        <f>SUM(AP21:AQ30)</f>
        <v>10397788.153802048</v>
      </c>
      <c r="AQ31" s="486"/>
      <c r="AR31" s="273" t="s">
        <v>66</v>
      </c>
      <c r="AS31" s="273">
        <f>SUM(AS21:AS30)</f>
        <v>11343068.808114761</v>
      </c>
      <c r="AT31" s="247">
        <f t="shared" ref="AT31" si="52">SUM(AT21:AT30)</f>
        <v>0</v>
      </c>
      <c r="AU31" s="247">
        <f>SUM(AU21:AU30)</f>
        <v>108745603.29465498</v>
      </c>
      <c r="AV31" s="248">
        <f>IFERROR(AU31/P139, "0")</f>
        <v>16590.668872029422</v>
      </c>
      <c r="AW31" s="288">
        <f>SUM(AW21:AW30)</f>
        <v>0.11065946040877581</v>
      </c>
      <c r="AX31" s="215">
        <f>SUM(AX21:AX30)</f>
        <v>142393971.77509734</v>
      </c>
      <c r="AY31" s="250">
        <f>AZ31/P139</f>
        <v>5133.5311279705766</v>
      </c>
      <c r="AZ31" s="251">
        <f>SUMIF(AZ21:AZ30, "&lt;&gt;#DIV/0!")</f>
        <v>33648368.48044236</v>
      </c>
      <c r="BA31" s="251" t="s">
        <v>66</v>
      </c>
      <c r="BB31" s="281">
        <f t="shared" si="42"/>
        <v>0.2363047259724444</v>
      </c>
      <c r="BC31" s="281" t="s">
        <v>66</v>
      </c>
      <c r="BD31" s="252">
        <f>IFERROR(AZ31/AU31, "0.00%")</f>
        <v>0.30942279467859857</v>
      </c>
      <c r="BE31" s="310"/>
      <c r="BH31" s="518" t="s">
        <v>342</v>
      </c>
      <c r="BI31" s="519"/>
      <c r="BJ31" s="520">
        <v>0</v>
      </c>
      <c r="BK31" s="208" t="s">
        <v>66</v>
      </c>
    </row>
    <row r="32" spans="1:80" ht="18" x14ac:dyDescent="0.2">
      <c r="A32" s="310"/>
      <c r="B32" s="457" t="s">
        <v>25</v>
      </c>
      <c r="C32" s="491">
        <f>(C26/H24)</f>
        <v>1.0191216580857358</v>
      </c>
      <c r="D32" s="402"/>
      <c r="E32" s="310"/>
      <c r="G32" s="463" t="s">
        <v>205</v>
      </c>
      <c r="H32" s="464"/>
      <c r="I32" s="465"/>
      <c r="K32" s="310"/>
      <c r="L32" s="310"/>
      <c r="P32" s="440"/>
      <c r="Q32" s="443"/>
      <c r="S32" s="78"/>
      <c r="T32" s="78"/>
      <c r="U32" s="438"/>
      <c r="AE32" s="79" t="s">
        <v>67</v>
      </c>
      <c r="AF32" s="79" t="b">
        <f>I49-AF13=AF31</f>
        <v>1</v>
      </c>
      <c r="AG32" s="79" t="b">
        <f>SUM(J61:J71)-AG13=AG31</f>
        <v>1</v>
      </c>
      <c r="AH32" s="79" t="b">
        <f>SUM(AH21:AH30)=AH31</f>
        <v>1</v>
      </c>
      <c r="AI32" s="79" t="b">
        <f>J73-AI13=AI31</f>
        <v>1</v>
      </c>
      <c r="AJ32" s="79" t="b">
        <f>(J74+J75)-AJ13=AJ31</f>
        <v>1</v>
      </c>
      <c r="AK32" s="79" t="b">
        <f>C87-AK13=AK31</f>
        <v>1</v>
      </c>
      <c r="AL32" s="79" t="b">
        <f>J71-AL13=AL31</f>
        <v>1</v>
      </c>
      <c r="AM32" s="79" t="b">
        <f>SUM(AF21:AG30,AI21:AL30)=AM31</f>
        <v>1</v>
      </c>
      <c r="AN32" s="79" t="b">
        <f>SUM(AI21:AL30,AF21:AG30,AF3:AG12,AI3:AL12)=AN31</f>
        <v>1</v>
      </c>
      <c r="AO32" s="79" t="b">
        <f>SUM(AO3:AO12,AO21:AO30)=1000%</f>
        <v>1</v>
      </c>
      <c r="AP32" s="484" t="b">
        <f>C102-C87=AP13+AP31</f>
        <v>0</v>
      </c>
      <c r="AQ32" s="484"/>
      <c r="AR32" s="79" t="b">
        <f>AR31=AR31</f>
        <v>1</v>
      </c>
      <c r="AS32" s="79" t="b">
        <f>C107-AS13=AS31</f>
        <v>0</v>
      </c>
      <c r="AT32" s="79" t="b">
        <f>AT31=AT31</f>
        <v>1</v>
      </c>
      <c r="AU32" s="79" t="b">
        <f>AU13+AU31=C24+C25+AT31</f>
        <v>0</v>
      </c>
      <c r="AV32" s="79" t="b">
        <f>AV31=AV31</f>
        <v>1</v>
      </c>
      <c r="AW32" s="79" t="b">
        <f>AW31+AW13=100%</f>
        <v>0</v>
      </c>
      <c r="AX32" s="79" t="b">
        <f>AX31=Y139</f>
        <v>1</v>
      </c>
      <c r="AY32" s="79" t="b">
        <f t="shared" ref="AY32:BD32" si="53">AY31=AY31</f>
        <v>1</v>
      </c>
      <c r="AZ32" s="79" t="b">
        <f t="shared" si="53"/>
        <v>1</v>
      </c>
      <c r="BA32" s="79" t="b">
        <f t="shared" si="53"/>
        <v>1</v>
      </c>
      <c r="BB32" s="79" t="b">
        <f t="shared" si="53"/>
        <v>1</v>
      </c>
      <c r="BC32" s="79" t="b">
        <f t="shared" si="53"/>
        <v>1</v>
      </c>
      <c r="BD32" s="79" t="b">
        <f t="shared" si="53"/>
        <v>1</v>
      </c>
      <c r="BE32" s="310"/>
      <c r="BH32" s="203" t="s">
        <v>297</v>
      </c>
      <c r="BI32" s="292">
        <f>I49/C49</f>
        <v>22128.75</v>
      </c>
      <c r="BJ32" s="307">
        <f>D49</f>
        <v>21000</v>
      </c>
      <c r="BK32" s="208" t="s">
        <v>66</v>
      </c>
    </row>
    <row r="33" spans="1:66" ht="22.5" x14ac:dyDescent="0.2">
      <c r="A33" s="310"/>
      <c r="B33" s="457"/>
      <c r="C33" s="491"/>
      <c r="D33" s="402"/>
      <c r="E33" s="320"/>
      <c r="G33" s="94" t="s">
        <v>29</v>
      </c>
      <c r="H33" s="95">
        <f>H24+H26+H31</f>
        <v>982704984.21869171</v>
      </c>
      <c r="I33" s="81" t="b">
        <f>SUM(I24,I26,I31,M35)=100%</f>
        <v>1</v>
      </c>
      <c r="J33" s="316"/>
      <c r="K33" s="310"/>
      <c r="L33" s="310"/>
      <c r="P33" s="440"/>
      <c r="Q33" s="443"/>
      <c r="S33" s="444"/>
      <c r="T33" s="78"/>
      <c r="U33" s="438"/>
      <c r="AT33" s="310"/>
      <c r="AX33" s="201"/>
      <c r="BF33" s="201"/>
      <c r="BH33" s="282" t="s">
        <v>390</v>
      </c>
      <c r="BI33" s="543">
        <f>((I49/C24)*C17)/C49</f>
        <v>30185.856030117458</v>
      </c>
      <c r="BJ33" s="544"/>
      <c r="BK33" s="208" t="s">
        <v>66</v>
      </c>
    </row>
    <row r="34" spans="1:66" ht="22.5" x14ac:dyDescent="0.2">
      <c r="A34" s="310"/>
      <c r="B34" s="456" t="s">
        <v>27</v>
      </c>
      <c r="C34" s="499">
        <f>C32/C27</f>
        <v>0.2224757208141708</v>
      </c>
      <c r="D34" s="403"/>
      <c r="E34" s="401"/>
      <c r="G34" s="88" t="s">
        <v>262</v>
      </c>
      <c r="H34" s="473">
        <f>C24</f>
        <v>982704984.21869171</v>
      </c>
      <c r="I34" s="474"/>
      <c r="J34" s="310"/>
      <c r="K34" s="310"/>
      <c r="P34" s="440"/>
      <c r="Q34" s="445"/>
      <c r="S34" s="436"/>
      <c r="T34" s="436"/>
      <c r="U34" s="436"/>
      <c r="BH34" s="203" t="s">
        <v>391</v>
      </c>
      <c r="BI34" s="525">
        <f>BI33-BI32</f>
        <v>8057.1060301174584</v>
      </c>
      <c r="BJ34" s="526"/>
      <c r="BK34" s="208" t="s">
        <v>66</v>
      </c>
    </row>
    <row r="35" spans="1:66" ht="23.25" thickBot="1" x14ac:dyDescent="0.25">
      <c r="A35" s="310"/>
      <c r="B35" s="501"/>
      <c r="C35" s="500"/>
      <c r="D35" s="403"/>
      <c r="E35" s="310"/>
      <c r="G35" s="6" t="s">
        <v>30</v>
      </c>
      <c r="H35" s="497">
        <f>H33-H34</f>
        <v>0</v>
      </c>
      <c r="I35" s="498"/>
      <c r="J35" s="310"/>
      <c r="K35" s="310"/>
      <c r="P35" s="440"/>
      <c r="Q35" s="445"/>
      <c r="S35" s="78"/>
      <c r="T35" s="78"/>
      <c r="U35" s="446"/>
      <c r="AP35" s="201"/>
      <c r="AT35" s="201"/>
      <c r="AU35" s="201"/>
      <c r="AV35" s="201"/>
      <c r="BH35" s="282" t="s">
        <v>392</v>
      </c>
      <c r="BI35" s="541">
        <f>BI34/BI32</f>
        <v>0.36410127233203227</v>
      </c>
      <c r="BJ35" s="542"/>
      <c r="BK35" s="208" t="s">
        <v>308</v>
      </c>
    </row>
    <row r="36" spans="1:66" ht="18" x14ac:dyDescent="0.2">
      <c r="A36" s="310"/>
      <c r="E36" s="399"/>
      <c r="P36" s="440"/>
      <c r="Q36" s="445"/>
      <c r="BH36" s="203" t="s">
        <v>295</v>
      </c>
      <c r="BI36" s="545">
        <f>F76/H59</f>
        <v>0.67570648926859833</v>
      </c>
      <c r="BJ36" s="546"/>
      <c r="BK36" s="208" t="s">
        <v>304</v>
      </c>
    </row>
    <row r="37" spans="1:66" ht="18" x14ac:dyDescent="0.2">
      <c r="A37" s="310"/>
      <c r="E37" s="399"/>
      <c r="I37" s="309"/>
      <c r="P37" s="440"/>
      <c r="Q37" s="445"/>
      <c r="AE37" s="487" t="s">
        <v>329</v>
      </c>
      <c r="AF37" s="488"/>
      <c r="AG37" s="488"/>
      <c r="AH37" s="488"/>
      <c r="AI37" s="488"/>
      <c r="AJ37" s="488"/>
      <c r="AK37" s="488"/>
      <c r="AL37" s="488"/>
      <c r="AM37" s="488"/>
      <c r="AN37" s="488"/>
      <c r="AO37" s="488"/>
      <c r="AP37" s="488"/>
      <c r="AQ37" s="488"/>
      <c r="AR37" s="488"/>
      <c r="AS37" s="488"/>
      <c r="AT37" s="488"/>
      <c r="AU37" s="488"/>
      <c r="AV37" s="488"/>
      <c r="AW37" s="488"/>
      <c r="AX37" s="488"/>
      <c r="AY37" s="488"/>
      <c r="AZ37" s="488"/>
      <c r="BA37" s="488"/>
      <c r="BB37" s="488"/>
      <c r="BC37" s="488"/>
      <c r="BD37" s="488"/>
      <c r="BH37" s="282" t="s">
        <v>375</v>
      </c>
      <c r="BI37" s="336">
        <f>COUNTIFS(F187:AC187,"&gt;500")/4</f>
        <v>1.5</v>
      </c>
      <c r="BJ37" s="337">
        <f>BI37/D122</f>
        <v>0.32745215311004788</v>
      </c>
      <c r="BK37" s="208" t="s">
        <v>374</v>
      </c>
    </row>
    <row r="38" spans="1:66" ht="27" x14ac:dyDescent="0.2">
      <c r="A38" s="310"/>
      <c r="D38" s="398"/>
      <c r="I38" s="309"/>
      <c r="AE38" s="47" t="s">
        <v>282</v>
      </c>
      <c r="AF38" s="48" t="s">
        <v>266</v>
      </c>
      <c r="AG38" s="48" t="s">
        <v>267</v>
      </c>
      <c r="AH38" s="237" t="s">
        <v>325</v>
      </c>
      <c r="AI38" s="48" t="s">
        <v>268</v>
      </c>
      <c r="AJ38" s="48" t="s">
        <v>269</v>
      </c>
      <c r="AK38" s="48" t="s">
        <v>270</v>
      </c>
      <c r="AL38" s="48" t="s">
        <v>271</v>
      </c>
      <c r="AM38" s="237" t="s">
        <v>323</v>
      </c>
      <c r="AN38" s="237" t="s">
        <v>322</v>
      </c>
      <c r="AO38" s="48" t="s">
        <v>326</v>
      </c>
      <c r="AP38" s="48" t="s">
        <v>272</v>
      </c>
      <c r="AQ38" s="48" t="s">
        <v>321</v>
      </c>
      <c r="AR38" s="48" t="s">
        <v>273</v>
      </c>
      <c r="AS38" s="48" t="s">
        <v>274</v>
      </c>
      <c r="AT38" s="48" t="s">
        <v>320</v>
      </c>
      <c r="AU38" s="48" t="s">
        <v>275</v>
      </c>
      <c r="AV38" s="48" t="s">
        <v>276</v>
      </c>
      <c r="AW38" s="48" t="s">
        <v>277</v>
      </c>
      <c r="AX38" s="48" t="s">
        <v>278</v>
      </c>
      <c r="AY38" s="48" t="s">
        <v>279</v>
      </c>
      <c r="AZ38" s="48" t="s">
        <v>280</v>
      </c>
      <c r="BA38" s="48" t="s">
        <v>338</v>
      </c>
      <c r="BB38" s="48" t="s">
        <v>327</v>
      </c>
      <c r="BC38" s="48" t="s">
        <v>337</v>
      </c>
      <c r="BD38" s="49" t="s">
        <v>281</v>
      </c>
      <c r="BH38" s="509" t="s">
        <v>343</v>
      </c>
      <c r="BI38" s="510"/>
      <c r="BJ38" s="511"/>
      <c r="BK38" s="96" t="s">
        <v>66</v>
      </c>
    </row>
    <row r="39" spans="1:66" ht="22.5" x14ac:dyDescent="0.2">
      <c r="A39" s="310"/>
      <c r="I39" s="309"/>
      <c r="AE39" s="203" t="s">
        <v>214</v>
      </c>
      <c r="AF39" s="275">
        <f t="shared" ref="AF39:AG48" si="54">SUM(AF3,AF21)</f>
        <v>122150490.33672506</v>
      </c>
      <c r="AG39" s="275">
        <f t="shared" si="54"/>
        <v>128325360.96000001</v>
      </c>
      <c r="AH39" s="262">
        <f t="shared" ref="AH39:AH48" si="55">AH3</f>
        <v>0.1</v>
      </c>
      <c r="AI39" s="275">
        <f t="shared" ref="AI39:AL48" si="56">SUM(AI3,AI21)</f>
        <v>951519.36</v>
      </c>
      <c r="AJ39" s="275">
        <f t="shared" si="56"/>
        <v>42132437.375721745</v>
      </c>
      <c r="AK39" s="275">
        <f t="shared" si="56"/>
        <v>3499254.4464735347</v>
      </c>
      <c r="AL39" s="275">
        <f t="shared" si="56"/>
        <v>0</v>
      </c>
      <c r="AM39" s="238" t="s">
        <v>66</v>
      </c>
      <c r="AN39" s="238">
        <f t="shared" ref="AN39:AR48" si="57">SUM(AN3,AN21)</f>
        <v>0.41078677658323492</v>
      </c>
      <c r="AO39" s="271">
        <f t="shared" si="57"/>
        <v>1</v>
      </c>
      <c r="AP39" s="275">
        <f t="shared" si="57"/>
        <v>22996551.679247491</v>
      </c>
      <c r="AQ39" s="239">
        <f t="shared" si="57"/>
        <v>6234553.705768561</v>
      </c>
      <c r="AR39" s="277">
        <f t="shared" si="57"/>
        <v>26035900.458545703</v>
      </c>
      <c r="AS39" s="275">
        <f t="shared" ref="AS39" si="58">SUM(AS3,AS21)</f>
        <v>38728477.387088552</v>
      </c>
      <c r="AT39" s="240">
        <f t="shared" ref="AT39:AU48" si="59">SUM(AT3,AT21)</f>
        <v>0</v>
      </c>
      <c r="AU39" s="240">
        <f t="shared" si="59"/>
        <v>391054545.70957071</v>
      </c>
      <c r="AV39" s="240">
        <f t="shared" ref="AV39:AV48" si="60">IFERROR((AU39-AT39)/F61, "0")</f>
        <v>17473.892763916709</v>
      </c>
      <c r="AW39" s="234">
        <f>SUM(AW3,AW21)</f>
        <v>0.39793687015893386</v>
      </c>
      <c r="AX39" s="212">
        <f>SUM(AX21,AX3)</f>
        <v>557002057.44241512</v>
      </c>
      <c r="AY39" s="241">
        <f t="shared" ref="AY39:AY48" si="61">IFERROR(AZ39/F61, "0")</f>
        <v>7415.2034703929166</v>
      </c>
      <c r="AZ39" s="241">
        <f>SUM(AZ21,AZ3)</f>
        <v>165947511.73284447</v>
      </c>
      <c r="BA39" s="297">
        <f t="shared" ref="BA39:BA48" si="62">IFERROR(BD39/AW39, "0.00")</f>
        <v>1.0663977655898138</v>
      </c>
      <c r="BB39" s="279">
        <f t="shared" ref="BB39:BB49" si="63">IFERROR(AZ39/AX39, "0.00%")</f>
        <v>0.29792980028624172</v>
      </c>
      <c r="BC39" s="279">
        <f t="shared" ref="BC39:BC48" si="64">AZ39/$C$26</f>
        <v>0.48790776572611694</v>
      </c>
      <c r="BD39" s="242">
        <f t="shared" ref="BD39:BD48" si="65">IFERROR(AZ39/(AU39-AT39), "0.00%")</f>
        <v>0.42435898918329096</v>
      </c>
      <c r="BE39" s="79" t="s">
        <v>214</v>
      </c>
      <c r="BH39" s="102" t="s">
        <v>345</v>
      </c>
      <c r="BI39" s="99" t="s">
        <v>344</v>
      </c>
      <c r="BJ39" s="99" t="s">
        <v>346</v>
      </c>
      <c r="BK39" s="96" t="s">
        <v>66</v>
      </c>
    </row>
    <row r="40" spans="1:66" ht="22.5" x14ac:dyDescent="0.2">
      <c r="A40" s="310"/>
      <c r="I40" s="309"/>
      <c r="AE40" s="175" t="s">
        <v>215</v>
      </c>
      <c r="AF40" s="211">
        <f t="shared" si="54"/>
        <v>0</v>
      </c>
      <c r="AG40" s="211">
        <f t="shared" si="54"/>
        <v>0</v>
      </c>
      <c r="AH40" s="263">
        <f t="shared" si="55"/>
        <v>0</v>
      </c>
      <c r="AI40" s="211">
        <f t="shared" si="56"/>
        <v>0</v>
      </c>
      <c r="AJ40" s="211">
        <f t="shared" si="56"/>
        <v>0</v>
      </c>
      <c r="AK40" s="211">
        <f t="shared" si="56"/>
        <v>0</v>
      </c>
      <c r="AL40" s="211">
        <f t="shared" si="56"/>
        <v>0</v>
      </c>
      <c r="AM40" s="243" t="s">
        <v>66</v>
      </c>
      <c r="AN40" s="243">
        <f t="shared" si="57"/>
        <v>0</v>
      </c>
      <c r="AO40" s="272">
        <f t="shared" si="57"/>
        <v>1</v>
      </c>
      <c r="AP40" s="211">
        <f t="shared" si="57"/>
        <v>0</v>
      </c>
      <c r="AQ40" s="239">
        <f t="shared" si="57"/>
        <v>0</v>
      </c>
      <c r="AR40" s="278">
        <f t="shared" si="57"/>
        <v>0</v>
      </c>
      <c r="AS40" s="276">
        <f t="shared" ref="AS40:AS48" si="66">SUM(AS4,AS22)</f>
        <v>0</v>
      </c>
      <c r="AT40" s="244">
        <f t="shared" si="59"/>
        <v>0</v>
      </c>
      <c r="AU40" s="244">
        <f t="shared" si="59"/>
        <v>0</v>
      </c>
      <c r="AV40" s="244" t="str">
        <f t="shared" si="60"/>
        <v>0</v>
      </c>
      <c r="AW40" s="235">
        <f t="shared" ref="AW40:AW48" si="67">SUM(AW4,AW22)</f>
        <v>0</v>
      </c>
      <c r="AX40" s="211">
        <f t="shared" ref="AX40:AX48" si="68">SUM(AX22,AX4)</f>
        <v>0</v>
      </c>
      <c r="AY40" s="257" t="str">
        <f t="shared" si="61"/>
        <v>0</v>
      </c>
      <c r="AZ40" s="257">
        <f t="shared" ref="AZ40:AZ48" si="69">SUM(AZ22,AZ4)</f>
        <v>0</v>
      </c>
      <c r="BA40" s="298" t="str">
        <f t="shared" si="62"/>
        <v>0.00</v>
      </c>
      <c r="BB40" s="280" t="str">
        <f t="shared" si="63"/>
        <v>0.00%</v>
      </c>
      <c r="BC40" s="280">
        <f t="shared" si="64"/>
        <v>0</v>
      </c>
      <c r="BD40" s="245" t="str">
        <f t="shared" si="65"/>
        <v>0.00%</v>
      </c>
      <c r="BE40" s="79" t="s">
        <v>215</v>
      </c>
      <c r="BH40" s="88" t="s">
        <v>393</v>
      </c>
      <c r="BI40" s="268">
        <f>H19/$H$24</f>
        <v>0.47941652490717612</v>
      </c>
      <c r="BJ40" s="224">
        <f>BI40*$C$26</f>
        <v>163059465.29371774</v>
      </c>
      <c r="BK40" s="284" t="s">
        <v>66</v>
      </c>
    </row>
    <row r="41" spans="1:66" ht="23.25" thickBot="1" x14ac:dyDescent="0.25">
      <c r="A41" s="310"/>
      <c r="B41" s="310"/>
      <c r="C41" s="310"/>
      <c r="D41" s="310"/>
      <c r="E41" s="310"/>
      <c r="F41" s="310"/>
      <c r="G41" s="310"/>
      <c r="H41" s="310"/>
      <c r="I41" s="319"/>
      <c r="J41" s="310"/>
      <c r="K41" s="310"/>
      <c r="L41" s="310"/>
      <c r="AE41" s="203" t="s">
        <v>216</v>
      </c>
      <c r="AF41" s="275">
        <f t="shared" si="54"/>
        <v>0</v>
      </c>
      <c r="AG41" s="275">
        <f t="shared" si="54"/>
        <v>0</v>
      </c>
      <c r="AH41" s="262">
        <f t="shared" si="55"/>
        <v>0</v>
      </c>
      <c r="AI41" s="275">
        <f t="shared" si="56"/>
        <v>0</v>
      </c>
      <c r="AJ41" s="275">
        <f t="shared" si="56"/>
        <v>0</v>
      </c>
      <c r="AK41" s="275">
        <f t="shared" si="56"/>
        <v>0</v>
      </c>
      <c r="AL41" s="275">
        <f t="shared" si="56"/>
        <v>0</v>
      </c>
      <c r="AM41" s="238" t="s">
        <v>66</v>
      </c>
      <c r="AN41" s="238">
        <f t="shared" si="57"/>
        <v>0</v>
      </c>
      <c r="AO41" s="271">
        <f t="shared" si="57"/>
        <v>1</v>
      </c>
      <c r="AP41" s="275">
        <f t="shared" si="57"/>
        <v>0</v>
      </c>
      <c r="AQ41" s="239">
        <f t="shared" si="57"/>
        <v>0</v>
      </c>
      <c r="AR41" s="258">
        <f t="shared" si="57"/>
        <v>0</v>
      </c>
      <c r="AS41" s="212">
        <f t="shared" si="66"/>
        <v>0</v>
      </c>
      <c r="AT41" s="240">
        <f t="shared" si="59"/>
        <v>0</v>
      </c>
      <c r="AU41" s="240">
        <f t="shared" si="59"/>
        <v>0</v>
      </c>
      <c r="AV41" s="240" t="str">
        <f t="shared" si="60"/>
        <v>0</v>
      </c>
      <c r="AW41" s="234">
        <f t="shared" si="67"/>
        <v>0</v>
      </c>
      <c r="AX41" s="275">
        <f t="shared" si="68"/>
        <v>0</v>
      </c>
      <c r="AY41" s="259" t="str">
        <f t="shared" si="61"/>
        <v>0</v>
      </c>
      <c r="AZ41" s="259">
        <f t="shared" si="69"/>
        <v>0</v>
      </c>
      <c r="BA41" s="297" t="str">
        <f t="shared" si="62"/>
        <v>0.00</v>
      </c>
      <c r="BB41" s="279" t="str">
        <f t="shared" si="63"/>
        <v>0.00%</v>
      </c>
      <c r="BC41" s="279">
        <f t="shared" si="64"/>
        <v>0</v>
      </c>
      <c r="BD41" s="242" t="str">
        <f t="shared" si="65"/>
        <v>0.00%</v>
      </c>
      <c r="BE41" s="79" t="s">
        <v>216</v>
      </c>
      <c r="BH41" s="94" t="s">
        <v>394</v>
      </c>
      <c r="BI41" s="269">
        <f>H20/$H$24</f>
        <v>0</v>
      </c>
      <c r="BJ41" s="222">
        <f>BI41*$C$26</f>
        <v>0</v>
      </c>
      <c r="BK41" s="284" t="s">
        <v>66</v>
      </c>
      <c r="BN41" s="405"/>
    </row>
    <row r="42" spans="1:66" ht="22.5" x14ac:dyDescent="0.2">
      <c r="A42" s="310"/>
      <c r="B42" s="449" t="s">
        <v>31</v>
      </c>
      <c r="C42" s="450"/>
      <c r="D42" s="450"/>
      <c r="E42" s="450"/>
      <c r="F42" s="450"/>
      <c r="G42" s="450"/>
      <c r="H42" s="450"/>
      <c r="I42" s="450"/>
      <c r="J42" s="450"/>
      <c r="K42" s="450"/>
      <c r="L42" s="451"/>
      <c r="AE42" s="175" t="s">
        <v>217</v>
      </c>
      <c r="AF42" s="211">
        <f t="shared" si="54"/>
        <v>0</v>
      </c>
      <c r="AG42" s="211">
        <f t="shared" si="54"/>
        <v>0</v>
      </c>
      <c r="AH42" s="263">
        <f t="shared" si="55"/>
        <v>0</v>
      </c>
      <c r="AI42" s="211">
        <f t="shared" si="56"/>
        <v>0</v>
      </c>
      <c r="AJ42" s="211">
        <f t="shared" si="56"/>
        <v>0</v>
      </c>
      <c r="AK42" s="211">
        <f t="shared" si="56"/>
        <v>0</v>
      </c>
      <c r="AL42" s="211">
        <f t="shared" si="56"/>
        <v>0</v>
      </c>
      <c r="AM42" s="243" t="s">
        <v>66</v>
      </c>
      <c r="AN42" s="243">
        <f t="shared" si="57"/>
        <v>0</v>
      </c>
      <c r="AO42" s="272">
        <f t="shared" si="57"/>
        <v>1</v>
      </c>
      <c r="AP42" s="211">
        <f t="shared" si="57"/>
        <v>0</v>
      </c>
      <c r="AQ42" s="239">
        <f t="shared" si="57"/>
        <v>0</v>
      </c>
      <c r="AR42" s="278">
        <f t="shared" si="57"/>
        <v>0</v>
      </c>
      <c r="AS42" s="276">
        <f t="shared" si="66"/>
        <v>0</v>
      </c>
      <c r="AT42" s="244">
        <f t="shared" si="59"/>
        <v>0</v>
      </c>
      <c r="AU42" s="244">
        <f t="shared" si="59"/>
        <v>0</v>
      </c>
      <c r="AV42" s="244" t="str">
        <f t="shared" si="60"/>
        <v>0</v>
      </c>
      <c r="AW42" s="235">
        <f t="shared" si="67"/>
        <v>0</v>
      </c>
      <c r="AX42" s="211">
        <f t="shared" si="68"/>
        <v>0</v>
      </c>
      <c r="AY42" s="257" t="str">
        <f t="shared" si="61"/>
        <v>0</v>
      </c>
      <c r="AZ42" s="257">
        <f t="shared" si="69"/>
        <v>0</v>
      </c>
      <c r="BA42" s="298" t="str">
        <f t="shared" si="62"/>
        <v>0.00</v>
      </c>
      <c r="BB42" s="280" t="str">
        <f t="shared" si="63"/>
        <v>0.00%</v>
      </c>
      <c r="BC42" s="280">
        <f t="shared" si="64"/>
        <v>0</v>
      </c>
      <c r="BD42" s="245" t="str">
        <f t="shared" si="65"/>
        <v>0.00%</v>
      </c>
      <c r="BE42" s="79" t="s">
        <v>217</v>
      </c>
      <c r="BH42" s="88" t="s">
        <v>15</v>
      </c>
      <c r="BI42" s="268">
        <f>H21/$H$24</f>
        <v>0.10554214856062967</v>
      </c>
      <c r="BJ42" s="224">
        <f>BI42*$C$26</f>
        <v>35897065.320346437</v>
      </c>
      <c r="BK42" s="284" t="s">
        <v>66</v>
      </c>
    </row>
    <row r="43" spans="1:66" ht="22.5" x14ac:dyDescent="0.2">
      <c r="A43" s="310"/>
      <c r="B43" s="102" t="s">
        <v>32</v>
      </c>
      <c r="C43" s="99" t="s">
        <v>33</v>
      </c>
      <c r="D43" s="99" t="s">
        <v>34</v>
      </c>
      <c r="E43" s="99" t="s">
        <v>229</v>
      </c>
      <c r="F43" s="99" t="s">
        <v>223</v>
      </c>
      <c r="G43" s="99" t="s">
        <v>224</v>
      </c>
      <c r="H43" s="99" t="s">
        <v>225</v>
      </c>
      <c r="I43" s="464" t="s">
        <v>230</v>
      </c>
      <c r="J43" s="464"/>
      <c r="K43" s="99" t="s">
        <v>35</v>
      </c>
      <c r="L43" s="100" t="s">
        <v>36</v>
      </c>
      <c r="AE43" s="203" t="s">
        <v>283</v>
      </c>
      <c r="AF43" s="275">
        <f t="shared" si="54"/>
        <v>0</v>
      </c>
      <c r="AG43" s="275">
        <f t="shared" si="54"/>
        <v>0</v>
      </c>
      <c r="AH43" s="262">
        <f t="shared" si="55"/>
        <v>0</v>
      </c>
      <c r="AI43" s="275">
        <f t="shared" si="56"/>
        <v>0</v>
      </c>
      <c r="AJ43" s="275">
        <f t="shared" si="56"/>
        <v>0</v>
      </c>
      <c r="AK43" s="275">
        <f t="shared" si="56"/>
        <v>0</v>
      </c>
      <c r="AL43" s="275">
        <f t="shared" si="56"/>
        <v>0</v>
      </c>
      <c r="AM43" s="238" t="s">
        <v>66</v>
      </c>
      <c r="AN43" s="238">
        <f t="shared" si="57"/>
        <v>0</v>
      </c>
      <c r="AO43" s="271">
        <f t="shared" si="57"/>
        <v>1</v>
      </c>
      <c r="AP43" s="275">
        <f t="shared" si="57"/>
        <v>0</v>
      </c>
      <c r="AQ43" s="239">
        <f t="shared" si="57"/>
        <v>0</v>
      </c>
      <c r="AR43" s="258">
        <f t="shared" si="57"/>
        <v>0</v>
      </c>
      <c r="AS43" s="212">
        <f t="shared" si="66"/>
        <v>0</v>
      </c>
      <c r="AT43" s="240">
        <f t="shared" si="59"/>
        <v>0</v>
      </c>
      <c r="AU43" s="240">
        <f t="shared" si="59"/>
        <v>0</v>
      </c>
      <c r="AV43" s="240" t="str">
        <f t="shared" si="60"/>
        <v>0</v>
      </c>
      <c r="AW43" s="234">
        <f t="shared" si="67"/>
        <v>0</v>
      </c>
      <c r="AX43" s="275">
        <f t="shared" si="68"/>
        <v>0</v>
      </c>
      <c r="AY43" s="259" t="str">
        <f t="shared" si="61"/>
        <v>0</v>
      </c>
      <c r="AZ43" s="259">
        <f t="shared" si="69"/>
        <v>0</v>
      </c>
      <c r="BA43" s="297" t="str">
        <f t="shared" si="62"/>
        <v>0.00</v>
      </c>
      <c r="BB43" s="279" t="str">
        <f t="shared" si="63"/>
        <v>0.00%</v>
      </c>
      <c r="BC43" s="279">
        <f t="shared" si="64"/>
        <v>0</v>
      </c>
      <c r="BD43" s="242" t="str">
        <f t="shared" si="65"/>
        <v>0.00%</v>
      </c>
      <c r="BE43" s="79" t="s">
        <v>218</v>
      </c>
      <c r="BH43" s="94" t="s">
        <v>17</v>
      </c>
      <c r="BI43" s="269">
        <f>H22/$H$24</f>
        <v>7.4854671560066893E-2</v>
      </c>
      <c r="BJ43" s="222">
        <f>BI43*$C$26</f>
        <v>25459620.361823425</v>
      </c>
      <c r="BK43" s="284" t="s">
        <v>66</v>
      </c>
    </row>
    <row r="44" spans="1:66" ht="22.5" x14ac:dyDescent="0.2">
      <c r="A44" s="310"/>
      <c r="B44" s="4">
        <v>1</v>
      </c>
      <c r="C44" s="101">
        <v>10812.72</v>
      </c>
      <c r="D44" s="177">
        <v>21000</v>
      </c>
      <c r="E44" s="103">
        <f>D44*C44</f>
        <v>227067120</v>
      </c>
      <c r="F44" s="103">
        <f>(E44*$F$50)*$F$51</f>
        <v>5676678</v>
      </c>
      <c r="G44" s="103">
        <f>(E44*$G$50)*$G$51</f>
        <v>5676678</v>
      </c>
      <c r="H44" s="103">
        <f>(G44*$H$50)*$H$51</f>
        <v>851501.7</v>
      </c>
      <c r="I44" s="466">
        <f>SUM(E44:H44)</f>
        <v>239271977.69999999</v>
      </c>
      <c r="J44" s="466"/>
      <c r="K44" s="17">
        <v>6</v>
      </c>
      <c r="L44" s="87">
        <f>K44*C44</f>
        <v>64876.319999999992</v>
      </c>
      <c r="AE44" s="175" t="s">
        <v>287</v>
      </c>
      <c r="AF44" s="211">
        <f t="shared" si="54"/>
        <v>36117855.524616897</v>
      </c>
      <c r="AG44" s="211">
        <f t="shared" si="54"/>
        <v>23355475.199999996</v>
      </c>
      <c r="AH44" s="263">
        <f t="shared" si="55"/>
        <v>0.3</v>
      </c>
      <c r="AI44" s="211">
        <f t="shared" si="56"/>
        <v>2854558.0799999996</v>
      </c>
      <c r="AJ44" s="211">
        <f t="shared" si="56"/>
        <v>31107265.040007085</v>
      </c>
      <c r="AK44" s="211">
        <f t="shared" si="56"/>
        <v>2583573.1870475681</v>
      </c>
      <c r="AL44" s="211">
        <f t="shared" si="56"/>
        <v>0</v>
      </c>
      <c r="AM44" s="243" t="s">
        <v>66</v>
      </c>
      <c r="AN44" s="243">
        <f t="shared" si="57"/>
        <v>0.132779061386154</v>
      </c>
      <c r="AO44" s="272">
        <f t="shared" si="57"/>
        <v>1</v>
      </c>
      <c r="AP44" s="211">
        <f t="shared" si="57"/>
        <v>6881708.205476258</v>
      </c>
      <c r="AQ44" s="239">
        <f t="shared" si="57"/>
        <v>1175768.6078094493</v>
      </c>
      <c r="AR44" s="278">
        <f t="shared" si="57"/>
        <v>11901369.441097815</v>
      </c>
      <c r="AS44" s="276">
        <f t="shared" si="66"/>
        <v>12518248.321293157</v>
      </c>
      <c r="AT44" s="244">
        <f t="shared" si="59"/>
        <v>590585.30826994812</v>
      </c>
      <c r="AU44" s="244">
        <f t="shared" si="59"/>
        <v>129086406.91561818</v>
      </c>
      <c r="AV44" s="244">
        <f t="shared" si="60"/>
        <v>19418.451353032731</v>
      </c>
      <c r="AW44" s="235">
        <f>SUM(AW8,AW26)</f>
        <v>0.13075727066705575</v>
      </c>
      <c r="AX44" s="211">
        <f>SUM(AX26,AX8)</f>
        <v>143824892.71985796</v>
      </c>
      <c r="AY44" s="257">
        <f t="shared" si="61"/>
        <v>2227.2986469672646</v>
      </c>
      <c r="AZ44" s="257">
        <f t="shared" si="69"/>
        <v>14738485.804239782</v>
      </c>
      <c r="BA44" s="298">
        <f t="shared" si="62"/>
        <v>0.87719877191417772</v>
      </c>
      <c r="BB44" s="280">
        <f t="shared" si="63"/>
        <v>0.10247520805002369</v>
      </c>
      <c r="BC44" s="280">
        <f t="shared" si="64"/>
        <v>4.3333109390090781E-2</v>
      </c>
      <c r="BD44" s="245">
        <f t="shared" si="65"/>
        <v>0.11470011724799103</v>
      </c>
      <c r="BE44" s="79" t="s">
        <v>245</v>
      </c>
      <c r="BH44" s="88" t="s">
        <v>395</v>
      </c>
      <c r="BI44" s="268">
        <f>H23/$H$24</f>
        <v>0.34018665497212736</v>
      </c>
      <c r="BJ44" s="224">
        <f>BI44*$C$26</f>
        <v>115704509.9155764</v>
      </c>
      <c r="BK44" s="284" t="s">
        <v>66</v>
      </c>
    </row>
    <row r="45" spans="1:66" ht="12" thickBot="1" x14ac:dyDescent="0.25">
      <c r="A45" s="310"/>
      <c r="B45" s="5">
        <v>2</v>
      </c>
      <c r="C45" s="23"/>
      <c r="D45" s="178"/>
      <c r="E45" s="104">
        <f>D45*C45</f>
        <v>0</v>
      </c>
      <c r="F45" s="104">
        <f>(E45*$F$50)*$F$51</f>
        <v>0</v>
      </c>
      <c r="G45" s="104">
        <f>(E45*$G$50)*$G$51</f>
        <v>0</v>
      </c>
      <c r="H45" s="104">
        <f>(G45*$H$50)*$H$51</f>
        <v>0</v>
      </c>
      <c r="I45" s="492">
        <f>SUM(E45:H45)</f>
        <v>0</v>
      </c>
      <c r="J45" s="492"/>
      <c r="K45" s="219"/>
      <c r="L45" s="105">
        <f>K45*C45</f>
        <v>0</v>
      </c>
      <c r="AE45" s="203" t="s">
        <v>219</v>
      </c>
      <c r="AF45" s="275">
        <f t="shared" si="54"/>
        <v>22309286.058214776</v>
      </c>
      <c r="AG45" s="275">
        <f t="shared" si="54"/>
        <v>13624027.199999999</v>
      </c>
      <c r="AH45" s="262">
        <f t="shared" si="55"/>
        <v>0.3</v>
      </c>
      <c r="AI45" s="275">
        <f t="shared" si="56"/>
        <v>2854558.0799999996</v>
      </c>
      <c r="AJ45" s="275">
        <f t="shared" si="56"/>
        <v>10674635.150614763</v>
      </c>
      <c r="AK45" s="275">
        <f t="shared" si="56"/>
        <v>886567.85227421275</v>
      </c>
      <c r="AL45" s="275">
        <f t="shared" si="56"/>
        <v>0</v>
      </c>
      <c r="AM45" s="238" t="s">
        <v>66</v>
      </c>
      <c r="AN45" s="238">
        <f t="shared" si="57"/>
        <v>6.9624989398313242E-2</v>
      </c>
      <c r="AO45" s="271">
        <f t="shared" si="57"/>
        <v>1</v>
      </c>
      <c r="AP45" s="275">
        <f t="shared" si="57"/>
        <v>3682402.2484193984</v>
      </c>
      <c r="AQ45" s="239">
        <f t="shared" si="57"/>
        <v>616534.53313338978</v>
      </c>
      <c r="AR45" s="258">
        <f t="shared" si="57"/>
        <v>6240688.1790165985</v>
      </c>
      <c r="AS45" s="212">
        <f t="shared" si="66"/>
        <v>6564159.269967366</v>
      </c>
      <c r="AT45" s="240">
        <f t="shared" si="59"/>
        <v>364792.88132134988</v>
      </c>
      <c r="AU45" s="240">
        <f t="shared" si="59"/>
        <v>67817651.452961847</v>
      </c>
      <c r="AV45" s="240">
        <f t="shared" si="60"/>
        <v>16502.974525469661</v>
      </c>
      <c r="AW45" s="234">
        <f t="shared" si="67"/>
        <v>6.8639988251682146E-2</v>
      </c>
      <c r="AX45" s="275">
        <f t="shared" si="68"/>
        <v>88837795.804140478</v>
      </c>
      <c r="AY45" s="259">
        <f t="shared" si="61"/>
        <v>5142.7754745303337</v>
      </c>
      <c r="AZ45" s="259">
        <f t="shared" si="69"/>
        <v>21020144.351178631</v>
      </c>
      <c r="BA45" s="297">
        <f t="shared" si="62"/>
        <v>4.5400238500445065</v>
      </c>
      <c r="BB45" s="279">
        <f t="shared" si="63"/>
        <v>0.23661262822775869</v>
      </c>
      <c r="BC45" s="279">
        <f t="shared" si="64"/>
        <v>6.1802021365254187E-2</v>
      </c>
      <c r="BD45" s="242">
        <f t="shared" si="65"/>
        <v>0.31162718372941167</v>
      </c>
      <c r="BE45" s="79" t="s">
        <v>219</v>
      </c>
      <c r="BH45" s="270" t="s">
        <v>66</v>
      </c>
      <c r="BI45" s="173" t="b">
        <f>SUM(BI40:BI44)=100%</f>
        <v>1</v>
      </c>
      <c r="BJ45" s="173" t="b">
        <f>SUM(BJ40:BJ44)=C26</f>
        <v>1</v>
      </c>
      <c r="BK45" s="285" t="s">
        <v>66</v>
      </c>
    </row>
    <row r="46" spans="1:66" x14ac:dyDescent="0.2">
      <c r="A46" s="310"/>
      <c r="B46" s="4">
        <v>3</v>
      </c>
      <c r="C46" s="101"/>
      <c r="D46" s="177"/>
      <c r="E46" s="103">
        <f>D46*C46</f>
        <v>0</v>
      </c>
      <c r="F46" s="103">
        <f>(E46*$F$50)*$F$51</f>
        <v>0</v>
      </c>
      <c r="G46" s="103">
        <f>(E46*$G$50)*$G$51</f>
        <v>0</v>
      </c>
      <c r="H46" s="103">
        <f>(G46*$H$50)*$H$51</f>
        <v>0</v>
      </c>
      <c r="I46" s="466">
        <f>SUM(E46:H46)</f>
        <v>0</v>
      </c>
      <c r="J46" s="466"/>
      <c r="K46" s="17"/>
      <c r="L46" s="87">
        <f>K46*C46</f>
        <v>0</v>
      </c>
      <c r="AE46" s="175" t="s">
        <v>284</v>
      </c>
      <c r="AF46" s="211">
        <f t="shared" si="54"/>
        <v>58694345.780443259</v>
      </c>
      <c r="AG46" s="211">
        <f t="shared" si="54"/>
        <v>204360407.99999997</v>
      </c>
      <c r="AH46" s="263">
        <f t="shared" si="55"/>
        <v>0.3</v>
      </c>
      <c r="AI46" s="211">
        <f t="shared" si="56"/>
        <v>2854558.0799999996</v>
      </c>
      <c r="AJ46" s="211">
        <f t="shared" si="56"/>
        <v>12751379.233656373</v>
      </c>
      <c r="AK46" s="211">
        <f t="shared" si="56"/>
        <v>1059049.1142046819</v>
      </c>
      <c r="AL46" s="211">
        <f t="shared" si="56"/>
        <v>0</v>
      </c>
      <c r="AM46" s="243" t="s">
        <v>66</v>
      </c>
      <c r="AN46" s="243">
        <f t="shared" si="57"/>
        <v>0.38680917387685843</v>
      </c>
      <c r="AO46" s="272">
        <f t="shared" si="57"/>
        <v>1</v>
      </c>
      <c r="AP46" s="211">
        <f t="shared" si="57"/>
        <v>20982035.228621271</v>
      </c>
      <c r="AQ46" s="239">
        <f t="shared" si="57"/>
        <v>23861265.229532965</v>
      </c>
      <c r="AR46" s="278">
        <f t="shared" si="57"/>
        <v>34670819.652596034</v>
      </c>
      <c r="AS46" s="276">
        <f t="shared" si="66"/>
        <v>36467898.183604054</v>
      </c>
      <c r="AT46" s="244">
        <f t="shared" si="59"/>
        <v>16728096.000000002</v>
      </c>
      <c r="AU46" s="244">
        <f t="shared" si="59"/>
        <v>412429854.50265861</v>
      </c>
      <c r="AV46" s="244">
        <f t="shared" si="60"/>
        <v>36797.579838621285</v>
      </c>
      <c r="AW46" s="235">
        <f t="shared" si="67"/>
        <v>0.40266587109789093</v>
      </c>
      <c r="AX46" s="211">
        <f t="shared" si="68"/>
        <v>550844373.33333337</v>
      </c>
      <c r="AY46" s="257">
        <f t="shared" si="61"/>
        <v>12871.611505516932</v>
      </c>
      <c r="AZ46" s="257">
        <f t="shared" si="69"/>
        <v>138414518.83067474</v>
      </c>
      <c r="BA46" s="298">
        <f t="shared" si="62"/>
        <v>0.86869804780730564</v>
      </c>
      <c r="BB46" s="280">
        <f t="shared" si="63"/>
        <v>0.25127699497606693</v>
      </c>
      <c r="BC46" s="280">
        <f t="shared" si="64"/>
        <v>0.40695710301128762</v>
      </c>
      <c r="BD46" s="245">
        <f t="shared" si="65"/>
        <v>0.34979505614136602</v>
      </c>
      <c r="BE46" s="79" t="s">
        <v>220</v>
      </c>
    </row>
    <row r="47" spans="1:66" x14ac:dyDescent="0.2">
      <c r="A47" s="310"/>
      <c r="B47" s="5">
        <v>4</v>
      </c>
      <c r="C47" s="23"/>
      <c r="D47" s="178"/>
      <c r="E47" s="104">
        <f>D47*C47</f>
        <v>0</v>
      </c>
      <c r="F47" s="104">
        <f>(E47*$F$50)*$F$51</f>
        <v>0</v>
      </c>
      <c r="G47" s="104">
        <f>(E47*$G$50)*$G$51</f>
        <v>0</v>
      </c>
      <c r="H47" s="104">
        <f>(G47*$H$50)*$H$51</f>
        <v>0</v>
      </c>
      <c r="I47" s="492">
        <f>SUM(E47:H47)</f>
        <v>0</v>
      </c>
      <c r="J47" s="492"/>
      <c r="K47" s="219"/>
      <c r="L47" s="105">
        <f>K47*C47</f>
        <v>0</v>
      </c>
      <c r="AE47" s="203" t="s">
        <v>285</v>
      </c>
      <c r="AF47" s="275">
        <f t="shared" si="54"/>
        <v>0</v>
      </c>
      <c r="AG47" s="275">
        <f t="shared" si="54"/>
        <v>0</v>
      </c>
      <c r="AH47" s="262">
        <f t="shared" si="55"/>
        <v>0</v>
      </c>
      <c r="AI47" s="275">
        <f t="shared" si="56"/>
        <v>0</v>
      </c>
      <c r="AJ47" s="275">
        <f t="shared" si="56"/>
        <v>0</v>
      </c>
      <c r="AK47" s="275">
        <f t="shared" si="56"/>
        <v>0</v>
      </c>
      <c r="AL47" s="275">
        <f t="shared" si="56"/>
        <v>0</v>
      </c>
      <c r="AM47" s="238" t="s">
        <v>66</v>
      </c>
      <c r="AN47" s="238">
        <f t="shared" si="57"/>
        <v>0</v>
      </c>
      <c r="AO47" s="271">
        <f t="shared" si="57"/>
        <v>1</v>
      </c>
      <c r="AP47" s="275">
        <f t="shared" si="57"/>
        <v>0</v>
      </c>
      <c r="AQ47" s="239">
        <f t="shared" si="57"/>
        <v>0</v>
      </c>
      <c r="AR47" s="258">
        <f t="shared" si="57"/>
        <v>0</v>
      </c>
      <c r="AS47" s="212">
        <f t="shared" si="66"/>
        <v>0</v>
      </c>
      <c r="AT47" s="240">
        <f t="shared" si="59"/>
        <v>0</v>
      </c>
      <c r="AU47" s="240">
        <f t="shared" si="59"/>
        <v>0</v>
      </c>
      <c r="AV47" s="240" t="str">
        <f t="shared" si="60"/>
        <v>0</v>
      </c>
      <c r="AW47" s="234">
        <f t="shared" si="67"/>
        <v>0</v>
      </c>
      <c r="AX47" s="275">
        <f t="shared" si="68"/>
        <v>0</v>
      </c>
      <c r="AY47" s="259" t="str">
        <f t="shared" si="61"/>
        <v>0</v>
      </c>
      <c r="AZ47" s="259">
        <f t="shared" si="69"/>
        <v>0</v>
      </c>
      <c r="BA47" s="297" t="str">
        <f t="shared" si="62"/>
        <v>0.00</v>
      </c>
      <c r="BB47" s="279" t="str">
        <f t="shared" si="63"/>
        <v>0.00%</v>
      </c>
      <c r="BC47" s="279">
        <f t="shared" si="64"/>
        <v>0</v>
      </c>
      <c r="BD47" s="242" t="str">
        <f t="shared" si="65"/>
        <v>0.00%</v>
      </c>
      <c r="BE47" s="79" t="s">
        <v>221</v>
      </c>
    </row>
    <row r="48" spans="1:66" ht="18" x14ac:dyDescent="0.2">
      <c r="A48" s="310"/>
      <c r="B48" s="4">
        <v>5</v>
      </c>
      <c r="C48" s="101"/>
      <c r="D48" s="177"/>
      <c r="E48" s="103">
        <f>D48*C48</f>
        <v>0</v>
      </c>
      <c r="F48" s="103">
        <f>(E48*$F$50)*$F$51</f>
        <v>0</v>
      </c>
      <c r="G48" s="103">
        <f>(E48*$G$50)*$G$51</f>
        <v>0</v>
      </c>
      <c r="H48" s="103">
        <f>(G48*$H$50)*$H$51</f>
        <v>0</v>
      </c>
      <c r="I48" s="466">
        <f>SUM(E48:H48)</f>
        <v>0</v>
      </c>
      <c r="J48" s="466"/>
      <c r="K48" s="17"/>
      <c r="L48" s="87">
        <f>K48*C48</f>
        <v>0</v>
      </c>
      <c r="AE48" s="175" t="s">
        <v>420</v>
      </c>
      <c r="AF48" s="211">
        <f t="shared" si="54"/>
        <v>0</v>
      </c>
      <c r="AG48" s="211">
        <f t="shared" si="54"/>
        <v>0</v>
      </c>
      <c r="AH48" s="263">
        <f t="shared" si="55"/>
        <v>0</v>
      </c>
      <c r="AI48" s="211">
        <f t="shared" si="56"/>
        <v>0</v>
      </c>
      <c r="AJ48" s="211">
        <f t="shared" si="56"/>
        <v>0</v>
      </c>
      <c r="AK48" s="211">
        <f t="shared" si="56"/>
        <v>0</v>
      </c>
      <c r="AL48" s="211">
        <f t="shared" si="56"/>
        <v>0</v>
      </c>
      <c r="AM48" s="243" t="s">
        <v>66</v>
      </c>
      <c r="AN48" s="243">
        <f t="shared" si="57"/>
        <v>0</v>
      </c>
      <c r="AO48" s="272">
        <f t="shared" si="57"/>
        <v>1</v>
      </c>
      <c r="AP48" s="211">
        <f t="shared" si="57"/>
        <v>0</v>
      </c>
      <c r="AQ48" s="239">
        <f t="shared" si="57"/>
        <v>0</v>
      </c>
      <c r="AR48" s="278">
        <f t="shared" si="57"/>
        <v>0</v>
      </c>
      <c r="AS48" s="276">
        <f t="shared" si="66"/>
        <v>0</v>
      </c>
      <c r="AT48" s="244">
        <f t="shared" si="59"/>
        <v>0</v>
      </c>
      <c r="AU48" s="244">
        <f t="shared" si="59"/>
        <v>0</v>
      </c>
      <c r="AV48" s="244" t="str">
        <f t="shared" si="60"/>
        <v>0</v>
      </c>
      <c r="AW48" s="235">
        <f t="shared" si="67"/>
        <v>0</v>
      </c>
      <c r="AX48" s="211">
        <f t="shared" si="68"/>
        <v>0</v>
      </c>
      <c r="AY48" s="257" t="str">
        <f t="shared" si="61"/>
        <v>0</v>
      </c>
      <c r="AZ48" s="257">
        <f t="shared" si="69"/>
        <v>0</v>
      </c>
      <c r="BA48" s="298" t="str">
        <f t="shared" si="62"/>
        <v>0.00</v>
      </c>
      <c r="BB48" s="280" t="str">
        <f t="shared" si="63"/>
        <v>0.00%</v>
      </c>
      <c r="BC48" s="280">
        <f t="shared" si="64"/>
        <v>0</v>
      </c>
      <c r="BD48" s="245" t="str">
        <f t="shared" si="65"/>
        <v>0.00%</v>
      </c>
      <c r="BE48" s="79" t="s">
        <v>222</v>
      </c>
    </row>
    <row r="49" spans="1:62" ht="23.25" thickBot="1" x14ac:dyDescent="0.25">
      <c r="B49" s="6" t="s">
        <v>37</v>
      </c>
      <c r="C49" s="7">
        <f>SUM(C44:C48)</f>
        <v>10812.72</v>
      </c>
      <c r="D49" s="8">
        <f>E49/C49</f>
        <v>21000</v>
      </c>
      <c r="E49" s="8">
        <f>SUM(E44:E48)</f>
        <v>227067120</v>
      </c>
      <c r="F49" s="8">
        <f>SUM(F44:F48)</f>
        <v>5676678</v>
      </c>
      <c r="G49" s="8">
        <f>SUM(G44:G48)</f>
        <v>5676678</v>
      </c>
      <c r="H49" s="8">
        <f>SUM(H44:H48)</f>
        <v>851501.7</v>
      </c>
      <c r="I49" s="489">
        <f>SUM(I44:I48)</f>
        <v>239271977.69999999</v>
      </c>
      <c r="J49" s="489"/>
      <c r="K49" s="9">
        <f>L49/C49</f>
        <v>6</v>
      </c>
      <c r="L49" s="10">
        <f>SUM(L44:L48)</f>
        <v>64876.319999999992</v>
      </c>
      <c r="AE49" s="176" t="s">
        <v>286</v>
      </c>
      <c r="AF49" s="215">
        <f t="shared" ref="AF49:AL49" si="70">SUM(AF39:AF48)</f>
        <v>239271977.69999999</v>
      </c>
      <c r="AG49" s="215">
        <f t="shared" si="70"/>
        <v>369665271.35999995</v>
      </c>
      <c r="AH49" s="261">
        <f t="shared" si="70"/>
        <v>1</v>
      </c>
      <c r="AI49" s="215">
        <f t="shared" si="70"/>
        <v>9515193.5999999996</v>
      </c>
      <c r="AJ49" s="215">
        <f t="shared" si="70"/>
        <v>96665716.799999982</v>
      </c>
      <c r="AK49" s="215">
        <f t="shared" si="70"/>
        <v>8028444.5999999978</v>
      </c>
      <c r="AL49" s="215">
        <f t="shared" si="70"/>
        <v>0</v>
      </c>
      <c r="AM49" s="256" t="s">
        <v>66</v>
      </c>
      <c r="AN49" s="261">
        <f>SUM(AN39:AN48)</f>
        <v>1.0000000012445607</v>
      </c>
      <c r="AO49" s="215" t="s">
        <v>66</v>
      </c>
      <c r="AP49" s="485">
        <f>SUM(AP39:AQ48)</f>
        <v>86430819.438008785</v>
      </c>
      <c r="AQ49" s="486"/>
      <c r="AR49" s="273">
        <f>SUM(AR39:AR48)</f>
        <v>78848777.731256157</v>
      </c>
      <c r="AS49" s="273">
        <f>SUM(AS39:AS48)</f>
        <v>94278783.161953121</v>
      </c>
      <c r="AT49" s="247">
        <f>SUM(AT39:AT48)</f>
        <v>17683474.1895913</v>
      </c>
      <c r="AU49" s="247">
        <f>SUM(AU39:AU48)</f>
        <v>1000388458.5808094</v>
      </c>
      <c r="AV49" s="248">
        <f>AU49/F76</f>
        <v>22820.459012873482</v>
      </c>
      <c r="AW49" s="249">
        <f>SUM(AW39:AW48)</f>
        <v>1.0000000001755627</v>
      </c>
      <c r="AX49" s="215">
        <f>SUM(AX39:AX48)</f>
        <v>1340509119.299747</v>
      </c>
      <c r="AY49" s="250">
        <f>AZ49/F76</f>
        <v>7758.6956654608275</v>
      </c>
      <c r="AZ49" s="251">
        <f>SUM(AZ39:AZ48)</f>
        <v>340120660.71893764</v>
      </c>
      <c r="BA49" s="251" t="s">
        <v>66</v>
      </c>
      <c r="BB49" s="281">
        <f t="shared" si="63"/>
        <v>0.25372498838098867</v>
      </c>
      <c r="BC49" s="281" t="s">
        <v>66</v>
      </c>
      <c r="BD49" s="252">
        <f>IFERROR(AZ49/AU49, "0.00%")</f>
        <v>0.33998858923407238</v>
      </c>
    </row>
    <row r="50" spans="1:62" x14ac:dyDescent="0.2">
      <c r="A50" s="310"/>
      <c r="B50" s="310"/>
      <c r="C50" s="310"/>
      <c r="D50" s="310"/>
      <c r="E50" s="310"/>
      <c r="F50" s="11">
        <v>0.05</v>
      </c>
      <c r="G50" s="12">
        <v>2.5000000000000001E-2</v>
      </c>
      <c r="H50" s="13">
        <v>0.15</v>
      </c>
      <c r="I50" s="310"/>
      <c r="J50" s="310"/>
      <c r="L50" s="310"/>
      <c r="U50" s="201"/>
      <c r="AE50" s="79"/>
      <c r="AF50" s="79" t="b">
        <f>AF49=I49</f>
        <v>1</v>
      </c>
      <c r="AG50" s="79" t="b">
        <f>AG49=SUM(J61:J71)</f>
        <v>1</v>
      </c>
      <c r="AH50" s="79" t="b">
        <f>AH49=100%</f>
        <v>1</v>
      </c>
      <c r="AI50" s="79" t="b">
        <f>AI49=J73</f>
        <v>1</v>
      </c>
      <c r="AJ50" s="79" t="b">
        <f>AJ49=SUM(J74:J75)</f>
        <v>1</v>
      </c>
      <c r="AK50" s="79" t="b">
        <f>AK49=C87</f>
        <v>1</v>
      </c>
      <c r="AL50" s="79" t="b">
        <f>AL49=J71</f>
        <v>1</v>
      </c>
      <c r="AM50" s="79" t="b">
        <f>AM49=AM49</f>
        <v>1</v>
      </c>
      <c r="AN50" s="79" t="b">
        <f>AN49=100%</f>
        <v>0</v>
      </c>
      <c r="AO50" s="79" t="b">
        <f>AO49=AO49</f>
        <v>1</v>
      </c>
      <c r="AP50" s="484" t="b">
        <f>AP49=C102-C87</f>
        <v>0</v>
      </c>
      <c r="AQ50" s="484"/>
      <c r="AR50" s="79" t="b">
        <f>AR49=C119</f>
        <v>0</v>
      </c>
      <c r="AS50" s="79" t="b">
        <f>AS49=C107</f>
        <v>0</v>
      </c>
      <c r="AT50" s="79" t="b">
        <f>AT49=C25</f>
        <v>1</v>
      </c>
      <c r="AU50" s="79" t="b">
        <f>AU49=C24+C25</f>
        <v>0</v>
      </c>
      <c r="AV50" s="79" t="b">
        <f>AV49=AV49</f>
        <v>1</v>
      </c>
      <c r="AW50" s="79" t="b">
        <f>AW49=100%</f>
        <v>0</v>
      </c>
      <c r="AX50" s="79" t="b">
        <f>AX49=C17</f>
        <v>1</v>
      </c>
      <c r="AY50" s="79" t="b">
        <f>AY49=AY49</f>
        <v>1</v>
      </c>
      <c r="AZ50" s="79" t="b">
        <f>AZ49=C26</f>
        <v>0</v>
      </c>
      <c r="BA50" s="79" t="b">
        <f>BA49=BA49</f>
        <v>1</v>
      </c>
      <c r="BB50" s="79" t="b">
        <f>BB49=BB49</f>
        <v>1</v>
      </c>
      <c r="BC50" s="79" t="b">
        <f>BC49=BC49</f>
        <v>1</v>
      </c>
      <c r="BD50" s="79" t="b">
        <f>BD49=BD49</f>
        <v>1</v>
      </c>
      <c r="BE50" s="310"/>
    </row>
    <row r="51" spans="1:62" ht="12" thickBot="1" x14ac:dyDescent="0.25">
      <c r="A51" s="310"/>
      <c r="B51" s="310"/>
      <c r="C51" s="310"/>
      <c r="D51" s="310"/>
      <c r="E51" s="310"/>
      <c r="F51" s="14">
        <v>0.5</v>
      </c>
      <c r="G51" s="15">
        <v>1</v>
      </c>
      <c r="H51" s="16">
        <v>1</v>
      </c>
      <c r="I51" s="310"/>
      <c r="J51" s="310"/>
      <c r="K51" s="310"/>
      <c r="L51" s="310"/>
      <c r="U51" s="201"/>
      <c r="AR51" s="409"/>
    </row>
    <row r="52" spans="1:62" x14ac:dyDescent="0.2">
      <c r="A52" s="310"/>
    </row>
    <row r="53" spans="1:62" x14ac:dyDescent="0.2">
      <c r="A53" s="310"/>
      <c r="U53" s="201"/>
    </row>
    <row r="54" spans="1:62" x14ac:dyDescent="0.2">
      <c r="A54" s="310"/>
    </row>
    <row r="55" spans="1:62" x14ac:dyDescent="0.2">
      <c r="A55" s="310"/>
      <c r="F55" s="201"/>
      <c r="H55" s="320"/>
      <c r="U55" s="201"/>
    </row>
    <row r="56" spans="1:62" ht="12" thickBot="1" x14ac:dyDescent="0.25">
      <c r="A56" s="310"/>
      <c r="F56" s="201"/>
    </row>
    <row r="57" spans="1:62" ht="12.75" x14ac:dyDescent="0.2">
      <c r="B57" s="449" t="s">
        <v>47</v>
      </c>
      <c r="C57" s="450"/>
      <c r="D57" s="450"/>
      <c r="E57" s="450"/>
      <c r="F57" s="450"/>
      <c r="G57" s="450"/>
      <c r="H57" s="450"/>
      <c r="I57" s="450"/>
      <c r="J57" s="450"/>
      <c r="K57" s="450"/>
      <c r="L57" s="451"/>
    </row>
    <row r="58" spans="1:62" ht="22.5" x14ac:dyDescent="0.2">
      <c r="B58" s="102" t="s">
        <v>48</v>
      </c>
      <c r="C58" s="99" t="s">
        <v>49</v>
      </c>
      <c r="D58" s="99" t="s">
        <v>35</v>
      </c>
      <c r="E58" s="99" t="s">
        <v>50</v>
      </c>
      <c r="F58" s="464" t="s">
        <v>51</v>
      </c>
      <c r="G58" s="469"/>
      <c r="H58" s="464" t="s">
        <v>52</v>
      </c>
      <c r="I58" s="464"/>
      <c r="J58" s="99" t="s">
        <v>53</v>
      </c>
      <c r="K58" s="464" t="s">
        <v>54</v>
      </c>
      <c r="L58" s="465" t="s">
        <v>55</v>
      </c>
      <c r="N58" s="310"/>
      <c r="O58" s="310"/>
      <c r="S58" s="310"/>
      <c r="T58" s="310"/>
    </row>
    <row r="59" spans="1:62" x14ac:dyDescent="0.2">
      <c r="B59" s="225"/>
      <c r="C59" s="226"/>
      <c r="D59" s="17">
        <f>K49</f>
        <v>6</v>
      </c>
      <c r="E59" s="101">
        <f>SUM(D61:D75)</f>
        <v>114614.83199999999</v>
      </c>
      <c r="F59" s="494">
        <f>SUM(D61:D71,D74:D75)</f>
        <v>105964.65599999999</v>
      </c>
      <c r="G59" s="494"/>
      <c r="H59" s="494">
        <f>SUM(D61:D71)</f>
        <v>64876.319999999992</v>
      </c>
      <c r="I59" s="494"/>
      <c r="J59" s="101">
        <f>F76</f>
        <v>43837.350423866148</v>
      </c>
      <c r="K59" s="464"/>
      <c r="L59" s="465"/>
    </row>
    <row r="60" spans="1:62" ht="22.5" x14ac:dyDescent="0.2">
      <c r="B60" s="18" t="s">
        <v>38</v>
      </c>
      <c r="C60" s="19" t="s">
        <v>56</v>
      </c>
      <c r="D60" s="99" t="s">
        <v>57</v>
      </c>
      <c r="E60" s="19" t="s">
        <v>58</v>
      </c>
      <c r="F60" s="99" t="s">
        <v>59</v>
      </c>
      <c r="G60" s="99" t="s">
        <v>60</v>
      </c>
      <c r="H60" s="99" t="s">
        <v>61</v>
      </c>
      <c r="I60" s="99" t="s">
        <v>62</v>
      </c>
      <c r="J60" s="99" t="s">
        <v>63</v>
      </c>
      <c r="K60" s="303">
        <f>B59/L60</f>
        <v>0</v>
      </c>
      <c r="L60" s="302">
        <v>3.5</v>
      </c>
    </row>
    <row r="61" spans="1:62" ht="22.5" x14ac:dyDescent="0.2">
      <c r="B61" s="21" t="s">
        <v>39</v>
      </c>
      <c r="C61" s="174">
        <v>0.46</v>
      </c>
      <c r="D61" s="101">
        <f t="shared" ref="D61:D71" si="71">$L$49*C61</f>
        <v>29843.107199999999</v>
      </c>
      <c r="E61" s="174">
        <v>0.74990048328067505</v>
      </c>
      <c r="F61" s="101">
        <f>E61*D61</f>
        <v>22379.360511876992</v>
      </c>
      <c r="G61" s="101">
        <f>IFERROR(F61/H61, "0")</f>
        <v>93.637491681493685</v>
      </c>
      <c r="H61" s="103">
        <v>239</v>
      </c>
      <c r="I61" s="177">
        <v>4300</v>
      </c>
      <c r="J61" s="177">
        <f>I61*D61</f>
        <v>128325360.95999999</v>
      </c>
      <c r="K61" s="103">
        <f>L61*H61</f>
        <v>358.5</v>
      </c>
      <c r="L61" s="20">
        <v>1.5</v>
      </c>
      <c r="BH61" s="338"/>
      <c r="BI61" s="338"/>
      <c r="BJ61" s="338"/>
    </row>
    <row r="62" spans="1:62" ht="22.5" x14ac:dyDescent="0.2">
      <c r="B62" s="22" t="s">
        <v>40</v>
      </c>
      <c r="C62" s="44"/>
      <c r="D62" s="23">
        <f t="shared" si="71"/>
        <v>0</v>
      </c>
      <c r="E62" s="44">
        <v>0</v>
      </c>
      <c r="F62" s="23">
        <f>E62*D62</f>
        <v>0</v>
      </c>
      <c r="G62" s="23" t="str">
        <f>IFERROR(F62/H62, "0")</f>
        <v>0</v>
      </c>
      <c r="H62" s="104"/>
      <c r="I62" s="178"/>
      <c r="J62" s="178">
        <f>I62*D62</f>
        <v>0</v>
      </c>
      <c r="K62" s="104">
        <f>L62*H62</f>
        <v>0</v>
      </c>
      <c r="L62" s="20">
        <v>0</v>
      </c>
      <c r="AP62" s="320"/>
      <c r="AV62" s="320"/>
      <c r="AW62" s="201"/>
      <c r="BH62" s="339"/>
      <c r="BI62" s="340"/>
      <c r="BJ62" s="340"/>
    </row>
    <row r="63" spans="1:62" ht="22.5" x14ac:dyDescent="0.2">
      <c r="B63" s="21" t="s">
        <v>41</v>
      </c>
      <c r="C63" s="174"/>
      <c r="D63" s="101">
        <f t="shared" si="71"/>
        <v>0</v>
      </c>
      <c r="E63" s="174">
        <v>0</v>
      </c>
      <c r="F63" s="101">
        <f t="shared" ref="F63:F69" si="72">E63*D63</f>
        <v>0</v>
      </c>
      <c r="G63" s="101" t="str">
        <f t="shared" ref="G63:G70" si="73">IFERROR(F63/H63, "0")</f>
        <v>0</v>
      </c>
      <c r="H63" s="103"/>
      <c r="I63" s="177"/>
      <c r="J63" s="177">
        <f t="shared" ref="J63:J69" si="74">I63*D63</f>
        <v>0</v>
      </c>
      <c r="K63" s="103">
        <f>L63*H63</f>
        <v>0</v>
      </c>
      <c r="L63" s="20">
        <v>0</v>
      </c>
      <c r="AV63" s="320"/>
      <c r="AW63" s="201"/>
      <c r="BH63" s="339"/>
      <c r="BI63" s="340"/>
      <c r="BJ63" s="340"/>
    </row>
    <row r="64" spans="1:62" ht="22.5" x14ac:dyDescent="0.2">
      <c r="B64" s="22" t="s">
        <v>42</v>
      </c>
      <c r="C64" s="44"/>
      <c r="D64" s="23">
        <f t="shared" si="71"/>
        <v>0</v>
      </c>
      <c r="E64" s="44">
        <v>0</v>
      </c>
      <c r="F64" s="23">
        <f t="shared" si="72"/>
        <v>0</v>
      </c>
      <c r="G64" s="23" t="str">
        <f t="shared" si="73"/>
        <v>0</v>
      </c>
      <c r="H64" s="104"/>
      <c r="I64" s="178"/>
      <c r="J64" s="178">
        <f t="shared" si="74"/>
        <v>0</v>
      </c>
      <c r="K64" s="104">
        <f>L64*H64</f>
        <v>0</v>
      </c>
      <c r="L64" s="20">
        <v>0</v>
      </c>
      <c r="AV64" s="320"/>
      <c r="AW64" s="201"/>
      <c r="BH64" s="339"/>
      <c r="BI64" s="340"/>
      <c r="BJ64" s="340"/>
    </row>
    <row r="65" spans="1:73" ht="22.5" x14ac:dyDescent="0.2">
      <c r="B65" s="21" t="s">
        <v>64</v>
      </c>
      <c r="C65" s="174"/>
      <c r="D65" s="101">
        <f t="shared" si="71"/>
        <v>0</v>
      </c>
      <c r="E65" s="174">
        <v>0</v>
      </c>
      <c r="F65" s="101">
        <f t="shared" si="72"/>
        <v>0</v>
      </c>
      <c r="G65" s="101" t="str">
        <f t="shared" si="73"/>
        <v>0</v>
      </c>
      <c r="H65" s="103"/>
      <c r="I65" s="177"/>
      <c r="J65" s="177">
        <f t="shared" si="74"/>
        <v>0</v>
      </c>
      <c r="K65" s="103">
        <f>L65*H65</f>
        <v>0</v>
      </c>
      <c r="L65" s="20">
        <v>1</v>
      </c>
      <c r="AV65" s="320"/>
      <c r="AW65" s="201"/>
      <c r="BH65" s="339"/>
      <c r="BI65" s="340"/>
      <c r="BJ65" s="340"/>
      <c r="BU65" s="201"/>
    </row>
    <row r="66" spans="1:73" ht="22.5" x14ac:dyDescent="0.2">
      <c r="B66" s="22" t="s">
        <v>231</v>
      </c>
      <c r="C66" s="44">
        <v>0.12</v>
      </c>
      <c r="D66" s="23">
        <f t="shared" si="71"/>
        <v>7785.1583999999984</v>
      </c>
      <c r="E66" s="44">
        <v>0.84997658282159605</v>
      </c>
      <c r="F66" s="23">
        <f t="shared" si="72"/>
        <v>6617.2023335568429</v>
      </c>
      <c r="G66" s="23">
        <f>IFERROR(F66/H66, "0")</f>
        <v>157.55243651325816</v>
      </c>
      <c r="H66" s="104">
        <v>42</v>
      </c>
      <c r="I66" s="178">
        <v>3000</v>
      </c>
      <c r="J66" s="178">
        <f>I66*D66</f>
        <v>23355475.199999996</v>
      </c>
      <c r="K66" s="104">
        <f>F66/L66</f>
        <v>264.6880933422737</v>
      </c>
      <c r="L66" s="20">
        <v>25</v>
      </c>
      <c r="AV66" s="320"/>
      <c r="AW66" s="201"/>
      <c r="BH66" s="339"/>
      <c r="BI66" s="340"/>
      <c r="BJ66" s="340"/>
      <c r="BU66" s="201"/>
    </row>
    <row r="67" spans="1:73" ht="22.5" x14ac:dyDescent="0.2">
      <c r="B67" s="21" t="s">
        <v>43</v>
      </c>
      <c r="C67" s="174">
        <v>7.0000000000000007E-2</v>
      </c>
      <c r="D67" s="101">
        <f t="shared" si="71"/>
        <v>4541.3423999999995</v>
      </c>
      <c r="E67" s="174">
        <v>0.90002356943574002</v>
      </c>
      <c r="F67" s="101">
        <f t="shared" si="72"/>
        <v>4087.3151968778698</v>
      </c>
      <c r="G67" s="101">
        <f t="shared" si="73"/>
        <v>163.4926078751148</v>
      </c>
      <c r="H67" s="103">
        <v>25</v>
      </c>
      <c r="I67" s="177">
        <v>3000</v>
      </c>
      <c r="J67" s="177">
        <f>I67*D67</f>
        <v>13624027.199999999</v>
      </c>
      <c r="K67" s="103">
        <f>F67/L67</f>
        <v>90.829226597285995</v>
      </c>
      <c r="L67" s="20">
        <v>45</v>
      </c>
      <c r="AV67" s="320"/>
      <c r="AW67" s="201"/>
      <c r="BH67" s="339"/>
      <c r="BI67" s="340"/>
      <c r="BJ67" s="340"/>
      <c r="BU67" s="201"/>
    </row>
    <row r="68" spans="1:73" ht="22.5" x14ac:dyDescent="0.2">
      <c r="B68" s="22" t="s">
        <v>44</v>
      </c>
      <c r="C68" s="44">
        <v>0.35</v>
      </c>
      <c r="D68" s="23">
        <f t="shared" si="71"/>
        <v>22706.711999999996</v>
      </c>
      <c r="E68" s="44">
        <v>0.47358122045827</v>
      </c>
      <c r="F68" s="23">
        <f>E68*D68</f>
        <v>10753.472381554444</v>
      </c>
      <c r="G68" s="23">
        <f t="shared" si="73"/>
        <v>49.555172265227853</v>
      </c>
      <c r="H68" s="104">
        <v>217</v>
      </c>
      <c r="I68" s="178">
        <v>9000</v>
      </c>
      <c r="J68" s="178">
        <f>I68*D68</f>
        <v>204360407.99999997</v>
      </c>
      <c r="K68" s="104">
        <f>H68/L68</f>
        <v>108.5</v>
      </c>
      <c r="L68" s="20">
        <v>2</v>
      </c>
      <c r="AV68" s="320"/>
      <c r="AW68" s="201"/>
      <c r="BH68" s="339"/>
      <c r="BI68" s="340"/>
      <c r="BJ68" s="340"/>
      <c r="BU68" s="201"/>
    </row>
    <row r="69" spans="1:73" ht="22.5" x14ac:dyDescent="0.2">
      <c r="B69" s="21" t="s">
        <v>45</v>
      </c>
      <c r="C69" s="174"/>
      <c r="D69" s="101">
        <f t="shared" si="71"/>
        <v>0</v>
      </c>
      <c r="E69" s="174"/>
      <c r="F69" s="101">
        <f t="shared" si="72"/>
        <v>0</v>
      </c>
      <c r="G69" s="101" t="str">
        <f t="shared" si="73"/>
        <v>0</v>
      </c>
      <c r="H69" s="103"/>
      <c r="I69" s="177"/>
      <c r="J69" s="177">
        <f t="shared" si="74"/>
        <v>0</v>
      </c>
      <c r="K69" s="103">
        <f>F69/L69</f>
        <v>0</v>
      </c>
      <c r="L69" s="20">
        <v>35</v>
      </c>
      <c r="AV69" s="320"/>
      <c r="AW69" s="201"/>
      <c r="BH69" s="339"/>
      <c r="BI69" s="340"/>
      <c r="BJ69" s="340"/>
      <c r="BU69" s="201"/>
    </row>
    <row r="70" spans="1:73" ht="22.5" x14ac:dyDescent="0.2">
      <c r="B70" s="22" t="s">
        <v>420</v>
      </c>
      <c r="C70" s="44"/>
      <c r="D70" s="23">
        <f t="shared" si="71"/>
        <v>0</v>
      </c>
      <c r="E70" s="44"/>
      <c r="F70" s="23">
        <f>E70*D70</f>
        <v>0</v>
      </c>
      <c r="G70" s="23" t="str">
        <f t="shared" si="73"/>
        <v>0</v>
      </c>
      <c r="H70" s="104"/>
      <c r="I70" s="178"/>
      <c r="J70" s="178">
        <f>I70*D70</f>
        <v>0</v>
      </c>
      <c r="K70" s="112">
        <v>0</v>
      </c>
      <c r="L70" s="113" t="s">
        <v>65</v>
      </c>
      <c r="AV70" s="320"/>
      <c r="AW70" s="201"/>
      <c r="BH70" s="339"/>
      <c r="BI70" s="340"/>
      <c r="BJ70" s="340"/>
      <c r="BU70" s="201"/>
    </row>
    <row r="71" spans="1:73" ht="23.25" thickBot="1" x14ac:dyDescent="0.25">
      <c r="B71" s="341" t="s">
        <v>228</v>
      </c>
      <c r="C71" s="342">
        <f>100%-SUM(C61:C70)</f>
        <v>0</v>
      </c>
      <c r="D71" s="343">
        <f t="shared" si="71"/>
        <v>0</v>
      </c>
      <c r="E71" s="344" t="s">
        <v>65</v>
      </c>
      <c r="F71" s="345" t="s">
        <v>65</v>
      </c>
      <c r="G71" s="345" t="s">
        <v>65</v>
      </c>
      <c r="H71" s="346" t="s">
        <v>65</v>
      </c>
      <c r="I71" s="347"/>
      <c r="J71" s="347">
        <f>I71*D71</f>
        <v>0</v>
      </c>
      <c r="K71" s="346" t="s">
        <v>65</v>
      </c>
      <c r="L71" s="348" t="s">
        <v>65</v>
      </c>
      <c r="AV71" s="320"/>
      <c r="AW71" s="201"/>
      <c r="BH71" s="339"/>
      <c r="BI71" s="340"/>
      <c r="BJ71" s="340"/>
      <c r="BU71" s="201"/>
    </row>
    <row r="72" spans="1:73" ht="15.75" thickBot="1" x14ac:dyDescent="0.25">
      <c r="B72" s="356" t="s">
        <v>66</v>
      </c>
      <c r="C72" s="357" t="s">
        <v>66</v>
      </c>
      <c r="D72" s="358" t="s">
        <v>66</v>
      </c>
      <c r="E72" s="357" t="s">
        <v>66</v>
      </c>
      <c r="F72" s="358" t="s">
        <v>66</v>
      </c>
      <c r="G72" s="358" t="s">
        <v>66</v>
      </c>
      <c r="H72" s="359" t="s">
        <v>66</v>
      </c>
      <c r="I72" s="359" t="s">
        <v>66</v>
      </c>
      <c r="J72" s="359" t="s">
        <v>66</v>
      </c>
      <c r="K72" s="359" t="s">
        <v>66</v>
      </c>
      <c r="L72" s="360" t="s">
        <v>66</v>
      </c>
      <c r="AV72" s="201"/>
      <c r="BH72" s="339"/>
      <c r="BI72" s="340"/>
      <c r="BJ72" s="340"/>
      <c r="BU72" s="201"/>
    </row>
    <row r="73" spans="1:73" ht="22.5" x14ac:dyDescent="0.2">
      <c r="B73" s="349" t="s">
        <v>68</v>
      </c>
      <c r="C73" s="350">
        <v>0.8</v>
      </c>
      <c r="D73" s="351">
        <f>$C$49*C73</f>
        <v>8650.1759999999995</v>
      </c>
      <c r="E73" s="352" t="s">
        <v>65</v>
      </c>
      <c r="F73" s="352" t="s">
        <v>65</v>
      </c>
      <c r="G73" s="352" t="s">
        <v>65</v>
      </c>
      <c r="H73" s="352" t="s">
        <v>65</v>
      </c>
      <c r="I73" s="353">
        <v>1100</v>
      </c>
      <c r="J73" s="353">
        <f>I73*D73</f>
        <v>9515193.5999999996</v>
      </c>
      <c r="K73" s="354" t="s">
        <v>65</v>
      </c>
      <c r="L73" s="355" t="s">
        <v>65</v>
      </c>
      <c r="AC73" s="201"/>
      <c r="AV73" s="201"/>
      <c r="BH73" s="339"/>
      <c r="BI73" s="340"/>
      <c r="BJ73" s="340"/>
    </row>
    <row r="74" spans="1:73" ht="22.5" x14ac:dyDescent="0.2">
      <c r="B74" s="22" t="s">
        <v>69</v>
      </c>
      <c r="C74" s="44">
        <v>3</v>
      </c>
      <c r="D74" s="23">
        <f>$C$49*C74</f>
        <v>32438.159999999996</v>
      </c>
      <c r="E74" s="111" t="s">
        <v>65</v>
      </c>
      <c r="F74" s="111" t="s">
        <v>65</v>
      </c>
      <c r="G74" s="111" t="s">
        <v>65</v>
      </c>
      <c r="H74" s="111" t="s">
        <v>65</v>
      </c>
      <c r="I74" s="178">
        <v>2500</v>
      </c>
      <c r="J74" s="178">
        <f>I74*D74</f>
        <v>81095399.999999985</v>
      </c>
      <c r="K74" s="104">
        <f>D74/L74</f>
        <v>720.84799999999996</v>
      </c>
      <c r="L74" s="20">
        <v>45</v>
      </c>
      <c r="AV74" s="201"/>
      <c r="BH74" s="339"/>
      <c r="BI74" s="340"/>
      <c r="BJ74" s="340"/>
    </row>
    <row r="75" spans="1:73" ht="22.5" x14ac:dyDescent="0.2">
      <c r="B75" s="21" t="s">
        <v>70</v>
      </c>
      <c r="C75" s="174">
        <v>0.8</v>
      </c>
      <c r="D75" s="101">
        <f>$C$49*C75</f>
        <v>8650.1759999999995</v>
      </c>
      <c r="E75" s="110" t="s">
        <v>65</v>
      </c>
      <c r="F75" s="110" t="s">
        <v>65</v>
      </c>
      <c r="G75" s="110" t="s">
        <v>65</v>
      </c>
      <c r="H75" s="110" t="s">
        <v>65</v>
      </c>
      <c r="I75" s="177">
        <v>1800</v>
      </c>
      <c r="J75" s="177">
        <f>I75*D75</f>
        <v>15570316.799999999</v>
      </c>
      <c r="K75" s="103">
        <f>D75/L75</f>
        <v>192.22613333333331</v>
      </c>
      <c r="L75" s="20">
        <v>45</v>
      </c>
      <c r="Q75" s="201"/>
    </row>
    <row r="76" spans="1:73" ht="23.25" thickBot="1" x14ac:dyDescent="0.25">
      <c r="B76" s="26" t="s">
        <v>37</v>
      </c>
      <c r="C76" s="27">
        <f>SUM(C61:C71)</f>
        <v>1</v>
      </c>
      <c r="D76" s="7">
        <f>SUM(D61:D75)</f>
        <v>114614.83199999999</v>
      </c>
      <c r="E76" s="74">
        <f>SUMPRODUCT(E61:E70, C61:C70) / SUM(C61:C70)</f>
        <v>0.67570648926859844</v>
      </c>
      <c r="F76" s="7">
        <f>SUMIF(F61:F70, "&lt;&gt;#DIV/0!")</f>
        <v>43837.350423866148</v>
      </c>
      <c r="G76" s="70">
        <f>IFERROR(F76/H76, "0")</f>
        <v>83.819025667048081</v>
      </c>
      <c r="H76" s="8">
        <f>SUMIF(H61:H75, "&lt;&gt;#DIV/0!")</f>
        <v>523</v>
      </c>
      <c r="I76" s="8">
        <f>J76/D76</f>
        <v>4151.6981132075471</v>
      </c>
      <c r="J76" s="160">
        <f>SUM(J61:J75)</f>
        <v>475846181.75999999</v>
      </c>
      <c r="K76" s="215" t="s">
        <v>74</v>
      </c>
      <c r="L76" s="161">
        <f>SUMIF(K61:K69, "&lt;&gt;#DIV/0!")</f>
        <v>822.5173199395598</v>
      </c>
      <c r="Q76" s="201"/>
    </row>
    <row r="77" spans="1:73" ht="18.75" thickBot="1" x14ac:dyDescent="0.25">
      <c r="B77" s="109" t="s">
        <v>72</v>
      </c>
      <c r="C77" s="324"/>
      <c r="F77" s="310"/>
      <c r="G77" s="310"/>
      <c r="H77" s="28" t="s">
        <v>73</v>
      </c>
      <c r="I77" s="310"/>
      <c r="J77" s="310"/>
      <c r="K77" s="29" t="s">
        <v>71</v>
      </c>
      <c r="L77" s="124">
        <f>SUM(K60,K74:K75)</f>
        <v>913.07413333333329</v>
      </c>
      <c r="Q77" s="201"/>
    </row>
    <row r="78" spans="1:73" ht="18.75" thickBot="1" x14ac:dyDescent="0.25">
      <c r="C78" s="310"/>
      <c r="D78" s="310"/>
      <c r="E78" s="323"/>
      <c r="F78" s="310"/>
      <c r="G78" s="310"/>
      <c r="H78" s="310"/>
      <c r="I78" s="310"/>
      <c r="J78" s="310"/>
      <c r="K78" s="30" t="s">
        <v>75</v>
      </c>
      <c r="L78" s="31">
        <f>L77-L76</f>
        <v>90.556813393773496</v>
      </c>
    </row>
    <row r="79" spans="1:73" x14ac:dyDescent="0.2">
      <c r="A79" s="310"/>
    </row>
    <row r="80" spans="1:73" x14ac:dyDescent="0.2">
      <c r="A80" s="310"/>
    </row>
    <row r="81" spans="1:24" x14ac:dyDescent="0.2">
      <c r="A81" s="310"/>
    </row>
    <row r="82" spans="1:24" x14ac:dyDescent="0.2">
      <c r="A82" s="310"/>
    </row>
    <row r="83" spans="1:24" ht="12" thickBot="1" x14ac:dyDescent="0.25">
      <c r="A83" s="310"/>
    </row>
    <row r="84" spans="1:24" ht="18" x14ac:dyDescent="0.2">
      <c r="A84" s="310"/>
      <c r="B84" s="449" t="s">
        <v>76</v>
      </c>
      <c r="C84" s="450"/>
      <c r="D84" s="451"/>
      <c r="E84" s="68" t="s">
        <v>253</v>
      </c>
      <c r="G84" s="310"/>
    </row>
    <row r="85" spans="1:24" ht="22.5" x14ac:dyDescent="0.2">
      <c r="A85" s="310"/>
      <c r="B85" s="102" t="s">
        <v>5</v>
      </c>
      <c r="C85" s="99" t="s">
        <v>6</v>
      </c>
      <c r="D85" s="100" t="s">
        <v>77</v>
      </c>
      <c r="E85" s="126" t="s">
        <v>4</v>
      </c>
      <c r="G85" s="310"/>
    </row>
    <row r="86" spans="1:24" ht="22.5" x14ac:dyDescent="0.2">
      <c r="B86" s="32" t="s">
        <v>78</v>
      </c>
      <c r="C86" s="103">
        <f>D86*C44</f>
        <v>432508.8</v>
      </c>
      <c r="D86" s="103">
        <v>40</v>
      </c>
      <c r="E86" s="127">
        <f t="shared" ref="E86:E101" si="75">C86/$C$102</f>
        <v>4.578786471157263E-3</v>
      </c>
      <c r="G86" s="310"/>
    </row>
    <row r="87" spans="1:24" ht="22.5" x14ac:dyDescent="0.2">
      <c r="B87" s="33" t="s">
        <v>79</v>
      </c>
      <c r="C87" s="104">
        <f>(D74)*4.5*D87</f>
        <v>8028444.5999999987</v>
      </c>
      <c r="D87" s="104">
        <v>55</v>
      </c>
      <c r="E87" s="127">
        <f t="shared" si="75"/>
        <v>8.4993723870856672E-2</v>
      </c>
      <c r="G87" s="310"/>
    </row>
    <row r="88" spans="1:24" ht="22.5" x14ac:dyDescent="0.2">
      <c r="B88" s="32" t="s">
        <v>80</v>
      </c>
      <c r="C88" s="103">
        <f>D88*C110</f>
        <v>7137692.7264</v>
      </c>
      <c r="D88" s="231">
        <v>1.4999999999999999E-2</v>
      </c>
      <c r="E88" s="127">
        <f t="shared" si="75"/>
        <v>7.5563713133508306E-2</v>
      </c>
      <c r="G88" s="310"/>
      <c r="X88" s="310"/>
    </row>
    <row r="89" spans="1:24" ht="22.5" x14ac:dyDescent="0.2">
      <c r="B89" s="33" t="s">
        <v>81</v>
      </c>
      <c r="C89" s="104">
        <f>D89*H59</f>
        <v>259505.27999999997</v>
      </c>
      <c r="D89" s="105">
        <v>4</v>
      </c>
      <c r="E89" s="127">
        <f t="shared" si="75"/>
        <v>2.7472718826943572E-3</v>
      </c>
      <c r="G89" s="310"/>
    </row>
    <row r="90" spans="1:24" ht="22.5" x14ac:dyDescent="0.2">
      <c r="B90" s="32" t="s">
        <v>82</v>
      </c>
      <c r="C90" s="103">
        <f>D90*C110</f>
        <v>10944462.18048</v>
      </c>
      <c r="D90" s="231">
        <v>2.3E-2</v>
      </c>
      <c r="E90" s="127">
        <f t="shared" si="75"/>
        <v>0.11586436013804606</v>
      </c>
      <c r="G90" s="310"/>
    </row>
    <row r="91" spans="1:24" ht="22.5" x14ac:dyDescent="0.2">
      <c r="A91" s="310"/>
      <c r="B91" s="33" t="s">
        <v>83</v>
      </c>
      <c r="C91" s="104">
        <f>D91*D68</f>
        <v>20436040.799999997</v>
      </c>
      <c r="D91" s="105">
        <v>900</v>
      </c>
      <c r="E91" s="127">
        <f t="shared" si="75"/>
        <v>0.21634766076218062</v>
      </c>
      <c r="G91" s="310"/>
    </row>
    <row r="92" spans="1:24" ht="22.5" x14ac:dyDescent="0.2">
      <c r="A92" s="310"/>
      <c r="B92" s="125" t="s">
        <v>84</v>
      </c>
      <c r="C92" s="92">
        <f>D92*SUM(G61,G65,G66)</f>
        <v>0</v>
      </c>
      <c r="D92" s="93">
        <v>0</v>
      </c>
      <c r="E92" s="127">
        <f t="shared" si="75"/>
        <v>0</v>
      </c>
      <c r="G92" s="310"/>
    </row>
    <row r="93" spans="1:24" ht="22.5" x14ac:dyDescent="0.2">
      <c r="A93" s="310"/>
      <c r="B93" s="406" t="s">
        <v>85</v>
      </c>
      <c r="C93" s="104">
        <f>D93*SUM(H61:H67,H69:H70)+(D93*(H68/2))</f>
        <v>4974000</v>
      </c>
      <c r="D93" s="105">
        <v>12000</v>
      </c>
      <c r="E93" s="127">
        <f t="shared" si="75"/>
        <v>5.2657619700538408E-2</v>
      </c>
      <c r="G93" s="310"/>
    </row>
    <row r="94" spans="1:24" ht="22.5" x14ac:dyDescent="0.2">
      <c r="A94" s="310"/>
      <c r="B94" s="407" t="s">
        <v>86</v>
      </c>
      <c r="C94" s="103">
        <f>D94*$H$76</f>
        <v>3661000</v>
      </c>
      <c r="D94" s="87">
        <v>7000</v>
      </c>
      <c r="E94" s="127">
        <f t="shared" si="75"/>
        <v>3.8757447873677339E-2</v>
      </c>
      <c r="G94" s="323"/>
    </row>
    <row r="95" spans="1:24" ht="22.5" x14ac:dyDescent="0.2">
      <c r="A95" s="310"/>
      <c r="B95" s="406" t="s">
        <v>87</v>
      </c>
      <c r="C95" s="104">
        <f>D95*$H$76</f>
        <v>523000</v>
      </c>
      <c r="D95" s="105">
        <v>1000</v>
      </c>
      <c r="E95" s="127">
        <f t="shared" si="75"/>
        <v>5.5367782676681914E-3</v>
      </c>
      <c r="G95" s="310"/>
    </row>
    <row r="96" spans="1:24" ht="22.5" x14ac:dyDescent="0.2">
      <c r="A96" s="310"/>
      <c r="B96" s="32" t="s">
        <v>88</v>
      </c>
      <c r="C96" s="103">
        <f>D96*H76</f>
        <v>6537500</v>
      </c>
      <c r="D96" s="87">
        <v>12500</v>
      </c>
      <c r="E96" s="127">
        <f t="shared" si="75"/>
        <v>6.92097283458524E-2</v>
      </c>
      <c r="G96" s="310"/>
    </row>
    <row r="97" spans="1:17" ht="22.5" x14ac:dyDescent="0.2">
      <c r="B97" s="33" t="s">
        <v>89</v>
      </c>
      <c r="C97" s="104">
        <f>D97*C110</f>
        <v>7137692.7264</v>
      </c>
      <c r="D97" s="232">
        <v>1.4999999999999999E-2</v>
      </c>
      <c r="E97" s="127">
        <f t="shared" si="75"/>
        <v>7.5563713133508306E-2</v>
      </c>
      <c r="G97" s="310"/>
    </row>
    <row r="98" spans="1:17" ht="22.5" x14ac:dyDescent="0.2">
      <c r="B98" s="32" t="s">
        <v>404</v>
      </c>
      <c r="C98" s="103">
        <f>D98*(I139+J157)</f>
        <v>7789684.8828519443</v>
      </c>
      <c r="D98" s="231">
        <v>1.7999999999999999E-2</v>
      </c>
      <c r="E98" s="127">
        <f t="shared" si="75"/>
        <v>8.246607642707092E-2</v>
      </c>
      <c r="G98" s="310"/>
    </row>
    <row r="99" spans="1:17" ht="22.5" x14ac:dyDescent="0.2">
      <c r="B99" s="370" t="s">
        <v>407</v>
      </c>
      <c r="C99" s="92">
        <f>D99*(SUM(C185:C186))</f>
        <v>1039181.0492937373</v>
      </c>
      <c r="D99" s="371">
        <v>1.2999999999999999E-2</v>
      </c>
      <c r="E99" s="127">
        <f t="shared" si="75"/>
        <v>1.100136720822599E-2</v>
      </c>
      <c r="G99" s="310"/>
    </row>
    <row r="100" spans="1:17" ht="22.5" x14ac:dyDescent="0.2">
      <c r="A100" s="310"/>
      <c r="B100" s="32" t="s">
        <v>239</v>
      </c>
      <c r="C100" s="103">
        <f>D100*U139</f>
        <v>3662396.3933924213</v>
      </c>
      <c r="D100" s="231">
        <v>2.5000000000000001E-2</v>
      </c>
      <c r="E100" s="127">
        <f t="shared" si="75"/>
        <v>3.8772230895834654E-2</v>
      </c>
      <c r="G100" s="310"/>
    </row>
    <row r="101" spans="1:17" ht="23.25" thickBot="1" x14ac:dyDescent="0.25">
      <c r="A101" s="310"/>
      <c r="B101" s="33" t="s">
        <v>90</v>
      </c>
      <c r="C101" s="104">
        <f>D101*C110</f>
        <v>11896154.544</v>
      </c>
      <c r="D101" s="232">
        <v>2.5000000000000001E-2</v>
      </c>
      <c r="E101" s="128">
        <f t="shared" si="75"/>
        <v>0.12593952188918051</v>
      </c>
      <c r="G101" s="310"/>
    </row>
    <row r="102" spans="1:17" ht="22.5" x14ac:dyDescent="0.2">
      <c r="A102" s="310"/>
      <c r="B102" s="32" t="s">
        <v>91</v>
      </c>
      <c r="C102" s="466">
        <f>SUMIF(C86:C101, "&lt;&gt;#DIV/0!")</f>
        <v>94459263.982818097</v>
      </c>
      <c r="D102" s="467"/>
      <c r="H102" s="373"/>
    </row>
    <row r="103" spans="1:17" ht="12" thickBot="1" x14ac:dyDescent="0.25">
      <c r="A103" s="310"/>
      <c r="B103" s="463" t="s">
        <v>92</v>
      </c>
      <c r="C103" s="464"/>
      <c r="D103" s="465"/>
      <c r="H103" s="373"/>
    </row>
    <row r="104" spans="1:17" ht="23.25" thickBot="1" x14ac:dyDescent="0.25">
      <c r="A104" s="310"/>
      <c r="B104" s="34" t="s">
        <v>93</v>
      </c>
      <c r="C104" s="103">
        <f>D104*C110</f>
        <v>71376927.263999999</v>
      </c>
      <c r="D104" s="35">
        <v>0.15</v>
      </c>
      <c r="E104" s="415">
        <v>0</v>
      </c>
      <c r="H104" s="372"/>
    </row>
    <row r="105" spans="1:17" ht="22.5" x14ac:dyDescent="0.2">
      <c r="A105" s="310"/>
      <c r="B105" s="36" t="s">
        <v>94</v>
      </c>
      <c r="C105" s="623">
        <f>-E325</f>
        <v>21541855.780617476</v>
      </c>
      <c r="D105" s="624"/>
      <c r="E105" s="310"/>
      <c r="H105" s="372"/>
    </row>
    <row r="106" spans="1:17" ht="22.5" x14ac:dyDescent="0.2">
      <c r="A106" s="310"/>
      <c r="B106" s="32" t="s">
        <v>95</v>
      </c>
      <c r="C106" s="466">
        <f>-E215</f>
        <v>1360000</v>
      </c>
      <c r="D106" s="467"/>
      <c r="E106" s="310"/>
      <c r="H106" s="372"/>
    </row>
    <row r="107" spans="1:17" ht="22.5" x14ac:dyDescent="0.2">
      <c r="A107" s="310"/>
      <c r="B107" s="33" t="s">
        <v>96</v>
      </c>
      <c r="C107" s="495">
        <f>SUM(C104:C106)</f>
        <v>94278783.044617474</v>
      </c>
      <c r="D107" s="496"/>
      <c r="E107" s="315"/>
      <c r="G107" s="315"/>
      <c r="H107" s="374"/>
      <c r="I107" s="310"/>
      <c r="K107" s="310"/>
      <c r="L107" s="310"/>
      <c r="M107" s="310"/>
      <c r="N107" s="310"/>
      <c r="O107" s="310"/>
      <c r="P107" s="310"/>
      <c r="Q107" s="310"/>
    </row>
    <row r="108" spans="1:17" x14ac:dyDescent="0.2">
      <c r="A108" s="310"/>
      <c r="B108" s="463" t="s">
        <v>97</v>
      </c>
      <c r="C108" s="464"/>
      <c r="D108" s="465"/>
      <c r="E108" s="315"/>
      <c r="G108" s="315"/>
      <c r="H108" s="372"/>
      <c r="I108" s="310"/>
      <c r="Q108" s="310"/>
    </row>
    <row r="109" spans="1:17" ht="22.5" x14ac:dyDescent="0.2">
      <c r="A109" s="310"/>
      <c r="B109" s="32" t="s">
        <v>98</v>
      </c>
      <c r="C109" s="466">
        <f>I49</f>
        <v>239271977.69999999</v>
      </c>
      <c r="D109" s="467"/>
      <c r="E109" s="321"/>
      <c r="G109" s="322"/>
      <c r="H109" s="372"/>
      <c r="Q109" s="310"/>
    </row>
    <row r="110" spans="1:17" ht="22.5" x14ac:dyDescent="0.2">
      <c r="A110" s="310"/>
      <c r="B110" s="33" t="s">
        <v>99</v>
      </c>
      <c r="C110" s="492">
        <f>J76</f>
        <v>475846181.75999999</v>
      </c>
      <c r="D110" s="493"/>
      <c r="E110" s="310"/>
    </row>
    <row r="111" spans="1:17" ht="22.5" x14ac:dyDescent="0.2">
      <c r="A111" s="310"/>
      <c r="B111" s="32" t="s">
        <v>101</v>
      </c>
      <c r="C111" s="466">
        <f>C102</f>
        <v>94459263.982818097</v>
      </c>
      <c r="D111" s="467"/>
      <c r="E111" s="310"/>
    </row>
    <row r="112" spans="1:17" ht="22.5" x14ac:dyDescent="0.2">
      <c r="A112" s="310"/>
      <c r="B112" s="33" t="s">
        <v>103</v>
      </c>
      <c r="C112" s="492">
        <f>C110+C111</f>
        <v>570305445.74281812</v>
      </c>
      <c r="D112" s="493"/>
      <c r="E112" s="310"/>
    </row>
    <row r="113" spans="1:25" ht="22.5" x14ac:dyDescent="0.2">
      <c r="A113" s="310"/>
      <c r="B113" s="32" t="s">
        <v>105</v>
      </c>
      <c r="C113" s="466">
        <f>C107</f>
        <v>94278783.044617474</v>
      </c>
      <c r="D113" s="467"/>
      <c r="E113" s="310"/>
    </row>
    <row r="114" spans="1:25" ht="22.5" x14ac:dyDescent="0.2">
      <c r="A114" s="310"/>
      <c r="B114" s="33" t="s">
        <v>260</v>
      </c>
      <c r="C114" s="492">
        <f>-E213</f>
        <v>17683474.1895913</v>
      </c>
      <c r="D114" s="493"/>
      <c r="E114" s="310"/>
    </row>
    <row r="115" spans="1:25" ht="22.5" x14ac:dyDescent="0.2">
      <c r="A115" s="310"/>
      <c r="B115" s="32" t="s">
        <v>259</v>
      </c>
      <c r="C115" s="556">
        <f>SUM(C109:D111,C113,C119,C114)</f>
        <v>1000388458.408283</v>
      </c>
      <c r="D115" s="557"/>
      <c r="E115" s="310"/>
      <c r="F115" s="404"/>
      <c r="I115" s="310"/>
      <c r="K115" s="201"/>
    </row>
    <row r="116" spans="1:25" ht="22.5" x14ac:dyDescent="0.2">
      <c r="A116" s="310"/>
      <c r="B116" s="33" t="s">
        <v>108</v>
      </c>
      <c r="C116" s="492">
        <f>H24</f>
        <v>333739017.50879145</v>
      </c>
      <c r="D116" s="493"/>
      <c r="E116" s="310"/>
      <c r="G116" s="201"/>
      <c r="K116" s="201"/>
    </row>
    <row r="117" spans="1:25" x14ac:dyDescent="0.2">
      <c r="A117" s="310"/>
      <c r="B117" s="468" t="s">
        <v>110</v>
      </c>
      <c r="C117" s="469"/>
      <c r="D117" s="470"/>
      <c r="E117" s="310"/>
      <c r="G117" s="201"/>
      <c r="K117" s="201"/>
    </row>
    <row r="118" spans="1:25" ht="23.25" thickBot="1" x14ac:dyDescent="0.25">
      <c r="A118" s="310"/>
      <c r="B118" s="32" t="s">
        <v>111</v>
      </c>
      <c r="C118" s="466">
        <f>E189</f>
        <v>483510881.47408962</v>
      </c>
      <c r="D118" s="467"/>
      <c r="E118" s="310"/>
      <c r="G118" s="201"/>
      <c r="H118" s="201"/>
      <c r="K118" s="201"/>
    </row>
    <row r="119" spans="1:25" ht="23.25" thickBot="1" x14ac:dyDescent="0.25">
      <c r="A119" s="310"/>
      <c r="B119" s="33" t="s">
        <v>18</v>
      </c>
      <c r="C119" s="471">
        <f>-SUM(E192:E193)</f>
        <v>78848777.731256142</v>
      </c>
      <c r="D119" s="472"/>
      <c r="E119" s="129">
        <f>(S177-G177)/365</f>
        <v>3.0027397260273974</v>
      </c>
      <c r="G119" s="412"/>
      <c r="K119" s="201"/>
    </row>
    <row r="120" spans="1:25" ht="12" thickBot="1" x14ac:dyDescent="0.25">
      <c r="A120" s="310"/>
      <c r="B120" s="463" t="s">
        <v>112</v>
      </c>
      <c r="C120" s="464"/>
      <c r="D120" s="465"/>
      <c r="E120" s="310"/>
      <c r="K120" s="201"/>
    </row>
    <row r="121" spans="1:25" x14ac:dyDescent="0.2">
      <c r="A121" s="310"/>
      <c r="B121" s="479" t="s">
        <v>227</v>
      </c>
      <c r="C121" s="95" t="s">
        <v>113</v>
      </c>
      <c r="D121" s="96" t="s">
        <v>114</v>
      </c>
      <c r="E121" s="37" t="s">
        <v>115</v>
      </c>
      <c r="H121" s="335"/>
      <c r="K121" s="201"/>
    </row>
    <row r="122" spans="1:25" ht="12" thickBot="1" x14ac:dyDescent="0.25">
      <c r="A122" s="310"/>
      <c r="B122" s="480"/>
      <c r="C122" s="38">
        <f>((X177-F177)/365)*12</f>
        <v>54.969863013698628</v>
      </c>
      <c r="D122" s="76">
        <f>C122/12</f>
        <v>4.580821917808219</v>
      </c>
      <c r="E122" s="75">
        <f>C122/3</f>
        <v>18.323287671232876</v>
      </c>
      <c r="I122" s="201"/>
      <c r="K122" s="310"/>
    </row>
    <row r="123" spans="1:25" x14ac:dyDescent="0.2">
      <c r="A123" s="310"/>
      <c r="K123" s="310"/>
    </row>
    <row r="124" spans="1:25" x14ac:dyDescent="0.2">
      <c r="A124" s="310"/>
      <c r="K124" s="310"/>
    </row>
    <row r="125" spans="1:25" x14ac:dyDescent="0.2">
      <c r="A125" s="310"/>
      <c r="K125" s="310"/>
    </row>
    <row r="126" spans="1:25" ht="12" thickBot="1" x14ac:dyDescent="0.25">
      <c r="A126" s="310"/>
      <c r="J126" s="310"/>
    </row>
    <row r="127" spans="1:25" ht="12.75" x14ac:dyDescent="0.2">
      <c r="A127" s="310"/>
      <c r="B127" s="563" t="s">
        <v>116</v>
      </c>
      <c r="C127" s="564"/>
      <c r="D127" s="564"/>
      <c r="E127" s="564"/>
      <c r="F127" s="564"/>
      <c r="G127" s="564"/>
      <c r="H127" s="564"/>
      <c r="I127" s="565"/>
      <c r="M127" s="449" t="s">
        <v>117</v>
      </c>
      <c r="N127" s="450"/>
      <c r="O127" s="450"/>
      <c r="P127" s="450"/>
      <c r="Q127" s="450"/>
      <c r="R127" s="593"/>
      <c r="S127" s="450"/>
      <c r="T127" s="450"/>
      <c r="U127" s="450"/>
      <c r="V127" s="450"/>
      <c r="W127" s="450"/>
      <c r="X127" s="450"/>
      <c r="Y127" s="451"/>
    </row>
    <row r="128" spans="1:25" ht="36" x14ac:dyDescent="0.2">
      <c r="A128" s="310"/>
      <c r="B128" s="39" t="s">
        <v>38</v>
      </c>
      <c r="C128" s="41" t="s">
        <v>118</v>
      </c>
      <c r="D128" s="41" t="s">
        <v>119</v>
      </c>
      <c r="E128" s="40" t="str">
        <f>F60</f>
        <v>المساحات الصافية القابلة للبيع
(NSA)</v>
      </c>
      <c r="F128" s="40" t="str">
        <f>G60</f>
        <v>مساحة الوحدة
(Unit Area)</v>
      </c>
      <c r="G128" s="40" t="s">
        <v>120</v>
      </c>
      <c r="H128" s="40" t="s">
        <v>121</v>
      </c>
      <c r="I128" s="42" t="s">
        <v>244</v>
      </c>
      <c r="M128" s="39" t="s">
        <v>38</v>
      </c>
      <c r="N128" s="40" t="s">
        <v>118</v>
      </c>
      <c r="O128" s="41" t="s">
        <v>119</v>
      </c>
      <c r="P128" s="40" t="s">
        <v>59</v>
      </c>
      <c r="Q128" s="40" t="s">
        <v>60</v>
      </c>
      <c r="R128" s="40" t="s">
        <v>289</v>
      </c>
      <c r="S128" s="40" t="s">
        <v>120</v>
      </c>
      <c r="T128" s="40" t="s">
        <v>121</v>
      </c>
      <c r="U128" s="40" t="s">
        <v>244</v>
      </c>
      <c r="V128" s="151" t="s">
        <v>238</v>
      </c>
      <c r="W128" s="181" t="s">
        <v>252</v>
      </c>
      <c r="X128" s="151" t="s">
        <v>243</v>
      </c>
      <c r="Y128" s="135" t="s">
        <v>254</v>
      </c>
    </row>
    <row r="129" spans="1:26" ht="22.5" x14ac:dyDescent="0.2">
      <c r="A129" s="310"/>
      <c r="B129" s="4" t="s">
        <v>39</v>
      </c>
      <c r="C129" s="103">
        <f t="shared" ref="C129:C138" si="76">H61-N129</f>
        <v>169</v>
      </c>
      <c r="D129" s="293">
        <f t="shared" ref="D129:D138" si="77">100%-O129</f>
        <v>0.70711297071129708</v>
      </c>
      <c r="E129" s="101">
        <f t="shared" ref="E129:E138" si="78">E61*D129*D61</f>
        <v>15824.736094172435</v>
      </c>
      <c r="F129" s="101">
        <f>IFERROR(E129/C129, "0")</f>
        <v>93.6374916814937</v>
      </c>
      <c r="G129" s="177">
        <v>26200</v>
      </c>
      <c r="H129" s="103">
        <f t="shared" ref="H129:H138" si="79">G129*F129</f>
        <v>2453302.2820551349</v>
      </c>
      <c r="I129" s="156">
        <f t="shared" ref="I129:I138" si="80">H129*C129</f>
        <v>414608085.66731781</v>
      </c>
      <c r="J129" s="447"/>
      <c r="K129" s="447"/>
      <c r="M129" s="4" t="s">
        <v>39</v>
      </c>
      <c r="N129" s="92">
        <v>70</v>
      </c>
      <c r="O129" s="295">
        <f t="shared" ref="O129:O138" si="81">IFERROR(N129/H61, "0.00%")</f>
        <v>0.29288702928870292</v>
      </c>
      <c r="P129" s="101">
        <f t="shared" ref="P129:P138" si="82">E61*O129*D61</f>
        <v>6554.6244177045573</v>
      </c>
      <c r="Q129" s="101">
        <f t="shared" ref="Q129:Q138" si="83">IFERROR(P129/N129, "0")</f>
        <v>93.637491681493671</v>
      </c>
      <c r="R129" s="174">
        <f t="shared" ref="R129:R138" si="84">IFERROR(MAX(((Y129/P129)/AV21)-1, 0), 0)</f>
        <v>0.30942279675601569</v>
      </c>
      <c r="S129" s="177">
        <v>22350</v>
      </c>
      <c r="T129" s="103">
        <f t="shared" ref="T129:T138" si="85">S129*Q129</f>
        <v>2092797.9390813836</v>
      </c>
      <c r="U129" s="103">
        <f t="shared" ref="U129:U138" si="86">(T129*N129)</f>
        <v>146495855.73569685</v>
      </c>
      <c r="V129" s="154">
        <f t="shared" ref="V129:V138" si="87">U129*$D$308</f>
        <v>2197437.8360354528</v>
      </c>
      <c r="W129" s="154">
        <f t="shared" ref="W129:W138" si="88">(U129*$D$309)+(U129*$D$310)</f>
        <v>1904446.1245640591</v>
      </c>
      <c r="X129" s="154">
        <f t="shared" ref="X129:X138" si="89">U129*$D$311</f>
        <v>0</v>
      </c>
      <c r="Y129" s="156">
        <f>SUM(U129)-SUM(V129:W129)</f>
        <v>142393971.77509734</v>
      </c>
    </row>
    <row r="130" spans="1:26" ht="22.5" x14ac:dyDescent="0.2">
      <c r="A130" s="310"/>
      <c r="B130" s="5" t="s">
        <v>40</v>
      </c>
      <c r="C130" s="104">
        <f t="shared" si="76"/>
        <v>0</v>
      </c>
      <c r="D130" s="294">
        <f t="shared" si="77"/>
        <v>1</v>
      </c>
      <c r="E130" s="23">
        <f t="shared" si="78"/>
        <v>0</v>
      </c>
      <c r="F130" s="23" t="str">
        <f t="shared" ref="F130:F138" si="90">IFERROR(E130/C130, "0")</f>
        <v>0</v>
      </c>
      <c r="G130" s="178"/>
      <c r="H130" s="104">
        <f t="shared" si="79"/>
        <v>0</v>
      </c>
      <c r="I130" s="157">
        <f t="shared" si="80"/>
        <v>0</v>
      </c>
      <c r="J130" s="447"/>
      <c r="K130" s="447"/>
      <c r="M130" s="5" t="s">
        <v>40</v>
      </c>
      <c r="N130" s="92"/>
      <c r="O130" s="294" t="str">
        <f t="shared" si="81"/>
        <v>0.00%</v>
      </c>
      <c r="P130" s="23">
        <f t="shared" si="82"/>
        <v>0</v>
      </c>
      <c r="Q130" s="23" t="str">
        <f t="shared" si="83"/>
        <v>0</v>
      </c>
      <c r="R130" s="44">
        <f t="shared" si="84"/>
        <v>0</v>
      </c>
      <c r="S130" s="178"/>
      <c r="T130" s="104">
        <f t="shared" si="85"/>
        <v>0</v>
      </c>
      <c r="U130" s="104">
        <f t="shared" si="86"/>
        <v>0</v>
      </c>
      <c r="V130" s="24">
        <f t="shared" si="87"/>
        <v>0</v>
      </c>
      <c r="W130" s="24">
        <f t="shared" si="88"/>
        <v>0</v>
      </c>
      <c r="X130" s="24">
        <f t="shared" si="89"/>
        <v>0</v>
      </c>
      <c r="Y130" s="157">
        <f t="shared" ref="Y130:Y137" si="91">SUM(U130)-SUM(V130:W130)</f>
        <v>0</v>
      </c>
    </row>
    <row r="131" spans="1:26" ht="22.5" x14ac:dyDescent="0.2">
      <c r="A131" s="310"/>
      <c r="B131" s="4" t="s">
        <v>41</v>
      </c>
      <c r="C131" s="103">
        <f t="shared" si="76"/>
        <v>0</v>
      </c>
      <c r="D131" s="295">
        <f t="shared" si="77"/>
        <v>1</v>
      </c>
      <c r="E131" s="101">
        <f t="shared" si="78"/>
        <v>0</v>
      </c>
      <c r="F131" s="101" t="str">
        <f t="shared" si="90"/>
        <v>0</v>
      </c>
      <c r="G131" s="177"/>
      <c r="H131" s="103">
        <f t="shared" si="79"/>
        <v>0</v>
      </c>
      <c r="I131" s="156">
        <f t="shared" si="80"/>
        <v>0</v>
      </c>
      <c r="J131" s="447"/>
      <c r="K131" s="447"/>
      <c r="M131" s="4" t="s">
        <v>41</v>
      </c>
      <c r="N131" s="92"/>
      <c r="O131" s="295" t="str">
        <f t="shared" si="81"/>
        <v>0.00%</v>
      </c>
      <c r="P131" s="101">
        <f t="shared" si="82"/>
        <v>0</v>
      </c>
      <c r="Q131" s="101" t="str">
        <f t="shared" si="83"/>
        <v>0</v>
      </c>
      <c r="R131" s="43">
        <f t="shared" si="84"/>
        <v>0</v>
      </c>
      <c r="S131" s="177"/>
      <c r="T131" s="103">
        <f t="shared" si="85"/>
        <v>0</v>
      </c>
      <c r="U131" s="103">
        <f t="shared" si="86"/>
        <v>0</v>
      </c>
      <c r="V131" s="154">
        <f t="shared" si="87"/>
        <v>0</v>
      </c>
      <c r="W131" s="154">
        <f t="shared" si="88"/>
        <v>0</v>
      </c>
      <c r="X131" s="154">
        <f t="shared" si="89"/>
        <v>0</v>
      </c>
      <c r="Y131" s="156">
        <f t="shared" si="91"/>
        <v>0</v>
      </c>
    </row>
    <row r="132" spans="1:26" ht="22.5" x14ac:dyDescent="0.2">
      <c r="A132" s="310"/>
      <c r="B132" s="5" t="s">
        <v>42</v>
      </c>
      <c r="C132" s="104">
        <f t="shared" si="76"/>
        <v>0</v>
      </c>
      <c r="D132" s="294">
        <f t="shared" si="77"/>
        <v>1</v>
      </c>
      <c r="E132" s="23">
        <f t="shared" si="78"/>
        <v>0</v>
      </c>
      <c r="F132" s="23" t="str">
        <f t="shared" si="90"/>
        <v>0</v>
      </c>
      <c r="G132" s="178"/>
      <c r="H132" s="104">
        <f t="shared" si="79"/>
        <v>0</v>
      </c>
      <c r="I132" s="157">
        <f t="shared" si="80"/>
        <v>0</v>
      </c>
      <c r="J132" s="447"/>
      <c r="K132" s="447"/>
      <c r="M132" s="5" t="s">
        <v>42</v>
      </c>
      <c r="N132" s="92"/>
      <c r="O132" s="294" t="str">
        <f t="shared" si="81"/>
        <v>0.00%</v>
      </c>
      <c r="P132" s="23">
        <f t="shared" si="82"/>
        <v>0</v>
      </c>
      <c r="Q132" s="23" t="str">
        <f t="shared" si="83"/>
        <v>0</v>
      </c>
      <c r="R132" s="44">
        <f t="shared" si="84"/>
        <v>0</v>
      </c>
      <c r="S132" s="178"/>
      <c r="T132" s="104">
        <f t="shared" si="85"/>
        <v>0</v>
      </c>
      <c r="U132" s="104">
        <f t="shared" si="86"/>
        <v>0</v>
      </c>
      <c r="V132" s="24">
        <f t="shared" si="87"/>
        <v>0</v>
      </c>
      <c r="W132" s="24">
        <f t="shared" si="88"/>
        <v>0</v>
      </c>
      <c r="X132" s="24">
        <f t="shared" si="89"/>
        <v>0</v>
      </c>
      <c r="Y132" s="157">
        <f t="shared" si="91"/>
        <v>0</v>
      </c>
    </row>
    <row r="133" spans="1:26" ht="22.5" x14ac:dyDescent="0.2">
      <c r="A133" s="310"/>
      <c r="B133" s="4" t="s">
        <v>64</v>
      </c>
      <c r="C133" s="103">
        <f t="shared" si="76"/>
        <v>0</v>
      </c>
      <c r="D133" s="295">
        <f t="shared" si="77"/>
        <v>1</v>
      </c>
      <c r="E133" s="101">
        <f t="shared" si="78"/>
        <v>0</v>
      </c>
      <c r="F133" s="101" t="str">
        <f t="shared" si="90"/>
        <v>0</v>
      </c>
      <c r="G133" s="177"/>
      <c r="H133" s="103">
        <f t="shared" si="79"/>
        <v>0</v>
      </c>
      <c r="I133" s="156">
        <f t="shared" si="80"/>
        <v>0</v>
      </c>
      <c r="J133" s="447"/>
      <c r="K133" s="447"/>
      <c r="M133" s="4" t="s">
        <v>64</v>
      </c>
      <c r="N133" s="92"/>
      <c r="O133" s="295" t="str">
        <f t="shared" si="81"/>
        <v>0.00%</v>
      </c>
      <c r="P133" s="101">
        <f t="shared" si="82"/>
        <v>0</v>
      </c>
      <c r="Q133" s="101" t="str">
        <f t="shared" si="83"/>
        <v>0</v>
      </c>
      <c r="R133" s="43">
        <f t="shared" si="84"/>
        <v>0</v>
      </c>
      <c r="S133" s="177"/>
      <c r="T133" s="103">
        <f t="shared" si="85"/>
        <v>0</v>
      </c>
      <c r="U133" s="103">
        <f t="shared" si="86"/>
        <v>0</v>
      </c>
      <c r="V133" s="154">
        <f t="shared" si="87"/>
        <v>0</v>
      </c>
      <c r="W133" s="154">
        <f t="shared" si="88"/>
        <v>0</v>
      </c>
      <c r="X133" s="154">
        <f t="shared" si="89"/>
        <v>0</v>
      </c>
      <c r="Y133" s="156">
        <f t="shared" si="91"/>
        <v>0</v>
      </c>
    </row>
    <row r="134" spans="1:26" ht="22.5" x14ac:dyDescent="0.2">
      <c r="A134" s="310"/>
      <c r="B134" s="5" t="s">
        <v>231</v>
      </c>
      <c r="C134" s="104">
        <f t="shared" si="76"/>
        <v>42</v>
      </c>
      <c r="D134" s="294">
        <f t="shared" si="77"/>
        <v>1</v>
      </c>
      <c r="E134" s="23">
        <f t="shared" si="78"/>
        <v>6617.2023335568429</v>
      </c>
      <c r="F134" s="23">
        <f>IFERROR(E134/C134, "0")</f>
        <v>157.55243651325816</v>
      </c>
      <c r="G134" s="178"/>
      <c r="H134" s="104">
        <f t="shared" si="79"/>
        <v>0</v>
      </c>
      <c r="I134" s="157">
        <f t="shared" si="80"/>
        <v>0</v>
      </c>
      <c r="J134" s="447"/>
      <c r="K134" s="447"/>
      <c r="M134" s="5" t="s">
        <v>231</v>
      </c>
      <c r="N134" s="92"/>
      <c r="O134" s="294">
        <f t="shared" si="81"/>
        <v>0</v>
      </c>
      <c r="P134" s="23">
        <f t="shared" si="82"/>
        <v>0</v>
      </c>
      <c r="Q134" s="23" t="str">
        <f t="shared" si="83"/>
        <v>0</v>
      </c>
      <c r="R134" s="44">
        <f t="shared" si="84"/>
        <v>0</v>
      </c>
      <c r="S134" s="178"/>
      <c r="T134" s="104">
        <f t="shared" si="85"/>
        <v>0</v>
      </c>
      <c r="U134" s="104">
        <f t="shared" si="86"/>
        <v>0</v>
      </c>
      <c r="V134" s="24">
        <f t="shared" si="87"/>
        <v>0</v>
      </c>
      <c r="W134" s="24">
        <f t="shared" si="88"/>
        <v>0</v>
      </c>
      <c r="X134" s="24">
        <f t="shared" si="89"/>
        <v>0</v>
      </c>
      <c r="Y134" s="157">
        <f t="shared" si="91"/>
        <v>0</v>
      </c>
    </row>
    <row r="135" spans="1:26" ht="22.5" x14ac:dyDescent="0.2">
      <c r="A135" s="310"/>
      <c r="B135" s="4" t="s">
        <v>43</v>
      </c>
      <c r="C135" s="103">
        <f t="shared" si="76"/>
        <v>25</v>
      </c>
      <c r="D135" s="295">
        <f t="shared" si="77"/>
        <v>1</v>
      </c>
      <c r="E135" s="101">
        <f t="shared" si="78"/>
        <v>4087.3151968778698</v>
      </c>
      <c r="F135" s="101">
        <f t="shared" si="90"/>
        <v>163.4926078751148</v>
      </c>
      <c r="G135" s="177"/>
      <c r="H135" s="103">
        <f t="shared" si="79"/>
        <v>0</v>
      </c>
      <c r="I135" s="156">
        <f t="shared" si="80"/>
        <v>0</v>
      </c>
      <c r="J135" s="447"/>
      <c r="K135" s="447"/>
      <c r="M135" s="4" t="s">
        <v>43</v>
      </c>
      <c r="N135" s="92"/>
      <c r="O135" s="295">
        <f t="shared" si="81"/>
        <v>0</v>
      </c>
      <c r="P135" s="101">
        <f t="shared" si="82"/>
        <v>0</v>
      </c>
      <c r="Q135" s="101" t="str">
        <f t="shared" si="83"/>
        <v>0</v>
      </c>
      <c r="R135" s="43">
        <f t="shared" si="84"/>
        <v>0</v>
      </c>
      <c r="S135" s="177"/>
      <c r="T135" s="103">
        <f t="shared" si="85"/>
        <v>0</v>
      </c>
      <c r="U135" s="103">
        <f t="shared" si="86"/>
        <v>0</v>
      </c>
      <c r="V135" s="154">
        <f t="shared" si="87"/>
        <v>0</v>
      </c>
      <c r="W135" s="154">
        <f t="shared" si="88"/>
        <v>0</v>
      </c>
      <c r="X135" s="154">
        <f t="shared" si="89"/>
        <v>0</v>
      </c>
      <c r="Y135" s="156">
        <f t="shared" si="91"/>
        <v>0</v>
      </c>
    </row>
    <row r="136" spans="1:26" ht="22.5" x14ac:dyDescent="0.2">
      <c r="A136" s="310"/>
      <c r="B136" s="5" t="s">
        <v>44</v>
      </c>
      <c r="C136" s="104">
        <f t="shared" si="76"/>
        <v>217</v>
      </c>
      <c r="D136" s="294">
        <f t="shared" si="77"/>
        <v>1</v>
      </c>
      <c r="E136" s="23">
        <f t="shared" si="78"/>
        <v>10753.472381554444</v>
      </c>
      <c r="F136" s="23">
        <f>IFERROR(E136/C136, "0")</f>
        <v>49.555172265227853</v>
      </c>
      <c r="G136" s="178"/>
      <c r="H136" s="104">
        <f t="shared" si="79"/>
        <v>0</v>
      </c>
      <c r="I136" s="157">
        <f t="shared" si="80"/>
        <v>0</v>
      </c>
      <c r="J136" s="447"/>
      <c r="K136" s="447"/>
      <c r="M136" s="5" t="s">
        <v>44</v>
      </c>
      <c r="N136" s="92"/>
      <c r="O136" s="294">
        <f t="shared" si="81"/>
        <v>0</v>
      </c>
      <c r="P136" s="23">
        <f t="shared" si="82"/>
        <v>0</v>
      </c>
      <c r="Q136" s="23" t="str">
        <f t="shared" si="83"/>
        <v>0</v>
      </c>
      <c r="R136" s="44">
        <f t="shared" si="84"/>
        <v>0</v>
      </c>
      <c r="S136" s="178"/>
      <c r="T136" s="104">
        <f t="shared" si="85"/>
        <v>0</v>
      </c>
      <c r="U136" s="104">
        <f t="shared" si="86"/>
        <v>0</v>
      </c>
      <c r="V136" s="24">
        <f t="shared" si="87"/>
        <v>0</v>
      </c>
      <c r="W136" s="24">
        <f t="shared" si="88"/>
        <v>0</v>
      </c>
      <c r="X136" s="24">
        <f t="shared" si="89"/>
        <v>0</v>
      </c>
      <c r="Y136" s="157">
        <f t="shared" si="91"/>
        <v>0</v>
      </c>
    </row>
    <row r="137" spans="1:26" ht="22.5" x14ac:dyDescent="0.2">
      <c r="A137" s="310"/>
      <c r="B137" s="4" t="s">
        <v>45</v>
      </c>
      <c r="C137" s="103">
        <f t="shared" si="76"/>
        <v>0</v>
      </c>
      <c r="D137" s="295">
        <f t="shared" si="77"/>
        <v>1</v>
      </c>
      <c r="E137" s="101">
        <f t="shared" si="78"/>
        <v>0</v>
      </c>
      <c r="F137" s="101" t="str">
        <f t="shared" si="90"/>
        <v>0</v>
      </c>
      <c r="G137" s="177"/>
      <c r="H137" s="103">
        <f t="shared" si="79"/>
        <v>0</v>
      </c>
      <c r="I137" s="156">
        <f t="shared" si="80"/>
        <v>0</v>
      </c>
      <c r="J137" s="447"/>
      <c r="K137" s="447"/>
      <c r="M137" s="4" t="s">
        <v>45</v>
      </c>
      <c r="N137" s="92"/>
      <c r="O137" s="295" t="str">
        <f t="shared" si="81"/>
        <v>0.00%</v>
      </c>
      <c r="P137" s="101">
        <f t="shared" si="82"/>
        <v>0</v>
      </c>
      <c r="Q137" s="101" t="str">
        <f t="shared" si="83"/>
        <v>0</v>
      </c>
      <c r="R137" s="43">
        <f t="shared" si="84"/>
        <v>0</v>
      </c>
      <c r="S137" s="177"/>
      <c r="T137" s="103">
        <f t="shared" si="85"/>
        <v>0</v>
      </c>
      <c r="U137" s="103">
        <f t="shared" si="86"/>
        <v>0</v>
      </c>
      <c r="V137" s="154">
        <f t="shared" si="87"/>
        <v>0</v>
      </c>
      <c r="W137" s="154">
        <f t="shared" si="88"/>
        <v>0</v>
      </c>
      <c r="X137" s="154">
        <f t="shared" si="89"/>
        <v>0</v>
      </c>
      <c r="Y137" s="156">
        <f t="shared" si="91"/>
        <v>0</v>
      </c>
    </row>
    <row r="138" spans="1:26" ht="22.5" x14ac:dyDescent="0.2">
      <c r="A138" s="310"/>
      <c r="B138" s="5" t="s">
        <v>420</v>
      </c>
      <c r="C138" s="104">
        <f t="shared" si="76"/>
        <v>0</v>
      </c>
      <c r="D138" s="294">
        <f t="shared" si="77"/>
        <v>1</v>
      </c>
      <c r="E138" s="23">
        <f t="shared" si="78"/>
        <v>0</v>
      </c>
      <c r="F138" s="23" t="str">
        <f t="shared" si="90"/>
        <v>0</v>
      </c>
      <c r="G138" s="178"/>
      <c r="H138" s="104">
        <f t="shared" si="79"/>
        <v>0</v>
      </c>
      <c r="I138" s="157">
        <f t="shared" si="80"/>
        <v>0</v>
      </c>
      <c r="J138" s="447"/>
      <c r="K138" s="447"/>
      <c r="M138" s="5" t="s">
        <v>420</v>
      </c>
      <c r="N138" s="92"/>
      <c r="O138" s="294" t="str">
        <f t="shared" si="81"/>
        <v>0.00%</v>
      </c>
      <c r="P138" s="23">
        <f t="shared" si="82"/>
        <v>0</v>
      </c>
      <c r="Q138" s="23" t="str">
        <f t="shared" si="83"/>
        <v>0</v>
      </c>
      <c r="R138" s="44">
        <f t="shared" si="84"/>
        <v>0</v>
      </c>
      <c r="S138" s="178"/>
      <c r="T138" s="104">
        <f t="shared" si="85"/>
        <v>0</v>
      </c>
      <c r="U138" s="104">
        <f t="shared" si="86"/>
        <v>0</v>
      </c>
      <c r="V138" s="24">
        <f t="shared" si="87"/>
        <v>0</v>
      </c>
      <c r="W138" s="24">
        <f t="shared" si="88"/>
        <v>0</v>
      </c>
      <c r="X138" s="24">
        <f t="shared" si="89"/>
        <v>0</v>
      </c>
      <c r="Y138" s="157">
        <f>SUM(U138)-SUM(V138:W138)</f>
        <v>0</v>
      </c>
    </row>
    <row r="139" spans="1:26" ht="23.25" thickBot="1" x14ac:dyDescent="0.25">
      <c r="A139" s="310"/>
      <c r="B139" s="6" t="s">
        <v>96</v>
      </c>
      <c r="C139" s="8">
        <f>SUM(C129:C138)</f>
        <v>453</v>
      </c>
      <c r="D139" s="45" t="s">
        <v>66</v>
      </c>
      <c r="E139" s="7">
        <f>SUM(E129:E138)</f>
        <v>37282.726006161589</v>
      </c>
      <c r="F139" s="71">
        <f>IFERROR(E139/C139, "0")</f>
        <v>82.301823413160236</v>
      </c>
      <c r="G139" s="72">
        <f>SUMPRODUCT(G129:G138, E129:E138) / SUM(E129:E138)</f>
        <v>11120.648355991912</v>
      </c>
      <c r="H139" s="72" cm="1">
        <f t="array" ref="H139">SUMPRODUCT((H129:H138&lt;&gt;0)*(H129:H138&lt;&gt;""), H129:H138, C129:C138) / SUMIFS(C129:C138, H129:H138, "&lt;&gt;0", H129:H138, "&lt;&gt;")</f>
        <v>2453302.2820551349</v>
      </c>
      <c r="I139" s="200">
        <f>SUMIF(I129:I138, "&lt;&gt;#DIV/0!")</f>
        <v>414608085.66731781</v>
      </c>
      <c r="J139" s="447"/>
      <c r="K139" s="447"/>
      <c r="M139" s="6" t="s">
        <v>96</v>
      </c>
      <c r="N139" s="8">
        <f>SUM(N129:N138)</f>
        <v>70</v>
      </c>
      <c r="O139" s="45" t="s">
        <v>66</v>
      </c>
      <c r="P139" s="7">
        <f>SUMIF(P129:P138, "&lt;&gt;#DIV/0!")</f>
        <v>6554.6244177045573</v>
      </c>
      <c r="Q139" s="71">
        <f>IFERROR(P139/N139, "0")</f>
        <v>93.637491681493671</v>
      </c>
      <c r="R139" s="233">
        <f>SUMPRODUCT(R129:R138, P129:P138) / SUM(P129:P138)</f>
        <v>0.30942279675601569</v>
      </c>
      <c r="S139" s="72">
        <f>SUMPRODUCT(S129:S138, P129:P138) / SUM(P129:P138)</f>
        <v>22350</v>
      </c>
      <c r="T139" s="72" cm="1">
        <f t="array" ref="T139">SUMPRODUCT((T129:T138&lt;&gt;0)*(T129:T138&lt;&gt;""), T129:T138, N129:N138) / SUMIFS(N129:N138, T129:T138, "&lt;&gt;0", T129:T138, "&lt;&gt;")</f>
        <v>2092797.9390813836</v>
      </c>
      <c r="U139" s="8">
        <f>SUMIF(U129:U138, "&lt;&gt;#DIV/0!")</f>
        <v>146495855.73569685</v>
      </c>
      <c r="V139" s="155">
        <f>SUMIF(V129:V138, "&lt;&gt;#DIV/0!")</f>
        <v>2197437.8360354528</v>
      </c>
      <c r="W139" s="155">
        <f>SUMIF(W129:W138, "&lt;&gt;#DIV/0!")</f>
        <v>1904446.1245640591</v>
      </c>
      <c r="X139" s="155">
        <f>SUMIF(X129:X138, "&lt;&gt;#DIV/0!")</f>
        <v>0</v>
      </c>
      <c r="Y139" s="158">
        <f>SUMIF(Y129:Y138, "&lt;&gt;#DIV/0!")</f>
        <v>142393971.77509734</v>
      </c>
    </row>
    <row r="140" spans="1:26" x14ac:dyDescent="0.2">
      <c r="J140" s="447"/>
      <c r="X140" s="310"/>
    </row>
    <row r="141" spans="1:26" x14ac:dyDescent="0.2">
      <c r="A141" s="201"/>
      <c r="K141" s="447"/>
    </row>
    <row r="142" spans="1:26" x14ac:dyDescent="0.2">
      <c r="G142" s="201"/>
      <c r="K142" s="372"/>
    </row>
    <row r="143" spans="1:26" x14ac:dyDescent="0.2">
      <c r="C143" s="310"/>
      <c r="D143" s="310"/>
      <c r="E143" s="310"/>
      <c r="F143" s="310"/>
      <c r="G143" s="310"/>
      <c r="J143" s="316"/>
      <c r="L143" s="310"/>
      <c r="M143" s="310"/>
      <c r="N143" s="310"/>
      <c r="O143" s="310"/>
      <c r="P143" s="310"/>
      <c r="Q143" s="310"/>
      <c r="R143" s="310"/>
      <c r="S143" s="310"/>
      <c r="T143" s="310"/>
      <c r="V143" s="310"/>
      <c r="W143" s="310"/>
      <c r="X143" s="310"/>
      <c r="Y143" s="310"/>
      <c r="Z143" s="310"/>
    </row>
    <row r="144" spans="1:26" ht="12" thickBot="1" x14ac:dyDescent="0.25">
      <c r="C144" s="310"/>
      <c r="D144" s="310"/>
      <c r="E144" s="310"/>
      <c r="F144" s="310"/>
      <c r="G144" s="310"/>
      <c r="J144" s="310"/>
      <c r="Z144" s="310"/>
    </row>
    <row r="145" spans="1:31" ht="12.75" x14ac:dyDescent="0.2">
      <c r="A145" s="201"/>
      <c r="B145" s="566" t="s">
        <v>209</v>
      </c>
      <c r="C145" s="567"/>
      <c r="D145" s="567"/>
      <c r="E145" s="567"/>
      <c r="F145" s="567"/>
      <c r="G145" s="567"/>
      <c r="H145" s="567"/>
      <c r="I145" s="567"/>
      <c r="J145" s="568"/>
      <c r="M145" s="563" t="s">
        <v>123</v>
      </c>
      <c r="N145" s="564"/>
      <c r="O145" s="564"/>
      <c r="P145" s="564"/>
      <c r="Q145" s="564"/>
      <c r="R145" s="564"/>
      <c r="S145" s="564"/>
      <c r="T145" s="564"/>
      <c r="U145" s="564"/>
      <c r="V145" s="565"/>
      <c r="W145" s="310"/>
      <c r="X145" s="569" t="s">
        <v>122</v>
      </c>
      <c r="Y145" s="570"/>
      <c r="Z145" s="570"/>
      <c r="AA145" s="571"/>
    </row>
    <row r="146" spans="1:31" ht="36" x14ac:dyDescent="0.2">
      <c r="A146" s="201"/>
      <c r="B146" s="102" t="s">
        <v>38</v>
      </c>
      <c r="C146" s="99" t="s">
        <v>124</v>
      </c>
      <c r="D146" s="99" t="s">
        <v>125</v>
      </c>
      <c r="E146" s="99" t="s">
        <v>126</v>
      </c>
      <c r="F146" s="99" t="s">
        <v>291</v>
      </c>
      <c r="G146" s="99" t="s">
        <v>127</v>
      </c>
      <c r="H146" s="99" t="s">
        <v>128</v>
      </c>
      <c r="I146" s="99" t="s">
        <v>255</v>
      </c>
      <c r="J146" s="100" t="s">
        <v>206</v>
      </c>
      <c r="M146" s="47" t="s">
        <v>38</v>
      </c>
      <c r="N146" s="48" t="s">
        <v>124</v>
      </c>
      <c r="O146" s="48" t="s">
        <v>127</v>
      </c>
      <c r="P146" s="48" t="s">
        <v>288</v>
      </c>
      <c r="Q146" s="48" t="s">
        <v>129</v>
      </c>
      <c r="R146" s="48" t="s">
        <v>130</v>
      </c>
      <c r="S146" s="48" t="s">
        <v>408</v>
      </c>
      <c r="T146" s="48" t="s">
        <v>8</v>
      </c>
      <c r="U146" s="48" t="s">
        <v>265</v>
      </c>
      <c r="V146" s="49" t="s">
        <v>207</v>
      </c>
      <c r="X146" s="106" t="s">
        <v>38</v>
      </c>
      <c r="Y146" s="107" t="s">
        <v>4</v>
      </c>
      <c r="Z146" s="107" t="s">
        <v>290</v>
      </c>
      <c r="AA146" s="46" t="s">
        <v>96</v>
      </c>
    </row>
    <row r="147" spans="1:31" ht="22.5" x14ac:dyDescent="0.2">
      <c r="A147" s="201"/>
      <c r="B147" s="4" t="s">
        <v>39</v>
      </c>
      <c r="C147" s="103">
        <f>H61</f>
        <v>239</v>
      </c>
      <c r="D147" s="101">
        <f t="shared" ref="D147:D156" si="92">G61</f>
        <v>93.637491681493685</v>
      </c>
      <c r="E147" s="224"/>
      <c r="F147" s="103">
        <f>E147*D147</f>
        <v>0</v>
      </c>
      <c r="G147" s="174"/>
      <c r="H147" s="103">
        <f t="shared" ref="H147:H156" si="93">(F147*C147)*G147</f>
        <v>0</v>
      </c>
      <c r="I147" s="177">
        <f t="shared" ref="I147:I156" si="94">$I$158*H147</f>
        <v>0</v>
      </c>
      <c r="J147" s="156">
        <f t="shared" ref="J147:J156" si="95">H147-I147</f>
        <v>0</v>
      </c>
      <c r="M147" s="4" t="s">
        <v>39</v>
      </c>
      <c r="N147" s="103">
        <f t="shared" ref="N147:N156" si="96">H61</f>
        <v>239</v>
      </c>
      <c r="O147" s="174"/>
      <c r="P147" s="103">
        <f t="shared" ref="P147:P154" si="97">(N147*365)*O147</f>
        <v>0</v>
      </c>
      <c r="Q147" s="224"/>
      <c r="R147" s="103">
        <f t="shared" ref="R147:R156" si="98">IFERROR((Q147*P147)/N147, "0")</f>
        <v>0</v>
      </c>
      <c r="S147" s="174"/>
      <c r="T147" s="103">
        <f t="shared" ref="T147:T156" si="99">(Q147*P147)+((P147*Q147)*S147)</f>
        <v>0</v>
      </c>
      <c r="U147" s="154">
        <f t="shared" ref="U147:U156" si="100">T147*$U$158</f>
        <v>0</v>
      </c>
      <c r="V147" s="156">
        <f t="shared" ref="V147:V156" si="101">T147-U147</f>
        <v>0</v>
      </c>
      <c r="W147" s="310"/>
      <c r="X147" s="4" t="s">
        <v>39</v>
      </c>
      <c r="Y147" s="174">
        <v>0.08</v>
      </c>
      <c r="Z147" s="103">
        <f t="shared" ref="Z147:Z156" si="102">SUM(F147+R147)/Y147</f>
        <v>0</v>
      </c>
      <c r="AA147" s="87">
        <f t="shared" ref="AA147:AA156" si="103">(J147+V147)/Y147</f>
        <v>0</v>
      </c>
    </row>
    <row r="148" spans="1:31" ht="22.5" x14ac:dyDescent="0.2">
      <c r="A148" s="201"/>
      <c r="B148" s="5" t="s">
        <v>40</v>
      </c>
      <c r="C148" s="104">
        <f t="shared" ref="C148:C156" si="104">H62</f>
        <v>0</v>
      </c>
      <c r="D148" s="23" t="str">
        <f t="shared" si="92"/>
        <v>0</v>
      </c>
      <c r="E148" s="222"/>
      <c r="F148" s="104">
        <f t="shared" ref="F148:F156" si="105">E148*D148</f>
        <v>0</v>
      </c>
      <c r="G148" s="44"/>
      <c r="H148" s="104">
        <f t="shared" si="93"/>
        <v>0</v>
      </c>
      <c r="I148" s="178">
        <f t="shared" si="94"/>
        <v>0</v>
      </c>
      <c r="J148" s="157">
        <f t="shared" si="95"/>
        <v>0</v>
      </c>
      <c r="M148" s="5" t="s">
        <v>40</v>
      </c>
      <c r="N148" s="104">
        <f t="shared" si="96"/>
        <v>0</v>
      </c>
      <c r="O148" s="44"/>
      <c r="P148" s="104">
        <f t="shared" si="97"/>
        <v>0</v>
      </c>
      <c r="Q148" s="222"/>
      <c r="R148" s="104" t="str">
        <f t="shared" si="98"/>
        <v>0</v>
      </c>
      <c r="S148" s="44"/>
      <c r="T148" s="104">
        <f t="shared" si="99"/>
        <v>0</v>
      </c>
      <c r="U148" s="24">
        <f t="shared" si="100"/>
        <v>0</v>
      </c>
      <c r="V148" s="157">
        <f t="shared" si="101"/>
        <v>0</v>
      </c>
      <c r="X148" s="5" t="s">
        <v>40</v>
      </c>
      <c r="Y148" s="44">
        <v>0.08</v>
      </c>
      <c r="Z148" s="104">
        <f t="shared" si="102"/>
        <v>0</v>
      </c>
      <c r="AA148" s="105">
        <f t="shared" si="103"/>
        <v>0</v>
      </c>
    </row>
    <row r="149" spans="1:31" ht="22.5" x14ac:dyDescent="0.2">
      <c r="A149" s="201"/>
      <c r="B149" s="4" t="s">
        <v>41</v>
      </c>
      <c r="C149" s="103">
        <f t="shared" si="104"/>
        <v>0</v>
      </c>
      <c r="D149" s="101" t="str">
        <f t="shared" si="92"/>
        <v>0</v>
      </c>
      <c r="E149" s="224"/>
      <c r="F149" s="103">
        <f t="shared" si="105"/>
        <v>0</v>
      </c>
      <c r="G149" s="174"/>
      <c r="H149" s="103">
        <f t="shared" si="93"/>
        <v>0</v>
      </c>
      <c r="I149" s="177">
        <f t="shared" si="94"/>
        <v>0</v>
      </c>
      <c r="J149" s="156">
        <f t="shared" si="95"/>
        <v>0</v>
      </c>
      <c r="M149" s="4" t="s">
        <v>41</v>
      </c>
      <c r="N149" s="103">
        <f t="shared" si="96"/>
        <v>0</v>
      </c>
      <c r="O149" s="174"/>
      <c r="P149" s="103">
        <f t="shared" si="97"/>
        <v>0</v>
      </c>
      <c r="Q149" s="224"/>
      <c r="R149" s="103" t="str">
        <f t="shared" si="98"/>
        <v>0</v>
      </c>
      <c r="S149" s="174"/>
      <c r="T149" s="103">
        <f t="shared" si="99"/>
        <v>0</v>
      </c>
      <c r="U149" s="154">
        <f t="shared" si="100"/>
        <v>0</v>
      </c>
      <c r="V149" s="156">
        <f t="shared" si="101"/>
        <v>0</v>
      </c>
      <c r="W149" s="310"/>
      <c r="X149" s="4" t="s">
        <v>41</v>
      </c>
      <c r="Y149" s="43">
        <v>0.08</v>
      </c>
      <c r="Z149" s="103">
        <f t="shared" si="102"/>
        <v>0</v>
      </c>
      <c r="AA149" s="87">
        <f t="shared" si="103"/>
        <v>0</v>
      </c>
    </row>
    <row r="150" spans="1:31" ht="22.5" x14ac:dyDescent="0.2">
      <c r="A150" s="201"/>
      <c r="B150" s="5" t="s">
        <v>42</v>
      </c>
      <c r="C150" s="104">
        <f t="shared" si="104"/>
        <v>0</v>
      </c>
      <c r="D150" s="23" t="str">
        <f t="shared" si="92"/>
        <v>0</v>
      </c>
      <c r="E150" s="222"/>
      <c r="F150" s="104">
        <f t="shared" si="105"/>
        <v>0</v>
      </c>
      <c r="G150" s="44"/>
      <c r="H150" s="104">
        <f t="shared" si="93"/>
        <v>0</v>
      </c>
      <c r="I150" s="178">
        <f t="shared" si="94"/>
        <v>0</v>
      </c>
      <c r="J150" s="157">
        <f t="shared" si="95"/>
        <v>0</v>
      </c>
      <c r="M150" s="5" t="s">
        <v>42</v>
      </c>
      <c r="N150" s="104">
        <f t="shared" si="96"/>
        <v>0</v>
      </c>
      <c r="O150" s="44"/>
      <c r="P150" s="104">
        <f t="shared" si="97"/>
        <v>0</v>
      </c>
      <c r="Q150" s="222"/>
      <c r="R150" s="104" t="str">
        <f t="shared" si="98"/>
        <v>0</v>
      </c>
      <c r="S150" s="44"/>
      <c r="T150" s="104">
        <f t="shared" si="99"/>
        <v>0</v>
      </c>
      <c r="U150" s="24">
        <f t="shared" si="100"/>
        <v>0</v>
      </c>
      <c r="V150" s="157">
        <f t="shared" si="101"/>
        <v>0</v>
      </c>
      <c r="X150" s="5" t="s">
        <v>42</v>
      </c>
      <c r="Y150" s="44">
        <v>0.08</v>
      </c>
      <c r="Z150" s="104">
        <f t="shared" si="102"/>
        <v>0</v>
      </c>
      <c r="AA150" s="105">
        <f t="shared" si="103"/>
        <v>0</v>
      </c>
    </row>
    <row r="151" spans="1:31" ht="22.5" x14ac:dyDescent="0.2">
      <c r="A151" s="201"/>
      <c r="B151" s="4" t="s">
        <v>64</v>
      </c>
      <c r="C151" s="103">
        <f t="shared" si="104"/>
        <v>0</v>
      </c>
      <c r="D151" s="101" t="str">
        <f t="shared" si="92"/>
        <v>0</v>
      </c>
      <c r="E151" s="224"/>
      <c r="F151" s="103">
        <f t="shared" si="105"/>
        <v>0</v>
      </c>
      <c r="G151" s="174"/>
      <c r="H151" s="103">
        <f t="shared" si="93"/>
        <v>0</v>
      </c>
      <c r="I151" s="177">
        <f t="shared" si="94"/>
        <v>0</v>
      </c>
      <c r="J151" s="156">
        <f t="shared" si="95"/>
        <v>0</v>
      </c>
      <c r="M151" s="4" t="s">
        <v>64</v>
      </c>
      <c r="N151" s="103">
        <f t="shared" si="96"/>
        <v>0</v>
      </c>
      <c r="O151" s="174"/>
      <c r="P151" s="103">
        <f t="shared" si="97"/>
        <v>0</v>
      </c>
      <c r="Q151" s="224"/>
      <c r="R151" s="103" t="str">
        <f t="shared" si="98"/>
        <v>0</v>
      </c>
      <c r="S151" s="174"/>
      <c r="T151" s="103">
        <f t="shared" si="99"/>
        <v>0</v>
      </c>
      <c r="U151" s="154">
        <f t="shared" si="100"/>
        <v>0</v>
      </c>
      <c r="V151" s="156">
        <f t="shared" si="101"/>
        <v>0</v>
      </c>
      <c r="W151" s="310"/>
      <c r="X151" s="4" t="s">
        <v>64</v>
      </c>
      <c r="Y151" s="43">
        <v>7.0000000000000007E-2</v>
      </c>
      <c r="Z151" s="103">
        <f t="shared" si="102"/>
        <v>0</v>
      </c>
      <c r="AA151" s="87">
        <f t="shared" si="103"/>
        <v>0</v>
      </c>
    </row>
    <row r="152" spans="1:31" ht="22.5" x14ac:dyDescent="0.2">
      <c r="A152" s="201"/>
      <c r="B152" s="5" t="s">
        <v>231</v>
      </c>
      <c r="C152" s="104">
        <f t="shared" si="104"/>
        <v>42</v>
      </c>
      <c r="D152" s="23">
        <f t="shared" si="92"/>
        <v>157.55243651325816</v>
      </c>
      <c r="E152" s="222">
        <v>2100</v>
      </c>
      <c r="F152" s="104">
        <f>E152*D152</f>
        <v>330860.1166778421</v>
      </c>
      <c r="G152" s="44">
        <v>0.85</v>
      </c>
      <c r="H152" s="104">
        <f>(F152*C152)*G152</f>
        <v>11811706.165398963</v>
      </c>
      <c r="I152" s="178">
        <f>$I$158*H152</f>
        <v>590585.30826994812</v>
      </c>
      <c r="J152" s="157">
        <f t="shared" si="95"/>
        <v>11221120.857129015</v>
      </c>
      <c r="M152" s="5" t="s">
        <v>231</v>
      </c>
      <c r="N152" s="104">
        <f t="shared" si="96"/>
        <v>42</v>
      </c>
      <c r="O152" s="44"/>
      <c r="P152" s="104">
        <f t="shared" si="97"/>
        <v>0</v>
      </c>
      <c r="Q152" s="222"/>
      <c r="R152" s="104">
        <f t="shared" si="98"/>
        <v>0</v>
      </c>
      <c r="S152" s="44"/>
      <c r="T152" s="104">
        <f t="shared" si="99"/>
        <v>0</v>
      </c>
      <c r="U152" s="24">
        <f t="shared" si="100"/>
        <v>0</v>
      </c>
      <c r="V152" s="157">
        <f t="shared" si="101"/>
        <v>0</v>
      </c>
      <c r="X152" s="5" t="s">
        <v>231</v>
      </c>
      <c r="Y152" s="44">
        <v>8.5000000000000006E-2</v>
      </c>
      <c r="Z152" s="104">
        <f t="shared" si="102"/>
        <v>3892471.960915789</v>
      </c>
      <c r="AA152" s="105">
        <f t="shared" si="103"/>
        <v>132013186.55445899</v>
      </c>
    </row>
    <row r="153" spans="1:31" ht="22.5" x14ac:dyDescent="0.2">
      <c r="A153" s="201"/>
      <c r="B153" s="4" t="s">
        <v>43</v>
      </c>
      <c r="C153" s="103">
        <f t="shared" si="104"/>
        <v>25</v>
      </c>
      <c r="D153" s="101">
        <f t="shared" si="92"/>
        <v>163.4926078751148</v>
      </c>
      <c r="E153" s="224">
        <v>2100</v>
      </c>
      <c r="F153" s="103">
        <f>E153*D153</f>
        <v>343334.47653774108</v>
      </c>
      <c r="G153" s="174">
        <v>0.85</v>
      </c>
      <c r="H153" s="103">
        <f t="shared" si="93"/>
        <v>7295857.6264269967</v>
      </c>
      <c r="I153" s="177">
        <f t="shared" si="94"/>
        <v>364792.88132134988</v>
      </c>
      <c r="J153" s="156">
        <f t="shared" si="95"/>
        <v>6931064.7451056466</v>
      </c>
      <c r="M153" s="4" t="s">
        <v>43</v>
      </c>
      <c r="N153" s="103">
        <f t="shared" si="96"/>
        <v>25</v>
      </c>
      <c r="O153" s="174"/>
      <c r="P153" s="103">
        <f>(N153*365)*O153</f>
        <v>0</v>
      </c>
      <c r="Q153" s="224"/>
      <c r="R153" s="103">
        <f t="shared" si="98"/>
        <v>0</v>
      </c>
      <c r="S153" s="174"/>
      <c r="T153" s="103">
        <f t="shared" si="99"/>
        <v>0</v>
      </c>
      <c r="U153" s="154">
        <f t="shared" si="100"/>
        <v>0</v>
      </c>
      <c r="V153" s="156">
        <f t="shared" si="101"/>
        <v>0</v>
      </c>
      <c r="W153" s="310"/>
      <c r="X153" s="4" t="s">
        <v>43</v>
      </c>
      <c r="Y153" s="43">
        <v>8.5000000000000006E-2</v>
      </c>
      <c r="Z153" s="103">
        <f t="shared" si="102"/>
        <v>4039229.1357381302</v>
      </c>
      <c r="AA153" s="87">
        <f t="shared" si="103"/>
        <v>81541938.177713484</v>
      </c>
    </row>
    <row r="154" spans="1:31" ht="22.5" x14ac:dyDescent="0.2">
      <c r="A154" s="201"/>
      <c r="B154" s="5" t="s">
        <v>44</v>
      </c>
      <c r="C154" s="104">
        <f t="shared" si="104"/>
        <v>217</v>
      </c>
      <c r="D154" s="23">
        <f t="shared" si="92"/>
        <v>49.555172265227853</v>
      </c>
      <c r="E154" s="222"/>
      <c r="F154" s="104">
        <f t="shared" si="105"/>
        <v>0</v>
      </c>
      <c r="G154" s="44"/>
      <c r="H154" s="104">
        <f t="shared" si="93"/>
        <v>0</v>
      </c>
      <c r="I154" s="178">
        <f t="shared" si="94"/>
        <v>0</v>
      </c>
      <c r="J154" s="157">
        <f t="shared" si="95"/>
        <v>0</v>
      </c>
      <c r="M154" s="5" t="s">
        <v>44</v>
      </c>
      <c r="N154" s="104">
        <f t="shared" si="96"/>
        <v>217</v>
      </c>
      <c r="O154" s="44">
        <v>0.6</v>
      </c>
      <c r="P154" s="104">
        <f t="shared" si="97"/>
        <v>47523</v>
      </c>
      <c r="Q154" s="222">
        <v>1000</v>
      </c>
      <c r="R154" s="104">
        <f>IFERROR((Q154*P154)/N154, "0")</f>
        <v>219000</v>
      </c>
      <c r="S154" s="44">
        <v>0.28000000000000003</v>
      </c>
      <c r="T154" s="104">
        <f>(Q154*P154)+((P154*Q154)*S154)</f>
        <v>60829440</v>
      </c>
      <c r="U154" s="24">
        <f t="shared" si="100"/>
        <v>16728096.000000002</v>
      </c>
      <c r="V154" s="157">
        <f t="shared" si="101"/>
        <v>44101344</v>
      </c>
      <c r="X154" s="5" t="s">
        <v>44</v>
      </c>
      <c r="Y154" s="44">
        <v>0.09</v>
      </c>
      <c r="Z154" s="104">
        <f t="shared" si="102"/>
        <v>2433333.3333333335</v>
      </c>
      <c r="AA154" s="105">
        <f t="shared" si="103"/>
        <v>490014933.33333337</v>
      </c>
    </row>
    <row r="155" spans="1:31" ht="22.5" x14ac:dyDescent="0.2">
      <c r="A155" s="201"/>
      <c r="B155" s="4" t="s">
        <v>45</v>
      </c>
      <c r="C155" s="103">
        <f t="shared" si="104"/>
        <v>0</v>
      </c>
      <c r="D155" s="101" t="str">
        <f t="shared" si="92"/>
        <v>0</v>
      </c>
      <c r="E155" s="224"/>
      <c r="F155" s="103">
        <f t="shared" si="105"/>
        <v>0</v>
      </c>
      <c r="G155" s="174"/>
      <c r="H155" s="103">
        <f t="shared" si="93"/>
        <v>0</v>
      </c>
      <c r="I155" s="177">
        <f t="shared" si="94"/>
        <v>0</v>
      </c>
      <c r="J155" s="156">
        <f t="shared" si="95"/>
        <v>0</v>
      </c>
      <c r="M155" s="4" t="s">
        <v>45</v>
      </c>
      <c r="N155" s="103">
        <f t="shared" si="96"/>
        <v>0</v>
      </c>
      <c r="O155" s="174"/>
      <c r="P155" s="103">
        <f t="shared" ref="P155:P156" si="106">(N155*365)*O155</f>
        <v>0</v>
      </c>
      <c r="Q155" s="224"/>
      <c r="R155" s="103" t="str">
        <f t="shared" si="98"/>
        <v>0</v>
      </c>
      <c r="S155" s="174"/>
      <c r="T155" s="103">
        <f t="shared" si="99"/>
        <v>0</v>
      </c>
      <c r="U155" s="154">
        <f t="shared" si="100"/>
        <v>0</v>
      </c>
      <c r="V155" s="156">
        <f t="shared" si="101"/>
        <v>0</v>
      </c>
      <c r="W155" s="310"/>
      <c r="X155" s="4" t="s">
        <v>45</v>
      </c>
      <c r="Y155" s="43">
        <v>7.0000000000000007E-2</v>
      </c>
      <c r="Z155" s="103">
        <f t="shared" si="102"/>
        <v>0</v>
      </c>
      <c r="AA155" s="87">
        <f t="shared" si="103"/>
        <v>0</v>
      </c>
    </row>
    <row r="156" spans="1:31" ht="22.5" x14ac:dyDescent="0.2">
      <c r="A156" s="201"/>
      <c r="B156" s="5" t="s">
        <v>420</v>
      </c>
      <c r="C156" s="104">
        <f t="shared" si="104"/>
        <v>0</v>
      </c>
      <c r="D156" s="23" t="str">
        <f t="shared" si="92"/>
        <v>0</v>
      </c>
      <c r="E156" s="222"/>
      <c r="F156" s="104">
        <f t="shared" si="105"/>
        <v>0</v>
      </c>
      <c r="G156" s="44"/>
      <c r="H156" s="104">
        <f t="shared" si="93"/>
        <v>0</v>
      </c>
      <c r="I156" s="178">
        <f t="shared" si="94"/>
        <v>0</v>
      </c>
      <c r="J156" s="157">
        <f t="shared" si="95"/>
        <v>0</v>
      </c>
      <c r="M156" s="5" t="s">
        <v>420</v>
      </c>
      <c r="N156" s="104">
        <f t="shared" si="96"/>
        <v>0</v>
      </c>
      <c r="O156" s="44"/>
      <c r="P156" s="104">
        <f t="shared" si="106"/>
        <v>0</v>
      </c>
      <c r="Q156" s="222"/>
      <c r="R156" s="104" t="str">
        <f t="shared" si="98"/>
        <v>0</v>
      </c>
      <c r="S156" s="44"/>
      <c r="T156" s="104">
        <f t="shared" si="99"/>
        <v>0</v>
      </c>
      <c r="U156" s="24">
        <f t="shared" si="100"/>
        <v>0</v>
      </c>
      <c r="V156" s="157">
        <f t="shared" si="101"/>
        <v>0</v>
      </c>
      <c r="X156" s="5" t="s">
        <v>420</v>
      </c>
      <c r="Y156" s="44">
        <v>7.0000000000000007E-2</v>
      </c>
      <c r="Z156" s="104">
        <f t="shared" si="102"/>
        <v>0</v>
      </c>
      <c r="AA156" s="105">
        <f t="shared" si="103"/>
        <v>0</v>
      </c>
    </row>
    <row r="157" spans="1:31" ht="23.25" thickBot="1" x14ac:dyDescent="0.25">
      <c r="A157" s="201"/>
      <c r="B157" s="6" t="s">
        <v>96</v>
      </c>
      <c r="C157" s="8">
        <f>SUM(C147:C156)</f>
        <v>523</v>
      </c>
      <c r="D157" s="70" t="s">
        <v>66</v>
      </c>
      <c r="E157" s="69" t="s">
        <v>66</v>
      </c>
      <c r="F157" s="69" cm="1">
        <f t="array" ref="F157">SUMPRODUCT((F147:F156&lt;&gt;0)*(F147:F156&lt;&gt;""), F147:F156, C147:C156) / SUMIFS(C147:C156, F147:F156, "&lt;&gt;0", F147:F156, "&lt;&gt;")</f>
        <v>335514.72856586409</v>
      </c>
      <c r="G157" s="73" cm="1">
        <f t="array" ref="G157">SUMPRODUCT((C147:C156&gt;0)*(D147:D156&gt;0), G147:G156, C147:C156, D147:D156) / SUMPRODUCT((C147:C156&gt;0)*(D147:D156&gt;0), C147:C156, D147:D156)</f>
        <v>0.20755907491881329</v>
      </c>
      <c r="H157" s="173">
        <f>SUMIF(H147:H156, "&lt;&gt;#DIV/0!")</f>
        <v>19107563.791825958</v>
      </c>
      <c r="I157" s="179">
        <f>SUM(I147:I156)</f>
        <v>955378.189591298</v>
      </c>
      <c r="J157" s="158">
        <f>SUMIF(J147:J156, "&lt;&gt;#DIV/0!")</f>
        <v>18152185.602234662</v>
      </c>
      <c r="M157" s="6" t="s">
        <v>96</v>
      </c>
      <c r="N157" s="8">
        <f>SUM(N147:N156)</f>
        <v>523</v>
      </c>
      <c r="O157" s="223" t="s">
        <v>66</v>
      </c>
      <c r="P157" s="8">
        <f>SUM(P147:P156)</f>
        <v>47523</v>
      </c>
      <c r="Q157" s="8" t="s">
        <v>66</v>
      </c>
      <c r="R157" s="8" t="s">
        <v>66</v>
      </c>
      <c r="S157" s="27" t="s">
        <v>66</v>
      </c>
      <c r="T157" s="8">
        <f>SUM(T147:T156)</f>
        <v>60829440</v>
      </c>
      <c r="U157" s="155">
        <f>SUM(U147:U156)</f>
        <v>16728096.000000002</v>
      </c>
      <c r="V157" s="158">
        <f>SUM(V147:V156)</f>
        <v>44101344</v>
      </c>
      <c r="W157" s="310"/>
      <c r="X157" s="6" t="s">
        <v>96</v>
      </c>
      <c r="Y157" s="51" t="s">
        <v>66</v>
      </c>
      <c r="Z157" s="8" t="s">
        <v>66</v>
      </c>
      <c r="AA157" s="10">
        <f>SUMIF(AA147:AA156, "&lt;&gt;#DIV/0!")</f>
        <v>703570058.06550586</v>
      </c>
    </row>
    <row r="158" spans="1:31" ht="12" thickBot="1" x14ac:dyDescent="0.25">
      <c r="C158" s="310"/>
      <c r="D158" s="310"/>
      <c r="E158" s="310"/>
      <c r="F158" s="310"/>
      <c r="G158" s="310"/>
      <c r="I158" s="180">
        <v>0.05</v>
      </c>
      <c r="J158" s="310"/>
      <c r="L158" s="201"/>
      <c r="M158" s="310"/>
      <c r="N158" s="310"/>
      <c r="O158" s="310"/>
      <c r="P158" s="310"/>
      <c r="Q158" s="310"/>
      <c r="R158" s="310"/>
      <c r="S158" s="310"/>
      <c r="T158" s="310"/>
      <c r="U158" s="214">
        <v>0.27500000000000002</v>
      </c>
    </row>
    <row r="159" spans="1:31" x14ac:dyDescent="0.2">
      <c r="C159" s="310"/>
      <c r="D159" s="310"/>
      <c r="E159" s="310"/>
      <c r="F159" s="310"/>
      <c r="G159" s="310"/>
      <c r="H159" s="310"/>
      <c r="I159" s="310"/>
      <c r="J159" s="310"/>
      <c r="K159" s="201"/>
      <c r="L159" s="316"/>
      <c r="M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Z159" s="310"/>
      <c r="AA159" s="310"/>
      <c r="AB159" s="310"/>
      <c r="AC159" s="310"/>
      <c r="AD159" s="310"/>
      <c r="AE159" s="310"/>
    </row>
    <row r="160" spans="1:31" x14ac:dyDescent="0.2">
      <c r="X160" s="201"/>
      <c r="AA160" s="320"/>
      <c r="AB160" s="201"/>
    </row>
    <row r="161" spans="1:30" x14ac:dyDescent="0.2">
      <c r="E161" s="201"/>
    </row>
    <row r="162" spans="1:30" ht="12" thickBot="1" x14ac:dyDescent="0.25">
      <c r="A162" s="310"/>
      <c r="B162" s="310"/>
      <c r="C162" s="310"/>
      <c r="D162" s="310"/>
      <c r="E162" s="310"/>
      <c r="F162" s="310"/>
      <c r="G162" s="310"/>
      <c r="H162" s="310"/>
      <c r="I162" s="310"/>
      <c r="J162" s="310"/>
      <c r="K162" s="310"/>
      <c r="L162" s="310"/>
      <c r="M162" s="310"/>
      <c r="N162" s="310"/>
      <c r="O162" s="310"/>
      <c r="P162" s="310"/>
      <c r="Q162" s="310"/>
      <c r="R162" s="310"/>
      <c r="S162" s="310"/>
      <c r="T162" s="310"/>
      <c r="U162" s="310"/>
      <c r="V162" s="310"/>
      <c r="W162" s="310"/>
      <c r="X162" s="310"/>
      <c r="Y162" s="310"/>
      <c r="Z162" s="310"/>
      <c r="AA162" s="310"/>
      <c r="AB162" s="310"/>
      <c r="AC162" s="310"/>
    </row>
    <row r="163" spans="1:30" x14ac:dyDescent="0.2">
      <c r="A163" s="310"/>
      <c r="B163" s="575" t="s">
        <v>248</v>
      </c>
      <c r="C163" s="576"/>
      <c r="D163" s="576"/>
      <c r="E163" s="576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576"/>
      <c r="AA163" s="576"/>
      <c r="AB163" s="576"/>
      <c r="AC163" s="577"/>
      <c r="AD163" s="310"/>
    </row>
    <row r="164" spans="1:30" x14ac:dyDescent="0.2">
      <c r="A164" s="310"/>
      <c r="B164" s="578"/>
      <c r="C164" s="579"/>
      <c r="D164" s="579"/>
      <c r="E164" s="579"/>
      <c r="F164" s="579"/>
      <c r="G164" s="579"/>
      <c r="H164" s="579"/>
      <c r="I164" s="579"/>
      <c r="J164" s="579"/>
      <c r="K164" s="579"/>
      <c r="L164" s="579"/>
      <c r="M164" s="579"/>
      <c r="N164" s="579"/>
      <c r="O164" s="579"/>
      <c r="P164" s="579"/>
      <c r="Q164" s="579"/>
      <c r="R164" s="579"/>
      <c r="S164" s="579"/>
      <c r="T164" s="579"/>
      <c r="U164" s="579"/>
      <c r="V164" s="579"/>
      <c r="W164" s="579"/>
      <c r="X164" s="579"/>
      <c r="Y164" s="579"/>
      <c r="Z164" s="579"/>
      <c r="AA164" s="579"/>
      <c r="AB164" s="579"/>
      <c r="AC164" s="580"/>
      <c r="AD164" s="316"/>
    </row>
    <row r="165" spans="1:30" ht="15" x14ac:dyDescent="0.2">
      <c r="A165" s="310"/>
      <c r="B165" s="463" t="s">
        <v>247</v>
      </c>
      <c r="C165" s="466" t="s">
        <v>131</v>
      </c>
      <c r="D165" s="466"/>
      <c r="E165" s="466"/>
      <c r="F165" s="562" t="s">
        <v>100</v>
      </c>
      <c r="G165" s="562"/>
      <c r="H165" s="562"/>
      <c r="I165" s="562"/>
      <c r="J165" s="562" t="s">
        <v>102</v>
      </c>
      <c r="K165" s="562"/>
      <c r="L165" s="562"/>
      <c r="M165" s="562"/>
      <c r="N165" s="562" t="s">
        <v>104</v>
      </c>
      <c r="O165" s="562"/>
      <c r="P165" s="562"/>
      <c r="Q165" s="562"/>
      <c r="R165" s="562" t="s">
        <v>106</v>
      </c>
      <c r="S165" s="562"/>
      <c r="T165" s="562"/>
      <c r="U165" s="562"/>
      <c r="V165" s="562" t="s">
        <v>107</v>
      </c>
      <c r="W165" s="562"/>
      <c r="X165" s="562"/>
      <c r="Y165" s="562"/>
      <c r="Z165" s="562" t="s">
        <v>109</v>
      </c>
      <c r="AA165" s="562"/>
      <c r="AB165" s="562"/>
      <c r="AC165" s="581"/>
      <c r="AD165" s="310"/>
    </row>
    <row r="166" spans="1:30" ht="15" x14ac:dyDescent="0.2">
      <c r="A166" s="310"/>
      <c r="B166" s="463"/>
      <c r="C166" s="25" t="s">
        <v>66</v>
      </c>
      <c r="D166" s="52" t="s">
        <v>66</v>
      </c>
      <c r="E166" s="104" t="s">
        <v>132</v>
      </c>
      <c r="F166" s="53" t="s">
        <v>133</v>
      </c>
      <c r="G166" s="53" t="s">
        <v>134</v>
      </c>
      <c r="H166" s="53" t="s">
        <v>135</v>
      </c>
      <c r="I166" s="53" t="s">
        <v>136</v>
      </c>
      <c r="J166" s="53" t="s">
        <v>137</v>
      </c>
      <c r="K166" s="53" t="s">
        <v>138</v>
      </c>
      <c r="L166" s="53" t="s">
        <v>139</v>
      </c>
      <c r="M166" s="53" t="s">
        <v>140</v>
      </c>
      <c r="N166" s="53" t="s">
        <v>141</v>
      </c>
      <c r="O166" s="53" t="s">
        <v>142</v>
      </c>
      <c r="P166" s="53" t="s">
        <v>143</v>
      </c>
      <c r="Q166" s="53" t="s">
        <v>144</v>
      </c>
      <c r="R166" s="53" t="s">
        <v>145</v>
      </c>
      <c r="S166" s="53" t="s">
        <v>146</v>
      </c>
      <c r="T166" s="53" t="s">
        <v>147</v>
      </c>
      <c r="U166" s="53" t="s">
        <v>148</v>
      </c>
      <c r="V166" s="53" t="s">
        <v>149</v>
      </c>
      <c r="W166" s="53" t="s">
        <v>150</v>
      </c>
      <c r="X166" s="53" t="s">
        <v>151</v>
      </c>
      <c r="Y166" s="53" t="s">
        <v>152</v>
      </c>
      <c r="Z166" s="53" t="s">
        <v>153</v>
      </c>
      <c r="AA166" s="53" t="s">
        <v>154</v>
      </c>
      <c r="AB166" s="53" t="s">
        <v>155</v>
      </c>
      <c r="AC166" s="54" t="s">
        <v>156</v>
      </c>
      <c r="AD166" s="310"/>
    </row>
    <row r="167" spans="1:30" ht="22.5" x14ac:dyDescent="0.2">
      <c r="A167" s="310"/>
      <c r="B167" s="102" t="s">
        <v>208</v>
      </c>
      <c r="C167" s="25" t="s">
        <v>66</v>
      </c>
      <c r="D167" s="85" t="b">
        <f>E167=100%</f>
        <v>1</v>
      </c>
      <c r="E167" s="91">
        <f>SUM(F167:AC167)</f>
        <v>1</v>
      </c>
      <c r="F167" s="89">
        <f>F184/$C$184</f>
        <v>0</v>
      </c>
      <c r="G167" s="89">
        <f t="shared" ref="G167:AC167" si="107">G184/$C$184</f>
        <v>0</v>
      </c>
      <c r="H167" s="89">
        <f t="shared" si="107"/>
        <v>0</v>
      </c>
      <c r="I167" s="89">
        <f t="shared" si="107"/>
        <v>4.016754850088183E-3</v>
      </c>
      <c r="J167" s="89">
        <f t="shared" si="107"/>
        <v>1.3016975308641977E-2</v>
      </c>
      <c r="K167" s="89">
        <f t="shared" si="107"/>
        <v>2.8337136243386244E-2</v>
      </c>
      <c r="L167" s="89">
        <f t="shared" si="107"/>
        <v>4.8718912588183415E-2</v>
      </c>
      <c r="M167" s="89">
        <f t="shared" si="107"/>
        <v>6.2218875523589061E-2</v>
      </c>
      <c r="N167" s="89">
        <f t="shared" si="107"/>
        <v>0.10605112084848985</v>
      </c>
      <c r="O167" s="89">
        <f t="shared" si="107"/>
        <v>0.12312491222639717</v>
      </c>
      <c r="P167" s="89">
        <f t="shared" si="107"/>
        <v>0.15152529786306809</v>
      </c>
      <c r="Q167" s="89">
        <f t="shared" si="107"/>
        <v>0.22067168302726609</v>
      </c>
      <c r="R167" s="89">
        <f t="shared" si="107"/>
        <v>0.24231833152088991</v>
      </c>
      <c r="S167" s="89">
        <f t="shared" si="107"/>
        <v>5.2323707977550954E-17</v>
      </c>
      <c r="T167" s="89">
        <f t="shared" si="107"/>
        <v>1.1618197066088011E-32</v>
      </c>
      <c r="U167" s="89">
        <f t="shared" si="107"/>
        <v>2.5797579774806702E-48</v>
      </c>
      <c r="V167" s="89">
        <f t="shared" si="107"/>
        <v>5.7282134091189322E-64</v>
      </c>
      <c r="W167" s="89">
        <f t="shared" si="107"/>
        <v>1.27191888335408E-79</v>
      </c>
      <c r="X167" s="89">
        <f t="shared" si="107"/>
        <v>2.8242272595104368E-95</v>
      </c>
      <c r="Y167" s="89">
        <f t="shared" si="107"/>
        <v>6.2710442605649881E-111</v>
      </c>
      <c r="Z167" s="89">
        <f t="shared" si="107"/>
        <v>1.3924515453045379E-126</v>
      </c>
      <c r="AA167" s="89">
        <f t="shared" si="107"/>
        <v>3.0918635325439545E-142</v>
      </c>
      <c r="AB167" s="89">
        <f t="shared" si="107"/>
        <v>6.8653161656583405E-158</v>
      </c>
      <c r="AC167" s="90">
        <f t="shared" si="107"/>
        <v>1.524406415689037E-173</v>
      </c>
      <c r="AD167" s="315"/>
    </row>
    <row r="168" spans="1:30" ht="22.5" x14ac:dyDescent="0.2">
      <c r="A168" s="310"/>
      <c r="B168" s="102" t="s">
        <v>157</v>
      </c>
      <c r="C168" s="25" t="s">
        <v>66</v>
      </c>
      <c r="D168" s="85" t="b">
        <f t="shared" ref="D168:D172" si="108">E168=100%</f>
        <v>1</v>
      </c>
      <c r="E168" s="91">
        <f t="shared" ref="E168:E174" si="109">SUM(F168:AC168)</f>
        <v>1</v>
      </c>
      <c r="F168" s="89">
        <f t="shared" ref="F168:AC168" si="110">F189/$E$189</f>
        <v>0</v>
      </c>
      <c r="G168" s="89">
        <f t="shared" si="110"/>
        <v>0</v>
      </c>
      <c r="H168" s="89">
        <f t="shared" si="110"/>
        <v>0</v>
      </c>
      <c r="I168" s="89">
        <f t="shared" ref="I168:R168" si="111">I189/$E$189</f>
        <v>0.10403075075921632</v>
      </c>
      <c r="J168" s="89">
        <f t="shared" si="111"/>
        <v>0.11581952370807383</v>
      </c>
      <c r="K168" s="89">
        <f t="shared" si="111"/>
        <v>0.11271721503732185</v>
      </c>
      <c r="L168" s="89">
        <f t="shared" si="111"/>
        <v>0.10754670058606856</v>
      </c>
      <c r="M168" s="89">
        <f t="shared" si="111"/>
        <v>0.10961490636656988</v>
      </c>
      <c r="N168" s="89">
        <f t="shared" si="111"/>
        <v>7.6937255034649044E-2</v>
      </c>
      <c r="O168" s="89">
        <f t="shared" si="111"/>
        <v>7.3628125785846932E-2</v>
      </c>
      <c r="P168" s="89">
        <f t="shared" si="111"/>
        <v>6.6596226132142458E-2</v>
      </c>
      <c r="Q168" s="89">
        <f t="shared" si="111"/>
        <v>8.3762334110303399E-2</v>
      </c>
      <c r="R168" s="89">
        <f t="shared" si="111"/>
        <v>0.13277881110818465</v>
      </c>
      <c r="S168" s="89">
        <f t="shared" si="110"/>
        <v>1.6568151371623076E-2</v>
      </c>
      <c r="T168" s="89">
        <f t="shared" si="110"/>
        <v>0</v>
      </c>
      <c r="U168" s="89">
        <f t="shared" si="110"/>
        <v>0</v>
      </c>
      <c r="V168" s="89">
        <f t="shared" si="110"/>
        <v>0</v>
      </c>
      <c r="W168" s="89">
        <f t="shared" si="110"/>
        <v>0</v>
      </c>
      <c r="X168" s="89">
        <f t="shared" si="110"/>
        <v>0</v>
      </c>
      <c r="Y168" s="89">
        <f t="shared" si="110"/>
        <v>0</v>
      </c>
      <c r="Z168" s="89">
        <f t="shared" si="110"/>
        <v>0</v>
      </c>
      <c r="AA168" s="89">
        <f t="shared" si="110"/>
        <v>0</v>
      </c>
      <c r="AB168" s="89">
        <f t="shared" si="110"/>
        <v>0</v>
      </c>
      <c r="AC168" s="90">
        <f t="shared" si="110"/>
        <v>0</v>
      </c>
      <c r="AD168" s="315"/>
    </row>
    <row r="169" spans="1:30" ht="22.5" x14ac:dyDescent="0.2">
      <c r="A169" s="310"/>
      <c r="B169" s="102" t="s">
        <v>158</v>
      </c>
      <c r="C169" s="25" t="s">
        <v>66</v>
      </c>
      <c r="D169" s="85" t="b">
        <f t="shared" si="108"/>
        <v>1</v>
      </c>
      <c r="E169" s="91">
        <f t="shared" si="109"/>
        <v>1</v>
      </c>
      <c r="F169" s="89">
        <f>F191/$E$191</f>
        <v>0</v>
      </c>
      <c r="G169" s="89">
        <f t="shared" ref="G169:AC169" si="112">G191/$E$191</f>
        <v>0</v>
      </c>
      <c r="H169" s="89">
        <f t="shared" si="112"/>
        <v>0</v>
      </c>
      <c r="I169" s="89">
        <f t="shared" si="112"/>
        <v>0</v>
      </c>
      <c r="J169" s="89">
        <f t="shared" si="112"/>
        <v>0</v>
      </c>
      <c r="K169" s="89">
        <f t="shared" si="112"/>
        <v>0</v>
      </c>
      <c r="L169" s="89">
        <f t="shared" si="112"/>
        <v>0</v>
      </c>
      <c r="M169" s="89">
        <f t="shared" si="112"/>
        <v>0</v>
      </c>
      <c r="N169" s="89">
        <f t="shared" si="112"/>
        <v>0</v>
      </c>
      <c r="O169" s="89">
        <f t="shared" si="112"/>
        <v>0</v>
      </c>
      <c r="P169" s="89">
        <f t="shared" si="112"/>
        <v>0</v>
      </c>
      <c r="Q169" s="89">
        <f t="shared" si="112"/>
        <v>0</v>
      </c>
      <c r="R169" s="89">
        <f t="shared" si="112"/>
        <v>0</v>
      </c>
      <c r="S169" s="89">
        <f t="shared" si="112"/>
        <v>6.4481306947988259E-2</v>
      </c>
      <c r="T169" s="89">
        <f>T191/$E$191</f>
        <v>6.4481306947988259E-2</v>
      </c>
      <c r="U169" s="89">
        <f>U191/$E$191</f>
        <v>0.15372931791739658</v>
      </c>
      <c r="V169" s="89">
        <f>V191/$E$191</f>
        <v>0.15372931791739658</v>
      </c>
      <c r="W169" s="89">
        <f>W191/$E$191</f>
        <v>0.56357875026923032</v>
      </c>
      <c r="X169" s="89">
        <f t="shared" si="112"/>
        <v>0</v>
      </c>
      <c r="Y169" s="89">
        <f t="shared" si="112"/>
        <v>0</v>
      </c>
      <c r="Z169" s="89">
        <f t="shared" si="112"/>
        <v>0</v>
      </c>
      <c r="AA169" s="89">
        <f t="shared" si="112"/>
        <v>0</v>
      </c>
      <c r="AB169" s="89">
        <f t="shared" si="112"/>
        <v>0</v>
      </c>
      <c r="AC169" s="90">
        <f t="shared" si="112"/>
        <v>0</v>
      </c>
      <c r="AD169" s="315"/>
    </row>
    <row r="170" spans="1:30" ht="22.5" x14ac:dyDescent="0.2">
      <c r="A170" s="310"/>
      <c r="B170" s="102" t="s">
        <v>159</v>
      </c>
      <c r="C170" s="25" t="s">
        <v>66</v>
      </c>
      <c r="D170" s="85" t="b">
        <f t="shared" si="108"/>
        <v>1</v>
      </c>
      <c r="E170" s="91">
        <f t="shared" si="109"/>
        <v>0.99999999999999989</v>
      </c>
      <c r="F170" s="89">
        <f t="shared" ref="F170:AC170" si="113">F214/$C$214</f>
        <v>6.6666666666666666E-2</v>
      </c>
      <c r="G170" s="89">
        <f t="shared" si="113"/>
        <v>6.6666666666666666E-2</v>
      </c>
      <c r="H170" s="89">
        <f t="shared" si="113"/>
        <v>6.6666666666666666E-2</v>
      </c>
      <c r="I170" s="89">
        <f t="shared" si="113"/>
        <v>6.6666666666666666E-2</v>
      </c>
      <c r="J170" s="89">
        <f t="shared" si="113"/>
        <v>6.6666666666666666E-2</v>
      </c>
      <c r="K170" s="89">
        <f t="shared" si="113"/>
        <v>6.6666666666666666E-2</v>
      </c>
      <c r="L170" s="89">
        <f t="shared" si="113"/>
        <v>6.6666666666666666E-2</v>
      </c>
      <c r="M170" s="89">
        <f t="shared" si="113"/>
        <v>6.6666666666666666E-2</v>
      </c>
      <c r="N170" s="89">
        <f t="shared" si="113"/>
        <v>6.6666666666666666E-2</v>
      </c>
      <c r="O170" s="89">
        <f t="shared" si="113"/>
        <v>6.6666666666666666E-2</v>
      </c>
      <c r="P170" s="89">
        <f t="shared" si="113"/>
        <v>6.6666666666666666E-2</v>
      </c>
      <c r="Q170" s="89">
        <f t="shared" si="113"/>
        <v>6.6666666666666666E-2</v>
      </c>
      <c r="R170" s="89">
        <f t="shared" si="113"/>
        <v>6.6666666666666666E-2</v>
      </c>
      <c r="S170" s="89">
        <f t="shared" si="113"/>
        <v>6.6666666666666666E-2</v>
      </c>
      <c r="T170" s="89">
        <f t="shared" si="113"/>
        <v>6.6666666666666666E-2</v>
      </c>
      <c r="U170" s="89">
        <f t="shared" si="113"/>
        <v>0</v>
      </c>
      <c r="V170" s="89">
        <f t="shared" si="113"/>
        <v>0</v>
      </c>
      <c r="W170" s="89">
        <f t="shared" si="113"/>
        <v>0</v>
      </c>
      <c r="X170" s="89">
        <f t="shared" si="113"/>
        <v>0</v>
      </c>
      <c r="Y170" s="89">
        <f t="shared" si="113"/>
        <v>0</v>
      </c>
      <c r="Z170" s="89">
        <f t="shared" si="113"/>
        <v>0</v>
      </c>
      <c r="AA170" s="89">
        <f t="shared" si="113"/>
        <v>0</v>
      </c>
      <c r="AB170" s="89">
        <f t="shared" si="113"/>
        <v>0</v>
      </c>
      <c r="AC170" s="90">
        <f t="shared" si="113"/>
        <v>0</v>
      </c>
      <c r="AD170" s="315"/>
    </row>
    <row r="171" spans="1:30" ht="22.5" x14ac:dyDescent="0.2">
      <c r="A171" s="310"/>
      <c r="B171" s="102" t="s">
        <v>210</v>
      </c>
      <c r="C171" s="25" t="s">
        <v>66</v>
      </c>
      <c r="D171" s="85" t="b">
        <f>E171=100%</f>
        <v>1</v>
      </c>
      <c r="E171" s="91">
        <f t="shared" si="109"/>
        <v>1</v>
      </c>
      <c r="F171" s="55">
        <v>0</v>
      </c>
      <c r="G171" s="55">
        <v>0</v>
      </c>
      <c r="H171" s="55">
        <v>0</v>
      </c>
      <c r="I171" s="55">
        <v>0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0.15</v>
      </c>
      <c r="P171" s="55">
        <v>0.25</v>
      </c>
      <c r="Q171" s="55">
        <v>0.25</v>
      </c>
      <c r="R171" s="55">
        <v>0.35</v>
      </c>
      <c r="S171" s="55">
        <v>0</v>
      </c>
      <c r="T171" s="55">
        <v>0</v>
      </c>
      <c r="U171" s="55">
        <v>0</v>
      </c>
      <c r="V171" s="55">
        <v>0</v>
      </c>
      <c r="W171" s="55">
        <v>0</v>
      </c>
      <c r="X171" s="55">
        <v>0</v>
      </c>
      <c r="Y171" s="55">
        <v>0</v>
      </c>
      <c r="Z171" s="55">
        <v>0</v>
      </c>
      <c r="AA171" s="55">
        <v>0</v>
      </c>
      <c r="AB171" s="55">
        <v>0</v>
      </c>
      <c r="AC171" s="56">
        <v>0</v>
      </c>
      <c r="AD171" s="315"/>
    </row>
    <row r="172" spans="1:30" ht="22.5" x14ac:dyDescent="0.2">
      <c r="A172" s="310"/>
      <c r="B172" s="102" t="s">
        <v>211</v>
      </c>
      <c r="C172" s="25" t="s">
        <v>66</v>
      </c>
      <c r="D172" s="85" t="b">
        <f t="shared" si="108"/>
        <v>1</v>
      </c>
      <c r="E172" s="91">
        <f t="shared" si="109"/>
        <v>0.99999999999999989</v>
      </c>
      <c r="F172" s="55">
        <v>0</v>
      </c>
      <c r="G172" s="55">
        <v>0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0.15</v>
      </c>
      <c r="T172" s="55">
        <v>0.2</v>
      </c>
      <c r="U172" s="55">
        <v>0.3</v>
      </c>
      <c r="V172" s="55">
        <v>0.35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6">
        <v>0</v>
      </c>
      <c r="AD172" s="315"/>
    </row>
    <row r="173" spans="1:30" ht="22.5" x14ac:dyDescent="0.2">
      <c r="A173" s="310"/>
      <c r="B173" s="102" t="s">
        <v>160</v>
      </c>
      <c r="C173" s="25" t="s">
        <v>66</v>
      </c>
      <c r="D173" s="85" t="b">
        <f>E173=100%</f>
        <v>1</v>
      </c>
      <c r="E173" s="91">
        <f t="shared" si="109"/>
        <v>1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0.05</v>
      </c>
      <c r="T173" s="55">
        <v>0.1</v>
      </c>
      <c r="U173" s="55">
        <v>0.2</v>
      </c>
      <c r="V173" s="55">
        <v>0.3</v>
      </c>
      <c r="W173" s="55">
        <v>0.25</v>
      </c>
      <c r="X173" s="55">
        <v>0.1</v>
      </c>
      <c r="Y173" s="55">
        <v>0</v>
      </c>
      <c r="Z173" s="55">
        <v>0</v>
      </c>
      <c r="AA173" s="55">
        <v>0</v>
      </c>
      <c r="AB173" s="55">
        <v>0</v>
      </c>
      <c r="AC173" s="56">
        <v>0</v>
      </c>
      <c r="AD173" s="315"/>
    </row>
    <row r="174" spans="1:30" ht="22.5" x14ac:dyDescent="0.2">
      <c r="A174" s="310"/>
      <c r="B174" s="102" t="s">
        <v>161</v>
      </c>
      <c r="C174" s="25" t="s">
        <v>66</v>
      </c>
      <c r="D174" s="85" t="b">
        <f>E174=100%</f>
        <v>0</v>
      </c>
      <c r="E174" s="91">
        <f t="shared" si="109"/>
        <v>2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1</v>
      </c>
      <c r="T174" s="55">
        <v>0</v>
      </c>
      <c r="U174" s="55">
        <v>0</v>
      </c>
      <c r="V174" s="55">
        <v>0</v>
      </c>
      <c r="W174" s="55">
        <v>1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6">
        <v>0</v>
      </c>
      <c r="AD174" s="315"/>
    </row>
    <row r="175" spans="1:30" ht="23.25" thickBot="1" x14ac:dyDescent="0.25">
      <c r="A175" s="310"/>
      <c r="B175" s="57" t="s">
        <v>162</v>
      </c>
      <c r="C175" s="58" t="s">
        <v>66</v>
      </c>
      <c r="D175" s="86" t="b">
        <f>E175=100%</f>
        <v>1</v>
      </c>
      <c r="E175" s="59">
        <f>SUM(F175:AC175)</f>
        <v>0.99999999999999978</v>
      </c>
      <c r="F175" s="60">
        <v>0</v>
      </c>
      <c r="G175" s="60">
        <v>0</v>
      </c>
      <c r="H175" s="60">
        <v>0</v>
      </c>
      <c r="I175" s="60">
        <v>0.15</v>
      </c>
      <c r="J175" s="60">
        <v>0.1</v>
      </c>
      <c r="K175" s="60">
        <v>0.1</v>
      </c>
      <c r="L175" s="60">
        <v>0.1</v>
      </c>
      <c r="M175" s="60">
        <v>0.1</v>
      </c>
      <c r="N175" s="60">
        <v>0.08</v>
      </c>
      <c r="O175" s="60">
        <v>0.08</v>
      </c>
      <c r="P175" s="60">
        <v>0.08</v>
      </c>
      <c r="Q175" s="60">
        <v>0.08</v>
      </c>
      <c r="R175" s="60">
        <v>0.13</v>
      </c>
      <c r="S175" s="60">
        <v>0</v>
      </c>
      <c r="T175" s="60">
        <v>0</v>
      </c>
      <c r="U175" s="60">
        <v>0</v>
      </c>
      <c r="V175" s="60">
        <v>0</v>
      </c>
      <c r="W175" s="60">
        <v>0</v>
      </c>
      <c r="X175" s="60">
        <v>0</v>
      </c>
      <c r="Y175" s="60">
        <v>0</v>
      </c>
      <c r="Z175" s="60">
        <v>0</v>
      </c>
      <c r="AA175" s="60">
        <v>0</v>
      </c>
      <c r="AB175" s="60">
        <v>0</v>
      </c>
      <c r="AC175" s="61">
        <v>0</v>
      </c>
      <c r="AD175" s="315"/>
    </row>
    <row r="176" spans="1:30" ht="12" thickBot="1" x14ac:dyDescent="0.25">
      <c r="A176" s="310"/>
      <c r="AD176" s="315"/>
    </row>
    <row r="177" spans="1:30" x14ac:dyDescent="0.2">
      <c r="A177" s="310"/>
      <c r="B177" s="573" t="s">
        <v>163</v>
      </c>
      <c r="C177" s="574"/>
      <c r="D177" s="574"/>
      <c r="E177" s="62" t="s">
        <v>164</v>
      </c>
      <c r="F177" s="63">
        <v>46023</v>
      </c>
      <c r="G177" s="63">
        <f>EOMONTH(F177,3)</f>
        <v>46142</v>
      </c>
      <c r="H177" s="63">
        <f t="shared" ref="H177:AC177" si="114">EOMONTH(G177,3)</f>
        <v>46234</v>
      </c>
      <c r="I177" s="63">
        <f t="shared" si="114"/>
        <v>46326</v>
      </c>
      <c r="J177" s="63">
        <f t="shared" si="114"/>
        <v>46418</v>
      </c>
      <c r="K177" s="63">
        <f t="shared" si="114"/>
        <v>46507</v>
      </c>
      <c r="L177" s="63">
        <f t="shared" si="114"/>
        <v>46599</v>
      </c>
      <c r="M177" s="63">
        <f t="shared" si="114"/>
        <v>46691</v>
      </c>
      <c r="N177" s="63">
        <f t="shared" si="114"/>
        <v>46783</v>
      </c>
      <c r="O177" s="63">
        <f t="shared" si="114"/>
        <v>46873</v>
      </c>
      <c r="P177" s="63">
        <f t="shared" si="114"/>
        <v>46965</v>
      </c>
      <c r="Q177" s="63">
        <f t="shared" si="114"/>
        <v>47057</v>
      </c>
      <c r="R177" s="63">
        <f t="shared" si="114"/>
        <v>47149</v>
      </c>
      <c r="S177" s="63">
        <f t="shared" si="114"/>
        <v>47238</v>
      </c>
      <c r="T177" s="63">
        <f t="shared" si="114"/>
        <v>47330</v>
      </c>
      <c r="U177" s="63">
        <f t="shared" si="114"/>
        <v>47422</v>
      </c>
      <c r="V177" s="63">
        <f t="shared" si="114"/>
        <v>47514</v>
      </c>
      <c r="W177" s="63">
        <f t="shared" si="114"/>
        <v>47603</v>
      </c>
      <c r="X177" s="63">
        <f t="shared" si="114"/>
        <v>47695</v>
      </c>
      <c r="Y177" s="63">
        <f t="shared" si="114"/>
        <v>47787</v>
      </c>
      <c r="Z177" s="63">
        <f t="shared" si="114"/>
        <v>47879</v>
      </c>
      <c r="AA177" s="63">
        <f t="shared" si="114"/>
        <v>47968</v>
      </c>
      <c r="AB177" s="63">
        <f t="shared" si="114"/>
        <v>48060</v>
      </c>
      <c r="AC177" s="64">
        <f t="shared" si="114"/>
        <v>48152</v>
      </c>
      <c r="AD177" s="315"/>
    </row>
    <row r="178" spans="1:30" x14ac:dyDescent="0.2">
      <c r="A178" s="310"/>
      <c r="B178" s="558" t="s">
        <v>213</v>
      </c>
      <c r="C178" s="559"/>
      <c r="D178" s="559"/>
      <c r="E178" s="559"/>
      <c r="F178" s="104">
        <f>F189</f>
        <v>0</v>
      </c>
      <c r="G178" s="104">
        <f t="shared" ref="G178:AC178" si="115">F178+G189+G191</f>
        <v>0</v>
      </c>
      <c r="H178" s="104">
        <f t="shared" si="115"/>
        <v>0</v>
      </c>
      <c r="I178" s="104">
        <f t="shared" ref="I178:R178" si="116">H178+I189+I191</f>
        <v>50300000</v>
      </c>
      <c r="J178" s="104">
        <f t="shared" si="116"/>
        <v>106300000</v>
      </c>
      <c r="K178" s="104">
        <f t="shared" si="116"/>
        <v>160800000</v>
      </c>
      <c r="L178" s="104">
        <f t="shared" si="116"/>
        <v>212800000</v>
      </c>
      <c r="M178" s="104">
        <f t="shared" si="116"/>
        <v>265800000</v>
      </c>
      <c r="N178" s="104">
        <f t="shared" si="116"/>
        <v>303000000</v>
      </c>
      <c r="O178" s="104">
        <f t="shared" si="116"/>
        <v>338600000</v>
      </c>
      <c r="P178" s="104">
        <f t="shared" si="116"/>
        <v>370800000</v>
      </c>
      <c r="Q178" s="104">
        <f t="shared" si="116"/>
        <v>411300000</v>
      </c>
      <c r="R178" s="104">
        <f t="shared" si="116"/>
        <v>475500000</v>
      </c>
      <c r="S178" s="104">
        <f t="shared" si="115"/>
        <v>452333467.91306651</v>
      </c>
      <c r="T178" s="104">
        <f t="shared" si="115"/>
        <v>421156054.35204339</v>
      </c>
      <c r="U178" s="104">
        <f t="shared" si="115"/>
        <v>346826256.33739239</v>
      </c>
      <c r="V178" s="104">
        <f t="shared" si="115"/>
        <v>272496458.32274139</v>
      </c>
      <c r="W178" s="104">
        <f t="shared" si="115"/>
        <v>0</v>
      </c>
      <c r="X178" s="104">
        <f t="shared" si="115"/>
        <v>0</v>
      </c>
      <c r="Y178" s="104">
        <f t="shared" si="115"/>
        <v>0</v>
      </c>
      <c r="Z178" s="104">
        <f t="shared" si="115"/>
        <v>0</v>
      </c>
      <c r="AA178" s="104">
        <f t="shared" si="115"/>
        <v>0</v>
      </c>
      <c r="AB178" s="104">
        <f t="shared" si="115"/>
        <v>0</v>
      </c>
      <c r="AC178" s="105">
        <f t="shared" si="115"/>
        <v>0</v>
      </c>
      <c r="AD178" s="315"/>
    </row>
    <row r="179" spans="1:30" ht="22.5" x14ac:dyDescent="0.2">
      <c r="A179" s="310"/>
      <c r="B179" s="102" t="s">
        <v>5</v>
      </c>
      <c r="C179" s="104" t="s">
        <v>165</v>
      </c>
      <c r="D179" s="52" t="s">
        <v>66</v>
      </c>
      <c r="E179" s="104" t="s">
        <v>241</v>
      </c>
      <c r="F179" s="53" t="s">
        <v>133</v>
      </c>
      <c r="G179" s="53" t="s">
        <v>134</v>
      </c>
      <c r="H179" s="53" t="s">
        <v>135</v>
      </c>
      <c r="I179" s="53" t="s">
        <v>136</v>
      </c>
      <c r="J179" s="53" t="s">
        <v>137</v>
      </c>
      <c r="K179" s="53" t="s">
        <v>138</v>
      </c>
      <c r="L179" s="53" t="s">
        <v>139</v>
      </c>
      <c r="M179" s="53" t="s">
        <v>140</v>
      </c>
      <c r="N179" s="53" t="s">
        <v>141</v>
      </c>
      <c r="O179" s="53" t="s">
        <v>142</v>
      </c>
      <c r="P179" s="53" t="s">
        <v>143</v>
      </c>
      <c r="Q179" s="53" t="s">
        <v>144</v>
      </c>
      <c r="R179" s="53" t="s">
        <v>145</v>
      </c>
      <c r="S179" s="53" t="s">
        <v>146</v>
      </c>
      <c r="T179" s="53" t="s">
        <v>147</v>
      </c>
      <c r="U179" s="53" t="s">
        <v>148</v>
      </c>
      <c r="V179" s="53" t="s">
        <v>149</v>
      </c>
      <c r="W179" s="53" t="s">
        <v>150</v>
      </c>
      <c r="X179" s="53" t="s">
        <v>151</v>
      </c>
      <c r="Y179" s="53" t="s">
        <v>152</v>
      </c>
      <c r="Z179" s="53" t="s">
        <v>153</v>
      </c>
      <c r="AA179" s="53" t="s">
        <v>154</v>
      </c>
      <c r="AB179" s="53" t="s">
        <v>155</v>
      </c>
      <c r="AC179" s="54" t="s">
        <v>156</v>
      </c>
      <c r="AD179" s="315"/>
    </row>
    <row r="180" spans="1:30" ht="22.5" x14ac:dyDescent="0.2">
      <c r="A180" s="310"/>
      <c r="B180" s="65" t="s">
        <v>11</v>
      </c>
      <c r="C180" s="149">
        <f>H19</f>
        <v>160000000</v>
      </c>
      <c r="D180" s="85" t="b">
        <f>IF(ABS(E180 - C180) &lt; MAX(0.00001, E180 * 0.00001), TRUE, FALSE)</f>
        <v>1</v>
      </c>
      <c r="E180" s="149">
        <f>SUM(F180:AC180)</f>
        <v>160000000</v>
      </c>
      <c r="F180" s="103">
        <f>C180</f>
        <v>160000000</v>
      </c>
      <c r="G180" s="103">
        <v>0</v>
      </c>
      <c r="H180" s="103">
        <v>0</v>
      </c>
      <c r="I180" s="103">
        <v>0</v>
      </c>
      <c r="J180" s="103">
        <v>0</v>
      </c>
      <c r="K180" s="103">
        <v>0</v>
      </c>
      <c r="L180" s="103">
        <v>0</v>
      </c>
      <c r="M180" s="103">
        <v>0</v>
      </c>
      <c r="N180" s="103">
        <v>0</v>
      </c>
      <c r="O180" s="103">
        <v>0</v>
      </c>
      <c r="P180" s="103">
        <v>0</v>
      </c>
      <c r="Q180" s="103">
        <v>0</v>
      </c>
      <c r="R180" s="103">
        <v>0</v>
      </c>
      <c r="S180" s="103">
        <v>0</v>
      </c>
      <c r="T180" s="103">
        <v>0</v>
      </c>
      <c r="U180" s="103">
        <v>0</v>
      </c>
      <c r="V180" s="103">
        <v>0</v>
      </c>
      <c r="W180" s="103">
        <v>0</v>
      </c>
      <c r="X180" s="103">
        <v>0</v>
      </c>
      <c r="Y180" s="103">
        <v>0</v>
      </c>
      <c r="Z180" s="103">
        <v>0</v>
      </c>
      <c r="AA180" s="103">
        <v>0</v>
      </c>
      <c r="AB180" s="103">
        <v>0</v>
      </c>
      <c r="AC180" s="87">
        <v>0</v>
      </c>
      <c r="AD180" s="315"/>
    </row>
    <row r="181" spans="1:30" ht="22.5" x14ac:dyDescent="0.2">
      <c r="A181" s="310"/>
      <c r="B181" s="65" t="s">
        <v>15</v>
      </c>
      <c r="C181" s="149">
        <f>H21</f>
        <v>35223532.966391452</v>
      </c>
      <c r="D181" s="85" t="b">
        <f t="shared" ref="D181:D187" si="117">IF(ABS(E181 - C181) &lt; MAX(0.00001, E181 * 0.00001), TRUE, FALSE)</f>
        <v>1</v>
      </c>
      <c r="E181" s="149">
        <f t="shared" ref="E181:E187" si="118">SUM(F181:AC181)</f>
        <v>35223532.966391452</v>
      </c>
      <c r="F181" s="103">
        <f>C181</f>
        <v>35223532.966391452</v>
      </c>
      <c r="G181" s="141">
        <v>0</v>
      </c>
      <c r="H181" s="141">
        <v>0</v>
      </c>
      <c r="I181" s="141">
        <v>0</v>
      </c>
      <c r="J181" s="141">
        <v>0</v>
      </c>
      <c r="K181" s="141">
        <v>0</v>
      </c>
      <c r="L181" s="141">
        <v>0</v>
      </c>
      <c r="M181" s="141">
        <v>0</v>
      </c>
      <c r="N181" s="141">
        <v>0</v>
      </c>
      <c r="O181" s="141">
        <v>0</v>
      </c>
      <c r="P181" s="141">
        <v>0</v>
      </c>
      <c r="Q181" s="141">
        <v>0</v>
      </c>
      <c r="R181" s="141">
        <v>0</v>
      </c>
      <c r="S181" s="141">
        <v>0</v>
      </c>
      <c r="T181" s="141">
        <v>0</v>
      </c>
      <c r="U181" s="141">
        <v>0</v>
      </c>
      <c r="V181" s="141">
        <v>0</v>
      </c>
      <c r="W181" s="141">
        <v>0</v>
      </c>
      <c r="X181" s="141">
        <v>0</v>
      </c>
      <c r="Y181" s="141">
        <v>0</v>
      </c>
      <c r="Z181" s="141">
        <v>0</v>
      </c>
      <c r="AA181" s="141">
        <v>0</v>
      </c>
      <c r="AB181" s="141">
        <v>0</v>
      </c>
      <c r="AC181" s="142">
        <v>0</v>
      </c>
      <c r="AD181" s="315"/>
    </row>
    <row r="182" spans="1:30" ht="22.5" x14ac:dyDescent="0.2">
      <c r="A182" s="310"/>
      <c r="B182" s="65" t="s">
        <v>17</v>
      </c>
      <c r="C182" s="149">
        <f>H22</f>
        <v>24981924.542399999</v>
      </c>
      <c r="D182" s="85" t="b">
        <f t="shared" si="117"/>
        <v>1</v>
      </c>
      <c r="E182" s="149">
        <f>SUM(F182:AC182)</f>
        <v>24981924.542399999</v>
      </c>
      <c r="F182" s="103">
        <f>((-$D$104*F196)+(-$E$104*F196))*$K$22</f>
        <v>0</v>
      </c>
      <c r="G182" s="103">
        <f t="shared" ref="G182:AC182" si="119">((-$D$104*G196)+(-$E$104*G196))*$K$22</f>
        <v>0</v>
      </c>
      <c r="H182" s="103">
        <f t="shared" si="119"/>
        <v>0</v>
      </c>
      <c r="I182" s="103">
        <f t="shared" si="119"/>
        <v>3747288.6813599993</v>
      </c>
      <c r="J182" s="103">
        <f t="shared" si="119"/>
        <v>2498192.4542399999</v>
      </c>
      <c r="K182" s="103">
        <f t="shared" si="119"/>
        <v>2498192.4542399999</v>
      </c>
      <c r="L182" s="103">
        <f t="shared" si="119"/>
        <v>2498192.4542399999</v>
      </c>
      <c r="M182" s="103">
        <f t="shared" si="119"/>
        <v>2498192.4542399999</v>
      </c>
      <c r="N182" s="103">
        <f t="shared" si="119"/>
        <v>1998553.9633919997</v>
      </c>
      <c r="O182" s="103">
        <f t="shared" si="119"/>
        <v>1998553.9633919997</v>
      </c>
      <c r="P182" s="103">
        <f t="shared" si="119"/>
        <v>1998553.9633919997</v>
      </c>
      <c r="Q182" s="103">
        <f t="shared" si="119"/>
        <v>1998553.9633919997</v>
      </c>
      <c r="R182" s="103">
        <f t="shared" si="119"/>
        <v>3247650.1905119992</v>
      </c>
      <c r="S182" s="103">
        <f t="shared" si="119"/>
        <v>0</v>
      </c>
      <c r="T182" s="103">
        <f t="shared" si="119"/>
        <v>0</v>
      </c>
      <c r="U182" s="103">
        <f t="shared" si="119"/>
        <v>0</v>
      </c>
      <c r="V182" s="103">
        <f t="shared" si="119"/>
        <v>0</v>
      </c>
      <c r="W182" s="103">
        <f t="shared" si="119"/>
        <v>0</v>
      </c>
      <c r="X182" s="103">
        <f t="shared" si="119"/>
        <v>0</v>
      </c>
      <c r="Y182" s="103">
        <f t="shared" si="119"/>
        <v>0</v>
      </c>
      <c r="Z182" s="103">
        <f t="shared" si="119"/>
        <v>0</v>
      </c>
      <c r="AA182" s="103">
        <f t="shared" si="119"/>
        <v>0</v>
      </c>
      <c r="AB182" s="103">
        <f t="shared" si="119"/>
        <v>0</v>
      </c>
      <c r="AC182" s="142">
        <f t="shared" si="119"/>
        <v>0</v>
      </c>
      <c r="AD182" s="315"/>
    </row>
    <row r="183" spans="1:30" ht="22.5" x14ac:dyDescent="0.2">
      <c r="A183" s="310"/>
      <c r="B183" s="65" t="s">
        <v>20</v>
      </c>
      <c r="C183" s="149">
        <f>H23</f>
        <v>113533560</v>
      </c>
      <c r="D183" s="85" t="b">
        <f t="shared" si="117"/>
        <v>1</v>
      </c>
      <c r="E183" s="149">
        <f>SUM(F183:AC183)</f>
        <v>113533560</v>
      </c>
      <c r="F183" s="103">
        <f>C183</f>
        <v>113533560</v>
      </c>
      <c r="G183" s="141">
        <v>0</v>
      </c>
      <c r="H183" s="141">
        <v>0</v>
      </c>
      <c r="I183" s="141">
        <v>0</v>
      </c>
      <c r="J183" s="141">
        <v>0</v>
      </c>
      <c r="K183" s="141">
        <v>0</v>
      </c>
      <c r="L183" s="141">
        <v>0</v>
      </c>
      <c r="M183" s="141">
        <v>0</v>
      </c>
      <c r="N183" s="141">
        <v>0</v>
      </c>
      <c r="O183" s="141">
        <v>0</v>
      </c>
      <c r="P183" s="141">
        <v>0</v>
      </c>
      <c r="Q183" s="141">
        <v>0</v>
      </c>
      <c r="R183" s="141">
        <v>0</v>
      </c>
      <c r="S183" s="141">
        <v>0</v>
      </c>
      <c r="T183" s="141">
        <v>0</v>
      </c>
      <c r="U183" s="141">
        <v>0</v>
      </c>
      <c r="V183" s="141">
        <v>0</v>
      </c>
      <c r="W183" s="141">
        <v>0</v>
      </c>
      <c r="X183" s="141">
        <v>0</v>
      </c>
      <c r="Y183" s="141">
        <v>0</v>
      </c>
      <c r="Z183" s="141">
        <v>0</v>
      </c>
      <c r="AA183" s="141">
        <v>0</v>
      </c>
      <c r="AB183" s="141">
        <v>0</v>
      </c>
      <c r="AC183" s="142">
        <v>0</v>
      </c>
      <c r="AD183" s="315"/>
    </row>
    <row r="184" spans="1:30" ht="22.5" x14ac:dyDescent="0.2">
      <c r="A184" s="315"/>
      <c r="B184" s="102" t="s">
        <v>208</v>
      </c>
      <c r="C184" s="149">
        <f>Y139</f>
        <v>142393971.77509734</v>
      </c>
      <c r="D184" s="85" t="b">
        <f t="shared" si="117"/>
        <v>1</v>
      </c>
      <c r="E184" s="149">
        <f>SUM(F184:AC184)</f>
        <v>142393971.77509731</v>
      </c>
      <c r="F184" s="67">
        <f>F296</f>
        <v>0</v>
      </c>
      <c r="G184" s="141">
        <f t="shared" ref="G184:AC184" si="120">G296</f>
        <v>0</v>
      </c>
      <c r="H184" s="141">
        <f t="shared" si="120"/>
        <v>0</v>
      </c>
      <c r="I184" s="141">
        <f t="shared" si="120"/>
        <v>571961.67675094213</v>
      </c>
      <c r="J184" s="141">
        <f t="shared" si="120"/>
        <v>1853538.8146959045</v>
      </c>
      <c r="K184" s="141">
        <f t="shared" si="120"/>
        <v>4035037.3784278287</v>
      </c>
      <c r="L184" s="141">
        <f t="shared" si="120"/>
        <v>6937279.4639952239</v>
      </c>
      <c r="M184" s="141">
        <f t="shared" si="120"/>
        <v>8859592.8051842358</v>
      </c>
      <c r="N184" s="141">
        <f t="shared" si="120"/>
        <v>15101040.308817301</v>
      </c>
      <c r="O184" s="141">
        <f t="shared" si="120"/>
        <v>17532245.276376937</v>
      </c>
      <c r="P184" s="141">
        <f t="shared" si="120"/>
        <v>21576288.987126935</v>
      </c>
      <c r="Q184" s="141">
        <f t="shared" si="120"/>
        <v>31422317.404547755</v>
      </c>
      <c r="R184" s="141">
        <f t="shared" si="120"/>
        <v>34504669.659174278</v>
      </c>
      <c r="S184" s="141">
        <f t="shared" si="120"/>
        <v>7.4505805969238265E-9</v>
      </c>
      <c r="T184" s="141">
        <f t="shared" si="120"/>
        <v>1.654361225106055E-24</v>
      </c>
      <c r="U184" s="141">
        <f t="shared" si="120"/>
        <v>3.6734198463196476E-40</v>
      </c>
      <c r="V184" s="141">
        <f t="shared" si="120"/>
        <v>8.1566305849981538E-56</v>
      </c>
      <c r="W184" s="141">
        <f t="shared" si="120"/>
        <v>1.8111358157653421E-71</v>
      </c>
      <c r="X184" s="141">
        <f t="shared" si="120"/>
        <v>4.0215293667718967E-87</v>
      </c>
      <c r="Y184" s="141">
        <f t="shared" si="120"/>
        <v>8.9295889943927713E-103</v>
      </c>
      <c r="Z184" s="141">
        <f t="shared" si="120"/>
        <v>1.9827670604028505E-118</v>
      </c>
      <c r="AA184" s="141">
        <f t="shared" si="120"/>
        <v>4.4026272858551663E-134</v>
      </c>
      <c r="AB184" s="141">
        <f t="shared" si="120"/>
        <v>9.7757963631987328E-150</v>
      </c>
      <c r="AC184" s="142">
        <f t="shared" si="120"/>
        <v>2.1706628412940205E-165</v>
      </c>
      <c r="AD184" s="315"/>
    </row>
    <row r="185" spans="1:30" ht="22.5" x14ac:dyDescent="0.2">
      <c r="A185" s="315"/>
      <c r="B185" s="102" t="s">
        <v>128</v>
      </c>
      <c r="C185" s="149">
        <f>H157</f>
        <v>19107563.791825958</v>
      </c>
      <c r="D185" s="85" t="b">
        <f t="shared" si="117"/>
        <v>1</v>
      </c>
      <c r="E185" s="149">
        <f t="shared" si="118"/>
        <v>19107563.791825958</v>
      </c>
      <c r="F185" s="143">
        <f t="shared" ref="F185:AC185" si="121">$C$185*F171</f>
        <v>0</v>
      </c>
      <c r="G185" s="143">
        <f t="shared" si="121"/>
        <v>0</v>
      </c>
      <c r="H185" s="143">
        <f t="shared" si="121"/>
        <v>0</v>
      </c>
      <c r="I185" s="143">
        <f t="shared" si="121"/>
        <v>0</v>
      </c>
      <c r="J185" s="143">
        <f t="shared" si="121"/>
        <v>0</v>
      </c>
      <c r="K185" s="143">
        <f t="shared" si="121"/>
        <v>0</v>
      </c>
      <c r="L185" s="143">
        <f t="shared" si="121"/>
        <v>0</v>
      </c>
      <c r="M185" s="143">
        <f t="shared" si="121"/>
        <v>0</v>
      </c>
      <c r="N185" s="143">
        <f t="shared" si="121"/>
        <v>0</v>
      </c>
      <c r="O185" s="143">
        <f t="shared" si="121"/>
        <v>2866134.5687738936</v>
      </c>
      <c r="P185" s="143">
        <f t="shared" si="121"/>
        <v>4776890.9479564894</v>
      </c>
      <c r="Q185" s="143">
        <f t="shared" si="121"/>
        <v>4776890.9479564894</v>
      </c>
      <c r="R185" s="143">
        <f t="shared" si="121"/>
        <v>6687647.3271390852</v>
      </c>
      <c r="S185" s="143">
        <f t="shared" si="121"/>
        <v>0</v>
      </c>
      <c r="T185" s="143">
        <f t="shared" si="121"/>
        <v>0</v>
      </c>
      <c r="U185" s="143">
        <f t="shared" si="121"/>
        <v>0</v>
      </c>
      <c r="V185" s="143">
        <f t="shared" si="121"/>
        <v>0</v>
      </c>
      <c r="W185" s="143">
        <f t="shared" si="121"/>
        <v>0</v>
      </c>
      <c r="X185" s="143">
        <f t="shared" si="121"/>
        <v>0</v>
      </c>
      <c r="Y185" s="143">
        <f t="shared" si="121"/>
        <v>0</v>
      </c>
      <c r="Z185" s="143">
        <f t="shared" si="121"/>
        <v>0</v>
      </c>
      <c r="AA185" s="143">
        <f t="shared" si="121"/>
        <v>0</v>
      </c>
      <c r="AB185" s="143">
        <f t="shared" si="121"/>
        <v>0</v>
      </c>
      <c r="AC185" s="144">
        <f t="shared" si="121"/>
        <v>0</v>
      </c>
      <c r="AD185" s="315"/>
    </row>
    <row r="186" spans="1:30" ht="22.5" x14ac:dyDescent="0.2">
      <c r="A186" s="315"/>
      <c r="B186" s="102" t="s">
        <v>166</v>
      </c>
      <c r="C186" s="149">
        <f>T157</f>
        <v>60829440</v>
      </c>
      <c r="D186" s="85" t="b">
        <f t="shared" si="117"/>
        <v>1</v>
      </c>
      <c r="E186" s="149">
        <f>SUM(F186:AC186)</f>
        <v>60829440</v>
      </c>
      <c r="F186" s="104">
        <f t="shared" ref="F186:AC186" si="122">F172*$C$186</f>
        <v>0</v>
      </c>
      <c r="G186" s="104">
        <f t="shared" si="122"/>
        <v>0</v>
      </c>
      <c r="H186" s="104">
        <f t="shared" si="122"/>
        <v>0</v>
      </c>
      <c r="I186" s="104">
        <f t="shared" si="122"/>
        <v>0</v>
      </c>
      <c r="J186" s="104">
        <f t="shared" si="122"/>
        <v>0</v>
      </c>
      <c r="K186" s="104">
        <f t="shared" si="122"/>
        <v>0</v>
      </c>
      <c r="L186" s="104">
        <f t="shared" si="122"/>
        <v>0</v>
      </c>
      <c r="M186" s="104">
        <f t="shared" si="122"/>
        <v>0</v>
      </c>
      <c r="N186" s="104">
        <f t="shared" si="122"/>
        <v>0</v>
      </c>
      <c r="O186" s="104">
        <f t="shared" si="122"/>
        <v>0</v>
      </c>
      <c r="P186" s="104">
        <f t="shared" si="122"/>
        <v>0</v>
      </c>
      <c r="Q186" s="104">
        <f t="shared" si="122"/>
        <v>0</v>
      </c>
      <c r="R186" s="104">
        <f t="shared" si="122"/>
        <v>0</v>
      </c>
      <c r="S186" s="104">
        <f t="shared" si="122"/>
        <v>9124416</v>
      </c>
      <c r="T186" s="104">
        <f t="shared" si="122"/>
        <v>12165888</v>
      </c>
      <c r="U186" s="104">
        <f t="shared" si="122"/>
        <v>18248832</v>
      </c>
      <c r="V186" s="104">
        <f t="shared" si="122"/>
        <v>21290304</v>
      </c>
      <c r="W186" s="104">
        <f t="shared" si="122"/>
        <v>0</v>
      </c>
      <c r="X186" s="104">
        <f t="shared" si="122"/>
        <v>0</v>
      </c>
      <c r="Y186" s="104">
        <f t="shared" si="122"/>
        <v>0</v>
      </c>
      <c r="Z186" s="104">
        <f t="shared" si="122"/>
        <v>0</v>
      </c>
      <c r="AA186" s="104">
        <f t="shared" si="122"/>
        <v>0</v>
      </c>
      <c r="AB186" s="104">
        <f t="shared" si="122"/>
        <v>0</v>
      </c>
      <c r="AC186" s="105">
        <f t="shared" si="122"/>
        <v>0</v>
      </c>
      <c r="AD186" s="315"/>
    </row>
    <row r="187" spans="1:30" ht="22.5" x14ac:dyDescent="0.2">
      <c r="A187" s="315"/>
      <c r="B187" s="102" t="s">
        <v>160</v>
      </c>
      <c r="C187" s="149">
        <f>I139</f>
        <v>414608085.66731781</v>
      </c>
      <c r="D187" s="85" t="b">
        <f t="shared" si="117"/>
        <v>1</v>
      </c>
      <c r="E187" s="149">
        <f t="shared" si="118"/>
        <v>414608085.66731787</v>
      </c>
      <c r="F187" s="104">
        <f t="shared" ref="F187:AC187" si="123">F173*$C$187</f>
        <v>0</v>
      </c>
      <c r="G187" s="104">
        <f t="shared" si="123"/>
        <v>0</v>
      </c>
      <c r="H187" s="104">
        <f t="shared" si="123"/>
        <v>0</v>
      </c>
      <c r="I187" s="104">
        <f t="shared" si="123"/>
        <v>0</v>
      </c>
      <c r="J187" s="104">
        <f t="shared" si="123"/>
        <v>0</v>
      </c>
      <c r="K187" s="104">
        <f t="shared" si="123"/>
        <v>0</v>
      </c>
      <c r="L187" s="104">
        <f t="shared" si="123"/>
        <v>0</v>
      </c>
      <c r="M187" s="104">
        <f t="shared" si="123"/>
        <v>0</v>
      </c>
      <c r="N187" s="104">
        <f t="shared" si="123"/>
        <v>0</v>
      </c>
      <c r="O187" s="104">
        <f t="shared" si="123"/>
        <v>0</v>
      </c>
      <c r="P187" s="104">
        <f t="shared" si="123"/>
        <v>0</v>
      </c>
      <c r="Q187" s="104">
        <f t="shared" si="123"/>
        <v>0</v>
      </c>
      <c r="R187" s="104">
        <f t="shared" si="123"/>
        <v>0</v>
      </c>
      <c r="S187" s="104">
        <f t="shared" si="123"/>
        <v>20730404.28336589</v>
      </c>
      <c r="T187" s="104">
        <f t="shared" si="123"/>
        <v>41460808.566731781</v>
      </c>
      <c r="U187" s="104">
        <f t="shared" si="123"/>
        <v>82921617.133463562</v>
      </c>
      <c r="V187" s="104">
        <f t="shared" si="123"/>
        <v>124382425.70019534</v>
      </c>
      <c r="W187" s="104">
        <f t="shared" si="123"/>
        <v>103652021.41682945</v>
      </c>
      <c r="X187" s="104">
        <f t="shared" si="123"/>
        <v>41460808.566731781</v>
      </c>
      <c r="Y187" s="104">
        <f t="shared" si="123"/>
        <v>0</v>
      </c>
      <c r="Z187" s="104">
        <f t="shared" si="123"/>
        <v>0</v>
      </c>
      <c r="AA187" s="104">
        <f t="shared" si="123"/>
        <v>0</v>
      </c>
      <c r="AB187" s="104">
        <f t="shared" si="123"/>
        <v>0</v>
      </c>
      <c r="AC187" s="105">
        <f t="shared" si="123"/>
        <v>0</v>
      </c>
      <c r="AD187" s="315"/>
    </row>
    <row r="188" spans="1:30" ht="23.25" thickBot="1" x14ac:dyDescent="0.25">
      <c r="A188" s="315"/>
      <c r="B188" s="102" t="s">
        <v>167</v>
      </c>
      <c r="C188" s="149">
        <f>AA157</f>
        <v>703570058.06550586</v>
      </c>
      <c r="D188" s="85" t="b">
        <f>IF(ABS(E188 - C188) &lt; MAX(0.00001, E188 * 0.00001), TRUE, FALSE)</f>
        <v>1</v>
      </c>
      <c r="E188" s="149">
        <f>SUM(F188:AC188)</f>
        <v>703570058.06550586</v>
      </c>
      <c r="F188" s="143">
        <f t="shared" ref="F188:AC188" si="124">F174*$C$188</f>
        <v>0</v>
      </c>
      <c r="G188" s="143">
        <f t="shared" si="124"/>
        <v>0</v>
      </c>
      <c r="H188" s="143">
        <f t="shared" si="124"/>
        <v>0</v>
      </c>
      <c r="I188" s="143">
        <f t="shared" si="124"/>
        <v>0</v>
      </c>
      <c r="J188" s="143">
        <f>J174*$C$188</f>
        <v>0</v>
      </c>
      <c r="K188" s="143">
        <f t="shared" si="124"/>
        <v>0</v>
      </c>
      <c r="L188" s="143">
        <f t="shared" si="124"/>
        <v>0</v>
      </c>
      <c r="M188" s="143">
        <f t="shared" si="124"/>
        <v>0</v>
      </c>
      <c r="N188" s="143">
        <f t="shared" si="124"/>
        <v>0</v>
      </c>
      <c r="O188" s="143">
        <f t="shared" si="124"/>
        <v>0</v>
      </c>
      <c r="P188" s="143">
        <f t="shared" si="124"/>
        <v>0</v>
      </c>
      <c r="Q188" s="143">
        <f t="shared" si="124"/>
        <v>0</v>
      </c>
      <c r="R188" s="143">
        <f t="shared" si="124"/>
        <v>0</v>
      </c>
      <c r="S188" s="143">
        <f>S174*($AA$152+AA153)</f>
        <v>213555124.73217249</v>
      </c>
      <c r="T188" s="143">
        <f t="shared" si="124"/>
        <v>0</v>
      </c>
      <c r="U188" s="143">
        <f t="shared" si="124"/>
        <v>0</v>
      </c>
      <c r="V188" s="143">
        <f>V174*$AA$154</f>
        <v>0</v>
      </c>
      <c r="W188" s="143">
        <f>W174*$AA$154</f>
        <v>490014933.33333337</v>
      </c>
      <c r="X188" s="143">
        <f t="shared" si="124"/>
        <v>0</v>
      </c>
      <c r="Y188" s="143">
        <f t="shared" si="124"/>
        <v>0</v>
      </c>
      <c r="Z188" s="143">
        <f t="shared" si="124"/>
        <v>0</v>
      </c>
      <c r="AA188" s="143">
        <f t="shared" si="124"/>
        <v>0</v>
      </c>
      <c r="AB188" s="143">
        <f t="shared" si="124"/>
        <v>0</v>
      </c>
      <c r="AC188" s="144">
        <f t="shared" si="124"/>
        <v>0</v>
      </c>
      <c r="AD188" s="315"/>
    </row>
    <row r="189" spans="1:30" ht="23.25" thickBot="1" x14ac:dyDescent="0.25">
      <c r="A189" s="220">
        <v>0.02</v>
      </c>
      <c r="B189" s="57" t="s">
        <v>212</v>
      </c>
      <c r="C189" s="150">
        <f>E189</f>
        <v>483510881.47408962</v>
      </c>
      <c r="D189" s="86" t="b">
        <f>IF(ABS(E189 - C189) &lt; MAX(0.00001, E189 * 0.00001), TRUE, FALSE)</f>
        <v>1</v>
      </c>
      <c r="E189" s="150">
        <f>SUM(F189:AC189)</f>
        <v>483510881.47408962</v>
      </c>
      <c r="F189" s="183"/>
      <c r="G189" s="183"/>
      <c r="H189" s="183">
        <v>0</v>
      </c>
      <c r="I189" s="183">
        <v>50300000</v>
      </c>
      <c r="J189" s="183">
        <v>56000000</v>
      </c>
      <c r="K189" s="183">
        <v>54500000</v>
      </c>
      <c r="L189" s="183">
        <v>52000000</v>
      </c>
      <c r="M189" s="183">
        <v>53000000</v>
      </c>
      <c r="N189" s="183">
        <v>37200000</v>
      </c>
      <c r="O189" s="183">
        <v>35600000</v>
      </c>
      <c r="P189" s="183">
        <v>32200000</v>
      </c>
      <c r="Q189" s="183">
        <v>40500000</v>
      </c>
      <c r="R189" s="183">
        <v>64200000</v>
      </c>
      <c r="S189" s="183">
        <v>8010881.4740896197</v>
      </c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315">
        <f>IF(AB225 + SUM(AC180:AC188) + SUM(AC192:AC216) &gt;= 0, 0, ABS(AB225 + SUM(AC180:AC188) + SUM(AC192:AC216)) * (1 + $A$189))</f>
        <v>0</v>
      </c>
    </row>
    <row r="190" spans="1:30" ht="12" thickBot="1" x14ac:dyDescent="0.25">
      <c r="A190" s="310"/>
      <c r="B190" s="195" t="s">
        <v>168</v>
      </c>
      <c r="C190" s="196"/>
      <c r="D190" s="197"/>
      <c r="E190" s="218">
        <f>BI22</f>
        <v>0</v>
      </c>
      <c r="O190" s="311">
        <f>H35</f>
        <v>0</v>
      </c>
      <c r="Y190" s="196"/>
      <c r="Z190" s="196"/>
      <c r="AA190" s="196"/>
      <c r="AB190" s="196"/>
      <c r="AC190" s="198"/>
      <c r="AD190" s="315"/>
    </row>
    <row r="191" spans="1:30" ht="22.5" x14ac:dyDescent="0.2">
      <c r="A191" s="310"/>
      <c r="B191" s="184" t="s">
        <v>158</v>
      </c>
      <c r="C191" s="185">
        <f>-E189</f>
        <v>-483510881.47408962</v>
      </c>
      <c r="D191" s="217">
        <f>C191-E191</f>
        <v>0</v>
      </c>
      <c r="E191" s="66">
        <f>SUM(F191:AC191)</f>
        <v>-483510881.47408962</v>
      </c>
      <c r="F191" s="186"/>
      <c r="G191" s="186"/>
      <c r="H191" s="186"/>
      <c r="I191" s="186"/>
      <c r="J191" s="186"/>
      <c r="K191" s="186"/>
      <c r="L191" s="186"/>
      <c r="M191" s="186"/>
      <c r="N191" s="186"/>
      <c r="O191" s="186"/>
      <c r="P191" s="186"/>
      <c r="Q191" s="186"/>
      <c r="R191" s="186"/>
      <c r="S191" s="186">
        <v>-31177413.561023142</v>
      </c>
      <c r="T191" s="186">
        <v>-31177413.561023142</v>
      </c>
      <c r="U191" s="186">
        <v>-74329798.014650986</v>
      </c>
      <c r="V191" s="186">
        <v>-74329798.014650986</v>
      </c>
      <c r="W191" s="186">
        <f>C191-V191-U191-T191-S191</f>
        <v>-272496458.32274139</v>
      </c>
      <c r="X191" s="186"/>
      <c r="Y191" s="186"/>
      <c r="Z191" s="186"/>
      <c r="AA191" s="186"/>
      <c r="AB191" s="186"/>
      <c r="AC191" s="187"/>
      <c r="AD191" s="315"/>
    </row>
    <row r="192" spans="1:30" ht="22.5" x14ac:dyDescent="0.2">
      <c r="A192" s="319"/>
      <c r="B192" s="102" t="s">
        <v>18</v>
      </c>
      <c r="C192" s="50">
        <v>7.2999999999999995E-2</v>
      </c>
      <c r="D192" s="85" t="b">
        <f>IF(ABS(E192+E193 - AC259) &lt; MAX(0.00001, E192+E193 * 0.00001), TRUE, FALSE)</f>
        <v>1</v>
      </c>
      <c r="E192" s="149">
        <f>SUM(F192:AC192)</f>
        <v>-76431223.323885694</v>
      </c>
      <c r="F192" s="141">
        <v>0</v>
      </c>
      <c r="G192" s="141">
        <f>-(F178*$C$192)/4</f>
        <v>0</v>
      </c>
      <c r="H192" s="141">
        <f>-(G178*$C$192)/4</f>
        <v>0</v>
      </c>
      <c r="I192" s="141">
        <f>-(H178*$C$192)/4</f>
        <v>0</v>
      </c>
      <c r="J192" s="141">
        <f>-(I178*$C$192)/4</f>
        <v>-917975</v>
      </c>
      <c r="K192" s="141">
        <f t="shared" ref="K192:AC192" si="125">-(J178*$C$192)/4</f>
        <v>-1939974.9999999998</v>
      </c>
      <c r="L192" s="141">
        <f t="shared" si="125"/>
        <v>-2934600</v>
      </c>
      <c r="M192" s="141">
        <f t="shared" si="125"/>
        <v>-3883599.9999999995</v>
      </c>
      <c r="N192" s="141">
        <f t="shared" si="125"/>
        <v>-4850850</v>
      </c>
      <c r="O192" s="141">
        <f t="shared" si="125"/>
        <v>-5529750</v>
      </c>
      <c r="P192" s="141">
        <f t="shared" si="125"/>
        <v>-6179450</v>
      </c>
      <c r="Q192" s="141">
        <f t="shared" si="125"/>
        <v>-6767100</v>
      </c>
      <c r="R192" s="141">
        <f t="shared" si="125"/>
        <v>-7506224.9999999991</v>
      </c>
      <c r="S192" s="141">
        <f t="shared" si="125"/>
        <v>-8677875</v>
      </c>
      <c r="T192" s="141">
        <f t="shared" si="125"/>
        <v>-8255085.7894134633</v>
      </c>
      <c r="U192" s="141">
        <f t="shared" si="125"/>
        <v>-7686097.9919247916</v>
      </c>
      <c r="V192" s="141">
        <f t="shared" si="125"/>
        <v>-6329579.1781574106</v>
      </c>
      <c r="W192" s="141">
        <f t="shared" si="125"/>
        <v>-4973060.3643900305</v>
      </c>
      <c r="X192" s="141">
        <f t="shared" si="125"/>
        <v>0</v>
      </c>
      <c r="Y192" s="141">
        <f t="shared" si="125"/>
        <v>0</v>
      </c>
      <c r="Z192" s="141">
        <f t="shared" si="125"/>
        <v>0</v>
      </c>
      <c r="AA192" s="141">
        <f t="shared" si="125"/>
        <v>0</v>
      </c>
      <c r="AB192" s="141">
        <f t="shared" si="125"/>
        <v>0</v>
      </c>
      <c r="AC192" s="142">
        <f t="shared" si="125"/>
        <v>0</v>
      </c>
      <c r="AD192" s="315"/>
    </row>
    <row r="193" spans="1:30" ht="22.5" x14ac:dyDescent="0.2">
      <c r="A193" s="310"/>
      <c r="B193" s="102" t="s">
        <v>169</v>
      </c>
      <c r="C193" s="50">
        <v>5.0000000000000001E-3</v>
      </c>
      <c r="D193" s="85" t="b">
        <f>C193*E191=E193</f>
        <v>1</v>
      </c>
      <c r="E193" s="149">
        <f>SUM(F193:AC193)</f>
        <v>-2417554.4073704481</v>
      </c>
      <c r="F193" s="143">
        <f>C193*E191</f>
        <v>-2417554.4073704481</v>
      </c>
      <c r="G193" s="143">
        <v>0</v>
      </c>
      <c r="H193" s="143">
        <v>0</v>
      </c>
      <c r="I193" s="143">
        <v>0</v>
      </c>
      <c r="J193" s="143">
        <v>0</v>
      </c>
      <c r="K193" s="143">
        <v>0</v>
      </c>
      <c r="L193" s="143">
        <v>0</v>
      </c>
      <c r="M193" s="143">
        <v>0</v>
      </c>
      <c r="N193" s="143">
        <v>0</v>
      </c>
      <c r="O193" s="143">
        <v>0</v>
      </c>
      <c r="P193" s="143">
        <v>0</v>
      </c>
      <c r="Q193" s="143">
        <v>0</v>
      </c>
      <c r="R193" s="143">
        <v>0</v>
      </c>
      <c r="S193" s="143">
        <v>0</v>
      </c>
      <c r="T193" s="143">
        <v>0</v>
      </c>
      <c r="U193" s="143">
        <v>0</v>
      </c>
      <c r="V193" s="143">
        <v>0</v>
      </c>
      <c r="W193" s="143">
        <v>0</v>
      </c>
      <c r="X193" s="143">
        <v>0</v>
      </c>
      <c r="Y193" s="143">
        <v>0</v>
      </c>
      <c r="Z193" s="143">
        <v>0</v>
      </c>
      <c r="AA193" s="143">
        <v>0</v>
      </c>
      <c r="AB193" s="143">
        <v>0</v>
      </c>
      <c r="AC193" s="144">
        <v>0</v>
      </c>
      <c r="AD193" s="315"/>
    </row>
    <row r="194" spans="1:30" ht="22.5" x14ac:dyDescent="0.2">
      <c r="A194" s="310"/>
      <c r="B194" s="102" t="s">
        <v>170</v>
      </c>
      <c r="C194" s="149">
        <f>-E49</f>
        <v>-227067120</v>
      </c>
      <c r="D194" s="85" t="b">
        <f>IF(ABS(E194 - C194) &lt; MAX(0.00001, E194 * 0.00001), TRUE, FALSE)</f>
        <v>1</v>
      </c>
      <c r="E194" s="149">
        <f t="shared" ref="E194:E195" si="126">SUM(F194:AC194)</f>
        <v>-227067120</v>
      </c>
      <c r="F194" s="141">
        <f>-E49</f>
        <v>-227067120</v>
      </c>
      <c r="G194" s="141">
        <v>0</v>
      </c>
      <c r="H194" s="141">
        <v>0</v>
      </c>
      <c r="I194" s="141">
        <v>0</v>
      </c>
      <c r="J194" s="141">
        <v>0</v>
      </c>
      <c r="K194" s="141">
        <v>0</v>
      </c>
      <c r="L194" s="141">
        <v>0</v>
      </c>
      <c r="M194" s="141">
        <v>0</v>
      </c>
      <c r="N194" s="141">
        <v>0</v>
      </c>
      <c r="O194" s="141">
        <v>0</v>
      </c>
      <c r="P194" s="141">
        <v>0</v>
      </c>
      <c r="Q194" s="141">
        <v>0</v>
      </c>
      <c r="R194" s="141">
        <v>0</v>
      </c>
      <c r="S194" s="141">
        <v>0</v>
      </c>
      <c r="T194" s="141">
        <v>0</v>
      </c>
      <c r="U194" s="141">
        <v>0</v>
      </c>
      <c r="V194" s="141">
        <v>0</v>
      </c>
      <c r="W194" s="141">
        <v>0</v>
      </c>
      <c r="X194" s="141">
        <v>0</v>
      </c>
      <c r="Y194" s="141">
        <v>0</v>
      </c>
      <c r="Z194" s="141">
        <v>0</v>
      </c>
      <c r="AA194" s="141">
        <v>0</v>
      </c>
      <c r="AB194" s="141">
        <v>0</v>
      </c>
      <c r="AC194" s="142">
        <v>0</v>
      </c>
      <c r="AD194" s="315"/>
    </row>
    <row r="195" spans="1:30" ht="27.75" thickBot="1" x14ac:dyDescent="0.25">
      <c r="A195" s="310"/>
      <c r="B195" s="116" t="s">
        <v>240</v>
      </c>
      <c r="C195" s="117">
        <f>-SUM(F49:H49)</f>
        <v>-12204857.699999999</v>
      </c>
      <c r="D195" s="118" t="b">
        <f t="shared" ref="D195:D216" si="127">IF(ABS(E195 - C195) &lt; MAX(0.00001, E195 * 0.00001), TRUE, FALSE)</f>
        <v>1</v>
      </c>
      <c r="E195" s="117">
        <f t="shared" si="126"/>
        <v>-12204857.699999999</v>
      </c>
      <c r="F195" s="145">
        <f>-SUM(F49:H49)</f>
        <v>-12204857.699999999</v>
      </c>
      <c r="G195" s="145">
        <v>0</v>
      </c>
      <c r="H195" s="145">
        <v>0</v>
      </c>
      <c r="I195" s="145">
        <v>0</v>
      </c>
      <c r="J195" s="145">
        <v>0</v>
      </c>
      <c r="K195" s="145">
        <v>0</v>
      </c>
      <c r="L195" s="145">
        <v>0</v>
      </c>
      <c r="M195" s="145">
        <v>0</v>
      </c>
      <c r="N195" s="145">
        <v>0</v>
      </c>
      <c r="O195" s="145">
        <v>0</v>
      </c>
      <c r="P195" s="145">
        <v>0</v>
      </c>
      <c r="Q195" s="145">
        <v>0</v>
      </c>
      <c r="R195" s="145">
        <v>0</v>
      </c>
      <c r="S195" s="145">
        <v>0</v>
      </c>
      <c r="T195" s="145">
        <v>0</v>
      </c>
      <c r="U195" s="145">
        <v>0</v>
      </c>
      <c r="V195" s="145">
        <v>0</v>
      </c>
      <c r="W195" s="145">
        <v>0</v>
      </c>
      <c r="X195" s="145">
        <v>0</v>
      </c>
      <c r="Y195" s="145">
        <v>0</v>
      </c>
      <c r="Z195" s="145">
        <v>0</v>
      </c>
      <c r="AA195" s="145">
        <v>0</v>
      </c>
      <c r="AB195" s="145">
        <v>0</v>
      </c>
      <c r="AC195" s="147">
        <v>0</v>
      </c>
      <c r="AD195" s="315"/>
    </row>
    <row r="196" spans="1:30" ht="23.25" thickBot="1" x14ac:dyDescent="0.25">
      <c r="A196" s="310"/>
      <c r="B196" s="122" t="s">
        <v>171</v>
      </c>
      <c r="C196" s="130">
        <f>-J76</f>
        <v>-475846181.75999999</v>
      </c>
      <c r="D196" s="123" t="b">
        <f t="shared" si="127"/>
        <v>1</v>
      </c>
      <c r="E196" s="139">
        <f>SUM(F196:AC196)</f>
        <v>-475846181.75999987</v>
      </c>
      <c r="F196" s="136">
        <f t="shared" ref="F196:AC196" si="128">F175*$C$196</f>
        <v>0</v>
      </c>
      <c r="G196" s="136">
        <f t="shared" si="128"/>
        <v>0</v>
      </c>
      <c r="H196" s="136">
        <f t="shared" si="128"/>
        <v>0</v>
      </c>
      <c r="I196" s="136">
        <f t="shared" ref="I196:R196" si="129">I175*$C$196</f>
        <v>-71376927.263999999</v>
      </c>
      <c r="J196" s="136">
        <f t="shared" si="129"/>
        <v>-47584618.175999999</v>
      </c>
      <c r="K196" s="136">
        <f t="shared" si="129"/>
        <v>-47584618.175999999</v>
      </c>
      <c r="L196" s="136">
        <f t="shared" si="129"/>
        <v>-47584618.175999999</v>
      </c>
      <c r="M196" s="136">
        <f t="shared" si="129"/>
        <v>-47584618.175999999</v>
      </c>
      <c r="N196" s="136">
        <f t="shared" si="129"/>
        <v>-38067694.540799998</v>
      </c>
      <c r="O196" s="136">
        <f t="shared" si="129"/>
        <v>-38067694.540799998</v>
      </c>
      <c r="P196" s="136">
        <f t="shared" si="129"/>
        <v>-38067694.540799998</v>
      </c>
      <c r="Q196" s="136">
        <f t="shared" si="129"/>
        <v>-38067694.540799998</v>
      </c>
      <c r="R196" s="136">
        <f t="shared" si="129"/>
        <v>-61860003.628799997</v>
      </c>
      <c r="S196" s="136">
        <f t="shared" si="128"/>
        <v>0</v>
      </c>
      <c r="T196" s="136">
        <f t="shared" si="128"/>
        <v>0</v>
      </c>
      <c r="U196" s="136">
        <f t="shared" si="128"/>
        <v>0</v>
      </c>
      <c r="V196" s="136">
        <f t="shared" si="128"/>
        <v>0</v>
      </c>
      <c r="W196" s="136">
        <f t="shared" si="128"/>
        <v>0</v>
      </c>
      <c r="X196" s="136">
        <f t="shared" si="128"/>
        <v>0</v>
      </c>
      <c r="Y196" s="136">
        <f t="shared" si="128"/>
        <v>0</v>
      </c>
      <c r="Z196" s="136">
        <f t="shared" si="128"/>
        <v>0</v>
      </c>
      <c r="AA196" s="136">
        <f t="shared" si="128"/>
        <v>0</v>
      </c>
      <c r="AB196" s="136">
        <f t="shared" si="128"/>
        <v>0</v>
      </c>
      <c r="AC196" s="137">
        <f t="shared" si="128"/>
        <v>0</v>
      </c>
      <c r="AD196" s="315"/>
    </row>
    <row r="197" spans="1:30" ht="22.5" x14ac:dyDescent="0.2">
      <c r="A197" s="310"/>
      <c r="B197" s="119" t="s">
        <v>172</v>
      </c>
      <c r="C197" s="120">
        <f t="shared" ref="C197:C212" si="130">-C86</f>
        <v>-432508.8</v>
      </c>
      <c r="D197" s="121" t="b">
        <f t="shared" si="127"/>
        <v>1</v>
      </c>
      <c r="E197" s="120">
        <f>SUM(F197:AC197)</f>
        <v>-432508.8</v>
      </c>
      <c r="F197" s="146">
        <f>C197</f>
        <v>-432508.8</v>
      </c>
      <c r="G197" s="146">
        <v>0</v>
      </c>
      <c r="H197" s="146">
        <v>0</v>
      </c>
      <c r="I197" s="146">
        <v>0</v>
      </c>
      <c r="J197" s="146">
        <v>0</v>
      </c>
      <c r="K197" s="146">
        <v>0</v>
      </c>
      <c r="L197" s="146">
        <v>0</v>
      </c>
      <c r="M197" s="146">
        <v>0</v>
      </c>
      <c r="N197" s="146">
        <v>0</v>
      </c>
      <c r="O197" s="146">
        <v>0</v>
      </c>
      <c r="P197" s="146">
        <v>0</v>
      </c>
      <c r="Q197" s="146">
        <v>0</v>
      </c>
      <c r="R197" s="146">
        <v>0</v>
      </c>
      <c r="S197" s="146">
        <v>0</v>
      </c>
      <c r="T197" s="146">
        <v>0</v>
      </c>
      <c r="U197" s="146">
        <v>0</v>
      </c>
      <c r="V197" s="146">
        <v>0</v>
      </c>
      <c r="W197" s="146">
        <v>0</v>
      </c>
      <c r="X197" s="146">
        <v>0</v>
      </c>
      <c r="Y197" s="146">
        <v>0</v>
      </c>
      <c r="Z197" s="146">
        <v>0</v>
      </c>
      <c r="AA197" s="146">
        <v>0</v>
      </c>
      <c r="AB197" s="146">
        <v>0</v>
      </c>
      <c r="AC197" s="148">
        <v>0</v>
      </c>
      <c r="AD197" s="315"/>
    </row>
    <row r="198" spans="1:30" ht="22.5" x14ac:dyDescent="0.2">
      <c r="A198" s="310"/>
      <c r="B198" s="18" t="s">
        <v>79</v>
      </c>
      <c r="C198" s="149">
        <f t="shared" si="130"/>
        <v>-8028444.5999999987</v>
      </c>
      <c r="D198" s="85" t="b">
        <f t="shared" si="127"/>
        <v>1</v>
      </c>
      <c r="E198" s="149">
        <f>SUM(F198:AC198)</f>
        <v>-8028444.5999999987</v>
      </c>
      <c r="F198" s="141">
        <v>0</v>
      </c>
      <c r="G198" s="141">
        <f>$C$198/2</f>
        <v>-4014222.2999999993</v>
      </c>
      <c r="H198" s="141">
        <f>$C$198/2</f>
        <v>-4014222.2999999993</v>
      </c>
      <c r="I198" s="141">
        <v>0</v>
      </c>
      <c r="J198" s="141">
        <v>0</v>
      </c>
      <c r="K198" s="141">
        <v>0</v>
      </c>
      <c r="L198" s="141">
        <v>0</v>
      </c>
      <c r="M198" s="141">
        <v>0</v>
      </c>
      <c r="N198" s="141">
        <v>0</v>
      </c>
      <c r="O198" s="141">
        <v>0</v>
      </c>
      <c r="P198" s="141">
        <v>0</v>
      </c>
      <c r="Q198" s="141">
        <v>0</v>
      </c>
      <c r="R198" s="141">
        <v>0</v>
      </c>
      <c r="S198" s="141">
        <v>0</v>
      </c>
      <c r="T198" s="141">
        <v>0</v>
      </c>
      <c r="U198" s="141">
        <v>0</v>
      </c>
      <c r="V198" s="141">
        <v>0</v>
      </c>
      <c r="W198" s="141">
        <v>0</v>
      </c>
      <c r="X198" s="141">
        <v>0</v>
      </c>
      <c r="Y198" s="141">
        <v>0</v>
      </c>
      <c r="Z198" s="141">
        <v>0</v>
      </c>
      <c r="AA198" s="141">
        <v>0</v>
      </c>
      <c r="AB198" s="141">
        <v>0</v>
      </c>
      <c r="AC198" s="142">
        <v>0</v>
      </c>
      <c r="AD198" s="315"/>
    </row>
    <row r="199" spans="1:30" ht="22.5" x14ac:dyDescent="0.2">
      <c r="A199" s="310"/>
      <c r="B199" s="18" t="s">
        <v>80</v>
      </c>
      <c r="C199" s="149">
        <f t="shared" si="130"/>
        <v>-7137692.7264</v>
      </c>
      <c r="D199" s="85" t="b">
        <f t="shared" si="127"/>
        <v>1</v>
      </c>
      <c r="E199" s="149">
        <f>SUM(F199:AC199)</f>
        <v>-7137692.7264</v>
      </c>
      <c r="F199" s="143">
        <f>IF(F200&lt;0,$C$199,0)</f>
        <v>0</v>
      </c>
      <c r="G199" s="143">
        <f>IF(G200&lt;0,$C$199,0)</f>
        <v>0</v>
      </c>
      <c r="H199" s="143">
        <f>IF(H200&lt;0,$C$199,0)</f>
        <v>-7137692.7264</v>
      </c>
      <c r="I199" s="143">
        <f>IF(I200&lt;0,$C$199,0)</f>
        <v>0</v>
      </c>
      <c r="J199" s="143">
        <f>IF(J200&lt;0,$C$199,0)</f>
        <v>0</v>
      </c>
      <c r="K199" s="143">
        <f t="shared" ref="K199:AC199" si="131">IF(K200&lt;0,$C$199,0)</f>
        <v>0</v>
      </c>
      <c r="L199" s="143">
        <f t="shared" si="131"/>
        <v>0</v>
      </c>
      <c r="M199" s="143">
        <f t="shared" si="131"/>
        <v>0</v>
      </c>
      <c r="N199" s="143">
        <f t="shared" si="131"/>
        <v>0</v>
      </c>
      <c r="O199" s="143">
        <f t="shared" si="131"/>
        <v>0</v>
      </c>
      <c r="P199" s="143">
        <f t="shared" si="131"/>
        <v>0</v>
      </c>
      <c r="Q199" s="143">
        <f t="shared" si="131"/>
        <v>0</v>
      </c>
      <c r="R199" s="143">
        <f t="shared" si="131"/>
        <v>0</v>
      </c>
      <c r="S199" s="143">
        <f t="shared" si="131"/>
        <v>0</v>
      </c>
      <c r="T199" s="143">
        <f t="shared" si="131"/>
        <v>0</v>
      </c>
      <c r="U199" s="143">
        <f t="shared" si="131"/>
        <v>0</v>
      </c>
      <c r="V199" s="143">
        <f t="shared" si="131"/>
        <v>0</v>
      </c>
      <c r="W199" s="143">
        <f t="shared" si="131"/>
        <v>0</v>
      </c>
      <c r="X199" s="143">
        <f t="shared" si="131"/>
        <v>0</v>
      </c>
      <c r="Y199" s="143">
        <f t="shared" si="131"/>
        <v>0</v>
      </c>
      <c r="Z199" s="143">
        <f t="shared" si="131"/>
        <v>0</v>
      </c>
      <c r="AA199" s="143">
        <f t="shared" si="131"/>
        <v>0</v>
      </c>
      <c r="AB199" s="143">
        <f t="shared" si="131"/>
        <v>0</v>
      </c>
      <c r="AC199" s="144">
        <f t="shared" si="131"/>
        <v>0</v>
      </c>
      <c r="AD199" s="315"/>
    </row>
    <row r="200" spans="1:30" ht="22.5" x14ac:dyDescent="0.2">
      <c r="A200" s="310"/>
      <c r="B200" s="18" t="s">
        <v>173</v>
      </c>
      <c r="C200" s="149">
        <f t="shared" si="130"/>
        <v>-259505.27999999997</v>
      </c>
      <c r="D200" s="85" t="b">
        <f t="shared" si="127"/>
        <v>1</v>
      </c>
      <c r="E200" s="149">
        <f>SUM(F200:AC200)</f>
        <v>-259505.27999999997</v>
      </c>
      <c r="F200" s="67">
        <v>0</v>
      </c>
      <c r="G200" s="141">
        <v>0</v>
      </c>
      <c r="H200" s="141">
        <f>C200</f>
        <v>-259505.27999999997</v>
      </c>
      <c r="I200" s="141">
        <v>0</v>
      </c>
      <c r="J200" s="141">
        <v>0</v>
      </c>
      <c r="K200" s="141">
        <v>0</v>
      </c>
      <c r="L200" s="141">
        <v>0</v>
      </c>
      <c r="M200" s="141">
        <v>0</v>
      </c>
      <c r="N200" s="141">
        <v>0</v>
      </c>
      <c r="O200" s="141">
        <v>0</v>
      </c>
      <c r="P200" s="141">
        <v>0</v>
      </c>
      <c r="Q200" s="141">
        <v>0</v>
      </c>
      <c r="R200" s="141">
        <v>0</v>
      </c>
      <c r="S200" s="141">
        <v>0</v>
      </c>
      <c r="T200" s="141">
        <v>0</v>
      </c>
      <c r="U200" s="141">
        <v>0</v>
      </c>
      <c r="V200" s="141">
        <v>0</v>
      </c>
      <c r="W200" s="141">
        <v>0</v>
      </c>
      <c r="X200" s="141">
        <v>0</v>
      </c>
      <c r="Y200" s="141">
        <v>0</v>
      </c>
      <c r="Z200" s="141">
        <v>0</v>
      </c>
      <c r="AA200" s="141">
        <v>0</v>
      </c>
      <c r="AB200" s="141">
        <v>0</v>
      </c>
      <c r="AC200" s="142">
        <v>0</v>
      </c>
      <c r="AD200" s="315"/>
    </row>
    <row r="201" spans="1:30" ht="22.5" x14ac:dyDescent="0.2">
      <c r="A201" s="310"/>
      <c r="B201" s="18" t="s">
        <v>174</v>
      </c>
      <c r="C201" s="149">
        <f t="shared" si="130"/>
        <v>-10944462.18048</v>
      </c>
      <c r="D201" s="85" t="b">
        <f t="shared" si="127"/>
        <v>1</v>
      </c>
      <c r="E201" s="149">
        <f t="shared" ref="E201:E214" si="132">SUM(F201:AC201)</f>
        <v>-10944462.18048</v>
      </c>
      <c r="F201" s="67">
        <f>$C$201/3</f>
        <v>-3648154.0601599999</v>
      </c>
      <c r="G201" s="143">
        <f t="shared" ref="G201:H201" si="133">$C$201/3</f>
        <v>-3648154.0601599999</v>
      </c>
      <c r="H201" s="143">
        <f t="shared" si="133"/>
        <v>-3648154.0601599999</v>
      </c>
      <c r="I201" s="143">
        <v>0</v>
      </c>
      <c r="J201" s="143">
        <v>0</v>
      </c>
      <c r="K201" s="143">
        <v>0</v>
      </c>
      <c r="L201" s="143">
        <v>0</v>
      </c>
      <c r="M201" s="143">
        <v>0</v>
      </c>
      <c r="N201" s="143">
        <v>0</v>
      </c>
      <c r="O201" s="143">
        <v>0</v>
      </c>
      <c r="P201" s="143">
        <v>0</v>
      </c>
      <c r="Q201" s="143">
        <v>0</v>
      </c>
      <c r="R201" s="143">
        <v>0</v>
      </c>
      <c r="S201" s="143">
        <v>0</v>
      </c>
      <c r="T201" s="143">
        <v>0</v>
      </c>
      <c r="U201" s="143">
        <v>0</v>
      </c>
      <c r="V201" s="143">
        <v>0</v>
      </c>
      <c r="W201" s="143">
        <v>0</v>
      </c>
      <c r="X201" s="143">
        <v>0</v>
      </c>
      <c r="Y201" s="143">
        <v>0</v>
      </c>
      <c r="Z201" s="143">
        <v>0</v>
      </c>
      <c r="AA201" s="143">
        <v>0</v>
      </c>
      <c r="AB201" s="143">
        <v>0</v>
      </c>
      <c r="AC201" s="144">
        <v>0</v>
      </c>
      <c r="AD201" s="315"/>
    </row>
    <row r="202" spans="1:30" ht="22.5" x14ac:dyDescent="0.2">
      <c r="A202" s="310"/>
      <c r="B202" s="18" t="s">
        <v>175</v>
      </c>
      <c r="C202" s="149">
        <f t="shared" si="130"/>
        <v>-20436040.799999997</v>
      </c>
      <c r="D202" s="85" t="b">
        <f t="shared" si="127"/>
        <v>1</v>
      </c>
      <c r="E202" s="149">
        <f t="shared" si="132"/>
        <v>-20436040.799999997</v>
      </c>
      <c r="F202" s="67">
        <v>0</v>
      </c>
      <c r="G202" s="141">
        <v>0</v>
      </c>
      <c r="H202" s="141">
        <v>0</v>
      </c>
      <c r="I202" s="141">
        <v>0</v>
      </c>
      <c r="J202" s="141">
        <v>0</v>
      </c>
      <c r="K202" s="141">
        <v>0</v>
      </c>
      <c r="L202" s="141">
        <v>0</v>
      </c>
      <c r="M202" s="141">
        <v>0</v>
      </c>
      <c r="N202" s="141">
        <v>0</v>
      </c>
      <c r="O202" s="141">
        <v>0</v>
      </c>
      <c r="P202" s="141">
        <v>0</v>
      </c>
      <c r="Q202" s="141">
        <f>$C$202/2</f>
        <v>-10218020.399999999</v>
      </c>
      <c r="R202" s="141">
        <f>$C$202/2</f>
        <v>-10218020.399999999</v>
      </c>
      <c r="S202" s="141">
        <v>0</v>
      </c>
      <c r="T202" s="141">
        <v>0</v>
      </c>
      <c r="U202" s="141">
        <v>0</v>
      </c>
      <c r="V202" s="141">
        <v>0</v>
      </c>
      <c r="W202" s="141">
        <v>0</v>
      </c>
      <c r="X202" s="141">
        <v>0</v>
      </c>
      <c r="Y202" s="141">
        <v>0</v>
      </c>
      <c r="Z202" s="141">
        <v>0</v>
      </c>
      <c r="AA202" s="141">
        <v>0</v>
      </c>
      <c r="AB202" s="141">
        <v>0</v>
      </c>
      <c r="AC202" s="142">
        <v>0</v>
      </c>
      <c r="AD202" s="315"/>
    </row>
    <row r="203" spans="1:30" ht="22.5" x14ac:dyDescent="0.2">
      <c r="A203" s="310"/>
      <c r="B203" s="18" t="s">
        <v>176</v>
      </c>
      <c r="C203" s="149">
        <f t="shared" si="130"/>
        <v>0</v>
      </c>
      <c r="D203" s="85" t="b">
        <f t="shared" si="127"/>
        <v>1</v>
      </c>
      <c r="E203" s="149">
        <f t="shared" si="132"/>
        <v>0</v>
      </c>
      <c r="F203" s="67">
        <v>0</v>
      </c>
      <c r="G203" s="143">
        <v>0</v>
      </c>
      <c r="H203" s="143">
        <v>0</v>
      </c>
      <c r="I203" s="143">
        <v>0</v>
      </c>
      <c r="J203" s="143">
        <v>0</v>
      </c>
      <c r="K203" s="143">
        <v>0</v>
      </c>
      <c r="L203" s="143">
        <v>0</v>
      </c>
      <c r="M203" s="143">
        <v>0</v>
      </c>
      <c r="N203" s="143">
        <v>0</v>
      </c>
      <c r="O203" s="143">
        <v>0</v>
      </c>
      <c r="P203" s="143">
        <v>0</v>
      </c>
      <c r="Q203" s="143">
        <v>0</v>
      </c>
      <c r="R203" s="143">
        <v>0</v>
      </c>
      <c r="S203" s="143">
        <v>0</v>
      </c>
      <c r="T203" s="143">
        <v>0</v>
      </c>
      <c r="U203" s="143">
        <v>0</v>
      </c>
      <c r="V203" s="143">
        <v>0</v>
      </c>
      <c r="W203" s="143">
        <v>0</v>
      </c>
      <c r="X203" s="143">
        <v>0</v>
      </c>
      <c r="Y203" s="143">
        <v>0</v>
      </c>
      <c r="Z203" s="143">
        <v>0</v>
      </c>
      <c r="AA203" s="143">
        <v>0</v>
      </c>
      <c r="AB203" s="143">
        <v>0</v>
      </c>
      <c r="AC203" s="144">
        <v>0</v>
      </c>
      <c r="AD203" s="315"/>
    </row>
    <row r="204" spans="1:30" ht="22.5" x14ac:dyDescent="0.2">
      <c r="A204" s="310"/>
      <c r="B204" s="18" t="s">
        <v>177</v>
      </c>
      <c r="C204" s="149">
        <f t="shared" si="130"/>
        <v>-4974000</v>
      </c>
      <c r="D204" s="85" t="b">
        <f t="shared" si="127"/>
        <v>1</v>
      </c>
      <c r="E204" s="149">
        <f t="shared" si="132"/>
        <v>-4974000</v>
      </c>
      <c r="F204" s="67">
        <v>0</v>
      </c>
      <c r="G204" s="141">
        <v>0</v>
      </c>
      <c r="H204" s="141">
        <v>0</v>
      </c>
      <c r="I204" s="141">
        <v>0</v>
      </c>
      <c r="J204" s="141">
        <v>0</v>
      </c>
      <c r="K204" s="141">
        <v>0</v>
      </c>
      <c r="L204" s="141">
        <v>0</v>
      </c>
      <c r="M204" s="141">
        <v>0</v>
      </c>
      <c r="N204" s="141">
        <v>0</v>
      </c>
      <c r="O204" s="141">
        <v>0</v>
      </c>
      <c r="P204" s="141">
        <v>0</v>
      </c>
      <c r="Q204" s="141">
        <f>$C$204/2</f>
        <v>-2487000</v>
      </c>
      <c r="R204" s="141">
        <f>$C$204/2</f>
        <v>-2487000</v>
      </c>
      <c r="S204" s="141">
        <v>0</v>
      </c>
      <c r="T204" s="141">
        <v>0</v>
      </c>
      <c r="U204" s="141">
        <v>0</v>
      </c>
      <c r="V204" s="141">
        <v>0</v>
      </c>
      <c r="W204" s="141">
        <v>0</v>
      </c>
      <c r="X204" s="141">
        <v>0</v>
      </c>
      <c r="Y204" s="141">
        <v>0</v>
      </c>
      <c r="Z204" s="141">
        <v>0</v>
      </c>
      <c r="AA204" s="141">
        <v>0</v>
      </c>
      <c r="AB204" s="141">
        <v>0</v>
      </c>
      <c r="AC204" s="142">
        <v>0</v>
      </c>
      <c r="AD204" s="315"/>
    </row>
    <row r="205" spans="1:30" ht="22.5" x14ac:dyDescent="0.2">
      <c r="A205" s="310"/>
      <c r="B205" s="18" t="s">
        <v>86</v>
      </c>
      <c r="C205" s="149">
        <f t="shared" si="130"/>
        <v>-3661000</v>
      </c>
      <c r="D205" s="85" t="b">
        <f t="shared" si="127"/>
        <v>1</v>
      </c>
      <c r="E205" s="149">
        <f t="shared" si="132"/>
        <v>-3661000</v>
      </c>
      <c r="F205" s="67">
        <v>0</v>
      </c>
      <c r="G205" s="143">
        <v>0</v>
      </c>
      <c r="H205" s="143">
        <v>0</v>
      </c>
      <c r="I205" s="143">
        <v>0</v>
      </c>
      <c r="J205" s="143">
        <v>0</v>
      </c>
      <c r="K205" s="143">
        <v>0</v>
      </c>
      <c r="L205" s="143">
        <v>0</v>
      </c>
      <c r="M205" s="143">
        <v>0</v>
      </c>
      <c r="N205" s="143">
        <v>0</v>
      </c>
      <c r="O205" s="143">
        <v>0</v>
      </c>
      <c r="P205" s="143">
        <v>0</v>
      </c>
      <c r="Q205" s="143">
        <f>$C$205/2</f>
        <v>-1830500</v>
      </c>
      <c r="R205" s="143">
        <f>$C$205/2</f>
        <v>-1830500</v>
      </c>
      <c r="S205" s="143">
        <v>0</v>
      </c>
      <c r="T205" s="143">
        <v>0</v>
      </c>
      <c r="U205" s="143">
        <v>0</v>
      </c>
      <c r="V205" s="143">
        <v>0</v>
      </c>
      <c r="W205" s="143">
        <v>0</v>
      </c>
      <c r="X205" s="143">
        <v>0</v>
      </c>
      <c r="Y205" s="143">
        <v>0</v>
      </c>
      <c r="Z205" s="143">
        <v>0</v>
      </c>
      <c r="AA205" s="143">
        <v>0</v>
      </c>
      <c r="AB205" s="143">
        <v>0</v>
      </c>
      <c r="AC205" s="144">
        <v>0</v>
      </c>
      <c r="AD205" s="315"/>
    </row>
    <row r="206" spans="1:30" ht="22.5" x14ac:dyDescent="0.2">
      <c r="A206" s="310"/>
      <c r="B206" s="18" t="s">
        <v>87</v>
      </c>
      <c r="C206" s="149">
        <f t="shared" si="130"/>
        <v>-523000</v>
      </c>
      <c r="D206" s="85" t="b">
        <f t="shared" si="127"/>
        <v>1</v>
      </c>
      <c r="E206" s="149">
        <f t="shared" si="132"/>
        <v>-523000</v>
      </c>
      <c r="F206" s="67">
        <v>0</v>
      </c>
      <c r="G206" s="141">
        <v>0</v>
      </c>
      <c r="H206" s="141">
        <v>0</v>
      </c>
      <c r="I206" s="141">
        <v>0</v>
      </c>
      <c r="J206" s="141">
        <v>0</v>
      </c>
      <c r="K206" s="141">
        <v>0</v>
      </c>
      <c r="L206" s="141">
        <v>0</v>
      </c>
      <c r="M206" s="141">
        <v>0</v>
      </c>
      <c r="N206" s="141">
        <v>0</v>
      </c>
      <c r="O206" s="141">
        <v>0</v>
      </c>
      <c r="P206" s="141">
        <v>0</v>
      </c>
      <c r="Q206" s="141">
        <f>$C$206/2</f>
        <v>-261500</v>
      </c>
      <c r="R206" s="141">
        <f>$C$206/2</f>
        <v>-261500</v>
      </c>
      <c r="S206" s="141">
        <v>0</v>
      </c>
      <c r="T206" s="141">
        <v>0</v>
      </c>
      <c r="U206" s="141">
        <v>0</v>
      </c>
      <c r="V206" s="141">
        <v>0</v>
      </c>
      <c r="W206" s="141">
        <v>0</v>
      </c>
      <c r="X206" s="141">
        <v>0</v>
      </c>
      <c r="Y206" s="141">
        <v>0</v>
      </c>
      <c r="Z206" s="141">
        <v>0</v>
      </c>
      <c r="AA206" s="141">
        <v>0</v>
      </c>
      <c r="AB206" s="141">
        <v>0</v>
      </c>
      <c r="AC206" s="142">
        <v>0</v>
      </c>
      <c r="AD206" s="315"/>
    </row>
    <row r="207" spans="1:30" ht="22.5" x14ac:dyDescent="0.2">
      <c r="A207" s="310"/>
      <c r="B207" s="18" t="s">
        <v>88</v>
      </c>
      <c r="C207" s="149">
        <f t="shared" si="130"/>
        <v>-6537500</v>
      </c>
      <c r="D207" s="85" t="b">
        <f t="shared" si="127"/>
        <v>1</v>
      </c>
      <c r="E207" s="149">
        <f t="shared" si="132"/>
        <v>-6537500</v>
      </c>
      <c r="F207" s="67">
        <v>0</v>
      </c>
      <c r="G207" s="143">
        <v>0</v>
      </c>
      <c r="H207" s="143">
        <v>0</v>
      </c>
      <c r="I207" s="143">
        <v>0</v>
      </c>
      <c r="J207" s="143">
        <v>0</v>
      </c>
      <c r="K207" s="143">
        <v>0</v>
      </c>
      <c r="L207" s="143">
        <v>0</v>
      </c>
      <c r="M207" s="143">
        <v>0</v>
      </c>
      <c r="N207" s="143">
        <v>0</v>
      </c>
      <c r="O207" s="143">
        <v>0</v>
      </c>
      <c r="P207" s="143">
        <v>0</v>
      </c>
      <c r="Q207" s="143">
        <v>0</v>
      </c>
      <c r="R207" s="143">
        <v>0</v>
      </c>
      <c r="S207" s="143">
        <f>$C$207/4</f>
        <v>-1634375</v>
      </c>
      <c r="T207" s="143">
        <f>$C$207/4</f>
        <v>-1634375</v>
      </c>
      <c r="U207" s="143">
        <f t="shared" ref="U207:V207" si="134">$C$207/4</f>
        <v>-1634375</v>
      </c>
      <c r="V207" s="143">
        <f t="shared" si="134"/>
        <v>-1634375</v>
      </c>
      <c r="W207" s="143">
        <v>0</v>
      </c>
      <c r="X207" s="143">
        <v>0</v>
      </c>
      <c r="Y207" s="143">
        <v>0</v>
      </c>
      <c r="Z207" s="143">
        <v>0</v>
      </c>
      <c r="AA207" s="143">
        <v>0</v>
      </c>
      <c r="AB207" s="143">
        <v>0</v>
      </c>
      <c r="AC207" s="144">
        <v>0</v>
      </c>
      <c r="AD207" s="315"/>
    </row>
    <row r="208" spans="1:30" ht="22.5" x14ac:dyDescent="0.2">
      <c r="A208" s="310"/>
      <c r="B208" s="18" t="s">
        <v>89</v>
      </c>
      <c r="C208" s="149">
        <f t="shared" si="130"/>
        <v>-7137692.7264</v>
      </c>
      <c r="D208" s="85" t="b">
        <f t="shared" si="127"/>
        <v>1</v>
      </c>
      <c r="E208" s="149">
        <f t="shared" ref="E208:E213" si="135">SUM(F208:AC208)</f>
        <v>-7137692.7264</v>
      </c>
      <c r="F208" s="67">
        <v>0</v>
      </c>
      <c r="G208" s="141">
        <v>0</v>
      </c>
      <c r="H208" s="141">
        <v>0</v>
      </c>
      <c r="I208" s="141">
        <v>0</v>
      </c>
      <c r="J208" s="141">
        <v>0</v>
      </c>
      <c r="K208" s="141">
        <v>0</v>
      </c>
      <c r="L208" s="141">
        <v>0</v>
      </c>
      <c r="M208" s="141">
        <f>$C$208/6</f>
        <v>-1189615.4543999999</v>
      </c>
      <c r="N208" s="141">
        <f t="shared" ref="N208:R208" si="136">$C$208/6</f>
        <v>-1189615.4543999999</v>
      </c>
      <c r="O208" s="141">
        <f t="shared" si="136"/>
        <v>-1189615.4543999999</v>
      </c>
      <c r="P208" s="141">
        <f t="shared" si="136"/>
        <v>-1189615.4543999999</v>
      </c>
      <c r="Q208" s="141">
        <f t="shared" si="136"/>
        <v>-1189615.4543999999</v>
      </c>
      <c r="R208" s="141">
        <f t="shared" si="136"/>
        <v>-1189615.4543999999</v>
      </c>
      <c r="S208" s="141">
        <v>0</v>
      </c>
      <c r="T208" s="141">
        <v>0</v>
      </c>
      <c r="U208" s="141">
        <v>0</v>
      </c>
      <c r="V208" s="141">
        <v>0</v>
      </c>
      <c r="W208" s="141">
        <v>0</v>
      </c>
      <c r="X208" s="141">
        <v>0</v>
      </c>
      <c r="Y208" s="141">
        <v>0</v>
      </c>
      <c r="Z208" s="141">
        <v>0</v>
      </c>
      <c r="AA208" s="141">
        <v>0</v>
      </c>
      <c r="AB208" s="141">
        <v>0</v>
      </c>
      <c r="AC208" s="142">
        <v>0</v>
      </c>
      <c r="AD208" s="315"/>
    </row>
    <row r="209" spans="1:30" ht="22.5" x14ac:dyDescent="0.2">
      <c r="A209" s="310"/>
      <c r="B209" s="18" t="s">
        <v>404</v>
      </c>
      <c r="C209" s="149">
        <f t="shared" si="130"/>
        <v>-7789684.8828519443</v>
      </c>
      <c r="D209" s="85" t="b">
        <f t="shared" si="127"/>
        <v>1</v>
      </c>
      <c r="E209" s="149">
        <f t="shared" si="135"/>
        <v>-7789684.8828519443</v>
      </c>
      <c r="F209" s="67">
        <v>0</v>
      </c>
      <c r="G209" s="143">
        <v>0</v>
      </c>
      <c r="H209" s="143">
        <v>0</v>
      </c>
      <c r="I209" s="143">
        <v>0</v>
      </c>
      <c r="J209" s="143">
        <v>0</v>
      </c>
      <c r="K209" s="143">
        <v>0</v>
      </c>
      <c r="L209" s="143">
        <v>0</v>
      </c>
      <c r="M209" s="143">
        <v>0</v>
      </c>
      <c r="N209" s="143">
        <v>0</v>
      </c>
      <c r="O209" s="143">
        <v>0</v>
      </c>
      <c r="P209" s="143">
        <v>0</v>
      </c>
      <c r="Q209" s="143">
        <f>$C$209/6</f>
        <v>-1298280.8138086575</v>
      </c>
      <c r="R209" s="143">
        <f t="shared" ref="R209:V209" si="137">$C$209/6</f>
        <v>-1298280.8138086575</v>
      </c>
      <c r="S209" s="143">
        <f t="shared" si="137"/>
        <v>-1298280.8138086575</v>
      </c>
      <c r="T209" s="143">
        <f t="shared" si="137"/>
        <v>-1298280.8138086575</v>
      </c>
      <c r="U209" s="143">
        <f t="shared" si="137"/>
        <v>-1298280.8138086575</v>
      </c>
      <c r="V209" s="143">
        <f t="shared" si="137"/>
        <v>-1298280.8138086575</v>
      </c>
      <c r="W209" s="143">
        <v>0</v>
      </c>
      <c r="X209" s="143">
        <v>0</v>
      </c>
      <c r="Y209" s="143">
        <v>0</v>
      </c>
      <c r="Z209" s="143">
        <v>0</v>
      </c>
      <c r="AA209" s="143">
        <v>0</v>
      </c>
      <c r="AB209" s="143">
        <v>0</v>
      </c>
      <c r="AC209" s="144">
        <v>0</v>
      </c>
      <c r="AD209" s="315"/>
    </row>
    <row r="210" spans="1:30" ht="22.5" x14ac:dyDescent="0.2">
      <c r="A210" s="310"/>
      <c r="B210" s="18" t="s">
        <v>407</v>
      </c>
      <c r="C210" s="149">
        <f t="shared" si="130"/>
        <v>-1039181.0492937373</v>
      </c>
      <c r="D210" s="85" t="b">
        <f>IF(ABS(E210 - C210) &lt; MAX(0.00001, E210 * 0.00001), TRUE, FALSE)</f>
        <v>1</v>
      </c>
      <c r="E210" s="149">
        <f t="shared" si="135"/>
        <v>-1039181.0492937373</v>
      </c>
      <c r="F210" s="67">
        <v>0</v>
      </c>
      <c r="G210" s="143">
        <v>0</v>
      </c>
      <c r="H210" s="143">
        <v>0</v>
      </c>
      <c r="I210" s="143">
        <v>0</v>
      </c>
      <c r="J210" s="143">
        <v>0</v>
      </c>
      <c r="K210" s="143">
        <v>0</v>
      </c>
      <c r="L210" s="143">
        <v>0</v>
      </c>
      <c r="M210" s="143">
        <v>0</v>
      </c>
      <c r="N210" s="143">
        <v>0</v>
      </c>
      <c r="O210" s="143">
        <v>0</v>
      </c>
      <c r="P210" s="143">
        <v>0</v>
      </c>
      <c r="Q210" s="143">
        <f>$C$210/6</f>
        <v>-173196.8415489562</v>
      </c>
      <c r="R210" s="143">
        <f t="shared" ref="R210:V210" si="138">$C$210/6</f>
        <v>-173196.8415489562</v>
      </c>
      <c r="S210" s="143">
        <f t="shared" si="138"/>
        <v>-173196.8415489562</v>
      </c>
      <c r="T210" s="143">
        <f t="shared" si="138"/>
        <v>-173196.8415489562</v>
      </c>
      <c r="U210" s="143">
        <f t="shared" si="138"/>
        <v>-173196.8415489562</v>
      </c>
      <c r="V210" s="143">
        <f t="shared" si="138"/>
        <v>-173196.8415489562</v>
      </c>
      <c r="W210" s="143">
        <v>0</v>
      </c>
      <c r="X210" s="143">
        <v>0</v>
      </c>
      <c r="Y210" s="143">
        <v>0</v>
      </c>
      <c r="Z210" s="143">
        <v>0</v>
      </c>
      <c r="AA210" s="143">
        <v>0</v>
      </c>
      <c r="AB210" s="143">
        <v>0</v>
      </c>
      <c r="AC210" s="144">
        <v>0</v>
      </c>
      <c r="AD210" s="315"/>
    </row>
    <row r="211" spans="1:30" ht="22.5" x14ac:dyDescent="0.2">
      <c r="A211" s="310"/>
      <c r="B211" s="18" t="s">
        <v>239</v>
      </c>
      <c r="C211" s="149">
        <f t="shared" si="130"/>
        <v>-3662396.3933924213</v>
      </c>
      <c r="D211" s="85" t="b">
        <f t="shared" si="127"/>
        <v>1</v>
      </c>
      <c r="E211" s="149">
        <f t="shared" si="135"/>
        <v>-3662396.3933924213</v>
      </c>
      <c r="F211" s="141">
        <f>$D$100*-F278</f>
        <v>0</v>
      </c>
      <c r="G211" s="141"/>
      <c r="H211" s="141">
        <f>$D$100*-I278</f>
        <v>-52319.948477034595</v>
      </c>
      <c r="I211" s="141">
        <f t="shared" ref="I211:AB211" si="139">$D$100*-J278</f>
        <v>-104639.89695406919</v>
      </c>
      <c r="J211" s="141">
        <f t="shared" si="139"/>
        <v>-156959.84543110378</v>
      </c>
      <c r="K211" s="141">
        <f t="shared" si="139"/>
        <v>-209279.79390813838</v>
      </c>
      <c r="L211" s="141">
        <f t="shared" si="139"/>
        <v>-209279.79390813838</v>
      </c>
      <c r="M211" s="141">
        <f t="shared" si="139"/>
        <v>-418559.58781627676</v>
      </c>
      <c r="N211" s="141">
        <f t="shared" si="139"/>
        <v>-418559.58781627676</v>
      </c>
      <c r="O211" s="141">
        <f t="shared" si="139"/>
        <v>-523199.48477034591</v>
      </c>
      <c r="P211" s="141">
        <f t="shared" si="139"/>
        <v>-784799.22715551895</v>
      </c>
      <c r="Q211" s="141">
        <f t="shared" si="139"/>
        <v>-784799.22715551895</v>
      </c>
      <c r="R211" s="141">
        <f t="shared" si="139"/>
        <v>0</v>
      </c>
      <c r="S211" s="141">
        <f>$D$100*-T278</f>
        <v>0</v>
      </c>
      <c r="T211" s="141">
        <f t="shared" si="139"/>
        <v>0</v>
      </c>
      <c r="U211" s="141">
        <f t="shared" si="139"/>
        <v>0</v>
      </c>
      <c r="V211" s="141">
        <f t="shared" si="139"/>
        <v>0</v>
      </c>
      <c r="W211" s="141">
        <f t="shared" si="139"/>
        <v>0</v>
      </c>
      <c r="X211" s="141">
        <f t="shared" si="139"/>
        <v>0</v>
      </c>
      <c r="Y211" s="141">
        <f t="shared" si="139"/>
        <v>0</v>
      </c>
      <c r="Z211" s="141">
        <f t="shared" si="139"/>
        <v>0</v>
      </c>
      <c r="AA211" s="141">
        <f t="shared" si="139"/>
        <v>0</v>
      </c>
      <c r="AB211" s="141">
        <f t="shared" si="139"/>
        <v>0</v>
      </c>
      <c r="AC211" s="142">
        <f t="shared" ref="AC211" si="140">$D$100*-AC278</f>
        <v>0</v>
      </c>
      <c r="AD211" s="315"/>
    </row>
    <row r="212" spans="1:30" ht="23.25" thickBot="1" x14ac:dyDescent="0.25">
      <c r="A212" s="310"/>
      <c r="B212" s="131" t="s">
        <v>90</v>
      </c>
      <c r="C212" s="117">
        <f t="shared" si="130"/>
        <v>-11896154.544</v>
      </c>
      <c r="D212" s="118" t="b">
        <f t="shared" si="127"/>
        <v>1</v>
      </c>
      <c r="E212" s="117">
        <f t="shared" si="135"/>
        <v>-11896154.543999998</v>
      </c>
      <c r="F212" s="145">
        <f>$C$212/13</f>
        <v>-915088.81107692304</v>
      </c>
      <c r="G212" s="145">
        <f t="shared" ref="G212:R212" si="141">$C$212/13</f>
        <v>-915088.81107692304</v>
      </c>
      <c r="H212" s="145">
        <f t="shared" si="141"/>
        <v>-915088.81107692304</v>
      </c>
      <c r="I212" s="145">
        <f t="shared" si="141"/>
        <v>-915088.81107692304</v>
      </c>
      <c r="J212" s="145">
        <f t="shared" si="141"/>
        <v>-915088.81107692304</v>
      </c>
      <c r="K212" s="145">
        <f t="shared" si="141"/>
        <v>-915088.81107692304</v>
      </c>
      <c r="L212" s="145">
        <f t="shared" si="141"/>
        <v>-915088.81107692304</v>
      </c>
      <c r="M212" s="145">
        <f t="shared" si="141"/>
        <v>-915088.81107692304</v>
      </c>
      <c r="N212" s="145">
        <f t="shared" si="141"/>
        <v>-915088.81107692304</v>
      </c>
      <c r="O212" s="145">
        <f t="shared" si="141"/>
        <v>-915088.81107692304</v>
      </c>
      <c r="P212" s="145">
        <f t="shared" si="141"/>
        <v>-915088.81107692304</v>
      </c>
      <c r="Q212" s="145">
        <f t="shared" si="141"/>
        <v>-915088.81107692304</v>
      </c>
      <c r="R212" s="145">
        <f t="shared" si="141"/>
        <v>-915088.81107692304</v>
      </c>
      <c r="S212" s="145">
        <f t="shared" ref="S212:AC212" si="142">$D$101*S196</f>
        <v>0</v>
      </c>
      <c r="T212" s="145">
        <f t="shared" si="142"/>
        <v>0</v>
      </c>
      <c r="U212" s="145">
        <f t="shared" si="142"/>
        <v>0</v>
      </c>
      <c r="V212" s="145">
        <f t="shared" si="142"/>
        <v>0</v>
      </c>
      <c r="W212" s="145">
        <f t="shared" si="142"/>
        <v>0</v>
      </c>
      <c r="X212" s="145">
        <f t="shared" si="142"/>
        <v>0</v>
      </c>
      <c r="Y212" s="145">
        <f t="shared" si="142"/>
        <v>0</v>
      </c>
      <c r="Z212" s="145">
        <f t="shared" si="142"/>
        <v>0</v>
      </c>
      <c r="AA212" s="145">
        <f t="shared" si="142"/>
        <v>0</v>
      </c>
      <c r="AB212" s="145">
        <f t="shared" si="142"/>
        <v>0</v>
      </c>
      <c r="AC212" s="147">
        <f t="shared" si="142"/>
        <v>0</v>
      </c>
      <c r="AD212" s="315"/>
    </row>
    <row r="213" spans="1:30" ht="22.5" x14ac:dyDescent="0.2">
      <c r="A213" s="310"/>
      <c r="B213" s="132" t="s">
        <v>179</v>
      </c>
      <c r="C213" s="66">
        <f>-I157+-U157</f>
        <v>-17683474.1895913</v>
      </c>
      <c r="D213" s="84" t="b">
        <f t="shared" si="127"/>
        <v>1</v>
      </c>
      <c r="E213" s="66">
        <f t="shared" si="135"/>
        <v>-17683474.1895913</v>
      </c>
      <c r="F213" s="133">
        <f t="shared" ref="F213:AC213" si="143">-($I$158*F185)+-($U$158*F186)</f>
        <v>0</v>
      </c>
      <c r="G213" s="133">
        <f t="shared" si="143"/>
        <v>0</v>
      </c>
      <c r="H213" s="133">
        <f t="shared" si="143"/>
        <v>0</v>
      </c>
      <c r="I213" s="133">
        <f t="shared" si="143"/>
        <v>0</v>
      </c>
      <c r="J213" s="133">
        <f t="shared" si="143"/>
        <v>0</v>
      </c>
      <c r="K213" s="133">
        <f t="shared" si="143"/>
        <v>0</v>
      </c>
      <c r="L213" s="133">
        <f t="shared" si="143"/>
        <v>0</v>
      </c>
      <c r="M213" s="133">
        <f t="shared" si="143"/>
        <v>0</v>
      </c>
      <c r="N213" s="133">
        <f t="shared" si="143"/>
        <v>0</v>
      </c>
      <c r="O213" s="133">
        <f t="shared" si="143"/>
        <v>-143306.7284386947</v>
      </c>
      <c r="P213" s="133">
        <f t="shared" si="143"/>
        <v>-238844.54739782447</v>
      </c>
      <c r="Q213" s="133">
        <f t="shared" si="143"/>
        <v>-238844.54739782447</v>
      </c>
      <c r="R213" s="133">
        <f t="shared" si="143"/>
        <v>-334382.36635695427</v>
      </c>
      <c r="S213" s="133">
        <f t="shared" si="143"/>
        <v>-2509214.4000000004</v>
      </c>
      <c r="T213" s="133">
        <f t="shared" si="143"/>
        <v>-3345619.2</v>
      </c>
      <c r="U213" s="133">
        <f t="shared" si="143"/>
        <v>-5018428.8000000007</v>
      </c>
      <c r="V213" s="133">
        <f t="shared" si="143"/>
        <v>-5854833.6000000006</v>
      </c>
      <c r="W213" s="133">
        <f t="shared" si="143"/>
        <v>0</v>
      </c>
      <c r="X213" s="133">
        <f t="shared" si="143"/>
        <v>0</v>
      </c>
      <c r="Y213" s="133">
        <f t="shared" si="143"/>
        <v>0</v>
      </c>
      <c r="Z213" s="133">
        <f t="shared" si="143"/>
        <v>0</v>
      </c>
      <c r="AA213" s="133">
        <f t="shared" si="143"/>
        <v>0</v>
      </c>
      <c r="AB213" s="133">
        <f t="shared" si="143"/>
        <v>0</v>
      </c>
      <c r="AC213" s="134">
        <f t="shared" si="143"/>
        <v>0</v>
      </c>
      <c r="AD213" s="315"/>
    </row>
    <row r="214" spans="1:30" ht="22.5" x14ac:dyDescent="0.2">
      <c r="A214" s="310"/>
      <c r="B214" s="18" t="s">
        <v>180</v>
      </c>
      <c r="C214" s="149">
        <f>-C105</f>
        <v>-21541855.780617476</v>
      </c>
      <c r="D214" s="85" t="b">
        <f t="shared" si="127"/>
        <v>1</v>
      </c>
      <c r="E214" s="149">
        <f t="shared" si="132"/>
        <v>-21541855.780617483</v>
      </c>
      <c r="F214" s="143">
        <f>$C$214/15</f>
        <v>-1436123.7187078318</v>
      </c>
      <c r="G214" s="143">
        <f t="shared" ref="G214:T214" si="144">$C$214/15</f>
        <v>-1436123.7187078318</v>
      </c>
      <c r="H214" s="143">
        <f t="shared" si="144"/>
        <v>-1436123.7187078318</v>
      </c>
      <c r="I214" s="143">
        <f t="shared" si="144"/>
        <v>-1436123.7187078318</v>
      </c>
      <c r="J214" s="143">
        <f t="shared" si="144"/>
        <v>-1436123.7187078318</v>
      </c>
      <c r="K214" s="143">
        <f t="shared" si="144"/>
        <v>-1436123.7187078318</v>
      </c>
      <c r="L214" s="143">
        <f t="shared" si="144"/>
        <v>-1436123.7187078318</v>
      </c>
      <c r="M214" s="143">
        <f t="shared" si="144"/>
        <v>-1436123.7187078318</v>
      </c>
      <c r="N214" s="143">
        <f t="shared" si="144"/>
        <v>-1436123.7187078318</v>
      </c>
      <c r="O214" s="143">
        <f t="shared" si="144"/>
        <v>-1436123.7187078318</v>
      </c>
      <c r="P214" s="143">
        <f t="shared" si="144"/>
        <v>-1436123.7187078318</v>
      </c>
      <c r="Q214" s="143">
        <f t="shared" si="144"/>
        <v>-1436123.7187078318</v>
      </c>
      <c r="R214" s="143">
        <f t="shared" si="144"/>
        <v>-1436123.7187078318</v>
      </c>
      <c r="S214" s="143">
        <f t="shared" si="144"/>
        <v>-1436123.7187078318</v>
      </c>
      <c r="T214" s="143">
        <f t="shared" si="144"/>
        <v>-1436123.7187078318</v>
      </c>
      <c r="U214" s="143">
        <v>0</v>
      </c>
      <c r="V214" s="143">
        <v>0</v>
      </c>
      <c r="W214" s="143">
        <v>0</v>
      </c>
      <c r="X214" s="143">
        <v>0</v>
      </c>
      <c r="Y214" s="143">
        <v>0</v>
      </c>
      <c r="Z214" s="143">
        <v>0</v>
      </c>
      <c r="AA214" s="143">
        <v>0</v>
      </c>
      <c r="AB214" s="143">
        <v>0</v>
      </c>
      <c r="AC214" s="144">
        <v>0</v>
      </c>
      <c r="AD214" s="315"/>
    </row>
    <row r="215" spans="1:30" ht="22.5" x14ac:dyDescent="0.2">
      <c r="A215" s="310"/>
      <c r="B215" s="102" t="s">
        <v>181</v>
      </c>
      <c r="C215" s="149">
        <f>(((TRUNC(D122))*267000)+292000)*-1</f>
        <v>-1360000</v>
      </c>
      <c r="D215" s="85" t="b">
        <f t="shared" si="127"/>
        <v>1</v>
      </c>
      <c r="E215" s="149">
        <f>SUM(F215:AC215)</f>
        <v>-1360000</v>
      </c>
      <c r="F215" s="67">
        <v>-292000</v>
      </c>
      <c r="G215" s="141">
        <v>0</v>
      </c>
      <c r="H215" s="141">
        <v>0</v>
      </c>
      <c r="I215" s="141">
        <v>0</v>
      </c>
      <c r="J215" s="67">
        <v>-267000</v>
      </c>
      <c r="K215" s="141">
        <v>0</v>
      </c>
      <c r="L215" s="141">
        <v>0</v>
      </c>
      <c r="M215" s="141">
        <v>0</v>
      </c>
      <c r="N215" s="67">
        <v>-267000</v>
      </c>
      <c r="O215" s="141">
        <v>0</v>
      </c>
      <c r="P215" s="141">
        <v>0</v>
      </c>
      <c r="Q215" s="141">
        <v>0</v>
      </c>
      <c r="R215" s="67">
        <v>-267000</v>
      </c>
      <c r="S215" s="141">
        <v>0</v>
      </c>
      <c r="T215" s="141">
        <v>0</v>
      </c>
      <c r="U215" s="141">
        <v>0</v>
      </c>
      <c r="V215" s="67">
        <v>-267000</v>
      </c>
      <c r="W215" s="141">
        <v>0</v>
      </c>
      <c r="X215" s="141">
        <v>0</v>
      </c>
      <c r="Y215" s="141">
        <v>0</v>
      </c>
      <c r="Z215" s="67">
        <v>0</v>
      </c>
      <c r="AA215" s="141">
        <v>0</v>
      </c>
      <c r="AB215" s="141">
        <v>0</v>
      </c>
      <c r="AC215" s="142">
        <v>0</v>
      </c>
      <c r="AD215" s="315"/>
    </row>
    <row r="216" spans="1:30" ht="22.5" x14ac:dyDescent="0.2">
      <c r="A216" s="310"/>
      <c r="B216" s="102" t="s">
        <v>182</v>
      </c>
      <c r="C216" s="149">
        <f>-C104</f>
        <v>-71376927.263999999</v>
      </c>
      <c r="D216" s="85" t="b">
        <f t="shared" si="127"/>
        <v>1</v>
      </c>
      <c r="E216" s="149">
        <f>SUM(F216:AC216)</f>
        <v>-71376927.263999999</v>
      </c>
      <c r="F216" s="143">
        <f>F196*$D$104</f>
        <v>0</v>
      </c>
      <c r="G216" s="143">
        <f>G196*$D$104</f>
        <v>0</v>
      </c>
      <c r="H216" s="143">
        <f t="shared" ref="H216:AC216" si="145">H196*$D$104</f>
        <v>0</v>
      </c>
      <c r="I216" s="143">
        <f t="shared" si="145"/>
        <v>-10706539.089599999</v>
      </c>
      <c r="J216" s="143">
        <f>J196*$D$104</f>
        <v>-7137692.7264</v>
      </c>
      <c r="K216" s="143">
        <f t="shared" si="145"/>
        <v>-7137692.7264</v>
      </c>
      <c r="L216" s="143">
        <f t="shared" si="145"/>
        <v>-7137692.7264</v>
      </c>
      <c r="M216" s="143">
        <f t="shared" si="145"/>
        <v>-7137692.7264</v>
      </c>
      <c r="N216" s="143">
        <f t="shared" si="145"/>
        <v>-5710154.1811199998</v>
      </c>
      <c r="O216" s="143">
        <f t="shared" si="145"/>
        <v>-5710154.1811199998</v>
      </c>
      <c r="P216" s="143">
        <f t="shared" si="145"/>
        <v>-5710154.1811199998</v>
      </c>
      <c r="Q216" s="143">
        <f t="shared" si="145"/>
        <v>-5710154.1811199998</v>
      </c>
      <c r="R216" s="143">
        <f t="shared" si="145"/>
        <v>-9279000.5443199985</v>
      </c>
      <c r="S216" s="143">
        <f t="shared" si="145"/>
        <v>0</v>
      </c>
      <c r="T216" s="143">
        <f t="shared" si="145"/>
        <v>0</v>
      </c>
      <c r="U216" s="143">
        <f t="shared" si="145"/>
        <v>0</v>
      </c>
      <c r="V216" s="143">
        <f t="shared" si="145"/>
        <v>0</v>
      </c>
      <c r="W216" s="143">
        <f t="shared" si="145"/>
        <v>0</v>
      </c>
      <c r="X216" s="143">
        <f t="shared" si="145"/>
        <v>0</v>
      </c>
      <c r="Y216" s="143">
        <f t="shared" si="145"/>
        <v>0</v>
      </c>
      <c r="Z216" s="143">
        <f t="shared" si="145"/>
        <v>0</v>
      </c>
      <c r="AA216" s="143">
        <f t="shared" si="145"/>
        <v>0</v>
      </c>
      <c r="AB216" s="143">
        <f t="shared" si="145"/>
        <v>0</v>
      </c>
      <c r="AC216" s="144">
        <f t="shared" si="145"/>
        <v>0</v>
      </c>
      <c r="AD216" s="315"/>
    </row>
    <row r="217" spans="1:30" x14ac:dyDescent="0.2">
      <c r="A217" s="310"/>
      <c r="B217" s="188"/>
      <c r="C217" s="114"/>
      <c r="D217" s="199">
        <f>E218-C218</f>
        <v>0</v>
      </c>
      <c r="E217" s="115"/>
      <c r="F217" s="114"/>
      <c r="G217" s="114"/>
      <c r="H217" s="114"/>
      <c r="I217" s="114"/>
      <c r="J217" s="114"/>
      <c r="K217" s="114"/>
      <c r="L217" s="114"/>
      <c r="M217" s="114"/>
      <c r="N217" s="114"/>
      <c r="O217" s="114"/>
      <c r="P217" s="114"/>
      <c r="Q217" s="114"/>
      <c r="R217" s="114"/>
      <c r="S217" s="114"/>
      <c r="T217" s="114"/>
      <c r="U217" s="114"/>
      <c r="V217" s="114"/>
      <c r="W217" s="114"/>
      <c r="X217" s="114"/>
      <c r="Y217" s="114"/>
      <c r="Z217" s="114"/>
      <c r="AA217" s="114"/>
      <c r="AB217" s="114"/>
      <c r="AC217" s="138"/>
      <c r="AD217" s="310"/>
    </row>
    <row r="218" spans="1:30" ht="22.5" x14ac:dyDescent="0.2">
      <c r="A218" s="310"/>
      <c r="B218" s="5" t="s">
        <v>183</v>
      </c>
      <c r="C218" s="149">
        <f>SUM(E184:E189,E191:E216)</f>
        <v>340120660.89146417</v>
      </c>
      <c r="D218" s="85" t="b">
        <f>IF(ABS(E218 - C218) &lt; MAX(0.00001, E218 * 0.00001), TRUE, FALSE)</f>
        <v>1</v>
      </c>
      <c r="E218" s="149">
        <f>SUM(F218:AC218)</f>
        <v>340120660.89146399</v>
      </c>
      <c r="F218" s="141">
        <f>SUM(F184:F189,F191:F216)</f>
        <v>-248413407.4973152</v>
      </c>
      <c r="G218" s="141">
        <f t="shared" ref="G218:AC218" si="146">SUM(G184:G189,G191:G216)</f>
        <v>-10013588.889944753</v>
      </c>
      <c r="H218" s="141">
        <f t="shared" si="146"/>
        <v>-17463106.844821788</v>
      </c>
      <c r="I218" s="141">
        <f t="shared" ref="I218:R218" si="147">SUM(I184:I189,I191:I216)</f>
        <v>-33667357.103587881</v>
      </c>
      <c r="J218" s="141">
        <f t="shared" si="147"/>
        <v>-561919.46291995607</v>
      </c>
      <c r="K218" s="141">
        <f t="shared" si="147"/>
        <v>-687740.8476650659</v>
      </c>
      <c r="L218" s="141">
        <f t="shared" si="147"/>
        <v>-1280123.762097667</v>
      </c>
      <c r="M218" s="141">
        <f t="shared" si="147"/>
        <v>-705705.66921679303</v>
      </c>
      <c r="N218" s="141">
        <f t="shared" si="147"/>
        <v>-554045.98510373197</v>
      </c>
      <c r="O218" s="141">
        <f t="shared" si="147"/>
        <v>2483446.9258370372</v>
      </c>
      <c r="P218" s="141">
        <f t="shared" si="147"/>
        <v>4031409.4544253321</v>
      </c>
      <c r="Q218" s="141">
        <f t="shared" si="147"/>
        <v>5321289.8164885463</v>
      </c>
      <c r="R218" s="141">
        <f t="shared" si="147"/>
        <v>6336379.4072940554</v>
      </c>
      <c r="S218" s="141">
        <f t="shared" si="146"/>
        <v>204514347.15453944</v>
      </c>
      <c r="T218" s="141">
        <f t="shared" si="146"/>
        <v>6306601.6422297293</v>
      </c>
      <c r="U218" s="141">
        <f t="shared" si="146"/>
        <v>11030271.671530169</v>
      </c>
      <c r="V218" s="141">
        <f t="shared" si="146"/>
        <v>55785666.25202933</v>
      </c>
      <c r="W218" s="141">
        <f t="shared" si="146"/>
        <v>316197436.06303144</v>
      </c>
      <c r="X218" s="141">
        <f t="shared" si="146"/>
        <v>41460808.566731781</v>
      </c>
      <c r="Y218" s="141">
        <f t="shared" si="146"/>
        <v>8.9295889943927713E-103</v>
      </c>
      <c r="Z218" s="141">
        <f t="shared" si="146"/>
        <v>1.9827670604028505E-118</v>
      </c>
      <c r="AA218" s="141">
        <f t="shared" si="146"/>
        <v>4.4026272858551663E-134</v>
      </c>
      <c r="AB218" s="141">
        <f t="shared" si="146"/>
        <v>9.7757963631987328E-150</v>
      </c>
      <c r="AC218" s="142">
        <f t="shared" si="146"/>
        <v>2.1706628412940205E-165</v>
      </c>
      <c r="AD218" s="310"/>
    </row>
    <row r="219" spans="1:30" ht="18" x14ac:dyDescent="0.2">
      <c r="A219" s="310"/>
      <c r="B219" s="175" t="s">
        <v>264</v>
      </c>
      <c r="C219" s="210">
        <f>-SUM(E192:E216)</f>
        <v>1000388458.408283</v>
      </c>
      <c r="D219" s="85" t="b">
        <f>IF(ABS(C219 - C115) &lt; MAX(0.0001, C219 * 0.0001), TRUE, FALSE)</f>
        <v>1</v>
      </c>
      <c r="E219" s="481"/>
      <c r="F219" s="145">
        <f>F218</f>
        <v>-248413407.4973152</v>
      </c>
      <c r="G219" s="145">
        <f>F219+G218</f>
        <v>-258426996.38725996</v>
      </c>
      <c r="H219" s="145">
        <f>G219+H218</f>
        <v>-275890103.23208177</v>
      </c>
      <c r="I219" s="145">
        <f>H219+I218</f>
        <v>-309557460.33566964</v>
      </c>
      <c r="J219" s="145">
        <f t="shared" ref="J219:AC219" si="148">I219+J218</f>
        <v>-310119379.79858959</v>
      </c>
      <c r="K219" s="145">
        <f t="shared" si="148"/>
        <v>-310807120.64625466</v>
      </c>
      <c r="L219" s="145">
        <f t="shared" si="148"/>
        <v>-312087244.40835232</v>
      </c>
      <c r="M219" s="145">
        <f t="shared" si="148"/>
        <v>-312792950.07756913</v>
      </c>
      <c r="N219" s="145">
        <f t="shared" si="148"/>
        <v>-313346996.06267285</v>
      </c>
      <c r="O219" s="145">
        <f t="shared" si="148"/>
        <v>-310863549.13683581</v>
      </c>
      <c r="P219" s="145">
        <f t="shared" si="148"/>
        <v>-306832139.68241048</v>
      </c>
      <c r="Q219" s="145">
        <f t="shared" si="148"/>
        <v>-301510849.86592191</v>
      </c>
      <c r="R219" s="145">
        <f t="shared" si="148"/>
        <v>-295174470.45862788</v>
      </c>
      <c r="S219" s="145">
        <f t="shared" si="148"/>
        <v>-90660123.304088444</v>
      </c>
      <c r="T219" s="145">
        <f>S219+T218</f>
        <v>-84353521.661858708</v>
      </c>
      <c r="U219" s="145">
        <f t="shared" si="148"/>
        <v>-73323249.990328535</v>
      </c>
      <c r="V219" s="145">
        <f t="shared" si="148"/>
        <v>-17537583.738299206</v>
      </c>
      <c r="W219" s="145">
        <f t="shared" si="148"/>
        <v>298659852.32473224</v>
      </c>
      <c r="X219" s="145">
        <f t="shared" si="148"/>
        <v>340120660.89146399</v>
      </c>
      <c r="Y219" s="145">
        <f t="shared" si="148"/>
        <v>340120660.89146399</v>
      </c>
      <c r="Z219" s="145">
        <f t="shared" si="148"/>
        <v>340120660.89146399</v>
      </c>
      <c r="AA219" s="145">
        <f t="shared" si="148"/>
        <v>340120660.89146399</v>
      </c>
      <c r="AB219" s="145">
        <f t="shared" si="148"/>
        <v>340120660.89146399</v>
      </c>
      <c r="AC219" s="147">
        <f t="shared" si="148"/>
        <v>340120660.89146399</v>
      </c>
      <c r="AD219" s="310"/>
    </row>
    <row r="220" spans="1:30" ht="22.5" x14ac:dyDescent="0.2">
      <c r="A220" s="310"/>
      <c r="B220" s="5" t="s">
        <v>184</v>
      </c>
      <c r="C220" s="168">
        <f>SUM(C184:C188)</f>
        <v>1340509119.299747</v>
      </c>
      <c r="D220" s="85" t="b">
        <f>IF(ABS(C220 - C17) &lt; MAX(0.00001, C220 * 0.00001), TRUE, FALSE)</f>
        <v>1</v>
      </c>
      <c r="E220" s="482"/>
      <c r="F220" s="216"/>
      <c r="G220" s="189"/>
      <c r="H220" s="189"/>
      <c r="I220" s="189"/>
      <c r="J220" s="189"/>
      <c r="K220" s="189"/>
      <c r="L220" s="189"/>
      <c r="M220" s="189"/>
      <c r="N220" s="189"/>
      <c r="O220" s="189"/>
      <c r="P220" s="189"/>
      <c r="Q220" s="189"/>
      <c r="R220" s="189"/>
      <c r="S220" s="189"/>
      <c r="T220" s="189"/>
      <c r="U220" s="189"/>
      <c r="V220" s="189"/>
      <c r="W220" s="189"/>
      <c r="X220" s="189"/>
      <c r="Y220" s="189"/>
      <c r="Z220" s="189"/>
      <c r="AA220" s="189"/>
      <c r="AB220" s="189"/>
      <c r="AC220" s="190"/>
      <c r="AD220" s="310"/>
    </row>
    <row r="221" spans="1:30" ht="22.5" x14ac:dyDescent="0.2">
      <c r="A221" s="310"/>
      <c r="B221" s="182" t="s">
        <v>22</v>
      </c>
      <c r="C221" s="149">
        <f>SUM(C184:C188)+SUM(E192:E216)</f>
        <v>340120660.89146399</v>
      </c>
      <c r="D221" s="85" t="b">
        <f>IF(ABS(E218 - C221) &lt; MAX(0.00001, E218 * 0.00001), TRUE, FALSE)</f>
        <v>1</v>
      </c>
      <c r="E221" s="482"/>
      <c r="F221" s="191"/>
      <c r="G221" s="152"/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AC221" s="153"/>
      <c r="AD221" s="310"/>
    </row>
    <row r="222" spans="1:30" x14ac:dyDescent="0.2">
      <c r="A222" s="310"/>
      <c r="B222" s="560" t="s">
        <v>185</v>
      </c>
      <c r="C222" s="561"/>
      <c r="D222" s="561"/>
      <c r="E222" s="482"/>
      <c r="F222" s="192"/>
      <c r="G222" s="193"/>
      <c r="H222" s="193"/>
      <c r="I222" s="193"/>
      <c r="J222" s="193"/>
      <c r="K222" s="193"/>
      <c r="L222" s="193"/>
      <c r="M222" s="193"/>
      <c r="N222" s="193"/>
      <c r="O222" s="193"/>
      <c r="P222" s="193"/>
      <c r="Q222" s="193"/>
      <c r="R222" s="193"/>
      <c r="S222" s="193"/>
      <c r="T222" s="193"/>
      <c r="U222" s="193"/>
      <c r="V222" s="193"/>
      <c r="W222" s="193"/>
      <c r="X222" s="193"/>
      <c r="Y222" s="193"/>
      <c r="Z222" s="193"/>
      <c r="AA222" s="193"/>
      <c r="AB222" s="193"/>
      <c r="AC222" s="194"/>
      <c r="AD222" s="310"/>
    </row>
    <row r="223" spans="1:30" ht="22.5" x14ac:dyDescent="0.2">
      <c r="A223" s="310"/>
      <c r="B223" s="88" t="s">
        <v>23</v>
      </c>
      <c r="C223" s="458">
        <f>XIRR(F218:AC218,F177:AC177)</f>
        <v>0.21425482630729678</v>
      </c>
      <c r="D223" s="458"/>
      <c r="E223" s="481"/>
      <c r="F223" s="477">
        <f t="shared" ref="F223:AC223" si="149">SUM(F180:F189,F191:F216)</f>
        <v>60343685.469076246</v>
      </c>
      <c r="G223" s="477">
        <f t="shared" si="149"/>
        <v>-10013588.889944753</v>
      </c>
      <c r="H223" s="477">
        <f t="shared" si="149"/>
        <v>-17463106.844821788</v>
      </c>
      <c r="I223" s="477">
        <f t="shared" ref="I223:R223" si="150">SUM(I180:I189,I191:I216)</f>
        <v>-29920068.422227882</v>
      </c>
      <c r="J223" s="477">
        <f t="shared" si="150"/>
        <v>1936272.9913200466</v>
      </c>
      <c r="K223" s="477">
        <f t="shared" si="150"/>
        <v>1810451.6065749368</v>
      </c>
      <c r="L223" s="477">
        <f t="shared" si="150"/>
        <v>1218068.6921423366</v>
      </c>
      <c r="M223" s="477">
        <f t="shared" si="150"/>
        <v>1792486.7850232096</v>
      </c>
      <c r="N223" s="477">
        <f t="shared" si="150"/>
        <v>1444507.9782882733</v>
      </c>
      <c r="O223" s="477">
        <f t="shared" si="150"/>
        <v>4482000.8892290415</v>
      </c>
      <c r="P223" s="477">
        <f t="shared" si="150"/>
        <v>6029963.4178173291</v>
      </c>
      <c r="Q223" s="477">
        <f t="shared" si="150"/>
        <v>7319843.7798805358</v>
      </c>
      <c r="R223" s="477">
        <f t="shared" si="150"/>
        <v>9584029.5978060551</v>
      </c>
      <c r="S223" s="477">
        <f>SUM(S180:S189,S191:S216)</f>
        <v>204514347.15453944</v>
      </c>
      <c r="T223" s="477">
        <f t="shared" si="149"/>
        <v>6306601.6422297293</v>
      </c>
      <c r="U223" s="477">
        <f t="shared" si="149"/>
        <v>11030271.671530169</v>
      </c>
      <c r="V223" s="477">
        <f t="shared" si="149"/>
        <v>55785666.25202933</v>
      </c>
      <c r="W223" s="477">
        <f t="shared" si="149"/>
        <v>316197436.06303144</v>
      </c>
      <c r="X223" s="477">
        <f t="shared" si="149"/>
        <v>41460808.566731781</v>
      </c>
      <c r="Y223" s="477">
        <f t="shared" si="149"/>
        <v>8.9295889943927713E-103</v>
      </c>
      <c r="Z223" s="477">
        <f t="shared" si="149"/>
        <v>1.9827670604028505E-118</v>
      </c>
      <c r="AA223" s="477">
        <f t="shared" si="149"/>
        <v>4.4026272858551663E-134</v>
      </c>
      <c r="AB223" s="477">
        <f t="shared" si="149"/>
        <v>9.7757963631987328E-150</v>
      </c>
      <c r="AC223" s="598">
        <f t="shared" si="149"/>
        <v>2.1706628412940205E-165</v>
      </c>
      <c r="AD223" s="310"/>
    </row>
    <row r="224" spans="1:30" ht="22.5" x14ac:dyDescent="0.2">
      <c r="A224" s="310"/>
      <c r="B224" s="94" t="s">
        <v>24</v>
      </c>
      <c r="C224" s="572">
        <f>C218/(C219+E213)</f>
        <v>0.34610657964849961</v>
      </c>
      <c r="D224" s="572"/>
      <c r="E224" s="481"/>
      <c r="F224" s="478"/>
      <c r="G224" s="478"/>
      <c r="H224" s="478"/>
      <c r="I224" s="478"/>
      <c r="J224" s="478"/>
      <c r="K224" s="478"/>
      <c r="L224" s="478"/>
      <c r="M224" s="478"/>
      <c r="N224" s="478"/>
      <c r="O224" s="478"/>
      <c r="P224" s="478"/>
      <c r="Q224" s="478"/>
      <c r="R224" s="478"/>
      <c r="S224" s="478"/>
      <c r="T224" s="478"/>
      <c r="U224" s="478"/>
      <c r="V224" s="478"/>
      <c r="W224" s="478"/>
      <c r="X224" s="478"/>
      <c r="Y224" s="478"/>
      <c r="Z224" s="478"/>
      <c r="AA224" s="478"/>
      <c r="AB224" s="478"/>
      <c r="AC224" s="587"/>
      <c r="AD224" s="310"/>
    </row>
    <row r="225" spans="1:30" ht="22.5" x14ac:dyDescent="0.2">
      <c r="A225" s="310"/>
      <c r="B225" s="88" t="s">
        <v>25</v>
      </c>
      <c r="C225" s="458">
        <f>C221/H24</f>
        <v>1.0191216580857358</v>
      </c>
      <c r="D225" s="458"/>
      <c r="E225" s="481"/>
      <c r="F225" s="475">
        <f>F223</f>
        <v>60343685.469076246</v>
      </c>
      <c r="G225" s="475">
        <f>F225+G223</f>
        <v>50330096.579131491</v>
      </c>
      <c r="H225" s="475">
        <f t="shared" ref="H225:AC225" si="151">G225+H223</f>
        <v>32866989.734309703</v>
      </c>
      <c r="I225" s="475">
        <f>H225+I223</f>
        <v>2946921.3120818213</v>
      </c>
      <c r="J225" s="475">
        <f t="shared" si="151"/>
        <v>4883194.3034018679</v>
      </c>
      <c r="K225" s="475">
        <f t="shared" si="151"/>
        <v>6693645.9099768046</v>
      </c>
      <c r="L225" s="475">
        <f t="shared" si="151"/>
        <v>7911714.6021191413</v>
      </c>
      <c r="M225" s="475">
        <f t="shared" si="151"/>
        <v>9704201.3871423509</v>
      </c>
      <c r="N225" s="475">
        <f t="shared" si="151"/>
        <v>11148709.365430623</v>
      </c>
      <c r="O225" s="475">
        <f t="shared" si="151"/>
        <v>15630710.254659664</v>
      </c>
      <c r="P225" s="475">
        <f t="shared" si="151"/>
        <v>21660673.672476992</v>
      </c>
      <c r="Q225" s="475">
        <f t="shared" si="151"/>
        <v>28980517.452357527</v>
      </c>
      <c r="R225" s="475">
        <f t="shared" si="151"/>
        <v>38564547.050163582</v>
      </c>
      <c r="S225" s="475">
        <f t="shared" si="151"/>
        <v>243078894.20470303</v>
      </c>
      <c r="T225" s="475">
        <f>S225+T223</f>
        <v>249385495.84693277</v>
      </c>
      <c r="U225" s="475">
        <f t="shared" si="151"/>
        <v>260415767.51846293</v>
      </c>
      <c r="V225" s="475">
        <f t="shared" si="151"/>
        <v>316201433.77049226</v>
      </c>
      <c r="W225" s="475">
        <f t="shared" si="151"/>
        <v>632398869.83352375</v>
      </c>
      <c r="X225" s="475">
        <f t="shared" si="151"/>
        <v>673859678.40025556</v>
      </c>
      <c r="Y225" s="475">
        <f t="shared" si="151"/>
        <v>673859678.40025556</v>
      </c>
      <c r="Z225" s="475">
        <f t="shared" si="151"/>
        <v>673859678.40025556</v>
      </c>
      <c r="AA225" s="475">
        <f t="shared" si="151"/>
        <v>673859678.40025556</v>
      </c>
      <c r="AB225" s="475">
        <f t="shared" si="151"/>
        <v>673859678.40025556</v>
      </c>
      <c r="AC225" s="582">
        <f t="shared" si="151"/>
        <v>673859678.40025556</v>
      </c>
      <c r="AD225" s="310"/>
    </row>
    <row r="226" spans="1:30" ht="23.25" thickBot="1" x14ac:dyDescent="0.25">
      <c r="A226" s="310"/>
      <c r="B226" s="108" t="s">
        <v>186</v>
      </c>
      <c r="C226" s="459">
        <f>C225/D122</f>
        <v>0.2224757208141708</v>
      </c>
      <c r="D226" s="459"/>
      <c r="E226" s="483"/>
      <c r="F226" s="476"/>
      <c r="G226" s="476"/>
      <c r="H226" s="476"/>
      <c r="I226" s="476"/>
      <c r="J226" s="476"/>
      <c r="K226" s="476"/>
      <c r="L226" s="476"/>
      <c r="M226" s="476"/>
      <c r="N226" s="476"/>
      <c r="O226" s="476"/>
      <c r="P226" s="476"/>
      <c r="Q226" s="476"/>
      <c r="R226" s="476"/>
      <c r="S226" s="476"/>
      <c r="T226" s="476"/>
      <c r="U226" s="476"/>
      <c r="V226" s="476"/>
      <c r="W226" s="476"/>
      <c r="X226" s="476"/>
      <c r="Y226" s="476"/>
      <c r="Z226" s="476"/>
      <c r="AA226" s="476"/>
      <c r="AB226" s="476"/>
      <c r="AC226" s="583"/>
      <c r="AD226" s="310"/>
    </row>
    <row r="227" spans="1:30" x14ac:dyDescent="0.2">
      <c r="A227" s="310"/>
      <c r="B227" s="462" t="b">
        <f>SUM(C223:D226)=SUM(C28:C34)</f>
        <v>1</v>
      </c>
      <c r="C227" s="462"/>
      <c r="D227" s="462"/>
      <c r="E227" s="164"/>
      <c r="F227" s="80"/>
      <c r="G227" s="80"/>
      <c r="H227" s="80"/>
      <c r="I227" s="80"/>
      <c r="J227" s="80"/>
      <c r="K227" s="80"/>
      <c r="L227" s="80"/>
      <c r="M227" s="80"/>
      <c r="N227" s="80">
        <f>-N225*70%</f>
        <v>-7804096.5558014354</v>
      </c>
      <c r="O227" s="80">
        <f t="shared" ref="O227:AC227" si="152">-O225*70%</f>
        <v>-10941497.178261764</v>
      </c>
      <c r="P227" s="80">
        <f t="shared" si="152"/>
        <v>-15162471.570733894</v>
      </c>
      <c r="Q227" s="80">
        <f t="shared" si="152"/>
        <v>-20286362.216650266</v>
      </c>
      <c r="R227" s="80">
        <f t="shared" si="152"/>
        <v>-26995182.935114507</v>
      </c>
      <c r="S227" s="80">
        <f t="shared" si="152"/>
        <v>-170155225.94329211</v>
      </c>
      <c r="T227" s="80">
        <f t="shared" si="152"/>
        <v>-174569847.09285292</v>
      </c>
      <c r="U227" s="80">
        <f t="shared" si="152"/>
        <v>-182291037.26292405</v>
      </c>
      <c r="V227" s="80">
        <f t="shared" si="152"/>
        <v>-221341003.63934457</v>
      </c>
      <c r="W227" s="80">
        <f t="shared" si="152"/>
        <v>-442679208.8834666</v>
      </c>
      <c r="X227" s="80">
        <f t="shared" si="152"/>
        <v>-471701774.88017887</v>
      </c>
      <c r="Y227" s="80">
        <f t="shared" si="152"/>
        <v>-471701774.88017887</v>
      </c>
      <c r="Z227" s="80">
        <f t="shared" si="152"/>
        <v>-471701774.88017887</v>
      </c>
      <c r="AA227" s="80">
        <f t="shared" si="152"/>
        <v>-471701774.88017887</v>
      </c>
      <c r="AB227" s="80">
        <f t="shared" si="152"/>
        <v>-471701774.88017887</v>
      </c>
      <c r="AC227" s="80">
        <f t="shared" si="152"/>
        <v>-471701774.88017887</v>
      </c>
      <c r="AD227" s="310"/>
    </row>
    <row r="228" spans="1:30" x14ac:dyDescent="0.2">
      <c r="A228" s="310"/>
      <c r="F228" s="410"/>
      <c r="G228" s="410"/>
      <c r="H228" s="410"/>
      <c r="I228" s="410"/>
      <c r="J228" s="410"/>
      <c r="K228" s="410"/>
      <c r="L228" s="410"/>
      <c r="M228" s="410"/>
      <c r="N228" s="410"/>
      <c r="O228" s="410"/>
      <c r="P228" s="410"/>
      <c r="Q228" s="410"/>
      <c r="R228" s="410"/>
      <c r="S228" s="410"/>
      <c r="T228" s="410"/>
      <c r="U228" s="410"/>
      <c r="V228" s="410"/>
      <c r="W228" s="410"/>
      <c r="X228" s="411"/>
    </row>
    <row r="229" spans="1:30" x14ac:dyDescent="0.2">
      <c r="A229" s="310"/>
    </row>
    <row r="230" spans="1:30" x14ac:dyDescent="0.2">
      <c r="A230" s="310"/>
      <c r="F230" s="448">
        <f>SUM(F180:F184,F189,F191:F216)</f>
        <v>60343685.469076246</v>
      </c>
      <c r="G230" s="448">
        <f>SUM(G180:G184,G189,G191:G216)</f>
        <v>-10013588.889944753</v>
      </c>
      <c r="H230" s="448">
        <f t="shared" ref="H230:AC230" si="153">SUM(H180:H184,H189,H191:H216)</f>
        <v>-17463106.844821788</v>
      </c>
      <c r="I230" s="448">
        <f t="shared" si="153"/>
        <v>-29920068.422227882</v>
      </c>
      <c r="J230" s="448">
        <f t="shared" si="153"/>
        <v>1936272.9913200466</v>
      </c>
      <c r="K230" s="448">
        <f t="shared" si="153"/>
        <v>1810451.6065749368</v>
      </c>
      <c r="L230" s="448">
        <f t="shared" si="153"/>
        <v>1218068.6921423366</v>
      </c>
      <c r="M230" s="448">
        <f t="shared" si="153"/>
        <v>1792486.7850232096</v>
      </c>
      <c r="N230" s="448">
        <f t="shared" si="153"/>
        <v>1444507.9782882733</v>
      </c>
      <c r="O230" s="448">
        <f t="shared" si="153"/>
        <v>1615866.320455146</v>
      </c>
      <c r="P230" s="448">
        <f t="shared" si="153"/>
        <v>1253072.4698608415</v>
      </c>
      <c r="Q230" s="448">
        <f t="shared" si="153"/>
        <v>2542952.8319240483</v>
      </c>
      <c r="R230" s="448">
        <f t="shared" si="153"/>
        <v>2896382.2706669644</v>
      </c>
      <c r="S230" s="448">
        <f t="shared" si="153"/>
        <v>-38895597.860998958</v>
      </c>
      <c r="T230" s="448">
        <f t="shared" si="153"/>
        <v>-47320094.924502052</v>
      </c>
      <c r="U230" s="448">
        <f t="shared" si="153"/>
        <v>-90140177.461933389</v>
      </c>
      <c r="V230" s="448">
        <f t="shared" si="153"/>
        <v>-89887063.448165998</v>
      </c>
      <c r="W230" s="448">
        <f t="shared" si="153"/>
        <v>-277469518.6871314</v>
      </c>
      <c r="X230" s="448">
        <f t="shared" si="153"/>
        <v>4.0215293667718967E-87</v>
      </c>
      <c r="Y230" s="448">
        <f t="shared" si="153"/>
        <v>8.9295889943927713E-103</v>
      </c>
      <c r="Z230" s="448">
        <f t="shared" si="153"/>
        <v>1.9827670604028505E-118</v>
      </c>
      <c r="AA230" s="448">
        <f t="shared" si="153"/>
        <v>4.4026272858551663E-134</v>
      </c>
      <c r="AB230" s="448">
        <f t="shared" si="153"/>
        <v>9.7757963631987328E-150</v>
      </c>
      <c r="AC230" s="448">
        <f t="shared" si="153"/>
        <v>2.1706628412940205E-165</v>
      </c>
    </row>
    <row r="231" spans="1:30" x14ac:dyDescent="0.2">
      <c r="A231" s="310"/>
      <c r="F231" s="311">
        <f>F230</f>
        <v>60343685.469076246</v>
      </c>
      <c r="G231" s="448">
        <f>F231+G230</f>
        <v>50330096.579131491</v>
      </c>
      <c r="H231" s="448">
        <f t="shared" ref="H231:AC231" si="154">G231+H230</f>
        <v>32866989.734309703</v>
      </c>
      <c r="I231" s="448">
        <f t="shared" si="154"/>
        <v>2946921.3120818213</v>
      </c>
      <c r="J231" s="448">
        <f t="shared" si="154"/>
        <v>4883194.3034018679</v>
      </c>
      <c r="K231" s="448">
        <f t="shared" si="154"/>
        <v>6693645.9099768046</v>
      </c>
      <c r="L231" s="448">
        <f t="shared" si="154"/>
        <v>7911714.6021191413</v>
      </c>
      <c r="M231" s="448">
        <f t="shared" si="154"/>
        <v>9704201.3871423509</v>
      </c>
      <c r="N231" s="448">
        <f t="shared" si="154"/>
        <v>11148709.365430623</v>
      </c>
      <c r="O231" s="448">
        <f t="shared" si="154"/>
        <v>12764575.685885768</v>
      </c>
      <c r="P231" s="448">
        <f t="shared" si="154"/>
        <v>14017648.155746609</v>
      </c>
      <c r="Q231" s="448">
        <f t="shared" si="154"/>
        <v>16560600.987670656</v>
      </c>
      <c r="R231" s="448">
        <f t="shared" si="154"/>
        <v>19456983.258337621</v>
      </c>
      <c r="S231" s="448">
        <f t="shared" si="154"/>
        <v>-19438614.602661338</v>
      </c>
      <c r="T231" s="448">
        <f t="shared" si="154"/>
        <v>-66758709.527163386</v>
      </c>
      <c r="U231" s="448">
        <f t="shared" si="154"/>
        <v>-156898886.98909676</v>
      </c>
      <c r="V231" s="448">
        <f t="shared" si="154"/>
        <v>-246785950.43726277</v>
      </c>
      <c r="W231" s="448">
        <f t="shared" si="154"/>
        <v>-524255469.12439418</v>
      </c>
      <c r="X231" s="448">
        <f t="shared" si="154"/>
        <v>-524255469.12439418</v>
      </c>
      <c r="Y231" s="448">
        <f t="shared" si="154"/>
        <v>-524255469.12439418</v>
      </c>
      <c r="Z231" s="448">
        <f t="shared" si="154"/>
        <v>-524255469.12439418</v>
      </c>
      <c r="AA231" s="448">
        <f t="shared" si="154"/>
        <v>-524255469.12439418</v>
      </c>
      <c r="AB231" s="448">
        <f t="shared" si="154"/>
        <v>-524255469.12439418</v>
      </c>
      <c r="AC231" s="448">
        <f t="shared" si="154"/>
        <v>-524255469.12439418</v>
      </c>
    </row>
    <row r="232" spans="1:30" x14ac:dyDescent="0.2">
      <c r="A232" s="310"/>
      <c r="I232" s="310"/>
    </row>
    <row r="233" spans="1:30" x14ac:dyDescent="0.2">
      <c r="A233" s="310"/>
      <c r="I233" s="310"/>
    </row>
    <row r="234" spans="1:30" x14ac:dyDescent="0.2">
      <c r="A234" s="310"/>
      <c r="B234" s="310"/>
      <c r="D234" s="310"/>
      <c r="E234" s="310"/>
      <c r="F234" s="310"/>
      <c r="G234" s="310"/>
      <c r="H234" s="310"/>
      <c r="I234" s="310"/>
    </row>
    <row r="235" spans="1:30" x14ac:dyDescent="0.2">
      <c r="A235" s="310"/>
      <c r="B235" s="310"/>
      <c r="D235" s="316"/>
      <c r="E235" s="310"/>
      <c r="F235" s="310"/>
      <c r="G235" s="310"/>
      <c r="H235" s="310"/>
      <c r="I235" s="310"/>
    </row>
    <row r="236" spans="1:30" x14ac:dyDescent="0.2">
      <c r="A236" s="310"/>
      <c r="B236" s="310"/>
      <c r="C236" s="310"/>
      <c r="D236" s="310"/>
      <c r="E236" s="310"/>
      <c r="F236" s="310"/>
      <c r="G236" s="310"/>
      <c r="H236" s="310"/>
      <c r="I236" s="310"/>
    </row>
    <row r="237" spans="1:30" ht="12" thickBot="1" x14ac:dyDescent="0.25">
      <c r="A237" s="310"/>
    </row>
    <row r="238" spans="1:30" ht="12.75" x14ac:dyDescent="0.2">
      <c r="A238" s="310"/>
      <c r="B238" s="449" t="s">
        <v>187</v>
      </c>
      <c r="C238" s="450"/>
      <c r="D238" s="450"/>
      <c r="E238" s="450"/>
      <c r="F238" s="450"/>
      <c r="G238" s="450"/>
      <c r="H238" s="450"/>
      <c r="I238" s="450"/>
      <c r="J238" s="450"/>
      <c r="K238" s="450"/>
      <c r="L238" s="450"/>
      <c r="M238" s="450"/>
      <c r="N238" s="450"/>
      <c r="O238" s="450"/>
      <c r="P238" s="450"/>
      <c r="Q238" s="450"/>
      <c r="R238" s="450"/>
      <c r="S238" s="450"/>
      <c r="T238" s="450"/>
      <c r="U238" s="450"/>
      <c r="V238" s="450"/>
      <c r="W238" s="450"/>
      <c r="X238" s="450"/>
      <c r="Y238" s="450"/>
      <c r="Z238" s="450"/>
      <c r="AA238" s="450"/>
      <c r="AB238" s="450"/>
      <c r="AC238" s="451"/>
    </row>
    <row r="239" spans="1:30" x14ac:dyDescent="0.2">
      <c r="A239" s="310"/>
      <c r="B239" s="460" t="s">
        <v>188</v>
      </c>
      <c r="C239" s="461"/>
      <c r="D239" s="461"/>
      <c r="E239" s="461"/>
      <c r="F239" s="473" t="s">
        <v>100</v>
      </c>
      <c r="G239" s="473"/>
      <c r="H239" s="473"/>
      <c r="I239" s="473"/>
      <c r="J239" s="473" t="s">
        <v>102</v>
      </c>
      <c r="K239" s="473"/>
      <c r="L239" s="473"/>
      <c r="M239" s="473"/>
      <c r="N239" s="473" t="s">
        <v>104</v>
      </c>
      <c r="O239" s="473"/>
      <c r="P239" s="473"/>
      <c r="Q239" s="473"/>
      <c r="R239" s="473" t="s">
        <v>106</v>
      </c>
      <c r="S239" s="473"/>
      <c r="T239" s="473"/>
      <c r="U239" s="473"/>
      <c r="V239" s="473" t="s">
        <v>107</v>
      </c>
      <c r="W239" s="473"/>
      <c r="X239" s="473"/>
      <c r="Y239" s="473"/>
      <c r="Z239" s="473" t="s">
        <v>109</v>
      </c>
      <c r="AA239" s="473"/>
      <c r="AB239" s="473"/>
      <c r="AC239" s="474"/>
    </row>
    <row r="240" spans="1:30" x14ac:dyDescent="0.2">
      <c r="A240" s="310"/>
      <c r="B240" s="460"/>
      <c r="C240" s="461"/>
      <c r="D240" s="461"/>
      <c r="E240" s="461"/>
      <c r="F240" s="82">
        <f t="shared" ref="F240:AC240" si="155">F177</f>
        <v>46023</v>
      </c>
      <c r="G240" s="82">
        <f t="shared" si="155"/>
        <v>46142</v>
      </c>
      <c r="H240" s="82">
        <f t="shared" si="155"/>
        <v>46234</v>
      </c>
      <c r="I240" s="82">
        <f t="shared" si="155"/>
        <v>46326</v>
      </c>
      <c r="J240" s="82">
        <f t="shared" si="155"/>
        <v>46418</v>
      </c>
      <c r="K240" s="82">
        <f t="shared" si="155"/>
        <v>46507</v>
      </c>
      <c r="L240" s="82">
        <f t="shared" si="155"/>
        <v>46599</v>
      </c>
      <c r="M240" s="82">
        <f t="shared" si="155"/>
        <v>46691</v>
      </c>
      <c r="N240" s="82">
        <f t="shared" si="155"/>
        <v>46783</v>
      </c>
      <c r="O240" s="82">
        <f t="shared" si="155"/>
        <v>46873</v>
      </c>
      <c r="P240" s="82">
        <f t="shared" si="155"/>
        <v>46965</v>
      </c>
      <c r="Q240" s="82">
        <f t="shared" si="155"/>
        <v>47057</v>
      </c>
      <c r="R240" s="82">
        <f t="shared" si="155"/>
        <v>47149</v>
      </c>
      <c r="S240" s="82">
        <f t="shared" si="155"/>
        <v>47238</v>
      </c>
      <c r="T240" s="82">
        <f t="shared" si="155"/>
        <v>47330</v>
      </c>
      <c r="U240" s="82">
        <f t="shared" si="155"/>
        <v>47422</v>
      </c>
      <c r="V240" s="82">
        <f t="shared" si="155"/>
        <v>47514</v>
      </c>
      <c r="W240" s="82">
        <f t="shared" si="155"/>
        <v>47603</v>
      </c>
      <c r="X240" s="82">
        <f t="shared" si="155"/>
        <v>47695</v>
      </c>
      <c r="Y240" s="82">
        <f t="shared" si="155"/>
        <v>47787</v>
      </c>
      <c r="Z240" s="82">
        <f t="shared" si="155"/>
        <v>47879</v>
      </c>
      <c r="AA240" s="82">
        <f t="shared" si="155"/>
        <v>47968</v>
      </c>
      <c r="AB240" s="82">
        <f t="shared" si="155"/>
        <v>48060</v>
      </c>
      <c r="AC240" s="83">
        <f t="shared" si="155"/>
        <v>48152</v>
      </c>
    </row>
    <row r="241" spans="1:29" x14ac:dyDescent="0.2">
      <c r="A241" s="310"/>
      <c r="B241" s="460"/>
      <c r="C241" s="461"/>
      <c r="D241" s="461"/>
      <c r="E241" s="461"/>
      <c r="F241" s="97" t="s">
        <v>133</v>
      </c>
      <c r="G241" s="97" t="s">
        <v>134</v>
      </c>
      <c r="H241" s="97" t="s">
        <v>135</v>
      </c>
      <c r="I241" s="97" t="s">
        <v>136</v>
      </c>
      <c r="J241" s="97" t="s">
        <v>137</v>
      </c>
      <c r="K241" s="97" t="s">
        <v>138</v>
      </c>
      <c r="L241" s="97" t="s">
        <v>139</v>
      </c>
      <c r="M241" s="97" t="s">
        <v>140</v>
      </c>
      <c r="N241" s="97" t="s">
        <v>141</v>
      </c>
      <c r="O241" s="97" t="s">
        <v>142</v>
      </c>
      <c r="P241" s="97" t="s">
        <v>143</v>
      </c>
      <c r="Q241" s="97" t="s">
        <v>144</v>
      </c>
      <c r="R241" s="97" t="s">
        <v>145</v>
      </c>
      <c r="S241" s="97" t="s">
        <v>146</v>
      </c>
      <c r="T241" s="97" t="s">
        <v>147</v>
      </c>
      <c r="U241" s="97" t="s">
        <v>148</v>
      </c>
      <c r="V241" s="97" t="s">
        <v>149</v>
      </c>
      <c r="W241" s="97" t="s">
        <v>150</v>
      </c>
      <c r="X241" s="97" t="s">
        <v>151</v>
      </c>
      <c r="Y241" s="97" t="s">
        <v>152</v>
      </c>
      <c r="Z241" s="97" t="s">
        <v>153</v>
      </c>
      <c r="AA241" s="97" t="s">
        <v>154</v>
      </c>
      <c r="AB241" s="97" t="s">
        <v>155</v>
      </c>
      <c r="AC241" s="98" t="s">
        <v>156</v>
      </c>
    </row>
    <row r="242" spans="1:29" x14ac:dyDescent="0.2">
      <c r="A242" s="310"/>
      <c r="B242" s="605" t="s">
        <v>232</v>
      </c>
      <c r="C242" s="606"/>
      <c r="D242" s="606"/>
      <c r="E242" s="606"/>
      <c r="F242" s="595">
        <f>$C$192</f>
        <v>7.2999999999999995E-2</v>
      </c>
      <c r="G242" s="595"/>
      <c r="H242" s="595"/>
      <c r="I242" s="595"/>
      <c r="J242" s="595">
        <f>$C$192</f>
        <v>7.2999999999999995E-2</v>
      </c>
      <c r="K242" s="595"/>
      <c r="L242" s="595"/>
      <c r="M242" s="595"/>
      <c r="N242" s="595">
        <f>$C$192</f>
        <v>7.2999999999999995E-2</v>
      </c>
      <c r="O242" s="595"/>
      <c r="P242" s="595"/>
      <c r="Q242" s="595"/>
      <c r="R242" s="595">
        <f>$C$192</f>
        <v>7.2999999999999995E-2</v>
      </c>
      <c r="S242" s="595"/>
      <c r="T242" s="595"/>
      <c r="U242" s="595"/>
      <c r="V242" s="595">
        <f>$C$192</f>
        <v>7.2999999999999995E-2</v>
      </c>
      <c r="W242" s="595"/>
      <c r="X242" s="595"/>
      <c r="Y242" s="595"/>
      <c r="Z242" s="595">
        <f>$C$192</f>
        <v>7.2999999999999995E-2</v>
      </c>
      <c r="AA242" s="595"/>
      <c r="AB242" s="595"/>
      <c r="AC242" s="597"/>
    </row>
    <row r="243" spans="1:29" x14ac:dyDescent="0.2">
      <c r="A243" s="310"/>
      <c r="B243" s="605"/>
      <c r="C243" s="606"/>
      <c r="D243" s="606"/>
      <c r="E243" s="606"/>
      <c r="F243" s="595"/>
      <c r="G243" s="595"/>
      <c r="H243" s="595"/>
      <c r="I243" s="595"/>
      <c r="J243" s="595"/>
      <c r="K243" s="595"/>
      <c r="L243" s="595"/>
      <c r="M243" s="595"/>
      <c r="N243" s="595"/>
      <c r="O243" s="595"/>
      <c r="P243" s="595"/>
      <c r="Q243" s="595"/>
      <c r="R243" s="595"/>
      <c r="S243" s="595"/>
      <c r="T243" s="595"/>
      <c r="U243" s="595"/>
      <c r="V243" s="595"/>
      <c r="W243" s="595"/>
      <c r="X243" s="595"/>
      <c r="Y243" s="595"/>
      <c r="Z243" s="595"/>
      <c r="AA243" s="595"/>
      <c r="AB243" s="595"/>
      <c r="AC243" s="597"/>
    </row>
    <row r="244" spans="1:29" x14ac:dyDescent="0.2">
      <c r="A244" s="310"/>
      <c r="B244" s="460" t="s">
        <v>233</v>
      </c>
      <c r="C244" s="461"/>
      <c r="D244" s="461"/>
      <c r="E244" s="461"/>
      <c r="F244" s="594">
        <f>$C$192/4</f>
        <v>1.8249999999999999E-2</v>
      </c>
      <c r="G244" s="594">
        <f>$C$192/4</f>
        <v>1.8249999999999999E-2</v>
      </c>
      <c r="H244" s="594">
        <f t="shared" ref="H244:X244" si="156">$C$192/4</f>
        <v>1.8249999999999999E-2</v>
      </c>
      <c r="I244" s="594">
        <f t="shared" si="156"/>
        <v>1.8249999999999999E-2</v>
      </c>
      <c r="J244" s="594">
        <f t="shared" si="156"/>
        <v>1.8249999999999999E-2</v>
      </c>
      <c r="K244" s="594">
        <f t="shared" si="156"/>
        <v>1.8249999999999999E-2</v>
      </c>
      <c r="L244" s="594">
        <f t="shared" si="156"/>
        <v>1.8249999999999999E-2</v>
      </c>
      <c r="M244" s="594">
        <f t="shared" si="156"/>
        <v>1.8249999999999999E-2</v>
      </c>
      <c r="N244" s="594">
        <f t="shared" si="156"/>
        <v>1.8249999999999999E-2</v>
      </c>
      <c r="O244" s="594">
        <f t="shared" si="156"/>
        <v>1.8249999999999999E-2</v>
      </c>
      <c r="P244" s="594">
        <f t="shared" si="156"/>
        <v>1.8249999999999999E-2</v>
      </c>
      <c r="Q244" s="594">
        <f t="shared" si="156"/>
        <v>1.8249999999999999E-2</v>
      </c>
      <c r="R244" s="594">
        <f t="shared" si="156"/>
        <v>1.8249999999999999E-2</v>
      </c>
      <c r="S244" s="594">
        <f t="shared" si="156"/>
        <v>1.8249999999999999E-2</v>
      </c>
      <c r="T244" s="594">
        <f t="shared" si="156"/>
        <v>1.8249999999999999E-2</v>
      </c>
      <c r="U244" s="594">
        <f t="shared" si="156"/>
        <v>1.8249999999999999E-2</v>
      </c>
      <c r="V244" s="594">
        <f t="shared" si="156"/>
        <v>1.8249999999999999E-2</v>
      </c>
      <c r="W244" s="594">
        <f t="shared" si="156"/>
        <v>1.8249999999999999E-2</v>
      </c>
      <c r="X244" s="594">
        <f t="shared" si="156"/>
        <v>1.8249999999999999E-2</v>
      </c>
      <c r="Y244" s="594">
        <f>$C$192/4</f>
        <v>1.8249999999999999E-2</v>
      </c>
      <c r="Z244" s="594">
        <f t="shared" ref="Z244:AC244" si="157">$C$192/4</f>
        <v>1.8249999999999999E-2</v>
      </c>
      <c r="AA244" s="594">
        <f t="shared" si="157"/>
        <v>1.8249999999999999E-2</v>
      </c>
      <c r="AB244" s="594">
        <f t="shared" si="157"/>
        <v>1.8249999999999999E-2</v>
      </c>
      <c r="AC244" s="596">
        <f t="shared" si="157"/>
        <v>1.8249999999999999E-2</v>
      </c>
    </row>
    <row r="245" spans="1:29" x14ac:dyDescent="0.2">
      <c r="A245" s="310"/>
      <c r="B245" s="460"/>
      <c r="C245" s="461"/>
      <c r="D245" s="461"/>
      <c r="E245" s="461"/>
      <c r="F245" s="594"/>
      <c r="G245" s="594"/>
      <c r="H245" s="594"/>
      <c r="I245" s="594"/>
      <c r="J245" s="594"/>
      <c r="K245" s="594"/>
      <c r="L245" s="594"/>
      <c r="M245" s="594"/>
      <c r="N245" s="594"/>
      <c r="O245" s="594"/>
      <c r="P245" s="594"/>
      <c r="Q245" s="594"/>
      <c r="R245" s="594"/>
      <c r="S245" s="594"/>
      <c r="T245" s="594"/>
      <c r="U245" s="594"/>
      <c r="V245" s="594"/>
      <c r="W245" s="594"/>
      <c r="X245" s="594"/>
      <c r="Y245" s="594"/>
      <c r="Z245" s="594"/>
      <c r="AA245" s="594"/>
      <c r="AB245" s="594"/>
      <c r="AC245" s="596"/>
    </row>
    <row r="246" spans="1:29" x14ac:dyDescent="0.2">
      <c r="A246" s="310"/>
      <c r="B246" s="601" t="s">
        <v>234</v>
      </c>
      <c r="C246" s="602"/>
      <c r="D246" s="602"/>
      <c r="E246" s="602"/>
      <c r="F246" s="475">
        <f>F248</f>
        <v>0</v>
      </c>
      <c r="G246" s="475">
        <f t="shared" ref="G246:X246" si="158">F246+G248+G256</f>
        <v>0</v>
      </c>
      <c r="H246" s="475">
        <f t="shared" si="158"/>
        <v>0</v>
      </c>
      <c r="I246" s="475">
        <f t="shared" si="158"/>
        <v>50300000</v>
      </c>
      <c r="J246" s="475">
        <f t="shared" si="158"/>
        <v>106300000</v>
      </c>
      <c r="K246" s="475">
        <f t="shared" si="158"/>
        <v>160800000</v>
      </c>
      <c r="L246" s="475">
        <f t="shared" si="158"/>
        <v>212800000</v>
      </c>
      <c r="M246" s="475">
        <f t="shared" si="158"/>
        <v>265800000</v>
      </c>
      <c r="N246" s="475">
        <f t="shared" si="158"/>
        <v>303000000</v>
      </c>
      <c r="O246" s="475">
        <f t="shared" si="158"/>
        <v>338600000</v>
      </c>
      <c r="P246" s="475">
        <f t="shared" si="158"/>
        <v>370800000</v>
      </c>
      <c r="Q246" s="475">
        <f t="shared" si="158"/>
        <v>411300000</v>
      </c>
      <c r="R246" s="475">
        <f t="shared" si="158"/>
        <v>475500000</v>
      </c>
      <c r="S246" s="475">
        <f t="shared" si="158"/>
        <v>452333467.91306651</v>
      </c>
      <c r="T246" s="475">
        <f t="shared" si="158"/>
        <v>421156054.35204339</v>
      </c>
      <c r="U246" s="475">
        <f t="shared" si="158"/>
        <v>346826256.33739239</v>
      </c>
      <c r="V246" s="475">
        <f t="shared" si="158"/>
        <v>272496458.32274139</v>
      </c>
      <c r="W246" s="475">
        <f t="shared" si="158"/>
        <v>0</v>
      </c>
      <c r="X246" s="475">
        <f t="shared" si="158"/>
        <v>0</v>
      </c>
      <c r="Y246" s="475">
        <f>X246+Y248+Y256</f>
        <v>0</v>
      </c>
      <c r="Z246" s="475">
        <f>Y246+Z248+Z256</f>
        <v>0</v>
      </c>
      <c r="AA246" s="475">
        <f t="shared" ref="AA246:AC246" si="159">Z246+AA248+AA256</f>
        <v>0</v>
      </c>
      <c r="AB246" s="475">
        <f t="shared" si="159"/>
        <v>0</v>
      </c>
      <c r="AC246" s="582">
        <f t="shared" si="159"/>
        <v>0</v>
      </c>
    </row>
    <row r="247" spans="1:29" x14ac:dyDescent="0.2">
      <c r="A247" s="316"/>
      <c r="B247" s="601"/>
      <c r="C247" s="602"/>
      <c r="D247" s="602"/>
      <c r="E247" s="602"/>
      <c r="F247" s="475"/>
      <c r="G247" s="475"/>
      <c r="H247" s="475"/>
      <c r="I247" s="475"/>
      <c r="J247" s="475"/>
      <c r="K247" s="475"/>
      <c r="L247" s="475"/>
      <c r="M247" s="475"/>
      <c r="N247" s="475"/>
      <c r="O247" s="475"/>
      <c r="P247" s="475"/>
      <c r="Q247" s="475"/>
      <c r="R247" s="475"/>
      <c r="S247" s="475"/>
      <c r="T247" s="475"/>
      <c r="U247" s="475"/>
      <c r="V247" s="475"/>
      <c r="W247" s="475"/>
      <c r="X247" s="475"/>
      <c r="Y247" s="475"/>
      <c r="Z247" s="475"/>
      <c r="AA247" s="475"/>
      <c r="AB247" s="475"/>
      <c r="AC247" s="582"/>
    </row>
    <row r="248" spans="1:29" x14ac:dyDescent="0.2">
      <c r="A248" s="316"/>
      <c r="B248" s="460" t="s">
        <v>235</v>
      </c>
      <c r="C248" s="461"/>
      <c r="D248" s="461"/>
      <c r="E248" s="461"/>
      <c r="F248" s="478">
        <f t="shared" ref="F248:AC248" si="160">F189</f>
        <v>0</v>
      </c>
      <c r="G248" s="478">
        <f t="shared" si="160"/>
        <v>0</v>
      </c>
      <c r="H248" s="478">
        <f t="shared" si="160"/>
        <v>0</v>
      </c>
      <c r="I248" s="478">
        <f t="shared" ref="I248:R248" si="161">I189</f>
        <v>50300000</v>
      </c>
      <c r="J248" s="478">
        <f t="shared" si="161"/>
        <v>56000000</v>
      </c>
      <c r="K248" s="478">
        <f t="shared" si="161"/>
        <v>54500000</v>
      </c>
      <c r="L248" s="478">
        <f t="shared" si="161"/>
        <v>52000000</v>
      </c>
      <c r="M248" s="478">
        <f t="shared" si="161"/>
        <v>53000000</v>
      </c>
      <c r="N248" s="478">
        <f t="shared" si="161"/>
        <v>37200000</v>
      </c>
      <c r="O248" s="478">
        <f t="shared" si="161"/>
        <v>35600000</v>
      </c>
      <c r="P248" s="478">
        <f t="shared" si="161"/>
        <v>32200000</v>
      </c>
      <c r="Q248" s="478">
        <f t="shared" si="161"/>
        <v>40500000</v>
      </c>
      <c r="R248" s="478">
        <f t="shared" si="161"/>
        <v>64200000</v>
      </c>
      <c r="S248" s="478">
        <f t="shared" si="160"/>
        <v>8010881.4740896197</v>
      </c>
      <c r="T248" s="478">
        <f t="shared" si="160"/>
        <v>0</v>
      </c>
      <c r="U248" s="478">
        <f t="shared" si="160"/>
        <v>0</v>
      </c>
      <c r="V248" s="478">
        <f t="shared" si="160"/>
        <v>0</v>
      </c>
      <c r="W248" s="478">
        <f t="shared" si="160"/>
        <v>0</v>
      </c>
      <c r="X248" s="478">
        <f t="shared" si="160"/>
        <v>0</v>
      </c>
      <c r="Y248" s="478">
        <f t="shared" si="160"/>
        <v>0</v>
      </c>
      <c r="Z248" s="478">
        <f t="shared" si="160"/>
        <v>0</v>
      </c>
      <c r="AA248" s="478">
        <f t="shared" si="160"/>
        <v>0</v>
      </c>
      <c r="AB248" s="478">
        <f t="shared" si="160"/>
        <v>0</v>
      </c>
      <c r="AC248" s="587">
        <f t="shared" si="160"/>
        <v>0</v>
      </c>
    </row>
    <row r="249" spans="1:29" x14ac:dyDescent="0.2">
      <c r="A249" s="316"/>
      <c r="B249" s="460"/>
      <c r="C249" s="461"/>
      <c r="D249" s="461"/>
      <c r="E249" s="461"/>
      <c r="F249" s="478"/>
      <c r="G249" s="478"/>
      <c r="H249" s="478"/>
      <c r="I249" s="478"/>
      <c r="J249" s="478"/>
      <c r="K249" s="478"/>
      <c r="L249" s="478"/>
      <c r="M249" s="478"/>
      <c r="N249" s="478"/>
      <c r="O249" s="478"/>
      <c r="P249" s="478"/>
      <c r="Q249" s="478"/>
      <c r="R249" s="478"/>
      <c r="S249" s="478"/>
      <c r="T249" s="478"/>
      <c r="U249" s="478"/>
      <c r="V249" s="478"/>
      <c r="W249" s="478"/>
      <c r="X249" s="478"/>
      <c r="Y249" s="478"/>
      <c r="Z249" s="478"/>
      <c r="AA249" s="478"/>
      <c r="AB249" s="478"/>
      <c r="AC249" s="587"/>
    </row>
    <row r="250" spans="1:29" x14ac:dyDescent="0.2">
      <c r="A250" s="316"/>
      <c r="B250" s="601" t="s">
        <v>236</v>
      </c>
      <c r="C250" s="602"/>
      <c r="D250" s="602"/>
      <c r="E250" s="602"/>
      <c r="F250" s="475">
        <f t="shared" ref="F250:AC250" si="162">F192</f>
        <v>0</v>
      </c>
      <c r="G250" s="475">
        <f t="shared" si="162"/>
        <v>0</v>
      </c>
      <c r="H250" s="475">
        <f t="shared" si="162"/>
        <v>0</v>
      </c>
      <c r="I250" s="475">
        <f t="shared" si="162"/>
        <v>0</v>
      </c>
      <c r="J250" s="475">
        <f t="shared" si="162"/>
        <v>-917975</v>
      </c>
      <c r="K250" s="475">
        <f t="shared" si="162"/>
        <v>-1939974.9999999998</v>
      </c>
      <c r="L250" s="475">
        <f t="shared" si="162"/>
        <v>-2934600</v>
      </c>
      <c r="M250" s="475">
        <f t="shared" si="162"/>
        <v>-3883599.9999999995</v>
      </c>
      <c r="N250" s="475">
        <f t="shared" si="162"/>
        <v>-4850850</v>
      </c>
      <c r="O250" s="475">
        <f t="shared" si="162"/>
        <v>-5529750</v>
      </c>
      <c r="P250" s="475">
        <f t="shared" si="162"/>
        <v>-6179450</v>
      </c>
      <c r="Q250" s="475">
        <f t="shared" si="162"/>
        <v>-6767100</v>
      </c>
      <c r="R250" s="475">
        <f t="shared" si="162"/>
        <v>-7506224.9999999991</v>
      </c>
      <c r="S250" s="475">
        <f t="shared" si="162"/>
        <v>-8677875</v>
      </c>
      <c r="T250" s="475">
        <f t="shared" si="162"/>
        <v>-8255085.7894134633</v>
      </c>
      <c r="U250" s="475">
        <f t="shared" si="162"/>
        <v>-7686097.9919247916</v>
      </c>
      <c r="V250" s="475">
        <f t="shared" si="162"/>
        <v>-6329579.1781574106</v>
      </c>
      <c r="W250" s="475">
        <f t="shared" si="162"/>
        <v>-4973060.3643900305</v>
      </c>
      <c r="X250" s="475">
        <f t="shared" si="162"/>
        <v>0</v>
      </c>
      <c r="Y250" s="475">
        <f t="shared" si="162"/>
        <v>0</v>
      </c>
      <c r="Z250" s="475">
        <f t="shared" si="162"/>
        <v>0</v>
      </c>
      <c r="AA250" s="475">
        <f t="shared" si="162"/>
        <v>0</v>
      </c>
      <c r="AB250" s="475">
        <f t="shared" si="162"/>
        <v>0</v>
      </c>
      <c r="AC250" s="582">
        <f t="shared" si="162"/>
        <v>0</v>
      </c>
    </row>
    <row r="251" spans="1:29" x14ac:dyDescent="0.2">
      <c r="B251" s="601"/>
      <c r="C251" s="602"/>
      <c r="D251" s="602"/>
      <c r="E251" s="602"/>
      <c r="F251" s="475"/>
      <c r="G251" s="475"/>
      <c r="H251" s="475"/>
      <c r="I251" s="475"/>
      <c r="J251" s="475"/>
      <c r="K251" s="475"/>
      <c r="L251" s="475"/>
      <c r="M251" s="475"/>
      <c r="N251" s="475"/>
      <c r="O251" s="475"/>
      <c r="P251" s="475"/>
      <c r="Q251" s="475"/>
      <c r="R251" s="475"/>
      <c r="S251" s="475"/>
      <c r="T251" s="475"/>
      <c r="U251" s="475"/>
      <c r="V251" s="475"/>
      <c r="W251" s="475"/>
      <c r="X251" s="475"/>
      <c r="Y251" s="475"/>
      <c r="Z251" s="475"/>
      <c r="AA251" s="475"/>
      <c r="AB251" s="475"/>
      <c r="AC251" s="582"/>
    </row>
    <row r="252" spans="1:29" x14ac:dyDescent="0.2">
      <c r="A252" s="318"/>
      <c r="B252" s="599" t="s">
        <v>169</v>
      </c>
      <c r="C252" s="600"/>
      <c r="D252" s="600"/>
      <c r="E252" s="600"/>
      <c r="F252" s="478">
        <f t="shared" ref="F252:AC252" si="163">F193</f>
        <v>-2417554.4073704481</v>
      </c>
      <c r="G252" s="478">
        <f t="shared" si="163"/>
        <v>0</v>
      </c>
      <c r="H252" s="478">
        <f t="shared" si="163"/>
        <v>0</v>
      </c>
      <c r="I252" s="478">
        <f t="shared" si="163"/>
        <v>0</v>
      </c>
      <c r="J252" s="478">
        <f t="shared" si="163"/>
        <v>0</v>
      </c>
      <c r="K252" s="478">
        <f t="shared" si="163"/>
        <v>0</v>
      </c>
      <c r="L252" s="478">
        <f t="shared" si="163"/>
        <v>0</v>
      </c>
      <c r="M252" s="478">
        <f t="shared" si="163"/>
        <v>0</v>
      </c>
      <c r="N252" s="478">
        <f t="shared" si="163"/>
        <v>0</v>
      </c>
      <c r="O252" s="478">
        <f t="shared" si="163"/>
        <v>0</v>
      </c>
      <c r="P252" s="478">
        <f t="shared" si="163"/>
        <v>0</v>
      </c>
      <c r="Q252" s="478">
        <f t="shared" si="163"/>
        <v>0</v>
      </c>
      <c r="R252" s="478">
        <f t="shared" si="163"/>
        <v>0</v>
      </c>
      <c r="S252" s="478">
        <f t="shared" si="163"/>
        <v>0</v>
      </c>
      <c r="T252" s="478">
        <f t="shared" si="163"/>
        <v>0</v>
      </c>
      <c r="U252" s="478">
        <f t="shared" si="163"/>
        <v>0</v>
      </c>
      <c r="V252" s="478">
        <f t="shared" si="163"/>
        <v>0</v>
      </c>
      <c r="W252" s="478">
        <f t="shared" si="163"/>
        <v>0</v>
      </c>
      <c r="X252" s="478">
        <f t="shared" si="163"/>
        <v>0</v>
      </c>
      <c r="Y252" s="478">
        <f t="shared" si="163"/>
        <v>0</v>
      </c>
      <c r="Z252" s="478">
        <f t="shared" si="163"/>
        <v>0</v>
      </c>
      <c r="AA252" s="478">
        <f t="shared" si="163"/>
        <v>0</v>
      </c>
      <c r="AB252" s="478">
        <f t="shared" si="163"/>
        <v>0</v>
      </c>
      <c r="AC252" s="587">
        <f t="shared" si="163"/>
        <v>0</v>
      </c>
    </row>
    <row r="253" spans="1:29" x14ac:dyDescent="0.2">
      <c r="A253" s="318"/>
      <c r="B253" s="599"/>
      <c r="C253" s="600"/>
      <c r="D253" s="600"/>
      <c r="E253" s="600"/>
      <c r="F253" s="478"/>
      <c r="G253" s="478"/>
      <c r="H253" s="478"/>
      <c r="I253" s="478"/>
      <c r="J253" s="478"/>
      <c r="K253" s="478"/>
      <c r="L253" s="478"/>
      <c r="M253" s="478"/>
      <c r="N253" s="478"/>
      <c r="O253" s="478"/>
      <c r="P253" s="478"/>
      <c r="Q253" s="478"/>
      <c r="R253" s="478"/>
      <c r="S253" s="478"/>
      <c r="T253" s="478"/>
      <c r="U253" s="478"/>
      <c r="V253" s="478"/>
      <c r="W253" s="478"/>
      <c r="X253" s="478"/>
      <c r="Y253" s="478"/>
      <c r="Z253" s="478"/>
      <c r="AA253" s="478"/>
      <c r="AB253" s="478"/>
      <c r="AC253" s="587"/>
    </row>
    <row r="254" spans="1:29" x14ac:dyDescent="0.2">
      <c r="A254" s="310"/>
      <c r="B254" s="601" t="s">
        <v>237</v>
      </c>
      <c r="C254" s="602"/>
      <c r="D254" s="602"/>
      <c r="E254" s="602"/>
      <c r="F254" s="475">
        <f>F250+F252</f>
        <v>-2417554.4073704481</v>
      </c>
      <c r="G254" s="475">
        <f>G250+G252</f>
        <v>0</v>
      </c>
      <c r="H254" s="475">
        <f>H250+H252</f>
        <v>0</v>
      </c>
      <c r="I254" s="475">
        <f t="shared" ref="I254:W254" si="164">I250+I252</f>
        <v>0</v>
      </c>
      <c r="J254" s="475">
        <f t="shared" si="164"/>
        <v>-917975</v>
      </c>
      <c r="K254" s="475">
        <f t="shared" si="164"/>
        <v>-1939974.9999999998</v>
      </c>
      <c r="L254" s="475">
        <f t="shared" si="164"/>
        <v>-2934600</v>
      </c>
      <c r="M254" s="475">
        <f t="shared" si="164"/>
        <v>-3883599.9999999995</v>
      </c>
      <c r="N254" s="475">
        <f t="shared" si="164"/>
        <v>-4850850</v>
      </c>
      <c r="O254" s="475">
        <f t="shared" si="164"/>
        <v>-5529750</v>
      </c>
      <c r="P254" s="475">
        <f t="shared" si="164"/>
        <v>-6179450</v>
      </c>
      <c r="Q254" s="475">
        <f t="shared" si="164"/>
        <v>-6767100</v>
      </c>
      <c r="R254" s="475">
        <f t="shared" si="164"/>
        <v>-7506224.9999999991</v>
      </c>
      <c r="S254" s="475">
        <f t="shared" si="164"/>
        <v>-8677875</v>
      </c>
      <c r="T254" s="475">
        <f t="shared" si="164"/>
        <v>-8255085.7894134633</v>
      </c>
      <c r="U254" s="475">
        <f t="shared" si="164"/>
        <v>-7686097.9919247916</v>
      </c>
      <c r="V254" s="475">
        <f t="shared" si="164"/>
        <v>-6329579.1781574106</v>
      </c>
      <c r="W254" s="475">
        <f t="shared" si="164"/>
        <v>-4973060.3643900305</v>
      </c>
      <c r="X254" s="475">
        <f>X250+X252</f>
        <v>0</v>
      </c>
      <c r="Y254" s="475">
        <f>Y250+Y252</f>
        <v>0</v>
      </c>
      <c r="Z254" s="475">
        <f>Z250+Z252</f>
        <v>0</v>
      </c>
      <c r="AA254" s="475">
        <f t="shared" ref="AA254:AC254" si="165">AA250+AA252</f>
        <v>0</v>
      </c>
      <c r="AB254" s="475">
        <f t="shared" si="165"/>
        <v>0</v>
      </c>
      <c r="AC254" s="582">
        <f t="shared" si="165"/>
        <v>0</v>
      </c>
    </row>
    <row r="255" spans="1:29" x14ac:dyDescent="0.2">
      <c r="A255" s="310"/>
      <c r="B255" s="601"/>
      <c r="C255" s="602"/>
      <c r="D255" s="602"/>
      <c r="E255" s="602"/>
      <c r="F255" s="475"/>
      <c r="G255" s="475"/>
      <c r="H255" s="475"/>
      <c r="I255" s="475"/>
      <c r="J255" s="475"/>
      <c r="K255" s="475"/>
      <c r="L255" s="475"/>
      <c r="M255" s="475"/>
      <c r="N255" s="475"/>
      <c r="O255" s="475"/>
      <c r="P255" s="475"/>
      <c r="Q255" s="475"/>
      <c r="R255" s="475"/>
      <c r="S255" s="475"/>
      <c r="T255" s="475"/>
      <c r="U255" s="475"/>
      <c r="V255" s="475"/>
      <c r="W255" s="475"/>
      <c r="X255" s="475"/>
      <c r="Y255" s="475"/>
      <c r="Z255" s="475"/>
      <c r="AA255" s="475"/>
      <c r="AB255" s="475"/>
      <c r="AC255" s="582"/>
    </row>
    <row r="256" spans="1:29" x14ac:dyDescent="0.2">
      <c r="A256" s="310"/>
      <c r="B256" s="460" t="s">
        <v>158</v>
      </c>
      <c r="C256" s="461"/>
      <c r="D256" s="461"/>
      <c r="E256" s="461"/>
      <c r="F256" s="478">
        <f t="shared" ref="F256:AC256" si="166">F191</f>
        <v>0</v>
      </c>
      <c r="G256" s="478">
        <f t="shared" si="166"/>
        <v>0</v>
      </c>
      <c r="H256" s="478">
        <f t="shared" si="166"/>
        <v>0</v>
      </c>
      <c r="I256" s="478">
        <f t="shared" si="166"/>
        <v>0</v>
      </c>
      <c r="J256" s="478">
        <f t="shared" si="166"/>
        <v>0</v>
      </c>
      <c r="K256" s="478">
        <f t="shared" si="166"/>
        <v>0</v>
      </c>
      <c r="L256" s="478">
        <f t="shared" si="166"/>
        <v>0</v>
      </c>
      <c r="M256" s="478">
        <f t="shared" si="166"/>
        <v>0</v>
      </c>
      <c r="N256" s="478">
        <f t="shared" si="166"/>
        <v>0</v>
      </c>
      <c r="O256" s="478">
        <f t="shared" si="166"/>
        <v>0</v>
      </c>
      <c r="P256" s="478">
        <f t="shared" si="166"/>
        <v>0</v>
      </c>
      <c r="Q256" s="478">
        <f t="shared" si="166"/>
        <v>0</v>
      </c>
      <c r="R256" s="478">
        <f t="shared" si="166"/>
        <v>0</v>
      </c>
      <c r="S256" s="478">
        <f t="shared" si="166"/>
        <v>-31177413.561023142</v>
      </c>
      <c r="T256" s="478">
        <f t="shared" si="166"/>
        <v>-31177413.561023142</v>
      </c>
      <c r="U256" s="478">
        <f t="shared" si="166"/>
        <v>-74329798.014650986</v>
      </c>
      <c r="V256" s="478">
        <f t="shared" si="166"/>
        <v>-74329798.014650986</v>
      </c>
      <c r="W256" s="478">
        <f t="shared" si="166"/>
        <v>-272496458.32274139</v>
      </c>
      <c r="X256" s="478">
        <f t="shared" si="166"/>
        <v>0</v>
      </c>
      <c r="Y256" s="478">
        <f t="shared" si="166"/>
        <v>0</v>
      </c>
      <c r="Z256" s="478">
        <f t="shared" si="166"/>
        <v>0</v>
      </c>
      <c r="AA256" s="478">
        <f t="shared" si="166"/>
        <v>0</v>
      </c>
      <c r="AB256" s="478">
        <f t="shared" si="166"/>
        <v>0</v>
      </c>
      <c r="AC256" s="587">
        <f t="shared" si="166"/>
        <v>0</v>
      </c>
    </row>
    <row r="257" spans="1:29" ht="12" thickBot="1" x14ac:dyDescent="0.25">
      <c r="B257" s="603"/>
      <c r="C257" s="604"/>
      <c r="D257" s="604"/>
      <c r="E257" s="604"/>
      <c r="F257" s="584"/>
      <c r="G257" s="584"/>
      <c r="H257" s="584"/>
      <c r="I257" s="584"/>
      <c r="J257" s="584"/>
      <c r="K257" s="584"/>
      <c r="L257" s="584"/>
      <c r="M257" s="584"/>
      <c r="N257" s="584"/>
      <c r="O257" s="584"/>
      <c r="P257" s="584"/>
      <c r="Q257" s="584"/>
      <c r="R257" s="584"/>
      <c r="S257" s="584"/>
      <c r="T257" s="584"/>
      <c r="U257" s="584"/>
      <c r="V257" s="584"/>
      <c r="W257" s="584"/>
      <c r="X257" s="584"/>
      <c r="Y257" s="584"/>
      <c r="Z257" s="584"/>
      <c r="AA257" s="584"/>
      <c r="AB257" s="584"/>
      <c r="AC257" s="588"/>
    </row>
    <row r="258" spans="1:29" x14ac:dyDescent="0.2">
      <c r="A258" s="310"/>
      <c r="E258" s="310"/>
      <c r="F258" s="310"/>
      <c r="G258" s="310"/>
      <c r="H258" s="310"/>
      <c r="I258" s="310"/>
      <c r="J258" s="310"/>
      <c r="K258" s="310"/>
      <c r="L258" s="310"/>
      <c r="M258" s="310"/>
      <c r="N258" s="310"/>
      <c r="O258" s="310"/>
      <c r="P258" s="310"/>
      <c r="Q258" s="310"/>
      <c r="R258" s="310"/>
      <c r="S258" s="310"/>
      <c r="T258" s="310"/>
      <c r="U258" s="310"/>
      <c r="V258" s="310"/>
      <c r="W258" s="310"/>
      <c r="AB258" s="166" t="s">
        <v>189</v>
      </c>
      <c r="AC258" s="162" t="s">
        <v>190</v>
      </c>
    </row>
    <row r="259" spans="1:29" ht="12" thickBot="1" x14ac:dyDescent="0.25">
      <c r="A259" s="310"/>
      <c r="E259" s="310"/>
      <c r="F259" s="310"/>
      <c r="G259" s="310"/>
      <c r="H259" s="310"/>
      <c r="I259" s="310"/>
      <c r="J259" s="310"/>
      <c r="K259" s="310"/>
      <c r="L259" s="310"/>
      <c r="M259" s="310"/>
      <c r="N259" s="310"/>
      <c r="O259" s="310"/>
      <c r="P259" s="310"/>
      <c r="Q259" s="310"/>
      <c r="R259" s="310"/>
      <c r="S259" s="310"/>
      <c r="T259" s="310"/>
      <c r="U259" s="310"/>
      <c r="V259" s="310"/>
      <c r="W259" s="310"/>
      <c r="AB259" s="167">
        <f>SUM(F248:AC249)</f>
        <v>483510881.47408962</v>
      </c>
      <c r="AC259" s="163">
        <f>SUM(F254:AC255)</f>
        <v>-78848777.731256142</v>
      </c>
    </row>
    <row r="260" spans="1:29" x14ac:dyDescent="0.2">
      <c r="A260" s="310"/>
      <c r="AB260" s="79" t="b">
        <f>AB259=E189</f>
        <v>1</v>
      </c>
      <c r="AC260" s="79" t="b">
        <f>AC259=SUM(E192:E193)</f>
        <v>1</v>
      </c>
    </row>
    <row r="261" spans="1:29" x14ac:dyDescent="0.2">
      <c r="A261" s="310"/>
      <c r="W261" s="310"/>
    </row>
    <row r="262" spans="1:29" x14ac:dyDescent="0.2">
      <c r="A262" s="310"/>
      <c r="H262" s="201"/>
      <c r="W262" s="310"/>
    </row>
    <row r="263" spans="1:29" x14ac:dyDescent="0.2">
      <c r="A263" s="310"/>
      <c r="W263" s="310"/>
    </row>
    <row r="264" spans="1:29" x14ac:dyDescent="0.2">
      <c r="A264" s="310"/>
      <c r="W264" s="310"/>
    </row>
    <row r="265" spans="1:29" x14ac:dyDescent="0.2">
      <c r="A265" s="310"/>
      <c r="B265" s="310"/>
      <c r="C265" s="310"/>
      <c r="D265" s="310"/>
      <c r="E265" s="310"/>
      <c r="F265" s="310"/>
      <c r="G265" s="310"/>
      <c r="H265" s="310"/>
      <c r="I265" s="310"/>
      <c r="J265" s="310"/>
      <c r="K265" s="310"/>
      <c r="L265" s="310"/>
      <c r="M265" s="310"/>
      <c r="N265" s="310"/>
      <c r="O265" s="310"/>
      <c r="P265" s="310"/>
      <c r="Q265" s="310"/>
      <c r="R265" s="310"/>
      <c r="S265" s="310"/>
      <c r="T265" s="310"/>
      <c r="U265" s="310"/>
      <c r="V265" s="310"/>
      <c r="W265" s="310"/>
      <c r="X265" s="310"/>
    </row>
    <row r="266" spans="1:29" ht="12" thickBot="1" x14ac:dyDescent="0.25">
      <c r="B266" s="287"/>
      <c r="C266" s="287"/>
      <c r="D266" s="287"/>
      <c r="E266" s="287"/>
      <c r="F266" s="287" t="str">
        <f t="shared" ref="F266:K266" si="167">IF(AND(F200&lt;&gt;"", F200&lt;&gt;0), 1, "")</f>
        <v/>
      </c>
      <c r="G266" s="287" t="str">
        <f t="shared" si="167"/>
        <v/>
      </c>
      <c r="H266" s="287">
        <f t="shared" si="167"/>
        <v>1</v>
      </c>
      <c r="I266" s="287" t="str">
        <f t="shared" si="167"/>
        <v/>
      </c>
      <c r="J266" s="287" t="str">
        <f t="shared" si="167"/>
        <v/>
      </c>
      <c r="K266" s="287" t="str">
        <f t="shared" si="167"/>
        <v/>
      </c>
      <c r="L266" s="287">
        <f t="shared" ref="L266:Y266" si="168">IF(AND(L196&lt;&gt;"", L196&lt;&gt;0), 1, "")</f>
        <v>1</v>
      </c>
      <c r="M266" s="287">
        <f t="shared" si="168"/>
        <v>1</v>
      </c>
      <c r="N266" s="287">
        <f t="shared" si="168"/>
        <v>1</v>
      </c>
      <c r="O266" s="287">
        <f t="shared" si="168"/>
        <v>1</v>
      </c>
      <c r="P266" s="287">
        <f t="shared" si="168"/>
        <v>1</v>
      </c>
      <c r="Q266" s="287">
        <f t="shared" si="168"/>
        <v>1</v>
      </c>
      <c r="R266" s="287">
        <f t="shared" si="168"/>
        <v>1</v>
      </c>
      <c r="S266" s="287" t="str">
        <f t="shared" si="168"/>
        <v/>
      </c>
      <c r="T266" s="287" t="str">
        <f t="shared" si="168"/>
        <v/>
      </c>
      <c r="U266" s="287" t="str">
        <f t="shared" si="168"/>
        <v/>
      </c>
      <c r="V266" s="287" t="str">
        <f t="shared" si="168"/>
        <v/>
      </c>
      <c r="W266" s="287" t="str">
        <f t="shared" si="168"/>
        <v/>
      </c>
      <c r="X266" s="287" t="str">
        <f t="shared" si="168"/>
        <v/>
      </c>
      <c r="Y266" s="287" t="str">
        <f t="shared" si="168"/>
        <v/>
      </c>
      <c r="Z266" s="287"/>
      <c r="AA266" s="287"/>
      <c r="AB266" s="287"/>
      <c r="AC266" s="287"/>
    </row>
    <row r="267" spans="1:29" ht="12.75" x14ac:dyDescent="0.2">
      <c r="B267" s="204" t="s">
        <v>191</v>
      </c>
      <c r="C267" s="205"/>
      <c r="D267" s="205"/>
      <c r="E267" s="205"/>
      <c r="F267" s="205"/>
      <c r="G267" s="205"/>
      <c r="H267" s="205"/>
      <c r="I267" s="205"/>
      <c r="J267" s="205"/>
      <c r="K267" s="205"/>
      <c r="L267" s="205"/>
      <c r="M267" s="205"/>
      <c r="N267" s="205"/>
      <c r="O267" s="205"/>
      <c r="P267" s="205"/>
      <c r="Q267" s="205"/>
      <c r="R267" s="205"/>
      <c r="S267" s="205"/>
      <c r="T267" s="205"/>
      <c r="U267" s="205"/>
      <c r="V267" s="205"/>
      <c r="W267" s="205"/>
      <c r="X267" s="205"/>
      <c r="Y267" s="205"/>
      <c r="Z267" s="205"/>
      <c r="AA267" s="205"/>
      <c r="AB267" s="205"/>
      <c r="AC267" s="206"/>
    </row>
    <row r="268" spans="1:29" x14ac:dyDescent="0.2">
      <c r="B268" s="610">
        <f>N139-SUM(F270:Y271)</f>
        <v>0</v>
      </c>
      <c r="C268" s="611"/>
      <c r="D268" s="609" t="b">
        <f>B268=0</f>
        <v>1</v>
      </c>
      <c r="E268" s="473" t="s">
        <v>188</v>
      </c>
      <c r="F268" s="170" t="s">
        <v>100</v>
      </c>
      <c r="G268" s="170"/>
      <c r="H268" s="170"/>
      <c r="I268" s="170"/>
      <c r="J268" s="170" t="s">
        <v>102</v>
      </c>
      <c r="K268" s="170"/>
      <c r="L268" s="170"/>
      <c r="M268" s="170"/>
      <c r="N268" s="170" t="s">
        <v>104</v>
      </c>
      <c r="O268" s="170"/>
      <c r="P268" s="170"/>
      <c r="Q268" s="170"/>
      <c r="R268" s="170" t="s">
        <v>106</v>
      </c>
      <c r="S268" s="170"/>
      <c r="T268" s="170"/>
      <c r="U268" s="170"/>
      <c r="V268" s="170" t="s">
        <v>107</v>
      </c>
      <c r="W268" s="170"/>
      <c r="X268" s="170"/>
      <c r="Y268" s="170"/>
      <c r="Z268" s="171" t="s">
        <v>109</v>
      </c>
      <c r="AA268" s="171"/>
      <c r="AB268" s="171"/>
      <c r="AC268" s="172"/>
    </row>
    <row r="269" spans="1:29" x14ac:dyDescent="0.2">
      <c r="B269" s="610"/>
      <c r="C269" s="611"/>
      <c r="D269" s="609"/>
      <c r="E269" s="473"/>
      <c r="F269" s="103" t="s">
        <v>133</v>
      </c>
      <c r="G269" s="103" t="s">
        <v>134</v>
      </c>
      <c r="H269" s="103" t="s">
        <v>135</v>
      </c>
      <c r="I269" s="103" t="s">
        <v>136</v>
      </c>
      <c r="J269" s="103" t="s">
        <v>137</v>
      </c>
      <c r="K269" s="103" t="s">
        <v>138</v>
      </c>
      <c r="L269" s="103" t="s">
        <v>139</v>
      </c>
      <c r="M269" s="103" t="s">
        <v>140</v>
      </c>
      <c r="N269" s="103" t="s">
        <v>141</v>
      </c>
      <c r="O269" s="103" t="s">
        <v>142</v>
      </c>
      <c r="P269" s="103" t="s">
        <v>143</v>
      </c>
      <c r="Q269" s="103" t="s">
        <v>144</v>
      </c>
      <c r="R269" s="103" t="s">
        <v>145</v>
      </c>
      <c r="S269" s="103" t="s">
        <v>146</v>
      </c>
      <c r="T269" s="103" t="s">
        <v>147</v>
      </c>
      <c r="U269" s="103" t="s">
        <v>148</v>
      </c>
      <c r="V269" s="103" t="s">
        <v>149</v>
      </c>
      <c r="W269" s="103" t="s">
        <v>150</v>
      </c>
      <c r="X269" s="103" t="s">
        <v>151</v>
      </c>
      <c r="Y269" s="103" t="s">
        <v>152</v>
      </c>
      <c r="Z269" s="103" t="s">
        <v>153</v>
      </c>
      <c r="AA269" s="103" t="s">
        <v>154</v>
      </c>
      <c r="AB269" s="103" t="s">
        <v>155</v>
      </c>
      <c r="AC269" s="87" t="s">
        <v>156</v>
      </c>
    </row>
    <row r="270" spans="1:29" x14ac:dyDescent="0.2">
      <c r="B270" s="605" t="s">
        <v>192</v>
      </c>
      <c r="C270" s="606"/>
      <c r="D270" s="607" t="b">
        <f>IF(ABS(E270 - N139) &lt; MAX(0.00001, E270 * 0.00001), TRUE, FALSE)</f>
        <v>1</v>
      </c>
      <c r="E270" s="475">
        <f>SUM(F270:Y271)</f>
        <v>70</v>
      </c>
      <c r="F270" s="492"/>
      <c r="G270" s="492"/>
      <c r="H270" s="492"/>
      <c r="I270" s="492">
        <v>1</v>
      </c>
      <c r="J270" s="492">
        <v>2</v>
      </c>
      <c r="K270" s="492">
        <v>3</v>
      </c>
      <c r="L270" s="492">
        <v>4</v>
      </c>
      <c r="M270" s="492">
        <v>4</v>
      </c>
      <c r="N270" s="492">
        <v>8</v>
      </c>
      <c r="O270" s="492">
        <v>8</v>
      </c>
      <c r="P270" s="492">
        <v>10</v>
      </c>
      <c r="Q270" s="492">
        <v>15</v>
      </c>
      <c r="R270" s="492">
        <v>15</v>
      </c>
      <c r="S270" s="492"/>
      <c r="T270" s="492"/>
      <c r="U270" s="492"/>
      <c r="V270" s="492"/>
      <c r="W270" s="492"/>
      <c r="X270" s="492"/>
      <c r="Y270" s="492"/>
      <c r="Z270" s="492"/>
      <c r="AA270" s="492"/>
      <c r="AB270" s="492"/>
      <c r="AC270" s="493"/>
    </row>
    <row r="271" spans="1:29" x14ac:dyDescent="0.2">
      <c r="B271" s="605"/>
      <c r="C271" s="606"/>
      <c r="D271" s="607"/>
      <c r="E271" s="475"/>
      <c r="F271" s="492"/>
      <c r="G271" s="492"/>
      <c r="H271" s="492"/>
      <c r="I271" s="492"/>
      <c r="J271" s="492"/>
      <c r="K271" s="492"/>
      <c r="L271" s="492"/>
      <c r="M271" s="492"/>
      <c r="N271" s="492"/>
      <c r="O271" s="492"/>
      <c r="P271" s="492"/>
      <c r="Q271" s="492"/>
      <c r="R271" s="492"/>
      <c r="S271" s="492"/>
      <c r="T271" s="492"/>
      <c r="U271" s="492"/>
      <c r="V271" s="492"/>
      <c r="W271" s="492"/>
      <c r="X271" s="492"/>
      <c r="Y271" s="492"/>
      <c r="Z271" s="492"/>
      <c r="AA271" s="492"/>
      <c r="AB271" s="492"/>
      <c r="AC271" s="493"/>
    </row>
    <row r="272" spans="1:29" x14ac:dyDescent="0.2">
      <c r="B272" s="460" t="s">
        <v>193</v>
      </c>
      <c r="C272" s="461"/>
      <c r="D272" s="609" t="b">
        <f>IF(ABS(E272 - C196) &lt; MAX(0.00001, E272 * 0.00001), TRUE, FALSE)</f>
        <v>1</v>
      </c>
      <c r="E272" s="608">
        <f>SUM(F272:AC273)</f>
        <v>-475846181.75999987</v>
      </c>
      <c r="F272" s="478">
        <f t="shared" ref="F272:AC272" si="169">F196</f>
        <v>0</v>
      </c>
      <c r="G272" s="478">
        <f t="shared" si="169"/>
        <v>0</v>
      </c>
      <c r="H272" s="478">
        <f t="shared" si="169"/>
        <v>0</v>
      </c>
      <c r="I272" s="478">
        <f t="shared" si="169"/>
        <v>-71376927.263999999</v>
      </c>
      <c r="J272" s="478">
        <f t="shared" si="169"/>
        <v>-47584618.175999999</v>
      </c>
      <c r="K272" s="478">
        <f t="shared" si="169"/>
        <v>-47584618.175999999</v>
      </c>
      <c r="L272" s="478">
        <f t="shared" si="169"/>
        <v>-47584618.175999999</v>
      </c>
      <c r="M272" s="478">
        <f t="shared" si="169"/>
        <v>-47584618.175999999</v>
      </c>
      <c r="N272" s="478">
        <f t="shared" si="169"/>
        <v>-38067694.540799998</v>
      </c>
      <c r="O272" s="478">
        <f t="shared" si="169"/>
        <v>-38067694.540799998</v>
      </c>
      <c r="P272" s="478">
        <f t="shared" si="169"/>
        <v>-38067694.540799998</v>
      </c>
      <c r="Q272" s="478">
        <f t="shared" si="169"/>
        <v>-38067694.540799998</v>
      </c>
      <c r="R272" s="478">
        <f t="shared" si="169"/>
        <v>-61860003.628799997</v>
      </c>
      <c r="S272" s="478">
        <f t="shared" si="169"/>
        <v>0</v>
      </c>
      <c r="T272" s="478">
        <f t="shared" si="169"/>
        <v>0</v>
      </c>
      <c r="U272" s="478">
        <f t="shared" si="169"/>
        <v>0</v>
      </c>
      <c r="V272" s="478">
        <f t="shared" si="169"/>
        <v>0</v>
      </c>
      <c r="W272" s="478">
        <f t="shared" si="169"/>
        <v>0</v>
      </c>
      <c r="X272" s="478">
        <f t="shared" si="169"/>
        <v>0</v>
      </c>
      <c r="Y272" s="478">
        <f t="shared" si="169"/>
        <v>0</v>
      </c>
      <c r="Z272" s="478">
        <f t="shared" si="169"/>
        <v>0</v>
      </c>
      <c r="AA272" s="478">
        <f t="shared" si="169"/>
        <v>0</v>
      </c>
      <c r="AB272" s="478">
        <f t="shared" si="169"/>
        <v>0</v>
      </c>
      <c r="AC272" s="587">
        <f t="shared" si="169"/>
        <v>0</v>
      </c>
    </row>
    <row r="273" spans="2:29" x14ac:dyDescent="0.2">
      <c r="B273" s="460"/>
      <c r="C273" s="461"/>
      <c r="D273" s="609"/>
      <c r="E273" s="608"/>
      <c r="F273" s="478"/>
      <c r="G273" s="478"/>
      <c r="H273" s="478"/>
      <c r="I273" s="478"/>
      <c r="J273" s="478"/>
      <c r="K273" s="478"/>
      <c r="L273" s="478"/>
      <c r="M273" s="478"/>
      <c r="N273" s="478"/>
      <c r="O273" s="478"/>
      <c r="P273" s="478"/>
      <c r="Q273" s="478"/>
      <c r="R273" s="478"/>
      <c r="S273" s="478"/>
      <c r="T273" s="478"/>
      <c r="U273" s="478"/>
      <c r="V273" s="478"/>
      <c r="W273" s="478"/>
      <c r="X273" s="478"/>
      <c r="Y273" s="478"/>
      <c r="Z273" s="478"/>
      <c r="AA273" s="478"/>
      <c r="AB273" s="478"/>
      <c r="AC273" s="587"/>
    </row>
    <row r="274" spans="2:29" x14ac:dyDescent="0.2">
      <c r="B274" s="605" t="s">
        <v>194</v>
      </c>
      <c r="C274" s="606"/>
      <c r="D274" s="607" t="b">
        <f>E274=100%</f>
        <v>1</v>
      </c>
      <c r="E274" s="585">
        <f>SUM(F274:AC275)</f>
        <v>0.99999999999999978</v>
      </c>
      <c r="F274" s="585">
        <f>F272/$C$196</f>
        <v>0</v>
      </c>
      <c r="G274" s="585">
        <f t="shared" ref="G274:K274" si="170">G272/$C$196</f>
        <v>0</v>
      </c>
      <c r="H274" s="585">
        <f t="shared" si="170"/>
        <v>0</v>
      </c>
      <c r="I274" s="585">
        <f t="shared" si="170"/>
        <v>0.15</v>
      </c>
      <c r="J274" s="585">
        <f>J272/$C$196</f>
        <v>0.1</v>
      </c>
      <c r="K274" s="585">
        <f t="shared" si="170"/>
        <v>0.1</v>
      </c>
      <c r="L274" s="585">
        <f t="shared" ref="L274:X274" si="171">L272/$C$196</f>
        <v>0.1</v>
      </c>
      <c r="M274" s="585">
        <f t="shared" si="171"/>
        <v>0.1</v>
      </c>
      <c r="N274" s="585">
        <f t="shared" si="171"/>
        <v>0.08</v>
      </c>
      <c r="O274" s="585">
        <f t="shared" si="171"/>
        <v>0.08</v>
      </c>
      <c r="P274" s="585">
        <f t="shared" si="171"/>
        <v>0.08</v>
      </c>
      <c r="Q274" s="585">
        <f t="shared" si="171"/>
        <v>0.08</v>
      </c>
      <c r="R274" s="585">
        <f t="shared" si="171"/>
        <v>0.13</v>
      </c>
      <c r="S274" s="585">
        <f t="shared" si="171"/>
        <v>0</v>
      </c>
      <c r="T274" s="585">
        <f t="shared" si="171"/>
        <v>0</v>
      </c>
      <c r="U274" s="585">
        <f t="shared" si="171"/>
        <v>0</v>
      </c>
      <c r="V274" s="585">
        <f t="shared" si="171"/>
        <v>0</v>
      </c>
      <c r="W274" s="585">
        <f t="shared" si="171"/>
        <v>0</v>
      </c>
      <c r="X274" s="585">
        <f t="shared" si="171"/>
        <v>0</v>
      </c>
      <c r="Y274" s="585">
        <f>Y272/$C$196</f>
        <v>0</v>
      </c>
      <c r="Z274" s="585">
        <f t="shared" ref="Z274:AC274" si="172">Z272/$C$196</f>
        <v>0</v>
      </c>
      <c r="AA274" s="585">
        <f t="shared" si="172"/>
        <v>0</v>
      </c>
      <c r="AB274" s="585">
        <f t="shared" si="172"/>
        <v>0</v>
      </c>
      <c r="AC274" s="590">
        <f t="shared" si="172"/>
        <v>0</v>
      </c>
    </row>
    <row r="275" spans="2:29" x14ac:dyDescent="0.2">
      <c r="B275" s="605"/>
      <c r="C275" s="606"/>
      <c r="D275" s="607"/>
      <c r="E275" s="585"/>
      <c r="F275" s="585"/>
      <c r="G275" s="585"/>
      <c r="H275" s="585"/>
      <c r="I275" s="585"/>
      <c r="J275" s="585"/>
      <c r="K275" s="585"/>
      <c r="L275" s="585"/>
      <c r="M275" s="585"/>
      <c r="N275" s="585"/>
      <c r="O275" s="585"/>
      <c r="P275" s="585"/>
      <c r="Q275" s="585"/>
      <c r="R275" s="585"/>
      <c r="S275" s="585"/>
      <c r="T275" s="585"/>
      <c r="U275" s="585"/>
      <c r="V275" s="585"/>
      <c r="W275" s="585"/>
      <c r="X275" s="585"/>
      <c r="Y275" s="585"/>
      <c r="Z275" s="585"/>
      <c r="AA275" s="585"/>
      <c r="AB275" s="585"/>
      <c r="AC275" s="590"/>
    </row>
    <row r="276" spans="2:29" x14ac:dyDescent="0.2">
      <c r="B276" s="460" t="s">
        <v>195</v>
      </c>
      <c r="C276" s="461"/>
      <c r="D276" s="609" t="b">
        <f>B266=B266</f>
        <v>1</v>
      </c>
      <c r="E276" s="475" t="s">
        <v>66</v>
      </c>
      <c r="F276" s="586">
        <f>F274</f>
        <v>0</v>
      </c>
      <c r="G276" s="586">
        <f>G274+F276</f>
        <v>0</v>
      </c>
      <c r="H276" s="586">
        <f>H274+G276</f>
        <v>0</v>
      </c>
      <c r="I276" s="586">
        <f t="shared" ref="I276:U276" si="173">I274+H276</f>
        <v>0.15</v>
      </c>
      <c r="J276" s="586">
        <f>J274+I276</f>
        <v>0.25</v>
      </c>
      <c r="K276" s="586">
        <f t="shared" si="173"/>
        <v>0.35</v>
      </c>
      <c r="L276" s="586">
        <f t="shared" si="173"/>
        <v>0.44999999999999996</v>
      </c>
      <c r="M276" s="586">
        <f t="shared" si="173"/>
        <v>0.54999999999999993</v>
      </c>
      <c r="N276" s="586">
        <f>N274+M276</f>
        <v>0.62999999999999989</v>
      </c>
      <c r="O276" s="586">
        <f t="shared" si="173"/>
        <v>0.70999999999999985</v>
      </c>
      <c r="P276" s="586">
        <f t="shared" si="173"/>
        <v>0.78999999999999981</v>
      </c>
      <c r="Q276" s="586">
        <f>Q274+P276</f>
        <v>0.86999999999999977</v>
      </c>
      <c r="R276" s="586">
        <f t="shared" si="173"/>
        <v>0.99999999999999978</v>
      </c>
      <c r="S276" s="586">
        <f>S274+R276</f>
        <v>0.99999999999999978</v>
      </c>
      <c r="T276" s="586">
        <f>T274+S276</f>
        <v>0.99999999999999978</v>
      </c>
      <c r="U276" s="586">
        <f t="shared" si="173"/>
        <v>0.99999999999999978</v>
      </c>
      <c r="V276" s="586">
        <f>V274+U276</f>
        <v>0.99999999999999978</v>
      </c>
      <c r="W276" s="586">
        <f>W274+V276</f>
        <v>0.99999999999999978</v>
      </c>
      <c r="X276" s="586">
        <f>X274+W276</f>
        <v>0.99999999999999978</v>
      </c>
      <c r="Y276" s="586">
        <f>Y274+X276</f>
        <v>0.99999999999999978</v>
      </c>
      <c r="Z276" s="586">
        <f t="shared" ref="Z276:AC276" si="174">Z274+Y276</f>
        <v>0.99999999999999978</v>
      </c>
      <c r="AA276" s="586">
        <f t="shared" si="174"/>
        <v>0.99999999999999978</v>
      </c>
      <c r="AB276" s="586">
        <f t="shared" si="174"/>
        <v>0.99999999999999978</v>
      </c>
      <c r="AC276" s="589">
        <f t="shared" si="174"/>
        <v>0.99999999999999978</v>
      </c>
    </row>
    <row r="277" spans="2:29" x14ac:dyDescent="0.2">
      <c r="B277" s="460"/>
      <c r="C277" s="461"/>
      <c r="D277" s="609"/>
      <c r="E277" s="475"/>
      <c r="F277" s="586"/>
      <c r="G277" s="586"/>
      <c r="H277" s="586"/>
      <c r="I277" s="586"/>
      <c r="J277" s="586"/>
      <c r="K277" s="586"/>
      <c r="L277" s="586"/>
      <c r="M277" s="586"/>
      <c r="N277" s="586"/>
      <c r="O277" s="586"/>
      <c r="P277" s="586"/>
      <c r="Q277" s="586"/>
      <c r="R277" s="586"/>
      <c r="S277" s="586"/>
      <c r="T277" s="586"/>
      <c r="U277" s="586"/>
      <c r="V277" s="586"/>
      <c r="W277" s="586"/>
      <c r="X277" s="586"/>
      <c r="Y277" s="586"/>
      <c r="Z277" s="586"/>
      <c r="AA277" s="586"/>
      <c r="AB277" s="586"/>
      <c r="AC277" s="589"/>
    </row>
    <row r="278" spans="2:29" x14ac:dyDescent="0.2">
      <c r="B278" s="605" t="s">
        <v>226</v>
      </c>
      <c r="C278" s="606"/>
      <c r="D278" s="607" t="b">
        <f>IF(ABS(E278 - C303) &lt; MAX(0.00001, E278 * 0.00001), TRUE, FALSE)</f>
        <v>1</v>
      </c>
      <c r="E278" s="475">
        <f>SUM(F278:AC279)</f>
        <v>146495855.73569685</v>
      </c>
      <c r="F278" s="475">
        <f t="shared" ref="F278:AC278" si="175">F270*$C$307</f>
        <v>0</v>
      </c>
      <c r="G278" s="475">
        <f t="shared" si="175"/>
        <v>0</v>
      </c>
      <c r="H278" s="475">
        <f t="shared" si="175"/>
        <v>0</v>
      </c>
      <c r="I278" s="475">
        <f t="shared" si="175"/>
        <v>2092797.9390813836</v>
      </c>
      <c r="J278" s="475">
        <f t="shared" si="175"/>
        <v>4185595.8781627673</v>
      </c>
      <c r="K278" s="475">
        <f t="shared" si="175"/>
        <v>6278393.8172441507</v>
      </c>
      <c r="L278" s="475">
        <f t="shared" si="175"/>
        <v>8371191.7563255345</v>
      </c>
      <c r="M278" s="475">
        <f t="shared" si="175"/>
        <v>8371191.7563255345</v>
      </c>
      <c r="N278" s="475">
        <f t="shared" si="175"/>
        <v>16742383.512651069</v>
      </c>
      <c r="O278" s="475">
        <f t="shared" si="175"/>
        <v>16742383.512651069</v>
      </c>
      <c r="P278" s="475">
        <f t="shared" si="175"/>
        <v>20927979.390813835</v>
      </c>
      <c r="Q278" s="475">
        <f t="shared" si="175"/>
        <v>31391969.086220756</v>
      </c>
      <c r="R278" s="475">
        <f t="shared" si="175"/>
        <v>31391969.086220756</v>
      </c>
      <c r="S278" s="475">
        <f t="shared" si="175"/>
        <v>0</v>
      </c>
      <c r="T278" s="475">
        <f t="shared" si="175"/>
        <v>0</v>
      </c>
      <c r="U278" s="475">
        <f t="shared" si="175"/>
        <v>0</v>
      </c>
      <c r="V278" s="475">
        <f t="shared" si="175"/>
        <v>0</v>
      </c>
      <c r="W278" s="475">
        <f t="shared" si="175"/>
        <v>0</v>
      </c>
      <c r="X278" s="475">
        <f t="shared" si="175"/>
        <v>0</v>
      </c>
      <c r="Y278" s="475">
        <f t="shared" si="175"/>
        <v>0</v>
      </c>
      <c r="Z278" s="475">
        <f t="shared" si="175"/>
        <v>0</v>
      </c>
      <c r="AA278" s="475">
        <f t="shared" si="175"/>
        <v>0</v>
      </c>
      <c r="AB278" s="475">
        <f t="shared" si="175"/>
        <v>0</v>
      </c>
      <c r="AC278" s="582">
        <f t="shared" si="175"/>
        <v>0</v>
      </c>
    </row>
    <row r="279" spans="2:29" x14ac:dyDescent="0.2">
      <c r="B279" s="605"/>
      <c r="C279" s="606"/>
      <c r="D279" s="607"/>
      <c r="E279" s="475"/>
      <c r="F279" s="475"/>
      <c r="G279" s="475"/>
      <c r="H279" s="475"/>
      <c r="I279" s="475"/>
      <c r="J279" s="475"/>
      <c r="K279" s="475"/>
      <c r="L279" s="475"/>
      <c r="M279" s="475"/>
      <c r="N279" s="475"/>
      <c r="O279" s="475"/>
      <c r="P279" s="475"/>
      <c r="Q279" s="475"/>
      <c r="R279" s="475"/>
      <c r="S279" s="475"/>
      <c r="T279" s="475"/>
      <c r="U279" s="475"/>
      <c r="V279" s="475"/>
      <c r="W279" s="475"/>
      <c r="X279" s="475"/>
      <c r="Y279" s="475"/>
      <c r="Z279" s="475"/>
      <c r="AA279" s="475"/>
      <c r="AB279" s="475"/>
      <c r="AC279" s="582"/>
    </row>
    <row r="280" spans="2:29" x14ac:dyDescent="0.2">
      <c r="B280" s="460" t="s">
        <v>178</v>
      </c>
      <c r="C280" s="461"/>
      <c r="D280" s="609" t="b">
        <f>IF(ABS(E280 - C308) &lt; MAX(0.00001, E280 * 0.00001), TRUE, FALSE)</f>
        <v>1</v>
      </c>
      <c r="E280" s="608">
        <f>-SUM(F280:AC281)</f>
        <v>2197437.8360354528</v>
      </c>
      <c r="F280" s="478">
        <f t="shared" ref="F280:AC280" si="176">$D$308*-F278</f>
        <v>0</v>
      </c>
      <c r="G280" s="478">
        <f t="shared" si="176"/>
        <v>0</v>
      </c>
      <c r="H280" s="478">
        <f t="shared" si="176"/>
        <v>0</v>
      </c>
      <c r="I280" s="478">
        <f t="shared" si="176"/>
        <v>-31391.969086220754</v>
      </c>
      <c r="J280" s="478">
        <f t="shared" si="176"/>
        <v>-62783.938172441507</v>
      </c>
      <c r="K280" s="478">
        <f t="shared" si="176"/>
        <v>-94175.90725866225</v>
      </c>
      <c r="L280" s="478">
        <f t="shared" si="176"/>
        <v>-125567.87634488301</v>
      </c>
      <c r="M280" s="478">
        <f t="shared" si="176"/>
        <v>-125567.87634488301</v>
      </c>
      <c r="N280" s="478">
        <f t="shared" si="176"/>
        <v>-251135.75268976603</v>
      </c>
      <c r="O280" s="478">
        <f t="shared" si="176"/>
        <v>-251135.75268976603</v>
      </c>
      <c r="P280" s="478">
        <f t="shared" si="176"/>
        <v>-313919.6908622075</v>
      </c>
      <c r="Q280" s="478">
        <f t="shared" si="176"/>
        <v>-470879.53629331134</v>
      </c>
      <c r="R280" s="478">
        <f t="shared" si="176"/>
        <v>-470879.53629331134</v>
      </c>
      <c r="S280" s="478">
        <f t="shared" si="176"/>
        <v>0</v>
      </c>
      <c r="T280" s="478">
        <f t="shared" si="176"/>
        <v>0</v>
      </c>
      <c r="U280" s="478">
        <f t="shared" si="176"/>
        <v>0</v>
      </c>
      <c r="V280" s="478">
        <f t="shared" si="176"/>
        <v>0</v>
      </c>
      <c r="W280" s="478">
        <f t="shared" si="176"/>
        <v>0</v>
      </c>
      <c r="X280" s="478">
        <f t="shared" si="176"/>
        <v>0</v>
      </c>
      <c r="Y280" s="478">
        <f t="shared" si="176"/>
        <v>0</v>
      </c>
      <c r="Z280" s="478">
        <f t="shared" si="176"/>
        <v>0</v>
      </c>
      <c r="AA280" s="478">
        <f t="shared" si="176"/>
        <v>0</v>
      </c>
      <c r="AB280" s="478">
        <f t="shared" si="176"/>
        <v>0</v>
      </c>
      <c r="AC280" s="587">
        <f t="shared" si="176"/>
        <v>0</v>
      </c>
    </row>
    <row r="281" spans="2:29" x14ac:dyDescent="0.2">
      <c r="B281" s="460"/>
      <c r="C281" s="461"/>
      <c r="D281" s="609"/>
      <c r="E281" s="608"/>
      <c r="F281" s="478"/>
      <c r="G281" s="478"/>
      <c r="H281" s="478"/>
      <c r="I281" s="478"/>
      <c r="J281" s="478"/>
      <c r="K281" s="478"/>
      <c r="L281" s="478"/>
      <c r="M281" s="478"/>
      <c r="N281" s="478"/>
      <c r="O281" s="478"/>
      <c r="P281" s="478"/>
      <c r="Q281" s="478"/>
      <c r="R281" s="478"/>
      <c r="S281" s="478"/>
      <c r="T281" s="478"/>
      <c r="U281" s="478"/>
      <c r="V281" s="478"/>
      <c r="W281" s="478"/>
      <c r="X281" s="478"/>
      <c r="Y281" s="478"/>
      <c r="Z281" s="478"/>
      <c r="AA281" s="478"/>
      <c r="AB281" s="478"/>
      <c r="AC281" s="587"/>
    </row>
    <row r="282" spans="2:29" x14ac:dyDescent="0.2">
      <c r="B282" s="605" t="s">
        <v>251</v>
      </c>
      <c r="C282" s="606"/>
      <c r="D282" s="607" t="b">
        <f>IF(ABS(E282 - C309) &lt; MAX(0.00001, E282 * 0.00001), TRUE, FALSE)</f>
        <v>1</v>
      </c>
      <c r="E282" s="608">
        <f>-SUM(F282:AC283)</f>
        <v>1464958.5573569685</v>
      </c>
      <c r="F282" s="475">
        <f t="shared" ref="F282:AC282" si="177">F278*-$D$309</f>
        <v>0</v>
      </c>
      <c r="G282" s="475">
        <f t="shared" si="177"/>
        <v>0</v>
      </c>
      <c r="H282" s="475">
        <f t="shared" si="177"/>
        <v>0</v>
      </c>
      <c r="I282" s="475">
        <f t="shared" si="177"/>
        <v>-20927.979390813838</v>
      </c>
      <c r="J282" s="475">
        <f t="shared" si="177"/>
        <v>-41855.958781627676</v>
      </c>
      <c r="K282" s="475">
        <f t="shared" si="177"/>
        <v>-62783.938172441507</v>
      </c>
      <c r="L282" s="475">
        <f t="shared" si="177"/>
        <v>-83711.917563255352</v>
      </c>
      <c r="M282" s="475">
        <f t="shared" si="177"/>
        <v>-83711.917563255352</v>
      </c>
      <c r="N282" s="475">
        <f t="shared" si="177"/>
        <v>-167423.8351265107</v>
      </c>
      <c r="O282" s="475">
        <f t="shared" si="177"/>
        <v>-167423.8351265107</v>
      </c>
      <c r="P282" s="475">
        <f t="shared" si="177"/>
        <v>-209279.79390813835</v>
      </c>
      <c r="Q282" s="475">
        <f t="shared" si="177"/>
        <v>-313919.69086220756</v>
      </c>
      <c r="R282" s="475">
        <f t="shared" si="177"/>
        <v>-313919.69086220756</v>
      </c>
      <c r="S282" s="475">
        <f t="shared" si="177"/>
        <v>0</v>
      </c>
      <c r="T282" s="475">
        <f t="shared" si="177"/>
        <v>0</v>
      </c>
      <c r="U282" s="475">
        <f t="shared" si="177"/>
        <v>0</v>
      </c>
      <c r="V282" s="475">
        <f t="shared" si="177"/>
        <v>0</v>
      </c>
      <c r="W282" s="475">
        <f t="shared" si="177"/>
        <v>0</v>
      </c>
      <c r="X282" s="475">
        <f t="shared" si="177"/>
        <v>0</v>
      </c>
      <c r="Y282" s="475">
        <f t="shared" si="177"/>
        <v>0</v>
      </c>
      <c r="Z282" s="475">
        <f t="shared" si="177"/>
        <v>0</v>
      </c>
      <c r="AA282" s="475">
        <f t="shared" si="177"/>
        <v>0</v>
      </c>
      <c r="AB282" s="475">
        <f t="shared" si="177"/>
        <v>0</v>
      </c>
      <c r="AC282" s="582">
        <f t="shared" si="177"/>
        <v>0</v>
      </c>
    </row>
    <row r="283" spans="2:29" x14ac:dyDescent="0.2">
      <c r="B283" s="605"/>
      <c r="C283" s="606"/>
      <c r="D283" s="607"/>
      <c r="E283" s="608"/>
      <c r="F283" s="475"/>
      <c r="G283" s="475"/>
      <c r="H283" s="475"/>
      <c r="I283" s="475"/>
      <c r="J283" s="475"/>
      <c r="K283" s="475"/>
      <c r="L283" s="475"/>
      <c r="M283" s="475"/>
      <c r="N283" s="475"/>
      <c r="O283" s="475"/>
      <c r="P283" s="475"/>
      <c r="Q283" s="475"/>
      <c r="R283" s="475"/>
      <c r="S283" s="475"/>
      <c r="T283" s="475"/>
      <c r="U283" s="475"/>
      <c r="V283" s="475"/>
      <c r="W283" s="475"/>
      <c r="X283" s="475"/>
      <c r="Y283" s="475"/>
      <c r="Z283" s="475"/>
      <c r="AA283" s="475"/>
      <c r="AB283" s="475"/>
      <c r="AC283" s="582"/>
    </row>
    <row r="284" spans="2:29" x14ac:dyDescent="0.2">
      <c r="B284" s="460" t="s">
        <v>250</v>
      </c>
      <c r="C284" s="461"/>
      <c r="D284" s="609" t="b">
        <f>IF(ABS(E284 - C310) &lt; MAX(0.00001, E284 * 0.00001), TRUE, FALSE)</f>
        <v>1</v>
      </c>
      <c r="E284" s="608">
        <f>-SUM(F284:AC285)</f>
        <v>439487.56720709061</v>
      </c>
      <c r="F284" s="478">
        <f t="shared" ref="F284:AC284" si="178">F278*-$D$310</f>
        <v>0</v>
      </c>
      <c r="G284" s="478">
        <f t="shared" si="178"/>
        <v>0</v>
      </c>
      <c r="H284" s="478">
        <f t="shared" si="178"/>
        <v>0</v>
      </c>
      <c r="I284" s="478">
        <f t="shared" si="178"/>
        <v>-6278.3938172441513</v>
      </c>
      <c r="J284" s="478">
        <f t="shared" si="178"/>
        <v>-12556.787634488303</v>
      </c>
      <c r="K284" s="478">
        <f t="shared" si="178"/>
        <v>-18835.181451732453</v>
      </c>
      <c r="L284" s="478">
        <f t="shared" si="178"/>
        <v>-25113.575268976605</v>
      </c>
      <c r="M284" s="478">
        <f t="shared" si="178"/>
        <v>-25113.575268976605</v>
      </c>
      <c r="N284" s="478">
        <f t="shared" si="178"/>
        <v>-50227.15053795321</v>
      </c>
      <c r="O284" s="478">
        <f t="shared" si="178"/>
        <v>-50227.15053795321</v>
      </c>
      <c r="P284" s="478">
        <f t="shared" si="178"/>
        <v>-62783.938172441507</v>
      </c>
      <c r="Q284" s="478">
        <f t="shared" si="178"/>
        <v>-94175.907258662264</v>
      </c>
      <c r="R284" s="478">
        <f t="shared" si="178"/>
        <v>-94175.907258662264</v>
      </c>
      <c r="S284" s="478">
        <f t="shared" si="178"/>
        <v>0</v>
      </c>
      <c r="T284" s="478">
        <f t="shared" si="178"/>
        <v>0</v>
      </c>
      <c r="U284" s="478">
        <f t="shared" si="178"/>
        <v>0</v>
      </c>
      <c r="V284" s="478">
        <f t="shared" si="178"/>
        <v>0</v>
      </c>
      <c r="W284" s="478">
        <f t="shared" si="178"/>
        <v>0</v>
      </c>
      <c r="X284" s="478">
        <f t="shared" si="178"/>
        <v>0</v>
      </c>
      <c r="Y284" s="478">
        <f t="shared" si="178"/>
        <v>0</v>
      </c>
      <c r="Z284" s="478">
        <f t="shared" si="178"/>
        <v>0</v>
      </c>
      <c r="AA284" s="478">
        <f t="shared" si="178"/>
        <v>0</v>
      </c>
      <c r="AB284" s="478">
        <f t="shared" si="178"/>
        <v>0</v>
      </c>
      <c r="AC284" s="587">
        <f t="shared" si="178"/>
        <v>0</v>
      </c>
    </row>
    <row r="285" spans="2:29" x14ac:dyDescent="0.2">
      <c r="B285" s="460"/>
      <c r="C285" s="461"/>
      <c r="D285" s="609"/>
      <c r="E285" s="608"/>
      <c r="F285" s="478"/>
      <c r="G285" s="478"/>
      <c r="H285" s="478"/>
      <c r="I285" s="478"/>
      <c r="J285" s="478"/>
      <c r="K285" s="478"/>
      <c r="L285" s="478"/>
      <c r="M285" s="478"/>
      <c r="N285" s="478"/>
      <c r="O285" s="478"/>
      <c r="P285" s="478"/>
      <c r="Q285" s="478"/>
      <c r="R285" s="478"/>
      <c r="S285" s="478"/>
      <c r="T285" s="478"/>
      <c r="U285" s="478"/>
      <c r="V285" s="478"/>
      <c r="W285" s="478"/>
      <c r="X285" s="478"/>
      <c r="Y285" s="478"/>
      <c r="Z285" s="478"/>
      <c r="AA285" s="478"/>
      <c r="AB285" s="478"/>
      <c r="AC285" s="587"/>
    </row>
    <row r="286" spans="2:29" x14ac:dyDescent="0.2">
      <c r="B286" s="605" t="s">
        <v>196</v>
      </c>
      <c r="C286" s="606"/>
      <c r="D286" s="607" t="b">
        <f>IF(ABS(E286 - C311) &lt; MAX(0.00001, E286 * 0.00001), TRUE, FALSE)</f>
        <v>1</v>
      </c>
      <c r="E286" s="614">
        <f>-SUM(F286:AC287)</f>
        <v>0</v>
      </c>
      <c r="F286" s="475">
        <f t="shared" ref="F286:AC286" si="179">$D$311*-F278</f>
        <v>0</v>
      </c>
      <c r="G286" s="475">
        <f t="shared" si="179"/>
        <v>0</v>
      </c>
      <c r="H286" s="475">
        <f t="shared" si="179"/>
        <v>0</v>
      </c>
      <c r="I286" s="475">
        <f t="shared" si="179"/>
        <v>0</v>
      </c>
      <c r="J286" s="475">
        <f t="shared" si="179"/>
        <v>0</v>
      </c>
      <c r="K286" s="475">
        <f t="shared" si="179"/>
        <v>0</v>
      </c>
      <c r="L286" s="475">
        <f t="shared" si="179"/>
        <v>0</v>
      </c>
      <c r="M286" s="475">
        <f t="shared" si="179"/>
        <v>0</v>
      </c>
      <c r="N286" s="475">
        <f t="shared" si="179"/>
        <v>0</v>
      </c>
      <c r="O286" s="475">
        <f t="shared" si="179"/>
        <v>0</v>
      </c>
      <c r="P286" s="475">
        <f t="shared" si="179"/>
        <v>0</v>
      </c>
      <c r="Q286" s="475">
        <f t="shared" si="179"/>
        <v>0</v>
      </c>
      <c r="R286" s="475">
        <f t="shared" si="179"/>
        <v>0</v>
      </c>
      <c r="S286" s="475">
        <f t="shared" si="179"/>
        <v>0</v>
      </c>
      <c r="T286" s="475">
        <f t="shared" si="179"/>
        <v>0</v>
      </c>
      <c r="U286" s="475">
        <f t="shared" si="179"/>
        <v>0</v>
      </c>
      <c r="V286" s="475">
        <f t="shared" si="179"/>
        <v>0</v>
      </c>
      <c r="W286" s="475">
        <f t="shared" si="179"/>
        <v>0</v>
      </c>
      <c r="X286" s="475">
        <f t="shared" si="179"/>
        <v>0</v>
      </c>
      <c r="Y286" s="475">
        <f t="shared" si="179"/>
        <v>0</v>
      </c>
      <c r="Z286" s="475">
        <f t="shared" si="179"/>
        <v>0</v>
      </c>
      <c r="AA286" s="475">
        <f t="shared" si="179"/>
        <v>0</v>
      </c>
      <c r="AB286" s="475">
        <f t="shared" si="179"/>
        <v>0</v>
      </c>
      <c r="AC286" s="582">
        <f t="shared" si="179"/>
        <v>0</v>
      </c>
    </row>
    <row r="287" spans="2:29" x14ac:dyDescent="0.2">
      <c r="B287" s="605"/>
      <c r="C287" s="606"/>
      <c r="D287" s="607"/>
      <c r="E287" s="614"/>
      <c r="F287" s="475"/>
      <c r="G287" s="475"/>
      <c r="H287" s="475"/>
      <c r="I287" s="475"/>
      <c r="J287" s="475"/>
      <c r="K287" s="475"/>
      <c r="L287" s="475"/>
      <c r="M287" s="475"/>
      <c r="N287" s="475"/>
      <c r="O287" s="475"/>
      <c r="P287" s="475"/>
      <c r="Q287" s="475"/>
      <c r="R287" s="475"/>
      <c r="S287" s="475"/>
      <c r="T287" s="475"/>
      <c r="U287" s="475"/>
      <c r="V287" s="475"/>
      <c r="W287" s="475"/>
      <c r="X287" s="475"/>
      <c r="Y287" s="475"/>
      <c r="Z287" s="475"/>
      <c r="AA287" s="475"/>
      <c r="AB287" s="475"/>
      <c r="AC287" s="582"/>
    </row>
    <row r="288" spans="2:29" x14ac:dyDescent="0.2">
      <c r="B288" s="612" t="s">
        <v>261</v>
      </c>
      <c r="C288" s="613"/>
      <c r="D288" s="609" t="b">
        <f>IF(ABS(C312 - -E288) &lt; MAX(0.00001, C312 * 0.00001), TRUE, FALSE)</f>
        <v>1</v>
      </c>
      <c r="E288" s="618">
        <f>SUM(F288:AC289)</f>
        <v>-21974378.360354528</v>
      </c>
      <c r="F288" s="592">
        <f t="shared" ref="F288:AC288" si="180">-F278*$D$312</f>
        <v>0</v>
      </c>
      <c r="G288" s="592">
        <f t="shared" si="180"/>
        <v>0</v>
      </c>
      <c r="H288" s="592">
        <f t="shared" si="180"/>
        <v>0</v>
      </c>
      <c r="I288" s="592">
        <f t="shared" si="180"/>
        <v>-313919.69086220756</v>
      </c>
      <c r="J288" s="592">
        <f t="shared" si="180"/>
        <v>-627839.38172441511</v>
      </c>
      <c r="K288" s="592">
        <f t="shared" si="180"/>
        <v>-941759.07258662255</v>
      </c>
      <c r="L288" s="592">
        <f t="shared" si="180"/>
        <v>-1255678.7634488302</v>
      </c>
      <c r="M288" s="592">
        <f t="shared" si="180"/>
        <v>-1255678.7634488302</v>
      </c>
      <c r="N288" s="592">
        <f t="shared" si="180"/>
        <v>-2511357.5268976605</v>
      </c>
      <c r="O288" s="592">
        <f t="shared" si="180"/>
        <v>-2511357.5268976605</v>
      </c>
      <c r="P288" s="592">
        <f t="shared" si="180"/>
        <v>-3139196.9086220753</v>
      </c>
      <c r="Q288" s="592">
        <f t="shared" si="180"/>
        <v>-4708795.3629331132</v>
      </c>
      <c r="R288" s="592">
        <f t="shared" si="180"/>
        <v>-4708795.3629331132</v>
      </c>
      <c r="S288" s="592">
        <f t="shared" si="180"/>
        <v>0</v>
      </c>
      <c r="T288" s="592">
        <f t="shared" si="180"/>
        <v>0</v>
      </c>
      <c r="U288" s="592">
        <f t="shared" si="180"/>
        <v>0</v>
      </c>
      <c r="V288" s="592">
        <f t="shared" si="180"/>
        <v>0</v>
      </c>
      <c r="W288" s="592">
        <f t="shared" si="180"/>
        <v>0</v>
      </c>
      <c r="X288" s="592">
        <f t="shared" si="180"/>
        <v>0</v>
      </c>
      <c r="Y288" s="592">
        <f t="shared" si="180"/>
        <v>0</v>
      </c>
      <c r="Z288" s="592">
        <f t="shared" si="180"/>
        <v>0</v>
      </c>
      <c r="AA288" s="592">
        <f t="shared" si="180"/>
        <v>0</v>
      </c>
      <c r="AB288" s="592">
        <f t="shared" si="180"/>
        <v>0</v>
      </c>
      <c r="AC288" s="591">
        <f t="shared" si="180"/>
        <v>0</v>
      </c>
    </row>
    <row r="289" spans="2:29" x14ac:dyDescent="0.2">
      <c r="B289" s="612"/>
      <c r="C289" s="613"/>
      <c r="D289" s="609"/>
      <c r="E289" s="618"/>
      <c r="F289" s="592"/>
      <c r="G289" s="592"/>
      <c r="H289" s="592"/>
      <c r="I289" s="592"/>
      <c r="J289" s="592"/>
      <c r="K289" s="592"/>
      <c r="L289" s="592"/>
      <c r="M289" s="592"/>
      <c r="N289" s="592"/>
      <c r="O289" s="592"/>
      <c r="P289" s="592"/>
      <c r="Q289" s="592"/>
      <c r="R289" s="592"/>
      <c r="S289" s="592"/>
      <c r="T289" s="592"/>
      <c r="U289" s="592"/>
      <c r="V289" s="592"/>
      <c r="W289" s="592"/>
      <c r="X289" s="592"/>
      <c r="Y289" s="592"/>
      <c r="Z289" s="592"/>
      <c r="AA289" s="592"/>
      <c r="AB289" s="592"/>
      <c r="AC289" s="591"/>
    </row>
    <row r="290" spans="2:29" x14ac:dyDescent="0.2">
      <c r="B290" s="601" t="s">
        <v>197</v>
      </c>
      <c r="C290" s="602"/>
      <c r="D290" s="607" t="b">
        <f>IF(ABS(E290 - (C305-C312)) &lt; MAX(0.00001, E290 * 0.00001), TRUE, FALSE)</f>
        <v>1</v>
      </c>
      <c r="E290" s="475">
        <f>SUM(F290:AC291)</f>
        <v>120419593.41474281</v>
      </c>
      <c r="F290" s="475">
        <f>F278+SUM(F280:F289)</f>
        <v>0</v>
      </c>
      <c r="G290" s="475">
        <f>G278+SUM(G280:G289)</f>
        <v>0</v>
      </c>
      <c r="H290" s="475">
        <f t="shared" ref="H290:AC290" si="181">H278+SUM(H280:H289)</f>
        <v>0</v>
      </c>
      <c r="I290" s="475">
        <f t="shared" si="181"/>
        <v>1720279.9059248974</v>
      </c>
      <c r="J290" s="475">
        <f t="shared" si="181"/>
        <v>3440559.8118497948</v>
      </c>
      <c r="K290" s="475">
        <f t="shared" si="181"/>
        <v>5160839.717774692</v>
      </c>
      <c r="L290" s="475">
        <f t="shared" si="181"/>
        <v>6881119.6236995896</v>
      </c>
      <c r="M290" s="475">
        <f t="shared" si="181"/>
        <v>6881119.6236995896</v>
      </c>
      <c r="N290" s="475">
        <f t="shared" si="181"/>
        <v>13762239.247399179</v>
      </c>
      <c r="O290" s="475">
        <f t="shared" si="181"/>
        <v>13762239.247399179</v>
      </c>
      <c r="P290" s="475">
        <f t="shared" si="181"/>
        <v>17202799.059248973</v>
      </c>
      <c r="Q290" s="475">
        <f t="shared" si="181"/>
        <v>25804198.588873461</v>
      </c>
      <c r="R290" s="475">
        <f t="shared" si="181"/>
        <v>25804198.588873461</v>
      </c>
      <c r="S290" s="475">
        <f t="shared" si="181"/>
        <v>0</v>
      </c>
      <c r="T290" s="475">
        <f t="shared" si="181"/>
        <v>0</v>
      </c>
      <c r="U290" s="475">
        <f t="shared" si="181"/>
        <v>0</v>
      </c>
      <c r="V290" s="475">
        <f t="shared" si="181"/>
        <v>0</v>
      </c>
      <c r="W290" s="475">
        <f t="shared" si="181"/>
        <v>0</v>
      </c>
      <c r="X290" s="475">
        <f t="shared" si="181"/>
        <v>0</v>
      </c>
      <c r="Y290" s="475">
        <f t="shared" si="181"/>
        <v>0</v>
      </c>
      <c r="Z290" s="475">
        <f t="shared" si="181"/>
        <v>0</v>
      </c>
      <c r="AA290" s="475">
        <f t="shared" si="181"/>
        <v>0</v>
      </c>
      <c r="AB290" s="475">
        <f t="shared" si="181"/>
        <v>0</v>
      </c>
      <c r="AC290" s="582">
        <f t="shared" si="181"/>
        <v>0</v>
      </c>
    </row>
    <row r="291" spans="2:29" x14ac:dyDescent="0.2">
      <c r="B291" s="601"/>
      <c r="C291" s="602"/>
      <c r="D291" s="607"/>
      <c r="E291" s="475"/>
      <c r="F291" s="475"/>
      <c r="G291" s="475"/>
      <c r="H291" s="475"/>
      <c r="I291" s="475"/>
      <c r="J291" s="475"/>
      <c r="K291" s="475"/>
      <c r="L291" s="475"/>
      <c r="M291" s="475"/>
      <c r="N291" s="475"/>
      <c r="O291" s="475"/>
      <c r="P291" s="475"/>
      <c r="Q291" s="475"/>
      <c r="R291" s="475"/>
      <c r="S291" s="475"/>
      <c r="T291" s="475"/>
      <c r="U291" s="475"/>
      <c r="V291" s="475"/>
      <c r="W291" s="475"/>
      <c r="X291" s="475"/>
      <c r="Y291" s="475"/>
      <c r="Z291" s="475"/>
      <c r="AA291" s="475"/>
      <c r="AB291" s="475"/>
      <c r="AC291" s="582"/>
    </row>
    <row r="292" spans="2:29" x14ac:dyDescent="0.2">
      <c r="B292" s="460" t="s">
        <v>198</v>
      </c>
      <c r="C292" s="461"/>
      <c r="D292" s="609" t="b">
        <f>B266=B266</f>
        <v>1</v>
      </c>
      <c r="E292" s="475" t="s">
        <v>66</v>
      </c>
      <c r="F292" s="478">
        <f>F290</f>
        <v>0</v>
      </c>
      <c r="G292" s="478">
        <f t="shared" ref="G292:AC292" si="182">MAX((G290+F292)-F294, 0)</f>
        <v>0</v>
      </c>
      <c r="H292" s="478">
        <f t="shared" si="182"/>
        <v>0</v>
      </c>
      <c r="I292" s="478">
        <f t="shared" si="182"/>
        <v>1720279.9059248974</v>
      </c>
      <c r="J292" s="478">
        <f t="shared" si="182"/>
        <v>4902797.7318859575</v>
      </c>
      <c r="K292" s="478">
        <f t="shared" si="182"/>
        <v>8837938.0166891608</v>
      </c>
      <c r="L292" s="478">
        <f t="shared" si="182"/>
        <v>12625779.334547544</v>
      </c>
      <c r="M292" s="478">
        <f t="shared" si="182"/>
        <v>13825298.257700738</v>
      </c>
      <c r="N292" s="478">
        <f t="shared" si="182"/>
        <v>19983623.463364512</v>
      </c>
      <c r="O292" s="478">
        <f t="shared" si="182"/>
        <v>21156179.928844053</v>
      </c>
      <c r="P292" s="478">
        <f t="shared" si="182"/>
        <v>23338091.238613751</v>
      </c>
      <c r="Q292" s="478">
        <f t="shared" si="182"/>
        <v>30705197.748982355</v>
      </c>
      <c r="R292" s="478">
        <f t="shared" si="182"/>
        <v>29795874.296241175</v>
      </c>
      <c r="S292" s="478">
        <f t="shared" si="182"/>
        <v>7.4505805969238281E-9</v>
      </c>
      <c r="T292" s="478">
        <f t="shared" si="182"/>
        <v>1.6543612251060553E-24</v>
      </c>
      <c r="U292" s="478">
        <f t="shared" si="182"/>
        <v>3.6734198463196485E-40</v>
      </c>
      <c r="V292" s="478">
        <f t="shared" si="182"/>
        <v>8.1566305849981557E-56</v>
      </c>
      <c r="W292" s="478">
        <f t="shared" si="182"/>
        <v>1.8111358157653425E-71</v>
      </c>
      <c r="X292" s="478">
        <f t="shared" si="182"/>
        <v>4.0215293667718976E-87</v>
      </c>
      <c r="Y292" s="478">
        <f t="shared" si="182"/>
        <v>8.9295889943927733E-103</v>
      </c>
      <c r="Z292" s="478">
        <f t="shared" si="182"/>
        <v>1.982767060402851E-118</v>
      </c>
      <c r="AA292" s="478">
        <f t="shared" si="182"/>
        <v>4.4026272858551673E-134</v>
      </c>
      <c r="AB292" s="478">
        <f t="shared" si="182"/>
        <v>9.775796363198735E-150</v>
      </c>
      <c r="AC292" s="587">
        <f t="shared" si="182"/>
        <v>2.170662841294021E-165</v>
      </c>
    </row>
    <row r="293" spans="2:29" x14ac:dyDescent="0.2">
      <c r="B293" s="460"/>
      <c r="C293" s="461"/>
      <c r="D293" s="609"/>
      <c r="E293" s="475"/>
      <c r="F293" s="478"/>
      <c r="G293" s="478"/>
      <c r="H293" s="478"/>
      <c r="I293" s="478"/>
      <c r="J293" s="478"/>
      <c r="K293" s="478"/>
      <c r="L293" s="478"/>
      <c r="M293" s="478"/>
      <c r="N293" s="478"/>
      <c r="O293" s="478"/>
      <c r="P293" s="478"/>
      <c r="Q293" s="478"/>
      <c r="R293" s="478"/>
      <c r="S293" s="478"/>
      <c r="T293" s="478"/>
      <c r="U293" s="478"/>
      <c r="V293" s="478"/>
      <c r="W293" s="478"/>
      <c r="X293" s="478"/>
      <c r="Y293" s="478"/>
      <c r="Z293" s="478"/>
      <c r="AA293" s="478"/>
      <c r="AB293" s="478"/>
      <c r="AC293" s="587"/>
    </row>
    <row r="294" spans="2:29" x14ac:dyDescent="0.2">
      <c r="B294" s="605" t="s">
        <v>199</v>
      </c>
      <c r="C294" s="606"/>
      <c r="D294" s="607" t="b">
        <f>IF(ABS(E294 - C304) &lt; MAX(0.00001, E294 * 0.00001), TRUE, FALSE)</f>
        <v>1</v>
      </c>
      <c r="E294" s="475">
        <f>SUM(F294:AC295)</f>
        <v>120419593.41474283</v>
      </c>
      <c r="F294" s="475">
        <f>MAX(((F292*F276)), 0)</f>
        <v>0</v>
      </c>
      <c r="G294" s="475">
        <f>MAX(((G292*G276)), 0)</f>
        <v>0</v>
      </c>
      <c r="H294" s="475">
        <f>MAX(((H292*H276)), 0)</f>
        <v>0</v>
      </c>
      <c r="I294" s="475">
        <f t="shared" ref="I294" si="183">MAX(((I292*I276)), 0)</f>
        <v>258041.98588873461</v>
      </c>
      <c r="J294" s="475">
        <f>MAX(((J292*J276)), 0)</f>
        <v>1225699.4329714894</v>
      </c>
      <c r="K294" s="475">
        <f t="shared" ref="K294:AC294" si="184">MAX(((K292*K276)), 0)</f>
        <v>3093278.3058412061</v>
      </c>
      <c r="L294" s="475">
        <f t="shared" si="184"/>
        <v>5681600.7005463941</v>
      </c>
      <c r="M294" s="475">
        <f t="shared" si="184"/>
        <v>7603914.0417354051</v>
      </c>
      <c r="N294" s="475">
        <f t="shared" si="184"/>
        <v>12589682.78191964</v>
      </c>
      <c r="O294" s="475">
        <f t="shared" si="184"/>
        <v>15020887.749479275</v>
      </c>
      <c r="P294" s="475">
        <f t="shared" si="184"/>
        <v>18437092.07850486</v>
      </c>
      <c r="Q294" s="475">
        <f t="shared" si="184"/>
        <v>26713522.041614641</v>
      </c>
      <c r="R294" s="475">
        <f t="shared" si="184"/>
        <v>29795874.296241168</v>
      </c>
      <c r="S294" s="475">
        <f t="shared" si="184"/>
        <v>7.4505805969238265E-9</v>
      </c>
      <c r="T294" s="475">
        <f t="shared" si="184"/>
        <v>1.654361225106055E-24</v>
      </c>
      <c r="U294" s="475">
        <f>MAX(((U292*U276)), 0)</f>
        <v>3.6734198463196476E-40</v>
      </c>
      <c r="V294" s="475">
        <f t="shared" si="184"/>
        <v>8.1566305849981538E-56</v>
      </c>
      <c r="W294" s="475">
        <f t="shared" si="184"/>
        <v>1.8111358157653421E-71</v>
      </c>
      <c r="X294" s="475">
        <f t="shared" si="184"/>
        <v>4.0215293667718967E-87</v>
      </c>
      <c r="Y294" s="475">
        <f t="shared" si="184"/>
        <v>8.9295889943927713E-103</v>
      </c>
      <c r="Z294" s="475">
        <f t="shared" si="184"/>
        <v>1.9827670604028505E-118</v>
      </c>
      <c r="AA294" s="475">
        <f t="shared" si="184"/>
        <v>4.4026272858551663E-134</v>
      </c>
      <c r="AB294" s="475">
        <f t="shared" si="184"/>
        <v>9.7757963631987328E-150</v>
      </c>
      <c r="AC294" s="582">
        <f t="shared" si="184"/>
        <v>2.1706628412940205E-165</v>
      </c>
    </row>
    <row r="295" spans="2:29" x14ac:dyDescent="0.2">
      <c r="B295" s="605"/>
      <c r="C295" s="606"/>
      <c r="D295" s="607"/>
      <c r="E295" s="475"/>
      <c r="F295" s="475"/>
      <c r="G295" s="475"/>
      <c r="H295" s="475"/>
      <c r="I295" s="475"/>
      <c r="J295" s="475"/>
      <c r="K295" s="475"/>
      <c r="L295" s="475"/>
      <c r="M295" s="475"/>
      <c r="N295" s="475"/>
      <c r="O295" s="475"/>
      <c r="P295" s="475"/>
      <c r="Q295" s="475"/>
      <c r="R295" s="475"/>
      <c r="S295" s="475"/>
      <c r="T295" s="475"/>
      <c r="U295" s="475"/>
      <c r="V295" s="475"/>
      <c r="W295" s="475"/>
      <c r="X295" s="475"/>
      <c r="Y295" s="475"/>
      <c r="Z295" s="475"/>
      <c r="AA295" s="475"/>
      <c r="AB295" s="475"/>
      <c r="AC295" s="582"/>
    </row>
    <row r="296" spans="2:29" x14ac:dyDescent="0.2">
      <c r="B296" s="460" t="s">
        <v>263</v>
      </c>
      <c r="C296" s="461"/>
      <c r="D296" s="609" t="b">
        <f>IF(ABS(E296 - C305) &lt; MAX(0.00001, E296 * 0.00001), TRUE, FALSE)</f>
        <v>1</v>
      </c>
      <c r="E296" s="475">
        <f>SUM(F296:AC297)</f>
        <v>142393971.77509731</v>
      </c>
      <c r="F296" s="615">
        <f>-F288+F294</f>
        <v>0</v>
      </c>
      <c r="G296" s="615">
        <f>-G288+G294</f>
        <v>0</v>
      </c>
      <c r="H296" s="615">
        <f t="shared" ref="H296:K296" si="185">-H288+H294</f>
        <v>0</v>
      </c>
      <c r="I296" s="615">
        <f>-I288+I294</f>
        <v>571961.67675094213</v>
      </c>
      <c r="J296" s="615">
        <f t="shared" si="185"/>
        <v>1853538.8146959045</v>
      </c>
      <c r="K296" s="615">
        <f t="shared" si="185"/>
        <v>4035037.3784278287</v>
      </c>
      <c r="L296" s="615">
        <f t="shared" ref="L296:AC296" si="186">-L288+L294</f>
        <v>6937279.4639952239</v>
      </c>
      <c r="M296" s="615">
        <f t="shared" si="186"/>
        <v>8859592.8051842358</v>
      </c>
      <c r="N296" s="615">
        <f t="shared" si="186"/>
        <v>15101040.308817301</v>
      </c>
      <c r="O296" s="615">
        <f t="shared" si="186"/>
        <v>17532245.276376937</v>
      </c>
      <c r="P296" s="615">
        <f t="shared" si="186"/>
        <v>21576288.987126935</v>
      </c>
      <c r="Q296" s="615">
        <f t="shared" si="186"/>
        <v>31422317.404547755</v>
      </c>
      <c r="R296" s="615">
        <f t="shared" si="186"/>
        <v>34504669.659174278</v>
      </c>
      <c r="S296" s="615">
        <f t="shared" si="186"/>
        <v>7.4505805969238265E-9</v>
      </c>
      <c r="T296" s="615">
        <f t="shared" si="186"/>
        <v>1.654361225106055E-24</v>
      </c>
      <c r="U296" s="615">
        <f>-U288+U294</f>
        <v>3.6734198463196476E-40</v>
      </c>
      <c r="V296" s="615">
        <f t="shared" si="186"/>
        <v>8.1566305849981538E-56</v>
      </c>
      <c r="W296" s="615">
        <f t="shared" si="186"/>
        <v>1.8111358157653421E-71</v>
      </c>
      <c r="X296" s="615">
        <f t="shared" si="186"/>
        <v>4.0215293667718967E-87</v>
      </c>
      <c r="Y296" s="615">
        <f t="shared" si="186"/>
        <v>8.9295889943927713E-103</v>
      </c>
      <c r="Z296" s="615">
        <f t="shared" si="186"/>
        <v>1.9827670604028505E-118</v>
      </c>
      <c r="AA296" s="615">
        <f t="shared" si="186"/>
        <v>4.4026272858551663E-134</v>
      </c>
      <c r="AB296" s="615">
        <f t="shared" si="186"/>
        <v>9.7757963631987328E-150</v>
      </c>
      <c r="AC296" s="621">
        <f t="shared" si="186"/>
        <v>2.1706628412940205E-165</v>
      </c>
    </row>
    <row r="297" spans="2:29" ht="12" thickBot="1" x14ac:dyDescent="0.25">
      <c r="B297" s="603"/>
      <c r="C297" s="604"/>
      <c r="D297" s="617"/>
      <c r="E297" s="476"/>
      <c r="F297" s="616"/>
      <c r="G297" s="616"/>
      <c r="H297" s="616"/>
      <c r="I297" s="616"/>
      <c r="J297" s="616"/>
      <c r="K297" s="616"/>
      <c r="L297" s="616"/>
      <c r="M297" s="616"/>
      <c r="N297" s="616"/>
      <c r="O297" s="616"/>
      <c r="P297" s="616"/>
      <c r="Q297" s="616"/>
      <c r="R297" s="616"/>
      <c r="S297" s="616"/>
      <c r="T297" s="616"/>
      <c r="U297" s="616"/>
      <c r="V297" s="616"/>
      <c r="W297" s="616"/>
      <c r="X297" s="616"/>
      <c r="Y297" s="616"/>
      <c r="Z297" s="616"/>
      <c r="AA297" s="616"/>
      <c r="AB297" s="616"/>
      <c r="AC297" s="622"/>
    </row>
    <row r="298" spans="2:29" x14ac:dyDescent="0.2">
      <c r="B298" s="310"/>
      <c r="C298" s="310"/>
      <c r="D298" s="310"/>
      <c r="E298" s="310"/>
      <c r="F298" s="310"/>
      <c r="G298" s="310"/>
      <c r="H298" s="310"/>
      <c r="I298" s="310"/>
      <c r="J298" s="310"/>
      <c r="K298" s="310"/>
      <c r="L298" s="310"/>
      <c r="M298" s="310"/>
      <c r="N298" s="310"/>
      <c r="O298" s="310"/>
      <c r="P298" s="310"/>
      <c r="Q298" s="310"/>
      <c r="R298" s="310"/>
      <c r="S298" s="310"/>
      <c r="T298" s="310"/>
      <c r="U298" s="310"/>
      <c r="V298" s="310"/>
      <c r="W298" s="310"/>
      <c r="X298" s="310"/>
    </row>
    <row r="299" spans="2:29" x14ac:dyDescent="0.2">
      <c r="B299" s="310"/>
      <c r="C299" s="310"/>
      <c r="D299" s="310"/>
      <c r="E299" s="310"/>
      <c r="F299" s="310"/>
      <c r="G299" s="310"/>
      <c r="H299" s="310"/>
      <c r="I299" s="310"/>
      <c r="J299" s="310"/>
      <c r="K299" s="310"/>
      <c r="L299" s="310"/>
      <c r="M299" s="310"/>
      <c r="N299" s="310"/>
      <c r="O299" s="310"/>
      <c r="P299" s="310"/>
      <c r="Q299" s="310"/>
      <c r="R299" s="310"/>
      <c r="S299" s="310"/>
      <c r="T299" s="310"/>
      <c r="U299" s="310"/>
      <c r="V299" s="310"/>
      <c r="W299" s="310"/>
      <c r="X299" s="310"/>
    </row>
    <row r="300" spans="2:29" x14ac:dyDescent="0.2">
      <c r="B300" s="310"/>
      <c r="C300" s="310"/>
      <c r="D300" s="310"/>
      <c r="E300" s="310"/>
      <c r="F300" s="310"/>
      <c r="G300" s="310"/>
      <c r="H300" s="310"/>
      <c r="I300" s="310"/>
      <c r="J300" s="310"/>
      <c r="K300" s="310"/>
      <c r="L300" s="310"/>
      <c r="M300" s="310"/>
      <c r="N300" s="310"/>
      <c r="O300" s="310"/>
      <c r="P300" s="310"/>
      <c r="Q300" s="310"/>
      <c r="R300" s="310"/>
      <c r="S300" s="310"/>
      <c r="T300" s="310"/>
      <c r="U300" s="310"/>
      <c r="V300" s="310"/>
      <c r="W300" s="310"/>
      <c r="X300" s="310"/>
    </row>
    <row r="301" spans="2:29" ht="12" thickBot="1" x14ac:dyDescent="0.25">
      <c r="E301" s="310"/>
      <c r="F301" s="310"/>
      <c r="G301" s="310"/>
      <c r="H301" s="310"/>
      <c r="L301" s="310"/>
      <c r="M301" s="310"/>
      <c r="N301" s="310"/>
      <c r="O301" s="310"/>
      <c r="P301" s="310"/>
      <c r="Q301" s="310"/>
      <c r="R301" s="310"/>
      <c r="S301" s="310"/>
      <c r="T301" s="310"/>
      <c r="U301" s="310"/>
      <c r="V301" s="310"/>
      <c r="W301" s="310"/>
      <c r="X301" s="310"/>
    </row>
    <row r="302" spans="2:29" ht="12.75" x14ac:dyDescent="0.2">
      <c r="B302" s="619" t="s">
        <v>200</v>
      </c>
      <c r="C302" s="620"/>
      <c r="D302" s="310"/>
    </row>
    <row r="303" spans="2:29" ht="22.5" x14ac:dyDescent="0.2">
      <c r="B303" s="88" t="s">
        <v>249</v>
      </c>
      <c r="C303" s="98">
        <f>C306*C307</f>
        <v>146495855.73569685</v>
      </c>
    </row>
    <row r="304" spans="2:29" ht="22.5" x14ac:dyDescent="0.2">
      <c r="B304" s="94" t="s">
        <v>199</v>
      </c>
      <c r="C304" s="96">
        <f>C303-C308-C309-C310-C311-C312</f>
        <v>120419593.41474278</v>
      </c>
    </row>
    <row r="305" spans="1:29" ht="22.5" x14ac:dyDescent="0.2">
      <c r="B305" s="88" t="s">
        <v>263</v>
      </c>
      <c r="C305" s="98">
        <f>C303-(SUM(C308:C311))</f>
        <v>142393971.77509734</v>
      </c>
      <c r="G305" s="309"/>
    </row>
    <row r="306" spans="1:29" ht="22.5" x14ac:dyDescent="0.2">
      <c r="B306" s="94" t="s">
        <v>201</v>
      </c>
      <c r="C306" s="96">
        <f>N139</f>
        <v>70</v>
      </c>
    </row>
    <row r="307" spans="1:29" ht="23.25" thickBot="1" x14ac:dyDescent="0.25">
      <c r="B307" s="88" t="s">
        <v>202</v>
      </c>
      <c r="C307" s="98">
        <f>U139/N139</f>
        <v>2092797.9390813836</v>
      </c>
      <c r="D307" s="309"/>
    </row>
    <row r="308" spans="1:29" ht="22.5" x14ac:dyDescent="0.2">
      <c r="B308" s="94" t="s">
        <v>203</v>
      </c>
      <c r="C308" s="140">
        <f>C303*D308</f>
        <v>2197437.8360354528</v>
      </c>
      <c r="D308" s="228">
        <v>1.4999999999999999E-2</v>
      </c>
      <c r="N308" s="201"/>
    </row>
    <row r="309" spans="1:29" ht="22.5" x14ac:dyDescent="0.2">
      <c r="B309" s="88" t="s">
        <v>251</v>
      </c>
      <c r="C309" s="159">
        <f>D309*C303</f>
        <v>1464958.5573569685</v>
      </c>
      <c r="D309" s="227">
        <v>0.01</v>
      </c>
      <c r="N309" s="201"/>
    </row>
    <row r="310" spans="1:29" ht="22.5" x14ac:dyDescent="0.2">
      <c r="B310" s="94" t="s">
        <v>250</v>
      </c>
      <c r="C310" s="140">
        <f>D310*C303</f>
        <v>439487.56720709056</v>
      </c>
      <c r="D310" s="229">
        <v>3.0000000000000001E-3</v>
      </c>
    </row>
    <row r="311" spans="1:29" ht="22.5" x14ac:dyDescent="0.2">
      <c r="A311" s="310"/>
      <c r="B311" s="88" t="s">
        <v>196</v>
      </c>
      <c r="C311" s="159">
        <f>C303*D311</f>
        <v>0</v>
      </c>
      <c r="D311" s="227">
        <v>0</v>
      </c>
    </row>
    <row r="312" spans="1:29" ht="22.5" x14ac:dyDescent="0.2">
      <c r="A312" s="310"/>
      <c r="B312" s="94" t="s">
        <v>261</v>
      </c>
      <c r="C312" s="208">
        <f>D312*C303</f>
        <v>21974378.360354528</v>
      </c>
      <c r="D312" s="230">
        <v>0.15</v>
      </c>
    </row>
    <row r="313" spans="1:29" ht="23.25" thickBot="1" x14ac:dyDescent="0.25">
      <c r="A313" s="310"/>
      <c r="B313" s="209" t="s">
        <v>242</v>
      </c>
      <c r="C313" s="207">
        <f>C303-(SUM(C308:C310))</f>
        <v>142393971.77509734</v>
      </c>
      <c r="D313" s="296" t="b">
        <f>C313=E278-SUM(E280:E285)</f>
        <v>1</v>
      </c>
    </row>
    <row r="314" spans="1:29" x14ac:dyDescent="0.2">
      <c r="A314" s="310"/>
    </row>
    <row r="315" spans="1:29" x14ac:dyDescent="0.2">
      <c r="A315" s="310"/>
    </row>
    <row r="316" spans="1:29" x14ac:dyDescent="0.2">
      <c r="A316" s="310"/>
    </row>
    <row r="317" spans="1:29" x14ac:dyDescent="0.2">
      <c r="A317" s="310"/>
    </row>
    <row r="318" spans="1:29" x14ac:dyDescent="0.2">
      <c r="A318" s="310"/>
    </row>
    <row r="319" spans="1:29" ht="12" thickBot="1" x14ac:dyDescent="0.25">
      <c r="A319" s="310"/>
    </row>
    <row r="320" spans="1:29" ht="12.75" x14ac:dyDescent="0.2">
      <c r="A320" s="310"/>
      <c r="B320" s="449" t="s">
        <v>413</v>
      </c>
      <c r="C320" s="450"/>
      <c r="D320" s="450"/>
      <c r="E320" s="450"/>
      <c r="F320" s="450"/>
      <c r="G320" s="450"/>
      <c r="H320" s="450"/>
      <c r="I320" s="450"/>
      <c r="J320" s="450"/>
      <c r="K320" s="450"/>
      <c r="L320" s="450"/>
      <c r="M320" s="450"/>
      <c r="N320" s="450"/>
      <c r="O320" s="450"/>
      <c r="P320" s="450"/>
      <c r="Q320" s="450"/>
      <c r="R320" s="450"/>
      <c r="S320" s="450"/>
      <c r="T320" s="450"/>
      <c r="U320" s="450"/>
      <c r="V320" s="450"/>
      <c r="W320" s="450"/>
      <c r="X320" s="450"/>
      <c r="Y320" s="450"/>
      <c r="Z320" s="450"/>
      <c r="AA320" s="450"/>
      <c r="AB320" s="450"/>
      <c r="AC320" s="451"/>
    </row>
    <row r="321" spans="1:29" ht="22.5" x14ac:dyDescent="0.2">
      <c r="A321" s="310"/>
      <c r="B321" s="18" t="s">
        <v>414</v>
      </c>
      <c r="C321" s="50">
        <v>0.01</v>
      </c>
      <c r="D321" s="85" t="s">
        <v>415</v>
      </c>
      <c r="E321" s="149">
        <f>SUM(F321:AC321)</f>
        <v>4835108.8147408962</v>
      </c>
      <c r="F321" s="141">
        <f>C321*H26</f>
        <v>4835108.8147408962</v>
      </c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2"/>
    </row>
    <row r="322" spans="1:29" ht="22.5" x14ac:dyDescent="0.2">
      <c r="A322" s="310"/>
      <c r="B322" s="18" t="s">
        <v>416</v>
      </c>
      <c r="C322" s="50">
        <v>0.01</v>
      </c>
      <c r="D322" s="85" t="s">
        <v>415</v>
      </c>
      <c r="E322" s="149">
        <f t="shared" ref="E322:E324" si="187">SUM(F322:AC322)</f>
        <v>3337390.1750879143</v>
      </c>
      <c r="F322" s="143">
        <f>C322*H24</f>
        <v>3337390.1750879143</v>
      </c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3"/>
      <c r="Y322" s="143"/>
      <c r="Z322" s="143"/>
      <c r="AA322" s="143"/>
      <c r="AB322" s="143"/>
      <c r="AC322" s="144"/>
    </row>
    <row r="323" spans="1:29" ht="22.5" x14ac:dyDescent="0.2">
      <c r="A323" s="310"/>
      <c r="B323" s="18" t="s">
        <v>417</v>
      </c>
      <c r="C323" s="50">
        <v>0.01</v>
      </c>
      <c r="D323" s="85" t="s">
        <v>418</v>
      </c>
      <c r="E323" s="149">
        <f>SUM(F323:AC323)</f>
        <v>8912904.5271924473</v>
      </c>
      <c r="F323" s="141">
        <v>0</v>
      </c>
      <c r="G323" s="141">
        <f>SUM($F$181:G184)*$C$323/2</f>
        <v>743785.46483195724</v>
      </c>
      <c r="H323" s="141"/>
      <c r="I323" s="141">
        <f>SUM($F$181:I184)*$C$323/2</f>
        <v>765381.71662251186</v>
      </c>
      <c r="J323" s="141"/>
      <c r="K323" s="141">
        <f>SUM($F$181:K184)*$C$323/2</f>
        <v>819806.52213053044</v>
      </c>
      <c r="L323" s="141"/>
      <c r="M323" s="141">
        <f>SUM($F$181:M184)*$C$323/2</f>
        <v>923772.80801882793</v>
      </c>
      <c r="N323" s="141"/>
      <c r="O323" s="141">
        <f>SUM($F$181:O184)*$C$323/2</f>
        <v>1106924.7755787191</v>
      </c>
      <c r="P323" s="141"/>
      <c r="Q323" s="141">
        <f>SUM($F$181:Q184)*$C$323/2</f>
        <v>1391903.3471710125</v>
      </c>
      <c r="R323" s="141"/>
      <c r="S323" s="141">
        <f>SUM($F$181:S184)*$C$323/2</f>
        <v>1580664.9464194439</v>
      </c>
      <c r="T323" s="141"/>
      <c r="U323" s="141">
        <f>SUM($F$181:U184)*$C$323/2</f>
        <v>1580664.9464194439</v>
      </c>
      <c r="V323" s="141"/>
      <c r="W323" s="141"/>
      <c r="X323" s="141"/>
      <c r="Y323" s="141"/>
      <c r="Z323" s="141"/>
      <c r="AA323" s="141"/>
      <c r="AB323" s="141"/>
      <c r="AC323" s="142"/>
    </row>
    <row r="324" spans="1:29" ht="23.25" thickBot="1" x14ac:dyDescent="0.25">
      <c r="A324" s="310"/>
      <c r="B324" s="18" t="s">
        <v>419</v>
      </c>
      <c r="C324" s="50">
        <v>5.0000000000000001E-3</v>
      </c>
      <c r="D324" s="118" t="s">
        <v>418</v>
      </c>
      <c r="E324" s="117">
        <f t="shared" si="187"/>
        <v>4456452.2635962237</v>
      </c>
      <c r="F324" s="145"/>
      <c r="G324" s="145">
        <f>SUM($F$181:G184)*$C$324/2</f>
        <v>371892.73241597862</v>
      </c>
      <c r="H324" s="145"/>
      <c r="I324" s="145">
        <f>SUM($F$181:I184)*$C$324/2</f>
        <v>382690.85831125593</v>
      </c>
      <c r="J324" s="145"/>
      <c r="K324" s="145">
        <f>SUM($F$181:K184)*$C$324/2</f>
        <v>409903.26106526522</v>
      </c>
      <c r="L324" s="145"/>
      <c r="M324" s="145">
        <f>SUM($F$181:M184)*$C$324/2</f>
        <v>461886.40400941396</v>
      </c>
      <c r="N324" s="145"/>
      <c r="O324" s="145">
        <f>SUM($F$181:O184)*$C$324/2</f>
        <v>553462.38778935955</v>
      </c>
      <c r="P324" s="145"/>
      <c r="Q324" s="145">
        <f>SUM($F$181:Q184)*$C$324/2</f>
        <v>695951.67358550627</v>
      </c>
      <c r="R324" s="145"/>
      <c r="S324" s="145">
        <f>SUM($F$181:S184)*$C$324/2</f>
        <v>790332.47320972197</v>
      </c>
      <c r="T324" s="145"/>
      <c r="U324" s="145">
        <f>SUM($F$181:U184)*$C$324/2</f>
        <v>790332.47320972197</v>
      </c>
      <c r="V324" s="145"/>
      <c r="W324" s="145"/>
      <c r="X324" s="145"/>
      <c r="Y324" s="145"/>
      <c r="Z324" s="145"/>
      <c r="AA324" s="145"/>
      <c r="AB324" s="145"/>
      <c r="AC324" s="147"/>
    </row>
    <row r="325" spans="1:29" ht="12" thickBot="1" x14ac:dyDescent="0.25">
      <c r="A325" s="310"/>
      <c r="B325" s="452" t="s">
        <v>96</v>
      </c>
      <c r="C325" s="453"/>
      <c r="D325" s="454"/>
      <c r="E325" s="139">
        <f>SUM(F325:AC325)</f>
        <v>-21541855.780617476</v>
      </c>
      <c r="F325" s="136">
        <f>-SUM(F321:F324)</f>
        <v>-8172498.9898288101</v>
      </c>
      <c r="G325" s="136">
        <f t="shared" ref="G325:AC325" si="188">-SUM(G321:G324)</f>
        <v>-1115678.1972479359</v>
      </c>
      <c r="H325" s="136">
        <f t="shared" si="188"/>
        <v>0</v>
      </c>
      <c r="I325" s="136">
        <f t="shared" si="188"/>
        <v>-1148072.5749337678</v>
      </c>
      <c r="J325" s="136">
        <f t="shared" si="188"/>
        <v>0</v>
      </c>
      <c r="K325" s="136">
        <f t="shared" si="188"/>
        <v>-1229709.7831957957</v>
      </c>
      <c r="L325" s="136">
        <f t="shared" si="188"/>
        <v>0</v>
      </c>
      <c r="M325" s="136">
        <f t="shared" si="188"/>
        <v>-1385659.2120282419</v>
      </c>
      <c r="N325" s="136">
        <f t="shared" si="188"/>
        <v>0</v>
      </c>
      <c r="O325" s="136">
        <f t="shared" si="188"/>
        <v>-1660387.1633680786</v>
      </c>
      <c r="P325" s="136">
        <f t="shared" si="188"/>
        <v>0</v>
      </c>
      <c r="Q325" s="136">
        <f t="shared" si="188"/>
        <v>-2087855.0207565189</v>
      </c>
      <c r="R325" s="136">
        <f t="shared" si="188"/>
        <v>0</v>
      </c>
      <c r="S325" s="136">
        <f t="shared" si="188"/>
        <v>-2370997.4196291659</v>
      </c>
      <c r="T325" s="136">
        <f t="shared" si="188"/>
        <v>0</v>
      </c>
      <c r="U325" s="136">
        <f t="shared" si="188"/>
        <v>-2370997.4196291659</v>
      </c>
      <c r="V325" s="136">
        <f t="shared" si="188"/>
        <v>0</v>
      </c>
      <c r="W325" s="136">
        <f t="shared" si="188"/>
        <v>0</v>
      </c>
      <c r="X325" s="136">
        <f t="shared" si="188"/>
        <v>0</v>
      </c>
      <c r="Y325" s="136">
        <f t="shared" si="188"/>
        <v>0</v>
      </c>
      <c r="Z325" s="136">
        <f t="shared" si="188"/>
        <v>0</v>
      </c>
      <c r="AA325" s="136">
        <f t="shared" si="188"/>
        <v>0</v>
      </c>
      <c r="AB325" s="136">
        <f t="shared" si="188"/>
        <v>0</v>
      </c>
      <c r="AC325" s="137">
        <f t="shared" si="188"/>
        <v>0</v>
      </c>
    </row>
    <row r="326" spans="1:29" x14ac:dyDescent="0.2">
      <c r="A326" s="310"/>
      <c r="G326" s="201"/>
    </row>
    <row r="327" spans="1:29" x14ac:dyDescent="0.2">
      <c r="A327" s="310"/>
    </row>
    <row r="328" spans="1:29" x14ac:dyDescent="0.2">
      <c r="A328" s="310"/>
    </row>
    <row r="329" spans="1:29" x14ac:dyDescent="0.2">
      <c r="A329" s="310"/>
    </row>
    <row r="330" spans="1:29" x14ac:dyDescent="0.2">
      <c r="A330" s="310"/>
    </row>
    <row r="331" spans="1:29" x14ac:dyDescent="0.2">
      <c r="A331" s="310"/>
    </row>
    <row r="343" spans="1:1" x14ac:dyDescent="0.2">
      <c r="A343" s="310"/>
    </row>
    <row r="344" spans="1:1" x14ac:dyDescent="0.2">
      <c r="A344" s="310"/>
    </row>
    <row r="345" spans="1:1" x14ac:dyDescent="0.2">
      <c r="A345" s="310"/>
    </row>
    <row r="346" spans="1:1" x14ac:dyDescent="0.2">
      <c r="A346" s="310"/>
    </row>
    <row r="347" spans="1:1" x14ac:dyDescent="0.2">
      <c r="A347" s="310"/>
    </row>
    <row r="348" spans="1:1" x14ac:dyDescent="0.2">
      <c r="A348" s="310"/>
    </row>
    <row r="349" spans="1:1" x14ac:dyDescent="0.2">
      <c r="A349" s="310"/>
    </row>
    <row r="350" spans="1:1" x14ac:dyDescent="0.2">
      <c r="A350" s="310"/>
    </row>
    <row r="351" spans="1:1" x14ac:dyDescent="0.2">
      <c r="A351" s="310"/>
    </row>
    <row r="352" spans="1:1" x14ac:dyDescent="0.2">
      <c r="A352" s="310"/>
    </row>
    <row r="353" spans="1:1" x14ac:dyDescent="0.2">
      <c r="A353" s="310"/>
    </row>
    <row r="354" spans="1:1" x14ac:dyDescent="0.2">
      <c r="A354" s="310"/>
    </row>
    <row r="355" spans="1:1" x14ac:dyDescent="0.2">
      <c r="A355" s="310"/>
    </row>
    <row r="356" spans="1:1" x14ac:dyDescent="0.2">
      <c r="A356" s="310"/>
    </row>
    <row r="357" spans="1:1" x14ac:dyDescent="0.2">
      <c r="A357" s="310"/>
    </row>
    <row r="358" spans="1:1" x14ac:dyDescent="0.2">
      <c r="A358" s="310"/>
    </row>
    <row r="359" spans="1:1" x14ac:dyDescent="0.2">
      <c r="A359" s="310"/>
    </row>
    <row r="360" spans="1:1" x14ac:dyDescent="0.2">
      <c r="A360" s="310"/>
    </row>
    <row r="361" spans="1:1" x14ac:dyDescent="0.2">
      <c r="A361" s="310"/>
    </row>
    <row r="362" spans="1:1" x14ac:dyDescent="0.2">
      <c r="A362" s="310"/>
    </row>
    <row r="363" spans="1:1" x14ac:dyDescent="0.2">
      <c r="A363" s="310"/>
    </row>
    <row r="375" spans="2:7" ht="12" thickBot="1" x14ac:dyDescent="0.25">
      <c r="B375" s="399" t="s">
        <v>422</v>
      </c>
    </row>
    <row r="376" spans="2:7" ht="12.75" x14ac:dyDescent="0.2">
      <c r="B376" s="563" t="s">
        <v>1</v>
      </c>
      <c r="C376" s="565"/>
      <c r="E376" s="563" t="s">
        <v>0</v>
      </c>
      <c r="F376" s="564"/>
      <c r="G376" s="565"/>
    </row>
    <row r="377" spans="2:7" ht="22.5" x14ac:dyDescent="0.2">
      <c r="B377" s="102" t="s">
        <v>5</v>
      </c>
      <c r="C377" s="100" t="s">
        <v>6</v>
      </c>
      <c r="E377" s="509" t="s">
        <v>9</v>
      </c>
      <c r="F377" s="510"/>
      <c r="G377" s="625"/>
    </row>
    <row r="378" spans="2:7" ht="22.5" x14ac:dyDescent="0.2">
      <c r="B378" s="88" t="s">
        <v>8</v>
      </c>
      <c r="C378" s="98">
        <v>1535103725.5475874</v>
      </c>
      <c r="E378" s="102" t="s">
        <v>2</v>
      </c>
      <c r="F378" s="99" t="s">
        <v>3</v>
      </c>
      <c r="G378" s="100" t="s">
        <v>4</v>
      </c>
    </row>
    <row r="379" spans="2:7" ht="22.5" x14ac:dyDescent="0.2">
      <c r="B379" s="94" t="s">
        <v>10</v>
      </c>
      <c r="C379" s="140">
        <v>239271977.69999999</v>
      </c>
      <c r="E379" s="509" t="s">
        <v>7</v>
      </c>
      <c r="F379" s="510"/>
      <c r="G379" s="625"/>
    </row>
    <row r="380" spans="2:7" ht="22.5" x14ac:dyDescent="0.2">
      <c r="B380" s="88" t="s">
        <v>12</v>
      </c>
      <c r="C380" s="159">
        <v>526947096.47999996</v>
      </c>
      <c r="E380" s="427" t="s">
        <v>11</v>
      </c>
      <c r="F380" s="428">
        <v>160000000</v>
      </c>
      <c r="G380" s="429">
        <v>0.14908000482812306</v>
      </c>
    </row>
    <row r="381" spans="2:7" ht="22.5" x14ac:dyDescent="0.2">
      <c r="B381" s="94" t="s">
        <v>14</v>
      </c>
      <c r="C381" s="140">
        <v>108456690.82296981</v>
      </c>
      <c r="E381" s="430" t="s">
        <v>17</v>
      </c>
      <c r="F381" s="431">
        <v>79042064.472000003</v>
      </c>
      <c r="G381" s="432">
        <v>7.3647445956941088E-2</v>
      </c>
    </row>
    <row r="382" spans="2:7" ht="22.5" x14ac:dyDescent="0.2">
      <c r="B382" s="88" t="s">
        <v>16</v>
      </c>
      <c r="C382" s="159">
        <v>118046187.37978224</v>
      </c>
      <c r="E382" s="427" t="s">
        <v>20</v>
      </c>
      <c r="F382" s="428">
        <v>113533560</v>
      </c>
      <c r="G382" s="429">
        <v>0.10578489795596249</v>
      </c>
    </row>
    <row r="383" spans="2:7" ht="22.5" x14ac:dyDescent="0.2">
      <c r="B383" s="94" t="s">
        <v>18</v>
      </c>
      <c r="C383" s="140">
        <v>80527275</v>
      </c>
      <c r="E383" s="421" t="s">
        <v>21</v>
      </c>
      <c r="F383" s="422">
        <v>352575624.472</v>
      </c>
      <c r="G383" s="423">
        <v>0.32851234874102664</v>
      </c>
    </row>
    <row r="384" spans="2:7" ht="22.5" x14ac:dyDescent="0.2">
      <c r="B384" s="88" t="s">
        <v>19</v>
      </c>
      <c r="C384" s="98">
        <v>451700000</v>
      </c>
      <c r="E384" s="509" t="s">
        <v>204</v>
      </c>
      <c r="F384" s="510"/>
      <c r="G384" s="625"/>
    </row>
    <row r="385" spans="2:7" ht="22.5" x14ac:dyDescent="0.2">
      <c r="B385" s="94" t="s">
        <v>262</v>
      </c>
      <c r="C385" s="140">
        <v>1073249227.3827519</v>
      </c>
      <c r="E385" s="626" t="s">
        <v>256</v>
      </c>
      <c r="F385" s="628">
        <v>451700000</v>
      </c>
      <c r="G385" s="630">
        <v>0.42087148863039492</v>
      </c>
    </row>
    <row r="386" spans="2:7" ht="22.5" x14ac:dyDescent="0.2">
      <c r="B386" s="88" t="s">
        <v>260</v>
      </c>
      <c r="C386" s="159">
        <v>17680164.654963378</v>
      </c>
      <c r="E386" s="627"/>
      <c r="F386" s="629"/>
      <c r="G386" s="631"/>
    </row>
    <row r="387" spans="2:7" ht="22.5" x14ac:dyDescent="0.2">
      <c r="B387" s="94" t="s">
        <v>22</v>
      </c>
      <c r="C387" s="157">
        <v>444174333.50987196</v>
      </c>
      <c r="E387" s="509" t="s">
        <v>257</v>
      </c>
      <c r="F387" s="510"/>
      <c r="G387" s="625"/>
    </row>
    <row r="388" spans="2:7" ht="22.5" x14ac:dyDescent="0.2">
      <c r="B388" s="88" t="s">
        <v>246</v>
      </c>
      <c r="C388" s="213">
        <v>4.8328767123287673</v>
      </c>
      <c r="E388" s="427" t="s">
        <v>26</v>
      </c>
      <c r="F388" s="428">
        <v>230269574.04346198</v>
      </c>
      <c r="G388" s="433">
        <v>0.2145536825635572</v>
      </c>
    </row>
    <row r="389" spans="2:7" ht="22.5" x14ac:dyDescent="0.2">
      <c r="B389" s="94" t="s">
        <v>424</v>
      </c>
      <c r="C389" s="420">
        <v>0.24802144169807433</v>
      </c>
      <c r="E389" s="430" t="s">
        <v>28</v>
      </c>
      <c r="F389" s="431">
        <v>38704028.86729002</v>
      </c>
      <c r="G389" s="432">
        <v>3.6062480065021316E-2</v>
      </c>
    </row>
    <row r="390" spans="2:7" ht="22.5" x14ac:dyDescent="0.2">
      <c r="B390" s="88" t="s">
        <v>425</v>
      </c>
      <c r="C390" s="419">
        <v>0.41385944865112534</v>
      </c>
      <c r="E390" s="424" t="s">
        <v>258</v>
      </c>
      <c r="F390" s="425">
        <v>268973602.910752</v>
      </c>
      <c r="G390" s="426">
        <v>0.2506161626285785</v>
      </c>
    </row>
    <row r="391" spans="2:7" ht="22.5" x14ac:dyDescent="0.2">
      <c r="B391" s="94" t="s">
        <v>426</v>
      </c>
      <c r="C391" s="417">
        <v>1.2597987571462028</v>
      </c>
      <c r="E391" s="509" t="s">
        <v>205</v>
      </c>
      <c r="F391" s="510"/>
      <c r="G391" s="625"/>
    </row>
    <row r="392" spans="2:7" ht="22.5" x14ac:dyDescent="0.2">
      <c r="B392" s="88" t="s">
        <v>427</v>
      </c>
      <c r="C392" s="418">
        <v>0.26067264532787077</v>
      </c>
      <c r="E392" s="421" t="s">
        <v>29</v>
      </c>
      <c r="F392" s="422">
        <v>1073249227.3827519</v>
      </c>
      <c r="G392" s="423">
        <v>1</v>
      </c>
    </row>
    <row r="469" spans="2:3" x14ac:dyDescent="0.2">
      <c r="B469" s="312"/>
      <c r="C469" s="312"/>
    </row>
    <row r="470" spans="2:3" x14ac:dyDescent="0.2">
      <c r="B470" s="313"/>
      <c r="C470" s="313"/>
    </row>
    <row r="471" spans="2:3" x14ac:dyDescent="0.2">
      <c r="B471" s="314"/>
      <c r="C471" s="313"/>
    </row>
    <row r="472" spans="2:3" x14ac:dyDescent="0.2">
      <c r="B472" s="314"/>
      <c r="C472" s="313"/>
    </row>
    <row r="473" spans="2:3" x14ac:dyDescent="0.2">
      <c r="B473" s="313"/>
      <c r="C473" s="313"/>
    </row>
    <row r="474" spans="2:3" x14ac:dyDescent="0.2">
      <c r="B474" s="313"/>
      <c r="C474" s="313"/>
    </row>
    <row r="475" spans="2:3" x14ac:dyDescent="0.2">
      <c r="B475" s="313"/>
      <c r="C475" s="313"/>
    </row>
    <row r="476" spans="2:3" x14ac:dyDescent="0.2">
      <c r="B476" s="313"/>
      <c r="C476" s="313"/>
    </row>
    <row r="477" spans="2:3" x14ac:dyDescent="0.2">
      <c r="B477" s="313"/>
      <c r="C477" s="313"/>
    </row>
    <row r="478" spans="2:3" x14ac:dyDescent="0.2">
      <c r="B478" s="313"/>
      <c r="C478" s="313"/>
    </row>
    <row r="479" spans="2:3" x14ac:dyDescent="0.2">
      <c r="B479" s="313"/>
      <c r="C479" s="313"/>
    </row>
    <row r="480" spans="2:3" x14ac:dyDescent="0.2">
      <c r="B480" s="313"/>
      <c r="C480" s="313"/>
    </row>
    <row r="481" spans="2:4" x14ac:dyDescent="0.2">
      <c r="B481" s="313"/>
      <c r="C481" s="313"/>
    </row>
    <row r="482" spans="2:4" x14ac:dyDescent="0.2">
      <c r="B482" s="313"/>
      <c r="C482" s="313"/>
    </row>
    <row r="483" spans="2:4" x14ac:dyDescent="0.2">
      <c r="B483" s="313"/>
      <c r="C483" s="313"/>
    </row>
    <row r="484" spans="2:4" x14ac:dyDescent="0.2">
      <c r="B484" s="313"/>
      <c r="C484" s="313"/>
    </row>
    <row r="485" spans="2:4" x14ac:dyDescent="0.2">
      <c r="B485" s="313"/>
      <c r="C485" s="313"/>
    </row>
    <row r="486" spans="2:4" x14ac:dyDescent="0.2">
      <c r="B486" s="313"/>
      <c r="C486" s="317"/>
    </row>
    <row r="487" spans="2:4" x14ac:dyDescent="0.2">
      <c r="B487" s="313"/>
      <c r="C487" s="317"/>
    </row>
    <row r="488" spans="2:4" x14ac:dyDescent="0.2">
      <c r="B488" s="313"/>
      <c r="C488" s="317"/>
    </row>
    <row r="489" spans="2:4" x14ac:dyDescent="0.2">
      <c r="B489" s="313"/>
      <c r="C489" s="317"/>
    </row>
    <row r="490" spans="2:4" x14ac:dyDescent="0.2">
      <c r="B490" s="313"/>
      <c r="C490" s="313"/>
    </row>
    <row r="491" spans="2:4" x14ac:dyDescent="0.2">
      <c r="B491" s="313"/>
      <c r="C491" s="313"/>
    </row>
    <row r="492" spans="2:4" x14ac:dyDescent="0.2">
      <c r="B492" s="313"/>
      <c r="C492" s="313"/>
    </row>
    <row r="493" spans="2:4" x14ac:dyDescent="0.2">
      <c r="B493" s="313"/>
      <c r="C493" s="313"/>
    </row>
    <row r="496" spans="2:4" x14ac:dyDescent="0.2">
      <c r="D496" s="201"/>
    </row>
    <row r="497" spans="2:4" x14ac:dyDescent="0.2">
      <c r="D497" s="201"/>
    </row>
    <row r="498" spans="2:4" x14ac:dyDescent="0.2">
      <c r="D498" s="201"/>
    </row>
    <row r="499" spans="2:4" x14ac:dyDescent="0.2">
      <c r="D499" s="201"/>
    </row>
    <row r="500" spans="2:4" x14ac:dyDescent="0.2">
      <c r="D500" s="201"/>
    </row>
    <row r="501" spans="2:4" x14ac:dyDescent="0.2">
      <c r="D501" s="201"/>
    </row>
    <row r="502" spans="2:4" x14ac:dyDescent="0.2">
      <c r="D502" s="201"/>
    </row>
    <row r="504" spans="2:4" x14ac:dyDescent="0.2">
      <c r="D504" s="201"/>
    </row>
    <row r="506" spans="2:4" x14ac:dyDescent="0.2">
      <c r="D506" s="201"/>
    </row>
    <row r="507" spans="2:4" x14ac:dyDescent="0.2">
      <c r="D507" s="201"/>
    </row>
    <row r="508" spans="2:4" x14ac:dyDescent="0.2">
      <c r="D508" s="201"/>
    </row>
    <row r="509" spans="2:4" x14ac:dyDescent="0.2">
      <c r="D509" s="201"/>
    </row>
    <row r="510" spans="2:4" x14ac:dyDescent="0.2">
      <c r="B510" s="313"/>
      <c r="C510" s="313"/>
      <c r="D510" s="201"/>
    </row>
    <row r="511" spans="2:4" x14ac:dyDescent="0.2">
      <c r="B511" s="313"/>
      <c r="C511" s="313"/>
      <c r="D511" s="201"/>
    </row>
    <row r="512" spans="2:4" x14ac:dyDescent="0.2">
      <c r="B512" s="313"/>
      <c r="C512" s="313"/>
      <c r="D512" s="201"/>
    </row>
    <row r="513" spans="2:4" x14ac:dyDescent="0.2">
      <c r="B513" s="313"/>
      <c r="C513" s="313"/>
      <c r="D513" s="201"/>
    </row>
    <row r="514" spans="2:4" x14ac:dyDescent="0.2">
      <c r="B514" s="313"/>
      <c r="C514" s="313"/>
      <c r="D514" s="201"/>
    </row>
    <row r="515" spans="2:4" x14ac:dyDescent="0.2">
      <c r="B515" s="313"/>
      <c r="C515" s="313"/>
      <c r="D515" s="201"/>
    </row>
    <row r="516" spans="2:4" x14ac:dyDescent="0.2">
      <c r="B516" s="313"/>
      <c r="C516" s="313"/>
      <c r="D516" s="201"/>
    </row>
    <row r="517" spans="2:4" x14ac:dyDescent="0.2">
      <c r="B517" s="313"/>
      <c r="C517" s="313"/>
      <c r="D517" s="201"/>
    </row>
    <row r="518" spans="2:4" x14ac:dyDescent="0.2">
      <c r="B518" s="313"/>
      <c r="C518" s="313"/>
      <c r="D518" s="201"/>
    </row>
    <row r="531" spans="2:3" x14ac:dyDescent="0.2">
      <c r="B531" s="313"/>
      <c r="C531" s="313"/>
    </row>
    <row r="532" spans="2:3" x14ac:dyDescent="0.2">
      <c r="B532" s="312"/>
      <c r="C532" s="312"/>
    </row>
    <row r="533" spans="2:3" x14ac:dyDescent="0.2">
      <c r="B533" s="313"/>
      <c r="C533" s="313"/>
    </row>
    <row r="534" spans="2:3" x14ac:dyDescent="0.2">
      <c r="B534" s="313"/>
      <c r="C534" s="313"/>
    </row>
    <row r="535" spans="2:3" x14ac:dyDescent="0.2">
      <c r="B535" s="313"/>
      <c r="C535" s="313"/>
    </row>
    <row r="536" spans="2:3" x14ac:dyDescent="0.2">
      <c r="B536" s="313"/>
      <c r="C536" s="313"/>
    </row>
    <row r="537" spans="2:3" x14ac:dyDescent="0.2">
      <c r="B537" s="313"/>
      <c r="C537" s="313"/>
    </row>
    <row r="538" spans="2:3" x14ac:dyDescent="0.2">
      <c r="B538" s="313"/>
      <c r="C538" s="313"/>
    </row>
    <row r="539" spans="2:3" x14ac:dyDescent="0.2">
      <c r="B539" s="313"/>
      <c r="C539" s="313"/>
    </row>
    <row r="540" spans="2:3" x14ac:dyDescent="0.2">
      <c r="B540" s="313"/>
      <c r="C540" s="313"/>
    </row>
    <row r="541" spans="2:3" x14ac:dyDescent="0.2">
      <c r="B541" s="313"/>
      <c r="C541" s="313"/>
    </row>
    <row r="542" spans="2:3" x14ac:dyDescent="0.2">
      <c r="B542" s="313"/>
      <c r="C542" s="313"/>
    </row>
    <row r="543" spans="2:3" x14ac:dyDescent="0.2">
      <c r="B543" s="313"/>
      <c r="C543" s="313"/>
    </row>
    <row r="544" spans="2:3" x14ac:dyDescent="0.2">
      <c r="B544" s="313"/>
      <c r="C544" s="313"/>
    </row>
    <row r="545" spans="2:3" x14ac:dyDescent="0.2">
      <c r="B545" s="313"/>
      <c r="C545" s="313"/>
    </row>
    <row r="547" spans="2:3" x14ac:dyDescent="0.2">
      <c r="B547" s="313"/>
      <c r="C547" s="313"/>
    </row>
    <row r="548" spans="2:3" x14ac:dyDescent="0.2">
      <c r="B548" s="313"/>
      <c r="C548" s="313"/>
    </row>
    <row r="549" spans="2:3" x14ac:dyDescent="0.2">
      <c r="B549" s="313"/>
      <c r="C549" s="313"/>
    </row>
    <row r="550" spans="2:3" x14ac:dyDescent="0.2">
      <c r="B550" s="313"/>
      <c r="C550" s="313"/>
    </row>
    <row r="552" spans="2:3" x14ac:dyDescent="0.2">
      <c r="B552" s="313"/>
      <c r="C552" s="313"/>
    </row>
    <row r="553" spans="2:3" x14ac:dyDescent="0.2">
      <c r="B553" s="313"/>
      <c r="C553" s="313"/>
    </row>
    <row r="554" spans="2:3" x14ac:dyDescent="0.2">
      <c r="B554" s="312"/>
      <c r="C554" s="312"/>
    </row>
    <row r="558" spans="2:3" x14ac:dyDescent="0.2">
      <c r="B558" s="313"/>
      <c r="C558" s="313"/>
    </row>
  </sheetData>
  <sheetProtection formatCells="0" selectLockedCells="1"/>
  <mergeCells count="741">
    <mergeCell ref="E391:G391"/>
    <mergeCell ref="B376:C376"/>
    <mergeCell ref="E376:G376"/>
    <mergeCell ref="E377:G377"/>
    <mergeCell ref="E379:G379"/>
    <mergeCell ref="E384:G384"/>
    <mergeCell ref="E385:E386"/>
    <mergeCell ref="F385:F386"/>
    <mergeCell ref="G385:G386"/>
    <mergeCell ref="E387:G387"/>
    <mergeCell ref="C105:D105"/>
    <mergeCell ref="B242:E243"/>
    <mergeCell ref="F242:I243"/>
    <mergeCell ref="K250:K251"/>
    <mergeCell ref="J250:J251"/>
    <mergeCell ref="I250:I251"/>
    <mergeCell ref="X250:X251"/>
    <mergeCell ref="X246:X247"/>
    <mergeCell ref="Y248:Y249"/>
    <mergeCell ref="X248:X249"/>
    <mergeCell ref="U246:U247"/>
    <mergeCell ref="V246:V247"/>
    <mergeCell ref="S248:S249"/>
    <mergeCell ref="V248:V249"/>
    <mergeCell ref="U248:U249"/>
    <mergeCell ref="N250:N251"/>
    <mergeCell ref="M250:M251"/>
    <mergeCell ref="O250:O251"/>
    <mergeCell ref="V250:V251"/>
    <mergeCell ref="I248:I249"/>
    <mergeCell ref="J242:M243"/>
    <mergeCell ref="Q248:Q249"/>
    <mergeCell ref="Q244:Q245"/>
    <mergeCell ref="W250:W251"/>
    <mergeCell ref="L250:L251"/>
    <mergeCell ref="P250:P251"/>
    <mergeCell ref="J246:J247"/>
    <mergeCell ref="K246:K247"/>
    <mergeCell ref="L246:L247"/>
    <mergeCell ref="M246:M247"/>
    <mergeCell ref="N246:N247"/>
    <mergeCell ref="M248:M249"/>
    <mergeCell ref="L248:L249"/>
    <mergeCell ref="O246:O247"/>
    <mergeCell ref="P246:P247"/>
    <mergeCell ref="M244:M245"/>
    <mergeCell ref="O270:O271"/>
    <mergeCell ref="O256:O257"/>
    <mergeCell ref="P252:P253"/>
    <mergeCell ref="O252:O253"/>
    <mergeCell ref="Q270:Q271"/>
    <mergeCell ref="P254:P255"/>
    <mergeCell ref="O254:O255"/>
    <mergeCell ref="P270:P271"/>
    <mergeCell ref="P256:P257"/>
    <mergeCell ref="Q246:Q247"/>
    <mergeCell ref="N252:N253"/>
    <mergeCell ref="Q254:Q255"/>
    <mergeCell ref="Q256:Q257"/>
    <mergeCell ref="N256:N257"/>
    <mergeCell ref="M254:M255"/>
    <mergeCell ref="Q250:Q251"/>
    <mergeCell ref="Q252:Q253"/>
    <mergeCell ref="P276:P277"/>
    <mergeCell ref="U256:U257"/>
    <mergeCell ref="W270:W271"/>
    <mergeCell ref="P274:P275"/>
    <mergeCell ref="O274:O275"/>
    <mergeCell ref="O278:O279"/>
    <mergeCell ref="T246:T247"/>
    <mergeCell ref="W244:W245"/>
    <mergeCell ref="Y256:Y257"/>
    <mergeCell ref="Y252:Y253"/>
    <mergeCell ref="X252:X253"/>
    <mergeCell ref="T270:T271"/>
    <mergeCell ref="U270:U271"/>
    <mergeCell ref="R270:R271"/>
    <mergeCell ref="S270:S271"/>
    <mergeCell ref="N244:N245"/>
    <mergeCell ref="O248:O249"/>
    <mergeCell ref="O244:O245"/>
    <mergeCell ref="P244:P245"/>
    <mergeCell ref="P248:P249"/>
    <mergeCell ref="R248:R249"/>
    <mergeCell ref="T248:T249"/>
    <mergeCell ref="R252:R253"/>
    <mergeCell ref="R284:R285"/>
    <mergeCell ref="W276:W277"/>
    <mergeCell ref="V284:V285"/>
    <mergeCell ref="U280:U281"/>
    <mergeCell ref="R276:R277"/>
    <mergeCell ref="Q274:Q275"/>
    <mergeCell ref="X280:X281"/>
    <mergeCell ref="Y284:Y285"/>
    <mergeCell ref="Y282:Y283"/>
    <mergeCell ref="U284:U285"/>
    <mergeCell ref="T284:T285"/>
    <mergeCell ref="X284:X285"/>
    <mergeCell ref="X282:X283"/>
    <mergeCell ref="W284:W285"/>
    <mergeCell ref="Y276:Y277"/>
    <mergeCell ref="X278:X279"/>
    <mergeCell ref="Y278:Y279"/>
    <mergeCell ref="U276:U277"/>
    <mergeCell ref="W282:W283"/>
    <mergeCell ref="Y280:Y281"/>
    <mergeCell ref="W280:W281"/>
    <mergeCell ref="V280:V281"/>
    <mergeCell ref="R278:R279"/>
    <mergeCell ref="P292:P293"/>
    <mergeCell ref="T292:T293"/>
    <mergeCell ref="Q292:Q293"/>
    <mergeCell ref="P290:P291"/>
    <mergeCell ref="V276:V277"/>
    <mergeCell ref="Q294:Q295"/>
    <mergeCell ref="R294:R295"/>
    <mergeCell ref="P294:P295"/>
    <mergeCell ref="S290:S291"/>
    <mergeCell ref="T290:T291"/>
    <mergeCell ref="U282:U283"/>
    <mergeCell ref="T282:T283"/>
    <mergeCell ref="S282:S283"/>
    <mergeCell ref="P280:P281"/>
    <mergeCell ref="P278:P279"/>
    <mergeCell ref="P282:P283"/>
    <mergeCell ref="P284:P285"/>
    <mergeCell ref="R288:R289"/>
    <mergeCell ref="P288:P289"/>
    <mergeCell ref="P286:P287"/>
    <mergeCell ref="S286:S287"/>
    <mergeCell ref="Q290:Q291"/>
    <mergeCell ref="Q280:Q281"/>
    <mergeCell ref="R280:R281"/>
    <mergeCell ref="AA288:AA289"/>
    <mergeCell ref="AB288:AB289"/>
    <mergeCell ref="S288:S289"/>
    <mergeCell ref="T288:T289"/>
    <mergeCell ref="U288:U289"/>
    <mergeCell ref="X292:X293"/>
    <mergeCell ref="Z292:Z293"/>
    <mergeCell ref="AA292:AA293"/>
    <mergeCell ref="AB292:AB293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Z296:Z297"/>
    <mergeCell ref="AA296:AA297"/>
    <mergeCell ref="AB296:AB297"/>
    <mergeCell ref="U296:U297"/>
    <mergeCell ref="V296:V297"/>
    <mergeCell ref="W296:W297"/>
    <mergeCell ref="X296:X297"/>
    <mergeCell ref="Y296:Y297"/>
    <mergeCell ref="S294:S295"/>
    <mergeCell ref="T294:T295"/>
    <mergeCell ref="Y286:Y287"/>
    <mergeCell ref="S292:S293"/>
    <mergeCell ref="Y290:Y291"/>
    <mergeCell ref="W286:W287"/>
    <mergeCell ref="Y292:Y293"/>
    <mergeCell ref="X290:X291"/>
    <mergeCell ref="U286:U287"/>
    <mergeCell ref="W288:W289"/>
    <mergeCell ref="X288:X289"/>
    <mergeCell ref="Y288:Y289"/>
    <mergeCell ref="W292:W293"/>
    <mergeCell ref="W290:W291"/>
    <mergeCell ref="U290:U291"/>
    <mergeCell ref="V290:V291"/>
    <mergeCell ref="V288:V289"/>
    <mergeCell ref="Y294:Y295"/>
    <mergeCell ref="U294:U295"/>
    <mergeCell ref="X294:X295"/>
    <mergeCell ref="V294:V295"/>
    <mergeCell ref="W294:W295"/>
    <mergeCell ref="X286:X287"/>
    <mergeCell ref="Q288:Q289"/>
    <mergeCell ref="W252:W253"/>
    <mergeCell ref="T272:T273"/>
    <mergeCell ref="T274:T275"/>
    <mergeCell ref="S274:S275"/>
    <mergeCell ref="V252:V253"/>
    <mergeCell ref="U252:U253"/>
    <mergeCell ref="T252:T253"/>
    <mergeCell ref="S252:S253"/>
    <mergeCell ref="W254:W255"/>
    <mergeCell ref="V254:V255"/>
    <mergeCell ref="U254:U255"/>
    <mergeCell ref="T254:T255"/>
    <mergeCell ref="S254:S255"/>
    <mergeCell ref="T256:T257"/>
    <mergeCell ref="S256:S257"/>
    <mergeCell ref="R254:R255"/>
    <mergeCell ref="V282:V283"/>
    <mergeCell ref="V286:V287"/>
    <mergeCell ref="Q284:Q285"/>
    <mergeCell ref="Q282:Q283"/>
    <mergeCell ref="Q276:Q277"/>
    <mergeCell ref="S276:S277"/>
    <mergeCell ref="Q278:Q279"/>
    <mergeCell ref="R292:R293"/>
    <mergeCell ref="R290:R291"/>
    <mergeCell ref="U292:U293"/>
    <mergeCell ref="V292:V293"/>
    <mergeCell ref="B302:C302"/>
    <mergeCell ref="K294:K295"/>
    <mergeCell ref="L294:L295"/>
    <mergeCell ref="N288:N289"/>
    <mergeCell ref="I272:I273"/>
    <mergeCell ref="J272:J273"/>
    <mergeCell ref="S284:S285"/>
    <mergeCell ref="T286:T287"/>
    <mergeCell ref="R282:R283"/>
    <mergeCell ref="S278:S279"/>
    <mergeCell ref="O280:O281"/>
    <mergeCell ref="R286:R287"/>
    <mergeCell ref="Q286:Q287"/>
    <mergeCell ref="R272:R273"/>
    <mergeCell ref="S272:S273"/>
    <mergeCell ref="T276:T277"/>
    <mergeCell ref="R274:R275"/>
    <mergeCell ref="O288:O289"/>
    <mergeCell ref="O284:O285"/>
    <mergeCell ref="O282:O283"/>
    <mergeCell ref="N280:N281"/>
    <mergeCell ref="M252:M253"/>
    <mergeCell ref="L252:L253"/>
    <mergeCell ref="K252:K253"/>
    <mergeCell ref="J254:J255"/>
    <mergeCell ref="L254:L255"/>
    <mergeCell ref="K254:K255"/>
    <mergeCell ref="J270:J271"/>
    <mergeCell ref="N254:N255"/>
    <mergeCell ref="J256:J257"/>
    <mergeCell ref="K276:K277"/>
    <mergeCell ref="N272:N273"/>
    <mergeCell ref="N270:N271"/>
    <mergeCell ref="L256:L257"/>
    <mergeCell ref="L270:L271"/>
    <mergeCell ref="K256:K257"/>
    <mergeCell ref="M280:M281"/>
    <mergeCell ref="L278:L279"/>
    <mergeCell ref="N278:N279"/>
    <mergeCell ref="N274:N275"/>
    <mergeCell ref="N276:N277"/>
    <mergeCell ref="M278:M279"/>
    <mergeCell ref="J276:J277"/>
    <mergeCell ref="L274:L275"/>
    <mergeCell ref="O294:O295"/>
    <mergeCell ref="L292:L293"/>
    <mergeCell ref="O290:O291"/>
    <mergeCell ref="L290:L291"/>
    <mergeCell ref="M290:M291"/>
    <mergeCell ref="M284:M285"/>
    <mergeCell ref="O286:O287"/>
    <mergeCell ref="L288:L289"/>
    <mergeCell ref="J282:J283"/>
    <mergeCell ref="M292:M293"/>
    <mergeCell ref="N286:N287"/>
    <mergeCell ref="K284:K285"/>
    <mergeCell ref="M288:M289"/>
    <mergeCell ref="L284:L285"/>
    <mergeCell ref="M282:M283"/>
    <mergeCell ref="L286:L287"/>
    <mergeCell ref="N294:N295"/>
    <mergeCell ref="N284:N285"/>
    <mergeCell ref="N282:N283"/>
    <mergeCell ref="M294:M295"/>
    <mergeCell ref="N292:N293"/>
    <mergeCell ref="N290:N291"/>
    <mergeCell ref="J286:J287"/>
    <mergeCell ref="O292:O293"/>
    <mergeCell ref="H296:H297"/>
    <mergeCell ref="I296:I297"/>
    <mergeCell ref="J296:J297"/>
    <mergeCell ref="F292:F293"/>
    <mergeCell ref="K288:K289"/>
    <mergeCell ref="K296:K297"/>
    <mergeCell ref="F294:F295"/>
    <mergeCell ref="G294:G295"/>
    <mergeCell ref="H294:H295"/>
    <mergeCell ref="I294:I295"/>
    <mergeCell ref="J294:J295"/>
    <mergeCell ref="K292:K293"/>
    <mergeCell ref="J290:J291"/>
    <mergeCell ref="J288:J289"/>
    <mergeCell ref="I290:I291"/>
    <mergeCell ref="F296:F297"/>
    <mergeCell ref="F290:F291"/>
    <mergeCell ref="G290:G291"/>
    <mergeCell ref="H290:H291"/>
    <mergeCell ref="I292:I293"/>
    <mergeCell ref="H292:H293"/>
    <mergeCell ref="K290:K291"/>
    <mergeCell ref="J292:J293"/>
    <mergeCell ref="D294:D295"/>
    <mergeCell ref="E294:E295"/>
    <mergeCell ref="B286:C287"/>
    <mergeCell ref="G296:G297"/>
    <mergeCell ref="B290:C291"/>
    <mergeCell ref="E290:E291"/>
    <mergeCell ref="B296:C297"/>
    <mergeCell ref="E292:E293"/>
    <mergeCell ref="D290:D291"/>
    <mergeCell ref="D292:D293"/>
    <mergeCell ref="B292:C293"/>
    <mergeCell ref="D296:D297"/>
    <mergeCell ref="E296:E297"/>
    <mergeCell ref="B294:C295"/>
    <mergeCell ref="E288:E289"/>
    <mergeCell ref="G292:G293"/>
    <mergeCell ref="B282:C283"/>
    <mergeCell ref="B288:C289"/>
    <mergeCell ref="G288:G289"/>
    <mergeCell ref="H288:H289"/>
    <mergeCell ref="I288:I289"/>
    <mergeCell ref="F288:F289"/>
    <mergeCell ref="F286:F287"/>
    <mergeCell ref="I286:I287"/>
    <mergeCell ref="G286:G287"/>
    <mergeCell ref="B284:C285"/>
    <mergeCell ref="H286:H287"/>
    <mergeCell ref="D288:D289"/>
    <mergeCell ref="D286:D287"/>
    <mergeCell ref="D282:D283"/>
    <mergeCell ref="D284:D285"/>
    <mergeCell ref="H284:H285"/>
    <mergeCell ref="E286:E287"/>
    <mergeCell ref="E284:E285"/>
    <mergeCell ref="E282:E283"/>
    <mergeCell ref="F284:F285"/>
    <mergeCell ref="F282:F283"/>
    <mergeCell ref="M286:M287"/>
    <mergeCell ref="I280:I281"/>
    <mergeCell ref="J280:J281"/>
    <mergeCell ref="I278:I279"/>
    <mergeCell ref="G284:G285"/>
    <mergeCell ref="G282:G283"/>
    <mergeCell ref="G280:G281"/>
    <mergeCell ref="H282:H283"/>
    <mergeCell ref="K280:K281"/>
    <mergeCell ref="L280:L281"/>
    <mergeCell ref="G278:G279"/>
    <mergeCell ref="H278:H279"/>
    <mergeCell ref="K282:K283"/>
    <mergeCell ref="L282:L283"/>
    <mergeCell ref="J284:J285"/>
    <mergeCell ref="K286:K287"/>
    <mergeCell ref="I282:I283"/>
    <mergeCell ref="I284:I285"/>
    <mergeCell ref="K274:K275"/>
    <mergeCell ref="M274:M275"/>
    <mergeCell ref="F276:F277"/>
    <mergeCell ref="H276:H277"/>
    <mergeCell ref="I276:I277"/>
    <mergeCell ref="H274:H275"/>
    <mergeCell ref="F274:F275"/>
    <mergeCell ref="L276:L277"/>
    <mergeCell ref="E280:E281"/>
    <mergeCell ref="K278:K279"/>
    <mergeCell ref="H280:H281"/>
    <mergeCell ref="J278:J279"/>
    <mergeCell ref="F280:F281"/>
    <mergeCell ref="E278:E279"/>
    <mergeCell ref="B274:C275"/>
    <mergeCell ref="I274:I275"/>
    <mergeCell ref="M276:M277"/>
    <mergeCell ref="I256:I257"/>
    <mergeCell ref="B268:C269"/>
    <mergeCell ref="H270:H271"/>
    <mergeCell ref="G256:G257"/>
    <mergeCell ref="I270:I271"/>
    <mergeCell ref="B278:C279"/>
    <mergeCell ref="B276:C277"/>
    <mergeCell ref="E274:E275"/>
    <mergeCell ref="L272:L273"/>
    <mergeCell ref="M272:M273"/>
    <mergeCell ref="K272:K273"/>
    <mergeCell ref="K270:K271"/>
    <mergeCell ref="M256:M257"/>
    <mergeCell ref="M270:M271"/>
    <mergeCell ref="D268:D269"/>
    <mergeCell ref="H256:H257"/>
    <mergeCell ref="H272:H273"/>
    <mergeCell ref="D278:D279"/>
    <mergeCell ref="E276:E277"/>
    <mergeCell ref="D274:D275"/>
    <mergeCell ref="J274:J275"/>
    <mergeCell ref="B280:C281"/>
    <mergeCell ref="E270:E271"/>
    <mergeCell ref="G272:G273"/>
    <mergeCell ref="G274:G275"/>
    <mergeCell ref="B246:E247"/>
    <mergeCell ref="B248:E249"/>
    <mergeCell ref="F270:F271"/>
    <mergeCell ref="G270:G271"/>
    <mergeCell ref="F256:F257"/>
    <mergeCell ref="B256:E257"/>
    <mergeCell ref="G276:G277"/>
    <mergeCell ref="E268:E269"/>
    <mergeCell ref="B270:C271"/>
    <mergeCell ref="D270:D271"/>
    <mergeCell ref="E272:E273"/>
    <mergeCell ref="B272:C273"/>
    <mergeCell ref="D272:D273"/>
    <mergeCell ref="F272:F273"/>
    <mergeCell ref="D280:D281"/>
    <mergeCell ref="D276:D277"/>
    <mergeCell ref="F278:F279"/>
    <mergeCell ref="B254:E255"/>
    <mergeCell ref="B250:E251"/>
    <mergeCell ref="G250:G251"/>
    <mergeCell ref="H250:H251"/>
    <mergeCell ref="F244:F245"/>
    <mergeCell ref="I252:I253"/>
    <mergeCell ref="H252:H253"/>
    <mergeCell ref="B252:E253"/>
    <mergeCell ref="F250:F251"/>
    <mergeCell ref="F246:F247"/>
    <mergeCell ref="G246:G247"/>
    <mergeCell ref="H246:H247"/>
    <mergeCell ref="I246:I247"/>
    <mergeCell ref="B244:E245"/>
    <mergeCell ref="G248:G249"/>
    <mergeCell ref="G252:G253"/>
    <mergeCell ref="F252:F253"/>
    <mergeCell ref="H254:H255"/>
    <mergeCell ref="G254:G255"/>
    <mergeCell ref="F254:F255"/>
    <mergeCell ref="I254:I255"/>
    <mergeCell ref="F225:F226"/>
    <mergeCell ref="J248:J249"/>
    <mergeCell ref="G244:G245"/>
    <mergeCell ref="H244:H245"/>
    <mergeCell ref="I244:I245"/>
    <mergeCell ref="J244:J245"/>
    <mergeCell ref="H248:H249"/>
    <mergeCell ref="F248:F249"/>
    <mergeCell ref="J239:M239"/>
    <mergeCell ref="F239:I239"/>
    <mergeCell ref="I225:I226"/>
    <mergeCell ref="H225:H226"/>
    <mergeCell ref="G225:G226"/>
    <mergeCell ref="J252:J253"/>
    <mergeCell ref="L225:L226"/>
    <mergeCell ref="K225:K226"/>
    <mergeCell ref="J225:J226"/>
    <mergeCell ref="K248:K249"/>
    <mergeCell ref="K244:K245"/>
    <mergeCell ref="L244:L245"/>
    <mergeCell ref="AC244:AC245"/>
    <mergeCell ref="T223:T224"/>
    <mergeCell ref="P225:P226"/>
    <mergeCell ref="AA225:AA226"/>
    <mergeCell ref="Z225:Z226"/>
    <mergeCell ref="Y225:Y226"/>
    <mergeCell ref="Z242:AC243"/>
    <mergeCell ref="R225:R226"/>
    <mergeCell ref="AC223:AC224"/>
    <mergeCell ref="AA223:AA224"/>
    <mergeCell ref="AB225:AB226"/>
    <mergeCell ref="V223:V224"/>
    <mergeCell ref="U225:U226"/>
    <mergeCell ref="T225:T226"/>
    <mergeCell ref="S225:S226"/>
    <mergeCell ref="R242:U243"/>
    <mergeCell ref="P223:P224"/>
    <mergeCell ref="R223:R224"/>
    <mergeCell ref="N242:Q243"/>
    <mergeCell ref="AB248:AB249"/>
    <mergeCell ref="Z223:Z224"/>
    <mergeCell ref="W223:W224"/>
    <mergeCell ref="X223:X224"/>
    <mergeCell ref="Y223:Y224"/>
    <mergeCell ref="X225:X226"/>
    <mergeCell ref="Z246:Z247"/>
    <mergeCell ref="Y244:Y245"/>
    <mergeCell ref="V242:Y243"/>
    <mergeCell ref="Y246:Y247"/>
    <mergeCell ref="W246:W247"/>
    <mergeCell ref="V239:Y239"/>
    <mergeCell ref="AB223:AB224"/>
    <mergeCell ref="W225:W226"/>
    <mergeCell ref="V225:V226"/>
    <mergeCell ref="Z244:Z245"/>
    <mergeCell ref="AA244:AA245"/>
    <mergeCell ref="AB244:AB245"/>
    <mergeCell ref="Z250:Z251"/>
    <mergeCell ref="AA250:AA251"/>
    <mergeCell ref="R239:U239"/>
    <mergeCell ref="N239:Q239"/>
    <mergeCell ref="AB250:AB251"/>
    <mergeCell ref="AC250:AC251"/>
    <mergeCell ref="AC248:AC249"/>
    <mergeCell ref="Y250:Y251"/>
    <mergeCell ref="W248:W249"/>
    <mergeCell ref="AB246:AB247"/>
    <mergeCell ref="AC246:AC247"/>
    <mergeCell ref="X244:X245"/>
    <mergeCell ref="R244:R245"/>
    <mergeCell ref="S244:S245"/>
    <mergeCell ref="T244:T245"/>
    <mergeCell ref="U244:U245"/>
    <mergeCell ref="V244:V245"/>
    <mergeCell ref="R250:R251"/>
    <mergeCell ref="Z248:Z249"/>
    <mergeCell ref="AA248:AA249"/>
    <mergeCell ref="AA246:AA247"/>
    <mergeCell ref="N248:N249"/>
    <mergeCell ref="R246:R247"/>
    <mergeCell ref="S246:S247"/>
    <mergeCell ref="AC286:AC287"/>
    <mergeCell ref="Z290:Z291"/>
    <mergeCell ref="AA290:AA291"/>
    <mergeCell ref="AB290:AB291"/>
    <mergeCell ref="AC290:AC291"/>
    <mergeCell ref="AC292:AC293"/>
    <mergeCell ref="Z288:Z289"/>
    <mergeCell ref="M127:Y127"/>
    <mergeCell ref="N165:Q165"/>
    <mergeCell ref="U250:U251"/>
    <mergeCell ref="T250:T251"/>
    <mergeCell ref="S250:S251"/>
    <mergeCell ref="Q223:Q224"/>
    <mergeCell ref="R165:U165"/>
    <mergeCell ref="U223:U224"/>
    <mergeCell ref="O276:O277"/>
    <mergeCell ref="O272:O273"/>
    <mergeCell ref="S280:S281"/>
    <mergeCell ref="T280:T281"/>
    <mergeCell ref="R256:R257"/>
    <mergeCell ref="P272:P273"/>
    <mergeCell ref="Q272:Q273"/>
    <mergeCell ref="T278:T279"/>
    <mergeCell ref="U278:U279"/>
    <mergeCell ref="AB278:AB279"/>
    <mergeCell ref="AC278:AC279"/>
    <mergeCell ref="AA274:AA275"/>
    <mergeCell ref="AB274:AB275"/>
    <mergeCell ref="AC274:AC275"/>
    <mergeCell ref="AB254:AB255"/>
    <mergeCell ref="AC254:AC255"/>
    <mergeCell ref="Z252:Z253"/>
    <mergeCell ref="AA294:AA295"/>
    <mergeCell ref="AB294:AB295"/>
    <mergeCell ref="AC294:AC295"/>
    <mergeCell ref="Z294:Z295"/>
    <mergeCell ref="AC284:AC285"/>
    <mergeCell ref="AC282:AC283"/>
    <mergeCell ref="AB284:AB285"/>
    <mergeCell ref="AB282:AB283"/>
    <mergeCell ref="AA284:AA285"/>
    <mergeCell ref="AA282:AA283"/>
    <mergeCell ref="Z284:Z285"/>
    <mergeCell ref="Z282:Z283"/>
    <mergeCell ref="AC288:AC289"/>
    <mergeCell ref="Z286:Z287"/>
    <mergeCell ref="AA286:AA287"/>
    <mergeCell ref="AB286:AB287"/>
    <mergeCell ref="Z256:Z257"/>
    <mergeCell ref="AA256:AA257"/>
    <mergeCell ref="AA252:AA253"/>
    <mergeCell ref="AB280:AB281"/>
    <mergeCell ref="AC280:AC281"/>
    <mergeCell ref="Z276:Z277"/>
    <mergeCell ref="AA276:AA277"/>
    <mergeCell ref="Z274:Z275"/>
    <mergeCell ref="AB270:AB271"/>
    <mergeCell ref="AC270:AC271"/>
    <mergeCell ref="AB272:AB273"/>
    <mergeCell ref="AC272:AC273"/>
    <mergeCell ref="Z270:Z271"/>
    <mergeCell ref="AA270:AA271"/>
    <mergeCell ref="Z280:Z281"/>
    <mergeCell ref="AA280:AA281"/>
    <mergeCell ref="AB252:AB253"/>
    <mergeCell ref="AC252:AC253"/>
    <mergeCell ref="Z254:Z255"/>
    <mergeCell ref="AA254:AA255"/>
    <mergeCell ref="AB256:AB257"/>
    <mergeCell ref="AC256:AC257"/>
    <mergeCell ref="AB276:AB277"/>
    <mergeCell ref="AC276:AC277"/>
    <mergeCell ref="Z272:Z273"/>
    <mergeCell ref="AA272:AA273"/>
    <mergeCell ref="Y274:Y275"/>
    <mergeCell ref="X274:X275"/>
    <mergeCell ref="W274:W275"/>
    <mergeCell ref="U274:U275"/>
    <mergeCell ref="V278:V279"/>
    <mergeCell ref="X276:X277"/>
    <mergeCell ref="U272:U273"/>
    <mergeCell ref="W278:W279"/>
    <mergeCell ref="V274:V275"/>
    <mergeCell ref="Z278:Z279"/>
    <mergeCell ref="AA278:AA279"/>
    <mergeCell ref="X256:X257"/>
    <mergeCell ref="X270:X271"/>
    <mergeCell ref="Y270:Y271"/>
    <mergeCell ref="V270:V271"/>
    <mergeCell ref="W272:W273"/>
    <mergeCell ref="W256:W257"/>
    <mergeCell ref="X254:X255"/>
    <mergeCell ref="Y272:Y273"/>
    <mergeCell ref="V256:V257"/>
    <mergeCell ref="X272:X273"/>
    <mergeCell ref="V272:V273"/>
    <mergeCell ref="Y254:Y255"/>
    <mergeCell ref="M225:M226"/>
    <mergeCell ref="M145:V145"/>
    <mergeCell ref="B145:J145"/>
    <mergeCell ref="B127:I127"/>
    <mergeCell ref="X145:AA145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77:D177"/>
    <mergeCell ref="H223:H224"/>
    <mergeCell ref="B163:AC164"/>
    <mergeCell ref="V165:Y165"/>
    <mergeCell ref="Z165:AC165"/>
    <mergeCell ref="F223:F224"/>
    <mergeCell ref="S223:S224"/>
    <mergeCell ref="AC225:AC226"/>
    <mergeCell ref="O225:O226"/>
    <mergeCell ref="N225:N226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C114:D114"/>
    <mergeCell ref="BH38:BJ38"/>
    <mergeCell ref="BN1:BP1"/>
    <mergeCell ref="BQ1:BS1"/>
    <mergeCell ref="BK1:BK4"/>
    <mergeCell ref="BH15:BJ15"/>
    <mergeCell ref="BH21:BJ21"/>
    <mergeCell ref="BI5:BJ5"/>
    <mergeCell ref="BI6:BJ6"/>
    <mergeCell ref="BI16:BJ16"/>
    <mergeCell ref="BI19:BJ19"/>
    <mergeCell ref="BH1:BJ3"/>
    <mergeCell ref="BH4:BJ4"/>
    <mergeCell ref="BI35:BJ35"/>
    <mergeCell ref="BI34:BJ34"/>
    <mergeCell ref="BI33:BJ33"/>
    <mergeCell ref="BI36:BJ36"/>
    <mergeCell ref="BH31:BJ31"/>
    <mergeCell ref="BI30:BJ30"/>
    <mergeCell ref="BI28:BJ28"/>
    <mergeCell ref="BI26:BJ26"/>
    <mergeCell ref="BH22:BH26"/>
    <mergeCell ref="AE1:BD1"/>
    <mergeCell ref="AE19:BD1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B15:C15"/>
    <mergeCell ref="G25:I25"/>
    <mergeCell ref="G26:G27"/>
    <mergeCell ref="H26:H27"/>
    <mergeCell ref="I26:I27"/>
    <mergeCell ref="G32:I32"/>
    <mergeCell ref="G15:J15"/>
    <mergeCell ref="G16:J16"/>
    <mergeCell ref="G18:J18"/>
    <mergeCell ref="AP50:AQ50"/>
    <mergeCell ref="AP49:AQ49"/>
    <mergeCell ref="AP32:AQ32"/>
    <mergeCell ref="AP31:AQ31"/>
    <mergeCell ref="AP14:AQ14"/>
    <mergeCell ref="AP13:AQ13"/>
    <mergeCell ref="AE37:BD37"/>
    <mergeCell ref="I49:J49"/>
    <mergeCell ref="C111:D111"/>
    <mergeCell ref="G28:I28"/>
    <mergeCell ref="C30:C31"/>
    <mergeCell ref="C28:C29"/>
    <mergeCell ref="C110:D110"/>
    <mergeCell ref="F58:G58"/>
    <mergeCell ref="H58:I58"/>
    <mergeCell ref="B57:L57"/>
    <mergeCell ref="K58:K59"/>
    <mergeCell ref="L58:L59"/>
    <mergeCell ref="F59:G59"/>
    <mergeCell ref="H59:I59"/>
    <mergeCell ref="B84:D84"/>
    <mergeCell ref="C102:D102"/>
    <mergeCell ref="B103:D103"/>
    <mergeCell ref="C107:D107"/>
    <mergeCell ref="B320:AC320"/>
    <mergeCell ref="B325:D325"/>
    <mergeCell ref="C2:D6"/>
    <mergeCell ref="B30:B31"/>
    <mergeCell ref="B28:B29"/>
    <mergeCell ref="C225:D225"/>
    <mergeCell ref="C226:D226"/>
    <mergeCell ref="B239:E241"/>
    <mergeCell ref="B227:D227"/>
    <mergeCell ref="B120:D120"/>
    <mergeCell ref="C106:D106"/>
    <mergeCell ref="B117:D117"/>
    <mergeCell ref="C119:D119"/>
    <mergeCell ref="C165:E165"/>
    <mergeCell ref="B238:AC238"/>
    <mergeCell ref="Z239:AC239"/>
    <mergeCell ref="Q225:Q226"/>
    <mergeCell ref="L223:L224"/>
    <mergeCell ref="B108:D108"/>
    <mergeCell ref="C109:D109"/>
    <mergeCell ref="C118:D118"/>
    <mergeCell ref="B121:B122"/>
    <mergeCell ref="E219:E226"/>
    <mergeCell ref="K223:K224"/>
  </mergeCells>
  <phoneticPr fontId="32" type="noConversion"/>
  <conditionalFormatting sqref="H19:I24 H29:I31 B44:L48 B59:J59 D69:G75 C104:E104 C106:D107 C109:D116 C118:E119 Y147:AA156 N129:Y138 F167:AC170 F246:AC257 F272:AC297 AO16:AW16 AY16:AZ16 BX17:CB18 AO15:AZ15 C86:C101 BV2:BW6 BW9:BW16 C105 D61:D68 F61:G68 J70:L75 J61:K69 E86:E101 F175:AC175 X171:AC174 F192:AC216 F180:AC189 F380:G383 C147:J156 N147:V156 C129:I138">
    <cfRule type="expression" dxfId="49" priority="113">
      <formula>OR(AND(ISNUMBER(B2), ABS(B2) &lt; 0.0000001), B2="0", B2="0.00%")</formula>
    </cfRule>
  </conditionalFormatting>
  <conditionalFormatting sqref="AE3:AE12 AR3:AZ12 AG3:AO12">
    <cfRule type="expression" dxfId="48" priority="75">
      <formula>OR(AND(ISNUMBER(AE3), ABS(AE3) &lt; 0.0000001), AE3="0", AE3="0.00%")</formula>
    </cfRule>
  </conditionalFormatting>
  <conditionalFormatting sqref="AE39:AZ48">
    <cfRule type="expression" dxfId="47" priority="64">
      <formula>OR(AND(ISNUMBER(AE39), ABS(AE39) &lt; 0.0000001), AE39="0", AE39="0.00%")</formula>
    </cfRule>
  </conditionalFormatting>
  <conditionalFormatting sqref="AG21:AN30">
    <cfRule type="expression" dxfId="46" priority="79">
      <formula>OR(AND(ISNUMBER(AG21), ABS(AG21) &lt; 0.0000001), AG21="0", AG21="0.00%")</formula>
    </cfRule>
  </conditionalFormatting>
  <conditionalFormatting sqref="AF14:AP14">
    <cfRule type="containsText" dxfId="45" priority="80" operator="containsText" text="FALSE">
      <formula>NOT(ISERROR(SEARCH("FALSE",AF14)))</formula>
    </cfRule>
    <cfRule type="containsText" dxfId="44" priority="81" operator="containsText" text="TRUE">
      <formula>NOT(ISERROR(SEARCH("TRUE",AF14)))</formula>
    </cfRule>
  </conditionalFormatting>
  <conditionalFormatting sqref="AF50:AP50">
    <cfRule type="containsText" dxfId="43" priority="65" operator="containsText" text="FALSE">
      <formula>NOT(ISERROR(SEARCH("FALSE",AF50)))</formula>
    </cfRule>
    <cfRule type="containsText" dxfId="42" priority="66" operator="containsText" text="TRUE">
      <formula>NOT(ISERROR(SEARCH("TRUE",AF50)))</formula>
    </cfRule>
  </conditionalFormatting>
  <conditionalFormatting sqref="AG32:AP32">
    <cfRule type="containsText" dxfId="41" priority="77" operator="containsText" text="FALSE">
      <formula>NOT(ISERROR(SEARCH("FALSE",AG32)))</formula>
    </cfRule>
    <cfRule type="containsText" dxfId="40" priority="78" operator="containsText" text="TRUE">
      <formula>NOT(ISERROR(SEARCH("TRUE",AG32)))</formula>
    </cfRule>
  </conditionalFormatting>
  <conditionalFormatting sqref="AO22">
    <cfRule type="expression" dxfId="39" priority="102">
      <formula>OR(AND(ISNUMBER(AO22), ABS(AO22) &lt; 0.0000001), AO22="0", AO22="0.00%")</formula>
    </cfRule>
  </conditionalFormatting>
  <conditionalFormatting sqref="AO24 AO26 AO28 AO30">
    <cfRule type="expression" dxfId="38" priority="101">
      <formula>OR(AND(ISNUMBER(AO24), ABS(AO24) &lt; 0.0000001), AO24="0", AO24="0.00%")</formula>
    </cfRule>
  </conditionalFormatting>
  <conditionalFormatting sqref="AO13:AP14 BD3:BD15 AR13:AZ14 AP17:BA17 AP18:BB18 BD20:BD30 L60">
    <cfRule type="expression" dxfId="37" priority="112">
      <formula>OR(AND(ISNUMBER(L3), ABS(L3) &lt; 0.0000001), L3="0", L3="0.00%")</formula>
    </cfRule>
  </conditionalFormatting>
  <conditionalFormatting sqref="AO49:AP50 AR49:AZ50">
    <cfRule type="expression" dxfId="36" priority="68">
      <formula>OR(AND(ISNUMBER(AO49), ABS(AO49) &lt; 0.0000001), AO49="0", AO49="0.00%")</formula>
    </cfRule>
  </conditionalFormatting>
  <conditionalFormatting sqref="AO20:BA20 AO21:AO30 AR21:BA30">
    <cfRule type="expression" dxfId="35" priority="38">
      <formula>OR(AND(ISNUMBER(AO20), ABS(AO20) &lt; 0.0000001), AO20="0", AO20="0.00%")</formula>
    </cfRule>
  </conditionalFormatting>
  <conditionalFormatting sqref="AR14:BD14 I33 AR50:BD50 D167:D175 D180:D189 D218:D221 B227:D227 AB260:AC260 D268:D275 D278:D291 D294:D297 D313 AR32:BD32 D192:D216">
    <cfRule type="containsText" dxfId="34" priority="124" operator="containsText" text="TRUE">
      <formula>NOT(ISERROR(SEARCH("TRUE",B14)))</formula>
    </cfRule>
  </conditionalFormatting>
  <conditionalFormatting sqref="AR14:BD14 AR50:BD50 I33 D167:D175 D180:D189 D218:D221 B227:D227 AB260:AC260 D268:D275 D278:D291 D294:D297 D313 AR32:BD32 D192:D216">
    <cfRule type="containsText" dxfId="33" priority="123" operator="containsText" text="FALSE">
      <formula>NOT(ISERROR(SEARCH("FALSE",B14)))</formula>
    </cfRule>
  </conditionalFormatting>
  <conditionalFormatting sqref="BA3:BA12 BA21:BA30 BA39:BA48">
    <cfRule type="containsText" dxfId="32" priority="34" operator="containsText" text="0.00">
      <formula>NOT(ISERROR(SEARCH("0.00",BA3)))</formula>
    </cfRule>
    <cfRule type="cellIs" dxfId="31" priority="35" operator="equal">
      <formula>0</formula>
    </cfRule>
    <cfRule type="cellIs" dxfId="30" priority="36" operator="lessThan">
      <formula>1</formula>
    </cfRule>
    <cfRule type="cellIs" dxfId="29" priority="37" operator="greaterThan">
      <formula>1</formula>
    </cfRule>
  </conditionalFormatting>
  <conditionalFormatting sqref="BA3:BC14">
    <cfRule type="expression" dxfId="28" priority="39">
      <formula>OR(AND(ISNUMBER(BA3), ABS(BA3) &lt; 0.0000001), BA3="0", BA3="0.00%")</formula>
    </cfRule>
  </conditionalFormatting>
  <conditionalFormatting sqref="BA39:BD50">
    <cfRule type="expression" dxfId="27" priority="41">
      <formula>OR(AND(ISNUMBER(BA39), ABS(BA39) &lt; 0.0000001), BA39="0", BA39="0.00%")</formula>
    </cfRule>
  </conditionalFormatting>
  <conditionalFormatting sqref="BB21:BC32">
    <cfRule type="expression" dxfId="26" priority="50">
      <formula>OR(AND(ISNUMBER(BB21), ABS(BB21) &lt; 0.0000001), BB21="0", BB21="0.00%")</formula>
    </cfRule>
  </conditionalFormatting>
  <conditionalFormatting sqref="BN2:BS12">
    <cfRule type="expression" dxfId="25" priority="53">
      <formula>OR(AND(ISNUMBER(BN2), ABS(BN2) &lt; 0.0000001), BN2="0", BN2="0.00%")</formula>
    </cfRule>
  </conditionalFormatting>
  <conditionalFormatting sqref="B268:C269">
    <cfRule type="dataBar" priority="30">
      <dataBar>
        <cfvo type="formula" val="$N$139"/>
        <cfvo type="num" val="0"/>
        <color rgb="FFF0EAE4"/>
      </dataBar>
      <extLst>
        <ext xmlns:x14="http://schemas.microsoft.com/office/spreadsheetml/2009/9/main" uri="{B025F937-C7B1-47D3-B67F-A62EFF666E3E}">
          <x14:id>{52D739D3-4CB8-48B3-B24F-96557B44A07A}</x14:id>
        </ext>
      </extLst>
    </cfRule>
  </conditionalFormatting>
  <conditionalFormatting sqref="BW17:BW18">
    <cfRule type="expression" dxfId="24" priority="28">
      <formula>OR(AND(ISNUMBER(BW17), ABS(BW17) &lt; 0.0000001), BW17="0", BW17="0.00%")</formula>
    </cfRule>
  </conditionalFormatting>
  <conditionalFormatting sqref="AP21:AP30">
    <cfRule type="expression" dxfId="23" priority="25">
      <formula>OR(AND(ISNUMBER(AP21), ABS(AP21) &lt; 0.0000001), AP21="0", AP21="0.00%")</formula>
    </cfRule>
  </conditionalFormatting>
  <conditionalFormatting sqref="AP21:AP30">
    <cfRule type="expression" dxfId="22" priority="26">
      <formula>OR(AND(ISNUMBER(AP21), ABS(AP21) &lt; 0.0000001), AP21="0", AP21="0.00%")</formula>
    </cfRule>
  </conditionalFormatting>
  <conditionalFormatting sqref="AQ3:AQ12">
    <cfRule type="expression" dxfId="21" priority="24">
      <formula>OR(AND(ISNUMBER(AQ3), ABS(AQ3) &lt; 0.0000001), AQ3="0", AQ3="0.00%")</formula>
    </cfRule>
  </conditionalFormatting>
  <conditionalFormatting sqref="AQ21:AQ30">
    <cfRule type="expression" dxfId="20" priority="23">
      <formula>OR(AND(ISNUMBER(AQ21), ABS(AQ21) &lt; 0.0000001), AQ21="0", AQ21="0.00%")</formula>
    </cfRule>
  </conditionalFormatting>
  <conditionalFormatting sqref="AF3:AF12">
    <cfRule type="expression" dxfId="19" priority="22">
      <formula>OR(AND(ISNUMBER(AF3), ABS(AF3) &lt; 0.0000001), AF3="0", AF3="0.00%")</formula>
    </cfRule>
  </conditionalFormatting>
  <conditionalFormatting sqref="AF21:AF30">
    <cfRule type="expression" dxfId="18" priority="21">
      <formula>OR(AND(ISNUMBER(AF21), ABS(AF21) &lt; 0.0000001), AF21="0", AF21="0.00%")</formula>
    </cfRule>
  </conditionalFormatting>
  <conditionalFormatting sqref="BV9:BV16">
    <cfRule type="expression" dxfId="17" priority="20">
      <formula>OR(AND(ISNUMBER(BV9), ABS(BV9) &lt; 0.0000001), BV9="0", BV9="0.00%")</formula>
    </cfRule>
  </conditionalFormatting>
  <conditionalFormatting sqref="BX9:CB16">
    <cfRule type="expression" dxfId="16" priority="19">
      <formula>OR(AND(ISNUMBER(BX9), ABS(BX9) &lt; 0.0000001), BX9="0", BX9="0.00%")</formula>
    </cfRule>
  </conditionalFormatting>
  <conditionalFormatting sqref="AP3:AP12">
    <cfRule type="expression" dxfId="15" priority="17">
      <formula>OR(AND(ISNUMBER(AP3), ABS(AP3) &lt; 0.0000001), AP3="0", AP3="0.00%")</formula>
    </cfRule>
  </conditionalFormatting>
  <conditionalFormatting sqref="AP3:AP12">
    <cfRule type="expression" dxfId="14" priority="18">
      <formula>OR(AND(ISNUMBER(AP3), ABS(AP3) &lt; 0.0000001), AP3="0", AP3="0.00%")</formula>
    </cfRule>
  </conditionalFormatting>
  <conditionalFormatting sqref="F321:AC325">
    <cfRule type="expression" dxfId="13" priority="14">
      <formula>OR(AND(ISNUMBER(F321), ABS(F321) &lt; 0.0000001), F321="0", F321="0.00%")</formula>
    </cfRule>
  </conditionalFormatting>
  <conditionalFormatting sqref="D321:D324">
    <cfRule type="containsText" dxfId="12" priority="16" operator="containsText" text="TRUE">
      <formula>NOT(ISERROR(SEARCH("TRUE",D321)))</formula>
    </cfRule>
  </conditionalFormatting>
  <conditionalFormatting sqref="D321:D324">
    <cfRule type="containsText" dxfId="11" priority="15" operator="containsText" text="FALSE">
      <formula>NOT(ISERROR(SEARCH("FALSE",D321)))</formula>
    </cfRule>
  </conditionalFormatting>
  <conditionalFormatting sqref="C61:C75">
    <cfRule type="expression" dxfId="10" priority="13">
      <formula>OR(AND(ISNUMBER(C61), ABS(C61) &lt; 0.0000001), C61="0", C61="0.00%")</formula>
    </cfRule>
  </conditionalFormatting>
  <conditionalFormatting sqref="E61:E68">
    <cfRule type="expression" dxfId="9" priority="12">
      <formula>OR(AND(ISNUMBER(E61), ABS(E61) &lt; 0.0000001), E61="0", E61="0.00%")</formula>
    </cfRule>
  </conditionalFormatting>
  <conditionalFormatting sqref="H61:I75">
    <cfRule type="expression" dxfId="8" priority="11">
      <formula>OR(AND(ISNUMBER(H61), ABS(H61) &lt; 0.0000001), H61="0", H61="0.00%")</formula>
    </cfRule>
  </conditionalFormatting>
  <conditionalFormatting sqref="L61:L69">
    <cfRule type="expression" dxfId="7" priority="10">
      <formula>OR(AND(ISNUMBER(L61), ABS(L61) &lt; 0.0000001), L61="0", L61="0.00%")</formula>
    </cfRule>
  </conditionalFormatting>
  <conditionalFormatting sqref="D86:D101">
    <cfRule type="expression" dxfId="6" priority="9">
      <formula>OR(AND(ISNUMBER(D86), ABS(D86) &lt; 0.0000001), D86="0", D86="0.00%")</formula>
    </cfRule>
  </conditionalFormatting>
  <conditionalFormatting sqref="F171:W174">
    <cfRule type="expression" dxfId="0" priority="8">
      <formula>OR(AND(ISNUMBER(F171), ABS(F171) &lt; 0.0000001), F171="0", F171="0.00%")</formula>
    </cfRule>
  </conditionalFormatting>
  <conditionalFormatting sqref="T21:U26 T31:U33">
    <cfRule type="expression" dxfId="5" priority="5">
      <formula>OR(AND(ISNUMBER(T21), ABS(T21) &lt; 0.0000001), T21="0", T21="0.00%")</formula>
    </cfRule>
  </conditionalFormatting>
  <conditionalFormatting sqref="U35">
    <cfRule type="containsText" dxfId="4" priority="7" operator="containsText" text="TRUE">
      <formula>NOT(ISERROR(SEARCH("TRUE",U35)))</formula>
    </cfRule>
  </conditionalFormatting>
  <conditionalFormatting sqref="U35">
    <cfRule type="containsText" dxfId="3" priority="6" operator="containsText" text="FALSE">
      <formula>NOT(ISERROR(SEARCH("FALSE",U35)))</formula>
    </cfRule>
  </conditionalFormatting>
  <conditionalFormatting sqref="F388:G390">
    <cfRule type="expression" dxfId="2" priority="2">
      <formula>OR(AND(ISNUMBER(F388), ABS(F388) &lt; 0.0000001), F388="0", F388="0.00%")</formula>
    </cfRule>
  </conditionalFormatting>
  <conditionalFormatting sqref="J19:J24">
    <cfRule type="expression" dxfId="1" priority="1">
      <formula>OR(AND(ISNUMBER(J19), ABS(J19) &lt; 0.0000001), J19="0", J19="0.00%")</formula>
    </cfRule>
  </conditionalFormatting>
  <hyperlinks>
    <hyperlink ref="F3" r:id="rId1" xr:uid="{200E4633-EC43-404D-81AF-49C1FDF75BFA}"/>
  </hyperlinks>
  <pageMargins left="0" right="0" top="0" bottom="0" header="0" footer="0"/>
  <pageSetup paperSize="9" scale="10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D739D3-4CB8-48B3-B24F-96557B44A07A}">
            <x14:dataBar minLength="0" maxLength="100">
              <x14:cfvo type="formula">
                <xm:f>$N$139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B268:C269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Almayouf</dc:creator>
  <cp:lastModifiedBy>Omar Almayouf</cp:lastModifiedBy>
  <cp:lastPrinted>2026-02-04T11:49:50Z</cp:lastPrinted>
  <dcterms:created xsi:type="dcterms:W3CDTF">2025-03-23T09:18:25Z</dcterms:created>
  <dcterms:modified xsi:type="dcterms:W3CDTF">2026-06-22T15:33:40Z</dcterms:modified>
</cp:coreProperties>
</file>