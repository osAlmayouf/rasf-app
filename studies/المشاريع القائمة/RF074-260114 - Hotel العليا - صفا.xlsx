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work\1- دراسات مالية عمر - عبدالله\دراسة مالية - عمر\مرحلة التنفيذ\RF074-241208 -  العليا\الدراسة المالية\"/>
    </mc:Choice>
  </mc:AlternateContent>
  <xr:revisionPtr revIDLastSave="0" documentId="13_ncr:1_{E1E5A0B1-B8B5-407E-ADEB-5B62AA1E0B7B}" xr6:coauthVersionLast="47" xr6:coauthVersionMax="47" xr10:uidLastSave="{00000000-0000-0000-0000-000000000000}"/>
  <bookViews>
    <workbookView xWindow="-120" yWindow="-120" windowWidth="51840" windowHeight="21120" xr2:uid="{9533B9D3-8B27-4CBA-A560-BF2EE7DE8076}"/>
  </bookViews>
  <sheets>
    <sheet name="Study" sheetId="1" r:id="rId1"/>
  </sheets>
  <definedNames>
    <definedName name="_xlnm._FilterDatabase" localSheetId="0" hidden="1">Study!$AG$160:$AG$161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2" i="1" l="1"/>
  <c r="D276" i="1"/>
  <c r="E270" i="1"/>
  <c r="D270" i="1" s="1"/>
  <c r="D268" i="1"/>
  <c r="B268" i="1"/>
  <c r="K266" i="1"/>
  <c r="J266" i="1"/>
  <c r="I266" i="1"/>
  <c r="H266" i="1"/>
  <c r="F26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0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Z242" i="1"/>
  <c r="V242" i="1"/>
  <c r="R242" i="1"/>
  <c r="N242" i="1"/>
  <c r="J242" i="1"/>
  <c r="F242" i="1"/>
  <c r="F240" i="1"/>
  <c r="E215" i="1"/>
  <c r="E211" i="1"/>
  <c r="E209" i="1"/>
  <c r="E207" i="1"/>
  <c r="E203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F199" i="1"/>
  <c r="E191" i="1"/>
  <c r="F193" i="1" s="1"/>
  <c r="E193" i="1" s="1"/>
  <c r="E184" i="1"/>
  <c r="F181" i="1"/>
  <c r="E181" i="1" s="1"/>
  <c r="D181" i="1" s="1"/>
  <c r="C181" i="1"/>
  <c r="C180" i="1"/>
  <c r="F180" i="1" s="1"/>
  <c r="F178" i="1"/>
  <c r="G178" i="1" s="1"/>
  <c r="G177" i="1"/>
  <c r="H177" i="1" s="1"/>
  <c r="E175" i="1"/>
  <c r="D175" i="1"/>
  <c r="E174" i="1"/>
  <c r="D174" i="1"/>
  <c r="E173" i="1"/>
  <c r="D173" i="1"/>
  <c r="E172" i="1"/>
  <c r="D172" i="1"/>
  <c r="E171" i="1"/>
  <c r="D171" i="1" s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7" i="1"/>
  <c r="D167" i="1" s="1"/>
  <c r="X156" i="1"/>
  <c r="T156" i="1"/>
  <c r="V156" i="1" s="1"/>
  <c r="R156" i="1"/>
  <c r="C156" i="1"/>
  <c r="T155" i="1"/>
  <c r="X155" i="1" s="1"/>
  <c r="R155" i="1"/>
  <c r="V155" i="1" s="1"/>
  <c r="C155" i="1"/>
  <c r="T154" i="1"/>
  <c r="X154" i="1" s="1"/>
  <c r="R154" i="1"/>
  <c r="C154" i="1"/>
  <c r="T153" i="1"/>
  <c r="X153" i="1" s="1"/>
  <c r="R153" i="1"/>
  <c r="C153" i="1"/>
  <c r="V152" i="1"/>
  <c r="T152" i="1"/>
  <c r="X152" i="1" s="1"/>
  <c r="Y152" i="1" s="1"/>
  <c r="R152" i="1"/>
  <c r="C152" i="1"/>
  <c r="T151" i="1"/>
  <c r="X151" i="1" s="1"/>
  <c r="Y151" i="1" s="1"/>
  <c r="AC151" i="1" s="1"/>
  <c r="R151" i="1"/>
  <c r="C151" i="1"/>
  <c r="T150" i="1"/>
  <c r="X150" i="1" s="1"/>
  <c r="Y150" i="1" s="1"/>
  <c r="R150" i="1"/>
  <c r="C150" i="1"/>
  <c r="T149" i="1"/>
  <c r="X149" i="1" s="1"/>
  <c r="R149" i="1"/>
  <c r="V149" i="1" s="1"/>
  <c r="C149" i="1"/>
  <c r="T148" i="1"/>
  <c r="X148" i="1" s="1"/>
  <c r="R148" i="1"/>
  <c r="V148" i="1" s="1"/>
  <c r="C148" i="1"/>
  <c r="T147" i="1"/>
  <c r="X147" i="1" s="1"/>
  <c r="Y147" i="1" s="1"/>
  <c r="R147" i="1"/>
  <c r="C147" i="1"/>
  <c r="R139" i="1"/>
  <c r="C306" i="1" s="1"/>
  <c r="S138" i="1"/>
  <c r="D138" i="1"/>
  <c r="C138" i="1"/>
  <c r="S137" i="1"/>
  <c r="D137" i="1" s="1"/>
  <c r="C137" i="1"/>
  <c r="S136" i="1"/>
  <c r="D136" i="1"/>
  <c r="C136" i="1"/>
  <c r="S135" i="1"/>
  <c r="D135" i="1"/>
  <c r="C135" i="1"/>
  <c r="S134" i="1"/>
  <c r="D134" i="1" s="1"/>
  <c r="C134" i="1"/>
  <c r="S133" i="1"/>
  <c r="D133" i="1" s="1"/>
  <c r="C133" i="1"/>
  <c r="S132" i="1"/>
  <c r="D132" i="1" s="1"/>
  <c r="C132" i="1"/>
  <c r="S131" i="1"/>
  <c r="D131" i="1"/>
  <c r="C131" i="1"/>
  <c r="S130" i="1"/>
  <c r="D130" i="1"/>
  <c r="C130" i="1"/>
  <c r="C139" i="1" s="1"/>
  <c r="S129" i="1"/>
  <c r="D129" i="1"/>
  <c r="C129" i="1"/>
  <c r="F128" i="1"/>
  <c r="E128" i="1"/>
  <c r="C106" i="1"/>
  <c r="C93" i="1"/>
  <c r="C204" i="1" s="1"/>
  <c r="Q204" i="1" s="1"/>
  <c r="E204" i="1" s="1"/>
  <c r="D204" i="1" s="1"/>
  <c r="C86" i="1"/>
  <c r="C197" i="1" s="1"/>
  <c r="F197" i="1" s="1"/>
  <c r="E197" i="1" s="1"/>
  <c r="D197" i="1" s="1"/>
  <c r="H76" i="1"/>
  <c r="E76" i="1"/>
  <c r="D74" i="1"/>
  <c r="C87" i="1" s="1"/>
  <c r="C71" i="1"/>
  <c r="C76" i="1" s="1"/>
  <c r="K68" i="1"/>
  <c r="K65" i="1"/>
  <c r="K64" i="1"/>
  <c r="K63" i="1"/>
  <c r="K62" i="1"/>
  <c r="K61" i="1"/>
  <c r="K60" i="1"/>
  <c r="C49" i="1"/>
  <c r="D75" i="1" s="1"/>
  <c r="L48" i="1"/>
  <c r="E48" i="1"/>
  <c r="G48" i="1" s="1"/>
  <c r="H48" i="1" s="1"/>
  <c r="L47" i="1"/>
  <c r="G47" i="1"/>
  <c r="H47" i="1" s="1"/>
  <c r="E47" i="1"/>
  <c r="L46" i="1"/>
  <c r="E46" i="1"/>
  <c r="G46" i="1" s="1"/>
  <c r="H46" i="1" s="1"/>
  <c r="L45" i="1"/>
  <c r="H45" i="1"/>
  <c r="E45" i="1"/>
  <c r="G45" i="1" s="1"/>
  <c r="L44" i="1"/>
  <c r="L49" i="1" s="1"/>
  <c r="D67" i="1" s="1"/>
  <c r="E44" i="1"/>
  <c r="G44" i="1" s="1"/>
  <c r="G49" i="1" s="1"/>
  <c r="Y149" i="1" l="1"/>
  <c r="AC149" i="1" s="1"/>
  <c r="Y153" i="1"/>
  <c r="AC153" i="1" s="1"/>
  <c r="V151" i="1"/>
  <c r="V150" i="1"/>
  <c r="V153" i="1"/>
  <c r="V147" i="1"/>
  <c r="AC150" i="1"/>
  <c r="T135" i="1"/>
  <c r="U135" i="1" s="1"/>
  <c r="X135" i="1" s="1"/>
  <c r="Y135" i="1" s="1"/>
  <c r="F67" i="1"/>
  <c r="J67" i="1"/>
  <c r="AC152" i="1"/>
  <c r="I47" i="1"/>
  <c r="E130" i="1"/>
  <c r="F130" i="1" s="1"/>
  <c r="I130" i="1" s="1"/>
  <c r="J130" i="1" s="1"/>
  <c r="T130" i="1"/>
  <c r="U130" i="1" s="1"/>
  <c r="X130" i="1" s="1"/>
  <c r="Y130" i="1" s="1"/>
  <c r="D70" i="1"/>
  <c r="K49" i="1"/>
  <c r="D59" i="1" s="1"/>
  <c r="D63" i="1"/>
  <c r="T131" i="1" s="1"/>
  <c r="U131" i="1" s="1"/>
  <c r="X131" i="1" s="1"/>
  <c r="Y131" i="1" s="1"/>
  <c r="D66" i="1"/>
  <c r="D69" i="1"/>
  <c r="D62" i="1"/>
  <c r="D65" i="1"/>
  <c r="D68" i="1"/>
  <c r="D71" i="1"/>
  <c r="J71" i="1" s="1"/>
  <c r="D64" i="1"/>
  <c r="E132" i="1" s="1"/>
  <c r="F132" i="1" s="1"/>
  <c r="I132" i="1" s="1"/>
  <c r="J132" i="1" s="1"/>
  <c r="K75" i="1"/>
  <c r="J75" i="1"/>
  <c r="E133" i="1"/>
  <c r="F133" i="1" s="1"/>
  <c r="I133" i="1" s="1"/>
  <c r="J133" i="1" s="1"/>
  <c r="F246" i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147" i="1"/>
  <c r="D61" i="1"/>
  <c r="C198" i="1"/>
  <c r="E134" i="1"/>
  <c r="F134" i="1" s="1"/>
  <c r="I134" i="1" s="1"/>
  <c r="J134" i="1" s="1"/>
  <c r="E138" i="1"/>
  <c r="F138" i="1" s="1"/>
  <c r="I138" i="1" s="1"/>
  <c r="J138" i="1" s="1"/>
  <c r="C96" i="1"/>
  <c r="C95" i="1"/>
  <c r="C94" i="1"/>
  <c r="Y154" i="1"/>
  <c r="AC154" i="1" s="1"/>
  <c r="H44" i="1"/>
  <c r="H49" i="1" s="1"/>
  <c r="E135" i="1"/>
  <c r="F135" i="1" s="1"/>
  <c r="I135" i="1" s="1"/>
  <c r="J135" i="1" s="1"/>
  <c r="V154" i="1"/>
  <c r="X157" i="1"/>
  <c r="C186" i="1" s="1"/>
  <c r="I177" i="1"/>
  <c r="H240" i="1"/>
  <c r="T133" i="1"/>
  <c r="U133" i="1" s="1"/>
  <c r="X133" i="1" s="1"/>
  <c r="Y133" i="1" s="1"/>
  <c r="D73" i="1"/>
  <c r="J73" i="1" s="1"/>
  <c r="H178" i="1"/>
  <c r="H192" i="1"/>
  <c r="H250" i="1" s="1"/>
  <c r="H254" i="1" s="1"/>
  <c r="F254" i="1"/>
  <c r="E49" i="1"/>
  <c r="J74" i="1"/>
  <c r="Y148" i="1"/>
  <c r="Y157" i="1" s="1"/>
  <c r="F48" i="1"/>
  <c r="I48" i="1" s="1"/>
  <c r="K74" i="1"/>
  <c r="L77" i="1" s="1"/>
  <c r="C157" i="1"/>
  <c r="F252" i="1"/>
  <c r="F47" i="1"/>
  <c r="Y155" i="1"/>
  <c r="AC155" i="1" s="1"/>
  <c r="E180" i="1"/>
  <c r="D180" i="1" s="1"/>
  <c r="F44" i="1"/>
  <c r="F45" i="1"/>
  <c r="I45" i="1" s="1"/>
  <c r="F46" i="1"/>
  <c r="I46" i="1" s="1"/>
  <c r="R157" i="1"/>
  <c r="T157" i="1"/>
  <c r="E169" i="1"/>
  <c r="D169" i="1" s="1"/>
  <c r="G240" i="1"/>
  <c r="G192" i="1"/>
  <c r="Y156" i="1"/>
  <c r="AC156" i="1" s="1"/>
  <c r="D193" i="1"/>
  <c r="AB131" i="1" l="1"/>
  <c r="AA131" i="1"/>
  <c r="Z131" i="1"/>
  <c r="AC131" i="1" s="1"/>
  <c r="AB133" i="1"/>
  <c r="AA133" i="1"/>
  <c r="Z133" i="1"/>
  <c r="AC133" i="1" s="1"/>
  <c r="X186" i="1"/>
  <c r="H186" i="1"/>
  <c r="W186" i="1"/>
  <c r="G186" i="1"/>
  <c r="V186" i="1"/>
  <c r="F186" i="1"/>
  <c r="U186" i="1"/>
  <c r="T186" i="1"/>
  <c r="S186" i="1"/>
  <c r="R186" i="1"/>
  <c r="Q186" i="1"/>
  <c r="P186" i="1"/>
  <c r="O186" i="1"/>
  <c r="N186" i="1"/>
  <c r="AC186" i="1"/>
  <c r="M186" i="1"/>
  <c r="AB186" i="1"/>
  <c r="L186" i="1"/>
  <c r="AA186" i="1"/>
  <c r="K186" i="1"/>
  <c r="Z186" i="1"/>
  <c r="Y186" i="1"/>
  <c r="J186" i="1"/>
  <c r="I186" i="1"/>
  <c r="G250" i="1"/>
  <c r="G254" i="1" s="1"/>
  <c r="C207" i="1"/>
  <c r="D207" i="1" s="1"/>
  <c r="D76" i="1"/>
  <c r="H59" i="1"/>
  <c r="F59" i="1"/>
  <c r="E59" i="1"/>
  <c r="J61" i="1"/>
  <c r="F61" i="1"/>
  <c r="J64" i="1"/>
  <c r="F64" i="1"/>
  <c r="T132" i="1"/>
  <c r="U132" i="1" s="1"/>
  <c r="X132" i="1" s="1"/>
  <c r="Y132" i="1" s="1"/>
  <c r="J177" i="1"/>
  <c r="I240" i="1"/>
  <c r="AC148" i="1"/>
  <c r="AC157" i="1" s="1"/>
  <c r="K67" i="1"/>
  <c r="G67" i="1"/>
  <c r="D153" i="1" s="1"/>
  <c r="F153" i="1" s="1"/>
  <c r="J63" i="1"/>
  <c r="F63" i="1"/>
  <c r="E131" i="1"/>
  <c r="F131" i="1" s="1"/>
  <c r="I131" i="1" s="1"/>
  <c r="J131" i="1" s="1"/>
  <c r="T138" i="1"/>
  <c r="U138" i="1" s="1"/>
  <c r="X138" i="1" s="1"/>
  <c r="Y138" i="1" s="1"/>
  <c r="J70" i="1"/>
  <c r="F70" i="1"/>
  <c r="AB135" i="1"/>
  <c r="AA135" i="1"/>
  <c r="Z135" i="1"/>
  <c r="AC135" i="1" s="1"/>
  <c r="Z130" i="1"/>
  <c r="AB130" i="1"/>
  <c r="AA130" i="1"/>
  <c r="AC130" i="1" s="1"/>
  <c r="G198" i="1"/>
  <c r="F198" i="1"/>
  <c r="E198" i="1" s="1"/>
  <c r="D198" i="1" s="1"/>
  <c r="C194" i="1"/>
  <c r="F194" i="1"/>
  <c r="E194" i="1" s="1"/>
  <c r="D194" i="1" s="1"/>
  <c r="D49" i="1"/>
  <c r="J65" i="1"/>
  <c r="F65" i="1"/>
  <c r="I192" i="1"/>
  <c r="I250" i="1" s="1"/>
  <c r="I254" i="1" s="1"/>
  <c r="I178" i="1"/>
  <c r="E129" i="1"/>
  <c r="J62" i="1"/>
  <c r="F62" i="1"/>
  <c r="C205" i="1"/>
  <c r="Q205" i="1" s="1"/>
  <c r="E205" i="1" s="1"/>
  <c r="D205" i="1" s="1"/>
  <c r="J69" i="1"/>
  <c r="F69" i="1"/>
  <c r="T137" i="1"/>
  <c r="U137" i="1" s="1"/>
  <c r="X137" i="1" s="1"/>
  <c r="Y137" i="1" s="1"/>
  <c r="E137" i="1"/>
  <c r="F137" i="1" s="1"/>
  <c r="I137" i="1" s="1"/>
  <c r="J137" i="1" s="1"/>
  <c r="F49" i="1"/>
  <c r="I44" i="1"/>
  <c r="I49" i="1" s="1"/>
  <c r="T136" i="1"/>
  <c r="U136" i="1" s="1"/>
  <c r="X136" i="1" s="1"/>
  <c r="Y136" i="1" s="1"/>
  <c r="J68" i="1"/>
  <c r="F68" i="1"/>
  <c r="C91" i="1"/>
  <c r="E136" i="1"/>
  <c r="F136" i="1" s="1"/>
  <c r="I136" i="1" s="1"/>
  <c r="J136" i="1" s="1"/>
  <c r="C206" i="1"/>
  <c r="Q206" i="1" s="1"/>
  <c r="E206" i="1" s="1"/>
  <c r="D206" i="1" s="1"/>
  <c r="T129" i="1"/>
  <c r="J66" i="1"/>
  <c r="F66" i="1"/>
  <c r="T134" i="1"/>
  <c r="U134" i="1" s="1"/>
  <c r="X134" i="1" s="1"/>
  <c r="Y134" i="1" s="1"/>
  <c r="C89" i="1" l="1"/>
  <c r="K177" i="1"/>
  <c r="J240" i="1"/>
  <c r="C183" i="1"/>
  <c r="F183" i="1" s="1"/>
  <c r="E183" i="1" s="1"/>
  <c r="D183" i="1" s="1"/>
  <c r="K66" i="1"/>
  <c r="G66" i="1"/>
  <c r="D152" i="1" s="1"/>
  <c r="F152" i="1" s="1"/>
  <c r="AB132" i="1"/>
  <c r="AA132" i="1"/>
  <c r="Z132" i="1"/>
  <c r="AC132" i="1" s="1"/>
  <c r="G64" i="1"/>
  <c r="D150" i="1" s="1"/>
  <c r="F150" i="1" s="1"/>
  <c r="C109" i="1"/>
  <c r="C18" i="1"/>
  <c r="E139" i="1"/>
  <c r="F139" i="1" s="1"/>
  <c r="H139" i="1"/>
  <c r="F129" i="1"/>
  <c r="I129" i="1" s="1"/>
  <c r="AB138" i="1"/>
  <c r="AA138" i="1"/>
  <c r="Z138" i="1"/>
  <c r="AC138" i="1" s="1"/>
  <c r="G62" i="1"/>
  <c r="D148" i="1" s="1"/>
  <c r="F148" i="1" s="1"/>
  <c r="F195" i="1"/>
  <c r="E195" i="1" s="1"/>
  <c r="C195" i="1"/>
  <c r="J192" i="1"/>
  <c r="J178" i="1"/>
  <c r="G63" i="1"/>
  <c r="D149" i="1" s="1"/>
  <c r="F149" i="1" s="1"/>
  <c r="G70" i="1"/>
  <c r="D156" i="1" s="1"/>
  <c r="F156" i="1" s="1"/>
  <c r="AB136" i="1"/>
  <c r="AA136" i="1"/>
  <c r="Z136" i="1"/>
  <c r="AC136" i="1" s="1"/>
  <c r="C202" i="1"/>
  <c r="U129" i="1"/>
  <c r="X129" i="1" s="1"/>
  <c r="W139" i="1"/>
  <c r="T139" i="1"/>
  <c r="U139" i="1" s="1"/>
  <c r="N135" i="1"/>
  <c r="H153" i="1"/>
  <c r="G61" i="1"/>
  <c r="F76" i="1"/>
  <c r="G68" i="1"/>
  <c r="D154" i="1" s="1"/>
  <c r="F154" i="1" s="1"/>
  <c r="AB137" i="1"/>
  <c r="Z137" i="1"/>
  <c r="AA137" i="1"/>
  <c r="AC137" i="1" s="1"/>
  <c r="G65" i="1"/>
  <c r="D151" i="1" s="1"/>
  <c r="F151" i="1" s="1"/>
  <c r="J76" i="1"/>
  <c r="E186" i="1"/>
  <c r="D186" i="1" s="1"/>
  <c r="AB134" i="1"/>
  <c r="AA134" i="1"/>
  <c r="Z134" i="1"/>
  <c r="AC134" i="1" s="1"/>
  <c r="K69" i="1"/>
  <c r="G69" i="1"/>
  <c r="D155" i="1" s="1"/>
  <c r="F155" i="1" s="1"/>
  <c r="N132" i="1" l="1"/>
  <c r="H150" i="1"/>
  <c r="C196" i="1"/>
  <c r="I76" i="1"/>
  <c r="C19" i="1"/>
  <c r="C110" i="1"/>
  <c r="H152" i="1"/>
  <c r="N134" i="1"/>
  <c r="H154" i="1"/>
  <c r="N136" i="1"/>
  <c r="H149" i="1"/>
  <c r="N131" i="1"/>
  <c r="I139" i="1" a="1"/>
  <c r="I139" i="1" s="1"/>
  <c r="J129" i="1"/>
  <c r="Y129" i="1"/>
  <c r="X139" i="1" a="1"/>
  <c r="X139" i="1" s="1"/>
  <c r="D147" i="1"/>
  <c r="C92" i="1"/>
  <c r="H155" i="1"/>
  <c r="N137" i="1"/>
  <c r="N130" i="1"/>
  <c r="H148" i="1"/>
  <c r="L76" i="1"/>
  <c r="H156" i="1"/>
  <c r="N138" i="1"/>
  <c r="Q202" i="1"/>
  <c r="P202" i="1"/>
  <c r="E202" i="1" s="1"/>
  <c r="D202" i="1" s="1"/>
  <c r="L177" i="1"/>
  <c r="K240" i="1"/>
  <c r="C200" i="1"/>
  <c r="G200" i="1" s="1"/>
  <c r="G76" i="1"/>
  <c r="J59" i="1"/>
  <c r="H151" i="1"/>
  <c r="N133" i="1"/>
  <c r="I153" i="1"/>
  <c r="K192" i="1"/>
  <c r="K250" i="1" s="1"/>
  <c r="K254" i="1" s="1"/>
  <c r="K178" i="1"/>
  <c r="J250" i="1"/>
  <c r="J254" i="1" s="1"/>
  <c r="D195" i="1"/>
  <c r="I154" i="1" l="1"/>
  <c r="L192" i="1"/>
  <c r="L178" i="1"/>
  <c r="AA196" i="1"/>
  <c r="K196" i="1"/>
  <c r="Z196" i="1"/>
  <c r="J196" i="1"/>
  <c r="Y196" i="1"/>
  <c r="I196" i="1"/>
  <c r="X196" i="1"/>
  <c r="H196" i="1"/>
  <c r="W196" i="1"/>
  <c r="G196" i="1"/>
  <c r="V196" i="1"/>
  <c r="F196" i="1"/>
  <c r="U196" i="1"/>
  <c r="T196" i="1"/>
  <c r="S196" i="1"/>
  <c r="R196" i="1"/>
  <c r="Q196" i="1"/>
  <c r="P196" i="1"/>
  <c r="O196" i="1"/>
  <c r="N196" i="1"/>
  <c r="AC196" i="1"/>
  <c r="AB196" i="1"/>
  <c r="M196" i="1"/>
  <c r="L196" i="1"/>
  <c r="M153" i="1"/>
  <c r="F147" i="1"/>
  <c r="G157" i="1" a="1"/>
  <c r="G157" i="1" s="1"/>
  <c r="AA129" i="1"/>
  <c r="AA139" i="1" s="1"/>
  <c r="Z129" i="1"/>
  <c r="Z139" i="1" s="1"/>
  <c r="Y139" i="1"/>
  <c r="AC129" i="1"/>
  <c r="AB129" i="1"/>
  <c r="AB139" i="1" s="1"/>
  <c r="J139" i="1"/>
  <c r="L78" i="1"/>
  <c r="I156" i="1"/>
  <c r="M156" i="1"/>
  <c r="I152" i="1"/>
  <c r="C97" i="1"/>
  <c r="C88" i="1"/>
  <c r="C104" i="1"/>
  <c r="C101" i="1"/>
  <c r="C90" i="1"/>
  <c r="I148" i="1"/>
  <c r="M148" i="1"/>
  <c r="G266" i="1"/>
  <c r="E200" i="1"/>
  <c r="D200" i="1" s="1"/>
  <c r="I155" i="1"/>
  <c r="M155" i="1"/>
  <c r="M149" i="1"/>
  <c r="I149" i="1"/>
  <c r="I150" i="1"/>
  <c r="M151" i="1"/>
  <c r="I151" i="1"/>
  <c r="M177" i="1"/>
  <c r="L240" i="1"/>
  <c r="C203" i="1"/>
  <c r="D203" i="1" s="1"/>
  <c r="C187" i="1" l="1"/>
  <c r="AB272" i="1"/>
  <c r="AB274" i="1" s="1"/>
  <c r="AB212" i="1"/>
  <c r="AB182" i="1"/>
  <c r="AB216" i="1"/>
  <c r="I216" i="1"/>
  <c r="I272" i="1"/>
  <c r="I274" i="1" s="1"/>
  <c r="I212" i="1"/>
  <c r="I182" i="1"/>
  <c r="AC139" i="1"/>
  <c r="N272" i="1"/>
  <c r="N274" i="1" s="1"/>
  <c r="N212" i="1"/>
  <c r="N182" i="1"/>
  <c r="N266" i="1"/>
  <c r="N216" i="1"/>
  <c r="J216" i="1"/>
  <c r="J272" i="1"/>
  <c r="J274" i="1" s="1"/>
  <c r="J212" i="1"/>
  <c r="J182" i="1"/>
  <c r="C307" i="1"/>
  <c r="C100" i="1"/>
  <c r="O272" i="1"/>
  <c r="O274" i="1" s="1"/>
  <c r="O212" i="1"/>
  <c r="O182" i="1"/>
  <c r="O266" i="1"/>
  <c r="O216" i="1"/>
  <c r="Z216" i="1"/>
  <c r="Z272" i="1"/>
  <c r="Z274" i="1" s="1"/>
  <c r="Z212" i="1"/>
  <c r="Z182" i="1"/>
  <c r="P212" i="1"/>
  <c r="P182" i="1"/>
  <c r="P266" i="1"/>
  <c r="P216" i="1"/>
  <c r="P272" i="1"/>
  <c r="P274" i="1" s="1"/>
  <c r="K272" i="1"/>
  <c r="K274" i="1" s="1"/>
  <c r="K212" i="1"/>
  <c r="K182" i="1"/>
  <c r="K216" i="1"/>
  <c r="Q212" i="1"/>
  <c r="Q182" i="1"/>
  <c r="Q266" i="1"/>
  <c r="Q216" i="1"/>
  <c r="Q272" i="1"/>
  <c r="Q274" i="1" s="1"/>
  <c r="AA272" i="1"/>
  <c r="AA274" i="1" s="1"/>
  <c r="AA212" i="1"/>
  <c r="AA182" i="1"/>
  <c r="AA216" i="1"/>
  <c r="R212" i="1"/>
  <c r="R182" i="1"/>
  <c r="R266" i="1"/>
  <c r="R216" i="1"/>
  <c r="R272" i="1"/>
  <c r="R274" i="1" s="1"/>
  <c r="M272" i="1"/>
  <c r="M274" i="1" s="1"/>
  <c r="M212" i="1"/>
  <c r="M182" i="1"/>
  <c r="M266" i="1"/>
  <c r="M216" i="1"/>
  <c r="S212" i="1"/>
  <c r="S182" i="1"/>
  <c r="S266" i="1"/>
  <c r="S216" i="1"/>
  <c r="S272" i="1"/>
  <c r="S274" i="1" s="1"/>
  <c r="F157" i="1" a="1"/>
  <c r="F157" i="1" s="1"/>
  <c r="H147" i="1"/>
  <c r="N129" i="1"/>
  <c r="T212" i="1"/>
  <c r="T182" i="1"/>
  <c r="T266" i="1"/>
  <c r="T216" i="1"/>
  <c r="T272" i="1"/>
  <c r="T274" i="1" s="1"/>
  <c r="M192" i="1"/>
  <c r="M250" i="1" s="1"/>
  <c r="M254" i="1" s="1"/>
  <c r="M178" i="1"/>
  <c r="AC272" i="1"/>
  <c r="AC274" i="1" s="1"/>
  <c r="AC212" i="1"/>
  <c r="AC182" i="1"/>
  <c r="AC216" i="1"/>
  <c r="U212" i="1"/>
  <c r="U182" i="1"/>
  <c r="U266" i="1"/>
  <c r="U216" i="1"/>
  <c r="U272" i="1"/>
  <c r="U274" i="1" s="1"/>
  <c r="L250" i="1"/>
  <c r="L254" i="1" s="1"/>
  <c r="M152" i="1"/>
  <c r="N177" i="1"/>
  <c r="M240" i="1"/>
  <c r="O135" i="1"/>
  <c r="F216" i="1"/>
  <c r="E216" i="1" s="1"/>
  <c r="D216" i="1" s="1"/>
  <c r="E196" i="1"/>
  <c r="F272" i="1"/>
  <c r="F182" i="1"/>
  <c r="F212" i="1"/>
  <c r="O133" i="1"/>
  <c r="O130" i="1"/>
  <c r="O131" i="1"/>
  <c r="O137" i="1"/>
  <c r="C216" i="1"/>
  <c r="V266" i="1"/>
  <c r="V216" i="1"/>
  <c r="V272" i="1"/>
  <c r="V274" i="1" s="1"/>
  <c r="V182" i="1"/>
  <c r="V212" i="1"/>
  <c r="C199" i="1"/>
  <c r="G199" i="1" s="1"/>
  <c r="E199" i="1" s="1"/>
  <c r="D199" i="1" s="1"/>
  <c r="G216" i="1"/>
  <c r="G272" i="1"/>
  <c r="G274" i="1" s="1"/>
  <c r="G212" i="1"/>
  <c r="G182" i="1"/>
  <c r="X266" i="1"/>
  <c r="X216" i="1"/>
  <c r="X272" i="1"/>
  <c r="X274" i="1" s="1"/>
  <c r="X212" i="1"/>
  <c r="X182" i="1"/>
  <c r="M150" i="1"/>
  <c r="C201" i="1"/>
  <c r="C208" i="1"/>
  <c r="W266" i="1"/>
  <c r="W216" i="1"/>
  <c r="W272" i="1"/>
  <c r="W274" i="1" s="1"/>
  <c r="W212" i="1"/>
  <c r="W182" i="1"/>
  <c r="M154" i="1"/>
  <c r="Y266" i="1"/>
  <c r="Y216" i="1"/>
  <c r="Y272" i="1"/>
  <c r="Y274" i="1" s="1"/>
  <c r="Y212" i="1"/>
  <c r="Y182" i="1"/>
  <c r="O138" i="1"/>
  <c r="C212" i="1"/>
  <c r="L272" i="1"/>
  <c r="L274" i="1" s="1"/>
  <c r="L212" i="1"/>
  <c r="L182" i="1"/>
  <c r="L266" i="1"/>
  <c r="L216" i="1"/>
  <c r="H216" i="1"/>
  <c r="H272" i="1"/>
  <c r="H274" i="1" s="1"/>
  <c r="H212" i="1"/>
  <c r="H182" i="1"/>
  <c r="C184" i="1" l="1"/>
  <c r="N192" i="1"/>
  <c r="N250" i="1" s="1"/>
  <c r="N254" i="1" s="1"/>
  <c r="N178" i="1"/>
  <c r="O177" i="1"/>
  <c r="N240" i="1"/>
  <c r="C211" i="1"/>
  <c r="D211" i="1" s="1"/>
  <c r="O134" i="1"/>
  <c r="R278" i="1"/>
  <c r="Q278" i="1"/>
  <c r="P278" i="1"/>
  <c r="O278" i="1"/>
  <c r="N278" i="1"/>
  <c r="AC278" i="1"/>
  <c r="M278" i="1"/>
  <c r="AB278" i="1"/>
  <c r="L278" i="1"/>
  <c r="AA278" i="1"/>
  <c r="K278" i="1"/>
  <c r="Z278" i="1"/>
  <c r="J278" i="1"/>
  <c r="Y278" i="1"/>
  <c r="I278" i="1"/>
  <c r="X278" i="1"/>
  <c r="H278" i="1"/>
  <c r="W278" i="1"/>
  <c r="G278" i="1"/>
  <c r="V278" i="1"/>
  <c r="F278" i="1"/>
  <c r="U278" i="1"/>
  <c r="S278" i="1"/>
  <c r="T278" i="1"/>
  <c r="C303" i="1"/>
  <c r="Q208" i="1"/>
  <c r="P208" i="1"/>
  <c r="O208" i="1"/>
  <c r="N208" i="1"/>
  <c r="M208" i="1"/>
  <c r="L208" i="1"/>
  <c r="E212" i="1"/>
  <c r="D212" i="1" s="1"/>
  <c r="I147" i="1"/>
  <c r="H157" i="1"/>
  <c r="C185" i="1" s="1"/>
  <c r="O132" i="1"/>
  <c r="E272" i="1"/>
  <c r="D272" i="1" s="1"/>
  <c r="F274" i="1"/>
  <c r="O136" i="1"/>
  <c r="H201" i="1"/>
  <c r="G201" i="1"/>
  <c r="F201" i="1"/>
  <c r="E201" i="1" s="1"/>
  <c r="D201" i="1" s="1"/>
  <c r="E182" i="1"/>
  <c r="D196" i="1"/>
  <c r="AC187" i="1"/>
  <c r="M187" i="1"/>
  <c r="AB187" i="1"/>
  <c r="L187" i="1"/>
  <c r="AA187" i="1"/>
  <c r="K187" i="1"/>
  <c r="Z187" i="1"/>
  <c r="J187" i="1"/>
  <c r="Y187" i="1"/>
  <c r="I187" i="1"/>
  <c r="X187" i="1"/>
  <c r="H187" i="1"/>
  <c r="W187" i="1"/>
  <c r="G187" i="1"/>
  <c r="V187" i="1"/>
  <c r="F187" i="1"/>
  <c r="U187" i="1"/>
  <c r="T187" i="1"/>
  <c r="S187" i="1"/>
  <c r="R187" i="1"/>
  <c r="Q187" i="1"/>
  <c r="P187" i="1"/>
  <c r="O187" i="1"/>
  <c r="N187" i="1"/>
  <c r="S185" i="1" l="1"/>
  <c r="R185" i="1"/>
  <c r="Q185" i="1"/>
  <c r="P185" i="1"/>
  <c r="O185" i="1"/>
  <c r="N185" i="1"/>
  <c r="AC185" i="1"/>
  <c r="M185" i="1"/>
  <c r="AB185" i="1"/>
  <c r="L185" i="1"/>
  <c r="AA185" i="1"/>
  <c r="K185" i="1"/>
  <c r="Z185" i="1"/>
  <c r="J185" i="1"/>
  <c r="Y185" i="1"/>
  <c r="I185" i="1"/>
  <c r="X185" i="1"/>
  <c r="H185" i="1"/>
  <c r="W185" i="1"/>
  <c r="G185" i="1"/>
  <c r="V185" i="1"/>
  <c r="F185" i="1"/>
  <c r="U185" i="1"/>
  <c r="T185" i="1"/>
  <c r="C99" i="1"/>
  <c r="P288" i="1"/>
  <c r="P284" i="1"/>
  <c r="P280" i="1"/>
  <c r="P290" i="1" s="1"/>
  <c r="P286" i="1"/>
  <c r="P282" i="1"/>
  <c r="W280" i="1"/>
  <c r="W286" i="1"/>
  <c r="W282" i="1"/>
  <c r="W288" i="1"/>
  <c r="W284" i="1"/>
  <c r="W290" i="1"/>
  <c r="Q284" i="1"/>
  <c r="Q280" i="1"/>
  <c r="Q290" i="1" s="1"/>
  <c r="Q286" i="1"/>
  <c r="Q282" i="1"/>
  <c r="Q288" i="1"/>
  <c r="D184" i="1"/>
  <c r="H280" i="1"/>
  <c r="H290" i="1" s="1"/>
  <c r="H286" i="1"/>
  <c r="H282" i="1"/>
  <c r="H288" i="1"/>
  <c r="H284" i="1"/>
  <c r="R284" i="1"/>
  <c r="R280" i="1"/>
  <c r="R290" i="1" s="1"/>
  <c r="R286" i="1"/>
  <c r="R282" i="1"/>
  <c r="R288" i="1"/>
  <c r="X280" i="1"/>
  <c r="X286" i="1"/>
  <c r="X282" i="1"/>
  <c r="X288" i="1"/>
  <c r="X284" i="1"/>
  <c r="X290" i="1"/>
  <c r="O192" i="1"/>
  <c r="O250" i="1" s="1"/>
  <c r="O254" i="1" s="1"/>
  <c r="O178" i="1"/>
  <c r="E187" i="1"/>
  <c r="D187" i="1" s="1"/>
  <c r="V280" i="1"/>
  <c r="V290" i="1" s="1"/>
  <c r="V286" i="1"/>
  <c r="V282" i="1"/>
  <c r="V288" i="1"/>
  <c r="V284" i="1"/>
  <c r="I286" i="1"/>
  <c r="I282" i="1"/>
  <c r="I288" i="1"/>
  <c r="I284" i="1"/>
  <c r="I280" i="1"/>
  <c r="I290" i="1" s="1"/>
  <c r="AC282" i="1"/>
  <c r="AC288" i="1"/>
  <c r="AC284" i="1"/>
  <c r="AC280" i="1"/>
  <c r="AC290" i="1" s="1"/>
  <c r="AC286" i="1"/>
  <c r="Y286" i="1"/>
  <c r="Y282" i="1"/>
  <c r="Y288" i="1"/>
  <c r="Y284" i="1"/>
  <c r="Y280" i="1"/>
  <c r="Y290" i="1" s="1"/>
  <c r="F280" i="1"/>
  <c r="E280" i="1" s="1"/>
  <c r="F286" i="1"/>
  <c r="E286" i="1" s="1"/>
  <c r="D286" i="1" s="1"/>
  <c r="F282" i="1"/>
  <c r="E282" i="1" s="1"/>
  <c r="D282" i="1" s="1"/>
  <c r="F288" i="1"/>
  <c r="E278" i="1"/>
  <c r="D278" i="1" s="1"/>
  <c r="F284" i="1"/>
  <c r="E284" i="1" s="1"/>
  <c r="J286" i="1"/>
  <c r="J282" i="1"/>
  <c r="J288" i="1"/>
  <c r="J284" i="1"/>
  <c r="J280" i="1"/>
  <c r="J290" i="1" s="1"/>
  <c r="Z286" i="1"/>
  <c r="Z282" i="1"/>
  <c r="Z288" i="1"/>
  <c r="Z284" i="1"/>
  <c r="Z280" i="1"/>
  <c r="Z290" i="1" s="1"/>
  <c r="N282" i="1"/>
  <c r="N288" i="1"/>
  <c r="N284" i="1"/>
  <c r="N280" i="1"/>
  <c r="N290" i="1" s="1"/>
  <c r="N286" i="1"/>
  <c r="E274" i="1"/>
  <c r="D274" i="1" s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AB276" i="1" s="1"/>
  <c r="AC276" i="1" s="1"/>
  <c r="E208" i="1"/>
  <c r="D208" i="1" s="1"/>
  <c r="K282" i="1"/>
  <c r="K288" i="1"/>
  <c r="K284" i="1"/>
  <c r="K280" i="1"/>
  <c r="K290" i="1" s="1"/>
  <c r="K286" i="1"/>
  <c r="P177" i="1"/>
  <c r="O240" i="1"/>
  <c r="U280" i="1"/>
  <c r="U290" i="1" s="1"/>
  <c r="U286" i="1"/>
  <c r="U282" i="1"/>
  <c r="U288" i="1"/>
  <c r="U284" i="1"/>
  <c r="I157" i="1"/>
  <c r="C213" i="1" s="1"/>
  <c r="AA282" i="1"/>
  <c r="AA288" i="1"/>
  <c r="AA284" i="1"/>
  <c r="AA280" i="1"/>
  <c r="AA290" i="1" s="1"/>
  <c r="AA286" i="1"/>
  <c r="C312" i="1"/>
  <c r="C311" i="1"/>
  <c r="C310" i="1"/>
  <c r="C309" i="1"/>
  <c r="C308" i="1"/>
  <c r="C313" i="1" s="1"/>
  <c r="D313" i="1" s="1"/>
  <c r="C305" i="1"/>
  <c r="C304" i="1"/>
  <c r="L282" i="1"/>
  <c r="L288" i="1"/>
  <c r="L284" i="1"/>
  <c r="L280" i="1"/>
  <c r="L290" i="1" s="1"/>
  <c r="L286" i="1"/>
  <c r="C182" i="1"/>
  <c r="D182" i="1" s="1"/>
  <c r="H24" i="1"/>
  <c r="O288" i="1"/>
  <c r="O284" i="1"/>
  <c r="O280" i="1"/>
  <c r="O290" i="1" s="1"/>
  <c r="O286" i="1"/>
  <c r="O282" i="1"/>
  <c r="T284" i="1"/>
  <c r="T280" i="1"/>
  <c r="T290" i="1" s="1"/>
  <c r="T286" i="1"/>
  <c r="T282" i="1"/>
  <c r="T288" i="1"/>
  <c r="AB282" i="1"/>
  <c r="AB288" i="1"/>
  <c r="AB284" i="1"/>
  <c r="AB290" i="1"/>
  <c r="AB280" i="1"/>
  <c r="AB286" i="1"/>
  <c r="G280" i="1"/>
  <c r="G286" i="1"/>
  <c r="G282" i="1"/>
  <c r="G288" i="1"/>
  <c r="G284" i="1"/>
  <c r="G290" i="1"/>
  <c r="M147" i="1"/>
  <c r="S284" i="1"/>
  <c r="S280" i="1"/>
  <c r="S290" i="1" s="1"/>
  <c r="S286" i="1"/>
  <c r="S282" i="1"/>
  <c r="S288" i="1"/>
  <c r="M282" i="1"/>
  <c r="M288" i="1"/>
  <c r="M284" i="1"/>
  <c r="M290" i="1"/>
  <c r="M280" i="1"/>
  <c r="M286" i="1"/>
  <c r="J213" i="1" l="1"/>
  <c r="Z213" i="1"/>
  <c r="D280" i="1"/>
  <c r="K213" i="1"/>
  <c r="P240" i="1"/>
  <c r="Q177" i="1"/>
  <c r="F290" i="1"/>
  <c r="AA213" i="1"/>
  <c r="L213" i="1"/>
  <c r="C210" i="1"/>
  <c r="AB213" i="1"/>
  <c r="V133" i="1"/>
  <c r="C116" i="1"/>
  <c r="T213" i="1"/>
  <c r="M213" i="1"/>
  <c r="I213" i="1"/>
  <c r="D288" i="1"/>
  <c r="U213" i="1"/>
  <c r="AC213" i="1"/>
  <c r="Y213" i="1"/>
  <c r="V132" i="1"/>
  <c r="F213" i="1"/>
  <c r="E185" i="1"/>
  <c r="N213" i="1"/>
  <c r="P192" i="1"/>
  <c r="P250" i="1" s="1"/>
  <c r="P254" i="1" s="1"/>
  <c r="P178" i="1"/>
  <c r="E288" i="1"/>
  <c r="V137" i="1"/>
  <c r="V136" i="1"/>
  <c r="V134" i="1"/>
  <c r="V135" i="1"/>
  <c r="V213" i="1"/>
  <c r="O213" i="1"/>
  <c r="V138" i="1"/>
  <c r="V130" i="1"/>
  <c r="G213" i="1"/>
  <c r="P213" i="1"/>
  <c r="M157" i="1"/>
  <c r="O129" i="1"/>
  <c r="V131" i="1"/>
  <c r="W213" i="1"/>
  <c r="Q213" i="1"/>
  <c r="H213" i="1"/>
  <c r="R213" i="1"/>
  <c r="D284" i="1"/>
  <c r="X213" i="1"/>
  <c r="S213" i="1"/>
  <c r="E290" i="1" l="1"/>
  <c r="D290" i="1" s="1"/>
  <c r="F292" i="1"/>
  <c r="Q240" i="1"/>
  <c r="R177" i="1"/>
  <c r="O139" i="1"/>
  <c r="Q192" i="1"/>
  <c r="Q250" i="1" s="1"/>
  <c r="Q254" i="1" s="1"/>
  <c r="Q178" i="1"/>
  <c r="C98" i="1"/>
  <c r="V129" i="1"/>
  <c r="V139" i="1" s="1"/>
  <c r="D185" i="1"/>
  <c r="E213" i="1"/>
  <c r="U210" i="1"/>
  <c r="T210" i="1"/>
  <c r="S210" i="1"/>
  <c r="R210" i="1"/>
  <c r="E210" i="1" s="1"/>
  <c r="D210" i="1" s="1"/>
  <c r="C209" i="1" l="1"/>
  <c r="D209" i="1" s="1"/>
  <c r="C102" i="1"/>
  <c r="E98" i="1" s="1"/>
  <c r="R240" i="1"/>
  <c r="S177" i="1"/>
  <c r="R178" i="1"/>
  <c r="R192" i="1"/>
  <c r="H31" i="1"/>
  <c r="D213" i="1"/>
  <c r="C25" i="1"/>
  <c r="C114" i="1"/>
  <c r="F294" i="1"/>
  <c r="G292" i="1"/>
  <c r="C188" i="1"/>
  <c r="G294" i="1" l="1"/>
  <c r="G296" i="1" s="1"/>
  <c r="H292" i="1"/>
  <c r="S240" i="1"/>
  <c r="T177" i="1"/>
  <c r="E119" i="1"/>
  <c r="C20" i="1"/>
  <c r="E93" i="1"/>
  <c r="C111" i="1"/>
  <c r="E87" i="1"/>
  <c r="E86" i="1"/>
  <c r="E94" i="1"/>
  <c r="E95" i="1"/>
  <c r="E96" i="1"/>
  <c r="E91" i="1"/>
  <c r="E89" i="1"/>
  <c r="E92" i="1"/>
  <c r="E90" i="1"/>
  <c r="E88" i="1"/>
  <c r="E97" i="1"/>
  <c r="E101" i="1"/>
  <c r="E100" i="1"/>
  <c r="E99" i="1"/>
  <c r="R250" i="1"/>
  <c r="R254" i="1" s="1"/>
  <c r="S178" i="1"/>
  <c r="S192" i="1"/>
  <c r="S250" i="1" s="1"/>
  <c r="S254" i="1" s="1"/>
  <c r="E294" i="1"/>
  <c r="D294" i="1" s="1"/>
  <c r="F296" i="1"/>
  <c r="E296" i="1" s="1"/>
  <c r="D296" i="1" s="1"/>
  <c r="R188" i="1"/>
  <c r="Q188" i="1"/>
  <c r="P188" i="1"/>
  <c r="O188" i="1"/>
  <c r="N188" i="1"/>
  <c r="AC188" i="1"/>
  <c r="M188" i="1"/>
  <c r="AB188" i="1"/>
  <c r="L188" i="1"/>
  <c r="AA188" i="1"/>
  <c r="K188" i="1"/>
  <c r="Z188" i="1"/>
  <c r="J188" i="1"/>
  <c r="Y188" i="1"/>
  <c r="I188" i="1"/>
  <c r="X188" i="1"/>
  <c r="H188" i="1"/>
  <c r="W188" i="1"/>
  <c r="G188" i="1"/>
  <c r="V188" i="1"/>
  <c r="F188" i="1"/>
  <c r="U188" i="1"/>
  <c r="T188" i="1"/>
  <c r="S188" i="1"/>
  <c r="C220" i="1"/>
  <c r="C17" i="1"/>
  <c r="D220" i="1" l="1"/>
  <c r="C112" i="1"/>
  <c r="E188" i="1"/>
  <c r="U177" i="1"/>
  <c r="T240" i="1"/>
  <c r="H294" i="1"/>
  <c r="H296" i="1" s="1"/>
  <c r="T178" i="1"/>
  <c r="T192" i="1"/>
  <c r="T250" i="1" s="1"/>
  <c r="T254" i="1" s="1"/>
  <c r="V177" i="1" l="1"/>
  <c r="U240" i="1"/>
  <c r="D188" i="1"/>
  <c r="I292" i="1"/>
  <c r="U178" i="1"/>
  <c r="U192" i="1"/>
  <c r="I294" i="1" l="1"/>
  <c r="I296" i="1" s="1"/>
  <c r="J292" i="1"/>
  <c r="U250" i="1"/>
  <c r="U254" i="1" s="1"/>
  <c r="U218" i="1"/>
  <c r="U223" i="1"/>
  <c r="V178" i="1"/>
  <c r="V192" i="1"/>
  <c r="W177" i="1"/>
  <c r="V240" i="1"/>
  <c r="C122" i="1"/>
  <c r="X177" i="1" l="1"/>
  <c r="W240" i="1"/>
  <c r="W178" i="1"/>
  <c r="W192" i="1"/>
  <c r="J294" i="1"/>
  <c r="J296" i="1" s="1"/>
  <c r="E122" i="1"/>
  <c r="D122" i="1"/>
  <c r="V250" i="1"/>
  <c r="V254" i="1" s="1"/>
  <c r="V223" i="1"/>
  <c r="V218" i="1"/>
  <c r="C215" i="1" l="1"/>
  <c r="D215" i="1" s="1"/>
  <c r="E105" i="1"/>
  <c r="C105" i="1" s="1"/>
  <c r="C27" i="1"/>
  <c r="K292" i="1"/>
  <c r="W250" i="1"/>
  <c r="W254" i="1" s="1"/>
  <c r="W223" i="1"/>
  <c r="W218" i="1"/>
  <c r="X178" i="1"/>
  <c r="X192" i="1"/>
  <c r="Y177" i="1"/>
  <c r="X240" i="1"/>
  <c r="Z177" i="1" l="1"/>
  <c r="Y240" i="1"/>
  <c r="Y192" i="1"/>
  <c r="Y178" i="1"/>
  <c r="K294" i="1"/>
  <c r="K296" i="1" s="1"/>
  <c r="L292" i="1"/>
  <c r="C214" i="1"/>
  <c r="C107" i="1"/>
  <c r="X250" i="1"/>
  <c r="X254" i="1" s="1"/>
  <c r="X218" i="1"/>
  <c r="X223" i="1"/>
  <c r="C113" i="1" l="1"/>
  <c r="C21" i="1"/>
  <c r="O214" i="1"/>
  <c r="N214" i="1"/>
  <c r="M214" i="1"/>
  <c r="L214" i="1"/>
  <c r="K214" i="1"/>
  <c r="AC170" i="1"/>
  <c r="J214" i="1"/>
  <c r="AB170" i="1"/>
  <c r="I214" i="1"/>
  <c r="AA170" i="1"/>
  <c r="H214" i="1"/>
  <c r="Z170" i="1"/>
  <c r="G214" i="1"/>
  <c r="Y170" i="1"/>
  <c r="F214" i="1"/>
  <c r="W170" i="1"/>
  <c r="T214" i="1"/>
  <c r="V170" i="1"/>
  <c r="S214" i="1"/>
  <c r="U170" i="1"/>
  <c r="R214" i="1"/>
  <c r="X170" i="1"/>
  <c r="Q214" i="1"/>
  <c r="P214" i="1"/>
  <c r="L294" i="1"/>
  <c r="L296" i="1" s="1"/>
  <c r="Z192" i="1"/>
  <c r="Z178" i="1"/>
  <c r="Y250" i="1"/>
  <c r="Y254" i="1" s="1"/>
  <c r="Y218" i="1"/>
  <c r="Y223" i="1"/>
  <c r="AA177" i="1"/>
  <c r="Z240" i="1"/>
  <c r="T170" i="1" l="1"/>
  <c r="T218" i="1"/>
  <c r="T223" i="1"/>
  <c r="S170" i="1"/>
  <c r="S218" i="1"/>
  <c r="S223" i="1"/>
  <c r="P170" i="1"/>
  <c r="P223" i="1"/>
  <c r="P218" i="1"/>
  <c r="J170" i="1"/>
  <c r="J218" i="1"/>
  <c r="J223" i="1"/>
  <c r="R170" i="1"/>
  <c r="R218" i="1"/>
  <c r="R223" i="1"/>
  <c r="K170" i="1"/>
  <c r="K223" i="1"/>
  <c r="K218" i="1"/>
  <c r="M170" i="1"/>
  <c r="M218" i="1"/>
  <c r="M223" i="1"/>
  <c r="N170" i="1"/>
  <c r="N218" i="1"/>
  <c r="N223" i="1"/>
  <c r="O170" i="1"/>
  <c r="O223" i="1"/>
  <c r="O218" i="1"/>
  <c r="AA192" i="1"/>
  <c r="AA178" i="1"/>
  <c r="AB177" i="1"/>
  <c r="AA240" i="1"/>
  <c r="G170" i="1"/>
  <c r="G218" i="1"/>
  <c r="G223" i="1"/>
  <c r="Z250" i="1"/>
  <c r="Z254" i="1" s="1"/>
  <c r="Z218" i="1"/>
  <c r="Z223" i="1"/>
  <c r="H170" i="1"/>
  <c r="H218" i="1"/>
  <c r="H223" i="1"/>
  <c r="Q170" i="1"/>
  <c r="Q223" i="1"/>
  <c r="Q218" i="1"/>
  <c r="E214" i="1"/>
  <c r="D214" i="1" s="1"/>
  <c r="F170" i="1"/>
  <c r="F218" i="1"/>
  <c r="F223" i="1"/>
  <c r="F225" i="1" s="1"/>
  <c r="M292" i="1"/>
  <c r="L170" i="1"/>
  <c r="L218" i="1"/>
  <c r="L223" i="1"/>
  <c r="I170" i="1"/>
  <c r="I218" i="1"/>
  <c r="I223" i="1"/>
  <c r="M294" i="1" l="1"/>
  <c r="M296" i="1" s="1"/>
  <c r="F219" i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G225" i="1"/>
  <c r="H225" i="1" s="1"/>
  <c r="I225" i="1" s="1"/>
  <c r="J225" i="1" s="1"/>
  <c r="K225" i="1" s="1"/>
  <c r="L225" i="1" s="1"/>
  <c r="M225" i="1" s="1"/>
  <c r="N225" i="1" s="1"/>
  <c r="E170" i="1"/>
  <c r="D170" i="1" s="1"/>
  <c r="AC177" i="1"/>
  <c r="AC240" i="1" s="1"/>
  <c r="AB240" i="1"/>
  <c r="AB192" i="1"/>
  <c r="AB178" i="1"/>
  <c r="AA250" i="1"/>
  <c r="AA254" i="1" s="1"/>
  <c r="AA223" i="1"/>
  <c r="AA218" i="1"/>
  <c r="AA219" i="1" l="1"/>
  <c r="AC192" i="1"/>
  <c r="N227" i="1"/>
  <c r="O225" i="1"/>
  <c r="AB250" i="1"/>
  <c r="AB254" i="1" s="1"/>
  <c r="AB218" i="1"/>
  <c r="AB219" i="1" s="1"/>
  <c r="AB223" i="1"/>
  <c r="N292" i="1"/>
  <c r="N294" i="1" l="1"/>
  <c r="N296" i="1" s="1"/>
  <c r="O227" i="1"/>
  <c r="P225" i="1"/>
  <c r="AC250" i="1"/>
  <c r="AC254" i="1" s="1"/>
  <c r="AC259" i="1" s="1"/>
  <c r="AC260" i="1" s="1"/>
  <c r="E192" i="1"/>
  <c r="C219" i="1" l="1"/>
  <c r="D192" i="1"/>
  <c r="C119" i="1"/>
  <c r="C221" i="1"/>
  <c r="C225" i="1" s="1"/>
  <c r="C226" i="1" s="1"/>
  <c r="P227" i="1"/>
  <c r="Q225" i="1"/>
  <c r="O292" i="1"/>
  <c r="Q227" i="1" l="1"/>
  <c r="R225" i="1"/>
  <c r="O294" i="1"/>
  <c r="O296" i="1" s="1"/>
  <c r="P292" i="1"/>
  <c r="C22" i="1"/>
  <c r="C115" i="1"/>
  <c r="D219" i="1" s="1"/>
  <c r="C24" i="1" l="1"/>
  <c r="R227" i="1"/>
  <c r="S225" i="1"/>
  <c r="P294" i="1"/>
  <c r="P296" i="1" s="1"/>
  <c r="H34" i="1" l="1"/>
  <c r="C26" i="1"/>
  <c r="AB149" i="1"/>
  <c r="Z149" i="1"/>
  <c r="J149" i="1"/>
  <c r="G131" i="1"/>
  <c r="AA149" i="1"/>
  <c r="L149" i="1"/>
  <c r="K149" i="1" s="1"/>
  <c r="J153" i="1"/>
  <c r="AB153" i="1"/>
  <c r="Z153" i="1"/>
  <c r="G135" i="1"/>
  <c r="AA153" i="1"/>
  <c r="L153" i="1"/>
  <c r="K153" i="1" s="1"/>
  <c r="J154" i="1"/>
  <c r="AB154" i="1"/>
  <c r="Z154" i="1"/>
  <c r="G136" i="1"/>
  <c r="AA154" i="1"/>
  <c r="L154" i="1"/>
  <c r="K154" i="1" s="1"/>
  <c r="AB147" i="1"/>
  <c r="Z147" i="1"/>
  <c r="J147" i="1"/>
  <c r="J157" i="1" s="1" a="1"/>
  <c r="J157" i="1" s="1"/>
  <c r="G129" i="1"/>
  <c r="AA147" i="1"/>
  <c r="L147" i="1"/>
  <c r="K147" i="1" s="1"/>
  <c r="J155" i="1"/>
  <c r="AB155" i="1"/>
  <c r="Z155" i="1"/>
  <c r="G137" i="1"/>
  <c r="AA155" i="1"/>
  <c r="L155" i="1"/>
  <c r="K155" i="1" s="1"/>
  <c r="AB148" i="1"/>
  <c r="Z148" i="1"/>
  <c r="J148" i="1"/>
  <c r="G130" i="1"/>
  <c r="AA148" i="1"/>
  <c r="L148" i="1"/>
  <c r="K148" i="1" s="1"/>
  <c r="Q292" i="1"/>
  <c r="Z151" i="1"/>
  <c r="AB151" i="1"/>
  <c r="J151" i="1"/>
  <c r="G133" i="1"/>
  <c r="AA151" i="1"/>
  <c r="L151" i="1"/>
  <c r="K151" i="1" s="1"/>
  <c r="J152" i="1"/>
  <c r="AB152" i="1"/>
  <c r="Z152" i="1"/>
  <c r="G134" i="1"/>
  <c r="AA152" i="1"/>
  <c r="L152" i="1"/>
  <c r="K152" i="1" s="1"/>
  <c r="S227" i="1"/>
  <c r="T225" i="1"/>
  <c r="AB150" i="1"/>
  <c r="Z150" i="1"/>
  <c r="J150" i="1"/>
  <c r="G132" i="1"/>
  <c r="AA150" i="1"/>
  <c r="L150" i="1"/>
  <c r="K150" i="1" s="1"/>
  <c r="AB156" i="1"/>
  <c r="Z156" i="1"/>
  <c r="J156" i="1"/>
  <c r="G138" i="1"/>
  <c r="AA156" i="1"/>
  <c r="L156" i="1"/>
  <c r="K156" i="1" s="1"/>
  <c r="T227" i="1" l="1"/>
  <c r="U225" i="1"/>
  <c r="Q294" i="1"/>
  <c r="Q296" i="1" s="1"/>
  <c r="R292" i="1"/>
  <c r="C32" i="1"/>
  <c r="C30" i="1"/>
  <c r="G139" i="1"/>
  <c r="I19" i="1"/>
  <c r="I20" i="1"/>
  <c r="I21" i="1"/>
  <c r="I23" i="1"/>
  <c r="I22" i="1"/>
  <c r="I29" i="1"/>
  <c r="I24" i="1"/>
  <c r="I30" i="1"/>
  <c r="I31" i="1"/>
  <c r="R294" i="1" l="1"/>
  <c r="R296" i="1" s="1"/>
  <c r="S292" i="1"/>
  <c r="C34" i="1"/>
  <c r="U227" i="1"/>
  <c r="V225" i="1"/>
  <c r="S294" i="1" l="1"/>
  <c r="S296" i="1" s="1"/>
  <c r="V227" i="1"/>
  <c r="W225" i="1"/>
  <c r="W227" i="1" l="1"/>
  <c r="X225" i="1"/>
  <c r="T292" i="1"/>
  <c r="X227" i="1" l="1"/>
  <c r="Y225" i="1"/>
  <c r="T294" i="1"/>
  <c r="T296" i="1" s="1"/>
  <c r="U292" i="1"/>
  <c r="U294" i="1" l="1"/>
  <c r="U296" i="1" s="1"/>
  <c r="V292" i="1"/>
  <c r="Y227" i="1"/>
  <c r="Z225" i="1"/>
  <c r="V294" i="1" l="1"/>
  <c r="V296" i="1" s="1"/>
  <c r="W292" i="1"/>
  <c r="Z227" i="1"/>
  <c r="AA225" i="1"/>
  <c r="W294" i="1" l="1"/>
  <c r="W296" i="1" s="1"/>
  <c r="X292" i="1"/>
  <c r="AA227" i="1"/>
  <c r="AB225" i="1"/>
  <c r="AC189" i="1" l="1"/>
  <c r="AB227" i="1"/>
  <c r="X294" i="1"/>
  <c r="X296" i="1" s="1"/>
  <c r="Y292" i="1"/>
  <c r="E189" i="1" l="1"/>
  <c r="AC248" i="1"/>
  <c r="AC168" i="1"/>
  <c r="AC218" i="1"/>
  <c r="AC223" i="1"/>
  <c r="AC225" i="1" s="1"/>
  <c r="AC227" i="1" s="1"/>
  <c r="AC178" i="1"/>
  <c r="Y294" i="1"/>
  <c r="Y296" i="1" s="1"/>
  <c r="AC219" i="1" l="1"/>
  <c r="C223" i="1"/>
  <c r="E218" i="1"/>
  <c r="AB259" i="1"/>
  <c r="AB260" i="1" s="1"/>
  <c r="AC246" i="1"/>
  <c r="Z292" i="1"/>
  <c r="U168" i="1"/>
  <c r="T168" i="1"/>
  <c r="S168" i="1"/>
  <c r="R168" i="1"/>
  <c r="C189" i="1"/>
  <c r="D189" i="1" s="1"/>
  <c r="Q168" i="1"/>
  <c r="P168" i="1"/>
  <c r="O168" i="1"/>
  <c r="N168" i="1"/>
  <c r="M168" i="1"/>
  <c r="AA168" i="1"/>
  <c r="K168" i="1"/>
  <c r="Z168" i="1"/>
  <c r="J168" i="1"/>
  <c r="Y168" i="1"/>
  <c r="I168" i="1"/>
  <c r="X168" i="1"/>
  <c r="H168" i="1"/>
  <c r="AB168" i="1"/>
  <c r="W168" i="1"/>
  <c r="V168" i="1"/>
  <c r="L168" i="1"/>
  <c r="G168" i="1"/>
  <c r="H26" i="1"/>
  <c r="F168" i="1"/>
  <c r="C118" i="1"/>
  <c r="C191" i="1"/>
  <c r="D191" i="1" s="1"/>
  <c r="C218" i="1"/>
  <c r="C224" i="1" s="1"/>
  <c r="E168" i="1" l="1"/>
  <c r="D168" i="1" s="1"/>
  <c r="Z294" i="1"/>
  <c r="Z296" i="1" s="1"/>
  <c r="I26" i="1"/>
  <c r="I33" i="1" s="1"/>
  <c r="C23" i="1"/>
  <c r="E190" i="1"/>
  <c r="H33" i="1"/>
  <c r="H35" i="1" s="1"/>
  <c r="D221" i="1"/>
  <c r="D218" i="1"/>
  <c r="D217" i="1"/>
  <c r="C28" i="1"/>
  <c r="B227" i="1" s="1"/>
  <c r="AA292" i="1" l="1"/>
  <c r="AA294" i="1" l="1"/>
  <c r="AA296" i="1" s="1"/>
  <c r="AB292" i="1"/>
  <c r="AB294" i="1" l="1"/>
  <c r="AB296" i="1" s="1"/>
  <c r="AC292" i="1"/>
  <c r="AC294" i="1" s="1"/>
  <c r="AC296" i="1" s="1"/>
</calcChain>
</file>

<file path=xl/sharedStrings.xml><?xml version="1.0" encoding="utf-8"?>
<sst xmlns="http://schemas.openxmlformats.org/spreadsheetml/2006/main" count="530" uniqueCount="271">
  <si>
    <r>
      <rPr>
        <b/>
        <sz val="16"/>
        <color rgb="FFF0EAE4"/>
        <rFont val="Calibri"/>
        <family val="2"/>
      </rPr>
      <t>Disclaimer</t>
    </r>
    <r>
      <rPr>
        <sz val="12"/>
        <color rgb="FFF0EAE4"/>
        <rFont val="Calibri"/>
        <family val="2"/>
      </rPr>
      <t xml:space="preserve">
This Excel model is intended exclusively for internal use by</t>
    </r>
    <r>
      <rPr>
        <b/>
        <sz val="12"/>
        <color rgb="FFF0EAE4"/>
        <rFont val="Calibri"/>
        <family val="2"/>
      </rPr>
      <t xml:space="preserve"> Rasf Investment</t>
    </r>
    <r>
      <rPr>
        <sz val="12"/>
        <color rgb="FFF0EAE4"/>
        <rFont val="Calibri"/>
        <family val="2"/>
      </rPr>
      <t>. Unauthorized use or distribution for any other purpose is strictly prohibited</t>
    </r>
  </si>
  <si>
    <t>اسم المشروع</t>
  </si>
  <si>
    <t>RF074-250901 - Hotel العليا</t>
  </si>
  <si>
    <t>المكون
(Component)</t>
  </si>
  <si>
    <t>موقع المشروع</t>
  </si>
  <si>
    <t>الموقع</t>
  </si>
  <si>
    <t>سكني 
(Apartments)</t>
  </si>
  <si>
    <t>فلل
(Villas)</t>
  </si>
  <si>
    <t>-</t>
  </si>
  <si>
    <t>تاون هاوس
(Townhouse)</t>
  </si>
  <si>
    <t>أدوار
(Floors)</t>
  </si>
  <si>
    <t>أستوديوهات
(Studios)</t>
  </si>
  <si>
    <t>مكتبي 
(Office)</t>
  </si>
  <si>
    <t>تجاري
 (Retail)</t>
  </si>
  <si>
    <t>فندقي 
(Hotel)</t>
  </si>
  <si>
    <t>صحي 
(health)</t>
  </si>
  <si>
    <t>شاليهات
(Chalets)</t>
  </si>
  <si>
    <t xml:space="preserve"> Feasibility Study Summary | ملخص دراسة الجدوى</t>
  </si>
  <si>
    <t>Financial Structuring | الهيكلة المالية</t>
  </si>
  <si>
    <t>البند
(Item)</t>
  </si>
  <si>
    <t>القيمة
(Value)</t>
  </si>
  <si>
    <t xml:space="preserve"> رأس المال - (capital)</t>
  </si>
  <si>
    <t>إجمالي الإيرادات
(Total Revenue)</t>
  </si>
  <si>
    <t>المصدر
(Source)</t>
  </si>
  <si>
    <t>SAR</t>
  </si>
  <si>
    <t>%</t>
  </si>
  <si>
    <t>إجمالي تكلفة الأرض
(Total Land Cost)</t>
  </si>
  <si>
    <t>(Equity) - الملكية</t>
  </si>
  <si>
    <t>إجمالي تكلفة البناء
 (Total Construction Cost)</t>
  </si>
  <si>
    <t xml:space="preserve"> الاشتراكات النقدية
 (Cash Subscription)</t>
  </si>
  <si>
    <t>إجمالي التكاليف الأخرى
 (Total Other cost)</t>
  </si>
  <si>
    <t xml:space="preserve"> الاشتراك من مدير الصندوق
 (fund manager's Subscription)</t>
  </si>
  <si>
    <t>إجمالي رسوم الصندوق
(Total Fund Fees)</t>
  </si>
  <si>
    <t>الأشتراك النقدي من المطور
(Cash Subscription from Developer)</t>
  </si>
  <si>
    <t>لا يــــنــطــبــق</t>
  </si>
  <si>
    <t>فوائد التمويل
 (Interest)</t>
  </si>
  <si>
    <t>الأشتراك العيني من المطور
(In-Kind Subscription from Developer)</t>
  </si>
  <si>
    <t xml:space="preserve"> التمويل البنكي
 (Bank Financing)</t>
  </si>
  <si>
    <t xml:space="preserve"> الإشتراك العيني من مالك الأرض
 (In-Kind Subscription from Landowner)</t>
  </si>
  <si>
    <t>إجمالي التكاليف الرأسمالية للمشروع
(Total Capital Expenditures)</t>
  </si>
  <si>
    <t>إجمالي الملكية 
(Total Equity)</t>
  </si>
  <si>
    <t>إجمالي التكاليف التشغيلية
(Total Operating Expenses)</t>
  </si>
  <si>
    <t xml:space="preserve"> التمويل البنكي - (Bank Financing)</t>
  </si>
  <si>
    <t>صافي الدخل
(Net Income)</t>
  </si>
  <si>
    <t xml:space="preserve"> إجمالي التمويل البنكي
 (Total Bank Financing)</t>
  </si>
  <si>
    <t>مدة المشروع المتوقعة - سنوي
  (Estimated Project Duration - Years)</t>
  </si>
  <si>
    <r>
      <t xml:space="preserve">معدل العائد الداخلي
</t>
    </r>
    <r>
      <rPr>
        <sz val="8"/>
        <color theme="5" tint="-0.249977111117893"/>
        <rFont val="Calibri"/>
        <family val="2"/>
      </rPr>
      <t>(IRR)</t>
    </r>
  </si>
  <si>
    <t>تمويل تشغيلي خارج هيكل رأس المال - (Off-Capital-Structure Operational Financing)</t>
  </si>
  <si>
    <t>البيع على الخارطة
(Off-Plan Sales)</t>
  </si>
  <si>
    <r>
      <t xml:space="preserve">العائد على الإستثمار
</t>
    </r>
    <r>
      <rPr>
        <sz val="8"/>
        <color theme="5" tint="-0.249977111117893"/>
        <rFont val="Calibri"/>
        <family val="2"/>
      </rPr>
      <t xml:space="preserve">(ROI) </t>
    </r>
    <r>
      <rPr>
        <sz val="8"/>
        <color theme="1"/>
        <rFont val="Calibri"/>
        <family val="2"/>
      </rPr>
      <t xml:space="preserve"> </t>
    </r>
  </si>
  <si>
    <t>مصادر أخرى
(Other Sources)</t>
  </si>
  <si>
    <t>إجمالي التمويل التشغيلي 
 (Total Operational Financing)</t>
  </si>
  <si>
    <r>
      <t xml:space="preserve">العائد على الملكية
</t>
    </r>
    <r>
      <rPr>
        <sz val="8"/>
        <color theme="5" tint="-0.249977111117893"/>
        <rFont val="Calibri"/>
        <family val="2"/>
      </rPr>
      <t xml:space="preserve">(ROE) </t>
    </r>
  </si>
  <si>
    <t>الإجمالي - (Total)</t>
  </si>
  <si>
    <t>إجمالي مصادر التمويل 
(Total Financing Sources)</t>
  </si>
  <si>
    <r>
      <t xml:space="preserve">  العائد على الملكية السنوي
</t>
    </r>
    <r>
      <rPr>
        <sz val="8"/>
        <color theme="5" tint="-0.24994659260841701"/>
        <rFont val="Calibri"/>
        <family val="2"/>
      </rPr>
      <t>(ROE Annually</t>
    </r>
    <r>
      <rPr>
        <sz val="8"/>
        <color theme="5" tint="-0.249977111117893"/>
        <rFont val="Calibri"/>
        <family val="2"/>
      </rPr>
      <t>)</t>
    </r>
  </si>
  <si>
    <t xml:space="preserve"> الفرق
 (Difference)</t>
  </si>
  <si>
    <t>تفاصيل الأرض | Land Details</t>
  </si>
  <si>
    <t>رقم الأرض
(Land Number)</t>
  </si>
  <si>
    <t>المساحة الأرض
(Land Area)</t>
  </si>
  <si>
    <t>التكلفة للمتر
(Cost per SQM)</t>
  </si>
  <si>
    <t xml:space="preserve">تكلفة الأرض قبل الضرائب
(Land Cost Before Taxes) </t>
  </si>
  <si>
    <t>ضريبة التصرفات العقارية
(RETT)</t>
  </si>
  <si>
    <t>السعي
(Commission)</t>
  </si>
  <si>
    <t>ضريبة السعي
(Commission tax)</t>
  </si>
  <si>
    <t>إجمالي تكلفة الأرض بعد الضرائب 
 (Total Land Cost After Taxes)</t>
  </si>
  <si>
    <t>معامل البناء
(FAR)</t>
  </si>
  <si>
    <r>
      <t>إجمالي مسطحات البناء فوق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</si>
  <si>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الإجمالي
 (Total)</t>
  </si>
  <si>
    <t>Construction Details and Costs | تفاصيل البناء و تكاليفة</t>
  </si>
  <si>
    <t>طول الأرض على الشارع
(Land Frontage)</t>
  </si>
  <si>
    <t>عمق الأرض
(Land Depth)</t>
  </si>
  <si>
    <r>
      <t>إجمالي المساحة التطويرية 
(</t>
    </r>
    <r>
      <rPr>
        <sz val="8"/>
        <color theme="5" tint="0.59999389629810485"/>
        <rFont val="Calibri"/>
        <family val="2"/>
      </rPr>
      <t>T</t>
    </r>
    <r>
      <rPr>
        <sz val="8"/>
        <color theme="0"/>
        <rFont val="Calibri"/>
        <family val="2"/>
      </rPr>
      <t xml:space="preserve">otal </t>
    </r>
    <r>
      <rPr>
        <sz val="8"/>
        <color theme="5" tint="0.59999389629810485"/>
        <rFont val="Calibri"/>
        <family val="2"/>
      </rPr>
      <t>D</t>
    </r>
    <r>
      <rPr>
        <sz val="8"/>
        <color theme="0"/>
        <rFont val="Calibri"/>
        <family val="2"/>
      </rPr>
      <t xml:space="preserve">evelopment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</si>
  <si>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المبنية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uilt-Up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</si>
  <si>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البنائية فوق مستوى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</si>
  <si>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المساحات القابلة للبيع
(</t>
    </r>
    <r>
      <rPr>
        <sz val="8"/>
        <color theme="5" tint="0.59999389629810485"/>
        <rFont val="Calibri"/>
        <family val="2"/>
      </rPr>
      <t>N</t>
    </r>
    <r>
      <rPr>
        <sz val="8"/>
        <color theme="0"/>
        <rFont val="Calibri"/>
        <family val="2"/>
      </rPr>
      <t xml:space="preserve">et </t>
    </r>
    <r>
      <rPr>
        <sz val="8"/>
        <color theme="5" tint="0.59999389629810485"/>
        <rFont val="Calibri"/>
        <family val="2"/>
      </rPr>
      <t>S</t>
    </r>
    <r>
      <rPr>
        <sz val="8"/>
        <color theme="0"/>
        <rFont val="Calibri"/>
        <family val="2"/>
      </rPr>
      <t xml:space="preserve">ellable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</si>
  <si>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المواقف
(Parking)</t>
  </si>
  <si>
    <t>معيار المواقف
(Parking Standards)</t>
  </si>
  <si>
    <t>نسبة المكون من المساحة البنائية
(GBA-%)</t>
  </si>
  <si>
    <t>إجمالي المساحة البنائية للمكون 
(GBA)</t>
  </si>
  <si>
    <t>نسبة المساحات الصافية القابلة للبيع
  (NSA-%)</t>
  </si>
  <si>
    <t>المساحات الصافية القابلة للبيع
(NSA)</t>
  </si>
  <si>
    <t>مساحة الوحدة
(Unit Area)</t>
  </si>
  <si>
    <t>عدد الوحدات
(Number of Units)</t>
  </si>
  <si>
    <t>تكلفة متر البناء
 (Construction cost Per m²)</t>
  </si>
  <si>
    <t>اجمالي التكاليف
(Total Costs)</t>
  </si>
  <si>
    <t>المساحات الحركية والخدمية
(Circulation &amp; Service Areas)</t>
  </si>
  <si>
    <t>لاند سكيب* 
(Landscape)</t>
  </si>
  <si>
    <t>قبو *
(Basement)</t>
  </si>
  <si>
    <t>بوديوم*
 (Podium)</t>
  </si>
  <si>
    <t>إجمالي المواقف المطلوبة
(Total Required Parking Spaces)</t>
  </si>
  <si>
    <t>من مساحة الأرض*
(Based on Land Area)</t>
  </si>
  <si>
    <t>إجمالي وحدات المشروع
(Total Project Units)</t>
  </si>
  <si>
    <t>إجمالي المواقف المتوفرة
(Total Available Parking Spaces)</t>
  </si>
  <si>
    <t xml:space="preserve">فارق المواقف
(Parking Deficit) </t>
  </si>
  <si>
    <t>Other Cost | التكاليف الأخرى</t>
  </si>
  <si>
    <t>نسبة البند من إجمالي التكاليف الأخرى
(Item % of Total Other Costs)</t>
  </si>
  <si>
    <t>المعيار
(Standard)</t>
  </si>
  <si>
    <t>التسوير 
 (Fencing)</t>
  </si>
  <si>
    <t>الحفر والمسح والاختبار 
 (Excavation, surveying, and testing)</t>
  </si>
  <si>
    <t>التأمين 
 (Insurance)</t>
  </si>
  <si>
    <t>الرخصة 
 (License)</t>
  </si>
  <si>
    <t>التصميم
(Design)</t>
  </si>
  <si>
    <t>أثاث الوحدات الفندقية 
 (Hotel Furniture Units)</t>
  </si>
  <si>
    <t>أثاث الوحدات
 (Furniture Units)</t>
  </si>
  <si>
    <t>رسوم الكهرباء 
 (Electricity fees)</t>
  </si>
  <si>
    <t>رسوم الماء وصرف الصحي 
 (Water and sewer fees)</t>
  </si>
  <si>
    <t>الفرز 
 (Sorting)</t>
  </si>
  <si>
    <t>الصيانة و التشغيل 
 (Maintenance and Operation)</t>
  </si>
  <si>
    <t>الاحتياطي 
 (Contingency)</t>
  </si>
  <si>
    <t>تسويق المبيعات
 (Sales Marketing)</t>
  </si>
  <si>
    <t>تسويق التأجير
(Leasing Marketing)</t>
  </si>
  <si>
    <t>تسويق البيع على الخارطة
 (Off-Plan Sales Marketing)</t>
  </si>
  <si>
    <t>الإشراف الهندسي 
 (Engineering Supervision)</t>
  </si>
  <si>
    <t>إجمالي التكاليف الأخرى 
 (Total Other Cost)</t>
  </si>
  <si>
    <t>تفاصيل تكاليف الصندوق | Fund Cost Details</t>
  </si>
  <si>
    <t>تكاليف المطور 
 (Developer costs)</t>
  </si>
  <si>
    <t>رسوم الصندوق 
 (Fund fees)</t>
  </si>
  <si>
    <t>التكاليف الأخرى للصندوق
 (Other costs)</t>
  </si>
  <si>
    <t>الإجمالي
(Total)</t>
  </si>
  <si>
    <t>ملخص تكاليف المشروع | Project Costs</t>
  </si>
  <si>
    <t>اجمالي تكلفة الأرض
(Total Land Cost)</t>
  </si>
  <si>
    <t xml:space="preserve"> اجمالي تكلفة البناء
 (Total construction cost)</t>
  </si>
  <si>
    <t>إجمالي التكاليف الأخرى 
 (Total other costs)</t>
  </si>
  <si>
    <t>إجمالي تكلفة التطوير  
 (Total development cost)</t>
  </si>
  <si>
    <t xml:space="preserve">إجمالي تكاليف الصندوق 
 (Total fund costs)  </t>
  </si>
  <si>
    <t xml:space="preserve">  إجمالي التكاليف الكاملة للمشروع 
 (Total Project Costs)</t>
  </si>
  <si>
    <t>الملكية
(Equity)</t>
  </si>
  <si>
    <t>التمويل | Finance</t>
  </si>
  <si>
    <t>التمويل المطلوب 
 (Required financing)</t>
  </si>
  <si>
    <t>الإطار الزمني | Time frame</t>
  </si>
  <si>
    <t>مدة المشروع المتوقعة
  (Estimated Project Duration)</t>
  </si>
  <si>
    <t>بالأشهر - Months</t>
  </si>
  <si>
    <t>بالسنين - Years</t>
  </si>
  <si>
    <t>ربع سنوي - Quarterly</t>
  </si>
  <si>
    <t>البيع المباشر | Direct Sale</t>
  </si>
  <si>
    <t xml:space="preserve"> CAP-RATE | معدل الرسملة    </t>
  </si>
  <si>
    <t>البيع على الخارطة | Off-Plan Sale</t>
  </si>
  <si>
    <t>عدد الوحدات
(Number of units)</t>
  </si>
  <si>
    <t>نسبة البيع
 (Selling-%)</t>
  </si>
  <si>
    <t>نسبة العائد على التكلفة لكل م²‌ بيعي
(Return on Cost per Sellable m²)</t>
  </si>
  <si>
    <t>سعر بيع المتر 
(Sale Price per m²)</t>
  </si>
  <si>
    <t>قيمة الوحدة 
(Unit Value)</t>
  </si>
  <si>
    <t>اجمالي المبيعات
(Total Sales)</t>
  </si>
  <si>
    <t>قيمة الوحدة
(Units Value)</t>
  </si>
  <si>
    <t>رسوم وافي 
 (Wafi fees)</t>
  </si>
  <si>
    <t>أتعاب المحاسب القانوني والاستشاري الهندسي
(Certified Accountant &amp; Engineering Supervision Fees)</t>
  </si>
  <si>
    <t>قيمة أستقطاع الضمان 
(Retention Guarantee Amount)</t>
  </si>
  <si>
    <t>صافي المبيعات على الخارطة
 (Net Off-Plan Sales)</t>
  </si>
  <si>
    <t>التأجير السنوي | Annual Leasing</t>
  </si>
  <si>
    <t xml:space="preserve">  التأجير اليومي | Daily leasing</t>
  </si>
  <si>
    <t>عدد الوحدات
(Number Of Units)</t>
  </si>
  <si>
    <t>مساحة الوحدة
(Unit area)</t>
  </si>
  <si>
    <t>تأجير المتر
(Meter Rental)</t>
  </si>
  <si>
    <t xml:space="preserve">قيمة تأجير الوحدة السنوي
(Annual Unit Rental Value) </t>
  </si>
  <si>
    <t>نسبة الإشغال
(Occupancy Rate)</t>
  </si>
  <si>
    <t>إجمالي إيرادات التأجير السنوي
(Total Annual Rental Revenue)</t>
  </si>
  <si>
    <r>
      <t>التكاليف التشغيلية
(</t>
    </r>
    <r>
      <rPr>
        <sz val="8"/>
        <color theme="5" tint="0.59999389629810485"/>
        <rFont val="Calibri"/>
        <family val="2"/>
      </rPr>
      <t>Op</t>
    </r>
    <r>
      <rPr>
        <sz val="8"/>
        <color theme="0"/>
        <rFont val="Calibri"/>
        <family val="2"/>
      </rPr>
      <t xml:space="preserve">erating </t>
    </r>
    <r>
      <rPr>
        <sz val="8"/>
        <color theme="5" tint="0.59999389629810485"/>
        <rFont val="Calibri"/>
        <family val="2"/>
      </rPr>
      <t>Ex</t>
    </r>
    <r>
      <rPr>
        <sz val="8"/>
        <color theme="0"/>
        <rFont val="Calibri"/>
        <family val="2"/>
      </rPr>
      <t>penditures)</t>
    </r>
  </si>
  <si>
    <t>المؤشر الإرشادي لتسعير المتر التأجيري
(Estimated Rental Price Index per m²)</t>
  </si>
  <si>
    <t>فترة استرداد رأس المال - بالسنوات
(Payback Period - in Years)</t>
  </si>
  <si>
    <t>العائد على التكلفة - سنوي
(Return on Cost - Annual)</t>
  </si>
  <si>
    <r>
      <t>إجمالي الربح التشغيلي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O</t>
    </r>
    <r>
      <rPr>
        <sz val="8"/>
        <color theme="0"/>
        <rFont val="Calibri"/>
        <family val="2"/>
      </rPr>
      <t xml:space="preserve">perating </t>
    </r>
    <r>
      <rPr>
        <sz val="8"/>
        <color theme="5" tint="0.59999389629810485"/>
        <rFont val="Calibri"/>
        <family val="2"/>
      </rPr>
      <t>P</t>
    </r>
    <r>
      <rPr>
        <sz val="8"/>
        <color theme="0"/>
        <rFont val="Calibri"/>
        <family val="2"/>
      </rPr>
      <t>rofit)</t>
    </r>
  </si>
  <si>
    <t>عدد الوحدات المشغولة - سنوي
(Number of Occupied Units - Annually)</t>
  </si>
  <si>
    <r>
      <t>متوسط السعر اليومي للغرفة المشغولة
(</t>
    </r>
    <r>
      <rPr>
        <sz val="7"/>
        <color theme="5" tint="0.59999389629810485"/>
        <rFont val="Calibri"/>
        <family val="2"/>
      </rPr>
      <t>A</t>
    </r>
    <r>
      <rPr>
        <sz val="7"/>
        <color theme="0"/>
        <rFont val="Calibri"/>
        <family val="2"/>
      </rPr>
      <t xml:space="preserve">verage </t>
    </r>
    <r>
      <rPr>
        <sz val="7"/>
        <color theme="5" tint="0.59999389629810485"/>
        <rFont val="Calibri"/>
        <family val="2"/>
      </rPr>
      <t>D</t>
    </r>
    <r>
      <rPr>
        <sz val="7"/>
        <color theme="0"/>
        <rFont val="Calibri"/>
        <family val="2"/>
      </rPr>
      <t xml:space="preserve">aily </t>
    </r>
    <r>
      <rPr>
        <sz val="7"/>
        <color theme="5" tint="0.59999389629810485"/>
        <rFont val="Calibri"/>
        <family val="2"/>
      </rPr>
      <t>R</t>
    </r>
    <r>
      <rPr>
        <sz val="7"/>
        <color theme="0"/>
        <rFont val="Calibri"/>
        <family val="2"/>
      </rPr>
      <t>ate)</t>
    </r>
  </si>
  <si>
    <r>
      <t xml:space="preserve"> الإيراد الفعلي للوحدة السنوي
(</t>
    </r>
    <r>
      <rPr>
        <sz val="7"/>
        <color theme="5" tint="0.59999389629810485"/>
        <rFont val="Calibri"/>
        <family val="2"/>
      </rPr>
      <t>E</t>
    </r>
    <r>
      <rPr>
        <sz val="7"/>
        <color theme="0"/>
        <rFont val="Calibri"/>
        <family val="2"/>
      </rPr>
      <t xml:space="preserve">ffective 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I</t>
    </r>
    <r>
      <rPr>
        <sz val="7"/>
        <color theme="0"/>
        <rFont val="Calibri"/>
        <family val="2"/>
      </rPr>
      <t>ncome per Unit)</t>
    </r>
  </si>
  <si>
    <t>نسبة إيرادات الأنشطة الإضافية
(Ancillary Revenue)</t>
  </si>
  <si>
    <t>التكاليف التشغيلية والإدارية
(Operating &amp; Administrative Costs)</t>
  </si>
  <si>
    <t>المؤشر الإرشادي لتسعير الوحدة اليومي
(Estimated Rental Price Index per Units</t>
  </si>
  <si>
    <r>
      <t>إجمالي الربح التشغيلي
(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O</t>
    </r>
    <r>
      <rPr>
        <sz val="7"/>
        <color theme="0"/>
        <rFont val="Calibri"/>
        <family val="2"/>
      </rPr>
      <t xml:space="preserve">perating </t>
    </r>
    <r>
      <rPr>
        <sz val="7"/>
        <color theme="5" tint="0.59999389629810485"/>
        <rFont val="Calibri"/>
        <family val="2"/>
      </rPr>
      <t>P</t>
    </r>
    <r>
      <rPr>
        <sz val="7"/>
        <color theme="0"/>
        <rFont val="Calibri"/>
        <family val="2"/>
      </rPr>
      <t>rofit)</t>
    </r>
  </si>
  <si>
    <t>جـــــــــدول تفاصيل التدفـــــــــــــقات النقديــــــــــــــــــــــــة | Cash Flow Details</t>
  </si>
  <si>
    <t>النسب المئوية للتدفقات النقدية
(Percentage Breakdown of Cash Flows)</t>
  </si>
  <si>
    <t>الإطار الزمني (بالسنوات) - Time frame (Years)</t>
  </si>
  <si>
    <t>Y1</t>
  </si>
  <si>
    <t>Y2</t>
  </si>
  <si>
    <t>Y3</t>
  </si>
  <si>
    <t>Y4</t>
  </si>
  <si>
    <t>Y5</t>
  </si>
  <si>
    <t>Y6</t>
  </si>
  <si>
    <t>المجموع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</si>
  <si>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</si>
  <si>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</si>
  <si>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</si>
  <si>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</si>
  <si>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</si>
  <si>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</si>
  <si>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</si>
  <si>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</si>
  <si>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</si>
  <si>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</si>
  <si>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</si>
  <si>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</si>
  <si>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</si>
  <si>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</si>
  <si>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</si>
  <si>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</si>
  <si>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</si>
  <si>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</si>
  <si>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</si>
  <si>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</si>
  <si>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</si>
  <si>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</si>
  <si>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</si>
  <si>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</si>
  <si>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البيع على الخارطة
(Off-Plan Sale)</t>
  </si>
  <si>
    <t>أصل التمويل 
(Principal)</t>
  </si>
  <si>
    <t>سداد أصل التمويل
 (Principal Repayment)</t>
  </si>
  <si>
    <t>رسوم الصندوق
 (Fund costs)</t>
  </si>
  <si>
    <t xml:space="preserve"> إيرادات التأجير السنوي
 (Annual Leasing income)</t>
  </si>
  <si>
    <t>إيرادات التأجير اليومي 
(Daily leasing income)</t>
  </si>
  <si>
    <t>البيع المباشر
(Direct Sale)</t>
  </si>
  <si>
    <t>المخارجة 
(Buyout)</t>
  </si>
  <si>
    <t>تكاليف مسطحات البناء
(Construction Costs)</t>
  </si>
  <si>
    <t>التدفقات النقدية الداخلة - (Cash Inflows)</t>
  </si>
  <si>
    <t>الإطار الزمني - Time frame</t>
  </si>
  <si>
    <t>حجم التمويل للفترة - (Principal amount for the period)</t>
  </si>
  <si>
    <t>القيمة الإجمالية
(Total Value)</t>
  </si>
  <si>
    <t>المجموع بناء على التدفقات النقدية
(Total Based on Cash Flows)</t>
  </si>
  <si>
    <t>إجمالي إيرادات التأجير اليومي
(Total Daily Rental Revenue)</t>
  </si>
  <si>
    <t xml:space="preserve">المخارجة 
(Buyout) </t>
  </si>
  <si>
    <t>أصل التمويل
(Principal)</t>
  </si>
  <si>
    <t>التدفقات النقدية الخارجة - (Cash Outflows)</t>
  </si>
  <si>
    <t>رسوم ترتيب التمويل 
(Arrangement Fee)</t>
  </si>
  <si>
    <t>تكلفة الأرض
 (Land Cost)</t>
  </si>
  <si>
    <t>ضريبة التصرفات العقارية + السعي + ضريبة السعي 
-
(RETT + Commission + Commission tax)</t>
  </si>
  <si>
    <t>تكاليف مسطحات البناء 
(Construction Costs)</t>
  </si>
  <si>
    <t>التسوير 
 (Fence - surrounding the land)</t>
  </si>
  <si>
    <t>الرخصة
 (License)</t>
  </si>
  <si>
    <t>التصميم
 (Design)</t>
  </si>
  <si>
    <t>أثاث الوحدات الفندقية 
 (Apartment furniture)</t>
  </si>
  <si>
    <t>أثاث الوحدات 
 (Apartment furniture)</t>
  </si>
  <si>
    <t>رسوم كهرباء 
 (Electricity fees)</t>
  </si>
  <si>
    <t>تكاليف التشغيل والصيانة الخاصة بالإجار
(O&amp;M Costs for Leasing)</t>
  </si>
  <si>
    <t>رسوم الصندوق
 (Fund fees)</t>
  </si>
  <si>
    <t>التكاليف الأخرى للصندوق
(Other Fund Costs)</t>
  </si>
  <si>
    <t>تكاليف المطور 
(Developer costs)</t>
  </si>
  <si>
    <t xml:space="preserve"> صافي التدفق النقدي
(Net cash flow)</t>
  </si>
  <si>
    <t>إجمالي التكاليف الرأسمالية للمشروع + إجمالي التكاليف التشغيلية
(Total Capital Expenditures) + (Total Operating Expenses)</t>
  </si>
  <si>
    <t>إجمالي الإرادات
(Total Revenue)</t>
  </si>
  <si>
    <t>المؤشرات المالية | Financial Indicators</t>
  </si>
  <si>
    <r>
      <t xml:space="preserve">  العائد على الملكية السنوي
</t>
    </r>
    <r>
      <rPr>
        <sz val="8"/>
        <color rgb="FFC65911"/>
        <rFont val="Calibri"/>
        <family val="2"/>
      </rPr>
      <t>(ROE Annually)</t>
    </r>
  </si>
  <si>
    <t>جدول التسهيلات المصرفية | Bank Facilities Table</t>
  </si>
  <si>
    <t>الإطار الزمني
(Time frame)</t>
  </si>
  <si>
    <t>نسبة فوائد التمويل السنوية
 (Annual Interest)</t>
  </si>
  <si>
    <t>نسبة فوائد التمويل الربع السنوية
 (QER)</t>
  </si>
  <si>
    <t>حجم التمويل للفترة 
 (Principal amount for the period)</t>
  </si>
  <si>
    <t>أصل التمويل 
 (Principal)</t>
  </si>
  <si>
    <t>فوائد التمويل 
(Interest)</t>
  </si>
  <si>
    <t xml:space="preserve">فوائد التمويل + رسوم ترتيب التمويل 
(Arrangement Fee + Interest) </t>
  </si>
  <si>
    <t>إجمالي مبلغ التمويل</t>
  </si>
  <si>
    <t>إجمالي الفوائد</t>
  </si>
  <si>
    <t>البيع على  الخارطة | Off-Plan Sale</t>
  </si>
  <si>
    <t>عدد الوحدات المباعة خلال الفترة 
 (Number of Units Sold During the Period)</t>
  </si>
  <si>
    <t>إجمالي تكاليف مسطحات البناء
(Total Construction Costs)</t>
  </si>
  <si>
    <t>نسب الإنجاز - ربع سنوي 
 (Progress Percentage Quarterly)</t>
  </si>
  <si>
    <t>نسبة الإنجاز التراكمية 
 (Cumulative Progress Percentage)</t>
  </si>
  <si>
    <t>قيمة بيع الوحدات
(Units Sales Value)</t>
  </si>
  <si>
    <t>رسوم وافي
(Wafi Fees)</t>
  </si>
  <si>
    <t>أتعاب المكتب الاستشاري الهندسي
(Engineering Supervision Fees)</t>
  </si>
  <si>
    <t>تكاليف المحاسب القانوني المعتمد
(Certified Accountant Fees)</t>
  </si>
  <si>
    <t>إجمالي قيمة أستقطاع الضمان
(Total Retention Guarantee Amount)</t>
  </si>
  <si>
    <t>قيم الدفعات الأولى
(Down Payments)</t>
  </si>
  <si>
    <t>صافي القيمة بعد استقطاع البنود بالأعلى 
 (Net Value After Deducting the Above Items)</t>
  </si>
  <si>
    <t>حساب الضمان
(Escrow Account)</t>
  </si>
  <si>
    <t>دفعات مراحل الإنجاز
(Milestone Payments)</t>
  </si>
  <si>
    <t xml:space="preserve">قيم الدفعات الأولى + دفعات مراحل الإنجاز
(Down Payments) + (Milestone Payments) </t>
  </si>
  <si>
    <t>ملخص البيع على الخارطة | Off-Plan Sale Summary</t>
  </si>
  <si>
    <t>إجمالي إيرادات البيع على الخارطة
(Total Off-Plan Sales Revenue)</t>
  </si>
  <si>
    <t>عدد الوحدات المباعة
(Number of Units Sold)</t>
  </si>
  <si>
    <t>متوسط سعر بيع الوحدة
(Average Units Sales Value)</t>
  </si>
  <si>
    <t>إجمالي قيمة رسوم وافي
(Total Wafi Fees)</t>
  </si>
  <si>
    <t>صافي المبيعات على الخارطة 
 (Net Off-Plan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</si>
</sst>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3" formatCode="_(* #,##0.00_);_(* \(#,##0.00\);_(* &quot;-&quot;??_);_(@_)"/>
    <numFmt numFmtId="164" formatCode="#,##0\ \ &quot;مجموع القيم السابقة&quot;"/>
    <numFmt numFmtId="165" formatCode="&quot;Avg&quot;\ #,##0"/>
    <numFmt numFmtId="166" formatCode="&quot;Avg&quot;\ 0%"/>
    <numFmt numFmtId="167" formatCode="#,##0&quot; m²&quot;"/>
    <numFmt numFmtId="168" formatCode="0%\ &quot;من إجمالي الأمتار البيعية&quot;"/>
    <numFmt numFmtId="170" formatCode="#,##0\ &quot;المتبقي من الحد الأعلى للتمويل&quot;"/>
    <numFmt numFmtId="171" formatCode="0.00%\ &quot;نسبة التمويل المطلوب من المسموح&quot;"/>
    <numFmt numFmtId="173" formatCode="0.00%\ &quot;الحد الأعلى لنسبة التمويل البنكي من الأرض&quot;"/>
    <numFmt numFmtId="174" formatCode="_(* #,##0_);_(* \(#,##0\);_(* &quot;-&quot;??_);_(@_)"/>
    <numFmt numFmtId="175" formatCode="0.00%\ &quot;الحد الأعلى لنسبة التمويل البنكي من تكاليف التطوير&quot;"/>
    <numFmt numFmtId="176" formatCode="0.00%\ &quot;نسبة الفائدة السنوية خلال فترة المشروع&quot;"/>
    <numFmt numFmtId="177" formatCode="0.00%\ &quot;إجمالي نسبة فائدة التمويل&quot;"/>
    <numFmt numFmtId="178" formatCode="#,##0\ &quot;اجمالي قيمة فائدة البنك&quot;"/>
    <numFmt numFmtId="179" formatCode="#,##0.0"/>
    <numFmt numFmtId="180" formatCode="0.0%"/>
    <numFmt numFmtId="181" formatCode="#,##0\ &quot;تكلفة متر الأرض قبل الضريبة و السعي&quot;"/>
    <numFmt numFmtId="182" formatCode="0.00%\ \ &quot;من مدة المشروع الإجمالية&quot;"/>
    <numFmt numFmtId="183" formatCode="0.000%"/>
    <numFmt numFmtId="184" formatCode="0%\ &quot;نسبة التحمل&quot;"/>
    <numFmt numFmtId="185" formatCode="#,##0.000000"/>
    <numFmt numFmtId="186" formatCode="#,##0.00_ ;[Red]\-#,##0.00\ "/>
    <numFmt numFmtId="187" formatCode="&quot;Avg&quot;\ 0.00%"/>
    <numFmt numFmtId="188" formatCode="&quot;Avg&quot;\ #,##0&quot; m²&quot;"/>
    <numFmt numFmtId="189" formatCode="#,##0\ &quot;إجمالي تكاليف البناء&quot;"/>
    <numFmt numFmtId="190" formatCode="#,##0_ ;[Red]\-#,##0\ "/>
    <numFmt numFmtId="191" formatCode="0.00%\ &quot;نسبة رسوم المطور&quot;"/>
    <numFmt numFmtId="192" formatCode="0.00%\ &quot;رسوم الصندوق (سنوي)&quot;"/>
    <numFmt numFmtId="193" formatCode="0.00%\ &quot;إجمالي نسبة رسوم الصندوق&quot;"/>
    <numFmt numFmtId="194" formatCode="#,##0.000000000000"/>
    <numFmt numFmtId="195" formatCode="#,##0.00\ &quot;الفترة الزمنية للتمويل (سنوي)&quot;"/>
    <numFmt numFmtId="196" formatCode="#,##0.0000000000000000000000000000000000000000000"/>
    <numFmt numFmtId="197" formatCode="0.00%\ &quot;المتوسط&quot;"/>
    <numFmt numFmtId="198" formatCode="0.0000%"/>
    <numFmt numFmtId="199" formatCode="#,##0\ \ &quot;إجمالي قيمة الصيانة السنوية&quot;"/>
    <numFmt numFmtId="200" formatCode="&quot;Avg&quot;\ #,##0.00"/>
    <numFmt numFmtId="201" formatCode="0%\ &quot; نسبة تكاليف الصيانة السنوية&quot;"/>
    <numFmt numFmtId="202" formatCode="0.00%\ &quot; نسبة التكاليف التشغيلية والإدارية&quot;"/>
    <numFmt numFmtId="203" formatCode="0.00%\ \ &quot;نسبة التحوط&quot;"/>
    <numFmt numFmtId="204" formatCode="#,##0\ \ &quot;عدد الوحدات المتبقية&quot;"/>
    <numFmt numFmtId="205" formatCode="0.00%\ &quot;نسبة الرسوم&quot;"/>
    <numFmt numFmtId="206" formatCode="0%\ &quot;نسبة الدفعة المقدمة&quot;"/>
    <numFmt numFmtId="207" formatCode="_(* #,##0.0000000000_);_(* \(#,##0.0000000000\);_(* &quot;-&quot;??_);_(@_)"/>
  </numFmts>
  <fonts count="4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sz val="7"/>
      <color theme="0"/>
      <name val="Calibri"/>
      <family val="2"/>
    </font>
    <font>
      <sz val="8"/>
      <name val="Arial"/>
      <family val="2"/>
    </font>
    <font>
      <sz val="8"/>
      <color theme="0"/>
      <name val="Arial"/>
      <family val="2"/>
    </font>
    <font>
      <sz val="12"/>
      <color rgb="FFF0EAE4"/>
      <name val="Calibri"/>
      <family val="2"/>
    </font>
    <font>
      <b/>
      <sz val="16"/>
      <color rgb="FFF0EAE4"/>
      <name val="Calibri"/>
      <family val="2"/>
    </font>
    <font>
      <b/>
      <sz val="12"/>
      <color rgb="FFF0EAE4"/>
      <name val="Calibri"/>
      <family val="2"/>
    </font>
    <font>
      <sz val="11"/>
      <color rgb="FF0C2340"/>
      <name val="Arial"/>
    </font>
    <font>
      <sz val="7"/>
      <name val="Calibri"/>
      <family val="2"/>
    </font>
    <font>
      <sz val="7"/>
      <color theme="1"/>
      <name val="Calibri"/>
      <family val="2"/>
    </font>
    <font>
      <u/>
      <sz val="8"/>
      <color rgb="FF493833"/>
      <name val="Arial"/>
      <family val="2"/>
    </font>
    <font>
      <u/>
      <sz val="11"/>
      <color theme="10"/>
      <name val="Arial"/>
    </font>
    <font>
      <sz val="7"/>
      <color theme="0" tint="-0.14999847407452621"/>
      <name val="Calibri"/>
      <family val="2"/>
    </font>
    <font>
      <sz val="7"/>
      <color rgb="FFFF0000"/>
      <name val="Calibri"/>
      <family val="2"/>
    </font>
    <font>
      <sz val="7"/>
      <color theme="9" tint="-0.249977111117893"/>
      <name val="Calibri"/>
      <family val="2"/>
    </font>
    <font>
      <sz val="7"/>
      <color rgb="FFC00000"/>
      <name val="Calibri"/>
      <family val="2"/>
    </font>
    <font>
      <sz val="8"/>
      <color theme="0" tint="-0.14999847407452621"/>
      <name val="Calibri"/>
      <family val="2"/>
    </font>
    <font>
      <sz val="8"/>
      <color theme="0"/>
      <name val="Calibri"/>
      <family val="2"/>
    </font>
    <font>
      <sz val="8"/>
      <color rgb="FFFF0000"/>
      <name val="Calibri"/>
      <family val="2"/>
    </font>
    <font>
      <sz val="8"/>
      <color rgb="FF493833"/>
      <name val="Arial"/>
      <family val="2"/>
    </font>
    <font>
      <sz val="6"/>
      <name val="Arial"/>
      <family val="2"/>
      <scheme val="minor"/>
    </font>
    <font>
      <sz val="6"/>
      <color theme="0" tint="-0.14999847407452621"/>
      <name val="Calibri"/>
      <family val="2"/>
    </font>
    <font>
      <sz val="6"/>
      <name val="Calibri"/>
      <family val="2"/>
    </font>
    <font>
      <sz val="8"/>
      <color theme="9" tint="-0.249977111117893"/>
      <name val="Calibri"/>
      <family val="2"/>
    </font>
    <font>
      <sz val="6"/>
      <color theme="1"/>
      <name val="Calibri"/>
      <family val="2"/>
    </font>
    <font>
      <sz val="8"/>
      <color theme="5" tint="-0.249977111117893"/>
      <name val="Calibri"/>
      <family val="2"/>
    </font>
    <font>
      <sz val="8"/>
      <color theme="5" tint="-0.24994659260841701"/>
      <name val="Calibri"/>
      <family val="2"/>
    </font>
    <font>
      <sz val="8"/>
      <color theme="5" tint="0.59999389629810485"/>
      <name val="Calibri"/>
      <family val="2"/>
    </font>
    <font>
      <sz val="8"/>
      <color rgb="FFC00000"/>
      <name val="Calibri"/>
      <family val="2"/>
    </font>
    <font>
      <sz val="7"/>
      <color rgb="FF00B050"/>
      <name val="Calibri"/>
      <family val="2"/>
    </font>
    <font>
      <sz val="6"/>
      <color theme="0"/>
      <name val="Calibri"/>
      <family val="2"/>
    </font>
    <font>
      <sz val="8"/>
      <color theme="0" tint="-0.249977111117893"/>
      <name val="Calibri"/>
      <family val="2"/>
    </font>
    <font>
      <sz val="7"/>
      <color theme="5" tint="0.59999389629810485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sz val="6"/>
      <color rgb="FFD5D5D5"/>
      <name val="Calibri"/>
      <family val="2"/>
    </font>
    <font>
      <sz val="8"/>
      <color rgb="FFD60000"/>
      <name val="Calibri"/>
      <family val="2"/>
    </font>
    <font>
      <sz val="8"/>
      <color rgb="FFC65911"/>
      <name val="Calibri"/>
      <family val="2"/>
    </font>
    <font>
      <sz val="7"/>
      <color theme="0" tint="-0.249977111117893"/>
      <name val="Calibri"/>
      <family val="2"/>
    </font>
    <font>
      <sz val="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4907E"/>
        <bgColor indexed="64"/>
      </patternFill>
    </fill>
    <fill>
      <patternFill patternType="solid">
        <fgColor rgb="FFF0EAE4"/>
        <bgColor indexed="64"/>
      </patternFill>
    </fill>
    <fill>
      <patternFill patternType="solid">
        <fgColor rgb="FFED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C9A8A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/>
      <top/>
      <bottom/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/>
      <right style="medium">
        <color rgb="FFDAD2CC"/>
      </right>
      <top/>
      <bottom/>
      <diagonal/>
    </border>
    <border>
      <left/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/>
      <bottom style="thin">
        <color rgb="FFDAD2CC"/>
      </bottom>
      <diagonal/>
    </border>
    <border>
      <left style="thin">
        <color rgb="FFDAD2CC"/>
      </left>
      <right/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/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/>
      <diagonal/>
    </border>
    <border>
      <left style="thin">
        <color rgb="FFDAD2CC"/>
      </left>
      <right style="medium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/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/>
      <top style="medium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 style="medium">
        <color rgb="FFDAD2CC"/>
      </bottom>
      <diagonal/>
    </border>
    <border>
      <left/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/>
      <top style="thin">
        <color rgb="FFDAD2CC"/>
      </top>
      <bottom/>
      <diagonal/>
    </border>
    <border>
      <left/>
      <right/>
      <top style="thin">
        <color rgb="FFDAD2CC"/>
      </top>
      <bottom/>
      <diagonal/>
    </border>
    <border>
      <left/>
      <right style="medium">
        <color rgb="FFDAD2CC"/>
      </right>
      <top style="thin">
        <color rgb="FFDAD2CC"/>
      </top>
      <bottom/>
      <diagonal/>
    </border>
    <border>
      <left style="thin">
        <color rgb="FFDAD2CC"/>
      </left>
      <right/>
      <top/>
      <bottom/>
      <diagonal/>
    </border>
    <border>
      <left style="thin">
        <color rgb="FFDAD2CC"/>
      </left>
      <right/>
      <top/>
      <bottom style="thin">
        <color rgb="FFDAD2CC"/>
      </bottom>
      <diagonal/>
    </border>
    <border>
      <left/>
      <right style="medium">
        <color rgb="FFDAD2CC"/>
      </right>
      <top/>
      <bottom style="thin">
        <color rgb="FFDAD2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7">
    <xf numFmtId="0" fontId="0" fillId="0" borderId="0" xfId="0"/>
    <xf numFmtId="3" fontId="3" fillId="2" borderId="0" xfId="0" applyNumberFormat="1" applyFont="1" applyFill="1" applyAlignment="1">
      <alignment horizontal="center" vertical="center" wrapText="1" shrinkToFit="1"/>
    </xf>
    <xf numFmtId="3" fontId="3" fillId="0" borderId="0" xfId="0" applyNumberFormat="1" applyFont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 wrapText="1" shrinkToFit="1"/>
    </xf>
    <xf numFmtId="3" fontId="10" fillId="2" borderId="0" xfId="0" applyNumberFormat="1" applyFont="1" applyFill="1" applyAlignment="1">
      <alignment horizontal="center" vertical="center" wrapText="1" shrinkToFit="1"/>
    </xf>
    <xf numFmtId="0" fontId="13" fillId="0" borderId="0" xfId="0" applyFont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 wrapText="1" shrinkToFit="1"/>
    </xf>
    <xf numFmtId="3" fontId="7" fillId="2" borderId="5" xfId="0" applyNumberFormat="1" applyFont="1" applyFill="1" applyBorder="1" applyAlignment="1">
      <alignment horizontal="center" vertical="center" wrapText="1" shrinkToFit="1"/>
    </xf>
    <xf numFmtId="3" fontId="7" fillId="2" borderId="6" xfId="0" applyNumberFormat="1" applyFont="1" applyFill="1" applyBorder="1" applyAlignment="1">
      <alignment horizontal="center" vertical="center" wrapText="1" shrinkToFit="1"/>
    </xf>
    <xf numFmtId="3" fontId="14" fillId="0" borderId="0" xfId="0" applyNumberFormat="1" applyFont="1" applyAlignment="1">
      <alignment horizontal="center" vertical="center" wrapText="1" shrinkToFit="1"/>
    </xf>
    <xf numFmtId="3" fontId="4" fillId="0" borderId="4" xfId="0" applyNumberFormat="1" applyFont="1" applyBorder="1" applyAlignment="1">
      <alignment horizontal="center" vertical="center" wrapText="1" shrinkToFit="1"/>
    </xf>
    <xf numFmtId="3" fontId="4" fillId="0" borderId="5" xfId="0" applyNumberFormat="1" applyFont="1" applyBorder="1" applyAlignment="1">
      <alignment horizontal="center" vertical="center" wrapText="1" shrinkToFit="1"/>
    </xf>
    <xf numFmtId="3" fontId="4" fillId="0" borderId="6" xfId="0" applyNumberFormat="1" applyFont="1" applyBorder="1" applyAlignment="1">
      <alignment horizontal="center" vertical="center" wrapText="1" shrinkToFit="1"/>
    </xf>
    <xf numFmtId="3" fontId="15" fillId="3" borderId="6" xfId="0" applyNumberFormat="1" applyFont="1" applyFill="1" applyBorder="1" applyAlignment="1">
      <alignment horizontal="center" vertical="center" wrapText="1" shrinkToFit="1"/>
    </xf>
    <xf numFmtId="0" fontId="17" fillId="0" borderId="0" xfId="0" applyFont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 wrapText="1" shrinkToFit="1"/>
    </xf>
    <xf numFmtId="3" fontId="4" fillId="3" borderId="4" xfId="0" applyNumberFormat="1" applyFont="1" applyFill="1" applyBorder="1" applyAlignment="1">
      <alignment horizontal="center" vertical="center" wrapText="1" shrinkToFit="1"/>
    </xf>
    <xf numFmtId="3" fontId="4" fillId="3" borderId="5" xfId="0" applyNumberFormat="1" applyFont="1" applyFill="1" applyBorder="1" applyAlignment="1">
      <alignment horizontal="center" vertical="center" wrapText="1" shrinkToFit="1"/>
    </xf>
    <xf numFmtId="4" fontId="4" fillId="4" borderId="6" xfId="0" applyNumberFormat="1" applyFont="1" applyFill="1" applyBorder="1" applyAlignment="1">
      <alignment horizontal="center" vertical="center" wrapText="1" shrinkToFit="1"/>
    </xf>
    <xf numFmtId="3" fontId="14" fillId="3" borderId="4" xfId="0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Alignment="1">
      <alignment horizontal="center" vertical="center" wrapText="1" shrinkToFit="1"/>
    </xf>
    <xf numFmtId="3" fontId="14" fillId="2" borderId="17" xfId="0" applyNumberFormat="1" applyFont="1" applyFill="1" applyBorder="1" applyAlignment="1">
      <alignment horizontal="center" vertical="center" wrapText="1" shrinkToFit="1"/>
    </xf>
    <xf numFmtId="3" fontId="5" fillId="2" borderId="2" xfId="0" applyNumberFormat="1" applyFont="1" applyFill="1" applyBorder="1" applyAlignment="1">
      <alignment horizontal="center" vertical="center" wrapText="1" shrinkToFit="1"/>
    </xf>
    <xf numFmtId="3" fontId="5" fillId="2" borderId="3" xfId="0" applyNumberFormat="1" applyFont="1" applyFill="1" applyBorder="1" applyAlignment="1">
      <alignment horizontal="center" vertical="center" wrapText="1" shrinkToFit="1"/>
    </xf>
    <xf numFmtId="3" fontId="5" fillId="2" borderId="14" xfId="0" applyNumberFormat="1" applyFont="1" applyFill="1" applyBorder="1" applyAlignment="1">
      <alignment horizontal="center" vertical="center" wrapText="1" shrinkToFit="1"/>
    </xf>
    <xf numFmtId="3" fontId="23" fillId="2" borderId="4" xfId="0" applyNumberFormat="1" applyFont="1" applyFill="1" applyBorder="1" applyAlignment="1">
      <alignment horizontal="center" vertical="center" wrapText="1" shrinkToFit="1"/>
    </xf>
    <xf numFmtId="3" fontId="23" fillId="2" borderId="6" xfId="0" applyNumberFormat="1" applyFont="1" applyFill="1" applyBorder="1" applyAlignment="1">
      <alignment horizontal="center" vertical="center" wrapText="1" shrinkToFit="1"/>
    </xf>
    <xf numFmtId="3" fontId="23" fillId="2" borderId="4" xfId="0" applyNumberFormat="1" applyFont="1" applyFill="1" applyBorder="1" applyAlignment="1">
      <alignment horizontal="center" vertical="center" wrapText="1" shrinkToFit="1"/>
    </xf>
    <xf numFmtId="3" fontId="23" fillId="2" borderId="5" xfId="0" applyNumberFormat="1" applyFont="1" applyFill="1" applyBorder="1" applyAlignment="1">
      <alignment horizontal="center" vertical="center" wrapText="1" shrinkToFit="1"/>
    </xf>
    <xf numFmtId="3" fontId="23" fillId="2" borderId="6" xfId="0" applyNumberFormat="1" applyFont="1" applyFill="1" applyBorder="1" applyAlignment="1">
      <alignment horizontal="center" vertical="center" wrapText="1" shrinkToFit="1"/>
    </xf>
    <xf numFmtId="3" fontId="4" fillId="0" borderId="0" xfId="2" applyNumberFormat="1" applyFont="1" applyFill="1" applyAlignment="1">
      <alignment horizontal="center" vertical="center" wrapText="1" shrinkToFit="1"/>
    </xf>
    <xf numFmtId="3" fontId="3" fillId="0" borderId="4" xfId="0" applyNumberFormat="1" applyFont="1" applyBorder="1" applyAlignment="1">
      <alignment horizontal="center"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9" fontId="14" fillId="0" borderId="0" xfId="2" applyFont="1" applyFill="1" applyAlignment="1">
      <alignment horizontal="center" vertical="center" wrapText="1" shrinkToFit="1"/>
    </xf>
    <xf numFmtId="3" fontId="23" fillId="2" borderId="5" xfId="0" applyNumberFormat="1" applyFont="1" applyFill="1" applyBorder="1" applyAlignment="1">
      <alignment horizontal="center" vertical="center" wrapText="1" shrinkToFit="1"/>
    </xf>
    <xf numFmtId="3" fontId="3" fillId="3" borderId="4" xfId="0" applyNumberFormat="1" applyFont="1" applyFill="1" applyBorder="1" applyAlignment="1">
      <alignment horizontal="center" vertical="center" wrapText="1" shrinkToFit="1"/>
    </xf>
    <xf numFmtId="3" fontId="24" fillId="3" borderId="6" xfId="0" applyNumberFormat="1" applyFont="1" applyFill="1" applyBorder="1" applyAlignment="1">
      <alignment horizontal="center" vertical="center" wrapText="1" shrinkToFit="1"/>
    </xf>
    <xf numFmtId="9" fontId="14" fillId="0" borderId="0" xfId="2" applyFont="1" applyAlignment="1">
      <alignment horizontal="center" vertical="center" wrapText="1" shrinkToFit="1"/>
    </xf>
    <xf numFmtId="3" fontId="14" fillId="0" borderId="0" xfId="2" applyNumberFormat="1" applyFont="1" applyFill="1" applyAlignment="1">
      <alignment horizontal="center" vertical="center" wrapText="1" shrinkToFit="1"/>
    </xf>
    <xf numFmtId="3" fontId="24" fillId="0" borderId="6" xfId="0" applyNumberFormat="1" applyFont="1" applyBorder="1" applyAlignment="1">
      <alignment horizontal="center" vertical="center" wrapText="1" shrinkToFit="1"/>
    </xf>
    <xf numFmtId="3" fontId="3" fillId="0" borderId="5" xfId="0" applyNumberFormat="1" applyFont="1" applyBorder="1" applyAlignment="1">
      <alignment horizontal="center" vertical="center" wrapText="1" shrinkToFit="1"/>
    </xf>
    <xf numFmtId="9" fontId="3" fillId="0" borderId="6" xfId="2" applyFont="1" applyFill="1" applyBorder="1" applyAlignment="1">
      <alignment horizontal="center" vertical="center" wrapText="1" shrinkToFit="1"/>
    </xf>
    <xf numFmtId="3" fontId="3" fillId="3" borderId="5" xfId="0" applyNumberFormat="1" applyFont="1" applyFill="1" applyBorder="1" applyAlignment="1">
      <alignment horizontal="center" vertical="center" wrapText="1" shrinkToFit="1"/>
    </xf>
    <xf numFmtId="9" fontId="3" fillId="3" borderId="6" xfId="2" applyFont="1" applyFill="1" applyBorder="1" applyAlignment="1">
      <alignment horizontal="center" vertical="center" wrapText="1" shrinkToFit="1"/>
    </xf>
    <xf numFmtId="167" fontId="27" fillId="0" borderId="5" xfId="0" applyNumberFormat="1" applyFont="1" applyBorder="1" applyAlignment="1">
      <alignment horizontal="center" vertical="center" wrapText="1" shrinkToFit="1"/>
    </xf>
    <xf numFmtId="167" fontId="27" fillId="3" borderId="5" xfId="0" applyNumberFormat="1" applyFont="1" applyFill="1" applyBorder="1" applyAlignment="1">
      <alignment horizontal="center" vertical="center" wrapText="1" shrinkToFit="1"/>
    </xf>
    <xf numFmtId="10" fontId="14" fillId="0" borderId="0" xfId="2" applyNumberFormat="1" applyFont="1" applyAlignment="1">
      <alignment horizontal="center" vertical="center" wrapText="1" shrinkToFit="1"/>
    </xf>
    <xf numFmtId="3" fontId="14" fillId="0" borderId="0" xfId="1" applyNumberFormat="1" applyFont="1" applyFill="1" applyAlignment="1">
      <alignment horizontal="center" vertical="center" wrapText="1" shrinkToFit="1"/>
    </xf>
    <xf numFmtId="3" fontId="29" fillId="3" borderId="6" xfId="0" applyNumberFormat="1" applyFont="1" applyFill="1" applyBorder="1" applyAlignment="1">
      <alignment horizontal="center" vertical="center" wrapText="1" shrinkToFit="1"/>
    </xf>
    <xf numFmtId="3" fontId="3" fillId="0" borderId="4" xfId="0" applyNumberFormat="1" applyFont="1" applyBorder="1" applyAlignment="1">
      <alignment horizontal="center" vertical="center" wrapText="1" shrinkToFit="1"/>
    </xf>
    <xf numFmtId="3" fontId="3" fillId="0" borderId="5" xfId="0" applyNumberFormat="1" applyFont="1" applyBorder="1" applyAlignment="1">
      <alignment horizontal="center" vertical="center" wrapText="1" shrinkToFit="1"/>
    </xf>
    <xf numFmtId="9" fontId="3" fillId="0" borderId="6" xfId="2" applyFont="1" applyBorder="1" applyAlignment="1">
      <alignment horizontal="center" vertical="center" wrapText="1" shrinkToFit="1"/>
    </xf>
    <xf numFmtId="179" fontId="3" fillId="0" borderId="6" xfId="0" applyNumberFormat="1" applyFont="1" applyBorder="1" applyAlignment="1">
      <alignment horizontal="center" vertical="center" shrinkToFit="1"/>
    </xf>
    <xf numFmtId="3" fontId="3" fillId="3" borderId="4" xfId="0" applyNumberFormat="1" applyFont="1" applyFill="1" applyBorder="1" applyAlignment="1">
      <alignment horizontal="center" vertical="center" wrapText="1" shrinkToFit="1"/>
    </xf>
    <xf numFmtId="9" fontId="29" fillId="3" borderId="6" xfId="2" applyFont="1" applyFill="1" applyBorder="1" applyAlignment="1">
      <alignment horizontal="center" vertical="center" wrapText="1" shrinkToFit="1"/>
    </xf>
    <xf numFmtId="9" fontId="3" fillId="0" borderId="6" xfId="2" applyFont="1" applyBorder="1" applyAlignment="1">
      <alignment horizontal="center" vertical="center" wrapText="1" shrinkToFit="1"/>
    </xf>
    <xf numFmtId="9" fontId="29" fillId="0" borderId="6" xfId="2" applyFont="1" applyFill="1" applyBorder="1" applyAlignment="1">
      <alignment horizontal="center" vertical="center" wrapText="1" shrinkToFit="1"/>
    </xf>
    <xf numFmtId="10" fontId="14" fillId="0" borderId="0" xfId="2" applyNumberFormat="1" applyFont="1" applyFill="1" applyAlignment="1">
      <alignment horizontal="center" vertical="center" wrapText="1" shrinkToFit="1"/>
    </xf>
    <xf numFmtId="180" fontId="29" fillId="3" borderId="6" xfId="2" applyNumberFormat="1" applyFont="1" applyFill="1" applyBorder="1" applyAlignment="1">
      <alignment horizontal="center" vertical="center" wrapText="1" shrinkToFit="1"/>
    </xf>
    <xf numFmtId="180" fontId="4" fillId="0" borderId="7" xfId="2" applyNumberFormat="1" applyFont="1" applyFill="1" applyBorder="1" applyAlignment="1">
      <alignment vertical="center" wrapText="1" shrinkToFit="1"/>
    </xf>
    <xf numFmtId="3" fontId="4" fillId="0" borderId="0" xfId="1" applyNumberFormat="1" applyFont="1" applyFill="1" applyAlignment="1">
      <alignment horizontal="center" vertical="center" wrapText="1" shrinkToFit="1"/>
    </xf>
    <xf numFmtId="10" fontId="22" fillId="3" borderId="6" xfId="2" applyNumberFormat="1" applyFont="1" applyFill="1" applyBorder="1" applyAlignment="1">
      <alignment horizontal="center" vertical="center" wrapText="1" shrinkToFit="1"/>
    </xf>
    <xf numFmtId="180" fontId="29" fillId="0" borderId="6" xfId="2" applyNumberFormat="1" applyFont="1" applyFill="1" applyBorder="1" applyAlignment="1">
      <alignment horizontal="center" vertical="center" wrapText="1" shrinkToFit="1"/>
    </xf>
    <xf numFmtId="180" fontId="4" fillId="0" borderId="7" xfId="2" applyNumberFormat="1" applyFont="1" applyBorder="1" applyAlignment="1">
      <alignment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3" fontId="3" fillId="0" borderId="8" xfId="0" applyNumberFormat="1" applyFont="1" applyBorder="1" applyAlignment="1">
      <alignment horizontal="center" vertical="center" wrapText="1" shrinkToFit="1"/>
    </xf>
    <xf numFmtId="180" fontId="29" fillId="0" borderId="9" xfId="2" applyNumberFormat="1" applyFont="1" applyFill="1" applyBorder="1" applyAlignment="1">
      <alignment horizontal="center" vertical="center" wrapText="1" shrinkToFit="1"/>
    </xf>
    <xf numFmtId="3" fontId="4" fillId="2" borderId="8" xfId="0" applyNumberFormat="1" applyFont="1" applyFill="1" applyBorder="1" applyAlignment="1">
      <alignment horizontal="center" vertical="center" wrapText="1" shrinkToFit="1"/>
    </xf>
    <xf numFmtId="38" fontId="4" fillId="2" borderId="17" xfId="0" applyNumberFormat="1" applyFont="1" applyFill="1" applyBorder="1" applyAlignment="1">
      <alignment horizontal="center" vertical="center" wrapText="1" shrinkToFit="1"/>
    </xf>
    <xf numFmtId="38" fontId="4" fillId="2" borderId="9" xfId="0" applyNumberFormat="1" applyFont="1" applyFill="1" applyBorder="1" applyAlignment="1">
      <alignment horizontal="center" vertical="center" wrapText="1" shrinkToFit="1"/>
    </xf>
    <xf numFmtId="3" fontId="4" fillId="0" borderId="0" xfId="0" applyNumberFormat="1" applyFont="1" applyAlignment="1">
      <alignment vertical="center" wrapText="1" shrinkToFit="1"/>
    </xf>
    <xf numFmtId="3" fontId="4" fillId="0" borderId="0" xfId="2" applyNumberFormat="1" applyFont="1" applyFill="1" applyBorder="1" applyAlignment="1">
      <alignment horizontal="center" vertical="center" wrapText="1" shrinkToFit="1"/>
    </xf>
    <xf numFmtId="183" fontId="4" fillId="0" borderId="0" xfId="2" applyNumberFormat="1" applyFont="1" applyAlignment="1">
      <alignment horizontal="center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3" fontId="29" fillId="0" borderId="5" xfId="0" applyNumberFormat="1" applyFont="1" applyBorder="1" applyAlignment="1">
      <alignment horizontal="center" vertical="center" wrapText="1" shrinkToFit="1"/>
    </xf>
    <xf numFmtId="3" fontId="14" fillId="0" borderId="0" xfId="2" applyNumberFormat="1" applyFont="1" applyFill="1" applyBorder="1" applyAlignment="1">
      <alignment horizontal="center" vertical="center" wrapText="1" shrinkToFit="1"/>
    </xf>
    <xf numFmtId="3" fontId="29" fillId="3" borderId="5" xfId="0" applyNumberFormat="1" applyFont="1" applyFill="1" applyBorder="1" applyAlignment="1">
      <alignment horizontal="center" vertical="center" wrapText="1" shrinkToFit="1"/>
    </xf>
    <xf numFmtId="167" fontId="4" fillId="0" borderId="5" xfId="0" applyNumberFormat="1" applyFont="1" applyBorder="1" applyAlignment="1">
      <alignment horizontal="center" vertical="center" wrapText="1" shrinkToFit="1"/>
    </xf>
    <xf numFmtId="3" fontId="34" fillId="0" borderId="5" xfId="0" applyNumberFormat="1" applyFont="1" applyBorder="1" applyAlignment="1">
      <alignment horizontal="center" vertical="center" wrapText="1" shrinkToFit="1"/>
    </xf>
    <xf numFmtId="3" fontId="4" fillId="0" borderId="5" xfId="0" applyNumberFormat="1" applyFont="1" applyBorder="1" applyAlignment="1">
      <alignment horizontal="center" vertical="center" wrapText="1" shrinkToFit="1"/>
    </xf>
    <xf numFmtId="4" fontId="4" fillId="0" borderId="5" xfId="0" applyNumberFormat="1" applyFont="1" applyBorder="1" applyAlignment="1">
      <alignment horizontal="center" vertical="center" wrapText="1" shrinkToFit="1"/>
    </xf>
    <xf numFmtId="167" fontId="4" fillId="3" borderId="5" xfId="0" applyNumberFormat="1" applyFont="1" applyFill="1" applyBorder="1" applyAlignment="1">
      <alignment horizontal="center" vertical="center" wrapText="1" shrinkToFit="1"/>
    </xf>
    <xf numFmtId="3" fontId="34" fillId="3" borderId="5" xfId="0" applyNumberFormat="1" applyFont="1" applyFill="1" applyBorder="1" applyAlignment="1">
      <alignment horizontal="center" vertical="center" wrapText="1" shrinkToFit="1"/>
    </xf>
    <xf numFmtId="3" fontId="4" fillId="3" borderId="5" xfId="0" applyNumberFormat="1" applyFont="1" applyFill="1" applyBorder="1" applyAlignment="1">
      <alignment horizontal="center" vertical="center" wrapText="1" shrinkToFit="1"/>
    </xf>
    <xf numFmtId="4" fontId="4" fillId="3" borderId="5" xfId="0" applyNumberFormat="1" applyFont="1" applyFill="1" applyBorder="1" applyAlignment="1">
      <alignment horizontal="center" vertical="center" wrapText="1" shrinkToFit="1"/>
    </xf>
    <xf numFmtId="3" fontId="4" fillId="3" borderId="6" xfId="0" applyNumberFormat="1" applyFont="1" applyFill="1" applyBorder="1" applyAlignment="1">
      <alignment horizontal="center" vertical="center" wrapText="1" shrinkToFit="1"/>
    </xf>
    <xf numFmtId="3" fontId="3" fillId="2" borderId="17" xfId="0" applyNumberFormat="1" applyFont="1" applyFill="1" applyBorder="1" applyAlignment="1">
      <alignment horizontal="center" vertical="center" wrapText="1" shrinkToFit="1"/>
    </xf>
    <xf numFmtId="167" fontId="4" fillId="2" borderId="17" xfId="0" applyNumberFormat="1" applyFont="1" applyFill="1" applyBorder="1" applyAlignment="1">
      <alignment horizontal="center" vertical="center" wrapText="1" shrinkToFit="1"/>
    </xf>
    <xf numFmtId="3" fontId="4" fillId="2" borderId="17" xfId="0" applyNumberFormat="1" applyFont="1" applyFill="1" applyBorder="1" applyAlignment="1">
      <alignment horizontal="center" vertical="center" wrapText="1" shrinkToFit="1"/>
    </xf>
    <xf numFmtId="3" fontId="4" fillId="2" borderId="17" xfId="0" applyNumberFormat="1" applyFont="1" applyFill="1" applyBorder="1" applyAlignment="1">
      <alignment horizontal="center" vertical="center" wrapText="1" shrinkToFit="1"/>
    </xf>
    <xf numFmtId="4" fontId="4" fillId="2" borderId="17" xfId="0" applyNumberFormat="1" applyFont="1" applyFill="1" applyBorder="1" applyAlignment="1">
      <alignment horizontal="center" vertical="center" wrapText="1" shrinkToFit="1"/>
    </xf>
    <xf numFmtId="3" fontId="4" fillId="2" borderId="9" xfId="0" applyNumberFormat="1" applyFont="1" applyFill="1" applyBorder="1" applyAlignment="1">
      <alignment horizontal="center" vertical="center" wrapText="1" shrinkToFit="1"/>
    </xf>
    <xf numFmtId="10" fontId="15" fillId="3" borderId="2" xfId="2" applyNumberFormat="1" applyFont="1" applyFill="1" applyBorder="1" applyAlignment="1">
      <alignment horizontal="center" vertical="center" wrapText="1" shrinkToFit="1"/>
    </xf>
    <xf numFmtId="10" fontId="15" fillId="3" borderId="14" xfId="2" applyNumberFormat="1" applyFont="1" applyFill="1" applyBorder="1" applyAlignment="1">
      <alignment horizontal="center" vertical="center" wrapText="1" shrinkToFit="1"/>
    </xf>
    <xf numFmtId="10" fontId="15" fillId="3" borderId="3" xfId="2" applyNumberFormat="1" applyFont="1" applyFill="1" applyBorder="1" applyAlignment="1">
      <alignment horizontal="center" vertical="center" wrapText="1" shrinkToFit="1"/>
    </xf>
    <xf numFmtId="184" fontId="15" fillId="4" borderId="8" xfId="2" applyNumberFormat="1" applyFont="1" applyFill="1" applyBorder="1" applyAlignment="1">
      <alignment horizontal="center" vertical="center" wrapText="1" shrinkToFit="1"/>
    </xf>
    <xf numFmtId="184" fontId="15" fillId="4" borderId="17" xfId="2" applyNumberFormat="1" applyFont="1" applyFill="1" applyBorder="1" applyAlignment="1">
      <alignment horizontal="center" vertical="center" wrapText="1" shrinkToFit="1"/>
    </xf>
    <xf numFmtId="184" fontId="15" fillId="4" borderId="9" xfId="2" applyNumberFormat="1" applyFont="1" applyFill="1" applyBorder="1" applyAlignment="1">
      <alignment horizontal="center" vertical="center" wrapText="1" shrinkToFit="1"/>
    </xf>
    <xf numFmtId="43" fontId="4" fillId="0" borderId="0" xfId="1" applyFont="1" applyAlignment="1">
      <alignment horizontal="center" vertical="center" wrapText="1" shrinkToFit="1"/>
    </xf>
    <xf numFmtId="9" fontId="4" fillId="0" borderId="0" xfId="2" applyFont="1" applyAlignment="1">
      <alignment horizontal="center" vertical="center" wrapText="1" shrinkToFit="1"/>
    </xf>
    <xf numFmtId="3" fontId="23" fillId="2" borderId="5" xfId="0" applyNumberFormat="1" applyFont="1" applyFill="1" applyBorder="1" applyAlignment="1">
      <alignment horizontal="center" vertical="center" shrinkToFit="1"/>
    </xf>
    <xf numFmtId="186" fontId="4" fillId="0" borderId="4" xfId="0" applyNumberFormat="1" applyFont="1" applyBorder="1" applyAlignment="1">
      <alignment horizontal="center" vertical="center" wrapText="1" shrinkToFit="1"/>
    </xf>
    <xf numFmtId="186" fontId="4" fillId="0" borderId="5" xfId="0" applyNumberFormat="1" applyFont="1" applyBorder="1" applyAlignment="1">
      <alignment horizontal="center" vertical="center" wrapText="1" shrinkToFit="1"/>
    </xf>
    <xf numFmtId="167" fontId="4" fillId="0" borderId="5" xfId="0" applyNumberFormat="1" applyFont="1" applyBorder="1" applyAlignment="1">
      <alignment horizontal="center" vertical="center" wrapText="1" shrinkToFit="1"/>
    </xf>
    <xf numFmtId="3" fontId="23" fillId="2" borderId="4" xfId="0" applyNumberFormat="1" applyFont="1" applyFill="1" applyBorder="1" applyAlignment="1">
      <alignment horizontal="center" vertical="center" wrapText="1" shrinkToFit="1" readingOrder="1"/>
    </xf>
    <xf numFmtId="3" fontId="23" fillId="2" borderId="5" xfId="0" applyNumberFormat="1" applyFont="1" applyFill="1" applyBorder="1" applyAlignment="1">
      <alignment horizontal="center" vertical="center" wrapText="1" shrinkToFit="1" readingOrder="1"/>
    </xf>
    <xf numFmtId="4" fontId="4" fillId="2" borderId="5" xfId="0" applyNumberFormat="1" applyFont="1" applyFill="1" applyBorder="1" applyAlignment="1">
      <alignment horizontal="center" vertical="center" wrapText="1" shrinkToFit="1"/>
    </xf>
    <xf numFmtId="4" fontId="4" fillId="2" borderId="6" xfId="0" applyNumberFormat="1" applyFont="1" applyFill="1" applyBorder="1" applyAlignment="1">
      <alignment horizontal="center" vertical="center" wrapText="1" shrinkToFit="1"/>
    </xf>
    <xf numFmtId="167" fontId="4" fillId="0" borderId="4" xfId="0" applyNumberFormat="1" applyFont="1" applyBorder="1" applyAlignment="1">
      <alignment horizontal="center" vertical="center" wrapText="1" shrinkToFit="1"/>
    </xf>
    <xf numFmtId="10" fontId="4" fillId="0" borderId="5" xfId="0" applyNumberFormat="1" applyFont="1" applyBorder="1" applyAlignment="1">
      <alignment horizontal="center" vertical="center" wrapText="1" shrinkToFit="1"/>
    </xf>
    <xf numFmtId="167" fontId="4" fillId="3" borderId="4" xfId="0" applyNumberFormat="1" applyFont="1" applyFill="1" applyBorder="1" applyAlignment="1">
      <alignment horizontal="center" vertical="center" wrapText="1" shrinkToFit="1"/>
    </xf>
    <xf numFmtId="10" fontId="4" fillId="3" borderId="5" xfId="2" applyNumberFormat="1" applyFont="1" applyFill="1" applyBorder="1" applyAlignment="1">
      <alignment horizontal="center" vertical="center" wrapText="1" shrinkToFit="1"/>
    </xf>
    <xf numFmtId="3" fontId="27" fillId="3" borderId="5" xfId="0" applyNumberFormat="1" applyFont="1" applyFill="1" applyBorder="1" applyAlignment="1">
      <alignment horizontal="center" vertical="center" wrapText="1" shrinkToFit="1"/>
    </xf>
    <xf numFmtId="4" fontId="27" fillId="4" borderId="6" xfId="0" applyNumberFormat="1" applyFont="1" applyFill="1" applyBorder="1" applyAlignment="1">
      <alignment horizontal="center" vertical="center" wrapText="1" shrinkToFit="1"/>
    </xf>
    <xf numFmtId="167" fontId="4" fillId="0" borderId="19" xfId="0" applyNumberFormat="1" applyFont="1" applyBorder="1" applyAlignment="1">
      <alignment horizontal="center" vertical="center" wrapText="1" shrinkToFit="1"/>
    </xf>
    <xf numFmtId="10" fontId="3" fillId="5" borderId="21" xfId="2" applyNumberFormat="1" applyFont="1" applyFill="1" applyBorder="1" applyAlignment="1">
      <alignment horizontal="center" vertical="center" wrapText="1" shrinkToFit="1"/>
    </xf>
    <xf numFmtId="167" fontId="4" fillId="0" borderId="21" xfId="0" applyNumberFormat="1" applyFont="1" applyBorder="1" applyAlignment="1">
      <alignment horizontal="center" vertical="center" wrapText="1" shrinkToFit="1"/>
    </xf>
    <xf numFmtId="10" fontId="27" fillId="0" borderId="21" xfId="2" applyNumberFormat="1" applyFont="1" applyFill="1" applyBorder="1" applyAlignment="1">
      <alignment horizontal="center" vertical="center" wrapText="1" shrinkToFit="1"/>
    </xf>
    <xf numFmtId="167" fontId="27" fillId="0" borderId="21" xfId="0" applyNumberFormat="1" applyFont="1" applyBorder="1" applyAlignment="1">
      <alignment horizontal="center" vertical="center" wrapText="1" shrinkToFit="1"/>
    </xf>
    <xf numFmtId="3" fontId="27" fillId="0" borderId="21" xfId="0" applyNumberFormat="1" applyFont="1" applyBorder="1" applyAlignment="1">
      <alignment horizontal="center" vertical="center" wrapText="1" shrinkToFit="1"/>
    </xf>
    <xf numFmtId="3" fontId="34" fillId="0" borderId="21" xfId="0" applyNumberFormat="1" applyFont="1" applyBorder="1" applyAlignment="1">
      <alignment horizontal="center" vertical="center" wrapText="1" shrinkToFit="1"/>
    </xf>
    <xf numFmtId="4" fontId="27" fillId="0" borderId="22" xfId="0" applyNumberFormat="1" applyFont="1" applyBorder="1" applyAlignment="1">
      <alignment horizontal="center" vertical="center" wrapText="1" shrinkToFit="1"/>
    </xf>
    <xf numFmtId="167" fontId="4" fillId="3" borderId="23" xfId="0" applyNumberFormat="1" applyFont="1" applyFill="1" applyBorder="1" applyAlignment="1">
      <alignment horizontal="center" vertical="center" wrapText="1" shrinkToFit="1"/>
    </xf>
    <xf numFmtId="10" fontId="28" fillId="3" borderId="24" xfId="0" applyNumberFormat="1" applyFont="1" applyFill="1" applyBorder="1" applyAlignment="1">
      <alignment horizontal="center" vertical="center" wrapText="1" shrinkToFit="1"/>
    </xf>
    <xf numFmtId="167" fontId="28" fillId="3" borderId="24" xfId="0" applyNumberFormat="1" applyFont="1" applyFill="1" applyBorder="1" applyAlignment="1">
      <alignment horizontal="center" vertical="center" wrapText="1" shrinkToFit="1"/>
    </xf>
    <xf numFmtId="3" fontId="28" fillId="3" borderId="24" xfId="0" applyNumberFormat="1" applyFont="1" applyFill="1" applyBorder="1" applyAlignment="1">
      <alignment horizontal="center" vertical="center" wrapText="1" shrinkToFit="1"/>
    </xf>
    <xf numFmtId="4" fontId="28" fillId="3" borderId="25" xfId="0" applyNumberFormat="1" applyFont="1" applyFill="1" applyBorder="1" applyAlignment="1">
      <alignment horizontal="center" vertical="center" wrapText="1" shrinkToFit="1"/>
    </xf>
    <xf numFmtId="167" fontId="4" fillId="0" borderId="20" xfId="0" applyNumberFormat="1" applyFont="1" applyBorder="1" applyAlignment="1">
      <alignment horizontal="center" vertical="center" wrapText="1" shrinkToFit="1"/>
    </xf>
    <xf numFmtId="10" fontId="4" fillId="0" borderId="26" xfId="0" applyNumberFormat="1" applyFont="1" applyBorder="1" applyAlignment="1">
      <alignment horizontal="center" vertical="center" wrapText="1" shrinkToFit="1"/>
    </xf>
    <xf numFmtId="167" fontId="4" fillId="0" borderId="26" xfId="0" applyNumberFormat="1" applyFont="1" applyBorder="1" applyAlignment="1">
      <alignment horizontal="center" vertical="center" wrapText="1" shrinkToFit="1"/>
    </xf>
    <xf numFmtId="167" fontId="27" fillId="0" borderId="26" xfId="0" applyNumberFormat="1" applyFont="1" applyBorder="1" applyAlignment="1">
      <alignment horizontal="center" vertical="center" wrapText="1" shrinkToFit="1"/>
    </xf>
    <xf numFmtId="3" fontId="34" fillId="0" borderId="26" xfId="0" applyNumberFormat="1" applyFont="1" applyBorder="1" applyAlignment="1">
      <alignment horizontal="center" vertical="center" wrapText="1" shrinkToFit="1"/>
    </xf>
    <xf numFmtId="3" fontId="27" fillId="0" borderId="26" xfId="0" applyNumberFormat="1" applyFont="1" applyBorder="1" applyAlignment="1">
      <alignment horizontal="center" vertical="center" wrapText="1" shrinkToFit="1"/>
    </xf>
    <xf numFmtId="4" fontId="27" fillId="4" borderId="12" xfId="0" applyNumberFormat="1" applyFont="1" applyFill="1" applyBorder="1" applyAlignment="1">
      <alignment horizontal="center" vertical="center" wrapText="1" shrinkToFit="1"/>
    </xf>
    <xf numFmtId="167" fontId="4" fillId="2" borderId="8" xfId="0" applyNumberFormat="1" applyFont="1" applyFill="1" applyBorder="1" applyAlignment="1">
      <alignment horizontal="center" vertical="center" wrapText="1" shrinkToFit="1"/>
    </xf>
    <xf numFmtId="10" fontId="4" fillId="2" borderId="17" xfId="0" applyNumberFormat="1" applyFont="1" applyFill="1" applyBorder="1" applyAlignment="1">
      <alignment horizontal="center" vertical="center" wrapText="1" shrinkToFit="1"/>
    </xf>
    <xf numFmtId="187" fontId="3" fillId="2" borderId="17" xfId="0" applyNumberFormat="1" applyFont="1" applyFill="1" applyBorder="1" applyAlignment="1">
      <alignment horizontal="center" vertical="center" wrapText="1" shrinkToFit="1"/>
    </xf>
    <xf numFmtId="188" fontId="3" fillId="2" borderId="17" xfId="0" applyNumberFormat="1" applyFont="1" applyFill="1" applyBorder="1" applyAlignment="1">
      <alignment horizontal="center" vertical="center" wrapText="1" shrinkToFit="1"/>
    </xf>
    <xf numFmtId="189" fontId="24" fillId="2" borderId="17" xfId="0" applyNumberFormat="1" applyFont="1" applyFill="1" applyBorder="1" applyAlignment="1">
      <alignment horizontal="center" vertical="center" wrapText="1" shrinkToFit="1"/>
    </xf>
    <xf numFmtId="3" fontId="24" fillId="2" borderId="9" xfId="0" applyNumberFormat="1" applyFont="1" applyFill="1" applyBorder="1" applyAlignment="1">
      <alignment horizontal="center" vertical="center" wrapText="1" shrinkToFit="1"/>
    </xf>
    <xf numFmtId="10" fontId="27" fillId="0" borderId="0" xfId="2" applyNumberFormat="1" applyFont="1" applyFill="1" applyBorder="1" applyAlignment="1">
      <alignment horizontal="center" vertical="center" wrapText="1" shrinkToFit="1"/>
    </xf>
    <xf numFmtId="3" fontId="28" fillId="0" borderId="0" xfId="2" applyNumberFormat="1" applyFont="1" applyFill="1" applyBorder="1" applyAlignment="1">
      <alignment horizontal="center" vertical="center" wrapText="1" shrinkToFit="1"/>
    </xf>
    <xf numFmtId="3" fontId="15" fillId="3" borderId="27" xfId="0" applyNumberFormat="1" applyFont="1" applyFill="1" applyBorder="1" applyAlignment="1">
      <alignment horizontal="center" vertical="center" wrapText="1" shrinkToFit="1"/>
    </xf>
    <xf numFmtId="3" fontId="14" fillId="3" borderId="2" xfId="0" applyNumberFormat="1" applyFont="1" applyFill="1" applyBorder="1" applyAlignment="1">
      <alignment horizontal="center" vertical="center" wrapText="1" shrinkToFit="1"/>
    </xf>
    <xf numFmtId="3" fontId="35" fillId="3" borderId="3" xfId="0" applyNumberFormat="1" applyFont="1" applyFill="1" applyBorder="1" applyAlignment="1">
      <alignment horizontal="center" vertical="center" wrapText="1" shrinkToFit="1"/>
    </xf>
    <xf numFmtId="190" fontId="15" fillId="3" borderId="8" xfId="0" applyNumberFormat="1" applyFont="1" applyFill="1" applyBorder="1" applyAlignment="1">
      <alignment horizontal="center" vertical="center" wrapText="1" shrinkToFit="1"/>
    </xf>
    <xf numFmtId="38" fontId="14" fillId="3" borderId="9" xfId="0" applyNumberFormat="1" applyFont="1" applyFill="1" applyBorder="1" applyAlignment="1">
      <alignment horizontal="center" vertical="center" wrapText="1" shrinkToFit="1"/>
    </xf>
    <xf numFmtId="10" fontId="15" fillId="3" borderId="15" xfId="2" applyNumberFormat="1" applyFont="1" applyFill="1" applyBorder="1" applyAlignment="1">
      <alignment horizontal="center" vertical="center" wrapText="1" shrinkToFit="1"/>
    </xf>
    <xf numFmtId="10" fontId="15" fillId="3" borderId="16" xfId="2" applyNumberFormat="1" applyFont="1" applyFill="1" applyBorder="1" applyAlignment="1">
      <alignment horizontal="center" vertical="center" wrapText="1" shrinkToFit="1"/>
    </xf>
    <xf numFmtId="10" fontId="3" fillId="0" borderId="4" xfId="2" applyNumberFormat="1" applyFont="1" applyFill="1" applyBorder="1" applyAlignment="1">
      <alignment horizontal="center" vertical="center" wrapText="1" shrinkToFit="1"/>
    </xf>
    <xf numFmtId="180" fontId="14" fillId="3" borderId="16" xfId="0" applyNumberFormat="1" applyFont="1" applyFill="1" applyBorder="1" applyAlignment="1">
      <alignment horizontal="center" vertical="center" wrapText="1" shrinkToFit="1"/>
    </xf>
    <xf numFmtId="10" fontId="3" fillId="3" borderId="4" xfId="0" applyNumberFormat="1" applyFont="1" applyFill="1" applyBorder="1" applyAlignment="1">
      <alignment horizontal="center" vertical="center" wrapText="1" shrinkToFit="1"/>
    </xf>
    <xf numFmtId="180" fontId="4" fillId="0" borderId="6" xfId="0" applyNumberFormat="1" applyFont="1" applyBorder="1" applyAlignment="1">
      <alignment horizontal="center" vertical="center" wrapText="1" shrinkToFit="1"/>
    </xf>
    <xf numFmtId="10" fontId="3" fillId="4" borderId="4" xfId="2" applyNumberFormat="1" applyFont="1" applyFill="1" applyBorder="1" applyAlignment="1">
      <alignment horizontal="center" vertical="center" wrapText="1" shrinkToFit="1"/>
    </xf>
    <xf numFmtId="3" fontId="4" fillId="4" borderId="5" xfId="0" applyNumberFormat="1" applyFont="1" applyFill="1" applyBorder="1" applyAlignment="1">
      <alignment horizontal="center" vertical="center" wrapText="1" shrinkToFit="1"/>
    </xf>
    <xf numFmtId="3" fontId="4" fillId="4" borderId="6" xfId="0" applyNumberFormat="1" applyFont="1" applyFill="1" applyBorder="1" applyAlignment="1">
      <alignment horizontal="center" vertical="center" wrapText="1" shrinkToFit="1"/>
    </xf>
    <xf numFmtId="10" fontId="3" fillId="3" borderId="11" xfId="0" applyNumberFormat="1" applyFont="1" applyFill="1" applyBorder="1" applyAlignment="1">
      <alignment horizontal="center" vertical="center" wrapText="1" shrinkToFit="1"/>
    </xf>
    <xf numFmtId="10" fontId="3" fillId="0" borderId="11" xfId="2" applyNumberFormat="1" applyFont="1" applyFill="1" applyBorder="1" applyAlignment="1">
      <alignment horizontal="center" vertical="center" wrapText="1" shrinkToFit="1"/>
    </xf>
    <xf numFmtId="180" fontId="4" fillId="3" borderId="6" xfId="0" applyNumberFormat="1" applyFont="1" applyFill="1" applyBorder="1" applyAlignment="1">
      <alignment horizontal="center" vertical="center" wrapText="1" shrinkToFit="1"/>
    </xf>
    <xf numFmtId="10" fontId="3" fillId="4" borderId="4" xfId="0" applyNumberFormat="1" applyFont="1" applyFill="1" applyBorder="1" applyAlignment="1">
      <alignment horizontal="center" vertical="center" wrapText="1" shrinkToFit="1"/>
    </xf>
    <xf numFmtId="180" fontId="4" fillId="4" borderId="6" xfId="2" applyNumberFormat="1" applyFont="1" applyFill="1" applyBorder="1" applyAlignment="1">
      <alignment horizontal="center" vertical="center" wrapText="1" shrinkToFit="1"/>
    </xf>
    <xf numFmtId="180" fontId="14" fillId="3" borderId="18" xfId="0" applyNumberFormat="1" applyFont="1" applyFill="1" applyBorder="1" applyAlignment="1">
      <alignment horizontal="center" vertical="center" wrapText="1" shrinkToFit="1"/>
    </xf>
    <xf numFmtId="3" fontId="4" fillId="0" borderId="6" xfId="0" applyNumberFormat="1" applyFont="1" applyBorder="1" applyAlignment="1">
      <alignment horizontal="center" vertical="center" wrapText="1" shrinkToFit="1"/>
    </xf>
    <xf numFmtId="10" fontId="3" fillId="0" borderId="4" xfId="0" applyNumberFormat="1" applyFont="1" applyBorder="1" applyAlignment="1">
      <alignment horizontal="center" vertical="center" wrapText="1" shrinkToFit="1"/>
    </xf>
    <xf numFmtId="191" fontId="4" fillId="4" borderId="6" xfId="0" applyNumberFormat="1" applyFont="1" applyFill="1" applyBorder="1" applyAlignment="1">
      <alignment horizontal="center" vertical="center" wrapText="1" shrinkToFit="1"/>
    </xf>
    <xf numFmtId="10" fontId="14" fillId="4" borderId="15" xfId="0" applyNumberFormat="1" applyFont="1" applyFill="1" applyBorder="1" applyAlignment="1">
      <alignment horizontal="center" vertical="center" wrapText="1" shrinkToFit="1"/>
    </xf>
    <xf numFmtId="10" fontId="3" fillId="3" borderId="4" xfId="2" applyNumberFormat="1" applyFont="1" applyFill="1" applyBorder="1" applyAlignment="1">
      <alignment horizontal="center" vertical="center" wrapText="1" shrinkToFit="1"/>
    </xf>
    <xf numFmtId="192" fontId="3" fillId="4" borderId="6" xfId="2" applyNumberFormat="1" applyFont="1" applyFill="1" applyBorder="1" applyAlignment="1">
      <alignment horizontal="center" vertical="center" wrapText="1" shrinkToFit="1"/>
    </xf>
    <xf numFmtId="193" fontId="14" fillId="3" borderId="18" xfId="0" applyNumberFormat="1" applyFont="1" applyFill="1" applyBorder="1" applyAlignment="1">
      <alignment horizontal="center" vertical="center" wrapText="1" shrinkToFit="1"/>
    </xf>
    <xf numFmtId="3" fontId="3" fillId="3" borderId="5" xfId="0" applyNumberFormat="1" applyFont="1" applyFill="1" applyBorder="1" applyAlignment="1">
      <alignment horizontal="center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3" fontId="28" fillId="0" borderId="0" xfId="0" applyNumberFormat="1" applyFont="1" applyAlignment="1">
      <alignment horizontal="center" vertical="center" wrapText="1" shrinkToFit="1"/>
    </xf>
    <xf numFmtId="9" fontId="4" fillId="0" borderId="0" xfId="1" applyNumberFormat="1" applyFont="1" applyAlignment="1">
      <alignment horizontal="center" vertical="center" wrapText="1" shrinkToFit="1"/>
    </xf>
    <xf numFmtId="3" fontId="28" fillId="0" borderId="0" xfId="2" applyNumberFormat="1" applyFont="1" applyFill="1" applyAlignment="1">
      <alignment horizontal="center" vertical="center" wrapText="1" shrinkToFit="1"/>
    </xf>
    <xf numFmtId="3" fontId="28" fillId="0" borderId="0" xfId="1" applyNumberFormat="1" applyFont="1" applyFill="1" applyAlignment="1">
      <alignment horizontal="center" vertical="center" wrapText="1" shrinkToFit="1"/>
    </xf>
    <xf numFmtId="3" fontId="4" fillId="3" borderId="6" xfId="0" applyNumberFormat="1" applyFont="1" applyFill="1" applyBorder="1" applyAlignment="1">
      <alignment horizontal="center" vertical="center" wrapText="1" shrinkToFit="1"/>
    </xf>
    <xf numFmtId="3" fontId="24" fillId="0" borderId="5" xfId="0" applyNumberFormat="1" applyFont="1" applyBorder="1" applyAlignment="1">
      <alignment horizontal="center" vertical="center" wrapText="1" shrinkToFit="1"/>
    </xf>
    <xf numFmtId="3" fontId="24" fillId="0" borderId="6" xfId="0" applyNumberFormat="1" applyFont="1" applyBorder="1" applyAlignment="1">
      <alignment horizontal="center" vertical="center" wrapText="1" shrinkToFit="1"/>
    </xf>
    <xf numFmtId="194" fontId="4" fillId="0" borderId="0" xfId="0" applyNumberFormat="1" applyFont="1" applyAlignment="1">
      <alignment horizontal="center" vertical="center" wrapText="1" shrinkToFit="1"/>
    </xf>
    <xf numFmtId="3" fontId="23" fillId="2" borderId="4" xfId="0" applyNumberFormat="1" applyFont="1" applyFill="1" applyBorder="1" applyAlignment="1">
      <alignment horizontal="center" vertical="center" shrinkToFit="1"/>
    </xf>
    <xf numFmtId="3" fontId="23" fillId="2" borderId="6" xfId="0" applyNumberFormat="1" applyFont="1" applyFill="1" applyBorder="1" applyAlignment="1">
      <alignment horizontal="center" vertical="center" shrinkToFit="1"/>
    </xf>
    <xf numFmtId="3" fontId="24" fillId="3" borderId="5" xfId="0" applyNumberFormat="1" applyFont="1" applyFill="1" applyBorder="1" applyAlignment="1">
      <alignment horizontal="center" vertical="center" wrapText="1" shrinkToFit="1"/>
    </xf>
    <xf numFmtId="3" fontId="24" fillId="3" borderId="6" xfId="0" applyNumberFormat="1" applyFont="1" applyFill="1" applyBorder="1" applyAlignment="1">
      <alignment horizontal="center" vertical="center" wrapText="1" shrinkToFit="1"/>
    </xf>
    <xf numFmtId="195" fontId="15" fillId="4" borderId="27" xfId="0" applyNumberFormat="1" applyFont="1" applyFill="1" applyBorder="1" applyAlignment="1">
      <alignment horizontal="center" vertical="center" wrapText="1" shrinkToFit="1"/>
    </xf>
    <xf numFmtId="196" fontId="4" fillId="0" borderId="0" xfId="0" applyNumberFormat="1" applyFont="1" applyAlignment="1">
      <alignment horizontal="center" vertical="center" wrapText="1" shrinkToFit="1"/>
    </xf>
    <xf numFmtId="3" fontId="15" fillId="3" borderId="15" xfId="0" applyNumberFormat="1" applyFont="1" applyFill="1" applyBorder="1" applyAlignment="1">
      <alignment horizontal="center" vertical="center" shrinkToFit="1"/>
    </xf>
    <xf numFmtId="4" fontId="4" fillId="0" borderId="0" xfId="0" applyNumberFormat="1" applyFont="1" applyAlignment="1">
      <alignment horizontal="center" vertical="center" wrapText="1" shrinkToFit="1"/>
    </xf>
    <xf numFmtId="3" fontId="3" fillId="3" borderId="8" xfId="0" applyNumberFormat="1" applyFont="1" applyFill="1" applyBorder="1" applyAlignment="1">
      <alignment horizontal="center" vertical="center" wrapText="1" shrinkToFit="1"/>
    </xf>
    <xf numFmtId="3" fontId="3" fillId="4" borderId="17" xfId="0" applyNumberFormat="1" applyFont="1" applyFill="1" applyBorder="1" applyAlignment="1">
      <alignment horizontal="center" vertical="center" wrapText="1" shrinkToFit="1"/>
    </xf>
    <xf numFmtId="179" fontId="3" fillId="5" borderId="9" xfId="0" applyNumberFormat="1" applyFont="1" applyFill="1" applyBorder="1" applyAlignment="1">
      <alignment horizontal="center" vertical="center" wrapText="1" shrinkToFit="1"/>
    </xf>
    <xf numFmtId="3" fontId="15" fillId="5" borderId="18" xfId="0" applyNumberFormat="1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14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3" fontId="5" fillId="2" borderId="26" xfId="0" applyNumberFormat="1" applyFont="1" applyFill="1" applyBorder="1" applyAlignment="1">
      <alignment horizontal="center" vertical="center" wrapText="1" shrinkToFit="1"/>
    </xf>
    <xf numFmtId="10" fontId="23" fillId="2" borderId="4" xfId="2" applyNumberFormat="1" applyFont="1" applyFill="1" applyBorder="1" applyAlignment="1">
      <alignment horizontal="center" vertical="center" wrapText="1" shrinkToFit="1"/>
    </xf>
    <xf numFmtId="9" fontId="23" fillId="2" borderId="5" xfId="2" applyFont="1" applyFill="1" applyBorder="1" applyAlignment="1">
      <alignment horizontal="center" vertical="center" wrapText="1" shrinkToFit="1" readingOrder="1"/>
    </xf>
    <xf numFmtId="10" fontId="23" fillId="2" borderId="5" xfId="2" applyNumberFormat="1" applyFont="1" applyFill="1" applyBorder="1" applyAlignment="1">
      <alignment horizontal="center" vertical="center" wrapText="1" shrinkToFit="1"/>
    </xf>
    <xf numFmtId="10" fontId="23" fillId="2" borderId="6" xfId="2" applyNumberFormat="1" applyFont="1" applyFill="1" applyBorder="1" applyAlignment="1">
      <alignment horizontal="center" vertical="center" wrapText="1" shrinkToFit="1"/>
    </xf>
    <xf numFmtId="0" fontId="23" fillId="2" borderId="4" xfId="0" applyFont="1" applyFill="1" applyBorder="1" applyAlignment="1">
      <alignment horizontal="center" vertical="center" wrapText="1" shrinkToFit="1"/>
    </xf>
    <xf numFmtId="0" fontId="23" fillId="2" borderId="5" xfId="0" applyFont="1" applyFill="1" applyBorder="1" applyAlignment="1">
      <alignment horizontal="center" vertical="center" wrapText="1" shrinkToFit="1"/>
    </xf>
    <xf numFmtId="0" fontId="23" fillId="2" borderId="6" xfId="0" applyFont="1" applyFill="1" applyBorder="1" applyAlignment="1">
      <alignment horizontal="center" vertical="center" wrapText="1" shrinkToFit="1"/>
    </xf>
    <xf numFmtId="10" fontId="7" fillId="2" borderId="5" xfId="2" applyNumberFormat="1" applyFont="1" applyFill="1" applyBorder="1" applyAlignment="1">
      <alignment horizontal="center" vertical="center" wrapText="1" shrinkToFit="1"/>
    </xf>
    <xf numFmtId="10" fontId="36" fillId="2" borderId="5" xfId="2" applyNumberFormat="1" applyFont="1" applyFill="1" applyBorder="1" applyAlignment="1">
      <alignment horizontal="center" vertical="center" wrapText="1" shrinkToFit="1"/>
    </xf>
    <xf numFmtId="10" fontId="7" fillId="2" borderId="6" xfId="2" applyNumberFormat="1" applyFont="1" applyFill="1" applyBorder="1" applyAlignment="1">
      <alignment horizontal="center" vertical="center" wrapText="1" shrinkToFit="1"/>
    </xf>
    <xf numFmtId="10" fontId="37" fillId="0" borderId="5" xfId="0" applyNumberFormat="1" applyFont="1" applyBorder="1" applyAlignment="1">
      <alignment horizontal="center" vertical="center" wrapText="1" shrinkToFit="1"/>
    </xf>
    <xf numFmtId="3" fontId="29" fillId="0" borderId="6" xfId="0" applyNumberFormat="1" applyFont="1" applyBorder="1" applyAlignment="1">
      <alignment horizontal="center" vertical="center" wrapText="1" shrinkToFit="1"/>
    </xf>
    <xf numFmtId="10" fontId="37" fillId="0" borderId="5" xfId="2" applyNumberFormat="1" applyFont="1" applyBorder="1" applyAlignment="1">
      <alignment horizontal="center" vertical="center" wrapText="1" shrinkToFit="1"/>
    </xf>
    <xf numFmtId="3" fontId="24" fillId="0" borderId="5" xfId="0" applyNumberFormat="1" applyFont="1" applyBorder="1" applyAlignment="1">
      <alignment horizontal="center" vertical="center" wrapText="1" shrinkToFit="1"/>
    </xf>
    <xf numFmtId="10" fontId="37" fillId="3" borderId="5" xfId="2" applyNumberFormat="1" applyFont="1" applyFill="1" applyBorder="1" applyAlignment="1">
      <alignment horizontal="center" vertical="center" wrapText="1" shrinkToFit="1"/>
    </xf>
    <xf numFmtId="3" fontId="24" fillId="3" borderId="5" xfId="0" applyNumberFormat="1" applyFont="1" applyFill="1" applyBorder="1" applyAlignment="1">
      <alignment horizontal="center" vertical="center" wrapText="1" shrinkToFit="1"/>
    </xf>
    <xf numFmtId="10" fontId="4" fillId="0" borderId="5" xfId="2" applyNumberFormat="1" applyFont="1" applyBorder="1" applyAlignment="1">
      <alignment horizontal="center" vertical="center" wrapText="1" shrinkToFit="1"/>
    </xf>
    <xf numFmtId="9" fontId="4" fillId="2" borderId="17" xfId="2" applyFont="1" applyFill="1" applyBorder="1" applyAlignment="1">
      <alignment horizontal="center" vertical="center" wrapText="1" shrinkToFit="1"/>
    </xf>
    <xf numFmtId="188" fontId="4" fillId="2" borderId="17" xfId="0" applyNumberFormat="1" applyFont="1" applyFill="1" applyBorder="1" applyAlignment="1">
      <alignment horizontal="center" vertical="center" wrapText="1" shrinkToFit="1"/>
    </xf>
    <xf numFmtId="187" fontId="4" fillId="2" borderId="17" xfId="0" applyNumberFormat="1" applyFont="1" applyFill="1" applyBorder="1" applyAlignment="1">
      <alignment horizontal="center" vertical="center" wrapText="1" shrinkToFit="1"/>
    </xf>
    <xf numFmtId="165" fontId="4" fillId="2" borderId="17" xfId="0" applyNumberFormat="1" applyFont="1" applyFill="1" applyBorder="1" applyAlignment="1">
      <alignment horizontal="center" vertical="center" wrapText="1" shrinkToFit="1"/>
    </xf>
    <xf numFmtId="3" fontId="20" fillId="2" borderId="9" xfId="0" applyNumberFormat="1" applyFont="1" applyFill="1" applyBorder="1" applyAlignment="1">
      <alignment horizontal="center" vertical="center" wrapText="1" shrinkToFit="1"/>
    </xf>
    <xf numFmtId="197" fontId="4" fillId="2" borderId="17" xfId="2" applyNumberFormat="1" applyFont="1" applyFill="1" applyBorder="1" applyAlignment="1">
      <alignment horizontal="center" vertical="center" wrapText="1" shrinkToFit="1"/>
    </xf>
    <xf numFmtId="3" fontId="24" fillId="2" borderId="17" xfId="0" applyNumberFormat="1" applyFont="1" applyFill="1" applyBorder="1" applyAlignment="1">
      <alignment horizontal="center" vertical="center" wrapText="1" shrinkToFit="1"/>
    </xf>
    <xf numFmtId="3" fontId="29" fillId="2" borderId="9" xfId="0" applyNumberFormat="1" applyFont="1" applyFill="1" applyBorder="1" applyAlignment="1">
      <alignment horizontal="center" vertical="center" wrapText="1" shrinkToFit="1"/>
    </xf>
    <xf numFmtId="3" fontId="5" fillId="2" borderId="2" xfId="0" applyNumberFormat="1" applyFont="1" applyFill="1" applyBorder="1" applyAlignment="1">
      <alignment horizontal="center" vertical="center" shrinkToFit="1" readingOrder="2"/>
    </xf>
    <xf numFmtId="3" fontId="5" fillId="2" borderId="14" xfId="0" applyNumberFormat="1" applyFont="1" applyFill="1" applyBorder="1" applyAlignment="1">
      <alignment horizontal="center" vertical="center" shrinkToFit="1" readingOrder="2"/>
    </xf>
    <xf numFmtId="3" fontId="5" fillId="2" borderId="3" xfId="0" applyNumberFormat="1" applyFont="1" applyFill="1" applyBorder="1" applyAlignment="1">
      <alignment horizontal="center" vertical="center" shrinkToFit="1" readingOrder="2"/>
    </xf>
    <xf numFmtId="198" fontId="4" fillId="3" borderId="5" xfId="2" applyNumberFormat="1" applyFont="1" applyFill="1" applyBorder="1" applyAlignment="1">
      <alignment horizontal="center" vertical="center" wrapText="1" shrinkToFit="1"/>
    </xf>
    <xf numFmtId="183" fontId="4" fillId="3" borderId="5" xfId="2" applyNumberFormat="1" applyFont="1" applyFill="1" applyBorder="1" applyAlignment="1">
      <alignment horizontal="center" vertical="center" wrapText="1" shrinkToFit="1"/>
    </xf>
    <xf numFmtId="165" fontId="3" fillId="2" borderId="17" xfId="0" applyNumberFormat="1" applyFont="1" applyFill="1" applyBorder="1" applyAlignment="1">
      <alignment horizontal="center" vertical="center" wrapText="1" shrinkToFit="1"/>
    </xf>
    <xf numFmtId="166" fontId="3" fillId="2" borderId="17" xfId="2" applyNumberFormat="1" applyFont="1" applyFill="1" applyBorder="1" applyAlignment="1">
      <alignment horizontal="center" vertical="center" wrapText="1" shrinkToFit="1"/>
    </xf>
    <xf numFmtId="199" fontId="34" fillId="2" borderId="17" xfId="0" applyNumberFormat="1" applyFont="1" applyFill="1" applyBorder="1" applyAlignment="1">
      <alignment horizontal="center" vertical="center" wrapText="1" shrinkToFit="1"/>
    </xf>
    <xf numFmtId="200" fontId="3" fillId="2" borderId="17" xfId="0" applyNumberFormat="1" applyFont="1" applyFill="1" applyBorder="1" applyAlignment="1">
      <alignment horizontal="center" vertical="center" wrapText="1" shrinkToFit="1"/>
    </xf>
    <xf numFmtId="187" fontId="3" fillId="2" borderId="17" xfId="2" applyNumberFormat="1" applyFont="1" applyFill="1" applyBorder="1" applyAlignment="1">
      <alignment horizontal="center" vertical="center" wrapText="1" shrinkToFit="1"/>
    </xf>
    <xf numFmtId="10" fontId="3" fillId="2" borderId="17" xfId="2" applyNumberFormat="1" applyFont="1" applyFill="1" applyBorder="1" applyAlignment="1">
      <alignment horizontal="center" vertical="center" wrapText="1" shrinkToFit="1"/>
    </xf>
    <xf numFmtId="201" fontId="15" fillId="4" borderId="27" xfId="2" applyNumberFormat="1" applyFont="1" applyFill="1" applyBorder="1" applyAlignment="1">
      <alignment horizontal="center" vertical="center" wrapText="1" shrinkToFit="1"/>
    </xf>
    <xf numFmtId="202" fontId="15" fillId="4" borderId="27" xfId="2" applyNumberFormat="1" applyFont="1" applyFill="1" applyBorder="1" applyAlignment="1">
      <alignment horizontal="center" vertical="center" wrapText="1" shrinkToFit="1"/>
    </xf>
    <xf numFmtId="3" fontId="39" fillId="2" borderId="2" xfId="0" applyNumberFormat="1" applyFont="1" applyFill="1" applyBorder="1" applyAlignment="1">
      <alignment horizontal="right" vertical="center" shrinkToFit="1"/>
    </xf>
    <xf numFmtId="3" fontId="39" fillId="2" borderId="14" xfId="0" applyNumberFormat="1" applyFont="1" applyFill="1" applyBorder="1" applyAlignment="1">
      <alignment horizontal="right" vertical="center" shrinkToFit="1"/>
    </xf>
    <xf numFmtId="3" fontId="39" fillId="2" borderId="3" xfId="0" applyNumberFormat="1" applyFont="1" applyFill="1" applyBorder="1" applyAlignment="1">
      <alignment horizontal="right" vertical="center" shrinkToFit="1"/>
    </xf>
    <xf numFmtId="3" fontId="39" fillId="2" borderId="4" xfId="0" applyNumberFormat="1" applyFont="1" applyFill="1" applyBorder="1" applyAlignment="1">
      <alignment horizontal="right" vertical="center" shrinkToFit="1"/>
    </xf>
    <xf numFmtId="3" fontId="39" fillId="2" borderId="5" xfId="0" applyNumberFormat="1" applyFont="1" applyFill="1" applyBorder="1" applyAlignment="1">
      <alignment horizontal="right" vertical="center" shrinkToFit="1"/>
    </xf>
    <xf numFmtId="3" fontId="39" fillId="2" borderId="6" xfId="0" applyNumberFormat="1" applyFont="1" applyFill="1" applyBorder="1" applyAlignment="1">
      <alignment horizontal="right" vertical="center" shrinkToFit="1"/>
    </xf>
    <xf numFmtId="3" fontId="40" fillId="0" borderId="5" xfId="0" applyNumberFormat="1" applyFont="1" applyBorder="1" applyAlignment="1">
      <alignment horizontal="center" vertical="center" wrapText="1" shrinkToFit="1"/>
    </xf>
    <xf numFmtId="3" fontId="40" fillId="0" borderId="6" xfId="0" applyNumberFormat="1" applyFont="1" applyBorder="1" applyAlignment="1">
      <alignment horizontal="center" vertical="center" wrapText="1" shrinkToFit="1"/>
    </xf>
    <xf numFmtId="3" fontId="28" fillId="3" borderId="5" xfId="0" applyNumberFormat="1" applyFont="1" applyFill="1" applyBorder="1" applyAlignment="1">
      <alignment horizontal="center" vertical="center" wrapText="1" shrinkToFit="1"/>
    </xf>
    <xf numFmtId="40" fontId="41" fillId="3" borderId="5" xfId="0" applyNumberFormat="1" applyFont="1" applyFill="1" applyBorder="1" applyAlignment="1">
      <alignment horizontal="center" vertical="center" wrapText="1" shrinkToFit="1"/>
    </xf>
    <xf numFmtId="3" fontId="40" fillId="3" borderId="5" xfId="0" applyNumberFormat="1" applyFont="1" applyFill="1" applyBorder="1" applyAlignment="1">
      <alignment horizontal="center" vertical="center" wrapText="1" shrinkToFit="1"/>
    </xf>
    <xf numFmtId="3" fontId="40" fillId="3" borderId="6" xfId="0" applyNumberFormat="1" applyFont="1" applyFill="1" applyBorder="1" applyAlignment="1">
      <alignment horizontal="center" vertical="center" wrapText="1" shrinkToFit="1"/>
    </xf>
    <xf numFmtId="40" fontId="22" fillId="0" borderId="5" xfId="0" applyNumberFormat="1" applyFont="1" applyBorder="1" applyAlignment="1">
      <alignment horizontal="center" vertical="center" wrapText="1" shrinkToFit="1"/>
    </xf>
    <xf numFmtId="9" fontId="4" fillId="3" borderId="5" xfId="2" applyFont="1" applyFill="1" applyBorder="1" applyAlignment="1">
      <alignment horizontal="center" vertical="center" wrapText="1" shrinkToFit="1"/>
    </xf>
    <xf numFmtId="9" fontId="4" fillId="0" borderId="5" xfId="2" applyFont="1" applyFill="1" applyBorder="1" applyAlignment="1">
      <alignment horizontal="center" vertical="center" wrapText="1" shrinkToFit="1"/>
    </xf>
    <xf numFmtId="9" fontId="4" fillId="0" borderId="6" xfId="2" applyFont="1" applyFill="1" applyBorder="1" applyAlignment="1">
      <alignment horizontal="center" vertical="center" wrapText="1" shrinkToFit="1"/>
    </xf>
    <xf numFmtId="9" fontId="4" fillId="4" borderId="5" xfId="2" applyFont="1" applyFill="1" applyBorder="1" applyAlignment="1">
      <alignment horizontal="center" vertical="center" wrapText="1" shrinkToFit="1"/>
    </xf>
    <xf numFmtId="9" fontId="4" fillId="4" borderId="6" xfId="2" applyFont="1" applyFill="1" applyBorder="1" applyAlignment="1">
      <alignment horizontal="center" vertical="center" wrapText="1" shrinkToFit="1"/>
    </xf>
    <xf numFmtId="3" fontId="23" fillId="2" borderId="8" xfId="0" applyNumberFormat="1" applyFont="1" applyFill="1" applyBorder="1" applyAlignment="1">
      <alignment horizontal="center" vertical="center" wrapText="1" shrinkToFit="1"/>
    </xf>
    <xf numFmtId="3" fontId="28" fillId="3" borderId="17" xfId="0" applyNumberFormat="1" applyFont="1" applyFill="1" applyBorder="1" applyAlignment="1">
      <alignment horizontal="center" vertical="center" wrapText="1" shrinkToFit="1"/>
    </xf>
    <xf numFmtId="40" fontId="22" fillId="0" borderId="17" xfId="0" applyNumberFormat="1" applyFont="1" applyBorder="1" applyAlignment="1">
      <alignment horizontal="center" vertical="center" wrapText="1" shrinkToFit="1"/>
    </xf>
    <xf numFmtId="180" fontId="4" fillId="3" borderId="17" xfId="2" applyNumberFormat="1" applyFont="1" applyFill="1" applyBorder="1" applyAlignment="1">
      <alignment horizontal="center" vertical="center" wrapText="1" shrinkToFit="1"/>
    </xf>
    <xf numFmtId="9" fontId="4" fillId="4" borderId="17" xfId="2" applyFont="1" applyFill="1" applyBorder="1" applyAlignment="1">
      <alignment horizontal="center" vertical="center" wrapText="1" shrinkToFit="1"/>
    </xf>
    <xf numFmtId="180" fontId="4" fillId="4" borderId="17" xfId="2" applyNumberFormat="1" applyFont="1" applyFill="1" applyBorder="1" applyAlignment="1">
      <alignment horizontal="center" vertical="center" wrapText="1" shrinkToFit="1"/>
    </xf>
    <xf numFmtId="9" fontId="4" fillId="4" borderId="9" xfId="2" applyFont="1" applyFill="1" applyBorder="1" applyAlignment="1">
      <alignment horizontal="center" vertical="center" wrapText="1" shrinkToFit="1"/>
    </xf>
    <xf numFmtId="3" fontId="4" fillId="0" borderId="2" xfId="0" applyNumberFormat="1" applyFont="1" applyBorder="1" applyAlignment="1">
      <alignment horizontal="right" vertical="center" wrapText="1" shrinkToFit="1"/>
    </xf>
    <xf numFmtId="3" fontId="4" fillId="0" borderId="14" xfId="0" applyNumberFormat="1" applyFont="1" applyBorder="1" applyAlignment="1">
      <alignment horizontal="right" vertical="center" wrapText="1" shrinkToFit="1"/>
    </xf>
    <xf numFmtId="3" fontId="4" fillId="0" borderId="14" xfId="0" applyNumberFormat="1" applyFont="1" applyBorder="1" applyAlignment="1">
      <alignment horizontal="center" vertical="center" wrapText="1" shrinkToFit="1"/>
    </xf>
    <xf numFmtId="14" fontId="4" fillId="4" borderId="14" xfId="0" applyNumberFormat="1" applyFont="1" applyFill="1" applyBorder="1" applyAlignment="1">
      <alignment horizontal="center" vertical="center" wrapText="1" shrinkToFit="1"/>
    </xf>
    <xf numFmtId="14" fontId="4" fillId="4" borderId="3" xfId="0" applyNumberFormat="1" applyFont="1" applyFill="1" applyBorder="1" applyAlignment="1">
      <alignment horizontal="center" vertical="center" wrapText="1" shrinkToFit="1"/>
    </xf>
    <xf numFmtId="3" fontId="4" fillId="3" borderId="4" xfId="0" applyNumberFormat="1" applyFont="1" applyFill="1" applyBorder="1" applyAlignment="1">
      <alignment horizontal="right" vertical="center" wrapText="1" shrinkToFit="1"/>
    </xf>
    <xf numFmtId="3" fontId="4" fillId="3" borderId="5" xfId="0" applyNumberFormat="1" applyFont="1" applyFill="1" applyBorder="1" applyAlignment="1">
      <alignment horizontal="right" vertical="center" wrapText="1" shrinkToFit="1"/>
    </xf>
    <xf numFmtId="3" fontId="23" fillId="6" borderId="4" xfId="0" applyNumberFormat="1" applyFont="1" applyFill="1" applyBorder="1" applyAlignment="1">
      <alignment horizontal="center" vertical="center" wrapText="1" shrinkToFit="1"/>
    </xf>
    <xf numFmtId="38" fontId="4" fillId="3" borderId="5" xfId="0" applyNumberFormat="1" applyFont="1" applyFill="1" applyBorder="1" applyAlignment="1">
      <alignment horizontal="center" vertical="center" wrapText="1" shrinkToFit="1"/>
    </xf>
    <xf numFmtId="38" fontId="4" fillId="0" borderId="5" xfId="1" applyNumberFormat="1" applyFont="1" applyFill="1" applyBorder="1" applyAlignment="1">
      <alignment horizontal="center" vertical="center" wrapText="1" shrinkToFit="1"/>
    </xf>
    <xf numFmtId="38" fontId="4" fillId="0" borderId="6" xfId="1" applyNumberFormat="1" applyFont="1" applyFill="1" applyBorder="1" applyAlignment="1">
      <alignment horizontal="center" vertical="center" wrapText="1" shrinkToFit="1"/>
    </xf>
    <xf numFmtId="38" fontId="4" fillId="4" borderId="5" xfId="1" applyNumberFormat="1" applyFont="1" applyFill="1" applyBorder="1" applyAlignment="1">
      <alignment horizontal="center" vertical="center" wrapText="1" shrinkToFit="1"/>
    </xf>
    <xf numFmtId="38" fontId="4" fillId="3" borderId="5" xfId="1" applyNumberFormat="1" applyFont="1" applyFill="1" applyBorder="1" applyAlignment="1">
      <alignment horizontal="center" vertical="center" wrapText="1" shrinkToFit="1"/>
    </xf>
    <xf numFmtId="38" fontId="4" fillId="3" borderId="6" xfId="1" applyNumberFormat="1" applyFont="1" applyFill="1" applyBorder="1" applyAlignment="1">
      <alignment horizontal="center" vertical="center" wrapText="1" shrinkToFit="1"/>
    </xf>
    <xf numFmtId="203" fontId="30" fillId="4" borderId="27" xfId="2" applyNumberFormat="1" applyFont="1" applyFill="1" applyBorder="1" applyAlignment="1">
      <alignment horizontal="center" vertical="center" wrapText="1" shrinkToFit="1"/>
    </xf>
    <xf numFmtId="38" fontId="4" fillId="3" borderId="17" xfId="0" applyNumberFormat="1" applyFont="1" applyFill="1" applyBorder="1" applyAlignment="1">
      <alignment horizontal="center" vertical="center" wrapText="1" shrinkToFit="1"/>
    </xf>
    <xf numFmtId="3" fontId="4" fillId="4" borderId="9" xfId="0" applyNumberFormat="1" applyFont="1" applyFill="1" applyBorder="1" applyAlignment="1">
      <alignment horizontal="center" vertical="center" wrapText="1" shrinkToFit="1"/>
    </xf>
    <xf numFmtId="3" fontId="4" fillId="0" borderId="28" xfId="0" applyNumberFormat="1" applyFont="1" applyBorder="1" applyAlignment="1">
      <alignment horizontal="right" vertical="center" wrapText="1" shrinkToFit="1"/>
    </xf>
    <xf numFmtId="38" fontId="4" fillId="0" borderId="29" xfId="0" applyNumberFormat="1" applyFont="1" applyBorder="1" applyAlignment="1">
      <alignment horizontal="center" vertical="center" wrapText="1" shrinkToFit="1"/>
    </xf>
    <xf numFmtId="3" fontId="4" fillId="0" borderId="29" xfId="0" applyNumberFormat="1" applyFont="1" applyBorder="1" applyAlignment="1">
      <alignment horizontal="center" vertical="center" wrapText="1" shrinkToFit="1"/>
    </xf>
    <xf numFmtId="38" fontId="20" fillId="0" borderId="29" xfId="0" applyNumberFormat="1" applyFont="1" applyBorder="1" applyAlignment="1">
      <alignment horizontal="center" vertical="center" wrapText="1" shrinkToFit="1"/>
    </xf>
    <xf numFmtId="38" fontId="4" fillId="0" borderId="30" xfId="0" applyNumberFormat="1" applyFont="1" applyBorder="1" applyAlignment="1">
      <alignment horizontal="center" vertical="center" wrapText="1" shrinkToFit="1"/>
    </xf>
    <xf numFmtId="3" fontId="23" fillId="2" borderId="2" xfId="0" applyNumberFormat="1" applyFont="1" applyFill="1" applyBorder="1" applyAlignment="1">
      <alignment horizontal="center" vertical="center" wrapText="1" shrinkToFit="1"/>
    </xf>
    <xf numFmtId="38" fontId="42" fillId="3" borderId="14" xfId="0" applyNumberFormat="1" applyFont="1" applyFill="1" applyBorder="1" applyAlignment="1">
      <alignment horizontal="center" vertical="center" wrapText="1" shrinkToFit="1"/>
    </xf>
    <xf numFmtId="38" fontId="22" fillId="0" borderId="14" xfId="0" applyNumberFormat="1" applyFont="1" applyBorder="1" applyAlignment="1">
      <alignment horizontal="center" vertical="center" wrapText="1" shrinkToFit="1"/>
    </xf>
    <xf numFmtId="38" fontId="4" fillId="3" borderId="14" xfId="0" applyNumberFormat="1" applyFont="1" applyFill="1" applyBorder="1" applyAlignment="1">
      <alignment horizontal="center" vertical="center" wrapText="1" shrinkToFit="1"/>
    </xf>
    <xf numFmtId="38" fontId="4" fillId="4" borderId="14" xfId="1" applyNumberFormat="1" applyFont="1" applyFill="1" applyBorder="1" applyAlignment="1">
      <alignment horizontal="center" vertical="center" wrapText="1" shrinkToFit="1"/>
    </xf>
    <xf numFmtId="38" fontId="4" fillId="4" borderId="3" xfId="1" applyNumberFormat="1" applyFont="1" applyFill="1" applyBorder="1" applyAlignment="1">
      <alignment horizontal="center" vertical="center" wrapText="1" shrinkToFit="1"/>
    </xf>
    <xf numFmtId="10" fontId="4" fillId="4" borderId="5" xfId="2" applyNumberFormat="1" applyFont="1" applyFill="1" applyBorder="1" applyAlignment="1">
      <alignment horizontal="center" vertical="center" wrapText="1" shrinkToFit="1"/>
    </xf>
    <xf numFmtId="3" fontId="7" fillId="2" borderId="19" xfId="0" applyNumberFormat="1" applyFont="1" applyFill="1" applyBorder="1" applyAlignment="1">
      <alignment horizontal="center" vertical="center" wrapText="1" shrinkToFit="1"/>
    </xf>
    <xf numFmtId="38" fontId="4" fillId="3" borderId="21" xfId="0" applyNumberFormat="1" applyFont="1" applyFill="1" applyBorder="1" applyAlignment="1">
      <alignment horizontal="center" vertical="center" wrapText="1" shrinkToFit="1"/>
    </xf>
    <xf numFmtId="40" fontId="22" fillId="0" borderId="21" xfId="0" applyNumberFormat="1" applyFont="1" applyBorder="1" applyAlignment="1">
      <alignment horizontal="center" vertical="center" wrapText="1" shrinkToFit="1"/>
    </xf>
    <xf numFmtId="38" fontId="4" fillId="3" borderId="21" xfId="1" applyNumberFormat="1" applyFont="1" applyFill="1" applyBorder="1" applyAlignment="1">
      <alignment horizontal="center" vertical="center" wrapText="1" shrinkToFit="1"/>
    </xf>
    <xf numFmtId="38" fontId="4" fillId="3" borderId="22" xfId="1" applyNumberFormat="1" applyFont="1" applyFill="1" applyBorder="1" applyAlignment="1">
      <alignment horizontal="center" vertical="center" wrapText="1" shrinkToFit="1"/>
    </xf>
    <xf numFmtId="0" fontId="23" fillId="2" borderId="23" xfId="0" applyFont="1" applyFill="1" applyBorder="1" applyAlignment="1">
      <alignment horizontal="center" vertical="center" wrapText="1" shrinkToFit="1"/>
    </xf>
    <xf numFmtId="40" fontId="4" fillId="3" borderId="24" xfId="0" applyNumberFormat="1" applyFont="1" applyFill="1" applyBorder="1" applyAlignment="1">
      <alignment horizontal="center" vertical="center" wrapText="1" shrinkToFit="1"/>
    </xf>
    <xf numFmtId="0" fontId="22" fillId="0" borderId="24" xfId="0" applyFont="1" applyBorder="1" applyAlignment="1">
      <alignment horizontal="center" vertical="center" wrapText="1" shrinkToFit="1"/>
    </xf>
    <xf numFmtId="38" fontId="4" fillId="3" borderId="24" xfId="0" applyNumberFormat="1" applyFont="1" applyFill="1" applyBorder="1" applyAlignment="1">
      <alignment horizontal="center" vertical="center" wrapText="1" shrinkToFit="1"/>
    </xf>
    <xf numFmtId="38" fontId="4" fillId="0" borderId="24" xfId="1" applyNumberFormat="1" applyFont="1" applyFill="1" applyBorder="1" applyAlignment="1">
      <alignment horizontal="center" vertical="center" wrapText="1" shrinkToFit="1"/>
    </xf>
    <xf numFmtId="38" fontId="4" fillId="0" borderId="25" xfId="1" applyNumberFormat="1" applyFont="1" applyFill="1" applyBorder="1" applyAlignment="1">
      <alignment horizontal="center" vertical="center" wrapText="1" shrinkToFit="1"/>
    </xf>
    <xf numFmtId="3" fontId="23" fillId="2" borderId="20" xfId="0" applyNumberFormat="1" applyFont="1" applyFill="1" applyBorder="1" applyAlignment="1">
      <alignment horizontal="center" vertical="center" wrapText="1" shrinkToFit="1" readingOrder="1"/>
    </xf>
    <xf numFmtId="38" fontId="4" fillId="3" borderId="26" xfId="0" applyNumberFormat="1" applyFont="1" applyFill="1" applyBorder="1" applyAlignment="1">
      <alignment horizontal="center" vertical="center" wrapText="1" shrinkToFit="1"/>
    </xf>
    <xf numFmtId="40" fontId="22" fillId="0" borderId="26" xfId="0" applyNumberFormat="1" applyFont="1" applyBorder="1" applyAlignment="1">
      <alignment horizontal="center" vertical="center" wrapText="1" shrinkToFit="1"/>
    </xf>
    <xf numFmtId="38" fontId="4" fillId="3" borderId="26" xfId="1" applyNumberFormat="1" applyFont="1" applyFill="1" applyBorder="1" applyAlignment="1">
      <alignment horizontal="center" vertical="center" wrapText="1" shrinkToFit="1"/>
    </xf>
    <xf numFmtId="38" fontId="4" fillId="3" borderId="12" xfId="1" applyNumberFormat="1" applyFont="1" applyFill="1" applyBorder="1" applyAlignment="1">
      <alignment horizontal="center" vertical="center" wrapText="1" shrinkToFit="1"/>
    </xf>
    <xf numFmtId="3" fontId="23" fillId="2" borderId="19" xfId="0" applyNumberFormat="1" applyFont="1" applyFill="1" applyBorder="1" applyAlignment="1">
      <alignment horizontal="center" vertical="center" wrapText="1" shrinkToFit="1" readingOrder="1"/>
    </xf>
    <xf numFmtId="3" fontId="23" fillId="2" borderId="2" xfId="0" applyNumberFormat="1" applyFont="1" applyFill="1" applyBorder="1" applyAlignment="1">
      <alignment horizontal="center" vertical="center" wrapText="1" shrinkToFit="1" readingOrder="1"/>
    </xf>
    <xf numFmtId="40" fontId="22" fillId="0" borderId="14" xfId="0" applyNumberFormat="1" applyFont="1" applyBorder="1" applyAlignment="1">
      <alignment horizontal="center" vertical="center" wrapText="1" shrinkToFit="1"/>
    </xf>
    <xf numFmtId="38" fontId="4" fillId="0" borderId="14" xfId="1" applyNumberFormat="1" applyFont="1" applyFill="1" applyBorder="1" applyAlignment="1">
      <alignment horizontal="center" vertical="center" wrapText="1" shrinkToFit="1"/>
    </xf>
    <xf numFmtId="38" fontId="4" fillId="0" borderId="3" xfId="1" applyNumberFormat="1" applyFont="1" applyFill="1" applyBorder="1" applyAlignment="1">
      <alignment horizontal="center" vertical="center" wrapText="1" shrinkToFit="1"/>
    </xf>
    <xf numFmtId="3" fontId="4" fillId="2" borderId="4" xfId="0" applyNumberFormat="1" applyFont="1" applyFill="1" applyBorder="1" applyAlignment="1">
      <alignment horizontal="center" vertical="center" wrapText="1" shrinkToFit="1"/>
    </xf>
    <xf numFmtId="38" fontId="4" fillId="2" borderId="5" xfId="0" applyNumberFormat="1" applyFont="1" applyFill="1" applyBorder="1" applyAlignment="1">
      <alignment horizontal="center" vertical="center" wrapText="1" shrinkToFit="1"/>
    </xf>
    <xf numFmtId="4" fontId="19" fillId="2" borderId="5" xfId="0" applyNumberFormat="1" applyFont="1" applyFill="1" applyBorder="1" applyAlignment="1">
      <alignment horizontal="center" vertical="center" wrapText="1" shrinkToFit="1"/>
    </xf>
    <xf numFmtId="3" fontId="4" fillId="2" borderId="5" xfId="0" applyNumberFormat="1" applyFont="1" applyFill="1" applyBorder="1" applyAlignment="1">
      <alignment horizontal="center" vertical="center" wrapText="1" shrinkToFit="1"/>
    </xf>
    <xf numFmtId="38" fontId="4" fillId="2" borderId="6" xfId="0" applyNumberFormat="1" applyFont="1" applyFill="1" applyBorder="1" applyAlignment="1">
      <alignment horizontal="center" vertical="center" wrapText="1" shrinkToFit="1"/>
    </xf>
    <xf numFmtId="38" fontId="24" fillId="3" borderId="5" xfId="0" applyNumberFormat="1" applyFont="1" applyFill="1" applyBorder="1" applyAlignment="1">
      <alignment horizontal="center" vertical="center" wrapText="1" shrinkToFit="1"/>
    </xf>
    <xf numFmtId="38" fontId="4" fillId="3" borderId="5" xfId="0" applyNumberFormat="1" applyFont="1" applyFill="1" applyBorder="1" applyAlignment="1">
      <alignment horizontal="center" vertical="center" wrapText="1" shrinkToFit="1"/>
    </xf>
    <xf numFmtId="3" fontId="4" fillId="3" borderId="5" xfId="2" applyNumberFormat="1" applyFont="1" applyFill="1" applyBorder="1" applyAlignment="1">
      <alignment horizontal="center" vertical="center" wrapText="1" shrinkToFit="1"/>
    </xf>
    <xf numFmtId="38" fontId="4" fillId="3" borderId="13" xfId="0" applyNumberFormat="1" applyFont="1" applyFill="1" applyBorder="1" applyAlignment="1">
      <alignment horizontal="center" vertical="center" wrapText="1" shrinkToFit="1"/>
    </xf>
    <xf numFmtId="38" fontId="4" fillId="0" borderId="31" xfId="1" applyNumberFormat="1" applyFont="1" applyFill="1" applyBorder="1" applyAlignment="1">
      <alignment vertical="center" wrapText="1" shrinkToFit="1"/>
    </xf>
    <xf numFmtId="38" fontId="4" fillId="5" borderId="32" xfId="1" applyNumberFormat="1" applyFont="1" applyFill="1" applyBorder="1" applyAlignment="1">
      <alignment vertical="center" wrapText="1" shrinkToFit="1"/>
    </xf>
    <xf numFmtId="38" fontId="4" fillId="5" borderId="33" xfId="1" applyNumberFormat="1" applyFont="1" applyFill="1" applyBorder="1" applyAlignment="1">
      <alignment vertical="center" wrapText="1" shrinkToFit="1"/>
    </xf>
    <xf numFmtId="40" fontId="4" fillId="3" borderId="4" xfId="0" applyNumberFormat="1" applyFont="1" applyFill="1" applyBorder="1" applyAlignment="1">
      <alignment horizontal="center" vertical="center" wrapText="1" shrinkToFit="1"/>
    </xf>
    <xf numFmtId="38" fontId="4" fillId="5" borderId="34" xfId="1" applyNumberFormat="1" applyFont="1" applyFill="1" applyBorder="1" applyAlignment="1">
      <alignment vertical="center" wrapText="1" shrinkToFit="1"/>
    </xf>
    <xf numFmtId="38" fontId="4" fillId="5" borderId="0" xfId="1" applyNumberFormat="1" applyFont="1" applyFill="1" applyBorder="1" applyAlignment="1">
      <alignment vertical="center" wrapText="1" shrinkToFit="1"/>
    </xf>
    <xf numFmtId="38" fontId="4" fillId="5" borderId="10" xfId="1" applyNumberFormat="1" applyFont="1" applyFill="1" applyBorder="1" applyAlignment="1">
      <alignment vertical="center" wrapText="1" shrinkToFit="1"/>
    </xf>
    <xf numFmtId="0" fontId="23" fillId="2" borderId="4" xfId="0" applyFont="1" applyFill="1" applyBorder="1" applyAlignment="1">
      <alignment horizontal="center" vertical="center" wrapText="1" shrinkToFit="1"/>
    </xf>
    <xf numFmtId="0" fontId="23" fillId="2" borderId="5" xfId="0" applyFont="1" applyFill="1" applyBorder="1" applyAlignment="1">
      <alignment horizontal="center" vertical="center" wrapText="1" shrinkToFit="1"/>
    </xf>
    <xf numFmtId="38" fontId="4" fillId="5" borderId="35" xfId="1" applyNumberFormat="1" applyFont="1" applyFill="1" applyBorder="1" applyAlignment="1">
      <alignment vertical="center" wrapText="1" shrinkToFit="1"/>
    </xf>
    <xf numFmtId="38" fontId="4" fillId="5" borderId="1" xfId="1" applyNumberFormat="1" applyFont="1" applyFill="1" applyBorder="1" applyAlignment="1">
      <alignment vertical="center" wrapText="1" shrinkToFit="1"/>
    </xf>
    <xf numFmtId="38" fontId="4" fillId="5" borderId="36" xfId="1" applyNumberFormat="1" applyFont="1" applyFill="1" applyBorder="1" applyAlignment="1">
      <alignment vertical="center" wrapText="1" shrinkToFit="1"/>
    </xf>
    <xf numFmtId="10" fontId="4" fillId="0" borderId="5" xfId="0" applyNumberFormat="1" applyFont="1" applyBorder="1" applyAlignment="1">
      <alignment horizontal="center" vertical="center" wrapText="1" shrinkToFit="1"/>
    </xf>
    <xf numFmtId="38" fontId="4" fillId="0" borderId="26" xfId="1" applyNumberFormat="1" applyFont="1" applyFill="1" applyBorder="1" applyAlignment="1">
      <alignment horizontal="center" vertical="center" wrapText="1" shrinkToFit="1"/>
    </xf>
    <xf numFmtId="38" fontId="4" fillId="0" borderId="12" xfId="1" applyNumberFormat="1" applyFont="1" applyFill="1" applyBorder="1" applyAlignment="1">
      <alignment horizontal="center" vertical="center" wrapText="1" shrinkToFit="1"/>
    </xf>
    <xf numFmtId="10" fontId="4" fillId="3" borderId="5" xfId="2" applyNumberFormat="1" applyFont="1" applyFill="1" applyBorder="1" applyAlignment="1">
      <alignment horizontal="center" vertical="center" wrapText="1" shrinkToFit="1"/>
    </xf>
    <xf numFmtId="38" fontId="4" fillId="0" borderId="5" xfId="1" applyNumberFormat="1" applyFont="1" applyFill="1" applyBorder="1" applyAlignment="1">
      <alignment horizontal="center" vertical="center" wrapText="1" shrinkToFit="1"/>
    </xf>
    <xf numFmtId="38" fontId="4" fillId="0" borderId="6" xfId="1" applyNumberFormat="1" applyFont="1" applyFill="1" applyBorder="1" applyAlignment="1">
      <alignment horizontal="center" vertical="center" wrapText="1" shrinkToFit="1"/>
    </xf>
    <xf numFmtId="38" fontId="4" fillId="3" borderId="5" xfId="1" applyNumberFormat="1" applyFont="1" applyFill="1" applyBorder="1" applyAlignment="1">
      <alignment horizontal="center" vertical="center" wrapText="1" shrinkToFit="1"/>
    </xf>
    <xf numFmtId="38" fontId="4" fillId="3" borderId="6" xfId="1" applyNumberFormat="1" applyFont="1" applyFill="1" applyBorder="1" applyAlignment="1">
      <alignment horizontal="center" vertical="center" wrapText="1" shrinkToFit="1"/>
    </xf>
    <xf numFmtId="3" fontId="3" fillId="3" borderId="8" xfId="0" applyNumberFormat="1" applyFont="1" applyFill="1" applyBorder="1" applyAlignment="1">
      <alignment horizontal="center" vertical="center" wrapText="1" shrinkToFit="1"/>
    </xf>
    <xf numFmtId="10" fontId="4" fillId="3" borderId="17" xfId="0" applyNumberFormat="1" applyFont="1" applyFill="1" applyBorder="1" applyAlignment="1">
      <alignment horizontal="center" vertical="center" wrapText="1" shrinkToFit="1"/>
    </xf>
    <xf numFmtId="38" fontId="4" fillId="3" borderId="17" xfId="0" applyNumberFormat="1" applyFont="1" applyFill="1" applyBorder="1" applyAlignment="1">
      <alignment horizontal="center" vertical="center" wrapText="1" shrinkToFit="1"/>
    </xf>
    <xf numFmtId="38" fontId="4" fillId="3" borderId="17" xfId="1" applyNumberFormat="1" applyFont="1" applyFill="1" applyBorder="1" applyAlignment="1">
      <alignment horizontal="center" vertical="center" wrapText="1" shrinkToFit="1"/>
    </xf>
    <xf numFmtId="38" fontId="4" fillId="3" borderId="9" xfId="1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Alignment="1">
      <alignment horizontal="center" vertical="center" wrapText="1" shrinkToFit="1"/>
    </xf>
    <xf numFmtId="3" fontId="18" fillId="0" borderId="0" xfId="0" applyNumberFormat="1" applyFont="1" applyAlignment="1">
      <alignment vertical="center" wrapText="1" shrinkToFit="1"/>
    </xf>
    <xf numFmtId="3" fontId="44" fillId="0" borderId="0" xfId="0" applyNumberFormat="1" applyFont="1" applyAlignment="1">
      <alignment horizontal="center" vertical="center" wrapText="1" shrinkToFit="1"/>
    </xf>
    <xf numFmtId="38" fontId="14" fillId="0" borderId="0" xfId="0" applyNumberFormat="1" applyFont="1" applyAlignment="1">
      <alignment horizontal="center" vertical="center" wrapText="1" shrinkToFit="1"/>
    </xf>
    <xf numFmtId="49" fontId="3" fillId="0" borderId="4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14" fontId="4" fillId="0" borderId="5" xfId="0" applyNumberFormat="1" applyFont="1" applyBorder="1" applyAlignment="1">
      <alignment horizontal="center" vertical="center" wrapText="1" shrinkToFit="1"/>
    </xf>
    <xf numFmtId="14" fontId="4" fillId="0" borderId="6" xfId="0" applyNumberFormat="1" applyFont="1" applyBorder="1" applyAlignment="1">
      <alignment horizontal="center" vertical="center" wrapText="1" shrinkToFit="1"/>
    </xf>
    <xf numFmtId="49" fontId="4" fillId="3" borderId="4" xfId="0" applyNumberFormat="1" applyFont="1" applyFill="1" applyBorder="1" applyAlignment="1">
      <alignment horizontal="center" vertical="center" wrapText="1" shrinkToFit="1"/>
    </xf>
    <xf numFmtId="49" fontId="4" fillId="3" borderId="5" xfId="0" applyNumberFormat="1" applyFont="1" applyFill="1" applyBorder="1" applyAlignment="1">
      <alignment horizontal="center" vertical="center" wrapText="1" shrinkToFit="1"/>
    </xf>
    <xf numFmtId="10" fontId="4" fillId="3" borderId="5" xfId="0" applyNumberFormat="1" applyFont="1" applyFill="1" applyBorder="1" applyAlignment="1">
      <alignment horizontal="center" vertical="center" wrapText="1" shrinkToFit="1"/>
    </xf>
    <xf numFmtId="10" fontId="4" fillId="3" borderId="6" xfId="0" applyNumberFormat="1" applyFont="1" applyFill="1" applyBorder="1" applyAlignment="1">
      <alignment horizontal="center" vertical="center" wrapText="1" shrinkToFit="1"/>
    </xf>
    <xf numFmtId="10" fontId="3" fillId="0" borderId="5" xfId="2" applyNumberFormat="1" applyFont="1" applyFill="1" applyBorder="1" applyAlignment="1">
      <alignment horizontal="center" vertical="center" wrapText="1" shrinkToFit="1"/>
    </xf>
    <xf numFmtId="10" fontId="3" fillId="0" borderId="6" xfId="2" applyNumberFormat="1" applyFont="1" applyFill="1" applyBorder="1" applyAlignment="1">
      <alignment horizontal="center" vertical="center" wrapText="1" shrinkToFit="1"/>
    </xf>
    <xf numFmtId="49" fontId="3" fillId="3" borderId="4" xfId="0" applyNumberFormat="1" applyFont="1" applyFill="1" applyBorder="1" applyAlignment="1">
      <alignment horizontal="center" vertical="center" wrapText="1" shrinkToFit="1"/>
    </xf>
    <xf numFmtId="49" fontId="3" fillId="3" borderId="5" xfId="0" applyNumberFormat="1" applyFont="1" applyFill="1" applyBorder="1" applyAlignment="1">
      <alignment horizontal="center" vertical="center" wrapText="1" shrinkToFit="1"/>
    </xf>
    <xf numFmtId="3" fontId="14" fillId="0" borderId="0" xfId="2" applyNumberFormat="1" applyFont="1" applyFill="1" applyBorder="1" applyAlignment="1">
      <alignment vertical="center" wrapText="1" shrinkToFit="1"/>
    </xf>
    <xf numFmtId="49" fontId="3" fillId="0" borderId="4" xfId="2" applyNumberFormat="1" applyFont="1" applyFill="1" applyBorder="1" applyAlignment="1">
      <alignment horizontal="center" vertical="center" wrapText="1" shrinkToFit="1"/>
    </xf>
    <xf numFmtId="49" fontId="3" fillId="0" borderId="5" xfId="2" applyNumberFormat="1" applyFont="1" applyFill="1" applyBorder="1" applyAlignment="1">
      <alignment horizontal="center" vertical="center" wrapText="1" shrinkToFit="1"/>
    </xf>
    <xf numFmtId="49" fontId="3" fillId="0" borderId="8" xfId="0" applyNumberFormat="1" applyFont="1" applyBorder="1" applyAlignment="1">
      <alignment horizontal="center" vertical="center" wrapText="1" shrinkToFit="1"/>
    </xf>
    <xf numFmtId="49" fontId="3" fillId="0" borderId="17" xfId="0" applyNumberFormat="1" applyFont="1" applyBorder="1" applyAlignment="1">
      <alignment horizontal="center" vertical="center" wrapText="1" shrinkToFit="1"/>
    </xf>
    <xf numFmtId="38" fontId="4" fillId="0" borderId="17" xfId="1" applyNumberFormat="1" applyFont="1" applyFill="1" applyBorder="1" applyAlignment="1">
      <alignment horizontal="center" vertical="center" wrapText="1" shrinkToFit="1"/>
    </xf>
    <xf numFmtId="38" fontId="4" fillId="0" borderId="9" xfId="1" applyNumberFormat="1" applyFont="1" applyFill="1" applyBorder="1" applyAlignment="1">
      <alignment horizontal="center" vertical="center" wrapText="1" shrinkToFit="1"/>
    </xf>
    <xf numFmtId="38" fontId="20" fillId="3" borderId="2" xfId="0" applyNumberFormat="1" applyFont="1" applyFill="1" applyBorder="1" applyAlignment="1">
      <alignment horizontal="center" vertical="center" wrapText="1" shrinkToFit="1"/>
    </xf>
    <xf numFmtId="3" fontId="19" fillId="3" borderId="3" xfId="0" applyNumberFormat="1" applyFont="1" applyFill="1" applyBorder="1" applyAlignment="1">
      <alignment horizontal="center" vertical="center" wrapText="1" shrinkToFit="1"/>
    </xf>
    <xf numFmtId="3" fontId="20" fillId="3" borderId="8" xfId="0" applyNumberFormat="1" applyFont="1" applyFill="1" applyBorder="1" applyAlignment="1">
      <alignment horizontal="center" vertical="center" wrapText="1" shrinkToFit="1"/>
    </xf>
    <xf numFmtId="38" fontId="19" fillId="3" borderId="9" xfId="0" applyNumberFormat="1" applyFont="1" applyFill="1" applyBorder="1" applyAlignment="1">
      <alignment horizontal="center" vertical="center" wrapText="1" shrinkToFit="1"/>
    </xf>
    <xf numFmtId="3" fontId="22" fillId="0" borderId="0" xfId="0" applyNumberFormat="1" applyFont="1" applyAlignment="1">
      <alignment horizontal="center" vertical="center" wrapText="1" shrinkToFit="1"/>
    </xf>
    <xf numFmtId="3" fontId="5" fillId="2" borderId="2" xfId="0" applyNumberFormat="1" applyFont="1" applyFill="1" applyBorder="1" applyAlignment="1">
      <alignment horizontal="centerContinuous" vertical="center" wrapText="1" shrinkToFit="1"/>
    </xf>
    <xf numFmtId="3" fontId="5" fillId="2" borderId="14" xfId="0" applyNumberFormat="1" applyFont="1" applyFill="1" applyBorder="1" applyAlignment="1">
      <alignment horizontal="centerContinuous" vertical="center" wrapText="1" shrinkToFit="1"/>
    </xf>
    <xf numFmtId="3" fontId="5" fillId="2" borderId="3" xfId="0" applyNumberFormat="1" applyFont="1" applyFill="1" applyBorder="1" applyAlignment="1">
      <alignment horizontal="centerContinuous" vertical="center" wrapText="1" shrinkToFit="1"/>
    </xf>
    <xf numFmtId="204" fontId="24" fillId="0" borderId="4" xfId="0" applyNumberFormat="1" applyFont="1" applyBorder="1" applyAlignment="1">
      <alignment horizontal="center" vertical="center" wrapText="1" shrinkToFit="1"/>
    </xf>
    <xf numFmtId="204" fontId="24" fillId="0" borderId="5" xfId="0" applyNumberFormat="1" applyFont="1" applyBorder="1" applyAlignment="1">
      <alignment horizontal="center" vertical="center" wrapText="1" shrinkToFit="1"/>
    </xf>
    <xf numFmtId="0" fontId="22" fillId="0" borderId="5" xfId="0" applyFont="1" applyBorder="1" applyAlignment="1">
      <alignment horizontal="center" vertical="center" wrapText="1" shrinkToFit="1"/>
    </xf>
    <xf numFmtId="3" fontId="4" fillId="0" borderId="5" xfId="0" applyNumberFormat="1" applyFont="1" applyBorder="1" applyAlignment="1">
      <alignment horizontal="centerContinuous" vertical="center" wrapText="1" shrinkToFit="1"/>
    </xf>
    <xf numFmtId="3" fontId="3" fillId="0" borderId="5" xfId="0" applyNumberFormat="1" applyFont="1" applyBorder="1" applyAlignment="1">
      <alignment horizontal="centerContinuous" vertical="center" wrapText="1" shrinkToFit="1"/>
    </xf>
    <xf numFmtId="3" fontId="3" fillId="0" borderId="6" xfId="0" applyNumberFormat="1" applyFont="1" applyBorder="1" applyAlignment="1">
      <alignment horizontal="centerContinuous" vertical="center" wrapText="1" shrinkToFit="1"/>
    </xf>
    <xf numFmtId="0" fontId="22" fillId="3" borderId="5" xfId="0" applyFont="1" applyFill="1" applyBorder="1" applyAlignment="1">
      <alignment horizontal="center" vertical="center" wrapText="1" shrinkToFit="1"/>
    </xf>
    <xf numFmtId="38" fontId="24" fillId="3" borderId="5" xfId="1" applyNumberFormat="1" applyFont="1" applyFill="1" applyBorder="1" applyAlignment="1">
      <alignment horizontal="center" vertical="center" wrapText="1" shrinkToFit="1"/>
    </xf>
    <xf numFmtId="9" fontId="4" fillId="3" borderId="5" xfId="2" applyFont="1" applyFill="1" applyBorder="1" applyAlignment="1">
      <alignment horizontal="center" vertical="center" wrapText="1" shrinkToFit="1"/>
    </xf>
    <xf numFmtId="9" fontId="4" fillId="3" borderId="6" xfId="2" applyFont="1" applyFill="1" applyBorder="1" applyAlignment="1">
      <alignment horizontal="center" vertical="center" wrapText="1" shrinkToFit="1"/>
    </xf>
    <xf numFmtId="9" fontId="4" fillId="0" borderId="5" xfId="2" applyFont="1" applyFill="1" applyBorder="1" applyAlignment="1">
      <alignment horizontal="center" vertical="center" wrapText="1" shrinkToFit="1"/>
    </xf>
    <xf numFmtId="9" fontId="4" fillId="0" borderId="6" xfId="2" applyFont="1" applyFill="1" applyBorder="1" applyAlignment="1">
      <alignment horizontal="center" vertical="center" wrapText="1" shrinkToFit="1"/>
    </xf>
    <xf numFmtId="3" fontId="24" fillId="3" borderId="5" xfId="1" applyNumberFormat="1" applyFont="1" applyFill="1" applyBorder="1" applyAlignment="1">
      <alignment horizontal="center" vertical="center" wrapText="1" shrinkToFit="1"/>
    </xf>
    <xf numFmtId="49" fontId="4" fillId="0" borderId="4" xfId="0" applyNumberFormat="1" applyFont="1" applyBorder="1" applyAlignment="1">
      <alignment horizontal="center" vertical="center" wrapText="1" shrinkToFit="1"/>
    </xf>
    <xf numFmtId="49" fontId="4" fillId="0" borderId="5" xfId="0" applyNumberFormat="1" applyFont="1" applyBorder="1" applyAlignment="1">
      <alignment horizontal="center" vertical="center" wrapText="1" shrinkToFit="1"/>
    </xf>
    <xf numFmtId="37" fontId="4" fillId="3" borderId="5" xfId="1" applyNumberFormat="1" applyFont="1" applyFill="1" applyBorder="1" applyAlignment="1">
      <alignment horizontal="center" vertical="center" wrapText="1" shrinkToFit="1"/>
    </xf>
    <xf numFmtId="37" fontId="4" fillId="0" borderId="5" xfId="1" applyNumberFormat="1" applyFont="1" applyFill="1" applyBorder="1" applyAlignment="1">
      <alignment horizontal="center" vertical="center" wrapText="1" shrinkToFit="1"/>
    </xf>
    <xf numFmtId="37" fontId="4" fillId="0" borderId="6" xfId="1" applyNumberFormat="1" applyFont="1" applyFill="1" applyBorder="1" applyAlignment="1">
      <alignment horizontal="center" vertical="center" wrapText="1" shrinkToFit="1"/>
    </xf>
    <xf numFmtId="38" fontId="29" fillId="0" borderId="5" xfId="1" applyNumberFormat="1" applyFont="1" applyFill="1" applyBorder="1" applyAlignment="1">
      <alignment horizontal="center" vertical="center" wrapText="1" shrinkToFit="1"/>
    </xf>
    <xf numFmtId="38" fontId="29" fillId="0" borderId="6" xfId="1" applyNumberFormat="1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horizontal="center" vertical="center" wrapText="1" shrinkToFit="1"/>
    </xf>
    <xf numFmtId="38" fontId="29" fillId="0" borderId="17" xfId="1" applyNumberFormat="1" applyFont="1" applyFill="1" applyBorder="1" applyAlignment="1">
      <alignment horizontal="center" vertical="center" wrapText="1" shrinkToFit="1"/>
    </xf>
    <xf numFmtId="38" fontId="29" fillId="0" borderId="9" xfId="1" applyNumberFormat="1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205" fontId="3" fillId="3" borderId="15" xfId="2" applyNumberFormat="1" applyFont="1" applyFill="1" applyBorder="1" applyAlignment="1">
      <alignment horizontal="center" vertical="center" wrapText="1" shrinkToFit="1"/>
    </xf>
    <xf numFmtId="205" fontId="3" fillId="0" borderId="16" xfId="2" applyNumberFormat="1" applyFont="1" applyFill="1" applyBorder="1" applyAlignment="1">
      <alignment horizontal="center" vertical="center" wrapText="1" shrinkToFit="1"/>
    </xf>
    <xf numFmtId="205" fontId="3" fillId="3" borderId="16" xfId="2" applyNumberFormat="1" applyFont="1" applyFill="1" applyBorder="1" applyAlignment="1">
      <alignment horizontal="center" vertical="center" wrapText="1" shrinkToFit="1"/>
    </xf>
    <xf numFmtId="206" fontId="3" fillId="3" borderId="16" xfId="2" applyNumberFormat="1" applyFont="1" applyFill="1" applyBorder="1" applyAlignment="1">
      <alignment horizontal="center" vertical="center" wrapText="1" shrinkToFit="1"/>
    </xf>
    <xf numFmtId="3" fontId="3" fillId="0" borderId="8" xfId="0" applyNumberFormat="1" applyFont="1" applyBorder="1" applyAlignment="1">
      <alignment horizontal="center" vertical="center" wrapText="1" shrinkToFit="1"/>
    </xf>
    <xf numFmtId="3" fontId="29" fillId="0" borderId="9" xfId="0" applyNumberFormat="1" applyFont="1" applyBorder="1" applyAlignment="1">
      <alignment horizontal="center" vertical="center" wrapText="1" shrinkToFit="1"/>
    </xf>
    <xf numFmtId="3" fontId="3" fillId="0" borderId="18" xfId="0" applyNumberFormat="1" applyFont="1" applyBorder="1" applyAlignment="1">
      <alignment horizontal="center" vertical="center" wrapText="1" shrinkToFit="1"/>
    </xf>
    <xf numFmtId="207" fontId="4" fillId="0" borderId="0" xfId="2" applyNumberFormat="1" applyFont="1" applyAlignment="1">
      <alignment horizontal="center" vertical="center" wrapText="1" shrinkToFit="1"/>
    </xf>
    <xf numFmtId="3" fontId="45" fillId="0" borderId="0" xfId="0" applyNumberFormat="1" applyFont="1" applyAlignment="1">
      <alignment vertical="center" wrapText="1" shrinkToFit="1"/>
    </xf>
    <xf numFmtId="3" fontId="45" fillId="0" borderId="0" xfId="0" applyNumberFormat="1" applyFont="1" applyAlignment="1">
      <alignment horizontal="center" vertical="center" wrapText="1" shrinkToFit="1"/>
    </xf>
    <xf numFmtId="3" fontId="45" fillId="0" borderId="0" xfId="0" applyNumberFormat="1" applyFont="1" applyAlignment="1">
      <alignment horizontal="center" vertical="center" shrinkToFit="1" readingOrder="2"/>
    </xf>
    <xf numFmtId="3" fontId="45" fillId="0" borderId="0" xfId="2" applyNumberFormat="1" applyFont="1" applyFill="1" applyAlignment="1">
      <alignment horizontal="center" vertical="center" wrapText="1" shrinkToFit="1"/>
    </xf>
    <xf numFmtId="3" fontId="5" fillId="0" borderId="0" xfId="0" applyNumberFormat="1" applyFont="1" applyFill="1" applyBorder="1" applyAlignment="1">
      <alignment horizontal="center" vertical="center" wrapText="1" shrinkToFit="1"/>
    </xf>
    <xf numFmtId="3" fontId="4" fillId="0" borderId="0" xfId="0" applyNumberFormat="1" applyFont="1" applyFill="1" applyBorder="1" applyAlignment="1">
      <alignment horizontal="center" vertical="center" wrapText="1" shrinkToFit="1"/>
    </xf>
    <xf numFmtId="3" fontId="6" fillId="0" borderId="0" xfId="0" applyNumberFormat="1" applyFont="1" applyFill="1" applyBorder="1" applyAlignment="1">
      <alignment horizontal="center" vertical="center" wrapText="1" shrinkToFit="1"/>
    </xf>
    <xf numFmtId="3" fontId="7" fillId="0" borderId="0" xfId="0" applyNumberFormat="1" applyFont="1" applyFill="1" applyBorder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 wrapText="1" shrinkToFit="1"/>
    </xf>
    <xf numFmtId="3" fontId="7" fillId="0" borderId="0" xfId="0" applyNumberFormat="1" applyFont="1" applyFill="1" applyBorder="1" applyAlignment="1">
      <alignment horizontal="center" vertical="center" wrapText="1" shrinkToFit="1" readingOrder="1"/>
    </xf>
    <xf numFmtId="3" fontId="14" fillId="0" borderId="0" xfId="0" applyNumberFormat="1" applyFont="1" applyFill="1" applyBorder="1" applyAlignment="1">
      <alignment horizontal="center" vertical="center" wrapText="1" shrinkToFit="1"/>
    </xf>
    <xf numFmtId="3" fontId="15" fillId="0" borderId="0" xfId="0" applyNumberFormat="1" applyFont="1" applyFill="1" applyBorder="1" applyAlignment="1">
      <alignment horizontal="center" vertical="center" wrapText="1" shrinkToFit="1"/>
    </xf>
    <xf numFmtId="0" fontId="16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10" fontId="15" fillId="0" borderId="0" xfId="2" applyNumberFormat="1" applyFont="1" applyFill="1" applyBorder="1" applyAlignment="1">
      <alignment horizontal="center" vertical="center" wrapText="1" shrinkToFit="1"/>
    </xf>
    <xf numFmtId="10" fontId="18" fillId="0" borderId="0" xfId="2" applyNumberFormat="1" applyFont="1" applyFill="1" applyBorder="1" applyAlignment="1">
      <alignment horizontal="center" vertical="center" wrapText="1" shrinkToFit="1"/>
    </xf>
    <xf numFmtId="3" fontId="15" fillId="0" borderId="0" xfId="2" applyNumberFormat="1" applyFont="1" applyFill="1" applyBorder="1" applyAlignment="1">
      <alignment horizontal="center" vertical="center" wrapText="1" shrinkToFit="1"/>
    </xf>
    <xf numFmtId="3" fontId="19" fillId="0" borderId="0" xfId="0" applyNumberFormat="1" applyFont="1" applyFill="1" applyBorder="1" applyAlignment="1">
      <alignment horizontal="center" vertical="center" wrapText="1" shrinkToFit="1"/>
    </xf>
    <xf numFmtId="10" fontId="19" fillId="0" borderId="0" xfId="2" applyNumberFormat="1" applyFont="1" applyFill="1" applyBorder="1" applyAlignment="1">
      <alignment horizontal="center" vertical="center" wrapText="1" shrinkToFit="1"/>
    </xf>
    <xf numFmtId="38" fontId="20" fillId="0" borderId="0" xfId="0" applyNumberFormat="1" applyFont="1" applyFill="1" applyBorder="1" applyAlignment="1">
      <alignment horizontal="center" vertical="center" wrapText="1" shrinkToFit="1"/>
    </xf>
    <xf numFmtId="40" fontId="20" fillId="0" borderId="0" xfId="0" applyNumberFormat="1" applyFont="1" applyFill="1" applyBorder="1" applyAlignment="1">
      <alignment horizontal="center" vertical="center" wrapText="1" shrinkToFit="1"/>
    </xf>
    <xf numFmtId="10" fontId="20" fillId="0" borderId="0" xfId="2" applyNumberFormat="1" applyFont="1" applyFill="1" applyBorder="1" applyAlignment="1">
      <alignment horizontal="center" vertical="center" wrapText="1" shrinkToFit="1"/>
    </xf>
    <xf numFmtId="4" fontId="4" fillId="0" borderId="0" xfId="0" applyNumberFormat="1" applyFont="1" applyFill="1" applyBorder="1" applyAlignment="1">
      <alignment horizontal="center" vertical="center" wrapText="1" shrinkToFit="1"/>
    </xf>
    <xf numFmtId="3" fontId="21" fillId="0" borderId="0" xfId="0" applyNumberFormat="1" applyFont="1" applyFill="1" applyBorder="1" applyAlignment="1">
      <alignment horizontal="center" vertical="center" wrapText="1" shrinkToFit="1"/>
    </xf>
    <xf numFmtId="10" fontId="14" fillId="0" borderId="0" xfId="2" applyNumberFormat="1" applyFont="1" applyFill="1" applyBorder="1" applyAlignment="1">
      <alignment horizontal="center" vertical="center" wrapText="1" shrinkToFit="1"/>
    </xf>
    <xf numFmtId="9" fontId="7" fillId="0" borderId="0" xfId="2" applyFont="1" applyFill="1" applyBorder="1" applyAlignment="1">
      <alignment horizontal="center" vertical="center" wrapText="1" shrinkToFit="1"/>
    </xf>
    <xf numFmtId="3" fontId="20" fillId="0" borderId="0" xfId="0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Fill="1" applyBorder="1" applyAlignment="1">
      <alignment horizontal="center" vertical="center" wrapText="1" shrinkToFit="1"/>
    </xf>
    <xf numFmtId="3" fontId="21" fillId="0" borderId="0" xfId="2" applyNumberFormat="1" applyFont="1" applyFill="1" applyBorder="1" applyAlignment="1">
      <alignment horizontal="center" vertical="center" wrapText="1" shrinkToFit="1"/>
    </xf>
    <xf numFmtId="9" fontId="20" fillId="0" borderId="0" xfId="2" applyFont="1" applyFill="1" applyBorder="1" applyAlignment="1">
      <alignment horizontal="center" vertical="center" wrapText="1" shrinkToFit="1"/>
    </xf>
    <xf numFmtId="9" fontId="15" fillId="0" borderId="0" xfId="2" applyFont="1" applyFill="1" applyBorder="1" applyAlignment="1">
      <alignment horizontal="center" vertical="center" wrapText="1" shrinkToFit="1"/>
    </xf>
    <xf numFmtId="3" fontId="21" fillId="0" borderId="0" xfId="2" applyNumberFormat="1" applyFont="1" applyFill="1" applyBorder="1" applyAlignment="1">
      <alignment horizontal="center" vertical="center" wrapText="1" shrinkToFit="1"/>
    </xf>
    <xf numFmtId="9" fontId="14" fillId="0" borderId="0" xfId="2" applyFont="1" applyFill="1" applyBorder="1" applyAlignment="1">
      <alignment horizontal="center" vertical="center" wrapText="1" shrinkToFit="1"/>
    </xf>
    <xf numFmtId="164" fontId="15" fillId="0" borderId="0" xfId="0" applyNumberFormat="1" applyFont="1" applyFill="1" applyBorder="1" applyAlignment="1">
      <alignment horizontal="center" vertical="center" wrapText="1" shrinkToFit="1"/>
    </xf>
    <xf numFmtId="3" fontId="15" fillId="0" borderId="0" xfId="0" applyNumberFormat="1" applyFont="1" applyFill="1" applyBorder="1" applyAlignment="1">
      <alignment horizontal="center" vertical="center" wrapText="1" shrinkToFit="1"/>
    </xf>
    <xf numFmtId="165" fontId="19" fillId="0" borderId="0" xfId="0" applyNumberFormat="1" applyFont="1" applyFill="1" applyBorder="1" applyAlignment="1">
      <alignment horizontal="center" vertical="center" wrapText="1" shrinkToFit="1"/>
    </xf>
    <xf numFmtId="9" fontId="19" fillId="0" borderId="0" xfId="2" applyFont="1" applyFill="1" applyBorder="1" applyAlignment="1">
      <alignment horizontal="center" vertical="center" wrapText="1" shrinkToFit="1"/>
    </xf>
    <xf numFmtId="165" fontId="20" fillId="0" borderId="0" xfId="0" applyNumberFormat="1" applyFont="1" applyFill="1" applyBorder="1" applyAlignment="1">
      <alignment horizontal="center" vertical="center" wrapText="1" shrinkToFit="1"/>
    </xf>
    <xf numFmtId="166" fontId="20" fillId="0" borderId="0" xfId="2" applyNumberFormat="1" applyFont="1" applyFill="1" applyBorder="1" applyAlignment="1">
      <alignment horizontal="center" vertical="center" wrapText="1" shrinkToFit="1"/>
    </xf>
    <xf numFmtId="167" fontId="22" fillId="0" borderId="0" xfId="0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Fill="1" applyBorder="1" applyAlignment="1">
      <alignment horizontal="center" vertical="center" wrapText="1" shrinkToFit="1"/>
    </xf>
    <xf numFmtId="9" fontId="15" fillId="0" borderId="0" xfId="2" applyFont="1" applyFill="1" applyBorder="1" applyAlignment="1">
      <alignment horizontal="center" vertical="center" wrapText="1" shrinkToFit="1"/>
    </xf>
    <xf numFmtId="0" fontId="25" fillId="0" borderId="0" xfId="0" applyFont="1" applyFill="1" applyBorder="1" applyAlignment="1">
      <alignment horizontal="center" vertical="center"/>
    </xf>
    <xf numFmtId="9" fontId="25" fillId="0" borderId="0" xfId="2" applyFont="1" applyFill="1" applyBorder="1" applyAlignment="1">
      <alignment horizontal="center" vertical="center"/>
    </xf>
    <xf numFmtId="3" fontId="25" fillId="0" borderId="0" xfId="0" applyNumberFormat="1" applyFont="1" applyFill="1" applyBorder="1" applyAlignment="1">
      <alignment horizontal="center" vertical="center"/>
    </xf>
    <xf numFmtId="167" fontId="3" fillId="0" borderId="0" xfId="0" applyNumberFormat="1" applyFont="1" applyFill="1" applyBorder="1" applyAlignment="1">
      <alignment horizontal="center" vertical="center" wrapText="1" shrinkToFit="1"/>
    </xf>
    <xf numFmtId="168" fontId="3" fillId="0" borderId="0" xfId="2" applyNumberFormat="1" applyFont="1" applyFill="1" applyBorder="1" applyAlignment="1">
      <alignment horizontal="center" vertical="center" wrapText="1" shrinkToFit="1"/>
    </xf>
    <xf numFmtId="10" fontId="26" fillId="0" borderId="0" xfId="2" applyNumberFormat="1" applyFont="1" applyFill="1" applyBorder="1" applyAlignment="1">
      <alignment horizontal="center" vertical="center" wrapText="1" shrinkToFit="1" readingOrder="2"/>
    </xf>
    <xf numFmtId="167" fontId="27" fillId="0" borderId="0" xfId="0" applyNumberFormat="1" applyFont="1" applyFill="1" applyBorder="1" applyAlignment="1">
      <alignment horizontal="center" vertical="center" wrapText="1" shrinkToFit="1"/>
    </xf>
    <xf numFmtId="10" fontId="28" fillId="0" borderId="0" xfId="2" applyNumberFormat="1" applyFont="1" applyFill="1" applyBorder="1" applyAlignment="1">
      <alignment horizontal="center" vertical="center" wrapText="1" shrinkToFit="1"/>
    </xf>
    <xf numFmtId="170" fontId="20" fillId="0" borderId="0" xfId="2" applyNumberFormat="1" applyFont="1" applyFill="1" applyBorder="1" applyAlignment="1">
      <alignment horizontal="center" vertical="center" wrapText="1" shrinkToFit="1"/>
    </xf>
    <xf numFmtId="171" fontId="20" fillId="0" borderId="0" xfId="2" applyNumberFormat="1" applyFont="1" applyFill="1" applyBorder="1" applyAlignment="1">
      <alignment horizontal="center" vertical="center" wrapText="1" shrinkToFit="1"/>
    </xf>
    <xf numFmtId="173" fontId="14" fillId="0" borderId="0" xfId="2" applyNumberFormat="1" applyFont="1" applyFill="1" applyBorder="1" applyAlignment="1">
      <alignment horizontal="center" vertical="center" wrapText="1" shrinkToFit="1"/>
    </xf>
    <xf numFmtId="174" fontId="15" fillId="0" borderId="0" xfId="1" applyNumberFormat="1" applyFont="1" applyFill="1" applyBorder="1" applyAlignment="1">
      <alignment horizontal="center" vertical="center" wrapText="1" shrinkToFit="1"/>
    </xf>
    <xf numFmtId="175" fontId="14" fillId="0" borderId="0" xfId="2" applyNumberFormat="1" applyFont="1" applyFill="1" applyBorder="1" applyAlignment="1">
      <alignment horizontal="center" vertical="center" wrapText="1" shrinkToFit="1"/>
    </xf>
    <xf numFmtId="176" fontId="19" fillId="0" borderId="0" xfId="2" applyNumberFormat="1" applyFont="1" applyFill="1" applyBorder="1" applyAlignment="1">
      <alignment horizontal="center" vertical="center" wrapText="1" shrinkToFit="1"/>
    </xf>
    <xf numFmtId="177" fontId="19" fillId="0" borderId="0" xfId="2" applyNumberFormat="1" applyFont="1" applyFill="1" applyBorder="1" applyAlignment="1">
      <alignment horizontal="center" vertical="center" wrapText="1" shrinkToFit="1"/>
    </xf>
    <xf numFmtId="178" fontId="19" fillId="0" borderId="0" xfId="2" applyNumberFormat="1" applyFont="1" applyFill="1" applyBorder="1" applyAlignment="1">
      <alignment horizontal="center" vertical="center" wrapText="1" shrinkToFit="1"/>
    </xf>
    <xf numFmtId="10" fontId="15" fillId="0" borderId="0" xfId="2" applyNumberFormat="1" applyFont="1" applyFill="1" applyBorder="1" applyAlignment="1">
      <alignment vertical="center" wrapText="1" shrinkToFit="1"/>
    </xf>
    <xf numFmtId="3" fontId="30" fillId="0" borderId="0" xfId="0" applyNumberFormat="1" applyFont="1" applyFill="1" applyBorder="1" applyAlignment="1">
      <alignment horizontal="center" vertical="center" wrapText="1" shrinkToFit="1"/>
    </xf>
    <xf numFmtId="4" fontId="15" fillId="0" borderId="0" xfId="0" applyNumberFormat="1" applyFont="1" applyFill="1" applyBorder="1" applyAlignment="1">
      <alignment horizontal="center" vertical="center" wrapText="1" shrinkToFit="1"/>
    </xf>
    <xf numFmtId="10" fontId="15" fillId="0" borderId="0" xfId="2" applyNumberFormat="1" applyFont="1" applyFill="1" applyBorder="1" applyAlignment="1">
      <alignment horizontal="center" vertical="center" wrapText="1" shrinkToFit="1"/>
    </xf>
    <xf numFmtId="181" fontId="21" fillId="0" borderId="0" xfId="0" applyNumberFormat="1" applyFont="1" applyFill="1" applyBorder="1" applyAlignment="1">
      <alignment horizontal="center" vertical="center" wrapText="1" shrinkToFit="1"/>
    </xf>
    <xf numFmtId="3" fontId="20" fillId="0" borderId="0" xfId="0" applyNumberFormat="1" applyFont="1" applyFill="1" applyBorder="1" applyAlignment="1">
      <alignment horizontal="center" vertical="center" wrapText="1" shrinkToFit="1"/>
    </xf>
    <xf numFmtId="4" fontId="15" fillId="0" borderId="0" xfId="0" applyNumberFormat="1" applyFont="1" applyFill="1" applyBorder="1" applyAlignment="1">
      <alignment horizontal="center" vertical="center" wrapText="1" shrinkToFit="1"/>
    </xf>
    <xf numFmtId="182" fontId="15" fillId="0" borderId="0" xfId="2" applyNumberFormat="1" applyFont="1" applyFill="1" applyBorder="1" applyAlignment="1">
      <alignment horizontal="center" vertical="center" wrapText="1" shrinkToFit="1"/>
    </xf>
    <xf numFmtId="3" fontId="23" fillId="0" borderId="0" xfId="0" applyNumberFormat="1" applyFont="1" applyFill="1" applyBorder="1" applyAlignment="1">
      <alignment horizontal="center" vertical="center" wrapText="1" shrinkToFit="1"/>
    </xf>
    <xf numFmtId="3" fontId="3" fillId="0" borderId="0" xfId="0" applyNumberFormat="1" applyFont="1" applyFill="1" applyBorder="1" applyAlignment="1">
      <alignment horizontal="center" vertical="center" wrapText="1" shrinkToFit="1"/>
    </xf>
    <xf numFmtId="3" fontId="23" fillId="0" borderId="0" xfId="0" applyNumberFormat="1" applyFont="1" applyFill="1" applyBorder="1" applyAlignment="1">
      <alignment horizontal="center" vertical="center" wrapText="1" shrinkToFit="1"/>
    </xf>
    <xf numFmtId="9" fontId="3" fillId="0" borderId="0" xfId="2" applyFont="1" applyFill="1" applyBorder="1" applyAlignment="1">
      <alignment horizontal="center" vertical="center" wrapText="1" shrinkToFit="1"/>
    </xf>
    <xf numFmtId="3" fontId="29" fillId="0" borderId="0" xfId="0" applyNumberFormat="1" applyFont="1" applyFill="1" applyBorder="1" applyAlignment="1">
      <alignment horizontal="center" vertical="center" wrapText="1" shrinkToFit="1"/>
    </xf>
    <xf numFmtId="10" fontId="3" fillId="0" borderId="0" xfId="2" applyNumberFormat="1" applyFont="1" applyFill="1" applyBorder="1" applyAlignment="1">
      <alignment horizontal="center" vertical="center" wrapText="1" shrinkToFit="1"/>
    </xf>
    <xf numFmtId="180" fontId="4" fillId="0" borderId="0" xfId="2" applyNumberFormat="1" applyFont="1" applyFill="1" applyBorder="1" applyAlignment="1">
      <alignment horizontal="center" vertical="center" wrapText="1" shrinkToFit="1"/>
    </xf>
    <xf numFmtId="185" fontId="4" fillId="0" borderId="0" xfId="0" applyNumberFormat="1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/>
    </xf>
    <xf numFmtId="3" fontId="4" fillId="0" borderId="0" xfId="1" applyNumberFormat="1" applyFont="1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36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9" tint="-0.2499465926084170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1</xdr:row>
      <xdr:rowOff>54428</xdr:rowOff>
    </xdr:from>
    <xdr:to>
      <xdr:col>1</xdr:col>
      <xdr:colOff>2217964</xdr:colOff>
      <xdr:row>9</xdr:row>
      <xdr:rowOff>46777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5F20647C-D211-4044-B777-914551D6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28371711" y="216353"/>
          <a:ext cx="2812436" cy="1221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3JSgJ83THoaK5nP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EAB4-1C99-459C-BCBC-85C87A3FC507}">
  <sheetPr codeName="Worksheet____1"/>
  <dimension ref="A1:CC558"/>
  <sheetViews>
    <sheetView rightToLeft="1" tabSelected="1" zoomScale="70" zoomScaleNormal="70" workbookViewId="0">
      <selection activeCell="O18" sqref="O18"/>
    </sheetView>
  </sheetViews>
  <sheetFormatPr defaultColWidth="84.875" defaultRowHeight="11.25" x14ac:dyDescent="0.2"/>
  <cols>
    <col min="1" max="1" width="9.125" style="3" bestFit="1" customWidth="1"/>
    <col min="2" max="2" width="40" style="3" bestFit="1" customWidth="1"/>
    <col min="3" max="3" width="16.25" style="3" bestFit="1" customWidth="1"/>
    <col min="4" max="4" width="17.375" style="3" bestFit="1" customWidth="1"/>
    <col min="5" max="5" width="20.125" style="3" bestFit="1" customWidth="1"/>
    <col min="6" max="6" width="19.25" style="3" bestFit="1" customWidth="1"/>
    <col min="7" max="7" width="27.75" style="3" bestFit="1" customWidth="1"/>
    <col min="8" max="8" width="16" style="3" bestFit="1" customWidth="1"/>
    <col min="9" max="9" width="19" style="3" bestFit="1" customWidth="1"/>
    <col min="10" max="10" width="21.375" style="3" bestFit="1" customWidth="1"/>
    <col min="11" max="11" width="18.125" style="3" bestFit="1" customWidth="1"/>
    <col min="12" max="12" width="24.25" style="3" bestFit="1" customWidth="1"/>
    <col min="13" max="13" width="12.625" style="3" bestFit="1" customWidth="1"/>
    <col min="14" max="14" width="9.625" style="3" bestFit="1" customWidth="1"/>
    <col min="15" max="16" width="8.75" style="3" bestFit="1" customWidth="1"/>
    <col min="17" max="17" width="10.125" style="3" bestFit="1" customWidth="1"/>
    <col min="18" max="18" width="12.625" style="3" bestFit="1" customWidth="1"/>
    <col min="19" max="19" width="9.25" style="3" bestFit="1" customWidth="1"/>
    <col min="20" max="20" width="20" style="3" bestFit="1" customWidth="1"/>
    <col min="21" max="21" width="24.625" style="3" bestFit="1" customWidth="1"/>
    <col min="22" max="22" width="20.75" style="3" bestFit="1" customWidth="1"/>
    <col min="23" max="23" width="12.75" style="3" bestFit="1" customWidth="1"/>
    <col min="24" max="24" width="9.375" style="3" bestFit="1" customWidth="1"/>
    <col min="25" max="25" width="24.625" style="3" bestFit="1" customWidth="1"/>
    <col min="26" max="26" width="16.875" style="3" bestFit="1" customWidth="1"/>
    <col min="27" max="27" width="26.625" style="3" bestFit="1" customWidth="1"/>
    <col min="28" max="28" width="24" style="3" bestFit="1" customWidth="1"/>
    <col min="29" max="29" width="15.375" style="3" bestFit="1" customWidth="1"/>
    <col min="30" max="30" width="33" style="3" bestFit="1" customWidth="1"/>
    <col min="31" max="31" width="10" style="411" bestFit="1" customWidth="1"/>
    <col min="32" max="32" width="7.375" style="411" bestFit="1" customWidth="1"/>
    <col min="33" max="33" width="6.625" style="411" bestFit="1" customWidth="1"/>
    <col min="34" max="34" width="12.125" style="411" bestFit="1" customWidth="1"/>
    <col min="35" max="36" width="7.375" style="411" bestFit="1" customWidth="1"/>
    <col min="37" max="37" width="10.125" style="411" bestFit="1" customWidth="1"/>
    <col min="38" max="38" width="12.375" style="411" bestFit="1" customWidth="1"/>
    <col min="39" max="39" width="17.125" style="411" bestFit="1" customWidth="1"/>
    <col min="40" max="40" width="12.875" style="411" bestFit="1" customWidth="1"/>
    <col min="41" max="41" width="22.25" style="411" bestFit="1" customWidth="1"/>
    <col min="42" max="42" width="7.875" style="411" bestFit="1" customWidth="1"/>
    <col min="43" max="45" width="7.375" style="411" bestFit="1" customWidth="1"/>
    <col min="46" max="46" width="9" style="411" bestFit="1" customWidth="1"/>
    <col min="47" max="47" width="8.125" style="411" bestFit="1" customWidth="1"/>
    <col min="48" max="48" width="19.375" style="411" bestFit="1" customWidth="1"/>
    <col min="49" max="49" width="13.875" style="411" bestFit="1" customWidth="1"/>
    <col min="50" max="50" width="6.375" style="411" bestFit="1" customWidth="1"/>
    <col min="51" max="51" width="8.75" style="411" bestFit="1" customWidth="1"/>
    <col min="52" max="52" width="7.75" style="411" bestFit="1" customWidth="1"/>
    <col min="53" max="53" width="6.75" style="411" bestFit="1" customWidth="1"/>
    <col min="54" max="54" width="8.625" style="411" bestFit="1" customWidth="1"/>
    <col min="55" max="55" width="20.875" style="411" bestFit="1" customWidth="1"/>
    <col min="56" max="56" width="8.125" style="411" bestFit="1" customWidth="1"/>
    <col min="57" max="57" width="5.375" style="411" bestFit="1" customWidth="1"/>
    <col min="58" max="58" width="84.875" style="411"/>
    <col min="59" max="59" width="6" style="411" bestFit="1" customWidth="1"/>
    <col min="60" max="60" width="54.375" style="411" bestFit="1" customWidth="1"/>
    <col min="61" max="61" width="30.125" style="411" bestFit="1" customWidth="1"/>
    <col min="62" max="62" width="20.625" style="411" bestFit="1" customWidth="1"/>
    <col min="63" max="63" width="30.625" style="411" bestFit="1" customWidth="1"/>
    <col min="64" max="64" width="13.625" style="411" customWidth="1"/>
    <col min="65" max="65" width="13.875" style="411" customWidth="1"/>
    <col min="66" max="66" width="10.125" style="411" bestFit="1" customWidth="1"/>
    <col min="67" max="67" width="3.75" style="411" bestFit="1" customWidth="1"/>
    <col min="68" max="68" width="13.625" style="411" bestFit="1" customWidth="1"/>
    <col min="69" max="69" width="10.125" style="411" bestFit="1" customWidth="1"/>
    <col min="70" max="70" width="5.875" style="411" bestFit="1" customWidth="1"/>
    <col min="71" max="71" width="8.75" style="411" bestFit="1" customWidth="1"/>
    <col min="72" max="72" width="8.375" style="411" bestFit="1" customWidth="1"/>
    <col min="73" max="73" width="10.875" style="411" bestFit="1" customWidth="1"/>
    <col min="74" max="74" width="11.875" style="411" bestFit="1" customWidth="1"/>
    <col min="75" max="75" width="14.75" style="411" bestFit="1" customWidth="1"/>
    <col min="76" max="76" width="7.875" style="411" bestFit="1" customWidth="1"/>
    <col min="77" max="77" width="7.25" style="411" bestFit="1" customWidth="1"/>
    <col min="78" max="78" width="6" style="411" bestFit="1" customWidth="1"/>
    <col min="79" max="79" width="10.375" style="411" bestFit="1" customWidth="1"/>
    <col min="80" max="80" width="11.875" style="411" bestFit="1" customWidth="1"/>
    <col min="81" max="81" width="38.75" style="411" customWidth="1"/>
    <col min="82" max="82" width="31.375" style="3" customWidth="1"/>
    <col min="83" max="16384" width="84.875" style="3"/>
  </cols>
  <sheetData>
    <row r="1" spans="1:80" ht="12.75" x14ac:dyDescent="0.2">
      <c r="A1" s="1"/>
      <c r="B1" s="1"/>
      <c r="C1" s="1"/>
      <c r="D1" s="1"/>
      <c r="E1" s="2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H1" s="412"/>
      <c r="BI1" s="412"/>
      <c r="BJ1" s="412"/>
      <c r="BK1" s="410"/>
      <c r="BN1" s="413"/>
      <c r="BO1" s="413"/>
      <c r="BP1" s="413"/>
      <c r="BQ1" s="413"/>
      <c r="BR1" s="413"/>
      <c r="BS1" s="413"/>
      <c r="BV1" s="414"/>
      <c r="BW1" s="415"/>
      <c r="CA1" s="416"/>
      <c r="CB1" s="416"/>
    </row>
    <row r="2" spans="1:80" ht="14.25" x14ac:dyDescent="0.2">
      <c r="A2" s="1"/>
      <c r="B2" s="1"/>
      <c r="C2" s="4" t="s">
        <v>0</v>
      </c>
      <c r="D2" s="4"/>
      <c r="E2" s="3" t="s">
        <v>1</v>
      </c>
      <c r="F2" s="5" t="s">
        <v>2</v>
      </c>
      <c r="AE2" s="417"/>
      <c r="AF2" s="417"/>
      <c r="AG2" s="417"/>
      <c r="AH2" s="418"/>
      <c r="AI2" s="417"/>
      <c r="AJ2" s="417"/>
      <c r="AK2" s="417"/>
      <c r="AL2" s="417"/>
      <c r="AM2" s="418"/>
      <c r="AN2" s="418"/>
      <c r="AO2" s="417"/>
      <c r="AP2" s="417"/>
      <c r="AQ2" s="417"/>
      <c r="AR2" s="417"/>
      <c r="AS2" s="417"/>
      <c r="AT2" s="417"/>
      <c r="AU2" s="417"/>
      <c r="AV2" s="417"/>
      <c r="AW2" s="417"/>
      <c r="AX2" s="417"/>
      <c r="AY2" s="417"/>
      <c r="AZ2" s="417"/>
      <c r="BA2" s="417"/>
      <c r="BB2" s="417"/>
      <c r="BC2" s="417"/>
      <c r="BD2" s="417"/>
      <c r="BE2" s="419"/>
      <c r="BH2" s="412"/>
      <c r="BI2" s="412"/>
      <c r="BJ2" s="412"/>
      <c r="BK2" s="410"/>
      <c r="BV2" s="420"/>
      <c r="BW2" s="420"/>
      <c r="CA2" s="421"/>
      <c r="CB2" s="422"/>
    </row>
    <row r="3" spans="1:80" ht="14.25" x14ac:dyDescent="0.2">
      <c r="A3" s="1"/>
      <c r="B3" s="1"/>
      <c r="C3" s="4"/>
      <c r="D3" s="4"/>
      <c r="E3" s="3" t="s">
        <v>4</v>
      </c>
      <c r="F3" s="14" t="s">
        <v>5</v>
      </c>
      <c r="AE3" s="420"/>
      <c r="AF3" s="420"/>
      <c r="AG3" s="420"/>
      <c r="AH3" s="423"/>
      <c r="AI3" s="420"/>
      <c r="AJ3" s="420"/>
      <c r="AK3" s="420"/>
      <c r="AL3" s="420"/>
      <c r="AM3" s="423"/>
      <c r="AN3" s="423"/>
      <c r="AO3" s="424"/>
      <c r="AP3" s="420"/>
      <c r="AQ3" s="75"/>
      <c r="AR3" s="425"/>
      <c r="AS3" s="420"/>
      <c r="AT3" s="426"/>
      <c r="AU3" s="426"/>
      <c r="AV3" s="426"/>
      <c r="AW3" s="427"/>
      <c r="AX3" s="419"/>
      <c r="AY3" s="428"/>
      <c r="AZ3" s="428"/>
      <c r="BA3" s="429"/>
      <c r="BB3" s="430"/>
      <c r="BC3" s="430"/>
      <c r="BD3" s="430"/>
      <c r="BE3" s="419"/>
      <c r="BH3" s="412"/>
      <c r="BI3" s="412"/>
      <c r="BJ3" s="412"/>
      <c r="BK3" s="410"/>
      <c r="BP3" s="431"/>
      <c r="BS3" s="431"/>
      <c r="BV3" s="420"/>
      <c r="BW3" s="432"/>
    </row>
    <row r="4" spans="1:80" x14ac:dyDescent="0.2">
      <c r="A4" s="1"/>
      <c r="B4" s="1"/>
      <c r="C4" s="4"/>
      <c r="D4" s="4"/>
      <c r="AE4" s="419"/>
      <c r="AF4" s="419"/>
      <c r="AG4" s="419"/>
      <c r="AH4" s="433"/>
      <c r="AI4" s="419"/>
      <c r="AJ4" s="419"/>
      <c r="AK4" s="419"/>
      <c r="AL4" s="419"/>
      <c r="AM4" s="433"/>
      <c r="AN4" s="433"/>
      <c r="AO4" s="424"/>
      <c r="AP4" s="419"/>
      <c r="AQ4" s="75"/>
      <c r="AR4" s="425"/>
      <c r="AS4" s="420"/>
      <c r="AT4" s="426"/>
      <c r="AU4" s="426"/>
      <c r="AV4" s="426"/>
      <c r="AW4" s="427"/>
      <c r="AX4" s="419"/>
      <c r="AY4" s="428"/>
      <c r="AZ4" s="428"/>
      <c r="BA4" s="429"/>
      <c r="BB4" s="430"/>
      <c r="BC4" s="430"/>
      <c r="BD4" s="430"/>
      <c r="BE4" s="419"/>
      <c r="BH4" s="434"/>
      <c r="BI4" s="434"/>
      <c r="BJ4" s="434"/>
      <c r="BK4" s="410"/>
      <c r="BP4" s="431"/>
      <c r="BS4" s="431"/>
      <c r="BV4" s="419"/>
      <c r="BW4" s="432"/>
    </row>
    <row r="5" spans="1:80" x14ac:dyDescent="0.2">
      <c r="A5" s="1"/>
      <c r="B5" s="1"/>
      <c r="C5" s="4"/>
      <c r="D5" s="4"/>
      <c r="AE5" s="420"/>
      <c r="AF5" s="420"/>
      <c r="AG5" s="420"/>
      <c r="AH5" s="423"/>
      <c r="AI5" s="420"/>
      <c r="AJ5" s="420"/>
      <c r="AK5" s="420"/>
      <c r="AL5" s="420"/>
      <c r="AM5" s="423"/>
      <c r="AN5" s="423"/>
      <c r="AO5" s="424"/>
      <c r="AP5" s="420"/>
      <c r="AQ5" s="75"/>
      <c r="AR5" s="75"/>
      <c r="AS5" s="419"/>
      <c r="AT5" s="426"/>
      <c r="AU5" s="426"/>
      <c r="AV5" s="426"/>
      <c r="AW5" s="427"/>
      <c r="AX5" s="420"/>
      <c r="AY5" s="435"/>
      <c r="AZ5" s="435"/>
      <c r="BA5" s="429"/>
      <c r="BB5" s="430"/>
      <c r="BC5" s="430"/>
      <c r="BD5" s="430"/>
      <c r="BE5" s="436"/>
      <c r="BH5" s="420"/>
      <c r="BI5" s="437"/>
      <c r="BJ5" s="437"/>
      <c r="BK5" s="420"/>
      <c r="BP5" s="431"/>
      <c r="BS5" s="431"/>
      <c r="BV5" s="420"/>
      <c r="BW5" s="435"/>
    </row>
    <row r="6" spans="1:80" x14ac:dyDescent="0.2">
      <c r="A6" s="1"/>
      <c r="B6" s="1"/>
      <c r="C6" s="4"/>
      <c r="D6" s="4"/>
      <c r="AE6" s="419"/>
      <c r="AF6" s="419"/>
      <c r="AG6" s="419"/>
      <c r="AH6" s="433"/>
      <c r="AI6" s="419"/>
      <c r="AJ6" s="419"/>
      <c r="AK6" s="419"/>
      <c r="AL6" s="419"/>
      <c r="AM6" s="433"/>
      <c r="AN6" s="433"/>
      <c r="AO6" s="424"/>
      <c r="AP6" s="419"/>
      <c r="AQ6" s="75"/>
      <c r="AR6" s="425"/>
      <c r="AS6" s="420"/>
      <c r="AT6" s="426"/>
      <c r="AU6" s="426"/>
      <c r="AV6" s="426"/>
      <c r="AW6" s="427"/>
      <c r="AX6" s="419"/>
      <c r="AY6" s="428"/>
      <c r="AZ6" s="428"/>
      <c r="BA6" s="429"/>
      <c r="BB6" s="430"/>
      <c r="BC6" s="430"/>
      <c r="BD6" s="430"/>
      <c r="BE6" s="436"/>
      <c r="BH6" s="420"/>
      <c r="BI6" s="437"/>
      <c r="BJ6" s="437"/>
      <c r="BK6" s="420"/>
      <c r="BP6" s="431"/>
      <c r="BS6" s="431"/>
      <c r="BV6" s="419"/>
      <c r="BW6" s="438"/>
    </row>
    <row r="7" spans="1:80" x14ac:dyDescent="0.2">
      <c r="A7" s="1"/>
      <c r="B7" s="1"/>
      <c r="C7" s="1"/>
      <c r="D7" s="1"/>
      <c r="AE7" s="420"/>
      <c r="AF7" s="420"/>
      <c r="AG7" s="420"/>
      <c r="AH7" s="423"/>
      <c r="AI7" s="420"/>
      <c r="AJ7" s="420"/>
      <c r="AK7" s="420"/>
      <c r="AL7" s="420"/>
      <c r="AM7" s="423"/>
      <c r="AN7" s="423"/>
      <c r="AO7" s="424"/>
      <c r="AP7" s="420"/>
      <c r="AQ7" s="75"/>
      <c r="AR7" s="75"/>
      <c r="AS7" s="419"/>
      <c r="AT7" s="426"/>
      <c r="AU7" s="426"/>
      <c r="AV7" s="426"/>
      <c r="AW7" s="427"/>
      <c r="AX7" s="420"/>
      <c r="AY7" s="435"/>
      <c r="AZ7" s="435"/>
      <c r="BA7" s="429"/>
      <c r="BB7" s="430"/>
      <c r="BC7" s="430"/>
      <c r="BD7" s="430"/>
      <c r="BE7" s="436"/>
      <c r="BH7" s="420"/>
      <c r="BI7" s="432"/>
      <c r="BJ7" s="423"/>
      <c r="BK7" s="439"/>
      <c r="BP7" s="431"/>
      <c r="BS7" s="431"/>
    </row>
    <row r="8" spans="1:80" x14ac:dyDescent="0.2">
      <c r="AE8" s="419"/>
      <c r="AF8" s="419"/>
      <c r="AG8" s="419"/>
      <c r="AH8" s="433"/>
      <c r="AI8" s="419"/>
      <c r="AJ8" s="419"/>
      <c r="AK8" s="419"/>
      <c r="AL8" s="419"/>
      <c r="AM8" s="433"/>
      <c r="AN8" s="433"/>
      <c r="AO8" s="424"/>
      <c r="AP8" s="419"/>
      <c r="AQ8" s="75"/>
      <c r="AR8" s="425"/>
      <c r="AS8" s="420"/>
      <c r="AT8" s="426"/>
      <c r="AU8" s="426"/>
      <c r="AV8" s="426"/>
      <c r="AW8" s="427"/>
      <c r="AX8" s="419"/>
      <c r="AY8" s="428"/>
      <c r="AZ8" s="428"/>
      <c r="BA8" s="429"/>
      <c r="BB8" s="430"/>
      <c r="BC8" s="430"/>
      <c r="BD8" s="430"/>
      <c r="BE8" s="436"/>
      <c r="BH8" s="420"/>
      <c r="BI8" s="432"/>
      <c r="BJ8" s="423"/>
      <c r="BK8" s="439"/>
      <c r="BP8" s="431"/>
      <c r="BS8" s="431"/>
      <c r="BV8" s="416"/>
      <c r="BW8" s="416"/>
      <c r="BX8" s="416"/>
      <c r="BY8" s="416"/>
      <c r="BZ8" s="416"/>
      <c r="CA8" s="416"/>
      <c r="CB8" s="416"/>
    </row>
    <row r="9" spans="1:80" x14ac:dyDescent="0.2">
      <c r="AE9" s="420"/>
      <c r="AF9" s="420"/>
      <c r="AG9" s="420"/>
      <c r="AH9" s="423"/>
      <c r="AI9" s="420"/>
      <c r="AJ9" s="420"/>
      <c r="AK9" s="420"/>
      <c r="AL9" s="420"/>
      <c r="AM9" s="423"/>
      <c r="AN9" s="423"/>
      <c r="AO9" s="424"/>
      <c r="AP9" s="420"/>
      <c r="AQ9" s="75"/>
      <c r="AR9" s="75"/>
      <c r="AS9" s="419"/>
      <c r="AT9" s="426"/>
      <c r="AU9" s="426"/>
      <c r="AV9" s="426"/>
      <c r="AW9" s="427"/>
      <c r="AX9" s="420"/>
      <c r="AY9" s="435"/>
      <c r="AZ9" s="435"/>
      <c r="BA9" s="429"/>
      <c r="BB9" s="430"/>
      <c r="BC9" s="430"/>
      <c r="BD9" s="430"/>
      <c r="BE9" s="436"/>
      <c r="BH9" s="420"/>
      <c r="BI9" s="432"/>
      <c r="BJ9" s="423"/>
      <c r="BK9" s="420"/>
      <c r="BP9" s="431"/>
      <c r="BS9" s="431"/>
      <c r="BV9" s="420"/>
      <c r="BW9" s="439"/>
      <c r="BX9" s="420"/>
      <c r="BY9" s="420"/>
      <c r="BZ9" s="420"/>
      <c r="CA9" s="420"/>
      <c r="CB9" s="420"/>
    </row>
    <row r="10" spans="1:80" x14ac:dyDescent="0.2">
      <c r="AE10" s="419"/>
      <c r="AF10" s="419"/>
      <c r="AG10" s="419"/>
      <c r="AH10" s="433"/>
      <c r="AI10" s="419"/>
      <c r="AJ10" s="419"/>
      <c r="AK10" s="419"/>
      <c r="AL10" s="419"/>
      <c r="AM10" s="433"/>
      <c r="AN10" s="433"/>
      <c r="AO10" s="424"/>
      <c r="AP10" s="419"/>
      <c r="AQ10" s="75"/>
      <c r="AR10" s="425"/>
      <c r="AS10" s="420"/>
      <c r="AT10" s="426"/>
      <c r="AU10" s="426"/>
      <c r="AV10" s="426"/>
      <c r="AW10" s="427"/>
      <c r="AX10" s="419"/>
      <c r="AY10" s="428"/>
      <c r="AZ10" s="428"/>
      <c r="BA10" s="429"/>
      <c r="BB10" s="430"/>
      <c r="BC10" s="430"/>
      <c r="BD10" s="430"/>
      <c r="BE10" s="436"/>
      <c r="BH10" s="420"/>
      <c r="BI10" s="440"/>
      <c r="BJ10" s="423"/>
      <c r="BK10" s="420"/>
      <c r="BP10" s="431"/>
      <c r="BS10" s="431"/>
      <c r="BV10" s="419"/>
      <c r="BW10" s="439"/>
      <c r="BX10" s="419"/>
      <c r="BY10" s="419"/>
      <c r="BZ10" s="419"/>
      <c r="CA10" s="419"/>
      <c r="CB10" s="419"/>
    </row>
    <row r="11" spans="1:80" x14ac:dyDescent="0.2">
      <c r="AE11" s="420"/>
      <c r="AF11" s="420"/>
      <c r="AG11" s="420"/>
      <c r="AH11" s="423"/>
      <c r="AI11" s="420"/>
      <c r="AJ11" s="420"/>
      <c r="AK11" s="420"/>
      <c r="AL11" s="420"/>
      <c r="AM11" s="423"/>
      <c r="AN11" s="423"/>
      <c r="AO11" s="424"/>
      <c r="AP11" s="420"/>
      <c r="AQ11" s="75"/>
      <c r="AR11" s="75"/>
      <c r="AS11" s="419"/>
      <c r="AT11" s="426"/>
      <c r="AU11" s="426"/>
      <c r="AV11" s="426"/>
      <c r="AW11" s="427"/>
      <c r="AX11" s="420"/>
      <c r="AY11" s="435"/>
      <c r="AZ11" s="435"/>
      <c r="BA11" s="429"/>
      <c r="BB11" s="430"/>
      <c r="BC11" s="430"/>
      <c r="BD11" s="430"/>
      <c r="BE11" s="436"/>
      <c r="BH11" s="420"/>
      <c r="BI11" s="432"/>
      <c r="BJ11" s="423"/>
      <c r="BK11" s="420"/>
      <c r="BP11" s="431"/>
      <c r="BS11" s="431"/>
      <c r="BV11" s="420"/>
      <c r="BW11" s="441"/>
      <c r="BX11" s="420"/>
      <c r="BY11" s="420"/>
      <c r="BZ11" s="420"/>
      <c r="CA11" s="420"/>
      <c r="CB11" s="420"/>
    </row>
    <row r="12" spans="1:80" x14ac:dyDescent="0.2">
      <c r="AE12" s="419"/>
      <c r="AF12" s="419"/>
      <c r="AG12" s="419"/>
      <c r="AH12" s="433"/>
      <c r="AI12" s="419"/>
      <c r="AJ12" s="419"/>
      <c r="AK12" s="419"/>
      <c r="AL12" s="419"/>
      <c r="AM12" s="433"/>
      <c r="AN12" s="433"/>
      <c r="AO12" s="424"/>
      <c r="AP12" s="419"/>
      <c r="AQ12" s="75"/>
      <c r="AR12" s="425"/>
      <c r="AS12" s="420"/>
      <c r="AT12" s="426"/>
      <c r="AU12" s="426"/>
      <c r="AV12" s="426"/>
      <c r="AW12" s="427"/>
      <c r="AX12" s="419"/>
      <c r="AY12" s="428"/>
      <c r="AZ12" s="428"/>
      <c r="BA12" s="429"/>
      <c r="BB12" s="430"/>
      <c r="BC12" s="430"/>
      <c r="BD12" s="430"/>
      <c r="BE12" s="436"/>
      <c r="BH12" s="420"/>
      <c r="BI12" s="432"/>
      <c r="BJ12" s="423"/>
      <c r="BK12" s="420"/>
      <c r="BP12" s="431"/>
      <c r="BS12" s="431"/>
      <c r="BV12" s="419"/>
      <c r="BW12" s="441"/>
      <c r="BX12" s="419"/>
      <c r="BY12" s="419"/>
      <c r="BZ12" s="419"/>
      <c r="CA12" s="419"/>
      <c r="CB12" s="419"/>
    </row>
    <row r="13" spans="1:80" x14ac:dyDescent="0.2">
      <c r="AE13" s="419"/>
      <c r="AF13" s="419"/>
      <c r="AG13" s="419"/>
      <c r="AH13" s="441"/>
      <c r="AI13" s="419"/>
      <c r="AJ13" s="419"/>
      <c r="AK13" s="419"/>
      <c r="AL13" s="419"/>
      <c r="AM13" s="442"/>
      <c r="AN13" s="419"/>
      <c r="AO13" s="419"/>
      <c r="AP13" s="443"/>
      <c r="AQ13" s="443"/>
      <c r="AR13" s="420"/>
      <c r="AS13" s="420"/>
      <c r="AT13" s="426"/>
      <c r="AU13" s="426"/>
      <c r="AV13" s="444"/>
      <c r="AW13" s="445"/>
      <c r="AX13" s="419"/>
      <c r="AY13" s="446"/>
      <c r="AZ13" s="435"/>
      <c r="BA13" s="435"/>
      <c r="BB13" s="447"/>
      <c r="BC13" s="447"/>
      <c r="BD13" s="447"/>
      <c r="BE13" s="419"/>
      <c r="BH13" s="420"/>
      <c r="BI13" s="432"/>
      <c r="BJ13" s="423"/>
      <c r="BK13" s="420"/>
      <c r="BV13" s="420"/>
      <c r="BW13" s="448"/>
      <c r="BX13" s="420"/>
      <c r="BY13" s="420"/>
      <c r="BZ13" s="420"/>
      <c r="CA13" s="420"/>
      <c r="CB13" s="420"/>
    </row>
    <row r="14" spans="1:80" ht="12" thickBot="1" x14ac:dyDescent="0.25">
      <c r="A14" s="9"/>
      <c r="AE14" s="436"/>
      <c r="AF14" s="436"/>
      <c r="AG14" s="436"/>
      <c r="AH14" s="436"/>
      <c r="AI14" s="436"/>
      <c r="AJ14" s="436"/>
      <c r="AK14" s="436"/>
      <c r="AL14" s="436"/>
      <c r="AM14" s="436"/>
      <c r="AN14" s="436"/>
      <c r="AO14" s="436"/>
      <c r="AP14" s="449"/>
      <c r="AQ14" s="449"/>
      <c r="AR14" s="436"/>
      <c r="AS14" s="436"/>
      <c r="AT14" s="436"/>
      <c r="AU14" s="436"/>
      <c r="AV14" s="436"/>
      <c r="AW14" s="436"/>
      <c r="AX14" s="436"/>
      <c r="AY14" s="436"/>
      <c r="AZ14" s="436"/>
      <c r="BA14" s="436"/>
      <c r="BB14" s="436"/>
      <c r="BC14" s="436"/>
      <c r="BD14" s="436"/>
      <c r="BE14" s="419"/>
      <c r="BH14" s="420"/>
      <c r="BI14" s="432"/>
      <c r="BJ14" s="423"/>
      <c r="BK14" s="420"/>
      <c r="BV14" s="419"/>
      <c r="BW14" s="448"/>
      <c r="BX14" s="419"/>
      <c r="BY14" s="419"/>
      <c r="BZ14" s="419"/>
      <c r="CA14" s="419"/>
      <c r="CB14" s="419"/>
    </row>
    <row r="15" spans="1:80" ht="12.75" x14ac:dyDescent="0.2">
      <c r="A15" s="9"/>
      <c r="B15" s="22" t="s">
        <v>17</v>
      </c>
      <c r="C15" s="23"/>
      <c r="D15" s="9"/>
      <c r="E15" s="9"/>
      <c r="G15" s="22" t="s">
        <v>18</v>
      </c>
      <c r="H15" s="24"/>
      <c r="I15" s="23"/>
      <c r="J15" s="9"/>
      <c r="K15" s="9"/>
      <c r="L15" s="9"/>
      <c r="AF15" s="419"/>
      <c r="AG15" s="419"/>
      <c r="AH15" s="419"/>
      <c r="AI15" s="419"/>
      <c r="AJ15" s="419"/>
      <c r="AK15" s="419"/>
      <c r="AL15" s="419"/>
      <c r="AO15" s="419"/>
      <c r="AQ15" s="419"/>
      <c r="AR15" s="419"/>
      <c r="AS15" s="419"/>
      <c r="AT15" s="419"/>
      <c r="AU15" s="419"/>
      <c r="AV15" s="419"/>
      <c r="AW15" s="419"/>
      <c r="AY15" s="419"/>
      <c r="AZ15" s="419"/>
      <c r="BD15" s="419"/>
      <c r="BH15" s="410"/>
      <c r="BI15" s="410"/>
      <c r="BJ15" s="410"/>
      <c r="BK15" s="420"/>
      <c r="BV15" s="420"/>
      <c r="BW15" s="439"/>
      <c r="BX15" s="420"/>
      <c r="BY15" s="420"/>
      <c r="BZ15" s="420"/>
      <c r="CA15" s="420"/>
      <c r="CB15" s="420"/>
    </row>
    <row r="16" spans="1:80" ht="22.5" x14ac:dyDescent="0.2">
      <c r="A16" s="9"/>
      <c r="B16" s="25" t="s">
        <v>19</v>
      </c>
      <c r="C16" s="26" t="s">
        <v>20</v>
      </c>
      <c r="D16" s="9"/>
      <c r="E16" s="9"/>
      <c r="G16" s="27" t="s">
        <v>21</v>
      </c>
      <c r="H16" s="28"/>
      <c r="I16" s="29"/>
      <c r="J16" s="9"/>
      <c r="K16" s="9"/>
      <c r="L16" s="9"/>
      <c r="AM16" s="71"/>
      <c r="BH16" s="420"/>
      <c r="BI16" s="443"/>
      <c r="BJ16" s="443"/>
      <c r="BK16" s="420"/>
      <c r="BV16" s="419"/>
      <c r="BW16" s="441"/>
      <c r="BX16" s="419"/>
      <c r="BY16" s="419"/>
      <c r="BZ16" s="419"/>
      <c r="CA16" s="419"/>
      <c r="CB16" s="419"/>
    </row>
    <row r="17" spans="1:80" ht="22.5" x14ac:dyDescent="0.2">
      <c r="A17" s="9"/>
      <c r="B17" s="31" t="s">
        <v>22</v>
      </c>
      <c r="C17" s="32">
        <f>SUM(C184:C188)</f>
        <v>247353460.7142857</v>
      </c>
      <c r="D17" s="33"/>
      <c r="E17" s="9"/>
      <c r="G17" s="25" t="s">
        <v>23</v>
      </c>
      <c r="H17" s="34" t="s">
        <v>24</v>
      </c>
      <c r="I17" s="26" t="s">
        <v>25</v>
      </c>
      <c r="L17" s="9"/>
      <c r="AI17" s="419"/>
      <c r="AJ17" s="419"/>
      <c r="AK17" s="419"/>
      <c r="AL17" s="419"/>
      <c r="AM17" s="419"/>
      <c r="AN17" s="419"/>
      <c r="AO17" s="419"/>
      <c r="AP17" s="419"/>
      <c r="AQ17" s="419"/>
      <c r="AR17" s="419"/>
      <c r="AS17" s="419"/>
      <c r="AT17" s="419"/>
      <c r="AU17" s="419"/>
      <c r="AV17" s="419"/>
      <c r="AW17" s="419"/>
      <c r="AX17" s="419"/>
      <c r="AY17" s="419"/>
      <c r="AZ17" s="419"/>
      <c r="BA17" s="419"/>
      <c r="BH17" s="420"/>
      <c r="BI17" s="435"/>
      <c r="BJ17" s="423"/>
      <c r="BK17" s="420"/>
      <c r="BV17" s="420"/>
      <c r="BW17" s="441"/>
      <c r="BX17" s="419"/>
      <c r="BY17" s="419"/>
      <c r="BZ17" s="419"/>
      <c r="CA17" s="419"/>
      <c r="CB17" s="419"/>
    </row>
    <row r="18" spans="1:80" ht="22.5" x14ac:dyDescent="0.2">
      <c r="A18" s="9"/>
      <c r="B18" s="35" t="s">
        <v>26</v>
      </c>
      <c r="C18" s="36">
        <f>I49</f>
        <v>52997427.309999995</v>
      </c>
      <c r="D18" s="37"/>
      <c r="G18" s="27" t="s">
        <v>27</v>
      </c>
      <c r="H18" s="28"/>
      <c r="I18" s="29"/>
      <c r="AI18" s="419"/>
      <c r="AJ18" s="419"/>
      <c r="AK18" s="419"/>
      <c r="AL18" s="419"/>
      <c r="AM18" s="75"/>
      <c r="AN18" s="419"/>
      <c r="AO18" s="419"/>
      <c r="AP18" s="419"/>
      <c r="AQ18" s="419"/>
      <c r="AR18" s="419"/>
      <c r="AS18" s="419"/>
      <c r="AT18" s="419"/>
      <c r="AU18" s="419"/>
      <c r="AV18" s="419"/>
      <c r="AW18" s="419"/>
      <c r="AX18" s="419"/>
      <c r="AY18" s="419"/>
      <c r="AZ18" s="419"/>
      <c r="BA18" s="419"/>
      <c r="BB18" s="419"/>
      <c r="BH18" s="420"/>
      <c r="BI18" s="435"/>
      <c r="BJ18" s="423"/>
      <c r="BK18" s="420"/>
      <c r="BV18" s="420"/>
      <c r="BW18" s="439"/>
      <c r="BX18" s="420"/>
      <c r="BY18" s="439"/>
      <c r="BZ18" s="420"/>
      <c r="CA18" s="420"/>
      <c r="CB18" s="420"/>
    </row>
    <row r="19" spans="1:80" ht="22.5" x14ac:dyDescent="0.2">
      <c r="A19" s="9"/>
      <c r="B19" s="31" t="s">
        <v>28</v>
      </c>
      <c r="C19" s="39">
        <f>J76</f>
        <v>57081375</v>
      </c>
      <c r="E19" s="38"/>
      <c r="G19" s="31" t="s">
        <v>29</v>
      </c>
      <c r="H19" s="40">
        <v>62000000</v>
      </c>
      <c r="I19" s="41">
        <f t="shared" ref="I19:I24" si="0">H19/$H$34</f>
        <v>0.37203779856140295</v>
      </c>
      <c r="J19" s="9"/>
      <c r="K19" s="9"/>
      <c r="AE19" s="410"/>
      <c r="AF19" s="410"/>
      <c r="AG19" s="410"/>
      <c r="AH19" s="410"/>
      <c r="AI19" s="410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0"/>
      <c r="BH19" s="420"/>
      <c r="BI19" s="450"/>
      <c r="BJ19" s="450"/>
      <c r="BK19" s="420"/>
      <c r="BV19" s="451"/>
      <c r="BW19" s="452"/>
      <c r="BX19" s="453"/>
      <c r="BY19" s="453"/>
      <c r="BZ19" s="453"/>
      <c r="CA19" s="453"/>
      <c r="CB19" s="451"/>
    </row>
    <row r="20" spans="1:80" ht="22.5" x14ac:dyDescent="0.2">
      <c r="A20" s="9"/>
      <c r="B20" s="35" t="s">
        <v>30</v>
      </c>
      <c r="C20" s="36">
        <f>C102</f>
        <v>25688680.5</v>
      </c>
      <c r="D20" s="9"/>
      <c r="E20" s="38"/>
      <c r="G20" s="35" t="s">
        <v>31</v>
      </c>
      <c r="H20" s="42"/>
      <c r="I20" s="43">
        <f t="shared" si="0"/>
        <v>0</v>
      </c>
      <c r="J20" s="9"/>
      <c r="K20" s="9"/>
      <c r="AE20" s="417"/>
      <c r="AF20" s="417"/>
      <c r="AG20" s="417"/>
      <c r="AH20" s="418"/>
      <c r="AI20" s="417"/>
      <c r="AJ20" s="417"/>
      <c r="AK20" s="417"/>
      <c r="AL20" s="417"/>
      <c r="AM20" s="418"/>
      <c r="AN20" s="418"/>
      <c r="AO20" s="417"/>
      <c r="AP20" s="417"/>
      <c r="AQ20" s="417"/>
      <c r="AR20" s="417"/>
      <c r="AS20" s="417"/>
      <c r="AT20" s="417"/>
      <c r="AU20" s="417"/>
      <c r="AV20" s="417"/>
      <c r="AW20" s="417"/>
      <c r="AX20" s="417"/>
      <c r="AY20" s="417"/>
      <c r="AZ20" s="417"/>
      <c r="BA20" s="417"/>
      <c r="BB20" s="417"/>
      <c r="BC20" s="417"/>
      <c r="BD20" s="417"/>
      <c r="BE20" s="419"/>
      <c r="BH20" s="420"/>
      <c r="BI20" s="454"/>
      <c r="BJ20" s="455"/>
      <c r="BK20" s="420"/>
    </row>
    <row r="21" spans="1:80" ht="22.5" x14ac:dyDescent="0.2">
      <c r="A21" s="9"/>
      <c r="B21" s="31" t="s">
        <v>32</v>
      </c>
      <c r="C21" s="39">
        <f>C107</f>
        <v>19510455.123974279</v>
      </c>
      <c r="D21" s="9"/>
      <c r="E21" s="38"/>
      <c r="G21" s="31" t="s">
        <v>33</v>
      </c>
      <c r="H21" s="40"/>
      <c r="I21" s="41">
        <f t="shared" si="0"/>
        <v>0</v>
      </c>
      <c r="J21" s="9"/>
      <c r="K21" s="9"/>
      <c r="AE21" s="420"/>
      <c r="AF21" s="420"/>
      <c r="AG21" s="420"/>
      <c r="AH21" s="423"/>
      <c r="AI21" s="420"/>
      <c r="AJ21" s="420"/>
      <c r="AK21" s="420"/>
      <c r="AL21" s="420"/>
      <c r="AM21" s="423"/>
      <c r="AN21" s="423"/>
      <c r="AO21" s="456"/>
      <c r="AP21" s="420"/>
      <c r="AQ21" s="75"/>
      <c r="AR21" s="457"/>
      <c r="AS21" s="420"/>
      <c r="AT21" s="457"/>
      <c r="AU21" s="426"/>
      <c r="AV21" s="426"/>
      <c r="AW21" s="427"/>
      <c r="AX21" s="419"/>
      <c r="AY21" s="428"/>
      <c r="AZ21" s="428"/>
      <c r="BA21" s="429"/>
      <c r="BB21" s="430"/>
      <c r="BC21" s="430"/>
      <c r="BD21" s="430"/>
      <c r="BE21" s="436"/>
      <c r="BH21" s="410"/>
      <c r="BI21" s="410"/>
      <c r="BJ21" s="410"/>
      <c r="BK21" s="420"/>
    </row>
    <row r="22" spans="1:80" ht="22.5" x14ac:dyDescent="0.2">
      <c r="A22" s="9"/>
      <c r="B22" s="35" t="s">
        <v>35</v>
      </c>
      <c r="C22" s="36">
        <f>C119</f>
        <v>11371795.613912037</v>
      </c>
      <c r="D22" s="9"/>
      <c r="E22" s="38"/>
      <c r="G22" s="35" t="s">
        <v>36</v>
      </c>
      <c r="H22" s="42">
        <v>12557902.5</v>
      </c>
      <c r="I22" s="43">
        <f t="shared" si="0"/>
        <v>7.5355070978205457E-2</v>
      </c>
      <c r="J22" s="9"/>
      <c r="K22" s="9"/>
      <c r="AE22" s="419"/>
      <c r="AF22" s="419"/>
      <c r="AG22" s="419"/>
      <c r="AH22" s="433"/>
      <c r="AI22" s="419"/>
      <c r="AJ22" s="419"/>
      <c r="AK22" s="419"/>
      <c r="AL22" s="419"/>
      <c r="AM22" s="433"/>
      <c r="AN22" s="433"/>
      <c r="AO22" s="458"/>
      <c r="AP22" s="419"/>
      <c r="AQ22" s="75"/>
      <c r="AR22" s="457"/>
      <c r="AS22" s="419"/>
      <c r="AT22" s="457"/>
      <c r="AU22" s="426"/>
      <c r="AV22" s="426"/>
      <c r="AW22" s="427"/>
      <c r="AX22" s="420"/>
      <c r="AY22" s="435"/>
      <c r="AZ22" s="435"/>
      <c r="BA22" s="429"/>
      <c r="BB22" s="430"/>
      <c r="BC22" s="430"/>
      <c r="BD22" s="430"/>
      <c r="BE22" s="436"/>
      <c r="BH22" s="443"/>
      <c r="BI22" s="459"/>
      <c r="BJ22" s="460"/>
      <c r="BK22" s="420"/>
    </row>
    <row r="23" spans="1:80" ht="22.5" x14ac:dyDescent="0.2">
      <c r="A23" s="9"/>
      <c r="B23" s="31" t="s">
        <v>37</v>
      </c>
      <c r="C23" s="32">
        <f>H26</f>
        <v>72320719.640852392</v>
      </c>
      <c r="D23" s="9"/>
      <c r="E23" s="38"/>
      <c r="G23" s="31" t="s">
        <v>38</v>
      </c>
      <c r="H23" s="40">
        <v>15005250</v>
      </c>
      <c r="I23" s="41">
        <f t="shared" si="0"/>
        <v>9.0040648013927277E-2</v>
      </c>
      <c r="J23" s="9"/>
      <c r="K23" s="2"/>
      <c r="AE23" s="420"/>
      <c r="AF23" s="420"/>
      <c r="AG23" s="420"/>
      <c r="AH23" s="423"/>
      <c r="AI23" s="420"/>
      <c r="AJ23" s="420"/>
      <c r="AK23" s="420"/>
      <c r="AL23" s="420"/>
      <c r="AM23" s="423"/>
      <c r="AN23" s="423"/>
      <c r="AO23" s="456"/>
      <c r="AP23" s="420"/>
      <c r="AQ23" s="75"/>
      <c r="AR23" s="457"/>
      <c r="AS23" s="420"/>
      <c r="AT23" s="457"/>
      <c r="AU23" s="426"/>
      <c r="AV23" s="426"/>
      <c r="AW23" s="427"/>
      <c r="AX23" s="419"/>
      <c r="AY23" s="428"/>
      <c r="AZ23" s="428"/>
      <c r="BA23" s="429"/>
      <c r="BB23" s="430"/>
      <c r="BC23" s="430"/>
      <c r="BD23" s="430"/>
      <c r="BE23" s="436"/>
      <c r="BG23" s="433"/>
      <c r="BH23" s="443"/>
      <c r="BI23" s="461"/>
      <c r="BJ23" s="462"/>
      <c r="BK23" s="420"/>
    </row>
    <row r="24" spans="1:80" ht="22.5" x14ac:dyDescent="0.2">
      <c r="A24" s="9"/>
      <c r="B24" s="35" t="s">
        <v>39</v>
      </c>
      <c r="C24" s="36">
        <f>SUM(C18:C22)</f>
        <v>166649733.54788631</v>
      </c>
      <c r="D24" s="47"/>
      <c r="G24" s="35" t="s">
        <v>40</v>
      </c>
      <c r="H24" s="42">
        <f>SUM(H19:H23)</f>
        <v>89563152.5</v>
      </c>
      <c r="I24" s="43">
        <f t="shared" si="0"/>
        <v>0.53743351755353563</v>
      </c>
      <c r="K24" s="9"/>
      <c r="AE24" s="419"/>
      <c r="AF24" s="419"/>
      <c r="AG24" s="419"/>
      <c r="AH24" s="433"/>
      <c r="AI24" s="419"/>
      <c r="AJ24" s="419"/>
      <c r="AK24" s="419"/>
      <c r="AL24" s="419"/>
      <c r="AM24" s="433"/>
      <c r="AN24" s="433"/>
      <c r="AO24" s="458"/>
      <c r="AP24" s="419"/>
      <c r="AQ24" s="75"/>
      <c r="AR24" s="457"/>
      <c r="AS24" s="419"/>
      <c r="AT24" s="457"/>
      <c r="AU24" s="426"/>
      <c r="AV24" s="426"/>
      <c r="AW24" s="427"/>
      <c r="AX24" s="420"/>
      <c r="AY24" s="435"/>
      <c r="AZ24" s="435"/>
      <c r="BA24" s="429"/>
      <c r="BB24" s="430"/>
      <c r="BC24" s="430"/>
      <c r="BD24" s="430"/>
      <c r="BE24" s="436"/>
      <c r="BH24" s="443"/>
      <c r="BI24" s="463"/>
      <c r="BJ24" s="462"/>
      <c r="BK24" s="420"/>
    </row>
    <row r="25" spans="1:80" ht="22.5" x14ac:dyDescent="0.2">
      <c r="A25" s="9"/>
      <c r="B25" s="31" t="s">
        <v>41</v>
      </c>
      <c r="C25" s="39">
        <f>-SUM(E213)</f>
        <v>5989376.25</v>
      </c>
      <c r="D25" s="9"/>
      <c r="G25" s="27" t="s">
        <v>42</v>
      </c>
      <c r="H25" s="28"/>
      <c r="I25" s="29"/>
      <c r="K25" s="9"/>
      <c r="AE25" s="420"/>
      <c r="AF25" s="420"/>
      <c r="AG25" s="420"/>
      <c r="AH25" s="423"/>
      <c r="AI25" s="420"/>
      <c r="AJ25" s="420"/>
      <c r="AK25" s="420"/>
      <c r="AL25" s="420"/>
      <c r="AM25" s="423"/>
      <c r="AN25" s="423"/>
      <c r="AO25" s="456"/>
      <c r="AP25" s="420"/>
      <c r="AQ25" s="75"/>
      <c r="AR25" s="457"/>
      <c r="AS25" s="420"/>
      <c r="AT25" s="457"/>
      <c r="AU25" s="426"/>
      <c r="AV25" s="426"/>
      <c r="AW25" s="427"/>
      <c r="AX25" s="419"/>
      <c r="AY25" s="428"/>
      <c r="AZ25" s="428"/>
      <c r="BA25" s="429"/>
      <c r="BB25" s="430"/>
      <c r="BC25" s="430"/>
      <c r="BD25" s="430"/>
      <c r="BE25" s="436"/>
      <c r="BH25" s="443"/>
      <c r="BI25" s="464"/>
      <c r="BJ25" s="465"/>
      <c r="BK25" s="420"/>
    </row>
    <row r="26" spans="1:80" ht="22.5" x14ac:dyDescent="0.2">
      <c r="A26" s="9"/>
      <c r="B26" s="35" t="s">
        <v>43</v>
      </c>
      <c r="C26" s="48">
        <f>C17-(C24+C25)</f>
        <v>74714350.91639939</v>
      </c>
      <c r="D26" s="38"/>
      <c r="E26" s="30"/>
      <c r="G26" s="49" t="s">
        <v>44</v>
      </c>
      <c r="H26" s="50">
        <f>E189</f>
        <v>72320719.640852392</v>
      </c>
      <c r="I26" s="51">
        <f>H26/$H$34</f>
        <v>0.43396840847676033</v>
      </c>
      <c r="J26" s="30"/>
      <c r="AE26" s="419"/>
      <c r="AF26" s="419"/>
      <c r="AG26" s="419"/>
      <c r="AH26" s="433"/>
      <c r="AI26" s="419"/>
      <c r="AJ26" s="419"/>
      <c r="AK26" s="419"/>
      <c r="AL26" s="419"/>
      <c r="AM26" s="433"/>
      <c r="AN26" s="433"/>
      <c r="AO26" s="458"/>
      <c r="AP26" s="419"/>
      <c r="AQ26" s="75"/>
      <c r="AR26" s="457"/>
      <c r="AS26" s="419"/>
      <c r="AT26" s="457"/>
      <c r="AU26" s="426"/>
      <c r="AV26" s="426"/>
      <c r="AW26" s="427"/>
      <c r="AX26" s="420"/>
      <c r="AY26" s="435"/>
      <c r="AZ26" s="435"/>
      <c r="BA26" s="429"/>
      <c r="BB26" s="430"/>
      <c r="BC26" s="430"/>
      <c r="BD26" s="430"/>
      <c r="BE26" s="436"/>
      <c r="BF26" s="71"/>
      <c r="BH26" s="443"/>
      <c r="BI26" s="466"/>
      <c r="BJ26" s="466"/>
      <c r="BK26" s="420"/>
      <c r="BL26" s="71"/>
    </row>
    <row r="27" spans="1:80" ht="22.5" x14ac:dyDescent="0.2">
      <c r="A27" s="9"/>
      <c r="B27" s="31" t="s">
        <v>45</v>
      </c>
      <c r="C27" s="52">
        <f>D122</f>
        <v>4.0602739726027401</v>
      </c>
      <c r="D27" s="9"/>
      <c r="E27" s="38"/>
      <c r="G27" s="49"/>
      <c r="H27" s="50"/>
      <c r="I27" s="51"/>
      <c r="AE27" s="420"/>
      <c r="AF27" s="420"/>
      <c r="AG27" s="420"/>
      <c r="AH27" s="423"/>
      <c r="AI27" s="420"/>
      <c r="AJ27" s="420"/>
      <c r="AK27" s="420"/>
      <c r="AL27" s="420"/>
      <c r="AM27" s="423"/>
      <c r="AN27" s="423"/>
      <c r="AO27" s="456"/>
      <c r="AP27" s="420"/>
      <c r="AQ27" s="75"/>
      <c r="AR27" s="457"/>
      <c r="AS27" s="420"/>
      <c r="AT27" s="457"/>
      <c r="AU27" s="426"/>
      <c r="AV27" s="426"/>
      <c r="AW27" s="427"/>
      <c r="AX27" s="419"/>
      <c r="AY27" s="428"/>
      <c r="AZ27" s="428"/>
      <c r="BA27" s="429"/>
      <c r="BB27" s="430"/>
      <c r="BC27" s="430"/>
      <c r="BD27" s="430"/>
      <c r="BE27" s="436"/>
      <c r="BF27" s="71"/>
      <c r="BG27" s="419"/>
      <c r="BH27" s="420"/>
      <c r="BI27" s="467"/>
      <c r="BJ27" s="467"/>
      <c r="BK27" s="468"/>
    </row>
    <row r="28" spans="1:80" x14ac:dyDescent="0.2">
      <c r="A28" s="9"/>
      <c r="B28" s="53" t="s">
        <v>46</v>
      </c>
      <c r="C28" s="54">
        <f>C223</f>
        <v>0.18494021296501159</v>
      </c>
      <c r="D28" s="38"/>
      <c r="G28" s="27" t="s">
        <v>47</v>
      </c>
      <c r="H28" s="28"/>
      <c r="I28" s="29"/>
      <c r="AE28" s="419"/>
      <c r="AF28" s="419"/>
      <c r="AG28" s="419"/>
      <c r="AH28" s="433"/>
      <c r="AI28" s="419"/>
      <c r="AJ28" s="419"/>
      <c r="AK28" s="419"/>
      <c r="AL28" s="419"/>
      <c r="AM28" s="433"/>
      <c r="AN28" s="433"/>
      <c r="AO28" s="458"/>
      <c r="AP28" s="419"/>
      <c r="AQ28" s="75"/>
      <c r="AR28" s="457"/>
      <c r="AS28" s="419"/>
      <c r="AT28" s="457"/>
      <c r="AU28" s="426"/>
      <c r="AV28" s="426"/>
      <c r="AW28" s="427"/>
      <c r="AX28" s="420"/>
      <c r="AY28" s="435"/>
      <c r="AZ28" s="435"/>
      <c r="BA28" s="429"/>
      <c r="BB28" s="430"/>
      <c r="BC28" s="430"/>
      <c r="BD28" s="430"/>
      <c r="BE28" s="436"/>
      <c r="BH28" s="420"/>
      <c r="BI28" s="469"/>
      <c r="BJ28" s="469"/>
      <c r="BK28" s="420"/>
    </row>
    <row r="29" spans="1:80" ht="22.5" x14ac:dyDescent="0.2">
      <c r="A29" s="9"/>
      <c r="B29" s="53"/>
      <c r="C29" s="54"/>
      <c r="E29" s="38"/>
      <c r="G29" s="31" t="s">
        <v>48</v>
      </c>
      <c r="H29" s="40">
        <v>0</v>
      </c>
      <c r="I29" s="55">
        <f>H29/$H$34</f>
        <v>0</v>
      </c>
      <c r="AE29" s="420"/>
      <c r="AF29" s="420"/>
      <c r="AG29" s="420"/>
      <c r="AH29" s="423"/>
      <c r="AI29" s="420"/>
      <c r="AJ29" s="420"/>
      <c r="AK29" s="420"/>
      <c r="AL29" s="420"/>
      <c r="AM29" s="423"/>
      <c r="AN29" s="423"/>
      <c r="AO29" s="456"/>
      <c r="AP29" s="420"/>
      <c r="AQ29" s="75"/>
      <c r="AR29" s="457"/>
      <c r="AS29" s="420"/>
      <c r="AT29" s="457"/>
      <c r="AU29" s="426"/>
      <c r="AV29" s="426"/>
      <c r="AW29" s="427"/>
      <c r="AX29" s="419"/>
      <c r="AY29" s="428"/>
      <c r="AZ29" s="428"/>
      <c r="BA29" s="429"/>
      <c r="BB29" s="430"/>
      <c r="BC29" s="430"/>
      <c r="BD29" s="430"/>
      <c r="BE29" s="436"/>
      <c r="BH29" s="420"/>
      <c r="BI29" s="420"/>
      <c r="BJ29" s="423"/>
      <c r="BK29" s="420"/>
    </row>
    <row r="30" spans="1:80" ht="22.5" x14ac:dyDescent="0.2">
      <c r="A30" s="9"/>
      <c r="B30" s="49" t="s">
        <v>49</v>
      </c>
      <c r="C30" s="56">
        <f>C26/C24</f>
        <v>0.44833165541744141</v>
      </c>
      <c r="D30" s="57"/>
      <c r="E30" s="38"/>
      <c r="G30" s="35" t="s">
        <v>50</v>
      </c>
      <c r="H30" s="42">
        <v>4765861.4070339203</v>
      </c>
      <c r="I30" s="43">
        <f>H30/$H$34</f>
        <v>2.8598073969704031E-2</v>
      </c>
      <c r="AE30" s="419"/>
      <c r="AF30" s="419"/>
      <c r="AG30" s="419"/>
      <c r="AH30" s="433"/>
      <c r="AI30" s="419"/>
      <c r="AJ30" s="419"/>
      <c r="AK30" s="419"/>
      <c r="AL30" s="419"/>
      <c r="AM30" s="433"/>
      <c r="AN30" s="433"/>
      <c r="AO30" s="458"/>
      <c r="AP30" s="419"/>
      <c r="AQ30" s="75"/>
      <c r="AR30" s="457"/>
      <c r="AS30" s="419"/>
      <c r="AT30" s="457"/>
      <c r="AU30" s="426"/>
      <c r="AV30" s="426"/>
      <c r="AW30" s="427"/>
      <c r="AX30" s="420"/>
      <c r="AY30" s="435"/>
      <c r="AZ30" s="435"/>
      <c r="BA30" s="429"/>
      <c r="BB30" s="430"/>
      <c r="BC30" s="430"/>
      <c r="BD30" s="430"/>
      <c r="BE30" s="436"/>
      <c r="BF30" s="71"/>
      <c r="BG30" s="419"/>
      <c r="BH30" s="420"/>
      <c r="BI30" s="470"/>
      <c r="BJ30" s="470"/>
      <c r="BK30" s="420"/>
    </row>
    <row r="31" spans="1:80" ht="18" x14ac:dyDescent="0.2">
      <c r="A31" s="9"/>
      <c r="B31" s="49"/>
      <c r="C31" s="56"/>
      <c r="D31" s="38"/>
      <c r="E31" s="9"/>
      <c r="G31" s="15" t="s">
        <v>51</v>
      </c>
      <c r="H31" s="40">
        <f>SUM(H29:H30)</f>
        <v>4765861.4070339203</v>
      </c>
      <c r="I31" s="41">
        <f>H31/$H$34</f>
        <v>2.8598073969704031E-2</v>
      </c>
      <c r="AE31" s="419"/>
      <c r="AF31" s="419"/>
      <c r="AG31" s="419"/>
      <c r="AH31" s="441"/>
      <c r="AI31" s="419"/>
      <c r="AJ31" s="419"/>
      <c r="AK31" s="419"/>
      <c r="AL31" s="419"/>
      <c r="AM31" s="442"/>
      <c r="AN31" s="419"/>
      <c r="AO31" s="439"/>
      <c r="AP31" s="443"/>
      <c r="AQ31" s="443"/>
      <c r="AR31" s="420"/>
      <c r="AS31" s="420"/>
      <c r="AT31" s="426"/>
      <c r="AU31" s="426"/>
      <c r="AV31" s="444"/>
      <c r="AW31" s="427"/>
      <c r="AX31" s="419"/>
      <c r="AY31" s="446"/>
      <c r="AZ31" s="435"/>
      <c r="BA31" s="435"/>
      <c r="BB31" s="447"/>
      <c r="BC31" s="447"/>
      <c r="BD31" s="447"/>
      <c r="BE31" s="419"/>
      <c r="BH31" s="410"/>
      <c r="BI31" s="410"/>
      <c r="BJ31" s="410"/>
      <c r="BK31" s="420"/>
    </row>
    <row r="32" spans="1:80" x14ac:dyDescent="0.2">
      <c r="A32" s="9"/>
      <c r="B32" s="53" t="s">
        <v>52</v>
      </c>
      <c r="C32" s="58">
        <f>(C26/H24)</f>
        <v>0.83420858724685232</v>
      </c>
      <c r="D32" s="59"/>
      <c r="E32" s="9"/>
      <c r="G32" s="27" t="s">
        <v>53</v>
      </c>
      <c r="H32" s="28"/>
      <c r="I32" s="29"/>
      <c r="K32" s="9"/>
      <c r="L32" s="9"/>
      <c r="AE32" s="436"/>
      <c r="AF32" s="436"/>
      <c r="AG32" s="436"/>
      <c r="AH32" s="436"/>
      <c r="AI32" s="436"/>
      <c r="AJ32" s="436"/>
      <c r="AK32" s="436"/>
      <c r="AL32" s="436"/>
      <c r="AM32" s="436"/>
      <c r="AN32" s="436"/>
      <c r="AO32" s="436"/>
      <c r="AP32" s="449"/>
      <c r="AQ32" s="449"/>
      <c r="AR32" s="436"/>
      <c r="AS32" s="436"/>
      <c r="AT32" s="436"/>
      <c r="AU32" s="436"/>
      <c r="AV32" s="436"/>
      <c r="AW32" s="436"/>
      <c r="AX32" s="436"/>
      <c r="AY32" s="436"/>
      <c r="AZ32" s="436"/>
      <c r="BA32" s="436"/>
      <c r="BB32" s="436"/>
      <c r="BC32" s="436"/>
      <c r="BD32" s="436"/>
      <c r="BE32" s="419"/>
      <c r="BH32" s="420"/>
      <c r="BI32" s="432"/>
      <c r="BJ32" s="471"/>
      <c r="BK32" s="420"/>
    </row>
    <row r="33" spans="1:66" ht="22.5" x14ac:dyDescent="0.2">
      <c r="A33" s="9"/>
      <c r="B33" s="53"/>
      <c r="C33" s="58"/>
      <c r="D33" s="59"/>
      <c r="E33" s="60"/>
      <c r="G33" s="35" t="s">
        <v>54</v>
      </c>
      <c r="H33" s="42">
        <f>H24+H26+H31</f>
        <v>166649733.54788631</v>
      </c>
      <c r="I33" s="61" t="b">
        <f>SUM(I24,I26,I31,M35)=100%</f>
        <v>1</v>
      </c>
      <c r="J33" s="38"/>
      <c r="K33" s="9"/>
      <c r="L33" s="9"/>
      <c r="AT33" s="419"/>
      <c r="AX33" s="71"/>
      <c r="BF33" s="71"/>
      <c r="BH33" s="420"/>
      <c r="BI33" s="472"/>
      <c r="BJ33" s="472"/>
      <c r="BK33" s="420"/>
    </row>
    <row r="34" spans="1:66" ht="22.5" x14ac:dyDescent="0.2">
      <c r="A34" s="9"/>
      <c r="B34" s="49" t="s">
        <v>55</v>
      </c>
      <c r="C34" s="62">
        <f>C32/C27</f>
        <v>0.20545623100209248</v>
      </c>
      <c r="D34" s="63"/>
      <c r="E34" s="37"/>
      <c r="G34" s="31" t="s">
        <v>39</v>
      </c>
      <c r="H34" s="50">
        <f>C24</f>
        <v>166649733.54788631</v>
      </c>
      <c r="I34" s="64"/>
      <c r="J34" s="9"/>
      <c r="K34" s="9"/>
      <c r="BH34" s="420"/>
      <c r="BI34" s="443"/>
      <c r="BJ34" s="443"/>
      <c r="BK34" s="420"/>
    </row>
    <row r="35" spans="1:66" ht="23.25" thickBot="1" x14ac:dyDescent="0.25">
      <c r="A35" s="9"/>
      <c r="B35" s="65"/>
      <c r="C35" s="66"/>
      <c r="D35" s="63"/>
      <c r="E35" s="9"/>
      <c r="G35" s="67" t="s">
        <v>56</v>
      </c>
      <c r="H35" s="68">
        <f>H33-H34</f>
        <v>0</v>
      </c>
      <c r="I35" s="69"/>
      <c r="J35" s="9"/>
      <c r="K35" s="9"/>
      <c r="AP35" s="71"/>
      <c r="AT35" s="71"/>
      <c r="AU35" s="71"/>
      <c r="AV35" s="71"/>
      <c r="BH35" s="420"/>
      <c r="BI35" s="470"/>
      <c r="BJ35" s="470"/>
      <c r="BK35" s="420"/>
    </row>
    <row r="36" spans="1:66" x14ac:dyDescent="0.2">
      <c r="A36" s="9"/>
      <c r="E36" s="70"/>
      <c r="BH36" s="420"/>
      <c r="BI36" s="450"/>
      <c r="BJ36" s="450"/>
      <c r="BK36" s="420"/>
    </row>
    <row r="37" spans="1:66" ht="12.75" x14ac:dyDescent="0.2">
      <c r="A37" s="9"/>
      <c r="E37" s="70"/>
      <c r="I37" s="71"/>
      <c r="AE37" s="410"/>
      <c r="AF37" s="410"/>
      <c r="AG37" s="410"/>
      <c r="AH37" s="410"/>
      <c r="AI37" s="410"/>
      <c r="AJ37" s="410"/>
      <c r="AK37" s="410"/>
      <c r="AL37" s="410"/>
      <c r="AM37" s="410"/>
      <c r="AN37" s="410"/>
      <c r="AO37" s="410"/>
      <c r="AP37" s="410"/>
      <c r="AQ37" s="410"/>
      <c r="AR37" s="410"/>
      <c r="AS37" s="410"/>
      <c r="AT37" s="410"/>
      <c r="AU37" s="410"/>
      <c r="AV37" s="410"/>
      <c r="AW37" s="410"/>
      <c r="AX37" s="410"/>
      <c r="AY37" s="410"/>
      <c r="AZ37" s="410"/>
      <c r="BA37" s="410"/>
      <c r="BB37" s="410"/>
      <c r="BC37" s="410"/>
      <c r="BD37" s="410"/>
      <c r="BH37" s="420"/>
      <c r="BI37" s="473"/>
      <c r="BJ37" s="474"/>
      <c r="BK37" s="420"/>
    </row>
    <row r="38" spans="1:66" x14ac:dyDescent="0.2">
      <c r="A38" s="9"/>
      <c r="D38" s="72"/>
      <c r="I38" s="71"/>
      <c r="AE38" s="417"/>
      <c r="AF38" s="417"/>
      <c r="AG38" s="417"/>
      <c r="AH38" s="418"/>
      <c r="AI38" s="417"/>
      <c r="AJ38" s="417"/>
      <c r="AK38" s="417"/>
      <c r="AL38" s="417"/>
      <c r="AM38" s="418"/>
      <c r="AN38" s="418"/>
      <c r="AO38" s="417"/>
      <c r="AP38" s="417"/>
      <c r="AQ38" s="417"/>
      <c r="AR38" s="417"/>
      <c r="AS38" s="417"/>
      <c r="AT38" s="417"/>
      <c r="AU38" s="417"/>
      <c r="AV38" s="417"/>
      <c r="AW38" s="417"/>
      <c r="AX38" s="417"/>
      <c r="AY38" s="417"/>
      <c r="AZ38" s="417"/>
      <c r="BA38" s="417"/>
      <c r="BB38" s="417"/>
      <c r="BC38" s="417"/>
      <c r="BD38" s="417"/>
      <c r="BH38" s="475"/>
      <c r="BI38" s="475"/>
      <c r="BJ38" s="475"/>
      <c r="BK38" s="476"/>
    </row>
    <row r="39" spans="1:66" x14ac:dyDescent="0.2">
      <c r="A39" s="9"/>
      <c r="I39" s="71"/>
      <c r="AE39" s="420"/>
      <c r="AF39" s="420"/>
      <c r="AG39" s="420"/>
      <c r="AH39" s="423"/>
      <c r="AI39" s="420"/>
      <c r="AJ39" s="420"/>
      <c r="AK39" s="420"/>
      <c r="AL39" s="420"/>
      <c r="AM39" s="423"/>
      <c r="AN39" s="423"/>
      <c r="AO39" s="424"/>
      <c r="AP39" s="420"/>
      <c r="AQ39" s="75"/>
      <c r="AR39" s="425"/>
      <c r="AS39" s="420"/>
      <c r="AT39" s="426"/>
      <c r="AU39" s="426"/>
      <c r="AV39" s="426"/>
      <c r="AW39" s="427"/>
      <c r="AX39" s="419"/>
      <c r="AY39" s="428"/>
      <c r="AZ39" s="428"/>
      <c r="BA39" s="429"/>
      <c r="BB39" s="430"/>
      <c r="BC39" s="430"/>
      <c r="BD39" s="430"/>
      <c r="BE39" s="436"/>
      <c r="BH39" s="477"/>
      <c r="BI39" s="477"/>
      <c r="BJ39" s="477"/>
      <c r="BK39" s="476"/>
    </row>
    <row r="40" spans="1:66" x14ac:dyDescent="0.2">
      <c r="A40" s="9"/>
      <c r="I40" s="71"/>
      <c r="AE40" s="419"/>
      <c r="AF40" s="419"/>
      <c r="AG40" s="419"/>
      <c r="AH40" s="433"/>
      <c r="AI40" s="419"/>
      <c r="AJ40" s="419"/>
      <c r="AK40" s="419"/>
      <c r="AL40" s="419"/>
      <c r="AM40" s="433"/>
      <c r="AN40" s="433"/>
      <c r="AO40" s="424"/>
      <c r="AP40" s="419"/>
      <c r="AQ40" s="75"/>
      <c r="AR40" s="425"/>
      <c r="AS40" s="420"/>
      <c r="AT40" s="426"/>
      <c r="AU40" s="426"/>
      <c r="AV40" s="426"/>
      <c r="AW40" s="427"/>
      <c r="AX40" s="419"/>
      <c r="AY40" s="428"/>
      <c r="AZ40" s="428"/>
      <c r="BA40" s="429"/>
      <c r="BB40" s="430"/>
      <c r="BC40" s="430"/>
      <c r="BD40" s="430"/>
      <c r="BE40" s="436"/>
      <c r="BH40" s="476"/>
      <c r="BI40" s="478"/>
      <c r="BJ40" s="479"/>
      <c r="BK40" s="480"/>
    </row>
    <row r="41" spans="1:66" ht="12" thickBot="1" x14ac:dyDescent="0.25">
      <c r="A41" s="9"/>
      <c r="B41" s="9"/>
      <c r="C41" s="9"/>
      <c r="D41" s="9"/>
      <c r="E41" s="9"/>
      <c r="F41" s="9"/>
      <c r="G41" s="9"/>
      <c r="H41" s="9"/>
      <c r="I41" s="75"/>
      <c r="J41" s="9"/>
      <c r="K41" s="9"/>
      <c r="L41" s="9"/>
      <c r="AE41" s="420"/>
      <c r="AF41" s="420"/>
      <c r="AG41" s="420"/>
      <c r="AH41" s="423"/>
      <c r="AI41" s="420"/>
      <c r="AJ41" s="420"/>
      <c r="AK41" s="420"/>
      <c r="AL41" s="420"/>
      <c r="AM41" s="423"/>
      <c r="AN41" s="423"/>
      <c r="AO41" s="424"/>
      <c r="AP41" s="420"/>
      <c r="AQ41" s="75"/>
      <c r="AR41" s="75"/>
      <c r="AS41" s="419"/>
      <c r="AT41" s="426"/>
      <c r="AU41" s="426"/>
      <c r="AV41" s="426"/>
      <c r="AW41" s="427"/>
      <c r="AX41" s="420"/>
      <c r="AY41" s="435"/>
      <c r="AZ41" s="435"/>
      <c r="BA41" s="429"/>
      <c r="BB41" s="430"/>
      <c r="BC41" s="430"/>
      <c r="BD41" s="430"/>
      <c r="BE41" s="436"/>
      <c r="BH41" s="476"/>
      <c r="BI41" s="478"/>
      <c r="BJ41" s="479"/>
      <c r="BK41" s="480"/>
      <c r="BN41" s="481"/>
    </row>
    <row r="42" spans="1:66" ht="12.75" x14ac:dyDescent="0.2">
      <c r="A42" s="9"/>
      <c r="B42" s="22" t="s">
        <v>57</v>
      </c>
      <c r="C42" s="24"/>
      <c r="D42" s="24"/>
      <c r="E42" s="24"/>
      <c r="F42" s="24"/>
      <c r="G42" s="24"/>
      <c r="H42" s="24"/>
      <c r="I42" s="24"/>
      <c r="J42" s="24"/>
      <c r="K42" s="24"/>
      <c r="L42" s="23"/>
      <c r="AE42" s="419"/>
      <c r="AF42" s="419"/>
      <c r="AG42" s="419"/>
      <c r="AH42" s="433"/>
      <c r="AI42" s="419"/>
      <c r="AJ42" s="419"/>
      <c r="AK42" s="419"/>
      <c r="AL42" s="419"/>
      <c r="AM42" s="433"/>
      <c r="AN42" s="433"/>
      <c r="AO42" s="424"/>
      <c r="AP42" s="419"/>
      <c r="AQ42" s="75"/>
      <c r="AR42" s="425"/>
      <c r="AS42" s="420"/>
      <c r="AT42" s="426"/>
      <c r="AU42" s="426"/>
      <c r="AV42" s="426"/>
      <c r="AW42" s="427"/>
      <c r="AX42" s="419"/>
      <c r="AY42" s="428"/>
      <c r="AZ42" s="428"/>
      <c r="BA42" s="429"/>
      <c r="BB42" s="430"/>
      <c r="BC42" s="430"/>
      <c r="BD42" s="430"/>
      <c r="BE42" s="436"/>
      <c r="BH42" s="476"/>
      <c r="BI42" s="478"/>
      <c r="BJ42" s="479"/>
      <c r="BK42" s="480"/>
    </row>
    <row r="43" spans="1:66" ht="22.5" x14ac:dyDescent="0.2">
      <c r="A43" s="9"/>
      <c r="B43" s="25" t="s">
        <v>58</v>
      </c>
      <c r="C43" s="34" t="s">
        <v>59</v>
      </c>
      <c r="D43" s="34" t="s">
        <v>60</v>
      </c>
      <c r="E43" s="34" t="s">
        <v>61</v>
      </c>
      <c r="F43" s="34" t="s">
        <v>62</v>
      </c>
      <c r="G43" s="34" t="s">
        <v>63</v>
      </c>
      <c r="H43" s="34" t="s">
        <v>64</v>
      </c>
      <c r="I43" s="28" t="s">
        <v>65</v>
      </c>
      <c r="J43" s="28"/>
      <c r="K43" s="34" t="s">
        <v>66</v>
      </c>
      <c r="L43" s="26" t="s">
        <v>67</v>
      </c>
      <c r="AE43" s="420"/>
      <c r="AF43" s="420"/>
      <c r="AG43" s="420"/>
      <c r="AH43" s="423"/>
      <c r="AI43" s="420"/>
      <c r="AJ43" s="420"/>
      <c r="AK43" s="420"/>
      <c r="AL43" s="420"/>
      <c r="AM43" s="423"/>
      <c r="AN43" s="423"/>
      <c r="AO43" s="424"/>
      <c r="AP43" s="420"/>
      <c r="AQ43" s="75"/>
      <c r="AR43" s="75"/>
      <c r="AS43" s="419"/>
      <c r="AT43" s="426"/>
      <c r="AU43" s="426"/>
      <c r="AV43" s="426"/>
      <c r="AW43" s="427"/>
      <c r="AX43" s="420"/>
      <c r="AY43" s="435"/>
      <c r="AZ43" s="435"/>
      <c r="BA43" s="429"/>
      <c r="BB43" s="430"/>
      <c r="BC43" s="430"/>
      <c r="BD43" s="430"/>
      <c r="BE43" s="436"/>
      <c r="BH43" s="476"/>
      <c r="BI43" s="478"/>
      <c r="BJ43" s="479"/>
      <c r="BK43" s="480"/>
    </row>
    <row r="44" spans="1:66" x14ac:dyDescent="0.2">
      <c r="A44" s="9"/>
      <c r="B44" s="10">
        <v>1</v>
      </c>
      <c r="C44" s="77">
        <v>1755</v>
      </c>
      <c r="D44" s="78">
        <v>28500</v>
      </c>
      <c r="E44" s="11">
        <f>D44*C44</f>
        <v>50017500</v>
      </c>
      <c r="F44" s="11">
        <f>(E44*$F$50)*$F$51</f>
        <v>1750612.5</v>
      </c>
      <c r="G44" s="11">
        <f>(E44*$G$50)*$G$51</f>
        <v>1068969.4000000001</v>
      </c>
      <c r="H44" s="11">
        <f>(G44*$H$50)*$H$51</f>
        <v>160345.41</v>
      </c>
      <c r="I44" s="79">
        <f>SUM(E44:H44)</f>
        <v>52997427.309999995</v>
      </c>
      <c r="J44" s="79"/>
      <c r="K44" s="80">
        <v>5</v>
      </c>
      <c r="L44" s="12">
        <f>K44*C44</f>
        <v>8775</v>
      </c>
      <c r="AE44" s="419"/>
      <c r="AF44" s="419"/>
      <c r="AG44" s="419"/>
      <c r="AH44" s="433"/>
      <c r="AI44" s="419"/>
      <c r="AJ44" s="419"/>
      <c r="AK44" s="419"/>
      <c r="AL44" s="419"/>
      <c r="AM44" s="433"/>
      <c r="AN44" s="433"/>
      <c r="AO44" s="424"/>
      <c r="AP44" s="419"/>
      <c r="AQ44" s="75"/>
      <c r="AR44" s="425"/>
      <c r="AS44" s="420"/>
      <c r="AT44" s="426"/>
      <c r="AU44" s="426"/>
      <c r="AV44" s="426"/>
      <c r="AW44" s="427"/>
      <c r="AX44" s="419"/>
      <c r="AY44" s="428"/>
      <c r="AZ44" s="428"/>
      <c r="BA44" s="429"/>
      <c r="BB44" s="430"/>
      <c r="BC44" s="430"/>
      <c r="BD44" s="430"/>
      <c r="BE44" s="436"/>
      <c r="BH44" s="476"/>
      <c r="BI44" s="478"/>
      <c r="BJ44" s="479"/>
      <c r="BK44" s="480"/>
    </row>
    <row r="45" spans="1:66" x14ac:dyDescent="0.2">
      <c r="A45" s="9"/>
      <c r="B45" s="16">
        <v>2</v>
      </c>
      <c r="C45" s="81"/>
      <c r="D45" s="82"/>
      <c r="E45" s="17">
        <f>D45*C45</f>
        <v>0</v>
      </c>
      <c r="F45" s="17">
        <f>(E45*$F$50)*$F$51</f>
        <v>0</v>
      </c>
      <c r="G45" s="17">
        <f>(E45*$G$50)*$G$51</f>
        <v>0</v>
      </c>
      <c r="H45" s="17">
        <f>(G45*$H$50)*$H$51</f>
        <v>0</v>
      </c>
      <c r="I45" s="83">
        <f>SUM(E45:H45)</f>
        <v>0</v>
      </c>
      <c r="J45" s="83"/>
      <c r="K45" s="84"/>
      <c r="L45" s="85">
        <f>K45*C45</f>
        <v>0</v>
      </c>
      <c r="AE45" s="420"/>
      <c r="AF45" s="420"/>
      <c r="AG45" s="420"/>
      <c r="AH45" s="423"/>
      <c r="AI45" s="420"/>
      <c r="AJ45" s="420"/>
      <c r="AK45" s="420"/>
      <c r="AL45" s="420"/>
      <c r="AM45" s="423"/>
      <c r="AN45" s="423"/>
      <c r="AO45" s="424"/>
      <c r="AP45" s="420"/>
      <c r="AQ45" s="75"/>
      <c r="AR45" s="75"/>
      <c r="AS45" s="419"/>
      <c r="AT45" s="426"/>
      <c r="AU45" s="426"/>
      <c r="AV45" s="426"/>
      <c r="AW45" s="427"/>
      <c r="AX45" s="420"/>
      <c r="AY45" s="435"/>
      <c r="AZ45" s="435"/>
      <c r="BA45" s="429"/>
      <c r="BB45" s="430"/>
      <c r="BC45" s="430"/>
      <c r="BD45" s="430"/>
      <c r="BE45" s="436"/>
      <c r="BH45" s="476"/>
      <c r="BI45" s="476"/>
      <c r="BJ45" s="476"/>
      <c r="BK45" s="476"/>
    </row>
    <row r="46" spans="1:66" x14ac:dyDescent="0.2">
      <c r="A46" s="9"/>
      <c r="B46" s="10">
        <v>3</v>
      </c>
      <c r="C46" s="77"/>
      <c r="D46" s="78"/>
      <c r="E46" s="11">
        <f>D46*C46</f>
        <v>0</v>
      </c>
      <c r="F46" s="11">
        <f>(E46*$F$50)*$F$51</f>
        <v>0</v>
      </c>
      <c r="G46" s="11">
        <f>(E46*$G$50)*$G$51</f>
        <v>0</v>
      </c>
      <c r="H46" s="11">
        <f>(G46*$H$50)*$H$51</f>
        <v>0</v>
      </c>
      <c r="I46" s="79">
        <f>SUM(E46:H46)</f>
        <v>0</v>
      </c>
      <c r="J46" s="79"/>
      <c r="K46" s="80"/>
      <c r="L46" s="12">
        <f>K46*C46</f>
        <v>0</v>
      </c>
      <c r="AE46" s="419"/>
      <c r="AF46" s="419"/>
      <c r="AG46" s="419"/>
      <c r="AH46" s="433"/>
      <c r="AI46" s="419"/>
      <c r="AJ46" s="419"/>
      <c r="AK46" s="419"/>
      <c r="AL46" s="419"/>
      <c r="AM46" s="433"/>
      <c r="AN46" s="433"/>
      <c r="AO46" s="424"/>
      <c r="AP46" s="419"/>
      <c r="AQ46" s="75"/>
      <c r="AR46" s="425"/>
      <c r="AS46" s="420"/>
      <c r="AT46" s="426"/>
      <c r="AU46" s="426"/>
      <c r="AV46" s="426"/>
      <c r="AW46" s="427"/>
      <c r="AX46" s="419"/>
      <c r="AY46" s="428"/>
      <c r="AZ46" s="428"/>
      <c r="BA46" s="429"/>
      <c r="BB46" s="430"/>
      <c r="BC46" s="430"/>
      <c r="BD46" s="430"/>
      <c r="BE46" s="436"/>
    </row>
    <row r="47" spans="1:66" x14ac:dyDescent="0.2">
      <c r="A47" s="9"/>
      <c r="B47" s="16">
        <v>4</v>
      </c>
      <c r="C47" s="81"/>
      <c r="D47" s="82"/>
      <c r="E47" s="17">
        <f>D47*C47</f>
        <v>0</v>
      </c>
      <c r="F47" s="17">
        <f>(E47*$F$50)*$F$51</f>
        <v>0</v>
      </c>
      <c r="G47" s="17">
        <f>(E47*$G$50)*$G$51</f>
        <v>0</v>
      </c>
      <c r="H47" s="17">
        <f>(G47*$H$50)*$H$51</f>
        <v>0</v>
      </c>
      <c r="I47" s="83">
        <f>SUM(E47:H47)</f>
        <v>0</v>
      </c>
      <c r="J47" s="83"/>
      <c r="K47" s="84"/>
      <c r="L47" s="85">
        <f>K47*C47</f>
        <v>0</v>
      </c>
      <c r="AE47" s="420"/>
      <c r="AF47" s="420"/>
      <c r="AG47" s="420"/>
      <c r="AH47" s="423"/>
      <c r="AI47" s="420"/>
      <c r="AJ47" s="420"/>
      <c r="AK47" s="420"/>
      <c r="AL47" s="420"/>
      <c r="AM47" s="423"/>
      <c r="AN47" s="423"/>
      <c r="AO47" s="424"/>
      <c r="AP47" s="420"/>
      <c r="AQ47" s="75"/>
      <c r="AR47" s="75"/>
      <c r="AS47" s="419"/>
      <c r="AT47" s="426"/>
      <c r="AU47" s="426"/>
      <c r="AV47" s="426"/>
      <c r="AW47" s="427"/>
      <c r="AX47" s="420"/>
      <c r="AY47" s="435"/>
      <c r="AZ47" s="435"/>
      <c r="BA47" s="429"/>
      <c r="BB47" s="430"/>
      <c r="BC47" s="430"/>
      <c r="BD47" s="430"/>
      <c r="BE47" s="436"/>
    </row>
    <row r="48" spans="1:66" x14ac:dyDescent="0.2">
      <c r="A48" s="9"/>
      <c r="B48" s="10">
        <v>5</v>
      </c>
      <c r="C48" s="77"/>
      <c r="D48" s="78"/>
      <c r="E48" s="11">
        <f>D48*C48</f>
        <v>0</v>
      </c>
      <c r="F48" s="11">
        <f>(E48*$F$50)*$F$51</f>
        <v>0</v>
      </c>
      <c r="G48" s="11">
        <f>(E48*$G$50)*$G$51</f>
        <v>0</v>
      </c>
      <c r="H48" s="11">
        <f>(G48*$H$50)*$H$51</f>
        <v>0</v>
      </c>
      <c r="I48" s="79">
        <f>SUM(E48:H48)</f>
        <v>0</v>
      </c>
      <c r="J48" s="79"/>
      <c r="K48" s="80"/>
      <c r="L48" s="12">
        <f>K48*C48</f>
        <v>0</v>
      </c>
      <c r="AE48" s="419"/>
      <c r="AF48" s="419"/>
      <c r="AG48" s="419"/>
      <c r="AH48" s="433"/>
      <c r="AI48" s="419"/>
      <c r="AJ48" s="419"/>
      <c r="AK48" s="419"/>
      <c r="AL48" s="419"/>
      <c r="AM48" s="433"/>
      <c r="AN48" s="433"/>
      <c r="AO48" s="424"/>
      <c r="AP48" s="419"/>
      <c r="AQ48" s="75"/>
      <c r="AR48" s="425"/>
      <c r="AS48" s="420"/>
      <c r="AT48" s="426"/>
      <c r="AU48" s="426"/>
      <c r="AV48" s="426"/>
      <c r="AW48" s="427"/>
      <c r="AX48" s="419"/>
      <c r="AY48" s="428"/>
      <c r="AZ48" s="428"/>
      <c r="BA48" s="429"/>
      <c r="BB48" s="430"/>
      <c r="BC48" s="430"/>
      <c r="BD48" s="430"/>
      <c r="BE48" s="436"/>
    </row>
    <row r="49" spans="1:62" ht="23.25" thickBot="1" x14ac:dyDescent="0.25">
      <c r="B49" s="67" t="s">
        <v>68</v>
      </c>
      <c r="C49" s="87">
        <f>SUM(C44:C48)</f>
        <v>1755</v>
      </c>
      <c r="D49" s="88">
        <f>E49/C49</f>
        <v>28500</v>
      </c>
      <c r="E49" s="88">
        <f>SUM(E44:E48)</f>
        <v>50017500</v>
      </c>
      <c r="F49" s="88">
        <f>SUM(F44:F48)</f>
        <v>1750612.5</v>
      </c>
      <c r="G49" s="88">
        <f>SUM(G44:G48)</f>
        <v>1068969.4000000001</v>
      </c>
      <c r="H49" s="88">
        <f>SUM(H44:H48)</f>
        <v>160345.41</v>
      </c>
      <c r="I49" s="89">
        <f>SUM(I44:I48)</f>
        <v>52997427.309999995</v>
      </c>
      <c r="J49" s="89"/>
      <c r="K49" s="90">
        <f>L49/C49</f>
        <v>5</v>
      </c>
      <c r="L49" s="91">
        <f>SUM(L44:L48)</f>
        <v>8775</v>
      </c>
      <c r="AE49" s="419"/>
      <c r="AF49" s="419"/>
      <c r="AG49" s="419"/>
      <c r="AH49" s="441"/>
      <c r="AI49" s="419"/>
      <c r="AJ49" s="419"/>
      <c r="AK49" s="419"/>
      <c r="AL49" s="419"/>
      <c r="AM49" s="442"/>
      <c r="AN49" s="441"/>
      <c r="AO49" s="419"/>
      <c r="AP49" s="443"/>
      <c r="AQ49" s="443"/>
      <c r="AR49" s="420"/>
      <c r="AS49" s="420"/>
      <c r="AT49" s="426"/>
      <c r="AU49" s="426"/>
      <c r="AV49" s="444"/>
      <c r="AW49" s="445"/>
      <c r="AX49" s="419"/>
      <c r="AY49" s="446"/>
      <c r="AZ49" s="435"/>
      <c r="BA49" s="435"/>
      <c r="BB49" s="447"/>
      <c r="BC49" s="447"/>
      <c r="BD49" s="447"/>
    </row>
    <row r="50" spans="1:62" x14ac:dyDescent="0.2">
      <c r="A50" s="9"/>
      <c r="B50" s="9"/>
      <c r="C50" s="9"/>
      <c r="D50" s="9"/>
      <c r="E50" s="9"/>
      <c r="F50" s="92">
        <v>0.05</v>
      </c>
      <c r="G50" s="93">
        <v>2.5000000000000001E-2</v>
      </c>
      <c r="H50" s="94">
        <v>0.15</v>
      </c>
      <c r="I50" s="9"/>
      <c r="J50" s="9"/>
      <c r="L50" s="9"/>
      <c r="AE50" s="436"/>
      <c r="AF50" s="436"/>
      <c r="AG50" s="436"/>
      <c r="AH50" s="436"/>
      <c r="AI50" s="436"/>
      <c r="AJ50" s="436"/>
      <c r="AK50" s="436"/>
      <c r="AL50" s="436"/>
      <c r="AM50" s="436"/>
      <c r="AN50" s="436"/>
      <c r="AO50" s="436"/>
      <c r="AP50" s="449"/>
      <c r="AQ50" s="449"/>
      <c r="AR50" s="436"/>
      <c r="AS50" s="436"/>
      <c r="AT50" s="436"/>
      <c r="AU50" s="436"/>
      <c r="AV50" s="436"/>
      <c r="AW50" s="436"/>
      <c r="AX50" s="436"/>
      <c r="AY50" s="436"/>
      <c r="AZ50" s="436"/>
      <c r="BA50" s="436"/>
      <c r="BB50" s="436"/>
      <c r="BC50" s="436"/>
      <c r="BD50" s="436"/>
      <c r="BE50" s="419"/>
    </row>
    <row r="51" spans="1:62" ht="12" thickBot="1" x14ac:dyDescent="0.25">
      <c r="A51" s="9"/>
      <c r="B51" s="9"/>
      <c r="C51" s="9"/>
      <c r="D51" s="9"/>
      <c r="E51" s="9"/>
      <c r="F51" s="95">
        <v>0.7</v>
      </c>
      <c r="G51" s="96">
        <v>0.85487631329034841</v>
      </c>
      <c r="H51" s="97">
        <v>1</v>
      </c>
      <c r="I51" s="9"/>
      <c r="J51" s="9"/>
      <c r="K51" s="9"/>
      <c r="L51" s="9"/>
      <c r="AR51" s="482"/>
    </row>
    <row r="52" spans="1:62" x14ac:dyDescent="0.2">
      <c r="A52" s="9"/>
      <c r="E52" s="98"/>
    </row>
    <row r="53" spans="1:62" x14ac:dyDescent="0.2">
      <c r="A53" s="9"/>
      <c r="B53" s="99"/>
    </row>
    <row r="54" spans="1:62" x14ac:dyDescent="0.2">
      <c r="A54" s="9"/>
    </row>
    <row r="55" spans="1:62" x14ac:dyDescent="0.2">
      <c r="A55" s="9"/>
      <c r="F55" s="30"/>
      <c r="H55" s="60"/>
    </row>
    <row r="56" spans="1:62" ht="12" thickBot="1" x14ac:dyDescent="0.25">
      <c r="A56" s="9"/>
      <c r="F56" s="30"/>
    </row>
    <row r="57" spans="1:62" ht="12.75" x14ac:dyDescent="0.2">
      <c r="B57" s="22" t="s">
        <v>69</v>
      </c>
      <c r="C57" s="24"/>
      <c r="D57" s="24"/>
      <c r="E57" s="24"/>
      <c r="F57" s="24"/>
      <c r="G57" s="24"/>
      <c r="H57" s="24"/>
      <c r="I57" s="24"/>
      <c r="J57" s="24"/>
      <c r="K57" s="24"/>
      <c r="L57" s="23"/>
    </row>
    <row r="58" spans="1:62" ht="22.5" x14ac:dyDescent="0.2">
      <c r="B58" s="25" t="s">
        <v>70</v>
      </c>
      <c r="C58" s="34" t="s">
        <v>71</v>
      </c>
      <c r="D58" s="34" t="s">
        <v>66</v>
      </c>
      <c r="E58" s="34" t="s">
        <v>72</v>
      </c>
      <c r="F58" s="28" t="s">
        <v>73</v>
      </c>
      <c r="G58" s="100"/>
      <c r="H58" s="28" t="s">
        <v>74</v>
      </c>
      <c r="I58" s="28"/>
      <c r="J58" s="34" t="s">
        <v>75</v>
      </c>
      <c r="K58" s="28" t="s">
        <v>76</v>
      </c>
      <c r="L58" s="29" t="s">
        <v>77</v>
      </c>
      <c r="N58" s="9"/>
      <c r="O58" s="9"/>
      <c r="S58" s="9"/>
      <c r="T58" s="9"/>
    </row>
    <row r="59" spans="1:62" x14ac:dyDescent="0.2">
      <c r="B59" s="101"/>
      <c r="C59" s="102"/>
      <c r="D59" s="80">
        <f>K49</f>
        <v>5</v>
      </c>
      <c r="E59" s="77">
        <f>SUM(D61:D75)</f>
        <v>13162.5</v>
      </c>
      <c r="F59" s="103">
        <f>SUM(D61:D71,D74:D75)</f>
        <v>12285</v>
      </c>
      <c r="G59" s="103"/>
      <c r="H59" s="103">
        <f>SUM(D61:D71)</f>
        <v>8775</v>
      </c>
      <c r="I59" s="103"/>
      <c r="J59" s="77">
        <f>F76</f>
        <v>5703.75</v>
      </c>
      <c r="K59" s="28"/>
      <c r="L59" s="29"/>
    </row>
    <row r="60" spans="1:62" ht="22.5" x14ac:dyDescent="0.2">
      <c r="B60" s="104" t="s">
        <v>3</v>
      </c>
      <c r="C60" s="105" t="s">
        <v>78</v>
      </c>
      <c r="D60" s="34" t="s">
        <v>79</v>
      </c>
      <c r="E60" s="105" t="s">
        <v>80</v>
      </c>
      <c r="F60" s="34" t="s">
        <v>81</v>
      </c>
      <c r="G60" s="34" t="s">
        <v>82</v>
      </c>
      <c r="H60" s="34" t="s">
        <v>83</v>
      </c>
      <c r="I60" s="34" t="s">
        <v>84</v>
      </c>
      <c r="J60" s="34" t="s">
        <v>85</v>
      </c>
      <c r="K60" s="106">
        <f>B59/L60</f>
        <v>0</v>
      </c>
      <c r="L60" s="107">
        <v>3.5</v>
      </c>
    </row>
    <row r="61" spans="1:62" ht="22.5" x14ac:dyDescent="0.2">
      <c r="B61" s="108" t="s">
        <v>6</v>
      </c>
      <c r="C61" s="109"/>
      <c r="D61" s="77">
        <f t="shared" ref="D61:D71" si="1">$L$49*C61</f>
        <v>0</v>
      </c>
      <c r="E61" s="109"/>
      <c r="F61" s="77">
        <f>E61*D61</f>
        <v>0</v>
      </c>
      <c r="G61" s="77" t="str">
        <f>IFERROR(F61/H61, "0")</f>
        <v>0</v>
      </c>
      <c r="H61" s="11"/>
      <c r="I61" s="78"/>
      <c r="J61" s="78">
        <f>I61*D61</f>
        <v>0</v>
      </c>
      <c r="K61" s="11">
        <f>L61*H61</f>
        <v>0</v>
      </c>
      <c r="L61" s="18">
        <v>1.5</v>
      </c>
      <c r="BH61" s="483"/>
      <c r="BI61" s="483"/>
      <c r="BJ61" s="483"/>
    </row>
    <row r="62" spans="1:62" ht="22.5" x14ac:dyDescent="0.2">
      <c r="B62" s="110" t="s">
        <v>7</v>
      </c>
      <c r="C62" s="111"/>
      <c r="D62" s="81">
        <f t="shared" si="1"/>
        <v>0</v>
      </c>
      <c r="E62" s="111"/>
      <c r="F62" s="81">
        <f>E62*D62</f>
        <v>0</v>
      </c>
      <c r="G62" s="81" t="str">
        <f>IFERROR(F62/H62, "0")</f>
        <v>0</v>
      </c>
      <c r="H62" s="17"/>
      <c r="I62" s="82"/>
      <c r="J62" s="82">
        <f>I62*D62</f>
        <v>0</v>
      </c>
      <c r="K62" s="17">
        <f>L62*H62</f>
        <v>0</v>
      </c>
      <c r="L62" s="18">
        <v>0</v>
      </c>
      <c r="AP62" s="484"/>
      <c r="AV62" s="484"/>
      <c r="AW62" s="71"/>
      <c r="BH62" s="485"/>
      <c r="BI62" s="486"/>
      <c r="BJ62" s="486"/>
    </row>
    <row r="63" spans="1:62" ht="22.5" x14ac:dyDescent="0.2">
      <c r="B63" s="108" t="s">
        <v>9</v>
      </c>
      <c r="C63" s="109"/>
      <c r="D63" s="77">
        <f t="shared" si="1"/>
        <v>0</v>
      </c>
      <c r="E63" s="109"/>
      <c r="F63" s="77">
        <f t="shared" ref="F63:F69" si="2">E63*D63</f>
        <v>0</v>
      </c>
      <c r="G63" s="77" t="str">
        <f t="shared" ref="G63:G70" si="3">IFERROR(F63/H63, "0")</f>
        <v>0</v>
      </c>
      <c r="H63" s="11"/>
      <c r="I63" s="78"/>
      <c r="J63" s="78">
        <f t="shared" ref="J63:J69" si="4">I63*D63</f>
        <v>0</v>
      </c>
      <c r="K63" s="11">
        <f>L63*H63</f>
        <v>0</v>
      </c>
      <c r="L63" s="18">
        <v>0</v>
      </c>
      <c r="AV63" s="484"/>
      <c r="AW63" s="71"/>
      <c r="BH63" s="485"/>
      <c r="BI63" s="486"/>
      <c r="BJ63" s="486"/>
    </row>
    <row r="64" spans="1:62" ht="22.5" x14ac:dyDescent="0.2">
      <c r="B64" s="110" t="s">
        <v>10</v>
      </c>
      <c r="C64" s="111"/>
      <c r="D64" s="81">
        <f t="shared" si="1"/>
        <v>0</v>
      </c>
      <c r="E64" s="111"/>
      <c r="F64" s="81">
        <f t="shared" si="2"/>
        <v>0</v>
      </c>
      <c r="G64" s="81" t="str">
        <f t="shared" si="3"/>
        <v>0</v>
      </c>
      <c r="H64" s="17"/>
      <c r="I64" s="82"/>
      <c r="J64" s="82">
        <f t="shared" si="4"/>
        <v>0</v>
      </c>
      <c r="K64" s="17">
        <f>L64*H64</f>
        <v>0</v>
      </c>
      <c r="L64" s="18">
        <v>0</v>
      </c>
      <c r="AV64" s="484"/>
      <c r="AW64" s="71"/>
      <c r="BH64" s="485"/>
      <c r="BI64" s="486"/>
      <c r="BJ64" s="486"/>
    </row>
    <row r="65" spans="1:73" ht="22.5" x14ac:dyDescent="0.2">
      <c r="B65" s="108" t="s">
        <v>11</v>
      </c>
      <c r="C65" s="109"/>
      <c r="D65" s="77">
        <f t="shared" si="1"/>
        <v>0</v>
      </c>
      <c r="E65" s="109"/>
      <c r="F65" s="77">
        <f t="shared" si="2"/>
        <v>0</v>
      </c>
      <c r="G65" s="77" t="str">
        <f t="shared" si="3"/>
        <v>0</v>
      </c>
      <c r="H65" s="11"/>
      <c r="I65" s="78"/>
      <c r="J65" s="78">
        <f t="shared" si="4"/>
        <v>0</v>
      </c>
      <c r="K65" s="11">
        <f>L65*H65</f>
        <v>0</v>
      </c>
      <c r="L65" s="18">
        <v>1</v>
      </c>
      <c r="AV65" s="484"/>
      <c r="AW65" s="71"/>
      <c r="BH65" s="485"/>
      <c r="BI65" s="486"/>
      <c r="BJ65" s="486"/>
      <c r="BU65" s="71"/>
    </row>
    <row r="66" spans="1:73" ht="22.5" x14ac:dyDescent="0.2">
      <c r="B66" s="110" t="s">
        <v>12</v>
      </c>
      <c r="C66" s="111"/>
      <c r="D66" s="81">
        <f t="shared" si="1"/>
        <v>0</v>
      </c>
      <c r="E66" s="111"/>
      <c r="F66" s="81">
        <f t="shared" si="2"/>
        <v>0</v>
      </c>
      <c r="G66" s="81" t="str">
        <f>IFERROR(F66/H66, "0")</f>
        <v>0</v>
      </c>
      <c r="H66" s="17"/>
      <c r="I66" s="82"/>
      <c r="J66" s="82">
        <f>I66*D66</f>
        <v>0</v>
      </c>
      <c r="K66" s="17">
        <f>F66/L66</f>
        <v>0</v>
      </c>
      <c r="L66" s="18">
        <v>25</v>
      </c>
      <c r="AV66" s="484"/>
      <c r="AW66" s="71"/>
      <c r="BH66" s="485"/>
      <c r="BI66" s="486"/>
      <c r="BJ66" s="486"/>
      <c r="BU66" s="71"/>
    </row>
    <row r="67" spans="1:73" ht="22.5" x14ac:dyDescent="0.2">
      <c r="B67" s="108" t="s">
        <v>13</v>
      </c>
      <c r="C67" s="109"/>
      <c r="D67" s="77">
        <f t="shared" si="1"/>
        <v>0</v>
      </c>
      <c r="E67" s="109"/>
      <c r="F67" s="77">
        <f t="shared" si="2"/>
        <v>0</v>
      </c>
      <c r="G67" s="77" t="str">
        <f t="shared" si="3"/>
        <v>0</v>
      </c>
      <c r="H67" s="11"/>
      <c r="I67" s="78"/>
      <c r="J67" s="78">
        <f>I67*D67</f>
        <v>0</v>
      </c>
      <c r="K67" s="11">
        <f>F67/L67</f>
        <v>0</v>
      </c>
      <c r="L67" s="18">
        <v>45</v>
      </c>
      <c r="AV67" s="484"/>
      <c r="AW67" s="71"/>
      <c r="BH67" s="485"/>
      <c r="BI67" s="486"/>
      <c r="BJ67" s="486"/>
      <c r="BU67" s="71"/>
    </row>
    <row r="68" spans="1:73" ht="22.5" x14ac:dyDescent="0.2">
      <c r="B68" s="110" t="s">
        <v>14</v>
      </c>
      <c r="C68" s="111">
        <v>1</v>
      </c>
      <c r="D68" s="81">
        <f t="shared" si="1"/>
        <v>8775</v>
      </c>
      <c r="E68" s="111">
        <v>0.65</v>
      </c>
      <c r="F68" s="81">
        <f>E68*D68</f>
        <v>5703.75</v>
      </c>
      <c r="G68" s="81">
        <f t="shared" si="3"/>
        <v>55.919117647058826</v>
      </c>
      <c r="H68" s="17">
        <v>102</v>
      </c>
      <c r="I68" s="82">
        <v>5500</v>
      </c>
      <c r="J68" s="82">
        <f>I68*D68</f>
        <v>48262500</v>
      </c>
      <c r="K68" s="17">
        <f>H68/L68</f>
        <v>51</v>
      </c>
      <c r="L68" s="18">
        <v>2</v>
      </c>
      <c r="AV68" s="484"/>
      <c r="AW68" s="71"/>
      <c r="BH68" s="485"/>
      <c r="BI68" s="486"/>
      <c r="BJ68" s="486"/>
      <c r="BU68" s="71"/>
    </row>
    <row r="69" spans="1:73" ht="22.5" x14ac:dyDescent="0.2">
      <c r="B69" s="108" t="s">
        <v>15</v>
      </c>
      <c r="C69" s="109"/>
      <c r="D69" s="77">
        <f t="shared" si="1"/>
        <v>0</v>
      </c>
      <c r="E69" s="109"/>
      <c r="F69" s="77">
        <f t="shared" si="2"/>
        <v>0</v>
      </c>
      <c r="G69" s="77" t="str">
        <f t="shared" si="3"/>
        <v>0</v>
      </c>
      <c r="H69" s="11"/>
      <c r="I69" s="78"/>
      <c r="J69" s="78">
        <f t="shared" si="4"/>
        <v>0</v>
      </c>
      <c r="K69" s="11">
        <f>F69/L69</f>
        <v>0</v>
      </c>
      <c r="L69" s="18">
        <v>35</v>
      </c>
      <c r="AV69" s="484"/>
      <c r="AW69" s="71"/>
      <c r="BH69" s="485"/>
      <c r="BI69" s="486"/>
      <c r="BJ69" s="486"/>
      <c r="BU69" s="71"/>
    </row>
    <row r="70" spans="1:73" ht="22.5" x14ac:dyDescent="0.2">
      <c r="B70" s="110" t="s">
        <v>16</v>
      </c>
      <c r="C70" s="111"/>
      <c r="D70" s="81">
        <f t="shared" si="1"/>
        <v>0</v>
      </c>
      <c r="E70" s="111"/>
      <c r="F70" s="81">
        <f>E70*D70</f>
        <v>0</v>
      </c>
      <c r="G70" s="81" t="str">
        <f t="shared" si="3"/>
        <v>0</v>
      </c>
      <c r="H70" s="17"/>
      <c r="I70" s="82"/>
      <c r="J70" s="82">
        <f>I70*D70</f>
        <v>0</v>
      </c>
      <c r="K70" s="112">
        <v>0</v>
      </c>
      <c r="L70" s="113" t="s">
        <v>34</v>
      </c>
      <c r="AV70" s="484"/>
      <c r="AW70" s="71"/>
      <c r="BH70" s="485"/>
      <c r="BI70" s="486"/>
      <c r="BJ70" s="486"/>
      <c r="BU70" s="71"/>
    </row>
    <row r="71" spans="1:73" ht="23.25" thickBot="1" x14ac:dyDescent="0.25">
      <c r="B71" s="114" t="s">
        <v>86</v>
      </c>
      <c r="C71" s="115">
        <f>100%-SUM(C61:C70)</f>
        <v>0</v>
      </c>
      <c r="D71" s="116">
        <f t="shared" si="1"/>
        <v>0</v>
      </c>
      <c r="E71" s="117" t="s">
        <v>34</v>
      </c>
      <c r="F71" s="118" t="s">
        <v>34</v>
      </c>
      <c r="G71" s="118" t="s">
        <v>34</v>
      </c>
      <c r="H71" s="119" t="s">
        <v>34</v>
      </c>
      <c r="I71" s="120"/>
      <c r="J71" s="120">
        <f>I71*D71</f>
        <v>0</v>
      </c>
      <c r="K71" s="119" t="s">
        <v>34</v>
      </c>
      <c r="L71" s="121" t="s">
        <v>34</v>
      </c>
      <c r="AV71" s="484"/>
      <c r="AW71" s="71"/>
      <c r="BH71" s="485"/>
      <c r="BI71" s="486"/>
      <c r="BJ71" s="486"/>
      <c r="BU71" s="71"/>
    </row>
    <row r="72" spans="1:73" ht="15.75" thickBot="1" x14ac:dyDescent="0.25">
      <c r="B72" s="122" t="s">
        <v>8</v>
      </c>
      <c r="C72" s="123" t="s">
        <v>8</v>
      </c>
      <c r="D72" s="124" t="s">
        <v>8</v>
      </c>
      <c r="E72" s="123" t="s">
        <v>8</v>
      </c>
      <c r="F72" s="124" t="s">
        <v>8</v>
      </c>
      <c r="G72" s="124" t="s">
        <v>8</v>
      </c>
      <c r="H72" s="125" t="s">
        <v>8</v>
      </c>
      <c r="I72" s="125" t="s">
        <v>8</v>
      </c>
      <c r="J72" s="125" t="s">
        <v>8</v>
      </c>
      <c r="K72" s="125" t="s">
        <v>8</v>
      </c>
      <c r="L72" s="126" t="s">
        <v>8</v>
      </c>
      <c r="AV72" s="71"/>
      <c r="BH72" s="485"/>
      <c r="BI72" s="486"/>
      <c r="BJ72" s="486"/>
      <c r="BU72" s="71"/>
    </row>
    <row r="73" spans="1:73" ht="22.5" x14ac:dyDescent="0.2">
      <c r="B73" s="127" t="s">
        <v>87</v>
      </c>
      <c r="C73" s="128">
        <v>0.5</v>
      </c>
      <c r="D73" s="129">
        <f>$C$49*C73</f>
        <v>877.5</v>
      </c>
      <c r="E73" s="130" t="s">
        <v>34</v>
      </c>
      <c r="F73" s="130" t="s">
        <v>34</v>
      </c>
      <c r="G73" s="130" t="s">
        <v>34</v>
      </c>
      <c r="H73" s="130" t="s">
        <v>34</v>
      </c>
      <c r="I73" s="131">
        <v>1250</v>
      </c>
      <c r="J73" s="131">
        <f>I73*D73</f>
        <v>1096875</v>
      </c>
      <c r="K73" s="132" t="s">
        <v>34</v>
      </c>
      <c r="L73" s="133" t="s">
        <v>34</v>
      </c>
      <c r="AC73" s="30"/>
      <c r="AV73" s="71"/>
      <c r="BH73" s="485"/>
      <c r="BI73" s="486"/>
      <c r="BJ73" s="486"/>
    </row>
    <row r="74" spans="1:73" ht="22.5" x14ac:dyDescent="0.2">
      <c r="B74" s="110" t="s">
        <v>88</v>
      </c>
      <c r="C74" s="111">
        <v>2</v>
      </c>
      <c r="D74" s="81">
        <f>$C$49*C74</f>
        <v>3510</v>
      </c>
      <c r="E74" s="45" t="s">
        <v>34</v>
      </c>
      <c r="F74" s="45" t="s">
        <v>34</v>
      </c>
      <c r="G74" s="45" t="s">
        <v>34</v>
      </c>
      <c r="H74" s="45" t="s">
        <v>34</v>
      </c>
      <c r="I74" s="82">
        <v>2200</v>
      </c>
      <c r="J74" s="82">
        <f>I74*D74</f>
        <v>7722000</v>
      </c>
      <c r="K74" s="17">
        <f>D74/L74</f>
        <v>58.5</v>
      </c>
      <c r="L74" s="18">
        <v>60</v>
      </c>
      <c r="AV74" s="71"/>
      <c r="BH74" s="485"/>
      <c r="BI74" s="486"/>
      <c r="BJ74" s="486"/>
    </row>
    <row r="75" spans="1:73" ht="22.5" x14ac:dyDescent="0.2">
      <c r="B75" s="108" t="s">
        <v>89</v>
      </c>
      <c r="C75" s="109"/>
      <c r="D75" s="77">
        <f>$C$49*C75</f>
        <v>0</v>
      </c>
      <c r="E75" s="44" t="s">
        <v>34</v>
      </c>
      <c r="F75" s="44" t="s">
        <v>34</v>
      </c>
      <c r="G75" s="44" t="s">
        <v>34</v>
      </c>
      <c r="H75" s="44" t="s">
        <v>34</v>
      </c>
      <c r="I75" s="78"/>
      <c r="J75" s="78">
        <f>I75*D75</f>
        <v>0</v>
      </c>
      <c r="K75" s="11">
        <f>D75/L75</f>
        <v>0</v>
      </c>
      <c r="L75" s="18">
        <v>45</v>
      </c>
      <c r="Q75" s="30"/>
    </row>
    <row r="76" spans="1:73" ht="27.75" thickBot="1" x14ac:dyDescent="0.25">
      <c r="B76" s="134" t="s">
        <v>68</v>
      </c>
      <c r="C76" s="135">
        <f>SUM(C61:C71)</f>
        <v>1</v>
      </c>
      <c r="D76" s="87">
        <f>SUM(D61:D75)</f>
        <v>13162.5</v>
      </c>
      <c r="E76" s="136">
        <f>SUMPRODUCT(E61:E70, C61:C70) / SUM(C61:C70)</f>
        <v>0.65</v>
      </c>
      <c r="F76" s="87">
        <f>SUMIF(F61:F70, "&lt;&gt;#DIV/0!")</f>
        <v>5703.75</v>
      </c>
      <c r="G76" s="137">
        <f>IFERROR(F76/H76, "0")</f>
        <v>55.919117647058826</v>
      </c>
      <c r="H76" s="88">
        <f>SUMIF(H61:H75, "&lt;&gt;#DIV/0!")</f>
        <v>102</v>
      </c>
      <c r="I76" s="88">
        <f>J76/D76</f>
        <v>4336.666666666667</v>
      </c>
      <c r="J76" s="138">
        <f>SUM(J61:J75)</f>
        <v>57081375</v>
      </c>
      <c r="K76" s="21" t="s">
        <v>90</v>
      </c>
      <c r="L76" s="139">
        <f>SUMIF(K61:K69, "&lt;&gt;#DIV/0!")</f>
        <v>51</v>
      </c>
      <c r="Q76" s="30"/>
    </row>
    <row r="77" spans="1:73" ht="27.75" thickBot="1" x14ac:dyDescent="0.25">
      <c r="B77" s="140" t="s">
        <v>91</v>
      </c>
      <c r="C77" s="141"/>
      <c r="F77" s="9"/>
      <c r="G77" s="9"/>
      <c r="H77" s="142" t="s">
        <v>92</v>
      </c>
      <c r="I77" s="9"/>
      <c r="J77" s="9"/>
      <c r="K77" s="143" t="s">
        <v>93</v>
      </c>
      <c r="L77" s="144">
        <f>SUM(K60,K74:K75)</f>
        <v>58.5</v>
      </c>
      <c r="Q77" s="30"/>
    </row>
    <row r="78" spans="1:73" ht="18.75" thickBot="1" x14ac:dyDescent="0.25">
      <c r="C78" s="9"/>
      <c r="D78" s="9"/>
      <c r="E78" s="47"/>
      <c r="F78" s="9"/>
      <c r="G78" s="9"/>
      <c r="H78" s="9"/>
      <c r="I78" s="9"/>
      <c r="J78" s="9"/>
      <c r="K78" s="145" t="s">
        <v>94</v>
      </c>
      <c r="L78" s="146">
        <f>L77-L76</f>
        <v>7.5</v>
      </c>
    </row>
    <row r="79" spans="1:73" x14ac:dyDescent="0.2">
      <c r="A79" s="9"/>
    </row>
    <row r="80" spans="1:73" x14ac:dyDescent="0.2">
      <c r="A80" s="9"/>
    </row>
    <row r="81" spans="1:24" x14ac:dyDescent="0.2">
      <c r="A81" s="9"/>
    </row>
    <row r="82" spans="1:24" x14ac:dyDescent="0.2">
      <c r="A82" s="9"/>
    </row>
    <row r="83" spans="1:24" ht="12" thickBot="1" x14ac:dyDescent="0.25">
      <c r="A83" s="9"/>
    </row>
    <row r="84" spans="1:24" ht="18" x14ac:dyDescent="0.2">
      <c r="A84" s="9"/>
      <c r="B84" s="22" t="s">
        <v>95</v>
      </c>
      <c r="C84" s="24"/>
      <c r="D84" s="23"/>
      <c r="E84" s="147" t="s">
        <v>96</v>
      </c>
      <c r="G84" s="9"/>
    </row>
    <row r="85" spans="1:24" ht="22.5" x14ac:dyDescent="0.2">
      <c r="A85" s="9"/>
      <c r="B85" s="25" t="s">
        <v>19</v>
      </c>
      <c r="C85" s="34" t="s">
        <v>20</v>
      </c>
      <c r="D85" s="26" t="s">
        <v>97</v>
      </c>
      <c r="E85" s="148" t="s">
        <v>25</v>
      </c>
      <c r="G85" s="9"/>
    </row>
    <row r="86" spans="1:24" ht="22.5" x14ac:dyDescent="0.2">
      <c r="B86" s="149" t="s">
        <v>98</v>
      </c>
      <c r="C86" s="11">
        <f>D86*C44</f>
        <v>210600</v>
      </c>
      <c r="D86" s="11">
        <v>120</v>
      </c>
      <c r="E86" s="150">
        <f t="shared" ref="E86:E101" si="5">C86/$C$102</f>
        <v>8.1981633895131367E-3</v>
      </c>
      <c r="G86" s="9"/>
    </row>
    <row r="87" spans="1:24" ht="22.5" x14ac:dyDescent="0.2">
      <c r="B87" s="151" t="s">
        <v>99</v>
      </c>
      <c r="C87" s="17">
        <f>(D74)*4.5*D87</f>
        <v>1421550</v>
      </c>
      <c r="D87" s="17">
        <v>90</v>
      </c>
      <c r="E87" s="150">
        <f t="shared" si="5"/>
        <v>5.5337602879213667E-2</v>
      </c>
      <c r="G87" s="9"/>
    </row>
    <row r="88" spans="1:24" ht="22.5" x14ac:dyDescent="0.2">
      <c r="B88" s="149" t="s">
        <v>100</v>
      </c>
      <c r="C88" s="11">
        <f>D88*C110</f>
        <v>970383.37500000012</v>
      </c>
      <c r="D88" s="152">
        <v>1.7000000000000001E-2</v>
      </c>
      <c r="E88" s="150">
        <f t="shared" si="5"/>
        <v>3.7774745767887925E-2</v>
      </c>
      <c r="G88" s="9"/>
      <c r="X88" s="9"/>
    </row>
    <row r="89" spans="1:24" ht="22.5" x14ac:dyDescent="0.2">
      <c r="B89" s="151" t="s">
        <v>101</v>
      </c>
      <c r="C89" s="17">
        <f>D89*H59</f>
        <v>61425</v>
      </c>
      <c r="D89" s="85">
        <v>7</v>
      </c>
      <c r="E89" s="150">
        <f t="shared" si="5"/>
        <v>2.391130988607998E-3</v>
      </c>
      <c r="G89" s="9"/>
    </row>
    <row r="90" spans="1:24" ht="22.5" x14ac:dyDescent="0.2">
      <c r="B90" s="149" t="s">
        <v>102</v>
      </c>
      <c r="C90" s="11">
        <f>D90*C110</f>
        <v>3424882.5</v>
      </c>
      <c r="D90" s="152">
        <v>0.06</v>
      </c>
      <c r="E90" s="150">
        <f t="shared" si="5"/>
        <v>0.13332263212195739</v>
      </c>
      <c r="G90" s="9"/>
    </row>
    <row r="91" spans="1:24" ht="22.5" x14ac:dyDescent="0.2">
      <c r="A91" s="9"/>
      <c r="B91" s="151" t="s">
        <v>103</v>
      </c>
      <c r="C91" s="17">
        <f>D91*D68</f>
        <v>13162500</v>
      </c>
      <c r="D91" s="85">
        <v>1500</v>
      </c>
      <c r="E91" s="150">
        <f t="shared" si="5"/>
        <v>0.51238521184457098</v>
      </c>
      <c r="G91" s="9"/>
      <c r="H91" s="30"/>
    </row>
    <row r="92" spans="1:24" ht="22.5" x14ac:dyDescent="0.2">
      <c r="A92" s="9"/>
      <c r="B92" s="153" t="s">
        <v>104</v>
      </c>
      <c r="C92" s="154">
        <f>D92*SUM(G61,G65,G66)</f>
        <v>0</v>
      </c>
      <c r="D92" s="155">
        <v>0</v>
      </c>
      <c r="E92" s="150">
        <f t="shared" si="5"/>
        <v>0</v>
      </c>
      <c r="G92" s="9"/>
    </row>
    <row r="93" spans="1:24" ht="22.5" x14ac:dyDescent="0.2">
      <c r="A93" s="9"/>
      <c r="B93" s="156" t="s">
        <v>105</v>
      </c>
      <c r="C93" s="17">
        <f>D93*SUM(H61:H67,H69:H70)+(D93*(H68/2))</f>
        <v>637500</v>
      </c>
      <c r="D93" s="85">
        <v>12500</v>
      </c>
      <c r="E93" s="150">
        <f t="shared" si="5"/>
        <v>2.4816377781645887E-2</v>
      </c>
      <c r="G93" s="9"/>
    </row>
    <row r="94" spans="1:24" ht="22.5" x14ac:dyDescent="0.2">
      <c r="A94" s="9"/>
      <c r="B94" s="157" t="s">
        <v>106</v>
      </c>
      <c r="C94" s="11">
        <f>D94*$H$76</f>
        <v>816000</v>
      </c>
      <c r="D94" s="12">
        <v>8000</v>
      </c>
      <c r="E94" s="150">
        <f t="shared" si="5"/>
        <v>3.1764963560506738E-2</v>
      </c>
      <c r="G94" s="47"/>
      <c r="H94" s="98"/>
    </row>
    <row r="95" spans="1:24" ht="22.5" x14ac:dyDescent="0.2">
      <c r="A95" s="9"/>
      <c r="B95" s="156" t="s">
        <v>107</v>
      </c>
      <c r="C95" s="17">
        <f>D95*$H$76</f>
        <v>102000</v>
      </c>
      <c r="D95" s="85">
        <v>1000</v>
      </c>
      <c r="E95" s="150">
        <f t="shared" si="5"/>
        <v>3.9706204450633423E-3</v>
      </c>
      <c r="G95" s="9"/>
      <c r="H95" s="98"/>
    </row>
    <row r="96" spans="1:24" ht="22.5" x14ac:dyDescent="0.2">
      <c r="A96" s="9"/>
      <c r="B96" s="149" t="s">
        <v>108</v>
      </c>
      <c r="C96" s="11">
        <f>D96*H76</f>
        <v>0</v>
      </c>
      <c r="D96" s="12">
        <v>0</v>
      </c>
      <c r="E96" s="150">
        <f t="shared" si="5"/>
        <v>0</v>
      </c>
      <c r="G96" s="9"/>
      <c r="H96" s="98"/>
    </row>
    <row r="97" spans="1:17" ht="22.5" x14ac:dyDescent="0.2">
      <c r="B97" s="151" t="s">
        <v>109</v>
      </c>
      <c r="C97" s="17">
        <f>D97*C110</f>
        <v>1427034.375</v>
      </c>
      <c r="D97" s="158">
        <v>2.5000000000000001E-2</v>
      </c>
      <c r="E97" s="150">
        <f t="shared" si="5"/>
        <v>5.5551096717482241E-2</v>
      </c>
      <c r="G97" s="9"/>
      <c r="H97" s="98"/>
    </row>
    <row r="98" spans="1:17" ht="22.5" x14ac:dyDescent="0.2">
      <c r="B98" s="149" t="s">
        <v>110</v>
      </c>
      <c r="C98" s="11">
        <f>D98*(J139+M157)</f>
        <v>0</v>
      </c>
      <c r="D98" s="152">
        <v>0.02</v>
      </c>
      <c r="E98" s="150">
        <f t="shared" si="5"/>
        <v>0</v>
      </c>
      <c r="G98" s="9"/>
      <c r="H98" s="98"/>
    </row>
    <row r="99" spans="1:17" ht="22.5" x14ac:dyDescent="0.2">
      <c r="B99" s="159" t="s">
        <v>111</v>
      </c>
      <c r="C99" s="154">
        <f>D99*(SUM(C185:C186))</f>
        <v>1742364</v>
      </c>
      <c r="D99" s="160">
        <v>0.08</v>
      </c>
      <c r="E99" s="150">
        <f>C99/$C$102</f>
        <v>6.7826138442572015E-2</v>
      </c>
      <c r="G99" s="46"/>
      <c r="H99" s="98"/>
    </row>
    <row r="100" spans="1:17" ht="22.5" x14ac:dyDescent="0.2">
      <c r="A100" s="9"/>
      <c r="B100" s="149" t="s">
        <v>112</v>
      </c>
      <c r="C100" s="11">
        <f>D100*Y139</f>
        <v>0</v>
      </c>
      <c r="D100" s="152">
        <v>0.03</v>
      </c>
      <c r="E100" s="150">
        <f t="shared" si="5"/>
        <v>0</v>
      </c>
      <c r="G100" s="9"/>
      <c r="H100" s="98"/>
    </row>
    <row r="101" spans="1:17" ht="23.25" thickBot="1" x14ac:dyDescent="0.25">
      <c r="A101" s="9"/>
      <c r="B101" s="151" t="s">
        <v>113</v>
      </c>
      <c r="C101" s="17">
        <f>D101*C110</f>
        <v>1712441.25</v>
      </c>
      <c r="D101" s="158">
        <v>0.03</v>
      </c>
      <c r="E101" s="161">
        <f t="shared" si="5"/>
        <v>6.6661316060978693E-2</v>
      </c>
      <c r="G101" s="9"/>
      <c r="H101" s="98"/>
    </row>
    <row r="102" spans="1:17" ht="22.5" x14ac:dyDescent="0.2">
      <c r="A102" s="9"/>
      <c r="B102" s="149" t="s">
        <v>114</v>
      </c>
      <c r="C102" s="79">
        <f>SUMIF(C86:C101, "&lt;&gt;#DIV/0!")</f>
        <v>25688680.5</v>
      </c>
      <c r="D102" s="162"/>
      <c r="H102" s="98"/>
    </row>
    <row r="103" spans="1:17" ht="12" thickBot="1" x14ac:dyDescent="0.25">
      <c r="A103" s="9"/>
      <c r="B103" s="27" t="s">
        <v>115</v>
      </c>
      <c r="C103" s="28"/>
      <c r="D103" s="29"/>
      <c r="H103" s="98"/>
    </row>
    <row r="104" spans="1:17" ht="22.5" x14ac:dyDescent="0.2">
      <c r="A104" s="9"/>
      <c r="B104" s="163" t="s">
        <v>116</v>
      </c>
      <c r="C104" s="11">
        <f>D104*C110</f>
        <v>6849765</v>
      </c>
      <c r="D104" s="164">
        <v>0.12</v>
      </c>
      <c r="E104" s="165">
        <v>0.1</v>
      </c>
      <c r="H104" s="99"/>
    </row>
    <row r="105" spans="1:17" ht="23.25" thickBot="1" x14ac:dyDescent="0.25">
      <c r="A105" s="9"/>
      <c r="B105" s="166" t="s">
        <v>117</v>
      </c>
      <c r="C105" s="17">
        <f>E105*(C109+C110+C111)</f>
        <v>11300690.123974277</v>
      </c>
      <c r="D105" s="167">
        <v>2.0500000000000001E-2</v>
      </c>
      <c r="E105" s="168">
        <f>D105*D122</f>
        <v>8.3235616438356183E-2</v>
      </c>
      <c r="H105" s="99"/>
    </row>
    <row r="106" spans="1:17" ht="22.5" x14ac:dyDescent="0.2">
      <c r="A106" s="9"/>
      <c r="B106" s="149" t="s">
        <v>118</v>
      </c>
      <c r="C106" s="79">
        <f>-E215</f>
        <v>1360000</v>
      </c>
      <c r="D106" s="162"/>
      <c r="E106" s="9"/>
      <c r="H106" s="99"/>
    </row>
    <row r="107" spans="1:17" ht="22.5" x14ac:dyDescent="0.2">
      <c r="A107" s="9"/>
      <c r="B107" s="151" t="s">
        <v>119</v>
      </c>
      <c r="C107" s="169">
        <f>SUM(C104:C106)</f>
        <v>19510455.123974279</v>
      </c>
      <c r="D107" s="170"/>
      <c r="E107" s="171"/>
      <c r="G107" s="171"/>
      <c r="H107" s="172"/>
      <c r="I107" s="9"/>
      <c r="K107" s="9"/>
      <c r="L107" s="9"/>
      <c r="M107" s="9"/>
      <c r="N107" s="9"/>
      <c r="O107" s="9"/>
      <c r="P107" s="9"/>
      <c r="Q107" s="9"/>
    </row>
    <row r="108" spans="1:17" x14ac:dyDescent="0.2">
      <c r="A108" s="9"/>
      <c r="B108" s="27" t="s">
        <v>120</v>
      </c>
      <c r="C108" s="28"/>
      <c r="D108" s="29"/>
      <c r="E108" s="171"/>
      <c r="G108" s="171"/>
      <c r="H108" s="99"/>
      <c r="I108" s="9"/>
      <c r="Q108" s="9"/>
    </row>
    <row r="109" spans="1:17" ht="22.5" x14ac:dyDescent="0.2">
      <c r="A109" s="9"/>
      <c r="B109" s="149" t="s">
        <v>121</v>
      </c>
      <c r="C109" s="79">
        <f>I49</f>
        <v>52997427.309999995</v>
      </c>
      <c r="D109" s="162"/>
      <c r="E109" s="173"/>
      <c r="G109" s="174"/>
      <c r="H109" s="99"/>
      <c r="Q109" s="9"/>
    </row>
    <row r="110" spans="1:17" ht="22.5" x14ac:dyDescent="0.2">
      <c r="A110" s="9"/>
      <c r="B110" s="151" t="s">
        <v>122</v>
      </c>
      <c r="C110" s="83">
        <f>J76</f>
        <v>57081375</v>
      </c>
      <c r="D110" s="175"/>
      <c r="E110" s="9"/>
    </row>
    <row r="111" spans="1:17" ht="22.5" x14ac:dyDescent="0.2">
      <c r="A111" s="9"/>
      <c r="B111" s="149" t="s">
        <v>123</v>
      </c>
      <c r="C111" s="79">
        <f>C102</f>
        <v>25688680.5</v>
      </c>
      <c r="D111" s="162"/>
      <c r="E111" s="9"/>
    </row>
    <row r="112" spans="1:17" ht="22.5" x14ac:dyDescent="0.2">
      <c r="A112" s="9"/>
      <c r="B112" s="151" t="s">
        <v>124</v>
      </c>
      <c r="C112" s="83">
        <f>C110+C111</f>
        <v>82770055.5</v>
      </c>
      <c r="D112" s="175"/>
      <c r="E112" s="9"/>
    </row>
    <row r="113" spans="1:29" ht="22.5" x14ac:dyDescent="0.2">
      <c r="A113" s="9"/>
      <c r="B113" s="149" t="s">
        <v>125</v>
      </c>
      <c r="C113" s="79">
        <f>C107</f>
        <v>19510455.123974279</v>
      </c>
      <c r="D113" s="162"/>
      <c r="E113" s="9"/>
    </row>
    <row r="114" spans="1:29" ht="22.5" x14ac:dyDescent="0.2">
      <c r="A114" s="9"/>
      <c r="B114" s="151" t="s">
        <v>41</v>
      </c>
      <c r="C114" s="83">
        <f>-E213</f>
        <v>5989376.25</v>
      </c>
      <c r="D114" s="175"/>
      <c r="E114" s="9"/>
    </row>
    <row r="115" spans="1:29" ht="22.5" x14ac:dyDescent="0.2">
      <c r="A115" s="9"/>
      <c r="B115" s="149" t="s">
        <v>126</v>
      </c>
      <c r="C115" s="176">
        <f>SUM(C109:D111,C113,C119,C114)</f>
        <v>172639109.79788631</v>
      </c>
      <c r="D115" s="177"/>
      <c r="E115" s="9"/>
      <c r="F115" s="178"/>
      <c r="I115" s="9"/>
      <c r="K115" s="30"/>
    </row>
    <row r="116" spans="1:29" ht="22.5" x14ac:dyDescent="0.2">
      <c r="A116" s="9"/>
      <c r="B116" s="151" t="s">
        <v>127</v>
      </c>
      <c r="C116" s="83">
        <f>H24</f>
        <v>89563152.5</v>
      </c>
      <c r="D116" s="175"/>
      <c r="E116" s="9"/>
      <c r="G116" s="30"/>
      <c r="K116" s="30"/>
    </row>
    <row r="117" spans="1:29" x14ac:dyDescent="0.2">
      <c r="A117" s="9"/>
      <c r="B117" s="179" t="s">
        <v>128</v>
      </c>
      <c r="C117" s="100"/>
      <c r="D117" s="180"/>
      <c r="E117" s="9"/>
      <c r="G117" s="30"/>
      <c r="K117" s="30"/>
    </row>
    <row r="118" spans="1:29" ht="23.25" thickBot="1" x14ac:dyDescent="0.25">
      <c r="A118" s="9"/>
      <c r="B118" s="149" t="s">
        <v>129</v>
      </c>
      <c r="C118" s="79">
        <f>E189</f>
        <v>72320719.640852392</v>
      </c>
      <c r="D118" s="162"/>
      <c r="E118" s="9"/>
      <c r="G118" s="30"/>
      <c r="H118" s="30"/>
      <c r="K118" s="30"/>
    </row>
    <row r="119" spans="1:29" ht="23.25" thickBot="1" x14ac:dyDescent="0.25">
      <c r="A119" s="9"/>
      <c r="B119" s="151" t="s">
        <v>35</v>
      </c>
      <c r="C119" s="181">
        <f>-SUM(E192:E193)</f>
        <v>11371795.613912037</v>
      </c>
      <c r="D119" s="182"/>
      <c r="E119" s="183">
        <f>(S177-G177)/365</f>
        <v>3.0027397260273974</v>
      </c>
      <c r="G119" s="184"/>
      <c r="K119" s="30"/>
    </row>
    <row r="120" spans="1:29" ht="12" thickBot="1" x14ac:dyDescent="0.25">
      <c r="A120" s="9"/>
      <c r="B120" s="27" t="s">
        <v>130</v>
      </c>
      <c r="C120" s="28"/>
      <c r="D120" s="29"/>
      <c r="E120" s="9"/>
      <c r="K120" s="30"/>
    </row>
    <row r="121" spans="1:29" x14ac:dyDescent="0.2">
      <c r="A121" s="9"/>
      <c r="B121" s="53" t="s">
        <v>131</v>
      </c>
      <c r="C121" s="42" t="s">
        <v>132</v>
      </c>
      <c r="D121" s="73" t="s">
        <v>133</v>
      </c>
      <c r="E121" s="185" t="s">
        <v>134</v>
      </c>
      <c r="H121" s="186"/>
      <c r="K121" s="30"/>
    </row>
    <row r="122" spans="1:29" ht="12" thickBot="1" x14ac:dyDescent="0.25">
      <c r="A122" s="9"/>
      <c r="B122" s="187"/>
      <c r="C122" s="188">
        <f>((V177-F177)/365)*12</f>
        <v>48.723287671232882</v>
      </c>
      <c r="D122" s="189">
        <f>C122/12</f>
        <v>4.0602739726027401</v>
      </c>
      <c r="E122" s="190">
        <f>C122/3</f>
        <v>16.241095890410961</v>
      </c>
      <c r="I122" s="30"/>
      <c r="K122" s="9"/>
    </row>
    <row r="123" spans="1:29" x14ac:dyDescent="0.2">
      <c r="A123" s="9"/>
      <c r="K123" s="9"/>
    </row>
    <row r="124" spans="1:29" x14ac:dyDescent="0.2">
      <c r="A124" s="9"/>
      <c r="K124" s="9"/>
    </row>
    <row r="125" spans="1:29" x14ac:dyDescent="0.2">
      <c r="A125" s="9"/>
      <c r="K125" s="9"/>
    </row>
    <row r="126" spans="1:29" ht="12" thickBot="1" x14ac:dyDescent="0.25">
      <c r="A126" s="9"/>
      <c r="G126" s="30"/>
      <c r="K126" s="9"/>
    </row>
    <row r="127" spans="1:29" ht="12.75" x14ac:dyDescent="0.2">
      <c r="A127" s="9"/>
      <c r="B127" s="22" t="s">
        <v>135</v>
      </c>
      <c r="C127" s="24"/>
      <c r="D127" s="24"/>
      <c r="E127" s="24"/>
      <c r="F127" s="24"/>
      <c r="G127" s="24"/>
      <c r="H127" s="24"/>
      <c r="I127" s="24"/>
      <c r="J127" s="23"/>
      <c r="L127" s="191" t="s">
        <v>136</v>
      </c>
      <c r="M127" s="192"/>
      <c r="N127" s="192"/>
      <c r="O127" s="193"/>
      <c r="Q127" s="22" t="s">
        <v>137</v>
      </c>
      <c r="R127" s="24"/>
      <c r="S127" s="24"/>
      <c r="T127" s="24"/>
      <c r="U127" s="24"/>
      <c r="V127" s="194"/>
      <c r="W127" s="24"/>
      <c r="X127" s="24"/>
      <c r="Y127" s="24"/>
      <c r="Z127" s="24"/>
      <c r="AA127" s="24"/>
      <c r="AB127" s="24"/>
      <c r="AC127" s="23"/>
    </row>
    <row r="128" spans="1:29" ht="24.75" x14ac:dyDescent="0.2">
      <c r="A128" s="9"/>
      <c r="B128" s="195" t="s">
        <v>3</v>
      </c>
      <c r="C128" s="196" t="s">
        <v>138</v>
      </c>
      <c r="D128" s="196" t="s">
        <v>139</v>
      </c>
      <c r="E128" s="197" t="str">
        <f>F60</f>
        <v>المساحات الصافية القابلة للبيع
(NSA)</v>
      </c>
      <c r="F128" s="197" t="str">
        <f>G60</f>
        <v>مساحة الوحدة
(Unit Area)</v>
      </c>
      <c r="G128" s="197" t="s">
        <v>140</v>
      </c>
      <c r="H128" s="197" t="s">
        <v>141</v>
      </c>
      <c r="I128" s="197" t="s">
        <v>142</v>
      </c>
      <c r="J128" s="198" t="s">
        <v>143</v>
      </c>
      <c r="L128" s="199" t="s">
        <v>3</v>
      </c>
      <c r="M128" s="200" t="s">
        <v>25</v>
      </c>
      <c r="N128" s="200" t="s">
        <v>144</v>
      </c>
      <c r="O128" s="201" t="s">
        <v>119</v>
      </c>
      <c r="Q128" s="195" t="s">
        <v>3</v>
      </c>
      <c r="R128" s="197" t="s">
        <v>138</v>
      </c>
      <c r="S128" s="196" t="s">
        <v>139</v>
      </c>
      <c r="T128" s="197" t="s">
        <v>81</v>
      </c>
      <c r="U128" s="197" t="s">
        <v>82</v>
      </c>
      <c r="V128" s="197" t="s">
        <v>140</v>
      </c>
      <c r="W128" s="197" t="s">
        <v>141</v>
      </c>
      <c r="X128" s="197" t="s">
        <v>142</v>
      </c>
      <c r="Y128" s="197" t="s">
        <v>143</v>
      </c>
      <c r="Z128" s="202" t="s">
        <v>145</v>
      </c>
      <c r="AA128" s="203" t="s">
        <v>146</v>
      </c>
      <c r="AB128" s="202" t="s">
        <v>147</v>
      </c>
      <c r="AC128" s="204" t="s">
        <v>148</v>
      </c>
    </row>
    <row r="129" spans="1:30" ht="22.5" x14ac:dyDescent="0.2">
      <c r="A129" s="9"/>
      <c r="B129" s="10" t="s">
        <v>6</v>
      </c>
      <c r="C129" s="11">
        <f>H61-R129</f>
        <v>0</v>
      </c>
      <c r="D129" s="205">
        <f>100%-S129</f>
        <v>1</v>
      </c>
      <c r="E129" s="77">
        <f t="shared" ref="E129:E138" si="6">E61*D129*D61</f>
        <v>0</v>
      </c>
      <c r="F129" s="77" t="str">
        <f>IFERROR(E129/C129, "0")</f>
        <v>0</v>
      </c>
      <c r="G129" s="109">
        <f t="shared" ref="G129:G138" si="7">IFERROR(MAX((H129/AV3)-1, 0), 0)</f>
        <v>0</v>
      </c>
      <c r="H129" s="78"/>
      <c r="I129" s="11">
        <f>H129*F129</f>
        <v>0</v>
      </c>
      <c r="J129" s="206">
        <f>I129*C129</f>
        <v>0</v>
      </c>
      <c r="L129" s="10" t="s">
        <v>6</v>
      </c>
      <c r="M129" s="109">
        <v>0.08</v>
      </c>
      <c r="N129" s="11">
        <f t="shared" ref="N129:N138" si="8">SUM(F147+V147)/M129</f>
        <v>0</v>
      </c>
      <c r="O129" s="12">
        <f t="shared" ref="O129:O138" si="9">(M147+AC147)/M129</f>
        <v>0</v>
      </c>
      <c r="Q129" s="10" t="s">
        <v>6</v>
      </c>
      <c r="R129" s="154"/>
      <c r="S129" s="207" t="str">
        <f>IFERROR(R129/H61, "0.00%")</f>
        <v>0.00%</v>
      </c>
      <c r="T129" s="77">
        <f t="shared" ref="T129:T138" si="10">E61*S129*D61</f>
        <v>0</v>
      </c>
      <c r="U129" s="77" t="str">
        <f t="shared" ref="U129:U138" si="11">IFERROR(T129/R129, "0")</f>
        <v>0</v>
      </c>
      <c r="V129" s="109">
        <f t="shared" ref="V129:V138" si="12">IFERROR(MAX(((AC129/T129)/AV21)-1, 0), 0)</f>
        <v>0</v>
      </c>
      <c r="W129" s="78"/>
      <c r="X129" s="11">
        <f t="shared" ref="X129:X138" si="13">W129*U129</f>
        <v>0</v>
      </c>
      <c r="Y129" s="11">
        <f t="shared" ref="Y129:Y138" si="14">(X129*R129)</f>
        <v>0</v>
      </c>
      <c r="Z129" s="208">
        <f t="shared" ref="Z129:Z138" si="15">Y129*$D$308</f>
        <v>0</v>
      </c>
      <c r="AA129" s="208">
        <f t="shared" ref="AA129:AA138" si="16">(Y129*$D$309)+(Y129*$D$310)</f>
        <v>0</v>
      </c>
      <c r="AB129" s="208">
        <f t="shared" ref="AB129:AB138" si="17">Y129*$D$311</f>
        <v>0</v>
      </c>
      <c r="AC129" s="206">
        <f>SUM(Y129)-SUM(Z129:AA129)</f>
        <v>0</v>
      </c>
    </row>
    <row r="130" spans="1:30" ht="22.5" x14ac:dyDescent="0.2">
      <c r="A130" s="9"/>
      <c r="B130" s="16" t="s">
        <v>7</v>
      </c>
      <c r="C130" s="17">
        <f t="shared" ref="C130:C138" si="18">H62-R130</f>
        <v>0</v>
      </c>
      <c r="D130" s="209">
        <f>100%-S130</f>
        <v>1</v>
      </c>
      <c r="E130" s="81">
        <f t="shared" si="6"/>
        <v>0</v>
      </c>
      <c r="F130" s="81" t="str">
        <f t="shared" ref="F130:F138" si="19">IFERROR(E130/C130, "0")</f>
        <v>0</v>
      </c>
      <c r="G130" s="111">
        <f t="shared" si="7"/>
        <v>0</v>
      </c>
      <c r="H130" s="82"/>
      <c r="I130" s="17">
        <f t="shared" ref="I130:I138" si="20">H130*F130</f>
        <v>0</v>
      </c>
      <c r="J130" s="48">
        <f t="shared" ref="J130:J138" si="21">I130*C130</f>
        <v>0</v>
      </c>
      <c r="L130" s="16" t="s">
        <v>7</v>
      </c>
      <c r="M130" s="111">
        <v>0.08</v>
      </c>
      <c r="N130" s="17">
        <f t="shared" si="8"/>
        <v>0</v>
      </c>
      <c r="O130" s="85">
        <f t="shared" si="9"/>
        <v>0</v>
      </c>
      <c r="Q130" s="16" t="s">
        <v>7</v>
      </c>
      <c r="R130" s="154"/>
      <c r="S130" s="209" t="str">
        <f t="shared" ref="S130:S138" si="22">IFERROR(R130/H62, "0.00%")</f>
        <v>0.00%</v>
      </c>
      <c r="T130" s="81">
        <f t="shared" si="10"/>
        <v>0</v>
      </c>
      <c r="U130" s="81" t="str">
        <f t="shared" si="11"/>
        <v>0</v>
      </c>
      <c r="V130" s="111">
        <f t="shared" si="12"/>
        <v>0</v>
      </c>
      <c r="W130" s="82"/>
      <c r="X130" s="17">
        <f t="shared" si="13"/>
        <v>0</v>
      </c>
      <c r="Y130" s="17">
        <f t="shared" si="14"/>
        <v>0</v>
      </c>
      <c r="Z130" s="210">
        <f t="shared" si="15"/>
        <v>0</v>
      </c>
      <c r="AA130" s="210">
        <f t="shared" si="16"/>
        <v>0</v>
      </c>
      <c r="AB130" s="210">
        <f t="shared" si="17"/>
        <v>0</v>
      </c>
      <c r="AC130" s="48">
        <f t="shared" ref="AC130:AC137" si="23">SUM(Y130)-SUM(Z130:AA130)</f>
        <v>0</v>
      </c>
    </row>
    <row r="131" spans="1:30" ht="22.5" x14ac:dyDescent="0.2">
      <c r="A131" s="9"/>
      <c r="B131" s="10" t="s">
        <v>9</v>
      </c>
      <c r="C131" s="11">
        <f t="shared" si="18"/>
        <v>0</v>
      </c>
      <c r="D131" s="207">
        <f t="shared" ref="D131:D138" si="24">100%-S131</f>
        <v>1</v>
      </c>
      <c r="E131" s="77">
        <f t="shared" si="6"/>
        <v>0</v>
      </c>
      <c r="F131" s="77" t="str">
        <f t="shared" si="19"/>
        <v>0</v>
      </c>
      <c r="G131" s="211">
        <f t="shared" si="7"/>
        <v>0</v>
      </c>
      <c r="H131" s="78"/>
      <c r="I131" s="11">
        <f t="shared" si="20"/>
        <v>0</v>
      </c>
      <c r="J131" s="206">
        <f t="shared" si="21"/>
        <v>0</v>
      </c>
      <c r="L131" s="10" t="s">
        <v>9</v>
      </c>
      <c r="M131" s="211">
        <v>0.08</v>
      </c>
      <c r="N131" s="11">
        <f t="shared" si="8"/>
        <v>0</v>
      </c>
      <c r="O131" s="12">
        <f t="shared" si="9"/>
        <v>0</v>
      </c>
      <c r="Q131" s="10" t="s">
        <v>9</v>
      </c>
      <c r="R131" s="154"/>
      <c r="S131" s="207" t="str">
        <f t="shared" si="22"/>
        <v>0.00%</v>
      </c>
      <c r="T131" s="77">
        <f t="shared" si="10"/>
        <v>0</v>
      </c>
      <c r="U131" s="77" t="str">
        <f t="shared" si="11"/>
        <v>0</v>
      </c>
      <c r="V131" s="211">
        <f t="shared" si="12"/>
        <v>0</v>
      </c>
      <c r="W131" s="78"/>
      <c r="X131" s="11">
        <f t="shared" si="13"/>
        <v>0</v>
      </c>
      <c r="Y131" s="11">
        <f t="shared" si="14"/>
        <v>0</v>
      </c>
      <c r="Z131" s="208">
        <f t="shared" si="15"/>
        <v>0</v>
      </c>
      <c r="AA131" s="208">
        <f t="shared" si="16"/>
        <v>0</v>
      </c>
      <c r="AB131" s="208">
        <f t="shared" si="17"/>
        <v>0</v>
      </c>
      <c r="AC131" s="206">
        <f t="shared" si="23"/>
        <v>0</v>
      </c>
    </row>
    <row r="132" spans="1:30" ht="22.5" x14ac:dyDescent="0.2">
      <c r="A132" s="9"/>
      <c r="B132" s="16" t="s">
        <v>10</v>
      </c>
      <c r="C132" s="17">
        <f t="shared" si="18"/>
        <v>0</v>
      </c>
      <c r="D132" s="209">
        <f t="shared" si="24"/>
        <v>1</v>
      </c>
      <c r="E132" s="81">
        <f t="shared" si="6"/>
        <v>0</v>
      </c>
      <c r="F132" s="81" t="str">
        <f t="shared" si="19"/>
        <v>0</v>
      </c>
      <c r="G132" s="111">
        <f t="shared" si="7"/>
        <v>0</v>
      </c>
      <c r="H132" s="82"/>
      <c r="I132" s="17">
        <f t="shared" si="20"/>
        <v>0</v>
      </c>
      <c r="J132" s="48">
        <f t="shared" si="21"/>
        <v>0</v>
      </c>
      <c r="L132" s="16" t="s">
        <v>10</v>
      </c>
      <c r="M132" s="111">
        <v>0.08</v>
      </c>
      <c r="N132" s="17">
        <f t="shared" si="8"/>
        <v>0</v>
      </c>
      <c r="O132" s="85">
        <f t="shared" si="9"/>
        <v>0</v>
      </c>
      <c r="Q132" s="16" t="s">
        <v>10</v>
      </c>
      <c r="R132" s="154"/>
      <c r="S132" s="209" t="str">
        <f t="shared" si="22"/>
        <v>0.00%</v>
      </c>
      <c r="T132" s="81">
        <f t="shared" si="10"/>
        <v>0</v>
      </c>
      <c r="U132" s="81" t="str">
        <f t="shared" si="11"/>
        <v>0</v>
      </c>
      <c r="V132" s="111">
        <f t="shared" si="12"/>
        <v>0</v>
      </c>
      <c r="W132" s="82"/>
      <c r="X132" s="17">
        <f t="shared" si="13"/>
        <v>0</v>
      </c>
      <c r="Y132" s="17">
        <f t="shared" si="14"/>
        <v>0</v>
      </c>
      <c r="Z132" s="210">
        <f t="shared" si="15"/>
        <v>0</v>
      </c>
      <c r="AA132" s="210">
        <f t="shared" si="16"/>
        <v>0</v>
      </c>
      <c r="AB132" s="210">
        <f t="shared" si="17"/>
        <v>0</v>
      </c>
      <c r="AC132" s="48">
        <f t="shared" si="23"/>
        <v>0</v>
      </c>
    </row>
    <row r="133" spans="1:30" ht="22.5" x14ac:dyDescent="0.2">
      <c r="A133" s="9"/>
      <c r="B133" s="10" t="s">
        <v>11</v>
      </c>
      <c r="C133" s="11">
        <f t="shared" si="18"/>
        <v>0</v>
      </c>
      <c r="D133" s="207">
        <f t="shared" si="24"/>
        <v>1</v>
      </c>
      <c r="E133" s="77">
        <f t="shared" si="6"/>
        <v>0</v>
      </c>
      <c r="F133" s="77" t="str">
        <f t="shared" si="19"/>
        <v>0</v>
      </c>
      <c r="G133" s="211">
        <f t="shared" si="7"/>
        <v>0</v>
      </c>
      <c r="H133" s="78"/>
      <c r="I133" s="11">
        <f t="shared" si="20"/>
        <v>0</v>
      </c>
      <c r="J133" s="206">
        <f t="shared" si="21"/>
        <v>0</v>
      </c>
      <c r="L133" s="10" t="s">
        <v>11</v>
      </c>
      <c r="M133" s="211">
        <v>7.0000000000000007E-2</v>
      </c>
      <c r="N133" s="11">
        <f t="shared" si="8"/>
        <v>0</v>
      </c>
      <c r="O133" s="12">
        <f t="shared" si="9"/>
        <v>0</v>
      </c>
      <c r="Q133" s="10" t="s">
        <v>11</v>
      </c>
      <c r="R133" s="154"/>
      <c r="S133" s="207" t="str">
        <f t="shared" si="22"/>
        <v>0.00%</v>
      </c>
      <c r="T133" s="77">
        <f t="shared" si="10"/>
        <v>0</v>
      </c>
      <c r="U133" s="77" t="str">
        <f t="shared" si="11"/>
        <v>0</v>
      </c>
      <c r="V133" s="211">
        <f t="shared" si="12"/>
        <v>0</v>
      </c>
      <c r="W133" s="78"/>
      <c r="X133" s="11">
        <f t="shared" si="13"/>
        <v>0</v>
      </c>
      <c r="Y133" s="11">
        <f t="shared" si="14"/>
        <v>0</v>
      </c>
      <c r="Z133" s="208">
        <f t="shared" si="15"/>
        <v>0</v>
      </c>
      <c r="AA133" s="208">
        <f t="shared" si="16"/>
        <v>0</v>
      </c>
      <c r="AB133" s="208">
        <f t="shared" si="17"/>
        <v>0</v>
      </c>
      <c r="AC133" s="206">
        <f t="shared" si="23"/>
        <v>0</v>
      </c>
    </row>
    <row r="134" spans="1:30" ht="22.5" x14ac:dyDescent="0.2">
      <c r="A134" s="9"/>
      <c r="B134" s="16" t="s">
        <v>12</v>
      </c>
      <c r="C134" s="17">
        <f t="shared" si="18"/>
        <v>0</v>
      </c>
      <c r="D134" s="209">
        <f t="shared" si="24"/>
        <v>1</v>
      </c>
      <c r="E134" s="81">
        <f t="shared" si="6"/>
        <v>0</v>
      </c>
      <c r="F134" s="81" t="str">
        <f>IFERROR(E134/C134, "0")</f>
        <v>0</v>
      </c>
      <c r="G134" s="111">
        <f t="shared" si="7"/>
        <v>0</v>
      </c>
      <c r="H134" s="82"/>
      <c r="I134" s="17">
        <f>H134*F134</f>
        <v>0</v>
      </c>
      <c r="J134" s="48">
        <f t="shared" si="21"/>
        <v>0</v>
      </c>
      <c r="L134" s="16" t="s">
        <v>12</v>
      </c>
      <c r="M134" s="111">
        <v>0.08</v>
      </c>
      <c r="N134" s="17">
        <f>SUM(F152+V152)/M134</f>
        <v>0</v>
      </c>
      <c r="O134" s="85">
        <f t="shared" si="9"/>
        <v>0</v>
      </c>
      <c r="Q134" s="16" t="s">
        <v>12</v>
      </c>
      <c r="R134" s="154"/>
      <c r="S134" s="209" t="str">
        <f t="shared" si="22"/>
        <v>0.00%</v>
      </c>
      <c r="T134" s="81">
        <f t="shared" si="10"/>
        <v>0</v>
      </c>
      <c r="U134" s="81" t="str">
        <f t="shared" si="11"/>
        <v>0</v>
      </c>
      <c r="V134" s="111">
        <f t="shared" si="12"/>
        <v>0</v>
      </c>
      <c r="W134" s="82"/>
      <c r="X134" s="17">
        <f t="shared" si="13"/>
        <v>0</v>
      </c>
      <c r="Y134" s="17">
        <f t="shared" si="14"/>
        <v>0</v>
      </c>
      <c r="Z134" s="210">
        <f t="shared" si="15"/>
        <v>0</v>
      </c>
      <c r="AA134" s="210">
        <f t="shared" si="16"/>
        <v>0</v>
      </c>
      <c r="AB134" s="210">
        <f t="shared" si="17"/>
        <v>0</v>
      </c>
      <c r="AC134" s="48">
        <f t="shared" si="23"/>
        <v>0</v>
      </c>
    </row>
    <row r="135" spans="1:30" ht="22.5" x14ac:dyDescent="0.2">
      <c r="A135" s="9"/>
      <c r="B135" s="10" t="s">
        <v>13</v>
      </c>
      <c r="C135" s="11">
        <f t="shared" si="18"/>
        <v>0</v>
      </c>
      <c r="D135" s="207">
        <f t="shared" si="24"/>
        <v>1</v>
      </c>
      <c r="E135" s="77">
        <f t="shared" si="6"/>
        <v>0</v>
      </c>
      <c r="F135" s="77" t="str">
        <f t="shared" si="19"/>
        <v>0</v>
      </c>
      <c r="G135" s="211">
        <f t="shared" si="7"/>
        <v>0</v>
      </c>
      <c r="H135" s="78"/>
      <c r="I135" s="11">
        <f t="shared" si="20"/>
        <v>0</v>
      </c>
      <c r="J135" s="206">
        <f t="shared" si="21"/>
        <v>0</v>
      </c>
      <c r="L135" s="10" t="s">
        <v>13</v>
      </c>
      <c r="M135" s="211">
        <v>0.08</v>
      </c>
      <c r="N135" s="11">
        <f t="shared" si="8"/>
        <v>0</v>
      </c>
      <c r="O135" s="12">
        <f t="shared" si="9"/>
        <v>0</v>
      </c>
      <c r="Q135" s="10" t="s">
        <v>13</v>
      </c>
      <c r="R135" s="154"/>
      <c r="S135" s="207" t="str">
        <f t="shared" si="22"/>
        <v>0.00%</v>
      </c>
      <c r="T135" s="77">
        <f t="shared" si="10"/>
        <v>0</v>
      </c>
      <c r="U135" s="77" t="str">
        <f t="shared" si="11"/>
        <v>0</v>
      </c>
      <c r="V135" s="211">
        <f t="shared" si="12"/>
        <v>0</v>
      </c>
      <c r="W135" s="78"/>
      <c r="X135" s="11">
        <f t="shared" si="13"/>
        <v>0</v>
      </c>
      <c r="Y135" s="11">
        <f t="shared" si="14"/>
        <v>0</v>
      </c>
      <c r="Z135" s="208">
        <f t="shared" si="15"/>
        <v>0</v>
      </c>
      <c r="AA135" s="208">
        <f t="shared" si="16"/>
        <v>0</v>
      </c>
      <c r="AB135" s="208">
        <f t="shared" si="17"/>
        <v>0</v>
      </c>
      <c r="AC135" s="206">
        <f t="shared" si="23"/>
        <v>0</v>
      </c>
    </row>
    <row r="136" spans="1:30" ht="22.5" x14ac:dyDescent="0.2">
      <c r="A136" s="9"/>
      <c r="B136" s="16" t="s">
        <v>14</v>
      </c>
      <c r="C136" s="17">
        <f t="shared" si="18"/>
        <v>102</v>
      </c>
      <c r="D136" s="209">
        <f t="shared" si="24"/>
        <v>1</v>
      </c>
      <c r="E136" s="81">
        <f t="shared" si="6"/>
        <v>5703.75</v>
      </c>
      <c r="F136" s="81">
        <f>IFERROR(E136/C136, "0")</f>
        <v>55.919117647058826</v>
      </c>
      <c r="G136" s="111">
        <f t="shared" si="7"/>
        <v>0</v>
      </c>
      <c r="H136" s="82"/>
      <c r="I136" s="17">
        <f t="shared" si="20"/>
        <v>0</v>
      </c>
      <c r="J136" s="48">
        <f t="shared" si="21"/>
        <v>0</v>
      </c>
      <c r="L136" s="16" t="s">
        <v>14</v>
      </c>
      <c r="M136" s="111">
        <v>7.0000000000000007E-2</v>
      </c>
      <c r="N136" s="17">
        <f t="shared" si="8"/>
        <v>2541964.2857142854</v>
      </c>
      <c r="O136" s="85">
        <f t="shared" si="9"/>
        <v>225573910.7142857</v>
      </c>
      <c r="Q136" s="16" t="s">
        <v>14</v>
      </c>
      <c r="R136" s="154"/>
      <c r="S136" s="209">
        <f t="shared" si="22"/>
        <v>0</v>
      </c>
      <c r="T136" s="81">
        <f t="shared" si="10"/>
        <v>0</v>
      </c>
      <c r="U136" s="81" t="str">
        <f t="shared" si="11"/>
        <v>0</v>
      </c>
      <c r="V136" s="111">
        <f t="shared" si="12"/>
        <v>0</v>
      </c>
      <c r="W136" s="82"/>
      <c r="X136" s="17">
        <f t="shared" si="13"/>
        <v>0</v>
      </c>
      <c r="Y136" s="17">
        <f t="shared" si="14"/>
        <v>0</v>
      </c>
      <c r="Z136" s="210">
        <f t="shared" si="15"/>
        <v>0</v>
      </c>
      <c r="AA136" s="210">
        <f t="shared" si="16"/>
        <v>0</v>
      </c>
      <c r="AB136" s="210">
        <f t="shared" si="17"/>
        <v>0</v>
      </c>
      <c r="AC136" s="48">
        <f t="shared" si="23"/>
        <v>0</v>
      </c>
    </row>
    <row r="137" spans="1:30" ht="22.5" x14ac:dyDescent="0.2">
      <c r="A137" s="9"/>
      <c r="B137" s="10" t="s">
        <v>15</v>
      </c>
      <c r="C137" s="11">
        <f t="shared" si="18"/>
        <v>0</v>
      </c>
      <c r="D137" s="207">
        <f t="shared" si="24"/>
        <v>1</v>
      </c>
      <c r="E137" s="77">
        <f t="shared" si="6"/>
        <v>0</v>
      </c>
      <c r="F137" s="77" t="str">
        <f t="shared" si="19"/>
        <v>0</v>
      </c>
      <c r="G137" s="211">
        <f t="shared" si="7"/>
        <v>0</v>
      </c>
      <c r="H137" s="78"/>
      <c r="I137" s="11">
        <f t="shared" si="20"/>
        <v>0</v>
      </c>
      <c r="J137" s="206">
        <f t="shared" si="21"/>
        <v>0</v>
      </c>
      <c r="L137" s="10" t="s">
        <v>15</v>
      </c>
      <c r="M137" s="211">
        <v>7.0000000000000007E-2</v>
      </c>
      <c r="N137" s="11">
        <f t="shared" si="8"/>
        <v>0</v>
      </c>
      <c r="O137" s="12">
        <f t="shared" si="9"/>
        <v>0</v>
      </c>
      <c r="Q137" s="10" t="s">
        <v>15</v>
      </c>
      <c r="R137" s="154"/>
      <c r="S137" s="207" t="str">
        <f t="shared" si="22"/>
        <v>0.00%</v>
      </c>
      <c r="T137" s="77">
        <f t="shared" si="10"/>
        <v>0</v>
      </c>
      <c r="U137" s="77" t="str">
        <f t="shared" si="11"/>
        <v>0</v>
      </c>
      <c r="V137" s="211">
        <f t="shared" si="12"/>
        <v>0</v>
      </c>
      <c r="W137" s="78"/>
      <c r="X137" s="11">
        <f t="shared" si="13"/>
        <v>0</v>
      </c>
      <c r="Y137" s="11">
        <f t="shared" si="14"/>
        <v>0</v>
      </c>
      <c r="Z137" s="208">
        <f t="shared" si="15"/>
        <v>0</v>
      </c>
      <c r="AA137" s="208">
        <f t="shared" si="16"/>
        <v>0</v>
      </c>
      <c r="AB137" s="208">
        <f t="shared" si="17"/>
        <v>0</v>
      </c>
      <c r="AC137" s="206">
        <f t="shared" si="23"/>
        <v>0</v>
      </c>
    </row>
    <row r="138" spans="1:30" ht="22.5" x14ac:dyDescent="0.2">
      <c r="A138" s="9"/>
      <c r="B138" s="16" t="s">
        <v>16</v>
      </c>
      <c r="C138" s="17">
        <f t="shared" si="18"/>
        <v>0</v>
      </c>
      <c r="D138" s="209">
        <f t="shared" si="24"/>
        <v>1</v>
      </c>
      <c r="E138" s="81">
        <f t="shared" si="6"/>
        <v>0</v>
      </c>
      <c r="F138" s="81" t="str">
        <f t="shared" si="19"/>
        <v>0</v>
      </c>
      <c r="G138" s="111">
        <f t="shared" si="7"/>
        <v>0</v>
      </c>
      <c r="H138" s="82"/>
      <c r="I138" s="17">
        <f t="shared" si="20"/>
        <v>0</v>
      </c>
      <c r="J138" s="48">
        <f t="shared" si="21"/>
        <v>0</v>
      </c>
      <c r="L138" s="16" t="s">
        <v>16</v>
      </c>
      <c r="M138" s="111">
        <v>7.0000000000000007E-2</v>
      </c>
      <c r="N138" s="17">
        <f t="shared" si="8"/>
        <v>0</v>
      </c>
      <c r="O138" s="85">
        <f t="shared" si="9"/>
        <v>0</v>
      </c>
      <c r="Q138" s="16" t="s">
        <v>16</v>
      </c>
      <c r="R138" s="154"/>
      <c r="S138" s="209" t="str">
        <f t="shared" si="22"/>
        <v>0.00%</v>
      </c>
      <c r="T138" s="81">
        <f t="shared" si="10"/>
        <v>0</v>
      </c>
      <c r="U138" s="81" t="str">
        <f t="shared" si="11"/>
        <v>0</v>
      </c>
      <c r="V138" s="111">
        <f t="shared" si="12"/>
        <v>0</v>
      </c>
      <c r="W138" s="82"/>
      <c r="X138" s="17">
        <f t="shared" si="13"/>
        <v>0</v>
      </c>
      <c r="Y138" s="17">
        <f t="shared" si="14"/>
        <v>0</v>
      </c>
      <c r="Z138" s="210">
        <f t="shared" si="15"/>
        <v>0</v>
      </c>
      <c r="AA138" s="210">
        <f t="shared" si="16"/>
        <v>0</v>
      </c>
      <c r="AB138" s="210">
        <f t="shared" si="17"/>
        <v>0</v>
      </c>
      <c r="AC138" s="48">
        <f>SUM(Y138)-SUM(Z138:AA138)</f>
        <v>0</v>
      </c>
    </row>
    <row r="139" spans="1:30" ht="23.25" thickBot="1" x14ac:dyDescent="0.25">
      <c r="A139" s="9"/>
      <c r="B139" s="67" t="s">
        <v>119</v>
      </c>
      <c r="C139" s="88">
        <f>SUM(C129:C138)</f>
        <v>102</v>
      </c>
      <c r="D139" s="212" t="s">
        <v>8</v>
      </c>
      <c r="E139" s="87">
        <f>SUM(E129:E138)</f>
        <v>5703.75</v>
      </c>
      <c r="F139" s="213">
        <f>IFERROR(E139/C139, "0")</f>
        <v>55.919117647058826</v>
      </c>
      <c r="G139" s="214">
        <f>SUMPRODUCT(G129:G138, E129:E138) / SUM(E129:E138)</f>
        <v>0</v>
      </c>
      <c r="H139" s="215">
        <f>SUMPRODUCT(H129:H138, E129:E138) / SUM(E129:E138)</f>
        <v>0</v>
      </c>
      <c r="I139" s="215" t="e">
        <f t="array" ref="I139">SUMPRODUCT((I129:I138&lt;&gt;0)*(I129:I138&lt;&gt;""), I129:I138, C129:C138) / SUMIFS(C129:C138, I129:I138, "&lt;&gt;0", I129:I138, "&lt;&gt;")</f>
        <v>#DIV/0!</v>
      </c>
      <c r="J139" s="216">
        <f>SUMIF(J129:J138, "&lt;&gt;#DIV/0!")</f>
        <v>0</v>
      </c>
      <c r="L139" s="67" t="s">
        <v>119</v>
      </c>
      <c r="M139" s="217" t="s">
        <v>8</v>
      </c>
      <c r="N139" s="88" t="s">
        <v>8</v>
      </c>
      <c r="O139" s="91">
        <f>SUMIF(O129:O138, "&lt;&gt;#DIV/0!")</f>
        <v>225573910.7142857</v>
      </c>
      <c r="Q139" s="67" t="s">
        <v>119</v>
      </c>
      <c r="R139" s="88">
        <f>SUM(R129:R138)</f>
        <v>0</v>
      </c>
      <c r="S139" s="212" t="s">
        <v>8</v>
      </c>
      <c r="T139" s="87">
        <f>SUMIF(T129:T138, "&lt;&gt;#DIV/0!")</f>
        <v>0</v>
      </c>
      <c r="U139" s="213" t="str">
        <f>IFERROR(T139/R139, "0")</f>
        <v>0</v>
      </c>
      <c r="V139" s="214" t="e">
        <f>SUMPRODUCT(V129:V138, T129:T138) / SUM(T129:T138)</f>
        <v>#DIV/0!</v>
      </c>
      <c r="W139" s="215" t="e">
        <f>SUMPRODUCT(W129:W138, T129:T138) / SUM(T129:T138)</f>
        <v>#DIV/0!</v>
      </c>
      <c r="X139" s="215" t="e">
        <f t="array" ref="X139">SUMPRODUCT((X129:X138&lt;&gt;0)*(X129:X138&lt;&gt;""), X129:X138, R129:R138) / SUMIFS(R129:R138, X129:X138, "&lt;&gt;0", X129:X138, "&lt;&gt;")</f>
        <v>#DIV/0!</v>
      </c>
      <c r="Y139" s="88">
        <f>SUMIF(Y129:Y138, "&lt;&gt;#DIV/0!")</f>
        <v>0</v>
      </c>
      <c r="Z139" s="218">
        <f>SUMIF(Z129:Z138, "&lt;&gt;#DIV/0!")</f>
        <v>0</v>
      </c>
      <c r="AA139" s="218">
        <f>SUMIF(AA129:AA138, "&lt;&gt;#DIV/0!")</f>
        <v>0</v>
      </c>
      <c r="AB139" s="218">
        <f>SUMIF(AB129:AB138, "&lt;&gt;#DIV/0!")</f>
        <v>0</v>
      </c>
      <c r="AC139" s="219">
        <f>SUMIF(AC129:AC138, "&lt;&gt;#DIV/0!")</f>
        <v>0</v>
      </c>
    </row>
    <row r="140" spans="1:30" x14ac:dyDescent="0.2">
      <c r="AC140" s="9"/>
    </row>
    <row r="141" spans="1:30" x14ac:dyDescent="0.2">
      <c r="A141" s="30"/>
    </row>
    <row r="142" spans="1:30" x14ac:dyDescent="0.2">
      <c r="G142" s="30"/>
    </row>
    <row r="143" spans="1:30" x14ac:dyDescent="0.2">
      <c r="C143" s="9"/>
      <c r="D143" s="9"/>
      <c r="E143" s="9"/>
      <c r="F143" s="9"/>
      <c r="G143" s="9"/>
      <c r="J143" s="38"/>
      <c r="L143" s="9"/>
      <c r="M143" s="9"/>
      <c r="N143" s="9"/>
      <c r="P143" s="9"/>
      <c r="Q143" s="9"/>
      <c r="R143" s="9"/>
      <c r="S143" s="9"/>
      <c r="T143" s="9"/>
      <c r="U143" s="9"/>
      <c r="V143" s="9"/>
      <c r="W143" s="9"/>
      <c r="X143" s="9"/>
      <c r="Z143" s="9"/>
      <c r="AA143" s="9"/>
      <c r="AB143" s="9"/>
      <c r="AC143" s="9"/>
      <c r="AD143" s="9"/>
    </row>
    <row r="144" spans="1:30" ht="12" thickBot="1" x14ac:dyDescent="0.25">
      <c r="C144" s="9"/>
      <c r="D144" s="9"/>
      <c r="E144" s="9"/>
      <c r="F144" s="9"/>
      <c r="G144" s="9"/>
      <c r="J144" s="9"/>
      <c r="AD144" s="9"/>
    </row>
    <row r="145" spans="1:31" ht="12.75" x14ac:dyDescent="0.2">
      <c r="A145" s="30"/>
      <c r="B145" s="220" t="s">
        <v>149</v>
      </c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2"/>
      <c r="Q145" s="22" t="s">
        <v>150</v>
      </c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3"/>
    </row>
    <row r="146" spans="1:31" ht="33.75" x14ac:dyDescent="0.2">
      <c r="A146" s="30"/>
      <c r="B146" s="25" t="s">
        <v>3</v>
      </c>
      <c r="C146" s="34" t="s">
        <v>151</v>
      </c>
      <c r="D146" s="34" t="s">
        <v>152</v>
      </c>
      <c r="E146" s="34" t="s">
        <v>153</v>
      </c>
      <c r="F146" s="34" t="s">
        <v>154</v>
      </c>
      <c r="G146" s="34" t="s">
        <v>155</v>
      </c>
      <c r="H146" s="34" t="s">
        <v>156</v>
      </c>
      <c r="I146" s="34" t="s">
        <v>157</v>
      </c>
      <c r="J146" s="34" t="s">
        <v>158</v>
      </c>
      <c r="K146" s="34" t="s">
        <v>159</v>
      </c>
      <c r="L146" s="34" t="s">
        <v>160</v>
      </c>
      <c r="M146" s="26" t="s">
        <v>161</v>
      </c>
      <c r="Q146" s="6" t="s">
        <v>3</v>
      </c>
      <c r="R146" s="7" t="s">
        <v>151</v>
      </c>
      <c r="S146" s="7" t="s">
        <v>155</v>
      </c>
      <c r="T146" s="7" t="s">
        <v>162</v>
      </c>
      <c r="U146" s="7" t="s">
        <v>163</v>
      </c>
      <c r="V146" s="7" t="s">
        <v>164</v>
      </c>
      <c r="W146" s="7" t="s">
        <v>165</v>
      </c>
      <c r="X146" s="7" t="s">
        <v>22</v>
      </c>
      <c r="Y146" s="7" t="s">
        <v>166</v>
      </c>
      <c r="Z146" s="34" t="s">
        <v>159</v>
      </c>
      <c r="AA146" s="197" t="s">
        <v>160</v>
      </c>
      <c r="AB146" s="34" t="s">
        <v>167</v>
      </c>
      <c r="AC146" s="8" t="s">
        <v>168</v>
      </c>
    </row>
    <row r="147" spans="1:31" ht="22.5" x14ac:dyDescent="0.2">
      <c r="A147" s="30"/>
      <c r="B147" s="10" t="s">
        <v>6</v>
      </c>
      <c r="C147" s="11">
        <f>H61</f>
        <v>0</v>
      </c>
      <c r="D147" s="77" t="str">
        <f t="shared" ref="D147:D156" si="25">G61</f>
        <v>0</v>
      </c>
      <c r="E147" s="74"/>
      <c r="F147" s="11">
        <f>E147*D147</f>
        <v>0</v>
      </c>
      <c r="G147" s="109"/>
      <c r="H147" s="11">
        <f t="shared" ref="H147:H156" si="26">(F147*C147)*G147</f>
        <v>0</v>
      </c>
      <c r="I147" s="78">
        <f t="shared" ref="I147:I156" si="27">$I$158*H147</f>
        <v>0</v>
      </c>
      <c r="J147" s="11">
        <f t="shared" ref="J147:J156" si="28">IFERROR((AU3 * (M129/100)) / (F61 * (G147/100) * (1 - ($I$158/100))), 0)</f>
        <v>0</v>
      </c>
      <c r="K147" s="80" t="str">
        <f>IFERROR(100%/L147, "0")</f>
        <v>0</v>
      </c>
      <c r="L147" s="109" t="str">
        <f t="shared" ref="L147:L156" si="29">IFERROR(M147/(AU3-AT3), "0.00%")</f>
        <v>0.00%</v>
      </c>
      <c r="M147" s="206">
        <f t="shared" ref="M147:M156" si="30">H147-I147</f>
        <v>0</v>
      </c>
      <c r="Q147" s="10" t="s">
        <v>6</v>
      </c>
      <c r="R147" s="11">
        <f>H61</f>
        <v>0</v>
      </c>
      <c r="S147" s="109"/>
      <c r="T147" s="11">
        <f t="shared" ref="T147:T153" si="31">AF147*S147</f>
        <v>0</v>
      </c>
      <c r="U147" s="74"/>
      <c r="V147" s="11" t="str">
        <f t="shared" ref="V147:V156" si="32">IFERROR((U147*T147)/R147, "0")</f>
        <v>0</v>
      </c>
      <c r="W147" s="109"/>
      <c r="X147" s="11">
        <f t="shared" ref="X147:X156" si="33">(U147*T147)+((T147*U147)*W147)</f>
        <v>0</v>
      </c>
      <c r="Y147" s="208">
        <f t="shared" ref="Y147:Y156" si="34">X147*$Y$158</f>
        <v>0</v>
      </c>
      <c r="Z147" s="80">
        <f t="shared" ref="Z147:Z156" si="35">IFERROR((AU3-AT3) / ((U147 * R147 * (1 - $Y$158) * S147 * 365) * (1 + W147)), 0)</f>
        <v>0</v>
      </c>
      <c r="AA147" s="109" t="str">
        <f t="shared" ref="AA147:AA156" si="36">IFERROR(AC147/(AU3-AT3), "0.00%")</f>
        <v>0.00%</v>
      </c>
      <c r="AB147" s="11">
        <f t="shared" ref="AB147:AB156" si="37">IFERROR(((AU3-AT3) * (M129/100)) / (R147 * (S147/100) * (1 - ($Y$158/100)) * 365), 0)*(1+W147)</f>
        <v>0</v>
      </c>
      <c r="AC147" s="206">
        <f t="shared" ref="AC147:AC156" si="38">X147-Y147</f>
        <v>0</v>
      </c>
    </row>
    <row r="148" spans="1:31" ht="22.5" x14ac:dyDescent="0.2">
      <c r="A148" s="30"/>
      <c r="B148" s="16" t="s">
        <v>7</v>
      </c>
      <c r="C148" s="17">
        <f t="shared" ref="C148:C156" si="39">H62</f>
        <v>0</v>
      </c>
      <c r="D148" s="81" t="str">
        <f t="shared" si="25"/>
        <v>0</v>
      </c>
      <c r="E148" s="76"/>
      <c r="F148" s="17">
        <f t="shared" ref="F148:F156" si="40">E148*D148</f>
        <v>0</v>
      </c>
      <c r="G148" s="111"/>
      <c r="H148" s="17">
        <f t="shared" si="26"/>
        <v>0</v>
      </c>
      <c r="I148" s="82">
        <f t="shared" si="27"/>
        <v>0</v>
      </c>
      <c r="J148" s="17">
        <f t="shared" si="28"/>
        <v>0</v>
      </c>
      <c r="K148" s="84" t="str">
        <f t="shared" ref="K148:K151" si="41">IFERROR(100%/L148, "0")</f>
        <v>0</v>
      </c>
      <c r="L148" s="223" t="str">
        <f t="shared" si="29"/>
        <v>0.00%</v>
      </c>
      <c r="M148" s="48">
        <f t="shared" si="30"/>
        <v>0</v>
      </c>
      <c r="Q148" s="16" t="s">
        <v>7</v>
      </c>
      <c r="R148" s="17">
        <f t="shared" ref="R148:R156" si="42">H62</f>
        <v>0</v>
      </c>
      <c r="S148" s="111"/>
      <c r="T148" s="17">
        <f t="shared" si="31"/>
        <v>0</v>
      </c>
      <c r="U148" s="76"/>
      <c r="V148" s="17" t="str">
        <f t="shared" si="32"/>
        <v>0</v>
      </c>
      <c r="W148" s="111"/>
      <c r="X148" s="17">
        <f t="shared" si="33"/>
        <v>0</v>
      </c>
      <c r="Y148" s="210">
        <f t="shared" si="34"/>
        <v>0</v>
      </c>
      <c r="Z148" s="84">
        <f t="shared" si="35"/>
        <v>0</v>
      </c>
      <c r="AA148" s="224" t="str">
        <f t="shared" si="36"/>
        <v>0.00%</v>
      </c>
      <c r="AB148" s="17">
        <f t="shared" si="37"/>
        <v>0</v>
      </c>
      <c r="AC148" s="48">
        <f t="shared" si="38"/>
        <v>0</v>
      </c>
    </row>
    <row r="149" spans="1:31" ht="22.5" x14ac:dyDescent="0.2">
      <c r="A149" s="30"/>
      <c r="B149" s="10" t="s">
        <v>9</v>
      </c>
      <c r="C149" s="11">
        <f t="shared" si="39"/>
        <v>0</v>
      </c>
      <c r="D149" s="77" t="str">
        <f t="shared" si="25"/>
        <v>0</v>
      </c>
      <c r="E149" s="74"/>
      <c r="F149" s="11">
        <f t="shared" si="40"/>
        <v>0</v>
      </c>
      <c r="G149" s="109"/>
      <c r="H149" s="11">
        <f t="shared" si="26"/>
        <v>0</v>
      </c>
      <c r="I149" s="78">
        <f t="shared" si="27"/>
        <v>0</v>
      </c>
      <c r="J149" s="11">
        <f t="shared" si="28"/>
        <v>0</v>
      </c>
      <c r="K149" s="80" t="str">
        <f t="shared" si="41"/>
        <v>0</v>
      </c>
      <c r="L149" s="211" t="str">
        <f t="shared" si="29"/>
        <v>0.00%</v>
      </c>
      <c r="M149" s="206">
        <f t="shared" si="30"/>
        <v>0</v>
      </c>
      <c r="Q149" s="10" t="s">
        <v>9</v>
      </c>
      <c r="R149" s="11">
        <f t="shared" si="42"/>
        <v>0</v>
      </c>
      <c r="S149" s="109"/>
      <c r="T149" s="11">
        <f t="shared" si="31"/>
        <v>0</v>
      </c>
      <c r="U149" s="74"/>
      <c r="V149" s="11" t="str">
        <f t="shared" si="32"/>
        <v>0</v>
      </c>
      <c r="W149" s="109"/>
      <c r="X149" s="11">
        <f t="shared" si="33"/>
        <v>0</v>
      </c>
      <c r="Y149" s="208">
        <f t="shared" si="34"/>
        <v>0</v>
      </c>
      <c r="Z149" s="80">
        <f t="shared" si="35"/>
        <v>0</v>
      </c>
      <c r="AA149" s="211" t="str">
        <f t="shared" si="36"/>
        <v>0.00%</v>
      </c>
      <c r="AB149" s="11">
        <f t="shared" si="37"/>
        <v>0</v>
      </c>
      <c r="AC149" s="206">
        <f t="shared" si="38"/>
        <v>0</v>
      </c>
    </row>
    <row r="150" spans="1:31" ht="22.5" x14ac:dyDescent="0.2">
      <c r="A150" s="30"/>
      <c r="B150" s="16" t="s">
        <v>10</v>
      </c>
      <c r="C150" s="17">
        <f t="shared" si="39"/>
        <v>0</v>
      </c>
      <c r="D150" s="81" t="str">
        <f t="shared" si="25"/>
        <v>0</v>
      </c>
      <c r="E150" s="76"/>
      <c r="F150" s="17">
        <f t="shared" si="40"/>
        <v>0</v>
      </c>
      <c r="G150" s="111"/>
      <c r="H150" s="17">
        <f t="shared" si="26"/>
        <v>0</v>
      </c>
      <c r="I150" s="82">
        <f t="shared" si="27"/>
        <v>0</v>
      </c>
      <c r="J150" s="17">
        <f t="shared" si="28"/>
        <v>0</v>
      </c>
      <c r="K150" s="84" t="str">
        <f t="shared" si="41"/>
        <v>0</v>
      </c>
      <c r="L150" s="111" t="str">
        <f t="shared" si="29"/>
        <v>0.00%</v>
      </c>
      <c r="M150" s="48">
        <f t="shared" si="30"/>
        <v>0</v>
      </c>
      <c r="Q150" s="16" t="s">
        <v>10</v>
      </c>
      <c r="R150" s="17">
        <f t="shared" si="42"/>
        <v>0</v>
      </c>
      <c r="S150" s="111"/>
      <c r="T150" s="17">
        <f t="shared" si="31"/>
        <v>0</v>
      </c>
      <c r="U150" s="76"/>
      <c r="V150" s="17" t="str">
        <f t="shared" si="32"/>
        <v>0</v>
      </c>
      <c r="W150" s="111"/>
      <c r="X150" s="17">
        <f t="shared" si="33"/>
        <v>0</v>
      </c>
      <c r="Y150" s="210">
        <f t="shared" si="34"/>
        <v>0</v>
      </c>
      <c r="Z150" s="84">
        <f t="shared" si="35"/>
        <v>0</v>
      </c>
      <c r="AA150" s="111" t="str">
        <f t="shared" si="36"/>
        <v>0.00%</v>
      </c>
      <c r="AB150" s="17">
        <f t="shared" si="37"/>
        <v>0</v>
      </c>
      <c r="AC150" s="48">
        <f t="shared" si="38"/>
        <v>0</v>
      </c>
    </row>
    <row r="151" spans="1:31" ht="22.5" x14ac:dyDescent="0.2">
      <c r="A151" s="30"/>
      <c r="B151" s="10" t="s">
        <v>11</v>
      </c>
      <c r="C151" s="11">
        <f t="shared" si="39"/>
        <v>0</v>
      </c>
      <c r="D151" s="77" t="str">
        <f t="shared" si="25"/>
        <v>0</v>
      </c>
      <c r="E151" s="74"/>
      <c r="F151" s="11">
        <f t="shared" si="40"/>
        <v>0</v>
      </c>
      <c r="G151" s="109"/>
      <c r="H151" s="11">
        <f t="shared" si="26"/>
        <v>0</v>
      </c>
      <c r="I151" s="78">
        <f t="shared" si="27"/>
        <v>0</v>
      </c>
      <c r="J151" s="11">
        <f t="shared" si="28"/>
        <v>0</v>
      </c>
      <c r="K151" s="80" t="str">
        <f t="shared" si="41"/>
        <v>0</v>
      </c>
      <c r="L151" s="211" t="str">
        <f t="shared" si="29"/>
        <v>0.00%</v>
      </c>
      <c r="M151" s="206">
        <f t="shared" si="30"/>
        <v>0</v>
      </c>
      <c r="Q151" s="10" t="s">
        <v>11</v>
      </c>
      <c r="R151" s="11">
        <f t="shared" si="42"/>
        <v>0</v>
      </c>
      <c r="S151" s="109"/>
      <c r="T151" s="11">
        <f t="shared" si="31"/>
        <v>0</v>
      </c>
      <c r="U151" s="74"/>
      <c r="V151" s="11" t="str">
        <f t="shared" si="32"/>
        <v>0</v>
      </c>
      <c r="W151" s="109"/>
      <c r="X151" s="11">
        <f t="shared" si="33"/>
        <v>0</v>
      </c>
      <c r="Y151" s="208">
        <f t="shared" si="34"/>
        <v>0</v>
      </c>
      <c r="Z151" s="80">
        <f t="shared" si="35"/>
        <v>0</v>
      </c>
      <c r="AA151" s="211" t="str">
        <f t="shared" si="36"/>
        <v>0.00%</v>
      </c>
      <c r="AB151" s="11">
        <f t="shared" si="37"/>
        <v>0</v>
      </c>
      <c r="AC151" s="206">
        <f t="shared" si="38"/>
        <v>0</v>
      </c>
    </row>
    <row r="152" spans="1:31" ht="22.5" x14ac:dyDescent="0.2">
      <c r="A152" s="30"/>
      <c r="B152" s="16" t="s">
        <v>12</v>
      </c>
      <c r="C152" s="17">
        <f t="shared" si="39"/>
        <v>0</v>
      </c>
      <c r="D152" s="81" t="str">
        <f t="shared" si="25"/>
        <v>0</v>
      </c>
      <c r="E152" s="76"/>
      <c r="F152" s="17">
        <f>E152*D152</f>
        <v>0</v>
      </c>
      <c r="G152" s="111"/>
      <c r="H152" s="17">
        <f>(F152*C152)*G152</f>
        <v>0</v>
      </c>
      <c r="I152" s="82">
        <f>$I$158*H152</f>
        <v>0</v>
      </c>
      <c r="J152" s="17">
        <f t="shared" si="28"/>
        <v>0</v>
      </c>
      <c r="K152" s="84" t="str">
        <f>IFERROR(100%/L152, "0")</f>
        <v>0</v>
      </c>
      <c r="L152" s="111" t="str">
        <f t="shared" si="29"/>
        <v>0.00%</v>
      </c>
      <c r="M152" s="48">
        <f>H152-I152</f>
        <v>0</v>
      </c>
      <c r="Q152" s="16" t="s">
        <v>12</v>
      </c>
      <c r="R152" s="17">
        <f t="shared" si="42"/>
        <v>0</v>
      </c>
      <c r="S152" s="111"/>
      <c r="T152" s="17">
        <f t="shared" si="31"/>
        <v>0</v>
      </c>
      <c r="U152" s="76"/>
      <c r="V152" s="17" t="str">
        <f t="shared" si="32"/>
        <v>0</v>
      </c>
      <c r="W152" s="111"/>
      <c r="X152" s="17">
        <f t="shared" si="33"/>
        <v>0</v>
      </c>
      <c r="Y152" s="210">
        <f t="shared" si="34"/>
        <v>0</v>
      </c>
      <c r="Z152" s="84">
        <f t="shared" si="35"/>
        <v>0</v>
      </c>
      <c r="AA152" s="111" t="str">
        <f t="shared" si="36"/>
        <v>0.00%</v>
      </c>
      <c r="AB152" s="17">
        <f t="shared" si="37"/>
        <v>0</v>
      </c>
      <c r="AC152" s="48">
        <f t="shared" si="38"/>
        <v>0</v>
      </c>
    </row>
    <row r="153" spans="1:31" ht="22.5" x14ac:dyDescent="0.2">
      <c r="A153" s="30"/>
      <c r="B153" s="10" t="s">
        <v>13</v>
      </c>
      <c r="C153" s="11">
        <f t="shared" si="39"/>
        <v>0</v>
      </c>
      <c r="D153" s="77" t="str">
        <f t="shared" si="25"/>
        <v>0</v>
      </c>
      <c r="E153" s="74"/>
      <c r="F153" s="11">
        <f>E153*D153</f>
        <v>0</v>
      </c>
      <c r="G153" s="109"/>
      <c r="H153" s="11">
        <f t="shared" si="26"/>
        <v>0</v>
      </c>
      <c r="I153" s="78">
        <f t="shared" si="27"/>
        <v>0</v>
      </c>
      <c r="J153" s="11">
        <f t="shared" si="28"/>
        <v>0</v>
      </c>
      <c r="K153" s="80" t="str">
        <f>IFERROR(100%/L153, "0")</f>
        <v>0</v>
      </c>
      <c r="L153" s="211" t="str">
        <f t="shared" si="29"/>
        <v>0.00%</v>
      </c>
      <c r="M153" s="206">
        <f t="shared" si="30"/>
        <v>0</v>
      </c>
      <c r="Q153" s="10" t="s">
        <v>13</v>
      </c>
      <c r="R153" s="11">
        <f t="shared" si="42"/>
        <v>0</v>
      </c>
      <c r="S153" s="109"/>
      <c r="T153" s="11">
        <f t="shared" si="31"/>
        <v>0</v>
      </c>
      <c r="U153" s="74"/>
      <c r="V153" s="11" t="str">
        <f t="shared" si="32"/>
        <v>0</v>
      </c>
      <c r="W153" s="109"/>
      <c r="X153" s="11">
        <f t="shared" si="33"/>
        <v>0</v>
      </c>
      <c r="Y153" s="208">
        <f t="shared" si="34"/>
        <v>0</v>
      </c>
      <c r="Z153" s="80">
        <f t="shared" si="35"/>
        <v>0</v>
      </c>
      <c r="AA153" s="211" t="str">
        <f t="shared" si="36"/>
        <v>0.00%</v>
      </c>
      <c r="AB153" s="11">
        <f t="shared" si="37"/>
        <v>0</v>
      </c>
      <c r="AC153" s="206">
        <f t="shared" si="38"/>
        <v>0</v>
      </c>
    </row>
    <row r="154" spans="1:31" ht="22.5" x14ac:dyDescent="0.2">
      <c r="A154" s="30"/>
      <c r="B154" s="16" t="s">
        <v>14</v>
      </c>
      <c r="C154" s="17">
        <f t="shared" si="39"/>
        <v>102</v>
      </c>
      <c r="D154" s="81">
        <f t="shared" si="25"/>
        <v>55.919117647058826</v>
      </c>
      <c r="E154" s="76"/>
      <c r="F154" s="17">
        <f t="shared" si="40"/>
        <v>0</v>
      </c>
      <c r="G154" s="111"/>
      <c r="H154" s="17">
        <f t="shared" si="26"/>
        <v>0</v>
      </c>
      <c r="I154" s="82">
        <f t="shared" si="27"/>
        <v>0</v>
      </c>
      <c r="J154" s="17">
        <f t="shared" si="28"/>
        <v>0</v>
      </c>
      <c r="K154" s="84" t="str">
        <f t="shared" ref="K154:K156" si="43">IFERROR(100%/L154, "0")</f>
        <v>0</v>
      </c>
      <c r="L154" s="111" t="str">
        <f t="shared" si="29"/>
        <v>0.00%</v>
      </c>
      <c r="M154" s="48">
        <f t="shared" si="30"/>
        <v>0</v>
      </c>
      <c r="Q154" s="16" t="s">
        <v>14</v>
      </c>
      <c r="R154" s="17">
        <f t="shared" si="42"/>
        <v>102</v>
      </c>
      <c r="S154" s="111">
        <v>0.65</v>
      </c>
      <c r="T154" s="17">
        <f>(R154*365)*S154</f>
        <v>24199.5</v>
      </c>
      <c r="U154" s="76">
        <v>750</v>
      </c>
      <c r="V154" s="17">
        <f>IFERROR((U154*T154)/R154, "0")</f>
        <v>177937.5</v>
      </c>
      <c r="W154" s="111">
        <v>0.2</v>
      </c>
      <c r="X154" s="17">
        <f>(U154*T154)+((T154*U154)*W154)</f>
        <v>21779550</v>
      </c>
      <c r="Y154" s="210">
        <f>X154*$Y$158</f>
        <v>5989376.2500000009</v>
      </c>
      <c r="Z154" s="84">
        <f t="shared" si="35"/>
        <v>0</v>
      </c>
      <c r="AA154" s="111" t="str">
        <f t="shared" si="36"/>
        <v>0.00%</v>
      </c>
      <c r="AB154" s="17">
        <f t="shared" si="37"/>
        <v>0</v>
      </c>
      <c r="AC154" s="48">
        <f>X154-Y154</f>
        <v>15790173.75</v>
      </c>
    </row>
    <row r="155" spans="1:31" ht="22.5" x14ac:dyDescent="0.2">
      <c r="A155" s="30"/>
      <c r="B155" s="10" t="s">
        <v>15</v>
      </c>
      <c r="C155" s="11">
        <f t="shared" si="39"/>
        <v>0</v>
      </c>
      <c r="D155" s="77" t="str">
        <f t="shared" si="25"/>
        <v>0</v>
      </c>
      <c r="E155" s="74"/>
      <c r="F155" s="11">
        <f t="shared" si="40"/>
        <v>0</v>
      </c>
      <c r="G155" s="109"/>
      <c r="H155" s="11">
        <f t="shared" si="26"/>
        <v>0</v>
      </c>
      <c r="I155" s="78">
        <f t="shared" si="27"/>
        <v>0</v>
      </c>
      <c r="J155" s="11">
        <f t="shared" si="28"/>
        <v>0</v>
      </c>
      <c r="K155" s="80" t="str">
        <f t="shared" si="43"/>
        <v>0</v>
      </c>
      <c r="L155" s="211" t="str">
        <f t="shared" si="29"/>
        <v>0.00%</v>
      </c>
      <c r="M155" s="206">
        <f t="shared" si="30"/>
        <v>0</v>
      </c>
      <c r="Q155" s="10" t="s">
        <v>15</v>
      </c>
      <c r="R155" s="11">
        <f t="shared" si="42"/>
        <v>0</v>
      </c>
      <c r="S155" s="109"/>
      <c r="T155" s="11">
        <f>AF155*S155</f>
        <v>0</v>
      </c>
      <c r="U155" s="74"/>
      <c r="V155" s="11" t="str">
        <f t="shared" si="32"/>
        <v>0</v>
      </c>
      <c r="W155" s="109"/>
      <c r="X155" s="11">
        <f t="shared" si="33"/>
        <v>0</v>
      </c>
      <c r="Y155" s="208">
        <f t="shared" si="34"/>
        <v>0</v>
      </c>
      <c r="Z155" s="80">
        <f t="shared" si="35"/>
        <v>0</v>
      </c>
      <c r="AA155" s="211" t="str">
        <f t="shared" si="36"/>
        <v>0.00%</v>
      </c>
      <c r="AB155" s="11">
        <f t="shared" si="37"/>
        <v>0</v>
      </c>
      <c r="AC155" s="206">
        <f t="shared" si="38"/>
        <v>0</v>
      </c>
    </row>
    <row r="156" spans="1:31" ht="22.5" x14ac:dyDescent="0.2">
      <c r="A156" s="30"/>
      <c r="B156" s="16" t="s">
        <v>16</v>
      </c>
      <c r="C156" s="17">
        <f t="shared" si="39"/>
        <v>0</v>
      </c>
      <c r="D156" s="81" t="str">
        <f t="shared" si="25"/>
        <v>0</v>
      </c>
      <c r="E156" s="76"/>
      <c r="F156" s="17">
        <f t="shared" si="40"/>
        <v>0</v>
      </c>
      <c r="G156" s="111"/>
      <c r="H156" s="17">
        <f t="shared" si="26"/>
        <v>0</v>
      </c>
      <c r="I156" s="82">
        <f t="shared" si="27"/>
        <v>0</v>
      </c>
      <c r="J156" s="17">
        <f t="shared" si="28"/>
        <v>0</v>
      </c>
      <c r="K156" s="84" t="str">
        <f t="shared" si="43"/>
        <v>0</v>
      </c>
      <c r="L156" s="111" t="str">
        <f t="shared" si="29"/>
        <v>0.00%</v>
      </c>
      <c r="M156" s="48">
        <f t="shared" si="30"/>
        <v>0</v>
      </c>
      <c r="Q156" s="16" t="s">
        <v>16</v>
      </c>
      <c r="R156" s="17">
        <f t="shared" si="42"/>
        <v>0</v>
      </c>
      <c r="S156" s="111"/>
      <c r="T156" s="17">
        <f>AF156*S156</f>
        <v>0</v>
      </c>
      <c r="U156" s="76"/>
      <c r="V156" s="17" t="str">
        <f t="shared" si="32"/>
        <v>0</v>
      </c>
      <c r="W156" s="111"/>
      <c r="X156" s="17">
        <f t="shared" si="33"/>
        <v>0</v>
      </c>
      <c r="Y156" s="210">
        <f t="shared" si="34"/>
        <v>0</v>
      </c>
      <c r="Z156" s="84">
        <f t="shared" si="35"/>
        <v>0</v>
      </c>
      <c r="AA156" s="111" t="str">
        <f t="shared" si="36"/>
        <v>0.00%</v>
      </c>
      <c r="AB156" s="17">
        <f t="shared" si="37"/>
        <v>0</v>
      </c>
      <c r="AC156" s="48">
        <f t="shared" si="38"/>
        <v>0</v>
      </c>
    </row>
    <row r="157" spans="1:31" ht="23.25" thickBot="1" x14ac:dyDescent="0.25">
      <c r="A157" s="30"/>
      <c r="B157" s="67" t="s">
        <v>119</v>
      </c>
      <c r="C157" s="88">
        <f>SUM(C147:C156)</f>
        <v>102</v>
      </c>
      <c r="D157" s="137" t="s">
        <v>8</v>
      </c>
      <c r="E157" s="225" t="s">
        <v>8</v>
      </c>
      <c r="F157" s="225" t="e">
        <f t="array" ref="F157">SUMPRODUCT((F147:F156&lt;&gt;0)*(F147:F156&lt;&gt;""), F147:F156, C147:C156) / SUMIFS(C147:C156, F147:F156, "&lt;&gt;0", F147:F156, "&lt;&gt;")</f>
        <v>#DIV/0!</v>
      </c>
      <c r="G157" s="226">
        <f t="array" ref="G157">SUMPRODUCT((C147:C156&gt;0)*(D147:D156&gt;0), G147:G156, C147:C156, D147:D156) / SUMPRODUCT((C147:C156&gt;0)*(D147:D156&gt;0), C147:C156, D147:D156)</f>
        <v>0</v>
      </c>
      <c r="H157" s="86">
        <f>SUMIF(H147:H156, "&lt;&gt;#DIV/0!")</f>
        <v>0</v>
      </c>
      <c r="I157" s="227">
        <f>SUM(I147:I156)</f>
        <v>0</v>
      </c>
      <c r="J157" s="225">
        <f t="array" ref="J157">SUMPRODUCT((C147:C156&gt;0)*(D147:D156&gt;0), J147:J156, C147:C156, D147:D156) /
 SUMPRODUCT((C147:C156&gt;0)*(D147:D156&gt;0), C147:C156, D147:D156)</f>
        <v>0</v>
      </c>
      <c r="K157" s="228" t="s">
        <v>8</v>
      </c>
      <c r="L157" s="229" t="s">
        <v>8</v>
      </c>
      <c r="M157" s="219">
        <f>SUMIF(M147:M156, "&lt;&gt;#DIV/0!")</f>
        <v>0</v>
      </c>
      <c r="Q157" s="67" t="s">
        <v>119</v>
      </c>
      <c r="R157" s="88">
        <f>SUM(R147:R156)</f>
        <v>102</v>
      </c>
      <c r="S157" s="230" t="s">
        <v>8</v>
      </c>
      <c r="T157" s="88">
        <f>SUM(T147:T156)</f>
        <v>24199.5</v>
      </c>
      <c r="U157" s="88" t="s">
        <v>8</v>
      </c>
      <c r="V157" s="88" t="s">
        <v>8</v>
      </c>
      <c r="W157" s="135" t="s">
        <v>8</v>
      </c>
      <c r="X157" s="88">
        <f>SUM(X147:X156)</f>
        <v>21779550</v>
      </c>
      <c r="Y157" s="218">
        <f>SUM(Y147:Y156)</f>
        <v>5989376.2500000009</v>
      </c>
      <c r="Z157" s="228" t="s">
        <v>8</v>
      </c>
      <c r="AA157" s="229" t="s">
        <v>8</v>
      </c>
      <c r="AB157" s="86" t="s">
        <v>8</v>
      </c>
      <c r="AC157" s="219">
        <f>SUM(AC147:AC156)</f>
        <v>15790173.75</v>
      </c>
    </row>
    <row r="158" spans="1:31" ht="12" thickBot="1" x14ac:dyDescent="0.25">
      <c r="C158" s="9"/>
      <c r="D158" s="9"/>
      <c r="E158" s="9"/>
      <c r="F158" s="9"/>
      <c r="G158" s="9"/>
      <c r="I158" s="231">
        <v>0.05</v>
      </c>
      <c r="J158" s="9"/>
      <c r="L158" s="30"/>
      <c r="P158" s="9"/>
      <c r="Q158" s="9"/>
      <c r="R158" s="9"/>
      <c r="S158" s="9"/>
      <c r="T158" s="9"/>
      <c r="U158" s="9"/>
      <c r="V158" s="9"/>
      <c r="W158" s="9"/>
      <c r="X158" s="9"/>
      <c r="Y158" s="232">
        <v>0.27500000000000002</v>
      </c>
    </row>
    <row r="159" spans="1:31" x14ac:dyDescent="0.2">
      <c r="C159" s="9"/>
      <c r="D159" s="9"/>
      <c r="E159" s="9"/>
      <c r="F159" s="9"/>
      <c r="G159" s="9"/>
      <c r="H159" s="9"/>
      <c r="I159" s="9"/>
      <c r="J159" s="9"/>
      <c r="K159" s="30"/>
      <c r="L159" s="38"/>
      <c r="M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AB159" s="9"/>
      <c r="AC159" s="9"/>
      <c r="AD159" s="9"/>
      <c r="AE159" s="419"/>
    </row>
    <row r="160" spans="1:31" x14ac:dyDescent="0.2">
      <c r="X160" s="30"/>
      <c r="AA160" s="60"/>
      <c r="AB160" s="30"/>
    </row>
    <row r="161" spans="1:30" x14ac:dyDescent="0.2">
      <c r="E161" s="30"/>
    </row>
    <row r="162" spans="1:30" ht="12" thickBo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30" x14ac:dyDescent="0.2">
      <c r="A163" s="9"/>
      <c r="B163" s="233" t="s">
        <v>169</v>
      </c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5"/>
      <c r="AD163" s="9"/>
    </row>
    <row r="164" spans="1:30" x14ac:dyDescent="0.2">
      <c r="A164" s="9"/>
      <c r="B164" s="236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8"/>
      <c r="AD164" s="38"/>
    </row>
    <row r="165" spans="1:30" ht="15" x14ac:dyDescent="0.2">
      <c r="A165" s="9"/>
      <c r="B165" s="27" t="s">
        <v>170</v>
      </c>
      <c r="C165" s="79" t="s">
        <v>171</v>
      </c>
      <c r="D165" s="79"/>
      <c r="E165" s="79"/>
      <c r="F165" s="239" t="s">
        <v>172</v>
      </c>
      <c r="G165" s="239"/>
      <c r="H165" s="239"/>
      <c r="I165" s="239"/>
      <c r="J165" s="239" t="s">
        <v>173</v>
      </c>
      <c r="K165" s="239"/>
      <c r="L165" s="239"/>
      <c r="M165" s="239"/>
      <c r="N165" s="239" t="s">
        <v>174</v>
      </c>
      <c r="O165" s="239"/>
      <c r="P165" s="239"/>
      <c r="Q165" s="239"/>
      <c r="R165" s="239" t="s">
        <v>175</v>
      </c>
      <c r="S165" s="239"/>
      <c r="T165" s="239"/>
      <c r="U165" s="239"/>
      <c r="V165" s="239" t="s">
        <v>176</v>
      </c>
      <c r="W165" s="239"/>
      <c r="X165" s="239"/>
      <c r="Y165" s="239"/>
      <c r="Z165" s="239" t="s">
        <v>177</v>
      </c>
      <c r="AA165" s="239"/>
      <c r="AB165" s="239"/>
      <c r="AC165" s="240"/>
      <c r="AD165" s="9"/>
    </row>
    <row r="166" spans="1:30" ht="15" x14ac:dyDescent="0.2">
      <c r="A166" s="9"/>
      <c r="B166" s="27"/>
      <c r="C166" s="241" t="s">
        <v>8</v>
      </c>
      <c r="D166" s="242" t="s">
        <v>8</v>
      </c>
      <c r="E166" s="17" t="s">
        <v>178</v>
      </c>
      <c r="F166" s="243" t="s">
        <v>179</v>
      </c>
      <c r="G166" s="243" t="s">
        <v>180</v>
      </c>
      <c r="H166" s="243" t="s">
        <v>181</v>
      </c>
      <c r="I166" s="243" t="s">
        <v>182</v>
      </c>
      <c r="J166" s="243" t="s">
        <v>183</v>
      </c>
      <c r="K166" s="243" t="s">
        <v>184</v>
      </c>
      <c r="L166" s="243" t="s">
        <v>185</v>
      </c>
      <c r="M166" s="243" t="s">
        <v>186</v>
      </c>
      <c r="N166" s="243" t="s">
        <v>187</v>
      </c>
      <c r="O166" s="243" t="s">
        <v>188</v>
      </c>
      <c r="P166" s="243" t="s">
        <v>189</v>
      </c>
      <c r="Q166" s="243" t="s">
        <v>190</v>
      </c>
      <c r="R166" s="243" t="s">
        <v>191</v>
      </c>
      <c r="S166" s="243" t="s">
        <v>192</v>
      </c>
      <c r="T166" s="243" t="s">
        <v>193</v>
      </c>
      <c r="U166" s="243" t="s">
        <v>194</v>
      </c>
      <c r="V166" s="243" t="s">
        <v>195</v>
      </c>
      <c r="W166" s="243" t="s">
        <v>196</v>
      </c>
      <c r="X166" s="243" t="s">
        <v>197</v>
      </c>
      <c r="Y166" s="243" t="s">
        <v>198</v>
      </c>
      <c r="Z166" s="243" t="s">
        <v>199</v>
      </c>
      <c r="AA166" s="243" t="s">
        <v>200</v>
      </c>
      <c r="AB166" s="243" t="s">
        <v>201</v>
      </c>
      <c r="AC166" s="244" t="s">
        <v>202</v>
      </c>
      <c r="AD166" s="9"/>
    </row>
    <row r="167" spans="1:30" ht="22.5" x14ac:dyDescent="0.2">
      <c r="A167" s="9"/>
      <c r="B167" s="25" t="s">
        <v>203</v>
      </c>
      <c r="C167" s="241" t="s">
        <v>8</v>
      </c>
      <c r="D167" s="245" t="b">
        <f>E167=100%</f>
        <v>0</v>
      </c>
      <c r="E167" s="246">
        <f>SUM(F167:AC167)</f>
        <v>0</v>
      </c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  <c r="AA167" s="247"/>
      <c r="AB167" s="247"/>
      <c r="AC167" s="248"/>
      <c r="AD167" s="171"/>
    </row>
    <row r="168" spans="1:30" ht="22.5" x14ac:dyDescent="0.2">
      <c r="A168" s="9"/>
      <c r="B168" s="25" t="s">
        <v>204</v>
      </c>
      <c r="C168" s="241" t="s">
        <v>8</v>
      </c>
      <c r="D168" s="245" t="b">
        <f t="shared" ref="D168:D172" si="44">E168=100%</f>
        <v>1</v>
      </c>
      <c r="E168" s="246">
        <f t="shared" ref="E168:E174" si="45">SUM(F168:AC168)</f>
        <v>1.0000000000000004</v>
      </c>
      <c r="F168" s="247">
        <f t="shared" ref="F168:AC168" si="46">F189/$E$189</f>
        <v>0</v>
      </c>
      <c r="G168" s="247">
        <f t="shared" si="46"/>
        <v>0</v>
      </c>
      <c r="H168" s="247">
        <f t="shared" si="46"/>
        <v>4.0914176766449907E-2</v>
      </c>
      <c r="I168" s="247">
        <f t="shared" si="46"/>
        <v>8.1278149077322379E-2</v>
      </c>
      <c r="J168" s="247">
        <f t="shared" si="46"/>
        <v>8.5749588178583525E-2</v>
      </c>
      <c r="K168" s="247">
        <f t="shared" si="46"/>
        <v>7.6383365108841222E-2</v>
      </c>
      <c r="L168" s="247">
        <f t="shared" si="46"/>
        <v>7.7623190257600144E-2</v>
      </c>
      <c r="M168" s="247">
        <f t="shared" si="46"/>
        <v>7.90433494412702E-2</v>
      </c>
      <c r="N168" s="247">
        <f t="shared" si="46"/>
        <v>8.4252064009850247E-2</v>
      </c>
      <c r="O168" s="247">
        <f t="shared" si="46"/>
        <v>8.1950516087617789E-2</v>
      </c>
      <c r="P168" s="247">
        <f t="shared" si="46"/>
        <v>0.17077371118711002</v>
      </c>
      <c r="Q168" s="247">
        <f t="shared" si="46"/>
        <v>0.2001370665977685</v>
      </c>
      <c r="R168" s="247">
        <f t="shared" si="46"/>
        <v>1.7051978259876834E-2</v>
      </c>
      <c r="S168" s="247">
        <f t="shared" si="46"/>
        <v>4.8428450277094252E-3</v>
      </c>
      <c r="T168" s="247">
        <f t="shared" si="46"/>
        <v>0</v>
      </c>
      <c r="U168" s="247">
        <f t="shared" si="46"/>
        <v>0</v>
      </c>
      <c r="V168" s="247">
        <f t="shared" si="46"/>
        <v>0</v>
      </c>
      <c r="W168" s="247">
        <f t="shared" si="46"/>
        <v>0</v>
      </c>
      <c r="X168" s="247">
        <f t="shared" si="46"/>
        <v>0</v>
      </c>
      <c r="Y168" s="247">
        <f t="shared" si="46"/>
        <v>0</v>
      </c>
      <c r="Z168" s="247">
        <f t="shared" si="46"/>
        <v>0</v>
      </c>
      <c r="AA168" s="247">
        <f t="shared" si="46"/>
        <v>0</v>
      </c>
      <c r="AB168" s="247">
        <f t="shared" si="46"/>
        <v>0</v>
      </c>
      <c r="AC168" s="248">
        <f t="shared" si="46"/>
        <v>0</v>
      </c>
      <c r="AD168" s="171"/>
    </row>
    <row r="169" spans="1:30" ht="22.5" x14ac:dyDescent="0.2">
      <c r="A169" s="9"/>
      <c r="B169" s="25" t="s">
        <v>205</v>
      </c>
      <c r="C169" s="241" t="s">
        <v>8</v>
      </c>
      <c r="D169" s="245" t="b">
        <f t="shared" si="44"/>
        <v>1</v>
      </c>
      <c r="E169" s="246">
        <f t="shared" si="45"/>
        <v>1</v>
      </c>
      <c r="F169" s="247">
        <f>F191/$E$191</f>
        <v>0</v>
      </c>
      <c r="G169" s="247">
        <f t="shared" ref="G169:AC169" si="47">G191/$E$191</f>
        <v>0</v>
      </c>
      <c r="H169" s="247">
        <f t="shared" si="47"/>
        <v>0</v>
      </c>
      <c r="I169" s="247">
        <f t="shared" si="47"/>
        <v>0</v>
      </c>
      <c r="J169" s="247">
        <f t="shared" si="47"/>
        <v>0</v>
      </c>
      <c r="K169" s="247">
        <f t="shared" si="47"/>
        <v>0</v>
      </c>
      <c r="L169" s="247">
        <f t="shared" si="47"/>
        <v>0</v>
      </c>
      <c r="M169" s="247">
        <f t="shared" si="47"/>
        <v>0</v>
      </c>
      <c r="N169" s="247">
        <f t="shared" si="47"/>
        <v>0</v>
      </c>
      <c r="O169" s="247">
        <f t="shared" si="47"/>
        <v>0</v>
      </c>
      <c r="P169" s="247">
        <f t="shared" si="47"/>
        <v>0</v>
      </c>
      <c r="Q169" s="247">
        <f t="shared" si="47"/>
        <v>0</v>
      </c>
      <c r="R169" s="247">
        <f t="shared" si="47"/>
        <v>0</v>
      </c>
      <c r="S169" s="247">
        <f t="shared" si="47"/>
        <v>0</v>
      </c>
      <c r="T169" s="247">
        <f>T191/$E$191</f>
        <v>0</v>
      </c>
      <c r="U169" s="247">
        <f>U191/$E$191</f>
        <v>0</v>
      </c>
      <c r="V169" s="247">
        <f>V191/$E$191</f>
        <v>1</v>
      </c>
      <c r="W169" s="247">
        <f>W191/$E$191</f>
        <v>0</v>
      </c>
      <c r="X169" s="247">
        <f t="shared" si="47"/>
        <v>0</v>
      </c>
      <c r="Y169" s="247">
        <f t="shared" si="47"/>
        <v>0</v>
      </c>
      <c r="Z169" s="247">
        <f t="shared" si="47"/>
        <v>0</v>
      </c>
      <c r="AA169" s="247">
        <f t="shared" si="47"/>
        <v>0</v>
      </c>
      <c r="AB169" s="247">
        <f t="shared" si="47"/>
        <v>0</v>
      </c>
      <c r="AC169" s="248">
        <f t="shared" si="47"/>
        <v>0</v>
      </c>
      <c r="AD169" s="171"/>
    </row>
    <row r="170" spans="1:30" ht="22.5" x14ac:dyDescent="0.2">
      <c r="A170" s="9"/>
      <c r="B170" s="25" t="s">
        <v>206</v>
      </c>
      <c r="C170" s="241" t="s">
        <v>8</v>
      </c>
      <c r="D170" s="245" t="b">
        <f t="shared" si="44"/>
        <v>1</v>
      </c>
      <c r="E170" s="246">
        <f t="shared" si="45"/>
        <v>0.99999999999999989</v>
      </c>
      <c r="F170" s="247">
        <f t="shared" ref="F170:AC170" si="48">F214/$C$214</f>
        <v>6.6666666666666666E-2</v>
      </c>
      <c r="G170" s="247">
        <f t="shared" si="48"/>
        <v>6.6666666666666666E-2</v>
      </c>
      <c r="H170" s="247">
        <f t="shared" si="48"/>
        <v>6.6666666666666666E-2</v>
      </c>
      <c r="I170" s="247">
        <f t="shared" si="48"/>
        <v>6.6666666666666666E-2</v>
      </c>
      <c r="J170" s="247">
        <f t="shared" si="48"/>
        <v>6.6666666666666666E-2</v>
      </c>
      <c r="K170" s="247">
        <f t="shared" si="48"/>
        <v>6.6666666666666666E-2</v>
      </c>
      <c r="L170" s="247">
        <f t="shared" si="48"/>
        <v>6.6666666666666666E-2</v>
      </c>
      <c r="M170" s="247">
        <f t="shared" si="48"/>
        <v>6.6666666666666666E-2</v>
      </c>
      <c r="N170" s="247">
        <f t="shared" si="48"/>
        <v>6.6666666666666666E-2</v>
      </c>
      <c r="O170" s="247">
        <f t="shared" si="48"/>
        <v>6.6666666666666666E-2</v>
      </c>
      <c r="P170" s="247">
        <f t="shared" si="48"/>
        <v>6.6666666666666666E-2</v>
      </c>
      <c r="Q170" s="247">
        <f t="shared" si="48"/>
        <v>6.6666666666666666E-2</v>
      </c>
      <c r="R170" s="247">
        <f t="shared" si="48"/>
        <v>6.6666666666666666E-2</v>
      </c>
      <c r="S170" s="247">
        <f t="shared" si="48"/>
        <v>6.6666666666666666E-2</v>
      </c>
      <c r="T170" s="247">
        <f t="shared" si="48"/>
        <v>6.6666666666666666E-2</v>
      </c>
      <c r="U170" s="247">
        <f t="shared" si="48"/>
        <v>0</v>
      </c>
      <c r="V170" s="247">
        <f t="shared" si="48"/>
        <v>0</v>
      </c>
      <c r="W170" s="247">
        <f t="shared" si="48"/>
        <v>0</v>
      </c>
      <c r="X170" s="247">
        <f t="shared" si="48"/>
        <v>0</v>
      </c>
      <c r="Y170" s="247">
        <f t="shared" si="48"/>
        <v>0</v>
      </c>
      <c r="Z170" s="247">
        <f t="shared" si="48"/>
        <v>0</v>
      </c>
      <c r="AA170" s="247">
        <f t="shared" si="48"/>
        <v>0</v>
      </c>
      <c r="AB170" s="247">
        <f t="shared" si="48"/>
        <v>0</v>
      </c>
      <c r="AC170" s="248">
        <f t="shared" si="48"/>
        <v>0</v>
      </c>
      <c r="AD170" s="171"/>
    </row>
    <row r="171" spans="1:30" ht="22.5" x14ac:dyDescent="0.2">
      <c r="A171" s="9"/>
      <c r="B171" s="25" t="s">
        <v>207</v>
      </c>
      <c r="C171" s="241" t="s">
        <v>8</v>
      </c>
      <c r="D171" s="245" t="b">
        <f>E171=100%</f>
        <v>0</v>
      </c>
      <c r="E171" s="246">
        <f t="shared" si="45"/>
        <v>0</v>
      </c>
      <c r="F171" s="249">
        <v>0</v>
      </c>
      <c r="G171" s="249">
        <v>0</v>
      </c>
      <c r="H171" s="249">
        <v>0</v>
      </c>
      <c r="I171" s="249">
        <v>0</v>
      </c>
      <c r="J171" s="249">
        <v>0</v>
      </c>
      <c r="K171" s="249">
        <v>0</v>
      </c>
      <c r="L171" s="249">
        <v>0</v>
      </c>
      <c r="M171" s="249">
        <v>0</v>
      </c>
      <c r="N171" s="249">
        <v>0</v>
      </c>
      <c r="O171" s="249">
        <v>0</v>
      </c>
      <c r="P171" s="249">
        <v>0</v>
      </c>
      <c r="Q171" s="249">
        <v>0</v>
      </c>
      <c r="R171" s="249">
        <v>0</v>
      </c>
      <c r="S171" s="249">
        <v>0</v>
      </c>
      <c r="T171" s="249">
        <v>0</v>
      </c>
      <c r="U171" s="249">
        <v>0</v>
      </c>
      <c r="V171" s="249">
        <v>0</v>
      </c>
      <c r="W171" s="249">
        <v>0</v>
      </c>
      <c r="X171" s="249">
        <v>0</v>
      </c>
      <c r="Y171" s="249">
        <v>0</v>
      </c>
      <c r="Z171" s="249">
        <v>0</v>
      </c>
      <c r="AA171" s="249">
        <v>0</v>
      </c>
      <c r="AB171" s="249">
        <v>0</v>
      </c>
      <c r="AC171" s="250">
        <v>0</v>
      </c>
      <c r="AD171" s="171"/>
    </row>
    <row r="172" spans="1:30" ht="22.5" x14ac:dyDescent="0.2">
      <c r="A172" s="9"/>
      <c r="B172" s="25" t="s">
        <v>208</v>
      </c>
      <c r="C172" s="241" t="s">
        <v>8</v>
      </c>
      <c r="D172" s="245" t="b">
        <f t="shared" si="44"/>
        <v>1</v>
      </c>
      <c r="E172" s="246">
        <f t="shared" si="45"/>
        <v>1</v>
      </c>
      <c r="F172" s="249">
        <v>0</v>
      </c>
      <c r="G172" s="249">
        <v>0</v>
      </c>
      <c r="H172" s="249">
        <v>0</v>
      </c>
      <c r="I172" s="249">
        <v>0</v>
      </c>
      <c r="J172" s="249">
        <v>0</v>
      </c>
      <c r="K172" s="249">
        <v>0</v>
      </c>
      <c r="L172" s="249">
        <v>0</v>
      </c>
      <c r="M172" s="249">
        <v>0</v>
      </c>
      <c r="N172" s="249">
        <v>0</v>
      </c>
      <c r="O172" s="249">
        <v>0</v>
      </c>
      <c r="P172" s="249">
        <v>0</v>
      </c>
      <c r="Q172" s="249">
        <v>0</v>
      </c>
      <c r="R172" s="249">
        <v>0.05</v>
      </c>
      <c r="S172" s="249">
        <v>0.1</v>
      </c>
      <c r="T172" s="249">
        <v>0.4</v>
      </c>
      <c r="U172" s="249">
        <v>0.45</v>
      </c>
      <c r="V172" s="249">
        <v>0</v>
      </c>
      <c r="W172" s="249">
        <v>0</v>
      </c>
      <c r="X172" s="249">
        <v>0</v>
      </c>
      <c r="Y172" s="249">
        <v>0</v>
      </c>
      <c r="Z172" s="249">
        <v>0</v>
      </c>
      <c r="AA172" s="249">
        <v>0</v>
      </c>
      <c r="AB172" s="249">
        <v>0</v>
      </c>
      <c r="AC172" s="250">
        <v>0</v>
      </c>
      <c r="AD172" s="171"/>
    </row>
    <row r="173" spans="1:30" ht="22.5" x14ac:dyDescent="0.2">
      <c r="A173" s="9"/>
      <c r="B173" s="25" t="s">
        <v>209</v>
      </c>
      <c r="C173" s="241" t="s">
        <v>8</v>
      </c>
      <c r="D173" s="245" t="b">
        <f>E173=100%</f>
        <v>0</v>
      </c>
      <c r="E173" s="246">
        <f t="shared" si="45"/>
        <v>0</v>
      </c>
      <c r="F173" s="249">
        <v>0</v>
      </c>
      <c r="G173" s="249">
        <v>0</v>
      </c>
      <c r="H173" s="249">
        <v>0</v>
      </c>
      <c r="I173" s="249">
        <v>0</v>
      </c>
      <c r="J173" s="249">
        <v>0</v>
      </c>
      <c r="K173" s="249">
        <v>0</v>
      </c>
      <c r="L173" s="249">
        <v>0</v>
      </c>
      <c r="M173" s="249">
        <v>0</v>
      </c>
      <c r="N173" s="249">
        <v>0</v>
      </c>
      <c r="O173" s="249">
        <v>0</v>
      </c>
      <c r="P173" s="249">
        <v>0</v>
      </c>
      <c r="Q173" s="249">
        <v>0</v>
      </c>
      <c r="R173" s="249">
        <v>0</v>
      </c>
      <c r="S173" s="249">
        <v>0</v>
      </c>
      <c r="T173" s="249">
        <v>0</v>
      </c>
      <c r="U173" s="249">
        <v>0</v>
      </c>
      <c r="V173" s="249">
        <v>0</v>
      </c>
      <c r="W173" s="249">
        <v>0</v>
      </c>
      <c r="X173" s="249">
        <v>0</v>
      </c>
      <c r="Y173" s="249">
        <v>0</v>
      </c>
      <c r="Z173" s="249">
        <v>0</v>
      </c>
      <c r="AA173" s="249">
        <v>0</v>
      </c>
      <c r="AB173" s="249">
        <v>0</v>
      </c>
      <c r="AC173" s="250">
        <v>0</v>
      </c>
      <c r="AD173" s="171"/>
    </row>
    <row r="174" spans="1:30" ht="22.5" x14ac:dyDescent="0.2">
      <c r="A174" s="9"/>
      <c r="B174" s="25" t="s">
        <v>210</v>
      </c>
      <c r="C174" s="241" t="s">
        <v>8</v>
      </c>
      <c r="D174" s="245" t="b">
        <f>E174=100%</f>
        <v>1</v>
      </c>
      <c r="E174" s="246">
        <f t="shared" si="45"/>
        <v>1</v>
      </c>
      <c r="F174" s="249">
        <v>0</v>
      </c>
      <c r="G174" s="249">
        <v>0</v>
      </c>
      <c r="H174" s="249">
        <v>0</v>
      </c>
      <c r="I174" s="249">
        <v>0</v>
      </c>
      <c r="J174" s="249">
        <v>0</v>
      </c>
      <c r="K174" s="249">
        <v>0</v>
      </c>
      <c r="L174" s="249">
        <v>0</v>
      </c>
      <c r="M174" s="249">
        <v>0</v>
      </c>
      <c r="N174" s="249">
        <v>0</v>
      </c>
      <c r="O174" s="249">
        <v>0</v>
      </c>
      <c r="P174" s="249">
        <v>0</v>
      </c>
      <c r="Q174" s="249">
        <v>0</v>
      </c>
      <c r="R174" s="249">
        <v>0</v>
      </c>
      <c r="S174" s="249">
        <v>0</v>
      </c>
      <c r="T174" s="249">
        <v>0</v>
      </c>
      <c r="U174" s="249">
        <v>0</v>
      </c>
      <c r="V174" s="249">
        <v>1</v>
      </c>
      <c r="W174" s="249">
        <v>0</v>
      </c>
      <c r="X174" s="249">
        <v>0</v>
      </c>
      <c r="Y174" s="249">
        <v>0</v>
      </c>
      <c r="Z174" s="249">
        <v>0</v>
      </c>
      <c r="AA174" s="249">
        <v>0</v>
      </c>
      <c r="AB174" s="249">
        <v>0</v>
      </c>
      <c r="AC174" s="250">
        <v>0</v>
      </c>
      <c r="AD174" s="171"/>
    </row>
    <row r="175" spans="1:30" ht="23.25" thickBot="1" x14ac:dyDescent="0.25">
      <c r="A175" s="9"/>
      <c r="B175" s="251" t="s">
        <v>211</v>
      </c>
      <c r="C175" s="252" t="s">
        <v>8</v>
      </c>
      <c r="D175" s="253" t="b">
        <f>E175=100%</f>
        <v>1</v>
      </c>
      <c r="E175" s="254">
        <f>SUM(F175:AC175)</f>
        <v>0.99999999999999978</v>
      </c>
      <c r="F175" s="255">
        <v>0</v>
      </c>
      <c r="G175" s="255">
        <v>0</v>
      </c>
      <c r="H175" s="255">
        <v>0.2</v>
      </c>
      <c r="I175" s="256">
        <v>0.1</v>
      </c>
      <c r="J175" s="256">
        <v>0.1</v>
      </c>
      <c r="K175" s="256">
        <v>0.09</v>
      </c>
      <c r="L175" s="256">
        <v>8.5000000000000006E-2</v>
      </c>
      <c r="M175" s="256">
        <v>8.5000000000000006E-2</v>
      </c>
      <c r="N175" s="256">
        <v>8.5000000000000006E-2</v>
      </c>
      <c r="O175" s="256">
        <v>8.5000000000000006E-2</v>
      </c>
      <c r="P175" s="256">
        <v>8.5000000000000006E-2</v>
      </c>
      <c r="Q175" s="256">
        <v>8.5000000000000006E-2</v>
      </c>
      <c r="R175" s="256"/>
      <c r="S175" s="255">
        <v>0</v>
      </c>
      <c r="T175" s="255">
        <v>0</v>
      </c>
      <c r="U175" s="255">
        <v>0</v>
      </c>
      <c r="V175" s="255">
        <v>0</v>
      </c>
      <c r="W175" s="255">
        <v>0</v>
      </c>
      <c r="X175" s="255">
        <v>0</v>
      </c>
      <c r="Y175" s="255">
        <v>0</v>
      </c>
      <c r="Z175" s="255">
        <v>0</v>
      </c>
      <c r="AA175" s="255">
        <v>0</v>
      </c>
      <c r="AB175" s="255">
        <v>0</v>
      </c>
      <c r="AC175" s="257">
        <v>0</v>
      </c>
      <c r="AD175" s="171"/>
    </row>
    <row r="176" spans="1:30" ht="12" thickBot="1" x14ac:dyDescent="0.25">
      <c r="A176" s="9"/>
      <c r="AD176" s="171"/>
    </row>
    <row r="177" spans="1:30" x14ac:dyDescent="0.2">
      <c r="A177" s="9"/>
      <c r="B177" s="258" t="s">
        <v>212</v>
      </c>
      <c r="C177" s="259"/>
      <c r="D177" s="259"/>
      <c r="E177" s="260" t="s">
        <v>213</v>
      </c>
      <c r="F177" s="261">
        <v>45756</v>
      </c>
      <c r="G177" s="261">
        <f>EOMONTH(F177,3)</f>
        <v>45869</v>
      </c>
      <c r="H177" s="261">
        <f t="shared" ref="H177:AC177" si="49">EOMONTH(G177,3)</f>
        <v>45961</v>
      </c>
      <c r="I177" s="261">
        <f t="shared" si="49"/>
        <v>46053</v>
      </c>
      <c r="J177" s="261">
        <f t="shared" si="49"/>
        <v>46142</v>
      </c>
      <c r="K177" s="261">
        <f t="shared" si="49"/>
        <v>46234</v>
      </c>
      <c r="L177" s="261">
        <f t="shared" si="49"/>
        <v>46326</v>
      </c>
      <c r="M177" s="261">
        <f t="shared" si="49"/>
        <v>46418</v>
      </c>
      <c r="N177" s="261">
        <f t="shared" si="49"/>
        <v>46507</v>
      </c>
      <c r="O177" s="261">
        <f t="shared" si="49"/>
        <v>46599</v>
      </c>
      <c r="P177" s="261">
        <f t="shared" si="49"/>
        <v>46691</v>
      </c>
      <c r="Q177" s="261">
        <f t="shared" si="49"/>
        <v>46783</v>
      </c>
      <c r="R177" s="261">
        <f t="shared" si="49"/>
        <v>46873</v>
      </c>
      <c r="S177" s="261">
        <f t="shared" si="49"/>
        <v>46965</v>
      </c>
      <c r="T177" s="261">
        <f t="shared" si="49"/>
        <v>47057</v>
      </c>
      <c r="U177" s="261">
        <f t="shared" si="49"/>
        <v>47149</v>
      </c>
      <c r="V177" s="261">
        <f t="shared" si="49"/>
        <v>47238</v>
      </c>
      <c r="W177" s="261">
        <f t="shared" si="49"/>
        <v>47330</v>
      </c>
      <c r="X177" s="261">
        <f t="shared" si="49"/>
        <v>47422</v>
      </c>
      <c r="Y177" s="261">
        <f t="shared" si="49"/>
        <v>47514</v>
      </c>
      <c r="Z177" s="261">
        <f t="shared" si="49"/>
        <v>47603</v>
      </c>
      <c r="AA177" s="261">
        <f t="shared" si="49"/>
        <v>47695</v>
      </c>
      <c r="AB177" s="261">
        <f t="shared" si="49"/>
        <v>47787</v>
      </c>
      <c r="AC177" s="262">
        <f t="shared" si="49"/>
        <v>47879</v>
      </c>
      <c r="AD177" s="171"/>
    </row>
    <row r="178" spans="1:30" x14ac:dyDescent="0.2">
      <c r="A178" s="9"/>
      <c r="B178" s="263" t="s">
        <v>214</v>
      </c>
      <c r="C178" s="264"/>
      <c r="D178" s="264"/>
      <c r="E178" s="264"/>
      <c r="F178" s="17">
        <f>F189</f>
        <v>0</v>
      </c>
      <c r="G178" s="17">
        <f t="shared" ref="G178:AC178" si="50">F178+G189+G191</f>
        <v>0</v>
      </c>
      <c r="H178" s="17">
        <f t="shared" si="50"/>
        <v>2958942.7072627004</v>
      </c>
      <c r="I178" s="17">
        <f t="shared" si="50"/>
        <v>8837036.9396111369</v>
      </c>
      <c r="J178" s="17">
        <f t="shared" si="50"/>
        <v>15038508.865593027</v>
      </c>
      <c r="K178" s="17">
        <f t="shared" si="50"/>
        <v>20562608.798854399</v>
      </c>
      <c r="L178" s="17">
        <f t="shared" si="50"/>
        <v>26176373.779102843</v>
      </c>
      <c r="M178" s="17">
        <f t="shared" si="50"/>
        <v>31892845.69351887</v>
      </c>
      <c r="N178" s="17">
        <f t="shared" si="50"/>
        <v>37986015.593938395</v>
      </c>
      <c r="O178" s="17">
        <f t="shared" si="50"/>
        <v>43912735.892334163</v>
      </c>
      <c r="P178" s="17">
        <f t="shared" si="50"/>
        <v>56263213.581125043</v>
      </c>
      <c r="Q178" s="17">
        <f t="shared" si="50"/>
        <v>70737270.264284864</v>
      </c>
      <c r="R178" s="17">
        <f t="shared" si="50"/>
        <v>71970481.603339329</v>
      </c>
      <c r="S178" s="17">
        <f t="shared" si="50"/>
        <v>72320719.640852392</v>
      </c>
      <c r="T178" s="17">
        <f t="shared" si="50"/>
        <v>72320719.640852392</v>
      </c>
      <c r="U178" s="17">
        <f t="shared" si="50"/>
        <v>72320719.640852392</v>
      </c>
      <c r="V178" s="17">
        <f t="shared" si="50"/>
        <v>0</v>
      </c>
      <c r="W178" s="17">
        <f t="shared" si="50"/>
        <v>0</v>
      </c>
      <c r="X178" s="17">
        <f t="shared" si="50"/>
        <v>0</v>
      </c>
      <c r="Y178" s="17">
        <f t="shared" si="50"/>
        <v>0</v>
      </c>
      <c r="Z178" s="17">
        <f t="shared" si="50"/>
        <v>0</v>
      </c>
      <c r="AA178" s="17">
        <f t="shared" si="50"/>
        <v>0</v>
      </c>
      <c r="AB178" s="17">
        <f t="shared" si="50"/>
        <v>0</v>
      </c>
      <c r="AC178" s="85">
        <f t="shared" si="50"/>
        <v>0</v>
      </c>
      <c r="AD178" s="171"/>
    </row>
    <row r="179" spans="1:30" ht="22.5" x14ac:dyDescent="0.2">
      <c r="A179" s="9"/>
      <c r="B179" s="25" t="s">
        <v>19</v>
      </c>
      <c r="C179" s="17" t="s">
        <v>215</v>
      </c>
      <c r="D179" s="242" t="s">
        <v>8</v>
      </c>
      <c r="E179" s="17" t="s">
        <v>216</v>
      </c>
      <c r="F179" s="243" t="s">
        <v>179</v>
      </c>
      <c r="G179" s="243" t="s">
        <v>180</v>
      </c>
      <c r="H179" s="243" t="s">
        <v>181</v>
      </c>
      <c r="I179" s="243" t="s">
        <v>182</v>
      </c>
      <c r="J179" s="243" t="s">
        <v>183</v>
      </c>
      <c r="K179" s="243" t="s">
        <v>184</v>
      </c>
      <c r="L179" s="243" t="s">
        <v>185</v>
      </c>
      <c r="M179" s="243" t="s">
        <v>186</v>
      </c>
      <c r="N179" s="243" t="s">
        <v>187</v>
      </c>
      <c r="O179" s="243" t="s">
        <v>188</v>
      </c>
      <c r="P179" s="243" t="s">
        <v>189</v>
      </c>
      <c r="Q179" s="243" t="s">
        <v>190</v>
      </c>
      <c r="R179" s="243" t="s">
        <v>191</v>
      </c>
      <c r="S179" s="243" t="s">
        <v>192</v>
      </c>
      <c r="T179" s="243" t="s">
        <v>193</v>
      </c>
      <c r="U179" s="243" t="s">
        <v>194</v>
      </c>
      <c r="V179" s="243" t="s">
        <v>195</v>
      </c>
      <c r="W179" s="243" t="s">
        <v>196</v>
      </c>
      <c r="X179" s="243" t="s">
        <v>197</v>
      </c>
      <c r="Y179" s="243" t="s">
        <v>198</v>
      </c>
      <c r="Z179" s="243" t="s">
        <v>199</v>
      </c>
      <c r="AA179" s="243" t="s">
        <v>200</v>
      </c>
      <c r="AB179" s="243" t="s">
        <v>201</v>
      </c>
      <c r="AC179" s="244" t="s">
        <v>202</v>
      </c>
      <c r="AD179" s="171"/>
    </row>
    <row r="180" spans="1:30" ht="22.5" x14ac:dyDescent="0.2">
      <c r="A180" s="9"/>
      <c r="B180" s="265" t="s">
        <v>29</v>
      </c>
      <c r="C180" s="266">
        <f>H19</f>
        <v>62000000</v>
      </c>
      <c r="D180" s="245" t="b">
        <f>IF(ABS(E180 - C180) &lt; MAX(0.00001, E180 * 0.00001), TRUE, FALSE)</f>
        <v>1</v>
      </c>
      <c r="E180" s="266">
        <f>SUM(F180:AC180)</f>
        <v>62000000</v>
      </c>
      <c r="F180" s="11">
        <f>C180</f>
        <v>62000000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2">
        <v>0</v>
      </c>
      <c r="AD180" s="171"/>
    </row>
    <row r="181" spans="1:30" ht="22.5" x14ac:dyDescent="0.2">
      <c r="A181" s="9"/>
      <c r="B181" s="265" t="s">
        <v>33</v>
      </c>
      <c r="C181" s="266">
        <f>H21</f>
        <v>0</v>
      </c>
      <c r="D181" s="245" t="b">
        <f t="shared" ref="D181:D187" si="51">IF(ABS(E181 - C181) &lt; MAX(0.00001, E181 * 0.00001), TRUE, FALSE)</f>
        <v>1</v>
      </c>
      <c r="E181" s="266">
        <f t="shared" ref="E181:E187" si="52">SUM(F181:AC181)</f>
        <v>0</v>
      </c>
      <c r="F181" s="11">
        <f>C181</f>
        <v>0</v>
      </c>
      <c r="G181" s="267">
        <v>0</v>
      </c>
      <c r="H181" s="267">
        <v>0</v>
      </c>
      <c r="I181" s="267">
        <v>0</v>
      </c>
      <c r="J181" s="267">
        <v>0</v>
      </c>
      <c r="K181" s="267">
        <v>0</v>
      </c>
      <c r="L181" s="267">
        <v>0</v>
      </c>
      <c r="M181" s="267">
        <v>0</v>
      </c>
      <c r="N181" s="267">
        <v>0</v>
      </c>
      <c r="O181" s="267">
        <v>0</v>
      </c>
      <c r="P181" s="267">
        <v>0</v>
      </c>
      <c r="Q181" s="267">
        <v>0</v>
      </c>
      <c r="R181" s="267">
        <v>0</v>
      </c>
      <c r="S181" s="267">
        <v>0</v>
      </c>
      <c r="T181" s="267">
        <v>0</v>
      </c>
      <c r="U181" s="267">
        <v>0</v>
      </c>
      <c r="V181" s="267">
        <v>0</v>
      </c>
      <c r="W181" s="267">
        <v>0</v>
      </c>
      <c r="X181" s="267">
        <v>0</v>
      </c>
      <c r="Y181" s="267">
        <v>0</v>
      </c>
      <c r="Z181" s="267">
        <v>0</v>
      </c>
      <c r="AA181" s="267">
        <v>0</v>
      </c>
      <c r="AB181" s="267">
        <v>0</v>
      </c>
      <c r="AC181" s="268">
        <v>0</v>
      </c>
      <c r="AD181" s="171"/>
    </row>
    <row r="182" spans="1:30" ht="22.5" x14ac:dyDescent="0.2">
      <c r="A182" s="9"/>
      <c r="B182" s="265" t="s">
        <v>36</v>
      </c>
      <c r="C182" s="266">
        <f>H22</f>
        <v>12557902.5</v>
      </c>
      <c r="D182" s="245" t="b">
        <f t="shared" si="51"/>
        <v>0</v>
      </c>
      <c r="E182" s="266">
        <f>SUM(F182:AC182)</f>
        <v>0</v>
      </c>
      <c r="F182" s="11">
        <f>((-$D$104*F196)+(-$E$104*F196))*$J$22</f>
        <v>0</v>
      </c>
      <c r="G182" s="11">
        <f>((-$D$104*G196)+(-$E$104*G196))*$J$22</f>
        <v>0</v>
      </c>
      <c r="H182" s="11">
        <f>((-$D$104*H196)+(-$E$104*H196))*$J$22</f>
        <v>0</v>
      </c>
      <c r="I182" s="11">
        <f t="shared" ref="I182:AC182" si="53">((-$D$104*I196)+(-$E$104*I196))*$J$22</f>
        <v>0</v>
      </c>
      <c r="J182" s="11">
        <f t="shared" si="53"/>
        <v>0</v>
      </c>
      <c r="K182" s="11">
        <f t="shared" si="53"/>
        <v>0</v>
      </c>
      <c r="L182" s="11">
        <f t="shared" si="53"/>
        <v>0</v>
      </c>
      <c r="M182" s="11">
        <f t="shared" si="53"/>
        <v>0</v>
      </c>
      <c r="N182" s="11">
        <f t="shared" si="53"/>
        <v>0</v>
      </c>
      <c r="O182" s="11">
        <f t="shared" si="53"/>
        <v>0</v>
      </c>
      <c r="P182" s="11">
        <f t="shared" si="53"/>
        <v>0</v>
      </c>
      <c r="Q182" s="11">
        <f t="shared" si="53"/>
        <v>0</v>
      </c>
      <c r="R182" s="11">
        <f t="shared" si="53"/>
        <v>0</v>
      </c>
      <c r="S182" s="11">
        <f t="shared" si="53"/>
        <v>0</v>
      </c>
      <c r="T182" s="11">
        <f t="shared" si="53"/>
        <v>0</v>
      </c>
      <c r="U182" s="11">
        <f t="shared" si="53"/>
        <v>0</v>
      </c>
      <c r="V182" s="11">
        <f t="shared" si="53"/>
        <v>0</v>
      </c>
      <c r="W182" s="11">
        <f t="shared" si="53"/>
        <v>0</v>
      </c>
      <c r="X182" s="11">
        <f t="shared" si="53"/>
        <v>0</v>
      </c>
      <c r="Y182" s="11">
        <f t="shared" si="53"/>
        <v>0</v>
      </c>
      <c r="Z182" s="11">
        <f t="shared" si="53"/>
        <v>0</v>
      </c>
      <c r="AA182" s="11">
        <f t="shared" si="53"/>
        <v>0</v>
      </c>
      <c r="AB182" s="11">
        <f t="shared" si="53"/>
        <v>0</v>
      </c>
      <c r="AC182" s="268">
        <f t="shared" si="53"/>
        <v>0</v>
      </c>
      <c r="AD182" s="171"/>
    </row>
    <row r="183" spans="1:30" ht="22.5" x14ac:dyDescent="0.2">
      <c r="A183" s="9"/>
      <c r="B183" s="265" t="s">
        <v>38</v>
      </c>
      <c r="C183" s="266">
        <f>H23</f>
        <v>15005250</v>
      </c>
      <c r="D183" s="245" t="b">
        <f t="shared" si="51"/>
        <v>1</v>
      </c>
      <c r="E183" s="266">
        <f>SUM(F183:AC183)</f>
        <v>15005250</v>
      </c>
      <c r="F183" s="11">
        <f>C183</f>
        <v>15005250</v>
      </c>
      <c r="G183" s="267">
        <v>0</v>
      </c>
      <c r="H183" s="267">
        <v>0</v>
      </c>
      <c r="I183" s="267">
        <v>0</v>
      </c>
      <c r="J183" s="267">
        <v>0</v>
      </c>
      <c r="K183" s="267">
        <v>0</v>
      </c>
      <c r="L183" s="267">
        <v>0</v>
      </c>
      <c r="M183" s="267">
        <v>0</v>
      </c>
      <c r="N183" s="267">
        <v>0</v>
      </c>
      <c r="O183" s="267">
        <v>0</v>
      </c>
      <c r="P183" s="267">
        <v>0</v>
      </c>
      <c r="Q183" s="267">
        <v>0</v>
      </c>
      <c r="R183" s="267">
        <v>0</v>
      </c>
      <c r="S183" s="267">
        <v>0</v>
      </c>
      <c r="T183" s="267">
        <v>0</v>
      </c>
      <c r="U183" s="267">
        <v>0</v>
      </c>
      <c r="V183" s="267">
        <v>0</v>
      </c>
      <c r="W183" s="267">
        <v>0</v>
      </c>
      <c r="X183" s="267">
        <v>0</v>
      </c>
      <c r="Y183" s="267">
        <v>0</v>
      </c>
      <c r="Z183" s="267">
        <v>0</v>
      </c>
      <c r="AA183" s="267">
        <v>0</v>
      </c>
      <c r="AB183" s="267">
        <v>0</v>
      </c>
      <c r="AC183" s="268">
        <v>0</v>
      </c>
      <c r="AD183" s="171"/>
    </row>
    <row r="184" spans="1:30" ht="22.5" x14ac:dyDescent="0.2">
      <c r="A184" s="171"/>
      <c r="B184" s="25" t="s">
        <v>203</v>
      </c>
      <c r="C184" s="266">
        <f>AC139</f>
        <v>0</v>
      </c>
      <c r="D184" s="245" t="b">
        <f t="shared" si="51"/>
        <v>1</v>
      </c>
      <c r="E184" s="266">
        <f>SUM(F184:AC184)</f>
        <v>0</v>
      </c>
      <c r="F184" s="269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8"/>
      <c r="AD184" s="171"/>
    </row>
    <row r="185" spans="1:30" ht="22.5" x14ac:dyDescent="0.2">
      <c r="A185" s="171"/>
      <c r="B185" s="25" t="s">
        <v>156</v>
      </c>
      <c r="C185" s="266">
        <f>H157</f>
        <v>0</v>
      </c>
      <c r="D185" s="245" t="b">
        <f t="shared" si="51"/>
        <v>1</v>
      </c>
      <c r="E185" s="266">
        <f t="shared" si="52"/>
        <v>0</v>
      </c>
      <c r="F185" s="270">
        <f t="shared" ref="F185:AC185" si="54">$C$185*F171</f>
        <v>0</v>
      </c>
      <c r="G185" s="270">
        <f t="shared" si="54"/>
        <v>0</v>
      </c>
      <c r="H185" s="270">
        <f t="shared" si="54"/>
        <v>0</v>
      </c>
      <c r="I185" s="270">
        <f t="shared" si="54"/>
        <v>0</v>
      </c>
      <c r="J185" s="270">
        <f t="shared" si="54"/>
        <v>0</v>
      </c>
      <c r="K185" s="270">
        <f t="shared" si="54"/>
        <v>0</v>
      </c>
      <c r="L185" s="270">
        <f t="shared" si="54"/>
        <v>0</v>
      </c>
      <c r="M185" s="270">
        <f t="shared" si="54"/>
        <v>0</v>
      </c>
      <c r="N185" s="270">
        <f t="shared" si="54"/>
        <v>0</v>
      </c>
      <c r="O185" s="270">
        <f t="shared" si="54"/>
        <v>0</v>
      </c>
      <c r="P185" s="270">
        <f t="shared" si="54"/>
        <v>0</v>
      </c>
      <c r="Q185" s="270">
        <f t="shared" si="54"/>
        <v>0</v>
      </c>
      <c r="R185" s="270">
        <f t="shared" si="54"/>
        <v>0</v>
      </c>
      <c r="S185" s="270">
        <f t="shared" si="54"/>
        <v>0</v>
      </c>
      <c r="T185" s="270">
        <f t="shared" si="54"/>
        <v>0</v>
      </c>
      <c r="U185" s="270">
        <f t="shared" si="54"/>
        <v>0</v>
      </c>
      <c r="V185" s="270">
        <f t="shared" si="54"/>
        <v>0</v>
      </c>
      <c r="W185" s="270">
        <f t="shared" si="54"/>
        <v>0</v>
      </c>
      <c r="X185" s="270">
        <f t="shared" si="54"/>
        <v>0</v>
      </c>
      <c r="Y185" s="270">
        <f t="shared" si="54"/>
        <v>0</v>
      </c>
      <c r="Z185" s="270">
        <f t="shared" si="54"/>
        <v>0</v>
      </c>
      <c r="AA185" s="270">
        <f t="shared" si="54"/>
        <v>0</v>
      </c>
      <c r="AB185" s="270">
        <f t="shared" si="54"/>
        <v>0</v>
      </c>
      <c r="AC185" s="271">
        <f t="shared" si="54"/>
        <v>0</v>
      </c>
      <c r="AD185" s="171"/>
    </row>
    <row r="186" spans="1:30" ht="22.5" x14ac:dyDescent="0.2">
      <c r="A186" s="171"/>
      <c r="B186" s="25" t="s">
        <v>217</v>
      </c>
      <c r="C186" s="266">
        <f>X157</f>
        <v>21779550</v>
      </c>
      <c r="D186" s="245" t="b">
        <f t="shared" si="51"/>
        <v>1</v>
      </c>
      <c r="E186" s="266">
        <f>SUM(F186:AC186)</f>
        <v>21779550</v>
      </c>
      <c r="F186" s="17">
        <f t="shared" ref="F186:AC186" si="55">F172*$C$186</f>
        <v>0</v>
      </c>
      <c r="G186" s="17">
        <f t="shared" si="55"/>
        <v>0</v>
      </c>
      <c r="H186" s="17">
        <f t="shared" si="55"/>
        <v>0</v>
      </c>
      <c r="I186" s="17">
        <f t="shared" si="55"/>
        <v>0</v>
      </c>
      <c r="J186" s="17">
        <f t="shared" si="55"/>
        <v>0</v>
      </c>
      <c r="K186" s="17">
        <f t="shared" si="55"/>
        <v>0</v>
      </c>
      <c r="L186" s="17">
        <f t="shared" si="55"/>
        <v>0</v>
      </c>
      <c r="M186" s="17">
        <f t="shared" si="55"/>
        <v>0</v>
      </c>
      <c r="N186" s="17">
        <f t="shared" si="55"/>
        <v>0</v>
      </c>
      <c r="O186" s="17">
        <f t="shared" si="55"/>
        <v>0</v>
      </c>
      <c r="P186" s="17">
        <f t="shared" si="55"/>
        <v>0</v>
      </c>
      <c r="Q186" s="17">
        <f t="shared" si="55"/>
        <v>0</v>
      </c>
      <c r="R186" s="17">
        <f t="shared" si="55"/>
        <v>1088977.5</v>
      </c>
      <c r="S186" s="17">
        <f t="shared" si="55"/>
        <v>2177955</v>
      </c>
      <c r="T186" s="17">
        <f t="shared" si="55"/>
        <v>8711820</v>
      </c>
      <c r="U186" s="17">
        <f t="shared" si="55"/>
        <v>9800797.5</v>
      </c>
      <c r="V186" s="17">
        <f t="shared" si="55"/>
        <v>0</v>
      </c>
      <c r="W186" s="17">
        <f t="shared" si="55"/>
        <v>0</v>
      </c>
      <c r="X186" s="17">
        <f t="shared" si="55"/>
        <v>0</v>
      </c>
      <c r="Y186" s="17">
        <f t="shared" si="55"/>
        <v>0</v>
      </c>
      <c r="Z186" s="17">
        <f t="shared" si="55"/>
        <v>0</v>
      </c>
      <c r="AA186" s="17">
        <f t="shared" si="55"/>
        <v>0</v>
      </c>
      <c r="AB186" s="17">
        <f t="shared" si="55"/>
        <v>0</v>
      </c>
      <c r="AC186" s="85">
        <f t="shared" si="55"/>
        <v>0</v>
      </c>
      <c r="AD186" s="171"/>
    </row>
    <row r="187" spans="1:30" ht="22.5" x14ac:dyDescent="0.2">
      <c r="A187" s="171"/>
      <c r="B187" s="25" t="s">
        <v>209</v>
      </c>
      <c r="C187" s="266">
        <f>J139</f>
        <v>0</v>
      </c>
      <c r="D187" s="245" t="b">
        <f t="shared" si="51"/>
        <v>1</v>
      </c>
      <c r="E187" s="266">
        <f t="shared" si="52"/>
        <v>0</v>
      </c>
      <c r="F187" s="17">
        <f t="shared" ref="F187:AC187" si="56">F173*$C$187</f>
        <v>0</v>
      </c>
      <c r="G187" s="17">
        <f t="shared" si="56"/>
        <v>0</v>
      </c>
      <c r="H187" s="17">
        <f t="shared" si="56"/>
        <v>0</v>
      </c>
      <c r="I187" s="17">
        <f t="shared" si="56"/>
        <v>0</v>
      </c>
      <c r="J187" s="17">
        <f t="shared" si="56"/>
        <v>0</v>
      </c>
      <c r="K187" s="17">
        <f t="shared" si="56"/>
        <v>0</v>
      </c>
      <c r="L187" s="17">
        <f t="shared" si="56"/>
        <v>0</v>
      </c>
      <c r="M187" s="17">
        <f t="shared" si="56"/>
        <v>0</v>
      </c>
      <c r="N187" s="17">
        <f t="shared" si="56"/>
        <v>0</v>
      </c>
      <c r="O187" s="17">
        <f t="shared" si="56"/>
        <v>0</v>
      </c>
      <c r="P187" s="17">
        <f t="shared" si="56"/>
        <v>0</v>
      </c>
      <c r="Q187" s="17">
        <f t="shared" si="56"/>
        <v>0</v>
      </c>
      <c r="R187" s="17">
        <f t="shared" si="56"/>
        <v>0</v>
      </c>
      <c r="S187" s="17">
        <f t="shared" si="56"/>
        <v>0</v>
      </c>
      <c r="T187" s="17">
        <f t="shared" si="56"/>
        <v>0</v>
      </c>
      <c r="U187" s="17">
        <f t="shared" si="56"/>
        <v>0</v>
      </c>
      <c r="V187" s="17">
        <f t="shared" si="56"/>
        <v>0</v>
      </c>
      <c r="W187" s="17">
        <f t="shared" si="56"/>
        <v>0</v>
      </c>
      <c r="X187" s="17">
        <f t="shared" si="56"/>
        <v>0</v>
      </c>
      <c r="Y187" s="17">
        <f t="shared" si="56"/>
        <v>0</v>
      </c>
      <c r="Z187" s="17">
        <f t="shared" si="56"/>
        <v>0</v>
      </c>
      <c r="AA187" s="17">
        <f t="shared" si="56"/>
        <v>0</v>
      </c>
      <c r="AB187" s="17">
        <f t="shared" si="56"/>
        <v>0</v>
      </c>
      <c r="AC187" s="85">
        <f t="shared" si="56"/>
        <v>0</v>
      </c>
      <c r="AD187" s="171"/>
    </row>
    <row r="188" spans="1:30" ht="23.25" thickBot="1" x14ac:dyDescent="0.25">
      <c r="A188" s="171"/>
      <c r="B188" s="25" t="s">
        <v>218</v>
      </c>
      <c r="C188" s="266">
        <f>O139</f>
        <v>225573910.7142857</v>
      </c>
      <c r="D188" s="245" t="b">
        <f>IF(ABS(E188 - C188) &lt; MAX(0.00001, E188 * 0.00001), TRUE, FALSE)</f>
        <v>1</v>
      </c>
      <c r="E188" s="266">
        <f>SUM(F188:AC188)</f>
        <v>225573910.7142857</v>
      </c>
      <c r="F188" s="270">
        <f t="shared" ref="F188:AC188" si="57">F174*$C$188</f>
        <v>0</v>
      </c>
      <c r="G188" s="270">
        <f t="shared" si="57"/>
        <v>0</v>
      </c>
      <c r="H188" s="270">
        <f t="shared" si="57"/>
        <v>0</v>
      </c>
      <c r="I188" s="270">
        <f t="shared" si="57"/>
        <v>0</v>
      </c>
      <c r="J188" s="270">
        <f>J174*$C$188</f>
        <v>0</v>
      </c>
      <c r="K188" s="270">
        <f t="shared" si="57"/>
        <v>0</v>
      </c>
      <c r="L188" s="270">
        <f t="shared" si="57"/>
        <v>0</v>
      </c>
      <c r="M188" s="270">
        <f t="shared" si="57"/>
        <v>0</v>
      </c>
      <c r="N188" s="270">
        <f t="shared" si="57"/>
        <v>0</v>
      </c>
      <c r="O188" s="270">
        <f t="shared" si="57"/>
        <v>0</v>
      </c>
      <c r="P188" s="270">
        <f t="shared" si="57"/>
        <v>0</v>
      </c>
      <c r="Q188" s="270">
        <f t="shared" si="57"/>
        <v>0</v>
      </c>
      <c r="R188" s="270">
        <f t="shared" si="57"/>
        <v>0</v>
      </c>
      <c r="S188" s="270">
        <f t="shared" si="57"/>
        <v>0</v>
      </c>
      <c r="T188" s="270">
        <f t="shared" si="57"/>
        <v>0</v>
      </c>
      <c r="U188" s="270">
        <f t="shared" si="57"/>
        <v>0</v>
      </c>
      <c r="V188" s="270">
        <f t="shared" si="57"/>
        <v>225573910.7142857</v>
      </c>
      <c r="W188" s="270">
        <f t="shared" si="57"/>
        <v>0</v>
      </c>
      <c r="X188" s="270">
        <f t="shared" si="57"/>
        <v>0</v>
      </c>
      <c r="Y188" s="270">
        <f t="shared" si="57"/>
        <v>0</v>
      </c>
      <c r="Z188" s="270">
        <f t="shared" si="57"/>
        <v>0</v>
      </c>
      <c r="AA188" s="270">
        <f t="shared" si="57"/>
        <v>0</v>
      </c>
      <c r="AB188" s="270">
        <f t="shared" si="57"/>
        <v>0</v>
      </c>
      <c r="AC188" s="271">
        <f t="shared" si="57"/>
        <v>0</v>
      </c>
      <c r="AD188" s="171"/>
    </row>
    <row r="189" spans="1:30" ht="23.25" thickBot="1" x14ac:dyDescent="0.25">
      <c r="A189" s="272">
        <v>0.02</v>
      </c>
      <c r="B189" s="251" t="s">
        <v>219</v>
      </c>
      <c r="C189" s="273">
        <f>E189</f>
        <v>72320719.640852392</v>
      </c>
      <c r="D189" s="253" t="b">
        <f>IF(ABS(E189 - C189) &lt; MAX(0.00001, E189 * 0.00001), TRUE, FALSE)</f>
        <v>1</v>
      </c>
      <c r="E189" s="273">
        <f>SUM(F189:AC189)</f>
        <v>72320719.640852392</v>
      </c>
      <c r="F189" s="274">
        <v>0</v>
      </c>
      <c r="G189" s="274">
        <v>0</v>
      </c>
      <c r="H189" s="274">
        <v>2958942.7072627004</v>
      </c>
      <c r="I189" s="274">
        <v>5878094.2323484374</v>
      </c>
      <c r="J189" s="274">
        <v>6201471.9259818895</v>
      </c>
      <c r="K189" s="274">
        <v>5524099.9332613731</v>
      </c>
      <c r="L189" s="274">
        <v>5613764.9802484447</v>
      </c>
      <c r="M189" s="274">
        <v>5716471.9144160282</v>
      </c>
      <c r="N189" s="274">
        <v>6093169.9004195295</v>
      </c>
      <c r="O189" s="274">
        <v>5926720.2983957697</v>
      </c>
      <c r="P189" s="274">
        <v>12350477.688790882</v>
      </c>
      <c r="Q189" s="274">
        <v>14474056.683159821</v>
      </c>
      <c r="R189" s="274">
        <v>1233211.3390544625</v>
      </c>
      <c r="S189" s="274">
        <v>350238.0375130694</v>
      </c>
      <c r="T189" s="274">
        <v>0</v>
      </c>
      <c r="U189" s="274">
        <v>0</v>
      </c>
      <c r="V189" s="274">
        <v>0</v>
      </c>
      <c r="W189" s="274">
        <v>0</v>
      </c>
      <c r="X189" s="274">
        <v>0</v>
      </c>
      <c r="Y189" s="274">
        <v>0</v>
      </c>
      <c r="Z189" s="274">
        <v>0</v>
      </c>
      <c r="AA189" s="274">
        <v>0</v>
      </c>
      <c r="AB189" s="274">
        <v>0</v>
      </c>
      <c r="AC189" s="274">
        <f>IF(AB225 + SUM(AC180:AC188) + SUM(AC192:AC216) &gt;= 0, 0, ABS(AB225 + SUM(AC180:AC188) + SUM(AC192:AC216)) * (1 + $A$189))</f>
        <v>0</v>
      </c>
      <c r="AD189" s="171"/>
    </row>
    <row r="190" spans="1:30" ht="12" thickBot="1" x14ac:dyDescent="0.25">
      <c r="A190" s="9"/>
      <c r="B190" s="275" t="s">
        <v>220</v>
      </c>
      <c r="C190" s="276"/>
      <c r="D190" s="277"/>
      <c r="E190" s="278">
        <f>BI22</f>
        <v>0</v>
      </c>
      <c r="Y190" s="276"/>
      <c r="Z190" s="276"/>
      <c r="AA190" s="276"/>
      <c r="AB190" s="276"/>
      <c r="AC190" s="279"/>
      <c r="AD190" s="171"/>
    </row>
    <row r="191" spans="1:30" ht="22.5" x14ac:dyDescent="0.2">
      <c r="A191" s="9"/>
      <c r="B191" s="280" t="s">
        <v>205</v>
      </c>
      <c r="C191" s="281">
        <f>-E189</f>
        <v>-72320719.640852392</v>
      </c>
      <c r="D191" s="282">
        <f>C191-E191</f>
        <v>0</v>
      </c>
      <c r="E191" s="283">
        <f>SUM(F191:AC191)</f>
        <v>-72320719.640852392</v>
      </c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>
        <v>-72320719.640852392</v>
      </c>
      <c r="W191" s="284"/>
      <c r="X191" s="284"/>
      <c r="Y191" s="284"/>
      <c r="Z191" s="284"/>
      <c r="AA191" s="284"/>
      <c r="AB191" s="284"/>
      <c r="AC191" s="285"/>
      <c r="AD191" s="171"/>
    </row>
    <row r="192" spans="1:30" ht="22.5" x14ac:dyDescent="0.2">
      <c r="A192" s="75"/>
      <c r="B192" s="25" t="s">
        <v>35</v>
      </c>
      <c r="C192" s="286">
        <v>7.2999999999999995E-2</v>
      </c>
      <c r="D192" s="245" t="b">
        <f>IF(ABS(E192+E193 - AC259) &lt; MAX(0.00001, E192+E193 * 0.00001), TRUE, FALSE)</f>
        <v>1</v>
      </c>
      <c r="E192" s="266">
        <f>SUM(F192:AC192)</f>
        <v>-11010192.015707774</v>
      </c>
      <c r="F192" s="267">
        <v>0</v>
      </c>
      <c r="G192" s="267">
        <f>-(F178*$C$192)/4</f>
        <v>0</v>
      </c>
      <c r="H192" s="267">
        <f>-(G178*$C$192)/4</f>
        <v>0</v>
      </c>
      <c r="I192" s="267">
        <f>-(H178*$C$192)/4</f>
        <v>-54000.704407544283</v>
      </c>
      <c r="J192" s="267">
        <f>-(I178*$C$192)/4</f>
        <v>-161275.92414790325</v>
      </c>
      <c r="K192" s="267">
        <f t="shared" ref="K192:AC192" si="58">-(J178*$C$192)/4</f>
        <v>-274452.78679707274</v>
      </c>
      <c r="L192" s="267">
        <f t="shared" si="58"/>
        <v>-375267.61057909275</v>
      </c>
      <c r="M192" s="267">
        <f t="shared" si="58"/>
        <v>-477718.82146862685</v>
      </c>
      <c r="N192" s="267">
        <f t="shared" si="58"/>
        <v>-582044.43390671932</v>
      </c>
      <c r="O192" s="267">
        <f t="shared" si="58"/>
        <v>-693244.78458937572</v>
      </c>
      <c r="P192" s="267">
        <f t="shared" si="58"/>
        <v>-801407.43003509846</v>
      </c>
      <c r="Q192" s="267">
        <f t="shared" si="58"/>
        <v>-1026803.647855532</v>
      </c>
      <c r="R192" s="267">
        <f t="shared" si="58"/>
        <v>-1290955.1823231988</v>
      </c>
      <c r="S192" s="267">
        <f t="shared" si="58"/>
        <v>-1313461.2892609427</v>
      </c>
      <c r="T192" s="267">
        <f t="shared" si="58"/>
        <v>-1319853.133445556</v>
      </c>
      <c r="U192" s="267">
        <f t="shared" si="58"/>
        <v>-1319853.133445556</v>
      </c>
      <c r="V192" s="267">
        <f t="shared" si="58"/>
        <v>-1319853.133445556</v>
      </c>
      <c r="W192" s="267">
        <f t="shared" si="58"/>
        <v>0</v>
      </c>
      <c r="X192" s="267">
        <f t="shared" si="58"/>
        <v>0</v>
      </c>
      <c r="Y192" s="267">
        <f t="shared" si="58"/>
        <v>0</v>
      </c>
      <c r="Z192" s="267">
        <f t="shared" si="58"/>
        <v>0</v>
      </c>
      <c r="AA192" s="267">
        <f t="shared" si="58"/>
        <v>0</v>
      </c>
      <c r="AB192" s="267">
        <f t="shared" si="58"/>
        <v>0</v>
      </c>
      <c r="AC192" s="268">
        <f t="shared" si="58"/>
        <v>0</v>
      </c>
      <c r="AD192" s="171"/>
    </row>
    <row r="193" spans="1:30" ht="22.5" x14ac:dyDescent="0.2">
      <c r="A193" s="9"/>
      <c r="B193" s="25" t="s">
        <v>221</v>
      </c>
      <c r="C193" s="286">
        <v>5.0000000000000001E-3</v>
      </c>
      <c r="D193" s="245" t="b">
        <f>C193*E191=E193</f>
        <v>1</v>
      </c>
      <c r="E193" s="266">
        <f>SUM(F193:AC193)</f>
        <v>-361603.59820426197</v>
      </c>
      <c r="F193" s="270">
        <f>C193*E191</f>
        <v>-361603.59820426197</v>
      </c>
      <c r="G193" s="270">
        <v>0</v>
      </c>
      <c r="H193" s="270">
        <v>0</v>
      </c>
      <c r="I193" s="270">
        <v>0</v>
      </c>
      <c r="J193" s="270">
        <v>0</v>
      </c>
      <c r="K193" s="270">
        <v>0</v>
      </c>
      <c r="L193" s="270">
        <v>0</v>
      </c>
      <c r="M193" s="270">
        <v>0</v>
      </c>
      <c r="N193" s="270">
        <v>0</v>
      </c>
      <c r="O193" s="270">
        <v>0</v>
      </c>
      <c r="P193" s="270">
        <v>0</v>
      </c>
      <c r="Q193" s="270">
        <v>0</v>
      </c>
      <c r="R193" s="270">
        <v>0</v>
      </c>
      <c r="S193" s="270">
        <v>0</v>
      </c>
      <c r="T193" s="270">
        <v>0</v>
      </c>
      <c r="U193" s="270">
        <v>0</v>
      </c>
      <c r="V193" s="270">
        <v>0</v>
      </c>
      <c r="W193" s="270">
        <v>0</v>
      </c>
      <c r="X193" s="270">
        <v>0</v>
      </c>
      <c r="Y193" s="270">
        <v>0</v>
      </c>
      <c r="Z193" s="270">
        <v>0</v>
      </c>
      <c r="AA193" s="270">
        <v>0</v>
      </c>
      <c r="AB193" s="270">
        <v>0</v>
      </c>
      <c r="AC193" s="271">
        <v>0</v>
      </c>
      <c r="AD193" s="171"/>
    </row>
    <row r="194" spans="1:30" ht="22.5" x14ac:dyDescent="0.2">
      <c r="A194" s="9"/>
      <c r="B194" s="25" t="s">
        <v>222</v>
      </c>
      <c r="C194" s="266">
        <f>-E49</f>
        <v>-50017500</v>
      </c>
      <c r="D194" s="245" t="b">
        <f>IF(ABS(E194 - C194) &lt; MAX(0.00001, E194 * 0.00001), TRUE, FALSE)</f>
        <v>1</v>
      </c>
      <c r="E194" s="266">
        <f t="shared" ref="E194:E195" si="59">SUM(F194:AC194)</f>
        <v>-50017500</v>
      </c>
      <c r="F194" s="267">
        <f>-E49</f>
        <v>-50017500</v>
      </c>
      <c r="G194" s="267">
        <v>0</v>
      </c>
      <c r="H194" s="267">
        <v>0</v>
      </c>
      <c r="I194" s="267">
        <v>0</v>
      </c>
      <c r="J194" s="267">
        <v>0</v>
      </c>
      <c r="K194" s="267">
        <v>0</v>
      </c>
      <c r="L194" s="267">
        <v>0</v>
      </c>
      <c r="M194" s="267">
        <v>0</v>
      </c>
      <c r="N194" s="267">
        <v>0</v>
      </c>
      <c r="O194" s="267">
        <v>0</v>
      </c>
      <c r="P194" s="267">
        <v>0</v>
      </c>
      <c r="Q194" s="267">
        <v>0</v>
      </c>
      <c r="R194" s="267">
        <v>0</v>
      </c>
      <c r="S194" s="267">
        <v>0</v>
      </c>
      <c r="T194" s="267">
        <v>0</v>
      </c>
      <c r="U194" s="267">
        <v>0</v>
      </c>
      <c r="V194" s="267">
        <v>0</v>
      </c>
      <c r="W194" s="267">
        <v>0</v>
      </c>
      <c r="X194" s="267">
        <v>0</v>
      </c>
      <c r="Y194" s="267">
        <v>0</v>
      </c>
      <c r="Z194" s="267">
        <v>0</v>
      </c>
      <c r="AA194" s="267">
        <v>0</v>
      </c>
      <c r="AB194" s="267">
        <v>0</v>
      </c>
      <c r="AC194" s="268">
        <v>0</v>
      </c>
      <c r="AD194" s="171"/>
    </row>
    <row r="195" spans="1:30" ht="27.75" thickBot="1" x14ac:dyDescent="0.25">
      <c r="A195" s="9"/>
      <c r="B195" s="287" t="s">
        <v>223</v>
      </c>
      <c r="C195" s="288">
        <f>-SUM(F49:H49)</f>
        <v>-2979927.3100000005</v>
      </c>
      <c r="D195" s="289" t="b">
        <f t="shared" ref="D195:D216" si="60">IF(ABS(E195 - C195) &lt; MAX(0.00001, E195 * 0.00001), TRUE, FALSE)</f>
        <v>1</v>
      </c>
      <c r="E195" s="288">
        <f t="shared" si="59"/>
        <v>-2979927.3100000005</v>
      </c>
      <c r="F195" s="290">
        <f>-SUM(F49:H49)</f>
        <v>-2979927.3100000005</v>
      </c>
      <c r="G195" s="290">
        <v>0</v>
      </c>
      <c r="H195" s="290">
        <v>0</v>
      </c>
      <c r="I195" s="290">
        <v>0</v>
      </c>
      <c r="J195" s="290">
        <v>0</v>
      </c>
      <c r="K195" s="290">
        <v>0</v>
      </c>
      <c r="L195" s="290">
        <v>0</v>
      </c>
      <c r="M195" s="290">
        <v>0</v>
      </c>
      <c r="N195" s="290">
        <v>0</v>
      </c>
      <c r="O195" s="290">
        <v>0</v>
      </c>
      <c r="P195" s="290">
        <v>0</v>
      </c>
      <c r="Q195" s="290">
        <v>0</v>
      </c>
      <c r="R195" s="290">
        <v>0</v>
      </c>
      <c r="S195" s="290">
        <v>0</v>
      </c>
      <c r="T195" s="290">
        <v>0</v>
      </c>
      <c r="U195" s="290">
        <v>0</v>
      </c>
      <c r="V195" s="290">
        <v>0</v>
      </c>
      <c r="W195" s="290">
        <v>0</v>
      </c>
      <c r="X195" s="290">
        <v>0</v>
      </c>
      <c r="Y195" s="290">
        <v>0</v>
      </c>
      <c r="Z195" s="290">
        <v>0</v>
      </c>
      <c r="AA195" s="290">
        <v>0</v>
      </c>
      <c r="AB195" s="290">
        <v>0</v>
      </c>
      <c r="AC195" s="291">
        <v>0</v>
      </c>
      <c r="AD195" s="171"/>
    </row>
    <row r="196" spans="1:30" ht="23.25" thickBot="1" x14ac:dyDescent="0.25">
      <c r="A196" s="9"/>
      <c r="B196" s="292" t="s">
        <v>224</v>
      </c>
      <c r="C196" s="293">
        <f>-J76</f>
        <v>-57081375</v>
      </c>
      <c r="D196" s="294" t="b">
        <f t="shared" si="60"/>
        <v>1</v>
      </c>
      <c r="E196" s="295">
        <f>SUM(F196:AC196)</f>
        <v>-57081375</v>
      </c>
      <c r="F196" s="296">
        <f t="shared" ref="F196:AC196" si="61">F175*$C$196</f>
        <v>0</v>
      </c>
      <c r="G196" s="296">
        <f t="shared" si="61"/>
        <v>0</v>
      </c>
      <c r="H196" s="296">
        <f t="shared" si="61"/>
        <v>-11416275</v>
      </c>
      <c r="I196" s="296">
        <f t="shared" si="61"/>
        <v>-5708137.5</v>
      </c>
      <c r="J196" s="296">
        <f t="shared" si="61"/>
        <v>-5708137.5</v>
      </c>
      <c r="K196" s="296">
        <f t="shared" si="61"/>
        <v>-5137323.75</v>
      </c>
      <c r="L196" s="296">
        <f t="shared" si="61"/>
        <v>-4851916.875</v>
      </c>
      <c r="M196" s="296">
        <f t="shared" si="61"/>
        <v>-4851916.875</v>
      </c>
      <c r="N196" s="296">
        <f t="shared" si="61"/>
        <v>-4851916.875</v>
      </c>
      <c r="O196" s="296">
        <f t="shared" si="61"/>
        <v>-4851916.875</v>
      </c>
      <c r="P196" s="296">
        <f t="shared" si="61"/>
        <v>-4851916.875</v>
      </c>
      <c r="Q196" s="296">
        <f t="shared" si="61"/>
        <v>-4851916.875</v>
      </c>
      <c r="R196" s="296">
        <f t="shared" si="61"/>
        <v>0</v>
      </c>
      <c r="S196" s="296">
        <f t="shared" si="61"/>
        <v>0</v>
      </c>
      <c r="T196" s="296">
        <f t="shared" si="61"/>
        <v>0</v>
      </c>
      <c r="U196" s="296">
        <f t="shared" si="61"/>
        <v>0</v>
      </c>
      <c r="V196" s="296">
        <f t="shared" si="61"/>
        <v>0</v>
      </c>
      <c r="W196" s="296">
        <f t="shared" si="61"/>
        <v>0</v>
      </c>
      <c r="X196" s="296">
        <f t="shared" si="61"/>
        <v>0</v>
      </c>
      <c r="Y196" s="296">
        <f t="shared" si="61"/>
        <v>0</v>
      </c>
      <c r="Z196" s="296">
        <f t="shared" si="61"/>
        <v>0</v>
      </c>
      <c r="AA196" s="296">
        <f t="shared" si="61"/>
        <v>0</v>
      </c>
      <c r="AB196" s="296">
        <f t="shared" si="61"/>
        <v>0</v>
      </c>
      <c r="AC196" s="297">
        <f t="shared" si="61"/>
        <v>0</v>
      </c>
      <c r="AD196" s="171"/>
    </row>
    <row r="197" spans="1:30" ht="22.5" x14ac:dyDescent="0.2">
      <c r="A197" s="9"/>
      <c r="B197" s="298" t="s">
        <v>225</v>
      </c>
      <c r="C197" s="299">
        <f t="shared" ref="C197:C211" si="62">-C86</f>
        <v>-210600</v>
      </c>
      <c r="D197" s="300" t="b">
        <f t="shared" si="60"/>
        <v>1</v>
      </c>
      <c r="E197" s="299">
        <f>SUM(F197:AC197)</f>
        <v>-210600</v>
      </c>
      <c r="F197" s="301">
        <f>C197</f>
        <v>-210600</v>
      </c>
      <c r="G197" s="301">
        <v>0</v>
      </c>
      <c r="H197" s="301">
        <v>0</v>
      </c>
      <c r="I197" s="301">
        <v>0</v>
      </c>
      <c r="J197" s="301">
        <v>0</v>
      </c>
      <c r="K197" s="301">
        <v>0</v>
      </c>
      <c r="L197" s="301">
        <v>0</v>
      </c>
      <c r="M197" s="301">
        <v>0</v>
      </c>
      <c r="N197" s="301">
        <v>0</v>
      </c>
      <c r="O197" s="301">
        <v>0</v>
      </c>
      <c r="P197" s="301">
        <v>0</v>
      </c>
      <c r="Q197" s="301">
        <v>0</v>
      </c>
      <c r="R197" s="301">
        <v>0</v>
      </c>
      <c r="S197" s="301">
        <v>0</v>
      </c>
      <c r="T197" s="301">
        <v>0</v>
      </c>
      <c r="U197" s="301">
        <v>0</v>
      </c>
      <c r="V197" s="301">
        <v>0</v>
      </c>
      <c r="W197" s="301">
        <v>0</v>
      </c>
      <c r="X197" s="301">
        <v>0</v>
      </c>
      <c r="Y197" s="301">
        <v>0</v>
      </c>
      <c r="Z197" s="301">
        <v>0</v>
      </c>
      <c r="AA197" s="301">
        <v>0</v>
      </c>
      <c r="AB197" s="301">
        <v>0</v>
      </c>
      <c r="AC197" s="302">
        <v>0</v>
      </c>
      <c r="AD197" s="171"/>
    </row>
    <row r="198" spans="1:30" ht="22.5" x14ac:dyDescent="0.2">
      <c r="A198" s="9"/>
      <c r="B198" s="104" t="s">
        <v>99</v>
      </c>
      <c r="C198" s="266">
        <f t="shared" si="62"/>
        <v>-1421550</v>
      </c>
      <c r="D198" s="245" t="b">
        <f t="shared" si="60"/>
        <v>1</v>
      </c>
      <c r="E198" s="266">
        <f>SUM(F198:AC198)</f>
        <v>-1421550</v>
      </c>
      <c r="F198" s="267">
        <f>$C$198/2</f>
        <v>-710775</v>
      </c>
      <c r="G198" s="267">
        <f>$C$198/2</f>
        <v>-710775</v>
      </c>
      <c r="H198" s="267">
        <v>0</v>
      </c>
      <c r="I198" s="267">
        <v>0</v>
      </c>
      <c r="J198" s="267">
        <v>0</v>
      </c>
      <c r="K198" s="267">
        <v>0</v>
      </c>
      <c r="L198" s="267">
        <v>0</v>
      </c>
      <c r="M198" s="267">
        <v>0</v>
      </c>
      <c r="N198" s="267">
        <v>0</v>
      </c>
      <c r="O198" s="267">
        <v>0</v>
      </c>
      <c r="P198" s="267">
        <v>0</v>
      </c>
      <c r="Q198" s="267">
        <v>0</v>
      </c>
      <c r="R198" s="267">
        <v>0</v>
      </c>
      <c r="S198" s="267">
        <v>0</v>
      </c>
      <c r="T198" s="267">
        <v>0</v>
      </c>
      <c r="U198" s="267">
        <v>0</v>
      </c>
      <c r="V198" s="267">
        <v>0</v>
      </c>
      <c r="W198" s="267">
        <v>0</v>
      </c>
      <c r="X198" s="267">
        <v>0</v>
      </c>
      <c r="Y198" s="267">
        <v>0</v>
      </c>
      <c r="Z198" s="267">
        <v>0</v>
      </c>
      <c r="AA198" s="267">
        <v>0</v>
      </c>
      <c r="AB198" s="267">
        <v>0</v>
      </c>
      <c r="AC198" s="268">
        <v>0</v>
      </c>
      <c r="AD198" s="171"/>
    </row>
    <row r="199" spans="1:30" ht="22.5" x14ac:dyDescent="0.2">
      <c r="A199" s="9"/>
      <c r="B199" s="104" t="s">
        <v>100</v>
      </c>
      <c r="C199" s="266">
        <f t="shared" si="62"/>
        <v>-970383.37500000012</v>
      </c>
      <c r="D199" s="245" t="b">
        <f t="shared" si="60"/>
        <v>1</v>
      </c>
      <c r="E199" s="266">
        <f>SUM(F199:AC199)</f>
        <v>-970383.37500000012</v>
      </c>
      <c r="F199" s="270">
        <f>IF(F200&lt;0,$C$199,0)</f>
        <v>0</v>
      </c>
      <c r="G199" s="270">
        <f>IF(G200&lt;0,$C$199,0)</f>
        <v>-970383.37500000012</v>
      </c>
      <c r="H199" s="270">
        <f>IF(H200&lt;0,$C$199,0)</f>
        <v>0</v>
      </c>
      <c r="I199" s="270">
        <f>IF(I200&lt;0,$C$199,0)</f>
        <v>0</v>
      </c>
      <c r="J199" s="270">
        <f t="shared" ref="J199:AC199" si="63">IF(J200&lt;0,$C$199,0)</f>
        <v>0</v>
      </c>
      <c r="K199" s="270">
        <f t="shared" si="63"/>
        <v>0</v>
      </c>
      <c r="L199" s="270">
        <f t="shared" si="63"/>
        <v>0</v>
      </c>
      <c r="M199" s="270">
        <f t="shared" si="63"/>
        <v>0</v>
      </c>
      <c r="N199" s="270">
        <f t="shared" si="63"/>
        <v>0</v>
      </c>
      <c r="O199" s="270">
        <f t="shared" si="63"/>
        <v>0</v>
      </c>
      <c r="P199" s="270">
        <f t="shared" si="63"/>
        <v>0</v>
      </c>
      <c r="Q199" s="270">
        <f t="shared" si="63"/>
        <v>0</v>
      </c>
      <c r="R199" s="270">
        <f t="shared" si="63"/>
        <v>0</v>
      </c>
      <c r="S199" s="270">
        <f t="shared" si="63"/>
        <v>0</v>
      </c>
      <c r="T199" s="270">
        <f t="shared" si="63"/>
        <v>0</v>
      </c>
      <c r="U199" s="270">
        <f t="shared" si="63"/>
        <v>0</v>
      </c>
      <c r="V199" s="270">
        <f t="shared" si="63"/>
        <v>0</v>
      </c>
      <c r="W199" s="270">
        <f t="shared" si="63"/>
        <v>0</v>
      </c>
      <c r="X199" s="270">
        <f t="shared" si="63"/>
        <v>0</v>
      </c>
      <c r="Y199" s="270">
        <f t="shared" si="63"/>
        <v>0</v>
      </c>
      <c r="Z199" s="270">
        <f t="shared" si="63"/>
        <v>0</v>
      </c>
      <c r="AA199" s="270">
        <f t="shared" si="63"/>
        <v>0</v>
      </c>
      <c r="AB199" s="270">
        <f t="shared" si="63"/>
        <v>0</v>
      </c>
      <c r="AC199" s="271">
        <f t="shared" si="63"/>
        <v>0</v>
      </c>
      <c r="AD199" s="171"/>
    </row>
    <row r="200" spans="1:30" ht="22.5" x14ac:dyDescent="0.2">
      <c r="A200" s="9"/>
      <c r="B200" s="104" t="s">
        <v>226</v>
      </c>
      <c r="C200" s="266">
        <f t="shared" si="62"/>
        <v>-61425</v>
      </c>
      <c r="D200" s="245" t="b">
        <f t="shared" si="60"/>
        <v>1</v>
      </c>
      <c r="E200" s="266">
        <f>SUM(F200:AC200)</f>
        <v>-61425</v>
      </c>
      <c r="F200" s="269">
        <v>0</v>
      </c>
      <c r="G200" s="267">
        <f>C200</f>
        <v>-61425</v>
      </c>
      <c r="H200" s="267">
        <v>0</v>
      </c>
      <c r="I200" s="267">
        <v>0</v>
      </c>
      <c r="J200" s="267">
        <v>0</v>
      </c>
      <c r="K200" s="267">
        <v>0</v>
      </c>
      <c r="L200" s="267">
        <v>0</v>
      </c>
      <c r="M200" s="267">
        <v>0</v>
      </c>
      <c r="N200" s="267">
        <v>0</v>
      </c>
      <c r="O200" s="267">
        <v>0</v>
      </c>
      <c r="P200" s="267">
        <v>0</v>
      </c>
      <c r="Q200" s="267">
        <v>0</v>
      </c>
      <c r="R200" s="267">
        <v>0</v>
      </c>
      <c r="S200" s="267">
        <v>0</v>
      </c>
      <c r="T200" s="267">
        <v>0</v>
      </c>
      <c r="U200" s="267">
        <v>0</v>
      </c>
      <c r="V200" s="267">
        <v>0</v>
      </c>
      <c r="W200" s="267">
        <v>0</v>
      </c>
      <c r="X200" s="267">
        <v>0</v>
      </c>
      <c r="Y200" s="267">
        <v>0</v>
      </c>
      <c r="Z200" s="267">
        <v>0</v>
      </c>
      <c r="AA200" s="267">
        <v>0</v>
      </c>
      <c r="AB200" s="267">
        <v>0</v>
      </c>
      <c r="AC200" s="268">
        <v>0</v>
      </c>
      <c r="AD200" s="171"/>
    </row>
    <row r="201" spans="1:30" ht="22.5" x14ac:dyDescent="0.2">
      <c r="A201" s="9"/>
      <c r="B201" s="104" t="s">
        <v>227</v>
      </c>
      <c r="C201" s="266">
        <f t="shared" si="62"/>
        <v>-3424882.5</v>
      </c>
      <c r="D201" s="245" t="b">
        <f t="shared" si="60"/>
        <v>1</v>
      </c>
      <c r="E201" s="266">
        <f t="shared" ref="E201:E214" si="64">SUM(F201:AC201)</f>
        <v>-3424882.5</v>
      </c>
      <c r="F201" s="269">
        <f>$C$201/3</f>
        <v>-1141627.5</v>
      </c>
      <c r="G201" s="270">
        <f t="shared" ref="G201:H201" si="65">$C$201/3</f>
        <v>-1141627.5</v>
      </c>
      <c r="H201" s="270">
        <f t="shared" si="65"/>
        <v>-1141627.5</v>
      </c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  <c r="AB201" s="270"/>
      <c r="AC201" s="271"/>
      <c r="AD201" s="171"/>
    </row>
    <row r="202" spans="1:30" ht="22.5" x14ac:dyDescent="0.2">
      <c r="A202" s="9"/>
      <c r="B202" s="104" t="s">
        <v>228</v>
      </c>
      <c r="C202" s="266">
        <f t="shared" si="62"/>
        <v>-13162500</v>
      </c>
      <c r="D202" s="245" t="b">
        <f t="shared" si="60"/>
        <v>1</v>
      </c>
      <c r="E202" s="266">
        <f t="shared" si="64"/>
        <v>-13162500</v>
      </c>
      <c r="F202" s="269">
        <v>0</v>
      </c>
      <c r="G202" s="267">
        <v>0</v>
      </c>
      <c r="H202" s="267">
        <v>0</v>
      </c>
      <c r="I202" s="267">
        <v>0</v>
      </c>
      <c r="J202" s="267">
        <v>0</v>
      </c>
      <c r="K202" s="267">
        <v>0</v>
      </c>
      <c r="L202" s="267">
        <v>0</v>
      </c>
      <c r="M202" s="267">
        <v>0</v>
      </c>
      <c r="N202" s="267">
        <v>0</v>
      </c>
      <c r="O202" s="267">
        <v>0</v>
      </c>
      <c r="P202" s="267">
        <f>$C$202/2</f>
        <v>-6581250</v>
      </c>
      <c r="Q202" s="267">
        <f>$C$202/2</f>
        <v>-6581250</v>
      </c>
      <c r="R202" s="267">
        <v>0</v>
      </c>
      <c r="S202" s="267">
        <v>0</v>
      </c>
      <c r="T202" s="267">
        <v>0</v>
      </c>
      <c r="U202" s="267">
        <v>0</v>
      </c>
      <c r="V202" s="267">
        <v>0</v>
      </c>
      <c r="W202" s="267">
        <v>0</v>
      </c>
      <c r="X202" s="267">
        <v>0</v>
      </c>
      <c r="Y202" s="267">
        <v>0</v>
      </c>
      <c r="Z202" s="267">
        <v>0</v>
      </c>
      <c r="AA202" s="267">
        <v>0</v>
      </c>
      <c r="AB202" s="267">
        <v>0</v>
      </c>
      <c r="AC202" s="268">
        <v>0</v>
      </c>
      <c r="AD202" s="171"/>
    </row>
    <row r="203" spans="1:30" ht="22.5" x14ac:dyDescent="0.2">
      <c r="A203" s="9"/>
      <c r="B203" s="104" t="s">
        <v>229</v>
      </c>
      <c r="C203" s="266">
        <f t="shared" si="62"/>
        <v>0</v>
      </c>
      <c r="D203" s="245" t="b">
        <f t="shared" si="60"/>
        <v>1</v>
      </c>
      <c r="E203" s="266">
        <f t="shared" si="64"/>
        <v>0</v>
      </c>
      <c r="F203" s="269">
        <v>0</v>
      </c>
      <c r="G203" s="270">
        <v>0</v>
      </c>
      <c r="H203" s="270">
        <v>0</v>
      </c>
      <c r="I203" s="270">
        <v>0</v>
      </c>
      <c r="J203" s="270">
        <v>0</v>
      </c>
      <c r="K203" s="270">
        <v>0</v>
      </c>
      <c r="L203" s="270">
        <v>0</v>
      </c>
      <c r="M203" s="270">
        <v>0</v>
      </c>
      <c r="N203" s="270">
        <v>0</v>
      </c>
      <c r="O203" s="270">
        <v>0</v>
      </c>
      <c r="P203" s="270">
        <v>0</v>
      </c>
      <c r="Q203" s="270">
        <v>0</v>
      </c>
      <c r="R203" s="270">
        <v>0</v>
      </c>
      <c r="S203" s="270">
        <v>0</v>
      </c>
      <c r="T203" s="270">
        <v>0</v>
      </c>
      <c r="U203" s="270">
        <v>0</v>
      </c>
      <c r="V203" s="270">
        <v>0</v>
      </c>
      <c r="W203" s="270">
        <v>0</v>
      </c>
      <c r="X203" s="270">
        <v>0</v>
      </c>
      <c r="Y203" s="270">
        <v>0</v>
      </c>
      <c r="Z203" s="270">
        <v>0</v>
      </c>
      <c r="AA203" s="270">
        <v>0</v>
      </c>
      <c r="AB203" s="270">
        <v>0</v>
      </c>
      <c r="AC203" s="271">
        <v>0</v>
      </c>
      <c r="AD203" s="171"/>
    </row>
    <row r="204" spans="1:30" ht="22.5" x14ac:dyDescent="0.2">
      <c r="A204" s="9"/>
      <c r="B204" s="104" t="s">
        <v>230</v>
      </c>
      <c r="C204" s="266">
        <f t="shared" si="62"/>
        <v>-637500</v>
      </c>
      <c r="D204" s="245" t="b">
        <f t="shared" si="60"/>
        <v>1</v>
      </c>
      <c r="E204" s="266">
        <f t="shared" si="64"/>
        <v>-637500</v>
      </c>
      <c r="F204" s="269">
        <v>0</v>
      </c>
      <c r="G204" s="267">
        <v>0</v>
      </c>
      <c r="H204" s="267">
        <v>0</v>
      </c>
      <c r="I204" s="267">
        <v>0</v>
      </c>
      <c r="J204" s="267">
        <v>0</v>
      </c>
      <c r="K204" s="267">
        <v>0</v>
      </c>
      <c r="L204" s="267">
        <v>0</v>
      </c>
      <c r="M204" s="267">
        <v>0</v>
      </c>
      <c r="N204" s="267">
        <v>0</v>
      </c>
      <c r="O204" s="267">
        <v>0</v>
      </c>
      <c r="P204" s="267">
        <v>0</v>
      </c>
      <c r="Q204" s="267">
        <f>C204</f>
        <v>-637500</v>
      </c>
      <c r="R204" s="267">
        <v>0</v>
      </c>
      <c r="S204" s="267">
        <v>0</v>
      </c>
      <c r="T204" s="267">
        <v>0</v>
      </c>
      <c r="U204" s="267">
        <v>0</v>
      </c>
      <c r="V204" s="267">
        <v>0</v>
      </c>
      <c r="W204" s="267">
        <v>0</v>
      </c>
      <c r="X204" s="267">
        <v>0</v>
      </c>
      <c r="Y204" s="267">
        <v>0</v>
      </c>
      <c r="Z204" s="267">
        <v>0</v>
      </c>
      <c r="AA204" s="267">
        <v>0</v>
      </c>
      <c r="AB204" s="267">
        <v>0</v>
      </c>
      <c r="AC204" s="268">
        <v>0</v>
      </c>
      <c r="AD204" s="171"/>
    </row>
    <row r="205" spans="1:30" ht="22.5" x14ac:dyDescent="0.2">
      <c r="A205" s="9"/>
      <c r="B205" s="104" t="s">
        <v>106</v>
      </c>
      <c r="C205" s="266">
        <f t="shared" si="62"/>
        <v>-816000</v>
      </c>
      <c r="D205" s="245" t="b">
        <f t="shared" si="60"/>
        <v>1</v>
      </c>
      <c r="E205" s="266">
        <f t="shared" si="64"/>
        <v>-816000</v>
      </c>
      <c r="F205" s="269">
        <v>0</v>
      </c>
      <c r="G205" s="270">
        <v>0</v>
      </c>
      <c r="H205" s="270">
        <v>0</v>
      </c>
      <c r="I205" s="270">
        <v>0</v>
      </c>
      <c r="J205" s="270">
        <v>0</v>
      </c>
      <c r="K205" s="270">
        <v>0</v>
      </c>
      <c r="L205" s="270">
        <v>0</v>
      </c>
      <c r="M205" s="270">
        <v>0</v>
      </c>
      <c r="N205" s="270">
        <v>0</v>
      </c>
      <c r="O205" s="270">
        <v>0</v>
      </c>
      <c r="P205" s="270">
        <v>0</v>
      </c>
      <c r="Q205" s="270">
        <f>C205</f>
        <v>-816000</v>
      </c>
      <c r="R205" s="270">
        <v>0</v>
      </c>
      <c r="S205" s="270">
        <v>0</v>
      </c>
      <c r="T205" s="270">
        <v>0</v>
      </c>
      <c r="U205" s="270">
        <v>0</v>
      </c>
      <c r="V205" s="270">
        <v>0</v>
      </c>
      <c r="W205" s="270">
        <v>0</v>
      </c>
      <c r="X205" s="270">
        <v>0</v>
      </c>
      <c r="Y205" s="270">
        <v>0</v>
      </c>
      <c r="Z205" s="270">
        <v>0</v>
      </c>
      <c r="AA205" s="270">
        <v>0</v>
      </c>
      <c r="AB205" s="270">
        <v>0</v>
      </c>
      <c r="AC205" s="271">
        <v>0</v>
      </c>
      <c r="AD205" s="171"/>
    </row>
    <row r="206" spans="1:30" ht="22.5" x14ac:dyDescent="0.2">
      <c r="A206" s="9"/>
      <c r="B206" s="104" t="s">
        <v>107</v>
      </c>
      <c r="C206" s="266">
        <f t="shared" si="62"/>
        <v>-102000</v>
      </c>
      <c r="D206" s="245" t="b">
        <f t="shared" si="60"/>
        <v>1</v>
      </c>
      <c r="E206" s="266">
        <f t="shared" si="64"/>
        <v>-102000</v>
      </c>
      <c r="F206" s="269">
        <v>0</v>
      </c>
      <c r="G206" s="267">
        <v>0</v>
      </c>
      <c r="H206" s="267">
        <v>0</v>
      </c>
      <c r="I206" s="267">
        <v>0</v>
      </c>
      <c r="J206" s="267">
        <v>0</v>
      </c>
      <c r="K206" s="267">
        <v>0</v>
      </c>
      <c r="L206" s="267">
        <v>0</v>
      </c>
      <c r="M206" s="267">
        <v>0</v>
      </c>
      <c r="N206" s="267">
        <v>0</v>
      </c>
      <c r="O206" s="267">
        <v>0</v>
      </c>
      <c r="P206" s="267">
        <v>0</v>
      </c>
      <c r="Q206" s="267">
        <f>C206</f>
        <v>-102000</v>
      </c>
      <c r="R206" s="267">
        <v>0</v>
      </c>
      <c r="S206" s="267">
        <v>0</v>
      </c>
      <c r="T206" s="267">
        <v>0</v>
      </c>
      <c r="U206" s="267">
        <v>0</v>
      </c>
      <c r="V206" s="267">
        <v>0</v>
      </c>
      <c r="W206" s="267">
        <v>0</v>
      </c>
      <c r="X206" s="267">
        <v>0</v>
      </c>
      <c r="Y206" s="267">
        <v>0</v>
      </c>
      <c r="Z206" s="267">
        <v>0</v>
      </c>
      <c r="AA206" s="267">
        <v>0</v>
      </c>
      <c r="AB206" s="267">
        <v>0</v>
      </c>
      <c r="AC206" s="268">
        <v>0</v>
      </c>
      <c r="AD206" s="171"/>
    </row>
    <row r="207" spans="1:30" ht="22.5" x14ac:dyDescent="0.2">
      <c r="A207" s="9"/>
      <c r="B207" s="104" t="s">
        <v>108</v>
      </c>
      <c r="C207" s="266">
        <f t="shared" si="62"/>
        <v>0</v>
      </c>
      <c r="D207" s="245" t="b">
        <f t="shared" si="60"/>
        <v>1</v>
      </c>
      <c r="E207" s="266">
        <f t="shared" si="64"/>
        <v>0</v>
      </c>
      <c r="F207" s="269">
        <v>0</v>
      </c>
      <c r="G207" s="270">
        <v>0</v>
      </c>
      <c r="H207" s="270">
        <v>0</v>
      </c>
      <c r="I207" s="270">
        <v>0</v>
      </c>
      <c r="J207" s="270">
        <v>0</v>
      </c>
      <c r="K207" s="270">
        <v>0</v>
      </c>
      <c r="L207" s="270">
        <v>0</v>
      </c>
      <c r="M207" s="270">
        <v>0</v>
      </c>
      <c r="N207" s="270">
        <v>0</v>
      </c>
      <c r="O207" s="270">
        <v>0</v>
      </c>
      <c r="P207" s="270">
        <v>0</v>
      </c>
      <c r="Q207" s="270">
        <v>0</v>
      </c>
      <c r="R207" s="270">
        <v>0</v>
      </c>
      <c r="S207" s="270">
        <v>0</v>
      </c>
      <c r="T207" s="270">
        <v>0</v>
      </c>
      <c r="U207" s="270">
        <v>0</v>
      </c>
      <c r="V207" s="270">
        <v>0</v>
      </c>
      <c r="W207" s="270">
        <v>0</v>
      </c>
      <c r="X207" s="270">
        <v>0</v>
      </c>
      <c r="Y207" s="270">
        <v>0</v>
      </c>
      <c r="Z207" s="270">
        <v>0</v>
      </c>
      <c r="AA207" s="270">
        <v>0</v>
      </c>
      <c r="AB207" s="270">
        <v>0</v>
      </c>
      <c r="AC207" s="271">
        <v>0</v>
      </c>
      <c r="AD207" s="171"/>
    </row>
    <row r="208" spans="1:30" ht="22.5" x14ac:dyDescent="0.2">
      <c r="A208" s="9"/>
      <c r="B208" s="104" t="s">
        <v>109</v>
      </c>
      <c r="C208" s="266">
        <f t="shared" si="62"/>
        <v>-1427034.375</v>
      </c>
      <c r="D208" s="245" t="b">
        <f t="shared" si="60"/>
        <v>1</v>
      </c>
      <c r="E208" s="266">
        <f t="shared" si="64"/>
        <v>-1427034.375</v>
      </c>
      <c r="F208" s="269">
        <v>0</v>
      </c>
      <c r="G208" s="267">
        <v>0</v>
      </c>
      <c r="H208" s="267">
        <v>0</v>
      </c>
      <c r="I208" s="267">
        <v>0</v>
      </c>
      <c r="J208" s="267">
        <v>0</v>
      </c>
      <c r="K208" s="267">
        <v>0</v>
      </c>
      <c r="L208" s="267">
        <f>$C$208/6</f>
        <v>-237839.0625</v>
      </c>
      <c r="M208" s="267">
        <f t="shared" ref="M208:Q208" si="66">$C$208/6</f>
        <v>-237839.0625</v>
      </c>
      <c r="N208" s="267">
        <f t="shared" si="66"/>
        <v>-237839.0625</v>
      </c>
      <c r="O208" s="267">
        <f t="shared" si="66"/>
        <v>-237839.0625</v>
      </c>
      <c r="P208" s="267">
        <f t="shared" si="66"/>
        <v>-237839.0625</v>
      </c>
      <c r="Q208" s="267">
        <f t="shared" si="66"/>
        <v>-237839.0625</v>
      </c>
      <c r="R208" s="267">
        <v>0</v>
      </c>
      <c r="S208" s="267">
        <v>0</v>
      </c>
      <c r="T208" s="267">
        <v>0</v>
      </c>
      <c r="U208" s="267">
        <v>0</v>
      </c>
      <c r="V208" s="267">
        <v>0</v>
      </c>
      <c r="W208" s="267">
        <v>0</v>
      </c>
      <c r="X208" s="267">
        <v>0</v>
      </c>
      <c r="Y208" s="267">
        <v>0</v>
      </c>
      <c r="Z208" s="267">
        <v>0</v>
      </c>
      <c r="AA208" s="267">
        <v>0</v>
      </c>
      <c r="AB208" s="267">
        <v>0</v>
      </c>
      <c r="AC208" s="268">
        <v>0</v>
      </c>
      <c r="AD208" s="171"/>
    </row>
    <row r="209" spans="1:30" ht="22.5" x14ac:dyDescent="0.2">
      <c r="A209" s="9"/>
      <c r="B209" s="104" t="s">
        <v>110</v>
      </c>
      <c r="C209" s="266">
        <f t="shared" si="62"/>
        <v>0</v>
      </c>
      <c r="D209" s="245" t="b">
        <f t="shared" si="60"/>
        <v>1</v>
      </c>
      <c r="E209" s="266">
        <f t="shared" si="64"/>
        <v>0</v>
      </c>
      <c r="F209" s="269">
        <v>0</v>
      </c>
      <c r="G209" s="270">
        <v>0</v>
      </c>
      <c r="H209" s="270">
        <v>0</v>
      </c>
      <c r="I209" s="270">
        <v>0</v>
      </c>
      <c r="J209" s="270">
        <v>0</v>
      </c>
      <c r="K209" s="270">
        <v>0</v>
      </c>
      <c r="L209" s="270">
        <v>0</v>
      </c>
      <c r="M209" s="270">
        <v>0</v>
      </c>
      <c r="N209" s="270">
        <v>0</v>
      </c>
      <c r="O209" s="270">
        <v>0</v>
      </c>
      <c r="P209" s="270">
        <v>0</v>
      </c>
      <c r="Q209" s="270">
        <v>0</v>
      </c>
      <c r="R209" s="270">
        <v>0</v>
      </c>
      <c r="S209" s="270">
        <v>0</v>
      </c>
      <c r="T209" s="270">
        <v>0</v>
      </c>
      <c r="U209" s="270">
        <v>0</v>
      </c>
      <c r="V209" s="270">
        <v>0</v>
      </c>
      <c r="W209" s="270">
        <v>0</v>
      </c>
      <c r="X209" s="270">
        <v>0</v>
      </c>
      <c r="Y209" s="270">
        <v>0</v>
      </c>
      <c r="Z209" s="270">
        <v>0</v>
      </c>
      <c r="AA209" s="270">
        <v>0</v>
      </c>
      <c r="AB209" s="270">
        <v>0</v>
      </c>
      <c r="AC209" s="271">
        <v>0</v>
      </c>
      <c r="AD209" s="171"/>
    </row>
    <row r="210" spans="1:30" ht="22.5" x14ac:dyDescent="0.2">
      <c r="A210" s="9"/>
      <c r="B210" s="104" t="s">
        <v>111</v>
      </c>
      <c r="C210" s="266">
        <f t="shared" si="62"/>
        <v>-1742364</v>
      </c>
      <c r="D210" s="245" t="b">
        <f>IF(ABS(E210 - C210) &lt; MAX(0.00001, E210 * 0.00001), TRUE, FALSE)</f>
        <v>1</v>
      </c>
      <c r="E210" s="266">
        <f t="shared" si="64"/>
        <v>-1742364</v>
      </c>
      <c r="F210" s="269">
        <v>0</v>
      </c>
      <c r="G210" s="270">
        <v>0</v>
      </c>
      <c r="H210" s="270">
        <v>0</v>
      </c>
      <c r="I210" s="270">
        <v>0</v>
      </c>
      <c r="J210" s="270">
        <v>0</v>
      </c>
      <c r="K210" s="270">
        <v>0</v>
      </c>
      <c r="L210" s="270">
        <v>0</v>
      </c>
      <c r="M210" s="270">
        <v>0</v>
      </c>
      <c r="N210" s="270">
        <v>0</v>
      </c>
      <c r="O210" s="270">
        <v>0</v>
      </c>
      <c r="P210" s="270">
        <v>0</v>
      </c>
      <c r="Q210" s="270">
        <v>0</v>
      </c>
      <c r="R210" s="270">
        <f>$C$210/4</f>
        <v>-435591</v>
      </c>
      <c r="S210" s="270">
        <f t="shared" ref="S210:U210" si="67">$C$210/4</f>
        <v>-435591</v>
      </c>
      <c r="T210" s="270">
        <f t="shared" si="67"/>
        <v>-435591</v>
      </c>
      <c r="U210" s="270">
        <f t="shared" si="67"/>
        <v>-435591</v>
      </c>
      <c r="V210" s="270">
        <v>0</v>
      </c>
      <c r="W210" s="270">
        <v>0</v>
      </c>
      <c r="X210" s="270">
        <v>0</v>
      </c>
      <c r="Y210" s="270">
        <v>0</v>
      </c>
      <c r="Z210" s="270">
        <v>0</v>
      </c>
      <c r="AA210" s="270">
        <v>0</v>
      </c>
      <c r="AB210" s="270">
        <v>0</v>
      </c>
      <c r="AC210" s="271">
        <v>0</v>
      </c>
      <c r="AD210" s="171"/>
    </row>
    <row r="211" spans="1:30" ht="22.5" x14ac:dyDescent="0.2">
      <c r="A211" s="9"/>
      <c r="B211" s="104" t="s">
        <v>112</v>
      </c>
      <c r="C211" s="266">
        <f t="shared" si="62"/>
        <v>0</v>
      </c>
      <c r="D211" s="245" t="b">
        <f t="shared" si="60"/>
        <v>1</v>
      </c>
      <c r="E211" s="266">
        <f t="shared" si="64"/>
        <v>0</v>
      </c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  <c r="AC211" s="268"/>
      <c r="AD211" s="171"/>
    </row>
    <row r="212" spans="1:30" ht="23.25" thickBot="1" x14ac:dyDescent="0.25">
      <c r="A212" s="9"/>
      <c r="B212" s="303" t="s">
        <v>113</v>
      </c>
      <c r="C212" s="288">
        <f>-C101</f>
        <v>-1712441.25</v>
      </c>
      <c r="D212" s="289" t="b">
        <f t="shared" si="60"/>
        <v>1</v>
      </c>
      <c r="E212" s="288">
        <f>SUM(F212:AC212)</f>
        <v>-1712441.2500000005</v>
      </c>
      <c r="F212" s="290">
        <f>$D$101*F196</f>
        <v>0</v>
      </c>
      <c r="G212" s="290">
        <f t="shared" ref="G212:AC212" si="68">$D$101*G196</f>
        <v>0</v>
      </c>
      <c r="H212" s="290">
        <f t="shared" si="68"/>
        <v>-342488.25</v>
      </c>
      <c r="I212" s="290">
        <f t="shared" si="68"/>
        <v>-171244.125</v>
      </c>
      <c r="J212" s="290">
        <f t="shared" si="68"/>
        <v>-171244.125</v>
      </c>
      <c r="K212" s="290">
        <f t="shared" si="68"/>
        <v>-154119.71249999999</v>
      </c>
      <c r="L212" s="290">
        <f t="shared" si="68"/>
        <v>-145557.50625000001</v>
      </c>
      <c r="M212" s="290">
        <f t="shared" si="68"/>
        <v>-145557.50625000001</v>
      </c>
      <c r="N212" s="290">
        <f t="shared" si="68"/>
        <v>-145557.50625000001</v>
      </c>
      <c r="O212" s="290">
        <f t="shared" si="68"/>
        <v>-145557.50625000001</v>
      </c>
      <c r="P212" s="290">
        <f t="shared" si="68"/>
        <v>-145557.50625000001</v>
      </c>
      <c r="Q212" s="290">
        <f t="shared" si="68"/>
        <v>-145557.50625000001</v>
      </c>
      <c r="R212" s="290">
        <f t="shared" si="68"/>
        <v>0</v>
      </c>
      <c r="S212" s="290">
        <f t="shared" si="68"/>
        <v>0</v>
      </c>
      <c r="T212" s="290">
        <f t="shared" si="68"/>
        <v>0</v>
      </c>
      <c r="U212" s="290">
        <f t="shared" si="68"/>
        <v>0</v>
      </c>
      <c r="V212" s="290">
        <f t="shared" si="68"/>
        <v>0</v>
      </c>
      <c r="W212" s="290">
        <f t="shared" si="68"/>
        <v>0</v>
      </c>
      <c r="X212" s="290">
        <f t="shared" si="68"/>
        <v>0</v>
      </c>
      <c r="Y212" s="290">
        <f t="shared" si="68"/>
        <v>0</v>
      </c>
      <c r="Z212" s="290">
        <f t="shared" si="68"/>
        <v>0</v>
      </c>
      <c r="AA212" s="290">
        <f t="shared" si="68"/>
        <v>0</v>
      </c>
      <c r="AB212" s="290">
        <f t="shared" si="68"/>
        <v>0</v>
      </c>
      <c r="AC212" s="291">
        <f t="shared" si="68"/>
        <v>0</v>
      </c>
      <c r="AD212" s="171"/>
    </row>
    <row r="213" spans="1:30" ht="22.5" x14ac:dyDescent="0.2">
      <c r="A213" s="9"/>
      <c r="B213" s="304" t="s">
        <v>231</v>
      </c>
      <c r="C213" s="283">
        <f>-I157+-Y157</f>
        <v>-5989376.2500000009</v>
      </c>
      <c r="D213" s="305" t="b">
        <f t="shared" si="60"/>
        <v>1</v>
      </c>
      <c r="E213" s="283">
        <f t="shared" si="64"/>
        <v>-5989376.25</v>
      </c>
      <c r="F213" s="306">
        <f t="shared" ref="F213:AC213" si="69">-($I$158*F185)+-($Y$158*F186)</f>
        <v>0</v>
      </c>
      <c r="G213" s="306">
        <f t="shared" si="69"/>
        <v>0</v>
      </c>
      <c r="H213" s="306">
        <f t="shared" si="69"/>
        <v>0</v>
      </c>
      <c r="I213" s="306">
        <f t="shared" si="69"/>
        <v>0</v>
      </c>
      <c r="J213" s="306">
        <f t="shared" si="69"/>
        <v>0</v>
      </c>
      <c r="K213" s="306">
        <f t="shared" si="69"/>
        <v>0</v>
      </c>
      <c r="L213" s="306">
        <f t="shared" si="69"/>
        <v>0</v>
      </c>
      <c r="M213" s="306">
        <f t="shared" si="69"/>
        <v>0</v>
      </c>
      <c r="N213" s="306">
        <f t="shared" si="69"/>
        <v>0</v>
      </c>
      <c r="O213" s="306">
        <f t="shared" si="69"/>
        <v>0</v>
      </c>
      <c r="P213" s="306">
        <f t="shared" si="69"/>
        <v>0</v>
      </c>
      <c r="Q213" s="306">
        <f t="shared" si="69"/>
        <v>0</v>
      </c>
      <c r="R213" s="306">
        <f t="shared" si="69"/>
        <v>-299468.8125</v>
      </c>
      <c r="S213" s="306">
        <f t="shared" si="69"/>
        <v>-598937.625</v>
      </c>
      <c r="T213" s="306">
        <f t="shared" si="69"/>
        <v>-2395750.5</v>
      </c>
      <c r="U213" s="306">
        <f t="shared" si="69"/>
        <v>-2695219.3125</v>
      </c>
      <c r="V213" s="306">
        <f t="shared" si="69"/>
        <v>0</v>
      </c>
      <c r="W213" s="306">
        <f t="shared" si="69"/>
        <v>0</v>
      </c>
      <c r="X213" s="306">
        <f t="shared" si="69"/>
        <v>0</v>
      </c>
      <c r="Y213" s="306">
        <f t="shared" si="69"/>
        <v>0</v>
      </c>
      <c r="Z213" s="306">
        <f t="shared" si="69"/>
        <v>0</v>
      </c>
      <c r="AA213" s="306">
        <f t="shared" si="69"/>
        <v>0</v>
      </c>
      <c r="AB213" s="306">
        <f t="shared" si="69"/>
        <v>0</v>
      </c>
      <c r="AC213" s="307">
        <f t="shared" si="69"/>
        <v>0</v>
      </c>
      <c r="AD213" s="171"/>
    </row>
    <row r="214" spans="1:30" ht="22.5" x14ac:dyDescent="0.2">
      <c r="A214" s="9"/>
      <c r="B214" s="104" t="s">
        <v>232</v>
      </c>
      <c r="C214" s="266">
        <f>-C105</f>
        <v>-11300690.123974277</v>
      </c>
      <c r="D214" s="245" t="b">
        <f t="shared" si="60"/>
        <v>1</v>
      </c>
      <c r="E214" s="266">
        <f t="shared" si="64"/>
        <v>-11300690.123974279</v>
      </c>
      <c r="F214" s="270">
        <f>$C$214/15</f>
        <v>-753379.34159828513</v>
      </c>
      <c r="G214" s="270">
        <f t="shared" ref="G214:T214" si="70">$C$214/15</f>
        <v>-753379.34159828513</v>
      </c>
      <c r="H214" s="270">
        <f t="shared" si="70"/>
        <v>-753379.34159828513</v>
      </c>
      <c r="I214" s="270">
        <f t="shared" si="70"/>
        <v>-753379.34159828513</v>
      </c>
      <c r="J214" s="270">
        <f t="shared" si="70"/>
        <v>-753379.34159828513</v>
      </c>
      <c r="K214" s="270">
        <f t="shared" si="70"/>
        <v>-753379.34159828513</v>
      </c>
      <c r="L214" s="270">
        <f t="shared" si="70"/>
        <v>-753379.34159828513</v>
      </c>
      <c r="M214" s="270">
        <f t="shared" si="70"/>
        <v>-753379.34159828513</v>
      </c>
      <c r="N214" s="270">
        <f t="shared" si="70"/>
        <v>-753379.34159828513</v>
      </c>
      <c r="O214" s="270">
        <f t="shared" si="70"/>
        <v>-753379.34159828513</v>
      </c>
      <c r="P214" s="270">
        <f t="shared" si="70"/>
        <v>-753379.34159828513</v>
      </c>
      <c r="Q214" s="270">
        <f t="shared" si="70"/>
        <v>-753379.34159828513</v>
      </c>
      <c r="R214" s="270">
        <f t="shared" si="70"/>
        <v>-753379.34159828513</v>
      </c>
      <c r="S214" s="270">
        <f t="shared" si="70"/>
        <v>-753379.34159828513</v>
      </c>
      <c r="T214" s="270">
        <f t="shared" si="70"/>
        <v>-753379.34159828513</v>
      </c>
      <c r="U214" s="270">
        <v>0</v>
      </c>
      <c r="V214" s="270">
        <v>0</v>
      </c>
      <c r="W214" s="270">
        <v>0</v>
      </c>
      <c r="X214" s="270">
        <v>0</v>
      </c>
      <c r="Y214" s="270">
        <v>0</v>
      </c>
      <c r="Z214" s="270">
        <v>0</v>
      </c>
      <c r="AA214" s="270">
        <v>0</v>
      </c>
      <c r="AB214" s="270">
        <v>0</v>
      </c>
      <c r="AC214" s="271">
        <v>0</v>
      </c>
      <c r="AD214" s="171"/>
    </row>
    <row r="215" spans="1:30" ht="22.5" x14ac:dyDescent="0.2">
      <c r="A215" s="9"/>
      <c r="B215" s="25" t="s">
        <v>233</v>
      </c>
      <c r="C215" s="266">
        <f>(((TRUNC(D122))*267000)+292000)*-1</f>
        <v>-1360000</v>
      </c>
      <c r="D215" s="245" t="b">
        <f t="shared" si="60"/>
        <v>1</v>
      </c>
      <c r="E215" s="266">
        <f>SUM(F215:AC215)</f>
        <v>-1360000</v>
      </c>
      <c r="F215" s="269">
        <v>-292000</v>
      </c>
      <c r="G215" s="267">
        <v>0</v>
      </c>
      <c r="H215" s="267">
        <v>0</v>
      </c>
      <c r="I215" s="267">
        <v>0</v>
      </c>
      <c r="J215" s="269">
        <v>-267000</v>
      </c>
      <c r="K215" s="267">
        <v>0</v>
      </c>
      <c r="L215" s="267">
        <v>0</v>
      </c>
      <c r="M215" s="267">
        <v>0</v>
      </c>
      <c r="N215" s="269">
        <v>-267000</v>
      </c>
      <c r="O215" s="267">
        <v>0</v>
      </c>
      <c r="P215" s="267">
        <v>0</v>
      </c>
      <c r="Q215" s="267">
        <v>0</v>
      </c>
      <c r="R215" s="269">
        <v>-267000</v>
      </c>
      <c r="S215" s="267">
        <v>0</v>
      </c>
      <c r="T215" s="267">
        <v>0</v>
      </c>
      <c r="U215" s="267">
        <v>0</v>
      </c>
      <c r="V215" s="269">
        <v>-267000</v>
      </c>
      <c r="W215" s="267">
        <v>0</v>
      </c>
      <c r="X215" s="267">
        <v>0</v>
      </c>
      <c r="Y215" s="267">
        <v>0</v>
      </c>
      <c r="Z215" s="269">
        <v>0</v>
      </c>
      <c r="AA215" s="267">
        <v>0</v>
      </c>
      <c r="AB215" s="267">
        <v>0</v>
      </c>
      <c r="AC215" s="268">
        <v>0</v>
      </c>
      <c r="AD215" s="171"/>
    </row>
    <row r="216" spans="1:30" ht="22.5" x14ac:dyDescent="0.2">
      <c r="A216" s="9"/>
      <c r="B216" s="25" t="s">
        <v>234</v>
      </c>
      <c r="C216" s="266">
        <f>-C104</f>
        <v>-6849765</v>
      </c>
      <c r="D216" s="245" t="b">
        <f t="shared" si="60"/>
        <v>1</v>
      </c>
      <c r="E216" s="266">
        <f>SUM(F216:AC216)</f>
        <v>-6849765.0000000019</v>
      </c>
      <c r="F216" s="270">
        <f>F196*$D$104</f>
        <v>0</v>
      </c>
      <c r="G216" s="270">
        <f>G196*$D$104</f>
        <v>0</v>
      </c>
      <c r="H216" s="270">
        <f t="shared" ref="H216:AC216" si="71">H196*$D$104</f>
        <v>-1369953</v>
      </c>
      <c r="I216" s="270">
        <f t="shared" si="71"/>
        <v>-684976.5</v>
      </c>
      <c r="J216" s="270">
        <f>J196*$D$104</f>
        <v>-684976.5</v>
      </c>
      <c r="K216" s="270">
        <f t="shared" si="71"/>
        <v>-616478.85</v>
      </c>
      <c r="L216" s="270">
        <f t="shared" si="71"/>
        <v>-582230.02500000002</v>
      </c>
      <c r="M216" s="270">
        <f t="shared" si="71"/>
        <v>-582230.02500000002</v>
      </c>
      <c r="N216" s="270">
        <f t="shared" si="71"/>
        <v>-582230.02500000002</v>
      </c>
      <c r="O216" s="270">
        <f t="shared" si="71"/>
        <v>-582230.02500000002</v>
      </c>
      <c r="P216" s="270">
        <f t="shared" si="71"/>
        <v>-582230.02500000002</v>
      </c>
      <c r="Q216" s="270">
        <f t="shared" si="71"/>
        <v>-582230.02500000002</v>
      </c>
      <c r="R216" s="270">
        <f t="shared" si="71"/>
        <v>0</v>
      </c>
      <c r="S216" s="270">
        <f t="shared" si="71"/>
        <v>0</v>
      </c>
      <c r="T216" s="270">
        <f t="shared" si="71"/>
        <v>0</v>
      </c>
      <c r="U216" s="270">
        <f t="shared" si="71"/>
        <v>0</v>
      </c>
      <c r="V216" s="270">
        <f t="shared" si="71"/>
        <v>0</v>
      </c>
      <c r="W216" s="270">
        <f t="shared" si="71"/>
        <v>0</v>
      </c>
      <c r="X216" s="270">
        <f t="shared" si="71"/>
        <v>0</v>
      </c>
      <c r="Y216" s="270">
        <f t="shared" si="71"/>
        <v>0</v>
      </c>
      <c r="Z216" s="270">
        <f t="shared" si="71"/>
        <v>0</v>
      </c>
      <c r="AA216" s="270">
        <f t="shared" si="71"/>
        <v>0</v>
      </c>
      <c r="AB216" s="270">
        <f t="shared" si="71"/>
        <v>0</v>
      </c>
      <c r="AC216" s="271">
        <f t="shared" si="71"/>
        <v>0</v>
      </c>
      <c r="AD216" s="171"/>
    </row>
    <row r="217" spans="1:30" x14ac:dyDescent="0.2">
      <c r="A217" s="9"/>
      <c r="B217" s="308"/>
      <c r="C217" s="309"/>
      <c r="D217" s="310">
        <f>E218-C218</f>
        <v>0</v>
      </c>
      <c r="E217" s="311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  <c r="AB217" s="309"/>
      <c r="AC217" s="312"/>
      <c r="AD217" s="9"/>
    </row>
    <row r="218" spans="1:30" ht="22.5" x14ac:dyDescent="0.2">
      <c r="A218" s="9"/>
      <c r="B218" s="16" t="s">
        <v>235</v>
      </c>
      <c r="C218" s="266">
        <f>SUM(E184:E189,E191:E216)</f>
        <v>74714350.916399375</v>
      </c>
      <c r="D218" s="245" t="b">
        <f>IF(ABS(E218 - C218) &lt; MAX(0.00001, E218 * 0.00001), TRUE, FALSE)</f>
        <v>1</v>
      </c>
      <c r="E218" s="266">
        <f>SUM(F218:AC218)</f>
        <v>74714350.91639939</v>
      </c>
      <c r="F218" s="267">
        <f>SUM(F184:F189,F191:F216)</f>
        <v>-56467412.749802552</v>
      </c>
      <c r="G218" s="267">
        <f t="shared" ref="G218:AC218" si="72">SUM(G184:G189,G191:G216)</f>
        <v>-3637590.2165982854</v>
      </c>
      <c r="H218" s="267">
        <f t="shared" si="72"/>
        <v>-12064780.384335585</v>
      </c>
      <c r="I218" s="267">
        <f t="shared" si="72"/>
        <v>-1493643.9386573916</v>
      </c>
      <c r="J218" s="267">
        <f>SUM(J184:J189,J191:J216)</f>
        <v>-1544541.4647642986</v>
      </c>
      <c r="K218" s="267">
        <f t="shared" si="72"/>
        <v>-1411654.5076339848</v>
      </c>
      <c r="L218" s="267">
        <f t="shared" si="72"/>
        <v>-1332425.4406789334</v>
      </c>
      <c r="M218" s="267">
        <f t="shared" si="72"/>
        <v>-1332169.717400884</v>
      </c>
      <c r="N218" s="267">
        <f t="shared" si="72"/>
        <v>-1326797.3438354747</v>
      </c>
      <c r="O218" s="267">
        <f t="shared" si="72"/>
        <v>-1337447.2965418908</v>
      </c>
      <c r="P218" s="267">
        <f t="shared" si="72"/>
        <v>-1603102.5515925006</v>
      </c>
      <c r="Q218" s="267">
        <f t="shared" si="72"/>
        <v>-1260419.7750439958</v>
      </c>
      <c r="R218" s="267">
        <f t="shared" si="72"/>
        <v>-724205.49736702139</v>
      </c>
      <c r="S218" s="267">
        <f t="shared" si="72"/>
        <v>-573176.21834615851</v>
      </c>
      <c r="T218" s="267">
        <f t="shared" si="72"/>
        <v>3807246.0249561584</v>
      </c>
      <c r="U218" s="267">
        <f t="shared" si="72"/>
        <v>5350134.0540544447</v>
      </c>
      <c r="V218" s="267">
        <f t="shared" si="72"/>
        <v>151666337.93998775</v>
      </c>
      <c r="W218" s="267">
        <f t="shared" si="72"/>
        <v>0</v>
      </c>
      <c r="X218" s="267">
        <f t="shared" si="72"/>
        <v>0</v>
      </c>
      <c r="Y218" s="267">
        <f t="shared" si="72"/>
        <v>0</v>
      </c>
      <c r="Z218" s="267">
        <f t="shared" si="72"/>
        <v>0</v>
      </c>
      <c r="AA218" s="267">
        <f t="shared" si="72"/>
        <v>0</v>
      </c>
      <c r="AB218" s="267">
        <f t="shared" si="72"/>
        <v>0</v>
      </c>
      <c r="AC218" s="268">
        <f t="shared" si="72"/>
        <v>0</v>
      </c>
      <c r="AD218" s="9"/>
    </row>
    <row r="219" spans="1:30" ht="18" x14ac:dyDescent="0.2">
      <c r="A219" s="9"/>
      <c r="B219" s="19" t="s">
        <v>236</v>
      </c>
      <c r="C219" s="313">
        <f>-SUM(E192:E216)</f>
        <v>172639109.79788631</v>
      </c>
      <c r="D219" s="245" t="b">
        <f>IF(ABS(C219 - C115) &lt; MAX(0.0001, C219 * 0.0001), TRUE, FALSE)</f>
        <v>1</v>
      </c>
      <c r="E219" s="314"/>
      <c r="F219" s="290">
        <f>F218</f>
        <v>-56467412.749802552</v>
      </c>
      <c r="G219" s="290">
        <f>F219+G218</f>
        <v>-60105002.966400839</v>
      </c>
      <c r="H219" s="290">
        <f>G219+H218</f>
        <v>-72169783.350736424</v>
      </c>
      <c r="I219" s="290">
        <f>H219+I218</f>
        <v>-73663427.289393812</v>
      </c>
      <c r="J219" s="290">
        <f t="shared" ref="J219:AC219" si="73">I219+J218</f>
        <v>-75207968.754158109</v>
      </c>
      <c r="K219" s="290">
        <f t="shared" si="73"/>
        <v>-76619623.261792094</v>
      </c>
      <c r="L219" s="290">
        <f t="shared" si="73"/>
        <v>-77952048.702471033</v>
      </c>
      <c r="M219" s="290">
        <f t="shared" si="73"/>
        <v>-79284218.419871911</v>
      </c>
      <c r="N219" s="290">
        <f t="shared" si="73"/>
        <v>-80611015.763707384</v>
      </c>
      <c r="O219" s="290">
        <f t="shared" si="73"/>
        <v>-81948463.060249269</v>
      </c>
      <c r="P219" s="290">
        <f t="shared" si="73"/>
        <v>-83551565.611841768</v>
      </c>
      <c r="Q219" s="290">
        <f t="shared" si="73"/>
        <v>-84811985.386885762</v>
      </c>
      <c r="R219" s="290">
        <f t="shared" si="73"/>
        <v>-85536190.884252787</v>
      </c>
      <c r="S219" s="290">
        <f t="shared" si="73"/>
        <v>-86109367.10259895</v>
      </c>
      <c r="T219" s="290">
        <f>S219+T218</f>
        <v>-82302121.077642798</v>
      </c>
      <c r="U219" s="290">
        <f t="shared" si="73"/>
        <v>-76951987.023588359</v>
      </c>
      <c r="V219" s="290">
        <f t="shared" si="73"/>
        <v>74714350.91639939</v>
      </c>
      <c r="W219" s="290">
        <f t="shared" si="73"/>
        <v>74714350.91639939</v>
      </c>
      <c r="X219" s="290">
        <f t="shared" si="73"/>
        <v>74714350.91639939</v>
      </c>
      <c r="Y219" s="290">
        <f t="shared" si="73"/>
        <v>74714350.91639939</v>
      </c>
      <c r="Z219" s="290">
        <f t="shared" si="73"/>
        <v>74714350.91639939</v>
      </c>
      <c r="AA219" s="290">
        <f t="shared" si="73"/>
        <v>74714350.91639939</v>
      </c>
      <c r="AB219" s="290">
        <f t="shared" si="73"/>
        <v>74714350.91639939</v>
      </c>
      <c r="AC219" s="291">
        <f t="shared" si="73"/>
        <v>74714350.91639939</v>
      </c>
      <c r="AD219" s="9"/>
    </row>
    <row r="220" spans="1:30" ht="22.5" x14ac:dyDescent="0.2">
      <c r="A220" s="9"/>
      <c r="B220" s="16" t="s">
        <v>237</v>
      </c>
      <c r="C220" s="315">
        <f>SUM(C184:C188)</f>
        <v>247353460.7142857</v>
      </c>
      <c r="D220" s="245" t="b">
        <f>IF(ABS(C220 - C17) &lt; MAX(0.00001, C220 * 0.00001), TRUE, FALSE)</f>
        <v>1</v>
      </c>
      <c r="E220" s="316"/>
      <c r="F220" s="317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9"/>
      <c r="AD220" s="9"/>
    </row>
    <row r="221" spans="1:30" ht="22.5" x14ac:dyDescent="0.2">
      <c r="A221" s="9"/>
      <c r="B221" s="320" t="s">
        <v>43</v>
      </c>
      <c r="C221" s="266">
        <f>SUM(C184:C188)+SUM(E192:E216)</f>
        <v>74714350.91639939</v>
      </c>
      <c r="D221" s="245" t="b">
        <f>IF(ABS(E218 - C221) &lt; MAX(0.00001, E218 * 0.00001), TRUE, FALSE)</f>
        <v>1</v>
      </c>
      <c r="E221" s="316"/>
      <c r="F221" s="321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323"/>
      <c r="AD221" s="9"/>
    </row>
    <row r="222" spans="1:30" x14ac:dyDescent="0.2">
      <c r="A222" s="9"/>
      <c r="B222" s="324" t="s">
        <v>238</v>
      </c>
      <c r="C222" s="325"/>
      <c r="D222" s="325"/>
      <c r="E222" s="316"/>
      <c r="F222" s="326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  <c r="AA222" s="327"/>
      <c r="AB222" s="327"/>
      <c r="AC222" s="328"/>
      <c r="AD222" s="9"/>
    </row>
    <row r="223" spans="1:30" ht="22.5" x14ac:dyDescent="0.2">
      <c r="A223" s="9"/>
      <c r="B223" s="31" t="s">
        <v>46</v>
      </c>
      <c r="C223" s="329">
        <f>XIRR(F218:AC218,F177:AC177)</f>
        <v>0.18494021296501159</v>
      </c>
      <c r="D223" s="329"/>
      <c r="E223" s="314"/>
      <c r="F223" s="330">
        <f t="shared" ref="F223:AC223" si="74">SUM(F180:F189,F191:F216)</f>
        <v>20537837.250197459</v>
      </c>
      <c r="G223" s="330">
        <f t="shared" si="74"/>
        <v>-3637590.2165982854</v>
      </c>
      <c r="H223" s="330">
        <f t="shared" si="74"/>
        <v>-12064780.384335585</v>
      </c>
      <c r="I223" s="330">
        <f t="shared" si="74"/>
        <v>-1493643.9386573916</v>
      </c>
      <c r="J223" s="330">
        <f>SUM(J180:J189,J191:J216)</f>
        <v>-1544541.4647642986</v>
      </c>
      <c r="K223" s="330">
        <f t="shared" si="74"/>
        <v>-1411654.5076339848</v>
      </c>
      <c r="L223" s="330">
        <f t="shared" si="74"/>
        <v>-1332425.4406789334</v>
      </c>
      <c r="M223" s="330">
        <f t="shared" si="74"/>
        <v>-1332169.717400884</v>
      </c>
      <c r="N223" s="330">
        <f t="shared" si="74"/>
        <v>-1326797.3438354747</v>
      </c>
      <c r="O223" s="330">
        <f t="shared" si="74"/>
        <v>-1337447.2965418908</v>
      </c>
      <c r="P223" s="330">
        <f t="shared" si="74"/>
        <v>-1603102.5515925006</v>
      </c>
      <c r="Q223" s="330">
        <f t="shared" si="74"/>
        <v>-1260419.7750439958</v>
      </c>
      <c r="R223" s="330">
        <f t="shared" si="74"/>
        <v>-724205.49736702139</v>
      </c>
      <c r="S223" s="330">
        <f t="shared" si="74"/>
        <v>-573176.21834615851</v>
      </c>
      <c r="T223" s="330">
        <f t="shared" si="74"/>
        <v>3807246.0249561584</v>
      </c>
      <c r="U223" s="330">
        <f t="shared" si="74"/>
        <v>5350134.0540544447</v>
      </c>
      <c r="V223" s="330">
        <f t="shared" si="74"/>
        <v>151666337.93998775</v>
      </c>
      <c r="W223" s="330">
        <f t="shared" si="74"/>
        <v>0</v>
      </c>
      <c r="X223" s="330">
        <f t="shared" si="74"/>
        <v>0</v>
      </c>
      <c r="Y223" s="330">
        <f t="shared" si="74"/>
        <v>0</v>
      </c>
      <c r="Z223" s="330">
        <f t="shared" si="74"/>
        <v>0</v>
      </c>
      <c r="AA223" s="330">
        <f t="shared" si="74"/>
        <v>0</v>
      </c>
      <c r="AB223" s="330">
        <f t="shared" si="74"/>
        <v>0</v>
      </c>
      <c r="AC223" s="331">
        <f t="shared" si="74"/>
        <v>0</v>
      </c>
      <c r="AD223" s="9"/>
    </row>
    <row r="224" spans="1:30" ht="22.5" x14ac:dyDescent="0.2">
      <c r="A224" s="9"/>
      <c r="B224" s="35" t="s">
        <v>49</v>
      </c>
      <c r="C224" s="332">
        <f>C218/(C219+E213)</f>
        <v>0.4483316554174413</v>
      </c>
      <c r="D224" s="332"/>
      <c r="E224" s="314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  <c r="AA224" s="333"/>
      <c r="AB224" s="333"/>
      <c r="AC224" s="334"/>
      <c r="AD224" s="9"/>
    </row>
    <row r="225" spans="1:30" ht="22.5" x14ac:dyDescent="0.2">
      <c r="A225" s="9"/>
      <c r="B225" s="31" t="s">
        <v>52</v>
      </c>
      <c r="C225" s="329">
        <f>C221/H24</f>
        <v>0.83420858724685232</v>
      </c>
      <c r="D225" s="329"/>
      <c r="E225" s="314"/>
      <c r="F225" s="335">
        <f>F223</f>
        <v>20537837.250197459</v>
      </c>
      <c r="G225" s="335">
        <f>F225+G223</f>
        <v>16900247.033599176</v>
      </c>
      <c r="H225" s="335">
        <f t="shared" ref="H225:AC225" si="75">G225+H223</f>
        <v>4835466.6492635906</v>
      </c>
      <c r="I225" s="335">
        <f>H225+I223</f>
        <v>3341822.7106061988</v>
      </c>
      <c r="J225" s="335">
        <f t="shared" si="75"/>
        <v>1797281.2458419001</v>
      </c>
      <c r="K225" s="335">
        <f t="shared" si="75"/>
        <v>385626.73820791533</v>
      </c>
      <c r="L225" s="335">
        <f t="shared" si="75"/>
        <v>-946798.70247101807</v>
      </c>
      <c r="M225" s="335">
        <f t="shared" si="75"/>
        <v>-2278968.4198719021</v>
      </c>
      <c r="N225" s="335">
        <f t="shared" si="75"/>
        <v>-3605765.763707377</v>
      </c>
      <c r="O225" s="335">
        <f t="shared" si="75"/>
        <v>-4943213.0602492681</v>
      </c>
      <c r="P225" s="335">
        <f t="shared" si="75"/>
        <v>-6546315.611841769</v>
      </c>
      <c r="Q225" s="335">
        <f t="shared" si="75"/>
        <v>-7806735.386885765</v>
      </c>
      <c r="R225" s="335">
        <f t="shared" si="75"/>
        <v>-8530940.8842527866</v>
      </c>
      <c r="S225" s="335">
        <f t="shared" si="75"/>
        <v>-9104117.1025989447</v>
      </c>
      <c r="T225" s="335">
        <f>S225+T223</f>
        <v>-5296871.0776427863</v>
      </c>
      <c r="U225" s="335">
        <f t="shared" si="75"/>
        <v>53262.976411658339</v>
      </c>
      <c r="V225" s="335">
        <f t="shared" si="75"/>
        <v>151719600.91639942</v>
      </c>
      <c r="W225" s="335">
        <f t="shared" si="75"/>
        <v>151719600.91639942</v>
      </c>
      <c r="X225" s="335">
        <f t="shared" si="75"/>
        <v>151719600.91639942</v>
      </c>
      <c r="Y225" s="335">
        <f t="shared" si="75"/>
        <v>151719600.91639942</v>
      </c>
      <c r="Z225" s="335">
        <f t="shared" si="75"/>
        <v>151719600.91639942</v>
      </c>
      <c r="AA225" s="335">
        <f t="shared" si="75"/>
        <v>151719600.91639942</v>
      </c>
      <c r="AB225" s="335">
        <f t="shared" si="75"/>
        <v>151719600.91639942</v>
      </c>
      <c r="AC225" s="336">
        <f t="shared" si="75"/>
        <v>151719600.91639942</v>
      </c>
      <c r="AD225" s="9"/>
    </row>
    <row r="226" spans="1:30" ht="23.25" thickBot="1" x14ac:dyDescent="0.25">
      <c r="A226" s="9"/>
      <c r="B226" s="337" t="s">
        <v>239</v>
      </c>
      <c r="C226" s="338">
        <f>C225/D122</f>
        <v>0.20545623100209248</v>
      </c>
      <c r="D226" s="338"/>
      <c r="E226" s="339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1"/>
      <c r="AD226" s="9"/>
    </row>
    <row r="227" spans="1:30" x14ac:dyDescent="0.2">
      <c r="A227" s="9"/>
      <c r="B227" s="342" t="b">
        <f>SUM(C223:D226)=SUM(C28:C34)</f>
        <v>1</v>
      </c>
      <c r="C227" s="342"/>
      <c r="D227" s="342"/>
      <c r="E227" s="343"/>
      <c r="F227" s="344"/>
      <c r="G227" s="344"/>
      <c r="H227" s="344"/>
      <c r="I227" s="344"/>
      <c r="J227" s="344"/>
      <c r="K227" s="344"/>
      <c r="L227" s="344"/>
      <c r="M227" s="344"/>
      <c r="N227" s="344">
        <f>N225*70%</f>
        <v>-2524036.0345951635</v>
      </c>
      <c r="O227" s="344">
        <f>O225*70%</f>
        <v>-3460249.1421744875</v>
      </c>
      <c r="P227" s="344">
        <f>P225*70%</f>
        <v>-4582420.9282892384</v>
      </c>
      <c r="Q227" s="344">
        <f>Q225*70%</f>
        <v>-5464714.7708200356</v>
      </c>
      <c r="R227" s="344">
        <f t="shared" ref="R227:AC227" si="76">R225*70%</f>
        <v>-5971658.6189769506</v>
      </c>
      <c r="S227" s="344">
        <f t="shared" si="76"/>
        <v>-6372881.9718192611</v>
      </c>
      <c r="T227" s="344">
        <f t="shared" si="76"/>
        <v>-3707809.7543499502</v>
      </c>
      <c r="U227" s="344">
        <f t="shared" si="76"/>
        <v>37284.083488160832</v>
      </c>
      <c r="V227" s="344">
        <f t="shared" si="76"/>
        <v>106203720.64147958</v>
      </c>
      <c r="W227" s="344">
        <f t="shared" si="76"/>
        <v>106203720.64147958</v>
      </c>
      <c r="X227" s="344">
        <f t="shared" si="76"/>
        <v>106203720.64147958</v>
      </c>
      <c r="Y227" s="344">
        <f t="shared" si="76"/>
        <v>106203720.64147958</v>
      </c>
      <c r="Z227" s="344">
        <f t="shared" si="76"/>
        <v>106203720.64147958</v>
      </c>
      <c r="AA227" s="344">
        <f t="shared" si="76"/>
        <v>106203720.64147958</v>
      </c>
      <c r="AB227" s="344">
        <f t="shared" si="76"/>
        <v>106203720.64147958</v>
      </c>
      <c r="AC227" s="344">
        <f t="shared" si="76"/>
        <v>106203720.64147958</v>
      </c>
      <c r="AD227" s="9"/>
    </row>
    <row r="228" spans="1:30" x14ac:dyDescent="0.2">
      <c r="A228" s="9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46"/>
    </row>
    <row r="229" spans="1:30" x14ac:dyDescent="0.2">
      <c r="A229" s="9"/>
    </row>
    <row r="230" spans="1:30" x14ac:dyDescent="0.2">
      <c r="A230" s="9"/>
    </row>
    <row r="231" spans="1:30" x14ac:dyDescent="0.2">
      <c r="A231" s="9"/>
      <c r="I231" s="38"/>
    </row>
    <row r="232" spans="1:30" x14ac:dyDescent="0.2">
      <c r="A232" s="9"/>
      <c r="I232" s="9"/>
    </row>
    <row r="233" spans="1:30" x14ac:dyDescent="0.2">
      <c r="A233" s="9"/>
      <c r="I233" s="9"/>
    </row>
    <row r="234" spans="1:30" x14ac:dyDescent="0.2">
      <c r="A234" s="9"/>
      <c r="B234" s="9"/>
      <c r="D234" s="9"/>
      <c r="E234" s="9"/>
      <c r="F234" s="9"/>
      <c r="G234" s="9"/>
      <c r="H234" s="9"/>
      <c r="I234" s="9"/>
    </row>
    <row r="235" spans="1:30" x14ac:dyDescent="0.2">
      <c r="A235" s="9"/>
      <c r="B235" s="9"/>
      <c r="D235" s="38"/>
      <c r="E235" s="9"/>
      <c r="F235" s="9"/>
      <c r="G235" s="9"/>
      <c r="H235" s="9"/>
      <c r="I235" s="9"/>
    </row>
    <row r="236" spans="1:30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30" ht="12" thickBot="1" x14ac:dyDescent="0.25">
      <c r="A237" s="9"/>
    </row>
    <row r="238" spans="1:30" ht="12.75" x14ac:dyDescent="0.2">
      <c r="A238" s="9"/>
      <c r="B238" s="22" t="s">
        <v>240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3"/>
    </row>
    <row r="239" spans="1:30" x14ac:dyDescent="0.2">
      <c r="A239" s="9"/>
      <c r="B239" s="346" t="s">
        <v>241</v>
      </c>
      <c r="C239" s="347"/>
      <c r="D239" s="347"/>
      <c r="E239" s="347"/>
      <c r="F239" s="50" t="s">
        <v>172</v>
      </c>
      <c r="G239" s="50"/>
      <c r="H239" s="50"/>
      <c r="I239" s="50"/>
      <c r="J239" s="50" t="s">
        <v>173</v>
      </c>
      <c r="K239" s="50"/>
      <c r="L239" s="50"/>
      <c r="M239" s="50"/>
      <c r="N239" s="50" t="s">
        <v>174</v>
      </c>
      <c r="O239" s="50"/>
      <c r="P239" s="50"/>
      <c r="Q239" s="50"/>
      <c r="R239" s="50" t="s">
        <v>175</v>
      </c>
      <c r="S239" s="50"/>
      <c r="T239" s="50"/>
      <c r="U239" s="50"/>
      <c r="V239" s="50" t="s">
        <v>176</v>
      </c>
      <c r="W239" s="50"/>
      <c r="X239" s="50"/>
      <c r="Y239" s="50"/>
      <c r="Z239" s="50" t="s">
        <v>177</v>
      </c>
      <c r="AA239" s="50"/>
      <c r="AB239" s="50"/>
      <c r="AC239" s="64"/>
    </row>
    <row r="240" spans="1:30" x14ac:dyDescent="0.2">
      <c r="A240" s="9"/>
      <c r="B240" s="346"/>
      <c r="C240" s="347"/>
      <c r="D240" s="347"/>
      <c r="E240" s="347"/>
      <c r="F240" s="348">
        <f t="shared" ref="F240:AC240" si="77">F177</f>
        <v>45756</v>
      </c>
      <c r="G240" s="348">
        <f t="shared" si="77"/>
        <v>45869</v>
      </c>
      <c r="H240" s="348">
        <f t="shared" si="77"/>
        <v>45961</v>
      </c>
      <c r="I240" s="348">
        <f t="shared" si="77"/>
        <v>46053</v>
      </c>
      <c r="J240" s="348">
        <f t="shared" si="77"/>
        <v>46142</v>
      </c>
      <c r="K240" s="348">
        <f t="shared" si="77"/>
        <v>46234</v>
      </c>
      <c r="L240" s="348">
        <f t="shared" si="77"/>
        <v>46326</v>
      </c>
      <c r="M240" s="348">
        <f t="shared" si="77"/>
        <v>46418</v>
      </c>
      <c r="N240" s="348">
        <f t="shared" si="77"/>
        <v>46507</v>
      </c>
      <c r="O240" s="348">
        <f t="shared" si="77"/>
        <v>46599</v>
      </c>
      <c r="P240" s="348">
        <f t="shared" si="77"/>
        <v>46691</v>
      </c>
      <c r="Q240" s="348">
        <f t="shared" si="77"/>
        <v>46783</v>
      </c>
      <c r="R240" s="348">
        <f t="shared" si="77"/>
        <v>46873</v>
      </c>
      <c r="S240" s="348">
        <f t="shared" si="77"/>
        <v>46965</v>
      </c>
      <c r="T240" s="348">
        <f t="shared" si="77"/>
        <v>47057</v>
      </c>
      <c r="U240" s="348">
        <f t="shared" si="77"/>
        <v>47149</v>
      </c>
      <c r="V240" s="348">
        <f t="shared" si="77"/>
        <v>47238</v>
      </c>
      <c r="W240" s="348">
        <f t="shared" si="77"/>
        <v>47330</v>
      </c>
      <c r="X240" s="348">
        <f t="shared" si="77"/>
        <v>47422</v>
      </c>
      <c r="Y240" s="348">
        <f t="shared" si="77"/>
        <v>47514</v>
      </c>
      <c r="Z240" s="348">
        <f t="shared" si="77"/>
        <v>47603</v>
      </c>
      <c r="AA240" s="348">
        <f t="shared" si="77"/>
        <v>47695</v>
      </c>
      <c r="AB240" s="348">
        <f t="shared" si="77"/>
        <v>47787</v>
      </c>
      <c r="AC240" s="349">
        <f t="shared" si="77"/>
        <v>47879</v>
      </c>
    </row>
    <row r="241" spans="1:29" x14ac:dyDescent="0.2">
      <c r="A241" s="9"/>
      <c r="B241" s="346"/>
      <c r="C241" s="347"/>
      <c r="D241" s="347"/>
      <c r="E241" s="347"/>
      <c r="F241" s="40" t="s">
        <v>179</v>
      </c>
      <c r="G241" s="40" t="s">
        <v>180</v>
      </c>
      <c r="H241" s="40" t="s">
        <v>181</v>
      </c>
      <c r="I241" s="40" t="s">
        <v>182</v>
      </c>
      <c r="J241" s="40" t="s">
        <v>183</v>
      </c>
      <c r="K241" s="40" t="s">
        <v>184</v>
      </c>
      <c r="L241" s="40" t="s">
        <v>185</v>
      </c>
      <c r="M241" s="40" t="s">
        <v>186</v>
      </c>
      <c r="N241" s="40" t="s">
        <v>187</v>
      </c>
      <c r="O241" s="40" t="s">
        <v>188</v>
      </c>
      <c r="P241" s="40" t="s">
        <v>189</v>
      </c>
      <c r="Q241" s="40" t="s">
        <v>190</v>
      </c>
      <c r="R241" s="40" t="s">
        <v>191</v>
      </c>
      <c r="S241" s="40" t="s">
        <v>192</v>
      </c>
      <c r="T241" s="40" t="s">
        <v>193</v>
      </c>
      <c r="U241" s="40" t="s">
        <v>194</v>
      </c>
      <c r="V241" s="40" t="s">
        <v>195</v>
      </c>
      <c r="W241" s="40" t="s">
        <v>196</v>
      </c>
      <c r="X241" s="40" t="s">
        <v>197</v>
      </c>
      <c r="Y241" s="40" t="s">
        <v>198</v>
      </c>
      <c r="Z241" s="40" t="s">
        <v>199</v>
      </c>
      <c r="AA241" s="40" t="s">
        <v>200</v>
      </c>
      <c r="AB241" s="40" t="s">
        <v>201</v>
      </c>
      <c r="AC241" s="32" t="s">
        <v>202</v>
      </c>
    </row>
    <row r="242" spans="1:29" x14ac:dyDescent="0.2">
      <c r="A242" s="9"/>
      <c r="B242" s="350" t="s">
        <v>242</v>
      </c>
      <c r="C242" s="351"/>
      <c r="D242" s="351"/>
      <c r="E242" s="351"/>
      <c r="F242" s="352">
        <f>$C$192</f>
        <v>7.2999999999999995E-2</v>
      </c>
      <c r="G242" s="352"/>
      <c r="H242" s="352"/>
      <c r="I242" s="352"/>
      <c r="J242" s="352">
        <f>$C$192</f>
        <v>7.2999999999999995E-2</v>
      </c>
      <c r="K242" s="352"/>
      <c r="L242" s="352"/>
      <c r="M242" s="352"/>
      <c r="N242" s="352">
        <f>$C$192</f>
        <v>7.2999999999999995E-2</v>
      </c>
      <c r="O242" s="352"/>
      <c r="P242" s="352"/>
      <c r="Q242" s="352"/>
      <c r="R242" s="352">
        <f>$C$192</f>
        <v>7.2999999999999995E-2</v>
      </c>
      <c r="S242" s="352"/>
      <c r="T242" s="352"/>
      <c r="U242" s="352"/>
      <c r="V242" s="352">
        <f>$C$192</f>
        <v>7.2999999999999995E-2</v>
      </c>
      <c r="W242" s="352"/>
      <c r="X242" s="352"/>
      <c r="Y242" s="352"/>
      <c r="Z242" s="352">
        <f>$C$192</f>
        <v>7.2999999999999995E-2</v>
      </c>
      <c r="AA242" s="352"/>
      <c r="AB242" s="352"/>
      <c r="AC242" s="353"/>
    </row>
    <row r="243" spans="1:29" x14ac:dyDescent="0.2">
      <c r="A243" s="9"/>
      <c r="B243" s="350"/>
      <c r="C243" s="351"/>
      <c r="D243" s="351"/>
      <c r="E243" s="351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  <c r="AA243" s="352"/>
      <c r="AB243" s="352"/>
      <c r="AC243" s="353"/>
    </row>
    <row r="244" spans="1:29" x14ac:dyDescent="0.2">
      <c r="A244" s="9"/>
      <c r="B244" s="346" t="s">
        <v>243</v>
      </c>
      <c r="C244" s="347"/>
      <c r="D244" s="347"/>
      <c r="E244" s="347"/>
      <c r="F244" s="354">
        <f>$C$192/4</f>
        <v>1.8249999999999999E-2</v>
      </c>
      <c r="G244" s="354">
        <f>$C$192/4</f>
        <v>1.8249999999999999E-2</v>
      </c>
      <c r="H244" s="354">
        <f t="shared" ref="H244:X244" si="78">$C$192/4</f>
        <v>1.8249999999999999E-2</v>
      </c>
      <c r="I244" s="354">
        <f t="shared" si="78"/>
        <v>1.8249999999999999E-2</v>
      </c>
      <c r="J244" s="354">
        <f t="shared" si="78"/>
        <v>1.8249999999999999E-2</v>
      </c>
      <c r="K244" s="354">
        <f t="shared" si="78"/>
        <v>1.8249999999999999E-2</v>
      </c>
      <c r="L244" s="354">
        <f t="shared" si="78"/>
        <v>1.8249999999999999E-2</v>
      </c>
      <c r="M244" s="354">
        <f t="shared" si="78"/>
        <v>1.8249999999999999E-2</v>
      </c>
      <c r="N244" s="354">
        <f t="shared" si="78"/>
        <v>1.8249999999999999E-2</v>
      </c>
      <c r="O244" s="354">
        <f t="shared" si="78"/>
        <v>1.8249999999999999E-2</v>
      </c>
      <c r="P244" s="354">
        <f t="shared" si="78"/>
        <v>1.8249999999999999E-2</v>
      </c>
      <c r="Q244" s="354">
        <f t="shared" si="78"/>
        <v>1.8249999999999999E-2</v>
      </c>
      <c r="R244" s="354">
        <f t="shared" si="78"/>
        <v>1.8249999999999999E-2</v>
      </c>
      <c r="S244" s="354">
        <f t="shared" si="78"/>
        <v>1.8249999999999999E-2</v>
      </c>
      <c r="T244" s="354">
        <f t="shared" si="78"/>
        <v>1.8249999999999999E-2</v>
      </c>
      <c r="U244" s="354">
        <f t="shared" si="78"/>
        <v>1.8249999999999999E-2</v>
      </c>
      <c r="V244" s="354">
        <f t="shared" si="78"/>
        <v>1.8249999999999999E-2</v>
      </c>
      <c r="W244" s="354">
        <f t="shared" si="78"/>
        <v>1.8249999999999999E-2</v>
      </c>
      <c r="X244" s="354">
        <f t="shared" si="78"/>
        <v>1.8249999999999999E-2</v>
      </c>
      <c r="Y244" s="354">
        <f>$C$192/4</f>
        <v>1.8249999999999999E-2</v>
      </c>
      <c r="Z244" s="354">
        <f t="shared" ref="Z244:AC244" si="79">$C$192/4</f>
        <v>1.8249999999999999E-2</v>
      </c>
      <c r="AA244" s="354">
        <f t="shared" si="79"/>
        <v>1.8249999999999999E-2</v>
      </c>
      <c r="AB244" s="354">
        <f t="shared" si="79"/>
        <v>1.8249999999999999E-2</v>
      </c>
      <c r="AC244" s="355">
        <f t="shared" si="79"/>
        <v>1.8249999999999999E-2</v>
      </c>
    </row>
    <row r="245" spans="1:29" x14ac:dyDescent="0.2">
      <c r="A245" s="9"/>
      <c r="B245" s="346"/>
      <c r="C245" s="347"/>
      <c r="D245" s="347"/>
      <c r="E245" s="347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  <c r="AB245" s="354"/>
      <c r="AC245" s="355"/>
    </row>
    <row r="246" spans="1:29" x14ac:dyDescent="0.2">
      <c r="A246" s="9"/>
      <c r="B246" s="356" t="s">
        <v>244</v>
      </c>
      <c r="C246" s="357"/>
      <c r="D246" s="357"/>
      <c r="E246" s="357"/>
      <c r="F246" s="335">
        <f>F248</f>
        <v>0</v>
      </c>
      <c r="G246" s="335">
        <f t="shared" ref="G246:X246" si="80">F246+G248+G256</f>
        <v>0</v>
      </c>
      <c r="H246" s="335">
        <f t="shared" si="80"/>
        <v>2958942.7072627004</v>
      </c>
      <c r="I246" s="335">
        <f t="shared" si="80"/>
        <v>8837036.9396111369</v>
      </c>
      <c r="J246" s="335">
        <f t="shared" si="80"/>
        <v>15038508.865593027</v>
      </c>
      <c r="K246" s="335">
        <f t="shared" si="80"/>
        <v>20562608.798854399</v>
      </c>
      <c r="L246" s="335">
        <f t="shared" si="80"/>
        <v>26176373.779102843</v>
      </c>
      <c r="M246" s="335">
        <f t="shared" si="80"/>
        <v>31892845.69351887</v>
      </c>
      <c r="N246" s="335">
        <f t="shared" si="80"/>
        <v>37986015.593938395</v>
      </c>
      <c r="O246" s="335">
        <f t="shared" si="80"/>
        <v>43912735.892334163</v>
      </c>
      <c r="P246" s="335">
        <f t="shared" si="80"/>
        <v>56263213.581125043</v>
      </c>
      <c r="Q246" s="335">
        <f t="shared" si="80"/>
        <v>70737270.264284864</v>
      </c>
      <c r="R246" s="335">
        <f t="shared" si="80"/>
        <v>71970481.603339329</v>
      </c>
      <c r="S246" s="335">
        <f t="shared" si="80"/>
        <v>72320719.640852392</v>
      </c>
      <c r="T246" s="335">
        <f t="shared" si="80"/>
        <v>72320719.640852392</v>
      </c>
      <c r="U246" s="335">
        <f t="shared" si="80"/>
        <v>72320719.640852392</v>
      </c>
      <c r="V246" s="335">
        <f t="shared" si="80"/>
        <v>0</v>
      </c>
      <c r="W246" s="335">
        <f t="shared" si="80"/>
        <v>0</v>
      </c>
      <c r="X246" s="335">
        <f t="shared" si="80"/>
        <v>0</v>
      </c>
      <c r="Y246" s="335">
        <f>X246+Y248+Y256</f>
        <v>0</v>
      </c>
      <c r="Z246" s="335">
        <f>Y246+Z248+Z256</f>
        <v>0</v>
      </c>
      <c r="AA246" s="335">
        <f t="shared" ref="AA246:AC246" si="81">Z246+AA248+AA256</f>
        <v>0</v>
      </c>
      <c r="AB246" s="335">
        <f t="shared" si="81"/>
        <v>0</v>
      </c>
      <c r="AC246" s="336">
        <f t="shared" si="81"/>
        <v>0</v>
      </c>
    </row>
    <row r="247" spans="1:29" x14ac:dyDescent="0.2">
      <c r="A247" s="38"/>
      <c r="B247" s="356"/>
      <c r="C247" s="357"/>
      <c r="D247" s="357"/>
      <c r="E247" s="357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335"/>
      <c r="AB247" s="335"/>
      <c r="AC247" s="336"/>
    </row>
    <row r="248" spans="1:29" x14ac:dyDescent="0.2">
      <c r="A248" s="38"/>
      <c r="B248" s="346" t="s">
        <v>245</v>
      </c>
      <c r="C248" s="347"/>
      <c r="D248" s="347"/>
      <c r="E248" s="347"/>
      <c r="F248" s="333">
        <f t="shared" ref="F248:AC248" si="82">F189</f>
        <v>0</v>
      </c>
      <c r="G248" s="333">
        <f t="shared" si="82"/>
        <v>0</v>
      </c>
      <c r="H248" s="333">
        <f t="shared" si="82"/>
        <v>2958942.7072627004</v>
      </c>
      <c r="I248" s="333">
        <f t="shared" si="82"/>
        <v>5878094.2323484374</v>
      </c>
      <c r="J248" s="333">
        <f t="shared" si="82"/>
        <v>6201471.9259818895</v>
      </c>
      <c r="K248" s="333">
        <f t="shared" si="82"/>
        <v>5524099.9332613731</v>
      </c>
      <c r="L248" s="333">
        <f t="shared" si="82"/>
        <v>5613764.9802484447</v>
      </c>
      <c r="M248" s="333">
        <f t="shared" si="82"/>
        <v>5716471.9144160282</v>
      </c>
      <c r="N248" s="333">
        <f t="shared" si="82"/>
        <v>6093169.9004195295</v>
      </c>
      <c r="O248" s="333">
        <f t="shared" si="82"/>
        <v>5926720.2983957697</v>
      </c>
      <c r="P248" s="333">
        <f t="shared" si="82"/>
        <v>12350477.688790882</v>
      </c>
      <c r="Q248" s="333">
        <f t="shared" si="82"/>
        <v>14474056.683159821</v>
      </c>
      <c r="R248" s="333">
        <f t="shared" si="82"/>
        <v>1233211.3390544625</v>
      </c>
      <c r="S248" s="333">
        <f t="shared" si="82"/>
        <v>350238.0375130694</v>
      </c>
      <c r="T248" s="333">
        <f t="shared" si="82"/>
        <v>0</v>
      </c>
      <c r="U248" s="333">
        <f t="shared" si="82"/>
        <v>0</v>
      </c>
      <c r="V248" s="333">
        <f t="shared" si="82"/>
        <v>0</v>
      </c>
      <c r="W248" s="333">
        <f t="shared" si="82"/>
        <v>0</v>
      </c>
      <c r="X248" s="333">
        <f t="shared" si="82"/>
        <v>0</v>
      </c>
      <c r="Y248" s="333">
        <f t="shared" si="82"/>
        <v>0</v>
      </c>
      <c r="Z248" s="333">
        <f t="shared" si="82"/>
        <v>0</v>
      </c>
      <c r="AA248" s="333">
        <f t="shared" si="82"/>
        <v>0</v>
      </c>
      <c r="AB248" s="333">
        <f t="shared" si="82"/>
        <v>0</v>
      </c>
      <c r="AC248" s="334">
        <f t="shared" si="82"/>
        <v>0</v>
      </c>
    </row>
    <row r="249" spans="1:29" x14ac:dyDescent="0.2">
      <c r="A249" s="38"/>
      <c r="B249" s="346"/>
      <c r="C249" s="347"/>
      <c r="D249" s="347"/>
      <c r="E249" s="347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  <c r="AA249" s="333"/>
      <c r="AB249" s="333"/>
      <c r="AC249" s="334"/>
    </row>
    <row r="250" spans="1:29" x14ac:dyDescent="0.2">
      <c r="A250" s="38"/>
      <c r="B250" s="356" t="s">
        <v>246</v>
      </c>
      <c r="C250" s="357"/>
      <c r="D250" s="357"/>
      <c r="E250" s="357"/>
      <c r="F250" s="335">
        <f t="shared" ref="F250:AC250" si="83">F192</f>
        <v>0</v>
      </c>
      <c r="G250" s="335">
        <f t="shared" si="83"/>
        <v>0</v>
      </c>
      <c r="H250" s="335">
        <f t="shared" si="83"/>
        <v>0</v>
      </c>
      <c r="I250" s="335">
        <f t="shared" si="83"/>
        <v>-54000.704407544283</v>
      </c>
      <c r="J250" s="335">
        <f t="shared" si="83"/>
        <v>-161275.92414790325</v>
      </c>
      <c r="K250" s="335">
        <f t="shared" si="83"/>
        <v>-274452.78679707274</v>
      </c>
      <c r="L250" s="335">
        <f t="shared" si="83"/>
        <v>-375267.61057909275</v>
      </c>
      <c r="M250" s="335">
        <f t="shared" si="83"/>
        <v>-477718.82146862685</v>
      </c>
      <c r="N250" s="335">
        <f t="shared" si="83"/>
        <v>-582044.43390671932</v>
      </c>
      <c r="O250" s="335">
        <f t="shared" si="83"/>
        <v>-693244.78458937572</v>
      </c>
      <c r="P250" s="335">
        <f t="shared" si="83"/>
        <v>-801407.43003509846</v>
      </c>
      <c r="Q250" s="335">
        <f t="shared" si="83"/>
        <v>-1026803.647855532</v>
      </c>
      <c r="R250" s="335">
        <f t="shared" si="83"/>
        <v>-1290955.1823231988</v>
      </c>
      <c r="S250" s="335">
        <f t="shared" si="83"/>
        <v>-1313461.2892609427</v>
      </c>
      <c r="T250" s="335">
        <f t="shared" si="83"/>
        <v>-1319853.133445556</v>
      </c>
      <c r="U250" s="335">
        <f t="shared" si="83"/>
        <v>-1319853.133445556</v>
      </c>
      <c r="V250" s="335">
        <f t="shared" si="83"/>
        <v>-1319853.133445556</v>
      </c>
      <c r="W250" s="335">
        <f t="shared" si="83"/>
        <v>0</v>
      </c>
      <c r="X250" s="335">
        <f t="shared" si="83"/>
        <v>0</v>
      </c>
      <c r="Y250" s="335">
        <f t="shared" si="83"/>
        <v>0</v>
      </c>
      <c r="Z250" s="335">
        <f t="shared" si="83"/>
        <v>0</v>
      </c>
      <c r="AA250" s="335">
        <f t="shared" si="83"/>
        <v>0</v>
      </c>
      <c r="AB250" s="335">
        <f t="shared" si="83"/>
        <v>0</v>
      </c>
      <c r="AC250" s="336">
        <f t="shared" si="83"/>
        <v>0</v>
      </c>
    </row>
    <row r="251" spans="1:29" x14ac:dyDescent="0.2">
      <c r="B251" s="356"/>
      <c r="C251" s="357"/>
      <c r="D251" s="357"/>
      <c r="E251" s="357"/>
      <c r="F251" s="335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  <c r="AA251" s="335"/>
      <c r="AB251" s="335"/>
      <c r="AC251" s="336"/>
    </row>
    <row r="252" spans="1:29" x14ac:dyDescent="0.2">
      <c r="A252" s="358"/>
      <c r="B252" s="359" t="s">
        <v>221</v>
      </c>
      <c r="C252" s="360"/>
      <c r="D252" s="360"/>
      <c r="E252" s="360"/>
      <c r="F252" s="333">
        <f t="shared" ref="F252:AC252" si="84">F193</f>
        <v>-361603.59820426197</v>
      </c>
      <c r="G252" s="333">
        <f t="shared" si="84"/>
        <v>0</v>
      </c>
      <c r="H252" s="333">
        <f t="shared" si="84"/>
        <v>0</v>
      </c>
      <c r="I252" s="333">
        <f t="shared" si="84"/>
        <v>0</v>
      </c>
      <c r="J252" s="333">
        <f t="shared" si="84"/>
        <v>0</v>
      </c>
      <c r="K252" s="333">
        <f t="shared" si="84"/>
        <v>0</v>
      </c>
      <c r="L252" s="333">
        <f t="shared" si="84"/>
        <v>0</v>
      </c>
      <c r="M252" s="333">
        <f t="shared" si="84"/>
        <v>0</v>
      </c>
      <c r="N252" s="333">
        <f t="shared" si="84"/>
        <v>0</v>
      </c>
      <c r="O252" s="333">
        <f t="shared" si="84"/>
        <v>0</v>
      </c>
      <c r="P252" s="333">
        <f t="shared" si="84"/>
        <v>0</v>
      </c>
      <c r="Q252" s="333">
        <f t="shared" si="84"/>
        <v>0</v>
      </c>
      <c r="R252" s="333">
        <f t="shared" si="84"/>
        <v>0</v>
      </c>
      <c r="S252" s="333">
        <f t="shared" si="84"/>
        <v>0</v>
      </c>
      <c r="T252" s="333">
        <f t="shared" si="84"/>
        <v>0</v>
      </c>
      <c r="U252" s="333">
        <f t="shared" si="84"/>
        <v>0</v>
      </c>
      <c r="V252" s="333">
        <f t="shared" si="84"/>
        <v>0</v>
      </c>
      <c r="W252" s="333">
        <f t="shared" si="84"/>
        <v>0</v>
      </c>
      <c r="X252" s="333">
        <f t="shared" si="84"/>
        <v>0</v>
      </c>
      <c r="Y252" s="333">
        <f t="shared" si="84"/>
        <v>0</v>
      </c>
      <c r="Z252" s="333">
        <f t="shared" si="84"/>
        <v>0</v>
      </c>
      <c r="AA252" s="333">
        <f t="shared" si="84"/>
        <v>0</v>
      </c>
      <c r="AB252" s="333">
        <f t="shared" si="84"/>
        <v>0</v>
      </c>
      <c r="AC252" s="334">
        <f t="shared" si="84"/>
        <v>0</v>
      </c>
    </row>
    <row r="253" spans="1:29" x14ac:dyDescent="0.2">
      <c r="A253" s="358"/>
      <c r="B253" s="359"/>
      <c r="C253" s="360"/>
      <c r="D253" s="360"/>
      <c r="E253" s="360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  <c r="Z253" s="333"/>
      <c r="AA253" s="333"/>
      <c r="AB253" s="333"/>
      <c r="AC253" s="334"/>
    </row>
    <row r="254" spans="1:29" x14ac:dyDescent="0.2">
      <c r="A254" s="9"/>
      <c r="B254" s="356" t="s">
        <v>247</v>
      </c>
      <c r="C254" s="357"/>
      <c r="D254" s="357"/>
      <c r="E254" s="357"/>
      <c r="F254" s="335">
        <f>F250+F252</f>
        <v>-361603.59820426197</v>
      </c>
      <c r="G254" s="335">
        <f>G250+G252</f>
        <v>0</v>
      </c>
      <c r="H254" s="335">
        <f>H250+H252</f>
        <v>0</v>
      </c>
      <c r="I254" s="335">
        <f t="shared" ref="I254:W254" si="85">I250+I252</f>
        <v>-54000.704407544283</v>
      </c>
      <c r="J254" s="335">
        <f t="shared" si="85"/>
        <v>-161275.92414790325</v>
      </c>
      <c r="K254" s="335">
        <f t="shared" si="85"/>
        <v>-274452.78679707274</v>
      </c>
      <c r="L254" s="335">
        <f t="shared" si="85"/>
        <v>-375267.61057909275</v>
      </c>
      <c r="M254" s="335">
        <f t="shared" si="85"/>
        <v>-477718.82146862685</v>
      </c>
      <c r="N254" s="335">
        <f t="shared" si="85"/>
        <v>-582044.43390671932</v>
      </c>
      <c r="O254" s="335">
        <f t="shared" si="85"/>
        <v>-693244.78458937572</v>
      </c>
      <c r="P254" s="335">
        <f t="shared" si="85"/>
        <v>-801407.43003509846</v>
      </c>
      <c r="Q254" s="335">
        <f t="shared" si="85"/>
        <v>-1026803.647855532</v>
      </c>
      <c r="R254" s="335">
        <f t="shared" si="85"/>
        <v>-1290955.1823231988</v>
      </c>
      <c r="S254" s="335">
        <f t="shared" si="85"/>
        <v>-1313461.2892609427</v>
      </c>
      <c r="T254" s="335">
        <f t="shared" si="85"/>
        <v>-1319853.133445556</v>
      </c>
      <c r="U254" s="335">
        <f t="shared" si="85"/>
        <v>-1319853.133445556</v>
      </c>
      <c r="V254" s="335">
        <f t="shared" si="85"/>
        <v>-1319853.133445556</v>
      </c>
      <c r="W254" s="335">
        <f t="shared" si="85"/>
        <v>0</v>
      </c>
      <c r="X254" s="335">
        <f>X250+X252</f>
        <v>0</v>
      </c>
      <c r="Y254" s="335">
        <f>Y250+Y252</f>
        <v>0</v>
      </c>
      <c r="Z254" s="335">
        <f>Z250+Z252</f>
        <v>0</v>
      </c>
      <c r="AA254" s="335">
        <f t="shared" ref="AA254:AC254" si="86">AA250+AA252</f>
        <v>0</v>
      </c>
      <c r="AB254" s="335">
        <f t="shared" si="86"/>
        <v>0</v>
      </c>
      <c r="AC254" s="336">
        <f t="shared" si="86"/>
        <v>0</v>
      </c>
    </row>
    <row r="255" spans="1:29" x14ac:dyDescent="0.2">
      <c r="A255" s="9"/>
      <c r="B255" s="356"/>
      <c r="C255" s="357"/>
      <c r="D255" s="357"/>
      <c r="E255" s="357"/>
      <c r="F255" s="335"/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  <c r="AA255" s="335"/>
      <c r="AB255" s="335"/>
      <c r="AC255" s="336"/>
    </row>
    <row r="256" spans="1:29" x14ac:dyDescent="0.2">
      <c r="A256" s="9"/>
      <c r="B256" s="346" t="s">
        <v>205</v>
      </c>
      <c r="C256" s="347"/>
      <c r="D256" s="347"/>
      <c r="E256" s="347"/>
      <c r="F256" s="333">
        <f t="shared" ref="F256:AC256" si="87">F191</f>
        <v>0</v>
      </c>
      <c r="G256" s="333">
        <f t="shared" si="87"/>
        <v>0</v>
      </c>
      <c r="H256" s="333">
        <f t="shared" si="87"/>
        <v>0</v>
      </c>
      <c r="I256" s="333">
        <f t="shared" si="87"/>
        <v>0</v>
      </c>
      <c r="J256" s="333">
        <f t="shared" si="87"/>
        <v>0</v>
      </c>
      <c r="K256" s="333">
        <f t="shared" si="87"/>
        <v>0</v>
      </c>
      <c r="L256" s="333">
        <f t="shared" si="87"/>
        <v>0</v>
      </c>
      <c r="M256" s="333">
        <f t="shared" si="87"/>
        <v>0</v>
      </c>
      <c r="N256" s="333">
        <f t="shared" si="87"/>
        <v>0</v>
      </c>
      <c r="O256" s="333">
        <f t="shared" si="87"/>
        <v>0</v>
      </c>
      <c r="P256" s="333">
        <f t="shared" si="87"/>
        <v>0</v>
      </c>
      <c r="Q256" s="333">
        <f t="shared" si="87"/>
        <v>0</v>
      </c>
      <c r="R256" s="333">
        <f t="shared" si="87"/>
        <v>0</v>
      </c>
      <c r="S256" s="333">
        <f t="shared" si="87"/>
        <v>0</v>
      </c>
      <c r="T256" s="333">
        <f t="shared" si="87"/>
        <v>0</v>
      </c>
      <c r="U256" s="333">
        <f t="shared" si="87"/>
        <v>0</v>
      </c>
      <c r="V256" s="333">
        <f t="shared" si="87"/>
        <v>-72320719.640852392</v>
      </c>
      <c r="W256" s="333">
        <f t="shared" si="87"/>
        <v>0</v>
      </c>
      <c r="X256" s="333">
        <f t="shared" si="87"/>
        <v>0</v>
      </c>
      <c r="Y256" s="333">
        <f t="shared" si="87"/>
        <v>0</v>
      </c>
      <c r="Z256" s="333">
        <f t="shared" si="87"/>
        <v>0</v>
      </c>
      <c r="AA256" s="333">
        <f t="shared" si="87"/>
        <v>0</v>
      </c>
      <c r="AB256" s="333">
        <f t="shared" si="87"/>
        <v>0</v>
      </c>
      <c r="AC256" s="334">
        <f t="shared" si="87"/>
        <v>0</v>
      </c>
    </row>
    <row r="257" spans="1:29" ht="12" thickBot="1" x14ac:dyDescent="0.25">
      <c r="B257" s="361"/>
      <c r="C257" s="362"/>
      <c r="D257" s="362"/>
      <c r="E257" s="362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  <c r="AA257" s="363"/>
      <c r="AB257" s="363"/>
      <c r="AC257" s="364"/>
    </row>
    <row r="258" spans="1:29" x14ac:dyDescent="0.2">
      <c r="A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AB258" s="365" t="s">
        <v>248</v>
      </c>
      <c r="AC258" s="366" t="s">
        <v>249</v>
      </c>
    </row>
    <row r="259" spans="1:29" ht="12" thickBot="1" x14ac:dyDescent="0.25">
      <c r="A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AB259" s="367">
        <f>SUM(F248:AC249)</f>
        <v>72320719.640852392</v>
      </c>
      <c r="AC259" s="368">
        <f>SUM(F254:AC255)</f>
        <v>-11371795.613912035</v>
      </c>
    </row>
    <row r="260" spans="1:29" x14ac:dyDescent="0.2">
      <c r="A260" s="9"/>
      <c r="AB260" s="20" t="b">
        <f>AB259=E189</f>
        <v>1</v>
      </c>
      <c r="AC260" s="20" t="b">
        <f>AC259=SUM(E192:E193)</f>
        <v>1</v>
      </c>
    </row>
    <row r="261" spans="1:29" x14ac:dyDescent="0.2">
      <c r="A261" s="9"/>
      <c r="W261" s="9"/>
    </row>
    <row r="262" spans="1:29" x14ac:dyDescent="0.2">
      <c r="A262" s="9"/>
      <c r="H262" s="30"/>
      <c r="W262" s="9"/>
    </row>
    <row r="263" spans="1:29" x14ac:dyDescent="0.2">
      <c r="A263" s="9"/>
      <c r="W263" s="9"/>
    </row>
    <row r="264" spans="1:29" x14ac:dyDescent="0.2">
      <c r="A264" s="9"/>
      <c r="W264" s="9"/>
    </row>
    <row r="265" spans="1:29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9" ht="12" thickBot="1" x14ac:dyDescent="0.25">
      <c r="B266" s="369"/>
      <c r="C266" s="369"/>
      <c r="D266" s="369"/>
      <c r="E266" s="369"/>
      <c r="F266" s="369" t="str">
        <f t="shared" ref="F266:K266" si="88">IF(AND(F200&lt;&gt;"", F200&lt;&gt;0), 1, "")</f>
        <v/>
      </c>
      <c r="G266" s="369">
        <f t="shared" si="88"/>
        <v>1</v>
      </c>
      <c r="H266" s="369" t="str">
        <f t="shared" si="88"/>
        <v/>
      </c>
      <c r="I266" s="369" t="str">
        <f t="shared" si="88"/>
        <v/>
      </c>
      <c r="J266" s="369" t="str">
        <f t="shared" si="88"/>
        <v/>
      </c>
      <c r="K266" s="369" t="str">
        <f t="shared" si="88"/>
        <v/>
      </c>
      <c r="L266" s="369">
        <f t="shared" ref="L266:Y266" si="89">IF(AND(L196&lt;&gt;"", L196&lt;&gt;0), 1, "")</f>
        <v>1</v>
      </c>
      <c r="M266" s="369">
        <f t="shared" si="89"/>
        <v>1</v>
      </c>
      <c r="N266" s="369">
        <f t="shared" si="89"/>
        <v>1</v>
      </c>
      <c r="O266" s="369">
        <f t="shared" si="89"/>
        <v>1</v>
      </c>
      <c r="P266" s="369">
        <f t="shared" si="89"/>
        <v>1</v>
      </c>
      <c r="Q266" s="369">
        <f t="shared" si="89"/>
        <v>1</v>
      </c>
      <c r="R266" s="369" t="str">
        <f t="shared" si="89"/>
        <v/>
      </c>
      <c r="S266" s="369" t="str">
        <f t="shared" si="89"/>
        <v/>
      </c>
      <c r="T266" s="369" t="str">
        <f t="shared" si="89"/>
        <v/>
      </c>
      <c r="U266" s="369" t="str">
        <f t="shared" si="89"/>
        <v/>
      </c>
      <c r="V266" s="369" t="str">
        <f t="shared" si="89"/>
        <v/>
      </c>
      <c r="W266" s="369" t="str">
        <f t="shared" si="89"/>
        <v/>
      </c>
      <c r="X266" s="369" t="str">
        <f t="shared" si="89"/>
        <v/>
      </c>
      <c r="Y266" s="369" t="str">
        <f t="shared" si="89"/>
        <v/>
      </c>
      <c r="Z266" s="369"/>
      <c r="AA266" s="369"/>
      <c r="AB266" s="369"/>
      <c r="AC266" s="369"/>
    </row>
    <row r="267" spans="1:29" ht="12.75" x14ac:dyDescent="0.2">
      <c r="B267" s="370" t="s">
        <v>250</v>
      </c>
      <c r="C267" s="371"/>
      <c r="D267" s="371"/>
      <c r="E267" s="371"/>
      <c r="F267" s="371"/>
      <c r="G267" s="371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  <c r="AA267" s="371"/>
      <c r="AB267" s="371"/>
      <c r="AC267" s="372"/>
    </row>
    <row r="268" spans="1:29" x14ac:dyDescent="0.2">
      <c r="B268" s="373">
        <f>R139-SUM(F270:Y271)</f>
        <v>0</v>
      </c>
      <c r="C268" s="374"/>
      <c r="D268" s="375" t="b">
        <f>B268=0</f>
        <v>1</v>
      </c>
      <c r="E268" s="50" t="s">
        <v>241</v>
      </c>
      <c r="F268" s="376" t="s">
        <v>172</v>
      </c>
      <c r="G268" s="376"/>
      <c r="H268" s="376"/>
      <c r="I268" s="376"/>
      <c r="J268" s="376" t="s">
        <v>173</v>
      </c>
      <c r="K268" s="376"/>
      <c r="L268" s="376"/>
      <c r="M268" s="376"/>
      <c r="N268" s="376" t="s">
        <v>174</v>
      </c>
      <c r="O268" s="376"/>
      <c r="P268" s="376"/>
      <c r="Q268" s="376"/>
      <c r="R268" s="376" t="s">
        <v>175</v>
      </c>
      <c r="S268" s="376"/>
      <c r="T268" s="376"/>
      <c r="U268" s="376"/>
      <c r="V268" s="376" t="s">
        <v>176</v>
      </c>
      <c r="W268" s="376"/>
      <c r="X268" s="376"/>
      <c r="Y268" s="376"/>
      <c r="Z268" s="377" t="s">
        <v>177</v>
      </c>
      <c r="AA268" s="377"/>
      <c r="AB268" s="377"/>
      <c r="AC268" s="378"/>
    </row>
    <row r="269" spans="1:29" x14ac:dyDescent="0.2">
      <c r="B269" s="373"/>
      <c r="C269" s="374"/>
      <c r="D269" s="375"/>
      <c r="E269" s="50"/>
      <c r="F269" s="11" t="s">
        <v>179</v>
      </c>
      <c r="G269" s="11" t="s">
        <v>180</v>
      </c>
      <c r="H269" s="11" t="s">
        <v>181</v>
      </c>
      <c r="I269" s="11" t="s">
        <v>182</v>
      </c>
      <c r="J269" s="11" t="s">
        <v>183</v>
      </c>
      <c r="K269" s="11" t="s">
        <v>184</v>
      </c>
      <c r="L269" s="11" t="s">
        <v>185</v>
      </c>
      <c r="M269" s="11" t="s">
        <v>186</v>
      </c>
      <c r="N269" s="11" t="s">
        <v>187</v>
      </c>
      <c r="O269" s="11" t="s">
        <v>188</v>
      </c>
      <c r="P269" s="11" t="s">
        <v>189</v>
      </c>
      <c r="Q269" s="11" t="s">
        <v>190</v>
      </c>
      <c r="R269" s="11" t="s">
        <v>191</v>
      </c>
      <c r="S269" s="11" t="s">
        <v>192</v>
      </c>
      <c r="T269" s="11" t="s">
        <v>193</v>
      </c>
      <c r="U269" s="11" t="s">
        <v>194</v>
      </c>
      <c r="V269" s="11" t="s">
        <v>195</v>
      </c>
      <c r="W269" s="11" t="s">
        <v>196</v>
      </c>
      <c r="X269" s="11" t="s">
        <v>197</v>
      </c>
      <c r="Y269" s="11" t="s">
        <v>198</v>
      </c>
      <c r="Z269" s="11" t="s">
        <v>199</v>
      </c>
      <c r="AA269" s="11" t="s">
        <v>200</v>
      </c>
      <c r="AB269" s="11" t="s">
        <v>201</v>
      </c>
      <c r="AC269" s="12" t="s">
        <v>202</v>
      </c>
    </row>
    <row r="270" spans="1:29" x14ac:dyDescent="0.2">
      <c r="B270" s="350" t="s">
        <v>251</v>
      </c>
      <c r="C270" s="351"/>
      <c r="D270" s="379" t="b">
        <f>IF(ABS(E270 - R139) &lt; MAX(0.00001, E270 * 0.00001), TRUE, FALSE)</f>
        <v>1</v>
      </c>
      <c r="E270" s="335">
        <f>SUM(F270:Y271)</f>
        <v>0</v>
      </c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175"/>
    </row>
    <row r="271" spans="1:29" x14ac:dyDescent="0.2">
      <c r="B271" s="350"/>
      <c r="C271" s="351"/>
      <c r="D271" s="379"/>
      <c r="E271" s="335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175"/>
    </row>
    <row r="272" spans="1:29" x14ac:dyDescent="0.2">
      <c r="B272" s="346" t="s">
        <v>252</v>
      </c>
      <c r="C272" s="347"/>
      <c r="D272" s="375" t="b">
        <f>IF(ABS(E272 - C196) &lt; MAX(0.00001, E272 * 0.00001), TRUE, FALSE)</f>
        <v>1</v>
      </c>
      <c r="E272" s="380">
        <f>SUM(F272:AC273)</f>
        <v>-57081375</v>
      </c>
      <c r="F272" s="333">
        <f t="shared" ref="F272:AC272" si="90">F196</f>
        <v>0</v>
      </c>
      <c r="G272" s="333">
        <f t="shared" si="90"/>
        <v>0</v>
      </c>
      <c r="H272" s="333">
        <f t="shared" si="90"/>
        <v>-11416275</v>
      </c>
      <c r="I272" s="333">
        <f t="shared" si="90"/>
        <v>-5708137.5</v>
      </c>
      <c r="J272" s="333">
        <f t="shared" si="90"/>
        <v>-5708137.5</v>
      </c>
      <c r="K272" s="333">
        <f t="shared" si="90"/>
        <v>-5137323.75</v>
      </c>
      <c r="L272" s="333">
        <f t="shared" si="90"/>
        <v>-4851916.875</v>
      </c>
      <c r="M272" s="333">
        <f t="shared" si="90"/>
        <v>-4851916.875</v>
      </c>
      <c r="N272" s="333">
        <f t="shared" si="90"/>
        <v>-4851916.875</v>
      </c>
      <c r="O272" s="333">
        <f t="shared" si="90"/>
        <v>-4851916.875</v>
      </c>
      <c r="P272" s="333">
        <f t="shared" si="90"/>
        <v>-4851916.875</v>
      </c>
      <c r="Q272" s="333">
        <f t="shared" si="90"/>
        <v>-4851916.875</v>
      </c>
      <c r="R272" s="333">
        <f t="shared" si="90"/>
        <v>0</v>
      </c>
      <c r="S272" s="333">
        <f t="shared" si="90"/>
        <v>0</v>
      </c>
      <c r="T272" s="333">
        <f t="shared" si="90"/>
        <v>0</v>
      </c>
      <c r="U272" s="333">
        <f t="shared" si="90"/>
        <v>0</v>
      </c>
      <c r="V272" s="333">
        <f t="shared" si="90"/>
        <v>0</v>
      </c>
      <c r="W272" s="333">
        <f t="shared" si="90"/>
        <v>0</v>
      </c>
      <c r="X272" s="333">
        <f t="shared" si="90"/>
        <v>0</v>
      </c>
      <c r="Y272" s="333">
        <f t="shared" si="90"/>
        <v>0</v>
      </c>
      <c r="Z272" s="333">
        <f t="shared" si="90"/>
        <v>0</v>
      </c>
      <c r="AA272" s="333">
        <f t="shared" si="90"/>
        <v>0</v>
      </c>
      <c r="AB272" s="333">
        <f t="shared" si="90"/>
        <v>0</v>
      </c>
      <c r="AC272" s="334">
        <f t="shared" si="90"/>
        <v>0</v>
      </c>
    </row>
    <row r="273" spans="2:29" x14ac:dyDescent="0.2">
      <c r="B273" s="346"/>
      <c r="C273" s="347"/>
      <c r="D273" s="375"/>
      <c r="E273" s="380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  <c r="Z273" s="333"/>
      <c r="AA273" s="333"/>
      <c r="AB273" s="333"/>
      <c r="AC273" s="334"/>
    </row>
    <row r="274" spans="2:29" x14ac:dyDescent="0.2">
      <c r="B274" s="350" t="s">
        <v>253</v>
      </c>
      <c r="C274" s="351"/>
      <c r="D274" s="379" t="b">
        <f>E274=100%</f>
        <v>1</v>
      </c>
      <c r="E274" s="381">
        <f>SUM(F274:AC275)</f>
        <v>0.99999999999999978</v>
      </c>
      <c r="F274" s="381">
        <f>F272/$C$196</f>
        <v>0</v>
      </c>
      <c r="G274" s="381">
        <f t="shared" ref="G274:X274" si="91">G272/$C$196</f>
        <v>0</v>
      </c>
      <c r="H274" s="381">
        <f t="shared" si="91"/>
        <v>0.2</v>
      </c>
      <c r="I274" s="381">
        <f t="shared" si="91"/>
        <v>0.1</v>
      </c>
      <c r="J274" s="381">
        <f>J272/$C$196</f>
        <v>0.1</v>
      </c>
      <c r="K274" s="381">
        <f t="shared" si="91"/>
        <v>0.09</v>
      </c>
      <c r="L274" s="381">
        <f t="shared" si="91"/>
        <v>8.5000000000000006E-2</v>
      </c>
      <c r="M274" s="381">
        <f t="shared" si="91"/>
        <v>8.5000000000000006E-2</v>
      </c>
      <c r="N274" s="381">
        <f t="shared" si="91"/>
        <v>8.5000000000000006E-2</v>
      </c>
      <c r="O274" s="381">
        <f t="shared" si="91"/>
        <v>8.5000000000000006E-2</v>
      </c>
      <c r="P274" s="381">
        <f t="shared" si="91"/>
        <v>8.5000000000000006E-2</v>
      </c>
      <c r="Q274" s="381">
        <f t="shared" si="91"/>
        <v>8.5000000000000006E-2</v>
      </c>
      <c r="R274" s="381">
        <f t="shared" si="91"/>
        <v>0</v>
      </c>
      <c r="S274" s="381">
        <f t="shared" si="91"/>
        <v>0</v>
      </c>
      <c r="T274" s="381">
        <f t="shared" si="91"/>
        <v>0</v>
      </c>
      <c r="U274" s="381">
        <f t="shared" si="91"/>
        <v>0</v>
      </c>
      <c r="V274" s="381">
        <f t="shared" si="91"/>
        <v>0</v>
      </c>
      <c r="W274" s="381">
        <f t="shared" si="91"/>
        <v>0</v>
      </c>
      <c r="X274" s="381">
        <f t="shared" si="91"/>
        <v>0</v>
      </c>
      <c r="Y274" s="381">
        <f>Y272/$C$196</f>
        <v>0</v>
      </c>
      <c r="Z274" s="381">
        <f t="shared" ref="Z274:AC274" si="92">Z272/$C$196</f>
        <v>0</v>
      </c>
      <c r="AA274" s="381">
        <f t="shared" si="92"/>
        <v>0</v>
      </c>
      <c r="AB274" s="381">
        <f t="shared" si="92"/>
        <v>0</v>
      </c>
      <c r="AC274" s="382">
        <f t="shared" si="92"/>
        <v>0</v>
      </c>
    </row>
    <row r="275" spans="2:29" x14ac:dyDescent="0.2">
      <c r="B275" s="350"/>
      <c r="C275" s="351"/>
      <c r="D275" s="379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  <c r="Y275" s="381"/>
      <c r="Z275" s="381"/>
      <c r="AA275" s="381"/>
      <c r="AB275" s="381"/>
      <c r="AC275" s="382"/>
    </row>
    <row r="276" spans="2:29" x14ac:dyDescent="0.2">
      <c r="B276" s="346" t="s">
        <v>254</v>
      </c>
      <c r="C276" s="347"/>
      <c r="D276" s="375" t="b">
        <f>B266=B266</f>
        <v>1</v>
      </c>
      <c r="E276" s="335" t="s">
        <v>8</v>
      </c>
      <c r="F276" s="383">
        <f>F274</f>
        <v>0</v>
      </c>
      <c r="G276" s="383">
        <f>G274+F276</f>
        <v>0</v>
      </c>
      <c r="H276" s="383">
        <f>H274+G276</f>
        <v>0.2</v>
      </c>
      <c r="I276" s="383">
        <f t="shared" ref="I276:U276" si="93">I274+H276</f>
        <v>0.30000000000000004</v>
      </c>
      <c r="J276" s="383">
        <f>J274+I276</f>
        <v>0.4</v>
      </c>
      <c r="K276" s="383">
        <f t="shared" si="93"/>
        <v>0.49</v>
      </c>
      <c r="L276" s="383">
        <f t="shared" si="93"/>
        <v>0.57499999999999996</v>
      </c>
      <c r="M276" s="383">
        <f t="shared" si="93"/>
        <v>0.65999999999999992</v>
      </c>
      <c r="N276" s="383">
        <f>N274+M276</f>
        <v>0.74499999999999988</v>
      </c>
      <c r="O276" s="383">
        <f t="shared" si="93"/>
        <v>0.82999999999999985</v>
      </c>
      <c r="P276" s="383">
        <f t="shared" si="93"/>
        <v>0.91499999999999981</v>
      </c>
      <c r="Q276" s="383">
        <f>Q274+P276</f>
        <v>0.99999999999999978</v>
      </c>
      <c r="R276" s="383">
        <f t="shared" si="93"/>
        <v>0.99999999999999978</v>
      </c>
      <c r="S276" s="383">
        <f>S274+R276</f>
        <v>0.99999999999999978</v>
      </c>
      <c r="T276" s="383">
        <f>T274+S276</f>
        <v>0.99999999999999978</v>
      </c>
      <c r="U276" s="383">
        <f t="shared" si="93"/>
        <v>0.99999999999999978</v>
      </c>
      <c r="V276" s="383">
        <f>V274+U276</f>
        <v>0.99999999999999978</v>
      </c>
      <c r="W276" s="383">
        <f>W274+V276</f>
        <v>0.99999999999999978</v>
      </c>
      <c r="X276" s="383">
        <f>X274+W276</f>
        <v>0.99999999999999978</v>
      </c>
      <c r="Y276" s="383">
        <f>Y274+X276</f>
        <v>0.99999999999999978</v>
      </c>
      <c r="Z276" s="383">
        <f t="shared" ref="Z276:AC276" si="94">Z274+Y276</f>
        <v>0.99999999999999978</v>
      </c>
      <c r="AA276" s="383">
        <f t="shared" si="94"/>
        <v>0.99999999999999978</v>
      </c>
      <c r="AB276" s="383">
        <f t="shared" si="94"/>
        <v>0.99999999999999978</v>
      </c>
      <c r="AC276" s="384">
        <f t="shared" si="94"/>
        <v>0.99999999999999978</v>
      </c>
    </row>
    <row r="277" spans="2:29" x14ac:dyDescent="0.2">
      <c r="B277" s="346"/>
      <c r="C277" s="347"/>
      <c r="D277" s="375"/>
      <c r="E277" s="335"/>
      <c r="F277" s="383"/>
      <c r="G277" s="383"/>
      <c r="H277" s="383"/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  <c r="Z277" s="383"/>
      <c r="AA277" s="383"/>
      <c r="AB277" s="383"/>
      <c r="AC277" s="384"/>
    </row>
    <row r="278" spans="2:29" x14ac:dyDescent="0.2">
      <c r="B278" s="350" t="s">
        <v>255</v>
      </c>
      <c r="C278" s="351"/>
      <c r="D278" s="379" t="e">
        <f>IF(ABS(E278 - C303) &lt; MAX(0.00001, E278 * 0.00001), TRUE, FALSE)</f>
        <v>#DIV/0!</v>
      </c>
      <c r="E278" s="335" t="e">
        <f>SUM(F278:AC279)</f>
        <v>#DIV/0!</v>
      </c>
      <c r="F278" s="335" t="e">
        <f t="shared" ref="F278:AC278" si="95">F270*$C$307</f>
        <v>#DIV/0!</v>
      </c>
      <c r="G278" s="335" t="e">
        <f t="shared" si="95"/>
        <v>#DIV/0!</v>
      </c>
      <c r="H278" s="335" t="e">
        <f t="shared" si="95"/>
        <v>#DIV/0!</v>
      </c>
      <c r="I278" s="335" t="e">
        <f t="shared" si="95"/>
        <v>#DIV/0!</v>
      </c>
      <c r="J278" s="335" t="e">
        <f t="shared" si="95"/>
        <v>#DIV/0!</v>
      </c>
      <c r="K278" s="335" t="e">
        <f t="shared" si="95"/>
        <v>#DIV/0!</v>
      </c>
      <c r="L278" s="335" t="e">
        <f t="shared" si="95"/>
        <v>#DIV/0!</v>
      </c>
      <c r="M278" s="335" t="e">
        <f t="shared" si="95"/>
        <v>#DIV/0!</v>
      </c>
      <c r="N278" s="335" t="e">
        <f t="shared" si="95"/>
        <v>#DIV/0!</v>
      </c>
      <c r="O278" s="335" t="e">
        <f t="shared" si="95"/>
        <v>#DIV/0!</v>
      </c>
      <c r="P278" s="335" t="e">
        <f t="shared" si="95"/>
        <v>#DIV/0!</v>
      </c>
      <c r="Q278" s="335" t="e">
        <f t="shared" si="95"/>
        <v>#DIV/0!</v>
      </c>
      <c r="R278" s="335" t="e">
        <f t="shared" si="95"/>
        <v>#DIV/0!</v>
      </c>
      <c r="S278" s="335" t="e">
        <f t="shared" si="95"/>
        <v>#DIV/0!</v>
      </c>
      <c r="T278" s="335" t="e">
        <f t="shared" si="95"/>
        <v>#DIV/0!</v>
      </c>
      <c r="U278" s="335" t="e">
        <f t="shared" si="95"/>
        <v>#DIV/0!</v>
      </c>
      <c r="V278" s="335" t="e">
        <f t="shared" si="95"/>
        <v>#DIV/0!</v>
      </c>
      <c r="W278" s="335" t="e">
        <f t="shared" si="95"/>
        <v>#DIV/0!</v>
      </c>
      <c r="X278" s="335" t="e">
        <f t="shared" si="95"/>
        <v>#DIV/0!</v>
      </c>
      <c r="Y278" s="335" t="e">
        <f t="shared" si="95"/>
        <v>#DIV/0!</v>
      </c>
      <c r="Z278" s="335" t="e">
        <f t="shared" si="95"/>
        <v>#DIV/0!</v>
      </c>
      <c r="AA278" s="335" t="e">
        <f t="shared" si="95"/>
        <v>#DIV/0!</v>
      </c>
      <c r="AB278" s="335" t="e">
        <f t="shared" si="95"/>
        <v>#DIV/0!</v>
      </c>
      <c r="AC278" s="336" t="e">
        <f t="shared" si="95"/>
        <v>#DIV/0!</v>
      </c>
    </row>
    <row r="279" spans="2:29" x14ac:dyDescent="0.2">
      <c r="B279" s="350"/>
      <c r="C279" s="351"/>
      <c r="D279" s="379"/>
      <c r="E279" s="335"/>
      <c r="F279" s="335"/>
      <c r="G279" s="335"/>
      <c r="H279" s="335"/>
      <c r="I279" s="335"/>
      <c r="J279" s="335"/>
      <c r="K279" s="335"/>
      <c r="L279" s="335"/>
      <c r="M279" s="335"/>
      <c r="N279" s="335"/>
      <c r="O279" s="335"/>
      <c r="P279" s="335"/>
      <c r="Q279" s="335"/>
      <c r="R279" s="335"/>
      <c r="S279" s="335"/>
      <c r="T279" s="335"/>
      <c r="U279" s="335"/>
      <c r="V279" s="335"/>
      <c r="W279" s="335"/>
      <c r="X279" s="335"/>
      <c r="Y279" s="335"/>
      <c r="Z279" s="335"/>
      <c r="AA279" s="335"/>
      <c r="AB279" s="335"/>
      <c r="AC279" s="336"/>
    </row>
    <row r="280" spans="2:29" x14ac:dyDescent="0.2">
      <c r="B280" s="346" t="s">
        <v>256</v>
      </c>
      <c r="C280" s="347"/>
      <c r="D280" s="375" t="e">
        <f>IF(ABS(E280 - C308) &lt; MAX(0.00001, E280 * 0.00001), TRUE, FALSE)</f>
        <v>#DIV/0!</v>
      </c>
      <c r="E280" s="380" t="e">
        <f>-SUM(F280:AC281)</f>
        <v>#DIV/0!</v>
      </c>
      <c r="F280" s="333" t="e">
        <f t="shared" ref="F280:AC280" si="96">$D$308*-F278</f>
        <v>#DIV/0!</v>
      </c>
      <c r="G280" s="333" t="e">
        <f t="shared" si="96"/>
        <v>#DIV/0!</v>
      </c>
      <c r="H280" s="333" t="e">
        <f t="shared" si="96"/>
        <v>#DIV/0!</v>
      </c>
      <c r="I280" s="333" t="e">
        <f t="shared" si="96"/>
        <v>#DIV/0!</v>
      </c>
      <c r="J280" s="333" t="e">
        <f t="shared" si="96"/>
        <v>#DIV/0!</v>
      </c>
      <c r="K280" s="333" t="e">
        <f t="shared" si="96"/>
        <v>#DIV/0!</v>
      </c>
      <c r="L280" s="333" t="e">
        <f t="shared" si="96"/>
        <v>#DIV/0!</v>
      </c>
      <c r="M280" s="333" t="e">
        <f t="shared" si="96"/>
        <v>#DIV/0!</v>
      </c>
      <c r="N280" s="333" t="e">
        <f t="shared" si="96"/>
        <v>#DIV/0!</v>
      </c>
      <c r="O280" s="333" t="e">
        <f t="shared" si="96"/>
        <v>#DIV/0!</v>
      </c>
      <c r="P280" s="333" t="e">
        <f t="shared" si="96"/>
        <v>#DIV/0!</v>
      </c>
      <c r="Q280" s="333" t="e">
        <f t="shared" si="96"/>
        <v>#DIV/0!</v>
      </c>
      <c r="R280" s="333" t="e">
        <f t="shared" si="96"/>
        <v>#DIV/0!</v>
      </c>
      <c r="S280" s="333" t="e">
        <f t="shared" si="96"/>
        <v>#DIV/0!</v>
      </c>
      <c r="T280" s="333" t="e">
        <f t="shared" si="96"/>
        <v>#DIV/0!</v>
      </c>
      <c r="U280" s="333" t="e">
        <f t="shared" si="96"/>
        <v>#DIV/0!</v>
      </c>
      <c r="V280" s="333" t="e">
        <f t="shared" si="96"/>
        <v>#DIV/0!</v>
      </c>
      <c r="W280" s="333" t="e">
        <f t="shared" si="96"/>
        <v>#DIV/0!</v>
      </c>
      <c r="X280" s="333" t="e">
        <f t="shared" si="96"/>
        <v>#DIV/0!</v>
      </c>
      <c r="Y280" s="333" t="e">
        <f t="shared" si="96"/>
        <v>#DIV/0!</v>
      </c>
      <c r="Z280" s="333" t="e">
        <f t="shared" si="96"/>
        <v>#DIV/0!</v>
      </c>
      <c r="AA280" s="333" t="e">
        <f t="shared" si="96"/>
        <v>#DIV/0!</v>
      </c>
      <c r="AB280" s="333" t="e">
        <f t="shared" si="96"/>
        <v>#DIV/0!</v>
      </c>
      <c r="AC280" s="334" t="e">
        <f t="shared" si="96"/>
        <v>#DIV/0!</v>
      </c>
    </row>
    <row r="281" spans="2:29" x14ac:dyDescent="0.2">
      <c r="B281" s="346"/>
      <c r="C281" s="347"/>
      <c r="D281" s="375"/>
      <c r="E281" s="380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  <c r="Z281" s="333"/>
      <c r="AA281" s="333"/>
      <c r="AB281" s="333"/>
      <c r="AC281" s="334"/>
    </row>
    <row r="282" spans="2:29" x14ac:dyDescent="0.2">
      <c r="B282" s="350" t="s">
        <v>257</v>
      </c>
      <c r="C282" s="351"/>
      <c r="D282" s="379" t="e">
        <f>IF(ABS(E282 - C309) &lt; MAX(0.00001, E282 * 0.00001), TRUE, FALSE)</f>
        <v>#DIV/0!</v>
      </c>
      <c r="E282" s="380" t="e">
        <f>-SUM(F282:AC283)</f>
        <v>#DIV/0!</v>
      </c>
      <c r="F282" s="335" t="e">
        <f t="shared" ref="F282:AC282" si="97">F278*-$D$309</f>
        <v>#DIV/0!</v>
      </c>
      <c r="G282" s="335" t="e">
        <f t="shared" si="97"/>
        <v>#DIV/0!</v>
      </c>
      <c r="H282" s="335" t="e">
        <f t="shared" si="97"/>
        <v>#DIV/0!</v>
      </c>
      <c r="I282" s="335" t="e">
        <f t="shared" si="97"/>
        <v>#DIV/0!</v>
      </c>
      <c r="J282" s="335" t="e">
        <f t="shared" si="97"/>
        <v>#DIV/0!</v>
      </c>
      <c r="K282" s="335" t="e">
        <f t="shared" si="97"/>
        <v>#DIV/0!</v>
      </c>
      <c r="L282" s="335" t="e">
        <f t="shared" si="97"/>
        <v>#DIV/0!</v>
      </c>
      <c r="M282" s="335" t="e">
        <f t="shared" si="97"/>
        <v>#DIV/0!</v>
      </c>
      <c r="N282" s="335" t="e">
        <f t="shared" si="97"/>
        <v>#DIV/0!</v>
      </c>
      <c r="O282" s="335" t="e">
        <f t="shared" si="97"/>
        <v>#DIV/0!</v>
      </c>
      <c r="P282" s="335" t="e">
        <f t="shared" si="97"/>
        <v>#DIV/0!</v>
      </c>
      <c r="Q282" s="335" t="e">
        <f t="shared" si="97"/>
        <v>#DIV/0!</v>
      </c>
      <c r="R282" s="335" t="e">
        <f t="shared" si="97"/>
        <v>#DIV/0!</v>
      </c>
      <c r="S282" s="335" t="e">
        <f t="shared" si="97"/>
        <v>#DIV/0!</v>
      </c>
      <c r="T282" s="335" t="e">
        <f t="shared" si="97"/>
        <v>#DIV/0!</v>
      </c>
      <c r="U282" s="335" t="e">
        <f t="shared" si="97"/>
        <v>#DIV/0!</v>
      </c>
      <c r="V282" s="335" t="e">
        <f t="shared" si="97"/>
        <v>#DIV/0!</v>
      </c>
      <c r="W282" s="335" t="e">
        <f t="shared" si="97"/>
        <v>#DIV/0!</v>
      </c>
      <c r="X282" s="335" t="e">
        <f t="shared" si="97"/>
        <v>#DIV/0!</v>
      </c>
      <c r="Y282" s="335" t="e">
        <f t="shared" si="97"/>
        <v>#DIV/0!</v>
      </c>
      <c r="Z282" s="335" t="e">
        <f t="shared" si="97"/>
        <v>#DIV/0!</v>
      </c>
      <c r="AA282" s="335" t="e">
        <f t="shared" si="97"/>
        <v>#DIV/0!</v>
      </c>
      <c r="AB282" s="335" t="e">
        <f t="shared" si="97"/>
        <v>#DIV/0!</v>
      </c>
      <c r="AC282" s="336" t="e">
        <f t="shared" si="97"/>
        <v>#DIV/0!</v>
      </c>
    </row>
    <row r="283" spans="2:29" x14ac:dyDescent="0.2">
      <c r="B283" s="350"/>
      <c r="C283" s="351"/>
      <c r="D283" s="379"/>
      <c r="E283" s="380"/>
      <c r="F283" s="335"/>
      <c r="G283" s="335"/>
      <c r="H283" s="335"/>
      <c r="I283" s="335"/>
      <c r="J283" s="335"/>
      <c r="K283" s="335"/>
      <c r="L283" s="335"/>
      <c r="M283" s="335"/>
      <c r="N283" s="335"/>
      <c r="O283" s="335"/>
      <c r="P283" s="335"/>
      <c r="Q283" s="335"/>
      <c r="R283" s="335"/>
      <c r="S283" s="335"/>
      <c r="T283" s="335"/>
      <c r="U283" s="335"/>
      <c r="V283" s="335"/>
      <c r="W283" s="335"/>
      <c r="X283" s="335"/>
      <c r="Y283" s="335"/>
      <c r="Z283" s="335"/>
      <c r="AA283" s="335"/>
      <c r="AB283" s="335"/>
      <c r="AC283" s="336"/>
    </row>
    <row r="284" spans="2:29" x14ac:dyDescent="0.2">
      <c r="B284" s="346" t="s">
        <v>258</v>
      </c>
      <c r="C284" s="347"/>
      <c r="D284" s="375" t="e">
        <f>IF(ABS(E284 - C310) &lt; MAX(0.00001, E284 * 0.00001), TRUE, FALSE)</f>
        <v>#DIV/0!</v>
      </c>
      <c r="E284" s="380" t="e">
        <f>-SUM(F284:AC285)</f>
        <v>#DIV/0!</v>
      </c>
      <c r="F284" s="333" t="e">
        <f t="shared" ref="F284:AC284" si="98">F278*-$D$310</f>
        <v>#DIV/0!</v>
      </c>
      <c r="G284" s="333" t="e">
        <f t="shared" si="98"/>
        <v>#DIV/0!</v>
      </c>
      <c r="H284" s="333" t="e">
        <f t="shared" si="98"/>
        <v>#DIV/0!</v>
      </c>
      <c r="I284" s="333" t="e">
        <f t="shared" si="98"/>
        <v>#DIV/0!</v>
      </c>
      <c r="J284" s="333" t="e">
        <f t="shared" si="98"/>
        <v>#DIV/0!</v>
      </c>
      <c r="K284" s="333" t="e">
        <f t="shared" si="98"/>
        <v>#DIV/0!</v>
      </c>
      <c r="L284" s="333" t="e">
        <f t="shared" si="98"/>
        <v>#DIV/0!</v>
      </c>
      <c r="M284" s="333" t="e">
        <f t="shared" si="98"/>
        <v>#DIV/0!</v>
      </c>
      <c r="N284" s="333" t="e">
        <f t="shared" si="98"/>
        <v>#DIV/0!</v>
      </c>
      <c r="O284" s="333" t="e">
        <f t="shared" si="98"/>
        <v>#DIV/0!</v>
      </c>
      <c r="P284" s="333" t="e">
        <f t="shared" si="98"/>
        <v>#DIV/0!</v>
      </c>
      <c r="Q284" s="333" t="e">
        <f t="shared" si="98"/>
        <v>#DIV/0!</v>
      </c>
      <c r="R284" s="333" t="e">
        <f t="shared" si="98"/>
        <v>#DIV/0!</v>
      </c>
      <c r="S284" s="333" t="e">
        <f t="shared" si="98"/>
        <v>#DIV/0!</v>
      </c>
      <c r="T284" s="333" t="e">
        <f t="shared" si="98"/>
        <v>#DIV/0!</v>
      </c>
      <c r="U284" s="333" t="e">
        <f t="shared" si="98"/>
        <v>#DIV/0!</v>
      </c>
      <c r="V284" s="333" t="e">
        <f t="shared" si="98"/>
        <v>#DIV/0!</v>
      </c>
      <c r="W284" s="333" t="e">
        <f t="shared" si="98"/>
        <v>#DIV/0!</v>
      </c>
      <c r="X284" s="333" t="e">
        <f t="shared" si="98"/>
        <v>#DIV/0!</v>
      </c>
      <c r="Y284" s="333" t="e">
        <f t="shared" si="98"/>
        <v>#DIV/0!</v>
      </c>
      <c r="Z284" s="333" t="e">
        <f t="shared" si="98"/>
        <v>#DIV/0!</v>
      </c>
      <c r="AA284" s="333" t="e">
        <f t="shared" si="98"/>
        <v>#DIV/0!</v>
      </c>
      <c r="AB284" s="333" t="e">
        <f t="shared" si="98"/>
        <v>#DIV/0!</v>
      </c>
      <c r="AC284" s="334" t="e">
        <f t="shared" si="98"/>
        <v>#DIV/0!</v>
      </c>
    </row>
    <row r="285" spans="2:29" x14ac:dyDescent="0.2">
      <c r="B285" s="346"/>
      <c r="C285" s="347"/>
      <c r="D285" s="375"/>
      <c r="E285" s="380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  <c r="Z285" s="333"/>
      <c r="AA285" s="333"/>
      <c r="AB285" s="333"/>
      <c r="AC285" s="334"/>
    </row>
    <row r="286" spans="2:29" x14ac:dyDescent="0.2">
      <c r="B286" s="350" t="s">
        <v>259</v>
      </c>
      <c r="C286" s="351"/>
      <c r="D286" s="379" t="e">
        <f>IF(ABS(E286 - C311) &lt; MAX(0.00001, E286 * 0.00001), TRUE, FALSE)</f>
        <v>#DIV/0!</v>
      </c>
      <c r="E286" s="385" t="e">
        <f>-SUM(F286:AC287)</f>
        <v>#DIV/0!</v>
      </c>
      <c r="F286" s="335" t="e">
        <f t="shared" ref="F286:AC286" si="99">$D$311*-F278</f>
        <v>#DIV/0!</v>
      </c>
      <c r="G286" s="335" t="e">
        <f t="shared" si="99"/>
        <v>#DIV/0!</v>
      </c>
      <c r="H286" s="335" t="e">
        <f t="shared" si="99"/>
        <v>#DIV/0!</v>
      </c>
      <c r="I286" s="335" t="e">
        <f t="shared" si="99"/>
        <v>#DIV/0!</v>
      </c>
      <c r="J286" s="335" t="e">
        <f t="shared" si="99"/>
        <v>#DIV/0!</v>
      </c>
      <c r="K286" s="335" t="e">
        <f t="shared" si="99"/>
        <v>#DIV/0!</v>
      </c>
      <c r="L286" s="335" t="e">
        <f t="shared" si="99"/>
        <v>#DIV/0!</v>
      </c>
      <c r="M286" s="335" t="e">
        <f t="shared" si="99"/>
        <v>#DIV/0!</v>
      </c>
      <c r="N286" s="335" t="e">
        <f t="shared" si="99"/>
        <v>#DIV/0!</v>
      </c>
      <c r="O286" s="335" t="e">
        <f t="shared" si="99"/>
        <v>#DIV/0!</v>
      </c>
      <c r="P286" s="335" t="e">
        <f t="shared" si="99"/>
        <v>#DIV/0!</v>
      </c>
      <c r="Q286" s="335" t="e">
        <f t="shared" si="99"/>
        <v>#DIV/0!</v>
      </c>
      <c r="R286" s="335" t="e">
        <f t="shared" si="99"/>
        <v>#DIV/0!</v>
      </c>
      <c r="S286" s="335" t="e">
        <f t="shared" si="99"/>
        <v>#DIV/0!</v>
      </c>
      <c r="T286" s="335" t="e">
        <f t="shared" si="99"/>
        <v>#DIV/0!</v>
      </c>
      <c r="U286" s="335" t="e">
        <f t="shared" si="99"/>
        <v>#DIV/0!</v>
      </c>
      <c r="V286" s="335" t="e">
        <f t="shared" si="99"/>
        <v>#DIV/0!</v>
      </c>
      <c r="W286" s="335" t="e">
        <f t="shared" si="99"/>
        <v>#DIV/0!</v>
      </c>
      <c r="X286" s="335" t="e">
        <f t="shared" si="99"/>
        <v>#DIV/0!</v>
      </c>
      <c r="Y286" s="335" t="e">
        <f t="shared" si="99"/>
        <v>#DIV/0!</v>
      </c>
      <c r="Z286" s="335" t="e">
        <f t="shared" si="99"/>
        <v>#DIV/0!</v>
      </c>
      <c r="AA286" s="335" t="e">
        <f t="shared" si="99"/>
        <v>#DIV/0!</v>
      </c>
      <c r="AB286" s="335" t="e">
        <f t="shared" si="99"/>
        <v>#DIV/0!</v>
      </c>
      <c r="AC286" s="336" t="e">
        <f t="shared" si="99"/>
        <v>#DIV/0!</v>
      </c>
    </row>
    <row r="287" spans="2:29" x14ac:dyDescent="0.2">
      <c r="B287" s="350"/>
      <c r="C287" s="351"/>
      <c r="D287" s="379"/>
      <c r="E287" s="385"/>
      <c r="F287" s="335"/>
      <c r="G287" s="335"/>
      <c r="H287" s="335"/>
      <c r="I287" s="335"/>
      <c r="J287" s="335"/>
      <c r="K287" s="335"/>
      <c r="L287" s="335"/>
      <c r="M287" s="335"/>
      <c r="N287" s="335"/>
      <c r="O287" s="335"/>
      <c r="P287" s="335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  <c r="AA287" s="335"/>
      <c r="AB287" s="335"/>
      <c r="AC287" s="336"/>
    </row>
    <row r="288" spans="2:29" x14ac:dyDescent="0.2">
      <c r="B288" s="386" t="s">
        <v>260</v>
      </c>
      <c r="C288" s="387"/>
      <c r="D288" s="375" t="e">
        <f>IF(ABS(C312 - -E288) &lt; MAX(0.00001, C312 * 0.00001), TRUE, FALSE)</f>
        <v>#DIV/0!</v>
      </c>
      <c r="E288" s="388" t="e">
        <f>SUM(F288:AC289)</f>
        <v>#DIV/0!</v>
      </c>
      <c r="F288" s="389" t="e">
        <f t="shared" ref="F288:AC288" si="100">-F278*$D$312</f>
        <v>#DIV/0!</v>
      </c>
      <c r="G288" s="389" t="e">
        <f t="shared" si="100"/>
        <v>#DIV/0!</v>
      </c>
      <c r="H288" s="389" t="e">
        <f t="shared" si="100"/>
        <v>#DIV/0!</v>
      </c>
      <c r="I288" s="389" t="e">
        <f t="shared" si="100"/>
        <v>#DIV/0!</v>
      </c>
      <c r="J288" s="389" t="e">
        <f t="shared" si="100"/>
        <v>#DIV/0!</v>
      </c>
      <c r="K288" s="389" t="e">
        <f t="shared" si="100"/>
        <v>#DIV/0!</v>
      </c>
      <c r="L288" s="389" t="e">
        <f t="shared" si="100"/>
        <v>#DIV/0!</v>
      </c>
      <c r="M288" s="389" t="e">
        <f t="shared" si="100"/>
        <v>#DIV/0!</v>
      </c>
      <c r="N288" s="389" t="e">
        <f t="shared" si="100"/>
        <v>#DIV/0!</v>
      </c>
      <c r="O288" s="389" t="e">
        <f t="shared" si="100"/>
        <v>#DIV/0!</v>
      </c>
      <c r="P288" s="389" t="e">
        <f t="shared" si="100"/>
        <v>#DIV/0!</v>
      </c>
      <c r="Q288" s="389" t="e">
        <f t="shared" si="100"/>
        <v>#DIV/0!</v>
      </c>
      <c r="R288" s="389" t="e">
        <f t="shared" si="100"/>
        <v>#DIV/0!</v>
      </c>
      <c r="S288" s="389" t="e">
        <f t="shared" si="100"/>
        <v>#DIV/0!</v>
      </c>
      <c r="T288" s="389" t="e">
        <f t="shared" si="100"/>
        <v>#DIV/0!</v>
      </c>
      <c r="U288" s="389" t="e">
        <f t="shared" si="100"/>
        <v>#DIV/0!</v>
      </c>
      <c r="V288" s="389" t="e">
        <f t="shared" si="100"/>
        <v>#DIV/0!</v>
      </c>
      <c r="W288" s="389" t="e">
        <f t="shared" si="100"/>
        <v>#DIV/0!</v>
      </c>
      <c r="X288" s="389" t="e">
        <f t="shared" si="100"/>
        <v>#DIV/0!</v>
      </c>
      <c r="Y288" s="389" t="e">
        <f t="shared" si="100"/>
        <v>#DIV/0!</v>
      </c>
      <c r="Z288" s="389" t="e">
        <f t="shared" si="100"/>
        <v>#DIV/0!</v>
      </c>
      <c r="AA288" s="389" t="e">
        <f t="shared" si="100"/>
        <v>#DIV/0!</v>
      </c>
      <c r="AB288" s="389" t="e">
        <f t="shared" si="100"/>
        <v>#DIV/0!</v>
      </c>
      <c r="AC288" s="390" t="e">
        <f t="shared" si="100"/>
        <v>#DIV/0!</v>
      </c>
    </row>
    <row r="289" spans="2:29" x14ac:dyDescent="0.2">
      <c r="B289" s="386"/>
      <c r="C289" s="387"/>
      <c r="D289" s="375"/>
      <c r="E289" s="388"/>
      <c r="F289" s="389"/>
      <c r="G289" s="389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90"/>
    </row>
    <row r="290" spans="2:29" x14ac:dyDescent="0.2">
      <c r="B290" s="356" t="s">
        <v>261</v>
      </c>
      <c r="C290" s="357"/>
      <c r="D290" s="379" t="e">
        <f>IF(ABS(E290 - (C305-C312)) &lt; MAX(0.00001, E290 * 0.00001), TRUE, FALSE)</f>
        <v>#DIV/0!</v>
      </c>
      <c r="E290" s="335" t="e">
        <f>SUM(F290:AC291)</f>
        <v>#DIV/0!</v>
      </c>
      <c r="F290" s="335" t="e">
        <f>F278+SUM(F280:F289)</f>
        <v>#DIV/0!</v>
      </c>
      <c r="G290" s="335" t="e">
        <f>G278+SUM(G280:G289)</f>
        <v>#DIV/0!</v>
      </c>
      <c r="H290" s="335" t="e">
        <f t="shared" ref="H290:AC290" si="101">H278+SUM(H280:H289)</f>
        <v>#DIV/0!</v>
      </c>
      <c r="I290" s="335" t="e">
        <f t="shared" si="101"/>
        <v>#DIV/0!</v>
      </c>
      <c r="J290" s="335" t="e">
        <f t="shared" si="101"/>
        <v>#DIV/0!</v>
      </c>
      <c r="K290" s="335" t="e">
        <f t="shared" si="101"/>
        <v>#DIV/0!</v>
      </c>
      <c r="L290" s="335" t="e">
        <f t="shared" si="101"/>
        <v>#DIV/0!</v>
      </c>
      <c r="M290" s="335" t="e">
        <f t="shared" si="101"/>
        <v>#DIV/0!</v>
      </c>
      <c r="N290" s="335" t="e">
        <f t="shared" si="101"/>
        <v>#DIV/0!</v>
      </c>
      <c r="O290" s="335" t="e">
        <f t="shared" si="101"/>
        <v>#DIV/0!</v>
      </c>
      <c r="P290" s="335" t="e">
        <f t="shared" si="101"/>
        <v>#DIV/0!</v>
      </c>
      <c r="Q290" s="335" t="e">
        <f t="shared" si="101"/>
        <v>#DIV/0!</v>
      </c>
      <c r="R290" s="335" t="e">
        <f t="shared" si="101"/>
        <v>#DIV/0!</v>
      </c>
      <c r="S290" s="335" t="e">
        <f t="shared" si="101"/>
        <v>#DIV/0!</v>
      </c>
      <c r="T290" s="335" t="e">
        <f t="shared" si="101"/>
        <v>#DIV/0!</v>
      </c>
      <c r="U290" s="335" t="e">
        <f t="shared" si="101"/>
        <v>#DIV/0!</v>
      </c>
      <c r="V290" s="335" t="e">
        <f t="shared" si="101"/>
        <v>#DIV/0!</v>
      </c>
      <c r="W290" s="335" t="e">
        <f t="shared" si="101"/>
        <v>#DIV/0!</v>
      </c>
      <c r="X290" s="335" t="e">
        <f t="shared" si="101"/>
        <v>#DIV/0!</v>
      </c>
      <c r="Y290" s="335" t="e">
        <f t="shared" si="101"/>
        <v>#DIV/0!</v>
      </c>
      <c r="Z290" s="335" t="e">
        <f t="shared" si="101"/>
        <v>#DIV/0!</v>
      </c>
      <c r="AA290" s="335" t="e">
        <f t="shared" si="101"/>
        <v>#DIV/0!</v>
      </c>
      <c r="AB290" s="335" t="e">
        <f t="shared" si="101"/>
        <v>#DIV/0!</v>
      </c>
      <c r="AC290" s="336" t="e">
        <f t="shared" si="101"/>
        <v>#DIV/0!</v>
      </c>
    </row>
    <row r="291" spans="2:29" x14ac:dyDescent="0.2">
      <c r="B291" s="356"/>
      <c r="C291" s="357"/>
      <c r="D291" s="379"/>
      <c r="E291" s="335"/>
      <c r="F291" s="335"/>
      <c r="G291" s="335"/>
      <c r="H291" s="335"/>
      <c r="I291" s="335"/>
      <c r="J291" s="335"/>
      <c r="K291" s="335"/>
      <c r="L291" s="335"/>
      <c r="M291" s="335"/>
      <c r="N291" s="335"/>
      <c r="O291" s="335"/>
      <c r="P291" s="335"/>
      <c r="Q291" s="335"/>
      <c r="R291" s="335"/>
      <c r="S291" s="335"/>
      <c r="T291" s="335"/>
      <c r="U291" s="335"/>
      <c r="V291" s="335"/>
      <c r="W291" s="335"/>
      <c r="X291" s="335"/>
      <c r="Y291" s="335"/>
      <c r="Z291" s="335"/>
      <c r="AA291" s="335"/>
      <c r="AB291" s="335"/>
      <c r="AC291" s="336"/>
    </row>
    <row r="292" spans="2:29" x14ac:dyDescent="0.2">
      <c r="B292" s="346" t="s">
        <v>262</v>
      </c>
      <c r="C292" s="347"/>
      <c r="D292" s="375" t="b">
        <f>B266=B266</f>
        <v>1</v>
      </c>
      <c r="E292" s="335" t="s">
        <v>8</v>
      </c>
      <c r="F292" s="333" t="e">
        <f>F290</f>
        <v>#DIV/0!</v>
      </c>
      <c r="G292" s="333" t="e">
        <f t="shared" ref="G292:AC292" si="102">MAX((G290+F292)-F294, 0)</f>
        <v>#DIV/0!</v>
      </c>
      <c r="H292" s="333" t="e">
        <f t="shared" si="102"/>
        <v>#DIV/0!</v>
      </c>
      <c r="I292" s="333" t="e">
        <f t="shared" si="102"/>
        <v>#DIV/0!</v>
      </c>
      <c r="J292" s="333" t="e">
        <f t="shared" si="102"/>
        <v>#DIV/0!</v>
      </c>
      <c r="K292" s="333" t="e">
        <f t="shared" si="102"/>
        <v>#DIV/0!</v>
      </c>
      <c r="L292" s="333" t="e">
        <f t="shared" si="102"/>
        <v>#DIV/0!</v>
      </c>
      <c r="M292" s="333" t="e">
        <f t="shared" si="102"/>
        <v>#DIV/0!</v>
      </c>
      <c r="N292" s="333" t="e">
        <f t="shared" si="102"/>
        <v>#DIV/0!</v>
      </c>
      <c r="O292" s="333" t="e">
        <f t="shared" si="102"/>
        <v>#DIV/0!</v>
      </c>
      <c r="P292" s="333" t="e">
        <f t="shared" si="102"/>
        <v>#DIV/0!</v>
      </c>
      <c r="Q292" s="333" t="e">
        <f t="shared" si="102"/>
        <v>#DIV/0!</v>
      </c>
      <c r="R292" s="333" t="e">
        <f t="shared" si="102"/>
        <v>#DIV/0!</v>
      </c>
      <c r="S292" s="333" t="e">
        <f t="shared" si="102"/>
        <v>#DIV/0!</v>
      </c>
      <c r="T292" s="333" t="e">
        <f t="shared" si="102"/>
        <v>#DIV/0!</v>
      </c>
      <c r="U292" s="333" t="e">
        <f t="shared" si="102"/>
        <v>#DIV/0!</v>
      </c>
      <c r="V292" s="333" t="e">
        <f t="shared" si="102"/>
        <v>#DIV/0!</v>
      </c>
      <c r="W292" s="333" t="e">
        <f t="shared" si="102"/>
        <v>#DIV/0!</v>
      </c>
      <c r="X292" s="333" t="e">
        <f t="shared" si="102"/>
        <v>#DIV/0!</v>
      </c>
      <c r="Y292" s="333" t="e">
        <f t="shared" si="102"/>
        <v>#DIV/0!</v>
      </c>
      <c r="Z292" s="333" t="e">
        <f t="shared" si="102"/>
        <v>#DIV/0!</v>
      </c>
      <c r="AA292" s="333" t="e">
        <f t="shared" si="102"/>
        <v>#DIV/0!</v>
      </c>
      <c r="AB292" s="333" t="e">
        <f t="shared" si="102"/>
        <v>#DIV/0!</v>
      </c>
      <c r="AC292" s="334" t="e">
        <f t="shared" si="102"/>
        <v>#DIV/0!</v>
      </c>
    </row>
    <row r="293" spans="2:29" x14ac:dyDescent="0.2">
      <c r="B293" s="346"/>
      <c r="C293" s="347"/>
      <c r="D293" s="375"/>
      <c r="E293" s="335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  <c r="Z293" s="333"/>
      <c r="AA293" s="333"/>
      <c r="AB293" s="333"/>
      <c r="AC293" s="334"/>
    </row>
    <row r="294" spans="2:29" x14ac:dyDescent="0.2">
      <c r="B294" s="350" t="s">
        <v>263</v>
      </c>
      <c r="C294" s="351"/>
      <c r="D294" s="379" t="e">
        <f>IF(ABS(E294 - C304) &lt; MAX(0.00001, E294 * 0.00001), TRUE, FALSE)</f>
        <v>#DIV/0!</v>
      </c>
      <c r="E294" s="335" t="e">
        <f>SUM(F294:AC295)</f>
        <v>#DIV/0!</v>
      </c>
      <c r="F294" s="335" t="e">
        <f>MAX(((F292*F276)), 0)</f>
        <v>#DIV/0!</v>
      </c>
      <c r="G294" s="335" t="e">
        <f>MAX(((G292*G276)), 0)</f>
        <v>#DIV/0!</v>
      </c>
      <c r="H294" s="335" t="e">
        <f>MAX(((H292*H276)), 0)</f>
        <v>#DIV/0!</v>
      </c>
      <c r="I294" s="335" t="e">
        <f t="shared" ref="I294" si="103">MAX(((I292*I276)), 0)</f>
        <v>#DIV/0!</v>
      </c>
      <c r="J294" s="335" t="e">
        <f>MAX(((J292*J276)), 0)</f>
        <v>#DIV/0!</v>
      </c>
      <c r="K294" s="335" t="e">
        <f t="shared" ref="K294:AC294" si="104">MAX(((K292*K276)), 0)</f>
        <v>#DIV/0!</v>
      </c>
      <c r="L294" s="335" t="e">
        <f t="shared" si="104"/>
        <v>#DIV/0!</v>
      </c>
      <c r="M294" s="335" t="e">
        <f t="shared" si="104"/>
        <v>#DIV/0!</v>
      </c>
      <c r="N294" s="335" t="e">
        <f t="shared" si="104"/>
        <v>#DIV/0!</v>
      </c>
      <c r="O294" s="335" t="e">
        <f t="shared" si="104"/>
        <v>#DIV/0!</v>
      </c>
      <c r="P294" s="335" t="e">
        <f t="shared" si="104"/>
        <v>#DIV/0!</v>
      </c>
      <c r="Q294" s="335" t="e">
        <f t="shared" si="104"/>
        <v>#DIV/0!</v>
      </c>
      <c r="R294" s="335" t="e">
        <f t="shared" si="104"/>
        <v>#DIV/0!</v>
      </c>
      <c r="S294" s="335" t="e">
        <f t="shared" si="104"/>
        <v>#DIV/0!</v>
      </c>
      <c r="T294" s="335" t="e">
        <f t="shared" si="104"/>
        <v>#DIV/0!</v>
      </c>
      <c r="U294" s="335" t="e">
        <f>MAX(((U292*U276)), 0)</f>
        <v>#DIV/0!</v>
      </c>
      <c r="V294" s="335" t="e">
        <f t="shared" si="104"/>
        <v>#DIV/0!</v>
      </c>
      <c r="W294" s="335" t="e">
        <f t="shared" si="104"/>
        <v>#DIV/0!</v>
      </c>
      <c r="X294" s="335" t="e">
        <f t="shared" si="104"/>
        <v>#DIV/0!</v>
      </c>
      <c r="Y294" s="335" t="e">
        <f t="shared" si="104"/>
        <v>#DIV/0!</v>
      </c>
      <c r="Z294" s="335" t="e">
        <f t="shared" si="104"/>
        <v>#DIV/0!</v>
      </c>
      <c r="AA294" s="335" t="e">
        <f t="shared" si="104"/>
        <v>#DIV/0!</v>
      </c>
      <c r="AB294" s="335" t="e">
        <f t="shared" si="104"/>
        <v>#DIV/0!</v>
      </c>
      <c r="AC294" s="336" t="e">
        <f t="shared" si="104"/>
        <v>#DIV/0!</v>
      </c>
    </row>
    <row r="295" spans="2:29" x14ac:dyDescent="0.2">
      <c r="B295" s="350"/>
      <c r="C295" s="351"/>
      <c r="D295" s="379"/>
      <c r="E295" s="335"/>
      <c r="F295" s="335"/>
      <c r="G295" s="335"/>
      <c r="H295" s="335"/>
      <c r="I295" s="335"/>
      <c r="J295" s="335"/>
      <c r="K295" s="335"/>
      <c r="L295" s="335"/>
      <c r="M295" s="335"/>
      <c r="N295" s="335"/>
      <c r="O295" s="335"/>
      <c r="P295" s="335"/>
      <c r="Q295" s="335"/>
      <c r="R295" s="335"/>
      <c r="S295" s="335"/>
      <c r="T295" s="335"/>
      <c r="U295" s="335"/>
      <c r="V295" s="335"/>
      <c r="W295" s="335"/>
      <c r="X295" s="335"/>
      <c r="Y295" s="335"/>
      <c r="Z295" s="335"/>
      <c r="AA295" s="335"/>
      <c r="AB295" s="335"/>
      <c r="AC295" s="336"/>
    </row>
    <row r="296" spans="2:29" x14ac:dyDescent="0.2">
      <c r="B296" s="346" t="s">
        <v>264</v>
      </c>
      <c r="C296" s="347"/>
      <c r="D296" s="375" t="e">
        <f>IF(ABS(E296 - C305) &lt; MAX(0.00001, E296 * 0.00001), TRUE, FALSE)</f>
        <v>#DIV/0!</v>
      </c>
      <c r="E296" s="335" t="e">
        <f>SUM(F296:AC297)</f>
        <v>#DIV/0!</v>
      </c>
      <c r="F296" s="391" t="e">
        <f>-F288+F294</f>
        <v>#DIV/0!</v>
      </c>
      <c r="G296" s="391" t="e">
        <f>-G288+G294</f>
        <v>#DIV/0!</v>
      </c>
      <c r="H296" s="391" t="e">
        <f t="shared" ref="H296:AC296" si="105">-H288+H294</f>
        <v>#DIV/0!</v>
      </c>
      <c r="I296" s="391" t="e">
        <f>-I288+I294</f>
        <v>#DIV/0!</v>
      </c>
      <c r="J296" s="391" t="e">
        <f t="shared" si="105"/>
        <v>#DIV/0!</v>
      </c>
      <c r="K296" s="391" t="e">
        <f t="shared" si="105"/>
        <v>#DIV/0!</v>
      </c>
      <c r="L296" s="391" t="e">
        <f t="shared" si="105"/>
        <v>#DIV/0!</v>
      </c>
      <c r="M296" s="391" t="e">
        <f t="shared" si="105"/>
        <v>#DIV/0!</v>
      </c>
      <c r="N296" s="391" t="e">
        <f t="shared" si="105"/>
        <v>#DIV/0!</v>
      </c>
      <c r="O296" s="391" t="e">
        <f t="shared" si="105"/>
        <v>#DIV/0!</v>
      </c>
      <c r="P296" s="391" t="e">
        <f t="shared" si="105"/>
        <v>#DIV/0!</v>
      </c>
      <c r="Q296" s="391" t="e">
        <f t="shared" si="105"/>
        <v>#DIV/0!</v>
      </c>
      <c r="R296" s="391" t="e">
        <f t="shared" si="105"/>
        <v>#DIV/0!</v>
      </c>
      <c r="S296" s="391" t="e">
        <f t="shared" si="105"/>
        <v>#DIV/0!</v>
      </c>
      <c r="T296" s="391" t="e">
        <f t="shared" si="105"/>
        <v>#DIV/0!</v>
      </c>
      <c r="U296" s="391" t="e">
        <f>-U288+U294</f>
        <v>#DIV/0!</v>
      </c>
      <c r="V296" s="391" t="e">
        <f t="shared" si="105"/>
        <v>#DIV/0!</v>
      </c>
      <c r="W296" s="391" t="e">
        <f t="shared" si="105"/>
        <v>#DIV/0!</v>
      </c>
      <c r="X296" s="391" t="e">
        <f t="shared" si="105"/>
        <v>#DIV/0!</v>
      </c>
      <c r="Y296" s="391" t="e">
        <f t="shared" si="105"/>
        <v>#DIV/0!</v>
      </c>
      <c r="Z296" s="391" t="e">
        <f t="shared" si="105"/>
        <v>#DIV/0!</v>
      </c>
      <c r="AA296" s="391" t="e">
        <f t="shared" si="105"/>
        <v>#DIV/0!</v>
      </c>
      <c r="AB296" s="391" t="e">
        <f t="shared" si="105"/>
        <v>#DIV/0!</v>
      </c>
      <c r="AC296" s="392" t="e">
        <f t="shared" si="105"/>
        <v>#DIV/0!</v>
      </c>
    </row>
    <row r="297" spans="2:29" ht="12" thickBot="1" x14ac:dyDescent="0.25">
      <c r="B297" s="361"/>
      <c r="C297" s="362"/>
      <c r="D297" s="393"/>
      <c r="E297" s="340"/>
      <c r="F297" s="394"/>
      <c r="G297" s="394"/>
      <c r="H297" s="394"/>
      <c r="I297" s="394"/>
      <c r="J297" s="394"/>
      <c r="K297" s="394"/>
      <c r="L297" s="394"/>
      <c r="M297" s="394"/>
      <c r="N297" s="394"/>
      <c r="O297" s="394"/>
      <c r="P297" s="394"/>
      <c r="Q297" s="394"/>
      <c r="R297" s="394"/>
      <c r="S297" s="394"/>
      <c r="T297" s="394"/>
      <c r="U297" s="394"/>
      <c r="V297" s="394"/>
      <c r="W297" s="394"/>
      <c r="X297" s="394"/>
      <c r="Y297" s="394"/>
      <c r="Z297" s="394"/>
      <c r="AA297" s="394"/>
      <c r="AB297" s="394"/>
      <c r="AC297" s="395"/>
    </row>
    <row r="298" spans="2:29" x14ac:dyDescent="0.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2:29" x14ac:dyDescent="0.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2:29" x14ac:dyDescent="0.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2:29" ht="12" thickBot="1" x14ac:dyDescent="0.25">
      <c r="E301" s="9"/>
      <c r="F301" s="9"/>
      <c r="G301" s="9"/>
      <c r="H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2:29" ht="12.75" x14ac:dyDescent="0.2">
      <c r="B302" s="396" t="s">
        <v>265</v>
      </c>
      <c r="C302" s="397"/>
      <c r="D302" s="9"/>
    </row>
    <row r="303" spans="2:29" ht="22.5" x14ac:dyDescent="0.2">
      <c r="B303" s="31" t="s">
        <v>266</v>
      </c>
      <c r="C303" s="32" t="e">
        <f>C306*C307</f>
        <v>#DIV/0!</v>
      </c>
    </row>
    <row r="304" spans="2:29" ht="22.5" x14ac:dyDescent="0.2">
      <c r="B304" s="35" t="s">
        <v>263</v>
      </c>
      <c r="C304" s="73" t="e">
        <f>C303-C308-C309-C310-C311-C312</f>
        <v>#DIV/0!</v>
      </c>
    </row>
    <row r="305" spans="1:14" ht="22.5" x14ac:dyDescent="0.2">
      <c r="B305" s="31" t="s">
        <v>264</v>
      </c>
      <c r="C305" s="32" t="e">
        <f>C303-(SUM(C308:C311))</f>
        <v>#DIV/0!</v>
      </c>
      <c r="G305" s="71"/>
    </row>
    <row r="306" spans="1:14" ht="22.5" x14ac:dyDescent="0.2">
      <c r="B306" s="35" t="s">
        <v>267</v>
      </c>
      <c r="C306" s="73">
        <f>R139</f>
        <v>0</v>
      </c>
    </row>
    <row r="307" spans="1:14" ht="23.25" thickBot="1" x14ac:dyDescent="0.25">
      <c r="B307" s="31" t="s">
        <v>268</v>
      </c>
      <c r="C307" s="32" t="e">
        <f>Y139/R139</f>
        <v>#DIV/0!</v>
      </c>
      <c r="D307" s="71"/>
    </row>
    <row r="308" spans="1:14" ht="22.5" x14ac:dyDescent="0.2">
      <c r="B308" s="35" t="s">
        <v>269</v>
      </c>
      <c r="C308" s="36" t="e">
        <f>C303*D308</f>
        <v>#DIV/0!</v>
      </c>
      <c r="D308" s="398">
        <v>1.4999999999999999E-2</v>
      </c>
      <c r="N308" s="30"/>
    </row>
    <row r="309" spans="1:14" ht="22.5" x14ac:dyDescent="0.2">
      <c r="B309" s="31" t="s">
        <v>257</v>
      </c>
      <c r="C309" s="39" t="e">
        <f>D309*C303</f>
        <v>#DIV/0!</v>
      </c>
      <c r="D309" s="399">
        <v>0.01</v>
      </c>
      <c r="N309" s="30"/>
    </row>
    <row r="310" spans="1:14" ht="22.5" x14ac:dyDescent="0.2">
      <c r="B310" s="35" t="s">
        <v>258</v>
      </c>
      <c r="C310" s="36" t="e">
        <f>D310*C303</f>
        <v>#DIV/0!</v>
      </c>
      <c r="D310" s="400">
        <v>3.0000000000000001E-3</v>
      </c>
    </row>
    <row r="311" spans="1:14" ht="22.5" x14ac:dyDescent="0.2">
      <c r="A311" s="9"/>
      <c r="B311" s="31" t="s">
        <v>259</v>
      </c>
      <c r="C311" s="39" t="e">
        <f>C303*D311</f>
        <v>#DIV/0!</v>
      </c>
      <c r="D311" s="399">
        <v>0.05</v>
      </c>
    </row>
    <row r="312" spans="1:14" ht="22.5" x14ac:dyDescent="0.2">
      <c r="A312" s="9"/>
      <c r="B312" s="35" t="s">
        <v>260</v>
      </c>
      <c r="C312" s="13" t="e">
        <f>D312*C303</f>
        <v>#DIV/0!</v>
      </c>
      <c r="D312" s="401">
        <v>0.15</v>
      </c>
    </row>
    <row r="313" spans="1:14" ht="23.25" thickBot="1" x14ac:dyDescent="0.25">
      <c r="A313" s="9"/>
      <c r="B313" s="402" t="s">
        <v>270</v>
      </c>
      <c r="C313" s="403" t="e">
        <f>C303-(SUM(C308:C310))</f>
        <v>#DIV/0!</v>
      </c>
      <c r="D313" s="404" t="e">
        <f>C313=E278-SUM(E280:E285)</f>
        <v>#DIV/0!</v>
      </c>
    </row>
    <row r="314" spans="1:14" x14ac:dyDescent="0.2">
      <c r="A314" s="9"/>
    </row>
    <row r="315" spans="1:14" x14ac:dyDescent="0.2">
      <c r="A315" s="9"/>
    </row>
    <row r="316" spans="1:14" x14ac:dyDescent="0.2">
      <c r="A316" s="9"/>
    </row>
    <row r="317" spans="1:14" x14ac:dyDescent="0.2">
      <c r="A317" s="9"/>
    </row>
    <row r="318" spans="1:14" x14ac:dyDescent="0.2">
      <c r="A318" s="9"/>
    </row>
    <row r="319" spans="1:14" x14ac:dyDescent="0.2">
      <c r="A319" s="9"/>
    </row>
    <row r="320" spans="1:14" x14ac:dyDescent="0.2">
      <c r="A320" s="9"/>
    </row>
    <row r="321" spans="1:7" x14ac:dyDescent="0.2">
      <c r="A321" s="9"/>
    </row>
    <row r="322" spans="1:7" x14ac:dyDescent="0.2">
      <c r="A322" s="9"/>
    </row>
    <row r="323" spans="1:7" x14ac:dyDescent="0.2">
      <c r="A323" s="9"/>
      <c r="D323" s="405"/>
      <c r="E323" s="9"/>
    </row>
    <row r="324" spans="1:7" x14ac:dyDescent="0.2">
      <c r="A324" s="9"/>
      <c r="D324" s="99"/>
      <c r="E324" s="9"/>
      <c r="G324" s="30"/>
    </row>
    <row r="325" spans="1:7" x14ac:dyDescent="0.2">
      <c r="A325" s="9"/>
      <c r="D325" s="99"/>
      <c r="E325" s="9"/>
      <c r="G325" s="30"/>
    </row>
    <row r="326" spans="1:7" x14ac:dyDescent="0.2">
      <c r="A326" s="9"/>
      <c r="G326" s="30"/>
    </row>
    <row r="327" spans="1:7" x14ac:dyDescent="0.2">
      <c r="A327" s="9"/>
    </row>
    <row r="328" spans="1:7" x14ac:dyDescent="0.2">
      <c r="A328" s="9"/>
    </row>
    <row r="329" spans="1:7" x14ac:dyDescent="0.2">
      <c r="A329" s="9"/>
    </row>
    <row r="330" spans="1:7" x14ac:dyDescent="0.2">
      <c r="A330" s="9"/>
    </row>
    <row r="331" spans="1:7" x14ac:dyDescent="0.2">
      <c r="A331" s="9"/>
    </row>
    <row r="332" spans="1:7" x14ac:dyDescent="0.2">
      <c r="A332" s="9"/>
    </row>
    <row r="333" spans="1:7" x14ac:dyDescent="0.2">
      <c r="A333" s="9"/>
    </row>
    <row r="334" spans="1:7" x14ac:dyDescent="0.2">
      <c r="A334" s="9"/>
    </row>
    <row r="335" spans="1:7" x14ac:dyDescent="0.2">
      <c r="A335" s="9"/>
    </row>
    <row r="336" spans="1:7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469" spans="2:3" x14ac:dyDescent="0.2">
      <c r="B469" s="406"/>
      <c r="C469" s="406"/>
    </row>
    <row r="470" spans="2:3" x14ac:dyDescent="0.2">
      <c r="B470" s="407"/>
      <c r="C470" s="407"/>
    </row>
    <row r="471" spans="2:3" x14ac:dyDescent="0.2">
      <c r="B471" s="408"/>
      <c r="C471" s="407"/>
    </row>
    <row r="472" spans="2:3" x14ac:dyDescent="0.2">
      <c r="B472" s="408"/>
      <c r="C472" s="407"/>
    </row>
    <row r="473" spans="2:3" x14ac:dyDescent="0.2">
      <c r="B473" s="407"/>
      <c r="C473" s="407"/>
    </row>
    <row r="474" spans="2:3" x14ac:dyDescent="0.2">
      <c r="B474" s="407"/>
      <c r="C474" s="407"/>
    </row>
    <row r="475" spans="2:3" x14ac:dyDescent="0.2">
      <c r="B475" s="407"/>
      <c r="C475" s="407"/>
    </row>
    <row r="476" spans="2:3" x14ac:dyDescent="0.2">
      <c r="B476" s="407"/>
      <c r="C476" s="407"/>
    </row>
    <row r="477" spans="2:3" x14ac:dyDescent="0.2">
      <c r="B477" s="407"/>
      <c r="C477" s="407"/>
    </row>
    <row r="478" spans="2:3" x14ac:dyDescent="0.2">
      <c r="B478" s="407"/>
      <c r="C478" s="407"/>
    </row>
    <row r="479" spans="2:3" x14ac:dyDescent="0.2">
      <c r="B479" s="407"/>
      <c r="C479" s="407"/>
    </row>
    <row r="480" spans="2:3" x14ac:dyDescent="0.2">
      <c r="B480" s="407"/>
      <c r="C480" s="407"/>
    </row>
    <row r="481" spans="2:4" x14ac:dyDescent="0.2">
      <c r="B481" s="407"/>
      <c r="C481" s="407"/>
    </row>
    <row r="482" spans="2:4" x14ac:dyDescent="0.2">
      <c r="B482" s="407"/>
      <c r="C482" s="407"/>
    </row>
    <row r="483" spans="2:4" x14ac:dyDescent="0.2">
      <c r="B483" s="407"/>
      <c r="C483" s="407"/>
    </row>
    <row r="484" spans="2:4" x14ac:dyDescent="0.2">
      <c r="B484" s="407"/>
      <c r="C484" s="407"/>
    </row>
    <row r="485" spans="2:4" x14ac:dyDescent="0.2">
      <c r="B485" s="407"/>
      <c r="C485" s="407"/>
    </row>
    <row r="486" spans="2:4" x14ac:dyDescent="0.2">
      <c r="B486" s="407"/>
      <c r="C486" s="409"/>
    </row>
    <row r="487" spans="2:4" x14ac:dyDescent="0.2">
      <c r="B487" s="407"/>
      <c r="C487" s="409"/>
    </row>
    <row r="488" spans="2:4" x14ac:dyDescent="0.2">
      <c r="B488" s="407"/>
      <c r="C488" s="409"/>
    </row>
    <row r="489" spans="2:4" x14ac:dyDescent="0.2">
      <c r="B489" s="407"/>
      <c r="C489" s="409"/>
    </row>
    <row r="490" spans="2:4" x14ac:dyDescent="0.2">
      <c r="B490" s="407"/>
      <c r="C490" s="407"/>
    </row>
    <row r="491" spans="2:4" x14ac:dyDescent="0.2">
      <c r="B491" s="407"/>
      <c r="C491" s="407"/>
    </row>
    <row r="492" spans="2:4" x14ac:dyDescent="0.2">
      <c r="B492" s="407"/>
      <c r="C492" s="407"/>
    </row>
    <row r="493" spans="2:4" x14ac:dyDescent="0.2">
      <c r="B493" s="407"/>
      <c r="C493" s="407"/>
    </row>
    <row r="496" spans="2:4" x14ac:dyDescent="0.2">
      <c r="D496" s="30"/>
    </row>
    <row r="497" spans="2:4" x14ac:dyDescent="0.2">
      <c r="D497" s="30"/>
    </row>
    <row r="498" spans="2:4" x14ac:dyDescent="0.2">
      <c r="D498" s="30"/>
    </row>
    <row r="499" spans="2:4" x14ac:dyDescent="0.2">
      <c r="D499" s="30"/>
    </row>
    <row r="500" spans="2:4" x14ac:dyDescent="0.2">
      <c r="D500" s="30"/>
    </row>
    <row r="501" spans="2:4" x14ac:dyDescent="0.2">
      <c r="D501" s="30"/>
    </row>
    <row r="502" spans="2:4" x14ac:dyDescent="0.2">
      <c r="D502" s="30"/>
    </row>
    <row r="504" spans="2:4" x14ac:dyDescent="0.2">
      <c r="D504" s="30"/>
    </row>
    <row r="506" spans="2:4" x14ac:dyDescent="0.2">
      <c r="D506" s="30"/>
    </row>
    <row r="507" spans="2:4" x14ac:dyDescent="0.2">
      <c r="D507" s="30"/>
    </row>
    <row r="508" spans="2:4" x14ac:dyDescent="0.2">
      <c r="D508" s="30"/>
    </row>
    <row r="509" spans="2:4" x14ac:dyDescent="0.2">
      <c r="D509" s="30"/>
    </row>
    <row r="510" spans="2:4" x14ac:dyDescent="0.2">
      <c r="B510" s="407"/>
      <c r="C510" s="407"/>
      <c r="D510" s="30"/>
    </row>
    <row r="511" spans="2:4" x14ac:dyDescent="0.2">
      <c r="B511" s="407"/>
      <c r="C511" s="407"/>
      <c r="D511" s="30"/>
    </row>
    <row r="512" spans="2:4" x14ac:dyDescent="0.2">
      <c r="B512" s="407"/>
      <c r="C512" s="407"/>
      <c r="D512" s="30"/>
    </row>
    <row r="513" spans="2:4" x14ac:dyDescent="0.2">
      <c r="B513" s="407"/>
      <c r="C513" s="407"/>
      <c r="D513" s="30"/>
    </row>
    <row r="514" spans="2:4" x14ac:dyDescent="0.2">
      <c r="B514" s="407"/>
      <c r="C514" s="407"/>
      <c r="D514" s="30"/>
    </row>
    <row r="515" spans="2:4" x14ac:dyDescent="0.2">
      <c r="B515" s="407"/>
      <c r="C515" s="407"/>
      <c r="D515" s="30"/>
    </row>
    <row r="516" spans="2:4" x14ac:dyDescent="0.2">
      <c r="B516" s="407"/>
      <c r="C516" s="407"/>
      <c r="D516" s="30"/>
    </row>
    <row r="517" spans="2:4" x14ac:dyDescent="0.2">
      <c r="B517" s="407"/>
      <c r="C517" s="407"/>
      <c r="D517" s="30"/>
    </row>
    <row r="518" spans="2:4" x14ac:dyDescent="0.2">
      <c r="B518" s="407"/>
      <c r="C518" s="407"/>
      <c r="D518" s="30"/>
    </row>
    <row r="531" spans="2:3" x14ac:dyDescent="0.2">
      <c r="B531" s="407"/>
      <c r="C531" s="407"/>
    </row>
    <row r="532" spans="2:3" x14ac:dyDescent="0.2">
      <c r="B532" s="406"/>
      <c r="C532" s="406"/>
    </row>
    <row r="533" spans="2:3" x14ac:dyDescent="0.2">
      <c r="B533" s="407"/>
      <c r="C533" s="407"/>
    </row>
    <row r="534" spans="2:3" x14ac:dyDescent="0.2">
      <c r="B534" s="407"/>
      <c r="C534" s="407"/>
    </row>
    <row r="535" spans="2:3" x14ac:dyDescent="0.2">
      <c r="B535" s="407"/>
      <c r="C535" s="407"/>
    </row>
    <row r="536" spans="2:3" x14ac:dyDescent="0.2">
      <c r="B536" s="407"/>
      <c r="C536" s="407"/>
    </row>
    <row r="537" spans="2:3" x14ac:dyDescent="0.2">
      <c r="B537" s="407"/>
      <c r="C537" s="407"/>
    </row>
    <row r="538" spans="2:3" x14ac:dyDescent="0.2">
      <c r="B538" s="407"/>
      <c r="C538" s="407"/>
    </row>
    <row r="539" spans="2:3" x14ac:dyDescent="0.2">
      <c r="B539" s="407"/>
      <c r="C539" s="407"/>
    </row>
    <row r="540" spans="2:3" x14ac:dyDescent="0.2">
      <c r="B540" s="407"/>
      <c r="C540" s="407"/>
    </row>
    <row r="541" spans="2:3" x14ac:dyDescent="0.2">
      <c r="B541" s="407"/>
      <c r="C541" s="407"/>
    </row>
    <row r="542" spans="2:3" x14ac:dyDescent="0.2">
      <c r="B542" s="407"/>
      <c r="C542" s="407"/>
    </row>
    <row r="543" spans="2:3" x14ac:dyDescent="0.2">
      <c r="B543" s="407"/>
      <c r="C543" s="407"/>
    </row>
    <row r="544" spans="2:3" x14ac:dyDescent="0.2">
      <c r="B544" s="407"/>
      <c r="C544" s="407"/>
    </row>
    <row r="545" spans="2:3" x14ac:dyDescent="0.2">
      <c r="B545" s="407"/>
      <c r="C545" s="407"/>
    </row>
    <row r="547" spans="2:3" x14ac:dyDescent="0.2">
      <c r="B547" s="407"/>
      <c r="C547" s="407"/>
    </row>
    <row r="548" spans="2:3" x14ac:dyDescent="0.2">
      <c r="B548" s="407"/>
      <c r="C548" s="407"/>
    </row>
    <row r="549" spans="2:3" x14ac:dyDescent="0.2">
      <c r="B549" s="407"/>
      <c r="C549" s="407"/>
    </row>
    <row r="550" spans="2:3" x14ac:dyDescent="0.2">
      <c r="B550" s="407"/>
      <c r="C550" s="407"/>
    </row>
    <row r="552" spans="2:3" x14ac:dyDescent="0.2">
      <c r="B552" s="407"/>
      <c r="C552" s="407"/>
    </row>
    <row r="553" spans="2:3" x14ac:dyDescent="0.2">
      <c r="B553" s="407"/>
      <c r="C553" s="407"/>
    </row>
    <row r="554" spans="2:3" x14ac:dyDescent="0.2">
      <c r="B554" s="406"/>
      <c r="C554" s="406"/>
    </row>
    <row r="558" spans="2:3" x14ac:dyDescent="0.2">
      <c r="B558" s="407"/>
      <c r="C558" s="407"/>
    </row>
  </sheetData>
  <sheetProtection formatCells="0" selectLockedCells="1"/>
  <mergeCells count="728">
    <mergeCell ref="AB296:AB297"/>
    <mergeCell ref="AC296:AC297"/>
    <mergeCell ref="B302:C302"/>
    <mergeCell ref="V296:V297"/>
    <mergeCell ref="W296:W297"/>
    <mergeCell ref="X296:X297"/>
    <mergeCell ref="Y296:Y297"/>
    <mergeCell ref="Z296:Z297"/>
    <mergeCell ref="AA296:AA297"/>
    <mergeCell ref="P296:P297"/>
    <mergeCell ref="Q296:Q297"/>
    <mergeCell ref="R296:R297"/>
    <mergeCell ref="S296:S297"/>
    <mergeCell ref="T296:T297"/>
    <mergeCell ref="U296:U297"/>
    <mergeCell ref="J296:J297"/>
    <mergeCell ref="K296:K297"/>
    <mergeCell ref="L296:L297"/>
    <mergeCell ref="M296:M297"/>
    <mergeCell ref="N296:N297"/>
    <mergeCell ref="O296:O297"/>
    <mergeCell ref="AA294:AA295"/>
    <mergeCell ref="AB294:AB295"/>
    <mergeCell ref="AC294:AC295"/>
    <mergeCell ref="B296:C297"/>
    <mergeCell ref="D296:D297"/>
    <mergeCell ref="E296:E297"/>
    <mergeCell ref="F296:F297"/>
    <mergeCell ref="G296:G297"/>
    <mergeCell ref="H296:H297"/>
    <mergeCell ref="I296:I297"/>
    <mergeCell ref="U294:U295"/>
    <mergeCell ref="V294:V295"/>
    <mergeCell ref="W294:W295"/>
    <mergeCell ref="X294:X295"/>
    <mergeCell ref="Y294:Y295"/>
    <mergeCell ref="Z294:Z295"/>
    <mergeCell ref="O294:O295"/>
    <mergeCell ref="P294:P295"/>
    <mergeCell ref="Q294:Q295"/>
    <mergeCell ref="R294:R295"/>
    <mergeCell ref="S294:S295"/>
    <mergeCell ref="T294:T295"/>
    <mergeCell ref="I294:I295"/>
    <mergeCell ref="J294:J295"/>
    <mergeCell ref="K294:K295"/>
    <mergeCell ref="L294:L295"/>
    <mergeCell ref="M294:M295"/>
    <mergeCell ref="N294:N295"/>
    <mergeCell ref="B294:C295"/>
    <mergeCell ref="D294:D295"/>
    <mergeCell ref="E294:E295"/>
    <mergeCell ref="F294:F295"/>
    <mergeCell ref="G294:G295"/>
    <mergeCell ref="H294:H295"/>
    <mergeCell ref="X292:X293"/>
    <mergeCell ref="Y292:Y293"/>
    <mergeCell ref="Z292:Z293"/>
    <mergeCell ref="AA292:AA293"/>
    <mergeCell ref="AB292:AB293"/>
    <mergeCell ref="AC292:AC293"/>
    <mergeCell ref="R292:R293"/>
    <mergeCell ref="S292:S293"/>
    <mergeCell ref="T292:T293"/>
    <mergeCell ref="U292:U293"/>
    <mergeCell ref="V292:V293"/>
    <mergeCell ref="W292:W293"/>
    <mergeCell ref="L292:L293"/>
    <mergeCell ref="M292:M293"/>
    <mergeCell ref="N292:N293"/>
    <mergeCell ref="O292:O293"/>
    <mergeCell ref="P292:P293"/>
    <mergeCell ref="Q292:Q293"/>
    <mergeCell ref="AC290:AC291"/>
    <mergeCell ref="B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K290:K291"/>
    <mergeCell ref="L290:L291"/>
    <mergeCell ref="M290:M291"/>
    <mergeCell ref="N290:N291"/>
    <mergeCell ref="O290:O291"/>
    <mergeCell ref="P290:P291"/>
    <mergeCell ref="AB288:AB289"/>
    <mergeCell ref="AC288:AC289"/>
    <mergeCell ref="B290:C291"/>
    <mergeCell ref="D290:D291"/>
    <mergeCell ref="E290:E291"/>
    <mergeCell ref="F290:F291"/>
    <mergeCell ref="G290:G291"/>
    <mergeCell ref="H290:H291"/>
    <mergeCell ref="I290:I291"/>
    <mergeCell ref="J290:J291"/>
    <mergeCell ref="V288:V289"/>
    <mergeCell ref="W288:W289"/>
    <mergeCell ref="X288:X289"/>
    <mergeCell ref="Y288:Y289"/>
    <mergeCell ref="Z288:Z289"/>
    <mergeCell ref="AA288:AA289"/>
    <mergeCell ref="P288:P289"/>
    <mergeCell ref="Q288:Q289"/>
    <mergeCell ref="R288:R289"/>
    <mergeCell ref="S288:S289"/>
    <mergeCell ref="T288:T289"/>
    <mergeCell ref="U288:U289"/>
    <mergeCell ref="J288:J289"/>
    <mergeCell ref="K288:K289"/>
    <mergeCell ref="L288:L289"/>
    <mergeCell ref="M288:M289"/>
    <mergeCell ref="N288:N289"/>
    <mergeCell ref="O288:O289"/>
    <mergeCell ref="AA286:AA287"/>
    <mergeCell ref="AB286:AB287"/>
    <mergeCell ref="AC286:AC287"/>
    <mergeCell ref="B288:C289"/>
    <mergeCell ref="D288:D289"/>
    <mergeCell ref="E288:E289"/>
    <mergeCell ref="F288:F289"/>
    <mergeCell ref="G288:G289"/>
    <mergeCell ref="H288:H289"/>
    <mergeCell ref="I288:I289"/>
    <mergeCell ref="U286:U287"/>
    <mergeCell ref="V286:V287"/>
    <mergeCell ref="W286:W287"/>
    <mergeCell ref="X286:X287"/>
    <mergeCell ref="Y286:Y287"/>
    <mergeCell ref="Z286:Z287"/>
    <mergeCell ref="O286:O287"/>
    <mergeCell ref="P286:P287"/>
    <mergeCell ref="Q286:Q287"/>
    <mergeCell ref="R286:R287"/>
    <mergeCell ref="S286:S287"/>
    <mergeCell ref="T286:T287"/>
    <mergeCell ref="I286:I287"/>
    <mergeCell ref="J286:J287"/>
    <mergeCell ref="K286:K287"/>
    <mergeCell ref="L286:L287"/>
    <mergeCell ref="M286:M287"/>
    <mergeCell ref="N286:N287"/>
    <mergeCell ref="B286:C287"/>
    <mergeCell ref="D286:D287"/>
    <mergeCell ref="E286:E287"/>
    <mergeCell ref="F286:F287"/>
    <mergeCell ref="G286:G287"/>
    <mergeCell ref="H286:H287"/>
    <mergeCell ref="X284:X285"/>
    <mergeCell ref="Y284:Y285"/>
    <mergeCell ref="Z284:Z285"/>
    <mergeCell ref="AA284:AA285"/>
    <mergeCell ref="AB284:AB285"/>
    <mergeCell ref="AC284:AC285"/>
    <mergeCell ref="R284:R285"/>
    <mergeCell ref="S284:S285"/>
    <mergeCell ref="T284:T285"/>
    <mergeCell ref="U284:U285"/>
    <mergeCell ref="V284:V285"/>
    <mergeCell ref="W284:W285"/>
    <mergeCell ref="L284:L285"/>
    <mergeCell ref="M284:M285"/>
    <mergeCell ref="N284:N285"/>
    <mergeCell ref="O284:O285"/>
    <mergeCell ref="P284:P285"/>
    <mergeCell ref="Q284:Q285"/>
    <mergeCell ref="AC282:AC283"/>
    <mergeCell ref="B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K282:K283"/>
    <mergeCell ref="L282:L283"/>
    <mergeCell ref="M282:M283"/>
    <mergeCell ref="N282:N283"/>
    <mergeCell ref="O282:O283"/>
    <mergeCell ref="P282:P283"/>
    <mergeCell ref="AB280:AB281"/>
    <mergeCell ref="AC280:AC281"/>
    <mergeCell ref="B282:C283"/>
    <mergeCell ref="D282:D283"/>
    <mergeCell ref="E282:E283"/>
    <mergeCell ref="F282:F283"/>
    <mergeCell ref="G282:G283"/>
    <mergeCell ref="H282:H283"/>
    <mergeCell ref="I282:I283"/>
    <mergeCell ref="J282:J283"/>
    <mergeCell ref="V280:V281"/>
    <mergeCell ref="W280:W281"/>
    <mergeCell ref="X280:X281"/>
    <mergeCell ref="Y280:Y281"/>
    <mergeCell ref="Z280:Z281"/>
    <mergeCell ref="AA280:AA281"/>
    <mergeCell ref="P280:P281"/>
    <mergeCell ref="Q280:Q281"/>
    <mergeCell ref="R280:R281"/>
    <mergeCell ref="S280:S281"/>
    <mergeCell ref="T280:T281"/>
    <mergeCell ref="U280:U281"/>
    <mergeCell ref="J280:J281"/>
    <mergeCell ref="K280:K281"/>
    <mergeCell ref="L280:L281"/>
    <mergeCell ref="M280:M281"/>
    <mergeCell ref="N280:N281"/>
    <mergeCell ref="O280:O281"/>
    <mergeCell ref="AA278:AA279"/>
    <mergeCell ref="AB278:AB279"/>
    <mergeCell ref="AC278:AC279"/>
    <mergeCell ref="B280:C281"/>
    <mergeCell ref="D280:D281"/>
    <mergeCell ref="E280:E281"/>
    <mergeCell ref="F280:F281"/>
    <mergeCell ref="G280:G281"/>
    <mergeCell ref="H280:H281"/>
    <mergeCell ref="I280:I281"/>
    <mergeCell ref="U278:U279"/>
    <mergeCell ref="V278:V279"/>
    <mergeCell ref="W278:W279"/>
    <mergeCell ref="X278:X279"/>
    <mergeCell ref="Y278:Y279"/>
    <mergeCell ref="Z278:Z279"/>
    <mergeCell ref="O278:O279"/>
    <mergeCell ref="P278:P279"/>
    <mergeCell ref="Q278:Q279"/>
    <mergeCell ref="R278:R279"/>
    <mergeCell ref="S278:S279"/>
    <mergeCell ref="T278:T279"/>
    <mergeCell ref="I278:I279"/>
    <mergeCell ref="J278:J279"/>
    <mergeCell ref="K278:K279"/>
    <mergeCell ref="L278:L279"/>
    <mergeCell ref="M278:M279"/>
    <mergeCell ref="N278:N279"/>
    <mergeCell ref="B278:C279"/>
    <mergeCell ref="D278:D279"/>
    <mergeCell ref="E278:E279"/>
    <mergeCell ref="F278:F279"/>
    <mergeCell ref="G278:G279"/>
    <mergeCell ref="H278:H279"/>
    <mergeCell ref="X276:X277"/>
    <mergeCell ref="Y276:Y277"/>
    <mergeCell ref="Z276:Z277"/>
    <mergeCell ref="AA276:AA277"/>
    <mergeCell ref="AB276:AB277"/>
    <mergeCell ref="AC276:AC277"/>
    <mergeCell ref="R276:R277"/>
    <mergeCell ref="S276:S277"/>
    <mergeCell ref="T276:T277"/>
    <mergeCell ref="U276:U277"/>
    <mergeCell ref="V276:V277"/>
    <mergeCell ref="W276:W277"/>
    <mergeCell ref="L276:L277"/>
    <mergeCell ref="M276:M277"/>
    <mergeCell ref="N276:N277"/>
    <mergeCell ref="O276:O277"/>
    <mergeCell ref="P276:P277"/>
    <mergeCell ref="Q276:Q277"/>
    <mergeCell ref="AC274:AC275"/>
    <mergeCell ref="B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K274:K275"/>
    <mergeCell ref="L274:L275"/>
    <mergeCell ref="M274:M275"/>
    <mergeCell ref="N274:N275"/>
    <mergeCell ref="O274:O275"/>
    <mergeCell ref="P274:P275"/>
    <mergeCell ref="AB272:AB273"/>
    <mergeCell ref="AC272:AC273"/>
    <mergeCell ref="B274:C275"/>
    <mergeCell ref="D274:D275"/>
    <mergeCell ref="E274:E275"/>
    <mergeCell ref="F274:F275"/>
    <mergeCell ref="G274:G275"/>
    <mergeCell ref="H274:H275"/>
    <mergeCell ref="I274:I275"/>
    <mergeCell ref="J274:J275"/>
    <mergeCell ref="V272:V273"/>
    <mergeCell ref="W272:W273"/>
    <mergeCell ref="X272:X273"/>
    <mergeCell ref="Y272:Y273"/>
    <mergeCell ref="Z272:Z273"/>
    <mergeCell ref="AA272:AA273"/>
    <mergeCell ref="P272:P273"/>
    <mergeCell ref="Q272:Q273"/>
    <mergeCell ref="R272:R273"/>
    <mergeCell ref="S272:S273"/>
    <mergeCell ref="T272:T273"/>
    <mergeCell ref="U272:U273"/>
    <mergeCell ref="J272:J273"/>
    <mergeCell ref="K272:K273"/>
    <mergeCell ref="L272:L273"/>
    <mergeCell ref="M272:M273"/>
    <mergeCell ref="N272:N273"/>
    <mergeCell ref="O272:O273"/>
    <mergeCell ref="AA270:AA271"/>
    <mergeCell ref="AB270:AB271"/>
    <mergeCell ref="AC270:AC271"/>
    <mergeCell ref="B272:C273"/>
    <mergeCell ref="D272:D273"/>
    <mergeCell ref="E272:E273"/>
    <mergeCell ref="F272:F273"/>
    <mergeCell ref="G272:G273"/>
    <mergeCell ref="H272:H273"/>
    <mergeCell ref="I272:I273"/>
    <mergeCell ref="U270:U271"/>
    <mergeCell ref="V270:V271"/>
    <mergeCell ref="W270:W271"/>
    <mergeCell ref="X270:X271"/>
    <mergeCell ref="Y270:Y271"/>
    <mergeCell ref="Z270:Z271"/>
    <mergeCell ref="O270:O271"/>
    <mergeCell ref="P270:P271"/>
    <mergeCell ref="Q270:Q271"/>
    <mergeCell ref="R270:R271"/>
    <mergeCell ref="S270:S271"/>
    <mergeCell ref="T270:T271"/>
    <mergeCell ref="I270:I271"/>
    <mergeCell ref="J270:J271"/>
    <mergeCell ref="K270:K271"/>
    <mergeCell ref="L270:L271"/>
    <mergeCell ref="M270:M271"/>
    <mergeCell ref="N270:N271"/>
    <mergeCell ref="B270:C271"/>
    <mergeCell ref="D270:D271"/>
    <mergeCell ref="E270:E271"/>
    <mergeCell ref="F270:F271"/>
    <mergeCell ref="G270:G271"/>
    <mergeCell ref="H270:H271"/>
    <mergeCell ref="Z256:Z257"/>
    <mergeCell ref="AA256:AA257"/>
    <mergeCell ref="AB256:AB257"/>
    <mergeCell ref="AC256:AC257"/>
    <mergeCell ref="B268:C269"/>
    <mergeCell ref="D268:D269"/>
    <mergeCell ref="E268:E269"/>
    <mergeCell ref="T256:T257"/>
    <mergeCell ref="U256:U257"/>
    <mergeCell ref="V256:V257"/>
    <mergeCell ref="W256:W257"/>
    <mergeCell ref="X256:X257"/>
    <mergeCell ref="Y256:Y257"/>
    <mergeCell ref="N256:N257"/>
    <mergeCell ref="O256:O257"/>
    <mergeCell ref="P256:P257"/>
    <mergeCell ref="Q256:Q257"/>
    <mergeCell ref="R256:R257"/>
    <mergeCell ref="S256:S257"/>
    <mergeCell ref="AC254:AC255"/>
    <mergeCell ref="B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K254:K255"/>
    <mergeCell ref="L254:L255"/>
    <mergeCell ref="M254:M255"/>
    <mergeCell ref="N254:N255"/>
    <mergeCell ref="O254:O255"/>
    <mergeCell ref="P254:P255"/>
    <mergeCell ref="Z252:Z253"/>
    <mergeCell ref="AA252:AA253"/>
    <mergeCell ref="AB252:AB253"/>
    <mergeCell ref="AC252:AC253"/>
    <mergeCell ref="B254:E255"/>
    <mergeCell ref="F254:F255"/>
    <mergeCell ref="G254:G255"/>
    <mergeCell ref="H254:H255"/>
    <mergeCell ref="I254:I255"/>
    <mergeCell ref="J254:J255"/>
    <mergeCell ref="T252:T253"/>
    <mergeCell ref="U252:U253"/>
    <mergeCell ref="V252:V253"/>
    <mergeCell ref="W252:W253"/>
    <mergeCell ref="X252:X253"/>
    <mergeCell ref="Y252:Y253"/>
    <mergeCell ref="N252:N253"/>
    <mergeCell ref="O252:O253"/>
    <mergeCell ref="P252:P253"/>
    <mergeCell ref="Q252:Q253"/>
    <mergeCell ref="R252:R253"/>
    <mergeCell ref="S252:S253"/>
    <mergeCell ref="AC250:AC251"/>
    <mergeCell ref="B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K250:K251"/>
    <mergeCell ref="L250:L251"/>
    <mergeCell ref="M250:M251"/>
    <mergeCell ref="N250:N251"/>
    <mergeCell ref="O250:O251"/>
    <mergeCell ref="P250:P251"/>
    <mergeCell ref="Z248:Z249"/>
    <mergeCell ref="AA248:AA249"/>
    <mergeCell ref="AB248:AB249"/>
    <mergeCell ref="AC248:AC249"/>
    <mergeCell ref="B250:E251"/>
    <mergeCell ref="F250:F251"/>
    <mergeCell ref="G250:G251"/>
    <mergeCell ref="H250:H251"/>
    <mergeCell ref="I250:I251"/>
    <mergeCell ref="J250:J251"/>
    <mergeCell ref="T248:T249"/>
    <mergeCell ref="U248:U249"/>
    <mergeCell ref="V248:V249"/>
    <mergeCell ref="W248:W249"/>
    <mergeCell ref="X248:X249"/>
    <mergeCell ref="Y248:Y249"/>
    <mergeCell ref="N248:N249"/>
    <mergeCell ref="O248:O249"/>
    <mergeCell ref="P248:P249"/>
    <mergeCell ref="Q248:Q249"/>
    <mergeCell ref="R248:R249"/>
    <mergeCell ref="S248:S249"/>
    <mergeCell ref="AC246:AC247"/>
    <mergeCell ref="B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K246:K247"/>
    <mergeCell ref="L246:L247"/>
    <mergeCell ref="M246:M247"/>
    <mergeCell ref="N246:N247"/>
    <mergeCell ref="O246:O247"/>
    <mergeCell ref="P246:P247"/>
    <mergeCell ref="Z244:Z245"/>
    <mergeCell ref="AA244:AA245"/>
    <mergeCell ref="AB244:AB245"/>
    <mergeCell ref="AC244:AC245"/>
    <mergeCell ref="B246:E247"/>
    <mergeCell ref="F246:F247"/>
    <mergeCell ref="G246:G247"/>
    <mergeCell ref="H246:H247"/>
    <mergeCell ref="I246:I247"/>
    <mergeCell ref="J246:J247"/>
    <mergeCell ref="T244:T245"/>
    <mergeCell ref="U244:U245"/>
    <mergeCell ref="V244:V245"/>
    <mergeCell ref="W244:W245"/>
    <mergeCell ref="X244:X245"/>
    <mergeCell ref="Y244:Y245"/>
    <mergeCell ref="N244:N245"/>
    <mergeCell ref="O244:O245"/>
    <mergeCell ref="P244:P245"/>
    <mergeCell ref="Q244:Q245"/>
    <mergeCell ref="R244:R245"/>
    <mergeCell ref="S244:S245"/>
    <mergeCell ref="Z242:AC243"/>
    <mergeCell ref="B244:E245"/>
    <mergeCell ref="F244:F245"/>
    <mergeCell ref="G244:G245"/>
    <mergeCell ref="H244:H245"/>
    <mergeCell ref="I244:I245"/>
    <mergeCell ref="J244:J245"/>
    <mergeCell ref="K244:K245"/>
    <mergeCell ref="L244:L245"/>
    <mergeCell ref="M244:M245"/>
    <mergeCell ref="B242:E243"/>
    <mergeCell ref="F242:I243"/>
    <mergeCell ref="J242:M243"/>
    <mergeCell ref="N242:Q243"/>
    <mergeCell ref="R242:U243"/>
    <mergeCell ref="V242:Y243"/>
    <mergeCell ref="B227:D227"/>
    <mergeCell ref="B238:AC238"/>
    <mergeCell ref="B239:E241"/>
    <mergeCell ref="F239:I239"/>
    <mergeCell ref="J239:M239"/>
    <mergeCell ref="N239:Q239"/>
    <mergeCell ref="R239:U239"/>
    <mergeCell ref="V239:Y239"/>
    <mergeCell ref="Z239:AC239"/>
    <mergeCell ref="Y225:Y226"/>
    <mergeCell ref="Z225:Z226"/>
    <mergeCell ref="AA225:AA226"/>
    <mergeCell ref="AB225:AB226"/>
    <mergeCell ref="AC225:AC226"/>
    <mergeCell ref="C226:D226"/>
    <mergeCell ref="S225:S226"/>
    <mergeCell ref="T225:T226"/>
    <mergeCell ref="U225:U226"/>
    <mergeCell ref="V225:V226"/>
    <mergeCell ref="W225:W226"/>
    <mergeCell ref="X225:X226"/>
    <mergeCell ref="M225:M226"/>
    <mergeCell ref="N225:N226"/>
    <mergeCell ref="O225:O226"/>
    <mergeCell ref="P225:P226"/>
    <mergeCell ref="Q225:Q226"/>
    <mergeCell ref="R225:R226"/>
    <mergeCell ref="G225:G226"/>
    <mergeCell ref="H225:H226"/>
    <mergeCell ref="I225:I226"/>
    <mergeCell ref="J225:J226"/>
    <mergeCell ref="K225:K226"/>
    <mergeCell ref="L225:L226"/>
    <mergeCell ref="Y223:Y224"/>
    <mergeCell ref="Z223:Z224"/>
    <mergeCell ref="AA223:AA224"/>
    <mergeCell ref="AB223:AB224"/>
    <mergeCell ref="AC223:AC224"/>
    <mergeCell ref="C224:D224"/>
    <mergeCell ref="S223:S224"/>
    <mergeCell ref="T223:T224"/>
    <mergeCell ref="U223:U224"/>
    <mergeCell ref="V223:V224"/>
    <mergeCell ref="W223:W224"/>
    <mergeCell ref="X223:X224"/>
    <mergeCell ref="M223:M224"/>
    <mergeCell ref="N223:N224"/>
    <mergeCell ref="O223:O224"/>
    <mergeCell ref="P223:P224"/>
    <mergeCell ref="Q223:Q224"/>
    <mergeCell ref="R223:R224"/>
    <mergeCell ref="G223:G224"/>
    <mergeCell ref="H223:H224"/>
    <mergeCell ref="I223:I224"/>
    <mergeCell ref="J223:J224"/>
    <mergeCell ref="K223:K224"/>
    <mergeCell ref="L223:L224"/>
    <mergeCell ref="B177:D177"/>
    <mergeCell ref="B178:E178"/>
    <mergeCell ref="E219:E226"/>
    <mergeCell ref="B222:D222"/>
    <mergeCell ref="C223:D223"/>
    <mergeCell ref="F223:F224"/>
    <mergeCell ref="C225:D225"/>
    <mergeCell ref="F225:F226"/>
    <mergeCell ref="B163:AC164"/>
    <mergeCell ref="B165:B166"/>
    <mergeCell ref="C165:E165"/>
    <mergeCell ref="F165:I165"/>
    <mergeCell ref="J165:M165"/>
    <mergeCell ref="N165:Q165"/>
    <mergeCell ref="R165:U165"/>
    <mergeCell ref="V165:Y165"/>
    <mergeCell ref="Z165:AC165"/>
    <mergeCell ref="B121:B122"/>
    <mergeCell ref="B127:J127"/>
    <mergeCell ref="L127:O127"/>
    <mergeCell ref="Q127:AC127"/>
    <mergeCell ref="B145:M145"/>
    <mergeCell ref="Q145:AC145"/>
    <mergeCell ref="C115:D115"/>
    <mergeCell ref="C116:D116"/>
    <mergeCell ref="B117:D117"/>
    <mergeCell ref="C118:D118"/>
    <mergeCell ref="C119:D119"/>
    <mergeCell ref="B120:D120"/>
    <mergeCell ref="C109:D109"/>
    <mergeCell ref="C110:D110"/>
    <mergeCell ref="C111:D111"/>
    <mergeCell ref="C112:D112"/>
    <mergeCell ref="C113:D113"/>
    <mergeCell ref="C114:D114"/>
    <mergeCell ref="B84:D84"/>
    <mergeCell ref="C102:D102"/>
    <mergeCell ref="B103:D103"/>
    <mergeCell ref="C106:D106"/>
    <mergeCell ref="C107:D107"/>
    <mergeCell ref="B108:D108"/>
    <mergeCell ref="AP49:AQ49"/>
    <mergeCell ref="AP50:AQ50"/>
    <mergeCell ref="B57:L57"/>
    <mergeCell ref="F58:G58"/>
    <mergeCell ref="H58:I58"/>
    <mergeCell ref="K58:K59"/>
    <mergeCell ref="L58:L59"/>
    <mergeCell ref="F59:G59"/>
    <mergeCell ref="H59:I59"/>
    <mergeCell ref="I44:J44"/>
    <mergeCell ref="I45:J45"/>
    <mergeCell ref="I46:J46"/>
    <mergeCell ref="I47:J47"/>
    <mergeCell ref="I48:J48"/>
    <mergeCell ref="I49:J49"/>
    <mergeCell ref="BI35:BJ35"/>
    <mergeCell ref="BI36:BJ36"/>
    <mergeCell ref="AE37:BD37"/>
    <mergeCell ref="BH38:BJ38"/>
    <mergeCell ref="B42:L42"/>
    <mergeCell ref="I43:J43"/>
    <mergeCell ref="B32:B33"/>
    <mergeCell ref="C32:C33"/>
    <mergeCell ref="G32:I32"/>
    <mergeCell ref="AP32:AQ32"/>
    <mergeCell ref="BI33:BJ33"/>
    <mergeCell ref="B34:B35"/>
    <mergeCell ref="C34:C35"/>
    <mergeCell ref="H34:I34"/>
    <mergeCell ref="BI34:BJ34"/>
    <mergeCell ref="H35:I35"/>
    <mergeCell ref="B28:B29"/>
    <mergeCell ref="C28:C29"/>
    <mergeCell ref="G28:I28"/>
    <mergeCell ref="BI28:BJ28"/>
    <mergeCell ref="B30:B31"/>
    <mergeCell ref="C30:C31"/>
    <mergeCell ref="BI30:BJ30"/>
    <mergeCell ref="AP31:AQ31"/>
    <mergeCell ref="BH31:BJ31"/>
    <mergeCell ref="G18:I18"/>
    <mergeCell ref="AE19:BD19"/>
    <mergeCell ref="BI19:BJ19"/>
    <mergeCell ref="BH21:BJ21"/>
    <mergeCell ref="BH22:BH26"/>
    <mergeCell ref="G25:I25"/>
    <mergeCell ref="G26:G27"/>
    <mergeCell ref="H26:H27"/>
    <mergeCell ref="I26:I27"/>
    <mergeCell ref="BI26:BJ26"/>
    <mergeCell ref="AP13:AQ13"/>
    <mergeCell ref="AP14:AQ14"/>
    <mergeCell ref="B15:C15"/>
    <mergeCell ref="G15:I15"/>
    <mergeCell ref="BH15:BJ15"/>
    <mergeCell ref="G16:I16"/>
    <mergeCell ref="BI16:BJ16"/>
    <mergeCell ref="AE1:BD1"/>
    <mergeCell ref="BH1:BJ3"/>
    <mergeCell ref="BK1:BK4"/>
    <mergeCell ref="BN1:BP1"/>
    <mergeCell ref="BQ1:BS1"/>
    <mergeCell ref="C2:D6"/>
    <mergeCell ref="BH4:BJ4"/>
    <mergeCell ref="BI5:BJ5"/>
    <mergeCell ref="BI6:BJ6"/>
  </mergeCells>
  <conditionalFormatting sqref="H19:I24 H29:I31 B44:L48 B59:J59 C61:L75 C104:E105 C106:D107 C109:D116 C118:E119 M129:O138 R129:AC138 C147:M156 R147:AC156 F246:AC257 F272:AC297 AO16:AW16 AY16:AZ16 BX17:CB18 AO15:AZ15 C86:E101 BV2:BW6 BW9:BW16 C129:J138 F167:AC175 F180:AC189 F192:AC216">
    <cfRule type="expression" dxfId="35" priority="35">
      <formula>OR(AND(ISNUMBER(B2), ABS(B2) &lt; 0.0000001), B2="0", B2="0.00%")</formula>
    </cfRule>
  </conditionalFormatting>
  <conditionalFormatting sqref="AE3:AE12 AR3:AZ12 AG3:AO12">
    <cfRule type="expression" dxfId="34" priority="26">
      <formula>OR(AND(ISNUMBER(AE3), ABS(AE3) &lt; 0.0000001), AE3="0", AE3="0.00%")</formula>
    </cfRule>
  </conditionalFormatting>
  <conditionalFormatting sqref="AE39:AZ48">
    <cfRule type="expression" dxfId="33" priority="22">
      <formula>OR(AND(ISNUMBER(AE39), ABS(AE39) &lt; 0.0000001), AE39="0", AE39="0.00%")</formula>
    </cfRule>
  </conditionalFormatting>
  <conditionalFormatting sqref="AG21:AN30">
    <cfRule type="expression" dxfId="32" priority="29">
      <formula>OR(AND(ISNUMBER(AG21), ABS(AG21) &lt; 0.0000001), AG21="0", AG21="0.00%")</formula>
    </cfRule>
  </conditionalFormatting>
  <conditionalFormatting sqref="AF14:AP14">
    <cfRule type="containsText" dxfId="31" priority="30" operator="containsText" text="FALSE">
      <formula>NOT(ISERROR(SEARCH("FALSE",AF14)))</formula>
    </cfRule>
    <cfRule type="containsText" dxfId="30" priority="31" operator="containsText" text="TRUE">
      <formula>NOT(ISERROR(SEARCH("TRUE",AF14)))</formula>
    </cfRule>
  </conditionalFormatting>
  <conditionalFormatting sqref="AF50:AP50">
    <cfRule type="containsText" dxfId="29" priority="23" operator="containsText" text="FALSE">
      <formula>NOT(ISERROR(SEARCH("FALSE",AF50)))</formula>
    </cfRule>
    <cfRule type="containsText" dxfId="28" priority="24" operator="containsText" text="TRUE">
      <formula>NOT(ISERROR(SEARCH("TRUE",AF50)))</formula>
    </cfRule>
  </conditionalFormatting>
  <conditionalFormatting sqref="AG32:AP32">
    <cfRule type="containsText" dxfId="27" priority="27" operator="containsText" text="FALSE">
      <formula>NOT(ISERROR(SEARCH("FALSE",AG32)))</formula>
    </cfRule>
    <cfRule type="containsText" dxfId="26" priority="28" operator="containsText" text="TRUE">
      <formula>NOT(ISERROR(SEARCH("TRUE",AG32)))</formula>
    </cfRule>
  </conditionalFormatting>
  <conditionalFormatting sqref="AO22">
    <cfRule type="expression" dxfId="25" priority="33">
      <formula>OR(AND(ISNUMBER(AO22), ABS(AO22) &lt; 0.0000001), AO22="0", AO22="0.00%")</formula>
    </cfRule>
  </conditionalFormatting>
  <conditionalFormatting sqref="AO24 AO26 AO28 AO30">
    <cfRule type="expression" dxfId="24" priority="32">
      <formula>OR(AND(ISNUMBER(AO24), ABS(AO24) &lt; 0.0000001), AO24="0", AO24="0.00%")</formula>
    </cfRule>
  </conditionalFormatting>
  <conditionalFormatting sqref="AO13:AP14 BD3:BD15 AR13:AZ14 AP17:BA17 AP18:BB18 BD20:BD30 L60">
    <cfRule type="expression" dxfId="23" priority="34">
      <formula>OR(AND(ISNUMBER(L3), ABS(L3) &lt; 0.0000001), L3="0", L3="0.00%")</formula>
    </cfRule>
  </conditionalFormatting>
  <conditionalFormatting sqref="AO49:AP50 AR49:AZ50">
    <cfRule type="expression" dxfId="22" priority="25">
      <formula>OR(AND(ISNUMBER(AO49), ABS(AO49) &lt; 0.0000001), AO49="0", AO49="0.00%")</formula>
    </cfRule>
  </conditionalFormatting>
  <conditionalFormatting sqref="AO20:BA20 AO21:AO30 AR21:BA30">
    <cfRule type="expression" dxfId="21" priority="17">
      <formula>OR(AND(ISNUMBER(AO20), ABS(AO20) &lt; 0.0000001), AO20="0", AO20="0.00%")</formula>
    </cfRule>
  </conditionalFormatting>
  <conditionalFormatting sqref="AR14:BD14 I33 AR50:BD50 D167:D175 D180:D189 D218:D221 B227:D227 AB260:AC260 D268:D275 D278:D291 D294:D297 D313 AR32:BD32 D192:D216">
    <cfRule type="containsText" dxfId="20" priority="37" operator="containsText" text="TRUE">
      <formula>NOT(ISERROR(SEARCH("TRUE",B14)))</formula>
    </cfRule>
  </conditionalFormatting>
  <conditionalFormatting sqref="AR14:BD14 AR50:BD50 I33 D167:D175 D180:D189 D218:D221 B227:D227 AB260:AC260 D268:D275 D278:D291 D294:D297 D313 AR32:BD32 D192:D216">
    <cfRule type="containsText" dxfId="19" priority="36" operator="containsText" text="FALSE">
      <formula>NOT(ISERROR(SEARCH("FALSE",B14)))</formula>
    </cfRule>
  </conditionalFormatting>
  <conditionalFormatting sqref="BA3:BA12 BA21:BA30 BA39:BA48">
    <cfRule type="containsText" dxfId="18" priority="13" operator="containsText" text="0.00">
      <formula>NOT(ISERROR(SEARCH("0.00",BA3)))</formula>
    </cfRule>
    <cfRule type="cellIs" dxfId="17" priority="14" operator="equal">
      <formula>0</formula>
    </cfRule>
    <cfRule type="cellIs" dxfId="16" priority="15" operator="lessThan">
      <formula>1</formula>
    </cfRule>
    <cfRule type="cellIs" dxfId="15" priority="16" operator="greaterThan">
      <formula>1</formula>
    </cfRule>
  </conditionalFormatting>
  <conditionalFormatting sqref="BA3:BC14">
    <cfRule type="expression" dxfId="14" priority="18">
      <formula>OR(AND(ISNUMBER(BA3), ABS(BA3) &lt; 0.0000001), BA3="0", BA3="0.00%")</formula>
    </cfRule>
  </conditionalFormatting>
  <conditionalFormatting sqref="BA39:BD50">
    <cfRule type="expression" dxfId="13" priority="19">
      <formula>OR(AND(ISNUMBER(BA39), ABS(BA39) &lt; 0.0000001), BA39="0", BA39="0.00%")</formula>
    </cfRule>
  </conditionalFormatting>
  <conditionalFormatting sqref="BB21:BC32">
    <cfRule type="expression" dxfId="12" priority="20">
      <formula>OR(AND(ISNUMBER(BB21), ABS(BB21) &lt; 0.0000001), BB21="0", BB21="0.00%")</formula>
    </cfRule>
  </conditionalFormatting>
  <conditionalFormatting sqref="BN2:BS12">
    <cfRule type="expression" dxfId="11" priority="21">
      <formula>OR(AND(ISNUMBER(BN2), ABS(BN2) &lt; 0.0000001), BN2="0", BN2="0.00%")</formula>
    </cfRule>
  </conditionalFormatting>
  <conditionalFormatting sqref="B268:C269">
    <cfRule type="dataBar" priority="12">
      <dataBar>
        <cfvo type="formula" val="$R$139"/>
        <cfvo type="num" val="0"/>
        <color rgb="FFF0EAE4"/>
      </dataBar>
      <extLst>
        <ext xmlns:x14="http://schemas.microsoft.com/office/spreadsheetml/2009/9/main" uri="{B025F937-C7B1-47D3-B67F-A62EFF666E3E}">
          <x14:id>{5575D917-4712-4112-AB90-E0F8861CEB73}</x14:id>
        </ext>
      </extLst>
    </cfRule>
  </conditionalFormatting>
  <conditionalFormatting sqref="BW17:BW18">
    <cfRule type="expression" dxfId="10" priority="11">
      <formula>OR(AND(ISNUMBER(BW17), ABS(BW17) &lt; 0.0000001), BW17="0", BW17="0.00%")</formula>
    </cfRule>
  </conditionalFormatting>
  <conditionalFormatting sqref="AP21:AP30">
    <cfRule type="expression" dxfId="9" priority="9">
      <formula>OR(AND(ISNUMBER(AP21), ABS(AP21) &lt; 0.0000001), AP21="0", AP21="0.00%")</formula>
    </cfRule>
  </conditionalFormatting>
  <conditionalFormatting sqref="AP21:AP30">
    <cfRule type="expression" dxfId="8" priority="10">
      <formula>OR(AND(ISNUMBER(AP21), ABS(AP21) &lt; 0.0000001), AP21="0", AP21="0.00%")</formula>
    </cfRule>
  </conditionalFormatting>
  <conditionalFormatting sqref="AQ3:AQ12">
    <cfRule type="expression" dxfId="7" priority="8">
      <formula>OR(AND(ISNUMBER(AQ3), ABS(AQ3) &lt; 0.0000001), AQ3="0", AQ3="0.00%")</formula>
    </cfRule>
  </conditionalFormatting>
  <conditionalFormatting sqref="AQ21:AQ30">
    <cfRule type="expression" dxfId="6" priority="7">
      <formula>OR(AND(ISNUMBER(AQ21), ABS(AQ21) &lt; 0.0000001), AQ21="0", AQ21="0.00%")</formula>
    </cfRule>
  </conditionalFormatting>
  <conditionalFormatting sqref="AF3:AF12">
    <cfRule type="expression" dxfId="5" priority="6">
      <formula>OR(AND(ISNUMBER(AF3), ABS(AF3) &lt; 0.0000001), AF3="0", AF3="0.00%")</formula>
    </cfRule>
  </conditionalFormatting>
  <conditionalFormatting sqref="AF21:AF30">
    <cfRule type="expression" dxfId="4" priority="5">
      <formula>OR(AND(ISNUMBER(AF21), ABS(AF21) &lt; 0.0000001), AF21="0", AF21="0.00%")</formula>
    </cfRule>
  </conditionalFormatting>
  <conditionalFormatting sqref="BV9:BV16">
    <cfRule type="expression" dxfId="3" priority="4">
      <formula>OR(AND(ISNUMBER(BV9), ABS(BV9) &lt; 0.0000001), BV9="0", BV9="0.00%")</formula>
    </cfRule>
  </conditionalFormatting>
  <conditionalFormatting sqref="BX9:CB16">
    <cfRule type="expression" dxfId="2" priority="3">
      <formula>OR(AND(ISNUMBER(BX9), ABS(BX9) &lt; 0.0000001), BX9="0", BX9="0.00%")</formula>
    </cfRule>
  </conditionalFormatting>
  <conditionalFormatting sqref="AP3:AP12">
    <cfRule type="expression" dxfId="1" priority="1">
      <formula>OR(AND(ISNUMBER(AP3), ABS(AP3) &lt; 0.0000001), AP3="0", AP3="0.00%")</formula>
    </cfRule>
  </conditionalFormatting>
  <conditionalFormatting sqref="AP3:AP12">
    <cfRule type="expression" dxfId="0" priority="2">
      <formula>OR(AND(ISNUMBER(AP3), ABS(AP3) &lt; 0.0000001), AP3="0", AP3="0.00%")</formula>
    </cfRule>
  </conditionalFormatting>
  <hyperlinks>
    <hyperlink ref="F3" r:id="rId1" xr:uid="{A6CC40D7-436D-4285-9ADB-7AEAFEFF228D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75D917-4712-4112-AB90-E0F8861CEB73}">
            <x14:dataBar minLength="0" maxLength="100">
              <x14:cfvo type="formula">
                <xm:f>$R$139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B268:C269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Almayouf</dc:creator>
  <cp:lastModifiedBy>Omar Almayouf</cp:lastModifiedBy>
  <dcterms:created xsi:type="dcterms:W3CDTF">2026-01-14T12:30:38Z</dcterms:created>
  <dcterms:modified xsi:type="dcterms:W3CDTF">2026-01-14T12:31:50Z</dcterms:modified>
</cp:coreProperties>
</file>