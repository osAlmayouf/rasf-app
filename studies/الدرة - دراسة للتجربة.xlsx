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bu34\OneDrive\سطح المكتب\3oud\"/>
    </mc:Choice>
  </mc:AlternateContent>
  <xr:revisionPtr revIDLastSave="0" documentId="13_ncr:1_{6735E2DD-2F16-4E4C-8F40-0153D487724D}" xr6:coauthVersionLast="47" xr6:coauthVersionMax="47" xr10:uidLastSave="{00000000-0000-0000-0000-000000000000}"/>
  <bookViews>
    <workbookView xWindow="-30420" yWindow="2325" windowWidth="28800" windowHeight="15435" tabRatio="851" activeTab="2" xr2:uid="{08494FB3-3157-40BF-A39A-1857DBA01C82}"/>
  </bookViews>
  <sheets>
    <sheet name="APP" sheetId="6" r:id="rId1"/>
    <sheet name="Cover Page" sheetId="5" r:id="rId2"/>
    <sheet name="Study" sheetId="1" r:id="rId3"/>
    <sheet name="Summary" sheetId="2" r:id="rId4"/>
  </sheets>
  <externalReferences>
    <externalReference r:id="rId5"/>
  </externalReferences>
  <definedNames>
    <definedName name="_xlnm._FilterDatabase" localSheetId="2" hidden="1">Study!$AG$156:$AG$157</definedName>
    <definedName name="_xlchart.v1.0" hidden="1">Study!$C$86:$C$101</definedName>
    <definedName name="_xlchart.v1.1" hidden="1">Summary!$R$116:$R$132</definedName>
    <definedName name="AuditFailsCommercial">[1]Audit!$G$12</definedName>
    <definedName name="AuditFailsStructural">[1]Audit!$G$11</definedName>
    <definedName name="AuditOK">[1]Audit!$G$13</definedName>
    <definedName name="_xlnm.Print_Area" localSheetId="3">Summary!$B$1:$L$181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H16" i="1" l="1"/>
  <c r="CH17" i="1"/>
  <c r="CH18" i="1"/>
  <c r="D654" i="6" l="1"/>
  <c r="E654" i="6"/>
  <c r="F654" i="6"/>
  <c r="G654" i="6"/>
  <c r="H654" i="6"/>
  <c r="I654" i="6"/>
  <c r="J654" i="6"/>
  <c r="K654" i="6"/>
  <c r="L654" i="6"/>
  <c r="M654" i="6"/>
  <c r="N654" i="6"/>
  <c r="O654" i="6"/>
  <c r="P654" i="6"/>
  <c r="Q654" i="6"/>
  <c r="R654" i="6"/>
  <c r="S654" i="6"/>
  <c r="T654" i="6"/>
  <c r="U654" i="6"/>
  <c r="V654" i="6"/>
  <c r="W654" i="6"/>
  <c r="X654" i="6"/>
  <c r="Y654" i="6"/>
  <c r="Z654" i="6"/>
  <c r="D655" i="6"/>
  <c r="E655" i="6"/>
  <c r="F655" i="6"/>
  <c r="G655" i="6"/>
  <c r="H655" i="6"/>
  <c r="I655" i="6"/>
  <c r="J655" i="6"/>
  <c r="K655" i="6"/>
  <c r="L655" i="6"/>
  <c r="M655" i="6"/>
  <c r="N655" i="6"/>
  <c r="O655" i="6"/>
  <c r="P655" i="6"/>
  <c r="Q655" i="6"/>
  <c r="R655" i="6"/>
  <c r="S655" i="6"/>
  <c r="T655" i="6"/>
  <c r="U655" i="6"/>
  <c r="V655" i="6"/>
  <c r="W655" i="6"/>
  <c r="X655" i="6"/>
  <c r="Y655" i="6"/>
  <c r="Z655" i="6"/>
  <c r="D656" i="6"/>
  <c r="E656" i="6"/>
  <c r="F656" i="6"/>
  <c r="G656" i="6"/>
  <c r="H656" i="6"/>
  <c r="I656" i="6"/>
  <c r="J656" i="6"/>
  <c r="K656" i="6"/>
  <c r="L656" i="6"/>
  <c r="M656" i="6"/>
  <c r="N656" i="6"/>
  <c r="O656" i="6"/>
  <c r="P656" i="6"/>
  <c r="Q656" i="6"/>
  <c r="R656" i="6"/>
  <c r="S656" i="6"/>
  <c r="T656" i="6"/>
  <c r="U656" i="6"/>
  <c r="V656" i="6"/>
  <c r="W656" i="6"/>
  <c r="X656" i="6"/>
  <c r="Y656" i="6"/>
  <c r="Z656" i="6"/>
  <c r="D657" i="6"/>
  <c r="E657" i="6"/>
  <c r="F657" i="6"/>
  <c r="G657" i="6"/>
  <c r="H657" i="6"/>
  <c r="I657" i="6"/>
  <c r="J657" i="6"/>
  <c r="K657" i="6"/>
  <c r="L657" i="6"/>
  <c r="M657" i="6"/>
  <c r="N657" i="6"/>
  <c r="O657" i="6"/>
  <c r="P657" i="6"/>
  <c r="Q657" i="6"/>
  <c r="R657" i="6"/>
  <c r="S657" i="6"/>
  <c r="T657" i="6"/>
  <c r="U657" i="6"/>
  <c r="V657" i="6"/>
  <c r="W657" i="6"/>
  <c r="X657" i="6"/>
  <c r="Y657" i="6"/>
  <c r="Z657" i="6"/>
  <c r="D658" i="6"/>
  <c r="E658" i="6"/>
  <c r="F658" i="6"/>
  <c r="G658" i="6"/>
  <c r="H658" i="6"/>
  <c r="I658" i="6"/>
  <c r="J658" i="6"/>
  <c r="K658" i="6"/>
  <c r="L658" i="6"/>
  <c r="M658" i="6"/>
  <c r="N658" i="6"/>
  <c r="O658" i="6"/>
  <c r="P658" i="6"/>
  <c r="Q658" i="6"/>
  <c r="R658" i="6"/>
  <c r="S658" i="6"/>
  <c r="T658" i="6"/>
  <c r="U658" i="6"/>
  <c r="V658" i="6"/>
  <c r="W658" i="6"/>
  <c r="X658" i="6"/>
  <c r="Y658" i="6"/>
  <c r="Z658" i="6"/>
  <c r="D659" i="6"/>
  <c r="E659" i="6"/>
  <c r="F659" i="6"/>
  <c r="G659" i="6"/>
  <c r="H659" i="6"/>
  <c r="I659" i="6"/>
  <c r="J659" i="6"/>
  <c r="K659" i="6"/>
  <c r="L659" i="6"/>
  <c r="M659" i="6"/>
  <c r="N659" i="6"/>
  <c r="O659" i="6"/>
  <c r="P659" i="6"/>
  <c r="Q659" i="6"/>
  <c r="R659" i="6"/>
  <c r="S659" i="6"/>
  <c r="T659" i="6"/>
  <c r="U659" i="6"/>
  <c r="V659" i="6"/>
  <c r="W659" i="6"/>
  <c r="X659" i="6"/>
  <c r="Y659" i="6"/>
  <c r="Z659" i="6"/>
  <c r="D660" i="6"/>
  <c r="E660" i="6"/>
  <c r="F660" i="6"/>
  <c r="G660" i="6"/>
  <c r="H660" i="6"/>
  <c r="I660" i="6"/>
  <c r="J660" i="6"/>
  <c r="K660" i="6"/>
  <c r="L660" i="6"/>
  <c r="M660" i="6"/>
  <c r="N660" i="6"/>
  <c r="O660" i="6"/>
  <c r="P660" i="6"/>
  <c r="Q660" i="6"/>
  <c r="R660" i="6"/>
  <c r="S660" i="6"/>
  <c r="T660" i="6"/>
  <c r="U660" i="6"/>
  <c r="V660" i="6"/>
  <c r="W660" i="6"/>
  <c r="X660" i="6"/>
  <c r="Y660" i="6"/>
  <c r="Z660" i="6"/>
  <c r="D661" i="6"/>
  <c r="E661" i="6"/>
  <c r="F661" i="6"/>
  <c r="G661" i="6"/>
  <c r="H661" i="6"/>
  <c r="I661" i="6"/>
  <c r="J661" i="6"/>
  <c r="K661" i="6"/>
  <c r="L661" i="6"/>
  <c r="M661" i="6"/>
  <c r="N661" i="6"/>
  <c r="O661" i="6"/>
  <c r="P661" i="6"/>
  <c r="Q661" i="6"/>
  <c r="R661" i="6"/>
  <c r="S661" i="6"/>
  <c r="T661" i="6"/>
  <c r="U661" i="6"/>
  <c r="V661" i="6"/>
  <c r="W661" i="6"/>
  <c r="X661" i="6"/>
  <c r="Y661" i="6"/>
  <c r="Z661" i="6"/>
  <c r="D662" i="6"/>
  <c r="E662" i="6"/>
  <c r="F662" i="6"/>
  <c r="G662" i="6"/>
  <c r="H662" i="6"/>
  <c r="I662" i="6"/>
  <c r="J662" i="6"/>
  <c r="K662" i="6"/>
  <c r="L662" i="6"/>
  <c r="M662" i="6"/>
  <c r="N662" i="6"/>
  <c r="O662" i="6"/>
  <c r="P662" i="6"/>
  <c r="Q662" i="6"/>
  <c r="R662" i="6"/>
  <c r="S662" i="6"/>
  <c r="T662" i="6"/>
  <c r="U662" i="6"/>
  <c r="V662" i="6"/>
  <c r="W662" i="6"/>
  <c r="X662" i="6"/>
  <c r="Y662" i="6"/>
  <c r="Z662" i="6"/>
  <c r="D663" i="6"/>
  <c r="E663" i="6"/>
  <c r="F663" i="6"/>
  <c r="G663" i="6"/>
  <c r="H663" i="6"/>
  <c r="I663" i="6"/>
  <c r="J663" i="6"/>
  <c r="K663" i="6"/>
  <c r="L663" i="6"/>
  <c r="M663" i="6"/>
  <c r="N663" i="6"/>
  <c r="O663" i="6"/>
  <c r="P663" i="6"/>
  <c r="Q663" i="6"/>
  <c r="R663" i="6"/>
  <c r="S663" i="6"/>
  <c r="T663" i="6"/>
  <c r="U663" i="6"/>
  <c r="V663" i="6"/>
  <c r="W663" i="6"/>
  <c r="X663" i="6"/>
  <c r="Y663" i="6"/>
  <c r="Z663" i="6"/>
  <c r="D664" i="6"/>
  <c r="E664" i="6"/>
  <c r="F664" i="6"/>
  <c r="G664" i="6"/>
  <c r="H664" i="6"/>
  <c r="I664" i="6"/>
  <c r="J664" i="6"/>
  <c r="K664" i="6"/>
  <c r="L664" i="6"/>
  <c r="M664" i="6"/>
  <c r="N664" i="6"/>
  <c r="O664" i="6"/>
  <c r="P664" i="6"/>
  <c r="Q664" i="6"/>
  <c r="R664" i="6"/>
  <c r="S664" i="6"/>
  <c r="T664" i="6"/>
  <c r="U664" i="6"/>
  <c r="V664" i="6"/>
  <c r="W664" i="6"/>
  <c r="X664" i="6"/>
  <c r="Y664" i="6"/>
  <c r="Z664" i="6"/>
  <c r="C655" i="6"/>
  <c r="C656" i="6"/>
  <c r="C657" i="6"/>
  <c r="C658" i="6"/>
  <c r="C659" i="6"/>
  <c r="C660" i="6"/>
  <c r="C661" i="6"/>
  <c r="C662" i="6"/>
  <c r="C663" i="6"/>
  <c r="C664" i="6"/>
  <c r="DE663" i="1"/>
  <c r="DD663" i="1"/>
  <c r="DC663" i="1"/>
  <c r="DB663" i="1"/>
  <c r="DA663" i="1"/>
  <c r="CZ663" i="1"/>
  <c r="CY663" i="1"/>
  <c r="CX663" i="1"/>
  <c r="CW663" i="1"/>
  <c r="CV663" i="1"/>
  <c r="CU663" i="1"/>
  <c r="CT663" i="1"/>
  <c r="CS663" i="1"/>
  <c r="CR663" i="1"/>
  <c r="CQ663" i="1"/>
  <c r="CP663" i="1"/>
  <c r="CO663" i="1"/>
  <c r="CN663" i="1"/>
  <c r="CM663" i="1"/>
  <c r="CL663" i="1"/>
  <c r="CK663" i="1"/>
  <c r="CJ663" i="1"/>
  <c r="CI663" i="1"/>
  <c r="CH663" i="1"/>
  <c r="DE662" i="1"/>
  <c r="DD662" i="1"/>
  <c r="DC662" i="1"/>
  <c r="DB662" i="1"/>
  <c r="DA662" i="1"/>
  <c r="CZ662" i="1"/>
  <c r="CY662" i="1"/>
  <c r="CX662" i="1"/>
  <c r="CW662" i="1"/>
  <c r="CV662" i="1"/>
  <c r="CU662" i="1"/>
  <c r="CT662" i="1"/>
  <c r="CS662" i="1"/>
  <c r="CR662" i="1"/>
  <c r="CQ662" i="1"/>
  <c r="CP662" i="1"/>
  <c r="CO662" i="1"/>
  <c r="CN662" i="1"/>
  <c r="CM662" i="1"/>
  <c r="CL662" i="1"/>
  <c r="CK662" i="1"/>
  <c r="CJ662" i="1"/>
  <c r="CI662" i="1"/>
  <c r="CH662" i="1"/>
  <c r="DE661" i="1"/>
  <c r="DD661" i="1"/>
  <c r="DC661" i="1"/>
  <c r="DB661" i="1"/>
  <c r="DA661" i="1"/>
  <c r="CZ661" i="1"/>
  <c r="CY661" i="1"/>
  <c r="CX661" i="1"/>
  <c r="CW661" i="1"/>
  <c r="CV661" i="1"/>
  <c r="CU661" i="1"/>
  <c r="CT661" i="1"/>
  <c r="CS661" i="1"/>
  <c r="CR661" i="1"/>
  <c r="CQ661" i="1"/>
  <c r="CP661" i="1"/>
  <c r="CO661" i="1"/>
  <c r="CN661" i="1"/>
  <c r="CM661" i="1"/>
  <c r="CL661" i="1"/>
  <c r="CK661" i="1"/>
  <c r="CJ661" i="1"/>
  <c r="CI661" i="1"/>
  <c r="CH661" i="1"/>
  <c r="DE660" i="1"/>
  <c r="DD660" i="1"/>
  <c r="DC660" i="1"/>
  <c r="DB660" i="1"/>
  <c r="DA660" i="1"/>
  <c r="CZ660" i="1"/>
  <c r="CY660" i="1"/>
  <c r="CX660" i="1"/>
  <c r="CW660" i="1"/>
  <c r="CV660" i="1"/>
  <c r="CU660" i="1"/>
  <c r="CT660" i="1"/>
  <c r="CS660" i="1"/>
  <c r="CR660" i="1"/>
  <c r="CQ660" i="1"/>
  <c r="CP660" i="1"/>
  <c r="CO660" i="1"/>
  <c r="CN660" i="1"/>
  <c r="CM660" i="1"/>
  <c r="CL660" i="1"/>
  <c r="CK660" i="1"/>
  <c r="CJ660" i="1"/>
  <c r="CI660" i="1"/>
  <c r="CH660" i="1"/>
  <c r="DE659" i="1"/>
  <c r="DD659" i="1"/>
  <c r="DC659" i="1"/>
  <c r="DB659" i="1"/>
  <c r="DA659" i="1"/>
  <c r="CZ659" i="1"/>
  <c r="CY659" i="1"/>
  <c r="CX659" i="1"/>
  <c r="CW659" i="1"/>
  <c r="CV659" i="1"/>
  <c r="CU659" i="1"/>
  <c r="CT659" i="1"/>
  <c r="CS659" i="1"/>
  <c r="CR659" i="1"/>
  <c r="CQ659" i="1"/>
  <c r="CP659" i="1"/>
  <c r="CO659" i="1"/>
  <c r="CN659" i="1"/>
  <c r="CM659" i="1"/>
  <c r="CL659" i="1"/>
  <c r="CK659" i="1"/>
  <c r="CJ659" i="1"/>
  <c r="CI659" i="1"/>
  <c r="CH659" i="1"/>
  <c r="DE658" i="1"/>
  <c r="DD658" i="1"/>
  <c r="DC658" i="1"/>
  <c r="DB658" i="1"/>
  <c r="DA658" i="1"/>
  <c r="CZ658" i="1"/>
  <c r="CY658" i="1"/>
  <c r="CX658" i="1"/>
  <c r="CW658" i="1"/>
  <c r="CV658" i="1"/>
  <c r="CU658" i="1"/>
  <c r="CT658" i="1"/>
  <c r="CS658" i="1"/>
  <c r="CR658" i="1"/>
  <c r="CQ658" i="1"/>
  <c r="CP658" i="1"/>
  <c r="CO658" i="1"/>
  <c r="CN658" i="1"/>
  <c r="CM658" i="1"/>
  <c r="CL658" i="1"/>
  <c r="CK658" i="1"/>
  <c r="CJ658" i="1"/>
  <c r="CI658" i="1"/>
  <c r="CH658" i="1"/>
  <c r="DE657" i="1"/>
  <c r="DD657" i="1"/>
  <c r="DC657" i="1"/>
  <c r="DB657" i="1"/>
  <c r="DA657" i="1"/>
  <c r="CZ657" i="1"/>
  <c r="CY657" i="1"/>
  <c r="CX657" i="1"/>
  <c r="CW657" i="1"/>
  <c r="CV657" i="1"/>
  <c r="CU657" i="1"/>
  <c r="CT657" i="1"/>
  <c r="CS657" i="1"/>
  <c r="CR657" i="1"/>
  <c r="CQ657" i="1"/>
  <c r="CP657" i="1"/>
  <c r="CO657" i="1"/>
  <c r="CN657" i="1"/>
  <c r="CM657" i="1"/>
  <c r="CL657" i="1"/>
  <c r="CK657" i="1"/>
  <c r="CJ657" i="1"/>
  <c r="CI657" i="1"/>
  <c r="CH657" i="1"/>
  <c r="DE656" i="1"/>
  <c r="DD656" i="1"/>
  <c r="DC656" i="1"/>
  <c r="DB656" i="1"/>
  <c r="DA656" i="1"/>
  <c r="CZ656" i="1"/>
  <c r="CY656" i="1"/>
  <c r="CX656" i="1"/>
  <c r="CW656" i="1"/>
  <c r="CV656" i="1"/>
  <c r="CU656" i="1"/>
  <c r="CT656" i="1"/>
  <c r="CS656" i="1"/>
  <c r="CR656" i="1"/>
  <c r="CQ656" i="1"/>
  <c r="CP656" i="1"/>
  <c r="CO656" i="1"/>
  <c r="CN656" i="1"/>
  <c r="CM656" i="1"/>
  <c r="CL656" i="1"/>
  <c r="CK656" i="1"/>
  <c r="CJ656" i="1"/>
  <c r="CI656" i="1"/>
  <c r="CH656" i="1"/>
  <c r="DE655" i="1"/>
  <c r="DD655" i="1"/>
  <c r="DC655" i="1"/>
  <c r="DB655" i="1"/>
  <c r="DA655" i="1"/>
  <c r="CZ655" i="1"/>
  <c r="CY655" i="1"/>
  <c r="CX655" i="1"/>
  <c r="CW655" i="1"/>
  <c r="CV655" i="1"/>
  <c r="CU655" i="1"/>
  <c r="CT655" i="1"/>
  <c r="CS655" i="1"/>
  <c r="CR655" i="1"/>
  <c r="CQ655" i="1"/>
  <c r="CP655" i="1"/>
  <c r="CO655" i="1"/>
  <c r="CN655" i="1"/>
  <c r="CM655" i="1"/>
  <c r="CL655" i="1"/>
  <c r="CK655" i="1"/>
  <c r="CJ655" i="1"/>
  <c r="CI655" i="1"/>
  <c r="CH655" i="1"/>
  <c r="DE654" i="1"/>
  <c r="DD654" i="1"/>
  <c r="DC654" i="1"/>
  <c r="DB654" i="1"/>
  <c r="DA654" i="1"/>
  <c r="CZ654" i="1"/>
  <c r="CY654" i="1"/>
  <c r="CX654" i="1"/>
  <c r="CW654" i="1"/>
  <c r="CV654" i="1"/>
  <c r="CU654" i="1"/>
  <c r="CT654" i="1"/>
  <c r="CS654" i="1"/>
  <c r="CR654" i="1"/>
  <c r="CQ654" i="1"/>
  <c r="CP654" i="1"/>
  <c r="CO654" i="1"/>
  <c r="CN654" i="1"/>
  <c r="CM654" i="1"/>
  <c r="CL654" i="1"/>
  <c r="CK654" i="1"/>
  <c r="CJ654" i="1"/>
  <c r="CI654" i="1"/>
  <c r="CH654" i="1"/>
  <c r="DE653" i="1"/>
  <c r="DD653" i="1"/>
  <c r="DC653" i="1"/>
  <c r="DB653" i="1"/>
  <c r="DA653" i="1"/>
  <c r="CZ653" i="1"/>
  <c r="CY653" i="1"/>
  <c r="CX653" i="1"/>
  <c r="CW653" i="1"/>
  <c r="CV653" i="1"/>
  <c r="CU653" i="1"/>
  <c r="CT653" i="1"/>
  <c r="CS653" i="1"/>
  <c r="CR653" i="1"/>
  <c r="CQ653" i="1"/>
  <c r="CP653" i="1"/>
  <c r="CO653" i="1"/>
  <c r="CN653" i="1"/>
  <c r="CM653" i="1"/>
  <c r="CL653" i="1"/>
  <c r="CK653" i="1"/>
  <c r="CJ653" i="1"/>
  <c r="CI653" i="1"/>
  <c r="CH653" i="1"/>
  <c r="A3" i="6"/>
  <c r="B3" i="6"/>
  <c r="C3" i="6"/>
  <c r="D3" i="6"/>
  <c r="E3" i="6"/>
  <c r="F3" i="6"/>
  <c r="A4" i="6"/>
  <c r="B4" i="6"/>
  <c r="C4" i="6"/>
  <c r="D4" i="6"/>
  <c r="E4" i="6"/>
  <c r="F4" i="6"/>
  <c r="A5" i="6"/>
  <c r="B5" i="6"/>
  <c r="C5" i="6"/>
  <c r="D5" i="6"/>
  <c r="E5" i="6"/>
  <c r="F5" i="6"/>
  <c r="A6" i="6"/>
  <c r="B6" i="6"/>
  <c r="C6" i="6"/>
  <c r="D6" i="6"/>
  <c r="E6" i="6"/>
  <c r="F6" i="6"/>
  <c r="A7" i="6"/>
  <c r="B7" i="6"/>
  <c r="D7" i="6"/>
  <c r="E7" i="6"/>
  <c r="F7" i="6"/>
  <c r="A8" i="6"/>
  <c r="B8" i="6"/>
  <c r="D8" i="6"/>
  <c r="E8" i="6"/>
  <c r="F8" i="6"/>
  <c r="A9" i="6"/>
  <c r="B9" i="6"/>
  <c r="C9" i="6"/>
  <c r="D9" i="6"/>
  <c r="E9" i="6"/>
  <c r="F9" i="6"/>
  <c r="A10" i="6"/>
  <c r="B10" i="6"/>
  <c r="C10" i="6"/>
  <c r="D10" i="6"/>
  <c r="E10" i="6"/>
  <c r="F10" i="6"/>
  <c r="A11" i="6"/>
  <c r="B11" i="6"/>
  <c r="C11" i="6"/>
  <c r="D11" i="6"/>
  <c r="E11" i="6"/>
  <c r="F11" i="6"/>
  <c r="A12" i="6"/>
  <c r="B12" i="6"/>
  <c r="C12" i="6"/>
  <c r="D12" i="6"/>
  <c r="E12" i="6"/>
  <c r="F12" i="6"/>
  <c r="A13" i="6"/>
  <c r="B13" i="6"/>
  <c r="C13" i="6"/>
  <c r="D13" i="6"/>
  <c r="E13" i="6"/>
  <c r="F13" i="6"/>
  <c r="A14" i="6"/>
  <c r="B14" i="6"/>
  <c r="C14" i="6"/>
  <c r="D14" i="6"/>
  <c r="E14" i="6"/>
  <c r="F14" i="6"/>
  <c r="A15" i="6"/>
  <c r="B15" i="6"/>
  <c r="C15" i="6"/>
  <c r="D15" i="6"/>
  <c r="E15" i="6"/>
  <c r="F15" i="6"/>
  <c r="A16" i="6"/>
  <c r="B16" i="6"/>
  <c r="C16" i="6"/>
  <c r="D16" i="6"/>
  <c r="E16" i="6"/>
  <c r="F16" i="6"/>
  <c r="A17" i="6"/>
  <c r="B17" i="6"/>
  <c r="C17" i="6"/>
  <c r="D17" i="6"/>
  <c r="E17" i="6"/>
  <c r="F17" i="6"/>
  <c r="A18" i="6"/>
  <c r="B18" i="6"/>
  <c r="C18" i="6"/>
  <c r="D18" i="6"/>
  <c r="E18" i="6"/>
  <c r="F18" i="6"/>
  <c r="A19" i="6"/>
  <c r="B19" i="6"/>
  <c r="C19" i="6"/>
  <c r="D19" i="6"/>
  <c r="E19" i="6"/>
  <c r="F19" i="6"/>
  <c r="A20" i="6"/>
  <c r="B20" i="6"/>
  <c r="D20" i="6"/>
  <c r="E20" i="6"/>
  <c r="F20" i="6"/>
  <c r="A21" i="6"/>
  <c r="B21" i="6"/>
  <c r="C21" i="6"/>
  <c r="D21" i="6"/>
  <c r="E21" i="6"/>
  <c r="F21" i="6"/>
  <c r="A22" i="6"/>
  <c r="B22" i="6"/>
  <c r="C22" i="6"/>
  <c r="D22" i="6"/>
  <c r="E22" i="6"/>
  <c r="F22" i="6"/>
  <c r="A23" i="6"/>
  <c r="B23" i="6"/>
  <c r="C23" i="6"/>
  <c r="D23" i="6"/>
  <c r="E23" i="6"/>
  <c r="F23" i="6"/>
  <c r="A24" i="6"/>
  <c r="B24" i="6"/>
  <c r="C24" i="6"/>
  <c r="D24" i="6"/>
  <c r="E24" i="6"/>
  <c r="F24" i="6"/>
  <c r="A25" i="6"/>
  <c r="B25" i="6"/>
  <c r="D25" i="6"/>
  <c r="E25" i="6"/>
  <c r="F25" i="6"/>
  <c r="A26" i="6"/>
  <c r="B26" i="6"/>
  <c r="C26" i="6"/>
  <c r="D26" i="6"/>
  <c r="E26" i="6"/>
  <c r="F26" i="6"/>
  <c r="A27" i="6"/>
  <c r="B27" i="6"/>
  <c r="C27" i="6"/>
  <c r="D27" i="6"/>
  <c r="E27" i="6"/>
  <c r="F27" i="6"/>
  <c r="A28" i="6"/>
  <c r="B28" i="6"/>
  <c r="C28" i="6"/>
  <c r="D28" i="6"/>
  <c r="E28" i="6"/>
  <c r="F28" i="6"/>
  <c r="A29" i="6"/>
  <c r="B29" i="6"/>
  <c r="C29" i="6"/>
  <c r="D29" i="6"/>
  <c r="E29" i="6"/>
  <c r="F29" i="6"/>
  <c r="A30" i="6"/>
  <c r="B30" i="6"/>
  <c r="C30" i="6"/>
  <c r="D30" i="6"/>
  <c r="E30" i="6"/>
  <c r="F30" i="6"/>
  <c r="A31" i="6"/>
  <c r="B31" i="6"/>
  <c r="C31" i="6"/>
  <c r="D31" i="6"/>
  <c r="E31" i="6"/>
  <c r="F31" i="6"/>
  <c r="A32" i="6"/>
  <c r="B32" i="6"/>
  <c r="C32" i="6"/>
  <c r="D32" i="6"/>
  <c r="E32" i="6"/>
  <c r="F32" i="6"/>
  <c r="A33" i="6"/>
  <c r="B33" i="6"/>
  <c r="C33" i="6"/>
  <c r="D33" i="6"/>
  <c r="E33" i="6"/>
  <c r="F33" i="6"/>
  <c r="A34" i="6"/>
  <c r="B34" i="6"/>
  <c r="C34" i="6"/>
  <c r="D34" i="6"/>
  <c r="E34" i="6"/>
  <c r="F34" i="6"/>
  <c r="A35" i="6"/>
  <c r="B35" i="6"/>
  <c r="C35" i="6"/>
  <c r="D35" i="6"/>
  <c r="E35" i="6"/>
  <c r="F35" i="6"/>
  <c r="A36" i="6"/>
  <c r="B36" i="6"/>
  <c r="C36" i="6"/>
  <c r="D36" i="6"/>
  <c r="E36" i="6"/>
  <c r="F36" i="6"/>
  <c r="A37" i="6"/>
  <c r="B37" i="6"/>
  <c r="C37" i="6"/>
  <c r="D37" i="6"/>
  <c r="E37" i="6"/>
  <c r="F37" i="6"/>
  <c r="A38" i="6"/>
  <c r="B38" i="6"/>
  <c r="C38" i="6"/>
  <c r="D38" i="6"/>
  <c r="E38" i="6"/>
  <c r="F38" i="6"/>
  <c r="A39" i="6"/>
  <c r="B39" i="6"/>
  <c r="C39" i="6"/>
  <c r="D39" i="6"/>
  <c r="E39" i="6"/>
  <c r="F39" i="6"/>
  <c r="A40" i="6"/>
  <c r="B40" i="6"/>
  <c r="C40" i="6"/>
  <c r="D40" i="6"/>
  <c r="E40" i="6"/>
  <c r="F40" i="6"/>
  <c r="A41" i="6"/>
  <c r="B41" i="6"/>
  <c r="C41" i="6"/>
  <c r="D41" i="6"/>
  <c r="E41" i="6"/>
  <c r="F41" i="6"/>
  <c r="A42" i="6"/>
  <c r="B42" i="6"/>
  <c r="C42" i="6"/>
  <c r="D42" i="6"/>
  <c r="E42" i="6"/>
  <c r="F42" i="6"/>
  <c r="A43" i="6"/>
  <c r="B43" i="6"/>
  <c r="C43" i="6"/>
  <c r="D43" i="6"/>
  <c r="E43" i="6"/>
  <c r="F43" i="6"/>
  <c r="A44" i="6"/>
  <c r="B44" i="6"/>
  <c r="C44" i="6"/>
  <c r="D44" i="6"/>
  <c r="E44" i="6"/>
  <c r="F44" i="6"/>
  <c r="A45" i="6"/>
  <c r="B45" i="6"/>
  <c r="C45" i="6"/>
  <c r="D45" i="6"/>
  <c r="E45" i="6"/>
  <c r="F45" i="6"/>
  <c r="A46" i="6"/>
  <c r="B46" i="6"/>
  <c r="C46" i="6"/>
  <c r="D46" i="6"/>
  <c r="E46" i="6"/>
  <c r="F46" i="6"/>
  <c r="A47" i="6"/>
  <c r="B47" i="6"/>
  <c r="C47" i="6"/>
  <c r="D47" i="6"/>
  <c r="E47" i="6"/>
  <c r="F47" i="6"/>
  <c r="A48" i="6"/>
  <c r="B48" i="6"/>
  <c r="C48" i="6"/>
  <c r="D48" i="6"/>
  <c r="E48" i="6"/>
  <c r="F48" i="6"/>
  <c r="A49" i="6"/>
  <c r="B49" i="6"/>
  <c r="C49" i="6"/>
  <c r="D49" i="6"/>
  <c r="E49" i="6"/>
  <c r="F49" i="6"/>
  <c r="A50" i="6"/>
  <c r="B50" i="6"/>
  <c r="C50" i="6"/>
  <c r="D50" i="6"/>
  <c r="E50" i="6"/>
  <c r="F50" i="6"/>
  <c r="A51" i="6"/>
  <c r="B51" i="6"/>
  <c r="C51" i="6"/>
  <c r="D51" i="6"/>
  <c r="E51" i="6"/>
  <c r="F51" i="6"/>
  <c r="A52" i="6"/>
  <c r="B52" i="6"/>
  <c r="C52" i="6"/>
  <c r="D52" i="6"/>
  <c r="E52" i="6"/>
  <c r="F52" i="6"/>
  <c r="A53" i="6"/>
  <c r="B53" i="6"/>
  <c r="C53" i="6"/>
  <c r="D53" i="6"/>
  <c r="E53" i="6"/>
  <c r="F53" i="6"/>
  <c r="A54" i="6"/>
  <c r="B54" i="6"/>
  <c r="C54" i="6"/>
  <c r="D54" i="6"/>
  <c r="E54" i="6"/>
  <c r="F54" i="6"/>
  <c r="A55" i="6"/>
  <c r="B55" i="6"/>
  <c r="C55" i="6"/>
  <c r="D55" i="6"/>
  <c r="E55" i="6"/>
  <c r="F55" i="6"/>
  <c r="A56" i="6"/>
  <c r="B56" i="6"/>
  <c r="C56" i="6"/>
  <c r="D56" i="6"/>
  <c r="E56" i="6"/>
  <c r="F56" i="6"/>
  <c r="A57" i="6"/>
  <c r="B57" i="6"/>
  <c r="C57" i="6"/>
  <c r="D57" i="6"/>
  <c r="E57" i="6"/>
  <c r="F57" i="6"/>
  <c r="A58" i="6"/>
  <c r="B58" i="6"/>
  <c r="C58" i="6"/>
  <c r="D58" i="6"/>
  <c r="E58" i="6"/>
  <c r="F58" i="6"/>
  <c r="A59" i="6"/>
  <c r="B59" i="6"/>
  <c r="C59" i="6"/>
  <c r="D59" i="6"/>
  <c r="E59" i="6"/>
  <c r="F59" i="6"/>
  <c r="A60" i="6"/>
  <c r="B60" i="6"/>
  <c r="C60" i="6"/>
  <c r="D60" i="6"/>
  <c r="E60" i="6"/>
  <c r="F60" i="6"/>
  <c r="A61" i="6"/>
  <c r="B61" i="6"/>
  <c r="C61" i="6"/>
  <c r="D61" i="6"/>
  <c r="E61" i="6"/>
  <c r="F61" i="6"/>
  <c r="A62" i="6"/>
  <c r="B62" i="6"/>
  <c r="C62" i="6"/>
  <c r="D62" i="6"/>
  <c r="E62" i="6"/>
  <c r="F62" i="6"/>
  <c r="A63" i="6"/>
  <c r="B63" i="6"/>
  <c r="C63" i="6"/>
  <c r="D63" i="6"/>
  <c r="E63" i="6"/>
  <c r="F63" i="6"/>
  <c r="A64" i="6"/>
  <c r="B64" i="6"/>
  <c r="C64" i="6"/>
  <c r="D64" i="6"/>
  <c r="E64" i="6"/>
  <c r="F64" i="6"/>
  <c r="A65" i="6"/>
  <c r="B65" i="6"/>
  <c r="C65" i="6"/>
  <c r="D65" i="6"/>
  <c r="E65" i="6"/>
  <c r="F65" i="6"/>
  <c r="A66" i="6"/>
  <c r="B66" i="6"/>
  <c r="C66" i="6"/>
  <c r="D66" i="6"/>
  <c r="E66" i="6"/>
  <c r="F66" i="6"/>
  <c r="A67" i="6"/>
  <c r="B67" i="6"/>
  <c r="C67" i="6"/>
  <c r="D67" i="6"/>
  <c r="E67" i="6"/>
  <c r="F67" i="6"/>
  <c r="A68" i="6"/>
  <c r="B68" i="6"/>
  <c r="C68" i="6"/>
  <c r="D68" i="6"/>
  <c r="E68" i="6"/>
  <c r="F68" i="6"/>
  <c r="A69" i="6"/>
  <c r="B69" i="6"/>
  <c r="C69" i="6"/>
  <c r="D69" i="6"/>
  <c r="E69" i="6"/>
  <c r="F69" i="6"/>
  <c r="A70" i="6"/>
  <c r="B70" i="6"/>
  <c r="C70" i="6"/>
  <c r="D70" i="6"/>
  <c r="E70" i="6"/>
  <c r="F70" i="6"/>
  <c r="A71" i="6"/>
  <c r="B71" i="6"/>
  <c r="C71" i="6"/>
  <c r="D71" i="6"/>
  <c r="E71" i="6"/>
  <c r="F71" i="6"/>
  <c r="A72" i="6"/>
  <c r="B72" i="6"/>
  <c r="C72" i="6"/>
  <c r="D72" i="6"/>
  <c r="E72" i="6"/>
  <c r="F72" i="6"/>
  <c r="A73" i="6"/>
  <c r="B73" i="6"/>
  <c r="C73" i="6"/>
  <c r="D73" i="6"/>
  <c r="E73" i="6"/>
  <c r="F73" i="6"/>
  <c r="A74" i="6"/>
  <c r="B74" i="6"/>
  <c r="C74" i="6"/>
  <c r="D74" i="6"/>
  <c r="E74" i="6"/>
  <c r="F74" i="6"/>
  <c r="A75" i="6"/>
  <c r="B75" i="6"/>
  <c r="C75" i="6"/>
  <c r="D75" i="6"/>
  <c r="E75" i="6"/>
  <c r="F75" i="6"/>
  <c r="A76" i="6"/>
  <c r="B76" i="6"/>
  <c r="C76" i="6"/>
  <c r="D76" i="6"/>
  <c r="E76" i="6"/>
  <c r="F76" i="6"/>
  <c r="A77" i="6"/>
  <c r="B77" i="6"/>
  <c r="C77" i="6"/>
  <c r="D77" i="6"/>
  <c r="E77" i="6"/>
  <c r="F77" i="6"/>
  <c r="A78" i="6"/>
  <c r="B78" i="6"/>
  <c r="C78" i="6"/>
  <c r="D78" i="6"/>
  <c r="E78" i="6"/>
  <c r="F78" i="6"/>
  <c r="A79" i="6"/>
  <c r="B79" i="6"/>
  <c r="C79" i="6"/>
  <c r="D79" i="6"/>
  <c r="E79" i="6"/>
  <c r="F79" i="6"/>
  <c r="A80" i="6"/>
  <c r="B80" i="6"/>
  <c r="C80" i="6"/>
  <c r="D80" i="6"/>
  <c r="E80" i="6"/>
  <c r="F80" i="6"/>
  <c r="A81" i="6"/>
  <c r="B81" i="6"/>
  <c r="C81" i="6"/>
  <c r="D81" i="6"/>
  <c r="E81" i="6"/>
  <c r="F81" i="6"/>
  <c r="A82" i="6"/>
  <c r="B82" i="6"/>
  <c r="C82" i="6"/>
  <c r="D82" i="6"/>
  <c r="E82" i="6"/>
  <c r="F82" i="6"/>
  <c r="A83" i="6"/>
  <c r="B83" i="6"/>
  <c r="C83" i="6"/>
  <c r="D83" i="6"/>
  <c r="E83" i="6"/>
  <c r="F83" i="6"/>
  <c r="A84" i="6"/>
  <c r="B84" i="6"/>
  <c r="C84" i="6"/>
  <c r="D84" i="6"/>
  <c r="E84" i="6"/>
  <c r="F84" i="6"/>
  <c r="A85" i="6"/>
  <c r="B85" i="6"/>
  <c r="C85" i="6"/>
  <c r="D85" i="6"/>
  <c r="E85" i="6"/>
  <c r="F85" i="6"/>
  <c r="A86" i="6"/>
  <c r="B86" i="6"/>
  <c r="C86" i="6"/>
  <c r="D86" i="6"/>
  <c r="E86" i="6"/>
  <c r="F86" i="6"/>
  <c r="A87" i="6"/>
  <c r="B87" i="6"/>
  <c r="C87" i="6"/>
  <c r="D87" i="6"/>
  <c r="E87" i="6"/>
  <c r="F87" i="6"/>
  <c r="A88" i="6"/>
  <c r="B88" i="6"/>
  <c r="C88" i="6"/>
  <c r="D88" i="6"/>
  <c r="E88" i="6"/>
  <c r="F88" i="6"/>
  <c r="A89" i="6"/>
  <c r="B89" i="6"/>
  <c r="C89" i="6"/>
  <c r="D89" i="6"/>
  <c r="E89" i="6"/>
  <c r="F89" i="6"/>
  <c r="A90" i="6"/>
  <c r="B90" i="6"/>
  <c r="C90" i="6"/>
  <c r="D90" i="6"/>
  <c r="E90" i="6"/>
  <c r="F90" i="6"/>
  <c r="A91" i="6"/>
  <c r="B91" i="6"/>
  <c r="C91" i="6"/>
  <c r="D91" i="6"/>
  <c r="E91" i="6"/>
  <c r="F91" i="6"/>
  <c r="A92" i="6"/>
  <c r="B92" i="6"/>
  <c r="C92" i="6"/>
  <c r="D92" i="6"/>
  <c r="E92" i="6"/>
  <c r="F92" i="6"/>
  <c r="A93" i="6"/>
  <c r="B93" i="6"/>
  <c r="C93" i="6"/>
  <c r="D93" i="6"/>
  <c r="E93" i="6"/>
  <c r="F93" i="6"/>
  <c r="A94" i="6"/>
  <c r="B94" i="6"/>
  <c r="C94" i="6"/>
  <c r="D94" i="6"/>
  <c r="E94" i="6"/>
  <c r="F94" i="6"/>
  <c r="A95" i="6"/>
  <c r="B95" i="6"/>
  <c r="C95" i="6"/>
  <c r="D95" i="6"/>
  <c r="E95" i="6"/>
  <c r="F95" i="6"/>
  <c r="A96" i="6"/>
  <c r="B96" i="6"/>
  <c r="C96" i="6"/>
  <c r="D96" i="6"/>
  <c r="E96" i="6"/>
  <c r="F96" i="6"/>
  <c r="A97" i="6"/>
  <c r="B97" i="6"/>
  <c r="C97" i="6"/>
  <c r="D97" i="6"/>
  <c r="E97" i="6"/>
  <c r="F97" i="6"/>
  <c r="A98" i="6"/>
  <c r="B98" i="6"/>
  <c r="C98" i="6"/>
  <c r="D98" i="6"/>
  <c r="E98" i="6"/>
  <c r="F98" i="6"/>
  <c r="A99" i="6"/>
  <c r="B99" i="6"/>
  <c r="C99" i="6"/>
  <c r="D99" i="6"/>
  <c r="E99" i="6"/>
  <c r="F99" i="6"/>
  <c r="A100" i="6"/>
  <c r="B100" i="6"/>
  <c r="C100" i="6"/>
  <c r="D100" i="6"/>
  <c r="E100" i="6"/>
  <c r="F100" i="6"/>
  <c r="A101" i="6"/>
  <c r="B101" i="6"/>
  <c r="C101" i="6"/>
  <c r="D101" i="6"/>
  <c r="E101" i="6"/>
  <c r="F101" i="6"/>
  <c r="A102" i="6"/>
  <c r="B102" i="6"/>
  <c r="C102" i="6"/>
  <c r="D102" i="6"/>
  <c r="E102" i="6"/>
  <c r="F102" i="6"/>
  <c r="A103" i="6"/>
  <c r="B103" i="6"/>
  <c r="C103" i="6"/>
  <c r="D103" i="6"/>
  <c r="E103" i="6"/>
  <c r="F103" i="6"/>
  <c r="A104" i="6"/>
  <c r="B104" i="6"/>
  <c r="C104" i="6"/>
  <c r="D104" i="6"/>
  <c r="E104" i="6"/>
  <c r="F104" i="6"/>
  <c r="A105" i="6"/>
  <c r="B105" i="6"/>
  <c r="C105" i="6"/>
  <c r="D105" i="6"/>
  <c r="E105" i="6"/>
  <c r="F105" i="6"/>
  <c r="A106" i="6"/>
  <c r="B106" i="6"/>
  <c r="C106" i="6"/>
  <c r="D106" i="6"/>
  <c r="E106" i="6"/>
  <c r="F106" i="6"/>
  <c r="A107" i="6"/>
  <c r="B107" i="6"/>
  <c r="C107" i="6"/>
  <c r="D107" i="6"/>
  <c r="E107" i="6"/>
  <c r="F107" i="6"/>
  <c r="A108" i="6"/>
  <c r="B108" i="6"/>
  <c r="C108" i="6"/>
  <c r="D108" i="6"/>
  <c r="E108" i="6"/>
  <c r="F108" i="6"/>
  <c r="A109" i="6"/>
  <c r="B109" i="6"/>
  <c r="C109" i="6"/>
  <c r="D109" i="6"/>
  <c r="E109" i="6"/>
  <c r="F109" i="6"/>
  <c r="A110" i="6"/>
  <c r="B110" i="6"/>
  <c r="C110" i="6"/>
  <c r="D110" i="6"/>
  <c r="E110" i="6"/>
  <c r="F110" i="6"/>
  <c r="A111" i="6"/>
  <c r="B111" i="6"/>
  <c r="C111" i="6"/>
  <c r="D111" i="6"/>
  <c r="E111" i="6"/>
  <c r="F111" i="6"/>
  <c r="A112" i="6"/>
  <c r="B112" i="6"/>
  <c r="C112" i="6"/>
  <c r="D112" i="6"/>
  <c r="E112" i="6"/>
  <c r="F112" i="6"/>
  <c r="A113" i="6"/>
  <c r="B113" i="6"/>
  <c r="C113" i="6"/>
  <c r="D113" i="6"/>
  <c r="E113" i="6"/>
  <c r="F113" i="6"/>
  <c r="A114" i="6"/>
  <c r="B114" i="6"/>
  <c r="C114" i="6"/>
  <c r="D114" i="6"/>
  <c r="E114" i="6"/>
  <c r="F114" i="6"/>
  <c r="A115" i="6"/>
  <c r="B115" i="6"/>
  <c r="C115" i="6"/>
  <c r="D115" i="6"/>
  <c r="E115" i="6"/>
  <c r="F115" i="6"/>
  <c r="A116" i="6"/>
  <c r="B116" i="6"/>
  <c r="C116" i="6"/>
  <c r="D116" i="6"/>
  <c r="E116" i="6"/>
  <c r="F116" i="6"/>
  <c r="A117" i="6"/>
  <c r="B117" i="6"/>
  <c r="C117" i="6"/>
  <c r="D117" i="6"/>
  <c r="E117" i="6"/>
  <c r="F117" i="6"/>
  <c r="A118" i="6"/>
  <c r="B118" i="6"/>
  <c r="C118" i="6"/>
  <c r="D118" i="6"/>
  <c r="E118" i="6"/>
  <c r="F118" i="6"/>
  <c r="A119" i="6"/>
  <c r="B119" i="6"/>
  <c r="C119" i="6"/>
  <c r="D119" i="6"/>
  <c r="E119" i="6"/>
  <c r="F119" i="6"/>
  <c r="A120" i="6"/>
  <c r="B120" i="6"/>
  <c r="C120" i="6"/>
  <c r="D120" i="6"/>
  <c r="E120" i="6"/>
  <c r="F120" i="6"/>
  <c r="A121" i="6"/>
  <c r="B121" i="6"/>
  <c r="C121" i="6"/>
  <c r="D121" i="6"/>
  <c r="E121" i="6"/>
  <c r="F121" i="6"/>
  <c r="A122" i="6"/>
  <c r="B122" i="6"/>
  <c r="C122" i="6"/>
  <c r="D122" i="6"/>
  <c r="E122" i="6"/>
  <c r="F122" i="6"/>
  <c r="A123" i="6"/>
  <c r="B123" i="6"/>
  <c r="C123" i="6"/>
  <c r="D123" i="6"/>
  <c r="E123" i="6"/>
  <c r="F123" i="6"/>
  <c r="A124" i="6"/>
  <c r="B124" i="6"/>
  <c r="C124" i="6"/>
  <c r="D124" i="6"/>
  <c r="E124" i="6"/>
  <c r="F124" i="6"/>
  <c r="A125" i="6"/>
  <c r="B125" i="6"/>
  <c r="C125" i="6"/>
  <c r="D125" i="6"/>
  <c r="E125" i="6"/>
  <c r="F125" i="6"/>
  <c r="A126" i="6"/>
  <c r="B126" i="6"/>
  <c r="C126" i="6"/>
  <c r="D126" i="6"/>
  <c r="E126" i="6"/>
  <c r="F126" i="6"/>
  <c r="A127" i="6"/>
  <c r="B127" i="6"/>
  <c r="C127" i="6"/>
  <c r="D127" i="6"/>
  <c r="E127" i="6"/>
  <c r="F127" i="6"/>
  <c r="A128" i="6"/>
  <c r="B128" i="6"/>
  <c r="C128" i="6"/>
  <c r="D128" i="6"/>
  <c r="E128" i="6"/>
  <c r="F128" i="6"/>
  <c r="A129" i="6"/>
  <c r="B129" i="6"/>
  <c r="C129" i="6"/>
  <c r="D129" i="6"/>
  <c r="E129" i="6"/>
  <c r="F129" i="6"/>
  <c r="A130" i="6"/>
  <c r="B130" i="6"/>
  <c r="C130" i="6"/>
  <c r="D130" i="6"/>
  <c r="E130" i="6"/>
  <c r="F130" i="6"/>
  <c r="A131" i="6"/>
  <c r="B131" i="6"/>
  <c r="C131" i="6"/>
  <c r="D131" i="6"/>
  <c r="E131" i="6"/>
  <c r="F131" i="6"/>
  <c r="A132" i="6"/>
  <c r="B132" i="6"/>
  <c r="C132" i="6"/>
  <c r="D132" i="6"/>
  <c r="E132" i="6"/>
  <c r="F132" i="6"/>
  <c r="A133" i="6"/>
  <c r="B133" i="6"/>
  <c r="C133" i="6"/>
  <c r="D133" i="6"/>
  <c r="E133" i="6"/>
  <c r="F133" i="6"/>
  <c r="A134" i="6"/>
  <c r="B134" i="6"/>
  <c r="C134" i="6"/>
  <c r="D134" i="6"/>
  <c r="E134" i="6"/>
  <c r="F134" i="6"/>
  <c r="A135" i="6"/>
  <c r="B135" i="6"/>
  <c r="C135" i="6"/>
  <c r="D135" i="6"/>
  <c r="E135" i="6"/>
  <c r="F135" i="6"/>
  <c r="A136" i="6"/>
  <c r="B136" i="6"/>
  <c r="C136" i="6"/>
  <c r="D136" i="6"/>
  <c r="E136" i="6"/>
  <c r="F136" i="6"/>
  <c r="A137" i="6"/>
  <c r="B137" i="6"/>
  <c r="C137" i="6"/>
  <c r="D137" i="6"/>
  <c r="E137" i="6"/>
  <c r="F137" i="6"/>
  <c r="A138" i="6"/>
  <c r="B138" i="6"/>
  <c r="C138" i="6"/>
  <c r="D138" i="6"/>
  <c r="E138" i="6"/>
  <c r="F138" i="6"/>
  <c r="A139" i="6"/>
  <c r="B139" i="6"/>
  <c r="C139" i="6"/>
  <c r="D139" i="6"/>
  <c r="E139" i="6"/>
  <c r="F139" i="6"/>
  <c r="A140" i="6"/>
  <c r="B140" i="6"/>
  <c r="C140" i="6"/>
  <c r="D140" i="6"/>
  <c r="E140" i="6"/>
  <c r="F140" i="6"/>
  <c r="A141" i="6"/>
  <c r="B141" i="6"/>
  <c r="C141" i="6"/>
  <c r="D141" i="6"/>
  <c r="E141" i="6"/>
  <c r="F141" i="6"/>
  <c r="A142" i="6"/>
  <c r="B142" i="6"/>
  <c r="C142" i="6"/>
  <c r="D142" i="6"/>
  <c r="E142" i="6"/>
  <c r="F142" i="6"/>
  <c r="A143" i="6"/>
  <c r="B143" i="6"/>
  <c r="C143" i="6"/>
  <c r="D143" i="6"/>
  <c r="E143" i="6"/>
  <c r="F143" i="6"/>
  <c r="A144" i="6"/>
  <c r="B144" i="6"/>
  <c r="C144" i="6"/>
  <c r="D144" i="6"/>
  <c r="E144" i="6"/>
  <c r="F144" i="6"/>
  <c r="A145" i="6"/>
  <c r="B145" i="6"/>
  <c r="C145" i="6"/>
  <c r="D145" i="6"/>
  <c r="E145" i="6"/>
  <c r="F145" i="6"/>
  <c r="A146" i="6"/>
  <c r="B146" i="6"/>
  <c r="C146" i="6"/>
  <c r="D146" i="6"/>
  <c r="E146" i="6"/>
  <c r="F146" i="6"/>
  <c r="A147" i="6"/>
  <c r="B147" i="6"/>
  <c r="C147" i="6"/>
  <c r="D147" i="6"/>
  <c r="E147" i="6"/>
  <c r="F147" i="6"/>
  <c r="A148" i="6"/>
  <c r="B148" i="6"/>
  <c r="C148" i="6"/>
  <c r="D148" i="6"/>
  <c r="E148" i="6"/>
  <c r="F148" i="6"/>
  <c r="A149" i="6"/>
  <c r="B149" i="6"/>
  <c r="C149" i="6"/>
  <c r="D149" i="6"/>
  <c r="E149" i="6"/>
  <c r="F149" i="6"/>
  <c r="A150" i="6"/>
  <c r="B150" i="6"/>
  <c r="C150" i="6"/>
  <c r="D150" i="6"/>
  <c r="E150" i="6"/>
  <c r="F150" i="6"/>
  <c r="A151" i="6"/>
  <c r="B151" i="6"/>
  <c r="C151" i="6"/>
  <c r="D151" i="6"/>
  <c r="E151" i="6"/>
  <c r="F151" i="6"/>
  <c r="A152" i="6"/>
  <c r="B152" i="6"/>
  <c r="C152" i="6"/>
  <c r="D152" i="6"/>
  <c r="E152" i="6"/>
  <c r="F152" i="6"/>
  <c r="A153" i="6"/>
  <c r="B153" i="6"/>
  <c r="C153" i="6"/>
  <c r="D153" i="6"/>
  <c r="E153" i="6"/>
  <c r="F153" i="6"/>
  <c r="A154" i="6"/>
  <c r="B154" i="6"/>
  <c r="C154" i="6"/>
  <c r="D154" i="6"/>
  <c r="E154" i="6"/>
  <c r="F154" i="6"/>
  <c r="A155" i="6"/>
  <c r="B155" i="6"/>
  <c r="C155" i="6"/>
  <c r="D155" i="6"/>
  <c r="E155" i="6"/>
  <c r="F155" i="6"/>
  <c r="A156" i="6"/>
  <c r="B156" i="6"/>
  <c r="C156" i="6"/>
  <c r="D156" i="6"/>
  <c r="E156" i="6"/>
  <c r="F156" i="6"/>
  <c r="A157" i="6"/>
  <c r="B157" i="6"/>
  <c r="C157" i="6"/>
  <c r="D157" i="6"/>
  <c r="E157" i="6"/>
  <c r="F157" i="6"/>
  <c r="A158" i="6"/>
  <c r="B158" i="6"/>
  <c r="C158" i="6"/>
  <c r="D158" i="6"/>
  <c r="E158" i="6"/>
  <c r="F158" i="6"/>
  <c r="A159" i="6"/>
  <c r="B159" i="6"/>
  <c r="C159" i="6"/>
  <c r="D159" i="6"/>
  <c r="E159" i="6"/>
  <c r="F159" i="6"/>
  <c r="A160" i="6"/>
  <c r="B160" i="6"/>
  <c r="C160" i="6"/>
  <c r="D160" i="6"/>
  <c r="E160" i="6"/>
  <c r="F160" i="6"/>
  <c r="A161" i="6"/>
  <c r="B161" i="6"/>
  <c r="C161" i="6"/>
  <c r="D161" i="6"/>
  <c r="E161" i="6"/>
  <c r="F161" i="6"/>
  <c r="A162" i="6"/>
  <c r="B162" i="6"/>
  <c r="C162" i="6"/>
  <c r="D162" i="6"/>
  <c r="E162" i="6"/>
  <c r="F162" i="6"/>
  <c r="A163" i="6"/>
  <c r="B163" i="6"/>
  <c r="C163" i="6"/>
  <c r="D163" i="6"/>
  <c r="E163" i="6"/>
  <c r="F163" i="6"/>
  <c r="A164" i="6"/>
  <c r="B164" i="6"/>
  <c r="C164" i="6"/>
  <c r="D164" i="6"/>
  <c r="E164" i="6"/>
  <c r="F164" i="6"/>
  <c r="A165" i="6"/>
  <c r="B165" i="6"/>
  <c r="C165" i="6"/>
  <c r="D165" i="6"/>
  <c r="E165" i="6"/>
  <c r="F165" i="6"/>
  <c r="A166" i="6"/>
  <c r="B166" i="6"/>
  <c r="C166" i="6"/>
  <c r="D166" i="6"/>
  <c r="E166" i="6"/>
  <c r="F166" i="6"/>
  <c r="A167" i="6"/>
  <c r="B167" i="6"/>
  <c r="C167" i="6"/>
  <c r="D167" i="6"/>
  <c r="E167" i="6"/>
  <c r="F167" i="6"/>
  <c r="A168" i="6"/>
  <c r="B168" i="6"/>
  <c r="C168" i="6"/>
  <c r="D168" i="6"/>
  <c r="E168" i="6"/>
  <c r="F168" i="6"/>
  <c r="A169" i="6"/>
  <c r="B169" i="6"/>
  <c r="C169" i="6"/>
  <c r="D169" i="6"/>
  <c r="E169" i="6"/>
  <c r="F169" i="6"/>
  <c r="A170" i="6"/>
  <c r="B170" i="6"/>
  <c r="C170" i="6"/>
  <c r="D170" i="6"/>
  <c r="E170" i="6"/>
  <c r="F170" i="6"/>
  <c r="A171" i="6"/>
  <c r="B171" i="6"/>
  <c r="C171" i="6"/>
  <c r="D171" i="6"/>
  <c r="E171" i="6"/>
  <c r="F171" i="6"/>
  <c r="A172" i="6"/>
  <c r="B172" i="6"/>
  <c r="C172" i="6"/>
  <c r="D172" i="6"/>
  <c r="E172" i="6"/>
  <c r="F172" i="6"/>
  <c r="A173" i="6"/>
  <c r="B173" i="6"/>
  <c r="C173" i="6"/>
  <c r="D173" i="6"/>
  <c r="E173" i="6"/>
  <c r="F173" i="6"/>
  <c r="A174" i="6"/>
  <c r="B174" i="6"/>
  <c r="C174" i="6"/>
  <c r="D174" i="6"/>
  <c r="E174" i="6"/>
  <c r="F174" i="6"/>
  <c r="A175" i="6"/>
  <c r="B175" i="6"/>
  <c r="C175" i="6"/>
  <c r="D175" i="6"/>
  <c r="E175" i="6"/>
  <c r="F175" i="6"/>
  <c r="A176" i="6"/>
  <c r="B176" i="6"/>
  <c r="C176" i="6"/>
  <c r="D176" i="6"/>
  <c r="E176" i="6"/>
  <c r="F176" i="6"/>
  <c r="A177" i="6"/>
  <c r="B177" i="6"/>
  <c r="C177" i="6"/>
  <c r="D177" i="6"/>
  <c r="E177" i="6"/>
  <c r="F177" i="6"/>
  <c r="A178" i="6"/>
  <c r="B178" i="6"/>
  <c r="C178" i="6"/>
  <c r="D178" i="6"/>
  <c r="E178" i="6"/>
  <c r="F178" i="6"/>
  <c r="A179" i="6"/>
  <c r="B179" i="6"/>
  <c r="C179" i="6"/>
  <c r="D179" i="6"/>
  <c r="E179" i="6"/>
  <c r="F179" i="6"/>
  <c r="A180" i="6"/>
  <c r="B180" i="6"/>
  <c r="C180" i="6"/>
  <c r="D180" i="6"/>
  <c r="E180" i="6"/>
  <c r="F180" i="6"/>
  <c r="A181" i="6"/>
  <c r="B181" i="6"/>
  <c r="C181" i="6"/>
  <c r="D181" i="6"/>
  <c r="E181" i="6"/>
  <c r="F181" i="6"/>
  <c r="A182" i="6"/>
  <c r="B182" i="6"/>
  <c r="C182" i="6"/>
  <c r="D182" i="6"/>
  <c r="E182" i="6"/>
  <c r="F182" i="6"/>
  <c r="A183" i="6"/>
  <c r="B183" i="6"/>
  <c r="C183" i="6"/>
  <c r="D183" i="6"/>
  <c r="E183" i="6"/>
  <c r="F183" i="6"/>
  <c r="A184" i="6"/>
  <c r="B184" i="6"/>
  <c r="C184" i="6"/>
  <c r="D184" i="6"/>
  <c r="E184" i="6"/>
  <c r="F184" i="6"/>
  <c r="A185" i="6"/>
  <c r="B185" i="6"/>
  <c r="C185" i="6"/>
  <c r="D185" i="6"/>
  <c r="E185" i="6"/>
  <c r="F185" i="6"/>
  <c r="A186" i="6"/>
  <c r="B186" i="6"/>
  <c r="C186" i="6"/>
  <c r="D186" i="6"/>
  <c r="E186" i="6"/>
  <c r="F186" i="6"/>
  <c r="A187" i="6"/>
  <c r="B187" i="6"/>
  <c r="C187" i="6"/>
  <c r="D187" i="6"/>
  <c r="E187" i="6"/>
  <c r="F187" i="6"/>
  <c r="A188" i="6"/>
  <c r="B188" i="6"/>
  <c r="C188" i="6"/>
  <c r="D188" i="6"/>
  <c r="E188" i="6"/>
  <c r="F188" i="6"/>
  <c r="A189" i="6"/>
  <c r="B189" i="6"/>
  <c r="C189" i="6"/>
  <c r="D189" i="6"/>
  <c r="E189" i="6"/>
  <c r="F189" i="6"/>
  <c r="A190" i="6"/>
  <c r="B190" i="6"/>
  <c r="C190" i="6"/>
  <c r="D190" i="6"/>
  <c r="E190" i="6"/>
  <c r="F190" i="6"/>
  <c r="A191" i="6"/>
  <c r="B191" i="6"/>
  <c r="C191" i="6"/>
  <c r="D191" i="6"/>
  <c r="E191" i="6"/>
  <c r="F191" i="6"/>
  <c r="A192" i="6"/>
  <c r="B192" i="6"/>
  <c r="C192" i="6"/>
  <c r="D192" i="6"/>
  <c r="E192" i="6"/>
  <c r="F192" i="6"/>
  <c r="A193" i="6"/>
  <c r="B193" i="6"/>
  <c r="C193" i="6"/>
  <c r="D193" i="6"/>
  <c r="E193" i="6"/>
  <c r="F193" i="6"/>
  <c r="A194" i="6"/>
  <c r="B194" i="6"/>
  <c r="C194" i="6"/>
  <c r="D194" i="6"/>
  <c r="E194" i="6"/>
  <c r="F194" i="6"/>
  <c r="A195" i="6"/>
  <c r="B195" i="6"/>
  <c r="C195" i="6"/>
  <c r="D195" i="6"/>
  <c r="E195" i="6"/>
  <c r="F195" i="6"/>
  <c r="A196" i="6"/>
  <c r="B196" i="6"/>
  <c r="C196" i="6"/>
  <c r="D196" i="6"/>
  <c r="E196" i="6"/>
  <c r="F196" i="6"/>
  <c r="A197" i="6"/>
  <c r="B197" i="6"/>
  <c r="C197" i="6"/>
  <c r="D197" i="6"/>
  <c r="E197" i="6"/>
  <c r="F197" i="6"/>
  <c r="A198" i="6"/>
  <c r="B198" i="6"/>
  <c r="C198" i="6"/>
  <c r="D198" i="6"/>
  <c r="E198" i="6"/>
  <c r="F198" i="6"/>
  <c r="A199" i="6"/>
  <c r="B199" i="6"/>
  <c r="C199" i="6"/>
  <c r="D199" i="6"/>
  <c r="E199" i="6"/>
  <c r="F199" i="6"/>
  <c r="A200" i="6"/>
  <c r="B200" i="6"/>
  <c r="C200" i="6"/>
  <c r="D200" i="6"/>
  <c r="E200" i="6"/>
  <c r="F200" i="6"/>
  <c r="A201" i="6"/>
  <c r="B201" i="6"/>
  <c r="C201" i="6"/>
  <c r="D201" i="6"/>
  <c r="E201" i="6"/>
  <c r="F201" i="6"/>
  <c r="A202" i="6"/>
  <c r="B202" i="6"/>
  <c r="C202" i="6"/>
  <c r="D202" i="6"/>
  <c r="E202" i="6"/>
  <c r="F202" i="6"/>
  <c r="A203" i="6"/>
  <c r="B203" i="6"/>
  <c r="C203" i="6"/>
  <c r="D203" i="6"/>
  <c r="E203" i="6"/>
  <c r="F203" i="6"/>
  <c r="A204" i="6"/>
  <c r="B204" i="6"/>
  <c r="C204" i="6"/>
  <c r="D204" i="6"/>
  <c r="E204" i="6"/>
  <c r="F204" i="6"/>
  <c r="A205" i="6"/>
  <c r="B205" i="6"/>
  <c r="C205" i="6"/>
  <c r="D205" i="6"/>
  <c r="E205" i="6"/>
  <c r="F205" i="6"/>
  <c r="A206" i="6"/>
  <c r="B206" i="6"/>
  <c r="C206" i="6"/>
  <c r="D206" i="6"/>
  <c r="E206" i="6"/>
  <c r="F206" i="6"/>
  <c r="A207" i="6"/>
  <c r="B207" i="6"/>
  <c r="C207" i="6"/>
  <c r="D207" i="6"/>
  <c r="E207" i="6"/>
  <c r="F207" i="6"/>
  <c r="A208" i="6"/>
  <c r="B208" i="6"/>
  <c r="C208" i="6"/>
  <c r="D208" i="6"/>
  <c r="E208" i="6"/>
  <c r="F208" i="6"/>
  <c r="A209" i="6"/>
  <c r="B209" i="6"/>
  <c r="C209" i="6"/>
  <c r="D209" i="6"/>
  <c r="E209" i="6"/>
  <c r="F209" i="6"/>
  <c r="A210" i="6"/>
  <c r="B210" i="6"/>
  <c r="C210" i="6"/>
  <c r="D210" i="6"/>
  <c r="E210" i="6"/>
  <c r="F210" i="6"/>
  <c r="A211" i="6"/>
  <c r="B211" i="6"/>
  <c r="C211" i="6"/>
  <c r="D211" i="6"/>
  <c r="E211" i="6"/>
  <c r="F211" i="6"/>
  <c r="A212" i="6"/>
  <c r="B212" i="6"/>
  <c r="C212" i="6"/>
  <c r="D212" i="6"/>
  <c r="E212" i="6"/>
  <c r="F212" i="6"/>
  <c r="A213" i="6"/>
  <c r="B213" i="6"/>
  <c r="C213" i="6"/>
  <c r="D213" i="6"/>
  <c r="E213" i="6"/>
  <c r="F213" i="6"/>
  <c r="A214" i="6"/>
  <c r="B214" i="6"/>
  <c r="C214" i="6"/>
  <c r="D214" i="6"/>
  <c r="E214" i="6"/>
  <c r="F214" i="6"/>
  <c r="A215" i="6"/>
  <c r="B215" i="6"/>
  <c r="C215" i="6"/>
  <c r="D215" i="6"/>
  <c r="E215" i="6"/>
  <c r="F215" i="6"/>
  <c r="A216" i="6"/>
  <c r="B216" i="6"/>
  <c r="C216" i="6"/>
  <c r="D216" i="6"/>
  <c r="E216" i="6"/>
  <c r="F216" i="6"/>
  <c r="A217" i="6"/>
  <c r="B217" i="6"/>
  <c r="C217" i="6"/>
  <c r="D217" i="6"/>
  <c r="E217" i="6"/>
  <c r="F217" i="6"/>
  <c r="A218" i="6"/>
  <c r="B218" i="6"/>
  <c r="C218" i="6"/>
  <c r="D218" i="6"/>
  <c r="E218" i="6"/>
  <c r="F218" i="6"/>
  <c r="A219" i="6"/>
  <c r="B219" i="6"/>
  <c r="C219" i="6"/>
  <c r="D219" i="6"/>
  <c r="E219" i="6"/>
  <c r="F219" i="6"/>
  <c r="A220" i="6"/>
  <c r="B220" i="6"/>
  <c r="C220" i="6"/>
  <c r="D220" i="6"/>
  <c r="E220" i="6"/>
  <c r="F220" i="6"/>
  <c r="A221" i="6"/>
  <c r="B221" i="6"/>
  <c r="C221" i="6"/>
  <c r="D221" i="6"/>
  <c r="E221" i="6"/>
  <c r="F221" i="6"/>
  <c r="A222" i="6"/>
  <c r="B222" i="6"/>
  <c r="C222" i="6"/>
  <c r="D222" i="6"/>
  <c r="E222" i="6"/>
  <c r="F222" i="6"/>
  <c r="A223" i="6"/>
  <c r="B223" i="6"/>
  <c r="C223" i="6"/>
  <c r="D223" i="6"/>
  <c r="E223" i="6"/>
  <c r="F223" i="6"/>
  <c r="A224" i="6"/>
  <c r="B224" i="6"/>
  <c r="C224" i="6"/>
  <c r="D224" i="6"/>
  <c r="E224" i="6"/>
  <c r="F224" i="6"/>
  <c r="A225" i="6"/>
  <c r="B225" i="6"/>
  <c r="C225" i="6"/>
  <c r="D225" i="6"/>
  <c r="E225" i="6"/>
  <c r="F225" i="6"/>
  <c r="A226" i="6"/>
  <c r="B226" i="6"/>
  <c r="C226" i="6"/>
  <c r="D226" i="6"/>
  <c r="E226" i="6"/>
  <c r="F226" i="6"/>
  <c r="A227" i="6"/>
  <c r="B227" i="6"/>
  <c r="C227" i="6"/>
  <c r="D227" i="6"/>
  <c r="E227" i="6"/>
  <c r="F227" i="6"/>
  <c r="A228" i="6"/>
  <c r="B228" i="6"/>
  <c r="C228" i="6"/>
  <c r="D228" i="6"/>
  <c r="E228" i="6"/>
  <c r="F228" i="6"/>
  <c r="A229" i="6"/>
  <c r="B229" i="6"/>
  <c r="C229" i="6"/>
  <c r="D229" i="6"/>
  <c r="E229" i="6"/>
  <c r="F229" i="6"/>
  <c r="A230" i="6"/>
  <c r="B230" i="6"/>
  <c r="C230" i="6"/>
  <c r="D230" i="6"/>
  <c r="E230" i="6"/>
  <c r="F230" i="6"/>
  <c r="A231" i="6"/>
  <c r="B231" i="6"/>
  <c r="C231" i="6"/>
  <c r="D231" i="6"/>
  <c r="E231" i="6"/>
  <c r="F231" i="6"/>
  <c r="A232" i="6"/>
  <c r="B232" i="6"/>
  <c r="C232" i="6"/>
  <c r="D232" i="6"/>
  <c r="E232" i="6"/>
  <c r="F232" i="6"/>
  <c r="A233" i="6"/>
  <c r="B233" i="6"/>
  <c r="C233" i="6"/>
  <c r="D233" i="6"/>
  <c r="E233" i="6"/>
  <c r="F233" i="6"/>
  <c r="A234" i="6"/>
  <c r="B234" i="6"/>
  <c r="C234" i="6"/>
  <c r="D234" i="6"/>
  <c r="E234" i="6"/>
  <c r="F234" i="6"/>
  <c r="A235" i="6"/>
  <c r="B235" i="6"/>
  <c r="C235" i="6"/>
  <c r="D235" i="6"/>
  <c r="E235" i="6"/>
  <c r="F235" i="6"/>
  <c r="A236" i="6"/>
  <c r="B236" i="6"/>
  <c r="C236" i="6"/>
  <c r="D236" i="6"/>
  <c r="E236" i="6"/>
  <c r="F236" i="6"/>
  <c r="A237" i="6"/>
  <c r="B237" i="6"/>
  <c r="C237" i="6"/>
  <c r="D237" i="6"/>
  <c r="E237" i="6"/>
  <c r="F237" i="6"/>
  <c r="A238" i="6"/>
  <c r="B238" i="6"/>
  <c r="C238" i="6"/>
  <c r="D238" i="6"/>
  <c r="E238" i="6"/>
  <c r="F238" i="6"/>
  <c r="A239" i="6"/>
  <c r="B239" i="6"/>
  <c r="C239" i="6"/>
  <c r="D239" i="6"/>
  <c r="E239" i="6"/>
  <c r="F239" i="6"/>
  <c r="A240" i="6"/>
  <c r="B240" i="6"/>
  <c r="C240" i="6"/>
  <c r="D240" i="6"/>
  <c r="E240" i="6"/>
  <c r="F240" i="6"/>
  <c r="A241" i="6"/>
  <c r="B241" i="6"/>
  <c r="D241" i="6"/>
  <c r="E241" i="6"/>
  <c r="F241" i="6"/>
  <c r="A242" i="6"/>
  <c r="B242" i="6"/>
  <c r="D242" i="6"/>
  <c r="E242" i="6"/>
  <c r="F242" i="6"/>
  <c r="A243" i="6"/>
  <c r="B243" i="6"/>
  <c r="C243" i="6"/>
  <c r="D243" i="6"/>
  <c r="E243" i="6"/>
  <c r="F243" i="6"/>
  <c r="A244" i="6"/>
  <c r="B244" i="6"/>
  <c r="C244" i="6"/>
  <c r="D244" i="6"/>
  <c r="E244" i="6"/>
  <c r="F244" i="6"/>
  <c r="A245" i="6"/>
  <c r="B245" i="6"/>
  <c r="C245" i="6"/>
  <c r="D245" i="6"/>
  <c r="E245" i="6"/>
  <c r="F245" i="6"/>
  <c r="A246" i="6"/>
  <c r="B246" i="6"/>
  <c r="C246" i="6"/>
  <c r="D246" i="6"/>
  <c r="E246" i="6"/>
  <c r="F246" i="6"/>
  <c r="A247" i="6"/>
  <c r="B247" i="6"/>
  <c r="C247" i="6"/>
  <c r="D247" i="6"/>
  <c r="E247" i="6"/>
  <c r="F247" i="6"/>
  <c r="A248" i="6"/>
  <c r="B248" i="6"/>
  <c r="C248" i="6"/>
  <c r="D248" i="6"/>
  <c r="E248" i="6"/>
  <c r="F248" i="6"/>
  <c r="A249" i="6"/>
  <c r="B249" i="6"/>
  <c r="C249" i="6"/>
  <c r="D249" i="6"/>
  <c r="E249" i="6"/>
  <c r="F249" i="6"/>
  <c r="A250" i="6"/>
  <c r="B250" i="6"/>
  <c r="C250" i="6"/>
  <c r="D250" i="6"/>
  <c r="E250" i="6"/>
  <c r="F250" i="6"/>
  <c r="A251" i="6"/>
  <c r="B251" i="6"/>
  <c r="C251" i="6"/>
  <c r="D251" i="6"/>
  <c r="E251" i="6"/>
  <c r="F251" i="6"/>
  <c r="A252" i="6"/>
  <c r="B252" i="6"/>
  <c r="C252" i="6"/>
  <c r="D252" i="6"/>
  <c r="E252" i="6"/>
  <c r="F252" i="6"/>
  <c r="A253" i="6"/>
  <c r="B253" i="6"/>
  <c r="C253" i="6"/>
  <c r="D253" i="6"/>
  <c r="E253" i="6"/>
  <c r="F253" i="6"/>
  <c r="A254" i="6"/>
  <c r="B254" i="6"/>
  <c r="C254" i="6"/>
  <c r="D254" i="6"/>
  <c r="E254" i="6"/>
  <c r="F254" i="6"/>
  <c r="A255" i="6"/>
  <c r="B255" i="6"/>
  <c r="C255" i="6"/>
  <c r="D255" i="6"/>
  <c r="E255" i="6"/>
  <c r="F255" i="6"/>
  <c r="A256" i="6"/>
  <c r="B256" i="6"/>
  <c r="C256" i="6"/>
  <c r="D256" i="6"/>
  <c r="E256" i="6"/>
  <c r="F256" i="6"/>
  <c r="A257" i="6"/>
  <c r="B257" i="6"/>
  <c r="C257" i="6"/>
  <c r="D257" i="6"/>
  <c r="E257" i="6"/>
  <c r="F257" i="6"/>
  <c r="A258" i="6"/>
  <c r="B258" i="6"/>
  <c r="C258" i="6"/>
  <c r="D258" i="6"/>
  <c r="E258" i="6"/>
  <c r="F258" i="6"/>
  <c r="A259" i="6"/>
  <c r="B259" i="6"/>
  <c r="C259" i="6"/>
  <c r="D259" i="6"/>
  <c r="E259" i="6"/>
  <c r="F259" i="6"/>
  <c r="A260" i="6"/>
  <c r="B260" i="6"/>
  <c r="C260" i="6"/>
  <c r="D260" i="6"/>
  <c r="E260" i="6"/>
  <c r="F260" i="6"/>
  <c r="A261" i="6"/>
  <c r="B261" i="6"/>
  <c r="C261" i="6"/>
  <c r="D261" i="6"/>
  <c r="E261" i="6"/>
  <c r="F261" i="6"/>
  <c r="A262" i="6"/>
  <c r="B262" i="6"/>
  <c r="C262" i="6"/>
  <c r="D262" i="6"/>
  <c r="E262" i="6"/>
  <c r="F262" i="6"/>
  <c r="A263" i="6"/>
  <c r="B263" i="6"/>
  <c r="C263" i="6"/>
  <c r="D263" i="6"/>
  <c r="E263" i="6"/>
  <c r="F263" i="6"/>
  <c r="A264" i="6"/>
  <c r="B264" i="6"/>
  <c r="C264" i="6"/>
  <c r="D264" i="6"/>
  <c r="E264" i="6"/>
  <c r="F264" i="6"/>
  <c r="A265" i="6"/>
  <c r="B265" i="6"/>
  <c r="C265" i="6"/>
  <c r="D265" i="6"/>
  <c r="E265" i="6"/>
  <c r="F265" i="6"/>
  <c r="A266" i="6"/>
  <c r="B266" i="6"/>
  <c r="C266" i="6"/>
  <c r="D266" i="6"/>
  <c r="E266" i="6"/>
  <c r="F266" i="6"/>
  <c r="A267" i="6"/>
  <c r="B267" i="6"/>
  <c r="C267" i="6"/>
  <c r="D267" i="6"/>
  <c r="E267" i="6"/>
  <c r="F267" i="6"/>
  <c r="A268" i="6"/>
  <c r="B268" i="6"/>
  <c r="C268" i="6"/>
  <c r="D268" i="6"/>
  <c r="E268" i="6"/>
  <c r="F268" i="6"/>
  <c r="A269" i="6"/>
  <c r="B269" i="6"/>
  <c r="C269" i="6"/>
  <c r="D269" i="6"/>
  <c r="E269" i="6"/>
  <c r="F269" i="6"/>
  <c r="A270" i="6"/>
  <c r="B270" i="6"/>
  <c r="C270" i="6"/>
  <c r="D270" i="6"/>
  <c r="E270" i="6"/>
  <c r="F270" i="6"/>
  <c r="A271" i="6"/>
  <c r="B271" i="6"/>
  <c r="C271" i="6"/>
  <c r="D271" i="6"/>
  <c r="E271" i="6"/>
  <c r="F271" i="6"/>
  <c r="A272" i="6"/>
  <c r="B272" i="6"/>
  <c r="C272" i="6"/>
  <c r="D272" i="6"/>
  <c r="E272" i="6"/>
  <c r="F272" i="6"/>
  <c r="A273" i="6"/>
  <c r="B273" i="6"/>
  <c r="C273" i="6"/>
  <c r="D273" i="6"/>
  <c r="E273" i="6"/>
  <c r="F273" i="6"/>
  <c r="A274" i="6"/>
  <c r="B274" i="6"/>
  <c r="C274" i="6"/>
  <c r="D274" i="6"/>
  <c r="E274" i="6"/>
  <c r="F274" i="6"/>
  <c r="A275" i="6"/>
  <c r="B275" i="6"/>
  <c r="C275" i="6"/>
  <c r="D275" i="6"/>
  <c r="E275" i="6"/>
  <c r="F275" i="6"/>
  <c r="A276" i="6"/>
  <c r="B276" i="6"/>
  <c r="C276" i="6"/>
  <c r="D276" i="6"/>
  <c r="E276" i="6"/>
  <c r="F276" i="6"/>
  <c r="A277" i="6"/>
  <c r="B277" i="6"/>
  <c r="C277" i="6"/>
  <c r="D277" i="6"/>
  <c r="E277" i="6"/>
  <c r="F277" i="6"/>
  <c r="A278" i="6"/>
  <c r="B278" i="6"/>
  <c r="C278" i="6"/>
  <c r="D278" i="6"/>
  <c r="E278" i="6"/>
  <c r="F278" i="6"/>
  <c r="A279" i="6"/>
  <c r="B279" i="6"/>
  <c r="C279" i="6"/>
  <c r="D279" i="6"/>
  <c r="E279" i="6"/>
  <c r="F279" i="6"/>
  <c r="A280" i="6"/>
  <c r="B280" i="6"/>
  <c r="C280" i="6"/>
  <c r="D280" i="6"/>
  <c r="E280" i="6"/>
  <c r="F280" i="6"/>
  <c r="A281" i="6"/>
  <c r="B281" i="6"/>
  <c r="C281" i="6"/>
  <c r="D281" i="6"/>
  <c r="E281" i="6"/>
  <c r="F281" i="6"/>
  <c r="A282" i="6"/>
  <c r="B282" i="6"/>
  <c r="C282" i="6"/>
  <c r="D282" i="6"/>
  <c r="E282" i="6"/>
  <c r="F282" i="6"/>
  <c r="A283" i="6"/>
  <c r="B283" i="6"/>
  <c r="C283" i="6"/>
  <c r="D283" i="6"/>
  <c r="E283" i="6"/>
  <c r="F283" i="6"/>
  <c r="A284" i="6"/>
  <c r="B284" i="6"/>
  <c r="C284" i="6"/>
  <c r="D284" i="6"/>
  <c r="E284" i="6"/>
  <c r="F284" i="6"/>
  <c r="A285" i="6"/>
  <c r="B285" i="6"/>
  <c r="C285" i="6"/>
  <c r="D285" i="6"/>
  <c r="E285" i="6"/>
  <c r="F285" i="6"/>
  <c r="A286" i="6"/>
  <c r="B286" i="6"/>
  <c r="C286" i="6"/>
  <c r="D286" i="6"/>
  <c r="E286" i="6"/>
  <c r="F286" i="6"/>
  <c r="A287" i="6"/>
  <c r="B287" i="6"/>
  <c r="C287" i="6"/>
  <c r="D287" i="6"/>
  <c r="E287" i="6"/>
  <c r="F287" i="6"/>
  <c r="A288" i="6"/>
  <c r="B288" i="6"/>
  <c r="C288" i="6"/>
  <c r="D288" i="6"/>
  <c r="E288" i="6"/>
  <c r="F288" i="6"/>
  <c r="A289" i="6"/>
  <c r="B289" i="6"/>
  <c r="C289" i="6"/>
  <c r="D289" i="6"/>
  <c r="E289" i="6"/>
  <c r="F289" i="6"/>
  <c r="A290" i="6"/>
  <c r="B290" i="6"/>
  <c r="C290" i="6"/>
  <c r="D290" i="6"/>
  <c r="E290" i="6"/>
  <c r="F290" i="6"/>
  <c r="A291" i="6"/>
  <c r="B291" i="6"/>
  <c r="C291" i="6"/>
  <c r="D291" i="6"/>
  <c r="E291" i="6"/>
  <c r="F291" i="6"/>
  <c r="A292" i="6"/>
  <c r="B292" i="6"/>
  <c r="C292" i="6"/>
  <c r="D292" i="6"/>
  <c r="E292" i="6"/>
  <c r="F292" i="6"/>
  <c r="A293" i="6"/>
  <c r="B293" i="6"/>
  <c r="C293" i="6"/>
  <c r="D293" i="6"/>
  <c r="E293" i="6"/>
  <c r="F293" i="6"/>
  <c r="A294" i="6"/>
  <c r="B294" i="6"/>
  <c r="C294" i="6"/>
  <c r="D294" i="6"/>
  <c r="E294" i="6"/>
  <c r="F294" i="6"/>
  <c r="A295" i="6"/>
  <c r="B295" i="6"/>
  <c r="C295" i="6"/>
  <c r="D295" i="6"/>
  <c r="E295" i="6"/>
  <c r="F295" i="6"/>
  <c r="A296" i="6"/>
  <c r="B296" i="6"/>
  <c r="C296" i="6"/>
  <c r="D296" i="6"/>
  <c r="E296" i="6"/>
  <c r="F296" i="6"/>
  <c r="A297" i="6"/>
  <c r="B297" i="6"/>
  <c r="C297" i="6"/>
  <c r="D297" i="6"/>
  <c r="E297" i="6"/>
  <c r="F297" i="6"/>
  <c r="A298" i="6"/>
  <c r="B298" i="6"/>
  <c r="C298" i="6"/>
  <c r="D298" i="6"/>
  <c r="E298" i="6"/>
  <c r="F298" i="6"/>
  <c r="A299" i="6"/>
  <c r="B299" i="6"/>
  <c r="C299" i="6"/>
  <c r="D299" i="6"/>
  <c r="E299" i="6"/>
  <c r="F299" i="6"/>
  <c r="A300" i="6"/>
  <c r="B300" i="6"/>
  <c r="C300" i="6"/>
  <c r="D300" i="6"/>
  <c r="E300" i="6"/>
  <c r="F300" i="6"/>
  <c r="A301" i="6"/>
  <c r="B301" i="6"/>
  <c r="C301" i="6"/>
  <c r="D301" i="6"/>
  <c r="E301" i="6"/>
  <c r="F301" i="6"/>
  <c r="A302" i="6"/>
  <c r="B302" i="6"/>
  <c r="C302" i="6"/>
  <c r="D302" i="6"/>
  <c r="E302" i="6"/>
  <c r="F302" i="6"/>
  <c r="A303" i="6"/>
  <c r="B303" i="6"/>
  <c r="C303" i="6"/>
  <c r="D303" i="6"/>
  <c r="E303" i="6"/>
  <c r="F303" i="6"/>
  <c r="A304" i="6"/>
  <c r="B304" i="6"/>
  <c r="C304" i="6"/>
  <c r="D304" i="6"/>
  <c r="E304" i="6"/>
  <c r="F304" i="6"/>
  <c r="A305" i="6"/>
  <c r="B305" i="6"/>
  <c r="C305" i="6"/>
  <c r="D305" i="6"/>
  <c r="E305" i="6"/>
  <c r="F305" i="6"/>
  <c r="A306" i="6"/>
  <c r="B306" i="6"/>
  <c r="C306" i="6"/>
  <c r="D306" i="6"/>
  <c r="E306" i="6"/>
  <c r="F306" i="6"/>
  <c r="A307" i="6"/>
  <c r="B307" i="6"/>
  <c r="C307" i="6"/>
  <c r="D307" i="6"/>
  <c r="E307" i="6"/>
  <c r="F307" i="6"/>
  <c r="A308" i="6"/>
  <c r="B308" i="6"/>
  <c r="C308" i="6"/>
  <c r="D308" i="6"/>
  <c r="E308" i="6"/>
  <c r="F308" i="6"/>
  <c r="A309" i="6"/>
  <c r="B309" i="6"/>
  <c r="C309" i="6"/>
  <c r="D309" i="6"/>
  <c r="E309" i="6"/>
  <c r="F309" i="6"/>
  <c r="A310" i="6"/>
  <c r="B310" i="6"/>
  <c r="C310" i="6"/>
  <c r="D310" i="6"/>
  <c r="E310" i="6"/>
  <c r="F310" i="6"/>
  <c r="A311" i="6"/>
  <c r="B311" i="6"/>
  <c r="C311" i="6"/>
  <c r="D311" i="6"/>
  <c r="E311" i="6"/>
  <c r="F311" i="6"/>
  <c r="A312" i="6"/>
  <c r="B312" i="6"/>
  <c r="C312" i="6"/>
  <c r="D312" i="6"/>
  <c r="E312" i="6"/>
  <c r="F312" i="6"/>
  <c r="A313" i="6"/>
  <c r="B313" i="6"/>
  <c r="C313" i="6"/>
  <c r="D313" i="6"/>
  <c r="E313" i="6"/>
  <c r="F313" i="6"/>
  <c r="A314" i="6"/>
  <c r="B314" i="6"/>
  <c r="C314" i="6"/>
  <c r="D314" i="6"/>
  <c r="E314" i="6"/>
  <c r="F314" i="6"/>
  <c r="A315" i="6"/>
  <c r="B315" i="6"/>
  <c r="C315" i="6"/>
  <c r="D315" i="6"/>
  <c r="E315" i="6"/>
  <c r="F315" i="6"/>
  <c r="A316" i="6"/>
  <c r="B316" i="6"/>
  <c r="C316" i="6"/>
  <c r="D316" i="6"/>
  <c r="E316" i="6"/>
  <c r="F316" i="6"/>
  <c r="A317" i="6"/>
  <c r="B317" i="6"/>
  <c r="C317" i="6"/>
  <c r="D317" i="6"/>
  <c r="E317" i="6"/>
  <c r="F317" i="6"/>
  <c r="A318" i="6"/>
  <c r="B318" i="6"/>
  <c r="C318" i="6"/>
  <c r="D318" i="6"/>
  <c r="E318" i="6"/>
  <c r="F318" i="6"/>
  <c r="A319" i="6"/>
  <c r="B319" i="6"/>
  <c r="C319" i="6"/>
  <c r="D319" i="6"/>
  <c r="E319" i="6"/>
  <c r="F319" i="6"/>
  <c r="A320" i="6"/>
  <c r="B320" i="6"/>
  <c r="C320" i="6"/>
  <c r="D320" i="6"/>
  <c r="E320" i="6"/>
  <c r="F320" i="6"/>
  <c r="A321" i="6"/>
  <c r="B321" i="6"/>
  <c r="C321" i="6"/>
  <c r="D321" i="6"/>
  <c r="E321" i="6"/>
  <c r="F321" i="6"/>
  <c r="A322" i="6"/>
  <c r="B322" i="6"/>
  <c r="C322" i="6"/>
  <c r="D322" i="6"/>
  <c r="E322" i="6"/>
  <c r="F322" i="6"/>
  <c r="A323" i="6"/>
  <c r="B323" i="6"/>
  <c r="C323" i="6"/>
  <c r="D323" i="6"/>
  <c r="E323" i="6"/>
  <c r="F323" i="6"/>
  <c r="A324" i="6"/>
  <c r="B324" i="6"/>
  <c r="C324" i="6"/>
  <c r="D324" i="6"/>
  <c r="E324" i="6"/>
  <c r="F324" i="6"/>
  <c r="A325" i="6"/>
  <c r="B325" i="6"/>
  <c r="C325" i="6"/>
  <c r="D325" i="6"/>
  <c r="E325" i="6"/>
  <c r="F325" i="6"/>
  <c r="A326" i="6"/>
  <c r="B326" i="6"/>
  <c r="C326" i="6"/>
  <c r="D326" i="6"/>
  <c r="E326" i="6"/>
  <c r="F326" i="6"/>
  <c r="A327" i="6"/>
  <c r="B327" i="6"/>
  <c r="C327" i="6"/>
  <c r="D327" i="6"/>
  <c r="E327" i="6"/>
  <c r="F327" i="6"/>
  <c r="A328" i="6"/>
  <c r="B328" i="6"/>
  <c r="C328" i="6"/>
  <c r="D328" i="6"/>
  <c r="E328" i="6"/>
  <c r="F328" i="6"/>
  <c r="A329" i="6"/>
  <c r="B329" i="6"/>
  <c r="C329" i="6"/>
  <c r="D329" i="6"/>
  <c r="E329" i="6"/>
  <c r="F329" i="6"/>
  <c r="A330" i="6"/>
  <c r="B330" i="6"/>
  <c r="C330" i="6"/>
  <c r="D330" i="6"/>
  <c r="E330" i="6"/>
  <c r="F330" i="6"/>
  <c r="A331" i="6"/>
  <c r="B331" i="6"/>
  <c r="C331" i="6"/>
  <c r="D331" i="6"/>
  <c r="E331" i="6"/>
  <c r="F331" i="6"/>
  <c r="A332" i="6"/>
  <c r="B332" i="6"/>
  <c r="C332" i="6"/>
  <c r="D332" i="6"/>
  <c r="E332" i="6"/>
  <c r="F332" i="6"/>
  <c r="A333" i="6"/>
  <c r="B333" i="6"/>
  <c r="C333" i="6"/>
  <c r="D333" i="6"/>
  <c r="E333" i="6"/>
  <c r="F333" i="6"/>
  <c r="A334" i="6"/>
  <c r="B334" i="6"/>
  <c r="C334" i="6"/>
  <c r="D334" i="6"/>
  <c r="E334" i="6"/>
  <c r="F334" i="6"/>
  <c r="A335" i="6"/>
  <c r="B335" i="6"/>
  <c r="C335" i="6"/>
  <c r="D335" i="6"/>
  <c r="E335" i="6"/>
  <c r="F335" i="6"/>
  <c r="A336" i="6"/>
  <c r="B336" i="6"/>
  <c r="C336" i="6"/>
  <c r="D336" i="6"/>
  <c r="E336" i="6"/>
  <c r="F336" i="6"/>
  <c r="A337" i="6"/>
  <c r="B337" i="6"/>
  <c r="C337" i="6"/>
  <c r="D337" i="6"/>
  <c r="E337" i="6"/>
  <c r="F337" i="6"/>
  <c r="A338" i="6"/>
  <c r="B338" i="6"/>
  <c r="C338" i="6"/>
  <c r="D338" i="6"/>
  <c r="E338" i="6"/>
  <c r="F338" i="6"/>
  <c r="A339" i="6"/>
  <c r="B339" i="6"/>
  <c r="C339" i="6"/>
  <c r="D339" i="6"/>
  <c r="E339" i="6"/>
  <c r="F339" i="6"/>
  <c r="A340" i="6"/>
  <c r="B340" i="6"/>
  <c r="C340" i="6"/>
  <c r="D340" i="6"/>
  <c r="E340" i="6"/>
  <c r="F340" i="6"/>
  <c r="A341" i="6"/>
  <c r="B341" i="6"/>
  <c r="C341" i="6"/>
  <c r="D341" i="6"/>
  <c r="E341" i="6"/>
  <c r="F341" i="6"/>
  <c r="A342" i="6"/>
  <c r="B342" i="6"/>
  <c r="C342" i="6"/>
  <c r="D342" i="6"/>
  <c r="E342" i="6"/>
  <c r="F342" i="6"/>
  <c r="A343" i="6"/>
  <c r="B343" i="6"/>
  <c r="C343" i="6"/>
  <c r="D343" i="6"/>
  <c r="E343" i="6"/>
  <c r="F343" i="6"/>
  <c r="A344" i="6"/>
  <c r="B344" i="6"/>
  <c r="C344" i="6"/>
  <c r="D344" i="6"/>
  <c r="E344" i="6"/>
  <c r="F344" i="6"/>
  <c r="A345" i="6"/>
  <c r="B345" i="6"/>
  <c r="C345" i="6"/>
  <c r="D345" i="6"/>
  <c r="E345" i="6"/>
  <c r="F345" i="6"/>
  <c r="A346" i="6"/>
  <c r="B346" i="6"/>
  <c r="C346" i="6"/>
  <c r="D346" i="6"/>
  <c r="E346" i="6"/>
  <c r="F346" i="6"/>
  <c r="A347" i="6"/>
  <c r="B347" i="6"/>
  <c r="C347" i="6"/>
  <c r="D347" i="6"/>
  <c r="E347" i="6"/>
  <c r="F347" i="6"/>
  <c r="A348" i="6"/>
  <c r="B348" i="6"/>
  <c r="C348" i="6"/>
  <c r="D348" i="6"/>
  <c r="E348" i="6"/>
  <c r="F348" i="6"/>
  <c r="A349" i="6"/>
  <c r="B349" i="6"/>
  <c r="C349" i="6"/>
  <c r="D349" i="6"/>
  <c r="E349" i="6"/>
  <c r="F349" i="6"/>
  <c r="A350" i="6"/>
  <c r="B350" i="6"/>
  <c r="C350" i="6"/>
  <c r="D350" i="6"/>
  <c r="E350" i="6"/>
  <c r="F350" i="6"/>
  <c r="A351" i="6"/>
  <c r="B351" i="6"/>
  <c r="C351" i="6"/>
  <c r="D351" i="6"/>
  <c r="E351" i="6"/>
  <c r="F351" i="6"/>
  <c r="A352" i="6"/>
  <c r="B352" i="6"/>
  <c r="C352" i="6"/>
  <c r="D352" i="6"/>
  <c r="E352" i="6"/>
  <c r="F352" i="6"/>
  <c r="A353" i="6"/>
  <c r="B353" i="6"/>
  <c r="C353" i="6"/>
  <c r="D353" i="6"/>
  <c r="E353" i="6"/>
  <c r="F353" i="6"/>
  <c r="A354" i="6"/>
  <c r="B354" i="6"/>
  <c r="C354" i="6"/>
  <c r="D354" i="6"/>
  <c r="E354" i="6"/>
  <c r="F354" i="6"/>
  <c r="A355" i="6"/>
  <c r="B355" i="6"/>
  <c r="C355" i="6"/>
  <c r="D355" i="6"/>
  <c r="E355" i="6"/>
  <c r="F355" i="6"/>
  <c r="A356" i="6"/>
  <c r="B356" i="6"/>
  <c r="C356" i="6"/>
  <c r="D356" i="6"/>
  <c r="E356" i="6"/>
  <c r="F356" i="6"/>
  <c r="A357" i="6"/>
  <c r="B357" i="6"/>
  <c r="C357" i="6"/>
  <c r="D357" i="6"/>
  <c r="E357" i="6"/>
  <c r="F357" i="6"/>
  <c r="A358" i="6"/>
  <c r="B358" i="6"/>
  <c r="C358" i="6"/>
  <c r="D358" i="6"/>
  <c r="E358" i="6"/>
  <c r="F358" i="6"/>
  <c r="A359" i="6"/>
  <c r="B359" i="6"/>
  <c r="C359" i="6"/>
  <c r="D359" i="6"/>
  <c r="E359" i="6"/>
  <c r="F359" i="6"/>
  <c r="A360" i="6"/>
  <c r="B360" i="6"/>
  <c r="C360" i="6"/>
  <c r="D360" i="6"/>
  <c r="E360" i="6"/>
  <c r="F360" i="6"/>
  <c r="A361" i="6"/>
  <c r="B361" i="6"/>
  <c r="C361" i="6"/>
  <c r="D361" i="6"/>
  <c r="E361" i="6"/>
  <c r="F361" i="6"/>
  <c r="A362" i="6"/>
  <c r="B362" i="6"/>
  <c r="C362" i="6"/>
  <c r="D362" i="6"/>
  <c r="E362" i="6"/>
  <c r="F362" i="6"/>
  <c r="A363" i="6"/>
  <c r="B363" i="6"/>
  <c r="C363" i="6"/>
  <c r="D363" i="6"/>
  <c r="E363" i="6"/>
  <c r="F363" i="6"/>
  <c r="A364" i="6"/>
  <c r="B364" i="6"/>
  <c r="C364" i="6"/>
  <c r="D364" i="6"/>
  <c r="E364" i="6"/>
  <c r="F364" i="6"/>
  <c r="A365" i="6"/>
  <c r="B365" i="6"/>
  <c r="C365" i="6"/>
  <c r="D365" i="6"/>
  <c r="E365" i="6"/>
  <c r="F365" i="6"/>
  <c r="A366" i="6"/>
  <c r="B366" i="6"/>
  <c r="C366" i="6"/>
  <c r="D366" i="6"/>
  <c r="E366" i="6"/>
  <c r="F366" i="6"/>
  <c r="A367" i="6"/>
  <c r="B367" i="6"/>
  <c r="C367" i="6"/>
  <c r="D367" i="6"/>
  <c r="E367" i="6"/>
  <c r="F367" i="6"/>
  <c r="A368" i="6"/>
  <c r="B368" i="6"/>
  <c r="C368" i="6"/>
  <c r="D368" i="6"/>
  <c r="E368" i="6"/>
  <c r="F368" i="6"/>
  <c r="A369" i="6"/>
  <c r="B369" i="6"/>
  <c r="C369" i="6"/>
  <c r="D369" i="6"/>
  <c r="E369" i="6"/>
  <c r="F369" i="6"/>
  <c r="A370" i="6"/>
  <c r="B370" i="6"/>
  <c r="C370" i="6"/>
  <c r="D370" i="6"/>
  <c r="E370" i="6"/>
  <c r="F370" i="6"/>
  <c r="A371" i="6"/>
  <c r="B371" i="6"/>
  <c r="C371" i="6"/>
  <c r="D371" i="6"/>
  <c r="E371" i="6"/>
  <c r="F371" i="6"/>
  <c r="A372" i="6"/>
  <c r="B372" i="6"/>
  <c r="C372" i="6"/>
  <c r="D372" i="6"/>
  <c r="E372" i="6"/>
  <c r="F372" i="6"/>
  <c r="A373" i="6"/>
  <c r="B373" i="6"/>
  <c r="C373" i="6"/>
  <c r="D373" i="6"/>
  <c r="E373" i="6"/>
  <c r="F373" i="6"/>
  <c r="A374" i="6"/>
  <c r="B374" i="6"/>
  <c r="C374" i="6"/>
  <c r="D374" i="6"/>
  <c r="E374" i="6"/>
  <c r="F374" i="6"/>
  <c r="A375" i="6"/>
  <c r="B375" i="6"/>
  <c r="C375" i="6"/>
  <c r="D375" i="6"/>
  <c r="E375" i="6"/>
  <c r="F375" i="6"/>
  <c r="A376" i="6"/>
  <c r="B376" i="6"/>
  <c r="C376" i="6"/>
  <c r="D376" i="6"/>
  <c r="E376" i="6"/>
  <c r="F376" i="6"/>
  <c r="A377" i="6"/>
  <c r="B377" i="6"/>
  <c r="C377" i="6"/>
  <c r="D377" i="6"/>
  <c r="E377" i="6"/>
  <c r="F377" i="6"/>
  <c r="A378" i="6"/>
  <c r="B378" i="6"/>
  <c r="C378" i="6"/>
  <c r="D378" i="6"/>
  <c r="E378" i="6"/>
  <c r="F378" i="6"/>
  <c r="A379" i="6"/>
  <c r="B379" i="6"/>
  <c r="C379" i="6"/>
  <c r="D379" i="6"/>
  <c r="E379" i="6"/>
  <c r="F379" i="6"/>
  <c r="A380" i="6"/>
  <c r="B380" i="6"/>
  <c r="C380" i="6"/>
  <c r="D380" i="6"/>
  <c r="E380" i="6"/>
  <c r="F380" i="6"/>
  <c r="A381" i="6"/>
  <c r="B381" i="6"/>
  <c r="C381" i="6"/>
  <c r="D381" i="6"/>
  <c r="E381" i="6"/>
  <c r="F381" i="6"/>
  <c r="A382" i="6"/>
  <c r="B382" i="6"/>
  <c r="C382" i="6"/>
  <c r="D382" i="6"/>
  <c r="E382" i="6"/>
  <c r="F382" i="6"/>
  <c r="A383" i="6"/>
  <c r="B383" i="6"/>
  <c r="C383" i="6"/>
  <c r="D383" i="6"/>
  <c r="E383" i="6"/>
  <c r="F383" i="6"/>
  <c r="A384" i="6"/>
  <c r="B384" i="6"/>
  <c r="C384" i="6"/>
  <c r="D384" i="6"/>
  <c r="E384" i="6"/>
  <c r="F384" i="6"/>
  <c r="A385" i="6"/>
  <c r="B385" i="6"/>
  <c r="C385" i="6"/>
  <c r="D385" i="6"/>
  <c r="E385" i="6"/>
  <c r="F385" i="6"/>
  <c r="A386" i="6"/>
  <c r="B386" i="6"/>
  <c r="C386" i="6"/>
  <c r="D386" i="6"/>
  <c r="E386" i="6"/>
  <c r="F386" i="6"/>
  <c r="A387" i="6"/>
  <c r="B387" i="6"/>
  <c r="C387" i="6"/>
  <c r="D387" i="6"/>
  <c r="E387" i="6"/>
  <c r="F387" i="6"/>
  <c r="A388" i="6"/>
  <c r="B388" i="6"/>
  <c r="C388" i="6"/>
  <c r="D388" i="6"/>
  <c r="E388" i="6"/>
  <c r="F388" i="6"/>
  <c r="A389" i="6"/>
  <c r="B389" i="6"/>
  <c r="C389" i="6"/>
  <c r="D389" i="6"/>
  <c r="E389" i="6"/>
  <c r="F389" i="6"/>
  <c r="A390" i="6"/>
  <c r="B390" i="6"/>
  <c r="C390" i="6"/>
  <c r="D390" i="6"/>
  <c r="E390" i="6"/>
  <c r="F390" i="6"/>
  <c r="A391" i="6"/>
  <c r="B391" i="6"/>
  <c r="C391" i="6"/>
  <c r="D391" i="6"/>
  <c r="E391" i="6"/>
  <c r="F391" i="6"/>
  <c r="A392" i="6"/>
  <c r="B392" i="6"/>
  <c r="C392" i="6"/>
  <c r="D392" i="6"/>
  <c r="E392" i="6"/>
  <c r="F392" i="6"/>
  <c r="A393" i="6"/>
  <c r="B393" i="6"/>
  <c r="C393" i="6"/>
  <c r="D393" i="6"/>
  <c r="E393" i="6"/>
  <c r="F393" i="6"/>
  <c r="A394" i="6"/>
  <c r="B394" i="6"/>
  <c r="C394" i="6"/>
  <c r="D394" i="6"/>
  <c r="E394" i="6"/>
  <c r="F394" i="6"/>
  <c r="A395" i="6"/>
  <c r="B395" i="6"/>
  <c r="C395" i="6"/>
  <c r="D395" i="6"/>
  <c r="E395" i="6"/>
  <c r="F395" i="6"/>
  <c r="A396" i="6"/>
  <c r="B396" i="6"/>
  <c r="C396" i="6"/>
  <c r="D396" i="6"/>
  <c r="E396" i="6"/>
  <c r="F396" i="6"/>
  <c r="A397" i="6"/>
  <c r="B397" i="6"/>
  <c r="C397" i="6"/>
  <c r="D397" i="6"/>
  <c r="E397" i="6"/>
  <c r="F397" i="6"/>
  <c r="A398" i="6"/>
  <c r="B398" i="6"/>
  <c r="C398" i="6"/>
  <c r="D398" i="6"/>
  <c r="E398" i="6"/>
  <c r="F398" i="6"/>
  <c r="A399" i="6"/>
  <c r="B399" i="6"/>
  <c r="C399" i="6"/>
  <c r="D399" i="6"/>
  <c r="E399" i="6"/>
  <c r="F399" i="6"/>
  <c r="A400" i="6"/>
  <c r="B400" i="6"/>
  <c r="C400" i="6"/>
  <c r="D400" i="6"/>
  <c r="E400" i="6"/>
  <c r="F400" i="6"/>
  <c r="A401" i="6"/>
  <c r="B401" i="6"/>
  <c r="C401" i="6"/>
  <c r="D401" i="6"/>
  <c r="E401" i="6"/>
  <c r="F401" i="6"/>
  <c r="A402" i="6"/>
  <c r="B402" i="6"/>
  <c r="C402" i="6"/>
  <c r="D402" i="6"/>
  <c r="E402" i="6"/>
  <c r="F402" i="6"/>
  <c r="A403" i="6"/>
  <c r="B403" i="6"/>
  <c r="C403" i="6"/>
  <c r="D403" i="6"/>
  <c r="E403" i="6"/>
  <c r="F403" i="6"/>
  <c r="A404" i="6"/>
  <c r="B404" i="6"/>
  <c r="C404" i="6"/>
  <c r="D404" i="6"/>
  <c r="E404" i="6"/>
  <c r="F404" i="6"/>
  <c r="A405" i="6"/>
  <c r="B405" i="6"/>
  <c r="C405" i="6"/>
  <c r="D405" i="6"/>
  <c r="E405" i="6"/>
  <c r="F405" i="6"/>
  <c r="A406" i="6"/>
  <c r="B406" i="6"/>
  <c r="C406" i="6"/>
  <c r="D406" i="6"/>
  <c r="E406" i="6"/>
  <c r="F406" i="6"/>
  <c r="A407" i="6"/>
  <c r="B407" i="6"/>
  <c r="C407" i="6"/>
  <c r="D407" i="6"/>
  <c r="E407" i="6"/>
  <c r="F407" i="6"/>
  <c r="A408" i="6"/>
  <c r="B408" i="6"/>
  <c r="C408" i="6"/>
  <c r="D408" i="6"/>
  <c r="E408" i="6"/>
  <c r="F408" i="6"/>
  <c r="A409" i="6"/>
  <c r="B409" i="6"/>
  <c r="C409" i="6"/>
  <c r="D409" i="6"/>
  <c r="E409" i="6"/>
  <c r="F409" i="6"/>
  <c r="A410" i="6"/>
  <c r="B410" i="6"/>
  <c r="C410" i="6"/>
  <c r="D410" i="6"/>
  <c r="E410" i="6"/>
  <c r="F410" i="6"/>
  <c r="A411" i="6"/>
  <c r="B411" i="6"/>
  <c r="C411" i="6"/>
  <c r="D411" i="6"/>
  <c r="E411" i="6"/>
  <c r="F411" i="6"/>
  <c r="A412" i="6"/>
  <c r="B412" i="6"/>
  <c r="C412" i="6"/>
  <c r="D412" i="6"/>
  <c r="E412" i="6"/>
  <c r="F412" i="6"/>
  <c r="A413" i="6"/>
  <c r="B413" i="6"/>
  <c r="C413" i="6"/>
  <c r="D413" i="6"/>
  <c r="E413" i="6"/>
  <c r="F413" i="6"/>
  <c r="A414" i="6"/>
  <c r="B414" i="6"/>
  <c r="C414" i="6"/>
  <c r="D414" i="6"/>
  <c r="E414" i="6"/>
  <c r="F414" i="6"/>
  <c r="A415" i="6"/>
  <c r="B415" i="6"/>
  <c r="C415" i="6"/>
  <c r="D415" i="6"/>
  <c r="E415" i="6"/>
  <c r="F415" i="6"/>
  <c r="A416" i="6"/>
  <c r="B416" i="6"/>
  <c r="C416" i="6"/>
  <c r="D416" i="6"/>
  <c r="E416" i="6"/>
  <c r="F416" i="6"/>
  <c r="A417" i="6"/>
  <c r="B417" i="6"/>
  <c r="C417" i="6"/>
  <c r="D417" i="6"/>
  <c r="E417" i="6"/>
  <c r="F417" i="6"/>
  <c r="A418" i="6"/>
  <c r="B418" i="6"/>
  <c r="C418" i="6"/>
  <c r="D418" i="6"/>
  <c r="E418" i="6"/>
  <c r="F418" i="6"/>
  <c r="A419" i="6"/>
  <c r="B419" i="6"/>
  <c r="C419" i="6"/>
  <c r="D419" i="6"/>
  <c r="E419" i="6"/>
  <c r="F419" i="6"/>
  <c r="A420" i="6"/>
  <c r="B420" i="6"/>
  <c r="C420" i="6"/>
  <c r="D420" i="6"/>
  <c r="E420" i="6"/>
  <c r="F420" i="6"/>
  <c r="A421" i="6"/>
  <c r="B421" i="6"/>
  <c r="C421" i="6"/>
  <c r="D421" i="6"/>
  <c r="E421" i="6"/>
  <c r="F421" i="6"/>
  <c r="A422" i="6"/>
  <c r="B422" i="6"/>
  <c r="C422" i="6"/>
  <c r="D422" i="6"/>
  <c r="E422" i="6"/>
  <c r="F422" i="6"/>
  <c r="A423" i="6"/>
  <c r="B423" i="6"/>
  <c r="C423" i="6"/>
  <c r="D423" i="6"/>
  <c r="E423" i="6"/>
  <c r="F423" i="6"/>
  <c r="A424" i="6"/>
  <c r="B424" i="6"/>
  <c r="C424" i="6"/>
  <c r="D424" i="6"/>
  <c r="E424" i="6"/>
  <c r="F424" i="6"/>
  <c r="A425" i="6"/>
  <c r="B425" i="6"/>
  <c r="C425" i="6"/>
  <c r="D425" i="6"/>
  <c r="E425" i="6"/>
  <c r="F425" i="6"/>
  <c r="A426" i="6"/>
  <c r="B426" i="6"/>
  <c r="C426" i="6"/>
  <c r="D426" i="6"/>
  <c r="E426" i="6"/>
  <c r="F426" i="6"/>
  <c r="A427" i="6"/>
  <c r="B427" i="6"/>
  <c r="C427" i="6"/>
  <c r="D427" i="6"/>
  <c r="E427" i="6"/>
  <c r="F427" i="6"/>
  <c r="A428" i="6"/>
  <c r="B428" i="6"/>
  <c r="C428" i="6"/>
  <c r="D428" i="6"/>
  <c r="E428" i="6"/>
  <c r="F428" i="6"/>
  <c r="A429" i="6"/>
  <c r="B429" i="6"/>
  <c r="C429" i="6"/>
  <c r="D429" i="6"/>
  <c r="E429" i="6"/>
  <c r="F429" i="6"/>
  <c r="A430" i="6"/>
  <c r="B430" i="6"/>
  <c r="C430" i="6"/>
  <c r="D430" i="6"/>
  <c r="E430" i="6"/>
  <c r="F430" i="6"/>
  <c r="A431" i="6"/>
  <c r="B431" i="6"/>
  <c r="C431" i="6"/>
  <c r="D431" i="6"/>
  <c r="E431" i="6"/>
  <c r="F431" i="6"/>
  <c r="A432" i="6"/>
  <c r="B432" i="6"/>
  <c r="C432" i="6"/>
  <c r="D432" i="6"/>
  <c r="E432" i="6"/>
  <c r="F432" i="6"/>
  <c r="A433" i="6"/>
  <c r="B433" i="6"/>
  <c r="C433" i="6"/>
  <c r="D433" i="6"/>
  <c r="E433" i="6"/>
  <c r="F433" i="6"/>
  <c r="A434" i="6"/>
  <c r="B434" i="6"/>
  <c r="C434" i="6"/>
  <c r="D434" i="6"/>
  <c r="E434" i="6"/>
  <c r="F434" i="6"/>
  <c r="A435" i="6"/>
  <c r="B435" i="6"/>
  <c r="C435" i="6"/>
  <c r="D435" i="6"/>
  <c r="E435" i="6"/>
  <c r="F435" i="6"/>
  <c r="A436" i="6"/>
  <c r="B436" i="6"/>
  <c r="C436" i="6"/>
  <c r="D436" i="6"/>
  <c r="E436" i="6"/>
  <c r="F436" i="6"/>
  <c r="A437" i="6"/>
  <c r="B437" i="6"/>
  <c r="C437" i="6"/>
  <c r="D437" i="6"/>
  <c r="E437" i="6"/>
  <c r="F437" i="6"/>
  <c r="A438" i="6"/>
  <c r="B438" i="6"/>
  <c r="C438" i="6"/>
  <c r="D438" i="6"/>
  <c r="E438" i="6"/>
  <c r="F438" i="6"/>
  <c r="A439" i="6"/>
  <c r="B439" i="6"/>
  <c r="C439" i="6"/>
  <c r="D439" i="6"/>
  <c r="E439" i="6"/>
  <c r="F439" i="6"/>
  <c r="A440" i="6"/>
  <c r="B440" i="6"/>
  <c r="C440" i="6"/>
  <c r="D440" i="6"/>
  <c r="E440" i="6"/>
  <c r="F440" i="6"/>
  <c r="A441" i="6"/>
  <c r="B441" i="6"/>
  <c r="C441" i="6"/>
  <c r="D441" i="6"/>
  <c r="E441" i="6"/>
  <c r="F441" i="6"/>
  <c r="A442" i="6"/>
  <c r="B442" i="6"/>
  <c r="C442" i="6"/>
  <c r="D442" i="6"/>
  <c r="E442" i="6"/>
  <c r="F442" i="6"/>
  <c r="A443" i="6"/>
  <c r="B443" i="6"/>
  <c r="C443" i="6"/>
  <c r="D443" i="6"/>
  <c r="E443" i="6"/>
  <c r="F443" i="6"/>
  <c r="A444" i="6"/>
  <c r="B444" i="6"/>
  <c r="C444" i="6"/>
  <c r="D444" i="6"/>
  <c r="E444" i="6"/>
  <c r="F444" i="6"/>
  <c r="A445" i="6"/>
  <c r="B445" i="6"/>
  <c r="C445" i="6"/>
  <c r="D445" i="6"/>
  <c r="E445" i="6"/>
  <c r="F445" i="6"/>
  <c r="A446" i="6"/>
  <c r="B446" i="6"/>
  <c r="C446" i="6"/>
  <c r="D446" i="6"/>
  <c r="E446" i="6"/>
  <c r="F446" i="6"/>
  <c r="A447" i="6"/>
  <c r="B447" i="6"/>
  <c r="C447" i="6"/>
  <c r="D447" i="6"/>
  <c r="E447" i="6"/>
  <c r="F447" i="6"/>
  <c r="A448" i="6"/>
  <c r="B448" i="6"/>
  <c r="C448" i="6"/>
  <c r="D448" i="6"/>
  <c r="E448" i="6"/>
  <c r="F448" i="6"/>
  <c r="A449" i="6"/>
  <c r="B449" i="6"/>
  <c r="C449" i="6"/>
  <c r="D449" i="6"/>
  <c r="E449" i="6"/>
  <c r="F449" i="6"/>
  <c r="A450" i="6"/>
  <c r="B450" i="6"/>
  <c r="C450" i="6"/>
  <c r="D450" i="6"/>
  <c r="E450" i="6"/>
  <c r="F450" i="6"/>
  <c r="A451" i="6"/>
  <c r="B451" i="6"/>
  <c r="C451" i="6"/>
  <c r="D451" i="6"/>
  <c r="E451" i="6"/>
  <c r="F451" i="6"/>
  <c r="A452" i="6"/>
  <c r="B452" i="6"/>
  <c r="C452" i="6"/>
  <c r="D452" i="6"/>
  <c r="E452" i="6"/>
  <c r="F452" i="6"/>
  <c r="A453" i="6"/>
  <c r="B453" i="6"/>
  <c r="C453" i="6"/>
  <c r="D453" i="6"/>
  <c r="E453" i="6"/>
  <c r="F453" i="6"/>
  <c r="A454" i="6"/>
  <c r="B454" i="6"/>
  <c r="C454" i="6"/>
  <c r="D454" i="6"/>
  <c r="E454" i="6"/>
  <c r="F454" i="6"/>
  <c r="A455" i="6"/>
  <c r="B455" i="6"/>
  <c r="C455" i="6"/>
  <c r="D455" i="6"/>
  <c r="E455" i="6"/>
  <c r="F455" i="6"/>
  <c r="A456" i="6"/>
  <c r="B456" i="6"/>
  <c r="C456" i="6"/>
  <c r="D456" i="6"/>
  <c r="E456" i="6"/>
  <c r="F456" i="6"/>
  <c r="A457" i="6"/>
  <c r="B457" i="6"/>
  <c r="C457" i="6"/>
  <c r="D457" i="6"/>
  <c r="E457" i="6"/>
  <c r="F457" i="6"/>
  <c r="A458" i="6"/>
  <c r="B458" i="6"/>
  <c r="C458" i="6"/>
  <c r="D458" i="6"/>
  <c r="E458" i="6"/>
  <c r="F458" i="6"/>
  <c r="A459" i="6"/>
  <c r="B459" i="6"/>
  <c r="C459" i="6"/>
  <c r="D459" i="6"/>
  <c r="E459" i="6"/>
  <c r="F459" i="6"/>
  <c r="A460" i="6"/>
  <c r="B460" i="6"/>
  <c r="C460" i="6"/>
  <c r="D460" i="6"/>
  <c r="E460" i="6"/>
  <c r="F460" i="6"/>
  <c r="A461" i="6"/>
  <c r="B461" i="6"/>
  <c r="C461" i="6"/>
  <c r="D461" i="6"/>
  <c r="E461" i="6"/>
  <c r="F461" i="6"/>
  <c r="A462" i="6"/>
  <c r="B462" i="6"/>
  <c r="C462" i="6"/>
  <c r="D462" i="6"/>
  <c r="E462" i="6"/>
  <c r="F462" i="6"/>
  <c r="A463" i="6"/>
  <c r="B463" i="6"/>
  <c r="C463" i="6"/>
  <c r="D463" i="6"/>
  <c r="E463" i="6"/>
  <c r="F463" i="6"/>
  <c r="A464" i="6"/>
  <c r="B464" i="6"/>
  <c r="C464" i="6"/>
  <c r="D464" i="6"/>
  <c r="E464" i="6"/>
  <c r="F464" i="6"/>
  <c r="A465" i="6"/>
  <c r="B465" i="6"/>
  <c r="C465" i="6"/>
  <c r="D465" i="6"/>
  <c r="E465" i="6"/>
  <c r="F465" i="6"/>
  <c r="A466" i="6"/>
  <c r="B466" i="6"/>
  <c r="C466" i="6"/>
  <c r="D466" i="6"/>
  <c r="E466" i="6"/>
  <c r="F466" i="6"/>
  <c r="A467" i="6"/>
  <c r="B467" i="6"/>
  <c r="C467" i="6"/>
  <c r="D467" i="6"/>
  <c r="E467" i="6"/>
  <c r="F467" i="6"/>
  <c r="A468" i="6"/>
  <c r="B468" i="6"/>
  <c r="C468" i="6"/>
  <c r="D468" i="6"/>
  <c r="E468" i="6"/>
  <c r="F468" i="6"/>
  <c r="A469" i="6"/>
  <c r="B469" i="6"/>
  <c r="C469" i="6"/>
  <c r="D469" i="6"/>
  <c r="E469" i="6"/>
  <c r="F469" i="6"/>
  <c r="A470" i="6"/>
  <c r="B470" i="6"/>
  <c r="C470" i="6"/>
  <c r="D470" i="6"/>
  <c r="E470" i="6"/>
  <c r="F470" i="6"/>
  <c r="A471" i="6"/>
  <c r="B471" i="6"/>
  <c r="C471" i="6"/>
  <c r="D471" i="6"/>
  <c r="E471" i="6"/>
  <c r="F471" i="6"/>
  <c r="A472" i="6"/>
  <c r="B472" i="6"/>
  <c r="C472" i="6"/>
  <c r="D472" i="6"/>
  <c r="E472" i="6"/>
  <c r="F472" i="6"/>
  <c r="A473" i="6"/>
  <c r="B473" i="6"/>
  <c r="C473" i="6"/>
  <c r="D473" i="6"/>
  <c r="E473" i="6"/>
  <c r="F473" i="6"/>
  <c r="A474" i="6"/>
  <c r="B474" i="6"/>
  <c r="C474" i="6"/>
  <c r="D474" i="6"/>
  <c r="E474" i="6"/>
  <c r="F474" i="6"/>
  <c r="A475" i="6"/>
  <c r="B475" i="6"/>
  <c r="C475" i="6"/>
  <c r="D475" i="6"/>
  <c r="E475" i="6"/>
  <c r="F475" i="6"/>
  <c r="A476" i="6"/>
  <c r="B476" i="6"/>
  <c r="C476" i="6"/>
  <c r="D476" i="6"/>
  <c r="E476" i="6"/>
  <c r="F476" i="6"/>
  <c r="A477" i="6"/>
  <c r="B477" i="6"/>
  <c r="C477" i="6"/>
  <c r="D477" i="6"/>
  <c r="E477" i="6"/>
  <c r="F477" i="6"/>
  <c r="A478" i="6"/>
  <c r="B478" i="6"/>
  <c r="C478" i="6"/>
  <c r="D478" i="6"/>
  <c r="E478" i="6"/>
  <c r="F478" i="6"/>
  <c r="A479" i="6"/>
  <c r="B479" i="6"/>
  <c r="C479" i="6"/>
  <c r="D479" i="6"/>
  <c r="E479" i="6"/>
  <c r="F479" i="6"/>
  <c r="A480" i="6"/>
  <c r="B480" i="6"/>
  <c r="C480" i="6"/>
  <c r="D480" i="6"/>
  <c r="E480" i="6"/>
  <c r="F480" i="6"/>
  <c r="A481" i="6"/>
  <c r="B481" i="6"/>
  <c r="C481" i="6"/>
  <c r="D481" i="6"/>
  <c r="E481" i="6"/>
  <c r="F481" i="6"/>
  <c r="A482" i="6"/>
  <c r="B482" i="6"/>
  <c r="C482" i="6"/>
  <c r="D482" i="6"/>
  <c r="E482" i="6"/>
  <c r="F482" i="6"/>
  <c r="A483" i="6"/>
  <c r="B483" i="6"/>
  <c r="C483" i="6"/>
  <c r="D483" i="6"/>
  <c r="E483" i="6"/>
  <c r="F483" i="6"/>
  <c r="A484" i="6"/>
  <c r="B484" i="6"/>
  <c r="C484" i="6"/>
  <c r="D484" i="6"/>
  <c r="E484" i="6"/>
  <c r="F484" i="6"/>
  <c r="A485" i="6"/>
  <c r="B485" i="6"/>
  <c r="C485" i="6"/>
  <c r="D485" i="6"/>
  <c r="E485" i="6"/>
  <c r="F485" i="6"/>
  <c r="A486" i="6"/>
  <c r="B486" i="6"/>
  <c r="C486" i="6"/>
  <c r="D486" i="6"/>
  <c r="E486" i="6"/>
  <c r="F486" i="6"/>
  <c r="A487" i="6"/>
  <c r="B487" i="6"/>
  <c r="C487" i="6"/>
  <c r="D487" i="6"/>
  <c r="E487" i="6"/>
  <c r="F487" i="6"/>
  <c r="A488" i="6"/>
  <c r="B488" i="6"/>
  <c r="C488" i="6"/>
  <c r="D488" i="6"/>
  <c r="E488" i="6"/>
  <c r="F488" i="6"/>
  <c r="A489" i="6"/>
  <c r="B489" i="6"/>
  <c r="C489" i="6"/>
  <c r="D489" i="6"/>
  <c r="E489" i="6"/>
  <c r="F489" i="6"/>
  <c r="A490" i="6"/>
  <c r="B490" i="6"/>
  <c r="C490" i="6"/>
  <c r="D490" i="6"/>
  <c r="E490" i="6"/>
  <c r="F490" i="6"/>
  <c r="A491" i="6"/>
  <c r="B491" i="6"/>
  <c r="C491" i="6"/>
  <c r="D491" i="6"/>
  <c r="E491" i="6"/>
  <c r="F491" i="6"/>
  <c r="A492" i="6"/>
  <c r="B492" i="6"/>
  <c r="C492" i="6"/>
  <c r="D492" i="6"/>
  <c r="E492" i="6"/>
  <c r="F492" i="6"/>
  <c r="A493" i="6"/>
  <c r="B493" i="6"/>
  <c r="C493" i="6"/>
  <c r="D493" i="6"/>
  <c r="E493" i="6"/>
  <c r="F493" i="6"/>
  <c r="A494" i="6"/>
  <c r="B494" i="6"/>
  <c r="C494" i="6"/>
  <c r="D494" i="6"/>
  <c r="E494" i="6"/>
  <c r="F494" i="6"/>
  <c r="A495" i="6"/>
  <c r="B495" i="6"/>
  <c r="C495" i="6"/>
  <c r="D495" i="6"/>
  <c r="E495" i="6"/>
  <c r="F495" i="6"/>
  <c r="A496" i="6"/>
  <c r="B496" i="6"/>
  <c r="C496" i="6"/>
  <c r="D496" i="6"/>
  <c r="E496" i="6"/>
  <c r="F496" i="6"/>
  <c r="A497" i="6"/>
  <c r="B497" i="6"/>
  <c r="C497" i="6"/>
  <c r="D497" i="6"/>
  <c r="E497" i="6"/>
  <c r="F497" i="6"/>
  <c r="A498" i="6"/>
  <c r="B498" i="6"/>
  <c r="C498" i="6"/>
  <c r="D498" i="6"/>
  <c r="E498" i="6"/>
  <c r="F498" i="6"/>
  <c r="A499" i="6"/>
  <c r="B499" i="6"/>
  <c r="C499" i="6"/>
  <c r="D499" i="6"/>
  <c r="E499" i="6"/>
  <c r="F499" i="6"/>
  <c r="A500" i="6"/>
  <c r="B500" i="6"/>
  <c r="C500" i="6"/>
  <c r="D500" i="6"/>
  <c r="E500" i="6"/>
  <c r="F500" i="6"/>
  <c r="A501" i="6"/>
  <c r="B501" i="6"/>
  <c r="C501" i="6"/>
  <c r="D501" i="6"/>
  <c r="E501" i="6"/>
  <c r="F501" i="6"/>
  <c r="A502" i="6"/>
  <c r="B502" i="6"/>
  <c r="C502" i="6"/>
  <c r="D502" i="6"/>
  <c r="E502" i="6"/>
  <c r="F502" i="6"/>
  <c r="A503" i="6"/>
  <c r="B503" i="6"/>
  <c r="C503" i="6"/>
  <c r="D503" i="6"/>
  <c r="E503" i="6"/>
  <c r="F503" i="6"/>
  <c r="A504" i="6"/>
  <c r="B504" i="6"/>
  <c r="C504" i="6"/>
  <c r="D504" i="6"/>
  <c r="E504" i="6"/>
  <c r="F504" i="6"/>
  <c r="A505" i="6"/>
  <c r="B505" i="6"/>
  <c r="C505" i="6"/>
  <c r="D505" i="6"/>
  <c r="E505" i="6"/>
  <c r="F505" i="6"/>
  <c r="A506" i="6"/>
  <c r="B506" i="6"/>
  <c r="C506" i="6"/>
  <c r="D506" i="6"/>
  <c r="E506" i="6"/>
  <c r="F506" i="6"/>
  <c r="A507" i="6"/>
  <c r="B507" i="6"/>
  <c r="C507" i="6"/>
  <c r="D507" i="6"/>
  <c r="E507" i="6"/>
  <c r="F507" i="6"/>
  <c r="A508" i="6"/>
  <c r="B508" i="6"/>
  <c r="C508" i="6"/>
  <c r="D508" i="6"/>
  <c r="E508" i="6"/>
  <c r="F508" i="6"/>
  <c r="A509" i="6"/>
  <c r="B509" i="6"/>
  <c r="C509" i="6"/>
  <c r="D509" i="6"/>
  <c r="E509" i="6"/>
  <c r="F509" i="6"/>
  <c r="A510" i="6"/>
  <c r="B510" i="6"/>
  <c r="C510" i="6"/>
  <c r="D510" i="6"/>
  <c r="E510" i="6"/>
  <c r="F510" i="6"/>
  <c r="A511" i="6"/>
  <c r="B511" i="6"/>
  <c r="C511" i="6"/>
  <c r="D511" i="6"/>
  <c r="E511" i="6"/>
  <c r="F511" i="6"/>
  <c r="A512" i="6"/>
  <c r="B512" i="6"/>
  <c r="C512" i="6"/>
  <c r="D512" i="6"/>
  <c r="E512" i="6"/>
  <c r="F512" i="6"/>
  <c r="A513" i="6"/>
  <c r="B513" i="6"/>
  <c r="C513" i="6"/>
  <c r="D513" i="6"/>
  <c r="E513" i="6"/>
  <c r="F513" i="6"/>
  <c r="A514" i="6"/>
  <c r="B514" i="6"/>
  <c r="C514" i="6"/>
  <c r="D514" i="6"/>
  <c r="E514" i="6"/>
  <c r="F514" i="6"/>
  <c r="A515" i="6"/>
  <c r="B515" i="6"/>
  <c r="C515" i="6"/>
  <c r="D515" i="6"/>
  <c r="E515" i="6"/>
  <c r="F515" i="6"/>
  <c r="A516" i="6"/>
  <c r="B516" i="6"/>
  <c r="C516" i="6"/>
  <c r="D516" i="6"/>
  <c r="E516" i="6"/>
  <c r="F516" i="6"/>
  <c r="A517" i="6"/>
  <c r="B517" i="6"/>
  <c r="C517" i="6"/>
  <c r="D517" i="6"/>
  <c r="E517" i="6"/>
  <c r="F517" i="6"/>
  <c r="A518" i="6"/>
  <c r="B518" i="6"/>
  <c r="C518" i="6"/>
  <c r="D518" i="6"/>
  <c r="E518" i="6"/>
  <c r="F518" i="6"/>
  <c r="A519" i="6"/>
  <c r="B519" i="6"/>
  <c r="C519" i="6"/>
  <c r="D519" i="6"/>
  <c r="E519" i="6"/>
  <c r="F519" i="6"/>
  <c r="A520" i="6"/>
  <c r="B520" i="6"/>
  <c r="C520" i="6"/>
  <c r="D520" i="6"/>
  <c r="E520" i="6"/>
  <c r="F520" i="6"/>
  <c r="A521" i="6"/>
  <c r="B521" i="6"/>
  <c r="C521" i="6"/>
  <c r="D521" i="6"/>
  <c r="E521" i="6"/>
  <c r="F521" i="6"/>
  <c r="A522" i="6"/>
  <c r="B522" i="6"/>
  <c r="C522" i="6"/>
  <c r="D522" i="6"/>
  <c r="E522" i="6"/>
  <c r="F522" i="6"/>
  <c r="A523" i="6"/>
  <c r="B523" i="6"/>
  <c r="C523" i="6"/>
  <c r="D523" i="6"/>
  <c r="E523" i="6"/>
  <c r="F523" i="6"/>
  <c r="A524" i="6"/>
  <c r="B524" i="6"/>
  <c r="C524" i="6"/>
  <c r="D524" i="6"/>
  <c r="E524" i="6"/>
  <c r="F524" i="6"/>
  <c r="A525" i="6"/>
  <c r="B525" i="6"/>
  <c r="C525" i="6"/>
  <c r="D525" i="6"/>
  <c r="E525" i="6"/>
  <c r="F525" i="6"/>
  <c r="A526" i="6"/>
  <c r="B526" i="6"/>
  <c r="C526" i="6"/>
  <c r="D526" i="6"/>
  <c r="E526" i="6"/>
  <c r="F526" i="6"/>
  <c r="A527" i="6"/>
  <c r="B527" i="6"/>
  <c r="C527" i="6"/>
  <c r="D527" i="6"/>
  <c r="E527" i="6"/>
  <c r="F527" i="6"/>
  <c r="A528" i="6"/>
  <c r="B528" i="6"/>
  <c r="C528" i="6"/>
  <c r="D528" i="6"/>
  <c r="E528" i="6"/>
  <c r="F528" i="6"/>
  <c r="A529" i="6"/>
  <c r="B529" i="6"/>
  <c r="C529" i="6"/>
  <c r="D529" i="6"/>
  <c r="E529" i="6"/>
  <c r="F529" i="6"/>
  <c r="A530" i="6"/>
  <c r="B530" i="6"/>
  <c r="C530" i="6"/>
  <c r="D530" i="6"/>
  <c r="E530" i="6"/>
  <c r="F530" i="6"/>
  <c r="A531" i="6"/>
  <c r="B531" i="6"/>
  <c r="C531" i="6"/>
  <c r="D531" i="6"/>
  <c r="E531" i="6"/>
  <c r="F531" i="6"/>
  <c r="A532" i="6"/>
  <c r="B532" i="6"/>
  <c r="C532" i="6"/>
  <c r="D532" i="6"/>
  <c r="E532" i="6"/>
  <c r="F532" i="6"/>
  <c r="A533" i="6"/>
  <c r="B533" i="6"/>
  <c r="C533" i="6"/>
  <c r="D533" i="6"/>
  <c r="E533" i="6"/>
  <c r="F533" i="6"/>
  <c r="A534" i="6"/>
  <c r="B534" i="6"/>
  <c r="C534" i="6"/>
  <c r="D534" i="6"/>
  <c r="E534" i="6"/>
  <c r="F534" i="6"/>
  <c r="A535" i="6"/>
  <c r="B535" i="6"/>
  <c r="C535" i="6"/>
  <c r="D535" i="6"/>
  <c r="E535" i="6"/>
  <c r="F535" i="6"/>
  <c r="A536" i="6"/>
  <c r="B536" i="6"/>
  <c r="C536" i="6"/>
  <c r="D536" i="6"/>
  <c r="E536" i="6"/>
  <c r="F536" i="6"/>
  <c r="A537" i="6"/>
  <c r="B537" i="6"/>
  <c r="C537" i="6"/>
  <c r="D537" i="6"/>
  <c r="E537" i="6"/>
  <c r="F537" i="6"/>
  <c r="A538" i="6"/>
  <c r="B538" i="6"/>
  <c r="C538" i="6"/>
  <c r="D538" i="6"/>
  <c r="E538" i="6"/>
  <c r="F538" i="6"/>
  <c r="A539" i="6"/>
  <c r="B539" i="6"/>
  <c r="C539" i="6"/>
  <c r="D539" i="6"/>
  <c r="E539" i="6"/>
  <c r="F539" i="6"/>
  <c r="A540" i="6"/>
  <c r="B540" i="6"/>
  <c r="C540" i="6"/>
  <c r="D540" i="6"/>
  <c r="E540" i="6"/>
  <c r="F540" i="6"/>
  <c r="A541" i="6"/>
  <c r="B541" i="6"/>
  <c r="C541" i="6"/>
  <c r="D541" i="6"/>
  <c r="E541" i="6"/>
  <c r="F541" i="6"/>
  <c r="A542" i="6"/>
  <c r="B542" i="6"/>
  <c r="C542" i="6"/>
  <c r="D542" i="6"/>
  <c r="E542" i="6"/>
  <c r="F542" i="6"/>
  <c r="A543" i="6"/>
  <c r="B543" i="6"/>
  <c r="C543" i="6"/>
  <c r="D543" i="6"/>
  <c r="E543" i="6"/>
  <c r="F543" i="6"/>
  <c r="A544" i="6"/>
  <c r="B544" i="6"/>
  <c r="C544" i="6"/>
  <c r="D544" i="6"/>
  <c r="E544" i="6"/>
  <c r="F544" i="6"/>
  <c r="A545" i="6"/>
  <c r="B545" i="6"/>
  <c r="C545" i="6"/>
  <c r="D545" i="6"/>
  <c r="E545" i="6"/>
  <c r="F545" i="6"/>
  <c r="A546" i="6"/>
  <c r="B546" i="6"/>
  <c r="C546" i="6"/>
  <c r="D546" i="6"/>
  <c r="E546" i="6"/>
  <c r="F546" i="6"/>
  <c r="A547" i="6"/>
  <c r="B547" i="6"/>
  <c r="C547" i="6"/>
  <c r="D547" i="6"/>
  <c r="E547" i="6"/>
  <c r="F547" i="6"/>
  <c r="A548" i="6"/>
  <c r="B548" i="6"/>
  <c r="C548" i="6"/>
  <c r="D548" i="6"/>
  <c r="E548" i="6"/>
  <c r="F548" i="6"/>
  <c r="A549" i="6"/>
  <c r="B549" i="6"/>
  <c r="C549" i="6"/>
  <c r="D549" i="6"/>
  <c r="E549" i="6"/>
  <c r="F549" i="6"/>
  <c r="A550" i="6"/>
  <c r="B550" i="6"/>
  <c r="C550" i="6"/>
  <c r="D550" i="6"/>
  <c r="E550" i="6"/>
  <c r="F550" i="6"/>
  <c r="A551" i="6"/>
  <c r="B551" i="6"/>
  <c r="C551" i="6"/>
  <c r="D551" i="6"/>
  <c r="E551" i="6"/>
  <c r="F551" i="6"/>
  <c r="A552" i="6"/>
  <c r="B552" i="6"/>
  <c r="C552" i="6"/>
  <c r="D552" i="6"/>
  <c r="E552" i="6"/>
  <c r="F552" i="6"/>
  <c r="A553" i="6"/>
  <c r="B553" i="6"/>
  <c r="C553" i="6"/>
  <c r="D553" i="6"/>
  <c r="E553" i="6"/>
  <c r="F553" i="6"/>
  <c r="A554" i="6"/>
  <c r="B554" i="6"/>
  <c r="C554" i="6"/>
  <c r="D554" i="6"/>
  <c r="E554" i="6"/>
  <c r="F554" i="6"/>
  <c r="A555" i="6"/>
  <c r="B555" i="6"/>
  <c r="C555" i="6"/>
  <c r="D555" i="6"/>
  <c r="E555" i="6"/>
  <c r="F555" i="6"/>
  <c r="A556" i="6"/>
  <c r="B556" i="6"/>
  <c r="C556" i="6"/>
  <c r="D556" i="6"/>
  <c r="E556" i="6"/>
  <c r="F556" i="6"/>
  <c r="A557" i="6"/>
  <c r="B557" i="6"/>
  <c r="C557" i="6"/>
  <c r="D557" i="6"/>
  <c r="E557" i="6"/>
  <c r="F557" i="6"/>
  <c r="A558" i="6"/>
  <c r="B558" i="6"/>
  <c r="C558" i="6"/>
  <c r="D558" i="6"/>
  <c r="E558" i="6"/>
  <c r="F558" i="6"/>
  <c r="A559" i="6"/>
  <c r="B559" i="6"/>
  <c r="C559" i="6"/>
  <c r="D559" i="6"/>
  <c r="E559" i="6"/>
  <c r="F559" i="6"/>
  <c r="A560" i="6"/>
  <c r="B560" i="6"/>
  <c r="C560" i="6"/>
  <c r="D560" i="6"/>
  <c r="E560" i="6"/>
  <c r="F560" i="6"/>
  <c r="A561" i="6"/>
  <c r="B561" i="6"/>
  <c r="C561" i="6"/>
  <c r="D561" i="6"/>
  <c r="E561" i="6"/>
  <c r="F561" i="6"/>
  <c r="A562" i="6"/>
  <c r="B562" i="6"/>
  <c r="C562" i="6"/>
  <c r="D562" i="6"/>
  <c r="E562" i="6"/>
  <c r="F562" i="6"/>
  <c r="A563" i="6"/>
  <c r="B563" i="6"/>
  <c r="C563" i="6"/>
  <c r="D563" i="6"/>
  <c r="E563" i="6"/>
  <c r="F563" i="6"/>
  <c r="A564" i="6"/>
  <c r="B564" i="6"/>
  <c r="C564" i="6"/>
  <c r="D564" i="6"/>
  <c r="E564" i="6"/>
  <c r="F564" i="6"/>
  <c r="A565" i="6"/>
  <c r="B565" i="6"/>
  <c r="C565" i="6"/>
  <c r="D565" i="6"/>
  <c r="E565" i="6"/>
  <c r="F565" i="6"/>
  <c r="A566" i="6"/>
  <c r="B566" i="6"/>
  <c r="C566" i="6"/>
  <c r="D566" i="6"/>
  <c r="E566" i="6"/>
  <c r="F566" i="6"/>
  <c r="A567" i="6"/>
  <c r="B567" i="6"/>
  <c r="C567" i="6"/>
  <c r="D567" i="6"/>
  <c r="E567" i="6"/>
  <c r="F567" i="6"/>
  <c r="A568" i="6"/>
  <c r="B568" i="6"/>
  <c r="C568" i="6"/>
  <c r="D568" i="6"/>
  <c r="E568" i="6"/>
  <c r="F568" i="6"/>
  <c r="A569" i="6"/>
  <c r="B569" i="6"/>
  <c r="C569" i="6"/>
  <c r="D569" i="6"/>
  <c r="E569" i="6"/>
  <c r="F569" i="6"/>
  <c r="A570" i="6"/>
  <c r="B570" i="6"/>
  <c r="C570" i="6"/>
  <c r="D570" i="6"/>
  <c r="E570" i="6"/>
  <c r="F570" i="6"/>
  <c r="A571" i="6"/>
  <c r="B571" i="6"/>
  <c r="C571" i="6"/>
  <c r="D571" i="6"/>
  <c r="E571" i="6"/>
  <c r="F571" i="6"/>
  <c r="A572" i="6"/>
  <c r="B572" i="6"/>
  <c r="C572" i="6"/>
  <c r="D572" i="6"/>
  <c r="E572" i="6"/>
  <c r="F572" i="6"/>
  <c r="A573" i="6"/>
  <c r="B573" i="6"/>
  <c r="C573" i="6"/>
  <c r="D573" i="6"/>
  <c r="E573" i="6"/>
  <c r="F573" i="6"/>
  <c r="A574" i="6"/>
  <c r="B574" i="6"/>
  <c r="C574" i="6"/>
  <c r="D574" i="6"/>
  <c r="E574" i="6"/>
  <c r="F574" i="6"/>
  <c r="A575" i="6"/>
  <c r="B575" i="6"/>
  <c r="C575" i="6"/>
  <c r="D575" i="6"/>
  <c r="E575" i="6"/>
  <c r="F575" i="6"/>
  <c r="A576" i="6"/>
  <c r="B576" i="6"/>
  <c r="C576" i="6"/>
  <c r="D576" i="6"/>
  <c r="E576" i="6"/>
  <c r="F576" i="6"/>
  <c r="A577" i="6"/>
  <c r="B577" i="6"/>
  <c r="C577" i="6"/>
  <c r="D577" i="6"/>
  <c r="E577" i="6"/>
  <c r="F577" i="6"/>
  <c r="A578" i="6"/>
  <c r="B578" i="6"/>
  <c r="C578" i="6"/>
  <c r="D578" i="6"/>
  <c r="E578" i="6"/>
  <c r="F578" i="6"/>
  <c r="A579" i="6"/>
  <c r="B579" i="6"/>
  <c r="C579" i="6"/>
  <c r="D579" i="6"/>
  <c r="E579" i="6"/>
  <c r="F579" i="6"/>
  <c r="A580" i="6"/>
  <c r="B580" i="6"/>
  <c r="C580" i="6"/>
  <c r="D580" i="6"/>
  <c r="E580" i="6"/>
  <c r="F580" i="6"/>
  <c r="A581" i="6"/>
  <c r="B581" i="6"/>
  <c r="C581" i="6"/>
  <c r="D581" i="6"/>
  <c r="E581" i="6"/>
  <c r="F581" i="6"/>
  <c r="A582" i="6"/>
  <c r="B582" i="6"/>
  <c r="C582" i="6"/>
  <c r="D582" i="6"/>
  <c r="E582" i="6"/>
  <c r="F582" i="6"/>
  <c r="A583" i="6"/>
  <c r="B583" i="6"/>
  <c r="C583" i="6"/>
  <c r="D583" i="6"/>
  <c r="E583" i="6"/>
  <c r="F583" i="6"/>
  <c r="A584" i="6"/>
  <c r="B584" i="6"/>
  <c r="C584" i="6"/>
  <c r="D584" i="6"/>
  <c r="E584" i="6"/>
  <c r="F584" i="6"/>
  <c r="A585" i="6"/>
  <c r="B585" i="6"/>
  <c r="C585" i="6"/>
  <c r="D585" i="6"/>
  <c r="E585" i="6"/>
  <c r="F585" i="6"/>
  <c r="A586" i="6"/>
  <c r="B586" i="6"/>
  <c r="C586" i="6"/>
  <c r="D586" i="6"/>
  <c r="E586" i="6"/>
  <c r="F586" i="6"/>
  <c r="A587" i="6"/>
  <c r="B587" i="6"/>
  <c r="C587" i="6"/>
  <c r="D587" i="6"/>
  <c r="E587" i="6"/>
  <c r="F587" i="6"/>
  <c r="A588" i="6"/>
  <c r="B588" i="6"/>
  <c r="C588" i="6"/>
  <c r="D588" i="6"/>
  <c r="E588" i="6"/>
  <c r="F588" i="6"/>
  <c r="A589" i="6"/>
  <c r="B589" i="6"/>
  <c r="C589" i="6"/>
  <c r="D589" i="6"/>
  <c r="E589" i="6"/>
  <c r="F589" i="6"/>
  <c r="A590" i="6"/>
  <c r="B590" i="6"/>
  <c r="C590" i="6"/>
  <c r="D590" i="6"/>
  <c r="E590" i="6"/>
  <c r="F590" i="6"/>
  <c r="A591" i="6"/>
  <c r="B591" i="6"/>
  <c r="C591" i="6"/>
  <c r="D591" i="6"/>
  <c r="E591" i="6"/>
  <c r="F591" i="6"/>
  <c r="A592" i="6"/>
  <c r="B592" i="6"/>
  <c r="C592" i="6"/>
  <c r="D592" i="6"/>
  <c r="E592" i="6"/>
  <c r="F592" i="6"/>
  <c r="A593" i="6"/>
  <c r="B593" i="6"/>
  <c r="C593" i="6"/>
  <c r="D593" i="6"/>
  <c r="E593" i="6"/>
  <c r="F593" i="6"/>
  <c r="A594" i="6"/>
  <c r="B594" i="6"/>
  <c r="C594" i="6"/>
  <c r="D594" i="6"/>
  <c r="E594" i="6"/>
  <c r="F594" i="6"/>
  <c r="A595" i="6"/>
  <c r="B595" i="6"/>
  <c r="C595" i="6"/>
  <c r="D595" i="6"/>
  <c r="E595" i="6"/>
  <c r="F595" i="6"/>
  <c r="A596" i="6"/>
  <c r="B596" i="6"/>
  <c r="C596" i="6"/>
  <c r="D596" i="6"/>
  <c r="E596" i="6"/>
  <c r="F596" i="6"/>
  <c r="A597" i="6"/>
  <c r="B597" i="6"/>
  <c r="C597" i="6"/>
  <c r="D597" i="6"/>
  <c r="E597" i="6"/>
  <c r="F597" i="6"/>
  <c r="A598" i="6"/>
  <c r="B598" i="6"/>
  <c r="C598" i="6"/>
  <c r="D598" i="6"/>
  <c r="E598" i="6"/>
  <c r="F598" i="6"/>
  <c r="A599" i="6"/>
  <c r="B599" i="6"/>
  <c r="C599" i="6"/>
  <c r="D599" i="6"/>
  <c r="E599" i="6"/>
  <c r="F599" i="6"/>
  <c r="A600" i="6"/>
  <c r="B600" i="6"/>
  <c r="C600" i="6"/>
  <c r="D600" i="6"/>
  <c r="E600" i="6"/>
  <c r="F600" i="6"/>
  <c r="A601" i="6"/>
  <c r="B601" i="6"/>
  <c r="C601" i="6"/>
  <c r="D601" i="6"/>
  <c r="E601" i="6"/>
  <c r="F601" i="6"/>
  <c r="A602" i="6"/>
  <c r="B602" i="6"/>
  <c r="C602" i="6"/>
  <c r="D602" i="6"/>
  <c r="E602" i="6"/>
  <c r="F602" i="6"/>
  <c r="A603" i="6"/>
  <c r="B603" i="6"/>
  <c r="C603" i="6"/>
  <c r="D603" i="6"/>
  <c r="E603" i="6"/>
  <c r="F603" i="6"/>
  <c r="A604" i="6"/>
  <c r="B604" i="6"/>
  <c r="C604" i="6"/>
  <c r="D604" i="6"/>
  <c r="E604" i="6"/>
  <c r="F604" i="6"/>
  <c r="A605" i="6"/>
  <c r="B605" i="6"/>
  <c r="C605" i="6"/>
  <c r="D605" i="6"/>
  <c r="E605" i="6"/>
  <c r="F605" i="6"/>
  <c r="A606" i="6"/>
  <c r="B606" i="6"/>
  <c r="C606" i="6"/>
  <c r="D606" i="6"/>
  <c r="E606" i="6"/>
  <c r="F606" i="6"/>
  <c r="A607" i="6"/>
  <c r="B607" i="6"/>
  <c r="C607" i="6"/>
  <c r="D607" i="6"/>
  <c r="E607" i="6"/>
  <c r="F607" i="6"/>
  <c r="A608" i="6"/>
  <c r="B608" i="6"/>
  <c r="C608" i="6"/>
  <c r="D608" i="6"/>
  <c r="E608" i="6"/>
  <c r="F608" i="6"/>
  <c r="A609" i="6"/>
  <c r="B609" i="6"/>
  <c r="C609" i="6"/>
  <c r="D609" i="6"/>
  <c r="E609" i="6"/>
  <c r="F609" i="6"/>
  <c r="A610" i="6"/>
  <c r="B610" i="6"/>
  <c r="C610" i="6"/>
  <c r="D610" i="6"/>
  <c r="E610" i="6"/>
  <c r="F610" i="6"/>
  <c r="A611" i="6"/>
  <c r="B611" i="6"/>
  <c r="C611" i="6"/>
  <c r="D611" i="6"/>
  <c r="E611" i="6"/>
  <c r="F611" i="6"/>
  <c r="A612" i="6"/>
  <c r="B612" i="6"/>
  <c r="C612" i="6"/>
  <c r="D612" i="6"/>
  <c r="E612" i="6"/>
  <c r="F612" i="6"/>
  <c r="A613" i="6"/>
  <c r="B613" i="6"/>
  <c r="C613" i="6"/>
  <c r="D613" i="6"/>
  <c r="E613" i="6"/>
  <c r="F613" i="6"/>
  <c r="A614" i="6"/>
  <c r="B614" i="6"/>
  <c r="C614" i="6"/>
  <c r="D614" i="6"/>
  <c r="E614" i="6"/>
  <c r="F614" i="6"/>
  <c r="A615" i="6"/>
  <c r="B615" i="6"/>
  <c r="C615" i="6"/>
  <c r="D615" i="6"/>
  <c r="E615" i="6"/>
  <c r="F615" i="6"/>
  <c r="A616" i="6"/>
  <c r="B616" i="6"/>
  <c r="C616" i="6"/>
  <c r="D616" i="6"/>
  <c r="E616" i="6"/>
  <c r="F616" i="6"/>
  <c r="A617" i="6"/>
  <c r="B617" i="6"/>
  <c r="C617" i="6"/>
  <c r="D617" i="6"/>
  <c r="E617" i="6"/>
  <c r="F617" i="6"/>
  <c r="A618" i="6"/>
  <c r="B618" i="6"/>
  <c r="C618" i="6"/>
  <c r="D618" i="6"/>
  <c r="E618" i="6"/>
  <c r="F618" i="6"/>
  <c r="A619" i="6"/>
  <c r="B619" i="6"/>
  <c r="C619" i="6"/>
  <c r="D619" i="6"/>
  <c r="E619" i="6"/>
  <c r="F619" i="6"/>
  <c r="A620" i="6"/>
  <c r="B620" i="6"/>
  <c r="C620" i="6"/>
  <c r="D620" i="6"/>
  <c r="E620" i="6"/>
  <c r="F620" i="6"/>
  <c r="A621" i="6"/>
  <c r="B621" i="6"/>
  <c r="C621" i="6"/>
  <c r="D621" i="6"/>
  <c r="E621" i="6"/>
  <c r="F621" i="6"/>
  <c r="A622" i="6"/>
  <c r="B622" i="6"/>
  <c r="C622" i="6"/>
  <c r="D622" i="6"/>
  <c r="E622" i="6"/>
  <c r="F622" i="6"/>
  <c r="A623" i="6"/>
  <c r="B623" i="6"/>
  <c r="C623" i="6"/>
  <c r="D623" i="6"/>
  <c r="E623" i="6"/>
  <c r="F623" i="6"/>
  <c r="A624" i="6"/>
  <c r="B624" i="6"/>
  <c r="C624" i="6"/>
  <c r="D624" i="6"/>
  <c r="E624" i="6"/>
  <c r="F624" i="6"/>
  <c r="A625" i="6"/>
  <c r="B625" i="6"/>
  <c r="C625" i="6"/>
  <c r="D625" i="6"/>
  <c r="E625" i="6"/>
  <c r="F625" i="6"/>
  <c r="A626" i="6"/>
  <c r="B626" i="6"/>
  <c r="C626" i="6"/>
  <c r="D626" i="6"/>
  <c r="E626" i="6"/>
  <c r="F626" i="6"/>
  <c r="A627" i="6"/>
  <c r="B627" i="6"/>
  <c r="C627" i="6"/>
  <c r="D627" i="6"/>
  <c r="E627" i="6"/>
  <c r="F627" i="6"/>
  <c r="A628" i="6"/>
  <c r="B628" i="6"/>
  <c r="C628" i="6"/>
  <c r="D628" i="6"/>
  <c r="E628" i="6"/>
  <c r="F628" i="6"/>
  <c r="A629" i="6"/>
  <c r="B629" i="6"/>
  <c r="C629" i="6"/>
  <c r="D629" i="6"/>
  <c r="E629" i="6"/>
  <c r="F629" i="6"/>
  <c r="A630" i="6"/>
  <c r="B630" i="6"/>
  <c r="C630" i="6"/>
  <c r="D630" i="6"/>
  <c r="E630" i="6"/>
  <c r="F630" i="6"/>
  <c r="A631" i="6"/>
  <c r="B631" i="6"/>
  <c r="C631" i="6"/>
  <c r="D631" i="6"/>
  <c r="E631" i="6"/>
  <c r="F631" i="6"/>
  <c r="A632" i="6"/>
  <c r="B632" i="6"/>
  <c r="C632" i="6"/>
  <c r="D632" i="6"/>
  <c r="E632" i="6"/>
  <c r="F632" i="6"/>
  <c r="A633" i="6"/>
  <c r="B633" i="6"/>
  <c r="C633" i="6"/>
  <c r="D633" i="6"/>
  <c r="E633" i="6"/>
  <c r="F633" i="6"/>
  <c r="A634" i="6"/>
  <c r="B634" i="6"/>
  <c r="C634" i="6"/>
  <c r="D634" i="6"/>
  <c r="E634" i="6"/>
  <c r="F634" i="6"/>
  <c r="A635" i="6"/>
  <c r="B635" i="6"/>
  <c r="C635" i="6"/>
  <c r="D635" i="6"/>
  <c r="E635" i="6"/>
  <c r="F635" i="6"/>
  <c r="A636" i="6"/>
  <c r="B636" i="6"/>
  <c r="C636" i="6"/>
  <c r="D636" i="6"/>
  <c r="E636" i="6"/>
  <c r="F636" i="6"/>
  <c r="A637" i="6"/>
  <c r="B637" i="6"/>
  <c r="C637" i="6"/>
  <c r="D637" i="6"/>
  <c r="E637" i="6"/>
  <c r="F637" i="6"/>
  <c r="A638" i="6"/>
  <c r="B638" i="6"/>
  <c r="C638" i="6"/>
  <c r="D638" i="6"/>
  <c r="E638" i="6"/>
  <c r="F638" i="6"/>
  <c r="A639" i="6"/>
  <c r="B639" i="6"/>
  <c r="C639" i="6"/>
  <c r="D639" i="6"/>
  <c r="E639" i="6"/>
  <c r="F639" i="6"/>
  <c r="A640" i="6"/>
  <c r="B640" i="6"/>
  <c r="C640" i="6"/>
  <c r="D640" i="6"/>
  <c r="E640" i="6"/>
  <c r="F640" i="6"/>
  <c r="A641" i="6"/>
  <c r="B641" i="6"/>
  <c r="C641" i="6"/>
  <c r="D641" i="6"/>
  <c r="E641" i="6"/>
  <c r="F641" i="6"/>
  <c r="A642" i="6"/>
  <c r="B642" i="6"/>
  <c r="C642" i="6"/>
  <c r="D642" i="6"/>
  <c r="E642" i="6"/>
  <c r="F642" i="6"/>
  <c r="A643" i="6"/>
  <c r="B643" i="6"/>
  <c r="C643" i="6"/>
  <c r="D643" i="6"/>
  <c r="E643" i="6"/>
  <c r="F643" i="6"/>
  <c r="A644" i="6"/>
  <c r="B644" i="6"/>
  <c r="C644" i="6"/>
  <c r="D644" i="6"/>
  <c r="E644" i="6"/>
  <c r="F644" i="6"/>
  <c r="A645" i="6"/>
  <c r="B645" i="6"/>
  <c r="C645" i="6"/>
  <c r="D645" i="6"/>
  <c r="E645" i="6"/>
  <c r="F645" i="6"/>
  <c r="A646" i="6"/>
  <c r="B646" i="6"/>
  <c r="C646" i="6"/>
  <c r="D646" i="6"/>
  <c r="E646" i="6"/>
  <c r="F646" i="6"/>
  <c r="A647" i="6"/>
  <c r="B647" i="6"/>
  <c r="C647" i="6"/>
  <c r="D647" i="6"/>
  <c r="E647" i="6"/>
  <c r="F647" i="6"/>
  <c r="A648" i="6"/>
  <c r="B648" i="6"/>
  <c r="C648" i="6"/>
  <c r="D648" i="6"/>
  <c r="E648" i="6"/>
  <c r="F648" i="6"/>
  <c r="A649" i="6"/>
  <c r="B649" i="6"/>
  <c r="C649" i="6"/>
  <c r="D649" i="6"/>
  <c r="E649" i="6"/>
  <c r="F649" i="6"/>
  <c r="A650" i="6"/>
  <c r="B650" i="6"/>
  <c r="C650" i="6"/>
  <c r="D650" i="6"/>
  <c r="E650" i="6"/>
  <c r="F650" i="6"/>
  <c r="A651" i="6"/>
  <c r="B651" i="6"/>
  <c r="C651" i="6"/>
  <c r="D651" i="6"/>
  <c r="E651" i="6"/>
  <c r="F651" i="6"/>
  <c r="A652" i="6"/>
  <c r="B652" i="6"/>
  <c r="C652" i="6"/>
  <c r="D652" i="6"/>
  <c r="E652" i="6"/>
  <c r="F652" i="6"/>
  <c r="A653" i="6"/>
  <c r="B653" i="6"/>
  <c r="C653" i="6"/>
  <c r="D653" i="6"/>
  <c r="E653" i="6"/>
  <c r="F653" i="6"/>
  <c r="A654" i="6"/>
  <c r="B654" i="6"/>
  <c r="C654" i="6"/>
  <c r="A655" i="6"/>
  <c r="B655" i="6"/>
  <c r="A656" i="6"/>
  <c r="B656" i="6"/>
  <c r="A657" i="6"/>
  <c r="B657" i="6"/>
  <c r="A658" i="6"/>
  <c r="B658" i="6"/>
  <c r="A659" i="6"/>
  <c r="B659" i="6"/>
  <c r="A660" i="6"/>
  <c r="B660" i="6"/>
  <c r="A661" i="6"/>
  <c r="B661" i="6"/>
  <c r="A662" i="6"/>
  <c r="B662" i="6"/>
  <c r="A663" i="6"/>
  <c r="B663" i="6"/>
  <c r="A664" i="6"/>
  <c r="B664" i="6"/>
  <c r="B2" i="6"/>
  <c r="C2" i="6"/>
  <c r="D2" i="6"/>
  <c r="E2" i="6"/>
  <c r="F2" i="6"/>
  <c r="A2" i="6"/>
  <c r="CH652" i="1"/>
  <c r="CH651" i="1"/>
  <c r="CH650" i="1"/>
  <c r="CH649" i="1"/>
  <c r="CH648" i="1"/>
  <c r="CH647" i="1"/>
  <c r="CH646" i="1"/>
  <c r="CH645" i="1"/>
  <c r="CH644" i="1"/>
  <c r="CH643" i="1"/>
  <c r="CH642" i="1"/>
  <c r="CH641" i="1"/>
  <c r="CH640" i="1"/>
  <c r="CH639" i="1"/>
  <c r="CH638" i="1"/>
  <c r="CH637" i="1"/>
  <c r="CH636" i="1"/>
  <c r="CH635" i="1"/>
  <c r="CH634" i="1"/>
  <c r="CH633" i="1"/>
  <c r="CH631" i="1"/>
  <c r="CH630" i="1"/>
  <c r="CH628" i="1"/>
  <c r="CH627" i="1"/>
  <c r="CH626" i="1"/>
  <c r="CH625" i="1"/>
  <c r="CH624" i="1"/>
  <c r="CH623" i="1"/>
  <c r="CH622" i="1"/>
  <c r="CH621" i="1"/>
  <c r="CH620" i="1"/>
  <c r="CH618" i="1"/>
  <c r="CH617" i="1"/>
  <c r="CH616" i="1"/>
  <c r="CH615" i="1"/>
  <c r="CH614" i="1"/>
  <c r="CH613" i="1"/>
  <c r="CH612" i="1"/>
  <c r="CH611" i="1"/>
  <c r="CH610" i="1"/>
  <c r="CH609" i="1"/>
  <c r="CH608" i="1"/>
  <c r="CH607" i="1"/>
  <c r="CH606" i="1"/>
  <c r="CH605" i="1"/>
  <c r="CH604" i="1"/>
  <c r="CH603" i="1"/>
  <c r="CH601" i="1"/>
  <c r="CH600" i="1"/>
  <c r="CH599" i="1"/>
  <c r="CH598" i="1"/>
  <c r="CH596" i="1"/>
  <c r="CH595" i="1"/>
  <c r="CH594" i="1"/>
  <c r="CH593" i="1"/>
  <c r="CH592" i="1"/>
  <c r="CH591" i="1"/>
  <c r="CH590" i="1"/>
  <c r="CH589" i="1"/>
  <c r="CH588" i="1"/>
  <c r="CH587" i="1"/>
  <c r="CH585" i="1"/>
  <c r="CH584" i="1"/>
  <c r="CH583" i="1"/>
  <c r="CH582" i="1"/>
  <c r="CH581" i="1"/>
  <c r="CH580" i="1"/>
  <c r="CH579" i="1"/>
  <c r="CH578" i="1"/>
  <c r="CH577" i="1"/>
  <c r="CH576" i="1"/>
  <c r="CH574" i="1"/>
  <c r="CH573" i="1"/>
  <c r="CH572" i="1"/>
  <c r="CH571" i="1"/>
  <c r="CH570" i="1"/>
  <c r="CH569" i="1"/>
  <c r="CH568" i="1"/>
  <c r="CH567" i="1"/>
  <c r="CH566" i="1"/>
  <c r="CH565" i="1"/>
  <c r="CH563" i="1"/>
  <c r="CH562" i="1"/>
  <c r="CH561" i="1"/>
  <c r="CH560" i="1"/>
  <c r="CH559" i="1"/>
  <c r="CH558" i="1"/>
  <c r="CH557" i="1"/>
  <c r="CH556" i="1"/>
  <c r="CH555" i="1"/>
  <c r="CH554" i="1"/>
  <c r="CH552" i="1"/>
  <c r="CH551" i="1"/>
  <c r="CH550" i="1"/>
  <c r="CH549" i="1"/>
  <c r="CH548" i="1"/>
  <c r="CH547" i="1"/>
  <c r="CH546" i="1"/>
  <c r="CH545" i="1"/>
  <c r="CH544" i="1"/>
  <c r="CH543" i="1"/>
  <c r="CH541" i="1"/>
  <c r="CH540" i="1"/>
  <c r="CH539" i="1"/>
  <c r="CH538" i="1"/>
  <c r="CH537" i="1"/>
  <c r="CH536" i="1"/>
  <c r="CH535" i="1"/>
  <c r="CH534" i="1"/>
  <c r="CH533" i="1"/>
  <c r="CH532" i="1"/>
  <c r="CH530" i="1"/>
  <c r="CH529" i="1"/>
  <c r="CH528" i="1"/>
  <c r="CH527" i="1"/>
  <c r="CH526" i="1"/>
  <c r="CH525" i="1"/>
  <c r="CH524" i="1"/>
  <c r="CH523" i="1"/>
  <c r="CH522" i="1"/>
  <c r="CH521" i="1"/>
  <c r="CH519" i="1"/>
  <c r="CH518" i="1"/>
  <c r="CH517" i="1"/>
  <c r="CH516" i="1"/>
  <c r="CH515" i="1"/>
  <c r="CH514" i="1"/>
  <c r="CH513" i="1"/>
  <c r="CH512" i="1"/>
  <c r="CH511" i="1"/>
  <c r="CH510" i="1"/>
  <c r="CH508" i="1"/>
  <c r="CH507" i="1"/>
  <c r="CH506" i="1"/>
  <c r="CH505" i="1"/>
  <c r="CH504" i="1"/>
  <c r="CH503" i="1"/>
  <c r="CH502" i="1"/>
  <c r="CH501" i="1"/>
  <c r="CH500" i="1"/>
  <c r="CH499" i="1"/>
  <c r="CH497" i="1"/>
  <c r="CH496" i="1"/>
  <c r="CH495" i="1"/>
  <c r="CH494" i="1"/>
  <c r="CH493" i="1"/>
  <c r="CH492" i="1"/>
  <c r="CH491" i="1"/>
  <c r="CH490" i="1"/>
  <c r="CH489" i="1"/>
  <c r="CH488" i="1"/>
  <c r="CH486" i="1"/>
  <c r="CH485" i="1"/>
  <c r="CH484" i="1"/>
  <c r="CH483" i="1"/>
  <c r="CH482" i="1"/>
  <c r="CH481" i="1"/>
  <c r="CH479" i="1"/>
  <c r="CH478" i="1"/>
  <c r="CH477" i="1"/>
  <c r="CH476" i="1"/>
  <c r="CH475" i="1"/>
  <c r="CH474" i="1"/>
  <c r="CH473" i="1"/>
  <c r="CH472" i="1"/>
  <c r="CH471" i="1"/>
  <c r="CH470" i="1"/>
  <c r="CH468" i="1"/>
  <c r="CH467" i="1"/>
  <c r="CH466" i="1"/>
  <c r="CH465" i="1"/>
  <c r="CH464" i="1"/>
  <c r="CH463" i="1"/>
  <c r="CH462" i="1"/>
  <c r="CH461" i="1"/>
  <c r="CH460" i="1"/>
  <c r="CH459" i="1"/>
  <c r="CH457" i="1"/>
  <c r="CH456" i="1"/>
  <c r="CH455" i="1"/>
  <c r="CH454" i="1"/>
  <c r="CH453" i="1"/>
  <c r="CH452" i="1"/>
  <c r="CH451" i="1"/>
  <c r="CH450" i="1"/>
  <c r="CH449" i="1"/>
  <c r="CH448" i="1"/>
  <c r="CH446" i="1"/>
  <c r="CH445" i="1"/>
  <c r="CH444" i="1"/>
  <c r="CH443" i="1"/>
  <c r="CH442" i="1"/>
  <c r="CH441" i="1"/>
  <c r="CH440" i="1"/>
  <c r="CH439" i="1"/>
  <c r="CH438" i="1"/>
  <c r="CH437" i="1"/>
  <c r="CH435" i="1"/>
  <c r="CH434" i="1"/>
  <c r="CH433" i="1"/>
  <c r="CH432" i="1"/>
  <c r="CH431" i="1"/>
  <c r="CH430" i="1"/>
  <c r="CH429" i="1"/>
  <c r="CH428" i="1"/>
  <c r="CH427" i="1"/>
  <c r="CH426" i="1"/>
  <c r="CH424" i="1"/>
  <c r="CH423" i="1"/>
  <c r="CH422" i="1"/>
  <c r="CH421" i="1"/>
  <c r="CH420" i="1"/>
  <c r="CH419" i="1"/>
  <c r="CH418" i="1"/>
  <c r="CH417" i="1"/>
  <c r="CH416" i="1"/>
  <c r="CH415" i="1"/>
  <c r="CH413" i="1"/>
  <c r="CH412" i="1"/>
  <c r="CH411" i="1"/>
  <c r="CH410" i="1"/>
  <c r="CH409" i="1"/>
  <c r="CH408" i="1"/>
  <c r="CH407" i="1"/>
  <c r="CH406" i="1"/>
  <c r="CH405" i="1"/>
  <c r="CH404" i="1"/>
  <c r="CH402" i="1"/>
  <c r="CH401" i="1"/>
  <c r="CH400" i="1"/>
  <c r="CH399" i="1"/>
  <c r="CH398" i="1"/>
  <c r="CH397" i="1"/>
  <c r="CH396" i="1"/>
  <c r="CH395" i="1"/>
  <c r="CH394" i="1"/>
  <c r="CH393" i="1"/>
  <c r="CH391" i="1"/>
  <c r="CH390" i="1"/>
  <c r="CH389" i="1"/>
  <c r="CH388" i="1"/>
  <c r="CH387" i="1"/>
  <c r="CH386" i="1"/>
  <c r="CH385" i="1"/>
  <c r="CH384" i="1"/>
  <c r="CH383" i="1"/>
  <c r="CH382" i="1"/>
  <c r="CH380" i="1"/>
  <c r="CH379" i="1"/>
  <c r="CH378" i="1"/>
  <c r="CH377" i="1"/>
  <c r="CH376" i="1"/>
  <c r="CH375" i="1"/>
  <c r="CH374" i="1"/>
  <c r="CH373" i="1"/>
  <c r="CH372" i="1"/>
  <c r="CH371" i="1"/>
  <c r="CH369" i="1"/>
  <c r="CH367" i="1"/>
  <c r="CH366" i="1"/>
  <c r="CH365" i="1"/>
  <c r="CH363" i="1"/>
  <c r="CH362" i="1"/>
  <c r="CH361" i="1"/>
  <c r="CH359" i="1"/>
  <c r="CH358" i="1"/>
  <c r="CH357" i="1"/>
  <c r="CH355" i="1"/>
  <c r="CH354" i="1"/>
  <c r="CH353" i="1"/>
  <c r="CH351" i="1"/>
  <c r="CH350" i="1"/>
  <c r="CH349" i="1"/>
  <c r="CH347" i="1"/>
  <c r="CH346" i="1"/>
  <c r="CH345" i="1"/>
  <c r="CH343" i="1"/>
  <c r="CH342" i="1"/>
  <c r="CH341" i="1"/>
  <c r="CH339" i="1"/>
  <c r="CH338" i="1"/>
  <c r="CH337" i="1"/>
  <c r="CH335" i="1"/>
  <c r="CH334" i="1"/>
  <c r="CH333" i="1"/>
  <c r="CH331" i="1"/>
  <c r="CH330" i="1"/>
  <c r="CH329" i="1"/>
  <c r="CH327" i="1"/>
  <c r="CH326" i="1"/>
  <c r="CH325" i="1"/>
  <c r="CH324" i="1"/>
  <c r="CH322" i="1"/>
  <c r="CH321" i="1"/>
  <c r="CH320" i="1"/>
  <c r="CH319" i="1"/>
  <c r="CH318" i="1"/>
  <c r="CH317" i="1"/>
  <c r="CH316" i="1"/>
  <c r="CH314" i="1"/>
  <c r="CH313" i="1"/>
  <c r="CH312" i="1"/>
  <c r="CH311" i="1"/>
  <c r="CH310" i="1"/>
  <c r="CH309" i="1"/>
  <c r="CH308" i="1"/>
  <c r="CH306" i="1"/>
  <c r="CH305" i="1"/>
  <c r="CH304" i="1"/>
  <c r="CH303" i="1"/>
  <c r="CH302" i="1"/>
  <c r="CH301" i="1"/>
  <c r="CH300" i="1"/>
  <c r="CH298" i="1"/>
  <c r="CH297" i="1"/>
  <c r="CH296" i="1"/>
  <c r="CH295" i="1"/>
  <c r="CH294" i="1"/>
  <c r="CH293" i="1"/>
  <c r="CH292" i="1"/>
  <c r="CH290" i="1"/>
  <c r="CH289" i="1"/>
  <c r="CH288" i="1"/>
  <c r="CH287" i="1"/>
  <c r="CH286" i="1"/>
  <c r="CH285" i="1"/>
  <c r="CH284" i="1"/>
  <c r="CH282" i="1"/>
  <c r="CH281" i="1"/>
  <c r="CH280" i="1"/>
  <c r="CH279" i="1"/>
  <c r="CH278" i="1"/>
  <c r="CH277" i="1"/>
  <c r="CH276" i="1"/>
  <c r="CH274" i="1"/>
  <c r="CH273" i="1"/>
  <c r="CH272" i="1"/>
  <c r="CH271" i="1"/>
  <c r="CH270" i="1"/>
  <c r="CH269" i="1"/>
  <c r="CH268" i="1"/>
  <c r="CH266" i="1"/>
  <c r="CH265" i="1"/>
  <c r="CH264" i="1"/>
  <c r="CH263" i="1"/>
  <c r="CH262" i="1"/>
  <c r="CH261" i="1"/>
  <c r="CH260" i="1"/>
  <c r="CH258" i="1"/>
  <c r="CH257" i="1"/>
  <c r="CH256" i="1"/>
  <c r="CH255" i="1"/>
  <c r="CH254" i="1"/>
  <c r="CH253" i="1"/>
  <c r="CH252" i="1"/>
  <c r="CH250" i="1"/>
  <c r="CH249" i="1"/>
  <c r="CH248" i="1"/>
  <c r="CH247" i="1"/>
  <c r="CH246" i="1"/>
  <c r="CH245" i="1"/>
  <c r="CH244" i="1"/>
  <c r="CH242" i="1"/>
  <c r="CH238" i="1"/>
  <c r="CH237" i="1"/>
  <c r="CH236" i="1"/>
  <c r="CH234" i="1"/>
  <c r="CH233" i="1"/>
  <c r="CH232" i="1"/>
  <c r="CH231" i="1"/>
  <c r="CH230" i="1"/>
  <c r="CH229" i="1"/>
  <c r="CH228" i="1"/>
  <c r="CH227" i="1"/>
  <c r="CH225" i="1"/>
  <c r="CH224" i="1"/>
  <c r="CH223" i="1"/>
  <c r="CH222" i="1"/>
  <c r="CH221" i="1"/>
  <c r="CH219" i="1"/>
  <c r="CH218" i="1"/>
  <c r="CH217" i="1"/>
  <c r="CH216" i="1"/>
  <c r="CH215" i="1"/>
  <c r="CH214" i="1"/>
  <c r="CH213" i="1"/>
  <c r="CH212" i="1"/>
  <c r="CH211" i="1"/>
  <c r="CH210" i="1"/>
  <c r="CH209" i="1"/>
  <c r="CH208" i="1"/>
  <c r="CH207" i="1"/>
  <c r="CH206" i="1"/>
  <c r="CH205" i="1"/>
  <c r="CH204" i="1"/>
  <c r="CH203" i="1"/>
  <c r="CH201" i="1"/>
  <c r="CH200" i="1"/>
  <c r="CH199" i="1"/>
  <c r="CH198" i="1"/>
  <c r="CH197" i="1"/>
  <c r="CH196" i="1"/>
  <c r="CH195" i="1"/>
  <c r="CH194" i="1"/>
  <c r="CH193" i="1"/>
  <c r="CH191" i="1"/>
  <c r="CH190" i="1"/>
  <c r="CH189" i="1"/>
  <c r="CH188" i="1"/>
  <c r="CH187" i="1"/>
  <c r="CH186" i="1"/>
  <c r="CH185" i="1"/>
  <c r="CH184" i="1"/>
  <c r="CH183" i="1"/>
  <c r="CH182" i="1"/>
  <c r="CH181" i="1"/>
  <c r="CH180" i="1"/>
  <c r="CH179" i="1"/>
  <c r="CH178" i="1"/>
  <c r="CH176" i="1"/>
  <c r="CH175" i="1"/>
  <c r="CH174" i="1"/>
  <c r="CH173" i="1"/>
  <c r="CH171" i="1"/>
  <c r="CH170" i="1"/>
  <c r="CH169" i="1"/>
  <c r="CH168" i="1"/>
  <c r="CH167" i="1"/>
  <c r="CH166" i="1"/>
  <c r="CH165" i="1"/>
  <c r="CH164" i="1"/>
  <c r="CH163" i="1"/>
  <c r="CH162" i="1"/>
  <c r="CH160" i="1"/>
  <c r="CH159" i="1"/>
  <c r="CH158" i="1"/>
  <c r="CH157" i="1"/>
  <c r="CH156" i="1"/>
  <c r="CH155" i="1"/>
  <c r="CH154" i="1"/>
  <c r="CH153" i="1"/>
  <c r="CH152" i="1"/>
  <c r="CH151" i="1"/>
  <c r="CH149" i="1"/>
  <c r="CH148" i="1"/>
  <c r="CH147" i="1"/>
  <c r="CH146" i="1"/>
  <c r="CH145" i="1"/>
  <c r="CH144" i="1"/>
  <c r="CH143" i="1"/>
  <c r="CH142" i="1"/>
  <c r="CH141" i="1"/>
  <c r="CH140" i="1"/>
  <c r="CH138" i="1"/>
  <c r="CH137" i="1"/>
  <c r="CH136" i="1"/>
  <c r="CH135" i="1"/>
  <c r="CH134" i="1"/>
  <c r="CH133" i="1"/>
  <c r="CH132" i="1"/>
  <c r="CH131" i="1"/>
  <c r="CH130" i="1"/>
  <c r="CH129" i="1"/>
  <c r="CH127" i="1"/>
  <c r="CH126" i="1"/>
  <c r="CH125" i="1"/>
  <c r="CH124" i="1"/>
  <c r="CH123" i="1"/>
  <c r="CH122" i="1"/>
  <c r="CH121" i="1"/>
  <c r="CH120" i="1"/>
  <c r="CH119" i="1"/>
  <c r="CH118" i="1"/>
  <c r="CH116" i="1"/>
  <c r="CH115" i="1"/>
  <c r="CH114" i="1"/>
  <c r="CH113" i="1"/>
  <c r="CH112" i="1"/>
  <c r="CH111" i="1"/>
  <c r="CH110" i="1"/>
  <c r="CH109" i="1"/>
  <c r="CH108" i="1"/>
  <c r="CH107" i="1"/>
  <c r="CH105" i="1"/>
  <c r="CH104" i="1"/>
  <c r="CH103" i="1"/>
  <c r="CH102" i="1"/>
  <c r="CH101" i="1"/>
  <c r="CH100" i="1"/>
  <c r="CH99" i="1"/>
  <c r="CH98" i="1"/>
  <c r="CH97" i="1"/>
  <c r="CH96" i="1"/>
  <c r="CH94" i="1"/>
  <c r="CH93" i="1"/>
  <c r="CH92" i="1"/>
  <c r="CH91" i="1"/>
  <c r="CH90" i="1"/>
  <c r="CH89" i="1"/>
  <c r="CH88" i="1"/>
  <c r="CH87" i="1"/>
  <c r="CH86" i="1"/>
  <c r="CH85" i="1"/>
  <c r="CH83" i="1"/>
  <c r="CH82" i="1"/>
  <c r="CH81" i="1"/>
  <c r="CH80" i="1"/>
  <c r="CH79" i="1"/>
  <c r="CH78" i="1"/>
  <c r="CH77" i="1"/>
  <c r="CH76" i="1"/>
  <c r="CH75" i="1"/>
  <c r="CH74" i="1"/>
  <c r="CH72" i="1"/>
  <c r="CH71" i="1"/>
  <c r="CH70" i="1"/>
  <c r="CH69" i="1"/>
  <c r="CH68" i="1"/>
  <c r="CH67" i="1"/>
  <c r="CH66" i="1"/>
  <c r="CH65" i="1"/>
  <c r="CH64" i="1"/>
  <c r="CH63" i="1"/>
  <c r="CH61" i="1"/>
  <c r="CH60" i="1"/>
  <c r="CH59" i="1"/>
  <c r="CH58" i="1"/>
  <c r="CH57" i="1"/>
  <c r="CH56" i="1"/>
  <c r="CH54" i="1"/>
  <c r="CH53" i="1"/>
  <c r="CH52" i="1"/>
  <c r="CH51" i="1"/>
  <c r="CH50" i="1"/>
  <c r="CH49" i="1"/>
  <c r="CH48" i="1"/>
  <c r="CH47" i="1"/>
  <c r="CH46" i="1"/>
  <c r="CH44" i="1"/>
  <c r="CH43" i="1"/>
  <c r="CH42" i="1"/>
  <c r="CH41" i="1"/>
  <c r="CH40" i="1"/>
  <c r="CH39" i="1"/>
  <c r="CH38" i="1"/>
  <c r="CH37" i="1"/>
  <c r="CH36" i="1"/>
  <c r="CH35" i="1"/>
  <c r="CH34" i="1"/>
  <c r="CH33" i="1"/>
  <c r="CH32" i="1"/>
  <c r="CH31" i="1"/>
  <c r="CH30" i="1"/>
  <c r="CH29" i="1"/>
  <c r="CH28" i="1"/>
  <c r="CH27" i="1"/>
  <c r="CH26" i="1"/>
  <c r="CH23" i="1"/>
  <c r="CH22" i="1"/>
  <c r="CH21" i="1"/>
  <c r="CH14" i="1"/>
  <c r="CH13" i="1"/>
  <c r="CH12" i="1"/>
  <c r="CH11" i="1"/>
  <c r="CH10" i="1"/>
  <c r="CH9" i="1"/>
  <c r="CH7" i="1"/>
  <c r="CH6" i="1"/>
  <c r="CG660" i="1"/>
  <c r="CG658" i="1"/>
  <c r="CG657" i="1"/>
  <c r="CG656" i="1"/>
  <c r="CG655" i="1"/>
  <c r="E215" i="1" l="1"/>
  <c r="T130" i="1"/>
  <c r="U130" i="1" s="1"/>
  <c r="X130" i="1" s="1"/>
  <c r="C93" i="1"/>
  <c r="G51" i="1"/>
  <c r="D74" i="1" a="1"/>
  <c r="D74" i="1" s="1"/>
  <c r="C147" i="1"/>
  <c r="F62" i="1"/>
  <c r="H62" i="1" s="1"/>
  <c r="C106" i="1" l="1"/>
  <c r="C96" i="1"/>
  <c r="AH30" i="1"/>
  <c r="AH31" i="1"/>
  <c r="AT32" i="1"/>
  <c r="AT33" i="1" s="1"/>
  <c r="AR33" i="1"/>
  <c r="BA33" i="1"/>
  <c r="AH32" i="1" l="1"/>
  <c r="AH33" i="1" s="1"/>
  <c r="E130" i="1"/>
  <c r="C130" i="1" l="1"/>
  <c r="BA15" i="1"/>
  <c r="F130" i="1" l="1"/>
  <c r="I130" i="1" s="1"/>
  <c r="J130" i="1" s="1"/>
  <c r="K60" i="1"/>
  <c r="K61" i="1"/>
  <c r="S130" i="1" l="1"/>
  <c r="AM51" i="1"/>
  <c r="W129" i="1"/>
  <c r="D130" i="1" l="1"/>
  <c r="AO5" i="1" s="1"/>
  <c r="AO23" i="1"/>
  <c r="E50" i="2"/>
  <c r="T88" i="2"/>
  <c r="T89" i="2"/>
  <c r="F50" i="2"/>
  <c r="G50" i="2"/>
  <c r="J50" i="2"/>
  <c r="F48" i="2"/>
  <c r="G48" i="2"/>
  <c r="I48" i="2"/>
  <c r="J48" i="2"/>
  <c r="E48" i="2"/>
  <c r="G42" i="2"/>
  <c r="H42" i="2"/>
  <c r="I42" i="2"/>
  <c r="J42" i="2"/>
  <c r="G177" i="1" l="1"/>
  <c r="C104" i="2"/>
  <c r="BV4" i="1"/>
  <c r="BV5" i="1"/>
  <c r="BV7" i="1"/>
  <c r="BV6" i="1"/>
  <c r="BX17" i="1"/>
  <c r="BX16" i="1"/>
  <c r="H177" i="1" l="1"/>
  <c r="I177" i="1" s="1"/>
  <c r="J177" i="1" s="1"/>
  <c r="K177" i="1" s="1"/>
  <c r="L177" i="1" s="1"/>
  <c r="M177" i="1" s="1"/>
  <c r="N177" i="1" s="1"/>
  <c r="O177" i="1" s="1"/>
  <c r="P177" i="1" s="1"/>
  <c r="Q177" i="1" s="1"/>
  <c r="R177" i="1" s="1"/>
  <c r="S177" i="1" s="1"/>
  <c r="T177" i="1" s="1"/>
  <c r="U177" i="1" s="1"/>
  <c r="V177" i="1" s="1"/>
  <c r="W177" i="1" s="1"/>
  <c r="X177" i="1" s="1"/>
  <c r="W131" i="1"/>
  <c r="W132" i="1"/>
  <c r="W133" i="1"/>
  <c r="W134" i="1"/>
  <c r="W135" i="1"/>
  <c r="W136" i="1"/>
  <c r="W137" i="1"/>
  <c r="W138" i="1"/>
  <c r="Y177" i="1" l="1"/>
  <c r="E270" i="1"/>
  <c r="Z177" i="1" l="1"/>
  <c r="AA177" i="1" s="1"/>
  <c r="AB177" i="1" s="1"/>
  <c r="AC177" i="1" s="1"/>
  <c r="R154" i="1"/>
  <c r="E191" i="1"/>
  <c r="K114" i="2"/>
  <c r="T154" i="1" l="1"/>
  <c r="X154" i="1"/>
  <c r="V154" i="1"/>
  <c r="T152" i="2"/>
  <c r="L45" i="1" l="1"/>
  <c r="C49" i="1"/>
  <c r="C86" i="1" s="1"/>
  <c r="L48" i="1"/>
  <c r="R139" i="1"/>
  <c r="B268" i="1" s="1"/>
  <c r="C87" i="1" l="1"/>
  <c r="AK11" i="1" s="1"/>
  <c r="F63" i="1"/>
  <c r="D73" i="1"/>
  <c r="T131" i="1"/>
  <c r="E131" i="1"/>
  <c r="Y130" i="1"/>
  <c r="D75" i="1"/>
  <c r="I13" i="2"/>
  <c r="C71" i="1"/>
  <c r="D148" i="1" l="1"/>
  <c r="F148" i="1" s="1"/>
  <c r="E30" i="2"/>
  <c r="AH14" i="1"/>
  <c r="AH15" i="1" s="1"/>
  <c r="AH40" i="1"/>
  <c r="AH41" i="1"/>
  <c r="AH42" i="1"/>
  <c r="AH43" i="1"/>
  <c r="AH44" i="1"/>
  <c r="AH45" i="1"/>
  <c r="AH46" i="1"/>
  <c r="AH47" i="1"/>
  <c r="AH48" i="1"/>
  <c r="AH49" i="1"/>
  <c r="AO51" i="1"/>
  <c r="BA51" i="1"/>
  <c r="BC51" i="1"/>
  <c r="C129" i="1"/>
  <c r="C95" i="1" s="1"/>
  <c r="C131" i="1"/>
  <c r="C132" i="1"/>
  <c r="C133" i="1"/>
  <c r="C134" i="1"/>
  <c r="C135" i="1"/>
  <c r="C136" i="1"/>
  <c r="C137" i="1"/>
  <c r="C138" i="1"/>
  <c r="S129" i="1"/>
  <c r="C156" i="1"/>
  <c r="C155" i="1"/>
  <c r="C154" i="1"/>
  <c r="C153" i="1"/>
  <c r="C152" i="1"/>
  <c r="C151" i="1"/>
  <c r="C150" i="1"/>
  <c r="C149" i="1"/>
  <c r="C148" i="1"/>
  <c r="H148" i="1" s="1"/>
  <c r="R148" i="1"/>
  <c r="T148" i="1" s="1"/>
  <c r="X148" i="1" s="1"/>
  <c r="Y148" i="1" s="1"/>
  <c r="AC148" i="1" s="1"/>
  <c r="R149" i="1"/>
  <c r="T149" i="1" s="1"/>
  <c r="R150" i="1"/>
  <c r="T150" i="1" s="1"/>
  <c r="R151" i="1"/>
  <c r="R152" i="1"/>
  <c r="R153" i="1"/>
  <c r="R155" i="1"/>
  <c r="R156" i="1"/>
  <c r="R147" i="1"/>
  <c r="T147" i="1" s="1"/>
  <c r="T155" i="1" l="1"/>
  <c r="T156" i="1"/>
  <c r="T153" i="1"/>
  <c r="T151" i="1"/>
  <c r="T152" i="1"/>
  <c r="D129" i="1"/>
  <c r="AO22" i="1"/>
  <c r="T157" i="1"/>
  <c r="AH50" i="1"/>
  <c r="AH51" i="1" s="1"/>
  <c r="AO4" i="1" l="1"/>
  <c r="AO40" i="1"/>
  <c r="D276" i="1"/>
  <c r="D292" i="1"/>
  <c r="E76" i="1" l="1"/>
  <c r="C157" i="1"/>
  <c r="C139" i="1"/>
  <c r="C76" i="1"/>
  <c r="Y154" i="1" l="1"/>
  <c r="F193" i="1"/>
  <c r="AC154" i="1" l="1"/>
  <c r="AO41" i="1"/>
  <c r="E193" i="1"/>
  <c r="D193" i="1" s="1"/>
  <c r="F250" i="1"/>
  <c r="F256" i="1" l="1"/>
  <c r="F244" i="1"/>
  <c r="Z252" i="1"/>
  <c r="Y256" i="1"/>
  <c r="Z256" i="1"/>
  <c r="AA252" i="1"/>
  <c r="AB252" i="1"/>
  <c r="AC252" i="1"/>
  <c r="AA256" i="1"/>
  <c r="AB256" i="1"/>
  <c r="AC256" i="1"/>
  <c r="Y252" i="1"/>
  <c r="Z244" i="1"/>
  <c r="AA244" i="1"/>
  <c r="AB244" i="1"/>
  <c r="AC244" i="1"/>
  <c r="Y244" i="1"/>
  <c r="Z242" i="1"/>
  <c r="L44" i="1"/>
  <c r="D268" i="1" l="1"/>
  <c r="C109" i="2"/>
  <c r="C110" i="2"/>
  <c r="K63" i="2"/>
  <c r="K62" i="2"/>
  <c r="D30" i="2"/>
  <c r="D31" i="2"/>
  <c r="D32" i="2"/>
  <c r="D33" i="2"/>
  <c r="D34" i="2"/>
  <c r="D35" i="2"/>
  <c r="D36" i="2"/>
  <c r="D37" i="2"/>
  <c r="D38" i="2"/>
  <c r="D29" i="2"/>
  <c r="X256" i="1"/>
  <c r="V256" i="1"/>
  <c r="U256" i="1"/>
  <c r="S256" i="1"/>
  <c r="R256" i="1"/>
  <c r="Q256" i="1"/>
  <c r="P256" i="1"/>
  <c r="O256" i="1"/>
  <c r="N256" i="1"/>
  <c r="M256" i="1"/>
  <c r="L256" i="1"/>
  <c r="K256" i="1"/>
  <c r="J256" i="1"/>
  <c r="I256" i="1"/>
  <c r="H256" i="1"/>
  <c r="G256" i="1"/>
  <c r="X252" i="1"/>
  <c r="W252" i="1"/>
  <c r="V252" i="1"/>
  <c r="U252" i="1"/>
  <c r="T252" i="1"/>
  <c r="S252" i="1"/>
  <c r="R252" i="1"/>
  <c r="Q252" i="1"/>
  <c r="P252" i="1"/>
  <c r="O252" i="1"/>
  <c r="N252" i="1"/>
  <c r="M252" i="1"/>
  <c r="L252" i="1"/>
  <c r="K252" i="1"/>
  <c r="J252" i="1"/>
  <c r="I252" i="1"/>
  <c r="H252" i="1"/>
  <c r="G252" i="1"/>
  <c r="X244" i="1"/>
  <c r="W244" i="1"/>
  <c r="V244" i="1"/>
  <c r="U244" i="1"/>
  <c r="T244" i="1"/>
  <c r="S244" i="1"/>
  <c r="R244" i="1"/>
  <c r="Q244" i="1"/>
  <c r="P244" i="1"/>
  <c r="O244" i="1"/>
  <c r="N244" i="1"/>
  <c r="M244" i="1"/>
  <c r="L244" i="1"/>
  <c r="K244" i="1"/>
  <c r="J244" i="1"/>
  <c r="I244" i="1"/>
  <c r="H244" i="1"/>
  <c r="G244" i="1"/>
  <c r="V242" i="1"/>
  <c r="R242" i="1"/>
  <c r="N242" i="1"/>
  <c r="J242" i="1"/>
  <c r="F242" i="1"/>
  <c r="F240" i="1"/>
  <c r="AC199" i="1"/>
  <c r="C180" i="1"/>
  <c r="F180" i="1" s="1"/>
  <c r="E175" i="1"/>
  <c r="D175" i="1" s="1"/>
  <c r="E174" i="1"/>
  <c r="D174" i="1" s="1"/>
  <c r="E173" i="1"/>
  <c r="D173" i="1" s="1"/>
  <c r="E172" i="1"/>
  <c r="D172" i="1" s="1"/>
  <c r="E171" i="1"/>
  <c r="D171" i="1" s="1"/>
  <c r="R157" i="1"/>
  <c r="X156" i="1"/>
  <c r="X153" i="1"/>
  <c r="X152" i="1"/>
  <c r="X151" i="1"/>
  <c r="S138" i="1"/>
  <c r="AO31" i="1" s="1"/>
  <c r="S137" i="1"/>
  <c r="AO30" i="1" s="1"/>
  <c r="S136" i="1"/>
  <c r="AO29" i="1" s="1"/>
  <c r="S135" i="1"/>
  <c r="AO28" i="1" s="1"/>
  <c r="S134" i="1"/>
  <c r="AO27" i="1" s="1"/>
  <c r="S133" i="1"/>
  <c r="AO26" i="1" s="1"/>
  <c r="S132" i="1"/>
  <c r="AO25" i="1" s="1"/>
  <c r="S131" i="1"/>
  <c r="AO24" i="1" s="1"/>
  <c r="D270" i="1"/>
  <c r="F128" i="1"/>
  <c r="E128" i="1"/>
  <c r="C204" i="1"/>
  <c r="U204" i="1" s="1"/>
  <c r="G76" i="1"/>
  <c r="K68" i="1"/>
  <c r="K65" i="1"/>
  <c r="K64" i="1"/>
  <c r="K63" i="1"/>
  <c r="K62" i="1"/>
  <c r="E48" i="1"/>
  <c r="G48" i="1" s="1"/>
  <c r="H48" i="1" s="1"/>
  <c r="L47" i="1"/>
  <c r="E47" i="1"/>
  <c r="G47" i="1" s="1"/>
  <c r="H47" i="1" s="1"/>
  <c r="L46" i="1"/>
  <c r="E46" i="1"/>
  <c r="G46" i="1" s="1"/>
  <c r="H46" i="1" s="1"/>
  <c r="E45" i="1"/>
  <c r="E44" i="1"/>
  <c r="Y151" i="1" l="1"/>
  <c r="Y152" i="1"/>
  <c r="Y153" i="1"/>
  <c r="Y156" i="1"/>
  <c r="K96" i="2"/>
  <c r="J96" i="2" s="1"/>
  <c r="E49" i="1"/>
  <c r="H23" i="1" s="1"/>
  <c r="T155" i="2"/>
  <c r="C207" i="1"/>
  <c r="G44" i="1"/>
  <c r="F44" i="1"/>
  <c r="K99" i="2" s="1"/>
  <c r="J99" i="2" s="1"/>
  <c r="L49" i="1"/>
  <c r="D62" i="1" s="1"/>
  <c r="J62" i="1" s="1"/>
  <c r="C94" i="1"/>
  <c r="D134" i="1"/>
  <c r="D133" i="1"/>
  <c r="D135" i="1"/>
  <c r="D138" i="1"/>
  <c r="D136" i="1"/>
  <c r="D137" i="1"/>
  <c r="D131" i="1"/>
  <c r="AO6" i="1" s="1"/>
  <c r="D132" i="1"/>
  <c r="AO7" i="1" s="1"/>
  <c r="C306" i="1"/>
  <c r="X155" i="1"/>
  <c r="V149" i="1"/>
  <c r="X149" i="1"/>
  <c r="Y149" i="1" s="1"/>
  <c r="X150" i="1"/>
  <c r="Y150" i="1" s="1"/>
  <c r="V155" i="1"/>
  <c r="V150" i="1"/>
  <c r="F48" i="1"/>
  <c r="I48" i="1" s="1"/>
  <c r="G240" i="1"/>
  <c r="F47" i="1"/>
  <c r="I47" i="1" s="1"/>
  <c r="E180" i="1"/>
  <c r="D180" i="1" s="1"/>
  <c r="V156" i="1"/>
  <c r="V151" i="1"/>
  <c r="V153" i="1"/>
  <c r="T146" i="2"/>
  <c r="J73" i="1"/>
  <c r="F45" i="1"/>
  <c r="G45" i="1"/>
  <c r="H45" i="1" s="1"/>
  <c r="V148" i="1"/>
  <c r="N130" i="1" s="1"/>
  <c r="V152" i="1"/>
  <c r="F46" i="1"/>
  <c r="I46" i="1" s="1"/>
  <c r="AF5" i="1" s="1"/>
  <c r="AO12" i="1" l="1"/>
  <c r="AO48" i="1" s="1"/>
  <c r="AO13" i="1"/>
  <c r="AO49" i="1" s="1"/>
  <c r="T153" i="2"/>
  <c r="F194" i="1"/>
  <c r="K97" i="2"/>
  <c r="J97" i="2" s="1"/>
  <c r="H44" i="1"/>
  <c r="K98" i="2" s="1"/>
  <c r="J98" i="2" s="1"/>
  <c r="J95" i="2" s="1"/>
  <c r="AI4" i="1"/>
  <c r="AI26" i="1"/>
  <c r="AI30" i="1"/>
  <c r="AI28" i="1"/>
  <c r="AI29" i="1"/>
  <c r="AI22" i="1"/>
  <c r="AI31" i="1"/>
  <c r="AI23" i="1"/>
  <c r="AI24" i="1"/>
  <c r="AI25" i="1"/>
  <c r="AI27" i="1"/>
  <c r="V207" i="1"/>
  <c r="W207" i="1"/>
  <c r="X207" i="1"/>
  <c r="U207" i="1"/>
  <c r="K49" i="1"/>
  <c r="F59" i="1" s="1"/>
  <c r="D63" i="1"/>
  <c r="C206" i="1"/>
  <c r="U206" i="1" s="1"/>
  <c r="E206" i="1" s="1"/>
  <c r="D206" i="1" s="1"/>
  <c r="T154" i="2"/>
  <c r="C197" i="1"/>
  <c r="T145" i="2"/>
  <c r="F265" i="1"/>
  <c r="D69" i="1"/>
  <c r="D71" i="1"/>
  <c r="D49" i="1"/>
  <c r="BJ36" i="1" s="1"/>
  <c r="E204" i="1"/>
  <c r="D204" i="1" s="1"/>
  <c r="D61" i="1"/>
  <c r="E129" i="1" s="1"/>
  <c r="C194" i="1"/>
  <c r="AO11" i="1"/>
  <c r="AO47" i="1" s="1"/>
  <c r="AO10" i="1"/>
  <c r="AO46" i="1" s="1"/>
  <c r="AO9" i="1"/>
  <c r="AO45" i="1" s="1"/>
  <c r="AO8" i="1"/>
  <c r="AO44" i="1" s="1"/>
  <c r="AI6" i="1"/>
  <c r="AI5" i="1"/>
  <c r="AI7" i="1"/>
  <c r="H240" i="1"/>
  <c r="AI13" i="1"/>
  <c r="AI12" i="1"/>
  <c r="AO42" i="1"/>
  <c r="C205" i="1"/>
  <c r="U205" i="1" s="1"/>
  <c r="D65" i="1"/>
  <c r="Y155" i="1"/>
  <c r="X147" i="1"/>
  <c r="X157" i="1" s="1"/>
  <c r="D64" i="1"/>
  <c r="D66" i="1"/>
  <c r="D67" i="1"/>
  <c r="D68" i="1"/>
  <c r="D70" i="1"/>
  <c r="F49" i="1"/>
  <c r="G49" i="1"/>
  <c r="I45" i="1"/>
  <c r="AF4" i="1" s="1"/>
  <c r="J74" i="1"/>
  <c r="K74" i="1"/>
  <c r="K75" i="1"/>
  <c r="J75" i="1"/>
  <c r="V147" i="1"/>
  <c r="H347" i="1" a="1"/>
  <c r="C347" i="1" a="1"/>
  <c r="F197" i="1" l="1"/>
  <c r="AJ11" i="1"/>
  <c r="AO33" i="1"/>
  <c r="I44" i="1"/>
  <c r="AF11" i="1" s="1"/>
  <c r="K95" i="2"/>
  <c r="H49" i="1"/>
  <c r="C91" i="1"/>
  <c r="F64" i="1"/>
  <c r="T137" i="1"/>
  <c r="AI32" i="1"/>
  <c r="AG23" i="1"/>
  <c r="H347" i="1"/>
  <c r="K48" i="2" s="1"/>
  <c r="T150" i="2"/>
  <c r="AO15" i="1"/>
  <c r="F61" i="1"/>
  <c r="G59" i="1"/>
  <c r="I14" i="2" s="1"/>
  <c r="C183" i="1"/>
  <c r="F183" i="1" s="1"/>
  <c r="K66" i="2"/>
  <c r="E137" i="1"/>
  <c r="H48" i="2"/>
  <c r="AI8" i="1"/>
  <c r="AI44" i="1" s="1"/>
  <c r="C347" i="1"/>
  <c r="D48" i="2" s="1"/>
  <c r="E194" i="1"/>
  <c r="D194" i="1" s="1"/>
  <c r="AI11" i="1"/>
  <c r="AI47" i="1" s="1"/>
  <c r="AI10" i="1"/>
  <c r="AI46" i="1" s="1"/>
  <c r="AI9" i="1"/>
  <c r="H59" i="1"/>
  <c r="I59" i="1"/>
  <c r="C89" i="1" s="1"/>
  <c r="T148" i="2" s="1"/>
  <c r="AI42" i="1"/>
  <c r="AI48" i="1"/>
  <c r="AO43" i="1"/>
  <c r="E205" i="1"/>
  <c r="D205" i="1" s="1"/>
  <c r="AI49" i="1"/>
  <c r="I240" i="1"/>
  <c r="AI43" i="1"/>
  <c r="AI41" i="1"/>
  <c r="E135" i="1"/>
  <c r="AI40" i="1"/>
  <c r="J13" i="2"/>
  <c r="K13" i="2" s="1"/>
  <c r="E134" i="1"/>
  <c r="T133" i="1"/>
  <c r="D76" i="1"/>
  <c r="E133" i="1"/>
  <c r="T129" i="1"/>
  <c r="T132" i="1"/>
  <c r="E132" i="1"/>
  <c r="T136" i="1"/>
  <c r="E136" i="1"/>
  <c r="T135" i="1"/>
  <c r="T134" i="1"/>
  <c r="E138" i="1"/>
  <c r="T138" i="1"/>
  <c r="Y147" i="1"/>
  <c r="L77" i="1"/>
  <c r="AC155" i="1"/>
  <c r="AC150" i="1"/>
  <c r="E197" i="1"/>
  <c r="D197" i="1" s="1"/>
  <c r="C198" i="1"/>
  <c r="F195" i="1"/>
  <c r="I49" i="1"/>
  <c r="C195" i="1"/>
  <c r="E207" i="1"/>
  <c r="D207" i="1" s="1"/>
  <c r="E195" i="1" l="1"/>
  <c r="F134" i="1"/>
  <c r="BX12" i="1"/>
  <c r="E183" i="1"/>
  <c r="F136" i="1"/>
  <c r="D183" i="1"/>
  <c r="BI14" i="1"/>
  <c r="H198" i="1"/>
  <c r="I198" i="1"/>
  <c r="J198" i="1"/>
  <c r="H61" i="1"/>
  <c r="E29" i="2" s="1"/>
  <c r="J114" i="2"/>
  <c r="F129" i="1"/>
  <c r="I129" i="1" s="1"/>
  <c r="J129" i="1" s="1"/>
  <c r="H139" i="1"/>
  <c r="AI14" i="1"/>
  <c r="D195" i="1"/>
  <c r="AI45" i="1"/>
  <c r="AI50" i="1" s="1"/>
  <c r="AI51" i="1" s="1"/>
  <c r="C109" i="1"/>
  <c r="BJ27" i="1"/>
  <c r="BI36" i="1"/>
  <c r="J240" i="1"/>
  <c r="W139" i="1"/>
  <c r="T139" i="1"/>
  <c r="U139" i="1" s="1"/>
  <c r="E139" i="1"/>
  <c r="C18" i="1"/>
  <c r="AC147" i="1"/>
  <c r="AC151" i="1"/>
  <c r="AC153" i="1"/>
  <c r="AC152" i="1"/>
  <c r="AC156" i="1"/>
  <c r="AC149" i="1"/>
  <c r="I134" i="1" l="1"/>
  <c r="F139" i="1"/>
  <c r="AI15" i="1"/>
  <c r="AI33" i="1"/>
  <c r="K240" i="1"/>
  <c r="E198" i="1"/>
  <c r="D198" i="1" s="1"/>
  <c r="G347" i="1" l="1"/>
  <c r="E347" i="1" s="1"/>
  <c r="L240" i="1"/>
  <c r="D347" i="1" l="1"/>
  <c r="F347" i="1"/>
  <c r="AV30" i="1"/>
  <c r="AV29" i="1"/>
  <c r="AV26" i="1"/>
  <c r="AV25" i="1"/>
  <c r="AV27" i="1"/>
  <c r="AV24" i="1"/>
  <c r="AV28" i="1"/>
  <c r="AV23" i="1"/>
  <c r="AV31" i="1"/>
  <c r="M240" i="1"/>
  <c r="E203" i="1"/>
  <c r="AY27" i="1" l="1"/>
  <c r="BD27" i="1"/>
  <c r="BA27" i="1" s="1"/>
  <c r="AY25" i="1"/>
  <c r="BD25" i="1"/>
  <c r="BA25" i="1" s="1"/>
  <c r="AY26" i="1"/>
  <c r="BD26" i="1"/>
  <c r="BA26" i="1" s="1"/>
  <c r="BD31" i="1"/>
  <c r="BA31" i="1" s="1"/>
  <c r="AY31" i="1"/>
  <c r="BD23" i="1"/>
  <c r="BA23" i="1" s="1"/>
  <c r="AY23" i="1"/>
  <c r="AY29" i="1"/>
  <c r="BD29" i="1"/>
  <c r="BA29" i="1" s="1"/>
  <c r="AY30" i="1"/>
  <c r="BD30" i="1"/>
  <c r="BA30" i="1" s="1"/>
  <c r="BD28" i="1"/>
  <c r="BA28" i="1" s="1"/>
  <c r="AY28" i="1"/>
  <c r="AY24" i="1"/>
  <c r="BD24" i="1"/>
  <c r="BA24" i="1" s="1"/>
  <c r="AV32" i="1"/>
  <c r="AV33" i="1" s="1"/>
  <c r="AV22" i="1"/>
  <c r="N240" i="1"/>
  <c r="BD22" i="1" l="1"/>
  <c r="BA22" i="1" s="1"/>
  <c r="AZ32" i="1"/>
  <c r="AY22" i="1"/>
  <c r="O240" i="1"/>
  <c r="BD32" i="1" l="1"/>
  <c r="BD33" i="1" s="1"/>
  <c r="AZ33" i="1"/>
  <c r="AY32" i="1"/>
  <c r="AY33" i="1" s="1"/>
  <c r="P240" i="1"/>
  <c r="T86" i="2"/>
  <c r="I19" i="2" l="1"/>
  <c r="Q240" i="1"/>
  <c r="R240" i="1" l="1"/>
  <c r="S240" i="1" l="1"/>
  <c r="T240" i="1" l="1"/>
  <c r="U240" i="1" l="1"/>
  <c r="V240" i="1" l="1"/>
  <c r="W240" i="1" l="1"/>
  <c r="X240" i="1" l="1"/>
  <c r="Y240" i="1" l="1"/>
  <c r="Z240" i="1" l="1"/>
  <c r="AA240" i="1" l="1"/>
  <c r="J61" i="1"/>
  <c r="U129" i="1"/>
  <c r="AG4" i="1" l="1"/>
  <c r="AG22" i="1"/>
  <c r="AB240" i="1"/>
  <c r="X129" i="1"/>
  <c r="AC240" i="1" l="1"/>
  <c r="AG40" i="1"/>
  <c r="D147" i="1"/>
  <c r="Y129" i="1"/>
  <c r="F147" i="1" l="1"/>
  <c r="N129" i="1" s="1"/>
  <c r="AB129" i="1"/>
  <c r="AA129" i="1"/>
  <c r="Z129" i="1"/>
  <c r="H147" i="1" l="1"/>
  <c r="I147" i="1" s="1"/>
  <c r="AT4" i="1" s="1"/>
  <c r="AC129" i="1"/>
  <c r="AX22" i="1" s="1"/>
  <c r="BB22" i="1" l="1"/>
  <c r="BI33" i="1"/>
  <c r="AT40" i="1"/>
  <c r="M147" i="1"/>
  <c r="O129" i="1" s="1"/>
  <c r="U132" i="1"/>
  <c r="X132" i="1" s="1"/>
  <c r="Y132" i="1" s="1"/>
  <c r="C202" i="1"/>
  <c r="F70" i="1"/>
  <c r="U131" i="1"/>
  <c r="X131" i="1" s="1"/>
  <c r="Y131" i="1" s="1"/>
  <c r="U136" i="1"/>
  <c r="X136" i="1" s="1"/>
  <c r="Y136" i="1" s="1"/>
  <c r="U133" i="1"/>
  <c r="X133" i="1" s="1"/>
  <c r="Y133" i="1" s="1"/>
  <c r="AG5" i="1"/>
  <c r="U134" i="1"/>
  <c r="X134" i="1" s="1"/>
  <c r="Y134" i="1" s="1"/>
  <c r="F66" i="1"/>
  <c r="J63" i="1"/>
  <c r="U137" i="1"/>
  <c r="X137" i="1" s="1"/>
  <c r="Y137" i="1" s="1"/>
  <c r="U135" i="1"/>
  <c r="X135" i="1" s="1"/>
  <c r="Y135" i="1" s="1"/>
  <c r="U138" i="1"/>
  <c r="X138" i="1" s="1"/>
  <c r="Y138" i="1" s="1"/>
  <c r="J70" i="1"/>
  <c r="J66" i="1"/>
  <c r="J71" i="1"/>
  <c r="F67" i="1"/>
  <c r="F68" i="1"/>
  <c r="H64" i="1"/>
  <c r="J64" i="1"/>
  <c r="J65" i="1"/>
  <c r="J67" i="1"/>
  <c r="H63" i="1"/>
  <c r="J69" i="1"/>
  <c r="F69" i="1"/>
  <c r="F65" i="1"/>
  <c r="C200" i="1"/>
  <c r="J68" i="1"/>
  <c r="J200" i="1" l="1"/>
  <c r="AG30" i="1"/>
  <c r="D149" i="1"/>
  <c r="AG31" i="1"/>
  <c r="AL27" i="1"/>
  <c r="AG11" i="1"/>
  <c r="AG29" i="1"/>
  <c r="AL26" i="1"/>
  <c r="AG9" i="1"/>
  <c r="AG27" i="1"/>
  <c r="AG6" i="1"/>
  <c r="AG24" i="1"/>
  <c r="H69" i="1"/>
  <c r="AL30" i="1"/>
  <c r="H70" i="1"/>
  <c r="AL31" i="1"/>
  <c r="AG10" i="1"/>
  <c r="AG28" i="1"/>
  <c r="W202" i="1"/>
  <c r="V202" i="1"/>
  <c r="AG8" i="1"/>
  <c r="AG26" i="1"/>
  <c r="AG7" i="1"/>
  <c r="AG25" i="1"/>
  <c r="AL29" i="1"/>
  <c r="AL28" i="1"/>
  <c r="AL23" i="1"/>
  <c r="AL22" i="1"/>
  <c r="AL25" i="1"/>
  <c r="AL24" i="1"/>
  <c r="H67" i="1"/>
  <c r="H66" i="1"/>
  <c r="H68" i="1"/>
  <c r="H65" i="1"/>
  <c r="F76" i="1"/>
  <c r="J59" i="1" s="1"/>
  <c r="AF6" i="1" s="1"/>
  <c r="X265" i="1"/>
  <c r="Y265" i="1"/>
  <c r="V265" i="1"/>
  <c r="AA265" i="1"/>
  <c r="U265" i="1"/>
  <c r="AB265" i="1"/>
  <c r="T265" i="1"/>
  <c r="AC265" i="1"/>
  <c r="G265" i="1"/>
  <c r="H265" i="1"/>
  <c r="I265" i="1"/>
  <c r="J265" i="1"/>
  <c r="K265" i="1"/>
  <c r="M265" i="1"/>
  <c r="S265" i="1"/>
  <c r="Z265" i="1"/>
  <c r="L265" i="1"/>
  <c r="N265" i="1"/>
  <c r="O265" i="1"/>
  <c r="P265" i="1"/>
  <c r="Q265" i="1"/>
  <c r="R265" i="1"/>
  <c r="W265" i="1"/>
  <c r="AL5" i="1"/>
  <c r="AL4" i="1"/>
  <c r="AL8" i="1"/>
  <c r="AL6" i="1"/>
  <c r="AL7" i="1"/>
  <c r="AL11" i="1"/>
  <c r="AL9" i="1"/>
  <c r="AL10" i="1"/>
  <c r="AL13" i="1"/>
  <c r="AL12" i="1"/>
  <c r="AG13" i="1"/>
  <c r="AG12" i="1"/>
  <c r="Z130" i="1"/>
  <c r="X139" i="1" a="1"/>
  <c r="X139" i="1" s="1"/>
  <c r="I136" i="1"/>
  <c r="F133" i="1"/>
  <c r="J134" i="1"/>
  <c r="AA132" i="1"/>
  <c r="Z137" i="1"/>
  <c r="AA137" i="1"/>
  <c r="Z136" i="1"/>
  <c r="AA136" i="1"/>
  <c r="Z133" i="1"/>
  <c r="AA133" i="1"/>
  <c r="Z138" i="1"/>
  <c r="AA138" i="1"/>
  <c r="Z134" i="1"/>
  <c r="AA134" i="1"/>
  <c r="Z131" i="1"/>
  <c r="AA131" i="1"/>
  <c r="Z135" i="1"/>
  <c r="AA135" i="1"/>
  <c r="Z132" i="1"/>
  <c r="F138" i="1"/>
  <c r="F137" i="1"/>
  <c r="K67" i="1"/>
  <c r="F135" i="1"/>
  <c r="K69" i="1"/>
  <c r="AB131" i="1"/>
  <c r="AB138" i="1"/>
  <c r="F131" i="1"/>
  <c r="I131" i="1" s="1"/>
  <c r="J131" i="1" s="1"/>
  <c r="F132" i="1"/>
  <c r="I132" i="1" s="1"/>
  <c r="J132" i="1" s="1"/>
  <c r="AB135" i="1"/>
  <c r="AB136" i="1"/>
  <c r="J76" i="1"/>
  <c r="K66" i="1"/>
  <c r="AB133" i="1"/>
  <c r="AB137" i="1"/>
  <c r="AB134" i="1"/>
  <c r="AB132" i="1"/>
  <c r="C348" i="1" a="1"/>
  <c r="H348" i="1" a="1"/>
  <c r="I138" i="1" l="1"/>
  <c r="J136" i="1"/>
  <c r="I133" i="1"/>
  <c r="I135" i="1"/>
  <c r="I137" i="1"/>
  <c r="I50" i="2"/>
  <c r="AF23" i="1"/>
  <c r="AF24" i="1"/>
  <c r="AF22" i="1"/>
  <c r="AF25" i="1"/>
  <c r="AF30" i="1"/>
  <c r="AF28" i="1"/>
  <c r="AL32" i="1"/>
  <c r="AF31" i="1"/>
  <c r="AG32" i="1"/>
  <c r="AF26" i="1"/>
  <c r="AF29" i="1"/>
  <c r="AF27" i="1"/>
  <c r="H348" i="1"/>
  <c r="K50" i="2" s="1"/>
  <c r="H50" i="2"/>
  <c r="C110" i="1"/>
  <c r="BI15" i="1"/>
  <c r="H76" i="1"/>
  <c r="AX4" i="1"/>
  <c r="AX40" i="1" s="1"/>
  <c r="C348" i="1"/>
  <c r="D50" i="2" s="1"/>
  <c r="AL48" i="1"/>
  <c r="BW4" i="1"/>
  <c r="AL42" i="1"/>
  <c r="AL44" i="1"/>
  <c r="AL49" i="1"/>
  <c r="AL47" i="1"/>
  <c r="C92" i="1"/>
  <c r="BI40" i="1"/>
  <c r="AG45" i="1"/>
  <c r="AL46" i="1"/>
  <c r="AL41" i="1"/>
  <c r="AL43" i="1"/>
  <c r="AL45" i="1"/>
  <c r="AG42" i="1"/>
  <c r="AG46" i="1"/>
  <c r="AG41" i="1"/>
  <c r="AG14" i="1"/>
  <c r="AG43" i="1"/>
  <c r="AG44" i="1"/>
  <c r="AG48" i="1"/>
  <c r="AG47" i="1"/>
  <c r="AG49" i="1"/>
  <c r="AL14" i="1"/>
  <c r="AL40" i="1"/>
  <c r="F149" i="1"/>
  <c r="N131" i="1" s="1"/>
  <c r="AA130" i="1"/>
  <c r="AA139" i="1" s="1"/>
  <c r="E38" i="2"/>
  <c r="D152" i="1"/>
  <c r="AB130" i="1"/>
  <c r="AB139" i="1" s="1"/>
  <c r="D153" i="1"/>
  <c r="I76" i="1"/>
  <c r="Z139" i="1"/>
  <c r="Y139" i="1"/>
  <c r="C100" i="1" s="1"/>
  <c r="D151" i="1"/>
  <c r="C19" i="1"/>
  <c r="K102" i="2" s="1"/>
  <c r="E33" i="2"/>
  <c r="AC138" i="1"/>
  <c r="AX31" i="1" s="1"/>
  <c r="BB31" i="1" s="1"/>
  <c r="AC132" i="1"/>
  <c r="AX25" i="1" s="1"/>
  <c r="BB25" i="1" s="1"/>
  <c r="L76" i="1"/>
  <c r="AK27" i="1" s="1"/>
  <c r="AC135" i="1"/>
  <c r="AX28" i="1" s="1"/>
  <c r="BB28" i="1" s="1"/>
  <c r="AC136" i="1"/>
  <c r="AX29" i="1" s="1"/>
  <c r="BB29" i="1" s="1"/>
  <c r="AC134" i="1"/>
  <c r="AX27" i="1" s="1"/>
  <c r="BB27" i="1" s="1"/>
  <c r="AC131" i="1"/>
  <c r="AX24" i="1" s="1"/>
  <c r="BB24" i="1" s="1"/>
  <c r="E200" i="1"/>
  <c r="D200" i="1" s="1"/>
  <c r="AC137" i="1"/>
  <c r="AX30" i="1" s="1"/>
  <c r="BB30" i="1" s="1"/>
  <c r="AC133" i="1"/>
  <c r="AX26" i="1" s="1"/>
  <c r="BB26" i="1" s="1"/>
  <c r="E34" i="2"/>
  <c r="E35" i="2"/>
  <c r="D156" i="1"/>
  <c r="E31" i="2"/>
  <c r="E37" i="2"/>
  <c r="D155" i="1"/>
  <c r="C196" i="1"/>
  <c r="E36" i="2"/>
  <c r="D154" i="1"/>
  <c r="D150" i="1"/>
  <c r="F150" i="1" s="1"/>
  <c r="N132" i="1" s="1"/>
  <c r="E32" i="2"/>
  <c r="E202" i="1"/>
  <c r="D202" i="1" s="1"/>
  <c r="F153" i="1" l="1"/>
  <c r="F151" i="1"/>
  <c r="C104" i="1"/>
  <c r="J137" i="1"/>
  <c r="J135" i="1"/>
  <c r="T159" i="2"/>
  <c r="T151" i="2"/>
  <c r="J133" i="1"/>
  <c r="J138" i="1"/>
  <c r="I139" i="1" a="1"/>
  <c r="I139" i="1" s="1"/>
  <c r="F154" i="1"/>
  <c r="F155" i="1"/>
  <c r="AL33" i="1"/>
  <c r="AJ30" i="1"/>
  <c r="AK30" i="1"/>
  <c r="AJ28" i="1"/>
  <c r="AK28" i="1"/>
  <c r="AG33" i="1"/>
  <c r="AG15" i="1"/>
  <c r="AK10" i="1"/>
  <c r="AJ31" i="1"/>
  <c r="AK31" i="1"/>
  <c r="AJ22" i="1"/>
  <c r="AK22" i="1"/>
  <c r="AJ23" i="1"/>
  <c r="AJ29" i="1"/>
  <c r="AK29" i="1"/>
  <c r="AK25" i="1"/>
  <c r="AK24" i="1"/>
  <c r="AJ26" i="1"/>
  <c r="AK23" i="1"/>
  <c r="AJ24" i="1"/>
  <c r="AJ25" i="1"/>
  <c r="AK26" i="1"/>
  <c r="AJ27" i="1"/>
  <c r="AF32" i="1"/>
  <c r="C97" i="1"/>
  <c r="C90" i="1"/>
  <c r="C88" i="1"/>
  <c r="T147" i="2" s="1"/>
  <c r="J102" i="2"/>
  <c r="AL15" i="1"/>
  <c r="BZ13" i="1"/>
  <c r="CA13" i="1" s="1"/>
  <c r="F156" i="1"/>
  <c r="G157" i="1" a="1"/>
  <c r="G157" i="1" s="1"/>
  <c r="AC130" i="1"/>
  <c r="AX23" i="1" s="1"/>
  <c r="I15" i="2"/>
  <c r="G348" i="1"/>
  <c r="E348" i="1" s="1"/>
  <c r="C101" i="1"/>
  <c r="AL50" i="1"/>
  <c r="AL51" i="1" s="1"/>
  <c r="AK9" i="1"/>
  <c r="AJ9" i="1"/>
  <c r="AJ10" i="1"/>
  <c r="AF8" i="1"/>
  <c r="AF9" i="1"/>
  <c r="AF7" i="1"/>
  <c r="AF10" i="1"/>
  <c r="AJ7" i="1"/>
  <c r="AK7" i="1"/>
  <c r="AK5" i="1"/>
  <c r="AJ5" i="1"/>
  <c r="AJ6" i="1"/>
  <c r="AK6" i="1"/>
  <c r="AJ8" i="1"/>
  <c r="AK8" i="1"/>
  <c r="F196" i="1"/>
  <c r="H196" i="1"/>
  <c r="AK12" i="1"/>
  <c r="AJ12" i="1"/>
  <c r="AJ13" i="1"/>
  <c r="AK13" i="1"/>
  <c r="AF12" i="1"/>
  <c r="AF13" i="1"/>
  <c r="AG50" i="1"/>
  <c r="AG51" i="1" s="1"/>
  <c r="F152" i="1"/>
  <c r="C211" i="1"/>
  <c r="C307" i="1"/>
  <c r="C203" i="1"/>
  <c r="BI8" i="1" s="1"/>
  <c r="H154" i="1"/>
  <c r="H151" i="1"/>
  <c r="N133" i="1"/>
  <c r="L78" i="1"/>
  <c r="H153" i="1"/>
  <c r="H155" i="1"/>
  <c r="H150" i="1"/>
  <c r="H149" i="1"/>
  <c r="AA196" i="1"/>
  <c r="Q196" i="1"/>
  <c r="J196" i="1"/>
  <c r="O196" i="1"/>
  <c r="AC196" i="1"/>
  <c r="U196" i="1"/>
  <c r="N196" i="1"/>
  <c r="X196" i="1"/>
  <c r="M196" i="1"/>
  <c r="W196" i="1"/>
  <c r="L196" i="1"/>
  <c r="V196" i="1"/>
  <c r="G196" i="1"/>
  <c r="S196" i="1"/>
  <c r="Z196" i="1"/>
  <c r="K196" i="1"/>
  <c r="P196" i="1"/>
  <c r="Y196" i="1"/>
  <c r="I196" i="1"/>
  <c r="T196" i="1"/>
  <c r="R196" i="1"/>
  <c r="AB196" i="1"/>
  <c r="H346" i="1" a="1"/>
  <c r="C346" i="1" a="1"/>
  <c r="H156" i="1" l="1"/>
  <c r="N137" i="1"/>
  <c r="T156" i="2"/>
  <c r="G278" i="1"/>
  <c r="T149" i="2"/>
  <c r="N135" i="1"/>
  <c r="D348" i="1"/>
  <c r="F348" i="1"/>
  <c r="AN32" i="1"/>
  <c r="AK32" i="1"/>
  <c r="G46" i="2"/>
  <c r="BB23" i="1"/>
  <c r="AX32" i="1"/>
  <c r="AJ32" i="1"/>
  <c r="H346" i="1"/>
  <c r="K46" i="2" s="1"/>
  <c r="AK14" i="1"/>
  <c r="C216" i="1"/>
  <c r="K104" i="2"/>
  <c r="J104" i="2" s="1"/>
  <c r="N138" i="1"/>
  <c r="G288" i="1"/>
  <c r="G286" i="1"/>
  <c r="AJ43" i="1"/>
  <c r="T160" i="2"/>
  <c r="F46" i="2"/>
  <c r="E46" i="2"/>
  <c r="H46" i="2"/>
  <c r="J46" i="2"/>
  <c r="I46" i="2"/>
  <c r="C346" i="1"/>
  <c r="D46" i="2" s="1"/>
  <c r="C303" i="1"/>
  <c r="C312" i="1" s="1"/>
  <c r="T278" i="1"/>
  <c r="AK43" i="1"/>
  <c r="F182" i="1"/>
  <c r="AJ48" i="1"/>
  <c r="J216" i="1"/>
  <c r="AK44" i="1"/>
  <c r="AN14" i="1"/>
  <c r="AN4" i="1" s="1"/>
  <c r="AK41" i="1"/>
  <c r="AK45" i="1"/>
  <c r="AK42" i="1"/>
  <c r="AJ42" i="1"/>
  <c r="AK49" i="1"/>
  <c r="H182" i="1"/>
  <c r="D203" i="1"/>
  <c r="F272" i="1"/>
  <c r="F274" i="1" s="1"/>
  <c r="F276" i="1" s="1"/>
  <c r="AK48" i="1"/>
  <c r="AJ49" i="1"/>
  <c r="AK46" i="1"/>
  <c r="AJ44" i="1"/>
  <c r="AJ41" i="1"/>
  <c r="AJ45" i="1"/>
  <c r="AK47" i="1"/>
  <c r="AJ46" i="1"/>
  <c r="AJ47" i="1"/>
  <c r="BJ28" i="1"/>
  <c r="X182" i="1"/>
  <c r="U182" i="1"/>
  <c r="Y182" i="1"/>
  <c r="AB182" i="1"/>
  <c r="O182" i="1"/>
  <c r="Z182" i="1"/>
  <c r="AA182" i="1"/>
  <c r="G182" i="1"/>
  <c r="R182" i="1"/>
  <c r="N182" i="1"/>
  <c r="T182" i="1"/>
  <c r="S182" i="1"/>
  <c r="L182" i="1"/>
  <c r="K182" i="1"/>
  <c r="W182" i="1"/>
  <c r="I182" i="1"/>
  <c r="Q182" i="1"/>
  <c r="J182" i="1"/>
  <c r="P182" i="1"/>
  <c r="V182" i="1"/>
  <c r="M182" i="1"/>
  <c r="AF47" i="1"/>
  <c r="AF41" i="1"/>
  <c r="AJ14" i="1"/>
  <c r="AJ40" i="1"/>
  <c r="AF49" i="1"/>
  <c r="AF48" i="1"/>
  <c r="AF44" i="1"/>
  <c r="AF42" i="1"/>
  <c r="AK40" i="1"/>
  <c r="AF45" i="1"/>
  <c r="AF43" i="1"/>
  <c r="AF46" i="1"/>
  <c r="AF14" i="1"/>
  <c r="AF33" i="1" s="1"/>
  <c r="AF40" i="1"/>
  <c r="I154" i="1"/>
  <c r="H152" i="1"/>
  <c r="N134" i="1"/>
  <c r="AC139" i="1"/>
  <c r="C184" i="1" s="1"/>
  <c r="S278" i="1"/>
  <c r="S282" i="1" s="1"/>
  <c r="M278" i="1"/>
  <c r="AB278" i="1"/>
  <c r="AB282" i="1" s="1"/>
  <c r="AA278" i="1"/>
  <c r="AA288" i="1" s="1"/>
  <c r="Y278" i="1"/>
  <c r="Y288" i="1" s="1"/>
  <c r="W278" i="1"/>
  <c r="W288" i="1" s="1"/>
  <c r="Q278" i="1"/>
  <c r="Q282" i="1" s="1"/>
  <c r="K278" i="1"/>
  <c r="K284" i="1" s="1"/>
  <c r="U278" i="1"/>
  <c r="U286" i="1" s="1"/>
  <c r="N278" i="1"/>
  <c r="N280" i="1" s="1"/>
  <c r="I278" i="1"/>
  <c r="I286" i="1" s="1"/>
  <c r="L278" i="1"/>
  <c r="L286" i="1" s="1"/>
  <c r="AC278" i="1"/>
  <c r="AC286" i="1" s="1"/>
  <c r="Z278" i="1"/>
  <c r="Z280" i="1" s="1"/>
  <c r="X278" i="1"/>
  <c r="X282" i="1" s="1"/>
  <c r="O278" i="1"/>
  <c r="O282" i="1" s="1"/>
  <c r="P278" i="1"/>
  <c r="P288" i="1" s="1"/>
  <c r="F278" i="1"/>
  <c r="V278" i="1"/>
  <c r="V280" i="1" s="1"/>
  <c r="R278" i="1"/>
  <c r="R288" i="1" s="1"/>
  <c r="J278" i="1"/>
  <c r="J280" i="1" s="1"/>
  <c r="F157" i="1" a="1"/>
  <c r="F157" i="1" s="1"/>
  <c r="H278" i="1"/>
  <c r="H282" i="1" s="1"/>
  <c r="I156" i="1"/>
  <c r="I151" i="1"/>
  <c r="AC272" i="1"/>
  <c r="AC274" i="1" s="1"/>
  <c r="AC182" i="1"/>
  <c r="G216" i="1"/>
  <c r="AA272" i="1"/>
  <c r="AA274" i="1" s="1"/>
  <c r="AB272" i="1"/>
  <c r="AB274" i="1" s="1"/>
  <c r="F216" i="1"/>
  <c r="I148" i="1"/>
  <c r="I155" i="1"/>
  <c r="I150" i="1"/>
  <c r="I149" i="1"/>
  <c r="I153" i="1"/>
  <c r="Z272" i="1"/>
  <c r="Z274" i="1" s="1"/>
  <c r="Y272" i="1"/>
  <c r="Y274" i="1" s="1"/>
  <c r="C199" i="1"/>
  <c r="O216" i="1"/>
  <c r="O272" i="1"/>
  <c r="O274" i="1" s="1"/>
  <c r="K216" i="1"/>
  <c r="K272" i="1"/>
  <c r="K274" i="1" s="1"/>
  <c r="C208" i="1"/>
  <c r="U272" i="1"/>
  <c r="U274" i="1" s="1"/>
  <c r="U216" i="1"/>
  <c r="Q216" i="1"/>
  <c r="Q272" i="1"/>
  <c r="Q274" i="1" s="1"/>
  <c r="AC216" i="1"/>
  <c r="AC212" i="1"/>
  <c r="J272" i="1"/>
  <c r="J274" i="1" s="1"/>
  <c r="T272" i="1"/>
  <c r="T274" i="1" s="1"/>
  <c r="T216" i="1"/>
  <c r="Y216" i="1"/>
  <c r="Y212" i="1"/>
  <c r="P216" i="1"/>
  <c r="P272" i="1"/>
  <c r="P274" i="1" s="1"/>
  <c r="Z216" i="1"/>
  <c r="Z212" i="1"/>
  <c r="S272" i="1"/>
  <c r="S274" i="1" s="1"/>
  <c r="S216" i="1"/>
  <c r="G272" i="1"/>
  <c r="G274" i="1" s="1"/>
  <c r="V272" i="1"/>
  <c r="V274" i="1" s="1"/>
  <c r="V216" i="1"/>
  <c r="V212" i="1"/>
  <c r="L216" i="1"/>
  <c r="L272" i="1"/>
  <c r="L274" i="1" s="1"/>
  <c r="W212" i="1"/>
  <c r="W216" i="1"/>
  <c r="W272" i="1"/>
  <c r="W274" i="1" s="1"/>
  <c r="C212" i="1"/>
  <c r="M272" i="1"/>
  <c r="M274" i="1" s="1"/>
  <c r="M216" i="1"/>
  <c r="C201" i="1"/>
  <c r="X212" i="1"/>
  <c r="X216" i="1"/>
  <c r="X272" i="1"/>
  <c r="X274" i="1" s="1"/>
  <c r="AB216" i="1"/>
  <c r="AB212" i="1"/>
  <c r="R216" i="1"/>
  <c r="R272" i="1"/>
  <c r="R274" i="1" s="1"/>
  <c r="H272" i="1"/>
  <c r="H274" i="1" s="1"/>
  <c r="H216" i="1"/>
  <c r="I272" i="1"/>
  <c r="I274" i="1" s="1"/>
  <c r="I216" i="1"/>
  <c r="AA212" i="1"/>
  <c r="AA216" i="1"/>
  <c r="E196" i="1"/>
  <c r="N272" i="1"/>
  <c r="N274" i="1" s="1"/>
  <c r="N216" i="1"/>
  <c r="AM32" i="1" l="1"/>
  <c r="AM33" i="1" s="1"/>
  <c r="AT11" i="1"/>
  <c r="AT12" i="1"/>
  <c r="AT48" i="1" s="1"/>
  <c r="N199" i="1"/>
  <c r="Q199" i="1"/>
  <c r="L199" i="1"/>
  <c r="S199" i="1"/>
  <c r="K199" i="1"/>
  <c r="G199" i="1"/>
  <c r="J199" i="1"/>
  <c r="T199" i="1"/>
  <c r="O199" i="1"/>
  <c r="R199" i="1"/>
  <c r="X199" i="1"/>
  <c r="Z199" i="1"/>
  <c r="W199" i="1"/>
  <c r="Y199" i="1"/>
  <c r="V199" i="1"/>
  <c r="AB199" i="1"/>
  <c r="N212" i="1"/>
  <c r="O212" i="1"/>
  <c r="P212" i="1"/>
  <c r="Q212" i="1"/>
  <c r="R212" i="1"/>
  <c r="M212" i="1"/>
  <c r="S212" i="1"/>
  <c r="G212" i="1"/>
  <c r="T212" i="1"/>
  <c r="U212" i="1"/>
  <c r="F212" i="1"/>
  <c r="H212" i="1"/>
  <c r="J212" i="1"/>
  <c r="K212" i="1"/>
  <c r="I212" i="1"/>
  <c r="L212" i="1"/>
  <c r="H199" i="1"/>
  <c r="AA199" i="1"/>
  <c r="M199" i="1"/>
  <c r="I199" i="1"/>
  <c r="F199" i="1"/>
  <c r="U199" i="1"/>
  <c r="P199" i="1"/>
  <c r="H22" i="1"/>
  <c r="H201" i="1"/>
  <c r="I201" i="1"/>
  <c r="J201" i="1"/>
  <c r="K201" i="1"/>
  <c r="F201" i="1"/>
  <c r="G201" i="1"/>
  <c r="M208" i="1"/>
  <c r="N208" i="1"/>
  <c r="S208" i="1"/>
  <c r="L208" i="1"/>
  <c r="O208" i="1"/>
  <c r="P208" i="1"/>
  <c r="Q208" i="1"/>
  <c r="R208" i="1"/>
  <c r="T208" i="1"/>
  <c r="K208" i="1"/>
  <c r="AJ33" i="1"/>
  <c r="AK33" i="1"/>
  <c r="AX33" i="1"/>
  <c r="BB32" i="1"/>
  <c r="BB33" i="1" s="1"/>
  <c r="AN33" i="1"/>
  <c r="AN30" i="1"/>
  <c r="AN27" i="1"/>
  <c r="AN24" i="1"/>
  <c r="AN26" i="1"/>
  <c r="AN28" i="1"/>
  <c r="AN29" i="1"/>
  <c r="AN22" i="1"/>
  <c r="AN25" i="1"/>
  <c r="AN23" i="1"/>
  <c r="AN31" i="1"/>
  <c r="AK15" i="1"/>
  <c r="AJ15" i="1"/>
  <c r="AF15" i="1"/>
  <c r="AT5" i="1"/>
  <c r="AT41" i="1" s="1"/>
  <c r="M148" i="1"/>
  <c r="C309" i="1"/>
  <c r="C311" i="1"/>
  <c r="C310" i="1"/>
  <c r="C308" i="1"/>
  <c r="T282" i="1"/>
  <c r="T284" i="1"/>
  <c r="T288" i="1"/>
  <c r="T280" i="1"/>
  <c r="T286" i="1"/>
  <c r="AM14" i="1"/>
  <c r="AM4" i="1" s="1"/>
  <c r="J29" i="1"/>
  <c r="E216" i="1"/>
  <c r="D216" i="1" s="1"/>
  <c r="AN6" i="1"/>
  <c r="AN11" i="1"/>
  <c r="AN9" i="1"/>
  <c r="AN5" i="1"/>
  <c r="AN10" i="1"/>
  <c r="AN7" i="1"/>
  <c r="AN8" i="1"/>
  <c r="AT7" i="1"/>
  <c r="AT43" i="1" s="1"/>
  <c r="AT6" i="1"/>
  <c r="AT10" i="1"/>
  <c r="AT8" i="1"/>
  <c r="AT44" i="1" s="1"/>
  <c r="AK50" i="1"/>
  <c r="AK51" i="1" s="1"/>
  <c r="AJ50" i="1"/>
  <c r="AJ51" i="1" s="1"/>
  <c r="AF50" i="1"/>
  <c r="AF51" i="1" s="1"/>
  <c r="F288" i="1"/>
  <c r="AN12" i="1"/>
  <c r="AN13" i="1"/>
  <c r="M156" i="1"/>
  <c r="AT13" i="1"/>
  <c r="AT49" i="1" s="1"/>
  <c r="H157" i="1"/>
  <c r="M154" i="1"/>
  <c r="AT47" i="1"/>
  <c r="M288" i="1"/>
  <c r="I152" i="1"/>
  <c r="M282" i="1"/>
  <c r="M284" i="1"/>
  <c r="M280" i="1"/>
  <c r="W282" i="1"/>
  <c r="AC282" i="1"/>
  <c r="S284" i="1"/>
  <c r="S280" i="1"/>
  <c r="S288" i="1"/>
  <c r="S286" i="1"/>
  <c r="Q280" i="1"/>
  <c r="AA286" i="1"/>
  <c r="AC280" i="1"/>
  <c r="P286" i="1"/>
  <c r="Y282" i="1"/>
  <c r="AA280" i="1"/>
  <c r="M286" i="1"/>
  <c r="W280" i="1"/>
  <c r="AA284" i="1"/>
  <c r="AB280" i="1"/>
  <c r="AA282" i="1"/>
  <c r="W286" i="1"/>
  <c r="AB286" i="1"/>
  <c r="Y280" i="1"/>
  <c r="W284" i="1"/>
  <c r="N288" i="1"/>
  <c r="Q288" i="1"/>
  <c r="Y284" i="1"/>
  <c r="AC288" i="1"/>
  <c r="AC284" i="1"/>
  <c r="Z288" i="1"/>
  <c r="Q286" i="1"/>
  <c r="AB288" i="1"/>
  <c r="Y286" i="1"/>
  <c r="Z284" i="1"/>
  <c r="AB284" i="1"/>
  <c r="Z286" i="1"/>
  <c r="L288" i="1"/>
  <c r="N284" i="1"/>
  <c r="N282" i="1"/>
  <c r="K280" i="1"/>
  <c r="L284" i="1"/>
  <c r="L282" i="1"/>
  <c r="Q284" i="1"/>
  <c r="I284" i="1"/>
  <c r="N286" i="1"/>
  <c r="I282" i="1"/>
  <c r="I280" i="1"/>
  <c r="P284" i="1"/>
  <c r="U280" i="1"/>
  <c r="K286" i="1"/>
  <c r="O288" i="1"/>
  <c r="L280" i="1"/>
  <c r="X288" i="1"/>
  <c r="U282" i="1"/>
  <c r="I288" i="1"/>
  <c r="X286" i="1"/>
  <c r="U284" i="1"/>
  <c r="Z282" i="1"/>
  <c r="U288" i="1"/>
  <c r="P282" i="1"/>
  <c r="X280" i="1"/>
  <c r="K282" i="1"/>
  <c r="K288" i="1"/>
  <c r="G280" i="1"/>
  <c r="P280" i="1"/>
  <c r="G284" i="1"/>
  <c r="G282" i="1"/>
  <c r="R282" i="1"/>
  <c r="R284" i="1"/>
  <c r="R286" i="1"/>
  <c r="V282" i="1"/>
  <c r="F284" i="1"/>
  <c r="O280" i="1"/>
  <c r="R280" i="1"/>
  <c r="F282" i="1"/>
  <c r="O286" i="1"/>
  <c r="O284" i="1"/>
  <c r="V288" i="1"/>
  <c r="F280" i="1"/>
  <c r="V284" i="1"/>
  <c r="V286" i="1"/>
  <c r="X284" i="1"/>
  <c r="F286" i="1"/>
  <c r="H288" i="1"/>
  <c r="H286" i="1"/>
  <c r="J288" i="1"/>
  <c r="J286" i="1"/>
  <c r="H284" i="1"/>
  <c r="E278" i="1"/>
  <c r="J284" i="1"/>
  <c r="H280" i="1"/>
  <c r="J282" i="1"/>
  <c r="D196" i="1"/>
  <c r="M151" i="1"/>
  <c r="M155" i="1"/>
  <c r="G276" i="1"/>
  <c r="M149" i="1"/>
  <c r="M150" i="1"/>
  <c r="M153" i="1"/>
  <c r="E272" i="1"/>
  <c r="D272" i="1" s="1"/>
  <c r="E182" i="1"/>
  <c r="E274" i="1"/>
  <c r="D274" i="1" s="1"/>
  <c r="H344" i="1" a="1"/>
  <c r="C344" i="1" a="1"/>
  <c r="O138" i="1" l="1"/>
  <c r="O135" i="1"/>
  <c r="AT9" i="1"/>
  <c r="C185" i="1"/>
  <c r="C344" i="1"/>
  <c r="D42" i="2" s="1"/>
  <c r="C182" i="1"/>
  <c r="D182" i="1" s="1"/>
  <c r="E212" i="1"/>
  <c r="D212" i="1" s="1"/>
  <c r="E199" i="1"/>
  <c r="BX10" i="1"/>
  <c r="BZ11" i="1"/>
  <c r="CA11" i="1" s="1"/>
  <c r="H344" i="1"/>
  <c r="AP22" i="1"/>
  <c r="AP23" i="1"/>
  <c r="AP29" i="1"/>
  <c r="AP28" i="1"/>
  <c r="AP24" i="1"/>
  <c r="AP31" i="1"/>
  <c r="AP27" i="1"/>
  <c r="F42" i="2"/>
  <c r="AP25" i="1"/>
  <c r="AP26" i="1"/>
  <c r="AP30" i="1"/>
  <c r="AN15" i="1"/>
  <c r="G290" i="1"/>
  <c r="AT14" i="1"/>
  <c r="C313" i="1"/>
  <c r="C305" i="1"/>
  <c r="C304" i="1"/>
  <c r="E42" i="2"/>
  <c r="T290" i="1"/>
  <c r="H29" i="1"/>
  <c r="D278" i="1"/>
  <c r="F185" i="1"/>
  <c r="AM6" i="1"/>
  <c r="AM11" i="1"/>
  <c r="AM9" i="1"/>
  <c r="AM7" i="1"/>
  <c r="AM5" i="1"/>
  <c r="AM10" i="1"/>
  <c r="AM8" i="1"/>
  <c r="AT46" i="1"/>
  <c r="AT42" i="1"/>
  <c r="AM13" i="1"/>
  <c r="AM12" i="1"/>
  <c r="AN46" i="1"/>
  <c r="AN42" i="1"/>
  <c r="AN47" i="1"/>
  <c r="AN49" i="1"/>
  <c r="AN43" i="1"/>
  <c r="AN40" i="1"/>
  <c r="AN44" i="1"/>
  <c r="I157" i="1"/>
  <c r="AN41" i="1"/>
  <c r="AN48" i="1"/>
  <c r="AN45" i="1"/>
  <c r="K166" i="2"/>
  <c r="M290" i="1"/>
  <c r="M152" i="1"/>
  <c r="S290" i="1"/>
  <c r="AA290" i="1"/>
  <c r="I290" i="1"/>
  <c r="AB290" i="1"/>
  <c r="W290" i="1"/>
  <c r="Y290" i="1"/>
  <c r="AC290" i="1"/>
  <c r="Q290" i="1"/>
  <c r="Z290" i="1"/>
  <c r="U290" i="1"/>
  <c r="N290" i="1"/>
  <c r="L290" i="1"/>
  <c r="E288" i="1"/>
  <c r="D288" i="1" s="1"/>
  <c r="X290" i="1"/>
  <c r="R290" i="1"/>
  <c r="K290" i="1"/>
  <c r="P290" i="1"/>
  <c r="H290" i="1"/>
  <c r="J290" i="1"/>
  <c r="V290" i="1"/>
  <c r="O290" i="1"/>
  <c r="F290" i="1"/>
  <c r="F292" i="1" s="1"/>
  <c r="F294" i="1" s="1"/>
  <c r="F296" i="1" s="1"/>
  <c r="F184" i="1" s="1"/>
  <c r="E280" i="1"/>
  <c r="D280" i="1" s="1"/>
  <c r="E286" i="1"/>
  <c r="D286" i="1" s="1"/>
  <c r="E282" i="1"/>
  <c r="D282" i="1" s="1"/>
  <c r="E284" i="1"/>
  <c r="D284" i="1" s="1"/>
  <c r="O133" i="1"/>
  <c r="O132" i="1"/>
  <c r="AX7" i="1" s="1"/>
  <c r="O131" i="1"/>
  <c r="AX6" i="1" s="1"/>
  <c r="O137" i="1"/>
  <c r="O130" i="1"/>
  <c r="H276" i="1"/>
  <c r="I276" i="1" s="1"/>
  <c r="J276" i="1" s="1"/>
  <c r="P185" i="1"/>
  <c r="Z185" i="1"/>
  <c r="S185" i="1"/>
  <c r="K185" i="1"/>
  <c r="Y185" i="1"/>
  <c r="AA185" i="1"/>
  <c r="O185" i="1"/>
  <c r="G185" i="1"/>
  <c r="J185" i="1"/>
  <c r="X185" i="1"/>
  <c r="I185" i="1"/>
  <c r="AB185" i="1"/>
  <c r="L185" i="1"/>
  <c r="AC185" i="1"/>
  <c r="E208" i="1"/>
  <c r="D208" i="1" s="1"/>
  <c r="K65" i="2"/>
  <c r="AX10" i="1" l="1"/>
  <c r="AX46" i="1" s="1"/>
  <c r="AX12" i="1"/>
  <c r="G344" i="1"/>
  <c r="D344" i="1" s="1"/>
  <c r="AX8" i="1"/>
  <c r="AX44" i="1" s="1"/>
  <c r="AX13" i="1"/>
  <c r="AX49" i="1" s="1"/>
  <c r="K42" i="2"/>
  <c r="AM15" i="1"/>
  <c r="G292" i="1"/>
  <c r="G294" i="1" s="1"/>
  <c r="G296" i="1" s="1"/>
  <c r="G184" i="1" s="1"/>
  <c r="K68" i="2"/>
  <c r="G346" i="1"/>
  <c r="M157" i="1"/>
  <c r="O134" i="1"/>
  <c r="D313" i="1"/>
  <c r="K167" i="2"/>
  <c r="M185" i="1"/>
  <c r="T185" i="1"/>
  <c r="W185" i="1"/>
  <c r="N185" i="1"/>
  <c r="H185" i="1"/>
  <c r="U185" i="1"/>
  <c r="R185" i="1"/>
  <c r="V185" i="1"/>
  <c r="Q185" i="1"/>
  <c r="D211" i="1"/>
  <c r="AN50" i="1"/>
  <c r="AN51" i="1" s="1"/>
  <c r="AX43" i="1"/>
  <c r="AX48" i="1"/>
  <c r="AT45" i="1"/>
  <c r="AX42" i="1"/>
  <c r="E290" i="1"/>
  <c r="D290" i="1" s="1"/>
  <c r="D199" i="1"/>
  <c r="K276" i="1"/>
  <c r="L276" i="1" s="1"/>
  <c r="M276" i="1" s="1"/>
  <c r="N276" i="1" s="1"/>
  <c r="O276" i="1" s="1"/>
  <c r="P276" i="1" s="1"/>
  <c r="Q276" i="1" s="1"/>
  <c r="R276" i="1" s="1"/>
  <c r="AX9" i="1" l="1"/>
  <c r="E346" i="1"/>
  <c r="F346" i="1"/>
  <c r="E344" i="1"/>
  <c r="F344" i="1"/>
  <c r="D346" i="1"/>
  <c r="E185" i="1"/>
  <c r="AX45" i="1"/>
  <c r="AT50" i="1"/>
  <c r="S276" i="1"/>
  <c r="T276" i="1" s="1"/>
  <c r="U276" i="1" s="1"/>
  <c r="V276" i="1" s="1"/>
  <c r="W276" i="1" s="1"/>
  <c r="X276" i="1" s="1"/>
  <c r="Y276" i="1" s="1"/>
  <c r="Z276" i="1" s="1"/>
  <c r="AA276" i="1" s="1"/>
  <c r="AB276" i="1" s="1"/>
  <c r="AC276" i="1" s="1"/>
  <c r="D185" i="1" l="1"/>
  <c r="AX5" i="1"/>
  <c r="AX41" i="1" l="1"/>
  <c r="F167" i="1"/>
  <c r="J139" i="1" l="1"/>
  <c r="C98" i="1" l="1"/>
  <c r="C187" i="1"/>
  <c r="K165" i="2" l="1"/>
  <c r="AQ4" i="1"/>
  <c r="K106" i="2"/>
  <c r="J106" i="2" s="1"/>
  <c r="AQ11" i="1"/>
  <c r="AQ47" i="1" s="1"/>
  <c r="AQ5" i="1"/>
  <c r="AQ41" i="1" s="1"/>
  <c r="T157" i="2"/>
  <c r="AQ8" i="1"/>
  <c r="AQ44" i="1" s="1"/>
  <c r="AQ6" i="1"/>
  <c r="AQ42" i="1" s="1"/>
  <c r="AQ9" i="1"/>
  <c r="AQ45" i="1" s="1"/>
  <c r="AQ10" i="1"/>
  <c r="AQ46" i="1" s="1"/>
  <c r="AQ7" i="1"/>
  <c r="AQ43" i="1" s="1"/>
  <c r="AQ13" i="1"/>
  <c r="AQ12" i="1"/>
  <c r="AQ48" i="1" s="1"/>
  <c r="I187" i="1"/>
  <c r="L187" i="1"/>
  <c r="X187" i="1"/>
  <c r="G187" i="1"/>
  <c r="T187" i="1"/>
  <c r="V187" i="1"/>
  <c r="H187" i="1"/>
  <c r="M187" i="1"/>
  <c r="K187" i="1"/>
  <c r="O187" i="1"/>
  <c r="AA187" i="1"/>
  <c r="AB187" i="1"/>
  <c r="P187" i="1"/>
  <c r="S187" i="1"/>
  <c r="U187" i="1"/>
  <c r="Y187" i="1"/>
  <c r="Z187" i="1"/>
  <c r="W187" i="1"/>
  <c r="Q187" i="1"/>
  <c r="AC187" i="1"/>
  <c r="N187" i="1"/>
  <c r="F187" i="1"/>
  <c r="R187" i="1"/>
  <c r="J187" i="1"/>
  <c r="C209" i="1"/>
  <c r="C351" i="1" a="1"/>
  <c r="H351" i="1" a="1"/>
  <c r="I56" i="2" l="1"/>
  <c r="AQ49" i="1"/>
  <c r="U209" i="1"/>
  <c r="T209" i="1"/>
  <c r="V209" i="1"/>
  <c r="W209" i="1"/>
  <c r="H351" i="1"/>
  <c r="K56" i="2" s="1"/>
  <c r="AQ40" i="1"/>
  <c r="G56" i="2"/>
  <c r="F56" i="2"/>
  <c r="H56" i="2"/>
  <c r="E56" i="2"/>
  <c r="J56" i="2"/>
  <c r="C351" i="1"/>
  <c r="D56" i="2" s="1"/>
  <c r="BI41" i="1"/>
  <c r="E187" i="1"/>
  <c r="D187" i="1" s="1"/>
  <c r="G351" i="1" l="1"/>
  <c r="E351" i="1" s="1"/>
  <c r="E209" i="1"/>
  <c r="D209" i="1" s="1"/>
  <c r="D351" i="1" l="1"/>
  <c r="F351" i="1"/>
  <c r="H292" i="1"/>
  <c r="G167" i="1" l="1"/>
  <c r="H294" i="1"/>
  <c r="H296" i="1" l="1"/>
  <c r="H184" i="1" s="1"/>
  <c r="I292" i="1"/>
  <c r="H167" i="1" l="1"/>
  <c r="I294" i="1"/>
  <c r="I296" i="1" l="1"/>
  <c r="I184" i="1" s="1"/>
  <c r="J292" i="1"/>
  <c r="E52" i="2" l="1"/>
  <c r="I167" i="1"/>
  <c r="J294" i="1"/>
  <c r="J296" i="1" s="1"/>
  <c r="J184" i="1" s="1"/>
  <c r="K292" i="1" l="1"/>
  <c r="K294" i="1" l="1"/>
  <c r="K296" i="1" s="1"/>
  <c r="K184" i="1" s="1"/>
  <c r="J167" i="1"/>
  <c r="L292" i="1" l="1"/>
  <c r="L294" i="1" l="1"/>
  <c r="L296" i="1" s="1"/>
  <c r="L184" i="1" s="1"/>
  <c r="K167" i="1"/>
  <c r="M292" i="1" l="1"/>
  <c r="M294" i="1" s="1"/>
  <c r="M296" i="1" s="1"/>
  <c r="M184" i="1" s="1"/>
  <c r="L167" i="1"/>
  <c r="N292" i="1" l="1"/>
  <c r="N294" i="1" s="1"/>
  <c r="N296" i="1" s="1"/>
  <c r="N184" i="1" s="1"/>
  <c r="F52" i="2" l="1"/>
  <c r="M167" i="1"/>
  <c r="N167" i="1"/>
  <c r="O292" i="1"/>
  <c r="O294" i="1" l="1"/>
  <c r="O296" i="1" s="1"/>
  <c r="O184" i="1" s="1"/>
  <c r="O167" i="1" l="1"/>
  <c r="P292" i="1"/>
  <c r="P294" i="1" l="1"/>
  <c r="P296" i="1" s="1"/>
  <c r="P184" i="1" s="1"/>
  <c r="Q292" i="1" l="1"/>
  <c r="Q294" i="1" s="1"/>
  <c r="Q296" i="1" s="1"/>
  <c r="Q184" i="1" s="1"/>
  <c r="P167" i="1"/>
  <c r="R292" i="1" l="1"/>
  <c r="G52" i="2" l="1"/>
  <c r="Q167" i="1"/>
  <c r="R294" i="1"/>
  <c r="R296" i="1" s="1"/>
  <c r="R184" i="1" s="1"/>
  <c r="S292" i="1" l="1"/>
  <c r="R167" i="1"/>
  <c r="S294" i="1" l="1"/>
  <c r="S296" i="1" s="1"/>
  <c r="S184" i="1" s="1"/>
  <c r="T292" i="1" l="1"/>
  <c r="T294" i="1" s="1"/>
  <c r="T296" i="1" s="1"/>
  <c r="T184" i="1" s="1"/>
  <c r="S167" i="1"/>
  <c r="U292" i="1" l="1"/>
  <c r="U294" i="1" s="1"/>
  <c r="U296" i="1" s="1"/>
  <c r="U184" i="1" s="1"/>
  <c r="H52" i="2" l="1"/>
  <c r="T167" i="1"/>
  <c r="V292" i="1"/>
  <c r="V294" i="1" s="1"/>
  <c r="V296" i="1" s="1"/>
  <c r="V184" i="1" s="1"/>
  <c r="U167" i="1"/>
  <c r="W292" i="1" l="1"/>
  <c r="W294" i="1" s="1"/>
  <c r="W296" i="1" s="1"/>
  <c r="W184" i="1" s="1"/>
  <c r="V167" i="1"/>
  <c r="W167" i="1" l="1"/>
  <c r="X292" i="1"/>
  <c r="X294" i="1" l="1"/>
  <c r="X296" i="1" s="1"/>
  <c r="X184" i="1" s="1"/>
  <c r="X167" i="1" l="1"/>
  <c r="Y292" i="1"/>
  <c r="Y294" i="1" l="1"/>
  <c r="Y296" i="1" s="1"/>
  <c r="Y184" i="1" s="1"/>
  <c r="I52" i="2" l="1"/>
  <c r="Y167" i="1"/>
  <c r="Z292" i="1"/>
  <c r="Z294" i="1" l="1"/>
  <c r="Z296" i="1" s="1"/>
  <c r="Z184" i="1" s="1"/>
  <c r="Z167" i="1" l="1"/>
  <c r="AA292" i="1"/>
  <c r="AA294" i="1" l="1"/>
  <c r="AA296" i="1" s="1"/>
  <c r="AA184" i="1" s="1"/>
  <c r="AB292" i="1" l="1"/>
  <c r="AB294" i="1" s="1"/>
  <c r="AB296" i="1" s="1"/>
  <c r="AB184" i="1" s="1"/>
  <c r="AA167" i="1"/>
  <c r="AB167" i="1" l="1"/>
  <c r="AC292" i="1"/>
  <c r="AC294" i="1" s="1"/>
  <c r="E294" i="1" s="1"/>
  <c r="D294" i="1" s="1"/>
  <c r="AC296" i="1" l="1"/>
  <c r="AC184" i="1" s="1"/>
  <c r="C349" i="1" a="1"/>
  <c r="H349" i="1" a="1"/>
  <c r="C349" i="1" l="1"/>
  <c r="D52" i="2" s="1"/>
  <c r="E184" i="1"/>
  <c r="H349" i="1"/>
  <c r="J52" i="2"/>
  <c r="E296" i="1"/>
  <c r="D296" i="1" s="1"/>
  <c r="K52" i="2" l="1"/>
  <c r="G349" i="1"/>
  <c r="E349" i="1" s="1"/>
  <c r="D184" i="1"/>
  <c r="AC167" i="1"/>
  <c r="E167" i="1" s="1"/>
  <c r="D349" i="1" l="1"/>
  <c r="F349" i="1"/>
  <c r="D167" i="1"/>
  <c r="T256" i="1"/>
  <c r="Y169" i="1"/>
  <c r="W256" i="1"/>
  <c r="S169" i="1" l="1"/>
  <c r="R169" i="1"/>
  <c r="M169" i="1"/>
  <c r="AC169" i="1"/>
  <c r="J169" i="1"/>
  <c r="H169" i="1"/>
  <c r="Q169" i="1"/>
  <c r="P169" i="1"/>
  <c r="L169" i="1"/>
  <c r="AB169" i="1"/>
  <c r="K169" i="1"/>
  <c r="O169" i="1"/>
  <c r="N169" i="1"/>
  <c r="F169" i="1"/>
  <c r="AA169" i="1"/>
  <c r="G169" i="1"/>
  <c r="X169" i="1"/>
  <c r="U169" i="1"/>
  <c r="V169" i="1"/>
  <c r="T169" i="1"/>
  <c r="Z169" i="1"/>
  <c r="W169" i="1"/>
  <c r="I169" i="1"/>
  <c r="E169" i="1" l="1"/>
  <c r="D169" i="1" s="1"/>
  <c r="F252" i="1"/>
  <c r="K110" i="2" s="1"/>
  <c r="J110" i="2" s="1"/>
  <c r="F254" i="1" l="1"/>
  <c r="T167" i="2" s="1"/>
  <c r="N136" i="1" l="1"/>
  <c r="C186" i="1" l="1"/>
  <c r="O186" i="1"/>
  <c r="S186" i="1"/>
  <c r="I186" i="1"/>
  <c r="W186" i="1"/>
  <c r="Y157" i="1"/>
  <c r="C213" i="1" l="1"/>
  <c r="C99" i="1"/>
  <c r="BI11" i="1"/>
  <c r="W213" i="1"/>
  <c r="X213" i="1"/>
  <c r="Y213" i="1"/>
  <c r="V213" i="1"/>
  <c r="I213" i="1"/>
  <c r="S213" i="1"/>
  <c r="O213" i="1"/>
  <c r="P186" i="1"/>
  <c r="H186" i="1"/>
  <c r="G186" i="1"/>
  <c r="V186" i="1"/>
  <c r="AC186" i="1"/>
  <c r="Q186" i="1"/>
  <c r="N186" i="1"/>
  <c r="K168" i="2"/>
  <c r="M186" i="1"/>
  <c r="T186" i="1"/>
  <c r="Z186" i="1"/>
  <c r="L186" i="1"/>
  <c r="K186" i="1"/>
  <c r="Y186" i="1"/>
  <c r="J186" i="1"/>
  <c r="X186" i="1"/>
  <c r="F186" i="1"/>
  <c r="U186" i="1"/>
  <c r="R186" i="1"/>
  <c r="AB186" i="1"/>
  <c r="AA186" i="1"/>
  <c r="O136" i="1"/>
  <c r="AC157" i="1"/>
  <c r="C350" i="1" a="1"/>
  <c r="H350" i="1" a="1"/>
  <c r="AX11" i="1" l="1"/>
  <c r="C210" i="1"/>
  <c r="AP4" i="1"/>
  <c r="AP5" i="1"/>
  <c r="AP41" i="1" s="1"/>
  <c r="AP11" i="1"/>
  <c r="AP47" i="1" s="1"/>
  <c r="C102" i="1"/>
  <c r="H350" i="1"/>
  <c r="K54" i="2" s="1"/>
  <c r="AP10" i="1"/>
  <c r="AP46" i="1" s="1"/>
  <c r="G54" i="2"/>
  <c r="I54" i="2"/>
  <c r="AP13" i="1"/>
  <c r="AP49" i="1" s="1"/>
  <c r="H54" i="2"/>
  <c r="AP12" i="1"/>
  <c r="AP48" i="1" s="1"/>
  <c r="F54" i="2"/>
  <c r="AP7" i="1"/>
  <c r="AP43" i="1" s="1"/>
  <c r="AP8" i="1"/>
  <c r="AP44" i="1" s="1"/>
  <c r="AP6" i="1"/>
  <c r="T158" i="2"/>
  <c r="AX47" i="1"/>
  <c r="O139" i="1"/>
  <c r="E54" i="2"/>
  <c r="J54" i="2"/>
  <c r="C350" i="1"/>
  <c r="D54" i="2" s="1"/>
  <c r="F213" i="1"/>
  <c r="J30" i="1"/>
  <c r="T213" i="1"/>
  <c r="AP9" i="1"/>
  <c r="AP45" i="1" s="1"/>
  <c r="G213" i="1"/>
  <c r="P213" i="1"/>
  <c r="K213" i="1"/>
  <c r="AC213" i="1"/>
  <c r="L213" i="1"/>
  <c r="Z213" i="1"/>
  <c r="AA213" i="1"/>
  <c r="Q213" i="1"/>
  <c r="M213" i="1"/>
  <c r="AB213" i="1"/>
  <c r="R213" i="1"/>
  <c r="U213" i="1"/>
  <c r="J213" i="1"/>
  <c r="N213" i="1"/>
  <c r="H213" i="1"/>
  <c r="E186" i="1"/>
  <c r="K103" i="2" l="1"/>
  <c r="J103" i="2" s="1"/>
  <c r="J101" i="2" s="1"/>
  <c r="BZ14" i="1"/>
  <c r="CA14" i="1" s="1"/>
  <c r="AP15" i="1"/>
  <c r="X210" i="1"/>
  <c r="Y210" i="1"/>
  <c r="V210" i="1"/>
  <c r="W210" i="1"/>
  <c r="AP42" i="1"/>
  <c r="AP14" i="1"/>
  <c r="E95" i="1"/>
  <c r="E96" i="1"/>
  <c r="E99" i="1"/>
  <c r="E91" i="1"/>
  <c r="E89" i="1"/>
  <c r="E94" i="1"/>
  <c r="E92" i="1"/>
  <c r="E88" i="1"/>
  <c r="E97" i="1"/>
  <c r="BI16" i="1"/>
  <c r="E98" i="1"/>
  <c r="C20" i="1"/>
  <c r="E86" i="1"/>
  <c r="E87" i="1"/>
  <c r="K141" i="2"/>
  <c r="J141" i="2" s="1"/>
  <c r="E101" i="1"/>
  <c r="C111" i="1"/>
  <c r="E100" i="1"/>
  <c r="K101" i="2"/>
  <c r="E93" i="1"/>
  <c r="E90" i="1"/>
  <c r="AX14" i="1"/>
  <c r="D186" i="1"/>
  <c r="G350" i="1"/>
  <c r="E350" i="1" s="1"/>
  <c r="E213" i="1"/>
  <c r="AP40" i="1"/>
  <c r="AX50" i="1"/>
  <c r="C188" i="1"/>
  <c r="C112" i="1" l="1"/>
  <c r="D350" i="1"/>
  <c r="F350" i="1"/>
  <c r="AP50" i="1"/>
  <c r="AP51" i="1" s="1"/>
  <c r="E210" i="1"/>
  <c r="D210" i="1" s="1"/>
  <c r="T188" i="1"/>
  <c r="BI20" i="1"/>
  <c r="D213" i="1"/>
  <c r="C24" i="1"/>
  <c r="Z188" i="1"/>
  <c r="C114" i="1"/>
  <c r="C220" i="1"/>
  <c r="C17" i="1"/>
  <c r="M188" i="1"/>
  <c r="W188" i="1"/>
  <c r="U188" i="1"/>
  <c r="X188" i="1"/>
  <c r="L188" i="1"/>
  <c r="J188" i="1"/>
  <c r="H188" i="1"/>
  <c r="S188" i="1"/>
  <c r="AC188" i="1"/>
  <c r="N188" i="1"/>
  <c r="I188" i="1"/>
  <c r="F188" i="1"/>
  <c r="AB188" i="1"/>
  <c r="Y188" i="1"/>
  <c r="Q188" i="1"/>
  <c r="O188" i="1"/>
  <c r="AA188" i="1"/>
  <c r="K188" i="1"/>
  <c r="K169" i="2"/>
  <c r="K170" i="2" s="1"/>
  <c r="R188" i="1"/>
  <c r="G188" i="1"/>
  <c r="V188" i="1"/>
  <c r="P188" i="1"/>
  <c r="H352" i="1" a="1"/>
  <c r="C352" i="1" a="1"/>
  <c r="AT15" i="1" l="1"/>
  <c r="H352" i="1"/>
  <c r="K15" i="2"/>
  <c r="J15" i="2" s="1"/>
  <c r="AX15" i="1"/>
  <c r="C352" i="1"/>
  <c r="D58" i="2" s="1"/>
  <c r="G58" i="2"/>
  <c r="F58" i="2"/>
  <c r="H58" i="2"/>
  <c r="I58" i="2"/>
  <c r="E58" i="2"/>
  <c r="J58" i="2"/>
  <c r="AX51" i="1"/>
  <c r="BW6" i="1"/>
  <c r="D220" i="1"/>
  <c r="BI13" i="1"/>
  <c r="AT51" i="1"/>
  <c r="E188" i="1"/>
  <c r="D188" i="1" l="1"/>
  <c r="K58" i="2"/>
  <c r="G352" i="1"/>
  <c r="E352" i="1" l="1"/>
  <c r="F352" i="1"/>
  <c r="D352" i="1"/>
  <c r="E201" i="1" l="1"/>
  <c r="D201" i="1" l="1"/>
  <c r="V130" i="1" l="1"/>
  <c r="V136" i="1"/>
  <c r="V133" i="1"/>
  <c r="V138" i="1"/>
  <c r="V131" i="1"/>
  <c r="V137" i="1"/>
  <c r="V132" i="1" l="1"/>
  <c r="V134" i="1"/>
  <c r="V135" i="1"/>
  <c r="V129" i="1"/>
  <c r="V139" i="1" l="1"/>
  <c r="V248" i="1" l="1"/>
  <c r="AJ166" i="2" s="1"/>
  <c r="J248" i="1"/>
  <c r="X166" i="2" s="1"/>
  <c r="W248" i="1"/>
  <c r="AK166" i="2" s="1"/>
  <c r="AA248" i="1"/>
  <c r="AO166" i="2" s="1"/>
  <c r="Z248" i="1"/>
  <c r="AN166" i="2" s="1"/>
  <c r="Y248" i="1"/>
  <c r="AM166" i="2" s="1"/>
  <c r="AB248" i="1" l="1"/>
  <c r="AP166" i="2" s="1"/>
  <c r="Q248" i="1"/>
  <c r="AE166" i="2" s="1"/>
  <c r="R248" i="1"/>
  <c r="AF166" i="2" s="1"/>
  <c r="P248" i="1"/>
  <c r="AD166" i="2" s="1"/>
  <c r="I248" i="1"/>
  <c r="W166" i="2" s="1"/>
  <c r="O248" i="1"/>
  <c r="AC166" i="2" s="1"/>
  <c r="T248" i="1"/>
  <c r="AH166" i="2" s="1"/>
  <c r="AC248" i="1"/>
  <c r="AQ166" i="2" s="1"/>
  <c r="K248" i="1"/>
  <c r="Y166" i="2" s="1"/>
  <c r="U248" i="1"/>
  <c r="AI166" i="2" s="1"/>
  <c r="L248" i="1"/>
  <c r="Z166" i="2" s="1"/>
  <c r="G248" i="1"/>
  <c r="U166" i="2" s="1"/>
  <c r="H248" i="1"/>
  <c r="V166" i="2" s="1"/>
  <c r="M248" i="1" l="1"/>
  <c r="AA166" i="2" s="1"/>
  <c r="F178" i="1"/>
  <c r="G192" i="1" s="1"/>
  <c r="F248" i="1"/>
  <c r="S248" i="1"/>
  <c r="AG166" i="2" s="1"/>
  <c r="X248" i="1"/>
  <c r="AL166" i="2" s="1"/>
  <c r="N248" i="1"/>
  <c r="AB166" i="2" s="1"/>
  <c r="E189" i="1"/>
  <c r="F246" i="1" l="1"/>
  <c r="R168" i="1"/>
  <c r="G178" i="1"/>
  <c r="H192" i="1" s="1"/>
  <c r="AC168" i="1"/>
  <c r="O168" i="1"/>
  <c r="H26" i="1"/>
  <c r="H168" i="1"/>
  <c r="H331" i="1"/>
  <c r="H214" i="1" s="1"/>
  <c r="T166" i="2"/>
  <c r="AB259" i="1"/>
  <c r="AB260" i="1" s="1"/>
  <c r="G250" i="1"/>
  <c r="G254" i="1" s="1"/>
  <c r="Q168" i="1"/>
  <c r="V168" i="1"/>
  <c r="J168" i="1"/>
  <c r="W168" i="1"/>
  <c r="L168" i="1"/>
  <c r="C191" i="1"/>
  <c r="Y168" i="1"/>
  <c r="X168" i="1"/>
  <c r="M168" i="1"/>
  <c r="N168" i="1"/>
  <c r="K168" i="1"/>
  <c r="G168" i="1"/>
  <c r="AB168" i="1"/>
  <c r="P168" i="1"/>
  <c r="I168" i="1"/>
  <c r="AA168" i="1"/>
  <c r="Z168" i="1"/>
  <c r="C118" i="1"/>
  <c r="F168" i="1"/>
  <c r="S168" i="1"/>
  <c r="T168" i="1"/>
  <c r="U168" i="1"/>
  <c r="T165" i="2"/>
  <c r="D191" i="1" l="1"/>
  <c r="G246" i="1"/>
  <c r="F326" i="1"/>
  <c r="E326" i="1"/>
  <c r="H250" i="1"/>
  <c r="H254" i="1" s="1"/>
  <c r="V167" i="2" s="1"/>
  <c r="H178" i="1"/>
  <c r="I192" i="1" s="1"/>
  <c r="E168" i="1"/>
  <c r="D168" i="1" s="1"/>
  <c r="U167" i="2"/>
  <c r="BI26" i="1"/>
  <c r="D189" i="1" s="1"/>
  <c r="K67" i="2"/>
  <c r="BI31" i="1"/>
  <c r="BJ31" i="1" s="1"/>
  <c r="BJ26" i="1"/>
  <c r="H246" i="1" l="1"/>
  <c r="U165" i="2"/>
  <c r="I178" i="1"/>
  <c r="J178" i="1" s="1"/>
  <c r="E44" i="2"/>
  <c r="I250" i="1"/>
  <c r="I254" i="1" s="1"/>
  <c r="W167" i="2" s="1"/>
  <c r="L331" i="1"/>
  <c r="L214" i="1" s="1"/>
  <c r="T84" i="2"/>
  <c r="J192" i="1" l="1"/>
  <c r="I246" i="1"/>
  <c r="V165" i="2"/>
  <c r="J250" i="1"/>
  <c r="J254" i="1" s="1"/>
  <c r="X167" i="2" s="1"/>
  <c r="K192" i="1"/>
  <c r="K178" i="1"/>
  <c r="U89" i="2"/>
  <c r="J246" i="1" l="1"/>
  <c r="W165" i="2"/>
  <c r="L178" i="1"/>
  <c r="L192" i="1"/>
  <c r="K250" i="1"/>
  <c r="K254" i="1" s="1"/>
  <c r="Y167" i="2" s="1"/>
  <c r="K246" i="1" l="1"/>
  <c r="X165" i="2"/>
  <c r="L250" i="1"/>
  <c r="L254" i="1" s="1"/>
  <c r="Z167" i="2" s="1"/>
  <c r="M192" i="1"/>
  <c r="M178" i="1"/>
  <c r="Y165" i="2" l="1"/>
  <c r="L246" i="1"/>
  <c r="N192" i="1"/>
  <c r="N178" i="1"/>
  <c r="M250" i="1"/>
  <c r="M254" i="1" s="1"/>
  <c r="AA167" i="2" s="1"/>
  <c r="F44" i="2"/>
  <c r="P331" i="1"/>
  <c r="P214" i="1" s="1"/>
  <c r="Z165" i="2" l="1"/>
  <c r="M246" i="1"/>
  <c r="N250" i="1"/>
  <c r="N254" i="1" s="1"/>
  <c r="AB167" i="2" s="1"/>
  <c r="O178" i="1"/>
  <c r="O192" i="1"/>
  <c r="AA165" i="2" l="1"/>
  <c r="N246" i="1"/>
  <c r="O250" i="1"/>
  <c r="O254" i="1" s="1"/>
  <c r="AC167" i="2" s="1"/>
  <c r="P192" i="1"/>
  <c r="P178" i="1"/>
  <c r="AB165" i="2" l="1"/>
  <c r="O246" i="1"/>
  <c r="P250" i="1"/>
  <c r="P254" i="1" s="1"/>
  <c r="AD167" i="2" s="1"/>
  <c r="Q192" i="1"/>
  <c r="Q178" i="1"/>
  <c r="P246" i="1" l="1"/>
  <c r="AC165" i="2"/>
  <c r="R192" i="1"/>
  <c r="R178" i="1"/>
  <c r="Q250" i="1"/>
  <c r="Q254" i="1" s="1"/>
  <c r="AE167" i="2" s="1"/>
  <c r="G44" i="2"/>
  <c r="T331" i="1"/>
  <c r="T214" i="1" s="1"/>
  <c r="Q246" i="1" l="1"/>
  <c r="AD165" i="2"/>
  <c r="R250" i="1"/>
  <c r="R254" i="1" s="1"/>
  <c r="AF167" i="2" s="1"/>
  <c r="S192" i="1"/>
  <c r="S178" i="1"/>
  <c r="R246" i="1" l="1"/>
  <c r="AE165" i="2"/>
  <c r="S250" i="1"/>
  <c r="S254" i="1" s="1"/>
  <c r="AG167" i="2" s="1"/>
  <c r="T192" i="1"/>
  <c r="T178" i="1"/>
  <c r="AF165" i="2" l="1"/>
  <c r="S246" i="1"/>
  <c r="U192" i="1"/>
  <c r="U178" i="1"/>
  <c r="T250" i="1"/>
  <c r="T254" i="1" s="1"/>
  <c r="AH167" i="2" s="1"/>
  <c r="H44" i="2"/>
  <c r="T246" i="1" l="1"/>
  <c r="AG165" i="2"/>
  <c r="V192" i="1"/>
  <c r="V178" i="1"/>
  <c r="U250" i="1"/>
  <c r="U254" i="1" s="1"/>
  <c r="AI167" i="2" s="1"/>
  <c r="AH165" i="2" l="1"/>
  <c r="U246" i="1"/>
  <c r="W192" i="1"/>
  <c r="W178" i="1"/>
  <c r="V250" i="1"/>
  <c r="V254" i="1" s="1"/>
  <c r="AJ167" i="2" s="1"/>
  <c r="AI165" i="2" l="1"/>
  <c r="V246" i="1"/>
  <c r="X192" i="1"/>
  <c r="X178" i="1"/>
  <c r="W250" i="1"/>
  <c r="W254" i="1" s="1"/>
  <c r="AK167" i="2" s="1"/>
  <c r="W246" i="1" l="1"/>
  <c r="AJ165" i="2"/>
  <c r="Y192" i="1"/>
  <c r="Y178" i="1"/>
  <c r="X250" i="1"/>
  <c r="X254" i="1" s="1"/>
  <c r="AL167" i="2" s="1"/>
  <c r="X246" i="1" l="1"/>
  <c r="AK165" i="2"/>
  <c r="I44" i="2"/>
  <c r="Z192" i="1"/>
  <c r="Z178" i="1"/>
  <c r="Y250" i="1"/>
  <c r="Y254" i="1" s="1"/>
  <c r="AM167" i="2" s="1"/>
  <c r="AL165" i="2" l="1"/>
  <c r="X330" i="1"/>
  <c r="X331" i="1" s="1"/>
  <c r="X214" i="1" s="1"/>
  <c r="Y246" i="1"/>
  <c r="AA192" i="1"/>
  <c r="AA178" i="1"/>
  <c r="Z250" i="1"/>
  <c r="Z254" i="1" s="1"/>
  <c r="AN167" i="2" s="1"/>
  <c r="AM165" i="2" l="1"/>
  <c r="Y330" i="1"/>
  <c r="Y331" i="1" s="1"/>
  <c r="Y214" i="1" s="1"/>
  <c r="Z246" i="1"/>
  <c r="X218" i="1"/>
  <c r="X223" i="1"/>
  <c r="AB192" i="1"/>
  <c r="AB178" i="1"/>
  <c r="AA250" i="1"/>
  <c r="AA254" i="1" s="1"/>
  <c r="AO167" i="2" s="1"/>
  <c r="AA246" i="1" l="1"/>
  <c r="Z330" i="1"/>
  <c r="Z331" i="1" s="1"/>
  <c r="Z214" i="1" s="1"/>
  <c r="AN165" i="2"/>
  <c r="Y223" i="1"/>
  <c r="Y218" i="1"/>
  <c r="AC192" i="1"/>
  <c r="AC178" i="1"/>
  <c r="AB250" i="1"/>
  <c r="AB254" i="1" s="1"/>
  <c r="C345" i="1" a="1"/>
  <c r="H345" i="1" a="1"/>
  <c r="Z223" i="1" l="1"/>
  <c r="Z218" i="1"/>
  <c r="AO165" i="2"/>
  <c r="AB246" i="1"/>
  <c r="AA330" i="1"/>
  <c r="AA331" i="1" s="1"/>
  <c r="AA214" i="1" s="1"/>
  <c r="C345" i="1"/>
  <c r="D44" i="2" s="1"/>
  <c r="E192" i="1"/>
  <c r="C119" i="1" s="1"/>
  <c r="H345" i="1"/>
  <c r="AP167" i="2"/>
  <c r="AC250" i="1"/>
  <c r="AC254" i="1" s="1"/>
  <c r="AQ167" i="2" s="1"/>
  <c r="J44" i="2"/>
  <c r="AB330" i="1" l="1"/>
  <c r="AB331" i="1" s="1"/>
  <c r="AB214" i="1" s="1"/>
  <c r="AC246" i="1"/>
  <c r="AP165" i="2"/>
  <c r="AA218" i="1"/>
  <c r="AA223" i="1"/>
  <c r="K109" i="2"/>
  <c r="J109" i="2" s="1"/>
  <c r="J108" i="2" s="1"/>
  <c r="BI10" i="1"/>
  <c r="AR7" i="1"/>
  <c r="AR43" i="1" s="1"/>
  <c r="AR9" i="1"/>
  <c r="AR45" i="1" s="1"/>
  <c r="AR8" i="1"/>
  <c r="AR44" i="1" s="1"/>
  <c r="AR6" i="1"/>
  <c r="AR42" i="1" s="1"/>
  <c r="AR4" i="1"/>
  <c r="BI17" i="1"/>
  <c r="AR10" i="1"/>
  <c r="AR46" i="1" s="1"/>
  <c r="AR11" i="1"/>
  <c r="AR47" i="1" s="1"/>
  <c r="AR5" i="1"/>
  <c r="AR41" i="1" s="1"/>
  <c r="AR12" i="1"/>
  <c r="AR48" i="1" s="1"/>
  <c r="AR13" i="1"/>
  <c r="AR49" i="1" s="1"/>
  <c r="C22" i="1"/>
  <c r="G345" i="1"/>
  <c r="K44" i="2"/>
  <c r="AC259" i="1"/>
  <c r="H30" i="1"/>
  <c r="K108" i="2" l="1"/>
  <c r="BI30" i="1"/>
  <c r="BJ29" i="1" s="1"/>
  <c r="AC330" i="1"/>
  <c r="AC331" i="1" s="1"/>
  <c r="AC214" i="1" s="1"/>
  <c r="AQ165" i="2"/>
  <c r="AB223" i="1"/>
  <c r="AB218" i="1"/>
  <c r="E345" i="1"/>
  <c r="F345" i="1"/>
  <c r="D345" i="1"/>
  <c r="AC260" i="1"/>
  <c r="D192" i="1"/>
  <c r="D119" i="1"/>
  <c r="BI29" i="1" s="1"/>
  <c r="AR40" i="1"/>
  <c r="AR50" i="1" s="1"/>
  <c r="AR51" i="1" s="1"/>
  <c r="AR14" i="1"/>
  <c r="AR15" i="1" s="1"/>
  <c r="H31" i="1"/>
  <c r="K69" i="2"/>
  <c r="AC223" i="1" l="1"/>
  <c r="AC218" i="1"/>
  <c r="T83" i="2"/>
  <c r="U88" i="2" l="1"/>
  <c r="BX15" i="1"/>
  <c r="BX19" i="1" s="1"/>
  <c r="BX21" i="1" s="1"/>
  <c r="C181" i="1"/>
  <c r="F181" i="1"/>
  <c r="K64" i="2"/>
  <c r="T85" i="2" s="1"/>
  <c r="H24" i="1"/>
  <c r="H354" i="1" a="1"/>
  <c r="C354" i="1" a="1"/>
  <c r="E181" i="1" l="1"/>
  <c r="D181" i="1" s="1"/>
  <c r="I329" i="1"/>
  <c r="I331" i="1" s="1"/>
  <c r="I214" i="1" s="1"/>
  <c r="C354" i="1"/>
  <c r="H354" i="1"/>
  <c r="G354" i="1" s="1"/>
  <c r="O329" i="1"/>
  <c r="O331" i="1" s="1"/>
  <c r="O214" i="1" s="1"/>
  <c r="S329" i="1"/>
  <c r="S331" i="1" s="1"/>
  <c r="S214" i="1" s="1"/>
  <c r="M329" i="1"/>
  <c r="M331" i="1" s="1"/>
  <c r="M214" i="1" s="1"/>
  <c r="H33" i="1"/>
  <c r="W329" i="1"/>
  <c r="W331" i="1" s="1"/>
  <c r="W214" i="1" s="1"/>
  <c r="BI32" i="1"/>
  <c r="K329" i="1"/>
  <c r="K331" i="1" s="1"/>
  <c r="K214" i="1" s="1"/>
  <c r="U90" i="2"/>
  <c r="K71" i="2"/>
  <c r="BI44" i="1"/>
  <c r="G329" i="1"/>
  <c r="F330" i="1"/>
  <c r="BI48" i="1"/>
  <c r="BI47" i="1"/>
  <c r="BI45" i="1"/>
  <c r="BI46" i="1"/>
  <c r="C116" i="1"/>
  <c r="J330" i="1"/>
  <c r="J331" i="1" s="1"/>
  <c r="J214" i="1" s="1"/>
  <c r="R330" i="1"/>
  <c r="R331" i="1" s="1"/>
  <c r="R214" i="1" s="1"/>
  <c r="V330" i="1"/>
  <c r="V331" i="1" s="1"/>
  <c r="V214" i="1" s="1"/>
  <c r="Q329" i="1"/>
  <c r="Q331" i="1" s="1"/>
  <c r="Q214" i="1" s="1"/>
  <c r="F328" i="1"/>
  <c r="E328" i="1" s="1"/>
  <c r="N330" i="1"/>
  <c r="N331" i="1" s="1"/>
  <c r="N214" i="1" s="1"/>
  <c r="U329" i="1"/>
  <c r="U331" i="1" s="1"/>
  <c r="U214" i="1" s="1"/>
  <c r="F327" i="1" l="1"/>
  <c r="E329" i="1"/>
  <c r="E330" i="1"/>
  <c r="W223" i="1"/>
  <c r="W218" i="1"/>
  <c r="U223" i="1"/>
  <c r="U218" i="1"/>
  <c r="V218" i="1"/>
  <c r="V223" i="1"/>
  <c r="E327" i="1"/>
  <c r="F331" i="1"/>
  <c r="F214" i="1" s="1"/>
  <c r="D354" i="1"/>
  <c r="B122" i="1" s="1"/>
  <c r="F354" i="1"/>
  <c r="G331" i="1"/>
  <c r="G214" i="1" s="1"/>
  <c r="BI49" i="1"/>
  <c r="J66" i="2"/>
  <c r="J62" i="2"/>
  <c r="J63" i="2"/>
  <c r="J67" i="2"/>
  <c r="J69" i="2"/>
  <c r="J65" i="2"/>
  <c r="U84" i="2"/>
  <c r="J68" i="2"/>
  <c r="U83" i="2"/>
  <c r="J64" i="2"/>
  <c r="U86" i="2"/>
  <c r="U85" i="2"/>
  <c r="E331" i="1" l="1"/>
  <c r="C105" i="1" s="1"/>
  <c r="E354" i="1"/>
  <c r="C122" i="1" s="1"/>
  <c r="CH240" i="1" s="1"/>
  <c r="C241" i="6" s="1"/>
  <c r="D122" i="1"/>
  <c r="CH241" i="1" s="1"/>
  <c r="C242" i="6" s="1"/>
  <c r="C215" i="1"/>
  <c r="D215" i="1" s="1"/>
  <c r="C27" i="1"/>
  <c r="CH19" i="1" s="1"/>
  <c r="C20" i="6" s="1"/>
  <c r="BJ41" i="1"/>
  <c r="K40" i="2"/>
  <c r="K113" i="2"/>
  <c r="C107" i="1"/>
  <c r="J71" i="2"/>
  <c r="C214" i="1" l="1"/>
  <c r="AS23" i="1"/>
  <c r="AS26" i="1"/>
  <c r="AS9" i="1"/>
  <c r="AS24" i="1"/>
  <c r="AS25" i="1"/>
  <c r="BI18" i="1"/>
  <c r="AS30" i="1"/>
  <c r="AS27" i="1"/>
  <c r="AS28" i="1"/>
  <c r="AS5" i="1"/>
  <c r="AS8" i="1"/>
  <c r="AS11" i="1"/>
  <c r="AS13" i="1"/>
  <c r="AS4" i="1"/>
  <c r="AS10" i="1"/>
  <c r="AS29" i="1"/>
  <c r="AS12" i="1"/>
  <c r="AS6" i="1"/>
  <c r="AS22" i="1"/>
  <c r="AS7" i="1"/>
  <c r="AS31" i="1"/>
  <c r="C113" i="1"/>
  <c r="C21" i="1"/>
  <c r="Z170" i="1"/>
  <c r="AA170" i="1"/>
  <c r="Y170" i="1"/>
  <c r="W170" i="1"/>
  <c r="X170" i="1"/>
  <c r="U170" i="1"/>
  <c r="BI9" i="1"/>
  <c r="F223" i="1"/>
  <c r="AC170" i="1"/>
  <c r="AB170" i="1"/>
  <c r="V170" i="1"/>
  <c r="BI12" i="1"/>
  <c r="J113" i="2"/>
  <c r="J112" i="2" s="1"/>
  <c r="K112" i="2"/>
  <c r="C115" i="1" l="1"/>
  <c r="C23" i="1"/>
  <c r="BJ12" i="1"/>
  <c r="BJ18" i="1"/>
  <c r="E214" i="1"/>
  <c r="C218" i="1" s="1"/>
  <c r="AS32" i="1"/>
  <c r="I223" i="1"/>
  <c r="I218" i="1"/>
  <c r="I170" i="1"/>
  <c r="L223" i="1"/>
  <c r="L170" i="1"/>
  <c r="L218" i="1"/>
  <c r="AU6" i="1"/>
  <c r="AS42" i="1"/>
  <c r="G170" i="1"/>
  <c r="BJ33" i="1"/>
  <c r="G218" i="1"/>
  <c r="G223" i="1"/>
  <c r="AS48" i="1"/>
  <c r="AU12" i="1"/>
  <c r="M223" i="1"/>
  <c r="M170" i="1"/>
  <c r="M218" i="1"/>
  <c r="AU10" i="1"/>
  <c r="AS46" i="1"/>
  <c r="AU13" i="1"/>
  <c r="AS49" i="1"/>
  <c r="Q218" i="1"/>
  <c r="Q170" i="1"/>
  <c r="Q223" i="1"/>
  <c r="AS14" i="1"/>
  <c r="AS40" i="1"/>
  <c r="AU4" i="1"/>
  <c r="AU11" i="1"/>
  <c r="AS47" i="1"/>
  <c r="H223" i="1"/>
  <c r="H170" i="1"/>
  <c r="H218" i="1"/>
  <c r="AU8" i="1"/>
  <c r="AS44" i="1"/>
  <c r="T170" i="1"/>
  <c r="T223" i="1"/>
  <c r="T218" i="1"/>
  <c r="S170" i="1"/>
  <c r="S218" i="1"/>
  <c r="S223" i="1"/>
  <c r="AU5" i="1"/>
  <c r="AS41" i="1"/>
  <c r="P218" i="1"/>
  <c r="P170" i="1"/>
  <c r="P223" i="1"/>
  <c r="K170" i="1"/>
  <c r="K218" i="1"/>
  <c r="K223" i="1"/>
  <c r="J223" i="1"/>
  <c r="J218" i="1"/>
  <c r="J170" i="1"/>
  <c r="O170" i="1"/>
  <c r="O218" i="1"/>
  <c r="O223" i="1"/>
  <c r="N170" i="1"/>
  <c r="N218" i="1"/>
  <c r="N223" i="1"/>
  <c r="R170" i="1"/>
  <c r="R223" i="1"/>
  <c r="R218" i="1"/>
  <c r="H34" i="1"/>
  <c r="C25" i="1"/>
  <c r="K14" i="2"/>
  <c r="BI34" i="1"/>
  <c r="BI7" i="1"/>
  <c r="BI21" i="1" s="1"/>
  <c r="BJ21" i="1" s="1"/>
  <c r="BJ13" i="1"/>
  <c r="BJ14" i="1"/>
  <c r="BJ15" i="1"/>
  <c r="BJ11" i="1"/>
  <c r="BI37" i="1"/>
  <c r="BI38" i="1" s="1"/>
  <c r="BI39" i="1" s="1"/>
  <c r="BI24" i="1"/>
  <c r="BJ24" i="1" s="1"/>
  <c r="BJ16" i="1"/>
  <c r="BI6" i="1"/>
  <c r="BJ17" i="1"/>
  <c r="BJ10" i="1"/>
  <c r="BW5" i="1"/>
  <c r="BJ8" i="1"/>
  <c r="AU9" i="1"/>
  <c r="AS45" i="1"/>
  <c r="F170" i="1"/>
  <c r="F218" i="1"/>
  <c r="F225" i="1"/>
  <c r="BJ9" i="1"/>
  <c r="AU7" i="1"/>
  <c r="AS43" i="1"/>
  <c r="C223" i="1" l="1"/>
  <c r="J21" i="1"/>
  <c r="H35" i="1"/>
  <c r="E170" i="1"/>
  <c r="D170" i="1" s="1"/>
  <c r="BR13" i="1"/>
  <c r="AZ13" i="1"/>
  <c r="AU49" i="1"/>
  <c r="AA156" i="1"/>
  <c r="AB156" i="1"/>
  <c r="BO13" i="1"/>
  <c r="J156" i="1"/>
  <c r="Z156" i="1"/>
  <c r="AV13" i="1"/>
  <c r="G138" i="1" s="1"/>
  <c r="L156" i="1"/>
  <c r="AW13" i="1"/>
  <c r="AW49" i="1" s="1"/>
  <c r="AZ9" i="1"/>
  <c r="AW9" i="1"/>
  <c r="AW45" i="1" s="1"/>
  <c r="AV9" i="1"/>
  <c r="G134" i="1" s="1"/>
  <c r="BO9" i="1"/>
  <c r="AB152" i="1"/>
  <c r="AA152" i="1"/>
  <c r="J152" i="1"/>
  <c r="BR9" i="1"/>
  <c r="L152" i="1"/>
  <c r="Z152" i="1"/>
  <c r="AU45" i="1"/>
  <c r="AA153" i="1"/>
  <c r="L153" i="1"/>
  <c r="Z153" i="1"/>
  <c r="AW10" i="1"/>
  <c r="AW46" i="1" s="1"/>
  <c r="J153" i="1"/>
  <c r="BR10" i="1"/>
  <c r="BO10" i="1"/>
  <c r="AB153" i="1"/>
  <c r="AV10" i="1"/>
  <c r="G135" i="1" s="1"/>
  <c r="AU46" i="1"/>
  <c r="AZ10" i="1"/>
  <c r="BR12" i="1"/>
  <c r="AB155" i="1"/>
  <c r="Z155" i="1"/>
  <c r="AU48" i="1"/>
  <c r="AZ12" i="1"/>
  <c r="AV12" i="1"/>
  <c r="G137" i="1" s="1"/>
  <c r="BO12" i="1"/>
  <c r="J155" i="1"/>
  <c r="AW12" i="1"/>
  <c r="AW48" i="1" s="1"/>
  <c r="L155" i="1"/>
  <c r="AA155" i="1"/>
  <c r="J147" i="1"/>
  <c r="Z147" i="1"/>
  <c r="BO4" i="1"/>
  <c r="AW4" i="1"/>
  <c r="AU40" i="1"/>
  <c r="AU14" i="1"/>
  <c r="L147" i="1"/>
  <c r="K147" i="1" s="1"/>
  <c r="AZ4" i="1"/>
  <c r="AV4" i="1"/>
  <c r="G129" i="1" s="1"/>
  <c r="BR4" i="1"/>
  <c r="AA147" i="1"/>
  <c r="AB147" i="1"/>
  <c r="AA150" i="1"/>
  <c r="AB150" i="1"/>
  <c r="BR7" i="1"/>
  <c r="J150" i="1"/>
  <c r="Z150" i="1"/>
  <c r="AW7" i="1"/>
  <c r="AW43" i="1" s="1"/>
  <c r="AZ7" i="1"/>
  <c r="AU43" i="1"/>
  <c r="L150" i="1"/>
  <c r="K150" i="1" s="1"/>
  <c r="BO7" i="1"/>
  <c r="AV7" i="1"/>
  <c r="G132" i="1" s="1"/>
  <c r="BO8" i="1"/>
  <c r="AZ8" i="1"/>
  <c r="AV8" i="1"/>
  <c r="G133" i="1" s="1"/>
  <c r="L151" i="1"/>
  <c r="AA151" i="1"/>
  <c r="AU44" i="1"/>
  <c r="AB151" i="1"/>
  <c r="BR8" i="1"/>
  <c r="J151" i="1"/>
  <c r="Z151" i="1"/>
  <c r="AW8" i="1"/>
  <c r="AW44" i="1" s="1"/>
  <c r="AA154" i="1"/>
  <c r="BO11" i="1"/>
  <c r="AZ11" i="1"/>
  <c r="AU47" i="1"/>
  <c r="BR11" i="1"/>
  <c r="Z154" i="1"/>
  <c r="L154" i="1"/>
  <c r="AB154" i="1"/>
  <c r="AW11" i="1"/>
  <c r="AW47" i="1" s="1"/>
  <c r="AV11" i="1"/>
  <c r="G136" i="1" s="1"/>
  <c r="J154" i="1"/>
  <c r="AV6" i="1"/>
  <c r="G131" i="1" s="1"/>
  <c r="J149" i="1"/>
  <c r="AU42" i="1"/>
  <c r="L149" i="1"/>
  <c r="K149" i="1" s="1"/>
  <c r="AA149" i="1"/>
  <c r="Z149" i="1"/>
  <c r="BR6" i="1"/>
  <c r="AB149" i="1"/>
  <c r="AZ6" i="1"/>
  <c r="AW6" i="1"/>
  <c r="AW42" i="1" s="1"/>
  <c r="BO6" i="1"/>
  <c r="AS50" i="1"/>
  <c r="AS51" i="1" s="1"/>
  <c r="AS15" i="1"/>
  <c r="AS33" i="1"/>
  <c r="G225" i="1"/>
  <c r="H225" i="1" s="1"/>
  <c r="I225" i="1" s="1"/>
  <c r="J225" i="1" s="1"/>
  <c r="K225" i="1" s="1"/>
  <c r="L225" i="1" s="1"/>
  <c r="M225" i="1" s="1"/>
  <c r="N225" i="1" s="1"/>
  <c r="J19" i="2"/>
  <c r="K19" i="2" s="1"/>
  <c r="J14" i="2"/>
  <c r="C219" i="1"/>
  <c r="D219" i="1" s="1"/>
  <c r="C221" i="1"/>
  <c r="C225" i="1" s="1"/>
  <c r="D214" i="1"/>
  <c r="C30" i="1"/>
  <c r="BI22" i="1"/>
  <c r="BJ22" i="1" s="1"/>
  <c r="C32" i="1"/>
  <c r="BI23" i="1"/>
  <c r="BJ45" i="1"/>
  <c r="BL45" i="1" s="1"/>
  <c r="BJ48" i="1"/>
  <c r="BL48" i="1" s="1"/>
  <c r="BJ44" i="1"/>
  <c r="BJ46" i="1"/>
  <c r="BL46" i="1" s="1"/>
  <c r="BJ47" i="1"/>
  <c r="BL47" i="1" s="1"/>
  <c r="E218" i="1"/>
  <c r="F219" i="1"/>
  <c r="I23" i="1"/>
  <c r="I30" i="1"/>
  <c r="I31" i="1"/>
  <c r="I29" i="1"/>
  <c r="I20" i="1"/>
  <c r="I19" i="1"/>
  <c r="I26" i="1"/>
  <c r="I22" i="1"/>
  <c r="I21" i="1"/>
  <c r="I24" i="1"/>
  <c r="AA148" i="1"/>
  <c r="BO5" i="1"/>
  <c r="Z148" i="1"/>
  <c r="AV5" i="1"/>
  <c r="G130" i="1" s="1"/>
  <c r="AB148" i="1"/>
  <c r="J148" i="1"/>
  <c r="AW5" i="1"/>
  <c r="AW41" i="1" s="1"/>
  <c r="BR5" i="1"/>
  <c r="AZ5" i="1"/>
  <c r="L148" i="1"/>
  <c r="K148" i="1" s="1"/>
  <c r="AU41" i="1"/>
  <c r="K155" i="1" l="1"/>
  <c r="K156" i="1"/>
  <c r="K154" i="1"/>
  <c r="K152" i="1"/>
  <c r="K151" i="1"/>
  <c r="K153" i="1"/>
  <c r="G219" i="1"/>
  <c r="I24" i="2"/>
  <c r="C224" i="1"/>
  <c r="I33" i="1"/>
  <c r="J24" i="2"/>
  <c r="C34" i="1"/>
  <c r="CH24" i="1" s="1"/>
  <c r="C25" i="6" s="1"/>
  <c r="BW7" i="1"/>
  <c r="H33" i="2"/>
  <c r="AV44" i="1"/>
  <c r="AV42" i="1"/>
  <c r="H31" i="2"/>
  <c r="AV46" i="1"/>
  <c r="H35" i="2"/>
  <c r="BC8" i="1"/>
  <c r="BB8" i="1"/>
  <c r="AY8" i="1"/>
  <c r="I33" i="2" s="1"/>
  <c r="BD8" i="1"/>
  <c r="J33" i="2"/>
  <c r="AZ44" i="1"/>
  <c r="AV40" i="1"/>
  <c r="AU50" i="1"/>
  <c r="H29" i="2"/>
  <c r="O225" i="1"/>
  <c r="N227" i="1"/>
  <c r="BD7" i="1"/>
  <c r="AY7" i="1"/>
  <c r="I32" i="2" s="1"/>
  <c r="BB7" i="1"/>
  <c r="AZ43" i="1"/>
  <c r="BC7" i="1"/>
  <c r="J32" i="2"/>
  <c r="AV49" i="1"/>
  <c r="H38" i="2"/>
  <c r="AY6" i="1"/>
  <c r="I31" i="2" s="1"/>
  <c r="BB6" i="1"/>
  <c r="BD6" i="1"/>
  <c r="BC6" i="1"/>
  <c r="J31" i="2"/>
  <c r="AZ42" i="1"/>
  <c r="BB12" i="1"/>
  <c r="BD12" i="1"/>
  <c r="AZ48" i="1"/>
  <c r="BC12" i="1"/>
  <c r="J37" i="2"/>
  <c r="AY12" i="1"/>
  <c r="I37" i="2" s="1"/>
  <c r="BJ49" i="1"/>
  <c r="BL44" i="1"/>
  <c r="BL49" i="1" s="1"/>
  <c r="AV48" i="1"/>
  <c r="H37" i="2"/>
  <c r="L30" i="1"/>
  <c r="L29" i="1"/>
  <c r="G139" i="1"/>
  <c r="BC10" i="1"/>
  <c r="BD10" i="1"/>
  <c r="AZ46" i="1"/>
  <c r="J35" i="2"/>
  <c r="BB10" i="1"/>
  <c r="AY10" i="1"/>
  <c r="I35" i="2" s="1"/>
  <c r="AZ40" i="1"/>
  <c r="AY4" i="1"/>
  <c r="I29" i="2" s="1"/>
  <c r="BB4" i="1"/>
  <c r="BD4" i="1"/>
  <c r="AZ14" i="1"/>
  <c r="J29" i="2"/>
  <c r="BC4" i="1"/>
  <c r="BB9" i="1"/>
  <c r="AY9" i="1"/>
  <c r="I34" i="2" s="1"/>
  <c r="BD9" i="1"/>
  <c r="AZ45" i="1"/>
  <c r="BC9" i="1"/>
  <c r="J34" i="2"/>
  <c r="G176" i="2"/>
  <c r="AV14" i="1"/>
  <c r="AV15" i="1" s="1"/>
  <c r="AU15" i="1"/>
  <c r="C226" i="1"/>
  <c r="G179" i="2" s="1"/>
  <c r="G178" i="2"/>
  <c r="AW14" i="1"/>
  <c r="AW15" i="1" s="1"/>
  <c r="AW40" i="1"/>
  <c r="AW50" i="1" s="1"/>
  <c r="AW51" i="1" s="1"/>
  <c r="AV41" i="1"/>
  <c r="H30" i="2"/>
  <c r="J157" i="1" a="1"/>
  <c r="J157" i="1" s="1"/>
  <c r="H32" i="2"/>
  <c r="AV43" i="1"/>
  <c r="BD5" i="1"/>
  <c r="BB5" i="1"/>
  <c r="BC5" i="1"/>
  <c r="J30" i="2"/>
  <c r="AZ41" i="1"/>
  <c r="AY5" i="1"/>
  <c r="I30" i="2" s="1"/>
  <c r="AV47" i="1"/>
  <c r="H36" i="2"/>
  <c r="AV45" i="1"/>
  <c r="H34" i="2"/>
  <c r="J38" i="2"/>
  <c r="BD13" i="1"/>
  <c r="BB13" i="1"/>
  <c r="BC13" i="1"/>
  <c r="AY13" i="1"/>
  <c r="I38" i="2" s="1"/>
  <c r="AZ49" i="1"/>
  <c r="C28" i="1"/>
  <c r="BD11" i="1"/>
  <c r="AZ47" i="1"/>
  <c r="AY11" i="1"/>
  <c r="I36" i="2" s="1"/>
  <c r="BC11" i="1"/>
  <c r="J36" i="2"/>
  <c r="BB11" i="1"/>
  <c r="D218" i="1"/>
  <c r="D221" i="1"/>
  <c r="H219" i="1" l="1"/>
  <c r="H24" i="2"/>
  <c r="G177" i="2"/>
  <c r="K24" i="2"/>
  <c r="BC14" i="1"/>
  <c r="BC15" i="1" s="1"/>
  <c r="BA5" i="1"/>
  <c r="K30" i="2"/>
  <c r="P225" i="1"/>
  <c r="O227" i="1"/>
  <c r="AU51" i="1"/>
  <c r="AV50" i="1"/>
  <c r="AV51" i="1" s="1"/>
  <c r="K33" i="2"/>
  <c r="BA8" i="1"/>
  <c r="J178" i="2"/>
  <c r="E178" i="2"/>
  <c r="K178" i="2"/>
  <c r="D178" i="2"/>
  <c r="K176" i="2"/>
  <c r="J176" i="2"/>
  <c r="D176" i="2"/>
  <c r="E176" i="2"/>
  <c r="J177" i="2"/>
  <c r="D177" i="2"/>
  <c r="E177" i="2"/>
  <c r="K177" i="2"/>
  <c r="B227" i="1"/>
  <c r="K37" i="2"/>
  <c r="BA12" i="1"/>
  <c r="AY49" i="1"/>
  <c r="BB49" i="1"/>
  <c r="BC49" i="1"/>
  <c r="BD49" i="1"/>
  <c r="BA49" i="1" s="1"/>
  <c r="BD40" i="1"/>
  <c r="BA40" i="1" s="1"/>
  <c r="BC40" i="1"/>
  <c r="BB40" i="1"/>
  <c r="AZ50" i="1"/>
  <c r="AY40" i="1"/>
  <c r="AY42" i="1"/>
  <c r="BC42" i="1"/>
  <c r="BD42" i="1"/>
  <c r="BA42" i="1" s="1"/>
  <c r="BB42" i="1"/>
  <c r="K38" i="2"/>
  <c r="BA13" i="1"/>
  <c r="BA10" i="1"/>
  <c r="K35" i="2"/>
  <c r="BD14" i="1"/>
  <c r="BD15" i="1" s="1"/>
  <c r="BB14" i="1"/>
  <c r="BB15" i="1" s="1"/>
  <c r="AY14" i="1"/>
  <c r="AY15" i="1" s="1"/>
  <c r="AZ15" i="1"/>
  <c r="AY48" i="1"/>
  <c r="BB48" i="1"/>
  <c r="BC48" i="1"/>
  <c r="BD48" i="1"/>
  <c r="BA48" i="1" s="1"/>
  <c r="AY44" i="1"/>
  <c r="BD44" i="1"/>
  <c r="BA44" i="1" s="1"/>
  <c r="BC44" i="1"/>
  <c r="BB44" i="1"/>
  <c r="BD47" i="1"/>
  <c r="BA47" i="1" s="1"/>
  <c r="BC47" i="1"/>
  <c r="BB47" i="1"/>
  <c r="AY47" i="1"/>
  <c r="K36" i="2"/>
  <c r="BA11" i="1"/>
  <c r="BA4" i="1"/>
  <c r="K29" i="2"/>
  <c r="D179" i="2"/>
  <c r="J179" i="2"/>
  <c r="K179" i="2"/>
  <c r="E179" i="2"/>
  <c r="K31" i="2"/>
  <c r="BA6" i="1"/>
  <c r="BD46" i="1"/>
  <c r="BA46" i="1" s="1"/>
  <c r="BB46" i="1"/>
  <c r="AY46" i="1"/>
  <c r="BC46" i="1"/>
  <c r="AY41" i="1"/>
  <c r="BD41" i="1"/>
  <c r="BA41" i="1" s="1"/>
  <c r="BC41" i="1"/>
  <c r="BB41" i="1"/>
  <c r="AY45" i="1"/>
  <c r="BB45" i="1"/>
  <c r="BD45" i="1"/>
  <c r="BA45" i="1" s="1"/>
  <c r="BC45" i="1"/>
  <c r="BC43" i="1"/>
  <c r="BB43" i="1"/>
  <c r="AY43" i="1"/>
  <c r="BD43" i="1"/>
  <c r="BA43" i="1" s="1"/>
  <c r="K34" i="2"/>
  <c r="BA9" i="1"/>
  <c r="BZ12" i="1"/>
  <c r="CA12" i="1" s="1"/>
  <c r="BZ17" i="1"/>
  <c r="CA17" i="1" s="1"/>
  <c r="BZ20" i="1"/>
  <c r="CA20" i="1" s="1"/>
  <c r="BZ10" i="1"/>
  <c r="BZ16" i="1"/>
  <c r="CA16" i="1" s="1"/>
  <c r="BZ15" i="1"/>
  <c r="CA15" i="1" s="1"/>
  <c r="BA7" i="1"/>
  <c r="K32" i="2"/>
  <c r="I219" i="1" l="1"/>
  <c r="AY50" i="1"/>
  <c r="AY51" i="1" s="1"/>
  <c r="BB50" i="1"/>
  <c r="BB51" i="1" s="1"/>
  <c r="BD50" i="1"/>
  <c r="BD51" i="1" s="1"/>
  <c r="AZ51" i="1"/>
  <c r="BZ19" i="1"/>
  <c r="BZ21" i="1" s="1"/>
  <c r="CA21" i="1" s="1"/>
  <c r="CA10" i="1"/>
  <c r="CA19" i="1" s="1"/>
  <c r="P227" i="1"/>
  <c r="Q225" i="1"/>
  <c r="J219" i="1" l="1"/>
  <c r="R225" i="1"/>
  <c r="Q227" i="1"/>
  <c r="K219" i="1" l="1"/>
  <c r="R227" i="1"/>
  <c r="S225" i="1"/>
  <c r="L219" i="1" l="1"/>
  <c r="T225" i="1"/>
  <c r="S227" i="1"/>
  <c r="M219" i="1" l="1"/>
  <c r="U225" i="1"/>
  <c r="T227" i="1"/>
  <c r="N219" i="1" l="1"/>
  <c r="U227" i="1"/>
  <c r="V225" i="1"/>
  <c r="O219" i="1" l="1"/>
  <c r="W225" i="1"/>
  <c r="V227" i="1"/>
  <c r="P219" i="1" l="1"/>
  <c r="X225" i="1"/>
  <c r="W227" i="1"/>
  <c r="Q219" i="1" l="1"/>
  <c r="Y225" i="1"/>
  <c r="X227" i="1"/>
  <c r="R219" i="1" l="1"/>
  <c r="Z225" i="1"/>
  <c r="Y227" i="1"/>
  <c r="S219" i="1" l="1"/>
  <c r="Z227" i="1"/>
  <c r="AA225" i="1"/>
  <c r="T219" i="1" l="1"/>
  <c r="AB225" i="1"/>
  <c r="AA227" i="1"/>
  <c r="U219" i="1" l="1"/>
  <c r="AB227" i="1"/>
  <c r="AC225" i="1"/>
  <c r="V219" i="1" l="1"/>
  <c r="AC227" i="1"/>
  <c r="AD189" i="1"/>
  <c r="W219" i="1" l="1"/>
  <c r="X219" i="1" l="1"/>
  <c r="Y219" i="1" l="1"/>
  <c r="Z219" i="1" l="1"/>
  <c r="AA219" i="1" l="1"/>
  <c r="AB219" i="1" l="1"/>
  <c r="AC21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Abdullah alothman</author>
  </authors>
  <commentList>
    <comment ref="BH8" authorId="0" shapeId="0" xr:uid="{4E101031-20A4-436C-8CA0-BC3C28587753}">
      <text>
        <r>
          <rPr>
            <sz val="6"/>
            <color indexed="81"/>
            <rFont val="Arial"/>
            <family val="2"/>
            <scheme val="minor"/>
          </rPr>
          <t>أجمالي التكاليف البناء.
التسوير.
أعمال الحفر والمسح والاختبارات.
أثاث الوحدات.
أثاث الوحدات الفندقية.</t>
        </r>
      </text>
    </comment>
    <comment ref="BH9" authorId="0" shapeId="0" xr:uid="{40D5BD1F-88B7-4DD3-B888-D1BEDA076FAC}">
      <text>
        <r>
          <rPr>
            <b/>
            <sz val="6"/>
            <color indexed="81"/>
            <rFont val="Arial"/>
            <family val="2"/>
            <scheme val="minor"/>
          </rPr>
          <t>التأمين.
رخصة البناء.
أعمال التصميم.
الإشراف الهندسي.
رسوم توصيل الكهرباء.
رسوم توصيل المياه والصرف الصحي.
رسوم فرز الوحدات.
ضمان الوحدات المباعة.
تسويق المبيعات.
تسويق الإيجار.
تسويق البيع على الخارطة.
أتعاب المطور.
رسوم ترتيب قرض الصندوق.
رسوم إدارة الهيكلة.
رسوم إدارة الأصول.
أتعاب المشغل.
تكاليف الصندوق الأخرى.</t>
        </r>
        <r>
          <rPr>
            <b/>
            <sz val="5"/>
            <color indexed="81"/>
            <rFont val="Arial"/>
            <family val="2"/>
            <scheme val="minor"/>
          </rPr>
          <t xml:space="preserve">
</t>
        </r>
      </text>
    </comment>
    <comment ref="BH10" authorId="0" shapeId="0" xr:uid="{050165CB-02AD-43FC-BED7-217BC188F54F}">
      <text>
        <r>
          <rPr>
            <sz val="6"/>
            <color indexed="81"/>
            <rFont val="Arial"/>
            <family val="2"/>
            <scheme val="minor"/>
          </rPr>
          <t>تكاليف الأرض.
الاحتياطي.
تكاليف التمويل.
تكاليف التشغيل.</t>
        </r>
      </text>
    </comment>
    <comment ref="BH11" authorId="0" shapeId="0" xr:uid="{E8BB6451-5A62-40FC-8D5E-90A7C0F8647D}">
      <text>
        <r>
          <rPr>
            <sz val="6"/>
            <color indexed="81"/>
            <rFont val="Arial"/>
            <family val="2"/>
            <scheme val="minor"/>
          </rPr>
          <t>شامل التكاليف التشغيلية.</t>
        </r>
      </text>
    </comment>
    <comment ref="BH12" authorId="0" shapeId="0" xr:uid="{FA4E48F8-BF18-4D0A-8287-5AE54882F178}">
      <text>
        <r>
          <rPr>
            <sz val="6"/>
            <color indexed="81"/>
            <rFont val="Arial"/>
            <family val="2"/>
            <scheme val="minor"/>
          </rPr>
          <t>غير شامل تكاليف وافي.</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<sst xmlns="http://schemas.openxmlformats.org/spreadsheetml/2006/main" count="3501" uniqueCount="1793">
  <si>
    <t>Financial Structuring | الهيكلة المالية</t>
  </si>
  <si>
    <t xml:space="preserve"> Feasibility Study Summary | ملخص دراسة الجدوى</t>
  </si>
  <si>
    <t>المصدر
(Source)</t>
  </si>
  <si>
    <t>SAR</t>
  </si>
  <si>
    <t>%</t>
  </si>
  <si>
    <t>البند
(Item)</t>
  </si>
  <si>
    <t>القيمة
(Value)</t>
  </si>
  <si>
    <t>(Equity) - الملكية</t>
  </si>
  <si>
    <t>إجمالي الإيرادات
(Total Revenue)</t>
  </si>
  <si>
    <t xml:space="preserve"> رأس المال - (capital)</t>
  </si>
  <si>
    <t>إجمالي تكلفة الأرض
(Total Land Cost)</t>
  </si>
  <si>
    <t xml:space="preserve"> الاشتراكات النقدية
 (Cash Subscription)</t>
  </si>
  <si>
    <t>إجمالي تكلفة البناء
 (Total Construction Cost)</t>
  </si>
  <si>
    <t xml:space="preserve"> الاشتراك من مدير الصندوق
 (fund manager's Subscription)</t>
  </si>
  <si>
    <t>إجمالي التكاليف الأخرى
 (Total Other cost)</t>
  </si>
  <si>
    <t>الأشتراك النقدي من المطور
(Cash Subscription from Developer)</t>
  </si>
  <si>
    <t>إجمالي رسوم الصندوق
(Total Fund Fees)</t>
  </si>
  <si>
    <t>الأشتراك العيني من المطور
(In-Kind Subscription from Developer)</t>
  </si>
  <si>
    <t>فوائد التمويل
 (Interest)</t>
  </si>
  <si>
    <t xml:space="preserve"> الإشتراك العيني من مالك الأرض
 (In-Kind Subscription from Landowner)</t>
  </si>
  <si>
    <t>إجمالي الملكية 
(Total Equity)</t>
  </si>
  <si>
    <t>صافي الدخل
(Net Income)</t>
  </si>
  <si>
    <r>
      <t xml:space="preserve">معدل العائد الداخلي
</t>
    </r>
    <r>
      <rPr>
        <sz val="8"/>
        <color theme="5" tint="-0.249977111117893"/>
        <rFont val="Calibri"/>
        <family val="2"/>
      </rPr>
      <t>(IRR)</t>
    </r>
  </si>
  <si>
    <r>
      <t xml:space="preserve">العائد على الإستثمار
</t>
    </r>
    <r>
      <rPr>
        <sz val="8"/>
        <color theme="5" tint="-0.249977111117893"/>
        <rFont val="Calibri"/>
        <family val="2"/>
      </rPr>
      <t xml:space="preserve">(ROI) </t>
    </r>
    <r>
      <rPr>
        <sz val="8"/>
        <color theme="1"/>
        <rFont val="Calibri"/>
        <family val="2"/>
      </rPr>
      <t xml:space="preserve"> </t>
    </r>
  </si>
  <si>
    <r>
      <t xml:space="preserve">العائد على الملكية
</t>
    </r>
    <r>
      <rPr>
        <sz val="8"/>
        <color theme="5" tint="-0.249977111117893"/>
        <rFont val="Calibri"/>
        <family val="2"/>
      </rPr>
      <t xml:space="preserve">(ROE) </t>
    </r>
  </si>
  <si>
    <t>البيع على الخارطة
(Off-Plan Sales)</t>
  </si>
  <si>
    <r>
      <t xml:space="preserve">  العائد على الملكية السنوي
</t>
    </r>
    <r>
      <rPr>
        <sz val="8"/>
        <color theme="5" tint="-0.24994659260841701"/>
        <rFont val="Calibri"/>
        <family val="2"/>
      </rPr>
      <t>(ROE Annually</t>
    </r>
    <r>
      <rPr>
        <sz val="8"/>
        <color theme="5" tint="-0.249977111117893"/>
        <rFont val="Calibri"/>
        <family val="2"/>
      </rPr>
      <t>)</t>
    </r>
  </si>
  <si>
    <t>مصادر أخرى
(Other Sources)</t>
  </si>
  <si>
    <t>إجمالي مصادر التمويل 
(Total Financing Sources)</t>
  </si>
  <si>
    <t xml:space="preserve"> الفرق
 (Difference)</t>
  </si>
  <si>
    <t>تفاصيل الأرض | Land Details</t>
  </si>
  <si>
    <t>رقم الأرض
(Land Number)</t>
  </si>
  <si>
    <t>المساحة الأرض
(Land Area)</t>
  </si>
  <si>
    <t>التكلفة للمتر
(Cost per SQM)</t>
  </si>
  <si>
    <t>معامل البناء
(FAR)</t>
  </si>
  <si>
    <r>
      <t>إجمالي مسطحات البناء فوق الأرض
(</t>
    </r>
    <r>
      <rPr>
        <sz val="8"/>
        <color theme="5" tint="0.59999389629810485"/>
        <rFont val="Calibri"/>
        <family val="2"/>
      </rPr>
      <t>A</t>
    </r>
    <r>
      <rPr>
        <sz val="8"/>
        <color theme="0"/>
        <rFont val="Calibri"/>
        <family val="2"/>
      </rPr>
      <t xml:space="preserve">bove </t>
    </r>
    <r>
      <rPr>
        <sz val="8"/>
        <color theme="5" tint="0.59999389629810485"/>
        <rFont val="Calibri"/>
        <family val="2"/>
      </rPr>
      <t>G</t>
    </r>
    <r>
      <rPr>
        <sz val="8"/>
        <color theme="0"/>
        <rFont val="Calibri"/>
        <family val="2"/>
      </rPr>
      <t xml:space="preserve">rade </t>
    </r>
    <r>
      <rPr>
        <sz val="8"/>
        <color theme="5" tint="0.59999389629810485"/>
        <rFont val="Calibri"/>
        <family val="2"/>
      </rPr>
      <t>G</t>
    </r>
    <r>
      <rPr>
        <sz val="8"/>
        <color theme="0"/>
        <rFont val="Calibri"/>
        <family val="2"/>
      </rPr>
      <t xml:space="preserve">ross </t>
    </r>
    <r>
      <rPr>
        <sz val="8"/>
        <color theme="5" tint="0.59999389629810485"/>
        <rFont val="Calibri"/>
        <family val="2"/>
      </rPr>
      <t>B</t>
    </r>
    <r>
      <rPr>
        <sz val="8"/>
        <color theme="0"/>
        <rFont val="Calibri"/>
        <family val="2"/>
      </rPr>
      <t xml:space="preserve">uilding </t>
    </r>
    <r>
      <rPr>
        <sz val="8"/>
        <color theme="5" tint="0.59999389629810485"/>
        <rFont val="Calibri"/>
        <family val="2"/>
      </rPr>
      <t>A</t>
    </r>
    <r>
      <rPr>
        <sz val="8"/>
        <color theme="0"/>
        <rFont val="Calibri"/>
        <family val="2"/>
      </rPr>
      <t>rea)</t>
    </r>
  </si>
  <si>
    <t>الإجمالي
 (Total)</t>
  </si>
  <si>
    <t>المكون
(Component)</t>
  </si>
  <si>
    <t>سكني 
(Apartments)</t>
  </si>
  <si>
    <t>فلل
(Villas)</t>
  </si>
  <si>
    <t>تاون هاوس
(Townhouse)</t>
  </si>
  <si>
    <t>أدوار
(Floors)</t>
  </si>
  <si>
    <t>تجاري
 (Retail)</t>
  </si>
  <si>
    <t>فندقي 
(Hotel)</t>
  </si>
  <si>
    <t>صحي 
(health)</t>
  </si>
  <si>
    <t>شاليهات
(Chalets)</t>
  </si>
  <si>
    <t>Construction Details and Costs | تفاصيل البناء و تكاليفة</t>
  </si>
  <si>
    <t>طول الأرض على الشارع
(Land Frontage)</t>
  </si>
  <si>
    <t>عمق الأرض
(Land Depth)</t>
  </si>
  <si>
    <r>
      <t>إجمالي المساحة التطويرية 
(</t>
    </r>
    <r>
      <rPr>
        <sz val="8"/>
        <color theme="5" tint="0.59999389629810485"/>
        <rFont val="Calibri"/>
        <family val="2"/>
      </rPr>
      <t>T</t>
    </r>
    <r>
      <rPr>
        <sz val="8"/>
        <color theme="0"/>
        <rFont val="Calibri"/>
        <family val="2"/>
      </rPr>
      <t xml:space="preserve">otal </t>
    </r>
    <r>
      <rPr>
        <sz val="8"/>
        <color theme="5" tint="0.59999389629810485"/>
        <rFont val="Calibri"/>
        <family val="2"/>
      </rPr>
      <t>D</t>
    </r>
    <r>
      <rPr>
        <sz val="8"/>
        <color theme="0"/>
        <rFont val="Calibri"/>
        <family val="2"/>
      </rPr>
      <t xml:space="preserve">evelopment </t>
    </r>
    <r>
      <rPr>
        <sz val="8"/>
        <color theme="5" tint="0.59999389629810485"/>
        <rFont val="Calibri"/>
        <family val="2"/>
      </rPr>
      <t>A</t>
    </r>
    <r>
      <rPr>
        <sz val="8"/>
        <color theme="0"/>
        <rFont val="Calibri"/>
        <family val="2"/>
      </rPr>
      <t>rea)</t>
    </r>
  </si>
  <si>
    <r>
      <t>إجمالي المساحة المبنية
(</t>
    </r>
    <r>
      <rPr>
        <sz val="8"/>
        <color theme="5" tint="0.59999389629810485"/>
        <rFont val="Calibri"/>
        <family val="2"/>
      </rPr>
      <t>G</t>
    </r>
    <r>
      <rPr>
        <sz val="8"/>
        <color theme="0"/>
        <rFont val="Calibri"/>
        <family val="2"/>
      </rPr>
      <t xml:space="preserve">ross </t>
    </r>
    <r>
      <rPr>
        <sz val="8"/>
        <color theme="5" tint="0.59999389629810485"/>
        <rFont val="Calibri"/>
        <family val="2"/>
      </rPr>
      <t>B</t>
    </r>
    <r>
      <rPr>
        <sz val="8"/>
        <color theme="0"/>
        <rFont val="Calibri"/>
        <family val="2"/>
      </rPr>
      <t xml:space="preserve">uilt-Up </t>
    </r>
    <r>
      <rPr>
        <sz val="8"/>
        <color theme="5" tint="0.59999389629810485"/>
        <rFont val="Calibri"/>
        <family val="2"/>
      </rPr>
      <t>A</t>
    </r>
    <r>
      <rPr>
        <sz val="8"/>
        <color theme="0"/>
        <rFont val="Calibri"/>
        <family val="2"/>
      </rPr>
      <t>rea)</t>
    </r>
  </si>
  <si>
    <r>
      <t>إجمالي المساحة البنائية فوق مستوى الأرض
(</t>
    </r>
    <r>
      <rPr>
        <sz val="8"/>
        <color theme="5" tint="0.59999389629810485"/>
        <rFont val="Calibri"/>
        <family val="2"/>
      </rPr>
      <t>A</t>
    </r>
    <r>
      <rPr>
        <sz val="8"/>
        <color theme="0"/>
        <rFont val="Calibri"/>
        <family val="2"/>
      </rPr>
      <t xml:space="preserve">bove </t>
    </r>
    <r>
      <rPr>
        <sz val="8"/>
        <color theme="5" tint="0.59999389629810485"/>
        <rFont val="Calibri"/>
        <family val="2"/>
      </rPr>
      <t>G</t>
    </r>
    <r>
      <rPr>
        <sz val="8"/>
        <color theme="0"/>
        <rFont val="Calibri"/>
        <family val="2"/>
      </rPr>
      <t xml:space="preserve">rade </t>
    </r>
    <r>
      <rPr>
        <sz val="8"/>
        <color theme="5" tint="0.59999389629810485"/>
        <rFont val="Calibri"/>
        <family val="2"/>
      </rPr>
      <t>G</t>
    </r>
    <r>
      <rPr>
        <sz val="8"/>
        <color theme="0"/>
        <rFont val="Calibri"/>
        <family val="2"/>
      </rPr>
      <t xml:space="preserve">ross </t>
    </r>
    <r>
      <rPr>
        <sz val="8"/>
        <color theme="5" tint="0.59999389629810485"/>
        <rFont val="Calibri"/>
        <family val="2"/>
      </rPr>
      <t>B</t>
    </r>
    <r>
      <rPr>
        <sz val="8"/>
        <color theme="0"/>
        <rFont val="Calibri"/>
        <family val="2"/>
      </rPr>
      <t xml:space="preserve">uilding </t>
    </r>
    <r>
      <rPr>
        <sz val="8"/>
        <color theme="5" tint="0.59999389629810485"/>
        <rFont val="Calibri"/>
        <family val="2"/>
      </rPr>
      <t>A</t>
    </r>
    <r>
      <rPr>
        <sz val="8"/>
        <color theme="0"/>
        <rFont val="Calibri"/>
        <family val="2"/>
      </rPr>
      <t>rea)</t>
    </r>
  </si>
  <si>
    <r>
      <t>إجمالي المساحات القابلة للبيع
(</t>
    </r>
    <r>
      <rPr>
        <sz val="8"/>
        <color theme="5" tint="0.59999389629810485"/>
        <rFont val="Calibri"/>
        <family val="2"/>
      </rPr>
      <t>N</t>
    </r>
    <r>
      <rPr>
        <sz val="8"/>
        <color theme="0"/>
        <rFont val="Calibri"/>
        <family val="2"/>
      </rPr>
      <t xml:space="preserve">et </t>
    </r>
    <r>
      <rPr>
        <sz val="8"/>
        <color theme="5" tint="0.59999389629810485"/>
        <rFont val="Calibri"/>
        <family val="2"/>
      </rPr>
      <t>S</t>
    </r>
    <r>
      <rPr>
        <sz val="8"/>
        <color theme="0"/>
        <rFont val="Calibri"/>
        <family val="2"/>
      </rPr>
      <t xml:space="preserve">ellable </t>
    </r>
    <r>
      <rPr>
        <sz val="8"/>
        <color theme="5" tint="0.59999389629810485"/>
        <rFont val="Calibri"/>
        <family val="2"/>
      </rPr>
      <t>A</t>
    </r>
    <r>
      <rPr>
        <sz val="8"/>
        <color theme="0"/>
        <rFont val="Calibri"/>
        <family val="2"/>
      </rPr>
      <t>rea)</t>
    </r>
  </si>
  <si>
    <t>المواقف
(Parking)</t>
  </si>
  <si>
    <t>معيار المواقف
(Parking Standards)</t>
  </si>
  <si>
    <t>نسبة المكون من المساحة البنائية
(GBA-%)</t>
  </si>
  <si>
    <t>إجمالي المساحة البنائية للمكون 
(GBA)</t>
  </si>
  <si>
    <t>نسبة المساحات الصافية القابلة للبيع
  (NSA-%)</t>
  </si>
  <si>
    <t>المساحات الصافية القابلة للبيع
(NSA)</t>
  </si>
  <si>
    <t>مساحة الوحدة
(Unit Area)</t>
  </si>
  <si>
    <t>عدد الوحدات
(Number of Units)</t>
  </si>
  <si>
    <t>تكلفة متر البناء
 (Construction cost Per m²)</t>
  </si>
  <si>
    <t>اجمالي التكاليف
(Total Costs)</t>
  </si>
  <si>
    <t>صافي دخل كل مكون
(Net Income per Component)</t>
  </si>
  <si>
    <t>نسبة عائد كل مكون
(Return % per Component)</t>
  </si>
  <si>
    <t>أستوديوهات
(Studios)</t>
  </si>
  <si>
    <t>لا يــــنــطــبــق</t>
  </si>
  <si>
    <t>-</t>
  </si>
  <si>
    <t>لاند سكيب* 
(Landscape)</t>
  </si>
  <si>
    <t>بوديوم*
 (Podium)</t>
  </si>
  <si>
    <t>إجمالي المواقف المتوفرة
(Total Available Parking Spaces)</t>
  </si>
  <si>
    <t>من مساحة الأرض*
(Based on Land Area)</t>
  </si>
  <si>
    <t>إجمالي المواقف المطلوبة
(Total Required Parking Spaces)</t>
  </si>
  <si>
    <t xml:space="preserve">فارق المواقف
(Parking Deficit) </t>
  </si>
  <si>
    <t>Other Cost | التكاليف الأخرى</t>
  </si>
  <si>
    <t>المعيار
(Standard)</t>
  </si>
  <si>
    <t>التسوير 
 (Fencing)</t>
  </si>
  <si>
    <t>الحفر والمسح والاختبار 
 (Excavation, surveying, and testing)</t>
  </si>
  <si>
    <t>التأمين 
 (Insurance)</t>
  </si>
  <si>
    <t>الرخصة 
 (License)</t>
  </si>
  <si>
    <t>التصميم
(Design)</t>
  </si>
  <si>
    <t>أثاث الوحدات الفندقية 
 (Hotel Furniture Units)</t>
  </si>
  <si>
    <t>أثاث الوحدات
 (Furniture Units)</t>
  </si>
  <si>
    <t>رسوم الكهرباء 
 (Electricity fees)</t>
  </si>
  <si>
    <t>رسوم الماء وصرف الصحي 
 (Water and sewer fees)</t>
  </si>
  <si>
    <t>الفرز 
 (Sorting)</t>
  </si>
  <si>
    <t>الصيانة و التشغيل 
 (Maintenance and Operation)</t>
  </si>
  <si>
    <t>الاحتياطي 
 (Contingency)</t>
  </si>
  <si>
    <t>الإشراف الهندسي 
 (Engineering Supervision)</t>
  </si>
  <si>
    <t>إجمالي التكاليف الأخرى 
 (Total Other Cost)</t>
  </si>
  <si>
    <t>تفاصيل تكاليف الصندوق | Fund Cost Details</t>
  </si>
  <si>
    <t>تكاليف المطور 
 (Developer costs)</t>
  </si>
  <si>
    <t>رسوم الصندوق 
 (Fund fees)</t>
  </si>
  <si>
    <t>التكاليف الأخرى للصندوق
 (Other costs)</t>
  </si>
  <si>
    <t>الإجمالي
(Total)</t>
  </si>
  <si>
    <t>ملخص تكاليف المشروع | Project Costs</t>
  </si>
  <si>
    <t>اجمالي تكلفة الأرض
(Total Land Cost)</t>
  </si>
  <si>
    <t xml:space="preserve"> اجمالي تكلفة البناء
 (Total construction cost)</t>
  </si>
  <si>
    <t>Y1</t>
  </si>
  <si>
    <t>إجمالي التكاليف الأخرى 
 (Total other costs)</t>
  </si>
  <si>
    <t>Y2</t>
  </si>
  <si>
    <t>إجمالي تكلفة التطوير  
 (Total development cost)</t>
  </si>
  <si>
    <t>Y3</t>
  </si>
  <si>
    <t xml:space="preserve">إجمالي تكاليف الصندوق 
 (Total fund costs)  </t>
  </si>
  <si>
    <t>Y4</t>
  </si>
  <si>
    <t>Y5</t>
  </si>
  <si>
    <t>الملكية
(Equity)</t>
  </si>
  <si>
    <t>Y6</t>
  </si>
  <si>
    <t>التمويل | Finance</t>
  </si>
  <si>
    <t>التمويل المطلوب 
 (Required financing)</t>
  </si>
  <si>
    <t>الإطار الزمني | Time frame</t>
  </si>
  <si>
    <t>بالأشهر - Months</t>
  </si>
  <si>
    <t>ربع سنوي - Quarterly</t>
  </si>
  <si>
    <t>البيع المباشر | Direct Sale</t>
  </si>
  <si>
    <t>البيع على الخارطة | Off-Plan Sale</t>
  </si>
  <si>
    <t>عدد الوحدات
(Number of units)</t>
  </si>
  <si>
    <t>نسبة البيع
 (Selling-%)</t>
  </si>
  <si>
    <t>سعر بيع المتر 
(Sale Price per m²)</t>
  </si>
  <si>
    <t>قيمة الوحدة 
(Unit Value)</t>
  </si>
  <si>
    <t xml:space="preserve"> CAP-RATE | معدل الرسملة    </t>
  </si>
  <si>
    <t xml:space="preserve">  التأجير اليومي | Daily leasing</t>
  </si>
  <si>
    <t>عدد الوحدات
(Number Of Units)</t>
  </si>
  <si>
    <t>مساحة الوحدة
(Unit area)</t>
  </si>
  <si>
    <t>تأجير المتر
(Meter Rental)</t>
  </si>
  <si>
    <t>نسبة الإشغال
(Occupancy Rate)</t>
  </si>
  <si>
    <t>إجمالي إيرادات التأجير السنوي
(Total Annual Rental Revenue)</t>
  </si>
  <si>
    <r>
      <t>متوسط السعر اليومي للغرفة المشغولة
(</t>
    </r>
    <r>
      <rPr>
        <sz val="7"/>
        <color theme="5" tint="0.59999389629810485"/>
        <rFont val="Calibri"/>
        <family val="2"/>
      </rPr>
      <t>A</t>
    </r>
    <r>
      <rPr>
        <sz val="7"/>
        <color theme="0"/>
        <rFont val="Calibri"/>
        <family val="2"/>
      </rPr>
      <t xml:space="preserve">verage </t>
    </r>
    <r>
      <rPr>
        <sz val="7"/>
        <color theme="5" tint="0.59999389629810485"/>
        <rFont val="Calibri"/>
        <family val="2"/>
      </rPr>
      <t>D</t>
    </r>
    <r>
      <rPr>
        <sz val="7"/>
        <color theme="0"/>
        <rFont val="Calibri"/>
        <family val="2"/>
      </rPr>
      <t xml:space="preserve">aily </t>
    </r>
    <r>
      <rPr>
        <sz val="7"/>
        <color theme="5" tint="0.59999389629810485"/>
        <rFont val="Calibri"/>
        <family val="2"/>
      </rPr>
      <t>R</t>
    </r>
    <r>
      <rPr>
        <sz val="7"/>
        <color theme="0"/>
        <rFont val="Calibri"/>
        <family val="2"/>
      </rPr>
      <t>ate)</t>
    </r>
  </si>
  <si>
    <r>
      <t xml:space="preserve"> الإيراد الفعلي للوحدة السنوي
(</t>
    </r>
    <r>
      <rPr>
        <sz val="7"/>
        <color theme="5" tint="0.59999389629810485"/>
        <rFont val="Calibri"/>
        <family val="2"/>
      </rPr>
      <t>E</t>
    </r>
    <r>
      <rPr>
        <sz val="7"/>
        <color theme="0"/>
        <rFont val="Calibri"/>
        <family val="2"/>
      </rPr>
      <t xml:space="preserve">ffective </t>
    </r>
    <r>
      <rPr>
        <sz val="7"/>
        <color theme="5" tint="0.59999389629810485"/>
        <rFont val="Calibri"/>
        <family val="2"/>
      </rPr>
      <t>G</t>
    </r>
    <r>
      <rPr>
        <sz val="7"/>
        <color theme="0"/>
        <rFont val="Calibri"/>
        <family val="2"/>
      </rPr>
      <t xml:space="preserve">ross </t>
    </r>
    <r>
      <rPr>
        <sz val="7"/>
        <color theme="5" tint="0.59999389629810485"/>
        <rFont val="Calibri"/>
        <family val="2"/>
      </rPr>
      <t>I</t>
    </r>
    <r>
      <rPr>
        <sz val="7"/>
        <color theme="0"/>
        <rFont val="Calibri"/>
        <family val="2"/>
      </rPr>
      <t>ncome per Unit)</t>
    </r>
  </si>
  <si>
    <t>الإطار الزمني (بالسنوات) - Time frame (Years)</t>
  </si>
  <si>
    <t>المجموع</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</si>
  <si>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</si>
  <si>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</si>
  <si>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</si>
  <si>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</si>
  <si>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</si>
  <si>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</si>
  <si>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</si>
  <si>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</si>
  <si>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</si>
  <si>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</si>
  <si>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</si>
  <si>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</si>
  <si>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</si>
  <si>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</si>
  <si>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</si>
  <si>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</si>
  <si>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</si>
  <si>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</si>
  <si>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</si>
  <si>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</si>
  <si>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</si>
  <si>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</si>
  <si>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</si>
  <si>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</si>
  <si>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أصل التمويل 
(Principal)</t>
  </si>
  <si>
    <t>سداد أصل التمويل
 (Principal Repayment)</t>
  </si>
  <si>
    <t>رسوم الصندوق
 (Fund costs)</t>
  </si>
  <si>
    <t>البيع المباشر
(Direct Sale)</t>
  </si>
  <si>
    <t>المخارجة 
(Buyout)</t>
  </si>
  <si>
    <t>تكاليف مسطحات البناء
(Construction Costs)</t>
  </si>
  <si>
    <t>التدفقات النقدية الداخلة - (Cash Inflows)</t>
  </si>
  <si>
    <t>الإطار الزمني - Time frame</t>
  </si>
  <si>
    <t>القيمة الإجمالية
(Total Value)</t>
  </si>
  <si>
    <t>إجمالي إيرادات التأجير اليومي
(Total Daily Rental Revenue)</t>
  </si>
  <si>
    <t xml:space="preserve">المخارجة 
(Buyout) </t>
  </si>
  <si>
    <t>التدفقات النقدية الخارجة - (Cash Outflows)</t>
  </si>
  <si>
    <t>رسوم ترتيب التمويل 
(Arrangement Fee)</t>
  </si>
  <si>
    <t>تكلفة الأرض
 (Land Cost)</t>
  </si>
  <si>
    <t>تكاليف مسطحات البناء 
(Construction Costs)</t>
  </si>
  <si>
    <t>التسوير 
 (Fence - surrounding the land)</t>
  </si>
  <si>
    <t>الرخصة
 (License)</t>
  </si>
  <si>
    <t>التصميم
 (Design)</t>
  </si>
  <si>
    <t>أثاث الوحدات الفندقية 
 (Apartment furniture)</t>
  </si>
  <si>
    <t>أثاث الوحدات 
 (Apartment furniture)</t>
  </si>
  <si>
    <t>رسوم كهرباء 
 (Electricity fees)</t>
  </si>
  <si>
    <t>رسوم وافي
(Wafi Fees)</t>
  </si>
  <si>
    <t>تكاليف التشغيل والصيانة الخاصة بالإجار
(O&amp;M Costs for Leasing)</t>
  </si>
  <si>
    <t>التكاليف الأخرى للصندوق
(Other Fund Costs)</t>
  </si>
  <si>
    <t>تكاليف المطور 
(Developer costs)</t>
  </si>
  <si>
    <t xml:space="preserve"> صافي التدفق النقدي
(Net cash flow)</t>
  </si>
  <si>
    <t>إجمالي الإرادات
(Total Revenue)</t>
  </si>
  <si>
    <t>المؤشرات المالية | Financial Indicators</t>
  </si>
  <si>
    <r>
      <t xml:space="preserve">  العائد على الملكية السنوي
</t>
    </r>
    <r>
      <rPr>
        <sz val="8"/>
        <color rgb="FFC65911"/>
        <rFont val="Calibri"/>
        <family val="2"/>
      </rPr>
      <t>(ROE Annually)</t>
    </r>
  </si>
  <si>
    <t>متشائم
(Pessimistic)</t>
  </si>
  <si>
    <t>منخفض
(Low)</t>
  </si>
  <si>
    <t>متوسط
(Normal)</t>
  </si>
  <si>
    <t>متفائل 
(Optimistic)</t>
  </si>
  <si>
    <t>متفائل جداً 
(Very optimistic)</t>
  </si>
  <si>
    <t>جدول التسهيلات المصرفية | Bank Facilities Table</t>
  </si>
  <si>
    <t>الإطار الزمني
(Time frame)</t>
  </si>
  <si>
    <t>إجمالي مبلغ التمويل</t>
  </si>
  <si>
    <t>إجمالي الفوائد</t>
  </si>
  <si>
    <t>البيع على  الخارطة | Off-Plan Sale</t>
  </si>
  <si>
    <t>عدد الوحدات المباعة خلال الفترة 
 (Number of Units Sold During the Period)</t>
  </si>
  <si>
    <t>إجمالي تكاليف مسطحات البناء
(Total Construction Costs)</t>
  </si>
  <si>
    <t>نسب الإنجاز - ربع سنوي 
 (Progress Percentage Quarterly)</t>
  </si>
  <si>
    <t>نسبة الإنجاز التراكمية 
 (Cumulative Progress Percentage)</t>
  </si>
  <si>
    <t>إجمالي قيمة أستقطاع الضمان
(Total Retention Guarantee Amount)</t>
  </si>
  <si>
    <t>صافي القيمة بعد استقطاع البنود بالأعلى 
 (Net Value After Deducting the Above Items)</t>
  </si>
  <si>
    <t>حساب الضمان
(Escrow Account)</t>
  </si>
  <si>
    <t>دفعات مراحل الإنجاز
(Milestone Payments)</t>
  </si>
  <si>
    <t>ملخص البيع على الخارطة | Off-Plan Sale Summary</t>
  </si>
  <si>
    <t>عدد الوحدات المباعة
(Number of Units Sold)</t>
  </si>
  <si>
    <t>متوسط سعر بيع الوحدة
(Average Units Sales Value)</t>
  </si>
  <si>
    <t>إجمالي قيمة رسوم وافي
(Total Wafi Fees)</t>
  </si>
  <si>
    <t xml:space="preserve"> التمويل البنكي - (Bank Financing)</t>
  </si>
  <si>
    <t>الإجمالي - (Total)</t>
  </si>
  <si>
    <r>
      <t>إجمالي الربح التشغيلي
(</t>
    </r>
    <r>
      <rPr>
        <sz val="8"/>
        <color theme="5" tint="0.59999389629810485"/>
        <rFont val="Calibri"/>
        <family val="2"/>
      </rPr>
      <t>G</t>
    </r>
    <r>
      <rPr>
        <sz val="8"/>
        <color theme="0"/>
        <rFont val="Calibri"/>
        <family val="2"/>
      </rPr>
      <t xml:space="preserve">ross </t>
    </r>
    <r>
      <rPr>
        <sz val="8"/>
        <color theme="5" tint="0.59999389629810485"/>
        <rFont val="Calibri"/>
        <family val="2"/>
      </rPr>
      <t>O</t>
    </r>
    <r>
      <rPr>
        <sz val="8"/>
        <color theme="0"/>
        <rFont val="Calibri"/>
        <family val="2"/>
      </rPr>
      <t xml:space="preserve">perating </t>
    </r>
    <r>
      <rPr>
        <sz val="8"/>
        <color theme="5" tint="0.59999389629810485"/>
        <rFont val="Calibri"/>
        <family val="2"/>
      </rPr>
      <t>P</t>
    </r>
    <r>
      <rPr>
        <sz val="8"/>
        <color theme="0"/>
        <rFont val="Calibri"/>
        <family val="2"/>
      </rPr>
      <t>rofit)</t>
    </r>
  </si>
  <si>
    <r>
      <t>إجمالي الربح التشغيلي
(</t>
    </r>
    <r>
      <rPr>
        <sz val="7"/>
        <color theme="5" tint="0.59999389629810485"/>
        <rFont val="Calibri"/>
        <family val="2"/>
      </rPr>
      <t>G</t>
    </r>
    <r>
      <rPr>
        <sz val="7"/>
        <color theme="0"/>
        <rFont val="Calibri"/>
        <family val="2"/>
      </rPr>
      <t xml:space="preserve">ross </t>
    </r>
    <r>
      <rPr>
        <sz val="7"/>
        <color theme="5" tint="0.59999389629810485"/>
        <rFont val="Calibri"/>
        <family val="2"/>
      </rPr>
      <t>O</t>
    </r>
    <r>
      <rPr>
        <sz val="7"/>
        <color theme="0"/>
        <rFont val="Calibri"/>
        <family val="2"/>
      </rPr>
      <t xml:space="preserve">perating </t>
    </r>
    <r>
      <rPr>
        <sz val="7"/>
        <color theme="5" tint="0.59999389629810485"/>
        <rFont val="Calibri"/>
        <family val="2"/>
      </rPr>
      <t>P</t>
    </r>
    <r>
      <rPr>
        <sz val="7"/>
        <color theme="0"/>
        <rFont val="Calibri"/>
        <family val="2"/>
      </rPr>
      <t>rofit)</t>
    </r>
  </si>
  <si>
    <t>البيع على الخارطة
(Off-Plan Sale)</t>
  </si>
  <si>
    <t>التأجير السنوي | Annual Leasing</t>
  </si>
  <si>
    <t xml:space="preserve"> إيرادات التأجير السنوي
 (Annual Leasing income)</t>
  </si>
  <si>
    <t>إيرادات التأجير اليومي 
(Daily leasing income)</t>
  </si>
  <si>
    <t>أصل التمويل
(Principal)</t>
  </si>
  <si>
    <t>حجم التمويل للفترة - (Principal amount for the period)</t>
  </si>
  <si>
    <t xml:space="preserve">سكني </t>
  </si>
  <si>
    <t>فلل</t>
  </si>
  <si>
    <t>تاون هاوس</t>
  </si>
  <si>
    <t>أدوار</t>
  </si>
  <si>
    <t>أستوديوهات</t>
  </si>
  <si>
    <t>تجاري</t>
  </si>
  <si>
    <t>فندقي</t>
  </si>
  <si>
    <t>صحي</t>
  </si>
  <si>
    <t>شاليهات</t>
  </si>
  <si>
    <t>ضريبة التصرفات العقارية
(RETT)</t>
  </si>
  <si>
    <t>السعي
(Commission)</t>
  </si>
  <si>
    <t>ضريبة السعي
(Commission tax)</t>
  </si>
  <si>
    <t>قيمة بيع الوحدات
(Units Sales Value)</t>
  </si>
  <si>
    <t>المساحات الحركية والخدمية
(Circulation &amp; Service Areas)</t>
  </si>
  <si>
    <t xml:space="preserve">SR </t>
  </si>
  <si>
    <t xml:space="preserve">Total Funding الإجمالي </t>
  </si>
  <si>
    <t xml:space="preserve">SR/B.sqm </t>
  </si>
  <si>
    <t>التمويل</t>
  </si>
  <si>
    <t>مصادر أخرى</t>
  </si>
  <si>
    <t>Summary | ملخص</t>
  </si>
  <si>
    <t>Capital Structure | هيكل رأس المال</t>
  </si>
  <si>
    <t>Cost Breakdown | توزيع التكلفة</t>
  </si>
  <si>
    <t xml:space="preserve"> جدول تحليل الحساسية | Sensitivity Analysis Table</t>
  </si>
  <si>
    <t>العائد على الإستثمار
ROI</t>
  </si>
  <si>
    <t xml:space="preserve">العائد على الملكية
ROE </t>
  </si>
  <si>
    <t xml:space="preserve">العائد على الملكية سنوياَ
ROE Annualy </t>
  </si>
  <si>
    <t>إجمالي تكلفة الأرض بعد الضرائب - (Tota Land Cost After TAX)</t>
  </si>
  <si>
    <t>ضريبة التصرفات العقارية - (RETT)</t>
  </si>
  <si>
    <t xml:space="preserve">(Development) - التطوير </t>
  </si>
  <si>
    <t xml:space="preserve">Marketing (RASF) - التسويق </t>
  </si>
  <si>
    <t>(TotaI Fund expenses) - إجمالي تكاليف الصندوق</t>
  </si>
  <si>
    <t>التكاليف الأخرى للصندوق - (Other costs)</t>
  </si>
  <si>
    <t>Total Costs - إجمالي التكاليف</t>
  </si>
  <si>
    <t>إجمالي الإيرادات - (Total Revenue)</t>
  </si>
  <si>
    <t>(Land Cost Before TAX) - تكلفة الأرض قبل الضرائب</t>
  </si>
  <si>
    <t>(Hard Cost - Construction) - تكلفة البناء</t>
  </si>
  <si>
    <t>Soft Costs (Fees,Consultants, Insurance, Permits, Overheads etc) - التكاليف الأخرى</t>
  </si>
  <si>
    <t>إجمالي تكاليف التمويل - (Total Financing Costs)</t>
  </si>
  <si>
    <t xml:space="preserve">تكلفة الأرض قبل الضرائب
(Land Cost Before Taxes) </t>
  </si>
  <si>
    <t>إجمالي تكلفة الأرض بعد الضرائب 
 (Total Land Cost After Taxes)</t>
  </si>
  <si>
    <t>(Area) - المساحة</t>
  </si>
  <si>
    <t>(SR/m²) - ر.س/م²</t>
  </si>
  <si>
    <t>نسبة الارتفاع او الانخفاض 
 (Rate of Increase or Decrease)</t>
  </si>
  <si>
    <t>وقت البيع</t>
  </si>
  <si>
    <t>الفارق</t>
  </si>
  <si>
    <t>وقت الشراء</t>
  </si>
  <si>
    <t>اشتراكات نقدية</t>
  </si>
  <si>
    <t>اشتراكات المطور</t>
  </si>
  <si>
    <t>مكتبي 
(Office)</t>
  </si>
  <si>
    <t xml:space="preserve"> التفاصيل الفنية و المالية لجميع للمكونات | Technical and Financial Details For All Components</t>
  </si>
  <si>
    <t>نسبة فوائد التمويل السنوية
 (Annual Interest)</t>
  </si>
  <si>
    <t>حجم التمويل للفترة 
 (Principal amount for the period)</t>
  </si>
  <si>
    <t>أصل التمويل 
 (Principal)</t>
  </si>
  <si>
    <t>فوائد التمويل 
(Interest)</t>
  </si>
  <si>
    <t xml:space="preserve">فوائد التمويل + رسوم ترتيب التمويل 
(Arrangement Fee + Interest) </t>
  </si>
  <si>
    <t>رسوم وافي 
 (Wafi fees)</t>
  </si>
  <si>
    <t>تسويق البيع على الخارطة
 (Off-Plan Sales Marketing)</t>
  </si>
  <si>
    <t>ضريبة التصرفات العقارية + السعي + ضريبة السعي 
-
(RETT + Commission + Commission tax)</t>
  </si>
  <si>
    <t>المجموع بناء على التدفقات النقدية
(Total Based on Cash Flows)</t>
  </si>
  <si>
    <t>صافي المبيعات على الخارطة 
 (Net Off-Plan Sales)</t>
  </si>
  <si>
    <t>قيمة أستقطاع الضمان 
(Retention Guarantee Amount)</t>
  </si>
  <si>
    <t>اجمالي المبيعات
(Total Sales)</t>
  </si>
  <si>
    <t>مكتبي</t>
  </si>
  <si>
    <t>مدة المشروع المتوقعة - سنوي
  (Estimated Project Duration - Years)</t>
  </si>
  <si>
    <t>النسب المئوية للتدفقات النقدية
(Percentage Breakdown of Cash Flows)</t>
  </si>
  <si>
    <t>جـــــــــدول تفاصيل التدفـــــــــــــقات النقديــــــــــــــــــــــــة | Cash Flow Details</t>
  </si>
  <si>
    <t>إجمالي إيرادات البيع على الخارطة
(Total Off-Plan Sales Revenue)</t>
  </si>
  <si>
    <t>تكاليف المحاسب القانوني المعتمد
(Certified Accountant Fees)</t>
  </si>
  <si>
    <t>أتعاب المكتب الاستشاري الهندسي
(Engineering Supervision Fees)</t>
  </si>
  <si>
    <t>أتعاب المحاسب القانوني والاستشاري الهندسي
(Certified Accountant &amp; Engineering Supervision Fees)</t>
  </si>
  <si>
    <t>الملكية</t>
  </si>
  <si>
    <t>صافي المبيعات على الخارطة
 (Net Off-Plan Sales)</t>
  </si>
  <si>
    <r>
      <t>التكاليف التشغيلية
(</t>
    </r>
    <r>
      <rPr>
        <sz val="8"/>
        <color theme="5" tint="0.59999389629810485"/>
        <rFont val="Calibri"/>
        <family val="2"/>
      </rPr>
      <t>Op</t>
    </r>
    <r>
      <rPr>
        <sz val="8"/>
        <color theme="0"/>
        <rFont val="Calibri"/>
        <family val="2"/>
      </rPr>
      <t xml:space="preserve">erating </t>
    </r>
    <r>
      <rPr>
        <sz val="8"/>
        <color theme="5" tint="0.59999389629810485"/>
        <rFont val="Calibri"/>
        <family val="2"/>
      </rPr>
      <t>Ex</t>
    </r>
    <r>
      <rPr>
        <sz val="8"/>
        <color theme="0"/>
        <rFont val="Calibri"/>
        <family val="2"/>
      </rPr>
      <t>penditures)</t>
    </r>
  </si>
  <si>
    <t xml:space="preserve"> إجمالي التمويل البنكي
 (Total Bank Financing)</t>
  </si>
  <si>
    <t>تمويل تشغيلي خارج هيكل رأس المال - (Off-Capital-Structure Operational Financing)</t>
  </si>
  <si>
    <t>إجمالي التمويل التشغيلي 
 (Total Operational Financing)</t>
  </si>
  <si>
    <t>إجمالي التكاليف التشغيلية
(Total Operating Expenses)</t>
  </si>
  <si>
    <t>قيم الدفعات الأولى
(Down Payments)</t>
  </si>
  <si>
    <t>إجمالي التكاليف الرأسمالية للمشروع
(Total Capital Expenditures)</t>
  </si>
  <si>
    <t xml:space="preserve">قيم الدفعات الأولى + دفعات مراحل الإنجاز
(Down Payments) + (Milestone Payments) </t>
  </si>
  <si>
    <t>إجمالي التكاليف الرأسمالية للمشروع + إجمالي التكاليف التشغيلية
(Total Capital Expenditures) + (Total Operating Expenses)</t>
  </si>
  <si>
    <t>التكاليف التشغيلية والإدارية
(Operating &amp; Administrative Costs)</t>
  </si>
  <si>
    <t>توزيع تكاليف الأرض</t>
  </si>
  <si>
    <t xml:space="preserve"> تكاليف البناء</t>
  </si>
  <si>
    <t>توزيع تكاليف اللاندسكيب</t>
  </si>
  <si>
    <t>توزيع تكاليف البوديم و القبو</t>
  </si>
  <si>
    <t>توزيع تكاليف الحفر والمسح و الاختبار</t>
  </si>
  <si>
    <t>توزيع تكاليف المساحات الحركية والخدمية</t>
  </si>
  <si>
    <t>توزيع التكاليف الأخرى</t>
  </si>
  <si>
    <t>توزيع تكاليف التمويل</t>
  </si>
  <si>
    <t>توزيع تكاليف الصندوق</t>
  </si>
  <si>
    <t>إجمالي تكاليف كل مكون</t>
  </si>
  <si>
    <t>توزيع التكلفة على المساحات الصافية القابلة للبيع</t>
  </si>
  <si>
    <t>نسبة تكاليف كل مكون من إجمالي المشروع</t>
  </si>
  <si>
    <t>إجمالي إيراد كل مكون</t>
  </si>
  <si>
    <t>صافي العائد لكل م² بيعي</t>
  </si>
  <si>
    <t>صافي دخل كل مكون</t>
  </si>
  <si>
    <t>نسبة صافي دخل كل مكون</t>
  </si>
  <si>
    <t xml:space="preserve">المكون
</t>
  </si>
  <si>
    <t>استديوهات</t>
  </si>
  <si>
    <t xml:space="preserve">فندقي </t>
  </si>
  <si>
    <t xml:space="preserve">صحي </t>
  </si>
  <si>
    <t>الإجمالي</t>
  </si>
  <si>
    <t>فترة استرداد رأس المال - بالسنوات
(Payback Period - in Years)</t>
  </si>
  <si>
    <t xml:space="preserve">مكتبي </t>
  </si>
  <si>
    <t>عدد الوحدات المشغولة - سنوي
(Number of Occupied Units - Annually)</t>
  </si>
  <si>
    <t>نسبة العائد على التكلفة لكل م²‌ بيعي
(Return on Cost per Sellable m²)</t>
  </si>
  <si>
    <t>العائد على التكلفة - سنوي
(Return on Cost - Annual)</t>
  </si>
  <si>
    <t>قيمة الوحدة
(Units Value)</t>
  </si>
  <si>
    <t>المؤشر الإرشادي لتسعير المتر التأجيري
(Estimated Rental Price Index per m²)</t>
  </si>
  <si>
    <t xml:space="preserve">قيمة تأجير الوحدة السنوي
(Annual Unit Rental Value) </t>
  </si>
  <si>
    <t>جدول المؤشرات العامة للمشروع | General Project Indicators Table</t>
  </si>
  <si>
    <t>مؤشرات التكاليف والكفاءة
(Costs &amp; Efficiency Indicators)</t>
  </si>
  <si>
    <t>إجمالي التكاليف غير المباشرة
(Total Indirect Costs)</t>
  </si>
  <si>
    <t>كفاءة المساحة البيعية من المساحات المبنية فوق الأرض
 (Saleable Efficiency Ratio of Above-Ground Built-Up Area)</t>
  </si>
  <si>
    <t>قيمة ونسبة تمويل مبيعات الخارطة من تكاليف المشروع خلال فترة البيع
(Value and % of Off-Plan Sales Financing for Project Costs During Sales Period)</t>
  </si>
  <si>
    <t>تكلفة متر الأرض شاملة الضريبة والسعي
(Land Cost per m² - Including Tax and Commission)</t>
  </si>
  <si>
    <t>الحدود المرجعية أو المثلى للمؤشرات
(Reference Ranges for Indicators)</t>
  </si>
  <si>
    <t>غالبًا تمثل 70% – 85% من إجمالي التكاليف</t>
  </si>
  <si>
    <t>من 10% إلى 25% غالبًا</t>
  </si>
  <si>
    <t>من 5% – 12% حسب مدة التمويل والفوائد</t>
  </si>
  <si>
    <t>تتراوح من 1% – 7% حسب شروط الصندوق</t>
  </si>
  <si>
    <t>المستهدف المثالي ≥ 70%
(الممتاز يتجاوز 75–80%)</t>
  </si>
  <si>
    <t>مثالي إن كان بين 20% إلى 35%
(أقل من 15% يُعد ضعيف، وأكثر من 40% نادر وممتاز)</t>
  </si>
  <si>
    <t>يفضل أن يكون ≤ 1.5
(كلما ارتفع زادت المخاطرة)</t>
  </si>
  <si>
    <t>المستهدف الجيد ≥ 20%
(بمعنى أن القيمة السوقية أعلى بـ 20% من التكلفة)</t>
  </si>
  <si>
    <t>من 10% إلى 40% خلال 3–5 سنوات يعتبر جيد</t>
  </si>
  <si>
    <t>توزيع تكاليف مكونات البيع على الخارطة</t>
  </si>
  <si>
    <t xml:space="preserve">سكني
(بيع على الخارطة) </t>
  </si>
  <si>
    <t>فلل
(بيع على الخارطة)</t>
  </si>
  <si>
    <t>تاون هاوس
(بيع على الخارطة)</t>
  </si>
  <si>
    <t>أدوار
(بيع على الخارطة)</t>
  </si>
  <si>
    <t>استديوهات
(بيع على الخارطة)</t>
  </si>
  <si>
    <t xml:space="preserve">مكتبي
(بيع على الخارطة) </t>
  </si>
  <si>
    <t>تجاري
(بيع على الخارطة)</t>
  </si>
  <si>
    <t xml:space="preserve">فندقي
(بيع على الخارطة) </t>
  </si>
  <si>
    <t xml:space="preserve">صحي
(بيع على الخارطة) </t>
  </si>
  <si>
    <t>شاليهات
(بيع على الخارطة)</t>
  </si>
  <si>
    <t>نسبة بيع المكون على الخارطة من الإجمالي</t>
  </si>
  <si>
    <t>توزيع التكاليف التشغيلية</t>
  </si>
  <si>
    <t>توزيع تكاليف أخرى إضافية</t>
  </si>
  <si>
    <t>نسب التكاليف السابقة من التكاليف الكلية</t>
  </si>
  <si>
    <t>نسب التكاليف السابقة من التكاليف الموجودة بالجدول</t>
  </si>
  <si>
    <t>تكاليف بيع الخارطة</t>
  </si>
  <si>
    <t>نسبة تزيع تكاليف اللاند سكيب</t>
  </si>
  <si>
    <t>نسب المكونات من البيع المباشر أو المخارجة من الإجمالي</t>
  </si>
  <si>
    <t>هامش الربح من إجمالي الإرادات</t>
  </si>
  <si>
    <t>توزيع تكاليف المشروع على مكونات البيع المباشر و التأجير السنوي و اليومي</t>
  </si>
  <si>
    <t>إجمالي توزيع التكاليف على جميع المكونات</t>
  </si>
  <si>
    <t>توزيع التكلفة على الأمتار البيعية</t>
  </si>
  <si>
    <t>سعر المتر</t>
  </si>
  <si>
    <t>فترة الأسترداد - بالسنوات</t>
  </si>
  <si>
    <t>سعر المتر بناءً على فترة الاسترداد - (التأجير السنوي)</t>
  </si>
  <si>
    <t>سعر المتر بناءً على فترة الاسترداد - (التأجير اليومي)</t>
  </si>
  <si>
    <t>نسبة صافي دخل كل مكون من إجمالي صافي دخل المشروع</t>
  </si>
  <si>
    <t>العائد النسبي للمكون</t>
  </si>
  <si>
    <t>إجمالي التكاليف المباشرة
(Total Direct Costs)</t>
  </si>
  <si>
    <t>متوسط قيمة و نسبة الربح لكل م²
(Average Profit Value and % per m²)</t>
  </si>
  <si>
    <t>مؤشرات التمويل والمخاطر | Financing &amp; Risk Indicators</t>
  </si>
  <si>
    <t>مؤشرات الأرض والزمن | Land &amp; Time Indicators</t>
  </si>
  <si>
    <t>توزيع الأرباح | Profit Distribution</t>
  </si>
  <si>
    <t>نسبة المساهمة من إجمالي الملكية
(Equity Ownership Percentage)</t>
  </si>
  <si>
    <t>المستفيد
(Beneficiaries)</t>
  </si>
  <si>
    <t>صافي الربح للمستفيدين
(Net Profit for Beneficiaries)</t>
  </si>
  <si>
    <t>نقطة التعادل - عدد الأمتار البيعية اللازمة لتغطية التكاليف
(Sellable Area Required for Cost Recovery)</t>
  </si>
  <si>
    <t>نسب المكون من البيع المباشر أو المخارجة من الإجمالي</t>
  </si>
  <si>
    <t>بين (50%) و (70%) = طبيعي
أقل من (50%) = منخفض (اعتماد كبير على تمويل ذاتي)
أكثر من (70%) = مرتفع (مخاطرة عالية على البنك)</t>
  </si>
  <si>
    <t>من 15% إلى 25% من إجمالي التكاليف غالبًا</t>
  </si>
  <si>
    <t>غالبًا بين 10% – 20%</t>
  </si>
  <si>
    <t xml:space="preserve">اسم المشروع </t>
  </si>
  <si>
    <t>حالة المشروع</t>
  </si>
  <si>
    <t>مرحلة توقيع العقود</t>
  </si>
  <si>
    <t>تاريخ الانتهاء المتوقع</t>
  </si>
  <si>
    <t>اشتراكات رصف</t>
  </si>
  <si>
    <t>مبلغ الاشتراك</t>
  </si>
  <si>
    <t>الآلية</t>
  </si>
  <si>
    <t>ملاحظات</t>
  </si>
  <si>
    <t>الحصة العينية من التطوير</t>
  </si>
  <si>
    <t>استثمار عيني</t>
  </si>
  <si>
    <t>الحصة العينية من المقاولات</t>
  </si>
  <si>
    <t>الحصة من فارق قيمة الأرض</t>
  </si>
  <si>
    <t>اشتراكات نقدية / مصاريف سابقة</t>
  </si>
  <si>
    <t>مستثمرين رصف</t>
  </si>
  <si>
    <t>الاجمالي</t>
  </si>
  <si>
    <t>?</t>
  </si>
  <si>
    <t>الطبيعي من 1 إلى 1.5 سنوات</t>
  </si>
  <si>
    <t>مدة البيع - بالسنوات (غير شامل بيع الخارطة)
 (Sales Duration – Years)</t>
  </si>
  <si>
    <t>هامش الأمان
(Safety Margin)</t>
  </si>
  <si>
    <t>مؤشر المخاطر التمويلية
(Leverage Risk Indicator)</t>
  </si>
  <si>
    <t>القيم والنسب الخاصة بالتمويل البنكي
(Bank Financing Limits &amp; Conditions)</t>
  </si>
  <si>
    <t>نسبة صافي الربح من الإيرادات
(Net Profit as % of Revenues)</t>
  </si>
  <si>
    <t>العائد على المتر البيعي (شامل عوائد الإيجار)
(Total Return per Saleable m² including Rental Income)</t>
  </si>
  <si>
    <t>إجمالي قيمة ونسبة تكاليف الصندوق من إجمالي تكاليف المشروع
(Fund Management Cost as Value and % of Total Project Cost)</t>
  </si>
  <si>
    <t>إجمالي قيمة ونسبة تكاليف فوائد التمويل من إجمالي تكاليف المشروع
(Financing Interest as Value and % of Total Project Cost)</t>
  </si>
  <si>
    <t>إجمالي قيمة ونسبة التكاليف الأخرى من إجمالي تكاليف المشروع
(Other Costs as % of Total Project Cost)</t>
  </si>
  <si>
    <t>إجمالي قيمة ونسبة تكاليف البناء من إجمالي تكاليف المشروع
(Construction Cost as Value and % of Total Project Cost)</t>
  </si>
  <si>
    <t>إجمالي قيمة ونسبة تكاليف الأرض من إجمالي تكاليف المشروع
(Land Cost as Value and %  of Total Project Cost)</t>
  </si>
  <si>
    <t>إجمالي التكاليف التشغيلية
(Total Operating Costs)</t>
  </si>
  <si>
    <t>التكلفة لكل م² من إجمالي المساحات القابلة للبيع
(Cost per m² of Saleable Area)</t>
  </si>
  <si>
    <t>التكلفة لكل م² من إجمالي المساحات التطويرية
(Cost per m² of Total Built-Up Area)</t>
  </si>
  <si>
    <t>سعر متر الأرض عند البيع
(Land Price per m² at Sale)</t>
  </si>
  <si>
    <t>قيمة ارتفاع سعر متر الأرض عند البيع
(Land Price Appreciation Value)</t>
  </si>
  <si>
    <t>نسبة ارتفاع سعر متر الأرض
(Land Price Appreciation Rate)</t>
  </si>
  <si>
    <t xml:space="preserve"> الاشتراكات النقدية
(Cash Subscription)</t>
  </si>
  <si>
    <t xml:space="preserve"> الاشتراك من مدير الصندوق
(fund manager's Subscription)</t>
  </si>
  <si>
    <t xml:space="preserve"> الإشتراك العيني من مالك الأرض
(In-Kind Subscription from Landowner)</t>
  </si>
  <si>
    <t>مؤشرات الإيرادات والربحية | Revenue &amp; Profitability Indicators</t>
  </si>
  <si>
    <t>العمولات 2.5% من المبيعات</t>
  </si>
  <si>
    <t>نسبة رصف من المستثمرين</t>
  </si>
  <si>
    <t>نسبة الحصة</t>
  </si>
  <si>
    <t>تسويق المبيعات
 (Sales Marketing)</t>
  </si>
  <si>
    <t>تسويق التأجير
(Leasing Marketing)</t>
  </si>
  <si>
    <t>نسبة إيرادات الأنشطة الإضافية
(Ancillary Revenue)</t>
  </si>
  <si>
    <t>من 30% إلى 60% من التكاليف أثناء البيع يعتبر جيد جداً</t>
  </si>
  <si>
    <t>البيع على الخارطة</t>
  </si>
  <si>
    <t>رسوم ترتيب القرض 
 (Loan Arrangement Fees)</t>
  </si>
  <si>
    <t>رسوم إدارة الهيكل 
 (Structure Management Fees)</t>
  </si>
  <si>
    <t>رسوم إدارة الأصول
 (Asset Management Fees)</t>
  </si>
  <si>
    <t>أتعاب المشغل
 (Operator Fees)</t>
  </si>
  <si>
    <t>Study</t>
  </si>
  <si>
    <t>التاريخ
(Date)</t>
  </si>
  <si>
    <t>محتويات الدراسة
(Study Contents)</t>
  </si>
  <si>
    <t>------------------------------------</t>
  </si>
  <si>
    <t>تفاصيل الدراسة
(Study Details)</t>
  </si>
  <si>
    <t>نسبة توزيع تكاليف اللاندسكيب</t>
  </si>
  <si>
    <t>المؤشر الإرشادي لتسعير الوحدة اليومي
(Estimated Rental Price Index per Units)</t>
  </si>
  <si>
    <t>Fund Fees | رسوم الصندوق</t>
  </si>
  <si>
    <t>عدد الدفعات
(Number of Payments)</t>
  </si>
  <si>
    <t>مراحل المشروع
(Project stages)</t>
  </si>
  <si>
    <t>تكاليف البناء
(Construction Costs)</t>
  </si>
  <si>
    <t>البداية
(Start)</t>
  </si>
  <si>
    <t>النهاية
(End)</t>
  </si>
  <si>
    <t>رصف للاستثمار | RASF Investment</t>
  </si>
  <si>
    <t>الفترة الزمنية - شهري
(Duration - Months)</t>
  </si>
  <si>
    <t>الفترة الزمنية - بالأيام
(Duration - Days)</t>
  </si>
  <si>
    <t>مدة المشروع المتوقعة | Estimated Project Duration</t>
  </si>
  <si>
    <t>سنة - Years</t>
  </si>
  <si>
    <t xml:space="preserve">  إجمالي تكاليف المشروع 
 (Total Project Costs)</t>
  </si>
  <si>
    <t>إجمالي رسوم الصندوق
 (Total Fund fees)</t>
  </si>
  <si>
    <t>نسبة فوائد التمويل الربعية
 (QER)</t>
  </si>
  <si>
    <t>برج جدة</t>
  </si>
  <si>
    <t>إتقان</t>
  </si>
  <si>
    <t>الحصة من المقاولات</t>
  </si>
  <si>
    <t>الحصة من التطوير</t>
  </si>
  <si>
    <t>صافي الربح</t>
  </si>
  <si>
    <t>بيع على الخارطة + بيع مباشر + مخارجة</t>
  </si>
  <si>
    <t>إجمالي رصف</t>
  </si>
  <si>
    <t>مبلغ الاشتراك + صافي الربح</t>
  </si>
  <si>
    <t>اسم الصندوق
(fund Name)</t>
  </si>
  <si>
    <t>Fund Revenue | إيرادات الصندوق</t>
  </si>
  <si>
    <t>(Commissions) - السعي</t>
  </si>
  <si>
    <t xml:space="preserve">(Commission Tax) - ضريبة السعي </t>
  </si>
  <si>
    <t>رسوم الصندوق  - (Fund fees)</t>
  </si>
  <si>
    <t>الفترة الزمنية - ربعي
(Duration - Quarterly)</t>
  </si>
  <si>
    <t>رخصة البناء و التصميم
 (Design &amp; License)</t>
  </si>
  <si>
    <t>الأثاث 
 (furniture)</t>
  </si>
  <si>
    <t>الخدمات
(Infrastructure services)</t>
  </si>
  <si>
    <t>إيرادات التأجير
(Rental Revenue)</t>
  </si>
  <si>
    <t xml:space="preserve"> الاشتراكات النقدية</t>
  </si>
  <si>
    <t xml:space="preserve"> الاشتراك من مدير الصندوق</t>
  </si>
  <si>
    <t>الأشتراك النقدي من المطور</t>
  </si>
  <si>
    <t>الأشتراك العيني من المطور</t>
  </si>
  <si>
    <t xml:space="preserve"> الإشتراك العيني من مالك الأرض</t>
  </si>
  <si>
    <t xml:space="preserve"> التمويل البنكي</t>
  </si>
  <si>
    <r>
      <t xml:space="preserve">NSA.m² | Net Sellable Area|TDA.m² | </t>
    </r>
    <r>
      <rPr>
        <sz val="12"/>
        <color theme="0"/>
        <rFont val="Calibri"/>
        <family val="2"/>
      </rPr>
      <t>Total Development Area</t>
    </r>
    <r>
      <rPr>
        <sz val="14"/>
        <color theme="0"/>
        <rFont val="Calibri"/>
        <family val="2"/>
      </rPr>
      <t xml:space="preserve">|LA.m² | Total Land Area 
NSA.m² | </t>
    </r>
    <r>
      <rPr>
        <sz val="11"/>
        <color theme="0"/>
        <rFont val="Calibri"/>
        <family val="2"/>
      </rPr>
      <t>المساحات الصافية القابلة للبيع</t>
    </r>
    <r>
      <rPr>
        <sz val="14"/>
        <color theme="0"/>
        <rFont val="Calibri"/>
        <family val="2"/>
      </rPr>
      <t xml:space="preserve"> |TDA.m² | إجمالي المساحة التطويرية | LA.m² | مساحة الأرض الإجمالية </t>
    </r>
  </si>
  <si>
    <t>Values shown are SAR except where stated | القيم المعروضة هي بالريال سعودي باستثناء ما هو مذكور</t>
  </si>
  <si>
    <t>إجمالي تكاليف كل مكون
(Total cost per component)</t>
  </si>
  <si>
    <t>صافي العائد لكل م² بيعي
(Net return per NSA.m²)</t>
  </si>
  <si>
    <t>نمو قيمة الأرض للمتر -  Land Value Uplift per SQM</t>
  </si>
  <si>
    <r>
      <rPr>
        <b/>
        <u/>
        <sz val="12"/>
        <color theme="0"/>
        <rFont val="Calibri"/>
        <family val="2"/>
      </rPr>
      <t>Legal Disclaimer and Warning:</t>
    </r>
    <r>
      <rPr>
        <b/>
        <u/>
        <sz val="10"/>
        <color theme="0"/>
        <rFont val="Calibri"/>
        <family val="2"/>
      </rPr>
      <t xml:space="preserve">
</t>
    </r>
    <r>
      <rPr>
        <sz val="8"/>
        <color theme="0"/>
        <rFont val="Calibri"/>
        <family val="2"/>
      </rPr>
      <t xml:space="preserve">
This financial model is confidential property of Rasf Investment, and all rights are fully reserved.
It has been shared with you for a specific and authorized purpose only.
Any copying, sharing, modification, or use of this file for any other purpose without prior written consent from Rasf Investment
 is strictly prohibited.
If such unauthorized use occurs, legal action will be taken against you in a court of law.</t>
    </r>
  </si>
  <si>
    <t>أهــــــــــــــــــم مؤشــــــــرات الدراســــــــــة</t>
  </si>
  <si>
    <t>مرة واحدة
(One Time)</t>
  </si>
  <si>
    <t>نصف سنوي
(Semi-Annually)</t>
  </si>
  <si>
    <t>رخصة البناء و التصميم
(Design &amp; License)</t>
  </si>
  <si>
    <t>فوائد التمويل
(Interest)</t>
  </si>
  <si>
    <t>الأثاث
(furniture)</t>
  </si>
  <si>
    <t xml:space="preserve">المخارجة
(Buyout) </t>
  </si>
  <si>
    <t>-------------------------------------------</t>
  </si>
  <si>
    <t>سكني
(Apartments)</t>
  </si>
  <si>
    <t>مكتبي
(Office)</t>
  </si>
  <si>
    <t>تجاري
(Retail)</t>
  </si>
  <si>
    <t>فندقي
(Hotel)</t>
  </si>
  <si>
    <t>صحي
(health)</t>
  </si>
  <si>
    <t>معدل العائد الداخلي
IRR</t>
  </si>
  <si>
    <t>------------------------------------------------------------------</t>
  </si>
  <si>
    <t>المخارجة
(Buyout)</t>
  </si>
  <si>
    <t>صافي الربح
(Net Income)</t>
  </si>
  <si>
    <t xml:space="preserve">العائد على الإستثمار
(ROI)  </t>
  </si>
  <si>
    <t xml:space="preserve">العائد على الملكية
(ROE) </t>
  </si>
  <si>
    <t>العائد على الملكية سنويا
(ROE Annualy)</t>
  </si>
  <si>
    <t>التكلفة الإجمالية للمشروع
(Total project cost)</t>
  </si>
  <si>
    <t>تكلفة شراء الأرض - باستثناء الضرائب والعمولات
(Land purchase cost - except taxes &amp; commissions)</t>
  </si>
  <si>
    <t>الفترة الزمنية - سنوي
(Duration - Yearly)</t>
  </si>
  <si>
    <t>إجمالي مدة المشروع المتوقعة
(Total Estimated Project Duration)</t>
  </si>
  <si>
    <t>البند</t>
  </si>
  <si>
    <t>القيمة</t>
  </si>
  <si>
    <t xml:space="preserve">حجم التمويل للفترة      </t>
  </si>
  <si>
    <t xml:space="preserve">أصل التمويل  </t>
  </si>
  <si>
    <t xml:space="preserve">فوائد التمويل </t>
  </si>
  <si>
    <t>مساحة الوحدة
(One Unit Area)</t>
  </si>
  <si>
    <t>-----------------------------------------------------------</t>
  </si>
  <si>
    <t>نسبة البند من الإجمالي
(Percentage)</t>
  </si>
  <si>
    <t>جزء من تكاليف البناء</t>
  </si>
  <si>
    <t>فلل
(Villas)*</t>
  </si>
  <si>
    <t>تاون هاوس
(Townhouse)*</t>
  </si>
  <si>
    <t xml:space="preserve">                                الإجمالي | Total</t>
  </si>
  <si>
    <t>التسوير</t>
  </si>
  <si>
    <t>الحفر والمسح والاختبار</t>
  </si>
  <si>
    <t>التأمين</t>
  </si>
  <si>
    <t>الرخصة</t>
  </si>
  <si>
    <t>التصميم</t>
  </si>
  <si>
    <t>أثاث الوحدات الفندقية</t>
  </si>
  <si>
    <t>أثاث الوحدات</t>
  </si>
  <si>
    <t>رسوم الكهرباء</t>
  </si>
  <si>
    <t>رسوم الماء وصرف الصحي</t>
  </si>
  <si>
    <t>الفرز</t>
  </si>
  <si>
    <t>الصيانة و التشغيل</t>
  </si>
  <si>
    <t>الاحتياطي</t>
  </si>
  <si>
    <t>تسويق المبيعات</t>
  </si>
  <si>
    <t>تسويق التأجير</t>
  </si>
  <si>
    <t>تسويق البيع على الخارطة</t>
  </si>
  <si>
    <t>الإشراف الهندسي</t>
  </si>
  <si>
    <t>فلل*
(Villas)</t>
  </si>
  <si>
    <t>تاون هاوس*
(Townhouse)</t>
  </si>
  <si>
    <t>البدروم*
(Basement)</t>
  </si>
  <si>
    <t>عدد أدوار المشروع
(Total Project Floors)</t>
  </si>
  <si>
    <t xml:space="preserve">المتوسط غالبًا بين 45% إلى 65% </t>
  </si>
  <si>
    <t>إجمالي التكاليف اللينة
(Total Soft Costs)</t>
  </si>
  <si>
    <t>إجمالي التكاليف الصلبة
(Total Hard Costs)</t>
  </si>
  <si>
    <t>إجمالي التكاليف التي لا تندرج كصلبة أو لينة
(Total costs that do not fall under hard or soft costs)</t>
  </si>
  <si>
    <t>متوسط سعر بيع الأمتار البيعية
(Average Selling Price per Sellable m²)</t>
  </si>
  <si>
    <t>عدد عماير المشروع
(Total Project Building)</t>
  </si>
  <si>
    <t>نسبة المخاطرة التمويلية
(Loan to Value Ratio - LTV)</t>
  </si>
  <si>
    <t>رأس المال + الأرباح</t>
  </si>
  <si>
    <t>درة الغدير - مشروع مختلط
(Mix Use Development - RASF - Alghadeer)</t>
  </si>
  <si>
    <t>شقق</t>
  </si>
  <si>
    <t>رسوم الاشتراك
(Subscription Fees)</t>
  </si>
  <si>
    <t>القالب الموحّد الشامل لبنود دراسة الجدوى | Master Feasibility Template</t>
  </si>
  <si>
    <t>قالب ثابت يشمل كل المكوّنات والأقسام (حتى الفارغة) | مراجع حية داخل ورقة Study</t>
  </si>
  <si>
    <t>#</t>
  </si>
  <si>
    <t>اسم البند</t>
  </si>
  <si>
    <t>الناتج</t>
  </si>
  <si>
    <t>الفئة</t>
  </si>
  <si>
    <t>مصدر الخلية</t>
  </si>
  <si>
    <t>ملاحظة / الوحدة</t>
  </si>
  <si>
    <t>▌ معلومات المشروع</t>
  </si>
  <si>
    <t>اسم المشروع</t>
  </si>
  <si>
    <t>معلومات المشروع</t>
  </si>
  <si>
    <t>F2</t>
  </si>
  <si>
    <t>هوية المشروع</t>
  </si>
  <si>
    <t>موقع المشروع</t>
  </si>
  <si>
    <t>F3</t>
  </si>
  <si>
    <t>▌ ملخص الدراسة</t>
  </si>
  <si>
    <t>إجمالي الإيرادات</t>
  </si>
  <si>
    <t>ملخص الدراسة</t>
  </si>
  <si>
    <t>C17</t>
  </si>
  <si>
    <t>ريال سعودي</t>
  </si>
  <si>
    <t>إجمالي تكلفة الأرض</t>
  </si>
  <si>
    <t>C18</t>
  </si>
  <si>
    <t>إجمالي تكلفة البناء</t>
  </si>
  <si>
    <t>C19</t>
  </si>
  <si>
    <t>إجمالي التكاليف الأخرى</t>
  </si>
  <si>
    <t>C20</t>
  </si>
  <si>
    <t>إجمالي رسوم الصندوق</t>
  </si>
  <si>
    <t>C21</t>
  </si>
  <si>
    <t>فوائد التمويل</t>
  </si>
  <si>
    <t>C22</t>
  </si>
  <si>
    <t>التمويل البنكي</t>
  </si>
  <si>
    <t>C23</t>
  </si>
  <si>
    <t>إجمالي التكاليف الرأسمالية (CapEx)</t>
  </si>
  <si>
    <t>C24</t>
  </si>
  <si>
    <t>إجمالي التكاليف التشغيلية (OpEx)</t>
  </si>
  <si>
    <t>C25</t>
  </si>
  <si>
    <t>صافي الدخل</t>
  </si>
  <si>
    <t>C26</t>
  </si>
  <si>
    <t>مدة المشروع المتوقعة (سنوات)</t>
  </si>
  <si>
    <t>C27</t>
  </si>
  <si>
    <t>سنة</t>
  </si>
  <si>
    <t>▌ المؤشرات المالية</t>
  </si>
  <si>
    <t>معدل العائد الداخلي (IRR)</t>
  </si>
  <si>
    <t>المؤشرات المالية</t>
  </si>
  <si>
    <t>C28</t>
  </si>
  <si>
    <t>نسبة مئوية</t>
  </si>
  <si>
    <t>العائد على الاستثمار (ROI)</t>
  </si>
  <si>
    <t>C30</t>
  </si>
  <si>
    <t>العائد على الملكية (ROE)</t>
  </si>
  <si>
    <t>C32</t>
  </si>
  <si>
    <t>العائد على الملكية السنوي</t>
  </si>
  <si>
    <t>C34</t>
  </si>
  <si>
    <t>▌ الهيكلة المالية</t>
  </si>
  <si>
    <t>الاشتراكات النقدية</t>
  </si>
  <si>
    <t>الهيكلة المالية</t>
  </si>
  <si>
    <t>H19</t>
  </si>
  <si>
    <t>نسبة الاشتراكات النقدية</t>
  </si>
  <si>
    <t>I19</t>
  </si>
  <si>
    <t>الاشتراك من مدير الصندوق</t>
  </si>
  <si>
    <t>H20</t>
  </si>
  <si>
    <t>الاشتراك النقدي من المطور</t>
  </si>
  <si>
    <t>H21</t>
  </si>
  <si>
    <t>الاشتراك العيني من المطور</t>
  </si>
  <si>
    <t>H22</t>
  </si>
  <si>
    <t>نسبة الاشتراك العيني من المطور</t>
  </si>
  <si>
    <t>I22</t>
  </si>
  <si>
    <t>الاشتراك العيني من مالك الأرض</t>
  </si>
  <si>
    <t>H23</t>
  </si>
  <si>
    <t>نسبة الاشتراك العيني من مالك الأرض</t>
  </si>
  <si>
    <t>I23</t>
  </si>
  <si>
    <t>إجمالي الملكية</t>
  </si>
  <si>
    <t>H24</t>
  </si>
  <si>
    <t>نسبة إجمالي الملكية</t>
  </si>
  <si>
    <t>I24</t>
  </si>
  <si>
    <t>إجمالي التمويل البنكي</t>
  </si>
  <si>
    <t>H26</t>
  </si>
  <si>
    <t>نسبة التمويل البنكي</t>
  </si>
  <si>
    <t>I26</t>
  </si>
  <si>
    <t>البيع على الخارطة (هيكلة)</t>
  </si>
  <si>
    <t>H29</t>
  </si>
  <si>
    <t>نسبة البيع على الخارطة</t>
  </si>
  <si>
    <t>I29</t>
  </si>
  <si>
    <t>H30</t>
  </si>
  <si>
    <t>نسبة المصادر الأخرى</t>
  </si>
  <si>
    <t>I30</t>
  </si>
  <si>
    <t>إجمالي التمويل التشغيلي</t>
  </si>
  <si>
    <t>H31</t>
  </si>
  <si>
    <t>نسبة إجمالي التمويل التشغيلي</t>
  </si>
  <si>
    <t>I31</t>
  </si>
  <si>
    <t>إجمالي مصادر التمويل</t>
  </si>
  <si>
    <t>H33</t>
  </si>
  <si>
    <t>▌ تفاصيل الأرض</t>
  </si>
  <si>
    <t>مساحة الأرض الإجمالية</t>
  </si>
  <si>
    <t>تفاصيل الأرض</t>
  </si>
  <si>
    <t>C49</t>
  </si>
  <si>
    <t>م²</t>
  </si>
  <si>
    <t>التكلفة للمتر</t>
  </si>
  <si>
    <t>D49</t>
  </si>
  <si>
    <t>ريال/م²</t>
  </si>
  <si>
    <t>تكلفة الأرض قبل الضرائب</t>
  </si>
  <si>
    <t>E49</t>
  </si>
  <si>
    <t>ضريبة التصرفات العقارية (RETT)</t>
  </si>
  <si>
    <t>F49</t>
  </si>
  <si>
    <t>السعي (Commission)</t>
  </si>
  <si>
    <t>G49</t>
  </si>
  <si>
    <t>ضريبة السعي</t>
  </si>
  <si>
    <t>H49</t>
  </si>
  <si>
    <t>إجمالي تكلفة الأرض بعد الضرائب</t>
  </si>
  <si>
    <t>I49</t>
  </si>
  <si>
    <t>معامل البناء (FAR)</t>
  </si>
  <si>
    <t>K49</t>
  </si>
  <si>
    <t>معامل</t>
  </si>
  <si>
    <t>إجمالي مسطحات البناء فوق الأرض</t>
  </si>
  <si>
    <t>L49</t>
  </si>
  <si>
    <t>▌ تفاصيل البناء</t>
  </si>
  <si>
    <t>تفاصيل البناء</t>
  </si>
  <si>
    <t>D59</t>
  </si>
  <si>
    <t>إجمالي المساحة التطويرية</t>
  </si>
  <si>
    <t>E59</t>
  </si>
  <si>
    <t>إجمالي المساحة المبنية (GBA)</t>
  </si>
  <si>
    <t>F59</t>
  </si>
  <si>
    <t>إجمالي المساحة فوق مستوى الأرض</t>
  </si>
  <si>
    <t>H59</t>
  </si>
  <si>
    <t>إجمالي المساحات القابلة للبيع (NSA)</t>
  </si>
  <si>
    <t>J59</t>
  </si>
  <si>
    <t>معيار المواقف</t>
  </si>
  <si>
    <t>L60</t>
  </si>
  <si>
    <t>موقف/وحدة</t>
  </si>
  <si>
    <t>▌ مكوّن البناء - سكني</t>
  </si>
  <si>
    <t>سكني - نسبة من المساحة البنائية</t>
  </si>
  <si>
    <t>مكوّن البناء - سكني</t>
  </si>
  <si>
    <t>C61</t>
  </si>
  <si>
    <t>سكني - إجمالي المساحة البنائية (GBA)</t>
  </si>
  <si>
    <t>D61</t>
  </si>
  <si>
    <t>سكني - نسبة المساحات القابلة للبيع</t>
  </si>
  <si>
    <t>E61</t>
  </si>
  <si>
    <t>سكني - المساحات الصافية القابلة للبيع (NSA)</t>
  </si>
  <si>
    <t>F61</t>
  </si>
  <si>
    <t>سكني - مساحة الوحدة</t>
  </si>
  <si>
    <t>G61</t>
  </si>
  <si>
    <t>سكني - عدد الوحدات</t>
  </si>
  <si>
    <t>H61</t>
  </si>
  <si>
    <t>وحدة</t>
  </si>
  <si>
    <t>سكني - تكلفة متر البناء</t>
  </si>
  <si>
    <t>I61</t>
  </si>
  <si>
    <t>سكني - إجمالي التكاليف</t>
  </si>
  <si>
    <t>J61</t>
  </si>
  <si>
    <t>سكني - عدد المواقف</t>
  </si>
  <si>
    <t>K61</t>
  </si>
  <si>
    <t>موقف</t>
  </si>
  <si>
    <t>سكني - معيار المواقف</t>
  </si>
  <si>
    <t>L61</t>
  </si>
  <si>
    <t>معيار</t>
  </si>
  <si>
    <t>▌ مكوّن البناء - فلل</t>
  </si>
  <si>
    <t>فلل - نسبة من المساحة البنائية</t>
  </si>
  <si>
    <t>مكوّن البناء - فلل</t>
  </si>
  <si>
    <t>C62</t>
  </si>
  <si>
    <t>فلل - إجمالي المساحة البنائية (GBA)</t>
  </si>
  <si>
    <t>D62</t>
  </si>
  <si>
    <t>فلل - نسبة المساحات القابلة للبيع</t>
  </si>
  <si>
    <t>E62</t>
  </si>
  <si>
    <t>فلل - المساحات الصافية القابلة للبيع (NSA)</t>
  </si>
  <si>
    <t>F62</t>
  </si>
  <si>
    <t>فلل - مساحة الوحدة</t>
  </si>
  <si>
    <t>G62</t>
  </si>
  <si>
    <t>فلل - عدد الوحدات</t>
  </si>
  <si>
    <t>H62</t>
  </si>
  <si>
    <t>فلل - تكلفة متر البناء</t>
  </si>
  <si>
    <t>I62</t>
  </si>
  <si>
    <t>فلل - إجمالي التكاليف</t>
  </si>
  <si>
    <t>J62</t>
  </si>
  <si>
    <t>فلل - عدد المواقف</t>
  </si>
  <si>
    <t>K62</t>
  </si>
  <si>
    <t>فلل - معيار المواقف</t>
  </si>
  <si>
    <t>L62</t>
  </si>
  <si>
    <t>▌ مكوّن البناء - تاون هاوس</t>
  </si>
  <si>
    <t>تاون هاوس - نسبة من المساحة البنائية</t>
  </si>
  <si>
    <t>مكوّن البناء - تاون هاوس</t>
  </si>
  <si>
    <t>C63</t>
  </si>
  <si>
    <t>تاون هاوس - إجمالي المساحة البنائية (GBA)</t>
  </si>
  <si>
    <t>D63</t>
  </si>
  <si>
    <t>تاون هاوس - نسبة المساحات القابلة للبيع</t>
  </si>
  <si>
    <t>E63</t>
  </si>
  <si>
    <t>تاون هاوس - المساحات الصافية القابلة للبيع (NSA)</t>
  </si>
  <si>
    <t>F63</t>
  </si>
  <si>
    <t>تاون هاوس - مساحة الوحدة</t>
  </si>
  <si>
    <t>G63</t>
  </si>
  <si>
    <t>تاون هاوس - عدد الوحدات</t>
  </si>
  <si>
    <t>H63</t>
  </si>
  <si>
    <t>تاون هاوس - تكلفة متر البناء</t>
  </si>
  <si>
    <t>I63</t>
  </si>
  <si>
    <t>تاون هاوس - إجمالي التكاليف</t>
  </si>
  <si>
    <t>J63</t>
  </si>
  <si>
    <t>تاون هاوس - عدد المواقف</t>
  </si>
  <si>
    <t>K63</t>
  </si>
  <si>
    <t>تاون هاوس - معيار المواقف</t>
  </si>
  <si>
    <t>L63</t>
  </si>
  <si>
    <t>▌ مكوّن البناء - أدوار</t>
  </si>
  <si>
    <t>أدوار - نسبة من المساحة البنائية</t>
  </si>
  <si>
    <t>مكوّن البناء - أدوار</t>
  </si>
  <si>
    <t>C64</t>
  </si>
  <si>
    <t>أدوار - إجمالي المساحة البنائية (GBA)</t>
  </si>
  <si>
    <t>D64</t>
  </si>
  <si>
    <t>أدوار - نسبة المساحات القابلة للبيع</t>
  </si>
  <si>
    <t>E64</t>
  </si>
  <si>
    <t>أدوار - المساحات الصافية القابلة للبيع (NSA)</t>
  </si>
  <si>
    <t>F64</t>
  </si>
  <si>
    <t>أدوار - مساحة الوحدة</t>
  </si>
  <si>
    <t>G64</t>
  </si>
  <si>
    <t>أدوار - عدد الوحدات</t>
  </si>
  <si>
    <t>H64</t>
  </si>
  <si>
    <t>أدوار - تكلفة متر البناء</t>
  </si>
  <si>
    <t>I64</t>
  </si>
  <si>
    <t>أدوار - إجمالي التكاليف</t>
  </si>
  <si>
    <t>J64</t>
  </si>
  <si>
    <t>أدوار - عدد المواقف</t>
  </si>
  <si>
    <t>K64</t>
  </si>
  <si>
    <t>أدوار - معيار المواقف</t>
  </si>
  <si>
    <t>L64</t>
  </si>
  <si>
    <t>▌ مكوّن البناء - أستوديوهات</t>
  </si>
  <si>
    <t>أستوديوهات - نسبة من المساحة البنائية</t>
  </si>
  <si>
    <t>مكوّن البناء - أستوديوهات</t>
  </si>
  <si>
    <t>C65</t>
  </si>
  <si>
    <t>أستوديوهات - إجمالي المساحة البنائية (GBA)</t>
  </si>
  <si>
    <t>D65</t>
  </si>
  <si>
    <t>أستوديوهات - نسبة المساحات القابلة للبيع</t>
  </si>
  <si>
    <t>E65</t>
  </si>
  <si>
    <t>أستوديوهات - المساحات الصافية القابلة للبيع (NSA)</t>
  </si>
  <si>
    <t>F65</t>
  </si>
  <si>
    <t>أستوديوهات - مساحة الوحدة</t>
  </si>
  <si>
    <t>G65</t>
  </si>
  <si>
    <t>أستوديوهات - عدد الوحدات</t>
  </si>
  <si>
    <t>H65</t>
  </si>
  <si>
    <t>أستوديوهات - تكلفة متر البناء</t>
  </si>
  <si>
    <t>I65</t>
  </si>
  <si>
    <t>أستوديوهات - إجمالي التكاليف</t>
  </si>
  <si>
    <t>J65</t>
  </si>
  <si>
    <t>أستوديوهات - عدد المواقف</t>
  </si>
  <si>
    <t>K65</t>
  </si>
  <si>
    <t>أستوديوهات - معيار المواقف</t>
  </si>
  <si>
    <t>L65</t>
  </si>
  <si>
    <t>▌ مكوّن البناء - مكتبي</t>
  </si>
  <si>
    <t>مكتبي - نسبة من المساحة البنائية</t>
  </si>
  <si>
    <t>مكوّن البناء - مكتبي</t>
  </si>
  <si>
    <t>C66</t>
  </si>
  <si>
    <t>مكتبي - إجمالي المساحة البنائية (GBA)</t>
  </si>
  <si>
    <t>D66</t>
  </si>
  <si>
    <t>مكتبي - نسبة المساحات القابلة للبيع</t>
  </si>
  <si>
    <t>E66</t>
  </si>
  <si>
    <t>مكتبي - المساحات الصافية القابلة للبيع (NSA)</t>
  </si>
  <si>
    <t>F66</t>
  </si>
  <si>
    <t>مكتبي - مساحة الوحدة</t>
  </si>
  <si>
    <t>G66</t>
  </si>
  <si>
    <t>مكتبي - عدد الوحدات</t>
  </si>
  <si>
    <t>H66</t>
  </si>
  <si>
    <t>مكتبي - تكلفة متر البناء</t>
  </si>
  <si>
    <t>I66</t>
  </si>
  <si>
    <t>مكتبي - إجمالي التكاليف</t>
  </si>
  <si>
    <t>J66</t>
  </si>
  <si>
    <t>مكتبي - عدد المواقف</t>
  </si>
  <si>
    <t>K66</t>
  </si>
  <si>
    <t>مكتبي - معيار المواقف</t>
  </si>
  <si>
    <t>L66</t>
  </si>
  <si>
    <t>▌ مكوّن البناء - تجاري</t>
  </si>
  <si>
    <t>تجاري - نسبة من المساحة البنائية</t>
  </si>
  <si>
    <t>مكوّن البناء - تجاري</t>
  </si>
  <si>
    <t>C67</t>
  </si>
  <si>
    <t>تجاري - إجمالي المساحة البنائية (GBA)</t>
  </si>
  <si>
    <t>D67</t>
  </si>
  <si>
    <t>تجاري - نسبة المساحات القابلة للبيع</t>
  </si>
  <si>
    <t>E67</t>
  </si>
  <si>
    <t>تجاري - المساحات الصافية القابلة للبيع (NSA)</t>
  </si>
  <si>
    <t>F67</t>
  </si>
  <si>
    <t>تجاري - مساحة الوحدة</t>
  </si>
  <si>
    <t>G67</t>
  </si>
  <si>
    <t>تجاري - عدد الوحدات</t>
  </si>
  <si>
    <t>H67</t>
  </si>
  <si>
    <t>تجاري - تكلفة متر البناء</t>
  </si>
  <si>
    <t>I67</t>
  </si>
  <si>
    <t>تجاري - إجمالي التكاليف</t>
  </si>
  <si>
    <t>J67</t>
  </si>
  <si>
    <t>تجاري - عدد المواقف</t>
  </si>
  <si>
    <t>K67</t>
  </si>
  <si>
    <t>تجاري - معيار المواقف</t>
  </si>
  <si>
    <t>L67</t>
  </si>
  <si>
    <t>▌ مكوّن البناء - فندقي</t>
  </si>
  <si>
    <t>فندقي - نسبة من المساحة البنائية</t>
  </si>
  <si>
    <t>مكوّن البناء - فندقي</t>
  </si>
  <si>
    <t>C68</t>
  </si>
  <si>
    <t>فندقي - إجمالي المساحة البنائية (GBA)</t>
  </si>
  <si>
    <t>D68</t>
  </si>
  <si>
    <t>فندقي - نسبة المساحات القابلة للبيع</t>
  </si>
  <si>
    <t>E68</t>
  </si>
  <si>
    <t>فندقي - المساحات الصافية القابلة للبيع (NSA)</t>
  </si>
  <si>
    <t>F68</t>
  </si>
  <si>
    <t>فندقي - مساحة الوحدة</t>
  </si>
  <si>
    <t>G68</t>
  </si>
  <si>
    <t>فندقي - عدد الوحدات</t>
  </si>
  <si>
    <t>H68</t>
  </si>
  <si>
    <t>فندقي - تكلفة متر البناء</t>
  </si>
  <si>
    <t>I68</t>
  </si>
  <si>
    <t>فندقي - إجمالي التكاليف</t>
  </si>
  <si>
    <t>J68</t>
  </si>
  <si>
    <t>فندقي - عدد المواقف</t>
  </si>
  <si>
    <t>K68</t>
  </si>
  <si>
    <t>فندقي - معيار المواقف</t>
  </si>
  <si>
    <t>L68</t>
  </si>
  <si>
    <t>▌ مكوّن البناء - صحي</t>
  </si>
  <si>
    <t>صحي - نسبة من المساحة البنائية</t>
  </si>
  <si>
    <t>مكوّن البناء - صحي</t>
  </si>
  <si>
    <t>C69</t>
  </si>
  <si>
    <t>صحي - إجمالي المساحة البنائية (GBA)</t>
  </si>
  <si>
    <t>D69</t>
  </si>
  <si>
    <t>صحي - نسبة المساحات القابلة للبيع</t>
  </si>
  <si>
    <t>E69</t>
  </si>
  <si>
    <t>صحي - المساحات الصافية القابلة للبيع (NSA)</t>
  </si>
  <si>
    <t>F69</t>
  </si>
  <si>
    <t>صحي - مساحة الوحدة</t>
  </si>
  <si>
    <t>G69</t>
  </si>
  <si>
    <t>صحي - عدد الوحدات</t>
  </si>
  <si>
    <t>H69</t>
  </si>
  <si>
    <t>صحي - تكلفة متر البناء</t>
  </si>
  <si>
    <t>I69</t>
  </si>
  <si>
    <t>صحي - إجمالي التكاليف</t>
  </si>
  <si>
    <t>J69</t>
  </si>
  <si>
    <t>صحي - عدد المواقف</t>
  </si>
  <si>
    <t>K69</t>
  </si>
  <si>
    <t>صحي - معيار المواقف</t>
  </si>
  <si>
    <t>L69</t>
  </si>
  <si>
    <t>▌ مكوّن البناء - أخرى</t>
  </si>
  <si>
    <t>أخرى - نسبة من المساحة البنائية</t>
  </si>
  <si>
    <t>مكوّن البناء - أخرى</t>
  </si>
  <si>
    <t>C70</t>
  </si>
  <si>
    <t>أخرى - إجمالي المساحة البنائية (GBA)</t>
  </si>
  <si>
    <t>D70</t>
  </si>
  <si>
    <t>أخرى - نسبة المساحات القابلة للبيع</t>
  </si>
  <si>
    <t>E70</t>
  </si>
  <si>
    <t>أخرى - المساحات الصافية القابلة للبيع (NSA)</t>
  </si>
  <si>
    <t>F70</t>
  </si>
  <si>
    <t>أخرى - مساحة الوحدة</t>
  </si>
  <si>
    <t>G70</t>
  </si>
  <si>
    <t>أخرى - عدد الوحدات</t>
  </si>
  <si>
    <t>H70</t>
  </si>
  <si>
    <t>أخرى - تكلفة متر البناء</t>
  </si>
  <si>
    <t>I70</t>
  </si>
  <si>
    <t>أخرى - إجمالي التكاليف</t>
  </si>
  <si>
    <t>J70</t>
  </si>
  <si>
    <t>أخرى - عدد المواقف</t>
  </si>
  <si>
    <t>K70</t>
  </si>
  <si>
    <t>أخرى - معيار المواقف</t>
  </si>
  <si>
    <t>L70</t>
  </si>
  <si>
    <t>▌ مساحات حركية وخدمية</t>
  </si>
  <si>
    <t>المساحات الحركية - نسبة من المساحة البنائية</t>
  </si>
  <si>
    <t>مساحات حركية وخدمية</t>
  </si>
  <si>
    <t>C71</t>
  </si>
  <si>
    <t>المساحات الحركية - إجمالي المساحة البنائية</t>
  </si>
  <si>
    <t>D71</t>
  </si>
  <si>
    <t>المساحات الحركية - تكلفة متر البناء</t>
  </si>
  <si>
    <t>I71</t>
  </si>
  <si>
    <t>المساحات الحركية - إجمالي التكاليف</t>
  </si>
  <si>
    <t>J71</t>
  </si>
  <si>
    <t>▌ مساحات إضافية</t>
  </si>
  <si>
    <t>لاند سكيب - النسبة من الأرض</t>
  </si>
  <si>
    <t>مساحات إضافية</t>
  </si>
  <si>
    <t>C73</t>
  </si>
  <si>
    <t>معامل من الأرض</t>
  </si>
  <si>
    <t>لاند سكيب - إجمالي المساحة</t>
  </si>
  <si>
    <t>D73</t>
  </si>
  <si>
    <t>لاند سكيب - تكلفة متر البناء</t>
  </si>
  <si>
    <t>I73</t>
  </si>
  <si>
    <t>لاند سكيب - إجمالي التكاليف</t>
  </si>
  <si>
    <t>J73</t>
  </si>
  <si>
    <t>قبو - النسبة من الأرض</t>
  </si>
  <si>
    <t>C74</t>
  </si>
  <si>
    <t>قبو - إجمالي المساحة</t>
  </si>
  <si>
    <t>D74</t>
  </si>
  <si>
    <t>قبو - تكلفة متر البناء</t>
  </si>
  <si>
    <t>I74</t>
  </si>
  <si>
    <t>قبو - إجمالي التكاليف</t>
  </si>
  <si>
    <t>J74</t>
  </si>
  <si>
    <t>قبو - عدد المواقف</t>
  </si>
  <si>
    <t>K74</t>
  </si>
  <si>
    <t>بوديوم - النسبة من الأرض</t>
  </si>
  <si>
    <t>C75</t>
  </si>
  <si>
    <t>بوديوم - إجمالي المساحة</t>
  </si>
  <si>
    <t>D75</t>
  </si>
  <si>
    <t>بوديوم - تكلفة متر البناء</t>
  </si>
  <si>
    <t>I75</t>
  </si>
  <si>
    <t>بوديوم - إجمالي التكاليف</t>
  </si>
  <si>
    <t>J75</t>
  </si>
  <si>
    <t>بوديوم - عدد المواقف</t>
  </si>
  <si>
    <t>K75</t>
  </si>
  <si>
    <t>▌ إجمالي البناء</t>
  </si>
  <si>
    <t>إجمالي مكونات البناء - GBA</t>
  </si>
  <si>
    <t>إجمالي البناء</t>
  </si>
  <si>
    <t>D76</t>
  </si>
  <si>
    <t>إجمالي مكونات البناء - NSA</t>
  </si>
  <si>
    <t>F76</t>
  </si>
  <si>
    <t>متوسط مساحة الوحدة</t>
  </si>
  <si>
    <t>G76</t>
  </si>
  <si>
    <t>إجمالي عدد الوحدات</t>
  </si>
  <si>
    <t>H76</t>
  </si>
  <si>
    <t>متوسط تكلفة متر البناء</t>
  </si>
  <si>
    <t>I76</t>
  </si>
  <si>
    <t>إجمالي تكاليف البناء</t>
  </si>
  <si>
    <t>J76</t>
  </si>
  <si>
    <t>إجمالي المواقف المطلوبة</t>
  </si>
  <si>
    <t>L76</t>
  </si>
  <si>
    <t>إجمالي المواقف المتوفرة</t>
  </si>
  <si>
    <t>L77</t>
  </si>
  <si>
    <t>فارق المواقف (Parking Deficit)</t>
  </si>
  <si>
    <t>L78</t>
  </si>
  <si>
    <t>▌ التكاليف الأخرى</t>
  </si>
  <si>
    <t>التكاليف الأخرى</t>
  </si>
  <si>
    <t>C86</t>
  </si>
  <si>
    <t>C87</t>
  </si>
  <si>
    <t>C88</t>
  </si>
  <si>
    <t>C89</t>
  </si>
  <si>
    <t>C90</t>
  </si>
  <si>
    <t>C91</t>
  </si>
  <si>
    <t>C92</t>
  </si>
  <si>
    <t>C93</t>
  </si>
  <si>
    <t>C94</t>
  </si>
  <si>
    <t>C95</t>
  </si>
  <si>
    <t>الصيانة والتشغيل</t>
  </si>
  <si>
    <t>C96</t>
  </si>
  <si>
    <t>C97</t>
  </si>
  <si>
    <t>C98</t>
  </si>
  <si>
    <t>C99</t>
  </si>
  <si>
    <t>C100</t>
  </si>
  <si>
    <t>C101</t>
  </si>
  <si>
    <t>C102</t>
  </si>
  <si>
    <t>▌ تكاليف الصندوق</t>
  </si>
  <si>
    <t>تكاليف المطور</t>
  </si>
  <si>
    <t>تكاليف الصندوق</t>
  </si>
  <si>
    <t>C104</t>
  </si>
  <si>
    <t>نسبة تكاليف المطور</t>
  </si>
  <si>
    <t>D104</t>
  </si>
  <si>
    <t>رسوم الصندوق</t>
  </si>
  <si>
    <t>C105</t>
  </si>
  <si>
    <t>التكاليف الأخرى للصندوق</t>
  </si>
  <si>
    <t>C106</t>
  </si>
  <si>
    <t>إجمالي تكاليف الصندوق</t>
  </si>
  <si>
    <t>C107</t>
  </si>
  <si>
    <t>▌ ملخص التكاليف</t>
  </si>
  <si>
    <t>ملخص التكاليف</t>
  </si>
  <si>
    <t>C109</t>
  </si>
  <si>
    <t>C110</t>
  </si>
  <si>
    <t>C111</t>
  </si>
  <si>
    <t>إجمالي تكلفة التطوير</t>
  </si>
  <si>
    <t>C112</t>
  </si>
  <si>
    <t>C113</t>
  </si>
  <si>
    <t>إجمالي التكاليف التشغيلية</t>
  </si>
  <si>
    <t>C114</t>
  </si>
  <si>
    <t>إجمالي التكاليف الكاملة للمشروع</t>
  </si>
  <si>
    <t>C115</t>
  </si>
  <si>
    <t>C116</t>
  </si>
  <si>
    <t>▌ التمويل</t>
  </si>
  <si>
    <t>التمويل المطلوب</t>
  </si>
  <si>
    <t>C118</t>
  </si>
  <si>
    <t>C119</t>
  </si>
  <si>
    <t>مدة الفوائد بالسنين</t>
  </si>
  <si>
    <t>E119</t>
  </si>
  <si>
    <t>▌ الإطار الزمني</t>
  </si>
  <si>
    <t>مدة المشروع - بالأشهر</t>
  </si>
  <si>
    <t>الإطار الزمني</t>
  </si>
  <si>
    <t>C122</t>
  </si>
  <si>
    <t>شهر</t>
  </si>
  <si>
    <t>مدة المشروع - بالسنين</t>
  </si>
  <si>
    <t>D122</t>
  </si>
  <si>
    <t>مدة المشروع - ربع سنوي</t>
  </si>
  <si>
    <t>E122</t>
  </si>
  <si>
    <t>ربع</t>
  </si>
  <si>
    <t>▌ البيع المباشر - سكني</t>
  </si>
  <si>
    <t>سكني - عدد الوحدات للبيع</t>
  </si>
  <si>
    <t>البيع المباشر - سكني</t>
  </si>
  <si>
    <t>C129</t>
  </si>
  <si>
    <t>سكني - نسبة البيع</t>
  </si>
  <si>
    <t>D129</t>
  </si>
  <si>
    <t>سكني - المساحات القابلة للبيع</t>
  </si>
  <si>
    <t>E129</t>
  </si>
  <si>
    <t>F129</t>
  </si>
  <si>
    <t>سكني - سعر بيع المتر</t>
  </si>
  <si>
    <t>H129</t>
  </si>
  <si>
    <t>سكني - قيمة الوحدة</t>
  </si>
  <si>
    <t>I129</t>
  </si>
  <si>
    <t>سكني - إجمالي المبيعات</t>
  </si>
  <si>
    <t>J129</t>
  </si>
  <si>
    <t>▌ البيع المباشر - فلل</t>
  </si>
  <si>
    <t>فلل - عدد الوحدات للبيع</t>
  </si>
  <si>
    <t>البيع المباشر - فلل</t>
  </si>
  <si>
    <t>C130</t>
  </si>
  <si>
    <t>فلل - نسبة البيع</t>
  </si>
  <si>
    <t>D130</t>
  </si>
  <si>
    <t>فلل - المساحات القابلة للبيع</t>
  </si>
  <si>
    <t>E130</t>
  </si>
  <si>
    <t>F130</t>
  </si>
  <si>
    <t>فلل - سعر بيع المتر</t>
  </si>
  <si>
    <t>H130</t>
  </si>
  <si>
    <t>فلل - قيمة الوحدة</t>
  </si>
  <si>
    <t>I130</t>
  </si>
  <si>
    <t>فلل - إجمالي المبيعات</t>
  </si>
  <si>
    <t>J130</t>
  </si>
  <si>
    <t>▌ البيع المباشر - تاون هاوس</t>
  </si>
  <si>
    <t>تاون هاوس - عدد الوحدات للبيع</t>
  </si>
  <si>
    <t>البيع المباشر - تاون هاوس</t>
  </si>
  <si>
    <t>C131</t>
  </si>
  <si>
    <t>تاون هاوس - نسبة البيع</t>
  </si>
  <si>
    <t>D131</t>
  </si>
  <si>
    <t>تاون هاوس - المساحات القابلة للبيع</t>
  </si>
  <si>
    <t>E131</t>
  </si>
  <si>
    <t>F131</t>
  </si>
  <si>
    <t>تاون هاوس - سعر بيع المتر</t>
  </si>
  <si>
    <t>H131</t>
  </si>
  <si>
    <t>تاون هاوس - قيمة الوحدة</t>
  </si>
  <si>
    <t>I131</t>
  </si>
  <si>
    <t>تاون هاوس - إجمالي المبيعات</t>
  </si>
  <si>
    <t>J131</t>
  </si>
  <si>
    <t>▌ البيع المباشر - أدوار</t>
  </si>
  <si>
    <t>أدوار - عدد الوحدات للبيع</t>
  </si>
  <si>
    <t>البيع المباشر - أدوار</t>
  </si>
  <si>
    <t>C132</t>
  </si>
  <si>
    <t>أدوار - نسبة البيع</t>
  </si>
  <si>
    <t>D132</t>
  </si>
  <si>
    <t>أدوار - المساحات القابلة للبيع</t>
  </si>
  <si>
    <t>E132</t>
  </si>
  <si>
    <t>F132</t>
  </si>
  <si>
    <t>أدوار - سعر بيع المتر</t>
  </si>
  <si>
    <t>H132</t>
  </si>
  <si>
    <t>أدوار - قيمة الوحدة</t>
  </si>
  <si>
    <t>I132</t>
  </si>
  <si>
    <t>أدوار - إجمالي المبيعات</t>
  </si>
  <si>
    <t>J132</t>
  </si>
  <si>
    <t>▌ البيع المباشر - أستوديوهات</t>
  </si>
  <si>
    <t>أستوديوهات - عدد الوحدات للبيع</t>
  </si>
  <si>
    <t>البيع المباشر - أستوديوهات</t>
  </si>
  <si>
    <t>C133</t>
  </si>
  <si>
    <t>أستوديوهات - نسبة البيع</t>
  </si>
  <si>
    <t>D133</t>
  </si>
  <si>
    <t>أستوديوهات - المساحات القابلة للبيع</t>
  </si>
  <si>
    <t>E133</t>
  </si>
  <si>
    <t>F133</t>
  </si>
  <si>
    <t>أستوديوهات - سعر بيع المتر</t>
  </si>
  <si>
    <t>H133</t>
  </si>
  <si>
    <t>أستوديوهات - قيمة الوحدة</t>
  </si>
  <si>
    <t>I133</t>
  </si>
  <si>
    <t>أستوديوهات - إجمالي المبيعات</t>
  </si>
  <si>
    <t>J133</t>
  </si>
  <si>
    <t>▌ البيع المباشر - مكتبي</t>
  </si>
  <si>
    <t>مكتبي - عدد الوحدات للبيع</t>
  </si>
  <si>
    <t>البيع المباشر - مكتبي</t>
  </si>
  <si>
    <t>C134</t>
  </si>
  <si>
    <t>مكتبي - نسبة البيع</t>
  </si>
  <si>
    <t>D134</t>
  </si>
  <si>
    <t>مكتبي - المساحات القابلة للبيع</t>
  </si>
  <si>
    <t>E134</t>
  </si>
  <si>
    <t>F134</t>
  </si>
  <si>
    <t>مكتبي - سعر بيع المتر</t>
  </si>
  <si>
    <t>H134</t>
  </si>
  <si>
    <t>مكتبي - قيمة الوحدة</t>
  </si>
  <si>
    <t>I134</t>
  </si>
  <si>
    <t>مكتبي - إجمالي المبيعات</t>
  </si>
  <si>
    <t>J134</t>
  </si>
  <si>
    <t>▌ البيع المباشر - تجاري</t>
  </si>
  <si>
    <t>تجاري - عدد الوحدات للبيع</t>
  </si>
  <si>
    <t>البيع المباشر - تجاري</t>
  </si>
  <si>
    <t>C135</t>
  </si>
  <si>
    <t>تجاري - نسبة البيع</t>
  </si>
  <si>
    <t>D135</t>
  </si>
  <si>
    <t>تجاري - المساحات القابلة للبيع</t>
  </si>
  <si>
    <t>E135</t>
  </si>
  <si>
    <t>F135</t>
  </si>
  <si>
    <t>تجاري - سعر بيع المتر</t>
  </si>
  <si>
    <t>H135</t>
  </si>
  <si>
    <t>تجاري - قيمة الوحدة</t>
  </si>
  <si>
    <t>I135</t>
  </si>
  <si>
    <t>تجاري - إجمالي المبيعات</t>
  </si>
  <si>
    <t>J135</t>
  </si>
  <si>
    <t>▌ البيع المباشر - فندقي</t>
  </si>
  <si>
    <t>فندقي - عدد الوحدات للبيع</t>
  </si>
  <si>
    <t>البيع المباشر - فندقي</t>
  </si>
  <si>
    <t>C136</t>
  </si>
  <si>
    <t>فندقي - نسبة البيع</t>
  </si>
  <si>
    <t>D136</t>
  </si>
  <si>
    <t>فندقي - المساحات القابلة للبيع</t>
  </si>
  <si>
    <t>E136</t>
  </si>
  <si>
    <t>F136</t>
  </si>
  <si>
    <t>فندقي - سعر بيع المتر</t>
  </si>
  <si>
    <t>H136</t>
  </si>
  <si>
    <t>فندقي - قيمة الوحدة</t>
  </si>
  <si>
    <t>I136</t>
  </si>
  <si>
    <t>فندقي - إجمالي المبيعات</t>
  </si>
  <si>
    <t>J136</t>
  </si>
  <si>
    <t>▌ البيع المباشر - صحي</t>
  </si>
  <si>
    <t>صحي - عدد الوحدات للبيع</t>
  </si>
  <si>
    <t>البيع المباشر - صحي</t>
  </si>
  <si>
    <t>C137</t>
  </si>
  <si>
    <t>صحي - نسبة البيع</t>
  </si>
  <si>
    <t>D137</t>
  </si>
  <si>
    <t>صحي - المساحات القابلة للبيع</t>
  </si>
  <si>
    <t>E137</t>
  </si>
  <si>
    <t>F137</t>
  </si>
  <si>
    <t>صحي - سعر بيع المتر</t>
  </si>
  <si>
    <t>H137</t>
  </si>
  <si>
    <t>صحي - قيمة الوحدة</t>
  </si>
  <si>
    <t>I137</t>
  </si>
  <si>
    <t>صحي - إجمالي المبيعات</t>
  </si>
  <si>
    <t>J137</t>
  </si>
  <si>
    <t>▌ البيع المباشر - أخرى</t>
  </si>
  <si>
    <t>أخرى - عدد الوحدات للبيع</t>
  </si>
  <si>
    <t>البيع المباشر - أخرى</t>
  </si>
  <si>
    <t>C138</t>
  </si>
  <si>
    <t>أخرى - نسبة البيع</t>
  </si>
  <si>
    <t>D138</t>
  </si>
  <si>
    <t>أخرى - المساحات القابلة للبيع</t>
  </si>
  <si>
    <t>E138</t>
  </si>
  <si>
    <t>F138</t>
  </si>
  <si>
    <t>أخرى - سعر بيع المتر</t>
  </si>
  <si>
    <t>H138</t>
  </si>
  <si>
    <t>أخرى - قيمة الوحدة</t>
  </si>
  <si>
    <t>I138</t>
  </si>
  <si>
    <t>أخرى - إجمالي المبيعات</t>
  </si>
  <si>
    <t>J138</t>
  </si>
  <si>
    <t>▌ البيع المباشر - الإجمالي</t>
  </si>
  <si>
    <t>إجمالي عدد الوحدات للبيع</t>
  </si>
  <si>
    <t>البيع المباشر - الإجمالي</t>
  </si>
  <si>
    <t>C139</t>
  </si>
  <si>
    <t>إجمالي مساحات البيع</t>
  </si>
  <si>
    <t>E139</t>
  </si>
  <si>
    <t>متوسط سعر بيع المتر</t>
  </si>
  <si>
    <t>H139</t>
  </si>
  <si>
    <t>إجمالي مبيعات البيع المباشر</t>
  </si>
  <si>
    <t>J139</t>
  </si>
  <si>
    <t>▌ معدلات الرسملة - سكني</t>
  </si>
  <si>
    <t>سكني - Cap Rate</t>
  </si>
  <si>
    <t>معدلات الرسملة - سكني</t>
  </si>
  <si>
    <t>M129</t>
  </si>
  <si>
    <t>سكني - قيمة الوحدة بعد الرسملة</t>
  </si>
  <si>
    <t>N129</t>
  </si>
  <si>
    <t>سكني - إجمالي القيمة بعد الرسملة</t>
  </si>
  <si>
    <t>O129</t>
  </si>
  <si>
    <t>▌ معدلات الرسملة - فلل</t>
  </si>
  <si>
    <t>فلل - Cap Rate</t>
  </si>
  <si>
    <t>معدلات الرسملة - فلل</t>
  </si>
  <si>
    <t>M130</t>
  </si>
  <si>
    <t>فلل - قيمة الوحدة بعد الرسملة</t>
  </si>
  <si>
    <t>N130</t>
  </si>
  <si>
    <t>فلل - إجمالي القيمة بعد الرسملة</t>
  </si>
  <si>
    <t>O130</t>
  </si>
  <si>
    <t>▌ معدلات الرسملة - تاون هاوس</t>
  </si>
  <si>
    <t>تاون هاوس - Cap Rate</t>
  </si>
  <si>
    <t>معدلات الرسملة - تاون هاوس</t>
  </si>
  <si>
    <t>M131</t>
  </si>
  <si>
    <t>تاون هاوس - قيمة الوحدة بعد الرسملة</t>
  </si>
  <si>
    <t>N131</t>
  </si>
  <si>
    <t>تاون هاوس - إجمالي القيمة بعد الرسملة</t>
  </si>
  <si>
    <t>O131</t>
  </si>
  <si>
    <t>▌ معدلات الرسملة - أدوار</t>
  </si>
  <si>
    <t>أدوار - Cap Rate</t>
  </si>
  <si>
    <t>معدلات الرسملة - أدوار</t>
  </si>
  <si>
    <t>M132</t>
  </si>
  <si>
    <t>أدوار - قيمة الوحدة بعد الرسملة</t>
  </si>
  <si>
    <t>N132</t>
  </si>
  <si>
    <t>أدوار - إجمالي القيمة بعد الرسملة</t>
  </si>
  <si>
    <t>O132</t>
  </si>
  <si>
    <t>▌ معدلات الرسملة - أستوديوهات</t>
  </si>
  <si>
    <t>أستوديوهات - Cap Rate</t>
  </si>
  <si>
    <t>معدلات الرسملة - أستوديوهات</t>
  </si>
  <si>
    <t>M133</t>
  </si>
  <si>
    <t>أستوديوهات - قيمة الوحدة بعد الرسملة</t>
  </si>
  <si>
    <t>N133</t>
  </si>
  <si>
    <t>أستوديوهات - إجمالي القيمة بعد الرسملة</t>
  </si>
  <si>
    <t>O133</t>
  </si>
  <si>
    <t>▌ معدلات الرسملة - مكتبي</t>
  </si>
  <si>
    <t>مكتبي - Cap Rate</t>
  </si>
  <si>
    <t>معدلات الرسملة - مكتبي</t>
  </si>
  <si>
    <t>M134</t>
  </si>
  <si>
    <t>مكتبي - قيمة الوحدة بعد الرسملة</t>
  </si>
  <si>
    <t>N134</t>
  </si>
  <si>
    <t>مكتبي - إجمالي القيمة بعد الرسملة</t>
  </si>
  <si>
    <t>O134</t>
  </si>
  <si>
    <t>▌ معدلات الرسملة - تجاري</t>
  </si>
  <si>
    <t>تجاري - Cap Rate</t>
  </si>
  <si>
    <t>معدلات الرسملة - تجاري</t>
  </si>
  <si>
    <t>M135</t>
  </si>
  <si>
    <t>تجاري - قيمة الوحدة بعد الرسملة</t>
  </si>
  <si>
    <t>N135</t>
  </si>
  <si>
    <t>تجاري - إجمالي القيمة بعد الرسملة</t>
  </si>
  <si>
    <t>O135</t>
  </si>
  <si>
    <t>▌ معدلات الرسملة - فندقي</t>
  </si>
  <si>
    <t>فندقي - Cap Rate</t>
  </si>
  <si>
    <t>معدلات الرسملة - فندقي</t>
  </si>
  <si>
    <t>M136</t>
  </si>
  <si>
    <t>فندقي - قيمة الوحدة بعد الرسملة</t>
  </si>
  <si>
    <t>N136</t>
  </si>
  <si>
    <t>فندقي - إجمالي القيمة بعد الرسملة</t>
  </si>
  <si>
    <t>O136</t>
  </si>
  <si>
    <t>▌ معدلات الرسملة - صحي</t>
  </si>
  <si>
    <t>صحي - Cap Rate</t>
  </si>
  <si>
    <t>معدلات الرسملة - صحي</t>
  </si>
  <si>
    <t>M137</t>
  </si>
  <si>
    <t>صحي - قيمة الوحدة بعد الرسملة</t>
  </si>
  <si>
    <t>N137</t>
  </si>
  <si>
    <t>صحي - إجمالي القيمة بعد الرسملة</t>
  </si>
  <si>
    <t>O137</t>
  </si>
  <si>
    <t>▌ معدلات الرسملة - أخرى</t>
  </si>
  <si>
    <t>أخرى - Cap Rate</t>
  </si>
  <si>
    <t>معدلات الرسملة - أخرى</t>
  </si>
  <si>
    <t>M138</t>
  </si>
  <si>
    <t>أخرى - قيمة الوحدة بعد الرسملة</t>
  </si>
  <si>
    <t>N138</t>
  </si>
  <si>
    <t>أخرى - إجمالي القيمة بعد الرسملة</t>
  </si>
  <si>
    <t>O138</t>
  </si>
  <si>
    <t>▌ معدلات الرسملة - الإجمالي</t>
  </si>
  <si>
    <t>إجمالي قيمة المخارجة (الرسملة)</t>
  </si>
  <si>
    <t>معدلات الرسملة - الإجمالي</t>
  </si>
  <si>
    <t>O139</t>
  </si>
  <si>
    <t>▌ التأجير السنوي - سكني</t>
  </si>
  <si>
    <t>سكني - عدد الوحدات للتأجير</t>
  </si>
  <si>
    <t>التأجير السنوي - سكني</t>
  </si>
  <si>
    <t>C147</t>
  </si>
  <si>
    <t>D147</t>
  </si>
  <si>
    <t>سكني - تأجير المتر</t>
  </si>
  <si>
    <t>E147</t>
  </si>
  <si>
    <t>سكني - قيمة تأجير الوحدة السنوي</t>
  </si>
  <si>
    <t>F147</t>
  </si>
  <si>
    <t>سكني - نسبة الإشغال</t>
  </si>
  <si>
    <t>G147</t>
  </si>
  <si>
    <t>سكني - إجمالي إيرادات التأجير السنوي</t>
  </si>
  <si>
    <t>H147</t>
  </si>
  <si>
    <t>سكني - التكاليف التشغيلية</t>
  </si>
  <si>
    <t>I147</t>
  </si>
  <si>
    <t>سكني - فترة استرداد رأس المال</t>
  </si>
  <si>
    <t>K147</t>
  </si>
  <si>
    <t>سكني - العائد على التكلفة السنوي</t>
  </si>
  <si>
    <t>L147</t>
  </si>
  <si>
    <t>سكني - إجمالي الربح التشغيلي</t>
  </si>
  <si>
    <t>M147</t>
  </si>
  <si>
    <t>▌ التأجير السنوي - فلل</t>
  </si>
  <si>
    <t>فلل - عدد الوحدات للتأجير</t>
  </si>
  <si>
    <t>التأجير السنوي - فلل</t>
  </si>
  <si>
    <t>C148</t>
  </si>
  <si>
    <t>D148</t>
  </si>
  <si>
    <t>فلل - تأجير المتر</t>
  </si>
  <si>
    <t>E148</t>
  </si>
  <si>
    <t>فلل - قيمة تأجير الوحدة السنوي</t>
  </si>
  <si>
    <t>F148</t>
  </si>
  <si>
    <t>فلل - نسبة الإشغال</t>
  </si>
  <si>
    <t>G148</t>
  </si>
  <si>
    <t>فلل - إجمالي إيرادات التأجير السنوي</t>
  </si>
  <si>
    <t>H148</t>
  </si>
  <si>
    <t>فلل - التكاليف التشغيلية</t>
  </si>
  <si>
    <t>I148</t>
  </si>
  <si>
    <t>فلل - فترة استرداد رأس المال</t>
  </si>
  <si>
    <t>K148</t>
  </si>
  <si>
    <t>فلل - العائد على التكلفة السنوي</t>
  </si>
  <si>
    <t>L148</t>
  </si>
  <si>
    <t>فلل - إجمالي الربح التشغيلي</t>
  </si>
  <si>
    <t>M148</t>
  </si>
  <si>
    <t>▌ التأجير السنوي - تاون هاوس</t>
  </si>
  <si>
    <t>تاون هاوس - عدد الوحدات للتأجير</t>
  </si>
  <si>
    <t>التأجير السنوي - تاون هاوس</t>
  </si>
  <si>
    <t>C149</t>
  </si>
  <si>
    <t>D149</t>
  </si>
  <si>
    <t>تاون هاوس - تأجير المتر</t>
  </si>
  <si>
    <t>E149</t>
  </si>
  <si>
    <t>تاون هاوس - قيمة تأجير الوحدة السنوي</t>
  </si>
  <si>
    <t>F149</t>
  </si>
  <si>
    <t>تاون هاوس - نسبة الإشغال</t>
  </si>
  <si>
    <t>G149</t>
  </si>
  <si>
    <t>تاون هاوس - إجمالي إيرادات التأجير السنوي</t>
  </si>
  <si>
    <t>H149</t>
  </si>
  <si>
    <t>تاون هاوس - التكاليف التشغيلية</t>
  </si>
  <si>
    <t>I149</t>
  </si>
  <si>
    <t>تاون هاوس - فترة استرداد رأس المال</t>
  </si>
  <si>
    <t>K149</t>
  </si>
  <si>
    <t>تاون هاوس - العائد على التكلفة السنوي</t>
  </si>
  <si>
    <t>L149</t>
  </si>
  <si>
    <t>تاون هاوس - إجمالي الربح التشغيلي</t>
  </si>
  <si>
    <t>M149</t>
  </si>
  <si>
    <t>▌ التأجير السنوي - أدوار</t>
  </si>
  <si>
    <t>أدوار - عدد الوحدات للتأجير</t>
  </si>
  <si>
    <t>التأجير السنوي - أدوار</t>
  </si>
  <si>
    <t>C150</t>
  </si>
  <si>
    <t>D150</t>
  </si>
  <si>
    <t>أدوار - تأجير المتر</t>
  </si>
  <si>
    <t>E150</t>
  </si>
  <si>
    <t>أدوار - قيمة تأجير الوحدة السنوي</t>
  </si>
  <si>
    <t>F150</t>
  </si>
  <si>
    <t>أدوار - نسبة الإشغال</t>
  </si>
  <si>
    <t>G150</t>
  </si>
  <si>
    <t>أدوار - إجمالي إيرادات التأجير السنوي</t>
  </si>
  <si>
    <t>H150</t>
  </si>
  <si>
    <t>أدوار - التكاليف التشغيلية</t>
  </si>
  <si>
    <t>I150</t>
  </si>
  <si>
    <t>أدوار - فترة استرداد رأس المال</t>
  </si>
  <si>
    <t>K150</t>
  </si>
  <si>
    <t>أدوار - العائد على التكلفة السنوي</t>
  </si>
  <si>
    <t>L150</t>
  </si>
  <si>
    <t>أدوار - إجمالي الربح التشغيلي</t>
  </si>
  <si>
    <t>M150</t>
  </si>
  <si>
    <t>▌ التأجير السنوي - أستوديوهات</t>
  </si>
  <si>
    <t>أستوديوهات - عدد الوحدات للتأجير</t>
  </si>
  <si>
    <t>التأجير السنوي - أستوديوهات</t>
  </si>
  <si>
    <t>C151</t>
  </si>
  <si>
    <t>D151</t>
  </si>
  <si>
    <t>أستوديوهات - تأجير المتر</t>
  </si>
  <si>
    <t>E151</t>
  </si>
  <si>
    <t>أستوديوهات - قيمة تأجير الوحدة السنوي</t>
  </si>
  <si>
    <t>F151</t>
  </si>
  <si>
    <t>أستوديوهات - نسبة الإشغال</t>
  </si>
  <si>
    <t>G151</t>
  </si>
  <si>
    <t>أستوديوهات - إجمالي إيرادات التأجير السنوي</t>
  </si>
  <si>
    <t>H151</t>
  </si>
  <si>
    <t>أستوديوهات - التكاليف التشغيلية</t>
  </si>
  <si>
    <t>I151</t>
  </si>
  <si>
    <t>أستوديوهات - فترة استرداد رأس المال</t>
  </si>
  <si>
    <t>K151</t>
  </si>
  <si>
    <t>أستوديوهات - العائد على التكلفة السنوي</t>
  </si>
  <si>
    <t>L151</t>
  </si>
  <si>
    <t>أستوديوهات - إجمالي الربح التشغيلي</t>
  </si>
  <si>
    <t>M151</t>
  </si>
  <si>
    <t>▌ التأجير السنوي - مكتبي</t>
  </si>
  <si>
    <t>مكتبي - عدد الوحدات للتأجير</t>
  </si>
  <si>
    <t>التأجير السنوي - مكتبي</t>
  </si>
  <si>
    <t>C152</t>
  </si>
  <si>
    <t>D152</t>
  </si>
  <si>
    <t>مكتبي - تأجير المتر</t>
  </si>
  <si>
    <t>E152</t>
  </si>
  <si>
    <t>مكتبي - قيمة تأجير الوحدة السنوي</t>
  </si>
  <si>
    <t>F152</t>
  </si>
  <si>
    <t>مكتبي - نسبة الإشغال</t>
  </si>
  <si>
    <t>G152</t>
  </si>
  <si>
    <t>مكتبي - إجمالي إيرادات التأجير السنوي</t>
  </si>
  <si>
    <t>H152</t>
  </si>
  <si>
    <t>مكتبي - التكاليف التشغيلية</t>
  </si>
  <si>
    <t>I152</t>
  </si>
  <si>
    <t>مكتبي - فترة استرداد رأس المال</t>
  </si>
  <si>
    <t>K152</t>
  </si>
  <si>
    <t>مكتبي - العائد على التكلفة السنوي</t>
  </si>
  <si>
    <t>L152</t>
  </si>
  <si>
    <t>مكتبي - إجمالي الربح التشغيلي</t>
  </si>
  <si>
    <t>M152</t>
  </si>
  <si>
    <t>▌ التأجير السنوي - تجاري</t>
  </si>
  <si>
    <t>تجاري - عدد الوحدات للتأجير</t>
  </si>
  <si>
    <t>التأجير السنوي - تجاري</t>
  </si>
  <si>
    <t>C153</t>
  </si>
  <si>
    <t>D153</t>
  </si>
  <si>
    <t>تجاري - تأجير المتر</t>
  </si>
  <si>
    <t>E153</t>
  </si>
  <si>
    <t>تجاري - قيمة تأجير الوحدة السنوي</t>
  </si>
  <si>
    <t>F153</t>
  </si>
  <si>
    <t>تجاري - نسبة الإشغال</t>
  </si>
  <si>
    <t>G153</t>
  </si>
  <si>
    <t>تجاري - إجمالي إيرادات التأجير السنوي</t>
  </si>
  <si>
    <t>H153</t>
  </si>
  <si>
    <t>تجاري - التكاليف التشغيلية</t>
  </si>
  <si>
    <t>I153</t>
  </si>
  <si>
    <t>تجاري - فترة استرداد رأس المال</t>
  </si>
  <si>
    <t>K153</t>
  </si>
  <si>
    <t>تجاري - العائد على التكلفة السنوي</t>
  </si>
  <si>
    <t>L153</t>
  </si>
  <si>
    <t>تجاري - إجمالي الربح التشغيلي</t>
  </si>
  <si>
    <t>M153</t>
  </si>
  <si>
    <t>▌ التأجير السنوي - فندقي</t>
  </si>
  <si>
    <t>فندقي - عدد الوحدات للتأجير</t>
  </si>
  <si>
    <t>التأجير السنوي - فندقي</t>
  </si>
  <si>
    <t>C154</t>
  </si>
  <si>
    <t>D154</t>
  </si>
  <si>
    <t>فندقي - تأجير المتر</t>
  </si>
  <si>
    <t>E154</t>
  </si>
  <si>
    <t>فندقي - قيمة تأجير الوحدة السنوي</t>
  </si>
  <si>
    <t>F154</t>
  </si>
  <si>
    <t>فندقي - نسبة الإشغال</t>
  </si>
  <si>
    <t>G154</t>
  </si>
  <si>
    <t>فندقي - إجمالي إيرادات التأجير السنوي</t>
  </si>
  <si>
    <t>H154</t>
  </si>
  <si>
    <t>فندقي - التكاليف التشغيلية</t>
  </si>
  <si>
    <t>I154</t>
  </si>
  <si>
    <t>فندقي - فترة استرداد رأس المال</t>
  </si>
  <si>
    <t>K154</t>
  </si>
  <si>
    <t>فندقي - العائد على التكلفة السنوي</t>
  </si>
  <si>
    <t>L154</t>
  </si>
  <si>
    <t>فندقي - إجمالي الربح التشغيلي</t>
  </si>
  <si>
    <t>M154</t>
  </si>
  <si>
    <t>▌ التأجير السنوي - صحي</t>
  </si>
  <si>
    <t>صحي - عدد الوحدات للتأجير</t>
  </si>
  <si>
    <t>التأجير السنوي - صحي</t>
  </si>
  <si>
    <t>C155</t>
  </si>
  <si>
    <t>D155</t>
  </si>
  <si>
    <t>صحي - تأجير المتر</t>
  </si>
  <si>
    <t>E155</t>
  </si>
  <si>
    <t>صحي - قيمة تأجير الوحدة السنوي</t>
  </si>
  <si>
    <t>F155</t>
  </si>
  <si>
    <t>صحي - نسبة الإشغال</t>
  </si>
  <si>
    <t>G155</t>
  </si>
  <si>
    <t>صحي - إجمالي إيرادات التأجير السنوي</t>
  </si>
  <si>
    <t>H155</t>
  </si>
  <si>
    <t>صحي - التكاليف التشغيلية</t>
  </si>
  <si>
    <t>I155</t>
  </si>
  <si>
    <t>صحي - فترة استرداد رأس المال</t>
  </si>
  <si>
    <t>K155</t>
  </si>
  <si>
    <t>صحي - العائد على التكلفة السنوي</t>
  </si>
  <si>
    <t>L155</t>
  </si>
  <si>
    <t>صحي - إجمالي الربح التشغيلي</t>
  </si>
  <si>
    <t>M155</t>
  </si>
  <si>
    <t>▌ التأجير السنوي - أخرى</t>
  </si>
  <si>
    <t>أخرى - عدد الوحدات للتأجير</t>
  </si>
  <si>
    <t>التأجير السنوي - أخرى</t>
  </si>
  <si>
    <t>C156</t>
  </si>
  <si>
    <t>D156</t>
  </si>
  <si>
    <t>أخرى - تأجير المتر</t>
  </si>
  <si>
    <t>E156</t>
  </si>
  <si>
    <t>أخرى - قيمة تأجير الوحدة السنوي</t>
  </si>
  <si>
    <t>F156</t>
  </si>
  <si>
    <t>أخرى - نسبة الإشغال</t>
  </si>
  <si>
    <t>G156</t>
  </si>
  <si>
    <t>أخرى - إجمالي إيرادات التأجير السنوي</t>
  </si>
  <si>
    <t>H156</t>
  </si>
  <si>
    <t>أخرى - التكاليف التشغيلية</t>
  </si>
  <si>
    <t>I156</t>
  </si>
  <si>
    <t>أخرى - فترة استرداد رأس المال</t>
  </si>
  <si>
    <t>K156</t>
  </si>
  <si>
    <t>أخرى - العائد على التكلفة السنوي</t>
  </si>
  <si>
    <t>L156</t>
  </si>
  <si>
    <t>أخرى - إجمالي الربح التشغيلي</t>
  </si>
  <si>
    <t>M156</t>
  </si>
  <si>
    <t>▌ التأجير السنوي - الإجمالي</t>
  </si>
  <si>
    <t>إجمالي عدد الوحدات للتأجير</t>
  </si>
  <si>
    <t>التأجير السنوي - الإجمالي</t>
  </si>
  <si>
    <t>C157</t>
  </si>
  <si>
    <t>إجمالي قيمة التأجير السنوي</t>
  </si>
  <si>
    <t>F157</t>
  </si>
  <si>
    <t>متوسط نسبة الإشغال</t>
  </si>
  <si>
    <t>G157</t>
  </si>
  <si>
    <t>إجمالي إيرادات التأجير السنوي</t>
  </si>
  <si>
    <t>H157</t>
  </si>
  <si>
    <t>إجمالي التكاليف التشغيلية للتأجير</t>
  </si>
  <si>
    <t>I157</t>
  </si>
  <si>
    <t>إجمالي الربح التشغيلي من التأجير</t>
  </si>
  <si>
    <t>M157</t>
  </si>
  <si>
    <t>▌ التأجير اليومي - سكني</t>
  </si>
  <si>
    <t>التأجير اليومي - سكني</t>
  </si>
  <si>
    <t>R147</t>
  </si>
  <si>
    <t>S147</t>
  </si>
  <si>
    <t>سكني - عدد الوحدات المشغولة سنوياً</t>
  </si>
  <si>
    <t>T147</t>
  </si>
  <si>
    <t>ليلة</t>
  </si>
  <si>
    <t>سكني - متوسط السعر اليومي</t>
  </si>
  <si>
    <t>U147</t>
  </si>
  <si>
    <t>ريال</t>
  </si>
  <si>
    <t>سكني - الإيراد الفعلي للوحدة السنوي</t>
  </si>
  <si>
    <t>V147</t>
  </si>
  <si>
    <t>سكني - نسبة إيرادات الأنشطة الإضافية</t>
  </si>
  <si>
    <t>W147</t>
  </si>
  <si>
    <t>سكني - إجمالي الإيرادات</t>
  </si>
  <si>
    <t>X147</t>
  </si>
  <si>
    <t>سكني - التكاليف التشغيلية والإدارية</t>
  </si>
  <si>
    <t>Y147</t>
  </si>
  <si>
    <t>Z147</t>
  </si>
  <si>
    <t>AA147</t>
  </si>
  <si>
    <t>▌ التأجير اليومي - فلل</t>
  </si>
  <si>
    <t>التأجير اليومي - فلل</t>
  </si>
  <si>
    <t>R148</t>
  </si>
  <si>
    <t>S148</t>
  </si>
  <si>
    <t>فلل - عدد الوحدات المشغولة سنوياً</t>
  </si>
  <si>
    <t>T148</t>
  </si>
  <si>
    <t>فلل - متوسط السعر اليومي</t>
  </si>
  <si>
    <t>U148</t>
  </si>
  <si>
    <t>فلل - الإيراد الفعلي للوحدة السنوي</t>
  </si>
  <si>
    <t>V148</t>
  </si>
  <si>
    <t>فلل - نسبة إيرادات الأنشطة الإضافية</t>
  </si>
  <si>
    <t>W148</t>
  </si>
  <si>
    <t>فلل - إجمالي الإيرادات</t>
  </si>
  <si>
    <t>X148</t>
  </si>
  <si>
    <t>فلل - التكاليف التشغيلية والإدارية</t>
  </si>
  <si>
    <t>Y148</t>
  </si>
  <si>
    <t>Z148</t>
  </si>
  <si>
    <t>AA148</t>
  </si>
  <si>
    <t>▌ التأجير اليومي - تاون هاوس</t>
  </si>
  <si>
    <t>التأجير اليومي - تاون هاوس</t>
  </si>
  <si>
    <t>R149</t>
  </si>
  <si>
    <t>S149</t>
  </si>
  <si>
    <t>تاون هاوس - عدد الوحدات المشغولة سنوياً</t>
  </si>
  <si>
    <t>T149</t>
  </si>
  <si>
    <t>تاون هاوس - متوسط السعر اليومي</t>
  </si>
  <si>
    <t>U149</t>
  </si>
  <si>
    <t>تاون هاوس - الإيراد الفعلي للوحدة السنوي</t>
  </si>
  <si>
    <t>V149</t>
  </si>
  <si>
    <t>تاون هاوس - نسبة إيرادات الأنشطة الإضافية</t>
  </si>
  <si>
    <t>W149</t>
  </si>
  <si>
    <t>تاون هاوس - إجمالي الإيرادات</t>
  </si>
  <si>
    <t>X149</t>
  </si>
  <si>
    <t>تاون هاوس - التكاليف التشغيلية والإدارية</t>
  </si>
  <si>
    <t>Y149</t>
  </si>
  <si>
    <t>Z149</t>
  </si>
  <si>
    <t>AA149</t>
  </si>
  <si>
    <t>▌ التأجير اليومي - أدوار</t>
  </si>
  <si>
    <t>التأجير اليومي - أدوار</t>
  </si>
  <si>
    <t>R150</t>
  </si>
  <si>
    <t>S150</t>
  </si>
  <si>
    <t>أدوار - عدد الوحدات المشغولة سنوياً</t>
  </si>
  <si>
    <t>T150</t>
  </si>
  <si>
    <t>أدوار - متوسط السعر اليومي</t>
  </si>
  <si>
    <t>U150</t>
  </si>
  <si>
    <t>أدوار - الإيراد الفعلي للوحدة السنوي</t>
  </si>
  <si>
    <t>V150</t>
  </si>
  <si>
    <t>أدوار - نسبة إيرادات الأنشطة الإضافية</t>
  </si>
  <si>
    <t>W150</t>
  </si>
  <si>
    <t>أدوار - إجمالي الإيرادات</t>
  </si>
  <si>
    <t>X150</t>
  </si>
  <si>
    <t>أدوار - التكاليف التشغيلية والإدارية</t>
  </si>
  <si>
    <t>Y150</t>
  </si>
  <si>
    <t>Z150</t>
  </si>
  <si>
    <t>AA150</t>
  </si>
  <si>
    <t>▌ التأجير اليومي - أستوديوهات</t>
  </si>
  <si>
    <t>التأجير اليومي - أستوديوهات</t>
  </si>
  <si>
    <t>R151</t>
  </si>
  <si>
    <t>S151</t>
  </si>
  <si>
    <t>أستوديوهات - عدد الوحدات المشغولة سنوياً</t>
  </si>
  <si>
    <t>T151</t>
  </si>
  <si>
    <t>أستوديوهات - متوسط السعر اليومي</t>
  </si>
  <si>
    <t>U151</t>
  </si>
  <si>
    <t>أستوديوهات - الإيراد الفعلي للوحدة السنوي</t>
  </si>
  <si>
    <t>V151</t>
  </si>
  <si>
    <t>أستوديوهات - نسبة إيرادات الأنشطة الإضافية</t>
  </si>
  <si>
    <t>W151</t>
  </si>
  <si>
    <t>أستوديوهات - إجمالي الإيرادات</t>
  </si>
  <si>
    <t>X151</t>
  </si>
  <si>
    <t>أستوديوهات - التكاليف التشغيلية والإدارية</t>
  </si>
  <si>
    <t>Y151</t>
  </si>
  <si>
    <t>Z151</t>
  </si>
  <si>
    <t>AA151</t>
  </si>
  <si>
    <t>▌ التأجير اليومي - مكتبي</t>
  </si>
  <si>
    <t>التأجير اليومي - مكتبي</t>
  </si>
  <si>
    <t>R152</t>
  </si>
  <si>
    <t>S152</t>
  </si>
  <si>
    <t>مكتبي - عدد الوحدات المشغولة سنوياً</t>
  </si>
  <si>
    <t>T152</t>
  </si>
  <si>
    <t>مكتبي - متوسط السعر اليومي</t>
  </si>
  <si>
    <t>U152</t>
  </si>
  <si>
    <t>مكتبي - الإيراد الفعلي للوحدة السنوي</t>
  </si>
  <si>
    <t>V152</t>
  </si>
  <si>
    <t>مكتبي - نسبة إيرادات الأنشطة الإضافية</t>
  </si>
  <si>
    <t>W152</t>
  </si>
  <si>
    <t>مكتبي - إجمالي الإيرادات</t>
  </si>
  <si>
    <t>X152</t>
  </si>
  <si>
    <t>مكتبي - التكاليف التشغيلية والإدارية</t>
  </si>
  <si>
    <t>Y152</t>
  </si>
  <si>
    <t>Z152</t>
  </si>
  <si>
    <t>AA152</t>
  </si>
  <si>
    <t>▌ التأجير اليومي - تجاري</t>
  </si>
  <si>
    <t>التأجير اليومي - تجاري</t>
  </si>
  <si>
    <t>R153</t>
  </si>
  <si>
    <t>S153</t>
  </si>
  <si>
    <t>تجاري - عدد الوحدات المشغولة سنوياً</t>
  </si>
  <si>
    <t>T153</t>
  </si>
  <si>
    <t>تجاري - متوسط السعر اليومي</t>
  </si>
  <si>
    <t>U153</t>
  </si>
  <si>
    <t>تجاري - الإيراد الفعلي للوحدة السنوي</t>
  </si>
  <si>
    <t>V153</t>
  </si>
  <si>
    <t>تجاري - نسبة إيرادات الأنشطة الإضافية</t>
  </si>
  <si>
    <t>W153</t>
  </si>
  <si>
    <t>تجاري - إجمالي الإيرادات</t>
  </si>
  <si>
    <t>X153</t>
  </si>
  <si>
    <t>تجاري - التكاليف التشغيلية والإدارية</t>
  </si>
  <si>
    <t>Y153</t>
  </si>
  <si>
    <t>Z153</t>
  </si>
  <si>
    <t>AA153</t>
  </si>
  <si>
    <t>▌ التأجير اليومي - فندقي</t>
  </si>
  <si>
    <t>التأجير اليومي - فندقي</t>
  </si>
  <si>
    <t>R154</t>
  </si>
  <si>
    <t>S154</t>
  </si>
  <si>
    <t>فندقي - عدد الوحدات المشغولة سنوياً</t>
  </si>
  <si>
    <t>T154</t>
  </si>
  <si>
    <t>فندقي - متوسط السعر اليومي</t>
  </si>
  <si>
    <t>U154</t>
  </si>
  <si>
    <t>فندقي - الإيراد الفعلي للوحدة السنوي</t>
  </si>
  <si>
    <t>V154</t>
  </si>
  <si>
    <t>فندقي - نسبة إيرادات الأنشطة الإضافية</t>
  </si>
  <si>
    <t>W154</t>
  </si>
  <si>
    <t>فندقي - إجمالي الإيرادات</t>
  </si>
  <si>
    <t>X154</t>
  </si>
  <si>
    <t>فندقي - التكاليف التشغيلية والإدارية</t>
  </si>
  <si>
    <t>Y154</t>
  </si>
  <si>
    <t>Z154</t>
  </si>
  <si>
    <t>AA154</t>
  </si>
  <si>
    <t>▌ التأجير اليومي - صحي</t>
  </si>
  <si>
    <t>التأجير اليومي - صحي</t>
  </si>
  <si>
    <t>R155</t>
  </si>
  <si>
    <t>S155</t>
  </si>
  <si>
    <t>صحي - عدد الوحدات المشغولة سنوياً</t>
  </si>
  <si>
    <t>T155</t>
  </si>
  <si>
    <t>صحي - متوسط السعر اليومي</t>
  </si>
  <si>
    <t>U155</t>
  </si>
  <si>
    <t>صحي - الإيراد الفعلي للوحدة السنوي</t>
  </si>
  <si>
    <t>V155</t>
  </si>
  <si>
    <t>صحي - نسبة إيرادات الأنشطة الإضافية</t>
  </si>
  <si>
    <t>W155</t>
  </si>
  <si>
    <t>صحي - إجمالي الإيرادات</t>
  </si>
  <si>
    <t>X155</t>
  </si>
  <si>
    <t>صحي - التكاليف التشغيلية والإدارية</t>
  </si>
  <si>
    <t>Y155</t>
  </si>
  <si>
    <t>Z155</t>
  </si>
  <si>
    <t>AA155</t>
  </si>
  <si>
    <t>▌ التأجير اليومي - أخرى</t>
  </si>
  <si>
    <t>التأجير اليومي - أخرى</t>
  </si>
  <si>
    <t>R156</t>
  </si>
  <si>
    <t>S156</t>
  </si>
  <si>
    <t>أخرى - عدد الوحدات المشغولة سنوياً</t>
  </si>
  <si>
    <t>T156</t>
  </si>
  <si>
    <t>أخرى - متوسط السعر اليومي</t>
  </si>
  <si>
    <t>U156</t>
  </si>
  <si>
    <t>أخرى - الإيراد الفعلي للوحدة السنوي</t>
  </si>
  <si>
    <t>V156</t>
  </si>
  <si>
    <t>أخرى - نسبة إيرادات الأنشطة الإضافية</t>
  </si>
  <si>
    <t>W156</t>
  </si>
  <si>
    <t>أخرى - إجمالي الإيرادات</t>
  </si>
  <si>
    <t>X156</t>
  </si>
  <si>
    <t>أخرى - التكاليف التشغيلية والإدارية</t>
  </si>
  <si>
    <t>Y156</t>
  </si>
  <si>
    <t>Z156</t>
  </si>
  <si>
    <t>AA156</t>
  </si>
  <si>
    <t>▌ التأجير اليومي - الإجمالي</t>
  </si>
  <si>
    <t>إجمالي عدد وحدات التأجير اليومي</t>
  </si>
  <si>
    <t>التأجير اليومي - الإجمالي</t>
  </si>
  <si>
    <t>R157</t>
  </si>
  <si>
    <t>إجمالي عدد الوحدات المشغولة سنوياً</t>
  </si>
  <si>
    <t>T157</t>
  </si>
  <si>
    <t>إجمالي إيرادات التأجير اليومي</t>
  </si>
  <si>
    <t>X157</t>
  </si>
  <si>
    <t>إجمالي التكاليف التشغيلية للتأجير اليومي</t>
  </si>
  <si>
    <t>Y157</t>
  </si>
  <si>
    <t>▌ البيع على الخارطة</t>
  </si>
  <si>
    <t>إجمالي إيرادات البيع على الخارطة</t>
  </si>
  <si>
    <t>C303</t>
  </si>
  <si>
    <t>دفعات مراحل الإنجاز</t>
  </si>
  <si>
    <t>C304</t>
  </si>
  <si>
    <t>الدفعات الأولى + دفعات الإنجاز</t>
  </si>
  <si>
    <t>C305</t>
  </si>
  <si>
    <t>عدد الوحدات المباعة على الخارطة</t>
  </si>
  <si>
    <t>C306</t>
  </si>
  <si>
    <t>متوسط سعر بيع الوحدة (الخارطة)</t>
  </si>
  <si>
    <t>C307</t>
  </si>
  <si>
    <t>إجمالي رسوم وافي</t>
  </si>
  <si>
    <t>C308</t>
  </si>
  <si>
    <t>نسبة رسوم وافي</t>
  </si>
  <si>
    <t>D308</t>
  </si>
  <si>
    <t>أتعاب المكتب الاستشاري الهندسي</t>
  </si>
  <si>
    <t>C309</t>
  </si>
  <si>
    <t>نسبة أتعاب المكتب الاستشاري</t>
  </si>
  <si>
    <t>D309</t>
  </si>
  <si>
    <t>تكاليف المحاسب القانوني المعتمد</t>
  </si>
  <si>
    <t>C310</t>
  </si>
  <si>
    <t>نسبة تكاليف المحاسب القانوني</t>
  </si>
  <si>
    <t>D310</t>
  </si>
  <si>
    <t>إجمالي قيمة استقطاع الضمان</t>
  </si>
  <si>
    <t>C311</t>
  </si>
  <si>
    <t>نسبة استقطاع الضمان</t>
  </si>
  <si>
    <t>D311</t>
  </si>
  <si>
    <t>قيم الدفعات الأولى</t>
  </si>
  <si>
    <t>C312</t>
  </si>
  <si>
    <t>نسبة الدفعات الأولى</t>
  </si>
  <si>
    <t>D312</t>
  </si>
  <si>
    <t>صافي المبيعات على الخارطة</t>
  </si>
  <si>
    <t>C313</t>
  </si>
  <si>
    <t>▌ مصروفات الصندوق</t>
  </si>
  <si>
    <t>رسوم ترتيب القرض</t>
  </si>
  <si>
    <t>مصروفات الصندوق</t>
  </si>
  <si>
    <t>E321</t>
  </si>
  <si>
    <t>نسبة رسوم ترتيب القرض</t>
  </si>
  <si>
    <t>C321</t>
  </si>
  <si>
    <t>رسوم إدارة الهيكل</t>
  </si>
  <si>
    <t>E322</t>
  </si>
  <si>
    <t>نسبة رسوم إدارة الهيكل</t>
  </si>
  <si>
    <t>C322</t>
  </si>
  <si>
    <t>رسوم إدارة الأصول</t>
  </si>
  <si>
    <t>E323</t>
  </si>
  <si>
    <t>نسبة رسوم إدارة الأصول</t>
  </si>
  <si>
    <t>C323</t>
  </si>
  <si>
    <t>أتعاب المشغل</t>
  </si>
  <si>
    <t>E324</t>
  </si>
  <si>
    <t>نسبة أتعاب المشغل</t>
  </si>
  <si>
    <t>C324</t>
  </si>
  <si>
    <t>إجمالي مصروفات الصندوق</t>
  </si>
  <si>
    <t>E325</t>
  </si>
  <si>
    <t>▌ التسهيلات المصرفية</t>
  </si>
  <si>
    <t>نسبة فوائد التمويل السنوية</t>
  </si>
  <si>
    <t>التسهيلات المصرفية</t>
  </si>
  <si>
    <t>F242</t>
  </si>
  <si>
    <t>نسبة فوائد التمويل الربع السنوية (QER)</t>
  </si>
  <si>
    <t>F244</t>
  </si>
  <si>
    <t>▌ التدفقات النقدية</t>
  </si>
  <si>
    <t>الاشتراكات النقدية - قيمة إجمالية</t>
  </si>
  <si>
    <t>التدفقات النقدية</t>
  </si>
  <si>
    <t>C180</t>
  </si>
  <si>
    <t>الاشتراك النقدي من المطور - قيمة إجمالية</t>
  </si>
  <si>
    <t>C181</t>
  </si>
  <si>
    <t>الاشتراك العيني من المطور - قيمة إجمالية</t>
  </si>
  <si>
    <t>C182</t>
  </si>
  <si>
    <t>الاشتراك العيني من مالك الأرض - قيمة إجمالية</t>
  </si>
  <si>
    <t>C183</t>
  </si>
  <si>
    <t>البيع على الخارطة - قيمة إجمالية</t>
  </si>
  <si>
    <t>C184</t>
  </si>
  <si>
    <t>التأجير السنوي - قيمة إجمالية</t>
  </si>
  <si>
    <t>C185</t>
  </si>
  <si>
    <t>التأجير اليومي - قيمة إجمالية</t>
  </si>
  <si>
    <t>C186</t>
  </si>
  <si>
    <t>البيع المباشر - قيمة إجمالية</t>
  </si>
  <si>
    <t>C187</t>
  </si>
  <si>
    <t>المخارجة (Buyout) - قيمة إجمالية</t>
  </si>
  <si>
    <t>C188</t>
  </si>
  <si>
    <t>أصل التمويل - قيمة إجمالية</t>
  </si>
  <si>
    <t>C189</t>
  </si>
  <si>
    <t>سداد أصل التمويل - قيمة إجمالية</t>
  </si>
  <si>
    <t>C191</t>
  </si>
  <si>
    <t>نسبة فوائد التمويل</t>
  </si>
  <si>
    <t>C192</t>
  </si>
  <si>
    <t>نسبة رسوم ترتيب التمويل</t>
  </si>
  <si>
    <t>C193</t>
  </si>
  <si>
    <t>تكلفة الأرض (تدفقات)</t>
  </si>
  <si>
    <t>C194</t>
  </si>
  <si>
    <t>ضريبة التصرفات + السعي (تدفقات)</t>
  </si>
  <si>
    <t>C195</t>
  </si>
  <si>
    <t>تكاليف مسطحات البناء (تدفقات)</t>
  </si>
  <si>
    <t>C196</t>
  </si>
  <si>
    <t>صافي التدفق النقدي (تدفقات)</t>
  </si>
  <si>
    <t>C218</t>
  </si>
  <si>
    <t>إجمالي CapEx + OpEx (تدفقات)</t>
  </si>
  <si>
    <t>C219</t>
  </si>
  <si>
    <t>إجمالي الإيرادات (تدفقات)</t>
  </si>
  <si>
    <t>C220</t>
  </si>
  <si>
    <t>صافي الدخل (تدفقات)</t>
  </si>
  <si>
    <t>C221</t>
  </si>
  <si>
    <t>الاطار الزمني (ربع سنوي)</t>
  </si>
  <si>
    <t>التاريخ</t>
  </si>
  <si>
    <t>الايراد
(Revenue)</t>
  </si>
  <si>
    <t>اجمالي التكاليف</t>
  </si>
  <si>
    <t xml:space="preserve">اجمالي الايراد </t>
  </si>
  <si>
    <t>درة الغدير</t>
  </si>
  <si>
    <t>الرياض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</si>
</sst>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9">
    <numFmt numFmtId="43" formatCode="_(* #,##0.00_);_(* \(#,##0.00\);_(* &quot;-&quot;??_);_(@_)"/>
    <numFmt numFmtId="164" formatCode="0%&quot; نسبة الأشتراك العيني من المطور&quot;"/>
    <numFmt numFmtId="165" formatCode="0%\ &quot;نسبة الأشتراك العيني من مالك الأرض&quot;"/>
    <numFmt numFmtId="166" formatCode="#,##0\ &quot;اجمالي قيمة فائدة البنك&quot;"/>
    <numFmt numFmtId="167" formatCode="#,##0.0"/>
    <numFmt numFmtId="168" formatCode="#,##0&quot; m²&quot;"/>
    <numFmt numFmtId="169" formatCode="0%\ &quot;نسبة التحمل&quot;"/>
    <numFmt numFmtId="170" formatCode="#,##0\ &quot;إجمالي تكاليف البناء&quot;"/>
    <numFmt numFmtId="171" formatCode="#,##0_ ;[Red]\-#,##0\ "/>
    <numFmt numFmtId="172" formatCode="0.0%"/>
    <numFmt numFmtId="173" formatCode="0.00%\ &quot;نسبة رسوم المطور&quot;"/>
    <numFmt numFmtId="174" formatCode="0.00%\ &quot;إجمالي نسبة فائدة التمويل&quot;"/>
    <numFmt numFmtId="175" formatCode="0.00%\ &quot;نسبة الفائدة السنوية خلال فترة المشروع&quot;"/>
    <numFmt numFmtId="176" formatCode="0.00%\ &quot;المتوسط&quot;"/>
    <numFmt numFmtId="177" formatCode="0%\ &quot; نسبة تكاليف الصيانة السنوية&quot;"/>
    <numFmt numFmtId="178" formatCode="#,##0\ &quot;المتبقي من الحد الأعلى للتمويل&quot;"/>
    <numFmt numFmtId="179" formatCode="0.00%\ &quot;(Low) منخفض&quot;"/>
    <numFmt numFmtId="180" formatCode="#,##0\ \ &quot;عدد الوحدات المتبقية&quot;"/>
    <numFmt numFmtId="181" formatCode="&quot;Avg&quot;\ #,##0"/>
    <numFmt numFmtId="182" formatCode="&quot;Avg&quot;\ #,##0&quot; m²&quot;"/>
    <numFmt numFmtId="183" formatCode="&quot;Avg&quot;\ 0%"/>
    <numFmt numFmtId="184" formatCode="&quot;Avg&quot;\ 0.00%"/>
    <numFmt numFmtId="185" formatCode="#,##0\ \ &quot;إجمالي قيمة الصيانة السنوية&quot;"/>
    <numFmt numFmtId="186" formatCode="#,##0\ &quot;N.sqm  &quot;"/>
    <numFmt numFmtId="187" formatCode="\ &quot;Investment Duration&quot;\ 0.0\ &quot;yrs&quot;"/>
    <numFmt numFmtId="188" formatCode="0.00%\ &quot;(Developer costs) - تكاليف المطور &quot;"/>
    <numFmt numFmtId="189" formatCode="0.00%\ &quot;(Interest) -  فوائد التمويل&quot;"/>
    <numFmt numFmtId="190" formatCode="0.00%\ &quot;(Arrangement Fee) -  رسوم ترتيب التمويل&quot;"/>
    <numFmt numFmtId="191" formatCode="0.00%\ &quot;(Annual Fund fees) -  رسوم الصندوق السنوية&quot;"/>
    <numFmt numFmtId="192" formatCode="#,##0\ &quot;NSA.m²&quot;"/>
    <numFmt numFmtId="193" formatCode="#,##0\ &quot; LA.m²&quot;"/>
    <numFmt numFmtId="194" formatCode="#,##0\ &quot;TDA.m²&quot;"/>
    <numFmt numFmtId="195" formatCode="#,##0\ &quot;/ LA.m²&quot;"/>
    <numFmt numFmtId="196" formatCode="#,##0\ &quot;/ TDA.m²&quot;"/>
    <numFmt numFmtId="197" formatCode="#,##0\ &quot; / NSA.m²&quot;"/>
    <numFmt numFmtId="198" formatCode="0.00%\ &quot;نسبة التمويل المطلوب من المسموح&quot;"/>
    <numFmt numFmtId="199" formatCode="0.00%\ &quot;الحد الأعلى لنسبة التمويل البنكي من تكاليف التطوير&quot;"/>
    <numFmt numFmtId="200" formatCode="0.00%\ &quot;نسبة الرسوم&quot;"/>
    <numFmt numFmtId="201" formatCode="0%\ &quot;نسبة الدفعة المقدمة&quot;"/>
    <numFmt numFmtId="202" formatCode="0.00%\ &quot; نسبة التكاليف التشغيلية والإدارية&quot;"/>
    <numFmt numFmtId="203" formatCode="0.000%"/>
    <numFmt numFmtId="204" formatCode="&quot;Avg&quot;\ #,##0.00"/>
    <numFmt numFmtId="205" formatCode="0.00%\ &quot;الحد الأعلى لنسبة التمويل البنكي من الأرض&quot;"/>
    <numFmt numFmtId="206" formatCode="0.0000%"/>
    <numFmt numFmtId="207" formatCode="_(* #,##0_);_(* \(#,##0\);_(* &quot;-&quot;??_);_(@_)"/>
    <numFmt numFmtId="208" formatCode="0.00%\ \ &quot;من مدة المشروع الإجمالية&quot;"/>
    <numFmt numFmtId="209" formatCode="#,##0\ \ &quot;مجموع القيم السابقة&quot;"/>
    <numFmt numFmtId="210" formatCode="#,##0\ &quot;تكلفة متر الأرض قبل الضريبة و السعي&quot;"/>
    <numFmt numFmtId="211" formatCode="0%\ &quot;من إجمالي الأمتار البيعية&quot;"/>
    <numFmt numFmtId="212" formatCode="#,##0.000000000000"/>
    <numFmt numFmtId="213" formatCode="#,##0.000000"/>
    <numFmt numFmtId="214" formatCode="#,##0.0000000000000000000000000000000000000000000"/>
    <numFmt numFmtId="215" formatCode="yyyy\-mm\-dd;@"/>
    <numFmt numFmtId="216" formatCode="0.000000%"/>
    <numFmt numFmtId="217" formatCode="#,##0\ &quot;- Total Project Units&quot;"/>
    <numFmt numFmtId="218" formatCode="&quot;المتبقي من الحد الأقصى للتمويل&quot;\ #,##0_);[Red]\(#,##0\)"/>
    <numFmt numFmtId="219" formatCode="0.00000000000%"/>
    <numFmt numFmtId="220" formatCode="[$SAR]\ #,##0_);[Red]\([$SAR]\ #,##0\)"/>
    <numFmt numFmtId="221" formatCode="0.00%\ &quot;نسبة التحوط&quot;"/>
    <numFmt numFmtId="222" formatCode="#,##0.0\ &quot;Y&quot;"/>
    <numFmt numFmtId="223" formatCode="#,##0\ &quot;Q&quot;"/>
    <numFmt numFmtId="224" formatCode="#,##0\ &quot;M&quot;"/>
    <numFmt numFmtId="225" formatCode="#,##0\ &quot;D&quot;"/>
    <numFmt numFmtId="226" formatCode="#,##0\ &quot;Units&quot;"/>
    <numFmt numFmtId="227" formatCode="&quot; Total Duration&quot;\ 0.0\ &quot;yrs&quot;"/>
    <numFmt numFmtId="228" formatCode="#,##0.00\ &quot;- Years&quot;"/>
    <numFmt numFmtId="229" formatCode="0.00%\ &quot;المقاول&quot;"/>
    <numFmt numFmtId="230" formatCode="#,##0.00;[Red]\(#,##0.00\);0.00"/>
    <numFmt numFmtId="231" formatCode="#,##0.00000000"/>
    <numFmt numFmtId="232" formatCode="#,##0.000000;[Red]\(#,##0.000000\);0.000000"/>
    <numFmt numFmtId="233" formatCode="0.00%\ &quot;الفلل - نسبة البيع من مساحة الأرض*&quot;"/>
    <numFmt numFmtId="234" formatCode="0.00%\ &quot;التاون هاوس - نسبة البيع من مساحة الأرض*&quot;"/>
    <numFmt numFmtId="235" formatCode="#,##0.00&quot; m²&quot;"/>
    <numFmt numFmtId="236" formatCode="#,##0\ &quot; - الإجمالي&quot;"/>
    <numFmt numFmtId="237" formatCode="#,##0.000"/>
    <numFmt numFmtId="238" formatCode="#,##0.00000"/>
    <numFmt numFmtId="239" formatCode="#,##0.00;\(#,##0.00\);\-"/>
    <numFmt numFmtId="240" formatCode="0.0000"/>
    <numFmt numFmtId="241" formatCode="#,##0;\(#,##0\);\-"/>
  </numFmts>
  <fonts count="110" x14ac:knownFonts="1">
    <font>
      <sz val="11"/>
      <color theme="1"/>
      <name val="Arial"/>
      <family val="2"/>
      <scheme val="minor"/>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11"/>
      <color theme="1"/>
      <name val="Arial"/>
      <family val="2"/>
      <scheme val="minor"/>
    </font>
    <font>
      <sz val="6"/>
      <color theme="1"/>
      <name val="Calibri"/>
      <family val="2"/>
    </font>
    <font>
      <sz val="6"/>
      <color theme="0"/>
      <name val="Calibri"/>
      <family val="2"/>
    </font>
    <font>
      <sz val="7"/>
      <color theme="1"/>
      <name val="Calibri"/>
      <family val="2"/>
    </font>
    <font>
      <sz val="10"/>
      <color theme="0"/>
      <name val="Calibri"/>
      <family val="2"/>
    </font>
    <font>
      <sz val="8"/>
      <color theme="0"/>
      <name val="Calibri"/>
      <family val="2"/>
    </font>
    <font>
      <sz val="8"/>
      <color rgb="FFD60000"/>
      <name val="Calibri"/>
      <family val="2"/>
    </font>
    <font>
      <sz val="8"/>
      <color theme="5" tint="-0.249977111117893"/>
      <name val="Calibri"/>
      <family val="2"/>
    </font>
    <font>
      <sz val="8"/>
      <color theme="5" tint="-0.24994659260841701"/>
      <name val="Calibri"/>
      <family val="2"/>
    </font>
    <font>
      <sz val="8"/>
      <name val="Calibri"/>
      <family val="2"/>
    </font>
    <font>
      <sz val="8"/>
      <color theme="5" tint="0.59999389629810485"/>
      <name val="Calibri"/>
      <family val="2"/>
    </font>
    <font>
      <sz val="7"/>
      <name val="Calibri"/>
      <family val="2"/>
    </font>
    <font>
      <sz val="6"/>
      <name val="Calibri"/>
      <family val="2"/>
    </font>
    <font>
      <sz val="8"/>
      <color rgb="FFFF0000"/>
      <name val="Calibri"/>
      <family val="2"/>
    </font>
    <font>
      <sz val="7"/>
      <color theme="0" tint="-0.14999847407452621"/>
      <name val="Calibri"/>
      <family val="2"/>
    </font>
    <font>
      <sz val="7"/>
      <color theme="0"/>
      <name val="Calibri"/>
      <family val="2"/>
    </font>
    <font>
      <sz val="7"/>
      <color theme="5" tint="0.59999389629810485"/>
      <name val="Calibri"/>
      <family val="2"/>
    </font>
    <font>
      <sz val="11"/>
      <name val="Calibri"/>
      <family val="2"/>
    </font>
    <font>
      <sz val="6"/>
      <color rgb="FFD5D5D5"/>
      <name val="Calibri"/>
      <family val="2"/>
    </font>
    <font>
      <sz val="8"/>
      <color rgb="FFC65911"/>
      <name val="Calibri"/>
      <family val="2"/>
    </font>
    <font>
      <sz val="7"/>
      <color theme="0" tint="-0.249977111117893"/>
      <name val="Calibri"/>
      <family val="2"/>
    </font>
    <font>
      <sz val="5"/>
      <name val="Calibri"/>
      <family val="2"/>
    </font>
    <font>
      <sz val="14"/>
      <color theme="1"/>
      <name val="Calibri"/>
      <family val="2"/>
    </font>
    <font>
      <sz val="14"/>
      <name val="Calibri"/>
      <family val="2"/>
    </font>
    <font>
      <sz val="12"/>
      <name val="Calibri"/>
      <family val="2"/>
    </font>
    <font>
      <sz val="14"/>
      <color theme="0"/>
      <name val="Calibri"/>
      <family val="2"/>
    </font>
    <font>
      <sz val="14"/>
      <color rgb="FF7F7F7F"/>
      <name val="Calibri"/>
      <family val="2"/>
    </font>
    <font>
      <b/>
      <sz val="14"/>
      <color rgb="FFA37953"/>
      <name val="Calibri"/>
      <family val="2"/>
    </font>
    <font>
      <b/>
      <sz val="20"/>
      <color theme="1"/>
      <name val="Calibri"/>
      <family val="2"/>
    </font>
    <font>
      <b/>
      <sz val="14"/>
      <color theme="1"/>
      <name val="Calibri"/>
      <family val="2"/>
    </font>
    <font>
      <sz val="12"/>
      <color theme="1"/>
      <name val="Calibri"/>
      <family val="2"/>
    </font>
    <font>
      <b/>
      <sz val="12"/>
      <color theme="1"/>
      <name val="Calibri"/>
      <family val="2"/>
    </font>
    <font>
      <sz val="14"/>
      <color theme="9" tint="-0.499984740745262"/>
      <name val="Calibri"/>
      <family val="2"/>
    </font>
    <font>
      <sz val="14"/>
      <color rgb="FFC00000"/>
      <name val="Calibri"/>
      <family val="2"/>
    </font>
    <font>
      <sz val="14"/>
      <color theme="9" tint="-0.249977111117893"/>
      <name val="Calibri"/>
      <family val="2"/>
    </font>
    <font>
      <sz val="16"/>
      <color theme="1"/>
      <name val="Calibri"/>
      <family val="2"/>
    </font>
    <font>
      <sz val="14"/>
      <color rgb="FFFF0000"/>
      <name val="Calibri"/>
      <family val="2"/>
    </font>
    <font>
      <sz val="8"/>
      <color theme="0" tint="-0.14999847407452621"/>
      <name val="Calibri"/>
      <family val="2"/>
    </font>
    <font>
      <sz val="6"/>
      <color theme="0" tint="-0.14999847407452621"/>
      <name val="Calibri"/>
      <family val="2"/>
    </font>
    <font>
      <sz val="7"/>
      <color rgb="FF00B050"/>
      <name val="Calibri"/>
      <family val="2"/>
    </font>
    <font>
      <sz val="8"/>
      <color theme="9" tint="-0.249977111117893"/>
      <name val="Calibri"/>
      <family val="2"/>
    </font>
    <font>
      <sz val="7"/>
      <color theme="9" tint="-0.249977111117893"/>
      <name val="Calibri"/>
      <family val="2"/>
    </font>
    <font>
      <sz val="7"/>
      <color rgb="FFFF0000"/>
      <name val="Calibri"/>
      <family val="2"/>
    </font>
    <font>
      <sz val="12"/>
      <color theme="0"/>
      <name val="Calibri"/>
      <family val="2"/>
    </font>
    <font>
      <sz val="8"/>
      <name val="Arial"/>
      <family val="2"/>
      <scheme val="minor"/>
    </font>
    <font>
      <sz val="8"/>
      <color rgb="FFC00000"/>
      <name val="Calibri"/>
      <family val="2"/>
    </font>
    <font>
      <sz val="7"/>
      <color rgb="FFC00000"/>
      <name val="Calibri"/>
      <family val="2"/>
    </font>
    <font>
      <sz val="8"/>
      <color theme="0" tint="-0.249977111117893"/>
      <name val="Calibri"/>
      <family val="2"/>
    </font>
    <font>
      <sz val="11"/>
      <color theme="0"/>
      <name val="Calibri"/>
      <family val="2"/>
    </font>
    <font>
      <u/>
      <sz val="11"/>
      <color theme="10"/>
      <name val="Arial"/>
      <family val="2"/>
      <scheme val="minor"/>
    </font>
    <font>
      <u/>
      <sz val="10"/>
      <color theme="10"/>
      <name val="Arial"/>
      <family val="2"/>
    </font>
    <font>
      <b/>
      <sz val="8"/>
      <name val="Calibri"/>
      <family val="2"/>
    </font>
    <font>
      <u/>
      <sz val="8"/>
      <name val="Calibri"/>
      <family val="2"/>
    </font>
    <font>
      <b/>
      <u/>
      <sz val="10"/>
      <color theme="0"/>
      <name val="Calibri"/>
      <family val="2"/>
    </font>
    <font>
      <sz val="12"/>
      <color rgb="FFDAD2CC"/>
      <name val="Calibri"/>
      <family val="2"/>
    </font>
    <font>
      <b/>
      <u/>
      <sz val="12"/>
      <color theme="0"/>
      <name val="Calibri"/>
      <family val="2"/>
    </font>
    <font>
      <sz val="10"/>
      <color theme="1"/>
      <name val="Calibri"/>
      <family val="2"/>
    </font>
    <font>
      <sz val="11"/>
      <color theme="1"/>
      <name val="Calibri"/>
      <family val="2"/>
    </font>
    <font>
      <u/>
      <sz val="8"/>
      <color rgb="FF493833"/>
      <name val="Calibri"/>
      <family val="2"/>
    </font>
    <font>
      <sz val="8"/>
      <color rgb="FF493833"/>
      <name val="Calibri"/>
      <family val="2"/>
    </font>
    <font>
      <b/>
      <sz val="11"/>
      <color theme="1"/>
      <name val="Calibri"/>
      <family val="2"/>
    </font>
    <font>
      <b/>
      <sz val="14"/>
      <color theme="9" tint="-0.249977111117893"/>
      <name val="Calibri"/>
      <family val="2"/>
    </font>
    <font>
      <sz val="26"/>
      <color theme="0"/>
      <name val="Calibri"/>
      <family val="2"/>
    </font>
    <font>
      <sz val="16"/>
      <color theme="9" tint="-0.249977111117893"/>
      <name val="Calibri"/>
      <family val="2"/>
    </font>
    <font>
      <sz val="11"/>
      <color theme="0" tint="-0.14999847407452621"/>
      <name val="Calibri"/>
      <family val="2"/>
    </font>
    <font>
      <sz val="10"/>
      <color theme="0" tint="-0.14999847407452621"/>
      <name val="Calibri"/>
      <family val="2"/>
    </font>
    <font>
      <sz val="12"/>
      <color rgb="FFC00000"/>
      <name val="Calibri"/>
      <family val="2"/>
    </font>
    <font>
      <sz val="12"/>
      <color theme="9" tint="-0.249977111117893"/>
      <name val="Calibri"/>
      <family val="2"/>
    </font>
    <font>
      <sz val="12"/>
      <color rgb="FF7F7F7F"/>
      <name val="Calibri"/>
      <family val="2"/>
    </font>
    <font>
      <sz val="11"/>
      <color rgb="FF7F7F7F"/>
      <name val="Calibri"/>
      <family val="2"/>
    </font>
    <font>
      <sz val="10"/>
      <color rgb="FFD9D9D9"/>
      <name val="Calibri"/>
      <family val="2"/>
    </font>
    <font>
      <sz val="7"/>
      <color rgb="FFA0A0A0"/>
      <name val="Calibri"/>
      <family val="2"/>
    </font>
    <font>
      <sz val="13"/>
      <color theme="1"/>
      <name val="Calibri"/>
      <family val="2"/>
    </font>
    <font>
      <sz val="16"/>
      <color rgb="FFC00000"/>
      <name val="Calibri"/>
      <family val="2"/>
    </font>
    <font>
      <b/>
      <sz val="11"/>
      <color rgb="FFA37953"/>
      <name val="Calibri"/>
      <family val="2"/>
    </font>
    <font>
      <b/>
      <sz val="18"/>
      <color rgb="FFA37953"/>
      <name val="Calibri"/>
      <family val="2"/>
    </font>
    <font>
      <sz val="11"/>
      <color rgb="FFC00000"/>
      <name val="Calibri"/>
      <family val="2"/>
    </font>
    <font>
      <sz val="11"/>
      <color theme="9" tint="-0.249977111117893"/>
      <name val="Calibri"/>
      <family val="2"/>
    </font>
    <font>
      <u/>
      <sz val="11"/>
      <color rgb="FFDACBBC"/>
      <name val="Arial"/>
      <family val="2"/>
      <scheme val="minor"/>
    </font>
    <font>
      <sz val="8"/>
      <color theme="1"/>
      <name val="Arial"/>
      <family val="2"/>
      <scheme val="minor"/>
    </font>
    <font>
      <sz val="6"/>
      <color rgb="FFC00000"/>
      <name val="Calibri"/>
      <family val="2"/>
    </font>
    <font>
      <sz val="10"/>
      <name val="Calibri"/>
      <family val="2"/>
    </font>
    <font>
      <sz val="8"/>
      <color rgb="FF000000"/>
      <name val="Calibri"/>
      <family val="2"/>
    </font>
    <font>
      <b/>
      <sz val="5"/>
      <color indexed="81"/>
      <name val="Arial"/>
      <family val="2"/>
      <scheme val="minor"/>
    </font>
    <font>
      <b/>
      <sz val="6"/>
      <color indexed="81"/>
      <name val="Arial"/>
      <family val="2"/>
      <scheme val="minor"/>
    </font>
    <font>
      <sz val="6"/>
      <color indexed="81"/>
      <name val="Arial"/>
      <family val="2"/>
      <scheme val="minor"/>
    </font>
    <font>
      <sz val="8"/>
      <color rgb="FFA0A0A0"/>
      <name val="Calibri"/>
      <family val="2"/>
    </font>
    <font>
      <sz val="14"/>
      <color rgb="FFA0A0A0"/>
      <name val="Calibri"/>
      <family val="2"/>
    </font>
    <font>
      <sz val="11"/>
      <color rgb="FFA0A0A0"/>
      <name val="Calibri"/>
      <family val="2"/>
    </font>
    <font>
      <sz val="11"/>
      <name val="Arial"/>
      <family val="2"/>
      <scheme val="minor"/>
    </font>
    <font>
      <b/>
      <sz val="16"/>
      <color rgb="FFFFFFFF"/>
      <name val="Arial"/>
      <family val="2"/>
    </font>
    <font>
      <sz val="8"/>
      <name val="Calibri"/>
      <family val="2"/>
      <charset val="1"/>
    </font>
    <font>
      <i/>
      <sz val="10"/>
      <color rgb="FF595959"/>
      <name val="Arial"/>
      <family val="2"/>
    </font>
    <font>
      <b/>
      <sz val="11"/>
      <color rgb="FFFFFFFF"/>
      <name val="Arial"/>
      <family val="2"/>
    </font>
    <font>
      <sz val="10"/>
      <name val="Arial"/>
      <family val="2"/>
    </font>
    <font>
      <sz val="10"/>
      <color rgb="FF000000"/>
      <name val="Arial"/>
      <family val="2"/>
    </font>
    <font>
      <sz val="10"/>
      <color rgb="FF0070C0"/>
      <name val="Arial"/>
      <family val="2"/>
    </font>
    <font>
      <b/>
      <sz val="10"/>
      <name val="Arial"/>
      <family val="2"/>
    </font>
    <font>
      <b/>
      <sz val="10"/>
      <color rgb="FF000000"/>
      <name val="Arial"/>
      <family val="2"/>
    </font>
  </fonts>
  <fills count="13">
    <fill>
      <patternFill patternType="none"/>
    </fill>
    <fill>
      <patternFill patternType="gray125"/>
    </fill>
    <fill>
      <patternFill patternType="solid">
        <fgColor rgb="FFA4907E"/>
        <bgColor indexed="64"/>
      </patternFill>
    </fill>
    <fill>
      <patternFill patternType="solid">
        <fgColor rgb="FFF0EAE4"/>
        <bgColor indexed="64"/>
      </patternFill>
    </fill>
    <fill>
      <patternFill patternType="solid">
        <fgColor rgb="FFEDE4D6"/>
        <bgColor indexed="64"/>
      </patternFill>
    </fill>
    <fill>
      <patternFill patternType="solid">
        <fgColor rgb="FFAC9A8A"/>
        <bgColor indexed="64"/>
      </patternFill>
    </fill>
    <fill>
      <patternFill patternType="solid">
        <fgColor theme="0"/>
        <bgColor indexed="64"/>
      </patternFill>
    </fill>
    <fill>
      <patternFill patternType="solid">
        <fgColor rgb="FFFFFF00"/>
        <bgColor indexed="64"/>
      </patternFill>
    </fill>
    <fill>
      <patternFill patternType="solid">
        <fgColor rgb="FFF2F0EE"/>
        <bgColor indexed="64"/>
      </patternFill>
    </fill>
    <fill>
      <patternFill patternType="solid">
        <fgColor rgb="FF1F4E78"/>
        <bgColor rgb="FF305496"/>
      </patternFill>
    </fill>
    <fill>
      <patternFill patternType="solid">
        <fgColor rgb="FF2E75B6"/>
        <bgColor rgb="FF4472C4"/>
      </patternFill>
    </fill>
    <fill>
      <patternFill patternType="solid">
        <fgColor rgb="FF305496"/>
        <bgColor rgb="FF1F4E78"/>
      </patternFill>
    </fill>
    <fill>
      <patternFill patternType="solid">
        <fgColor rgb="FFF2F2F2"/>
        <bgColor rgb="FFF5F5F5"/>
      </patternFill>
    </fill>
  </fills>
  <borders count="129">
    <border>
      <left/>
      <right/>
      <top/>
      <bottom/>
      <diagonal/>
    </border>
    <border>
      <left style="medium">
        <color rgb="FFDAD2CC"/>
      </left>
      <right style="thin">
        <color rgb="FFDAD2CC"/>
      </right>
      <top style="medium">
        <color rgb="FFDAD2CC"/>
      </top>
      <bottom style="thin">
        <color rgb="FFDAD2CC"/>
      </bottom>
      <diagonal/>
    </border>
    <border>
      <left style="thin">
        <color rgb="FFDAD2CC"/>
      </left>
      <right style="thin">
        <color rgb="FFDAD2CC"/>
      </right>
      <top style="medium">
        <color rgb="FFDAD2CC"/>
      </top>
      <bottom style="thin">
        <color rgb="FFDAD2CC"/>
      </bottom>
      <diagonal/>
    </border>
    <border>
      <left style="thin">
        <color rgb="FFDAD2CC"/>
      </left>
      <right style="medium">
        <color rgb="FFDAD2CC"/>
      </right>
      <top style="medium">
        <color rgb="FFDAD2CC"/>
      </top>
      <bottom style="thin">
        <color rgb="FFDAD2CC"/>
      </bottom>
      <diagonal/>
    </border>
    <border>
      <left style="medium">
        <color rgb="FFDAD2CC"/>
      </left>
      <right style="thin">
        <color rgb="FFDAD2CC"/>
      </right>
      <top style="thin">
        <color rgb="FFDAD2CC"/>
      </top>
      <bottom style="thin">
        <color rgb="FFDAD2CC"/>
      </bottom>
      <diagonal/>
    </border>
    <border>
      <left style="thin">
        <color rgb="FFDAD2CC"/>
      </left>
      <right style="thin">
        <color rgb="FFDAD2CC"/>
      </right>
      <top style="thin">
        <color rgb="FFDAD2CC"/>
      </top>
      <bottom style="thin">
        <color rgb="FFDAD2CC"/>
      </bottom>
      <diagonal/>
    </border>
    <border>
      <left style="thin">
        <color rgb="FFDAD2CC"/>
      </left>
      <right style="medium">
        <color rgb="FFDAD2CC"/>
      </right>
      <top style="thin">
        <color rgb="FFDAD2CC"/>
      </top>
      <bottom style="thin">
        <color rgb="FFDAD2CC"/>
      </bottom>
      <diagonal/>
    </border>
    <border>
      <left style="medium">
        <color rgb="FFDAD2CC"/>
      </left>
      <right style="thin">
        <color rgb="FFDAD2CC"/>
      </right>
      <top style="thin">
        <color rgb="FFDAD2CC"/>
      </top>
      <bottom style="medium">
        <color rgb="FFDAD2CC"/>
      </bottom>
      <diagonal/>
    </border>
    <border>
      <left style="thin">
        <color rgb="FFDAD2CC"/>
      </left>
      <right style="thin">
        <color rgb="FFDAD2CC"/>
      </right>
      <top style="thin">
        <color rgb="FFDAD2CC"/>
      </top>
      <bottom style="medium">
        <color rgb="FFDAD2CC"/>
      </bottom>
      <diagonal/>
    </border>
    <border>
      <left style="thin">
        <color rgb="FFDAD2CC"/>
      </left>
      <right style="medium">
        <color rgb="FFDAD2CC"/>
      </right>
      <top style="thin">
        <color rgb="FFDAD2CC"/>
      </top>
      <bottom style="medium">
        <color rgb="FFDAD2CC"/>
      </bottom>
      <diagonal/>
    </border>
    <border>
      <left style="medium">
        <color rgb="FFDAD2CC"/>
      </left>
      <right style="medium">
        <color rgb="FFDAD2CC"/>
      </right>
      <top style="medium">
        <color rgb="FFDAD2CC"/>
      </top>
      <bottom style="medium">
        <color rgb="FFDAD2CC"/>
      </bottom>
      <diagonal/>
    </border>
    <border>
      <left style="medium">
        <color rgb="FFDAD2CC"/>
      </left>
      <right style="medium">
        <color rgb="FFDAD2CC"/>
      </right>
      <top style="medium">
        <color rgb="FFDAD2CC"/>
      </top>
      <bottom style="thin">
        <color rgb="FFDAD2CC"/>
      </bottom>
      <diagonal/>
    </border>
    <border>
      <left style="medium">
        <color rgb="FFDAD2CC"/>
      </left>
      <right style="medium">
        <color rgb="FFDAD2CC"/>
      </right>
      <top style="thin">
        <color rgb="FFDAD2CC"/>
      </top>
      <bottom style="medium">
        <color rgb="FFDAD2CC"/>
      </bottom>
      <diagonal/>
    </border>
    <border>
      <left style="thin">
        <color rgb="FFDAD2CC"/>
      </left>
      <right style="thin">
        <color rgb="FFDAD2CC"/>
      </right>
      <top style="thin">
        <color rgb="FFDAD2CC"/>
      </top>
      <bottom/>
      <diagonal/>
    </border>
    <border>
      <left style="medium">
        <color rgb="FFDAD2CC"/>
      </left>
      <right style="medium">
        <color rgb="FFDAD2CC"/>
      </right>
      <top style="thin">
        <color rgb="FFDAD2CC"/>
      </top>
      <bottom style="thin">
        <color rgb="FFDAD2CC"/>
      </bottom>
      <diagonal/>
    </border>
    <border>
      <left style="thin">
        <color rgb="FFDAD2CC"/>
      </left>
      <right style="thin">
        <color rgb="FFDAD2CC"/>
      </right>
      <top/>
      <bottom style="thin">
        <color rgb="FFDAD2CC"/>
      </bottom>
      <diagonal/>
    </border>
    <border>
      <left style="medium">
        <color rgb="FFDAD2CC"/>
      </left>
      <right style="thin">
        <color rgb="FFDAD2CC"/>
      </right>
      <top style="thin">
        <color rgb="FFDAD2CC"/>
      </top>
      <bottom/>
      <diagonal/>
    </border>
    <border>
      <left style="thin">
        <color rgb="FFDAD2CC"/>
      </left>
      <right style="medium">
        <color rgb="FFDAD2CC"/>
      </right>
      <top style="thin">
        <color rgb="FFDAD2CC"/>
      </top>
      <bottom/>
      <diagonal/>
    </border>
    <border>
      <left style="medium">
        <color rgb="FFDAD2CC"/>
      </left>
      <right style="thin">
        <color rgb="FFDAD2CC"/>
      </right>
      <top/>
      <bottom style="thin">
        <color rgb="FFDAD2CC"/>
      </bottom>
      <diagonal/>
    </border>
    <border>
      <left style="thin">
        <color rgb="FFDAD2CC"/>
      </left>
      <right style="medium">
        <color rgb="FFDAD2CC"/>
      </right>
      <top/>
      <bottom style="thin">
        <color rgb="FFDAD2CC"/>
      </bottom>
      <diagonal/>
    </border>
    <border>
      <left/>
      <right style="medium">
        <color rgb="FFDAD2CC"/>
      </right>
      <top/>
      <bottom/>
      <diagonal/>
    </border>
    <border>
      <left style="thin">
        <color rgb="FFDAD2CC"/>
      </left>
      <right/>
      <top style="thin">
        <color rgb="FFDAD2CC"/>
      </top>
      <bottom style="thin">
        <color rgb="FFDAD2CC"/>
      </bottom>
      <diagonal/>
    </border>
    <border>
      <left/>
      <right/>
      <top/>
      <bottom style="thin">
        <color rgb="FFDAD2CC"/>
      </bottom>
      <diagonal/>
    </border>
    <border>
      <left/>
      <right style="medium">
        <color rgb="FFDAD2CC"/>
      </right>
      <top/>
      <bottom style="thin">
        <color rgb="FFDAD2CC"/>
      </bottom>
      <diagonal/>
    </border>
    <border>
      <left style="medium">
        <color rgb="FFDAD2CC"/>
      </left>
      <right/>
      <top style="medium">
        <color rgb="FFDAD2CC"/>
      </top>
      <bottom style="medium">
        <color rgb="FFDAD2CC"/>
      </bottom>
      <diagonal/>
    </border>
    <border>
      <left/>
      <right/>
      <top style="medium">
        <color rgb="FFDAD2CC"/>
      </top>
      <bottom style="medium">
        <color rgb="FFDAD2CC"/>
      </bottom>
      <diagonal/>
    </border>
    <border>
      <left/>
      <right style="medium">
        <color rgb="FFDAD2CC"/>
      </right>
      <top style="medium">
        <color rgb="FFDAD2CC"/>
      </top>
      <bottom style="medium">
        <color rgb="FFDAD2CC"/>
      </bottom>
      <diagonal/>
    </border>
    <border>
      <left/>
      <right/>
      <top style="medium">
        <color rgb="FFDAD2CC"/>
      </top>
      <bottom/>
      <diagonal/>
    </border>
    <border>
      <left style="medium">
        <color rgb="FFDAD2CC"/>
      </left>
      <right/>
      <top/>
      <bottom style="thin">
        <color rgb="FFDAD2CC"/>
      </bottom>
      <diagonal/>
    </border>
    <border>
      <left style="thin">
        <color rgb="FFDAD2CC"/>
      </left>
      <right/>
      <top style="thin">
        <color rgb="FFDAD2CC"/>
      </top>
      <bottom style="medium">
        <color rgb="FFDAD2CC"/>
      </bottom>
      <diagonal/>
    </border>
    <border>
      <left/>
      <right style="thin">
        <color rgb="FFDAD2CC"/>
      </right>
      <top style="thin">
        <color rgb="FFDAD2CC"/>
      </top>
      <bottom style="medium">
        <color rgb="FFDAD2CC"/>
      </bottom>
      <diagonal/>
    </border>
    <border>
      <left style="medium">
        <color rgb="FFDAD2CC"/>
      </left>
      <right/>
      <top style="thin">
        <color rgb="FFDAD2CC"/>
      </top>
      <bottom style="thin">
        <color rgb="FFDAD2CC"/>
      </bottom>
      <diagonal/>
    </border>
    <border>
      <left/>
      <right style="thin">
        <color rgb="FFDAD2CC"/>
      </right>
      <top style="thin">
        <color rgb="FFDAD2CC"/>
      </top>
      <bottom style="thin">
        <color rgb="FFDAD2CC"/>
      </bottom>
      <diagonal/>
    </border>
    <border>
      <left/>
      <right style="thin">
        <color rgb="FFDAD2CC"/>
      </right>
      <top/>
      <bottom style="thin">
        <color rgb="FFDAD2CC"/>
      </bottom>
      <diagonal/>
    </border>
    <border>
      <left style="medium">
        <color rgb="FFDAD2CC"/>
      </left>
      <right/>
      <top style="medium">
        <color rgb="FFDAD2CC"/>
      </top>
      <bottom/>
      <diagonal/>
    </border>
    <border>
      <left style="medium">
        <color rgb="FFDAD2CC"/>
      </left>
      <right/>
      <top/>
      <bottom/>
      <diagonal/>
    </border>
    <border>
      <left/>
      <right style="medium">
        <color rgb="FFDAD2CC"/>
      </right>
      <top style="medium">
        <color rgb="FFDAD2CC"/>
      </top>
      <bottom style="thin">
        <color rgb="FFDAD2CC"/>
      </bottom>
      <diagonal/>
    </border>
    <border>
      <left style="medium">
        <color rgb="FFDAD2CC"/>
      </left>
      <right style="medium">
        <color rgb="FFDAD2CC"/>
      </right>
      <top style="medium">
        <color rgb="FFDAD2CC"/>
      </top>
      <bottom/>
      <diagonal/>
    </border>
    <border>
      <left style="medium">
        <color rgb="FFDAD2CC"/>
      </left>
      <right/>
      <top style="medium">
        <color rgb="FFDAD2CC"/>
      </top>
      <bottom style="thin">
        <color rgb="FFDAD2CC"/>
      </bottom>
      <diagonal/>
    </border>
    <border>
      <left/>
      <right/>
      <top style="medium">
        <color rgb="FFDAD2CC"/>
      </top>
      <bottom style="thin">
        <color rgb="FFDAD2CC"/>
      </bottom>
      <diagonal/>
    </border>
    <border>
      <left style="medium">
        <color rgb="FFDAD2CC"/>
      </left>
      <right/>
      <top/>
      <bottom style="medium">
        <color rgb="FFDAD2CC"/>
      </bottom>
      <diagonal/>
    </border>
    <border>
      <left/>
      <right/>
      <top/>
      <bottom style="medium">
        <color rgb="FFDAD2CC"/>
      </bottom>
      <diagonal/>
    </border>
    <border>
      <left style="double">
        <color rgb="FFBEB0A6"/>
      </left>
      <right/>
      <top style="double">
        <color rgb="FFBEB0A6"/>
      </top>
      <bottom/>
      <diagonal/>
    </border>
    <border>
      <left/>
      <right/>
      <top style="double">
        <color rgb="FFBEB0A6"/>
      </top>
      <bottom/>
      <diagonal/>
    </border>
    <border>
      <left/>
      <right style="double">
        <color rgb="FFBEB0A6"/>
      </right>
      <top style="double">
        <color rgb="FFBEB0A6"/>
      </top>
      <bottom/>
      <diagonal/>
    </border>
    <border>
      <left style="double">
        <color rgb="FFBEB0A6"/>
      </left>
      <right/>
      <top/>
      <bottom/>
      <diagonal/>
    </border>
    <border>
      <left/>
      <right style="double">
        <color rgb="FFBEB0A6"/>
      </right>
      <top/>
      <bottom/>
      <diagonal/>
    </border>
    <border>
      <left style="double">
        <color rgb="FFBEB0A6"/>
      </left>
      <right/>
      <top/>
      <bottom style="double">
        <color rgb="FFBEB0A6"/>
      </bottom>
      <diagonal/>
    </border>
    <border>
      <left/>
      <right/>
      <top/>
      <bottom style="double">
        <color rgb="FFBEB0A6"/>
      </bottom>
      <diagonal/>
    </border>
    <border>
      <left/>
      <right style="double">
        <color rgb="FFBEB0A6"/>
      </right>
      <top/>
      <bottom style="double">
        <color rgb="FFBEB0A6"/>
      </bottom>
      <diagonal/>
    </border>
    <border>
      <left/>
      <right style="medium">
        <color rgb="FFDAD2CC"/>
      </right>
      <top style="medium">
        <color rgb="FFDAD2CC"/>
      </top>
      <bottom/>
      <diagonal/>
    </border>
    <border>
      <left/>
      <right style="medium">
        <color rgb="FFDAD2CC"/>
      </right>
      <top/>
      <bottom style="medium">
        <color rgb="FFDAD2CC"/>
      </bottom>
      <diagonal/>
    </border>
    <border>
      <left style="medium">
        <color rgb="FFDAD2CC"/>
      </left>
      <right/>
      <top style="thin">
        <color rgb="FFDAD2CC"/>
      </top>
      <bottom style="medium">
        <color rgb="FFDAD2CC"/>
      </bottom>
      <diagonal/>
    </border>
    <border>
      <left/>
      <right style="thin">
        <color rgb="FFDAD2CC"/>
      </right>
      <top style="medium">
        <color rgb="FFDAD2CC"/>
      </top>
      <bottom style="thin">
        <color rgb="FFDAD2CC"/>
      </bottom>
      <diagonal/>
    </border>
    <border>
      <left/>
      <right/>
      <top/>
      <bottom style="hair">
        <color auto="1"/>
      </bottom>
      <diagonal/>
    </border>
    <border>
      <left style="thin">
        <color theme="0" tint="-0.14996795556505021"/>
      </left>
      <right style="thin">
        <color theme="0" tint="-0.14996795556505021"/>
      </right>
      <top/>
      <bottom/>
      <diagonal/>
    </border>
    <border>
      <left style="thick">
        <color rgb="FFDAD2CC"/>
      </left>
      <right style="thin">
        <color rgb="FFDAD2CC"/>
      </right>
      <top style="thin">
        <color rgb="FFDAD2CC"/>
      </top>
      <bottom style="thin">
        <color rgb="FFDAD2CC"/>
      </bottom>
      <diagonal/>
    </border>
    <border>
      <left style="thick">
        <color rgb="FFDAD2CC"/>
      </left>
      <right style="thin">
        <color rgb="FFDAD2CC"/>
      </right>
      <top style="thin">
        <color rgb="FFDAD2CC"/>
      </top>
      <bottom style="medium">
        <color rgb="FFDAD2CC"/>
      </bottom>
      <diagonal/>
    </border>
    <border>
      <left style="thin">
        <color rgb="FFDAD2CC"/>
      </left>
      <right/>
      <top style="medium">
        <color rgb="FFDAD2CC"/>
      </top>
      <bottom style="thin">
        <color rgb="FFDAD2CC"/>
      </bottom>
      <diagonal/>
    </border>
    <border>
      <left style="thick">
        <color rgb="FFDAD2CC"/>
      </left>
      <right style="thin">
        <color rgb="FFDAD2CC"/>
      </right>
      <top style="medium">
        <color rgb="FFDAD2CC"/>
      </top>
      <bottom style="thin">
        <color rgb="FFDAD2CC"/>
      </bottom>
      <diagonal/>
    </border>
    <border>
      <left style="thin">
        <color theme="0" tint="-0.14996795556505021"/>
      </left>
      <right/>
      <top/>
      <bottom/>
      <diagonal/>
    </border>
    <border>
      <left style="medium">
        <color rgb="FFDAD2CC"/>
      </left>
      <right/>
      <top style="thin">
        <color rgb="FFDAD2CC"/>
      </top>
      <bottom/>
      <diagonal/>
    </border>
    <border>
      <left/>
      <right style="thin">
        <color rgb="FFDAD2CC"/>
      </right>
      <top style="thin">
        <color rgb="FFDAD2CC"/>
      </top>
      <bottom/>
      <diagonal/>
    </border>
    <border>
      <left style="thin">
        <color rgb="FFDAD2CC"/>
      </left>
      <right style="thin">
        <color rgb="FFDAD2CC"/>
      </right>
      <top/>
      <bottom style="medium">
        <color rgb="FFDAD2CC"/>
      </bottom>
      <diagonal/>
    </border>
    <border>
      <left/>
      <right style="thin">
        <color rgb="FFDAD2CC"/>
      </right>
      <top/>
      <bottom style="medium">
        <color rgb="FFDAD2CC"/>
      </bottom>
      <diagonal/>
    </border>
    <border>
      <left style="thin">
        <color rgb="FFDAD2CC"/>
      </left>
      <right style="medium">
        <color rgb="FFDAD2CC"/>
      </right>
      <top/>
      <bottom style="medium">
        <color rgb="FFDAD2CC"/>
      </bottom>
      <diagonal/>
    </border>
    <border>
      <left style="thin">
        <color rgb="FFDAD2CC"/>
      </left>
      <right style="thick">
        <color rgb="FFDAD2CC"/>
      </right>
      <top style="thin">
        <color rgb="FFDAD2CC"/>
      </top>
      <bottom style="medium">
        <color rgb="FFDAD2CC"/>
      </bottom>
      <diagonal/>
    </border>
    <border>
      <left style="thin">
        <color rgb="FFDAD2CC"/>
      </left>
      <right style="thick">
        <color rgb="FFDAD2CC"/>
      </right>
      <top style="thin">
        <color rgb="FFDAD2CC"/>
      </top>
      <bottom style="thin">
        <color rgb="FFDAD2CC"/>
      </bottom>
      <diagonal/>
    </border>
    <border>
      <left style="thin">
        <color rgb="FFDAD2CC"/>
      </left>
      <right style="thick">
        <color rgb="FFDAD2CC"/>
      </right>
      <top/>
      <bottom style="thin">
        <color rgb="FFDAD2CC"/>
      </bottom>
      <diagonal/>
    </border>
    <border>
      <left style="thin">
        <color rgb="FFDAD2CC"/>
      </left>
      <right style="thick">
        <color rgb="FFDAD2CC"/>
      </right>
      <top style="medium">
        <color rgb="FFDAD2CC"/>
      </top>
      <bottom style="thin">
        <color rgb="FFDAD2CC"/>
      </bottom>
      <diagonal/>
    </border>
    <border>
      <left style="thin">
        <color rgb="FFDAD2CC"/>
      </left>
      <right style="thick">
        <color rgb="FFDAD2CC"/>
      </right>
      <top style="thin">
        <color rgb="FFDAD2CC"/>
      </top>
      <bottom/>
      <diagonal/>
    </border>
    <border>
      <left style="thin">
        <color rgb="FFDAD2CC"/>
      </left>
      <right style="thick">
        <color rgb="FFDAD2CC"/>
      </right>
      <top/>
      <bottom style="medium">
        <color rgb="FFDAD2CC"/>
      </bottom>
      <diagonal/>
    </border>
    <border>
      <left style="medium">
        <color rgb="FFDAD2CC"/>
      </left>
      <right style="thick">
        <color rgb="FFDAD2CC"/>
      </right>
      <top style="medium">
        <color rgb="FFDAD2CC"/>
      </top>
      <bottom/>
      <diagonal/>
    </border>
    <border>
      <left style="medium">
        <color rgb="FFDAD2CC"/>
      </left>
      <right style="thick">
        <color rgb="FFDAD2CC"/>
      </right>
      <top/>
      <bottom/>
      <diagonal/>
    </border>
    <border>
      <left style="medium">
        <color rgb="FFDAD2CC"/>
      </left>
      <right style="thick">
        <color rgb="FFDAD2CC"/>
      </right>
      <top/>
      <bottom style="medium">
        <color rgb="FFDAD2CC"/>
      </bottom>
      <diagonal/>
    </border>
    <border>
      <left style="medium">
        <color rgb="FFDAD2CC"/>
      </left>
      <right style="thin">
        <color rgb="FFDAD2CC"/>
      </right>
      <top/>
      <bottom style="medium">
        <color rgb="FFDAD2CC"/>
      </bottom>
      <diagonal/>
    </border>
    <border>
      <left/>
      <right/>
      <top/>
      <bottom style="medium">
        <color theme="1" tint="0.499984740745262"/>
      </bottom>
      <diagonal/>
    </border>
    <border>
      <left/>
      <right/>
      <top style="medium">
        <color theme="1" tint="0.499984740745262"/>
      </top>
      <bottom/>
      <diagonal/>
    </border>
    <border>
      <left style="thin">
        <color rgb="FFD9D9D9"/>
      </left>
      <right/>
      <top style="medium">
        <color theme="1" tint="0.499984740745262"/>
      </top>
      <bottom/>
      <diagonal/>
    </border>
    <border>
      <left style="thin">
        <color rgb="FFD9D9D9"/>
      </left>
      <right/>
      <top/>
      <bottom/>
      <diagonal/>
    </border>
    <border>
      <left style="thin">
        <color rgb="FFD9D9D9"/>
      </left>
      <right/>
      <top/>
      <bottom style="medium">
        <color theme="1" tint="0.499984740745262"/>
      </bottom>
      <diagonal/>
    </border>
    <border>
      <left style="thin">
        <color rgb="FFD9D9D9"/>
      </left>
      <right style="hair">
        <color rgb="FF808080"/>
      </right>
      <top style="medium">
        <color theme="1" tint="0.499984740745262"/>
      </top>
      <bottom/>
      <diagonal/>
    </border>
    <border>
      <left style="thin">
        <color rgb="FFD9D9D9"/>
      </left>
      <right style="hair">
        <color rgb="FF808080"/>
      </right>
      <top/>
      <bottom/>
      <diagonal/>
    </border>
    <border>
      <left style="thin">
        <color rgb="FFD9D9D9"/>
      </left>
      <right style="hair">
        <color rgb="FF808080"/>
      </right>
      <top/>
      <bottom style="medium">
        <color theme="1" tint="0.499984740745262"/>
      </bottom>
      <diagonal/>
    </border>
    <border>
      <left/>
      <right style="thin">
        <color rgb="FFD9D9D9"/>
      </right>
      <top style="medium">
        <color theme="1" tint="0.499984740745262"/>
      </top>
      <bottom/>
      <diagonal/>
    </border>
    <border>
      <left/>
      <right style="thin">
        <color rgb="FFD9D9D9"/>
      </right>
      <top/>
      <bottom/>
      <diagonal/>
    </border>
    <border>
      <left/>
      <right style="thin">
        <color rgb="FFD9D9D9"/>
      </right>
      <top/>
      <bottom style="medium">
        <color theme="1" tint="0.499984740745262"/>
      </bottom>
      <diagonal/>
    </border>
    <border>
      <left/>
      <right/>
      <top/>
      <bottom style="thin">
        <color rgb="FFD9D9D9"/>
      </bottom>
      <diagonal/>
    </border>
    <border>
      <left/>
      <right/>
      <top/>
      <bottom style="medium">
        <color rgb="FF808080"/>
      </bottom>
      <diagonal/>
    </border>
    <border>
      <left style="thin">
        <color rgb="FFD9D9D9"/>
      </left>
      <right/>
      <top/>
      <bottom style="medium">
        <color rgb="FF808080"/>
      </bottom>
      <diagonal/>
    </border>
    <border>
      <left/>
      <right style="medium">
        <color rgb="FFDAD2CC"/>
      </right>
      <top/>
      <bottom style="medium">
        <color theme="1" tint="0.499984740745262"/>
      </bottom>
      <diagonal/>
    </border>
    <border>
      <left/>
      <right style="medium">
        <color rgb="FFDAD2CC"/>
      </right>
      <top style="medium">
        <color theme="1" tint="0.499984740745262"/>
      </top>
      <bottom/>
      <diagonal/>
    </border>
    <border>
      <left/>
      <right style="medium">
        <color rgb="FFDAD2CC"/>
      </right>
      <top/>
      <bottom style="medium">
        <color rgb="FF808080"/>
      </bottom>
      <diagonal/>
    </border>
    <border>
      <left style="medium">
        <color rgb="FFDAD2CC"/>
      </left>
      <right/>
      <top/>
      <bottom style="medium">
        <color theme="1" tint="0.499984740745262"/>
      </bottom>
      <diagonal/>
    </border>
    <border>
      <left style="medium">
        <color rgb="FFDAD2CC"/>
      </left>
      <right/>
      <top/>
      <bottom style="medium">
        <color rgb="FF808080"/>
      </bottom>
      <diagonal/>
    </border>
    <border>
      <left style="medium">
        <color rgb="FFDAD2CC"/>
      </left>
      <right/>
      <top style="medium">
        <color rgb="FF808080"/>
      </top>
      <bottom/>
      <diagonal/>
    </border>
    <border>
      <left/>
      <right/>
      <top style="medium">
        <color rgb="FF808080"/>
      </top>
      <bottom/>
      <diagonal/>
    </border>
    <border>
      <left style="thin">
        <color rgb="FFD9D9D9"/>
      </left>
      <right/>
      <top style="medium">
        <color rgb="FF808080"/>
      </top>
      <bottom/>
      <diagonal/>
    </border>
    <border>
      <left/>
      <right style="medium">
        <color rgb="FFDAD2CC"/>
      </right>
      <top style="medium">
        <color rgb="FF808080"/>
      </top>
      <bottom/>
      <diagonal/>
    </border>
    <border>
      <left style="thin">
        <color rgb="FFA0A0A0"/>
      </left>
      <right style="thin">
        <color rgb="FFA0A0A0"/>
      </right>
      <top style="thin">
        <color rgb="FFA0A0A0"/>
      </top>
      <bottom style="thin">
        <color rgb="FFA0A0A0"/>
      </bottom>
      <diagonal/>
    </border>
    <border>
      <left/>
      <right style="thin">
        <color rgb="FFA0A0A0"/>
      </right>
      <top/>
      <bottom style="thin">
        <color rgb="FFA0A0A0"/>
      </bottom>
      <diagonal/>
    </border>
    <border>
      <left style="thin">
        <color rgb="FFA0A0A0"/>
      </left>
      <right/>
      <top/>
      <bottom style="thin">
        <color rgb="FFA0A0A0"/>
      </bottom>
      <diagonal/>
    </border>
    <border>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style="thin">
        <color rgb="FFA0A0A0"/>
      </right>
      <top style="thin">
        <color rgb="FFA0A0A0"/>
      </top>
      <bottom/>
      <diagonal/>
    </border>
    <border>
      <left style="thin">
        <color rgb="FFA0A0A0"/>
      </left>
      <right/>
      <top style="thin">
        <color rgb="FFA0A0A0"/>
      </top>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rgb="FFDAD2CC"/>
      </bottom>
      <diagonal/>
    </border>
    <border>
      <left/>
      <right style="medium">
        <color theme="1" tint="0.499984740745262"/>
      </right>
      <top/>
      <bottom style="medium">
        <color rgb="FFDAD2CC"/>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bottom style="medium">
        <color rgb="FFDAD2CC"/>
      </bottom>
      <diagonal/>
    </border>
    <border>
      <left/>
      <right style="medium">
        <color rgb="FFDAD2CC"/>
      </right>
      <top style="thin">
        <color rgb="FFDAD2CC"/>
      </top>
      <bottom style="thin">
        <color rgb="FFDAD2CC"/>
      </bottom>
      <diagonal/>
    </border>
    <border>
      <left style="medium">
        <color rgb="FFDAD2CC"/>
      </left>
      <right style="thin">
        <color rgb="FFDAD2CC"/>
      </right>
      <top style="medium">
        <color rgb="FFDAD2CC"/>
      </top>
      <bottom/>
      <diagonal/>
    </border>
    <border>
      <left style="thin">
        <color rgb="FFDAD2CC"/>
      </left>
      <right style="thin">
        <color rgb="FFDAD2CC"/>
      </right>
      <top style="medium">
        <color rgb="FFDAD2CC"/>
      </top>
      <bottom/>
      <diagonal/>
    </border>
    <border>
      <left/>
      <right style="medium">
        <color rgb="FFDAD2CC"/>
      </right>
      <top style="thin">
        <color rgb="FFDAD2CC"/>
      </top>
      <bottom style="medium">
        <color rgb="FFDAD2CC"/>
      </bottom>
      <diagonal/>
    </border>
    <border>
      <left style="medium">
        <color rgb="FFDAD2CC"/>
      </left>
      <right style="medium">
        <color rgb="FFDAD2CC"/>
      </right>
      <top/>
      <bottom/>
      <diagonal/>
    </border>
    <border>
      <left style="medium">
        <color rgb="FFDAD2CC"/>
      </left>
      <right style="medium">
        <color rgb="FFDAD2CC"/>
      </right>
      <top/>
      <bottom style="medium">
        <color rgb="FFDAD2CC"/>
      </bottom>
      <diagonal/>
    </border>
    <border>
      <left style="thin">
        <color rgb="FFDAD2CC"/>
      </left>
      <right/>
      <top style="medium">
        <color rgb="FFDAD2CC"/>
      </top>
      <bottom/>
      <diagonal/>
    </border>
    <border>
      <left/>
      <right style="medium">
        <color rgb="FFDAD2CC"/>
      </right>
      <top style="thin">
        <color rgb="FFDAD2CC"/>
      </top>
      <bottom/>
      <diagonal/>
    </border>
    <border>
      <left style="thin">
        <color rgb="FFDAD2CC"/>
      </left>
      <right/>
      <top/>
      <bottom style="thin">
        <color rgb="FFDAD2CC"/>
      </bottom>
      <diagonal/>
    </border>
    <border>
      <left style="medium">
        <color rgb="FFDAD2CC"/>
      </left>
      <right style="thin">
        <color rgb="FFDAD2CC"/>
      </right>
      <top style="medium">
        <color rgb="FFDAD2CC"/>
      </top>
      <bottom style="medium">
        <color rgb="FFDAD2CC"/>
      </bottom>
      <diagonal/>
    </border>
    <border>
      <left style="thin">
        <color rgb="FFDAD2CC"/>
      </left>
      <right style="thin">
        <color rgb="FFDAD2CC"/>
      </right>
      <top style="medium">
        <color rgb="FFDAD2CC"/>
      </top>
      <bottom style="medium">
        <color rgb="FFDAD2CC"/>
      </bottom>
      <diagonal/>
    </border>
    <border>
      <left style="thin">
        <color rgb="FFDAD2CC"/>
      </left>
      <right/>
      <top style="medium">
        <color rgb="FFDAD2CC"/>
      </top>
      <bottom style="medium">
        <color rgb="FFDAD2CC"/>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7">
    <xf numFmtId="0" fontId="0" fillId="0" borderId="0"/>
    <xf numFmtId="43" fontId="11" fillId="0" borderId="0" applyFont="0" applyFill="0" applyBorder="0" applyAlignment="0" applyProtection="0"/>
    <xf numFmtId="9" fontId="11" fillId="0" borderId="0" applyFont="0" applyFill="0" applyBorder="0" applyAlignment="0" applyProtection="0"/>
    <xf numFmtId="0" fontId="60" fillId="0" borderId="0" applyNumberFormat="0" applyFill="0" applyBorder="0" applyAlignment="0" applyProtection="0"/>
    <xf numFmtId="0" fontId="11" fillId="0" borderId="0"/>
    <xf numFmtId="0" fontId="11" fillId="0" borderId="0"/>
    <xf numFmtId="0" fontId="61" fillId="0" borderId="0" applyNumberFormat="0" applyFill="0" applyBorder="0" applyAlignment="0" applyProtection="0"/>
  </cellStyleXfs>
  <cellXfs count="1147">
    <xf numFmtId="0" fontId="0" fillId="0" borderId="0" xfId="0"/>
    <xf numFmtId="3" fontId="20" fillId="2" borderId="7" xfId="0" applyNumberFormat="1" applyFont="1" applyFill="1" applyBorder="1" applyAlignment="1">
      <alignment horizontal="center" vertical="center" wrapText="1" shrinkToFit="1"/>
    </xf>
    <xf numFmtId="168" fontId="20" fillId="2" borderId="8" xfId="0" applyNumberFormat="1" applyFont="1" applyFill="1" applyBorder="1" applyAlignment="1">
      <alignment horizontal="center" vertical="center" wrapText="1" shrinkToFit="1"/>
    </xf>
    <xf numFmtId="4" fontId="20" fillId="2" borderId="8" xfId="0" applyNumberFormat="1" applyFont="1" applyFill="1" applyBorder="1" applyAlignment="1">
      <alignment horizontal="center" vertical="center" wrapText="1" shrinkToFit="1"/>
    </xf>
    <xf numFmtId="3" fontId="20" fillId="2" borderId="9" xfId="0" applyNumberFormat="1" applyFont="1" applyFill="1" applyBorder="1" applyAlignment="1">
      <alignment horizontal="center" vertical="center" wrapText="1" shrinkToFit="1"/>
    </xf>
    <xf numFmtId="10" fontId="14" fillId="3" borderId="1" xfId="2" applyNumberFormat="1" applyFont="1" applyFill="1" applyBorder="1" applyAlignment="1">
      <alignment horizontal="center" vertical="center" wrapText="1" shrinkToFit="1"/>
    </xf>
    <xf numFmtId="10" fontId="14" fillId="3" borderId="2" xfId="2" applyNumberFormat="1" applyFont="1" applyFill="1" applyBorder="1" applyAlignment="1">
      <alignment horizontal="center" vertical="center" wrapText="1" shrinkToFit="1"/>
    </xf>
    <xf numFmtId="10" fontId="14" fillId="3" borderId="3" xfId="2" applyNumberFormat="1" applyFont="1" applyFill="1" applyBorder="1" applyAlignment="1">
      <alignment horizontal="center" vertical="center" wrapText="1" shrinkToFit="1"/>
    </xf>
    <xf numFmtId="169" fontId="14" fillId="4" borderId="7" xfId="2" applyNumberFormat="1" applyFont="1" applyFill="1" applyBorder="1" applyAlignment="1">
      <alignment horizontal="center" vertical="center" wrapText="1" shrinkToFit="1"/>
    </xf>
    <xf numFmtId="169" fontId="14" fillId="4" borderId="8" xfId="2" applyNumberFormat="1" applyFont="1" applyFill="1" applyBorder="1" applyAlignment="1">
      <alignment horizontal="center" vertical="center" wrapText="1" shrinkToFit="1"/>
    </xf>
    <xf numFmtId="4" fontId="20" fillId="0" borderId="5" xfId="0" applyNumberFormat="1" applyFont="1" applyBorder="1" applyAlignment="1">
      <alignment horizontal="center" vertical="center" wrapText="1" shrinkToFit="1"/>
    </xf>
    <xf numFmtId="3" fontId="16" fillId="2" borderId="4" xfId="0" applyNumberFormat="1" applyFont="1" applyFill="1" applyBorder="1" applyAlignment="1">
      <alignment horizontal="center" vertical="center" wrapText="1" shrinkToFit="1" readingOrder="1"/>
    </xf>
    <xf numFmtId="3" fontId="16" fillId="2" borderId="5" xfId="0" applyNumberFormat="1" applyFont="1" applyFill="1" applyBorder="1" applyAlignment="1">
      <alignment horizontal="center" vertical="center" wrapText="1" shrinkToFit="1" readingOrder="1"/>
    </xf>
    <xf numFmtId="4" fontId="20" fillId="4" borderId="6" xfId="0" applyNumberFormat="1" applyFont="1" applyFill="1" applyBorder="1" applyAlignment="1">
      <alignment horizontal="center" vertical="center" wrapText="1" shrinkToFit="1"/>
    </xf>
    <xf numFmtId="168" fontId="20" fillId="0" borderId="4" xfId="0" applyNumberFormat="1" applyFont="1" applyBorder="1" applyAlignment="1">
      <alignment horizontal="center" vertical="center" wrapText="1" shrinkToFit="1"/>
    </xf>
    <xf numFmtId="168" fontId="20" fillId="3" borderId="4" xfId="0" applyNumberFormat="1" applyFont="1" applyFill="1" applyBorder="1" applyAlignment="1">
      <alignment horizontal="center" vertical="center" wrapText="1" shrinkToFit="1"/>
    </xf>
    <xf numFmtId="168" fontId="20" fillId="3" borderId="5" xfId="0" applyNumberFormat="1" applyFont="1" applyFill="1" applyBorder="1" applyAlignment="1">
      <alignment horizontal="center" vertical="center" wrapText="1" shrinkToFit="1"/>
    </xf>
    <xf numFmtId="3" fontId="23" fillId="3" borderId="5" xfId="0" applyNumberFormat="1" applyFont="1" applyFill="1" applyBorder="1" applyAlignment="1">
      <alignment horizontal="center" vertical="center" wrapText="1" shrinkToFit="1"/>
    </xf>
    <xf numFmtId="168" fontId="20" fillId="2" borderId="7" xfId="0" applyNumberFormat="1" applyFont="1" applyFill="1" applyBorder="1" applyAlignment="1">
      <alignment horizontal="center" vertical="center" wrapText="1" shrinkToFit="1"/>
    </xf>
    <xf numFmtId="10" fontId="20" fillId="2" borderId="8" xfId="0" applyNumberFormat="1" applyFont="1" applyFill="1" applyBorder="1" applyAlignment="1">
      <alignment horizontal="center" vertical="center" wrapText="1" shrinkToFit="1"/>
    </xf>
    <xf numFmtId="3" fontId="22" fillId="3" borderId="1" xfId="0" applyNumberFormat="1" applyFont="1" applyFill="1" applyBorder="1" applyAlignment="1">
      <alignment horizontal="center" vertical="center" wrapText="1" shrinkToFit="1"/>
    </xf>
    <xf numFmtId="171" fontId="14" fillId="3" borderId="7" xfId="0" applyNumberFormat="1" applyFont="1" applyFill="1" applyBorder="1" applyAlignment="1">
      <alignment horizontal="center" vertical="center" wrapText="1" shrinkToFit="1"/>
    </xf>
    <xf numFmtId="38" fontId="22" fillId="3" borderId="9" xfId="0" applyNumberFormat="1" applyFont="1" applyFill="1" applyBorder="1" applyAlignment="1">
      <alignment horizontal="center" vertical="center" wrapText="1" shrinkToFit="1"/>
    </xf>
    <xf numFmtId="173" fontId="20" fillId="4" borderId="6" xfId="0" applyNumberFormat="1" applyFont="1" applyFill="1" applyBorder="1" applyAlignment="1">
      <alignment horizontal="center" vertical="center" wrapText="1" shrinkToFit="1"/>
    </xf>
    <xf numFmtId="10" fontId="16" fillId="2" borderId="4" xfId="2" applyNumberFormat="1" applyFont="1" applyFill="1" applyBorder="1" applyAlignment="1">
      <alignment horizontal="center" vertical="center" wrapText="1" shrinkToFit="1"/>
    </xf>
    <xf numFmtId="10" fontId="16" fillId="2" borderId="5" xfId="2" applyNumberFormat="1" applyFont="1" applyFill="1" applyBorder="1" applyAlignment="1">
      <alignment horizontal="center" vertical="center" wrapText="1" shrinkToFit="1"/>
    </xf>
    <xf numFmtId="9" fontId="16" fillId="2" borderId="5" xfId="2" applyFont="1" applyFill="1" applyBorder="1" applyAlignment="1">
      <alignment horizontal="center" vertical="center" wrapText="1" shrinkToFit="1" readingOrder="1"/>
    </xf>
    <xf numFmtId="10" fontId="16" fillId="2" borderId="6" xfId="2" applyNumberFormat="1" applyFont="1" applyFill="1" applyBorder="1" applyAlignment="1">
      <alignment horizontal="center" vertical="center" wrapText="1" shrinkToFit="1"/>
    </xf>
    <xf numFmtId="10" fontId="20" fillId="0" borderId="5" xfId="2" applyNumberFormat="1" applyFont="1" applyBorder="1" applyAlignment="1">
      <alignment horizontal="center" vertical="center" wrapText="1" shrinkToFit="1"/>
    </xf>
    <xf numFmtId="9" fontId="20" fillId="2" borderId="8" xfId="2" applyFont="1" applyFill="1" applyBorder="1" applyAlignment="1">
      <alignment horizontal="center" vertical="center" wrapText="1" shrinkToFit="1"/>
    </xf>
    <xf numFmtId="0" fontId="16" fillId="2" borderId="6" xfId="0" applyFont="1" applyFill="1" applyBorder="1" applyAlignment="1">
      <alignment horizontal="center" vertical="center" wrapText="1" shrinkToFit="1"/>
    </xf>
    <xf numFmtId="3" fontId="26" fillId="2" borderId="4" xfId="0" applyNumberFormat="1" applyFont="1" applyFill="1" applyBorder="1" applyAlignment="1">
      <alignment horizontal="center" vertical="center" wrapText="1" shrinkToFit="1"/>
    </xf>
    <xf numFmtId="3" fontId="26" fillId="2" borderId="5" xfId="0" applyNumberFormat="1" applyFont="1" applyFill="1" applyBorder="1" applyAlignment="1">
      <alignment horizontal="center" vertical="center" wrapText="1" shrinkToFit="1"/>
    </xf>
    <xf numFmtId="3" fontId="26" fillId="2" borderId="6" xfId="0" applyNumberFormat="1" applyFont="1" applyFill="1" applyBorder="1" applyAlignment="1">
      <alignment horizontal="center" vertical="center" wrapText="1" shrinkToFit="1"/>
    </xf>
    <xf numFmtId="10" fontId="20" fillId="4" borderId="5" xfId="2" applyNumberFormat="1" applyFont="1" applyFill="1" applyBorder="1" applyAlignment="1">
      <alignment horizontal="center" vertical="center" wrapText="1" shrinkToFit="1"/>
    </xf>
    <xf numFmtId="176" fontId="20" fillId="2" borderId="8" xfId="2" applyNumberFormat="1" applyFont="1" applyFill="1" applyBorder="1" applyAlignment="1">
      <alignment horizontal="center" vertical="center" wrapText="1" shrinkToFit="1"/>
    </xf>
    <xf numFmtId="40" fontId="29" fillId="3" borderId="5" xfId="0" applyNumberFormat="1" applyFont="1" applyFill="1" applyBorder="1" applyAlignment="1">
      <alignment horizontal="center" vertical="center" wrapText="1" shrinkToFit="1"/>
    </xf>
    <xf numFmtId="3" fontId="28" fillId="3" borderId="5" xfId="0" applyNumberFormat="1" applyFont="1" applyFill="1" applyBorder="1" applyAlignment="1">
      <alignment horizontal="center" vertical="center" wrapText="1" shrinkToFit="1"/>
    </xf>
    <xf numFmtId="3" fontId="28" fillId="3" borderId="6" xfId="0" applyNumberFormat="1" applyFont="1" applyFill="1" applyBorder="1" applyAlignment="1">
      <alignment horizontal="center" vertical="center" wrapText="1" shrinkToFit="1"/>
    </xf>
    <xf numFmtId="9" fontId="20" fillId="4" borderId="5" xfId="2" applyFont="1" applyFill="1" applyBorder="1" applyAlignment="1">
      <alignment horizontal="center" vertical="center" wrapText="1" shrinkToFit="1"/>
    </xf>
    <xf numFmtId="3" fontId="16" fillId="2" borderId="7" xfId="0" applyNumberFormat="1" applyFont="1" applyFill="1" applyBorder="1" applyAlignment="1">
      <alignment horizontal="center" vertical="center" wrapText="1" shrinkToFit="1"/>
    </xf>
    <xf numFmtId="3" fontId="23" fillId="3" borderId="8" xfId="0" applyNumberFormat="1" applyFont="1" applyFill="1" applyBorder="1" applyAlignment="1">
      <alignment horizontal="center" vertical="center" wrapText="1" shrinkToFit="1"/>
    </xf>
    <xf numFmtId="9" fontId="20" fillId="4" borderId="8" xfId="2" applyFont="1" applyFill="1" applyBorder="1" applyAlignment="1">
      <alignment horizontal="center" vertical="center" wrapText="1" shrinkToFit="1"/>
    </xf>
    <xf numFmtId="3" fontId="16" fillId="5" borderId="4" xfId="0" applyNumberFormat="1" applyFont="1" applyFill="1" applyBorder="1" applyAlignment="1">
      <alignment horizontal="center" vertical="center" wrapText="1" shrinkToFit="1"/>
    </xf>
    <xf numFmtId="38" fontId="20" fillId="3" borderId="2" xfId="0" applyNumberFormat="1" applyFont="1" applyFill="1" applyBorder="1" applyAlignment="1">
      <alignment horizontal="center" vertical="center" wrapText="1" shrinkToFit="1"/>
    </xf>
    <xf numFmtId="182" fontId="20" fillId="2" borderId="8" xfId="0" applyNumberFormat="1" applyFont="1" applyFill="1" applyBorder="1" applyAlignment="1">
      <alignment horizontal="center" vertical="center" wrapText="1" shrinkToFit="1"/>
    </xf>
    <xf numFmtId="181" fontId="20" fillId="2" borderId="8" xfId="0" applyNumberFormat="1" applyFont="1" applyFill="1" applyBorder="1" applyAlignment="1">
      <alignment horizontal="center" vertical="center" wrapText="1" shrinkToFit="1"/>
    </xf>
    <xf numFmtId="3" fontId="14" fillId="0" borderId="7" xfId="0" applyNumberFormat="1" applyFont="1" applyBorder="1" applyAlignment="1">
      <alignment horizontal="center" vertical="center" wrapText="1" shrinkToFit="1"/>
    </xf>
    <xf numFmtId="3" fontId="34" fillId="6" borderId="0" xfId="0" applyNumberFormat="1" applyFont="1" applyFill="1" applyAlignment="1">
      <alignment horizontal="center" vertical="center" wrapText="1" shrinkToFit="1"/>
    </xf>
    <xf numFmtId="3" fontId="31" fillId="0" borderId="0" xfId="0" applyNumberFormat="1" applyFont="1" applyAlignment="1">
      <alignment horizontal="center" vertical="center" wrapText="1" shrinkToFit="1"/>
    </xf>
    <xf numFmtId="9" fontId="25" fillId="0" borderId="0" xfId="2" applyFont="1" applyFill="1" applyAlignment="1">
      <alignment horizontal="center" vertical="center" wrapText="1" shrinkToFit="1"/>
    </xf>
    <xf numFmtId="0" fontId="33" fillId="6" borderId="0" xfId="0" applyFont="1" applyFill="1" applyAlignment="1">
      <alignment horizontal="right" vertical="center"/>
    </xf>
    <xf numFmtId="0" fontId="33" fillId="6" borderId="0" xfId="0" applyFont="1" applyFill="1" applyAlignment="1">
      <alignment vertical="center"/>
    </xf>
    <xf numFmtId="3" fontId="33" fillId="6" borderId="0" xfId="0" applyNumberFormat="1" applyFont="1" applyFill="1" applyAlignment="1">
      <alignment vertical="center"/>
    </xf>
    <xf numFmtId="14" fontId="20" fillId="0" borderId="5" xfId="0" applyNumberFormat="1" applyFont="1" applyBorder="1" applyAlignment="1">
      <alignment horizontal="center" vertical="center" wrapText="1" shrinkToFit="1"/>
    </xf>
    <xf numFmtId="14" fontId="20" fillId="0" borderId="6" xfId="0" applyNumberFormat="1" applyFont="1" applyBorder="1" applyAlignment="1">
      <alignment horizontal="center" vertical="center" wrapText="1" shrinkToFit="1"/>
    </xf>
    <xf numFmtId="40" fontId="48" fillId="0" borderId="2" xfId="0" applyNumberFormat="1" applyFont="1" applyBorder="1" applyAlignment="1">
      <alignment horizontal="center" vertical="center" wrapText="1" shrinkToFit="1"/>
    </xf>
    <xf numFmtId="40" fontId="48" fillId="0" borderId="5" xfId="0" applyNumberFormat="1" applyFont="1" applyBorder="1" applyAlignment="1">
      <alignment horizontal="center" vertical="center" wrapText="1" shrinkToFit="1"/>
    </xf>
    <xf numFmtId="40" fontId="48" fillId="0" borderId="8" xfId="0" applyNumberFormat="1" applyFont="1" applyBorder="1" applyAlignment="1">
      <alignment horizontal="center" vertical="center" wrapText="1" shrinkToFit="1"/>
    </xf>
    <xf numFmtId="168" fontId="49" fillId="0" borderId="5" xfId="0" applyNumberFormat="1" applyFont="1" applyBorder="1" applyAlignment="1">
      <alignment horizontal="center" vertical="center" wrapText="1" shrinkToFit="1"/>
    </xf>
    <xf numFmtId="168" fontId="49" fillId="3" borderId="5" xfId="0" applyNumberFormat="1" applyFont="1" applyFill="1" applyBorder="1" applyAlignment="1">
      <alignment horizontal="center" vertical="center" wrapText="1" shrinkToFit="1"/>
    </xf>
    <xf numFmtId="4" fontId="49" fillId="4" borderId="6" xfId="0" applyNumberFormat="1" applyFont="1" applyFill="1" applyBorder="1" applyAlignment="1">
      <alignment horizontal="center" vertical="center" wrapText="1" shrinkToFit="1"/>
    </xf>
    <xf numFmtId="3" fontId="16" fillId="2" borderId="18" xfId="0" applyNumberFormat="1" applyFont="1" applyFill="1" applyBorder="1" applyAlignment="1">
      <alignment horizontal="center" vertical="center" wrapText="1" shrinkToFit="1" readingOrder="1"/>
    </xf>
    <xf numFmtId="38" fontId="20" fillId="3" borderId="15" xfId="0" applyNumberFormat="1" applyFont="1" applyFill="1" applyBorder="1" applyAlignment="1">
      <alignment horizontal="center" vertical="center" wrapText="1" shrinkToFit="1"/>
    </xf>
    <xf numFmtId="40" fontId="48" fillId="0" borderId="15" xfId="0" applyNumberFormat="1" applyFont="1" applyBorder="1" applyAlignment="1">
      <alignment horizontal="center" vertical="center" wrapText="1" shrinkToFit="1"/>
    </xf>
    <xf numFmtId="3" fontId="50" fillId="3" borderId="3" xfId="0" applyNumberFormat="1" applyFont="1" applyFill="1" applyBorder="1" applyAlignment="1">
      <alignment horizontal="center" vertical="center" wrapText="1" shrinkToFit="1"/>
    </xf>
    <xf numFmtId="3" fontId="16" fillId="2" borderId="1" xfId="0" applyNumberFormat="1" applyFont="1" applyFill="1" applyBorder="1" applyAlignment="1">
      <alignment horizontal="center" vertical="center" wrapText="1" shrinkToFit="1" readingOrder="1"/>
    </xf>
    <xf numFmtId="38" fontId="20" fillId="0" borderId="2" xfId="1" applyNumberFormat="1" applyFont="1" applyFill="1" applyBorder="1" applyAlignment="1">
      <alignment horizontal="center" vertical="center" wrapText="1" shrinkToFit="1"/>
    </xf>
    <xf numFmtId="38" fontId="20" fillId="0" borderId="3" xfId="1" applyNumberFormat="1" applyFont="1" applyFill="1" applyBorder="1" applyAlignment="1">
      <alignment horizontal="center" vertical="center" wrapText="1" shrinkToFit="1"/>
    </xf>
    <xf numFmtId="10" fontId="26" fillId="2" borderId="6" xfId="2" applyNumberFormat="1" applyFont="1" applyFill="1" applyBorder="1" applyAlignment="1">
      <alignment horizontal="center" vertical="center" wrapText="1" shrinkToFit="1"/>
    </xf>
    <xf numFmtId="10" fontId="26" fillId="2" borderId="5" xfId="2" applyNumberFormat="1" applyFont="1" applyFill="1" applyBorder="1" applyAlignment="1">
      <alignment horizontal="center" vertical="center" wrapText="1" shrinkToFit="1"/>
    </xf>
    <xf numFmtId="3" fontId="51" fillId="0" borderId="6" xfId="0" applyNumberFormat="1" applyFont="1" applyBorder="1" applyAlignment="1">
      <alignment horizontal="center" vertical="center" wrapText="1" shrinkToFit="1"/>
    </xf>
    <xf numFmtId="3" fontId="51" fillId="3" borderId="6" xfId="0" applyNumberFormat="1" applyFont="1" applyFill="1" applyBorder="1" applyAlignment="1">
      <alignment horizontal="center" vertical="center" wrapText="1" shrinkToFit="1"/>
    </xf>
    <xf numFmtId="3" fontId="51" fillId="2" borderId="9" xfId="0" applyNumberFormat="1" applyFont="1" applyFill="1" applyBorder="1" applyAlignment="1">
      <alignment horizontal="center" vertical="center" wrapText="1" shrinkToFit="1"/>
    </xf>
    <xf numFmtId="3" fontId="24" fillId="2" borderId="9" xfId="0" applyNumberFormat="1" applyFont="1" applyFill="1" applyBorder="1" applyAlignment="1">
      <alignment horizontal="center" vertical="center" wrapText="1" shrinkToFit="1"/>
    </xf>
    <xf numFmtId="3" fontId="53" fillId="3" borderId="3" xfId="0" applyNumberFormat="1" applyFont="1" applyFill="1" applyBorder="1" applyAlignment="1">
      <alignment horizontal="center" vertical="center" wrapText="1" shrinkToFit="1"/>
    </xf>
    <xf numFmtId="38" fontId="52" fillId="3" borderId="1" xfId="0" applyNumberFormat="1" applyFont="1" applyFill="1" applyBorder="1" applyAlignment="1">
      <alignment horizontal="center" vertical="center" wrapText="1" shrinkToFit="1"/>
    </xf>
    <xf numFmtId="199" fontId="22" fillId="4" borderId="5" xfId="2" applyNumberFormat="1" applyFont="1" applyFill="1" applyBorder="1" applyAlignment="1">
      <alignment horizontal="center" vertical="center" wrapText="1" shrinkToFit="1"/>
    </xf>
    <xf numFmtId="0" fontId="34" fillId="6" borderId="0" xfId="0" applyFont="1" applyFill="1" applyAlignment="1">
      <alignment vertical="center"/>
    </xf>
    <xf numFmtId="3" fontId="34" fillId="6" borderId="0" xfId="0" applyNumberFormat="1" applyFont="1" applyFill="1" applyAlignment="1">
      <alignment vertical="center"/>
    </xf>
    <xf numFmtId="0" fontId="34" fillId="6" borderId="0" xfId="0" applyFont="1" applyFill="1" applyAlignment="1">
      <alignment horizontal="center" vertical="center"/>
    </xf>
    <xf numFmtId="3" fontId="34" fillId="6" borderId="0" xfId="0" applyNumberFormat="1" applyFont="1" applyFill="1" applyAlignment="1">
      <alignment horizontal="center" vertical="center"/>
    </xf>
    <xf numFmtId="38" fontId="34" fillId="6" borderId="0" xfId="0" applyNumberFormat="1" applyFont="1" applyFill="1" applyAlignment="1">
      <alignment horizontal="center" vertical="center"/>
    </xf>
    <xf numFmtId="3" fontId="22" fillId="3" borderId="4" xfId="0" applyNumberFormat="1" applyFont="1" applyFill="1" applyBorder="1" applyAlignment="1">
      <alignment horizontal="center" vertical="center" wrapText="1" shrinkToFit="1"/>
    </xf>
    <xf numFmtId="3" fontId="22" fillId="2" borderId="7" xfId="0" applyNumberFormat="1" applyFont="1" applyFill="1" applyBorder="1" applyAlignment="1">
      <alignment horizontal="center" vertical="center" wrapText="1" shrinkToFit="1"/>
    </xf>
    <xf numFmtId="3" fontId="56" fillId="0" borderId="5" xfId="0" applyNumberFormat="1" applyFont="1" applyBorder="1" applyAlignment="1">
      <alignment horizontal="center" vertical="center" wrapText="1" shrinkToFit="1"/>
    </xf>
    <xf numFmtId="3" fontId="56" fillId="3" borderId="5" xfId="0" applyNumberFormat="1" applyFont="1" applyFill="1" applyBorder="1" applyAlignment="1">
      <alignment horizontal="center" vertical="center" wrapText="1" shrinkToFit="1"/>
    </xf>
    <xf numFmtId="185" fontId="56" fillId="2" borderId="8" xfId="0" applyNumberFormat="1" applyFont="1" applyFill="1" applyBorder="1" applyAlignment="1">
      <alignment horizontal="center" vertical="center" wrapText="1" shrinkToFit="1"/>
    </xf>
    <xf numFmtId="177" fontId="14" fillId="4" borderId="10" xfId="2" applyNumberFormat="1" applyFont="1" applyFill="1" applyBorder="1" applyAlignment="1">
      <alignment horizontal="center" vertical="center" wrapText="1" shrinkToFit="1"/>
    </xf>
    <xf numFmtId="10" fontId="13" fillId="2" borderId="5" xfId="2" applyNumberFormat="1" applyFont="1" applyFill="1" applyBorder="1" applyAlignment="1">
      <alignment horizontal="center" vertical="center" wrapText="1" shrinkToFit="1"/>
    </xf>
    <xf numFmtId="38" fontId="17" fillId="3" borderId="2" xfId="0" applyNumberFormat="1" applyFont="1" applyFill="1" applyBorder="1" applyAlignment="1">
      <alignment horizontal="center" vertical="center" wrapText="1" shrinkToFit="1"/>
    </xf>
    <xf numFmtId="38" fontId="20" fillId="4" borderId="2" xfId="1" applyNumberFormat="1" applyFont="1" applyFill="1" applyBorder="1" applyAlignment="1">
      <alignment horizontal="center" vertical="center" wrapText="1" shrinkToFit="1"/>
    </xf>
    <xf numFmtId="38" fontId="20" fillId="4" borderId="3" xfId="1" applyNumberFormat="1" applyFont="1" applyFill="1" applyBorder="1" applyAlignment="1">
      <alignment horizontal="center" vertical="center" wrapText="1" shrinkToFit="1"/>
    </xf>
    <xf numFmtId="38" fontId="20" fillId="0" borderId="25" xfId="0" applyNumberFormat="1" applyFont="1" applyBorder="1" applyAlignment="1">
      <alignment horizontal="center" vertical="center" wrapText="1" shrinkToFit="1"/>
    </xf>
    <xf numFmtId="3" fontId="20" fillId="0" borderId="25" xfId="0" applyNumberFormat="1" applyFont="1" applyBorder="1" applyAlignment="1">
      <alignment horizontal="center" vertical="center" wrapText="1" shrinkToFit="1"/>
    </xf>
    <xf numFmtId="38" fontId="20" fillId="0" borderId="26" xfId="0" applyNumberFormat="1" applyFont="1" applyBorder="1" applyAlignment="1">
      <alignment horizontal="center" vertical="center" wrapText="1" shrinkToFit="1"/>
    </xf>
    <xf numFmtId="3" fontId="52" fillId="2" borderId="9" xfId="0" applyNumberFormat="1" applyFont="1" applyFill="1" applyBorder="1" applyAlignment="1">
      <alignment horizontal="center" vertical="center" wrapText="1" shrinkToFit="1"/>
    </xf>
    <xf numFmtId="3" fontId="20" fillId="0" borderId="0" xfId="2" applyNumberFormat="1" applyFont="1" applyFill="1" applyAlignment="1">
      <alignment horizontal="center" vertical="center" wrapText="1" shrinkToFit="1"/>
    </xf>
    <xf numFmtId="3" fontId="14" fillId="0" borderId="4" xfId="0" applyNumberFormat="1" applyFont="1" applyBorder="1" applyAlignment="1">
      <alignment horizontal="center" vertical="center" wrapText="1" shrinkToFit="1"/>
    </xf>
    <xf numFmtId="3" fontId="15" fillId="2" borderId="1" xfId="0" applyNumberFormat="1" applyFont="1" applyFill="1" applyBorder="1" applyAlignment="1">
      <alignment horizontal="centerContinuous" vertical="center" wrapText="1" shrinkToFit="1"/>
    </xf>
    <xf numFmtId="3" fontId="15" fillId="2" borderId="2" xfId="0" applyNumberFormat="1" applyFont="1" applyFill="1" applyBorder="1" applyAlignment="1">
      <alignment horizontal="centerContinuous" vertical="center" wrapText="1" shrinkToFit="1"/>
    </xf>
    <xf numFmtId="3" fontId="15" fillId="2" borderId="3" xfId="0" applyNumberFormat="1" applyFont="1" applyFill="1" applyBorder="1" applyAlignment="1">
      <alignment horizontal="centerContinuous" vertical="center" wrapText="1" shrinkToFit="1"/>
    </xf>
    <xf numFmtId="3" fontId="51" fillId="0" borderId="9" xfId="0" applyNumberFormat="1" applyFont="1" applyBorder="1" applyAlignment="1">
      <alignment horizontal="center" vertical="center" wrapText="1" shrinkToFit="1"/>
    </xf>
    <xf numFmtId="3" fontId="14" fillId="3" borderId="6" xfId="0" applyNumberFormat="1" applyFont="1" applyFill="1" applyBorder="1" applyAlignment="1">
      <alignment horizontal="center" vertical="center" wrapText="1" shrinkToFit="1"/>
    </xf>
    <xf numFmtId="38" fontId="24" fillId="3" borderId="5" xfId="0" applyNumberFormat="1" applyFont="1" applyFill="1" applyBorder="1" applyAlignment="1">
      <alignment horizontal="center" vertical="center" wrapText="1" shrinkToFit="1"/>
    </xf>
    <xf numFmtId="3" fontId="22" fillId="3" borderId="5" xfId="0" applyNumberFormat="1" applyFont="1" applyFill="1" applyBorder="1" applyAlignment="1">
      <alignment horizontal="center" vertical="center" wrapText="1" shrinkToFit="1"/>
    </xf>
    <xf numFmtId="3" fontId="22" fillId="0" borderId="5" xfId="0" applyNumberFormat="1" applyFont="1" applyBorder="1" applyAlignment="1">
      <alignment horizontal="center" vertical="center" wrapText="1" shrinkToFit="1"/>
    </xf>
    <xf numFmtId="202" fontId="14" fillId="4" borderId="10" xfId="2" applyNumberFormat="1" applyFont="1" applyFill="1" applyBorder="1" applyAlignment="1">
      <alignment horizontal="center" vertical="center" wrapText="1" shrinkToFit="1"/>
    </xf>
    <xf numFmtId="3" fontId="22" fillId="2" borderId="8" xfId="0" applyNumberFormat="1" applyFont="1" applyFill="1" applyBorder="1" applyAlignment="1">
      <alignment horizontal="center" vertical="center" wrapText="1" shrinkToFit="1"/>
    </xf>
    <xf numFmtId="38" fontId="48" fillId="0" borderId="2" xfId="0" applyNumberFormat="1" applyFont="1" applyBorder="1" applyAlignment="1">
      <alignment horizontal="center" vertical="center" wrapText="1" shrinkToFit="1"/>
    </xf>
    <xf numFmtId="4" fontId="20" fillId="3" borderId="5" xfId="0" applyNumberFormat="1" applyFont="1" applyFill="1" applyBorder="1" applyAlignment="1">
      <alignment horizontal="center" vertical="center" wrapText="1" shrinkToFit="1"/>
    </xf>
    <xf numFmtId="203" fontId="20" fillId="3" borderId="5" xfId="2" applyNumberFormat="1" applyFont="1" applyFill="1" applyBorder="1" applyAlignment="1">
      <alignment horizontal="center" vertical="center" wrapText="1" shrinkToFit="1"/>
    </xf>
    <xf numFmtId="205" fontId="22" fillId="4" borderId="5" xfId="2" applyNumberFormat="1" applyFont="1" applyFill="1" applyBorder="1" applyAlignment="1">
      <alignment horizontal="center" vertical="center" wrapText="1" shrinkToFit="1"/>
    </xf>
    <xf numFmtId="3" fontId="51" fillId="3" borderId="5" xfId="0" applyNumberFormat="1" applyFont="1" applyFill="1" applyBorder="1" applyAlignment="1">
      <alignment horizontal="center" vertical="center" wrapText="1" shrinkToFit="1"/>
    </xf>
    <xf numFmtId="206" fontId="20" fillId="3" borderId="5" xfId="2" applyNumberFormat="1" applyFont="1" applyFill="1" applyBorder="1" applyAlignment="1">
      <alignment horizontal="center" vertical="center" wrapText="1" shrinkToFit="1"/>
    </xf>
    <xf numFmtId="3" fontId="51" fillId="0" borderId="5" xfId="0" applyNumberFormat="1" applyFont="1" applyBorder="1" applyAlignment="1">
      <alignment horizontal="center" vertical="center" wrapText="1" shrinkToFit="1"/>
    </xf>
    <xf numFmtId="172" fontId="20" fillId="0" borderId="6" xfId="0" applyNumberFormat="1" applyFont="1" applyBorder="1" applyAlignment="1">
      <alignment horizontal="center" vertical="center" wrapText="1" shrinkToFit="1"/>
    </xf>
    <xf numFmtId="172" fontId="20" fillId="3" borderId="6" xfId="0" applyNumberFormat="1" applyFont="1" applyFill="1" applyBorder="1" applyAlignment="1">
      <alignment horizontal="center" vertical="center" wrapText="1" shrinkToFit="1"/>
    </xf>
    <xf numFmtId="184" fontId="20" fillId="2" borderId="8" xfId="0" applyNumberFormat="1" applyFont="1" applyFill="1" applyBorder="1" applyAlignment="1">
      <alignment horizontal="center" vertical="center" wrapText="1" shrinkToFit="1"/>
    </xf>
    <xf numFmtId="10" fontId="53" fillId="0" borderId="5" xfId="2" applyNumberFormat="1" applyFont="1" applyFill="1" applyBorder="1" applyAlignment="1">
      <alignment horizontal="center" vertical="center" wrapText="1" shrinkToFit="1"/>
    </xf>
    <xf numFmtId="10" fontId="53" fillId="3" borderId="5" xfId="2" applyNumberFormat="1" applyFont="1" applyFill="1" applyBorder="1" applyAlignment="1">
      <alignment horizontal="center" vertical="center" wrapText="1" shrinkToFit="1"/>
    </xf>
    <xf numFmtId="175" fontId="53" fillId="0" borderId="5" xfId="2" applyNumberFormat="1" applyFont="1" applyFill="1" applyBorder="1" applyAlignment="1">
      <alignment horizontal="center" vertical="center" wrapText="1" shrinkToFit="1"/>
    </xf>
    <xf numFmtId="3" fontId="26" fillId="2" borderId="5" xfId="0" applyNumberFormat="1" applyFont="1" applyFill="1" applyBorder="1" applyAlignment="1">
      <alignment horizontal="center" vertical="center" wrapText="1" shrinkToFit="1" readingOrder="1"/>
    </xf>
    <xf numFmtId="10" fontId="14" fillId="0" borderId="5" xfId="2" applyNumberFormat="1" applyFont="1" applyBorder="1" applyAlignment="1">
      <alignment horizontal="center" vertical="center" wrapText="1" shrinkToFit="1"/>
    </xf>
    <xf numFmtId="3" fontId="22" fillId="4" borderId="5" xfId="2" applyNumberFormat="1" applyFont="1" applyFill="1" applyBorder="1" applyAlignment="1">
      <alignment horizontal="center" vertical="center" wrapText="1" shrinkToFit="1"/>
    </xf>
    <xf numFmtId="3" fontId="53" fillId="0" borderId="5" xfId="0" applyNumberFormat="1" applyFont="1" applyBorder="1" applyAlignment="1">
      <alignment horizontal="center" vertical="center" wrapText="1" shrinkToFit="1"/>
    </xf>
    <xf numFmtId="38" fontId="52" fillId="0" borderId="5" xfId="0" applyNumberFormat="1" applyFont="1" applyBorder="1" applyAlignment="1">
      <alignment horizontal="center" vertical="center" wrapText="1" shrinkToFit="1"/>
    </xf>
    <xf numFmtId="10" fontId="52" fillId="0" borderId="6" xfId="2" applyNumberFormat="1" applyFont="1" applyFill="1" applyBorder="1" applyAlignment="1">
      <alignment horizontal="center" vertical="center" wrapText="1" shrinkToFit="1"/>
    </xf>
    <xf numFmtId="10" fontId="22" fillId="3" borderId="5" xfId="2" applyNumberFormat="1" applyFont="1" applyFill="1" applyBorder="1" applyAlignment="1">
      <alignment horizontal="center" vertical="center" wrapText="1" shrinkToFit="1"/>
    </xf>
    <xf numFmtId="3" fontId="53" fillId="3" borderId="5" xfId="0" applyNumberFormat="1" applyFont="1" applyFill="1" applyBorder="1" applyAlignment="1">
      <alignment horizontal="center" vertical="center" wrapText="1" shrinkToFit="1"/>
    </xf>
    <xf numFmtId="10" fontId="52" fillId="3" borderId="6" xfId="2" applyNumberFormat="1" applyFont="1" applyFill="1" applyBorder="1" applyAlignment="1">
      <alignment horizontal="center" vertical="center" wrapText="1" shrinkToFit="1"/>
    </xf>
    <xf numFmtId="10" fontId="52" fillId="0" borderId="6" xfId="2" applyNumberFormat="1" applyFont="1" applyBorder="1" applyAlignment="1">
      <alignment horizontal="center" vertical="center" wrapText="1" shrinkToFit="1"/>
    </xf>
    <xf numFmtId="3" fontId="53" fillId="2" borderId="8" xfId="0" applyNumberFormat="1" applyFont="1" applyFill="1" applyBorder="1" applyAlignment="1">
      <alignment horizontal="center" vertical="center" wrapText="1" shrinkToFit="1"/>
    </xf>
    <xf numFmtId="181" fontId="53" fillId="2" borderId="8" xfId="0" applyNumberFormat="1" applyFont="1" applyFill="1" applyBorder="1" applyAlignment="1">
      <alignment horizontal="center" vertical="center" wrapText="1" shrinkToFit="1"/>
    </xf>
    <xf numFmtId="9" fontId="53" fillId="2" borderId="8" xfId="2" applyFont="1" applyFill="1" applyBorder="1" applyAlignment="1">
      <alignment horizontal="center" vertical="center" wrapText="1" shrinkToFit="1"/>
    </xf>
    <xf numFmtId="181" fontId="52" fillId="2" borderId="8" xfId="0" applyNumberFormat="1" applyFont="1" applyFill="1" applyBorder="1" applyAlignment="1">
      <alignment horizontal="center" vertical="center" wrapText="1" shrinkToFit="1"/>
    </xf>
    <xf numFmtId="3" fontId="52" fillId="2" borderId="8" xfId="0" applyNumberFormat="1" applyFont="1" applyFill="1" applyBorder="1" applyAlignment="1">
      <alignment horizontal="center" vertical="center" wrapText="1" shrinkToFit="1"/>
    </xf>
    <xf numFmtId="183" fontId="52" fillId="2" borderId="9" xfId="2" applyNumberFormat="1" applyFont="1" applyFill="1" applyBorder="1" applyAlignment="1">
      <alignment horizontal="center" vertical="center" wrapText="1" shrinkToFit="1"/>
    </xf>
    <xf numFmtId="10" fontId="23" fillId="3" borderId="5" xfId="2" applyNumberFormat="1" applyFont="1" applyFill="1" applyBorder="1" applyAlignment="1">
      <alignment horizontal="center" vertical="center" wrapText="1" shrinkToFit="1"/>
    </xf>
    <xf numFmtId="9" fontId="14" fillId="2" borderId="8" xfId="2" applyFont="1" applyFill="1" applyBorder="1" applyAlignment="1">
      <alignment horizontal="center" vertical="center" wrapText="1" shrinkToFit="1"/>
    </xf>
    <xf numFmtId="209" fontId="14" fillId="2" borderId="8" xfId="0" applyNumberFormat="1" applyFont="1" applyFill="1" applyBorder="1" applyAlignment="1">
      <alignment horizontal="center" vertical="center" wrapText="1" shrinkToFit="1"/>
    </xf>
    <xf numFmtId="38" fontId="52" fillId="3" borderId="5" xfId="0" applyNumberFormat="1" applyFont="1" applyFill="1" applyBorder="1" applyAlignment="1">
      <alignment horizontal="center" vertical="center" wrapText="1" shrinkToFit="1"/>
    </xf>
    <xf numFmtId="3" fontId="22" fillId="0" borderId="5" xfId="2" applyNumberFormat="1" applyFont="1" applyFill="1" applyBorder="1" applyAlignment="1">
      <alignment horizontal="center" vertical="center" wrapText="1" shrinkToFit="1"/>
    </xf>
    <xf numFmtId="3" fontId="52" fillId="0" borderId="5" xfId="0" applyNumberFormat="1" applyFont="1" applyBorder="1" applyAlignment="1">
      <alignment horizontal="center" vertical="center" wrapText="1" shrinkToFit="1"/>
    </xf>
    <xf numFmtId="9" fontId="22" fillId="2" borderId="8" xfId="2" applyFont="1" applyFill="1" applyBorder="1" applyAlignment="1">
      <alignment horizontal="center" vertical="center" wrapText="1" shrinkToFit="1"/>
    </xf>
    <xf numFmtId="10" fontId="14" fillId="4" borderId="5" xfId="2" applyNumberFormat="1" applyFont="1" applyFill="1" applyBorder="1" applyAlignment="1">
      <alignment horizontal="center" vertical="center" wrapText="1" shrinkToFit="1"/>
    </xf>
    <xf numFmtId="10" fontId="22" fillId="4" borderId="5" xfId="2" applyNumberFormat="1" applyFont="1" applyFill="1" applyBorder="1" applyAlignment="1">
      <alignment horizontal="center" vertical="center" wrapText="1" shrinkToFit="1"/>
    </xf>
    <xf numFmtId="10" fontId="25" fillId="0" borderId="5" xfId="2" applyNumberFormat="1" applyFont="1" applyBorder="1" applyAlignment="1">
      <alignment horizontal="center" vertical="center" wrapText="1" shrinkToFit="1"/>
    </xf>
    <xf numFmtId="10" fontId="25" fillId="3" borderId="5" xfId="2" applyNumberFormat="1" applyFont="1" applyFill="1" applyBorder="1" applyAlignment="1">
      <alignment horizontal="center" vertical="center" wrapText="1" shrinkToFit="1"/>
    </xf>
    <xf numFmtId="3" fontId="52" fillId="3" borderId="5" xfId="0" applyNumberFormat="1" applyFont="1" applyFill="1" applyBorder="1" applyAlignment="1">
      <alignment horizontal="center" vertical="center" wrapText="1" shrinkToFit="1"/>
    </xf>
    <xf numFmtId="3" fontId="14" fillId="3" borderId="5" xfId="0" applyNumberFormat="1" applyFont="1" applyFill="1" applyBorder="1" applyAlignment="1">
      <alignment horizontal="center" vertical="center" wrapText="1" shrinkToFit="1"/>
    </xf>
    <xf numFmtId="3" fontId="14" fillId="0" borderId="5" xfId="2" applyNumberFormat="1" applyFont="1" applyBorder="1" applyAlignment="1">
      <alignment horizontal="center" vertical="center" wrapText="1" shrinkToFit="1"/>
    </xf>
    <xf numFmtId="3" fontId="14" fillId="3" borderId="5" xfId="2" applyNumberFormat="1" applyFont="1" applyFill="1" applyBorder="1" applyAlignment="1">
      <alignment horizontal="center" vertical="center" wrapText="1" shrinkToFit="1"/>
    </xf>
    <xf numFmtId="10" fontId="52" fillId="0" borderId="5" xfId="2" applyNumberFormat="1" applyFont="1" applyFill="1" applyBorder="1" applyAlignment="1">
      <alignment horizontal="center" vertical="center" wrapText="1" shrinkToFit="1"/>
    </xf>
    <xf numFmtId="10" fontId="52" fillId="3" borderId="5" xfId="2" applyNumberFormat="1" applyFont="1" applyFill="1" applyBorder="1" applyAlignment="1">
      <alignment horizontal="center" vertical="center" wrapText="1" shrinkToFit="1"/>
    </xf>
    <xf numFmtId="183" fontId="52" fillId="2" borderId="8" xfId="2" applyNumberFormat="1" applyFont="1" applyFill="1" applyBorder="1" applyAlignment="1">
      <alignment horizontal="center" vertical="center" wrapText="1" shrinkToFit="1"/>
    </xf>
    <xf numFmtId="3" fontId="14" fillId="3" borderId="4" xfId="0" applyNumberFormat="1" applyFont="1" applyFill="1" applyBorder="1" applyAlignment="1">
      <alignment horizontal="center" vertical="center" wrapText="1" shrinkToFit="1"/>
    </xf>
    <xf numFmtId="3" fontId="48" fillId="0" borderId="0" xfId="0" applyNumberFormat="1" applyFont="1" applyAlignment="1">
      <alignment horizontal="center" vertical="center" wrapText="1" shrinkToFit="1"/>
    </xf>
    <xf numFmtId="10" fontId="53" fillId="2" borderId="8" xfId="2" applyNumberFormat="1" applyFont="1" applyFill="1" applyBorder="1" applyAlignment="1">
      <alignment horizontal="center" vertical="center" wrapText="1" shrinkToFit="1"/>
    </xf>
    <xf numFmtId="3" fontId="20" fillId="0" borderId="7" xfId="0" applyNumberFormat="1" applyFont="1" applyBorder="1" applyAlignment="1">
      <alignment horizontal="center" vertical="center" wrapText="1" shrinkToFit="1"/>
    </xf>
    <xf numFmtId="4" fontId="20" fillId="4" borderId="9" xfId="0" applyNumberFormat="1" applyFont="1" applyFill="1" applyBorder="1" applyAlignment="1">
      <alignment horizontal="center" vertical="center" wrapText="1" shrinkToFit="1"/>
    </xf>
    <xf numFmtId="3" fontId="57" fillId="0" borderId="5" xfId="0" applyNumberFormat="1" applyFont="1" applyBorder="1" applyAlignment="1">
      <alignment horizontal="center" vertical="center" wrapText="1" shrinkToFit="1"/>
    </xf>
    <xf numFmtId="10" fontId="58" fillId="0" borderId="5" xfId="0" applyNumberFormat="1" applyFont="1" applyBorder="1" applyAlignment="1">
      <alignment horizontal="center" vertical="center" wrapText="1" shrinkToFit="1"/>
    </xf>
    <xf numFmtId="10" fontId="58" fillId="3" borderId="5" xfId="2" applyNumberFormat="1" applyFont="1" applyFill="1" applyBorder="1" applyAlignment="1">
      <alignment horizontal="center" vertical="center" wrapText="1" shrinkToFit="1"/>
    </xf>
    <xf numFmtId="10" fontId="58" fillId="0" borderId="5" xfId="2" applyNumberFormat="1" applyFont="1" applyBorder="1" applyAlignment="1">
      <alignment horizontal="center" vertical="center" wrapText="1" shrinkToFit="1"/>
    </xf>
    <xf numFmtId="40" fontId="52" fillId="0" borderId="5" xfId="0" applyNumberFormat="1" applyFont="1" applyBorder="1" applyAlignment="1">
      <alignment horizontal="center" vertical="center" wrapText="1" shrinkToFit="1"/>
    </xf>
    <xf numFmtId="40" fontId="52" fillId="3" borderId="5" xfId="0" applyNumberFormat="1" applyFont="1" applyFill="1" applyBorder="1" applyAlignment="1">
      <alignment horizontal="center" vertical="center" wrapText="1" shrinkToFit="1"/>
    </xf>
    <xf numFmtId="3" fontId="57" fillId="3" borderId="5" xfId="0" applyNumberFormat="1" applyFont="1" applyFill="1" applyBorder="1" applyAlignment="1">
      <alignment horizontal="center" vertical="center" wrapText="1" shrinkToFit="1"/>
    </xf>
    <xf numFmtId="4" fontId="20" fillId="2" borderId="6" xfId="0" applyNumberFormat="1" applyFont="1" applyFill="1" applyBorder="1" applyAlignment="1">
      <alignment horizontal="center" vertical="center" wrapText="1" shrinkToFit="1"/>
    </xf>
    <xf numFmtId="3" fontId="14" fillId="4" borderId="4" xfId="0" applyNumberFormat="1" applyFont="1" applyFill="1" applyBorder="1" applyAlignment="1">
      <alignment horizontal="center" vertical="center" wrapText="1" shrinkToFit="1"/>
    </xf>
    <xf numFmtId="3" fontId="14" fillId="4" borderId="5" xfId="0" applyNumberFormat="1" applyFont="1" applyFill="1" applyBorder="1" applyAlignment="1">
      <alignment horizontal="center" vertical="center" wrapText="1" shrinkToFit="1"/>
    </xf>
    <xf numFmtId="3" fontId="20" fillId="0" borderId="0" xfId="2" applyNumberFormat="1" applyFont="1" applyFill="1" applyBorder="1" applyAlignment="1">
      <alignment horizontal="center" vertical="center" wrapText="1" shrinkToFit="1"/>
    </xf>
    <xf numFmtId="3" fontId="22" fillId="0" borderId="0" xfId="0" applyNumberFormat="1" applyFont="1" applyAlignment="1">
      <alignment horizontal="center" vertical="center" wrapText="1" shrinkToFit="1"/>
    </xf>
    <xf numFmtId="3" fontId="20" fillId="0" borderId="0" xfId="0" applyNumberFormat="1" applyFont="1" applyAlignment="1">
      <alignment horizontal="center" vertical="center" wrapText="1" shrinkToFit="1"/>
    </xf>
    <xf numFmtId="3" fontId="32" fillId="0" borderId="0" xfId="0" applyNumberFormat="1" applyFont="1" applyAlignment="1">
      <alignment horizontal="center" vertical="center" wrapText="1" shrinkToFit="1"/>
    </xf>
    <xf numFmtId="3" fontId="32" fillId="0" borderId="0" xfId="0" applyNumberFormat="1" applyFont="1" applyAlignment="1">
      <alignment horizontal="center" vertical="center" shrinkToFit="1" readingOrder="2"/>
    </xf>
    <xf numFmtId="3" fontId="23" fillId="0" borderId="0" xfId="0" applyNumberFormat="1" applyFont="1" applyAlignment="1">
      <alignment horizontal="center" vertical="center" wrapText="1" shrinkToFit="1"/>
    </xf>
    <xf numFmtId="3" fontId="22" fillId="0" borderId="0" xfId="2" applyNumberFormat="1" applyFont="1" applyFill="1" applyAlignment="1">
      <alignment horizontal="center" vertical="center" wrapText="1" shrinkToFit="1"/>
    </xf>
    <xf numFmtId="3" fontId="32" fillId="0" borderId="0" xfId="2" applyNumberFormat="1" applyFont="1" applyFill="1" applyAlignment="1">
      <alignment horizontal="center" vertical="center" wrapText="1" shrinkToFit="1"/>
    </xf>
    <xf numFmtId="3" fontId="22" fillId="0" borderId="0" xfId="2" applyNumberFormat="1" applyFont="1" applyFill="1" applyBorder="1" applyAlignment="1">
      <alignment horizontal="center" vertical="center" wrapText="1" shrinkToFit="1"/>
    </xf>
    <xf numFmtId="3" fontId="20" fillId="0" borderId="0" xfId="1" applyNumberFormat="1" applyFont="1" applyFill="1" applyAlignment="1">
      <alignment horizontal="center" vertical="center" wrapText="1" shrinkToFit="1"/>
    </xf>
    <xf numFmtId="3" fontId="23" fillId="0" borderId="0" xfId="2" applyNumberFormat="1" applyFont="1" applyFill="1" applyAlignment="1">
      <alignment horizontal="center" vertical="center" wrapText="1" shrinkToFit="1"/>
    </xf>
    <xf numFmtId="3" fontId="23" fillId="0" borderId="0" xfId="1" applyNumberFormat="1" applyFont="1" applyFill="1" applyAlignment="1">
      <alignment horizontal="center" vertical="center" wrapText="1" shrinkToFit="1"/>
    </xf>
    <xf numFmtId="3" fontId="22" fillId="0" borderId="0" xfId="1" applyNumberFormat="1" applyFont="1" applyFill="1" applyAlignment="1">
      <alignment horizontal="center" vertical="center" wrapText="1" shrinkToFit="1"/>
    </xf>
    <xf numFmtId="3" fontId="20" fillId="0" borderId="27" xfId="0" applyNumberFormat="1" applyFont="1" applyBorder="1" applyAlignment="1">
      <alignment horizontal="center" vertical="center" wrapText="1" shrinkToFit="1"/>
    </xf>
    <xf numFmtId="3" fontId="20" fillId="0" borderId="20" xfId="0" applyNumberFormat="1" applyFont="1" applyBorder="1" applyAlignment="1">
      <alignment horizontal="center" vertical="center" wrapText="1" shrinkToFit="1"/>
    </xf>
    <xf numFmtId="3" fontId="20" fillId="0" borderId="35" xfId="0" applyNumberFormat="1" applyFont="1" applyBorder="1" applyAlignment="1">
      <alignment horizontal="center" vertical="center" wrapText="1" shrinkToFit="1"/>
    </xf>
    <xf numFmtId="3" fontId="22" fillId="3" borderId="7" xfId="0" applyNumberFormat="1" applyFont="1" applyFill="1" applyBorder="1" applyAlignment="1">
      <alignment horizontal="center" vertical="center" wrapText="1" shrinkToFit="1"/>
    </xf>
    <xf numFmtId="10" fontId="22" fillId="0" borderId="0" xfId="2" applyNumberFormat="1" applyFont="1" applyFill="1" applyAlignment="1">
      <alignment horizontal="center" vertical="center" wrapText="1" shrinkToFit="1"/>
    </xf>
    <xf numFmtId="172" fontId="20" fillId="4" borderId="6" xfId="2" applyNumberFormat="1" applyFont="1" applyFill="1" applyBorder="1" applyAlignment="1">
      <alignment horizontal="center" vertical="center" wrapText="1" shrinkToFit="1"/>
    </xf>
    <xf numFmtId="9" fontId="20" fillId="0" borderId="0" xfId="2" applyFont="1" applyAlignment="1">
      <alignment horizontal="center" vertical="center" wrapText="1" shrinkToFit="1"/>
    </xf>
    <xf numFmtId="43" fontId="20" fillId="0" borderId="0" xfId="1" applyFont="1" applyAlignment="1">
      <alignment horizontal="center" vertical="center" wrapText="1" shrinkToFit="1"/>
    </xf>
    <xf numFmtId="9" fontId="20" fillId="0" borderId="0" xfId="1" applyNumberFormat="1" applyFont="1" applyAlignment="1">
      <alignment horizontal="center" vertical="center" wrapText="1" shrinkToFit="1"/>
    </xf>
    <xf numFmtId="3" fontId="20" fillId="0" borderId="37" xfId="0" applyNumberFormat="1" applyFont="1" applyBorder="1" applyAlignment="1">
      <alignment horizontal="center" vertical="center" wrapText="1" shrinkToFit="1"/>
    </xf>
    <xf numFmtId="3" fontId="57" fillId="3" borderId="6" xfId="0" applyNumberFormat="1" applyFont="1" applyFill="1" applyBorder="1" applyAlignment="1">
      <alignment horizontal="center" vertical="center" wrapText="1" shrinkToFit="1"/>
    </xf>
    <xf numFmtId="3" fontId="57" fillId="0" borderId="6" xfId="0" applyNumberFormat="1" applyFont="1" applyBorder="1" applyAlignment="1">
      <alignment horizontal="center" vertical="center" wrapText="1" shrinkToFit="1"/>
    </xf>
    <xf numFmtId="9" fontId="52" fillId="3" borderId="9" xfId="2" applyFont="1" applyFill="1" applyBorder="1" applyAlignment="1">
      <alignment horizontal="center" vertical="center" wrapText="1" shrinkToFit="1"/>
    </xf>
    <xf numFmtId="3" fontId="52" fillId="0" borderId="6" xfId="0" applyNumberFormat="1" applyFont="1" applyBorder="1" applyAlignment="1">
      <alignment horizontal="center" vertical="center" wrapText="1" shrinkToFit="1"/>
    </xf>
    <xf numFmtId="203" fontId="20" fillId="0" borderId="0" xfId="2" applyNumberFormat="1" applyFont="1" applyAlignment="1">
      <alignment horizontal="center" vertical="center" wrapText="1" shrinkToFit="1"/>
    </xf>
    <xf numFmtId="9" fontId="22" fillId="0" borderId="0" xfId="2" applyFont="1" applyAlignment="1">
      <alignment horizontal="center" vertical="center" wrapText="1" shrinkToFit="1"/>
    </xf>
    <xf numFmtId="212" fontId="20" fillId="0" borderId="0" xfId="0" applyNumberFormat="1" applyFont="1" applyAlignment="1">
      <alignment horizontal="center" vertical="center" wrapText="1" shrinkToFit="1"/>
    </xf>
    <xf numFmtId="172" fontId="20" fillId="0" borderId="0" xfId="2" applyNumberFormat="1" applyFont="1" applyAlignment="1">
      <alignment horizontal="center" vertical="center" wrapText="1" shrinkToFit="1"/>
    </xf>
    <xf numFmtId="3" fontId="20" fillId="7" borderId="0" xfId="0" applyNumberFormat="1" applyFont="1" applyFill="1" applyAlignment="1">
      <alignment horizontal="center" vertical="center" wrapText="1" shrinkToFit="1"/>
    </xf>
    <xf numFmtId="213" fontId="20" fillId="0" borderId="0" xfId="0" applyNumberFormat="1" applyFont="1" applyAlignment="1">
      <alignment horizontal="center" vertical="center" wrapText="1" shrinkToFit="1"/>
    </xf>
    <xf numFmtId="38" fontId="22" fillId="0" borderId="0" xfId="0" applyNumberFormat="1" applyFont="1" applyAlignment="1">
      <alignment horizontal="center" vertical="center" wrapText="1" shrinkToFit="1"/>
    </xf>
    <xf numFmtId="10" fontId="22" fillId="0" borderId="0" xfId="2" applyNumberFormat="1" applyFont="1" applyAlignment="1">
      <alignment horizontal="center" vertical="center" wrapText="1" shrinkToFit="1"/>
    </xf>
    <xf numFmtId="14" fontId="34" fillId="6" borderId="0" xfId="0" applyNumberFormat="1" applyFont="1" applyFill="1" applyAlignment="1">
      <alignment vertical="center"/>
    </xf>
    <xf numFmtId="3" fontId="16" fillId="2" borderId="4" xfId="0" applyNumberFormat="1" applyFont="1" applyFill="1" applyBorder="1" applyAlignment="1">
      <alignment horizontal="center" vertical="center" wrapText="1" shrinkToFit="1"/>
    </xf>
    <xf numFmtId="3" fontId="16" fillId="2" borderId="5" xfId="0" applyNumberFormat="1" applyFont="1" applyFill="1" applyBorder="1" applyAlignment="1">
      <alignment horizontal="center" vertical="center" wrapText="1" shrinkToFit="1"/>
    </xf>
    <xf numFmtId="0" fontId="10" fillId="0" borderId="0" xfId="0" applyFont="1" applyAlignment="1">
      <alignment horizontal="center" vertical="center"/>
    </xf>
    <xf numFmtId="0" fontId="63" fillId="2" borderId="0" xfId="3" applyFont="1" applyFill="1" applyBorder="1" applyAlignment="1">
      <alignment horizontal="center" vertical="center"/>
    </xf>
    <xf numFmtId="0" fontId="20" fillId="2" borderId="0" xfId="4" applyFont="1" applyFill="1" applyAlignment="1">
      <alignment horizontal="center" vertical="center"/>
    </xf>
    <xf numFmtId="0" fontId="20" fillId="2" borderId="0" xfId="5" applyFont="1" applyFill="1" applyAlignment="1">
      <alignment horizontal="center" vertical="center"/>
    </xf>
    <xf numFmtId="0" fontId="16" fillId="2" borderId="0" xfId="4" applyFont="1" applyFill="1" applyAlignment="1">
      <alignment horizontal="center" vertical="center"/>
    </xf>
    <xf numFmtId="0" fontId="15" fillId="2" borderId="0" xfId="4" applyFont="1" applyFill="1" applyAlignment="1">
      <alignment horizontal="center" vertical="center" wrapText="1"/>
    </xf>
    <xf numFmtId="0" fontId="10" fillId="2" borderId="0" xfId="0" applyFont="1" applyFill="1" applyAlignment="1">
      <alignment horizontal="center" vertical="center"/>
    </xf>
    <xf numFmtId="3" fontId="20" fillId="2" borderId="8" xfId="0" applyNumberFormat="1" applyFont="1" applyFill="1" applyBorder="1" applyAlignment="1">
      <alignment horizontal="center" vertical="center" wrapText="1" shrinkToFit="1"/>
    </xf>
    <xf numFmtId="10" fontId="20" fillId="0" borderId="5" xfId="0" applyNumberFormat="1" applyFont="1" applyBorder="1" applyAlignment="1">
      <alignment horizontal="center" vertical="center" wrapText="1" shrinkToFit="1"/>
    </xf>
    <xf numFmtId="3" fontId="25" fillId="0" borderId="0" xfId="0" applyNumberFormat="1" applyFont="1" applyAlignment="1">
      <alignment horizontal="center" vertical="center" wrapText="1" shrinkToFit="1"/>
    </xf>
    <xf numFmtId="3" fontId="24" fillId="3" borderId="6" xfId="0" applyNumberFormat="1" applyFont="1" applyFill="1" applyBorder="1" applyAlignment="1">
      <alignment horizontal="center" vertical="center" wrapText="1" shrinkToFit="1"/>
    </xf>
    <xf numFmtId="38" fontId="20" fillId="3" borderId="5" xfId="0" applyNumberFormat="1" applyFont="1" applyFill="1" applyBorder="1" applyAlignment="1">
      <alignment horizontal="center" vertical="center" wrapText="1" shrinkToFit="1"/>
    </xf>
    <xf numFmtId="10" fontId="20" fillId="3" borderId="5" xfId="2" applyNumberFormat="1" applyFont="1" applyFill="1" applyBorder="1" applyAlignment="1">
      <alignment horizontal="center" vertical="center" wrapText="1" shrinkToFit="1"/>
    </xf>
    <xf numFmtId="172" fontId="20" fillId="0" borderId="35" xfId="2" applyNumberFormat="1" applyFont="1" applyFill="1" applyBorder="1" applyAlignment="1">
      <alignment horizontal="center" vertical="center" wrapText="1" shrinkToFit="1"/>
    </xf>
    <xf numFmtId="172" fontId="20" fillId="0" borderId="35" xfId="2" applyNumberFormat="1" applyFont="1" applyBorder="1" applyAlignment="1">
      <alignment horizontal="center" vertical="center" wrapText="1" shrinkToFit="1"/>
    </xf>
    <xf numFmtId="3" fontId="20" fillId="0" borderId="24" xfId="0" applyNumberFormat="1" applyFont="1" applyBorder="1" applyAlignment="1">
      <alignment horizontal="center" vertical="center" wrapText="1" shrinkToFit="1"/>
    </xf>
    <xf numFmtId="38" fontId="20" fillId="6" borderId="0" xfId="1" applyNumberFormat="1" applyFont="1" applyFill="1" applyBorder="1" applyAlignment="1">
      <alignment horizontal="center" vertical="center" wrapText="1" shrinkToFit="1"/>
    </xf>
    <xf numFmtId="38" fontId="20" fillId="6" borderId="20" xfId="1" applyNumberFormat="1" applyFont="1" applyFill="1" applyBorder="1" applyAlignment="1">
      <alignment horizontal="center" vertical="center" wrapText="1" shrinkToFit="1"/>
    </xf>
    <xf numFmtId="0" fontId="54" fillId="2" borderId="0" xfId="4" applyFont="1" applyFill="1" applyAlignment="1">
      <alignment horizontal="center" vertical="center" wrapText="1"/>
    </xf>
    <xf numFmtId="0" fontId="41" fillId="2" borderId="0" xfId="0" applyFont="1" applyFill="1" applyAlignment="1">
      <alignment horizontal="center" vertical="center"/>
    </xf>
    <xf numFmtId="0" fontId="65" fillId="2" borderId="0" xfId="0" quotePrefix="1" applyFont="1" applyFill="1" applyAlignment="1">
      <alignment horizontal="center" vertical="center"/>
    </xf>
    <xf numFmtId="0" fontId="20" fillId="2" borderId="42" xfId="4" applyFont="1" applyFill="1" applyBorder="1" applyAlignment="1">
      <alignment horizontal="center" vertical="center"/>
    </xf>
    <xf numFmtId="0" fontId="20" fillId="2" borderId="43" xfId="4" applyFont="1" applyFill="1" applyBorder="1" applyAlignment="1">
      <alignment horizontal="center" vertical="center"/>
    </xf>
    <xf numFmtId="0" fontId="20" fillId="2" borderId="45" xfId="4" applyFont="1" applyFill="1" applyBorder="1" applyAlignment="1">
      <alignment horizontal="center" vertical="center"/>
    </xf>
    <xf numFmtId="0" fontId="16" fillId="2" borderId="46" xfId="0" applyFont="1" applyFill="1" applyBorder="1" applyAlignment="1">
      <alignment horizontal="center" vertical="center"/>
    </xf>
    <xf numFmtId="0" fontId="10" fillId="2" borderId="45" xfId="0" applyFont="1" applyFill="1" applyBorder="1" applyAlignment="1">
      <alignment horizontal="center" vertical="center"/>
    </xf>
    <xf numFmtId="0" fontId="15" fillId="2" borderId="46" xfId="4" applyFont="1" applyFill="1" applyBorder="1" applyAlignment="1">
      <alignment horizontal="center" vertical="center" wrapText="1"/>
    </xf>
    <xf numFmtId="0" fontId="41" fillId="2" borderId="45" xfId="0" applyFont="1" applyFill="1" applyBorder="1" applyAlignment="1">
      <alignment horizontal="center" vertical="center"/>
    </xf>
    <xf numFmtId="0" fontId="20" fillId="2" borderId="46" xfId="4" applyFont="1" applyFill="1" applyBorder="1" applyAlignment="1">
      <alignment horizontal="center" vertical="center"/>
    </xf>
    <xf numFmtId="0" fontId="16" fillId="2" borderId="45" xfId="4" applyFont="1" applyFill="1" applyBorder="1" applyAlignment="1">
      <alignment horizontal="center" vertical="center"/>
    </xf>
    <xf numFmtId="0" fontId="16" fillId="2" borderId="47" xfId="4" applyFont="1" applyFill="1" applyBorder="1" applyAlignment="1">
      <alignment horizontal="center" vertical="center"/>
    </xf>
    <xf numFmtId="0" fontId="16" fillId="2" borderId="48" xfId="4" applyFont="1" applyFill="1" applyBorder="1" applyAlignment="1">
      <alignment horizontal="center" vertical="center"/>
    </xf>
    <xf numFmtId="0" fontId="20" fillId="2" borderId="48" xfId="4" applyFont="1" applyFill="1" applyBorder="1" applyAlignment="1">
      <alignment horizontal="center" vertical="center"/>
    </xf>
    <xf numFmtId="0" fontId="20" fillId="2" borderId="49" xfId="4" applyFont="1" applyFill="1" applyBorder="1" applyAlignment="1">
      <alignment horizontal="center" vertical="center"/>
    </xf>
    <xf numFmtId="3" fontId="52" fillId="3" borderId="4" xfId="0" applyNumberFormat="1" applyFont="1" applyFill="1" applyBorder="1" applyAlignment="1">
      <alignment horizontal="center" vertical="center" wrapText="1" shrinkToFit="1"/>
    </xf>
    <xf numFmtId="38" fontId="53" fillId="3" borderId="6" xfId="0" applyNumberFormat="1" applyFont="1" applyFill="1" applyBorder="1" applyAlignment="1">
      <alignment horizontal="center" vertical="center" wrapText="1" shrinkToFit="1"/>
    </xf>
    <xf numFmtId="3" fontId="25" fillId="0" borderId="7" xfId="0" applyNumberFormat="1" applyFont="1" applyBorder="1" applyAlignment="1">
      <alignment horizontal="center" vertical="center" wrapText="1" shrinkToFit="1"/>
    </xf>
    <xf numFmtId="3" fontId="25" fillId="0" borderId="9" xfId="0" applyNumberFormat="1" applyFont="1" applyBorder="1" applyAlignment="1">
      <alignment horizontal="center" vertical="center" wrapText="1" shrinkToFit="1"/>
    </xf>
    <xf numFmtId="3" fontId="14" fillId="3" borderId="7" xfId="0" applyNumberFormat="1" applyFont="1" applyFill="1" applyBorder="1" applyAlignment="1">
      <alignment horizontal="center" vertical="center" wrapText="1" shrinkToFit="1"/>
    </xf>
    <xf numFmtId="4" fontId="14" fillId="3" borderId="8" xfId="0" applyNumberFormat="1" applyFont="1" applyFill="1" applyBorder="1" applyAlignment="1">
      <alignment horizontal="center" vertical="center" wrapText="1" shrinkToFit="1"/>
    </xf>
    <xf numFmtId="3" fontId="54" fillId="2" borderId="27" xfId="0" applyNumberFormat="1" applyFont="1" applyFill="1" applyBorder="1" applyAlignment="1">
      <alignment vertical="center" shrinkToFit="1"/>
    </xf>
    <xf numFmtId="3" fontId="54" fillId="2" borderId="50" xfId="0" applyNumberFormat="1" applyFont="1" applyFill="1" applyBorder="1" applyAlignment="1">
      <alignment vertical="center" shrinkToFit="1"/>
    </xf>
    <xf numFmtId="168" fontId="20" fillId="4" borderId="5" xfId="0" applyNumberFormat="1" applyFont="1" applyFill="1" applyBorder="1" applyAlignment="1">
      <alignment horizontal="center" vertical="center" wrapText="1" shrinkToFit="1"/>
    </xf>
    <xf numFmtId="3" fontId="56" fillId="4" borderId="5" xfId="0" applyNumberFormat="1" applyFont="1" applyFill="1" applyBorder="1" applyAlignment="1">
      <alignment horizontal="center" vertical="center" wrapText="1" shrinkToFit="1"/>
    </xf>
    <xf numFmtId="4" fontId="20" fillId="4" borderId="5" xfId="0" applyNumberFormat="1" applyFont="1" applyFill="1" applyBorder="1" applyAlignment="1">
      <alignment horizontal="center" vertical="center" wrapText="1" shrinkToFit="1"/>
    </xf>
    <xf numFmtId="10" fontId="20" fillId="4" borderId="5" xfId="0" applyNumberFormat="1" applyFont="1" applyFill="1" applyBorder="1" applyAlignment="1">
      <alignment horizontal="center" vertical="center" wrapText="1" shrinkToFit="1"/>
    </xf>
    <xf numFmtId="168" fontId="49" fillId="4" borderId="5" xfId="0" applyNumberFormat="1" applyFont="1" applyFill="1" applyBorder="1" applyAlignment="1">
      <alignment horizontal="center" vertical="center" wrapText="1" shrinkToFit="1"/>
    </xf>
    <xf numFmtId="3" fontId="51" fillId="4" borderId="5" xfId="0" applyNumberFormat="1" applyFont="1" applyFill="1" applyBorder="1" applyAlignment="1">
      <alignment horizontal="center" vertical="center" wrapText="1" shrinkToFit="1"/>
    </xf>
    <xf numFmtId="3" fontId="25" fillId="0" borderId="0" xfId="0" applyNumberFormat="1" applyFont="1" applyAlignment="1">
      <alignment horizontal="centerContinuous" vertical="center" wrapText="1" shrinkToFit="1"/>
    </xf>
    <xf numFmtId="216" fontId="20" fillId="0" borderId="0" xfId="2" applyNumberFormat="1" applyFont="1" applyAlignment="1">
      <alignment horizontal="center" vertical="center" wrapText="1" shrinkToFit="1"/>
    </xf>
    <xf numFmtId="3" fontId="15" fillId="2" borderId="27" xfId="0" applyNumberFormat="1" applyFont="1" applyFill="1" applyBorder="1" applyAlignment="1">
      <alignment vertical="center" wrapText="1" shrinkToFit="1"/>
    </xf>
    <xf numFmtId="3" fontId="15" fillId="2" borderId="50" xfId="0" applyNumberFormat="1" applyFont="1" applyFill="1" applyBorder="1" applyAlignment="1">
      <alignment vertical="center" wrapText="1" shrinkToFit="1"/>
    </xf>
    <xf numFmtId="3" fontId="20" fillId="3" borderId="4" xfId="0" applyNumberFormat="1" applyFont="1" applyFill="1" applyBorder="1" applyAlignment="1">
      <alignment horizontal="center" vertical="center" wrapText="1" shrinkToFit="1" readingOrder="1"/>
    </xf>
    <xf numFmtId="3" fontId="20" fillId="0" borderId="4" xfId="0" applyNumberFormat="1" applyFont="1" applyBorder="1" applyAlignment="1">
      <alignment horizontal="center" vertical="center" wrapText="1" shrinkToFit="1" readingOrder="1"/>
    </xf>
    <xf numFmtId="3" fontId="15" fillId="0" borderId="0" xfId="0" applyNumberFormat="1" applyFont="1" applyAlignment="1">
      <alignment vertical="center" wrapText="1" shrinkToFit="1"/>
    </xf>
    <xf numFmtId="3" fontId="67" fillId="3" borderId="4" xfId="0" applyNumberFormat="1" applyFont="1" applyFill="1" applyBorder="1" applyAlignment="1">
      <alignment horizontal="center" vertical="center" wrapText="1" shrinkToFit="1"/>
    </xf>
    <xf numFmtId="215" fontId="67" fillId="3" borderId="5" xfId="0" applyNumberFormat="1" applyFont="1" applyFill="1" applyBorder="1" applyAlignment="1">
      <alignment horizontal="center" vertical="center" wrapText="1" shrinkToFit="1"/>
    </xf>
    <xf numFmtId="215" fontId="67" fillId="3" borderId="6" xfId="0" applyNumberFormat="1" applyFont="1" applyFill="1" applyBorder="1" applyAlignment="1">
      <alignment horizontal="center" vertical="center" wrapText="1" shrinkToFit="1"/>
    </xf>
    <xf numFmtId="3" fontId="20" fillId="4" borderId="5" xfId="0" applyNumberFormat="1" applyFont="1" applyFill="1" applyBorder="1" applyAlignment="1">
      <alignment horizontal="center" vertical="center" wrapText="1" shrinkToFit="1"/>
    </xf>
    <xf numFmtId="3" fontId="20" fillId="0" borderId="4" xfId="0" applyNumberFormat="1" applyFont="1" applyBorder="1" applyAlignment="1">
      <alignment horizontal="center" vertical="center" wrapText="1" shrinkToFit="1"/>
    </xf>
    <xf numFmtId="3" fontId="20" fillId="0" borderId="5" xfId="0" applyNumberFormat="1" applyFont="1" applyBorder="1" applyAlignment="1">
      <alignment horizontal="center" vertical="center" wrapText="1" shrinkToFit="1"/>
    </xf>
    <xf numFmtId="3" fontId="20" fillId="0" borderId="6" xfId="0" applyNumberFormat="1" applyFont="1" applyBorder="1" applyAlignment="1">
      <alignment horizontal="center" vertical="center" wrapText="1" shrinkToFit="1"/>
    </xf>
    <xf numFmtId="3" fontId="20" fillId="3" borderId="5" xfId="0" applyNumberFormat="1" applyFont="1" applyFill="1" applyBorder="1" applyAlignment="1">
      <alignment horizontal="center" vertical="center" wrapText="1" shrinkToFit="1"/>
    </xf>
    <xf numFmtId="3" fontId="20" fillId="3" borderId="6" xfId="0" applyNumberFormat="1" applyFont="1" applyFill="1" applyBorder="1" applyAlignment="1">
      <alignment horizontal="center" vertical="center" wrapText="1" shrinkToFit="1"/>
    </xf>
    <xf numFmtId="38" fontId="20" fillId="3" borderId="5" xfId="1" applyNumberFormat="1" applyFont="1" applyFill="1" applyBorder="1" applyAlignment="1">
      <alignment horizontal="center" vertical="center" wrapText="1" shrinkToFit="1"/>
    </xf>
    <xf numFmtId="38" fontId="20" fillId="0" borderId="5" xfId="1" applyNumberFormat="1" applyFont="1" applyFill="1" applyBorder="1" applyAlignment="1">
      <alignment horizontal="center" vertical="center" wrapText="1" shrinkToFit="1"/>
    </xf>
    <xf numFmtId="38" fontId="20" fillId="3" borderId="8" xfId="1" applyNumberFormat="1" applyFont="1" applyFill="1" applyBorder="1" applyAlignment="1">
      <alignment horizontal="center" vertical="center" wrapText="1" shrinkToFit="1"/>
    </xf>
    <xf numFmtId="38" fontId="20" fillId="0" borderId="6" xfId="1" applyNumberFormat="1" applyFont="1" applyFill="1" applyBorder="1" applyAlignment="1">
      <alignment horizontal="center" vertical="center" wrapText="1" shrinkToFit="1"/>
    </xf>
    <xf numFmtId="38" fontId="20" fillId="3" borderId="6" xfId="1" applyNumberFormat="1" applyFont="1" applyFill="1" applyBorder="1" applyAlignment="1">
      <alignment horizontal="center" vertical="center" wrapText="1" shrinkToFit="1"/>
    </xf>
    <xf numFmtId="38" fontId="20" fillId="3" borderId="9" xfId="1" applyNumberFormat="1" applyFont="1" applyFill="1" applyBorder="1" applyAlignment="1">
      <alignment horizontal="center" vertical="center" wrapText="1" shrinkToFit="1"/>
    </xf>
    <xf numFmtId="3" fontId="20" fillId="3" borderId="4" xfId="0" applyNumberFormat="1" applyFont="1" applyFill="1" applyBorder="1" applyAlignment="1">
      <alignment horizontal="center" vertical="center" wrapText="1" shrinkToFit="1"/>
    </xf>
    <xf numFmtId="0" fontId="16" fillId="2" borderId="4" xfId="0" applyFont="1" applyFill="1" applyBorder="1" applyAlignment="1">
      <alignment horizontal="center" vertical="center" wrapText="1" shrinkToFit="1"/>
    </xf>
    <xf numFmtId="0" fontId="16" fillId="2" borderId="5" xfId="0" applyFont="1" applyFill="1" applyBorder="1" applyAlignment="1">
      <alignment horizontal="center" vertical="center" wrapText="1" shrinkToFit="1"/>
    </xf>
    <xf numFmtId="168" fontId="20" fillId="0" borderId="5" xfId="0" applyNumberFormat="1" applyFont="1" applyBorder="1" applyAlignment="1">
      <alignment horizontal="center" vertical="center" wrapText="1" shrinkToFit="1"/>
    </xf>
    <xf numFmtId="3" fontId="24" fillId="3" borderId="8" xfId="0" applyNumberFormat="1" applyFont="1" applyFill="1" applyBorder="1" applyAlignment="1">
      <alignment horizontal="center" vertical="center" wrapText="1" shrinkToFit="1"/>
    </xf>
    <xf numFmtId="3" fontId="16" fillId="2" borderId="6" xfId="0" applyNumberFormat="1" applyFont="1" applyFill="1" applyBorder="1" applyAlignment="1">
      <alignment horizontal="center" vertical="center" wrapText="1" shrinkToFit="1"/>
    </xf>
    <xf numFmtId="3" fontId="14" fillId="0" borderId="5" xfId="0" applyNumberFormat="1" applyFont="1" applyBorder="1" applyAlignment="1">
      <alignment horizontal="center" vertical="center" wrapText="1" shrinkToFit="1"/>
    </xf>
    <xf numFmtId="3" fontId="20" fillId="3" borderId="7" xfId="0" applyNumberFormat="1" applyFont="1" applyFill="1" applyBorder="1" applyAlignment="1">
      <alignment horizontal="center" vertical="center" wrapText="1" shrinkToFit="1"/>
    </xf>
    <xf numFmtId="3" fontId="14" fillId="2" borderId="8" xfId="0" applyNumberFormat="1" applyFont="1" applyFill="1" applyBorder="1" applyAlignment="1">
      <alignment horizontal="center" vertical="center" wrapText="1" shrinkToFit="1"/>
    </xf>
    <xf numFmtId="0" fontId="68" fillId="0" borderId="0" xfId="0" applyFont="1"/>
    <xf numFmtId="38" fontId="20" fillId="0" borderId="15" xfId="1" applyNumberFormat="1" applyFont="1" applyFill="1" applyBorder="1" applyAlignment="1">
      <alignment horizontal="center" vertical="center" wrapText="1" shrinkToFit="1"/>
    </xf>
    <xf numFmtId="9" fontId="20" fillId="0" borderId="5" xfId="2" applyFont="1" applyFill="1" applyBorder="1" applyAlignment="1">
      <alignment horizontal="center" vertical="center" wrapText="1" shrinkToFit="1"/>
    </xf>
    <xf numFmtId="9" fontId="20" fillId="0" borderId="6" xfId="2" applyFont="1" applyFill="1" applyBorder="1" applyAlignment="1">
      <alignment horizontal="center" vertical="center" wrapText="1" shrinkToFit="1"/>
    </xf>
    <xf numFmtId="38" fontId="20" fillId="0" borderId="19" xfId="1" applyNumberFormat="1" applyFont="1" applyFill="1" applyBorder="1" applyAlignment="1">
      <alignment horizontal="center" vertical="center" wrapText="1" shrinkToFit="1"/>
    </xf>
    <xf numFmtId="38" fontId="20" fillId="4" borderId="5" xfId="1" applyNumberFormat="1" applyFont="1" applyFill="1" applyBorder="1" applyAlignment="1">
      <alignment horizontal="center" vertical="center" wrapText="1" shrinkToFit="1"/>
    </xf>
    <xf numFmtId="3" fontId="16" fillId="0" borderId="0" xfId="0" applyNumberFormat="1" applyFont="1" applyAlignment="1">
      <alignment vertical="center" wrapText="1" shrinkToFit="1"/>
    </xf>
    <xf numFmtId="3" fontId="14" fillId="3" borderId="8" xfId="0" applyNumberFormat="1" applyFont="1" applyFill="1" applyBorder="1" applyAlignment="1">
      <alignment horizontal="center" vertical="center" wrapText="1" shrinkToFit="1"/>
    </xf>
    <xf numFmtId="3" fontId="9" fillId="3" borderId="4" xfId="0" applyNumberFormat="1" applyFont="1" applyFill="1" applyBorder="1" applyAlignment="1">
      <alignment horizontal="center" vertical="center" wrapText="1" shrinkToFit="1"/>
    </xf>
    <xf numFmtId="0" fontId="68" fillId="0" borderId="0" xfId="0" applyFont="1" applyAlignment="1">
      <alignment horizontal="center" vertical="center"/>
    </xf>
    <xf numFmtId="0" fontId="16" fillId="2" borderId="1"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 xfId="0" applyFont="1" applyFill="1" applyBorder="1" applyAlignment="1">
      <alignment horizontal="center" vertical="center"/>
    </xf>
    <xf numFmtId="3" fontId="9" fillId="0" borderId="4" xfId="0" applyNumberFormat="1" applyFont="1" applyBorder="1" applyAlignment="1">
      <alignment horizontal="center" vertical="center" wrapText="1" shrinkToFit="1"/>
    </xf>
    <xf numFmtId="3" fontId="9" fillId="0" borderId="6" xfId="0" applyNumberFormat="1" applyFont="1" applyBorder="1" applyAlignment="1">
      <alignment horizontal="center" vertical="center" wrapText="1" shrinkToFit="1"/>
    </xf>
    <xf numFmtId="9" fontId="9" fillId="0" borderId="6" xfId="2" applyFont="1" applyFill="1" applyBorder="1" applyAlignment="1">
      <alignment horizontal="center" vertical="center" wrapText="1" shrinkToFit="1"/>
    </xf>
    <xf numFmtId="9" fontId="9" fillId="3" borderId="6" xfId="2" applyFont="1" applyFill="1" applyBorder="1" applyAlignment="1">
      <alignment horizontal="center" vertical="center" wrapText="1" shrinkToFit="1"/>
    </xf>
    <xf numFmtId="3" fontId="9" fillId="0" borderId="0" xfId="0" applyNumberFormat="1" applyFont="1" applyAlignment="1">
      <alignment horizontal="center" vertical="center" wrapText="1" shrinkToFit="1"/>
    </xf>
    <xf numFmtId="3" fontId="70" fillId="2" borderId="8" xfId="0" applyNumberFormat="1" applyFont="1" applyFill="1" applyBorder="1" applyAlignment="1">
      <alignment horizontal="center" vertical="center"/>
    </xf>
    <xf numFmtId="168" fontId="9" fillId="0" borderId="8" xfId="0" applyNumberFormat="1" applyFont="1" applyBorder="1" applyAlignment="1">
      <alignment horizontal="center" vertical="center" wrapText="1" shrinkToFit="1"/>
    </xf>
    <xf numFmtId="10" fontId="23" fillId="0" borderId="5" xfId="2" applyNumberFormat="1" applyFont="1" applyBorder="1" applyAlignment="1">
      <alignment horizontal="center" vertical="center" wrapText="1" shrinkToFit="1" readingOrder="2"/>
    </xf>
    <xf numFmtId="9" fontId="9" fillId="0" borderId="6" xfId="2" applyFont="1" applyBorder="1" applyAlignment="1">
      <alignment horizontal="center" vertical="center" wrapText="1" shrinkToFit="1"/>
    </xf>
    <xf numFmtId="9" fontId="9" fillId="0" borderId="5" xfId="2" applyFont="1" applyBorder="1" applyAlignment="1">
      <alignment horizontal="center" vertical="center" wrapText="1" shrinkToFit="1"/>
    </xf>
    <xf numFmtId="9" fontId="9" fillId="3" borderId="5" xfId="2" applyFont="1" applyFill="1" applyBorder="1" applyAlignment="1">
      <alignment horizontal="center" vertical="center" wrapText="1" shrinkToFit="1"/>
    </xf>
    <xf numFmtId="3" fontId="9" fillId="2" borderId="7" xfId="0" applyNumberFormat="1" applyFont="1" applyFill="1" applyBorder="1" applyAlignment="1">
      <alignment horizontal="center" vertical="center" wrapText="1" shrinkToFit="1"/>
    </xf>
    <xf numFmtId="3" fontId="9" fillId="2" borderId="8" xfId="0" applyNumberFormat="1" applyFont="1" applyFill="1" applyBorder="1" applyAlignment="1">
      <alignment horizontal="center" vertical="center" wrapText="1" shrinkToFit="1"/>
    </xf>
    <xf numFmtId="0" fontId="71" fillId="0" borderId="0" xfId="0" applyFont="1" applyAlignment="1">
      <alignment horizontal="center" vertical="center" wrapText="1"/>
    </xf>
    <xf numFmtId="0" fontId="68" fillId="0" borderId="0" xfId="0" applyFont="1" applyAlignment="1">
      <alignment horizontal="center" vertical="center" wrapText="1"/>
    </xf>
    <xf numFmtId="184" fontId="9" fillId="2" borderId="8" xfId="0" applyNumberFormat="1" applyFont="1" applyFill="1" applyBorder="1" applyAlignment="1">
      <alignment horizontal="center" vertical="center" wrapText="1" shrinkToFit="1"/>
    </xf>
    <xf numFmtId="182" fontId="9" fillId="2" borderId="8" xfId="0" applyNumberFormat="1" applyFont="1" applyFill="1" applyBorder="1" applyAlignment="1">
      <alignment horizontal="center" vertical="center" wrapText="1" shrinkToFit="1"/>
    </xf>
    <xf numFmtId="10" fontId="9" fillId="0" borderId="4" xfId="2" applyNumberFormat="1" applyFont="1" applyFill="1" applyBorder="1" applyAlignment="1">
      <alignment horizontal="center" vertical="center" wrapText="1" shrinkToFit="1"/>
    </xf>
    <xf numFmtId="10" fontId="9" fillId="3" borderId="4" xfId="0" applyNumberFormat="1" applyFont="1" applyFill="1" applyBorder="1" applyAlignment="1">
      <alignment horizontal="center" vertical="center" wrapText="1" shrinkToFit="1"/>
    </xf>
    <xf numFmtId="10" fontId="9" fillId="4" borderId="4" xfId="2" applyNumberFormat="1" applyFont="1" applyFill="1" applyBorder="1" applyAlignment="1">
      <alignment horizontal="center" vertical="center" wrapText="1" shrinkToFit="1"/>
    </xf>
    <xf numFmtId="10" fontId="9" fillId="4" borderId="4" xfId="0" applyNumberFormat="1" applyFont="1" applyFill="1" applyBorder="1" applyAlignment="1">
      <alignment horizontal="center" vertical="center" wrapText="1" shrinkToFit="1"/>
    </xf>
    <xf numFmtId="10" fontId="9" fillId="0" borderId="7" xfId="2" applyNumberFormat="1" applyFont="1" applyFill="1" applyBorder="1" applyAlignment="1">
      <alignment horizontal="center" vertical="center" wrapText="1" shrinkToFit="1"/>
    </xf>
    <xf numFmtId="10" fontId="9" fillId="3" borderId="7" xfId="0" applyNumberFormat="1" applyFont="1" applyFill="1" applyBorder="1" applyAlignment="1">
      <alignment horizontal="center" vertical="center" wrapText="1" shrinkToFit="1"/>
    </xf>
    <xf numFmtId="10" fontId="9" fillId="3" borderId="16" xfId="0" applyNumberFormat="1" applyFont="1" applyFill="1" applyBorder="1" applyAlignment="1">
      <alignment horizontal="center" vertical="center" wrapText="1" shrinkToFit="1"/>
    </xf>
    <xf numFmtId="167" fontId="9" fillId="3" borderId="7" xfId="0" applyNumberFormat="1" applyFont="1" applyFill="1" applyBorder="1" applyAlignment="1">
      <alignment horizontal="center" vertical="center" wrapText="1" shrinkToFit="1"/>
    </xf>
    <xf numFmtId="183" fontId="9" fillId="2" borderId="8" xfId="2" applyNumberFormat="1" applyFont="1" applyFill="1" applyBorder="1" applyAlignment="1">
      <alignment horizontal="center" vertical="center" wrapText="1" shrinkToFit="1"/>
    </xf>
    <xf numFmtId="204" fontId="9" fillId="2" borderId="8" xfId="0" applyNumberFormat="1" applyFont="1" applyFill="1" applyBorder="1" applyAlignment="1">
      <alignment horizontal="center" vertical="center" wrapText="1" shrinkToFit="1"/>
    </xf>
    <xf numFmtId="184" fontId="9" fillId="2" borderId="8" xfId="2" applyNumberFormat="1" applyFont="1" applyFill="1" applyBorder="1" applyAlignment="1">
      <alignment horizontal="center" vertical="center" wrapText="1" shrinkToFit="1"/>
    </xf>
    <xf numFmtId="10" fontId="9" fillId="2" borderId="8" xfId="2" applyNumberFormat="1" applyFont="1" applyFill="1" applyBorder="1" applyAlignment="1">
      <alignment horizontal="center" vertical="center" wrapText="1" shrinkToFit="1"/>
    </xf>
    <xf numFmtId="3" fontId="9" fillId="0" borderId="5" xfId="0" applyNumberFormat="1" applyFont="1" applyBorder="1" applyAlignment="1">
      <alignment horizontal="center" vertical="center" wrapText="1" shrinkToFit="1"/>
    </xf>
    <xf numFmtId="200" fontId="9" fillId="4" borderId="11" xfId="2" applyNumberFormat="1" applyFont="1" applyFill="1" applyBorder="1" applyAlignment="1">
      <alignment horizontal="center" vertical="center" wrapText="1" shrinkToFit="1"/>
    </xf>
    <xf numFmtId="200" fontId="9" fillId="4" borderId="14" xfId="2" applyNumberFormat="1" applyFont="1" applyFill="1" applyBorder="1" applyAlignment="1">
      <alignment horizontal="center" vertical="center" wrapText="1" shrinkToFit="1"/>
    </xf>
    <xf numFmtId="201" fontId="9" fillId="4" borderId="14" xfId="2" applyNumberFormat="1" applyFont="1" applyFill="1" applyBorder="1" applyAlignment="1">
      <alignment horizontal="center" vertical="center" wrapText="1" shrinkToFit="1"/>
    </xf>
    <xf numFmtId="3" fontId="9" fillId="0" borderId="7" xfId="0" applyNumberFormat="1" applyFont="1" applyBorder="1" applyAlignment="1">
      <alignment horizontal="center" vertical="center" wrapText="1" shrinkToFit="1"/>
    </xf>
    <xf numFmtId="3" fontId="9" fillId="0" borderId="12" xfId="0" applyNumberFormat="1" applyFont="1" applyBorder="1" applyAlignment="1">
      <alignment horizontal="center" vertical="center" wrapText="1" shrinkToFit="1"/>
    </xf>
    <xf numFmtId="38" fontId="20" fillId="0" borderId="0" xfId="0" applyNumberFormat="1" applyFont="1" applyAlignment="1">
      <alignment horizontal="center" vertical="center" wrapText="1" shrinkToFit="1"/>
    </xf>
    <xf numFmtId="3" fontId="15" fillId="2" borderId="22" xfId="0" applyNumberFormat="1" applyFont="1" applyFill="1" applyBorder="1" applyAlignment="1">
      <alignment vertical="center" wrapText="1" shrinkToFit="1"/>
    </xf>
    <xf numFmtId="3" fontId="15" fillId="2" borderId="23" xfId="0" applyNumberFormat="1" applyFont="1" applyFill="1" applyBorder="1" applyAlignment="1">
      <alignment vertical="center" wrapText="1" shrinkToFit="1"/>
    </xf>
    <xf numFmtId="217" fontId="20" fillId="2" borderId="8" xfId="0" applyNumberFormat="1" applyFont="1" applyFill="1" applyBorder="1" applyAlignment="1">
      <alignment horizontal="center" vertical="center" wrapText="1" shrinkToFit="1"/>
    </xf>
    <xf numFmtId="10" fontId="23" fillId="4" borderId="5" xfId="0" applyNumberFormat="1" applyFont="1" applyFill="1" applyBorder="1" applyAlignment="1">
      <alignment horizontal="center" vertical="center" wrapText="1" shrinkToFit="1"/>
    </xf>
    <xf numFmtId="168" fontId="23" fillId="3" borderId="5" xfId="0" applyNumberFormat="1" applyFont="1" applyFill="1" applyBorder="1" applyAlignment="1">
      <alignment horizontal="center" vertical="center" wrapText="1" shrinkToFit="1"/>
    </xf>
    <xf numFmtId="3" fontId="23" fillId="4" borderId="5" xfId="0" applyNumberFormat="1" applyFont="1" applyFill="1" applyBorder="1" applyAlignment="1">
      <alignment horizontal="center" vertical="center" wrapText="1" shrinkToFit="1"/>
    </xf>
    <xf numFmtId="4" fontId="23" fillId="3" borderId="6" xfId="0" applyNumberFormat="1" applyFont="1" applyFill="1" applyBorder="1" applyAlignment="1">
      <alignment horizontal="center" vertical="center" wrapText="1" shrinkToFit="1"/>
    </xf>
    <xf numFmtId="4" fontId="20" fillId="2" borderId="4" xfId="0" applyNumberFormat="1" applyFont="1" applyFill="1" applyBorder="1" applyAlignment="1">
      <alignment horizontal="center" vertical="center" wrapText="1" shrinkToFit="1"/>
    </xf>
    <xf numFmtId="3" fontId="49" fillId="3" borderId="4" xfId="0" applyNumberFormat="1" applyFont="1" applyFill="1" applyBorder="1" applyAlignment="1">
      <alignment horizontal="center" vertical="center" wrapText="1" shrinkToFit="1"/>
    </xf>
    <xf numFmtId="3" fontId="49" fillId="0" borderId="4" xfId="0" applyNumberFormat="1" applyFont="1" applyBorder="1" applyAlignment="1">
      <alignment horizontal="center" vertical="center" wrapText="1" shrinkToFit="1"/>
    </xf>
    <xf numFmtId="4" fontId="49" fillId="0" borderId="6" xfId="0" applyNumberFormat="1" applyFont="1" applyBorder="1" applyAlignment="1">
      <alignment horizontal="center" vertical="center" wrapText="1" shrinkToFit="1"/>
    </xf>
    <xf numFmtId="3" fontId="23" fillId="3" borderId="4" xfId="0" applyNumberFormat="1" applyFont="1" applyFill="1" applyBorder="1" applyAlignment="1">
      <alignment horizontal="center" vertical="center" wrapText="1" shrinkToFit="1"/>
    </xf>
    <xf numFmtId="168" fontId="20" fillId="0" borderId="6" xfId="0" applyNumberFormat="1" applyFont="1" applyBorder="1" applyAlignment="1">
      <alignment horizontal="center" vertical="center" wrapText="1" shrinkToFit="1"/>
    </xf>
    <xf numFmtId="3" fontId="56" fillId="0" borderId="6" xfId="0" applyNumberFormat="1" applyFont="1" applyBorder="1" applyAlignment="1">
      <alignment horizontal="center" vertical="center" wrapText="1" shrinkToFit="1"/>
    </xf>
    <xf numFmtId="3" fontId="56" fillId="3" borderId="6" xfId="0" applyNumberFormat="1" applyFont="1" applyFill="1" applyBorder="1" applyAlignment="1">
      <alignment horizontal="center" vertical="center" wrapText="1" shrinkToFit="1"/>
    </xf>
    <xf numFmtId="10" fontId="9" fillId="4" borderId="5" xfId="2" applyNumberFormat="1" applyFont="1" applyFill="1" applyBorder="1" applyAlignment="1">
      <alignment horizontal="center" vertical="center" wrapText="1" shrinkToFit="1"/>
    </xf>
    <xf numFmtId="10" fontId="49" fillId="4" borderId="5" xfId="2" applyNumberFormat="1" applyFont="1" applyFill="1" applyBorder="1" applyAlignment="1">
      <alignment horizontal="center" vertical="center" wrapText="1" shrinkToFit="1"/>
    </xf>
    <xf numFmtId="3" fontId="49" fillId="4" borderId="5" xfId="0" applyNumberFormat="1" applyFont="1" applyFill="1" applyBorder="1" applyAlignment="1">
      <alignment horizontal="center" vertical="center" wrapText="1" shrinkToFit="1"/>
    </xf>
    <xf numFmtId="3" fontId="20" fillId="0" borderId="34" xfId="0" applyNumberFormat="1" applyFont="1" applyBorder="1" applyAlignment="1">
      <alignment horizontal="center" vertical="center" wrapText="1" shrinkToFit="1"/>
    </xf>
    <xf numFmtId="38" fontId="20" fillId="0" borderId="27" xfId="0" applyNumberFormat="1" applyFont="1" applyBorder="1" applyAlignment="1">
      <alignment horizontal="center" vertical="center" wrapText="1" shrinkToFit="1"/>
    </xf>
    <xf numFmtId="4" fontId="53" fillId="0" borderId="27" xfId="0" applyNumberFormat="1" applyFont="1" applyBorder="1" applyAlignment="1">
      <alignment horizontal="center" vertical="center" wrapText="1" shrinkToFit="1"/>
    </xf>
    <xf numFmtId="38" fontId="20" fillId="0" borderId="50" xfId="0" applyNumberFormat="1" applyFont="1" applyBorder="1" applyAlignment="1">
      <alignment horizontal="center" vertical="center" wrapText="1" shrinkToFit="1"/>
    </xf>
    <xf numFmtId="3" fontId="20" fillId="3" borderId="1" xfId="0" applyNumberFormat="1" applyFont="1" applyFill="1" applyBorder="1" applyAlignment="1">
      <alignment horizontal="center" vertical="center" wrapText="1" shrinkToFit="1"/>
    </xf>
    <xf numFmtId="38" fontId="20" fillId="0" borderId="3" xfId="0" applyNumberFormat="1" applyFont="1" applyBorder="1" applyAlignment="1">
      <alignment horizontal="center" vertical="center" wrapText="1" shrinkToFit="1"/>
    </xf>
    <xf numFmtId="40" fontId="48" fillId="0" borderId="6" xfId="0" applyNumberFormat="1" applyFont="1" applyBorder="1" applyAlignment="1">
      <alignment horizontal="center" vertical="center" wrapText="1" shrinkToFit="1"/>
    </xf>
    <xf numFmtId="40" fontId="20" fillId="3" borderId="7" xfId="0" applyNumberFormat="1" applyFont="1" applyFill="1" applyBorder="1" applyAlignment="1">
      <alignment horizontal="center" vertical="center" wrapText="1" shrinkToFit="1"/>
    </xf>
    <xf numFmtId="38" fontId="51" fillId="3" borderId="8" xfId="0" applyNumberFormat="1" applyFont="1" applyFill="1" applyBorder="1" applyAlignment="1">
      <alignment horizontal="center" vertical="center" wrapText="1" shrinkToFit="1"/>
    </xf>
    <xf numFmtId="40" fontId="48" fillId="0" borderId="9" xfId="0" applyNumberFormat="1" applyFont="1" applyBorder="1" applyAlignment="1">
      <alignment horizontal="center" vertical="center" wrapText="1" shrinkToFit="1"/>
    </xf>
    <xf numFmtId="38" fontId="25" fillId="6" borderId="39" xfId="1" applyNumberFormat="1" applyFont="1" applyFill="1" applyBorder="1" applyAlignment="1">
      <alignment horizontal="center" vertical="center" wrapText="1" shrinkToFit="1"/>
    </xf>
    <xf numFmtId="38" fontId="25" fillId="6" borderId="36" xfId="1" applyNumberFormat="1" applyFont="1" applyFill="1" applyBorder="1" applyAlignment="1">
      <alignment horizontal="center" vertical="center" wrapText="1" shrinkToFit="1"/>
    </xf>
    <xf numFmtId="38" fontId="20" fillId="3" borderId="5" xfId="2" applyNumberFormat="1" applyFont="1" applyFill="1" applyBorder="1" applyAlignment="1">
      <alignment horizontal="center" vertical="center" wrapText="1" shrinkToFit="1"/>
    </xf>
    <xf numFmtId="9" fontId="20" fillId="4" borderId="6" xfId="2" applyFont="1" applyFill="1" applyBorder="1" applyAlignment="1">
      <alignment horizontal="center" vertical="center" wrapText="1" shrinkToFit="1"/>
    </xf>
    <xf numFmtId="9" fontId="20" fillId="4" borderId="9" xfId="2" applyFont="1" applyFill="1" applyBorder="1" applyAlignment="1">
      <alignment horizontal="center" vertical="center" wrapText="1" shrinkToFit="1"/>
    </xf>
    <xf numFmtId="0" fontId="16" fillId="2" borderId="16" xfId="0" applyFont="1" applyFill="1" applyBorder="1" applyAlignment="1">
      <alignment horizontal="center" vertical="center" wrapText="1" shrinkToFit="1"/>
    </xf>
    <xf numFmtId="40" fontId="20" fillId="3" borderId="13" xfId="0" applyNumberFormat="1" applyFont="1" applyFill="1" applyBorder="1" applyAlignment="1">
      <alignment horizontal="center" vertical="center" wrapText="1" shrinkToFit="1"/>
    </xf>
    <xf numFmtId="0" fontId="48" fillId="0" borderId="13" xfId="0" applyFont="1" applyBorder="1" applyAlignment="1">
      <alignment horizontal="center" vertical="center" wrapText="1" shrinkToFit="1"/>
    </xf>
    <xf numFmtId="38" fontId="20" fillId="0" borderId="13" xfId="1" applyNumberFormat="1" applyFont="1" applyFill="1" applyBorder="1" applyAlignment="1">
      <alignment horizontal="center" vertical="center" wrapText="1" shrinkToFit="1"/>
    </xf>
    <xf numFmtId="38" fontId="20" fillId="0" borderId="17" xfId="1" applyNumberFormat="1" applyFont="1" applyFill="1" applyBorder="1" applyAlignment="1">
      <alignment horizontal="center" vertical="center" wrapText="1" shrinkToFit="1"/>
    </xf>
    <xf numFmtId="38" fontId="20" fillId="3" borderId="2" xfId="1" applyNumberFormat="1" applyFont="1" applyFill="1" applyBorder="1" applyAlignment="1">
      <alignment horizontal="center" vertical="center" wrapText="1" shrinkToFit="1"/>
    </xf>
    <xf numFmtId="38" fontId="20" fillId="3" borderId="3" xfId="1" applyNumberFormat="1" applyFont="1" applyFill="1" applyBorder="1" applyAlignment="1">
      <alignment horizontal="center" vertical="center" wrapText="1" shrinkToFit="1"/>
    </xf>
    <xf numFmtId="3" fontId="16" fillId="2" borderId="7" xfId="0" applyNumberFormat="1" applyFont="1" applyFill="1" applyBorder="1" applyAlignment="1">
      <alignment horizontal="center" vertical="center" wrapText="1" shrinkToFit="1" readingOrder="1"/>
    </xf>
    <xf numFmtId="3" fontId="54" fillId="2" borderId="22" xfId="0" applyNumberFormat="1" applyFont="1" applyFill="1" applyBorder="1" applyAlignment="1">
      <alignment vertical="center" shrinkToFit="1"/>
    </xf>
    <xf numFmtId="3" fontId="54" fillId="2" borderId="23" xfId="0" applyNumberFormat="1" applyFont="1" applyFill="1" applyBorder="1" applyAlignment="1">
      <alignment vertical="center" shrinkToFit="1"/>
    </xf>
    <xf numFmtId="38" fontId="51" fillId="0" borderId="5" xfId="1" applyNumberFormat="1" applyFont="1" applyFill="1" applyBorder="1" applyAlignment="1">
      <alignment horizontal="center" vertical="center" wrapText="1" shrinkToFit="1"/>
    </xf>
    <xf numFmtId="38" fontId="51" fillId="0" borderId="6" xfId="1" applyNumberFormat="1" applyFont="1" applyFill="1" applyBorder="1" applyAlignment="1">
      <alignment horizontal="center" vertical="center" wrapText="1" shrinkToFit="1"/>
    </xf>
    <xf numFmtId="3" fontId="16" fillId="2" borderId="16" xfId="0" applyNumberFormat="1" applyFont="1" applyFill="1" applyBorder="1" applyAlignment="1">
      <alignment horizontal="center" vertical="center" wrapText="1" shrinkToFit="1"/>
    </xf>
    <xf numFmtId="40" fontId="48" fillId="0" borderId="13" xfId="0" applyNumberFormat="1" applyFont="1" applyBorder="1" applyAlignment="1">
      <alignment horizontal="center" vertical="center" wrapText="1" shrinkToFit="1"/>
    </xf>
    <xf numFmtId="218" fontId="31" fillId="0" borderId="8" xfId="0" applyNumberFormat="1" applyFont="1" applyBorder="1" applyAlignment="1">
      <alignment horizontal="center" vertical="center" wrapText="1" shrinkToFit="1"/>
    </xf>
    <xf numFmtId="219" fontId="20" fillId="0" borderId="0" xfId="2" applyNumberFormat="1" applyFont="1" applyAlignment="1">
      <alignment horizontal="center" vertical="center" wrapText="1" shrinkToFit="1"/>
    </xf>
    <xf numFmtId="38" fontId="51" fillId="3" borderId="5" xfId="0" applyNumberFormat="1" applyFont="1" applyFill="1" applyBorder="1" applyAlignment="1">
      <alignment horizontal="center" vertical="center" wrapText="1" shrinkToFit="1"/>
    </xf>
    <xf numFmtId="38" fontId="51" fillId="3" borderId="5" xfId="1" applyNumberFormat="1" applyFont="1" applyFill="1" applyBorder="1" applyAlignment="1">
      <alignment horizontal="center" vertical="center" wrapText="1" shrinkToFit="1"/>
    </xf>
    <xf numFmtId="38" fontId="51" fillId="3" borderId="6" xfId="1" applyNumberFormat="1" applyFont="1" applyFill="1" applyBorder="1" applyAlignment="1">
      <alignment horizontal="center" vertical="center" wrapText="1" shrinkToFit="1"/>
    </xf>
    <xf numFmtId="3" fontId="51" fillId="4" borderId="8" xfId="0" applyNumberFormat="1" applyFont="1" applyFill="1" applyBorder="1" applyAlignment="1">
      <alignment horizontal="center" vertical="center" wrapText="1" shrinkToFit="1"/>
    </xf>
    <xf numFmtId="3" fontId="51" fillId="4" borderId="9" xfId="0" applyNumberFormat="1" applyFont="1" applyFill="1" applyBorder="1" applyAlignment="1">
      <alignment horizontal="center" vertical="center" wrapText="1" shrinkToFit="1"/>
    </xf>
    <xf numFmtId="38" fontId="51" fillId="3" borderId="13" xfId="0" applyNumberFormat="1" applyFont="1" applyFill="1" applyBorder="1" applyAlignment="1">
      <alignment horizontal="center" vertical="center" wrapText="1" shrinkToFit="1"/>
    </xf>
    <xf numFmtId="3" fontId="14" fillId="0" borderId="6" xfId="0" applyNumberFormat="1" applyFont="1" applyBorder="1" applyAlignment="1">
      <alignment horizontal="center" vertical="center" wrapText="1" shrinkToFit="1"/>
    </xf>
    <xf numFmtId="9" fontId="14" fillId="3" borderId="5" xfId="2" applyFont="1" applyFill="1" applyBorder="1" applyAlignment="1">
      <alignment horizontal="center" vertical="center" wrapText="1" shrinkToFit="1"/>
    </xf>
    <xf numFmtId="3" fontId="22" fillId="3" borderId="6" xfId="0" applyNumberFormat="1" applyFont="1" applyFill="1" applyBorder="1" applyAlignment="1">
      <alignment horizontal="center" vertical="center" wrapText="1" shrinkToFit="1"/>
    </xf>
    <xf numFmtId="0" fontId="70" fillId="2" borderId="9" xfId="0" applyFont="1" applyFill="1" applyBorder="1" applyAlignment="1">
      <alignment horizontal="center" vertical="center"/>
    </xf>
    <xf numFmtId="3" fontId="22" fillId="3" borderId="16" xfId="0" applyNumberFormat="1" applyFont="1" applyFill="1" applyBorder="1" applyAlignment="1">
      <alignment horizontal="center" vertical="center" wrapText="1" shrinkToFit="1"/>
    </xf>
    <xf numFmtId="10" fontId="22" fillId="4" borderId="13" xfId="2" applyNumberFormat="1" applyFont="1" applyFill="1" applyBorder="1" applyAlignment="1">
      <alignment horizontal="center" vertical="center" wrapText="1" shrinkToFit="1"/>
    </xf>
    <xf numFmtId="3" fontId="22" fillId="3" borderId="13" xfId="0" applyNumberFormat="1" applyFont="1" applyFill="1" applyBorder="1" applyAlignment="1">
      <alignment horizontal="center" vertical="center" wrapText="1" shrinkToFit="1"/>
    </xf>
    <xf numFmtId="3" fontId="52" fillId="3" borderId="13" xfId="0" applyNumberFormat="1" applyFont="1" applyFill="1" applyBorder="1" applyAlignment="1">
      <alignment horizontal="center" vertical="center" wrapText="1" shrinkToFit="1"/>
    </xf>
    <xf numFmtId="3" fontId="22" fillId="3" borderId="17" xfId="0" applyNumberFormat="1" applyFont="1" applyFill="1" applyBorder="1" applyAlignment="1">
      <alignment horizontal="center" vertical="center" wrapText="1" shrinkToFit="1"/>
    </xf>
    <xf numFmtId="3" fontId="22" fillId="0" borderId="2" xfId="0" applyNumberFormat="1" applyFont="1" applyBorder="1" applyAlignment="1">
      <alignment horizontal="center" vertical="center" wrapText="1" shrinkToFit="1"/>
    </xf>
    <xf numFmtId="3" fontId="22" fillId="0" borderId="3" xfId="0" applyNumberFormat="1" applyFont="1" applyBorder="1" applyAlignment="1">
      <alignment horizontal="center" vertical="center" wrapText="1" shrinkToFit="1"/>
    </xf>
    <xf numFmtId="3" fontId="20" fillId="0" borderId="26" xfId="0" applyNumberFormat="1" applyFont="1" applyBorder="1" applyAlignment="1">
      <alignment horizontal="center" vertical="center" wrapText="1" shrinkToFit="1"/>
    </xf>
    <xf numFmtId="3" fontId="16" fillId="2" borderId="3" xfId="0" applyNumberFormat="1" applyFont="1" applyFill="1" applyBorder="1" applyAlignment="1">
      <alignment horizontal="center" vertical="center"/>
    </xf>
    <xf numFmtId="10" fontId="7" fillId="4" borderId="4" xfId="2" applyNumberFormat="1" applyFont="1" applyFill="1" applyBorder="1" applyAlignment="1">
      <alignment horizontal="center" vertical="center" wrapText="1" shrinkToFit="1"/>
    </xf>
    <xf numFmtId="215" fontId="20" fillId="4" borderId="2" xfId="0" applyNumberFormat="1" applyFont="1" applyFill="1" applyBorder="1" applyAlignment="1">
      <alignment horizontal="center" vertical="center" wrapText="1" shrinkToFit="1"/>
    </xf>
    <xf numFmtId="215" fontId="20" fillId="4" borderId="3" xfId="0" applyNumberFormat="1" applyFont="1" applyFill="1" applyBorder="1" applyAlignment="1">
      <alignment horizontal="center" vertical="center" wrapText="1" shrinkToFit="1"/>
    </xf>
    <xf numFmtId="3" fontId="67" fillId="0" borderId="4" xfId="0" applyNumberFormat="1" applyFont="1" applyBorder="1" applyAlignment="1">
      <alignment horizontal="center" vertical="center" wrapText="1" shrinkToFit="1"/>
    </xf>
    <xf numFmtId="3" fontId="67" fillId="0" borderId="5" xfId="0" applyNumberFormat="1" applyFont="1" applyBorder="1" applyAlignment="1">
      <alignment horizontal="center" vertical="center" wrapText="1" shrinkToFit="1"/>
    </xf>
    <xf numFmtId="3" fontId="67" fillId="0" borderId="6" xfId="0" applyNumberFormat="1" applyFont="1" applyBorder="1" applyAlignment="1">
      <alignment horizontal="center" vertical="center" wrapText="1" shrinkToFit="1"/>
    </xf>
    <xf numFmtId="3" fontId="0" fillId="0" borderId="0" xfId="0" applyNumberFormat="1"/>
    <xf numFmtId="3" fontId="24" fillId="0" borderId="6" xfId="0" applyNumberFormat="1" applyFont="1" applyBorder="1" applyAlignment="1">
      <alignment horizontal="center" vertical="center" wrapText="1" shrinkToFit="1"/>
    </xf>
    <xf numFmtId="10" fontId="6" fillId="3" borderId="7" xfId="0" applyNumberFormat="1" applyFont="1" applyFill="1" applyBorder="1" applyAlignment="1">
      <alignment horizontal="center" vertical="center" wrapText="1" shrinkToFit="1"/>
    </xf>
    <xf numFmtId="0" fontId="62" fillId="2" borderId="0" xfId="4" applyFont="1" applyFill="1" applyAlignment="1" applyProtection="1">
      <alignment horizontal="center" vertical="center"/>
      <protection locked="0"/>
    </xf>
    <xf numFmtId="0" fontId="20" fillId="2" borderId="0" xfId="4" applyFont="1" applyFill="1" applyAlignment="1" applyProtection="1">
      <alignment horizontal="center" vertical="center"/>
      <protection locked="0"/>
    </xf>
    <xf numFmtId="0" fontId="16" fillId="2" borderId="0" xfId="0" applyFont="1" applyFill="1" applyAlignment="1">
      <alignment horizontal="center" vertical="center"/>
    </xf>
    <xf numFmtId="0" fontId="10" fillId="2" borderId="46" xfId="0" applyFont="1" applyFill="1" applyBorder="1" applyAlignment="1">
      <alignment horizontal="center" vertical="center"/>
    </xf>
    <xf numFmtId="0" fontId="59" fillId="2" borderId="0" xfId="4" applyFont="1" applyFill="1" applyAlignment="1">
      <alignment horizontal="center" vertical="center" wrapText="1"/>
    </xf>
    <xf numFmtId="0" fontId="16" fillId="2" borderId="54" xfId="0" applyFont="1" applyFill="1" applyBorder="1" applyAlignment="1">
      <alignment horizontal="center" vertical="center"/>
    </xf>
    <xf numFmtId="0" fontId="20" fillId="2" borderId="54" xfId="4" applyFont="1" applyFill="1" applyBorder="1" applyAlignment="1">
      <alignment horizontal="center" vertical="center"/>
    </xf>
    <xf numFmtId="0" fontId="63" fillId="2" borderId="54" xfId="3" applyFont="1" applyFill="1" applyBorder="1" applyAlignment="1">
      <alignment horizontal="center" vertical="center"/>
    </xf>
    <xf numFmtId="215" fontId="67" fillId="0" borderId="5" xfId="0" applyNumberFormat="1" applyFont="1" applyBorder="1" applyAlignment="1">
      <alignment horizontal="center" vertical="center" wrapText="1" shrinkToFit="1"/>
    </xf>
    <xf numFmtId="215" fontId="67" fillId="0" borderId="6" xfId="0" applyNumberFormat="1" applyFont="1" applyBorder="1" applyAlignment="1">
      <alignment horizontal="center" vertical="center" wrapText="1" shrinkToFit="1"/>
    </xf>
    <xf numFmtId="3" fontId="20" fillId="0" borderId="8" xfId="0" applyNumberFormat="1" applyFont="1" applyBorder="1" applyAlignment="1">
      <alignment horizontal="center" vertical="center" wrapText="1" shrinkToFit="1"/>
    </xf>
    <xf numFmtId="3" fontId="20" fillId="0" borderId="21" xfId="0" applyNumberFormat="1" applyFont="1" applyBorder="1" applyAlignment="1">
      <alignment horizontal="center" vertical="center" wrapText="1" shrinkToFit="1"/>
    </xf>
    <xf numFmtId="4" fontId="20" fillId="4" borderId="21" xfId="0" applyNumberFormat="1" applyFont="1" applyFill="1" applyBorder="1" applyAlignment="1">
      <alignment horizontal="center" vertical="center" wrapText="1" shrinkToFit="1"/>
    </xf>
    <xf numFmtId="4" fontId="20" fillId="4" borderId="29" xfId="0" applyNumberFormat="1" applyFont="1" applyFill="1" applyBorder="1" applyAlignment="1">
      <alignment horizontal="center" vertical="center" wrapText="1" shrinkToFit="1"/>
    </xf>
    <xf numFmtId="3" fontId="20" fillId="0" borderId="56" xfId="0" applyNumberFormat="1" applyFont="1" applyBorder="1" applyAlignment="1">
      <alignment horizontal="center" vertical="center" wrapText="1" shrinkToFit="1"/>
    </xf>
    <xf numFmtId="3" fontId="20" fillId="3" borderId="56" xfId="0" applyNumberFormat="1" applyFont="1" applyFill="1" applyBorder="1" applyAlignment="1">
      <alignment horizontal="center" vertical="center" wrapText="1" shrinkToFit="1"/>
    </xf>
    <xf numFmtId="3" fontId="20" fillId="0" borderId="57" xfId="0" applyNumberFormat="1" applyFont="1" applyBorder="1" applyAlignment="1">
      <alignment horizontal="center" vertical="center" wrapText="1" shrinkToFit="1"/>
    </xf>
    <xf numFmtId="3" fontId="20" fillId="3" borderId="32" xfId="0" applyNumberFormat="1" applyFont="1" applyFill="1" applyBorder="1" applyAlignment="1">
      <alignment horizontal="center" vertical="center" wrapText="1" shrinkToFit="1"/>
    </xf>
    <xf numFmtId="3" fontId="20" fillId="0" borderId="32" xfId="0" applyNumberFormat="1" applyFont="1" applyBorder="1" applyAlignment="1">
      <alignment horizontal="center" vertical="center" wrapText="1" shrinkToFit="1"/>
    </xf>
    <xf numFmtId="38" fontId="20" fillId="3" borderId="8" xfId="0" applyNumberFormat="1" applyFont="1" applyFill="1" applyBorder="1" applyAlignment="1">
      <alignment horizontal="center" vertical="center" wrapText="1" shrinkToFit="1"/>
    </xf>
    <xf numFmtId="3" fontId="9" fillId="3" borderId="7" xfId="0" applyNumberFormat="1" applyFont="1" applyFill="1" applyBorder="1" applyAlignment="1">
      <alignment horizontal="center" vertical="center" wrapText="1" shrinkToFit="1"/>
    </xf>
    <xf numFmtId="3" fontId="16" fillId="2" borderId="1" xfId="0" applyNumberFormat="1" applyFont="1" applyFill="1" applyBorder="1" applyAlignment="1">
      <alignment horizontal="center" vertical="center" wrapText="1" shrinkToFit="1"/>
    </xf>
    <xf numFmtId="38" fontId="20" fillId="3" borderId="32" xfId="1" applyNumberFormat="1" applyFont="1" applyFill="1" applyBorder="1" applyAlignment="1">
      <alignment horizontal="center" vertical="center" wrapText="1" shrinkToFit="1"/>
    </xf>
    <xf numFmtId="38" fontId="20" fillId="0" borderId="32" xfId="1" applyNumberFormat="1" applyFont="1" applyFill="1" applyBorder="1" applyAlignment="1">
      <alignment horizontal="center" vertical="center" wrapText="1" shrinkToFit="1"/>
    </xf>
    <xf numFmtId="38" fontId="20" fillId="3" borderId="30" xfId="1" applyNumberFormat="1" applyFont="1" applyFill="1" applyBorder="1" applyAlignment="1">
      <alignment horizontal="center" vertical="center" wrapText="1" shrinkToFit="1"/>
    </xf>
    <xf numFmtId="38" fontId="20" fillId="3" borderId="67" xfId="0" applyNumberFormat="1" applyFont="1" applyFill="1" applyBorder="1" applyAlignment="1">
      <alignment horizontal="center" vertical="center" wrapText="1" shrinkToFit="1"/>
    </xf>
    <xf numFmtId="38" fontId="20" fillId="0" borderId="67" xfId="0" applyNumberFormat="1" applyFont="1" applyBorder="1" applyAlignment="1">
      <alignment horizontal="center" vertical="center" wrapText="1" shrinkToFit="1"/>
    </xf>
    <xf numFmtId="38" fontId="20" fillId="3" borderId="66" xfId="0" applyNumberFormat="1" applyFont="1" applyFill="1" applyBorder="1" applyAlignment="1">
      <alignment horizontal="center" vertical="center" wrapText="1" shrinkToFit="1"/>
    </xf>
    <xf numFmtId="3" fontId="20" fillId="3" borderId="5" xfId="0" applyNumberFormat="1" applyFont="1" applyFill="1" applyBorder="1" applyAlignment="1">
      <alignment horizontal="center" vertical="center" wrapText="1" shrinkToFit="1" readingOrder="1"/>
    </xf>
    <xf numFmtId="3" fontId="20" fillId="0" borderId="5" xfId="0" applyNumberFormat="1" applyFont="1" applyBorder="1" applyAlignment="1">
      <alignment horizontal="center" vertical="center" wrapText="1" shrinkToFit="1" readingOrder="1"/>
    </xf>
    <xf numFmtId="14" fontId="20" fillId="0" borderId="32" xfId="0" applyNumberFormat="1" applyFont="1" applyBorder="1" applyAlignment="1">
      <alignment horizontal="center" vertical="center" wrapText="1" shrinkToFit="1"/>
    </xf>
    <xf numFmtId="3" fontId="9" fillId="0" borderId="32" xfId="0" applyNumberFormat="1" applyFont="1" applyBorder="1" applyAlignment="1">
      <alignment horizontal="center" vertical="center" wrapText="1" shrinkToFit="1"/>
    </xf>
    <xf numFmtId="38" fontId="20" fillId="0" borderId="53" xfId="1" applyNumberFormat="1" applyFont="1" applyFill="1" applyBorder="1" applyAlignment="1">
      <alignment horizontal="center" vertical="center" wrapText="1" shrinkToFit="1"/>
    </xf>
    <xf numFmtId="38" fontId="25" fillId="0" borderId="39" xfId="1" applyNumberFormat="1" applyFont="1" applyFill="1" applyBorder="1" applyAlignment="1">
      <alignment horizontal="center" vertical="center" wrapText="1" shrinkToFit="1"/>
    </xf>
    <xf numFmtId="38" fontId="20" fillId="3" borderId="72" xfId="0" applyNumberFormat="1" applyFont="1" applyFill="1" applyBorder="1" applyAlignment="1">
      <alignment horizontal="center" vertical="center" wrapText="1" shrinkToFit="1"/>
    </xf>
    <xf numFmtId="38" fontId="20" fillId="3" borderId="72" xfId="0" applyNumberFormat="1" applyFont="1" applyFill="1" applyBorder="1" applyAlignment="1">
      <alignment vertical="center" wrapText="1" shrinkToFit="1"/>
    </xf>
    <xf numFmtId="38" fontId="20" fillId="3" borderId="73" xfId="0" applyNumberFormat="1" applyFont="1" applyFill="1" applyBorder="1" applyAlignment="1">
      <alignment vertical="center" wrapText="1" shrinkToFit="1"/>
    </xf>
    <xf numFmtId="38" fontId="20" fillId="3" borderId="74" xfId="0" applyNumberFormat="1" applyFont="1" applyFill="1" applyBorder="1" applyAlignment="1">
      <alignment vertical="center" wrapText="1" shrinkToFit="1"/>
    </xf>
    <xf numFmtId="38" fontId="20" fillId="4" borderId="53" xfId="1" applyNumberFormat="1" applyFont="1" applyFill="1" applyBorder="1" applyAlignment="1">
      <alignment horizontal="center" vertical="center" wrapText="1" shrinkToFit="1"/>
    </xf>
    <xf numFmtId="38" fontId="20" fillId="0" borderId="62" xfId="1" applyNumberFormat="1" applyFont="1" applyFill="1" applyBorder="1" applyAlignment="1">
      <alignment horizontal="center" vertical="center" wrapText="1" shrinkToFit="1"/>
    </xf>
    <xf numFmtId="38" fontId="20" fillId="3" borderId="53" xfId="1" applyNumberFormat="1" applyFont="1" applyFill="1" applyBorder="1" applyAlignment="1">
      <alignment horizontal="center" vertical="center" wrapText="1" shrinkToFit="1"/>
    </xf>
    <xf numFmtId="38" fontId="20" fillId="4" borderId="32" xfId="1" applyNumberFormat="1" applyFont="1" applyFill="1" applyBorder="1" applyAlignment="1">
      <alignment horizontal="center" vertical="center" wrapText="1" shrinkToFit="1"/>
    </xf>
    <xf numFmtId="38" fontId="20" fillId="0" borderId="33" xfId="1" applyNumberFormat="1" applyFont="1" applyFill="1" applyBorder="1" applyAlignment="1">
      <alignment horizontal="center" vertical="center" wrapText="1" shrinkToFit="1"/>
    </xf>
    <xf numFmtId="38" fontId="20" fillId="3" borderId="69" xfId="0" applyNumberFormat="1" applyFont="1" applyFill="1" applyBorder="1" applyAlignment="1">
      <alignment horizontal="center" vertical="center" wrapText="1" shrinkToFit="1"/>
    </xf>
    <xf numFmtId="38" fontId="20" fillId="3" borderId="70" xfId="0" applyNumberFormat="1" applyFont="1" applyFill="1" applyBorder="1" applyAlignment="1">
      <alignment horizontal="center" vertical="center" wrapText="1" shrinkToFit="1"/>
    </xf>
    <xf numFmtId="38" fontId="20" fillId="3" borderId="68" xfId="0" applyNumberFormat="1" applyFont="1" applyFill="1" applyBorder="1" applyAlignment="1">
      <alignment horizontal="center" vertical="center" wrapText="1" shrinkToFit="1"/>
    </xf>
    <xf numFmtId="215" fontId="20" fillId="4" borderId="53" xfId="0" applyNumberFormat="1" applyFont="1" applyFill="1" applyBorder="1" applyAlignment="1">
      <alignment horizontal="center" vertical="center" wrapText="1" shrinkToFit="1"/>
    </xf>
    <xf numFmtId="3" fontId="28" fillId="3" borderId="32" xfId="0" applyNumberFormat="1" applyFont="1" applyFill="1" applyBorder="1" applyAlignment="1">
      <alignment horizontal="center" vertical="center" wrapText="1" shrinkToFit="1"/>
    </xf>
    <xf numFmtId="3" fontId="51" fillId="0" borderId="32" xfId="0" applyNumberFormat="1" applyFont="1" applyBorder="1" applyAlignment="1">
      <alignment horizontal="center" vertical="center" wrapText="1" shrinkToFit="1"/>
    </xf>
    <xf numFmtId="38" fontId="51" fillId="3" borderId="32" xfId="1" applyNumberFormat="1" applyFont="1" applyFill="1" applyBorder="1" applyAlignment="1">
      <alignment horizontal="center" vertical="center" wrapText="1" shrinkToFit="1"/>
    </xf>
    <xf numFmtId="3" fontId="51" fillId="3" borderId="32" xfId="0" applyNumberFormat="1" applyFont="1" applyFill="1" applyBorder="1" applyAlignment="1">
      <alignment horizontal="center" vertical="center" wrapText="1" shrinkToFit="1"/>
    </xf>
    <xf numFmtId="3" fontId="51" fillId="4" borderId="30" xfId="0" applyNumberFormat="1" applyFont="1" applyFill="1" applyBorder="1" applyAlignment="1">
      <alignment horizontal="center" vertical="center" wrapText="1" shrinkToFit="1"/>
    </xf>
    <xf numFmtId="3" fontId="20" fillId="0" borderId="69" xfId="0" applyNumberFormat="1" applyFont="1" applyBorder="1" applyAlignment="1">
      <alignment horizontal="center" vertical="center" wrapText="1" shrinkToFit="1"/>
    </xf>
    <xf numFmtId="3" fontId="20" fillId="3" borderId="67" xfId="0" applyNumberFormat="1" applyFont="1" applyFill="1" applyBorder="1" applyAlignment="1">
      <alignment horizontal="center" vertical="center" wrapText="1" shrinkToFit="1"/>
    </xf>
    <xf numFmtId="38" fontId="51" fillId="3" borderId="67" xfId="0" applyNumberFormat="1" applyFont="1" applyFill="1" applyBorder="1" applyAlignment="1">
      <alignment horizontal="center" vertical="center" wrapText="1" shrinkToFit="1"/>
    </xf>
    <xf numFmtId="38" fontId="51" fillId="3" borderId="66" xfId="0" applyNumberFormat="1" applyFont="1" applyFill="1" applyBorder="1" applyAlignment="1">
      <alignment horizontal="center" vertical="center" wrapText="1" shrinkToFit="1"/>
    </xf>
    <xf numFmtId="9" fontId="20" fillId="0" borderId="32" xfId="2" applyFont="1" applyFill="1" applyBorder="1" applyAlignment="1">
      <alignment horizontal="center" vertical="center" wrapText="1" shrinkToFit="1"/>
    </xf>
    <xf numFmtId="9" fontId="20" fillId="4" borderId="32" xfId="2" applyFont="1" applyFill="1" applyBorder="1" applyAlignment="1">
      <alignment horizontal="center" vertical="center" wrapText="1" shrinkToFit="1"/>
    </xf>
    <xf numFmtId="9" fontId="20" fillId="4" borderId="30" xfId="2" applyFont="1" applyFill="1" applyBorder="1" applyAlignment="1">
      <alignment horizontal="center" vertical="center" wrapText="1" shrinkToFit="1"/>
    </xf>
    <xf numFmtId="9" fontId="20" fillId="3" borderId="67" xfId="2" applyFont="1" applyFill="1" applyBorder="1" applyAlignment="1">
      <alignment horizontal="center" vertical="center" wrapText="1" shrinkToFit="1"/>
    </xf>
    <xf numFmtId="9" fontId="20" fillId="3" borderId="66" xfId="2" applyFont="1" applyFill="1" applyBorder="1" applyAlignment="1">
      <alignment horizontal="center" vertical="center" wrapText="1" shrinkToFit="1"/>
    </xf>
    <xf numFmtId="10" fontId="5" fillId="4" borderId="3" xfId="2" applyNumberFormat="1" applyFont="1" applyFill="1" applyBorder="1" applyAlignment="1">
      <alignment horizontal="center" vertical="center" wrapText="1" shrinkToFit="1"/>
    </xf>
    <xf numFmtId="10" fontId="5" fillId="4" borderId="9" xfId="2" applyNumberFormat="1" applyFont="1" applyFill="1" applyBorder="1" applyAlignment="1">
      <alignment horizontal="center" vertical="center" wrapText="1" shrinkToFit="1"/>
    </xf>
    <xf numFmtId="164" fontId="5" fillId="4" borderId="11" xfId="0" applyNumberFormat="1" applyFont="1" applyFill="1" applyBorder="1" applyAlignment="1">
      <alignment horizontal="center" vertical="center" wrapText="1" shrinkToFit="1"/>
    </xf>
    <xf numFmtId="165" fontId="5" fillId="4" borderId="12" xfId="2" applyNumberFormat="1" applyFont="1" applyFill="1" applyBorder="1" applyAlignment="1">
      <alignment horizontal="center" vertical="center" wrapText="1" shrinkToFit="1"/>
    </xf>
    <xf numFmtId="3" fontId="5" fillId="0" borderId="1" xfId="0" applyNumberFormat="1" applyFont="1" applyBorder="1" applyAlignment="1">
      <alignment horizontal="center" vertical="center" wrapText="1" shrinkToFit="1"/>
    </xf>
    <xf numFmtId="3" fontId="5" fillId="0" borderId="7" xfId="0" applyNumberFormat="1" applyFont="1" applyBorder="1" applyAlignment="1">
      <alignment horizontal="center" vertical="center" wrapText="1" shrinkToFit="1"/>
    </xf>
    <xf numFmtId="221" fontId="51" fillId="4" borderId="8" xfId="2" applyNumberFormat="1" applyFont="1" applyFill="1" applyBorder="1" applyAlignment="1">
      <alignment horizontal="center" vertical="center" wrapText="1" shrinkToFit="1"/>
    </xf>
    <xf numFmtId="3" fontId="5" fillId="3" borderId="1" xfId="0" applyNumberFormat="1" applyFont="1" applyFill="1" applyBorder="1" applyAlignment="1">
      <alignment horizontal="center" vertical="center" wrapText="1" shrinkToFit="1"/>
    </xf>
    <xf numFmtId="3" fontId="67" fillId="3" borderId="16" xfId="0" applyNumberFormat="1" applyFont="1" applyFill="1" applyBorder="1" applyAlignment="1">
      <alignment horizontal="center" vertical="center" wrapText="1" shrinkToFit="1"/>
    </xf>
    <xf numFmtId="215" fontId="67" fillId="3" borderId="13" xfId="0" applyNumberFormat="1" applyFont="1" applyFill="1" applyBorder="1" applyAlignment="1">
      <alignment horizontal="center" vertical="center" wrapText="1" shrinkToFit="1"/>
    </xf>
    <xf numFmtId="215" fontId="67" fillId="3" borderId="17" xfId="0" applyNumberFormat="1" applyFont="1" applyFill="1" applyBorder="1" applyAlignment="1">
      <alignment horizontal="center" vertical="center" wrapText="1" shrinkToFit="1"/>
    </xf>
    <xf numFmtId="3" fontId="67" fillId="3" borderId="75" xfId="0" applyNumberFormat="1" applyFont="1" applyFill="1" applyBorder="1" applyAlignment="1">
      <alignment horizontal="center" vertical="center" wrapText="1" shrinkToFit="1"/>
    </xf>
    <xf numFmtId="215" fontId="67" fillId="3" borderId="63" xfId="0" applyNumberFormat="1" applyFont="1" applyFill="1" applyBorder="1" applyAlignment="1">
      <alignment horizontal="center" vertical="center" wrapText="1" shrinkToFit="1"/>
    </xf>
    <xf numFmtId="215" fontId="67" fillId="3" borderId="65" xfId="0" applyNumberFormat="1" applyFont="1" applyFill="1" applyBorder="1" applyAlignment="1">
      <alignment horizontal="center" vertical="center" wrapText="1" shrinkToFit="1"/>
    </xf>
    <xf numFmtId="222" fontId="67" fillId="3" borderId="5" xfId="0" applyNumberFormat="1" applyFont="1" applyFill="1" applyBorder="1" applyAlignment="1">
      <alignment horizontal="center" vertical="center" wrapText="1" shrinkToFit="1"/>
    </xf>
    <xf numFmtId="222" fontId="67" fillId="0" borderId="5" xfId="0" applyNumberFormat="1" applyFont="1" applyBorder="1" applyAlignment="1">
      <alignment horizontal="center" vertical="center" wrapText="1" shrinkToFit="1"/>
    </xf>
    <xf numFmtId="222" fontId="67" fillId="3" borderId="13" xfId="0" applyNumberFormat="1" applyFont="1" applyFill="1" applyBorder="1" applyAlignment="1">
      <alignment horizontal="center" vertical="center" wrapText="1" shrinkToFit="1"/>
    </xf>
    <xf numFmtId="222" fontId="67" fillId="3" borderId="63" xfId="0" applyNumberFormat="1" applyFont="1" applyFill="1" applyBorder="1" applyAlignment="1">
      <alignment horizontal="center" vertical="center" wrapText="1" shrinkToFit="1"/>
    </xf>
    <xf numFmtId="223" fontId="67" fillId="3" borderId="5" xfId="0" applyNumberFormat="1" applyFont="1" applyFill="1" applyBorder="1" applyAlignment="1">
      <alignment horizontal="center" vertical="center" wrapText="1" shrinkToFit="1"/>
    </xf>
    <xf numFmtId="223" fontId="67" fillId="0" borderId="5" xfId="0" applyNumberFormat="1" applyFont="1" applyBorder="1" applyAlignment="1">
      <alignment horizontal="center" vertical="center" wrapText="1" shrinkToFit="1"/>
    </xf>
    <xf numFmtId="223" fontId="67" fillId="3" borderId="13" xfId="0" applyNumberFormat="1" applyFont="1" applyFill="1" applyBorder="1" applyAlignment="1">
      <alignment horizontal="center" vertical="center" wrapText="1" shrinkToFit="1"/>
    </xf>
    <xf numFmtId="223" fontId="67" fillId="3" borderId="63" xfId="0" applyNumberFormat="1" applyFont="1" applyFill="1" applyBorder="1" applyAlignment="1">
      <alignment horizontal="center" vertical="center" wrapText="1" shrinkToFit="1"/>
    </xf>
    <xf numFmtId="224" fontId="67" fillId="3" borderId="5" xfId="0" applyNumberFormat="1" applyFont="1" applyFill="1" applyBorder="1" applyAlignment="1">
      <alignment horizontal="center" vertical="center" wrapText="1" shrinkToFit="1"/>
    </xf>
    <xf numFmtId="224" fontId="67" fillId="0" borderId="5" xfId="0" applyNumberFormat="1" applyFont="1" applyBorder="1" applyAlignment="1">
      <alignment horizontal="center" vertical="center" wrapText="1" shrinkToFit="1"/>
    </xf>
    <xf numFmtId="224" fontId="67" fillId="3" borderId="13" xfId="0" applyNumberFormat="1" applyFont="1" applyFill="1" applyBorder="1" applyAlignment="1">
      <alignment horizontal="center" vertical="center" wrapText="1" shrinkToFit="1"/>
    </xf>
    <xf numFmtId="224" fontId="67" fillId="3" borderId="63" xfId="0" applyNumberFormat="1" applyFont="1" applyFill="1" applyBorder="1" applyAlignment="1">
      <alignment horizontal="center" vertical="center" wrapText="1" shrinkToFit="1"/>
    </xf>
    <xf numFmtId="225" fontId="67" fillId="3" borderId="5" xfId="0" applyNumberFormat="1" applyFont="1" applyFill="1" applyBorder="1" applyAlignment="1">
      <alignment horizontal="center" vertical="center" wrapText="1" shrinkToFit="1"/>
    </xf>
    <xf numFmtId="225" fontId="67" fillId="0" borderId="5" xfId="0" applyNumberFormat="1" applyFont="1" applyBorder="1" applyAlignment="1">
      <alignment horizontal="center" vertical="center" wrapText="1" shrinkToFit="1"/>
    </xf>
    <xf numFmtId="225" fontId="67" fillId="3" borderId="13" xfId="0" applyNumberFormat="1" applyFont="1" applyFill="1" applyBorder="1" applyAlignment="1">
      <alignment horizontal="center" vertical="center" wrapText="1" shrinkToFit="1"/>
    </xf>
    <xf numFmtId="225" fontId="67" fillId="3" borderId="63" xfId="0" applyNumberFormat="1" applyFont="1" applyFill="1" applyBorder="1" applyAlignment="1">
      <alignment horizontal="center" vertical="center" wrapText="1" shrinkToFit="1"/>
    </xf>
    <xf numFmtId="0" fontId="33" fillId="8" borderId="0" xfId="0" applyFont="1" applyFill="1" applyAlignment="1">
      <alignment vertical="center"/>
    </xf>
    <xf numFmtId="0" fontId="33" fillId="8" borderId="0" xfId="0" applyFont="1" applyFill="1" applyAlignment="1">
      <alignment horizontal="center" vertical="center"/>
    </xf>
    <xf numFmtId="0" fontId="38" fillId="8" borderId="0" xfId="0" applyFont="1" applyFill="1" applyAlignment="1">
      <alignment horizontal="right" vertical="center"/>
    </xf>
    <xf numFmtId="37" fontId="16" fillId="8" borderId="55" xfId="0" applyNumberFormat="1" applyFont="1" applyFill="1" applyBorder="1" applyAlignment="1">
      <alignment horizontal="center" vertical="center" wrapText="1" shrinkToFit="1"/>
    </xf>
    <xf numFmtId="0" fontId="33" fillId="8" borderId="55" xfId="0" applyFont="1" applyFill="1" applyBorder="1" applyAlignment="1">
      <alignment vertical="center"/>
    </xf>
    <xf numFmtId="3" fontId="16" fillId="8" borderId="55" xfId="0" applyNumberFormat="1" applyFont="1" applyFill="1" applyBorder="1" applyAlignment="1">
      <alignment horizontal="center" vertical="center" wrapText="1" shrinkToFit="1"/>
    </xf>
    <xf numFmtId="9" fontId="40" fillId="8" borderId="0" xfId="2" applyFont="1" applyFill="1" applyBorder="1" applyAlignment="1">
      <alignment horizontal="center" vertical="center"/>
    </xf>
    <xf numFmtId="0" fontId="40" fillId="8" borderId="0" xfId="0" applyFont="1" applyFill="1" applyAlignment="1">
      <alignment horizontal="center" vertical="center"/>
    </xf>
    <xf numFmtId="0" fontId="40" fillId="8" borderId="0" xfId="0" applyFont="1" applyFill="1" applyAlignment="1">
      <alignment vertical="center"/>
    </xf>
    <xf numFmtId="38" fontId="40" fillId="8" borderId="0" xfId="0" applyNumberFormat="1" applyFont="1" applyFill="1" applyAlignment="1">
      <alignment horizontal="center" vertical="center"/>
    </xf>
    <xf numFmtId="38" fontId="72" fillId="8" borderId="0" xfId="0" applyNumberFormat="1" applyFont="1" applyFill="1" applyAlignment="1">
      <alignment horizontal="center" vertical="center"/>
    </xf>
    <xf numFmtId="3" fontId="40" fillId="8" borderId="0" xfId="0" applyNumberFormat="1" applyFont="1" applyFill="1" applyAlignment="1">
      <alignment horizontal="center" vertical="center"/>
    </xf>
    <xf numFmtId="0" fontId="43" fillId="8" borderId="0" xfId="0" applyFont="1" applyFill="1" applyAlignment="1">
      <alignment horizontal="center" vertical="center"/>
    </xf>
    <xf numFmtId="0" fontId="33" fillId="8" borderId="0" xfId="0" applyFont="1" applyFill="1" applyAlignment="1">
      <alignment horizontal="right" vertical="center"/>
    </xf>
    <xf numFmtId="0" fontId="46" fillId="8" borderId="0" xfId="0" applyFont="1" applyFill="1" applyAlignment="1">
      <alignment vertical="center" wrapText="1"/>
    </xf>
    <xf numFmtId="0" fontId="38" fillId="8" borderId="0" xfId="0" applyFont="1" applyFill="1" applyAlignment="1">
      <alignment horizontal="center" vertical="center"/>
    </xf>
    <xf numFmtId="3" fontId="37" fillId="8" borderId="0" xfId="0" applyNumberFormat="1" applyFont="1" applyFill="1" applyAlignment="1">
      <alignment horizontal="center" vertical="center" wrapText="1"/>
    </xf>
    <xf numFmtId="38" fontId="33" fillId="8" borderId="0" xfId="0" applyNumberFormat="1" applyFont="1" applyFill="1" applyAlignment="1">
      <alignment horizontal="center" vertical="center"/>
    </xf>
    <xf numFmtId="38" fontId="45" fillId="8" borderId="0" xfId="0" applyNumberFormat="1" applyFont="1" applyFill="1" applyAlignment="1">
      <alignment horizontal="center" vertical="center"/>
    </xf>
    <xf numFmtId="0" fontId="40" fillId="8" borderId="0" xfId="0" applyFont="1" applyFill="1" applyAlignment="1">
      <alignment horizontal="right" vertical="center"/>
    </xf>
    <xf numFmtId="0" fontId="33" fillId="8" borderId="0" xfId="0" applyFont="1" applyFill="1" applyAlignment="1">
      <alignment horizontal="left" vertical="center"/>
    </xf>
    <xf numFmtId="9" fontId="33" fillId="8" borderId="0" xfId="2" applyFont="1" applyFill="1" applyBorder="1" applyAlignment="1">
      <alignment horizontal="center" vertical="center"/>
    </xf>
    <xf numFmtId="3" fontId="34" fillId="8" borderId="0" xfId="0" applyNumberFormat="1" applyFont="1" applyFill="1" applyAlignment="1">
      <alignment horizontal="center" vertical="center" wrapText="1" shrinkToFit="1"/>
    </xf>
    <xf numFmtId="172" fontId="40" fillId="8" borderId="0" xfId="0" applyNumberFormat="1" applyFont="1" applyFill="1" applyAlignment="1">
      <alignment horizontal="center" vertical="center"/>
    </xf>
    <xf numFmtId="0" fontId="33" fillId="8" borderId="76" xfId="0" applyFont="1" applyFill="1" applyBorder="1" applyAlignment="1">
      <alignment horizontal="center" vertical="center"/>
    </xf>
    <xf numFmtId="0" fontId="38" fillId="8" borderId="76" xfId="0" applyFont="1" applyFill="1" applyBorder="1" applyAlignment="1">
      <alignment horizontal="center" vertical="center"/>
    </xf>
    <xf numFmtId="3" fontId="33" fillId="8" borderId="76" xfId="0" applyNumberFormat="1" applyFont="1" applyFill="1" applyBorder="1" applyAlignment="1">
      <alignment horizontal="center" vertical="center" wrapText="1" shrinkToFit="1"/>
    </xf>
    <xf numFmtId="3" fontId="37" fillId="8" borderId="76" xfId="0" applyNumberFormat="1" applyFont="1" applyFill="1" applyBorder="1" applyAlignment="1">
      <alignment horizontal="center" vertical="center" wrapText="1"/>
    </xf>
    <xf numFmtId="0" fontId="33" fillId="8" borderId="76" xfId="0" applyFont="1" applyFill="1" applyBorder="1" applyAlignment="1">
      <alignment vertical="center"/>
    </xf>
    <xf numFmtId="38" fontId="33" fillId="8" borderId="76" xfId="0" applyNumberFormat="1" applyFont="1" applyFill="1" applyBorder="1" applyAlignment="1">
      <alignment horizontal="center" vertical="center"/>
    </xf>
    <xf numFmtId="38" fontId="45" fillId="8" borderId="76" xfId="0" applyNumberFormat="1" applyFont="1" applyFill="1" applyBorder="1" applyAlignment="1">
      <alignment horizontal="center" vertical="center"/>
    </xf>
    <xf numFmtId="0" fontId="40" fillId="8" borderId="76" xfId="0" applyFont="1" applyFill="1" applyBorder="1" applyAlignment="1">
      <alignment horizontal="center" vertical="center"/>
    </xf>
    <xf numFmtId="196" fontId="40" fillId="8" borderId="76" xfId="0" applyNumberFormat="1" applyFont="1" applyFill="1" applyBorder="1" applyAlignment="1">
      <alignment horizontal="center" vertical="center"/>
    </xf>
    <xf numFmtId="38" fontId="40" fillId="8" borderId="76" xfId="0" applyNumberFormat="1" applyFont="1" applyFill="1" applyBorder="1" applyAlignment="1">
      <alignment horizontal="center" vertical="center"/>
    </xf>
    <xf numFmtId="0" fontId="38" fillId="8" borderId="76" xfId="0" applyFont="1" applyFill="1" applyBorder="1" applyAlignment="1">
      <alignment horizontal="right" vertical="center"/>
    </xf>
    <xf numFmtId="10" fontId="46" fillId="8" borderId="76" xfId="0" applyNumberFormat="1" applyFont="1" applyFill="1" applyBorder="1" applyAlignment="1">
      <alignment vertical="center"/>
    </xf>
    <xf numFmtId="10" fontId="46" fillId="8" borderId="76" xfId="0" applyNumberFormat="1" applyFont="1" applyFill="1" applyBorder="1" applyAlignment="1">
      <alignment horizontal="center" vertical="center"/>
    </xf>
    <xf numFmtId="0" fontId="46" fillId="8" borderId="76" xfId="0" applyFont="1" applyFill="1" applyBorder="1" applyAlignment="1">
      <alignment vertical="center" wrapText="1"/>
    </xf>
    <xf numFmtId="0" fontId="33" fillId="8" borderId="77" xfId="0" applyFont="1" applyFill="1" applyBorder="1" applyAlignment="1">
      <alignment vertical="center"/>
    </xf>
    <xf numFmtId="0" fontId="46" fillId="8" borderId="77" xfId="0" applyFont="1" applyFill="1" applyBorder="1" applyAlignment="1">
      <alignment horizontal="center" vertical="center" wrapText="1" readingOrder="2"/>
    </xf>
    <xf numFmtId="10" fontId="74" fillId="8" borderId="0" xfId="0" applyNumberFormat="1" applyFont="1" applyFill="1" applyAlignment="1">
      <alignment vertical="center"/>
    </xf>
    <xf numFmtId="172" fontId="42" fillId="8" borderId="0" xfId="0" applyNumberFormat="1" applyFont="1" applyFill="1" applyAlignment="1">
      <alignment horizontal="center" vertical="center"/>
    </xf>
    <xf numFmtId="3" fontId="77" fillId="8" borderId="0" xfId="0" applyNumberFormat="1" applyFont="1" applyFill="1" applyAlignment="1">
      <alignment horizontal="center" vertical="center" wrapText="1" shrinkToFit="1"/>
    </xf>
    <xf numFmtId="0" fontId="76" fillId="8" borderId="0" xfId="0" quotePrefix="1" applyFont="1" applyFill="1" applyAlignment="1">
      <alignment horizontal="center" vertical="center"/>
    </xf>
    <xf numFmtId="0" fontId="45" fillId="8" borderId="0" xfId="0" applyFont="1" applyFill="1" applyAlignment="1">
      <alignment vertical="center"/>
    </xf>
    <xf numFmtId="0" fontId="47" fillId="8" borderId="0" xfId="0" applyFont="1" applyFill="1" applyAlignment="1">
      <alignment vertical="center"/>
    </xf>
    <xf numFmtId="0" fontId="47" fillId="8" borderId="0" xfId="0" applyFont="1" applyFill="1" applyAlignment="1">
      <alignment horizontal="center" vertical="center"/>
    </xf>
    <xf numFmtId="0" fontId="37" fillId="8" borderId="0" xfId="0" applyFont="1" applyFill="1" applyAlignment="1">
      <alignment horizontal="center" vertical="center"/>
    </xf>
    <xf numFmtId="38" fontId="37" fillId="8" borderId="0" xfId="0" applyNumberFormat="1" applyFont="1" applyFill="1" applyAlignment="1">
      <alignment horizontal="center" vertical="center"/>
    </xf>
    <xf numFmtId="188" fontId="37" fillId="8" borderId="0" xfId="0" applyNumberFormat="1" applyFont="1" applyFill="1" applyAlignment="1">
      <alignment horizontal="center" vertical="center"/>
    </xf>
    <xf numFmtId="189" fontId="37" fillId="8" borderId="0" xfId="0" applyNumberFormat="1" applyFont="1" applyFill="1" applyAlignment="1">
      <alignment horizontal="center" vertical="center"/>
    </xf>
    <xf numFmtId="190" fontId="37" fillId="8" borderId="0" xfId="0" applyNumberFormat="1" applyFont="1" applyFill="1" applyAlignment="1">
      <alignment horizontal="center" vertical="center"/>
    </xf>
    <xf numFmtId="191" fontId="37" fillId="8" borderId="0" xfId="0" applyNumberFormat="1" applyFont="1" applyFill="1" applyAlignment="1">
      <alignment horizontal="center" vertical="center"/>
    </xf>
    <xf numFmtId="0" fontId="37" fillId="8" borderId="0" xfId="0" applyFont="1" applyFill="1" applyAlignment="1">
      <alignment horizontal="center" vertical="center" wrapText="1"/>
    </xf>
    <xf numFmtId="226" fontId="35" fillId="8" borderId="0" xfId="0" applyNumberFormat="1" applyFont="1" applyFill="1" applyAlignment="1">
      <alignment horizontal="center" vertical="center" wrapText="1" shrinkToFit="1"/>
    </xf>
    <xf numFmtId="226" fontId="34" fillId="8" borderId="76" xfId="0" applyNumberFormat="1" applyFont="1" applyFill="1" applyBorder="1" applyAlignment="1">
      <alignment horizontal="center" vertical="center" wrapText="1" shrinkToFit="1"/>
    </xf>
    <xf numFmtId="195" fontId="44" fillId="8" borderId="79" xfId="0" applyNumberFormat="1" applyFont="1" applyFill="1" applyBorder="1" applyAlignment="1">
      <alignment horizontal="center" vertical="center"/>
    </xf>
    <xf numFmtId="196" fontId="44" fillId="8" borderId="79" xfId="0" applyNumberFormat="1" applyFont="1" applyFill="1" applyBorder="1" applyAlignment="1">
      <alignment horizontal="center" vertical="center"/>
    </xf>
    <xf numFmtId="193" fontId="44" fillId="8" borderId="79" xfId="0" applyNumberFormat="1" applyFont="1" applyFill="1" applyBorder="1" applyAlignment="1">
      <alignment horizontal="center" vertical="center"/>
    </xf>
    <xf numFmtId="194" fontId="44" fillId="8" borderId="79" xfId="0" applyNumberFormat="1" applyFont="1" applyFill="1" applyBorder="1" applyAlignment="1">
      <alignment horizontal="center" vertical="center"/>
    </xf>
    <xf numFmtId="3" fontId="34" fillId="8" borderId="80" xfId="0" applyNumberFormat="1" applyFont="1" applyFill="1" applyBorder="1" applyAlignment="1">
      <alignment horizontal="center" vertical="center" wrapText="1" shrinkToFit="1"/>
    </xf>
    <xf numFmtId="37" fontId="16" fillId="8" borderId="60" xfId="0" applyNumberFormat="1" applyFont="1" applyFill="1" applyBorder="1" applyAlignment="1">
      <alignment horizontal="center" vertical="center" wrapText="1" shrinkToFit="1"/>
    </xf>
    <xf numFmtId="0" fontId="33" fillId="8" borderId="60" xfId="0" applyFont="1" applyFill="1" applyBorder="1" applyAlignment="1">
      <alignment vertical="center"/>
    </xf>
    <xf numFmtId="3" fontId="16" fillId="8" borderId="60" xfId="0" applyNumberFormat="1" applyFont="1" applyFill="1" applyBorder="1" applyAlignment="1">
      <alignment horizontal="center" vertical="center" wrapText="1" shrinkToFit="1"/>
    </xf>
    <xf numFmtId="0" fontId="33" fillId="8" borderId="88" xfId="0" applyFont="1" applyFill="1" applyBorder="1" applyAlignment="1">
      <alignment horizontal="center" vertical="center"/>
    </xf>
    <xf numFmtId="0" fontId="33" fillId="8" borderId="88" xfId="0" applyFont="1" applyFill="1" applyBorder="1" applyAlignment="1">
      <alignment vertical="center"/>
    </xf>
    <xf numFmtId="9" fontId="33" fillId="8" borderId="88" xfId="0" applyNumberFormat="1" applyFont="1" applyFill="1" applyBorder="1" applyAlignment="1">
      <alignment horizontal="center" vertical="center"/>
    </xf>
    <xf numFmtId="0" fontId="34" fillId="8" borderId="20" xfId="0" applyFont="1" applyFill="1" applyBorder="1" applyAlignment="1">
      <alignment vertical="center"/>
    </xf>
    <xf numFmtId="0" fontId="34" fillId="8" borderId="90" xfId="0" applyFont="1" applyFill="1" applyBorder="1" applyAlignment="1">
      <alignment vertical="center"/>
    </xf>
    <xf numFmtId="1" fontId="34" fillId="8" borderId="20" xfId="0" applyNumberFormat="1" applyFont="1" applyFill="1" applyBorder="1" applyAlignment="1">
      <alignment vertical="center"/>
    </xf>
    <xf numFmtId="0" fontId="33" fillId="8" borderId="41" xfId="0" applyFont="1" applyFill="1" applyBorder="1" applyAlignment="1">
      <alignment horizontal="right" vertical="center"/>
    </xf>
    <xf numFmtId="0" fontId="33" fillId="8" borderId="41" xfId="0" applyFont="1" applyFill="1" applyBorder="1" applyAlignment="1">
      <alignment vertical="center"/>
    </xf>
    <xf numFmtId="0" fontId="33" fillId="8" borderId="41" xfId="0" applyFont="1" applyFill="1" applyBorder="1" applyAlignment="1">
      <alignment horizontal="center" vertical="center"/>
    </xf>
    <xf numFmtId="0" fontId="33" fillId="8" borderId="51" xfId="0" applyFont="1" applyFill="1" applyBorder="1" applyAlignment="1">
      <alignment vertical="center"/>
    </xf>
    <xf numFmtId="0" fontId="33" fillId="8" borderId="35" xfId="0" applyFont="1" applyFill="1" applyBorder="1" applyAlignment="1">
      <alignment vertical="center"/>
    </xf>
    <xf numFmtId="0" fontId="33" fillId="8" borderId="93" xfId="0" applyFont="1" applyFill="1" applyBorder="1" applyAlignment="1">
      <alignment horizontal="center" vertical="center"/>
    </xf>
    <xf numFmtId="0" fontId="33" fillId="8" borderId="94" xfId="0" applyFont="1" applyFill="1" applyBorder="1" applyAlignment="1">
      <alignment horizontal="center" vertical="center"/>
    </xf>
    <xf numFmtId="0" fontId="33" fillId="8" borderId="35" xfId="0" applyFont="1" applyFill="1" applyBorder="1" applyAlignment="1">
      <alignment horizontal="center" vertical="center"/>
    </xf>
    <xf numFmtId="0" fontId="33" fillId="8" borderId="40" xfId="0" applyFont="1" applyFill="1" applyBorder="1" applyAlignment="1">
      <alignment vertical="center"/>
    </xf>
    <xf numFmtId="9" fontId="37" fillId="8" borderId="0" xfId="0" applyNumberFormat="1" applyFont="1" applyFill="1" applyAlignment="1">
      <alignment horizontal="center" vertical="center" wrapText="1"/>
    </xf>
    <xf numFmtId="0" fontId="37" fillId="8" borderId="0" xfId="0" applyFont="1" applyFill="1" applyAlignment="1">
      <alignment horizontal="center" vertical="center" readingOrder="2"/>
    </xf>
    <xf numFmtId="0" fontId="79" fillId="8" borderId="0" xfId="0" applyFont="1" applyFill="1" applyAlignment="1">
      <alignment horizontal="center" vertical="center" wrapText="1"/>
    </xf>
    <xf numFmtId="0" fontId="79" fillId="8" borderId="0" xfId="0" applyFont="1" applyFill="1" applyAlignment="1">
      <alignment horizontal="center" vertical="center" wrapText="1" readingOrder="1"/>
    </xf>
    <xf numFmtId="10" fontId="79" fillId="8" borderId="0" xfId="0" applyNumberFormat="1" applyFont="1" applyFill="1" applyAlignment="1">
      <alignment horizontal="center" vertical="center" wrapText="1"/>
    </xf>
    <xf numFmtId="0" fontId="80" fillId="8" borderId="0" xfId="0" applyFont="1" applyFill="1" applyAlignment="1">
      <alignment horizontal="center" vertical="center" wrapText="1"/>
    </xf>
    <xf numFmtId="192" fontId="45" fillId="8" borderId="79" xfId="0" applyNumberFormat="1" applyFont="1" applyFill="1" applyBorder="1" applyAlignment="1">
      <alignment horizontal="center" vertical="center"/>
    </xf>
    <xf numFmtId="197" fontId="45" fillId="8" borderId="79" xfId="0" applyNumberFormat="1" applyFont="1" applyFill="1" applyBorder="1" applyAlignment="1">
      <alignment horizontal="center" vertical="center"/>
    </xf>
    <xf numFmtId="0" fontId="33" fillId="8" borderId="95" xfId="0" applyFont="1" applyFill="1" applyBorder="1" applyAlignment="1">
      <alignment vertical="center"/>
    </xf>
    <xf numFmtId="0" fontId="46" fillId="8" borderId="96" xfId="0" applyFont="1" applyFill="1" applyBorder="1" applyAlignment="1">
      <alignment vertical="center" wrapText="1"/>
    </xf>
    <xf numFmtId="0" fontId="33" fillId="8" borderId="92" xfId="0" applyFont="1" applyFill="1" applyBorder="1" applyAlignment="1">
      <alignment vertical="center"/>
    </xf>
    <xf numFmtId="0" fontId="33" fillId="8" borderId="89" xfId="0" applyFont="1" applyFill="1" applyBorder="1" applyAlignment="1">
      <alignment vertical="center"/>
    </xf>
    <xf numFmtId="0" fontId="33" fillId="8" borderId="79" xfId="0" applyFont="1" applyFill="1" applyBorder="1" applyAlignment="1">
      <alignment horizontal="center" vertical="center"/>
    </xf>
    <xf numFmtId="0" fontId="34" fillId="8" borderId="91" xfId="0" applyFont="1" applyFill="1" applyBorder="1" applyAlignment="1">
      <alignment vertical="center"/>
    </xf>
    <xf numFmtId="0" fontId="33" fillId="8" borderId="78" xfId="0" applyFont="1" applyFill="1" applyBorder="1" applyAlignment="1">
      <alignment vertical="center"/>
    </xf>
    <xf numFmtId="168" fontId="35" fillId="8" borderId="79" xfId="0" applyNumberFormat="1" applyFont="1" applyFill="1" applyBorder="1" applyAlignment="1">
      <alignment horizontal="center" vertical="center" wrapText="1" shrinkToFit="1"/>
    </xf>
    <xf numFmtId="0" fontId="81" fillId="8" borderId="0" xfId="0" quotePrefix="1" applyFont="1" applyFill="1" applyAlignment="1">
      <alignment horizontal="center" vertical="center"/>
    </xf>
    <xf numFmtId="0" fontId="33" fillId="8" borderId="20" xfId="0" applyFont="1" applyFill="1" applyBorder="1" applyAlignment="1">
      <alignment vertical="center"/>
    </xf>
    <xf numFmtId="0" fontId="81" fillId="8" borderId="88" xfId="0" quotePrefix="1" applyFont="1" applyFill="1" applyBorder="1" applyAlignment="1">
      <alignment horizontal="center" vertical="center"/>
    </xf>
    <xf numFmtId="37" fontId="16" fillId="8" borderId="88" xfId="0" applyNumberFormat="1" applyFont="1" applyFill="1" applyBorder="1" applyAlignment="1">
      <alignment horizontal="center" vertical="center" wrapText="1" shrinkToFit="1"/>
    </xf>
    <xf numFmtId="37" fontId="82" fillId="6" borderId="99" xfId="0" applyNumberFormat="1" applyFont="1" applyFill="1" applyBorder="1" applyAlignment="1">
      <alignment horizontal="center" vertical="center"/>
    </xf>
    <xf numFmtId="0" fontId="33" fillId="8" borderId="108" xfId="0" applyFont="1" applyFill="1" applyBorder="1" applyAlignment="1">
      <alignment vertical="center"/>
    </xf>
    <xf numFmtId="0" fontId="33" fillId="8" borderId="109" xfId="0" applyFont="1" applyFill="1" applyBorder="1" applyAlignment="1">
      <alignment vertical="center"/>
    </xf>
    <xf numFmtId="0" fontId="33" fillId="8" borderId="110" xfId="0" applyFont="1" applyFill="1" applyBorder="1" applyAlignment="1">
      <alignment vertical="center"/>
    </xf>
    <xf numFmtId="0" fontId="33" fillId="8" borderId="111" xfId="0" applyFont="1" applyFill="1" applyBorder="1" applyAlignment="1">
      <alignment vertical="center"/>
    </xf>
    <xf numFmtId="0" fontId="33" fillId="8" borderId="113" xfId="0" applyFont="1" applyFill="1" applyBorder="1" applyAlignment="1">
      <alignment vertical="center"/>
    </xf>
    <xf numFmtId="0" fontId="33" fillId="8" borderId="114" xfId="0" applyFont="1" applyFill="1" applyBorder="1" applyAlignment="1">
      <alignment vertical="center"/>
    </xf>
    <xf numFmtId="0" fontId="33" fillId="8" borderId="114" xfId="0" applyFont="1" applyFill="1" applyBorder="1" applyAlignment="1">
      <alignment horizontal="center" vertical="center"/>
    </xf>
    <xf numFmtId="0" fontId="33" fillId="8" borderId="113" xfId="0" applyFont="1" applyFill="1" applyBorder="1" applyAlignment="1">
      <alignment horizontal="center" vertical="center"/>
    </xf>
    <xf numFmtId="9" fontId="84" fillId="8" borderId="112" xfId="0" applyNumberFormat="1" applyFont="1" applyFill="1" applyBorder="1" applyAlignment="1">
      <alignment horizontal="center" vertical="center"/>
    </xf>
    <xf numFmtId="9" fontId="74" fillId="8" borderId="112" xfId="0" applyNumberFormat="1" applyFont="1" applyFill="1" applyBorder="1" applyAlignment="1">
      <alignment horizontal="center" vertical="center"/>
    </xf>
    <xf numFmtId="3" fontId="84" fillId="8" borderId="113" xfId="0" applyNumberFormat="1" applyFont="1" applyFill="1" applyBorder="1" applyAlignment="1">
      <alignment horizontal="center" vertical="center"/>
    </xf>
    <xf numFmtId="3" fontId="74" fillId="8" borderId="113" xfId="0" applyNumberFormat="1" applyFont="1" applyFill="1" applyBorder="1" applyAlignment="1">
      <alignment horizontal="center" vertical="center"/>
    </xf>
    <xf numFmtId="9" fontId="84" fillId="8" borderId="113" xfId="0" applyNumberFormat="1" applyFont="1" applyFill="1" applyBorder="1" applyAlignment="1">
      <alignment horizontal="center" vertical="center"/>
    </xf>
    <xf numFmtId="9" fontId="74" fillId="8" borderId="113" xfId="0" applyNumberFormat="1" applyFont="1" applyFill="1" applyBorder="1" applyAlignment="1">
      <alignment horizontal="center" vertical="center"/>
    </xf>
    <xf numFmtId="0" fontId="86" fillId="8" borderId="76" xfId="0" applyFont="1" applyFill="1" applyBorder="1" applyAlignment="1">
      <alignment horizontal="center" vertical="center"/>
    </xf>
    <xf numFmtId="0" fontId="68" fillId="8" borderId="35" xfId="0" applyFont="1" applyFill="1" applyBorder="1" applyAlignment="1">
      <alignment horizontal="center" vertical="center"/>
    </xf>
    <xf numFmtId="215" fontId="87" fillId="8" borderId="0" xfId="0" applyNumberFormat="1" applyFont="1" applyFill="1" applyAlignment="1">
      <alignment horizontal="center" vertical="center"/>
    </xf>
    <xf numFmtId="215" fontId="88" fillId="8" borderId="0" xfId="0" applyNumberFormat="1" applyFont="1" applyFill="1" applyAlignment="1">
      <alignment horizontal="center" vertical="center"/>
    </xf>
    <xf numFmtId="0" fontId="68" fillId="8" borderId="94" xfId="0" applyFont="1" applyFill="1" applyBorder="1"/>
    <xf numFmtId="0" fontId="68" fillId="8" borderId="88" xfId="0" applyFont="1" applyFill="1" applyBorder="1"/>
    <xf numFmtId="3" fontId="14" fillId="4" borderId="6" xfId="0" applyNumberFormat="1" applyFont="1" applyFill="1" applyBorder="1" applyAlignment="1">
      <alignment horizontal="center" vertical="center" wrapText="1" shrinkToFit="1"/>
    </xf>
    <xf numFmtId="0" fontId="69" fillId="4" borderId="7" xfId="0" applyFont="1" applyFill="1" applyBorder="1" applyAlignment="1">
      <alignment horizontal="center" vertical="center"/>
    </xf>
    <xf numFmtId="14" fontId="69" fillId="4" borderId="9" xfId="0" applyNumberFormat="1" applyFont="1" applyFill="1" applyBorder="1" applyAlignment="1">
      <alignment horizontal="center" vertical="center"/>
    </xf>
    <xf numFmtId="167" fontId="0" fillId="0" borderId="0" xfId="0" applyNumberFormat="1"/>
    <xf numFmtId="228" fontId="14" fillId="3" borderId="9" xfId="0" applyNumberFormat="1" applyFont="1" applyFill="1" applyBorder="1" applyAlignment="1">
      <alignment horizontal="center" vertical="center" wrapText="1" shrinkToFit="1"/>
    </xf>
    <xf numFmtId="3" fontId="20" fillId="4" borderId="6" xfId="0" applyNumberFormat="1" applyFont="1" applyFill="1" applyBorder="1" applyAlignment="1">
      <alignment horizontal="center" vertical="center" wrapText="1" shrinkToFit="1"/>
    </xf>
    <xf numFmtId="212" fontId="22" fillId="0" borderId="0" xfId="0" applyNumberFormat="1" applyFont="1" applyAlignment="1">
      <alignment horizontal="center" vertical="center" wrapText="1" shrinkToFit="1"/>
    </xf>
    <xf numFmtId="10" fontId="26" fillId="2" borderId="14" xfId="2" applyNumberFormat="1" applyFont="1" applyFill="1" applyBorder="1" applyAlignment="1">
      <alignment horizontal="center" vertical="center" wrapText="1" shrinkToFit="1"/>
    </xf>
    <xf numFmtId="172" fontId="20" fillId="0" borderId="14" xfId="0" applyNumberFormat="1" applyFont="1" applyBorder="1" applyAlignment="1">
      <alignment horizontal="center" vertical="center" wrapText="1" shrinkToFit="1"/>
    </xf>
    <xf numFmtId="172" fontId="20" fillId="3" borderId="14" xfId="0" applyNumberFormat="1" applyFont="1" applyFill="1" applyBorder="1" applyAlignment="1">
      <alignment horizontal="center" vertical="center" wrapText="1" shrinkToFit="1"/>
    </xf>
    <xf numFmtId="172" fontId="20" fillId="3" borderId="12" xfId="0" applyNumberFormat="1" applyFont="1" applyFill="1" applyBorder="1" applyAlignment="1">
      <alignment horizontal="center" vertical="center" wrapText="1" shrinkToFit="1"/>
    </xf>
    <xf numFmtId="10" fontId="15" fillId="2" borderId="11" xfId="2" applyNumberFormat="1" applyFont="1" applyFill="1" applyBorder="1" applyAlignment="1">
      <alignment horizontal="center" vertical="center" wrapText="1" shrinkToFit="1"/>
    </xf>
    <xf numFmtId="229" fontId="20" fillId="0" borderId="0" xfId="2" applyNumberFormat="1" applyFont="1" applyAlignment="1">
      <alignment horizontal="center" vertical="center"/>
    </xf>
    <xf numFmtId="0" fontId="90" fillId="0" borderId="0" xfId="0" applyFont="1" applyAlignment="1">
      <alignment horizontal="center" vertical="center"/>
    </xf>
    <xf numFmtId="9" fontId="20" fillId="0" borderId="0" xfId="2" applyFont="1" applyFill="1" applyBorder="1" applyAlignment="1">
      <alignment horizontal="center" vertical="center" wrapText="1" shrinkToFit="1"/>
    </xf>
    <xf numFmtId="0" fontId="20" fillId="0" borderId="0" xfId="2" applyNumberFormat="1" applyFont="1" applyFill="1" applyBorder="1" applyAlignment="1">
      <alignment horizontal="center" vertical="center" wrapText="1" shrinkToFit="1"/>
    </xf>
    <xf numFmtId="0" fontId="20" fillId="0" borderId="0" xfId="0" applyFont="1" applyAlignment="1">
      <alignment horizontal="center" vertical="center" wrapText="1" shrinkToFit="1"/>
    </xf>
    <xf numFmtId="38" fontId="22" fillId="0" borderId="0" xfId="2" applyNumberFormat="1" applyFont="1" applyAlignment="1">
      <alignment horizontal="center" vertical="center" wrapText="1" shrinkToFit="1"/>
    </xf>
    <xf numFmtId="230" fontId="20" fillId="0" borderId="0" xfId="0" applyNumberFormat="1" applyFont="1" applyAlignment="1">
      <alignment horizontal="center" vertical="center" wrapText="1" shrinkToFit="1"/>
    </xf>
    <xf numFmtId="231" fontId="20" fillId="0" borderId="0" xfId="2" applyNumberFormat="1" applyFont="1" applyFill="1" applyBorder="1" applyAlignment="1">
      <alignment horizontal="center" vertical="center" wrapText="1" shrinkToFit="1"/>
    </xf>
    <xf numFmtId="3" fontId="3" fillId="0" borderId="4" xfId="0" applyNumberFormat="1" applyFont="1" applyBorder="1" applyAlignment="1">
      <alignment horizontal="center" vertical="center" wrapText="1" shrinkToFit="1"/>
    </xf>
    <xf numFmtId="230" fontId="22" fillId="0" borderId="0" xfId="0" applyNumberFormat="1" applyFont="1" applyAlignment="1">
      <alignment horizontal="center" vertical="center" wrapText="1" shrinkToFit="1"/>
    </xf>
    <xf numFmtId="230" fontId="22" fillId="0" borderId="0" xfId="2" applyNumberFormat="1" applyFont="1" applyFill="1" applyAlignment="1">
      <alignment horizontal="center" vertical="center" wrapText="1" shrinkToFit="1"/>
    </xf>
    <xf numFmtId="233" fontId="22" fillId="4" borderId="11" xfId="2" applyNumberFormat="1" applyFont="1" applyFill="1" applyBorder="1" applyAlignment="1">
      <alignment horizontal="center" vertical="center" wrapText="1" shrinkToFit="1"/>
    </xf>
    <xf numFmtId="234" fontId="22" fillId="4" borderId="12" xfId="2" applyNumberFormat="1" applyFont="1" applyFill="1" applyBorder="1" applyAlignment="1">
      <alignment horizontal="center" vertical="center" wrapText="1" shrinkToFit="1"/>
    </xf>
    <xf numFmtId="170" fontId="56" fillId="2" borderId="9" xfId="0" applyNumberFormat="1" applyFont="1" applyFill="1" applyBorder="1" applyAlignment="1">
      <alignment horizontal="center" vertical="center" wrapText="1" shrinkToFit="1"/>
    </xf>
    <xf numFmtId="3" fontId="91" fillId="3" borderId="6" xfId="0" applyNumberFormat="1" applyFont="1" applyFill="1" applyBorder="1" applyAlignment="1">
      <alignment horizontal="center" vertical="center" wrapText="1" shrinkToFit="1"/>
    </xf>
    <xf numFmtId="3" fontId="91" fillId="4" borderId="5" xfId="0" applyNumberFormat="1" applyFont="1" applyFill="1" applyBorder="1" applyAlignment="1">
      <alignment horizontal="center" vertical="center" wrapText="1" shrinkToFit="1"/>
    </xf>
    <xf numFmtId="3" fontId="56" fillId="2" borderId="8" xfId="0" applyNumberFormat="1" applyFont="1" applyFill="1" applyBorder="1" applyAlignment="1">
      <alignment horizontal="center" vertical="center" wrapText="1" shrinkToFit="1"/>
    </xf>
    <xf numFmtId="9" fontId="56" fillId="3" borderId="6" xfId="2" applyFont="1" applyFill="1" applyBorder="1" applyAlignment="1">
      <alignment horizontal="center" vertical="center" wrapText="1" shrinkToFit="1"/>
    </xf>
    <xf numFmtId="181" fontId="51" fillId="2" borderId="8" xfId="0" applyNumberFormat="1" applyFont="1" applyFill="1" applyBorder="1" applyAlignment="1">
      <alignment horizontal="center" vertical="center" wrapText="1" shrinkToFit="1"/>
    </xf>
    <xf numFmtId="3" fontId="51" fillId="2" borderId="8" xfId="0" applyNumberFormat="1" applyFont="1" applyFill="1" applyBorder="1" applyAlignment="1">
      <alignment horizontal="center" vertical="center" wrapText="1" shrinkToFit="1"/>
    </xf>
    <xf numFmtId="212" fontId="23" fillId="0" borderId="0" xfId="0" applyNumberFormat="1" applyFont="1" applyAlignment="1">
      <alignment horizontal="center" vertical="center" wrapText="1" shrinkToFit="1"/>
    </xf>
    <xf numFmtId="10" fontId="25" fillId="0" borderId="0" xfId="2" applyNumberFormat="1" applyFont="1" applyFill="1" applyBorder="1" applyAlignment="1">
      <alignment horizontal="center" vertical="center" wrapText="1" shrinkToFit="1"/>
    </xf>
    <xf numFmtId="10" fontId="93" fillId="4" borderId="5" xfId="0" applyNumberFormat="1" applyFont="1" applyFill="1" applyBorder="1" applyAlignment="1">
      <alignment horizontal="center" vertical="center" wrapText="1" shrinkToFit="1"/>
    </xf>
    <xf numFmtId="235" fontId="20" fillId="4" borderId="5" xfId="0" applyNumberFormat="1" applyFont="1" applyFill="1" applyBorder="1" applyAlignment="1">
      <alignment horizontal="center" vertical="center" wrapText="1" shrinkToFit="1"/>
    </xf>
    <xf numFmtId="3" fontId="20" fillId="4" borderId="4" xfId="0" applyNumberFormat="1" applyFont="1" applyFill="1" applyBorder="1" applyAlignment="1">
      <alignment horizontal="center" vertical="center" wrapText="1" shrinkToFit="1"/>
    </xf>
    <xf numFmtId="0" fontId="34" fillId="6" borderId="99" xfId="0" applyFont="1" applyFill="1" applyBorder="1" applyAlignment="1">
      <alignment vertical="center"/>
    </xf>
    <xf numFmtId="40" fontId="52" fillId="2" borderId="8" xfId="0" applyNumberFormat="1" applyFont="1" applyFill="1" applyBorder="1" applyAlignment="1">
      <alignment horizontal="center" vertical="center" wrapText="1" shrinkToFit="1"/>
    </xf>
    <xf numFmtId="3" fontId="4" fillId="0" borderId="5" xfId="0" applyNumberFormat="1" applyFont="1" applyBorder="1" applyAlignment="1">
      <alignment horizontal="center" vertical="center" shrinkToFit="1"/>
    </xf>
    <xf numFmtId="4" fontId="9" fillId="3" borderId="3" xfId="0" applyNumberFormat="1" applyFont="1" applyFill="1" applyBorder="1" applyAlignment="1">
      <alignment horizontal="center" vertical="center" shrinkToFit="1"/>
    </xf>
    <xf numFmtId="3" fontId="16" fillId="2" borderId="18" xfId="0" applyNumberFormat="1" applyFont="1" applyFill="1" applyBorder="1" applyAlignment="1">
      <alignment horizontal="center" vertical="center" wrapText="1" shrinkToFit="1"/>
    </xf>
    <xf numFmtId="10" fontId="14" fillId="3" borderId="5" xfId="2" applyNumberFormat="1" applyFont="1" applyFill="1" applyBorder="1" applyAlignment="1">
      <alignment horizontal="center" vertical="center" wrapText="1" shrinkToFit="1"/>
    </xf>
    <xf numFmtId="3" fontId="2" fillId="0" borderId="6" xfId="0" applyNumberFormat="1" applyFont="1" applyBorder="1" applyAlignment="1">
      <alignment horizontal="center" vertical="center" wrapText="1" shrinkToFit="1"/>
    </xf>
    <xf numFmtId="3" fontId="2" fillId="3" borderId="6" xfId="0" applyNumberFormat="1" applyFont="1" applyFill="1" applyBorder="1" applyAlignment="1">
      <alignment horizontal="center" vertical="center" wrapText="1" shrinkToFit="1"/>
    </xf>
    <xf numFmtId="3" fontId="14" fillId="3" borderId="115" xfId="0" applyNumberFormat="1" applyFont="1" applyFill="1" applyBorder="1" applyAlignment="1">
      <alignment horizontal="center" vertical="center" wrapText="1" shrinkToFit="1"/>
    </xf>
    <xf numFmtId="3" fontId="8" fillId="3" borderId="115" xfId="2" applyNumberFormat="1" applyFont="1" applyFill="1" applyBorder="1" applyAlignment="1">
      <alignment horizontal="center" vertical="center" wrapText="1" shrinkToFit="1"/>
    </xf>
    <xf numFmtId="3" fontId="9" fillId="3" borderId="115" xfId="2" applyNumberFormat="1" applyFont="1" applyFill="1" applyBorder="1" applyAlignment="1">
      <alignment horizontal="center" vertical="center" wrapText="1" shrinkToFit="1"/>
    </xf>
    <xf numFmtId="236" fontId="2" fillId="3" borderId="118" xfId="0" applyNumberFormat="1" applyFont="1" applyFill="1" applyBorder="1" applyAlignment="1">
      <alignment horizontal="center" vertical="center" wrapText="1" shrinkToFit="1"/>
    </xf>
    <xf numFmtId="3" fontId="12" fillId="3" borderId="115" xfId="0" applyNumberFormat="1" applyFont="1" applyFill="1" applyBorder="1" applyAlignment="1">
      <alignment horizontal="center" vertical="center" wrapText="1" shrinkToFit="1"/>
    </xf>
    <xf numFmtId="3" fontId="14" fillId="4" borderId="115" xfId="0" applyNumberFormat="1" applyFont="1" applyFill="1" applyBorder="1" applyAlignment="1">
      <alignment horizontal="center" vertical="center" wrapText="1" shrinkToFit="1"/>
    </xf>
    <xf numFmtId="9" fontId="14" fillId="3" borderId="115" xfId="2" applyFont="1" applyFill="1" applyBorder="1" applyAlignment="1">
      <alignment horizontal="center" vertical="center" wrapText="1" shrinkToFit="1"/>
    </xf>
    <xf numFmtId="3" fontId="57" fillId="0" borderId="8" xfId="0" applyNumberFormat="1" applyFont="1" applyBorder="1" applyAlignment="1">
      <alignment horizontal="center" vertical="center" wrapText="1" shrinkToFit="1"/>
    </xf>
    <xf numFmtId="10" fontId="14" fillId="0" borderId="21" xfId="2" applyNumberFormat="1" applyFont="1" applyBorder="1" applyAlignment="1">
      <alignment horizontal="center" vertical="center" wrapText="1" shrinkToFit="1"/>
    </xf>
    <xf numFmtId="10" fontId="14" fillId="3" borderId="21" xfId="2" applyNumberFormat="1" applyFont="1" applyFill="1" applyBorder="1" applyAlignment="1">
      <alignment horizontal="center" vertical="center" wrapText="1" shrinkToFit="1"/>
    </xf>
    <xf numFmtId="10" fontId="14" fillId="0" borderId="29" xfId="2" applyNumberFormat="1" applyFont="1" applyBorder="1" applyAlignment="1">
      <alignment horizontal="center" vertical="center" wrapText="1" shrinkToFit="1"/>
    </xf>
    <xf numFmtId="10" fontId="14" fillId="0" borderId="21" xfId="2" applyNumberFormat="1" applyFont="1" applyFill="1" applyBorder="1" applyAlignment="1">
      <alignment horizontal="center" vertical="center" wrapText="1" shrinkToFit="1"/>
    </xf>
    <xf numFmtId="211" fontId="9" fillId="0" borderId="29" xfId="2" applyNumberFormat="1" applyFont="1" applyBorder="1" applyAlignment="1">
      <alignment horizontal="center" vertical="center" wrapText="1" shrinkToFit="1"/>
    </xf>
    <xf numFmtId="198" fontId="52" fillId="0" borderId="21" xfId="2" applyNumberFormat="1" applyFont="1" applyFill="1" applyBorder="1" applyAlignment="1">
      <alignment horizontal="center" vertical="center" wrapText="1" shrinkToFit="1"/>
    </xf>
    <xf numFmtId="207" fontId="14" fillId="0" borderId="21" xfId="1" applyNumberFormat="1" applyFont="1" applyBorder="1" applyAlignment="1">
      <alignment horizontal="center" vertical="center" wrapText="1" shrinkToFit="1"/>
    </xf>
    <xf numFmtId="174" fontId="53" fillId="0" borderId="21" xfId="2" applyNumberFormat="1" applyFont="1" applyFill="1" applyBorder="1" applyAlignment="1">
      <alignment horizontal="center" vertical="center" wrapText="1" shrinkToFit="1"/>
    </xf>
    <xf numFmtId="10" fontId="14" fillId="4" borderId="21" xfId="2" applyNumberFormat="1" applyFont="1" applyFill="1" applyBorder="1" applyAlignment="1">
      <alignment horizontal="center" vertical="center" wrapText="1" shrinkToFit="1"/>
    </xf>
    <xf numFmtId="210" fontId="57" fillId="0" borderId="21" xfId="0" applyNumberFormat="1" applyFont="1" applyBorder="1" applyAlignment="1">
      <alignment horizontal="center" vertical="center" wrapText="1" shrinkToFit="1"/>
    </xf>
    <xf numFmtId="208" fontId="14" fillId="3" borderId="29" xfId="2" applyNumberFormat="1" applyFont="1" applyFill="1" applyBorder="1" applyAlignment="1">
      <alignment horizontal="center" vertical="center" wrapText="1" shrinkToFit="1"/>
    </xf>
    <xf numFmtId="3" fontId="51" fillId="0" borderId="21" xfId="0" applyNumberFormat="1" applyFont="1" applyBorder="1" applyAlignment="1">
      <alignment horizontal="center" vertical="center" wrapText="1" shrinkToFit="1"/>
    </xf>
    <xf numFmtId="3" fontId="51" fillId="3" borderId="21" xfId="0" applyNumberFormat="1" applyFont="1" applyFill="1" applyBorder="1" applyAlignment="1">
      <alignment horizontal="center" vertical="center" wrapText="1" shrinkToFit="1"/>
    </xf>
    <xf numFmtId="3" fontId="9" fillId="2" borderId="29" xfId="0" applyNumberFormat="1" applyFont="1" applyFill="1" applyBorder="1" applyAlignment="1">
      <alignment horizontal="center" vertical="center" wrapText="1" shrinkToFit="1"/>
    </xf>
    <xf numFmtId="3" fontId="20" fillId="0" borderId="119" xfId="0" applyNumberFormat="1" applyFont="1" applyBorder="1" applyAlignment="1">
      <alignment horizontal="center" vertical="center" wrapText="1" shrinkToFit="1"/>
    </xf>
    <xf numFmtId="3" fontId="20" fillId="0" borderId="120" xfId="0" applyNumberFormat="1" applyFont="1" applyBorder="1" applyAlignment="1">
      <alignment horizontal="center" vertical="center" wrapText="1" shrinkToFit="1"/>
    </xf>
    <xf numFmtId="3" fontId="16" fillId="2" borderId="15" xfId="0" applyNumberFormat="1" applyFont="1" applyFill="1" applyBorder="1" applyAlignment="1">
      <alignment horizontal="center" vertical="center" wrapText="1" shrinkToFit="1"/>
    </xf>
    <xf numFmtId="3" fontId="16" fillId="2" borderId="123" xfId="0" applyNumberFormat="1" applyFont="1" applyFill="1" applyBorder="1" applyAlignment="1">
      <alignment horizontal="center" vertical="center" wrapText="1" shrinkToFit="1"/>
    </xf>
    <xf numFmtId="3" fontId="2" fillId="3" borderId="23" xfId="0" applyNumberFormat="1" applyFont="1" applyFill="1" applyBorder="1" applyAlignment="1">
      <alignment horizontal="center" vertical="center" wrapText="1" shrinkToFit="1"/>
    </xf>
    <xf numFmtId="3" fontId="14" fillId="3" borderId="36" xfId="0" applyNumberFormat="1" applyFont="1" applyFill="1" applyBorder="1" applyAlignment="1">
      <alignment horizontal="center" vertical="center" wrapText="1" shrinkToFit="1"/>
    </xf>
    <xf numFmtId="3" fontId="9" fillId="3" borderId="118" xfId="0" applyNumberFormat="1" applyFont="1" applyFill="1" applyBorder="1" applyAlignment="1">
      <alignment horizontal="center" vertical="center" wrapText="1" shrinkToFit="1"/>
    </xf>
    <xf numFmtId="3" fontId="14" fillId="3" borderId="118" xfId="0" applyNumberFormat="1" applyFont="1" applyFill="1" applyBorder="1" applyAlignment="1">
      <alignment horizontal="center" vertical="center" wrapText="1" shrinkToFit="1"/>
    </xf>
    <xf numFmtId="3" fontId="14" fillId="0" borderId="1" xfId="0" applyNumberFormat="1" applyFont="1" applyBorder="1" applyAlignment="1">
      <alignment horizontal="center" vertical="center" wrapText="1" shrinkToFit="1"/>
    </xf>
    <xf numFmtId="38" fontId="44" fillId="8" borderId="0" xfId="0" applyNumberFormat="1" applyFont="1" applyFill="1" applyAlignment="1">
      <alignment horizontal="center" vertical="center"/>
    </xf>
    <xf numFmtId="38" fontId="44" fillId="8" borderId="87" xfId="0" applyNumberFormat="1" applyFont="1" applyFill="1" applyBorder="1" applyAlignment="1">
      <alignment horizontal="center" vertical="center"/>
    </xf>
    <xf numFmtId="38" fontId="20" fillId="0" borderId="5" xfId="0" applyNumberFormat="1" applyFont="1" applyBorder="1" applyAlignment="1">
      <alignment horizontal="center" vertical="center" wrapText="1" shrinkToFit="1"/>
    </xf>
    <xf numFmtId="38" fontId="20" fillId="4" borderId="5" xfId="0" applyNumberFormat="1" applyFont="1" applyFill="1" applyBorder="1" applyAlignment="1">
      <alignment horizontal="center" vertical="center" wrapText="1" shrinkToFit="1"/>
    </xf>
    <xf numFmtId="178" fontId="22" fillId="0" borderId="5" xfId="2" applyNumberFormat="1" applyFont="1" applyFill="1" applyBorder="1" applyAlignment="1">
      <alignment horizontal="center" vertical="center" wrapText="1" shrinkToFit="1"/>
    </xf>
    <xf numFmtId="9" fontId="20" fillId="0" borderId="0" xfId="2" applyFont="1" applyBorder="1" applyAlignment="1">
      <alignment horizontal="center" vertical="center" wrapText="1" shrinkToFit="1"/>
    </xf>
    <xf numFmtId="3" fontId="97" fillId="0" borderId="100" xfId="0" applyNumberFormat="1" applyFont="1" applyBorder="1" applyAlignment="1">
      <alignment horizontal="center" vertical="center" wrapText="1" shrinkToFit="1"/>
    </xf>
    <xf numFmtId="3" fontId="82" fillId="0" borderId="101" xfId="0" applyNumberFormat="1" applyFont="1" applyBorder="1" applyAlignment="1">
      <alignment horizontal="center" vertical="center" wrapText="1" shrinkToFit="1"/>
    </xf>
    <xf numFmtId="3" fontId="97" fillId="0" borderId="102" xfId="0" applyNumberFormat="1" applyFont="1" applyBorder="1" applyAlignment="1">
      <alignment horizontal="center" vertical="center" wrapText="1" shrinkToFit="1"/>
    </xf>
    <xf numFmtId="3" fontId="82" fillId="0" borderId="103" xfId="0" applyNumberFormat="1" applyFont="1" applyBorder="1" applyAlignment="1">
      <alignment horizontal="center" vertical="center" wrapText="1" shrinkToFit="1"/>
    </xf>
    <xf numFmtId="3" fontId="97" fillId="0" borderId="104" xfId="0" applyNumberFormat="1" applyFont="1" applyBorder="1" applyAlignment="1">
      <alignment horizontal="center" vertical="center" wrapText="1" shrinkToFit="1"/>
    </xf>
    <xf numFmtId="3" fontId="82" fillId="0" borderId="105" xfId="0" applyNumberFormat="1" applyFont="1" applyBorder="1" applyAlignment="1">
      <alignment horizontal="center" vertical="center" wrapText="1" shrinkToFit="1"/>
    </xf>
    <xf numFmtId="37" fontId="82" fillId="0" borderId="99" xfId="0" applyNumberFormat="1" applyFont="1" applyBorder="1" applyAlignment="1">
      <alignment horizontal="center" vertical="center" wrapText="1" shrinkToFit="1"/>
    </xf>
    <xf numFmtId="0" fontId="98" fillId="0" borderId="99" xfId="0" applyFont="1" applyBorder="1" applyAlignment="1">
      <alignment horizontal="center" vertical="center"/>
    </xf>
    <xf numFmtId="3" fontId="98" fillId="0" borderId="99" xfId="0" applyNumberFormat="1" applyFont="1" applyBorder="1" applyAlignment="1">
      <alignment horizontal="center" vertical="center"/>
    </xf>
    <xf numFmtId="9" fontId="98" fillId="0" borderId="99" xfId="2" applyFont="1" applyFill="1" applyBorder="1" applyAlignment="1">
      <alignment horizontal="center" vertical="center"/>
    </xf>
    <xf numFmtId="0" fontId="99" fillId="0" borderId="99" xfId="0" applyFont="1" applyBorder="1" applyAlignment="1">
      <alignment horizontal="center" vertical="center"/>
    </xf>
    <xf numFmtId="38" fontId="78" fillId="8" borderId="81" xfId="0" applyNumberFormat="1" applyFont="1" applyFill="1" applyBorder="1" applyAlignment="1">
      <alignment horizontal="center" vertical="center" wrapText="1" shrinkToFit="1"/>
    </xf>
    <xf numFmtId="38" fontId="78" fillId="8" borderId="82" xfId="0" applyNumberFormat="1" applyFont="1" applyFill="1" applyBorder="1" applyAlignment="1">
      <alignment horizontal="center" vertical="center" wrapText="1" shrinkToFit="1"/>
    </xf>
    <xf numFmtId="38" fontId="38" fillId="8" borderId="83" xfId="0" applyNumberFormat="1" applyFont="1" applyFill="1" applyBorder="1" applyAlignment="1">
      <alignment horizontal="right" vertical="center"/>
    </xf>
    <xf numFmtId="9" fontId="20" fillId="0" borderId="0" xfId="2" applyFont="1" applyFill="1" applyAlignment="1">
      <alignment horizontal="center" vertical="center" wrapText="1" shrinkToFit="1"/>
    </xf>
    <xf numFmtId="43" fontId="20" fillId="0" borderId="0" xfId="1" applyFont="1" applyFill="1" applyAlignment="1">
      <alignment horizontal="center" vertical="center" wrapText="1" shrinkToFit="1"/>
    </xf>
    <xf numFmtId="0" fontId="100" fillId="0" borderId="0" xfId="0" applyFont="1" applyAlignment="1">
      <alignment horizontal="center" vertical="center"/>
    </xf>
    <xf numFmtId="3" fontId="13" fillId="0" borderId="0" xfId="0" applyNumberFormat="1" applyFont="1" applyAlignment="1">
      <alignment horizontal="center" vertical="center" wrapText="1" shrinkToFit="1"/>
    </xf>
    <xf numFmtId="9" fontId="51" fillId="0" borderId="0" xfId="2" applyFont="1" applyFill="1" applyBorder="1" applyAlignment="1">
      <alignment horizontal="center" vertical="center" wrapText="1" shrinkToFit="1"/>
    </xf>
    <xf numFmtId="38" fontId="51" fillId="0" borderId="0" xfId="0" applyNumberFormat="1" applyFont="1" applyAlignment="1">
      <alignment horizontal="center" vertical="center" wrapText="1" shrinkToFit="1"/>
    </xf>
    <xf numFmtId="214" fontId="20" fillId="0" borderId="0" xfId="0" applyNumberFormat="1" applyFont="1" applyAlignment="1">
      <alignment horizontal="center" vertical="center" wrapText="1" shrinkToFit="1"/>
    </xf>
    <xf numFmtId="237" fontId="20" fillId="0" borderId="0" xfId="0" applyNumberFormat="1" applyFont="1" applyAlignment="1">
      <alignment horizontal="center" vertical="center" wrapText="1" shrinkToFit="1"/>
    </xf>
    <xf numFmtId="238" fontId="20" fillId="0" borderId="0" xfId="0" applyNumberFormat="1" applyFont="1" applyAlignment="1">
      <alignment horizontal="center" vertical="center" wrapText="1" shrinkToFit="1"/>
    </xf>
    <xf numFmtId="0" fontId="101" fillId="9" borderId="0" xfId="0" applyFont="1" applyFill="1" applyAlignment="1">
      <alignment vertical="center" wrapText="1"/>
    </xf>
    <xf numFmtId="3" fontId="102" fillId="0" borderId="0" xfId="0" applyNumberFormat="1" applyFont="1" applyAlignment="1">
      <alignment horizontal="center" vertical="center" wrapText="1" shrinkToFit="1"/>
    </xf>
    <xf numFmtId="0" fontId="103" fillId="0" borderId="0" xfId="0" applyFont="1" applyAlignment="1">
      <alignment vertical="center" wrapText="1"/>
    </xf>
    <xf numFmtId="0" fontId="104" fillId="10" borderId="127" xfId="0" applyFont="1" applyFill="1" applyBorder="1" applyAlignment="1">
      <alignment horizontal="center" vertical="center" wrapText="1"/>
    </xf>
    <xf numFmtId="0" fontId="104" fillId="11" borderId="128" xfId="0" applyFont="1" applyFill="1" applyBorder="1" applyAlignment="1">
      <alignment vertical="center"/>
    </xf>
    <xf numFmtId="0" fontId="105" fillId="0" borderId="127" xfId="0" applyFont="1" applyBorder="1" applyAlignment="1">
      <alignment horizontal="center" vertical="center" wrapText="1"/>
    </xf>
    <xf numFmtId="0" fontId="105" fillId="0" borderId="127" xfId="0" applyFont="1" applyBorder="1" applyAlignment="1">
      <alignment horizontal="right" vertical="center" wrapText="1"/>
    </xf>
    <xf numFmtId="0" fontId="106" fillId="0" borderId="127" xfId="0" applyFont="1" applyBorder="1" applyAlignment="1">
      <alignment horizontal="left" vertical="center"/>
    </xf>
    <xf numFmtId="0" fontId="107" fillId="0" borderId="127" xfId="0" applyFont="1" applyBorder="1" applyAlignment="1">
      <alignment horizontal="center" vertical="center" wrapText="1"/>
    </xf>
    <xf numFmtId="0" fontId="105" fillId="12" borderId="127" xfId="0" applyFont="1" applyFill="1" applyBorder="1" applyAlignment="1">
      <alignment horizontal="center" vertical="center" wrapText="1"/>
    </xf>
    <xf numFmtId="0" fontId="105" fillId="12" borderId="127" xfId="0" applyFont="1" applyFill="1" applyBorder="1" applyAlignment="1">
      <alignment horizontal="right" vertical="center" wrapText="1"/>
    </xf>
    <xf numFmtId="0" fontId="106" fillId="12" borderId="127" xfId="0" applyFont="1" applyFill="1" applyBorder="1" applyAlignment="1">
      <alignment horizontal="left" vertical="center"/>
    </xf>
    <xf numFmtId="0" fontId="107" fillId="12" borderId="127" xfId="0" applyFont="1" applyFill="1" applyBorder="1" applyAlignment="1">
      <alignment horizontal="center" vertical="center" wrapText="1"/>
    </xf>
    <xf numFmtId="239" fontId="106" fillId="0" borderId="127" xfId="0" applyNumberFormat="1" applyFont="1" applyBorder="1" applyAlignment="1">
      <alignment horizontal="left" vertical="center"/>
    </xf>
    <xf numFmtId="239" fontId="106" fillId="12" borderId="127" xfId="0" applyNumberFormat="1" applyFont="1" applyFill="1" applyBorder="1" applyAlignment="1">
      <alignment horizontal="left" vertical="center"/>
    </xf>
    <xf numFmtId="4" fontId="106" fillId="0" borderId="127" xfId="0" applyNumberFormat="1" applyFont="1" applyBorder="1" applyAlignment="1">
      <alignment horizontal="left" vertical="center"/>
    </xf>
    <xf numFmtId="10" fontId="106" fillId="12" borderId="127" xfId="0" applyNumberFormat="1" applyFont="1" applyFill="1" applyBorder="1" applyAlignment="1">
      <alignment horizontal="left" vertical="center"/>
    </xf>
    <xf numFmtId="10" fontId="106" fillId="0" borderId="127" xfId="0" applyNumberFormat="1" applyFont="1" applyBorder="1" applyAlignment="1">
      <alignment horizontal="left" vertical="center"/>
    </xf>
    <xf numFmtId="240" fontId="106" fillId="12" borderId="127" xfId="0" applyNumberFormat="1" applyFont="1" applyFill="1" applyBorder="1" applyAlignment="1">
      <alignment horizontal="left" vertical="center"/>
    </xf>
    <xf numFmtId="4" fontId="106" fillId="12" borderId="127" xfId="0" applyNumberFormat="1" applyFont="1" applyFill="1" applyBorder="1" applyAlignment="1">
      <alignment horizontal="left" vertical="center"/>
    </xf>
    <xf numFmtId="3" fontId="106" fillId="0" borderId="127" xfId="0" applyNumberFormat="1" applyFont="1" applyBorder="1" applyAlignment="1">
      <alignment horizontal="left" vertical="center"/>
    </xf>
    <xf numFmtId="3" fontId="106" fillId="12" borderId="127" xfId="0" applyNumberFormat="1" applyFont="1" applyFill="1" applyBorder="1" applyAlignment="1">
      <alignment horizontal="left" vertical="center"/>
    </xf>
    <xf numFmtId="240" fontId="106" fillId="0" borderId="127" xfId="0" applyNumberFormat="1" applyFont="1" applyBorder="1" applyAlignment="1">
      <alignment horizontal="left" vertical="center"/>
    </xf>
    <xf numFmtId="14" fontId="106" fillId="12" borderId="127" xfId="0" applyNumberFormat="1" applyFont="1" applyFill="1" applyBorder="1" applyAlignment="1">
      <alignment horizontal="left" vertical="center"/>
    </xf>
    <xf numFmtId="0" fontId="108" fillId="0" borderId="127" xfId="0" applyFont="1" applyBorder="1" applyAlignment="1">
      <alignment horizontal="right" vertical="center" wrapText="1"/>
    </xf>
    <xf numFmtId="239" fontId="109" fillId="0" borderId="127" xfId="0" applyNumberFormat="1" applyFont="1" applyBorder="1" applyAlignment="1">
      <alignment horizontal="left" vertical="center"/>
    </xf>
    <xf numFmtId="0" fontId="108" fillId="12" borderId="127" xfId="0" applyFont="1" applyFill="1" applyBorder="1" applyAlignment="1">
      <alignment horizontal="right" vertical="center" wrapText="1"/>
    </xf>
    <xf numFmtId="239" fontId="109" fillId="12" borderId="127" xfId="0" applyNumberFormat="1" applyFont="1" applyFill="1" applyBorder="1" applyAlignment="1">
      <alignment horizontal="left" vertical="center"/>
    </xf>
    <xf numFmtId="241" fontId="102" fillId="0" borderId="0" xfId="0" applyNumberFormat="1" applyFont="1" applyAlignment="1">
      <alignment horizontal="center" vertical="center" wrapText="1" shrinkToFit="1"/>
    </xf>
    <xf numFmtId="0" fontId="0" fillId="0" borderId="0" xfId="0" applyAlignment="1">
      <alignment horizontal="center" vertical="center"/>
    </xf>
    <xf numFmtId="241" fontId="104" fillId="10" borderId="127" xfId="0" applyNumberFormat="1" applyFont="1" applyFill="1" applyBorder="1" applyAlignment="1">
      <alignment horizontal="center" vertical="center" wrapText="1"/>
    </xf>
    <xf numFmtId="241" fontId="104" fillId="11" borderId="128" xfId="0" applyNumberFormat="1" applyFont="1" applyFill="1" applyBorder="1" applyAlignment="1">
      <alignment vertical="center"/>
    </xf>
    <xf numFmtId="241" fontId="106" fillId="0" borderId="127" xfId="0" applyNumberFormat="1" applyFont="1" applyBorder="1" applyAlignment="1">
      <alignment horizontal="left" vertical="center"/>
    </xf>
    <xf numFmtId="241" fontId="106" fillId="12" borderId="127" xfId="0" applyNumberFormat="1" applyFont="1" applyFill="1" applyBorder="1" applyAlignment="1">
      <alignment horizontal="left" vertical="center"/>
    </xf>
    <xf numFmtId="241" fontId="109" fillId="0" borderId="127" xfId="0" applyNumberFormat="1" applyFont="1" applyBorder="1" applyAlignment="1">
      <alignment horizontal="left" vertical="center"/>
    </xf>
    <xf numFmtId="241" fontId="109" fillId="12" borderId="127" xfId="0" applyNumberFormat="1" applyFont="1" applyFill="1" applyBorder="1" applyAlignment="1">
      <alignment horizontal="left" vertical="center"/>
    </xf>
    <xf numFmtId="0" fontId="16" fillId="2" borderId="43" xfId="0" applyFont="1" applyFill="1" applyBorder="1" applyAlignment="1">
      <alignment horizontal="center" vertical="center" wrapText="1"/>
    </xf>
    <xf numFmtId="0" fontId="16" fillId="2" borderId="44" xfId="0" applyFont="1" applyFill="1" applyBorder="1" applyAlignment="1">
      <alignment horizontal="center" vertical="center" wrapText="1"/>
    </xf>
    <xf numFmtId="0" fontId="16" fillId="2" borderId="0" xfId="0" applyFont="1" applyFill="1" applyAlignment="1">
      <alignment horizontal="center" vertical="center" wrapText="1"/>
    </xf>
    <xf numFmtId="0" fontId="16" fillId="2" borderId="46" xfId="0" applyFont="1" applyFill="1" applyBorder="1" applyAlignment="1">
      <alignment horizontal="center" vertical="center" wrapText="1"/>
    </xf>
    <xf numFmtId="0" fontId="54" fillId="2" borderId="45" xfId="0" applyFont="1" applyFill="1" applyBorder="1" applyAlignment="1">
      <alignment horizontal="center" vertical="center" wrapText="1"/>
    </xf>
    <xf numFmtId="0" fontId="54" fillId="2" borderId="0" xfId="0" applyFont="1" applyFill="1" applyAlignment="1">
      <alignment horizontal="center" vertical="center" wrapText="1"/>
    </xf>
    <xf numFmtId="0" fontId="89" fillId="2" borderId="0" xfId="3" applyFont="1" applyFill="1" applyBorder="1" applyAlignment="1">
      <alignment horizontal="center" vertical="center"/>
    </xf>
    <xf numFmtId="0" fontId="54" fillId="2" borderId="45" xfId="4" applyFont="1" applyFill="1" applyBorder="1" applyAlignment="1">
      <alignment horizontal="center" vertical="center" wrapText="1"/>
    </xf>
    <xf numFmtId="0" fontId="54" fillId="2" borderId="0" xfId="4" applyFont="1" applyFill="1" applyAlignment="1">
      <alignment horizontal="center" vertical="center" wrapText="1"/>
    </xf>
    <xf numFmtId="215" fontId="54" fillId="2" borderId="0" xfId="4" applyNumberFormat="1" applyFont="1" applyFill="1" applyAlignment="1">
      <alignment horizontal="center" vertical="center" wrapText="1"/>
    </xf>
    <xf numFmtId="0" fontId="36" fillId="2" borderId="1" xfId="0" applyFont="1" applyFill="1" applyBorder="1" applyAlignment="1">
      <alignment horizontal="center" vertical="center" wrapText="1" shrinkToFit="1"/>
    </xf>
    <xf numFmtId="0" fontId="36" fillId="2" borderId="2" xfId="0" applyFont="1" applyFill="1" applyBorder="1" applyAlignment="1">
      <alignment horizontal="center" vertical="center" wrapText="1" shrinkToFit="1"/>
    </xf>
    <xf numFmtId="0" fontId="36" fillId="2" borderId="3" xfId="0" applyFont="1" applyFill="1" applyBorder="1" applyAlignment="1">
      <alignment horizontal="center" vertical="center" wrapText="1" shrinkToFit="1"/>
    </xf>
    <xf numFmtId="0" fontId="36" fillId="2" borderId="4" xfId="0" applyFont="1" applyFill="1" applyBorder="1" applyAlignment="1">
      <alignment horizontal="center" vertical="center" wrapText="1" shrinkToFit="1"/>
    </xf>
    <xf numFmtId="0" fontId="36" fillId="2" borderId="5" xfId="0" applyFont="1" applyFill="1" applyBorder="1" applyAlignment="1">
      <alignment horizontal="center" vertical="center" wrapText="1" shrinkToFit="1"/>
    </xf>
    <xf numFmtId="0" fontId="36" fillId="2" borderId="6" xfId="0" applyFont="1" applyFill="1" applyBorder="1" applyAlignment="1">
      <alignment horizontal="center" vertical="center" wrapText="1" shrinkToFit="1"/>
    </xf>
    <xf numFmtId="3" fontId="57" fillId="3" borderId="5" xfId="2" applyNumberFormat="1" applyFont="1" applyFill="1" applyBorder="1" applyAlignment="1">
      <alignment horizontal="center" vertical="center" wrapText="1" shrinkToFit="1"/>
    </xf>
    <xf numFmtId="3" fontId="57" fillId="3" borderId="21" xfId="2" applyNumberFormat="1" applyFont="1" applyFill="1" applyBorder="1" applyAlignment="1">
      <alignment horizontal="center" vertical="center" wrapText="1" shrinkToFit="1"/>
    </xf>
    <xf numFmtId="3" fontId="57" fillId="0" borderId="2" xfId="2" applyNumberFormat="1" applyFont="1" applyBorder="1" applyAlignment="1">
      <alignment horizontal="center" vertical="center" wrapText="1" shrinkToFit="1"/>
    </xf>
    <xf numFmtId="3" fontId="57" fillId="0" borderId="58" xfId="2" applyNumberFormat="1" applyFont="1" applyBorder="1" applyAlignment="1">
      <alignment horizontal="center" vertical="center" wrapText="1" shrinkToFit="1"/>
    </xf>
    <xf numFmtId="3" fontId="26" fillId="2" borderId="59" xfId="0" applyNumberFormat="1" applyFont="1" applyFill="1" applyBorder="1" applyAlignment="1">
      <alignment horizontal="center" vertical="center" wrapText="1" shrinkToFit="1"/>
    </xf>
    <xf numFmtId="3" fontId="26" fillId="2" borderId="2" xfId="0" applyNumberFormat="1" applyFont="1" applyFill="1" applyBorder="1" applyAlignment="1">
      <alignment horizontal="center" vertical="center" wrapText="1" shrinkToFit="1"/>
    </xf>
    <xf numFmtId="3" fontId="26" fillId="2" borderId="3" xfId="0" applyNumberFormat="1" applyFont="1" applyFill="1" applyBorder="1" applyAlignment="1">
      <alignment horizontal="center" vertical="center" wrapText="1" shrinkToFit="1"/>
    </xf>
    <xf numFmtId="3" fontId="26" fillId="2" borderId="1" xfId="0" applyNumberFormat="1" applyFont="1" applyFill="1" applyBorder="1" applyAlignment="1">
      <alignment horizontal="center" vertical="center" wrapText="1" shrinkToFit="1"/>
    </xf>
    <xf numFmtId="3" fontId="26" fillId="2" borderId="58" xfId="0" applyNumberFormat="1" applyFont="1" applyFill="1" applyBorder="1" applyAlignment="1">
      <alignment horizontal="center" vertical="center" wrapText="1" shrinkToFit="1"/>
    </xf>
    <xf numFmtId="9" fontId="26" fillId="2" borderId="116" xfId="2" applyFont="1" applyFill="1" applyBorder="1" applyAlignment="1">
      <alignment horizontal="center" vertical="center" wrapText="1" shrinkToFit="1"/>
    </xf>
    <xf numFmtId="9" fontId="26" fillId="2" borderId="117" xfId="2" applyFont="1" applyFill="1" applyBorder="1" applyAlignment="1">
      <alignment horizontal="center" vertical="center" wrapText="1" shrinkToFit="1"/>
    </xf>
    <xf numFmtId="9" fontId="26" fillId="2" borderId="121" xfId="2" applyFont="1" applyFill="1" applyBorder="1" applyAlignment="1">
      <alignment horizontal="center" vertical="center" wrapText="1" shrinkToFit="1"/>
    </xf>
    <xf numFmtId="3" fontId="59" fillId="2" borderId="1" xfId="0" applyNumberFormat="1" applyFont="1" applyFill="1" applyBorder="1" applyAlignment="1">
      <alignment horizontal="center" vertical="center" wrapText="1" shrinkToFit="1"/>
    </xf>
    <xf numFmtId="3" fontId="59" fillId="2" borderId="2" xfId="0" applyNumberFormat="1" applyFont="1" applyFill="1" applyBorder="1" applyAlignment="1">
      <alignment horizontal="center" vertical="center" wrapText="1" shrinkToFit="1"/>
    </xf>
    <xf numFmtId="3" fontId="59" fillId="2" borderId="58" xfId="0" applyNumberFormat="1" applyFont="1" applyFill="1" applyBorder="1" applyAlignment="1">
      <alignment horizontal="center" vertical="center" wrapText="1" shrinkToFit="1"/>
    </xf>
    <xf numFmtId="3" fontId="59" fillId="2" borderId="4" xfId="0" applyNumberFormat="1" applyFont="1" applyFill="1" applyBorder="1" applyAlignment="1">
      <alignment horizontal="center" vertical="center" wrapText="1" shrinkToFit="1"/>
    </xf>
    <xf numFmtId="3" fontId="59" fillId="2" borderId="5" xfId="0" applyNumberFormat="1" applyFont="1" applyFill="1" applyBorder="1" applyAlignment="1">
      <alignment horizontal="center" vertical="center" wrapText="1" shrinkToFit="1"/>
    </xf>
    <xf numFmtId="3" fontId="59" fillId="2" borderId="21" xfId="0" applyNumberFormat="1" applyFont="1" applyFill="1" applyBorder="1" applyAlignment="1">
      <alignment horizontal="center" vertical="center" wrapText="1" shrinkToFit="1"/>
    </xf>
    <xf numFmtId="3" fontId="59" fillId="2" borderId="7" xfId="0" applyNumberFormat="1" applyFont="1" applyFill="1" applyBorder="1" applyAlignment="1">
      <alignment horizontal="center" vertical="center" wrapText="1" shrinkToFit="1"/>
    </xf>
    <xf numFmtId="3" fontId="59" fillId="2" borderId="8" xfId="0" applyNumberFormat="1" applyFont="1" applyFill="1" applyBorder="1" applyAlignment="1">
      <alignment horizontal="center" vertical="center" wrapText="1" shrinkToFit="1"/>
    </xf>
    <xf numFmtId="3" fontId="59" fillId="2" borderId="29" xfId="0" applyNumberFormat="1" applyFont="1" applyFill="1" applyBorder="1" applyAlignment="1">
      <alignment horizontal="center" vertical="center" wrapText="1" shrinkToFit="1"/>
    </xf>
    <xf numFmtId="3" fontId="15" fillId="2" borderId="36" xfId="0" applyNumberFormat="1" applyFont="1" applyFill="1" applyBorder="1" applyAlignment="1">
      <alignment horizontal="center" vertical="center" wrapText="1" shrinkToFit="1"/>
    </xf>
    <xf numFmtId="3" fontId="15" fillId="2" borderId="115" xfId="0" applyNumberFormat="1" applyFont="1" applyFill="1" applyBorder="1" applyAlignment="1">
      <alignment horizontal="center" vertical="center" wrapText="1" shrinkToFit="1"/>
    </xf>
    <xf numFmtId="3" fontId="15" fillId="2" borderId="122" xfId="0" applyNumberFormat="1" applyFont="1" applyFill="1" applyBorder="1" applyAlignment="1">
      <alignment horizontal="center" vertical="center" wrapText="1" shrinkToFit="1"/>
    </xf>
    <xf numFmtId="3" fontId="92" fillId="3" borderId="7" xfId="0" applyNumberFormat="1" applyFont="1" applyFill="1" applyBorder="1" applyAlignment="1">
      <alignment horizontal="center" vertical="center" wrapText="1" shrinkToFit="1"/>
    </xf>
    <xf numFmtId="3" fontId="92" fillId="3" borderId="8" xfId="0" applyNumberFormat="1" applyFont="1" applyFill="1" applyBorder="1" applyAlignment="1">
      <alignment horizontal="center" vertical="center" wrapText="1" shrinkToFit="1"/>
    </xf>
    <xf numFmtId="3" fontId="22" fillId="0" borderId="27" xfId="0" applyNumberFormat="1" applyFont="1" applyBorder="1" applyAlignment="1">
      <alignment horizontal="center" vertical="center" wrapText="1" shrinkToFit="1"/>
    </xf>
    <xf numFmtId="3" fontId="14" fillId="2" borderId="8" xfId="0" applyNumberFormat="1" applyFont="1" applyFill="1" applyBorder="1" applyAlignment="1">
      <alignment horizontal="center" vertical="center" wrapText="1" shrinkToFit="1"/>
    </xf>
    <xf numFmtId="38" fontId="22" fillId="0" borderId="27" xfId="0" applyNumberFormat="1" applyFont="1" applyBorder="1" applyAlignment="1">
      <alignment horizontal="center" vertical="center" wrapText="1" shrinkToFit="1"/>
    </xf>
    <xf numFmtId="3" fontId="15" fillId="2" borderId="1" xfId="0" applyNumberFormat="1" applyFont="1" applyFill="1" applyBorder="1" applyAlignment="1">
      <alignment horizontal="center" vertical="center" wrapText="1" shrinkToFit="1"/>
    </xf>
    <xf numFmtId="3" fontId="15" fillId="2" borderId="2" xfId="0" applyNumberFormat="1" applyFont="1" applyFill="1" applyBorder="1" applyAlignment="1">
      <alignment horizontal="center" vertical="center" wrapText="1" shrinkToFit="1"/>
    </xf>
    <xf numFmtId="3" fontId="15" fillId="2" borderId="3" xfId="0" applyNumberFormat="1" applyFont="1" applyFill="1" applyBorder="1" applyAlignment="1">
      <alignment horizontal="center" vertical="center" wrapText="1" shrinkToFit="1"/>
    </xf>
    <xf numFmtId="3" fontId="20" fillId="2" borderId="29" xfId="0" applyNumberFormat="1" applyFont="1" applyFill="1" applyBorder="1" applyAlignment="1">
      <alignment horizontal="center" vertical="center" wrapText="1" shrinkToFit="1"/>
    </xf>
    <xf numFmtId="3" fontId="20" fillId="2" borderId="30" xfId="0" applyNumberFormat="1" applyFont="1" applyFill="1" applyBorder="1" applyAlignment="1">
      <alignment horizontal="center" vertical="center" wrapText="1" shrinkToFit="1"/>
    </xf>
    <xf numFmtId="3" fontId="20" fillId="0" borderId="5" xfId="0" applyNumberFormat="1" applyFont="1" applyBorder="1" applyAlignment="1">
      <alignment horizontal="center" vertical="center" wrapText="1" shrinkToFit="1"/>
    </xf>
    <xf numFmtId="3" fontId="20" fillId="0" borderId="6" xfId="0" applyNumberFormat="1" applyFont="1" applyBorder="1" applyAlignment="1">
      <alignment horizontal="center" vertical="center" wrapText="1" shrinkToFit="1"/>
    </xf>
    <xf numFmtId="3" fontId="16" fillId="2" borderId="4" xfId="0" applyNumberFormat="1" applyFont="1" applyFill="1" applyBorder="1" applyAlignment="1">
      <alignment horizontal="center" vertical="center" wrapText="1" shrinkToFit="1"/>
    </xf>
    <xf numFmtId="3" fontId="16" fillId="2" borderId="5" xfId="0" applyNumberFormat="1" applyFont="1" applyFill="1" applyBorder="1" applyAlignment="1">
      <alignment horizontal="center" vertical="center" wrapText="1" shrinkToFit="1"/>
    </xf>
    <xf numFmtId="3" fontId="16" fillId="2" borderId="6" xfId="0" applyNumberFormat="1" applyFont="1" applyFill="1" applyBorder="1" applyAlignment="1">
      <alignment horizontal="center" vertical="center" wrapText="1" shrinkToFit="1"/>
    </xf>
    <xf numFmtId="10" fontId="51" fillId="3" borderId="6" xfId="2" applyNumberFormat="1" applyFont="1" applyFill="1" applyBorder="1" applyAlignment="1">
      <alignment horizontal="center" vertical="center" wrapText="1" shrinkToFit="1"/>
    </xf>
    <xf numFmtId="3" fontId="9" fillId="3" borderId="4" xfId="0" applyNumberFormat="1" applyFont="1" applyFill="1" applyBorder="1" applyAlignment="1">
      <alignment horizontal="center" vertical="center" wrapText="1" shrinkToFit="1"/>
    </xf>
    <xf numFmtId="10" fontId="51" fillId="0" borderId="6" xfId="2" applyNumberFormat="1" applyFont="1" applyFill="1" applyBorder="1" applyAlignment="1">
      <alignment horizontal="center" vertical="center" wrapText="1" shrinkToFit="1"/>
    </xf>
    <xf numFmtId="3" fontId="9" fillId="0" borderId="4" xfId="0" applyNumberFormat="1" applyFont="1" applyBorder="1" applyAlignment="1">
      <alignment horizontal="center" vertical="center" wrapText="1" shrinkToFit="1"/>
    </xf>
    <xf numFmtId="3" fontId="20" fillId="3" borderId="5" xfId="0" applyNumberFormat="1" applyFont="1" applyFill="1" applyBorder="1" applyAlignment="1">
      <alignment horizontal="center" vertical="center" wrapText="1" shrinkToFit="1"/>
    </xf>
    <xf numFmtId="3" fontId="20" fillId="3" borderId="6" xfId="0" applyNumberFormat="1" applyFont="1" applyFill="1" applyBorder="1" applyAlignment="1">
      <alignment horizontal="center" vertical="center" wrapText="1" shrinkToFit="1"/>
    </xf>
    <xf numFmtId="232" fontId="20" fillId="0" borderId="0" xfId="0" applyNumberFormat="1" applyFont="1" applyAlignment="1">
      <alignment horizontal="center" vertical="center" wrapText="1" shrinkToFit="1"/>
    </xf>
    <xf numFmtId="3" fontId="16" fillId="2" borderId="18" xfId="0" applyNumberFormat="1" applyFont="1" applyFill="1" applyBorder="1" applyAlignment="1">
      <alignment horizontal="center" vertical="center" wrapText="1" shrinkToFit="1"/>
    </xf>
    <xf numFmtId="3" fontId="16" fillId="2" borderId="19" xfId="0" applyNumberFormat="1" applyFont="1" applyFill="1" applyBorder="1" applyAlignment="1">
      <alignment horizontal="center" vertical="center" wrapText="1" shrinkToFit="1"/>
    </xf>
    <xf numFmtId="3" fontId="20" fillId="3" borderId="21" xfId="0" applyNumberFormat="1" applyFont="1" applyFill="1" applyBorder="1" applyAlignment="1">
      <alignment horizontal="center" vertical="center" wrapText="1" shrinkToFit="1"/>
    </xf>
    <xf numFmtId="3" fontId="20" fillId="3" borderId="32" xfId="0" applyNumberFormat="1" applyFont="1" applyFill="1" applyBorder="1" applyAlignment="1">
      <alignment horizontal="center" vertical="center" wrapText="1" shrinkToFit="1"/>
    </xf>
    <xf numFmtId="3" fontId="20" fillId="0" borderId="21" xfId="0" applyNumberFormat="1" applyFont="1" applyBorder="1" applyAlignment="1">
      <alignment horizontal="center" vertical="center" wrapText="1" shrinkToFit="1"/>
    </xf>
    <xf numFmtId="3" fontId="20" fillId="0" borderId="32" xfId="0" applyNumberFormat="1" applyFont="1" applyBorder="1" applyAlignment="1">
      <alignment horizontal="center" vertical="center" wrapText="1" shrinkToFit="1"/>
    </xf>
    <xf numFmtId="3" fontId="15" fillId="2" borderId="38" xfId="0" applyNumberFormat="1" applyFont="1" applyFill="1" applyBorder="1" applyAlignment="1">
      <alignment horizontal="center" vertical="center" wrapText="1" shrinkToFit="1"/>
    </xf>
    <xf numFmtId="3" fontId="15" fillId="2" borderId="39" xfId="0" applyNumberFormat="1" applyFont="1" applyFill="1" applyBorder="1" applyAlignment="1">
      <alignment horizontal="center" vertical="center" wrapText="1" shrinkToFit="1"/>
    </xf>
    <xf numFmtId="3" fontId="16" fillId="2" borderId="21" xfId="0" applyNumberFormat="1" applyFont="1" applyFill="1" applyBorder="1" applyAlignment="1">
      <alignment horizontal="center" vertical="center" wrapText="1" shrinkToFit="1"/>
    </xf>
    <xf numFmtId="3" fontId="16" fillId="2" borderId="32" xfId="0" applyNumberFormat="1" applyFont="1" applyFill="1" applyBorder="1" applyAlignment="1">
      <alignment horizontal="center" vertical="center" wrapText="1" shrinkToFit="1"/>
    </xf>
    <xf numFmtId="38" fontId="20" fillId="3" borderId="8" xfId="0" applyNumberFormat="1" applyFont="1" applyFill="1" applyBorder="1" applyAlignment="1">
      <alignment horizontal="center" vertical="center" wrapText="1" shrinkToFit="1"/>
    </xf>
    <xf numFmtId="38" fontId="20" fillId="3" borderId="9" xfId="0" applyNumberFormat="1" applyFont="1" applyFill="1" applyBorder="1" applyAlignment="1">
      <alignment horizontal="center" vertical="center" wrapText="1" shrinkToFit="1"/>
    </xf>
    <xf numFmtId="3" fontId="9" fillId="0" borderId="5" xfId="0" applyNumberFormat="1" applyFont="1" applyBorder="1" applyAlignment="1">
      <alignment horizontal="center" vertical="center" wrapText="1" shrinkToFit="1"/>
    </xf>
    <xf numFmtId="3" fontId="9" fillId="0" borderId="6" xfId="0" applyNumberFormat="1" applyFont="1" applyBorder="1" applyAlignment="1">
      <alignment horizontal="center" vertical="center" wrapText="1" shrinkToFit="1"/>
    </xf>
    <xf numFmtId="10" fontId="51" fillId="3" borderId="9" xfId="2" applyNumberFormat="1" applyFont="1" applyFill="1" applyBorder="1" applyAlignment="1">
      <alignment horizontal="center" vertical="center" wrapText="1" shrinkToFit="1"/>
    </xf>
    <xf numFmtId="3" fontId="9" fillId="3" borderId="7" xfId="0" applyNumberFormat="1" applyFont="1" applyFill="1" applyBorder="1" applyAlignment="1">
      <alignment horizontal="center" vertical="center" wrapText="1" shrinkToFit="1"/>
    </xf>
    <xf numFmtId="3" fontId="51" fillId="0" borderId="5" xfId="0" applyNumberFormat="1" applyFont="1" applyBorder="1" applyAlignment="1">
      <alignment horizontal="center" vertical="center" wrapText="1" shrinkToFit="1"/>
    </xf>
    <xf numFmtId="3" fontId="16" fillId="2" borderId="124" xfId="0" applyNumberFormat="1" applyFont="1" applyFill="1" applyBorder="1" applyAlignment="1">
      <alignment horizontal="center" vertical="center" wrapText="1" shrinkToFit="1"/>
    </xf>
    <xf numFmtId="3" fontId="16" fillId="2" borderId="125" xfId="0" applyNumberFormat="1" applyFont="1" applyFill="1" applyBorder="1" applyAlignment="1">
      <alignment horizontal="center" vertical="center" wrapText="1" shrinkToFit="1"/>
    </xf>
    <xf numFmtId="3" fontId="16" fillId="2" borderId="126" xfId="0" applyNumberFormat="1" applyFont="1" applyFill="1" applyBorder="1" applyAlignment="1">
      <alignment horizontal="center" vertical="center" wrapText="1" shrinkToFit="1"/>
    </xf>
    <xf numFmtId="3" fontId="15" fillId="2" borderId="58" xfId="0" applyNumberFormat="1" applyFont="1" applyFill="1" applyBorder="1" applyAlignment="1">
      <alignment horizontal="center" vertical="center" wrapText="1" shrinkToFit="1"/>
    </xf>
    <xf numFmtId="3" fontId="14" fillId="0" borderId="5" xfId="0" applyNumberFormat="1" applyFont="1" applyBorder="1" applyAlignment="1">
      <alignment horizontal="center" vertical="center" wrapText="1" shrinkToFit="1"/>
    </xf>
    <xf numFmtId="3" fontId="14" fillId="0" borderId="21" xfId="0" applyNumberFormat="1" applyFont="1" applyBorder="1" applyAlignment="1">
      <alignment horizontal="center" vertical="center" wrapText="1" shrinkToFit="1"/>
    </xf>
    <xf numFmtId="9" fontId="14" fillId="3" borderId="5" xfId="2" applyFont="1" applyFill="1" applyBorder="1" applyAlignment="1">
      <alignment horizontal="center" vertical="center" wrapText="1" shrinkToFit="1"/>
    </xf>
    <xf numFmtId="9" fontId="14" fillId="3" borderId="21" xfId="2" applyFont="1" applyFill="1" applyBorder="1" applyAlignment="1">
      <alignment horizontal="center" vertical="center" wrapText="1" shrinkToFit="1"/>
    </xf>
    <xf numFmtId="10" fontId="14" fillId="3" borderId="5" xfId="2" applyNumberFormat="1" applyFont="1" applyFill="1" applyBorder="1" applyAlignment="1">
      <alignment horizontal="center" vertical="center" wrapText="1" shrinkToFit="1"/>
    </xf>
    <xf numFmtId="10" fontId="14" fillId="3" borderId="21" xfId="2" applyNumberFormat="1" applyFont="1" applyFill="1" applyBorder="1" applyAlignment="1">
      <alignment horizontal="center" vertical="center" wrapText="1" shrinkToFit="1"/>
    </xf>
    <xf numFmtId="3" fontId="52" fillId="3" borderId="5" xfId="0" applyNumberFormat="1" applyFont="1" applyFill="1" applyBorder="1" applyAlignment="1">
      <alignment horizontal="center" vertical="center" wrapText="1" shrinkToFit="1"/>
    </xf>
    <xf numFmtId="3" fontId="52" fillId="3" borderId="21" xfId="0" applyNumberFormat="1" applyFont="1" applyFill="1" applyBorder="1" applyAlignment="1">
      <alignment horizontal="center" vertical="center" wrapText="1" shrinkToFit="1"/>
    </xf>
    <xf numFmtId="9" fontId="14" fillId="0" borderId="5" xfId="2" applyFont="1" applyFill="1" applyBorder="1" applyAlignment="1">
      <alignment horizontal="center" vertical="center" wrapText="1" shrinkToFit="1"/>
    </xf>
    <xf numFmtId="9" fontId="14" fillId="0" borderId="21" xfId="2" applyFont="1" applyFill="1" applyBorder="1" applyAlignment="1">
      <alignment horizontal="center" vertical="center" wrapText="1" shrinkToFit="1"/>
    </xf>
    <xf numFmtId="10" fontId="14" fillId="0" borderId="8" xfId="2" applyNumberFormat="1" applyFont="1" applyFill="1" applyBorder="1" applyAlignment="1">
      <alignment horizontal="center" vertical="center" wrapText="1" shrinkToFit="1"/>
    </xf>
    <xf numFmtId="10" fontId="14" fillId="0" borderId="29" xfId="2" applyNumberFormat="1" applyFont="1" applyFill="1" applyBorder="1" applyAlignment="1">
      <alignment horizontal="center" vertical="center" wrapText="1" shrinkToFit="1"/>
    </xf>
    <xf numFmtId="4" fontId="14" fillId="0" borderId="5" xfId="0" applyNumberFormat="1" applyFont="1" applyBorder="1" applyAlignment="1">
      <alignment horizontal="center" vertical="center" wrapText="1" shrinkToFit="1"/>
    </xf>
    <xf numFmtId="4" fontId="14" fillId="0" borderId="21" xfId="0" applyNumberFormat="1" applyFont="1" applyBorder="1" applyAlignment="1">
      <alignment horizontal="center" vertical="center" wrapText="1" shrinkToFit="1"/>
    </xf>
    <xf numFmtId="166" fontId="53" fillId="0" borderId="5" xfId="2" applyNumberFormat="1" applyFont="1" applyFill="1" applyBorder="1" applyAlignment="1">
      <alignment horizontal="center" vertical="center" wrapText="1" shrinkToFit="1"/>
    </xf>
    <xf numFmtId="166" fontId="53" fillId="0" borderId="21" xfId="2" applyNumberFormat="1" applyFont="1" applyFill="1" applyBorder="1" applyAlignment="1">
      <alignment horizontal="center" vertical="center" wrapText="1" shrinkToFit="1"/>
    </xf>
    <xf numFmtId="3" fontId="14" fillId="0" borderId="4" xfId="0" applyNumberFormat="1" applyFont="1" applyBorder="1" applyAlignment="1">
      <alignment horizontal="center" vertical="center" wrapText="1" shrinkToFit="1"/>
    </xf>
    <xf numFmtId="9" fontId="9" fillId="0" borderId="6" xfId="2" applyFont="1" applyBorder="1" applyAlignment="1">
      <alignment horizontal="center" vertical="center" wrapText="1" shrinkToFit="1"/>
    </xf>
    <xf numFmtId="3" fontId="20" fillId="0" borderId="8" xfId="0" applyNumberFormat="1" applyFont="1" applyBorder="1" applyAlignment="1">
      <alignment horizontal="center" vertical="center" wrapText="1" shrinkToFit="1"/>
    </xf>
    <xf numFmtId="3" fontId="20" fillId="0" borderId="9" xfId="0" applyNumberFormat="1" applyFont="1" applyBorder="1" applyAlignment="1">
      <alignment horizontal="center" vertical="center" wrapText="1" shrinkToFit="1"/>
    </xf>
    <xf numFmtId="3" fontId="16" fillId="2" borderId="1" xfId="0" applyNumberFormat="1" applyFont="1" applyFill="1" applyBorder="1" applyAlignment="1">
      <alignment horizontal="center" vertical="center" wrapText="1" shrinkToFit="1"/>
    </xf>
    <xf numFmtId="3" fontId="16" fillId="2" borderId="2" xfId="0" applyNumberFormat="1" applyFont="1" applyFill="1" applyBorder="1" applyAlignment="1">
      <alignment horizontal="center" vertical="center" wrapText="1" shrinkToFit="1"/>
    </xf>
    <xf numFmtId="3" fontId="16" fillId="2" borderId="3" xfId="0" applyNumberFormat="1" applyFont="1" applyFill="1" applyBorder="1" applyAlignment="1">
      <alignment horizontal="center" vertical="center" wrapText="1" shrinkToFit="1"/>
    </xf>
    <xf numFmtId="3" fontId="9" fillId="3" borderId="8" xfId="0" applyNumberFormat="1" applyFont="1" applyFill="1" applyBorder="1" applyAlignment="1">
      <alignment horizontal="center" vertical="center" wrapText="1" shrinkToFit="1"/>
    </xf>
    <xf numFmtId="3" fontId="9" fillId="3" borderId="9" xfId="0" applyNumberFormat="1" applyFont="1" applyFill="1" applyBorder="1" applyAlignment="1">
      <alignment horizontal="center" vertical="center" wrapText="1" shrinkToFit="1"/>
    </xf>
    <xf numFmtId="10" fontId="51" fillId="0" borderId="5" xfId="0" applyNumberFormat="1" applyFont="1" applyBorder="1" applyAlignment="1">
      <alignment horizontal="center" vertical="center" wrapText="1" shrinkToFit="1"/>
    </xf>
    <xf numFmtId="10" fontId="51" fillId="0" borderId="6" xfId="0" applyNumberFormat="1" applyFont="1" applyBorder="1" applyAlignment="1">
      <alignment horizontal="center" vertical="center" wrapText="1" shrinkToFit="1"/>
    </xf>
    <xf numFmtId="10" fontId="51" fillId="3" borderId="8" xfId="0" applyNumberFormat="1" applyFont="1" applyFill="1" applyBorder="1" applyAlignment="1">
      <alignment horizontal="center" vertical="center" wrapText="1" shrinkToFit="1"/>
    </xf>
    <xf numFmtId="10" fontId="51" fillId="3" borderId="9" xfId="0" applyNumberFormat="1" applyFont="1" applyFill="1" applyBorder="1" applyAlignment="1">
      <alignment horizontal="center" vertical="center" wrapText="1" shrinkToFit="1"/>
    </xf>
    <xf numFmtId="49" fontId="9" fillId="0" borderId="4" xfId="0" applyNumberFormat="1" applyFont="1" applyBorder="1" applyAlignment="1">
      <alignment horizontal="center" vertical="center" wrapText="1" shrinkToFit="1"/>
    </xf>
    <xf numFmtId="49" fontId="9" fillId="0" borderId="5" xfId="0" applyNumberFormat="1" applyFont="1" applyBorder="1" applyAlignment="1">
      <alignment horizontal="center" vertical="center" wrapText="1" shrinkToFit="1"/>
    </xf>
    <xf numFmtId="49" fontId="9" fillId="0" borderId="67" xfId="0" applyNumberFormat="1" applyFont="1" applyBorder="1" applyAlignment="1">
      <alignment horizontal="center" vertical="center" wrapText="1" shrinkToFit="1"/>
    </xf>
    <xf numFmtId="3" fontId="16" fillId="2" borderId="1" xfId="0" applyNumberFormat="1" applyFont="1" applyFill="1" applyBorder="1" applyAlignment="1">
      <alignment horizontal="center" vertical="center" shrinkToFit="1"/>
    </xf>
    <xf numFmtId="3" fontId="16" fillId="2" borderId="2" xfId="0" applyNumberFormat="1" applyFont="1" applyFill="1" applyBorder="1" applyAlignment="1">
      <alignment horizontal="center" vertical="center" shrinkToFit="1"/>
    </xf>
    <xf numFmtId="3" fontId="16" fillId="2" borderId="3" xfId="0" applyNumberFormat="1" applyFont="1" applyFill="1" applyBorder="1" applyAlignment="1">
      <alignment horizontal="center" vertical="center" shrinkToFit="1"/>
    </xf>
    <xf numFmtId="3" fontId="20" fillId="0" borderId="67" xfId="0" applyNumberFormat="1" applyFont="1" applyBorder="1" applyAlignment="1">
      <alignment horizontal="center" vertical="center" wrapText="1" shrinkToFit="1"/>
    </xf>
    <xf numFmtId="3" fontId="54" fillId="2" borderId="34" xfId="0" applyNumberFormat="1" applyFont="1" applyFill="1" applyBorder="1" applyAlignment="1">
      <alignment horizontal="center" vertical="center" wrapText="1" shrinkToFit="1"/>
    </xf>
    <xf numFmtId="3" fontId="54" fillId="2" borderId="27" xfId="0" applyNumberFormat="1" applyFont="1" applyFill="1" applyBorder="1" applyAlignment="1">
      <alignment horizontal="center" vertical="center" wrapText="1" shrinkToFit="1"/>
    </xf>
    <xf numFmtId="3" fontId="54" fillId="2" borderId="28" xfId="0" applyNumberFormat="1" applyFont="1" applyFill="1" applyBorder="1" applyAlignment="1">
      <alignment horizontal="center" vertical="center" wrapText="1" shrinkToFit="1"/>
    </xf>
    <xf numFmtId="3" fontId="54" fillId="2" borderId="22" xfId="0" applyNumberFormat="1" applyFont="1" applyFill="1" applyBorder="1" applyAlignment="1">
      <alignment horizontal="center" vertical="center" wrapText="1" shrinkToFit="1"/>
    </xf>
    <xf numFmtId="3" fontId="54" fillId="2" borderId="34" xfId="0" applyNumberFormat="1" applyFont="1" applyFill="1" applyBorder="1" applyAlignment="1">
      <alignment horizontal="center" vertical="center" shrinkToFit="1"/>
    </xf>
    <xf numFmtId="3" fontId="54" fillId="2" borderId="27" xfId="0" applyNumberFormat="1" applyFont="1" applyFill="1" applyBorder="1" applyAlignment="1">
      <alignment horizontal="center" vertical="center" shrinkToFit="1"/>
    </xf>
    <xf numFmtId="3" fontId="54" fillId="2" borderId="28" xfId="0" applyNumberFormat="1" applyFont="1" applyFill="1" applyBorder="1" applyAlignment="1">
      <alignment horizontal="center" vertical="center" shrinkToFit="1"/>
    </xf>
    <xf numFmtId="3" fontId="54" fillId="2" borderId="22" xfId="0" applyNumberFormat="1" applyFont="1" applyFill="1" applyBorder="1" applyAlignment="1">
      <alignment horizontal="center" vertical="center" shrinkToFit="1"/>
    </xf>
    <xf numFmtId="38" fontId="20" fillId="3" borderId="32" xfId="1" applyNumberFormat="1" applyFont="1" applyFill="1" applyBorder="1" applyAlignment="1">
      <alignment horizontal="center" vertical="center" wrapText="1" shrinkToFit="1"/>
    </xf>
    <xf numFmtId="38" fontId="20" fillId="3" borderId="30" xfId="1" applyNumberFormat="1" applyFont="1" applyFill="1" applyBorder="1" applyAlignment="1">
      <alignment horizontal="center" vertical="center" wrapText="1" shrinkToFit="1"/>
    </xf>
    <xf numFmtId="38" fontId="20" fillId="3" borderId="5" xfId="1" applyNumberFormat="1" applyFont="1" applyFill="1" applyBorder="1" applyAlignment="1">
      <alignment horizontal="center" vertical="center" wrapText="1" shrinkToFit="1"/>
    </xf>
    <xf numFmtId="38" fontId="20" fillId="3" borderId="8" xfId="1" applyNumberFormat="1" applyFont="1" applyFill="1" applyBorder="1" applyAlignment="1">
      <alignment horizontal="center" vertical="center" wrapText="1" shrinkToFit="1"/>
    </xf>
    <xf numFmtId="38" fontId="20" fillId="0" borderId="2" xfId="1" applyNumberFormat="1" applyFont="1" applyFill="1" applyBorder="1" applyAlignment="1">
      <alignment horizontal="center" vertical="center" wrapText="1" shrinkToFit="1"/>
    </xf>
    <xf numFmtId="38" fontId="20" fillId="0" borderId="5" xfId="1" applyNumberFormat="1" applyFont="1" applyFill="1" applyBorder="1" applyAlignment="1">
      <alignment horizontal="center" vertical="center" wrapText="1" shrinkToFit="1"/>
    </xf>
    <xf numFmtId="3" fontId="28" fillId="0" borderId="32" xfId="0" applyNumberFormat="1" applyFont="1" applyBorder="1" applyAlignment="1">
      <alignment horizontal="center" vertical="center" wrapText="1" shrinkToFit="1"/>
    </xf>
    <xf numFmtId="3" fontId="28" fillId="0" borderId="5" xfId="0" applyNumberFormat="1" applyFont="1" applyBorder="1" applyAlignment="1">
      <alignment horizontal="center" vertical="center" wrapText="1" shrinkToFit="1"/>
    </xf>
    <xf numFmtId="10" fontId="51" fillId="3" borderId="5" xfId="2" applyNumberFormat="1" applyFont="1" applyFill="1" applyBorder="1" applyAlignment="1">
      <alignment horizontal="center" vertical="center" wrapText="1" shrinkToFit="1"/>
    </xf>
    <xf numFmtId="3" fontId="15" fillId="2" borderId="1" xfId="0" applyNumberFormat="1" applyFont="1" applyFill="1" applyBorder="1" applyAlignment="1">
      <alignment horizontal="center" vertical="center" shrinkToFit="1" readingOrder="2"/>
    </xf>
    <xf numFmtId="3" fontId="15" fillId="2" borderId="2" xfId="0" applyNumberFormat="1" applyFont="1" applyFill="1" applyBorder="1" applyAlignment="1">
      <alignment horizontal="center" vertical="center" shrinkToFit="1" readingOrder="2"/>
    </xf>
    <xf numFmtId="3" fontId="15" fillId="2" borderId="3" xfId="0" applyNumberFormat="1" applyFont="1" applyFill="1" applyBorder="1" applyAlignment="1">
      <alignment horizontal="center" vertical="center" shrinkToFit="1" readingOrder="2"/>
    </xf>
    <xf numFmtId="3" fontId="20" fillId="0" borderId="1" xfId="0" applyNumberFormat="1" applyFont="1" applyBorder="1" applyAlignment="1">
      <alignment horizontal="center" vertical="center" wrapText="1" shrinkToFit="1"/>
    </xf>
    <xf numFmtId="3" fontId="20" fillId="0" borderId="2" xfId="0" applyNumberFormat="1" applyFont="1" applyBorder="1" applyAlignment="1">
      <alignment horizontal="center" vertical="center" wrapText="1" shrinkToFit="1"/>
    </xf>
    <xf numFmtId="38" fontId="20" fillId="0" borderId="53" xfId="1" applyNumberFormat="1" applyFont="1" applyFill="1" applyBorder="1" applyAlignment="1">
      <alignment horizontal="center" vertical="center" wrapText="1" shrinkToFit="1"/>
    </xf>
    <xf numFmtId="38" fontId="20" fillId="0" borderId="32" xfId="1" applyNumberFormat="1" applyFont="1" applyFill="1" applyBorder="1" applyAlignment="1">
      <alignment horizontal="center" vertical="center" wrapText="1" shrinkToFit="1"/>
    </xf>
    <xf numFmtId="10" fontId="20" fillId="3" borderId="5" xfId="0" applyNumberFormat="1" applyFont="1" applyFill="1" applyBorder="1" applyAlignment="1">
      <alignment horizontal="center" vertical="center" wrapText="1" shrinkToFit="1"/>
    </xf>
    <xf numFmtId="38" fontId="20" fillId="0" borderId="13" xfId="1" applyNumberFormat="1" applyFont="1" applyFill="1" applyBorder="1" applyAlignment="1">
      <alignment horizontal="center" vertical="center" wrapText="1" shrinkToFit="1"/>
    </xf>
    <xf numFmtId="38" fontId="20" fillId="0" borderId="15" xfId="1" applyNumberFormat="1" applyFont="1" applyFill="1" applyBorder="1" applyAlignment="1">
      <alignment horizontal="center" vertical="center" wrapText="1" shrinkToFit="1"/>
    </xf>
    <xf numFmtId="9" fontId="20" fillId="3" borderId="13" xfId="2" applyFont="1" applyFill="1" applyBorder="1" applyAlignment="1">
      <alignment horizontal="center" vertical="center" wrapText="1" shrinkToFit="1"/>
    </xf>
    <xf numFmtId="9" fontId="20" fillId="3" borderId="15" xfId="2" applyFont="1" applyFill="1" applyBorder="1" applyAlignment="1">
      <alignment horizontal="center" vertical="center" wrapText="1" shrinkToFit="1"/>
    </xf>
    <xf numFmtId="38" fontId="20" fillId="3" borderId="13" xfId="1" applyNumberFormat="1" applyFont="1" applyFill="1" applyBorder="1" applyAlignment="1">
      <alignment horizontal="center" vertical="center" wrapText="1" shrinkToFit="1"/>
    </xf>
    <xf numFmtId="38" fontId="20" fillId="3" borderId="15" xfId="1" applyNumberFormat="1" applyFont="1" applyFill="1" applyBorder="1" applyAlignment="1">
      <alignment horizontal="center" vertical="center" wrapText="1" shrinkToFit="1"/>
    </xf>
    <xf numFmtId="9" fontId="20" fillId="0" borderId="13" xfId="2" applyFont="1" applyFill="1" applyBorder="1" applyAlignment="1">
      <alignment horizontal="center" vertical="center" wrapText="1" shrinkToFit="1"/>
    </xf>
    <xf numFmtId="9" fontId="20" fillId="0" borderId="15" xfId="2" applyFont="1" applyFill="1" applyBorder="1" applyAlignment="1">
      <alignment horizontal="center" vertical="center" wrapText="1" shrinkToFit="1"/>
    </xf>
    <xf numFmtId="38" fontId="20" fillId="0" borderId="8" xfId="1" applyNumberFormat="1" applyFont="1" applyFill="1" applyBorder="1" applyAlignment="1">
      <alignment horizontal="center" vertical="center" wrapText="1" shrinkToFit="1"/>
    </xf>
    <xf numFmtId="38" fontId="20" fillId="0" borderId="17" xfId="1" applyNumberFormat="1" applyFont="1" applyFill="1" applyBorder="1" applyAlignment="1">
      <alignment horizontal="center" vertical="center" wrapText="1" shrinkToFit="1"/>
    </xf>
    <xf numFmtId="38" fontId="20" fillId="0" borderId="19" xfId="1" applyNumberFormat="1" applyFont="1" applyFill="1" applyBorder="1" applyAlignment="1">
      <alignment horizontal="center" vertical="center" wrapText="1" shrinkToFit="1"/>
    </xf>
    <xf numFmtId="3" fontId="20" fillId="4" borderId="13" xfId="0" applyNumberFormat="1" applyFont="1" applyFill="1" applyBorder="1" applyAlignment="1">
      <alignment horizontal="center" vertical="center" wrapText="1" shrinkToFit="1"/>
    </xf>
    <xf numFmtId="3" fontId="20" fillId="4" borderId="15" xfId="0" applyNumberFormat="1" applyFont="1" applyFill="1" applyBorder="1" applyAlignment="1">
      <alignment horizontal="center" vertical="center" wrapText="1" shrinkToFit="1"/>
    </xf>
    <xf numFmtId="3" fontId="20" fillId="4" borderId="17" xfId="0" applyNumberFormat="1" applyFont="1" applyFill="1" applyBorder="1" applyAlignment="1">
      <alignment horizontal="center" vertical="center" wrapText="1" shrinkToFit="1"/>
    </xf>
    <xf numFmtId="3" fontId="20" fillId="4" borderId="19" xfId="0" applyNumberFormat="1" applyFont="1" applyFill="1" applyBorder="1" applyAlignment="1">
      <alignment horizontal="center" vertical="center" wrapText="1" shrinkToFit="1"/>
    </xf>
    <xf numFmtId="38" fontId="20" fillId="0" borderId="6" xfId="1" applyNumberFormat="1" applyFont="1" applyFill="1" applyBorder="1" applyAlignment="1">
      <alignment horizontal="center" vertical="center" wrapText="1" shrinkToFit="1"/>
    </xf>
    <xf numFmtId="38" fontId="20" fillId="0" borderId="9" xfId="1" applyNumberFormat="1" applyFont="1" applyFill="1" applyBorder="1" applyAlignment="1">
      <alignment horizontal="center" vertical="center" wrapText="1" shrinkToFit="1"/>
    </xf>
    <xf numFmtId="9" fontId="20" fillId="0" borderId="17" xfId="2" applyFont="1" applyFill="1" applyBorder="1" applyAlignment="1">
      <alignment horizontal="center" vertical="center" wrapText="1" shrinkToFit="1"/>
    </xf>
    <xf numFmtId="9" fontId="20" fillId="0" borderId="19" xfId="2" applyFont="1" applyFill="1" applyBorder="1" applyAlignment="1">
      <alignment horizontal="center" vertical="center" wrapText="1" shrinkToFit="1"/>
    </xf>
    <xf numFmtId="38" fontId="20" fillId="3" borderId="17" xfId="1" applyNumberFormat="1" applyFont="1" applyFill="1" applyBorder="1" applyAlignment="1">
      <alignment horizontal="center" vertical="center" wrapText="1" shrinkToFit="1"/>
    </xf>
    <xf numFmtId="38" fontId="20" fillId="3" borderId="19" xfId="1" applyNumberFormat="1" applyFont="1" applyFill="1" applyBorder="1" applyAlignment="1">
      <alignment horizontal="center" vertical="center" wrapText="1" shrinkToFit="1"/>
    </xf>
    <xf numFmtId="9" fontId="20" fillId="3" borderId="17" xfId="2" applyFont="1" applyFill="1" applyBorder="1" applyAlignment="1">
      <alignment horizontal="center" vertical="center" wrapText="1" shrinkToFit="1"/>
    </xf>
    <xf numFmtId="9" fontId="20" fillId="3" borderId="19" xfId="2" applyFont="1" applyFill="1" applyBorder="1" applyAlignment="1">
      <alignment horizontal="center" vertical="center" wrapText="1" shrinkToFit="1"/>
    </xf>
    <xf numFmtId="38" fontId="20" fillId="3" borderId="6" xfId="1" applyNumberFormat="1" applyFont="1" applyFill="1" applyBorder="1" applyAlignment="1">
      <alignment horizontal="center" vertical="center" wrapText="1" shrinkToFit="1"/>
    </xf>
    <xf numFmtId="10" fontId="9" fillId="0" borderId="6" xfId="2" applyNumberFormat="1" applyFont="1" applyFill="1" applyBorder="1" applyAlignment="1">
      <alignment horizontal="center" vertical="center" wrapText="1" shrinkToFit="1"/>
    </xf>
    <xf numFmtId="10" fontId="9" fillId="0" borderId="5" xfId="2" applyNumberFormat="1" applyFont="1" applyFill="1" applyBorder="1" applyAlignment="1">
      <alignment horizontal="center" vertical="center" wrapText="1" shrinkToFit="1"/>
    </xf>
    <xf numFmtId="3" fontId="28" fillId="0" borderId="6" xfId="0" applyNumberFormat="1" applyFont="1" applyBorder="1" applyAlignment="1">
      <alignment horizontal="center" vertical="center" wrapText="1" shrinkToFit="1"/>
    </xf>
    <xf numFmtId="38" fontId="20" fillId="3" borderId="9" xfId="1" applyNumberFormat="1" applyFont="1" applyFill="1" applyBorder="1" applyAlignment="1">
      <alignment horizontal="center" vertical="center" wrapText="1" shrinkToFit="1"/>
    </xf>
    <xf numFmtId="10" fontId="20" fillId="3" borderId="6" xfId="0" applyNumberFormat="1" applyFont="1" applyFill="1" applyBorder="1" applyAlignment="1">
      <alignment horizontal="center" vertical="center" wrapText="1" shrinkToFit="1"/>
    </xf>
    <xf numFmtId="38" fontId="20" fillId="0" borderId="3" xfId="1" applyNumberFormat="1" applyFont="1" applyFill="1" applyBorder="1" applyAlignment="1">
      <alignment horizontal="center" vertical="center" wrapText="1" shrinkToFit="1"/>
    </xf>
    <xf numFmtId="3" fontId="9" fillId="0" borderId="32" xfId="0" applyNumberFormat="1" applyFont="1" applyBorder="1" applyAlignment="1">
      <alignment horizontal="center" vertical="center" wrapText="1" shrinkToFit="1"/>
    </xf>
    <xf numFmtId="49" fontId="9" fillId="3" borderId="4" xfId="0" applyNumberFormat="1" applyFont="1" applyFill="1" applyBorder="1" applyAlignment="1">
      <alignment horizontal="center" vertical="center" wrapText="1" shrinkToFit="1"/>
    </xf>
    <xf numFmtId="49" fontId="9" fillId="3" borderId="5" xfId="0" applyNumberFormat="1" applyFont="1" applyFill="1" applyBorder="1" applyAlignment="1">
      <alignment horizontal="center" vertical="center" wrapText="1" shrinkToFit="1"/>
    </xf>
    <xf numFmtId="49" fontId="9" fillId="3" borderId="67" xfId="0" applyNumberFormat="1" applyFont="1" applyFill="1" applyBorder="1" applyAlignment="1">
      <alignment horizontal="center" vertical="center" wrapText="1" shrinkToFit="1"/>
    </xf>
    <xf numFmtId="49" fontId="9" fillId="0" borderId="4" xfId="2" applyNumberFormat="1" applyFont="1" applyFill="1" applyBorder="1" applyAlignment="1">
      <alignment horizontal="center" vertical="center" wrapText="1" shrinkToFit="1"/>
    </xf>
    <xf numFmtId="49" fontId="9" fillId="0" borderId="5" xfId="2" applyNumberFormat="1" applyFont="1" applyFill="1" applyBorder="1" applyAlignment="1">
      <alignment horizontal="center" vertical="center" wrapText="1" shrinkToFit="1"/>
    </xf>
    <xf numFmtId="49" fontId="9" fillId="0" borderId="67" xfId="2" applyNumberFormat="1" applyFont="1" applyFill="1" applyBorder="1" applyAlignment="1">
      <alignment horizontal="center" vertical="center" wrapText="1" shrinkToFit="1"/>
    </xf>
    <xf numFmtId="3" fontId="20" fillId="4" borderId="62" xfId="0" applyNumberFormat="1" applyFont="1" applyFill="1" applyBorder="1" applyAlignment="1">
      <alignment horizontal="center" vertical="center" wrapText="1" shrinkToFit="1"/>
    </xf>
    <xf numFmtId="3" fontId="20" fillId="4" borderId="33" xfId="0" applyNumberFormat="1" applyFont="1" applyFill="1" applyBorder="1" applyAlignment="1">
      <alignment horizontal="center" vertical="center" wrapText="1" shrinkToFit="1"/>
    </xf>
    <xf numFmtId="38" fontId="20" fillId="0" borderId="30" xfId="1" applyNumberFormat="1" applyFont="1" applyFill="1" applyBorder="1" applyAlignment="1">
      <alignment horizontal="center" vertical="center" wrapText="1" shrinkToFit="1"/>
    </xf>
    <xf numFmtId="49" fontId="9" fillId="0" borderId="7" xfId="0" applyNumberFormat="1" applyFont="1" applyBorder="1" applyAlignment="1">
      <alignment horizontal="center" vertical="center" wrapText="1" shrinkToFit="1"/>
    </xf>
    <xf numFmtId="49" fontId="9" fillId="0" borderId="8" xfId="0" applyNumberFormat="1" applyFont="1" applyBorder="1" applyAlignment="1">
      <alignment horizontal="center" vertical="center" wrapText="1" shrinkToFit="1"/>
    </xf>
    <xf numFmtId="49" fontId="9" fillId="0" borderId="66" xfId="0" applyNumberFormat="1" applyFont="1" applyBorder="1" applyAlignment="1">
      <alignment horizontal="center" vertical="center" wrapText="1" shrinkToFit="1"/>
    </xf>
    <xf numFmtId="3" fontId="9" fillId="0" borderId="70" xfId="0" applyNumberFormat="1" applyFont="1" applyBorder="1" applyAlignment="1">
      <alignment horizontal="center" vertical="center" wrapText="1" shrinkToFit="1"/>
    </xf>
    <xf numFmtId="3" fontId="9" fillId="0" borderId="68" xfId="0" applyNumberFormat="1" applyFont="1" applyBorder="1" applyAlignment="1">
      <alignment horizontal="center" vertical="center" wrapText="1" shrinkToFit="1"/>
    </xf>
    <xf numFmtId="49" fontId="20" fillId="4" borderId="61" xfId="0" applyNumberFormat="1" applyFont="1" applyFill="1" applyBorder="1" applyAlignment="1">
      <alignment horizontal="center" vertical="center" wrapText="1" shrinkToFit="1"/>
    </xf>
    <xf numFmtId="49" fontId="20" fillId="4" borderId="62" xfId="0" applyNumberFormat="1" applyFont="1" applyFill="1" applyBorder="1" applyAlignment="1">
      <alignment horizontal="center" vertical="center" wrapText="1" shrinkToFit="1"/>
    </xf>
    <xf numFmtId="49" fontId="20" fillId="4" borderId="28" xfId="0" applyNumberFormat="1" applyFont="1" applyFill="1" applyBorder="1" applyAlignment="1">
      <alignment horizontal="center" vertical="center" wrapText="1" shrinkToFit="1"/>
    </xf>
    <xf numFmtId="49" fontId="20" fillId="4" borderId="33" xfId="0" applyNumberFormat="1" applyFont="1" applyFill="1" applyBorder="1" applyAlignment="1">
      <alignment horizontal="center" vertical="center" wrapText="1" shrinkToFit="1"/>
    </xf>
    <xf numFmtId="0" fontId="48" fillId="4" borderId="13" xfId="0" applyFont="1" applyFill="1" applyBorder="1" applyAlignment="1">
      <alignment horizontal="center" vertical="center" wrapText="1" shrinkToFit="1"/>
    </xf>
    <xf numFmtId="0" fontId="48" fillId="4" borderId="15" xfId="0" applyFont="1" applyFill="1" applyBorder="1" applyAlignment="1">
      <alignment horizontal="center" vertical="center" wrapText="1" shrinkToFit="1"/>
    </xf>
    <xf numFmtId="38" fontId="24" fillId="3" borderId="70" xfId="1" applyNumberFormat="1" applyFont="1" applyFill="1" applyBorder="1" applyAlignment="1">
      <alignment horizontal="center" vertical="center" wrapText="1" shrinkToFit="1"/>
    </xf>
    <xf numFmtId="38" fontId="24" fillId="3" borderId="68" xfId="1" applyNumberFormat="1" applyFont="1" applyFill="1" applyBorder="1" applyAlignment="1">
      <alignment horizontal="center" vertical="center" wrapText="1" shrinkToFit="1"/>
    </xf>
    <xf numFmtId="49" fontId="9" fillId="0" borderId="61" xfId="0" applyNumberFormat="1" applyFont="1" applyBorder="1" applyAlignment="1">
      <alignment horizontal="center" vertical="center" wrapText="1" shrinkToFit="1"/>
    </xf>
    <xf numFmtId="49" fontId="9" fillId="0" borderId="62" xfId="0" applyNumberFormat="1" applyFont="1" applyBorder="1" applyAlignment="1">
      <alignment horizontal="center" vertical="center" wrapText="1" shrinkToFit="1"/>
    </xf>
    <xf numFmtId="49" fontId="9" fillId="0" borderId="28" xfId="0" applyNumberFormat="1" applyFont="1" applyBorder="1" applyAlignment="1">
      <alignment horizontal="center" vertical="center" wrapText="1" shrinkToFit="1"/>
    </xf>
    <xf numFmtId="49" fontId="9" fillId="0" borderId="33" xfId="0" applyNumberFormat="1" applyFont="1" applyBorder="1" applyAlignment="1">
      <alignment horizontal="center" vertical="center" wrapText="1" shrinkToFit="1"/>
    </xf>
    <xf numFmtId="0" fontId="48" fillId="0" borderId="13" xfId="0" applyFont="1" applyBorder="1" applyAlignment="1">
      <alignment horizontal="center" vertical="center" wrapText="1" shrinkToFit="1"/>
    </xf>
    <xf numFmtId="0" fontId="48" fillId="0" borderId="15" xfId="0" applyFont="1" applyBorder="1" applyAlignment="1">
      <alignment horizontal="center" vertical="center" wrapText="1" shrinkToFit="1"/>
    </xf>
    <xf numFmtId="38" fontId="20" fillId="0" borderId="62" xfId="1" applyNumberFormat="1" applyFont="1" applyFill="1" applyBorder="1" applyAlignment="1">
      <alignment horizontal="center" vertical="center" wrapText="1" shrinkToFit="1"/>
    </xf>
    <xf numFmtId="38" fontId="20" fillId="0" borderId="33" xfId="1" applyNumberFormat="1" applyFont="1" applyFill="1" applyBorder="1" applyAlignment="1">
      <alignment horizontal="center" vertical="center" wrapText="1" shrinkToFit="1"/>
    </xf>
    <xf numFmtId="180" fontId="20" fillId="0" borderId="61" xfId="0" applyNumberFormat="1" applyFont="1" applyBorder="1" applyAlignment="1">
      <alignment horizontal="center" vertical="center" wrapText="1" shrinkToFit="1"/>
    </xf>
    <xf numFmtId="180" fontId="20" fillId="0" borderId="62" xfId="0" applyNumberFormat="1" applyFont="1" applyBorder="1" applyAlignment="1">
      <alignment horizontal="center" vertical="center" wrapText="1" shrinkToFit="1"/>
    </xf>
    <xf numFmtId="180" fontId="20" fillId="0" borderId="28" xfId="0" applyNumberFormat="1" applyFont="1" applyBorder="1" applyAlignment="1">
      <alignment horizontal="center" vertical="center" wrapText="1" shrinkToFit="1"/>
    </xf>
    <xf numFmtId="180" fontId="20" fillId="0" borderId="33" xfId="0" applyNumberFormat="1" applyFont="1" applyBorder="1" applyAlignment="1">
      <alignment horizontal="center" vertical="center" wrapText="1" shrinkToFit="1"/>
    </xf>
    <xf numFmtId="49" fontId="20" fillId="3" borderId="61" xfId="0" applyNumberFormat="1" applyFont="1" applyFill="1" applyBorder="1" applyAlignment="1">
      <alignment horizontal="center" vertical="center" wrapText="1" shrinkToFit="1"/>
    </xf>
    <xf numFmtId="49" fontId="20" fillId="3" borderId="62" xfId="0" applyNumberFormat="1" applyFont="1" applyFill="1" applyBorder="1" applyAlignment="1">
      <alignment horizontal="center" vertical="center" wrapText="1" shrinkToFit="1"/>
    </xf>
    <xf numFmtId="49" fontId="20" fillId="3" borderId="28" xfId="0" applyNumberFormat="1" applyFont="1" applyFill="1" applyBorder="1" applyAlignment="1">
      <alignment horizontal="center" vertical="center" wrapText="1" shrinkToFit="1"/>
    </xf>
    <xf numFmtId="49" fontId="20" fillId="3" borderId="33" xfId="0" applyNumberFormat="1" applyFont="1" applyFill="1" applyBorder="1" applyAlignment="1">
      <alignment horizontal="center" vertical="center" wrapText="1" shrinkToFit="1"/>
    </xf>
    <xf numFmtId="9" fontId="20" fillId="3" borderId="70" xfId="2" applyFont="1" applyFill="1" applyBorder="1" applyAlignment="1">
      <alignment horizontal="center" vertical="center" wrapText="1" shrinkToFit="1"/>
    </xf>
    <xf numFmtId="9" fontId="20" fillId="3" borderId="68" xfId="2" applyFont="1" applyFill="1" applyBorder="1" applyAlignment="1">
      <alignment horizontal="center" vertical="center" wrapText="1" shrinkToFit="1"/>
    </xf>
    <xf numFmtId="0" fontId="48" fillId="3" borderId="13" xfId="0" applyFont="1" applyFill="1" applyBorder="1" applyAlignment="1">
      <alignment horizontal="center" vertical="center" wrapText="1" shrinkToFit="1"/>
    </xf>
    <xf numFmtId="0" fontId="48" fillId="3" borderId="15" xfId="0" applyFont="1" applyFill="1" applyBorder="1" applyAlignment="1">
      <alignment horizontal="center" vertical="center" wrapText="1" shrinkToFit="1"/>
    </xf>
    <xf numFmtId="38" fontId="20" fillId="3" borderId="70" xfId="1" applyNumberFormat="1" applyFont="1" applyFill="1" applyBorder="1" applyAlignment="1">
      <alignment horizontal="center" vertical="center" wrapText="1" shrinkToFit="1"/>
    </xf>
    <xf numFmtId="38" fontId="20" fillId="3" borderId="68" xfId="1" applyNumberFormat="1" applyFont="1" applyFill="1" applyBorder="1" applyAlignment="1">
      <alignment horizontal="center" vertical="center" wrapText="1" shrinkToFit="1"/>
    </xf>
    <xf numFmtId="38" fontId="20" fillId="4" borderId="70" xfId="1" applyNumberFormat="1" applyFont="1" applyFill="1" applyBorder="1" applyAlignment="1">
      <alignment horizontal="center" vertical="center" wrapText="1" shrinkToFit="1"/>
    </xf>
    <xf numFmtId="38" fontId="20" fillId="4" borderId="68" xfId="1" applyNumberFormat="1" applyFont="1" applyFill="1" applyBorder="1" applyAlignment="1">
      <alignment horizontal="center" vertical="center" wrapText="1" shrinkToFit="1"/>
    </xf>
    <xf numFmtId="38" fontId="20" fillId="3" borderId="62" xfId="1" applyNumberFormat="1" applyFont="1" applyFill="1" applyBorder="1" applyAlignment="1">
      <alignment horizontal="center" vertical="center" wrapText="1" shrinkToFit="1"/>
    </xf>
    <xf numFmtId="38" fontId="20" fillId="3" borderId="33" xfId="1" applyNumberFormat="1" applyFont="1" applyFill="1" applyBorder="1" applyAlignment="1">
      <alignment horizontal="center" vertical="center" wrapText="1" shrinkToFit="1"/>
    </xf>
    <xf numFmtId="9" fontId="20" fillId="0" borderId="62" xfId="2" applyFont="1" applyFill="1" applyBorder="1" applyAlignment="1">
      <alignment horizontal="center" vertical="center" wrapText="1" shrinkToFit="1"/>
    </xf>
    <xf numFmtId="9" fontId="20" fillId="0" borderId="33" xfId="2" applyFont="1" applyFill="1" applyBorder="1" applyAlignment="1">
      <alignment horizontal="center" vertical="center" wrapText="1" shrinkToFit="1"/>
    </xf>
    <xf numFmtId="9" fontId="20" fillId="3" borderId="62" xfId="2" applyFont="1" applyFill="1" applyBorder="1" applyAlignment="1">
      <alignment horizontal="center" vertical="center" wrapText="1" shrinkToFit="1"/>
    </xf>
    <xf numFmtId="9" fontId="20" fillId="3" borderId="33" xfId="2" applyFont="1" applyFill="1" applyBorder="1" applyAlignment="1">
      <alignment horizontal="center" vertical="center" wrapText="1" shrinkToFit="1"/>
    </xf>
    <xf numFmtId="38" fontId="51" fillId="0" borderId="13" xfId="1" applyNumberFormat="1" applyFont="1" applyFill="1" applyBorder="1" applyAlignment="1">
      <alignment horizontal="center" vertical="center" wrapText="1" shrinkToFit="1"/>
    </xf>
    <xf numFmtId="38" fontId="51" fillId="0" borderId="63" xfId="1" applyNumberFormat="1" applyFont="1" applyFill="1" applyBorder="1" applyAlignment="1">
      <alignment horizontal="center" vertical="center" wrapText="1" shrinkToFit="1"/>
    </xf>
    <xf numFmtId="38" fontId="51" fillId="0" borderId="62" xfId="1" applyNumberFormat="1" applyFont="1" applyFill="1" applyBorder="1" applyAlignment="1">
      <alignment horizontal="center" vertical="center" wrapText="1" shrinkToFit="1"/>
    </xf>
    <xf numFmtId="38" fontId="51" fillId="0" borderId="64" xfId="1" applyNumberFormat="1" applyFont="1" applyFill="1" applyBorder="1" applyAlignment="1">
      <alignment horizontal="center" vertical="center" wrapText="1" shrinkToFit="1"/>
    </xf>
    <xf numFmtId="49" fontId="20" fillId="0" borderId="61" xfId="0" applyNumberFormat="1" applyFont="1" applyBorder="1" applyAlignment="1">
      <alignment horizontal="center" vertical="center" wrapText="1" shrinkToFit="1"/>
    </xf>
    <xf numFmtId="49" fontId="20" fillId="0" borderId="62" xfId="0" applyNumberFormat="1" applyFont="1" applyBorder="1" applyAlignment="1">
      <alignment horizontal="center" vertical="center" wrapText="1" shrinkToFit="1"/>
    </xf>
    <xf numFmtId="49" fontId="20" fillId="0" borderId="28" xfId="0" applyNumberFormat="1" applyFont="1" applyBorder="1" applyAlignment="1">
      <alignment horizontal="center" vertical="center" wrapText="1" shrinkToFit="1"/>
    </xf>
    <xf numFmtId="49" fontId="20" fillId="0" borderId="33" xfId="0" applyNumberFormat="1" applyFont="1" applyBorder="1" applyAlignment="1">
      <alignment horizontal="center" vertical="center" wrapText="1" shrinkToFit="1"/>
    </xf>
    <xf numFmtId="3" fontId="24" fillId="3" borderId="70" xfId="1" applyNumberFormat="1" applyFont="1" applyFill="1" applyBorder="1" applyAlignment="1">
      <alignment horizontal="center" vertical="center" wrapText="1" shrinkToFit="1"/>
    </xf>
    <xf numFmtId="3" fontId="24" fillId="3" borderId="68" xfId="1" applyNumberFormat="1" applyFont="1" applyFill="1" applyBorder="1" applyAlignment="1">
      <alignment horizontal="center" vertical="center" wrapText="1" shrinkToFit="1"/>
    </xf>
    <xf numFmtId="49" fontId="9" fillId="3" borderId="61" xfId="0" applyNumberFormat="1" applyFont="1" applyFill="1" applyBorder="1" applyAlignment="1">
      <alignment horizontal="center" vertical="center" wrapText="1" shrinkToFit="1"/>
    </xf>
    <xf numFmtId="49" fontId="9" fillId="3" borderId="62" xfId="0" applyNumberFormat="1" applyFont="1" applyFill="1" applyBorder="1" applyAlignment="1">
      <alignment horizontal="center" vertical="center" wrapText="1" shrinkToFit="1"/>
    </xf>
    <xf numFmtId="49" fontId="9" fillId="3" borderId="28" xfId="0" applyNumberFormat="1" applyFont="1" applyFill="1" applyBorder="1" applyAlignment="1">
      <alignment horizontal="center" vertical="center" wrapText="1" shrinkToFit="1"/>
    </xf>
    <xf numFmtId="49" fontId="9" fillId="3" borderId="33" xfId="0" applyNumberFormat="1" applyFont="1" applyFill="1" applyBorder="1" applyAlignment="1">
      <alignment horizontal="center" vertical="center" wrapText="1" shrinkToFit="1"/>
    </xf>
    <xf numFmtId="49" fontId="9" fillId="0" borderId="40" xfId="0" applyNumberFormat="1" applyFont="1" applyBorder="1" applyAlignment="1">
      <alignment horizontal="center" vertical="center" wrapText="1" shrinkToFit="1"/>
    </xf>
    <xf numFmtId="49" fontId="9" fillId="0" borderId="64" xfId="0" applyNumberFormat="1" applyFont="1" applyBorder="1" applyAlignment="1">
      <alignment horizontal="center" vertical="center" wrapText="1" shrinkToFit="1"/>
    </xf>
    <xf numFmtId="0" fontId="48" fillId="0" borderId="63" xfId="0" applyFont="1" applyBorder="1" applyAlignment="1">
      <alignment horizontal="center" vertical="center" wrapText="1" shrinkToFit="1"/>
    </xf>
    <xf numFmtId="38" fontId="20" fillId="3" borderId="71" xfId="1" applyNumberFormat="1" applyFont="1" applyFill="1" applyBorder="1" applyAlignment="1">
      <alignment horizontal="center" vertical="center" wrapText="1" shrinkToFit="1"/>
    </xf>
    <xf numFmtId="38" fontId="51" fillId="0" borderId="17" xfId="1" applyNumberFormat="1" applyFont="1" applyFill="1" applyBorder="1" applyAlignment="1">
      <alignment horizontal="center" vertical="center" wrapText="1" shrinkToFit="1"/>
    </xf>
    <xf numFmtId="38" fontId="51" fillId="0" borderId="65" xfId="1" applyNumberFormat="1" applyFont="1" applyFill="1" applyBorder="1" applyAlignment="1">
      <alignment horizontal="center" vertical="center" wrapText="1" shrinkToFit="1"/>
    </xf>
    <xf numFmtId="3" fontId="59" fillId="2" borderId="3" xfId="0" applyNumberFormat="1" applyFont="1" applyFill="1" applyBorder="1" applyAlignment="1">
      <alignment horizontal="center" vertical="center" wrapText="1" shrinkToFit="1"/>
    </xf>
    <xf numFmtId="3" fontId="59" fillId="2" borderId="6" xfId="0" applyNumberFormat="1" applyFont="1" applyFill="1" applyBorder="1" applyAlignment="1">
      <alignment horizontal="center" vertical="center" wrapText="1" shrinkToFit="1"/>
    </xf>
    <xf numFmtId="3" fontId="20" fillId="4" borderId="21" xfId="0" applyNumberFormat="1" applyFont="1" applyFill="1" applyBorder="1" applyAlignment="1">
      <alignment horizontal="center" vertical="center" wrapText="1" shrinkToFit="1"/>
    </xf>
    <xf numFmtId="3" fontId="20" fillId="4" borderId="115" xfId="0" applyNumberFormat="1" applyFont="1" applyFill="1" applyBorder="1" applyAlignment="1">
      <alignment horizontal="center" vertical="center" wrapText="1" shrinkToFit="1"/>
    </xf>
    <xf numFmtId="49" fontId="20" fillId="3" borderId="4" xfId="0" applyNumberFormat="1" applyFont="1" applyFill="1" applyBorder="1" applyAlignment="1">
      <alignment horizontal="center" vertical="center" wrapText="1" shrinkToFit="1"/>
    </xf>
    <xf numFmtId="49" fontId="20" fillId="3" borderId="5" xfId="0" applyNumberFormat="1" applyFont="1" applyFill="1" applyBorder="1" applyAlignment="1">
      <alignment horizontal="center" vertical="center" wrapText="1" shrinkToFit="1"/>
    </xf>
    <xf numFmtId="49" fontId="20" fillId="3" borderId="67" xfId="0" applyNumberFormat="1" applyFont="1" applyFill="1" applyBorder="1" applyAlignment="1">
      <alignment horizontal="center" vertical="center" wrapText="1" shrinkToFit="1"/>
    </xf>
    <xf numFmtId="10" fontId="20" fillId="3" borderId="32" xfId="0" applyNumberFormat="1" applyFont="1" applyFill="1" applyBorder="1" applyAlignment="1">
      <alignment horizontal="center" vertical="center" wrapText="1" shrinkToFit="1"/>
    </xf>
    <xf numFmtId="10" fontId="9" fillId="0" borderId="32" xfId="2" applyNumberFormat="1" applyFont="1" applyFill="1" applyBorder="1" applyAlignment="1">
      <alignment horizontal="center" vertical="center" wrapText="1" shrinkToFit="1"/>
    </xf>
    <xf numFmtId="3" fontId="24" fillId="0" borderId="5" xfId="0" applyNumberFormat="1" applyFont="1" applyBorder="1" applyAlignment="1">
      <alignment horizontal="center" vertical="center" wrapText="1" shrinkToFit="1"/>
    </xf>
    <xf numFmtId="3" fontId="24" fillId="0" borderId="6" xfId="0" applyNumberFormat="1" applyFont="1" applyBorder="1" applyAlignment="1">
      <alignment horizontal="center" vertical="center" wrapText="1" shrinkToFit="1"/>
    </xf>
    <xf numFmtId="3" fontId="20" fillId="3" borderId="4" xfId="0" applyNumberFormat="1" applyFont="1" applyFill="1" applyBorder="1" applyAlignment="1">
      <alignment horizontal="center" vertical="center" wrapText="1" shrinkToFit="1"/>
    </xf>
    <xf numFmtId="3" fontId="20" fillId="3" borderId="67" xfId="0" applyNumberFormat="1" applyFont="1" applyFill="1" applyBorder="1" applyAlignment="1">
      <alignment horizontal="center" vertical="center" wrapText="1" shrinkToFit="1"/>
    </xf>
    <xf numFmtId="0" fontId="16" fillId="2" borderId="1" xfId="0" applyFont="1" applyFill="1" applyBorder="1" applyAlignment="1">
      <alignment horizontal="center" vertical="center" wrapText="1" shrinkToFit="1"/>
    </xf>
    <xf numFmtId="0" fontId="16" fillId="2" borderId="2" xfId="0" applyFont="1" applyFill="1" applyBorder="1" applyAlignment="1">
      <alignment horizontal="center" vertical="center" wrapText="1" shrinkToFit="1"/>
    </xf>
    <xf numFmtId="0" fontId="16" fillId="2" borderId="3" xfId="0" applyFont="1" applyFill="1" applyBorder="1" applyAlignment="1">
      <alignment horizontal="center" vertical="center" wrapText="1" shrinkToFit="1"/>
    </xf>
    <xf numFmtId="3" fontId="51" fillId="3" borderId="13" xfId="0" applyNumberFormat="1" applyFont="1" applyFill="1" applyBorder="1" applyAlignment="1">
      <alignment horizontal="center" vertical="center" wrapText="1" shrinkToFit="1"/>
    </xf>
    <xf numFmtId="3" fontId="51" fillId="3" borderId="17" xfId="0" applyNumberFormat="1" applyFont="1" applyFill="1" applyBorder="1" applyAlignment="1">
      <alignment horizontal="center" vertical="center" wrapText="1" shrinkToFit="1"/>
    </xf>
    <xf numFmtId="0" fontId="15" fillId="2" borderId="1" xfId="0" applyFont="1" applyFill="1" applyBorder="1" applyAlignment="1">
      <alignment horizontal="center" vertical="center" shrinkToFit="1"/>
    </xf>
    <xf numFmtId="0" fontId="15" fillId="2" borderId="2" xfId="0" applyFont="1" applyFill="1" applyBorder="1" applyAlignment="1">
      <alignment horizontal="center" vertical="center" shrinkToFit="1"/>
    </xf>
    <xf numFmtId="0" fontId="15" fillId="2" borderId="3" xfId="0" applyFont="1" applyFill="1" applyBorder="1" applyAlignment="1">
      <alignment horizontal="center" vertical="center" shrinkToFit="1"/>
    </xf>
    <xf numFmtId="3" fontId="20" fillId="0" borderId="15" xfId="0" applyNumberFormat="1" applyFont="1" applyBorder="1" applyAlignment="1">
      <alignment horizontal="center" vertical="center" wrapText="1" shrinkToFit="1"/>
    </xf>
    <xf numFmtId="3" fontId="20" fillId="0" borderId="19" xfId="0" applyNumberFormat="1" applyFont="1" applyBorder="1" applyAlignment="1">
      <alignment horizontal="center" vertical="center" wrapText="1" shrinkToFit="1"/>
    </xf>
    <xf numFmtId="3" fontId="75" fillId="0" borderId="24" xfId="0" applyNumberFormat="1" applyFont="1" applyBorder="1" applyAlignment="1">
      <alignment horizontal="center" vertical="center" wrapText="1" shrinkToFit="1"/>
    </xf>
    <xf numFmtId="3" fontId="75" fillId="0" borderId="26" xfId="0" applyNumberFormat="1" applyFont="1" applyBorder="1" applyAlignment="1">
      <alignment horizontal="center" vertical="center" wrapText="1" shrinkToFit="1"/>
    </xf>
    <xf numFmtId="0" fontId="16" fillId="2" borderId="52" xfId="0" applyFont="1" applyFill="1" applyBorder="1" applyAlignment="1">
      <alignment horizontal="center" vertical="center"/>
    </xf>
    <xf numFmtId="0" fontId="16" fillId="2" borderId="30" xfId="0" applyFont="1" applyFill="1" applyBorder="1" applyAlignment="1">
      <alignment horizontal="center" vertical="center"/>
    </xf>
    <xf numFmtId="3" fontId="14" fillId="3" borderId="31" xfId="0" applyNumberFormat="1" applyFont="1" applyFill="1" applyBorder="1" applyAlignment="1">
      <alignment horizontal="center" vertical="center" wrapText="1" shrinkToFit="1"/>
    </xf>
    <xf numFmtId="3" fontId="14" fillId="3" borderId="32" xfId="0" applyNumberFormat="1" applyFont="1" applyFill="1" applyBorder="1" applyAlignment="1">
      <alignment horizontal="center" vertical="center" wrapText="1" shrinkToFit="1"/>
    </xf>
    <xf numFmtId="0" fontId="20" fillId="0" borderId="38" xfId="0" applyFont="1" applyBorder="1" applyAlignment="1">
      <alignment horizontal="center" vertical="center"/>
    </xf>
    <xf numFmtId="0" fontId="20" fillId="0" borderId="53" xfId="0" applyFont="1" applyBorder="1" applyAlignment="1">
      <alignment horizontal="center" vertical="center"/>
    </xf>
    <xf numFmtId="3" fontId="9" fillId="0" borderId="67" xfId="0" applyNumberFormat="1" applyFont="1" applyBorder="1" applyAlignment="1">
      <alignment horizontal="center" vertical="center" wrapText="1" shrinkToFit="1"/>
    </xf>
    <xf numFmtId="3" fontId="20" fillId="4" borderId="5" xfId="0" applyNumberFormat="1" applyFont="1" applyFill="1" applyBorder="1" applyAlignment="1">
      <alignment horizontal="center" vertical="center" wrapText="1" shrinkToFit="1"/>
    </xf>
    <xf numFmtId="3" fontId="20" fillId="0" borderId="18" xfId="0" applyNumberFormat="1" applyFont="1" applyBorder="1" applyAlignment="1">
      <alignment horizontal="center" vertical="center" wrapText="1" shrinkToFit="1"/>
    </xf>
    <xf numFmtId="3" fontId="20" fillId="0" borderId="4" xfId="0" applyNumberFormat="1" applyFont="1" applyBorder="1" applyAlignment="1">
      <alignment horizontal="center" vertical="center" wrapText="1" shrinkToFit="1"/>
    </xf>
    <xf numFmtId="0" fontId="54" fillId="2" borderId="1" xfId="0" applyFont="1" applyFill="1" applyBorder="1" applyAlignment="1">
      <alignment horizontal="center" vertical="center" wrapText="1" shrinkToFit="1"/>
    </xf>
    <xf numFmtId="0" fontId="54" fillId="2" borderId="3" xfId="0" applyFont="1" applyFill="1" applyBorder="1" applyAlignment="1">
      <alignment horizontal="center" vertical="center" wrapText="1" shrinkToFit="1"/>
    </xf>
    <xf numFmtId="0" fontId="54" fillId="2" borderId="4" xfId="0" applyFont="1" applyFill="1" applyBorder="1" applyAlignment="1">
      <alignment horizontal="center" vertical="center" wrapText="1" shrinkToFit="1"/>
    </xf>
    <xf numFmtId="0" fontId="54" fillId="2" borderId="6" xfId="0" applyFont="1" applyFill="1" applyBorder="1" applyAlignment="1">
      <alignment horizontal="center" vertical="center" wrapText="1" shrinkToFit="1"/>
    </xf>
    <xf numFmtId="3" fontId="20" fillId="0" borderId="33" xfId="0" applyNumberFormat="1" applyFont="1" applyBorder="1" applyAlignment="1">
      <alignment horizontal="center" vertical="center" wrapText="1" shrinkToFit="1"/>
    </xf>
    <xf numFmtId="0" fontId="36" fillId="2" borderId="35" xfId="0" applyFont="1" applyFill="1" applyBorder="1" applyAlignment="1">
      <alignment horizontal="center" vertical="center"/>
    </xf>
    <xf numFmtId="0" fontId="36" fillId="2" borderId="0" xfId="0" applyFont="1" applyFill="1" applyAlignment="1">
      <alignment horizontal="center" vertical="center"/>
    </xf>
    <xf numFmtId="3" fontId="35" fillId="8" borderId="77" xfId="0" applyNumberFormat="1" applyFont="1" applyFill="1" applyBorder="1" applyAlignment="1">
      <alignment horizontal="center" vertical="center" wrapText="1" shrinkToFit="1"/>
    </xf>
    <xf numFmtId="3" fontId="35" fillId="8" borderId="76" xfId="0" applyNumberFormat="1" applyFont="1" applyFill="1" applyBorder="1" applyAlignment="1">
      <alignment horizontal="center" vertical="center" wrapText="1" shrinkToFit="1"/>
    </xf>
    <xf numFmtId="3" fontId="35" fillId="8" borderId="78" xfId="0" applyNumberFormat="1" applyFont="1" applyFill="1" applyBorder="1" applyAlignment="1">
      <alignment horizontal="center" vertical="center" wrapText="1" shrinkToFit="1"/>
    </xf>
    <xf numFmtId="3" fontId="35" fillId="8" borderId="80" xfId="0" applyNumberFormat="1" applyFont="1" applyFill="1" applyBorder="1" applyAlignment="1">
      <alignment horizontal="center" vertical="center" wrapText="1" shrinkToFit="1"/>
    </xf>
    <xf numFmtId="3" fontId="28" fillId="8" borderId="77" xfId="0" applyNumberFormat="1" applyFont="1" applyFill="1" applyBorder="1" applyAlignment="1">
      <alignment horizontal="center" vertical="center" wrapText="1" shrinkToFit="1"/>
    </xf>
    <xf numFmtId="3" fontId="28" fillId="8" borderId="76" xfId="0" applyNumberFormat="1" applyFont="1" applyFill="1" applyBorder="1" applyAlignment="1">
      <alignment horizontal="center" vertical="center" wrapText="1" shrinkToFit="1"/>
    </xf>
    <xf numFmtId="0" fontId="73" fillId="2" borderId="34" xfId="0" applyFont="1" applyFill="1" applyBorder="1" applyAlignment="1">
      <alignment horizontal="center" vertical="center" wrapText="1"/>
    </xf>
    <xf numFmtId="0" fontId="73" fillId="2" borderId="27" xfId="0" applyFont="1" applyFill="1" applyBorder="1" applyAlignment="1">
      <alignment horizontal="center" vertical="center"/>
    </xf>
    <xf numFmtId="0" fontId="73" fillId="2" borderId="50" xfId="0" applyFont="1" applyFill="1" applyBorder="1" applyAlignment="1">
      <alignment horizontal="center" vertical="center"/>
    </xf>
    <xf numFmtId="0" fontId="73" fillId="2" borderId="35" xfId="0" applyFont="1" applyFill="1" applyBorder="1" applyAlignment="1">
      <alignment horizontal="center" vertical="center"/>
    </xf>
    <xf numFmtId="0" fontId="73" fillId="2" borderId="0" xfId="0" applyFont="1" applyFill="1" applyAlignment="1">
      <alignment horizontal="center" vertical="center"/>
    </xf>
    <xf numFmtId="0" fontId="73" fillId="2" borderId="20" xfId="0" applyFont="1" applyFill="1" applyBorder="1" applyAlignment="1">
      <alignment horizontal="center" vertical="center"/>
    </xf>
    <xf numFmtId="0" fontId="46" fillId="8" borderId="96" xfId="0" applyFont="1" applyFill="1" applyBorder="1" applyAlignment="1">
      <alignment horizontal="center" vertical="center" wrapText="1"/>
    </xf>
    <xf numFmtId="0" fontId="46" fillId="8" borderId="0" xfId="0" applyFont="1" applyFill="1" applyAlignment="1">
      <alignment horizontal="center" vertical="center" wrapText="1"/>
    </xf>
    <xf numFmtId="0" fontId="46" fillId="8" borderId="76" xfId="0" applyFont="1" applyFill="1" applyBorder="1" applyAlignment="1">
      <alignment horizontal="center" vertical="center" wrapText="1"/>
    </xf>
    <xf numFmtId="220" fontId="44" fillId="8" borderId="79" xfId="0" applyNumberFormat="1" applyFont="1" applyFill="1" applyBorder="1" applyAlignment="1">
      <alignment horizontal="center" vertical="top" wrapText="1" shrinkToFit="1"/>
    </xf>
    <xf numFmtId="220" fontId="44" fillId="8" borderId="80" xfId="0" applyNumberFormat="1" applyFont="1" applyFill="1" applyBorder="1" applyAlignment="1">
      <alignment horizontal="center" vertical="top" wrapText="1" shrinkToFit="1"/>
    </xf>
    <xf numFmtId="186" fontId="33" fillId="8" borderId="97" xfId="0" applyNumberFormat="1" applyFont="1" applyFill="1" applyBorder="1" applyAlignment="1">
      <alignment horizontal="center" vertical="center"/>
    </xf>
    <xf numFmtId="186" fontId="33" fillId="8" borderId="79" xfId="0" applyNumberFormat="1" applyFont="1" applyFill="1" applyBorder="1" applyAlignment="1">
      <alignment horizontal="center" vertical="center"/>
    </xf>
    <xf numFmtId="220" fontId="45" fillId="8" borderId="79" xfId="0" applyNumberFormat="1" applyFont="1" applyFill="1" applyBorder="1" applyAlignment="1">
      <alignment horizontal="center" vertical="top" wrapText="1" shrinkToFit="1"/>
    </xf>
    <xf numFmtId="220" fontId="45" fillId="8" borderId="80" xfId="0" applyNumberFormat="1" applyFont="1" applyFill="1" applyBorder="1" applyAlignment="1">
      <alignment horizontal="center" vertical="top" wrapText="1" shrinkToFit="1"/>
    </xf>
    <xf numFmtId="3" fontId="45" fillId="8" borderId="79" xfId="0" applyNumberFormat="1" applyFont="1" applyFill="1" applyBorder="1" applyAlignment="1">
      <alignment horizontal="center" vertical="center"/>
    </xf>
    <xf numFmtId="3" fontId="45" fillId="8" borderId="20" xfId="0" applyNumberFormat="1" applyFont="1" applyFill="1" applyBorder="1" applyAlignment="1">
      <alignment horizontal="center" vertical="center"/>
    </xf>
    <xf numFmtId="3" fontId="44" fillId="8" borderId="79" xfId="0" applyNumberFormat="1" applyFont="1" applyFill="1" applyBorder="1" applyAlignment="1">
      <alignment horizontal="center" vertical="center"/>
    </xf>
    <xf numFmtId="3" fontId="44" fillId="8" borderId="20" xfId="0" applyNumberFormat="1" applyFont="1" applyFill="1" applyBorder="1" applyAlignment="1">
      <alignment horizontal="center" vertical="center"/>
    </xf>
    <xf numFmtId="0" fontId="33" fillId="8" borderId="79" xfId="0" applyFont="1" applyFill="1" applyBorder="1" applyAlignment="1">
      <alignment horizontal="center" vertical="center"/>
    </xf>
    <xf numFmtId="0" fontId="33" fillId="8" borderId="20" xfId="0" applyFont="1" applyFill="1" applyBorder="1" applyAlignment="1">
      <alignment horizontal="center" vertical="center"/>
    </xf>
    <xf numFmtId="220" fontId="45" fillId="8" borderId="20" xfId="0" applyNumberFormat="1" applyFont="1" applyFill="1" applyBorder="1" applyAlignment="1">
      <alignment horizontal="center" vertical="top" wrapText="1" shrinkToFit="1"/>
    </xf>
    <xf numFmtId="220" fontId="45" fillId="8" borderId="90" xfId="0" applyNumberFormat="1" applyFont="1" applyFill="1" applyBorder="1" applyAlignment="1">
      <alignment horizontal="center" vertical="top" wrapText="1" shrinkToFit="1"/>
    </xf>
    <xf numFmtId="186" fontId="33" fillId="8" borderId="98" xfId="0" applyNumberFormat="1" applyFont="1" applyFill="1" applyBorder="1" applyAlignment="1">
      <alignment horizontal="center" vertical="center"/>
    </xf>
    <xf numFmtId="186" fontId="33" fillId="8" borderId="20" xfId="0" applyNumberFormat="1" applyFont="1" applyFill="1" applyBorder="1" applyAlignment="1">
      <alignment horizontal="center" vertical="center"/>
    </xf>
    <xf numFmtId="0" fontId="36" fillId="2" borderId="0" xfId="0" applyFont="1" applyFill="1" applyAlignment="1">
      <alignment horizontal="left" vertical="center" wrapText="1"/>
    </xf>
    <xf numFmtId="0" fontId="36" fillId="2" borderId="20" xfId="0" applyFont="1" applyFill="1" applyBorder="1" applyAlignment="1">
      <alignment horizontal="left" vertical="center" wrapText="1"/>
    </xf>
    <xf numFmtId="9" fontId="84" fillId="8" borderId="108" xfId="0" applyNumberFormat="1" applyFont="1" applyFill="1" applyBorder="1" applyAlignment="1">
      <alignment horizontal="center" vertical="center"/>
    </xf>
    <xf numFmtId="9" fontId="84" fillId="8" borderId="109" xfId="0" applyNumberFormat="1" applyFont="1" applyFill="1" applyBorder="1" applyAlignment="1">
      <alignment horizontal="center" vertical="center"/>
    </xf>
    <xf numFmtId="179" fontId="33" fillId="8" borderId="76" xfId="0" applyNumberFormat="1" applyFont="1" applyFill="1" applyBorder="1" applyAlignment="1">
      <alignment horizontal="center" vertical="center" wrapText="1" shrinkToFit="1"/>
    </xf>
    <xf numFmtId="9" fontId="84" fillId="8" borderId="106" xfId="0" applyNumberFormat="1" applyFont="1" applyFill="1" applyBorder="1" applyAlignment="1">
      <alignment horizontal="center" vertical="center"/>
    </xf>
    <xf numFmtId="9" fontId="84" fillId="8" borderId="107" xfId="0" applyNumberFormat="1" applyFont="1" applyFill="1" applyBorder="1" applyAlignment="1">
      <alignment horizontal="center" vertical="center"/>
    </xf>
    <xf numFmtId="3" fontId="84" fillId="8" borderId="108" xfId="0" applyNumberFormat="1" applyFont="1" applyFill="1" applyBorder="1" applyAlignment="1">
      <alignment horizontal="center" vertical="center"/>
    </xf>
    <xf numFmtId="3" fontId="84" fillId="8" borderId="109" xfId="0" applyNumberFormat="1" applyFont="1" applyFill="1" applyBorder="1" applyAlignment="1">
      <alignment horizontal="center" vertical="center"/>
    </xf>
    <xf numFmtId="3" fontId="46" fillId="8" borderId="0" xfId="0" applyNumberFormat="1" applyFont="1" applyFill="1" applyAlignment="1">
      <alignment horizontal="center" vertical="center" wrapText="1"/>
    </xf>
    <xf numFmtId="3" fontId="33" fillId="8" borderId="76" xfId="0" applyNumberFormat="1" applyFont="1" applyFill="1" applyBorder="1" applyAlignment="1">
      <alignment horizontal="center" vertical="center" wrapText="1" shrinkToFit="1"/>
    </xf>
    <xf numFmtId="9" fontId="46" fillId="8" borderId="0" xfId="0" applyNumberFormat="1" applyFont="1" applyFill="1" applyAlignment="1">
      <alignment horizontal="center" vertical="center" wrapText="1"/>
    </xf>
    <xf numFmtId="0" fontId="74" fillId="8" borderId="78" xfId="0" applyFont="1" applyFill="1" applyBorder="1" applyAlignment="1">
      <alignment horizontal="center" wrapText="1"/>
    </xf>
    <xf numFmtId="0" fontId="74" fillId="8" borderId="91" xfId="0" applyFont="1" applyFill="1" applyBorder="1" applyAlignment="1">
      <alignment horizontal="center" wrapText="1"/>
    </xf>
    <xf numFmtId="0" fontId="74" fillId="8" borderId="79" xfId="0" applyFont="1" applyFill="1" applyBorder="1" applyAlignment="1">
      <alignment horizontal="center" wrapText="1"/>
    </xf>
    <xf numFmtId="0" fontId="74" fillId="8" borderId="20" xfId="0" applyFont="1" applyFill="1" applyBorder="1" applyAlignment="1">
      <alignment horizontal="center" wrapText="1"/>
    </xf>
    <xf numFmtId="10" fontId="74" fillId="8" borderId="79" xfId="0" applyNumberFormat="1" applyFont="1" applyFill="1" applyBorder="1" applyAlignment="1">
      <alignment horizontal="center" vertical="center"/>
    </xf>
    <xf numFmtId="10" fontId="74" fillId="8" borderId="80" xfId="0" applyNumberFormat="1" applyFont="1" applyFill="1" applyBorder="1" applyAlignment="1">
      <alignment horizontal="center" vertical="center"/>
    </xf>
    <xf numFmtId="0" fontId="74" fillId="8" borderId="84" xfId="0" applyFont="1" applyFill="1" applyBorder="1" applyAlignment="1">
      <alignment horizontal="center" wrapText="1" readingOrder="2"/>
    </xf>
    <xf numFmtId="0" fontId="74" fillId="8" borderId="85" xfId="0" applyFont="1" applyFill="1" applyBorder="1" applyAlignment="1">
      <alignment horizontal="center" wrapText="1" readingOrder="2"/>
    </xf>
    <xf numFmtId="10" fontId="74" fillId="8" borderId="85" xfId="0" applyNumberFormat="1" applyFont="1" applyFill="1" applyBorder="1" applyAlignment="1">
      <alignment horizontal="center" vertical="center"/>
    </xf>
    <xf numFmtId="10" fontId="74" fillId="8" borderId="86" xfId="0" applyNumberFormat="1" applyFont="1" applyFill="1" applyBorder="1" applyAlignment="1">
      <alignment horizontal="center" vertical="center"/>
    </xf>
    <xf numFmtId="38" fontId="78" fillId="8" borderId="79" xfId="2" applyNumberFormat="1" applyFont="1" applyFill="1" applyBorder="1" applyAlignment="1">
      <alignment horizontal="center" vertical="center"/>
    </xf>
    <xf numFmtId="38" fontId="78" fillId="8" borderId="20" xfId="2" applyNumberFormat="1" applyFont="1" applyFill="1" applyBorder="1" applyAlignment="1">
      <alignment horizontal="center" vertical="center"/>
    </xf>
    <xf numFmtId="38" fontId="38" fillId="8" borderId="80" xfId="0" applyNumberFormat="1" applyFont="1" applyFill="1" applyBorder="1" applyAlignment="1">
      <alignment horizontal="right" vertical="center"/>
    </xf>
    <xf numFmtId="38" fontId="38" fillId="8" borderId="90" xfId="0" applyNumberFormat="1" applyFont="1" applyFill="1" applyBorder="1" applyAlignment="1">
      <alignment horizontal="right" vertical="center"/>
    </xf>
    <xf numFmtId="9" fontId="68" fillId="8" borderId="77" xfId="2" applyFont="1" applyFill="1" applyBorder="1" applyAlignment="1">
      <alignment horizontal="center" vertical="center" wrapText="1"/>
    </xf>
    <xf numFmtId="9" fontId="68" fillId="8" borderId="91" xfId="2" applyFont="1" applyFill="1" applyBorder="1" applyAlignment="1">
      <alignment horizontal="center" vertical="center" wrapText="1"/>
    </xf>
    <xf numFmtId="9" fontId="68" fillId="8" borderId="76" xfId="2" applyFont="1" applyFill="1" applyBorder="1" applyAlignment="1">
      <alignment horizontal="center" vertical="center" wrapText="1"/>
    </xf>
    <xf numFmtId="9" fontId="68" fillId="8" borderId="90" xfId="2" applyFont="1" applyFill="1" applyBorder="1" applyAlignment="1">
      <alignment horizontal="center" vertical="center" wrapText="1"/>
    </xf>
    <xf numFmtId="0" fontId="39" fillId="8" borderId="77" xfId="0" applyFont="1" applyFill="1" applyBorder="1" applyAlignment="1">
      <alignment horizontal="center" vertical="center" wrapText="1"/>
    </xf>
    <xf numFmtId="0" fontId="39" fillId="8" borderId="0" xfId="0" applyFont="1" applyFill="1" applyAlignment="1">
      <alignment horizontal="center" vertical="center" wrapText="1"/>
    </xf>
    <xf numFmtId="0" fontId="39" fillId="8" borderId="76" xfId="0" applyFont="1" applyFill="1" applyBorder="1" applyAlignment="1">
      <alignment horizontal="center" vertical="center" wrapText="1"/>
    </xf>
    <xf numFmtId="38" fontId="78" fillId="8" borderId="78" xfId="2" applyNumberFormat="1" applyFont="1" applyFill="1" applyBorder="1" applyAlignment="1">
      <alignment horizontal="center" vertical="center"/>
    </xf>
    <xf numFmtId="38" fontId="78" fillId="8" borderId="91" xfId="2" applyNumberFormat="1" applyFont="1" applyFill="1" applyBorder="1" applyAlignment="1">
      <alignment horizontal="center" vertical="center"/>
    </xf>
    <xf numFmtId="0" fontId="85" fillId="8" borderId="0" xfId="0" applyFont="1" applyFill="1" applyAlignment="1">
      <alignment horizontal="center" vertical="center"/>
    </xf>
    <xf numFmtId="0" fontId="85" fillId="8" borderId="76" xfId="0" applyFont="1" applyFill="1" applyBorder="1" applyAlignment="1">
      <alignment horizontal="center" vertical="center"/>
    </xf>
    <xf numFmtId="10" fontId="74" fillId="8" borderId="20" xfId="0" applyNumberFormat="1" applyFont="1" applyFill="1" applyBorder="1" applyAlignment="1">
      <alignment horizontal="center" vertical="center"/>
    </xf>
    <xf numFmtId="10" fontId="74" fillId="8" borderId="90" xfId="0" applyNumberFormat="1" applyFont="1" applyFill="1" applyBorder="1" applyAlignment="1">
      <alignment horizontal="center" vertical="center"/>
    </xf>
    <xf numFmtId="3" fontId="34" fillId="8" borderId="79" xfId="0" applyNumberFormat="1" applyFont="1" applyFill="1" applyBorder="1" applyAlignment="1">
      <alignment horizontal="center" vertical="center" wrapText="1" shrinkToFit="1"/>
    </xf>
    <xf numFmtId="3" fontId="34" fillId="8" borderId="20" xfId="0" applyNumberFormat="1" applyFont="1" applyFill="1" applyBorder="1" applyAlignment="1">
      <alignment horizontal="center" vertical="center" wrapText="1" shrinkToFit="1"/>
    </xf>
    <xf numFmtId="0" fontId="81" fillId="8" borderId="79" xfId="0" quotePrefix="1" applyFont="1" applyFill="1" applyBorder="1" applyAlignment="1">
      <alignment horizontal="center" vertical="center"/>
    </xf>
    <xf numFmtId="0" fontId="81" fillId="8" borderId="20" xfId="0" quotePrefix="1" applyFont="1" applyFill="1" applyBorder="1" applyAlignment="1">
      <alignment horizontal="center" vertical="center"/>
    </xf>
    <xf numFmtId="3" fontId="40" fillId="8" borderId="89" xfId="0" applyNumberFormat="1" applyFont="1" applyFill="1" applyBorder="1" applyAlignment="1">
      <alignment horizontal="center" vertical="center"/>
    </xf>
    <xf numFmtId="3" fontId="40" fillId="8" borderId="92" xfId="0" applyNumberFormat="1" applyFont="1" applyFill="1" applyBorder="1" applyAlignment="1">
      <alignment horizontal="center" vertical="center"/>
    </xf>
    <xf numFmtId="215" fontId="87" fillId="8" borderId="79" xfId="0" applyNumberFormat="1" applyFont="1" applyFill="1" applyBorder="1" applyAlignment="1">
      <alignment horizontal="center" vertical="center"/>
    </xf>
    <xf numFmtId="215" fontId="87" fillId="8" borderId="20" xfId="0" applyNumberFormat="1" applyFont="1" applyFill="1" applyBorder="1" applyAlignment="1">
      <alignment horizontal="center" vertical="center"/>
    </xf>
    <xf numFmtId="0" fontId="45" fillId="8" borderId="79" xfId="0" applyFont="1" applyFill="1" applyBorder="1" applyAlignment="1">
      <alignment vertical="center"/>
    </xf>
    <xf numFmtId="0" fontId="45" fillId="8" borderId="20" xfId="0" applyFont="1" applyFill="1" applyBorder="1" applyAlignment="1">
      <alignment vertical="center"/>
    </xf>
    <xf numFmtId="215" fontId="88" fillId="8" borderId="79" xfId="0" applyNumberFormat="1" applyFont="1" applyFill="1" applyBorder="1" applyAlignment="1">
      <alignment horizontal="center" vertical="center"/>
    </xf>
    <xf numFmtId="215" fontId="88" fillId="8" borderId="20" xfId="0" applyNumberFormat="1" applyFont="1" applyFill="1" applyBorder="1" applyAlignment="1">
      <alignment horizontal="center" vertical="center"/>
    </xf>
    <xf numFmtId="0" fontId="33" fillId="8" borderId="79" xfId="0" applyFont="1" applyFill="1" applyBorder="1" applyAlignment="1">
      <alignment vertical="center"/>
    </xf>
    <xf numFmtId="0" fontId="33" fillId="8" borderId="20" xfId="0" applyFont="1" applyFill="1" applyBorder="1" applyAlignment="1">
      <alignment vertical="center"/>
    </xf>
    <xf numFmtId="227" fontId="83" fillId="8" borderId="77" xfId="0" applyNumberFormat="1" applyFont="1" applyFill="1" applyBorder="1" applyAlignment="1">
      <alignment horizontal="center" vertical="center"/>
    </xf>
    <xf numFmtId="227" fontId="83" fillId="8" borderId="91" xfId="0" applyNumberFormat="1" applyFont="1" applyFill="1" applyBorder="1" applyAlignment="1">
      <alignment horizontal="center" vertical="center"/>
    </xf>
    <xf numFmtId="187" fontId="42" fillId="8" borderId="0" xfId="0" applyNumberFormat="1" applyFont="1" applyFill="1" applyAlignment="1">
      <alignment horizontal="center" vertical="center"/>
    </xf>
    <xf numFmtId="187" fontId="42" fillId="8" borderId="20" xfId="0" applyNumberFormat="1" applyFont="1" applyFill="1" applyBorder="1" applyAlignment="1">
      <alignment horizontal="center" vertical="center"/>
    </xf>
    <xf numFmtId="0" fontId="68" fillId="8" borderId="88" xfId="0" applyFont="1" applyFill="1" applyBorder="1"/>
    <xf numFmtId="0" fontId="68" fillId="8" borderId="92" xfId="0" applyFont="1" applyFill="1" applyBorder="1"/>
    <xf numFmtId="0" fontId="33" fillId="8" borderId="97" xfId="0" applyFont="1" applyFill="1" applyBorder="1" applyAlignment="1">
      <alignment horizontal="center" vertical="center"/>
    </xf>
    <xf numFmtId="0" fontId="33" fillId="8" borderId="98" xfId="0" applyFont="1" applyFill="1" applyBorder="1" applyAlignment="1">
      <alignment horizontal="center" vertical="center"/>
    </xf>
  </cellXfs>
  <cellStyles count="7">
    <cellStyle name="Comma" xfId="1" builtinId="3"/>
    <cellStyle name="Hyperlink 2 2" xfId="6" xr:uid="{F857CD42-FAF6-4001-9027-E799028C2A35}"/>
    <cellStyle name="Normal 2" xfId="4" xr:uid="{649C2474-32A7-406A-9BD6-B513CF017EAB}"/>
    <cellStyle name="Normal 2 2" xfId="5" xr:uid="{51822DF2-0B17-415B-8366-D7DD00ACC6C8}"/>
    <cellStyle name="Percent" xfId="2" builtinId="5"/>
    <cellStyle name="ارتباط تشعبي" xfId="3" builtinId="8"/>
    <cellStyle name="عادي" xfId="0" builtinId="0"/>
  </cellStyles>
  <dxfs count="57">
    <dxf>
      <font>
        <b val="0"/>
        <i val="0"/>
        <strike val="0"/>
        <condense val="0"/>
        <extend val="0"/>
        <outline val="0"/>
        <shadow val="0"/>
        <u val="none"/>
        <vertAlign val="baseline"/>
        <sz val="7"/>
        <color rgb="FFA0A0A0"/>
        <name val="Calibri"/>
        <family val="2"/>
        <scheme val="none"/>
      </font>
      <numFmt numFmtId="3" formatCode="#,##0"/>
      <alignment horizontal="center" vertical="center" textRotation="0" wrapText="1" indent="0" justifyLastLine="0" shrinkToFit="1" readingOrder="0"/>
      <border diagonalUp="0" diagonalDown="0" outline="0">
        <left style="thin">
          <color rgb="FFA0A0A0"/>
        </left>
        <right/>
        <top style="thin">
          <color rgb="FFA0A0A0"/>
        </top>
        <bottom style="thin">
          <color rgb="FFA0A0A0"/>
        </bottom>
      </border>
    </dxf>
    <dxf>
      <font>
        <b val="0"/>
        <i val="0"/>
        <strike val="0"/>
        <condense val="0"/>
        <extend val="0"/>
        <outline val="0"/>
        <shadow val="0"/>
        <u val="none"/>
        <vertAlign val="baseline"/>
        <sz val="8"/>
        <color rgb="FFA0A0A0"/>
        <name val="Calibri"/>
        <family val="2"/>
        <scheme val="none"/>
      </font>
      <numFmt numFmtId="3" formatCode="#,##0"/>
      <alignment horizontal="center" vertical="center" textRotation="0" wrapText="1" indent="0" justifyLastLine="0" shrinkToFit="1" readingOrder="0"/>
      <border diagonalUp="0" diagonalDown="0" outline="0">
        <left/>
        <right style="thin">
          <color rgb="FFA0A0A0"/>
        </right>
        <top style="thin">
          <color rgb="FFA0A0A0"/>
        </top>
        <bottom style="thin">
          <color rgb="FFA0A0A0"/>
        </bottom>
      </border>
    </dxf>
    <dxf>
      <border>
        <top style="thin">
          <color rgb="FFA0A0A0"/>
        </top>
      </border>
    </dxf>
    <dxf>
      <border diagonalUp="0" diagonalDown="0">
        <left style="thin">
          <color rgb="FFA0A0A0"/>
        </left>
        <right style="thin">
          <color rgb="FFA0A0A0"/>
        </right>
        <top style="thin">
          <color rgb="FFA0A0A0"/>
        </top>
        <bottom style="thin">
          <color rgb="FFA0A0A0"/>
        </bottom>
      </border>
    </dxf>
    <dxf>
      <font>
        <strike val="0"/>
        <outline val="0"/>
        <shadow val="0"/>
        <u val="none"/>
        <vertAlign val="baseline"/>
        <color rgb="FFA0A0A0"/>
        <name val="Calibri"/>
        <family val="2"/>
        <scheme val="none"/>
      </font>
    </dxf>
    <dxf>
      <border>
        <bottom style="thin">
          <color rgb="FFA0A0A0"/>
        </bottom>
      </border>
    </dxf>
    <dxf>
      <font>
        <strike val="0"/>
        <outline val="0"/>
        <shadow val="0"/>
        <u val="none"/>
        <vertAlign val="baseline"/>
        <color rgb="FFA0A0A0"/>
        <name val="Calibri"/>
        <family val="2"/>
        <scheme val="none"/>
      </font>
      <border diagonalUp="0" diagonalDown="0" outline="0">
        <left style="thin">
          <color rgb="FFA0A0A0"/>
        </left>
        <right style="thin">
          <color rgb="FFA0A0A0"/>
        </right>
        <top/>
        <bottom/>
      </border>
    </dxf>
    <dxf>
      <font>
        <color theme="0" tint="-4.9989318521683403E-2"/>
      </font>
    </dxf>
    <dxf>
      <font>
        <color rgb="FFC3A573"/>
      </font>
      <fill>
        <patternFill>
          <bgColor rgb="FFC3A573"/>
        </patternFill>
      </fill>
      <border>
        <left/>
        <right/>
        <top/>
        <bottom/>
        <vertical/>
        <horizontal/>
      </border>
    </dxf>
    <dxf>
      <font>
        <color rgb="FFD4BF9C"/>
      </font>
      <fill>
        <patternFill>
          <bgColor rgb="FFD4BF9C"/>
        </patternFill>
      </fill>
      <border>
        <left/>
        <right/>
        <top/>
        <bottom/>
        <vertical/>
        <horizontal/>
      </border>
    </dxf>
    <dxf>
      <font>
        <color rgb="FFE3D5BF"/>
      </font>
      <fill>
        <patternFill>
          <bgColor rgb="FFE3D5BF"/>
        </patternFill>
      </fill>
      <border>
        <left/>
        <right/>
        <top/>
        <bottom/>
        <vertical/>
        <horizontal/>
      </border>
    </dxf>
    <dxf>
      <font>
        <color rgb="FFEDE4D6"/>
      </font>
      <fill>
        <patternFill>
          <bgColor rgb="FFEDE4D6"/>
        </patternFill>
      </fill>
      <border>
        <left/>
        <right/>
        <top/>
        <bottom/>
        <vertical/>
        <horizontal/>
      </border>
    </dxf>
    <dxf>
      <font>
        <color rgb="FFB6A398"/>
      </font>
      <fill>
        <patternFill>
          <bgColor rgb="FFB6A398"/>
        </patternFill>
      </fill>
      <border>
        <left/>
        <right/>
        <top/>
        <bottom/>
        <vertical/>
        <horizontal/>
      </border>
    </dxf>
    <dxf>
      <font>
        <color rgb="FFE2DBD6"/>
      </font>
      <fill>
        <patternFill patternType="solid">
          <bgColor rgb="FFE2DBD6"/>
        </patternFill>
      </fill>
      <border>
        <left/>
        <right/>
        <top/>
        <bottom/>
        <vertical/>
        <horizontal/>
      </border>
    </dxf>
    <dxf>
      <font>
        <color rgb="FFC9BBB3"/>
      </font>
      <fill>
        <patternFill>
          <bgColor rgb="FFC9BBB3"/>
        </patternFill>
      </fill>
      <border>
        <left/>
        <right/>
        <top/>
        <bottom/>
        <vertical/>
        <horizontal/>
      </border>
    </dxf>
    <dxf>
      <font>
        <color rgb="FF846C5E"/>
      </font>
      <fill>
        <patternFill>
          <bgColor rgb="FF846C5E"/>
        </patternFill>
      </fill>
      <border>
        <left/>
        <right/>
        <top/>
        <bottom/>
        <vertical/>
        <horizontal/>
      </border>
    </dxf>
    <dxf>
      <font>
        <color rgb="FFD1C5BD"/>
      </font>
      <fill>
        <patternFill>
          <bgColor rgb="FFD1C5BD"/>
        </patternFill>
      </fill>
      <border>
        <left/>
        <right/>
        <top/>
        <bottom/>
        <vertical/>
        <horizontal/>
      </border>
    </dxf>
    <dxf>
      <font>
        <color rgb="FFD9D9D9"/>
      </font>
    </dxf>
    <dxf>
      <font>
        <color rgb="FFD9D9D9"/>
      </font>
    </dxf>
    <dxf>
      <font>
        <color rgb="FFD9D9D9"/>
      </font>
    </dxf>
    <dxf>
      <font>
        <color rgb="FFD9D9D9"/>
      </font>
    </dxf>
    <dxf>
      <font>
        <color rgb="FFD9D9D9"/>
      </font>
    </dxf>
    <dxf>
      <font>
        <color theme="0" tint="-0.14996795556505021"/>
      </font>
    </dxf>
    <dxf>
      <font>
        <color theme="0" tint="-0.14996795556505021"/>
      </font>
    </dxf>
    <dxf>
      <font>
        <color theme="0" tint="-0.14996795556505021"/>
      </font>
    </dxf>
    <dxf>
      <font>
        <color rgb="FFC00000"/>
      </font>
    </dxf>
    <dxf>
      <font>
        <color theme="0" tint="-0.14996795556505021"/>
      </font>
    </dxf>
    <dxf>
      <font>
        <color theme="0" tint="-0.14996795556505021"/>
      </font>
    </dxf>
    <dxf>
      <font>
        <color theme="9" tint="-0.24994659260841701"/>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4.9989318521683403E-2"/>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rgb="FF7030A0"/>
      </font>
    </dxf>
    <dxf>
      <font>
        <color theme="0" tint="-0.14996795556505021"/>
      </font>
    </dxf>
    <dxf>
      <font>
        <color rgb="FFC00000"/>
      </font>
    </dxf>
    <dxf>
      <font>
        <color rgb="FFC00000"/>
      </font>
    </dxf>
    <dxf>
      <font>
        <color theme="0" tint="-0.14996795556505021"/>
      </font>
    </dxf>
    <dxf>
      <font>
        <color theme="0" tint="-0.14996795556505021"/>
      </font>
    </dxf>
    <dxf>
      <font>
        <color theme="0" tint="-0.14996795556505021"/>
      </font>
    </dxf>
    <dxf>
      <font>
        <color rgb="FFC00000"/>
      </font>
    </dxf>
    <dxf>
      <font>
        <color theme="0" tint="-0.14996795556505021"/>
      </font>
    </dxf>
    <dxf>
      <font>
        <color theme="0" tint="-0.14996795556505021"/>
      </font>
    </dxf>
    <dxf>
      <font>
        <color theme="0" tint="-0.14996795556505021"/>
      </font>
    </dxf>
  </dxfs>
  <tableStyles count="0" defaultTableStyle="TableStyleMedium2" defaultPivotStyle="PivotStyleLight16"/>
  <colors>
    <mruColors>
      <color rgb="FFEDE4D6"/>
      <color rgb="FFA0A0A0"/>
      <color rgb="FF777777"/>
      <color rgb="FFF2F0EE"/>
      <color rgb="FF000000"/>
      <color rgb="FFA4907E"/>
      <color rgb="FFF0EAE4"/>
      <color rgb="FFDACBBC"/>
      <color rgb="FFECE7E4"/>
      <color rgb="FF846C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b="1" baseline="0">
                <a:solidFill>
                  <a:srgbClr val="A4907E"/>
                </a:solidFill>
              </a:rPr>
              <a:t>تفصيل العناصر</a:t>
            </a:r>
            <a:r>
              <a:rPr lang="en-US" b="1" baseline="0">
                <a:solidFill>
                  <a:srgbClr val="A4907E"/>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col"/>
        <c:grouping val="clustered"/>
        <c:varyColors val="0"/>
        <c:ser>
          <c:idx val="0"/>
          <c:order val="0"/>
          <c:tx>
            <c:strRef>
              <c:f>Summary!$K$60</c:f>
              <c:strCache>
                <c:ptCount val="1"/>
                <c:pt idx="0">
                  <c:v>SR </c:v>
                </c:pt>
              </c:strCache>
            </c:strRef>
          </c:tx>
          <c:spPr>
            <a:solidFill>
              <a:srgbClr val="A4907E"/>
            </a:solidFill>
            <a:ln>
              <a:noFill/>
            </a:ln>
            <a:effectLst/>
          </c:spPr>
          <c:invertIfNegative val="0"/>
          <c:cat>
            <c:strRef>
              <c:f>Summary!$C$62:$C$69</c:f>
              <c:strCache>
                <c:ptCount val="5"/>
                <c:pt idx="0">
                  <c:v> الاشتراكات النقدية</c:v>
                </c:pt>
                <c:pt idx="1">
                  <c:v>الأشتراك العيني من المطور</c:v>
                </c:pt>
                <c:pt idx="2">
                  <c:v> الإشتراك العيني من مالك الأرض</c:v>
                </c:pt>
                <c:pt idx="3">
                  <c:v> التمويل البنكي</c:v>
                </c:pt>
                <c:pt idx="4">
                  <c:v>مصادر أخرى</c:v>
                </c:pt>
              </c:strCache>
            </c:strRef>
          </c:cat>
          <c:val>
            <c:numRef>
              <c:f>Summary!$K$62:$K$69</c:f>
              <c:numCache>
                <c:formatCode>#,##0</c:formatCode>
                <c:ptCount val="5"/>
                <c:pt idx="0">
                  <c:v>34500000</c:v>
                </c:pt>
                <c:pt idx="1">
                  <c:v>0</c:v>
                </c:pt>
                <c:pt idx="2">
                  <c:v>62809599.999999993</c:v>
                </c:pt>
                <c:pt idx="3">
                  <c:v>54352006</c:v>
                </c:pt>
                <c:pt idx="4">
                  <c:v>11491487.921728909</c:v>
                </c:pt>
              </c:numCache>
            </c:numRef>
          </c:val>
          <c:extLst>
            <c:ext xmlns:c16="http://schemas.microsoft.com/office/drawing/2014/chart" uri="{C3380CC4-5D6E-409C-BE32-E72D297353CC}">
              <c16:uniqueId val="{00000000-3BA8-42F2-A367-7EAEAE3235DF}"/>
            </c:ext>
          </c:extLst>
        </c:ser>
        <c:dLbls>
          <c:showLegendKey val="0"/>
          <c:showVal val="0"/>
          <c:showCatName val="0"/>
          <c:showSerName val="0"/>
          <c:showPercent val="0"/>
          <c:showBubbleSize val="0"/>
        </c:dLbls>
        <c:gapWidth val="219"/>
        <c:overlap val="-27"/>
        <c:axId val="1881578704"/>
        <c:axId val="1881564304"/>
      </c:barChart>
      <c:catAx>
        <c:axId val="18815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81564304"/>
        <c:crosses val="autoZero"/>
        <c:auto val="1"/>
        <c:lblAlgn val="ctr"/>
        <c:lblOffset val="100"/>
        <c:noMultiLvlLbl val="0"/>
      </c:catAx>
      <c:valAx>
        <c:axId val="1881564304"/>
        <c:scaling>
          <c:orientation val="minMax"/>
        </c:scaling>
        <c:delete val="0"/>
        <c:axPos val="l"/>
        <c:majorGridlines>
          <c:spPr>
            <a:ln w="9525" cap="flat" cmpd="sng" algn="ctr">
              <a:solidFill>
                <a:srgbClr val="A4907E"/>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8157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r>
              <a:rPr lang="ar-SA" sz="1400" b="1" i="0" u="none" strike="noStrike" kern="1200" spc="0" baseline="0">
                <a:solidFill>
                  <a:srgbClr val="A4907E"/>
                </a:solidFill>
                <a:latin typeface="+mn-lt"/>
                <a:ea typeface="+mn-ea"/>
                <a:cs typeface="+mn-cs"/>
              </a:rPr>
              <a:t>العناصر الاساسية</a:t>
            </a:r>
          </a:p>
        </c:rich>
      </c:tx>
      <c:overlay val="0"/>
      <c:spPr>
        <a:noFill/>
        <a:ln>
          <a:noFill/>
        </a:ln>
        <a:effectLst/>
      </c:spPr>
      <c:txPr>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endParaRPr lang="ar-SA"/>
        </a:p>
      </c:txPr>
    </c:title>
    <c:autoTitleDeleted val="0"/>
    <c:plotArea>
      <c:layout/>
      <c:pieChart>
        <c:varyColors val="1"/>
        <c:ser>
          <c:idx val="0"/>
          <c:order val="0"/>
          <c:dPt>
            <c:idx val="0"/>
            <c:bubble3D val="0"/>
            <c:spPr>
              <a:solidFill>
                <a:srgbClr val="A4907E"/>
              </a:solidFill>
              <a:ln w="19050">
                <a:solidFill>
                  <a:schemeClr val="lt1"/>
                </a:solidFill>
              </a:ln>
              <a:effectLst/>
            </c:spPr>
            <c:extLst>
              <c:ext xmlns:c16="http://schemas.microsoft.com/office/drawing/2014/chart" uri="{C3380CC4-5D6E-409C-BE32-E72D297353CC}">
                <c16:uniqueId val="{00000004-0384-48FF-B1A0-EB326A5FED8A}"/>
              </c:ext>
            </c:extLst>
          </c:dPt>
          <c:dPt>
            <c:idx val="1"/>
            <c:bubble3D val="0"/>
            <c:spPr>
              <a:solidFill>
                <a:srgbClr val="E0D0C2"/>
              </a:solidFill>
              <a:ln w="19050">
                <a:solidFill>
                  <a:schemeClr val="lt1"/>
                </a:solidFill>
              </a:ln>
              <a:effectLst/>
            </c:spPr>
            <c:extLst>
              <c:ext xmlns:c16="http://schemas.microsoft.com/office/drawing/2014/chart" uri="{C3380CC4-5D6E-409C-BE32-E72D297353CC}">
                <c16:uniqueId val="{00000005-0384-48FF-B1A0-EB326A5FED8A}"/>
              </c:ext>
            </c:extLst>
          </c:dPt>
          <c:dPt>
            <c:idx val="2"/>
            <c:bubble3D val="0"/>
            <c:spPr>
              <a:solidFill>
                <a:srgbClr val="CDB49E"/>
              </a:solidFill>
              <a:ln w="19050">
                <a:solidFill>
                  <a:schemeClr val="lt1"/>
                </a:solidFill>
              </a:ln>
              <a:effectLst/>
            </c:spPr>
            <c:extLst>
              <c:ext xmlns:c16="http://schemas.microsoft.com/office/drawing/2014/chart" uri="{C3380CC4-5D6E-409C-BE32-E72D297353CC}">
                <c16:uniqueId val="{00000008-1B06-4487-B8CB-B8D2B424AB07}"/>
              </c:ext>
            </c:extLst>
          </c:dPt>
          <c:dLbls>
            <c:dLbl>
              <c:idx val="0"/>
              <c:layout>
                <c:manualLayout>
                  <c:x val="-0.10378480297554721"/>
                  <c:y val="0.10229827878295368"/>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ar-SA"/>
                </a:p>
              </c:txPr>
              <c:dLblPos val="bestFit"/>
              <c:showLegendKey val="0"/>
              <c:showVal val="0"/>
              <c:showCatName val="1"/>
              <c:showSerName val="0"/>
              <c:showPercent val="1"/>
              <c:showBubbleSize val="0"/>
              <c:extLst>
                <c:ext xmlns:c15="http://schemas.microsoft.com/office/drawing/2012/chart" uri="{CE6537A1-D6FC-4f65-9D91-7224C49458BB}">
                  <c15:layout>
                    <c:manualLayout>
                      <c:w val="0.27250389515058249"/>
                      <c:h val="0.18540760532907519"/>
                    </c:manualLayout>
                  </c15:layout>
                </c:ext>
                <c:ext xmlns:c16="http://schemas.microsoft.com/office/drawing/2014/chart" uri="{C3380CC4-5D6E-409C-BE32-E72D297353CC}">
                  <c16:uniqueId val="{00000004-0384-48FF-B1A0-EB326A5FED8A}"/>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ar-SA"/>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Summary!$T$88:$T$90</c:f>
              <c:strCache>
                <c:ptCount val="3"/>
                <c:pt idx="0">
                  <c:v>مصادر أخرى</c:v>
                </c:pt>
                <c:pt idx="1">
                  <c:v>التمويل</c:v>
                </c:pt>
                <c:pt idx="2">
                  <c:v>الملكية</c:v>
                </c:pt>
              </c:strCache>
            </c:strRef>
          </c:cat>
          <c:val>
            <c:numRef>
              <c:f>Summary!$U$88:$U$90</c:f>
              <c:numCache>
                <c:formatCode>#,##0</c:formatCode>
                <c:ptCount val="3"/>
                <c:pt idx="0">
                  <c:v>57978444.443468049</c:v>
                </c:pt>
                <c:pt idx="1">
                  <c:v>54352006</c:v>
                </c:pt>
                <c:pt idx="2">
                  <c:v>108409600</c:v>
                </c:pt>
              </c:numCache>
            </c:numRef>
          </c:val>
          <c:extLst>
            <c:ext xmlns:c16="http://schemas.microsoft.com/office/drawing/2014/chart" uri="{C3380CC4-5D6E-409C-BE32-E72D297353CC}">
              <c16:uniqueId val="{00000000-0384-48FF-B1A0-EB326A5FED8A}"/>
            </c:ext>
          </c:extLst>
        </c:ser>
        <c:ser>
          <c:idx val="1"/>
          <c:order val="1"/>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7-7271-41D5-978E-C017F547D4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7271-41D5-978E-C017F547D4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Summary!$T$88:$T$90</c:f>
              <c:strCache>
                <c:ptCount val="3"/>
                <c:pt idx="0">
                  <c:v>مصادر أخرى</c:v>
                </c:pt>
                <c:pt idx="1">
                  <c:v>التمويل</c:v>
                </c:pt>
                <c:pt idx="2">
                  <c:v>الملكية</c:v>
                </c:pt>
              </c:strCache>
            </c:strRef>
          </c:cat>
          <c:val>
            <c:numRef>
              <c:f>Summary!$U$83:$U$84</c:f>
              <c:numCache>
                <c:formatCode>0%</c:formatCode>
                <c:ptCount val="2"/>
                <c:pt idx="0">
                  <c:v>0.26265484821168167</c:v>
                </c:pt>
                <c:pt idx="1">
                  <c:v>0.24622630053226185</c:v>
                </c:pt>
              </c:numCache>
            </c:numRef>
          </c:val>
          <c:extLst>
            <c:ext xmlns:c16="http://schemas.microsoft.com/office/drawing/2014/chart" uri="{C3380CC4-5D6E-409C-BE32-E72D297353CC}">
              <c16:uniqueId val="{00000001-0384-48FF-B1A0-EB326A5FED8A}"/>
            </c:ext>
          </c:extLst>
        </c:ser>
        <c:dLbls>
          <c:showLegendKey val="0"/>
          <c:showVal val="0"/>
          <c:showCatName val="0"/>
          <c:showSerName val="0"/>
          <c:showPercent val="0"/>
          <c:showBubbleSize val="0"/>
          <c:showLeaderLines val="1"/>
        </c:dLbls>
        <c:firstSliceAng val="0"/>
      </c:pieChart>
      <c:spPr>
        <a:solidFill>
          <a:srgbClr val="F2F0E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r>
              <a:rPr lang="ar-SA" sz="1400" b="1" i="0" u="none" strike="noStrike" kern="1200" spc="0" baseline="0">
                <a:solidFill>
                  <a:srgbClr val="A4907E"/>
                </a:solidFill>
                <a:latin typeface="+mn-lt"/>
                <a:ea typeface="+mn-ea"/>
                <a:cs typeface="+mn-cs"/>
              </a:rPr>
              <a:t>تفاصيل الملكية</a:t>
            </a:r>
          </a:p>
        </c:rich>
      </c:tx>
      <c:overlay val="0"/>
      <c:spPr>
        <a:noFill/>
        <a:ln>
          <a:noFill/>
        </a:ln>
        <a:effectLst/>
      </c:spPr>
      <c:txPr>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endParaRPr lang="ar-SA"/>
        </a:p>
      </c:txPr>
    </c:title>
    <c:autoTitleDeleted val="0"/>
    <c:plotArea>
      <c:layout/>
      <c:pieChart>
        <c:varyColors val="1"/>
        <c:ser>
          <c:idx val="0"/>
          <c:order val="0"/>
          <c:dPt>
            <c:idx val="0"/>
            <c:bubble3D val="0"/>
            <c:spPr>
              <a:solidFill>
                <a:srgbClr val="CDB49E"/>
              </a:solidFill>
              <a:ln w="19050">
                <a:solidFill>
                  <a:schemeClr val="lt1"/>
                </a:solidFill>
              </a:ln>
              <a:effectLst/>
            </c:spPr>
            <c:extLst>
              <c:ext xmlns:c16="http://schemas.microsoft.com/office/drawing/2014/chart" uri="{C3380CC4-5D6E-409C-BE32-E72D297353CC}">
                <c16:uniqueId val="{00000001-D5E2-4B58-B8AB-DECD57A74324}"/>
              </c:ext>
            </c:extLst>
          </c:dPt>
          <c:dPt>
            <c:idx val="1"/>
            <c:bubble3D val="0"/>
            <c:spPr>
              <a:solidFill>
                <a:srgbClr val="E0D0C2"/>
              </a:solidFill>
              <a:ln w="19050">
                <a:solidFill>
                  <a:schemeClr val="lt1"/>
                </a:solidFill>
              </a:ln>
              <a:effectLst/>
            </c:spPr>
            <c:extLst>
              <c:ext xmlns:c16="http://schemas.microsoft.com/office/drawing/2014/chart" uri="{C3380CC4-5D6E-409C-BE32-E72D297353CC}">
                <c16:uniqueId val="{00000003-D5E2-4B58-B8AB-DECD57A74324}"/>
              </c:ext>
            </c:extLst>
          </c:dPt>
          <c:dLbls>
            <c:dLbl>
              <c:idx val="0"/>
              <c:layout>
                <c:manualLayout>
                  <c:x val="-0.2123115377983075"/>
                  <c:y val="0.19025813707068701"/>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ar-SA"/>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7241816150915197"/>
                      <c:h val="0.26430274610216731"/>
                    </c:manualLayout>
                  </c15:layout>
                </c:ext>
                <c:ext xmlns:c16="http://schemas.microsoft.com/office/drawing/2014/chart" uri="{C3380CC4-5D6E-409C-BE32-E72D297353CC}">
                  <c16:uniqueId val="{00000001-D5E2-4B58-B8AB-DECD57A74324}"/>
                </c:ext>
              </c:extLst>
            </c:dLbl>
            <c:dLbl>
              <c:idx val="1"/>
              <c:layout>
                <c:manualLayout>
                  <c:x val="0.17763976404256782"/>
                  <c:y val="-0.22236881521612775"/>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ar-SA"/>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43329285679999274"/>
                      <c:h val="0.2091206944873906"/>
                    </c:manualLayout>
                  </c15:layout>
                </c:ext>
                <c:ext xmlns:c16="http://schemas.microsoft.com/office/drawing/2014/chart" uri="{C3380CC4-5D6E-409C-BE32-E72D297353CC}">
                  <c16:uniqueId val="{00000003-D5E2-4B58-B8AB-DECD57A7432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ar-SA"/>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Summary!$S$85:$S$86</c:f>
              <c:strCache>
                <c:ptCount val="2"/>
                <c:pt idx="0">
                  <c:v>اشتراكات المطور</c:v>
                </c:pt>
                <c:pt idx="1">
                  <c:v>اشتراكات نقدية</c:v>
                </c:pt>
              </c:strCache>
            </c:strRef>
          </c:cat>
          <c:val>
            <c:numRef>
              <c:f>Summary!$T$85:$T$86</c:f>
              <c:numCache>
                <c:formatCode>#,##0</c:formatCode>
                <c:ptCount val="2"/>
                <c:pt idx="0">
                  <c:v>11100000</c:v>
                </c:pt>
                <c:pt idx="1">
                  <c:v>97309600</c:v>
                </c:pt>
              </c:numCache>
            </c:numRef>
          </c:val>
          <c:extLst>
            <c:ext xmlns:c16="http://schemas.microsoft.com/office/drawing/2014/chart" uri="{C3380CC4-5D6E-409C-BE32-E72D297353CC}">
              <c16:uniqueId val="{00000006-D5E2-4B58-B8AB-DECD57A74324}"/>
            </c:ext>
          </c:extLst>
        </c:ser>
        <c:ser>
          <c:idx val="1"/>
          <c:order val="1"/>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8-D5E2-4B58-B8AB-DECD57A74324}"/>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A-D5E2-4B58-B8AB-DECD57A74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Summary!$S$85:$S$86</c:f>
              <c:strCache>
                <c:ptCount val="2"/>
                <c:pt idx="0">
                  <c:v>اشتراكات المطور</c:v>
                </c:pt>
                <c:pt idx="1">
                  <c:v>اشتراكات نقدية</c:v>
                </c:pt>
              </c:strCache>
            </c:strRef>
          </c:cat>
          <c:val>
            <c:numRef>
              <c:f>Summary!$U$85:$U$86</c:f>
              <c:numCache>
                <c:formatCode>0%</c:formatCode>
                <c:ptCount val="2"/>
                <c:pt idx="0">
                  <c:v>5.0285392151084664E-2</c:v>
                </c:pt>
                <c:pt idx="1">
                  <c:v>0.4408334591049719</c:v>
                </c:pt>
              </c:numCache>
            </c:numRef>
          </c:val>
          <c:extLst>
            <c:ext xmlns:c16="http://schemas.microsoft.com/office/drawing/2014/chart" uri="{C3380CC4-5D6E-409C-BE32-E72D297353CC}">
              <c16:uniqueId val="{0000000D-D5E2-4B58-B8AB-DECD57A7432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ar-SA" sz="1400" b="1" i="0" u="none" strike="noStrike" kern="1200" cap="all" spc="0" baseline="0">
                <a:solidFill>
                  <a:srgbClr val="A4907E"/>
                </a:solidFill>
                <a:latin typeface="+mn-lt"/>
                <a:ea typeface="+mn-ea"/>
                <a:cs typeface="+mn-cs"/>
              </a:defRPr>
            </a:pPr>
            <a:r>
              <a:rPr lang="ar-SA" sz="1400" b="1" i="0" u="none" strike="noStrike" kern="1200" cap="all" spc="0" baseline="0" dirty="0" err="1">
                <a:solidFill>
                  <a:srgbClr val="A4907E"/>
                </a:solidFill>
                <a:latin typeface="+mn-lt"/>
                <a:ea typeface="+mn-ea"/>
                <a:cs typeface="+mn-cs"/>
              </a:rPr>
              <a:t> التسهيلات المصرفية </a:t>
            </a:r>
            <a:endParaRPr lang="ar-SA" sz="1400" b="1" i="0" u="none" strike="noStrike" kern="1200" cap="all" spc="0" baseline="0" dirty="0">
              <a:solidFill>
                <a:srgbClr val="A4907E"/>
              </a:solidFill>
              <a:latin typeface="+mn-lt"/>
              <a:ea typeface="+mn-ea"/>
              <a:cs typeface="+mn-cs"/>
            </a:endParaRPr>
          </a:p>
        </c:rich>
      </c:tx>
      <c:overlay val="0"/>
      <c:spPr>
        <a:noFill/>
        <a:ln>
          <a:noFill/>
        </a:ln>
        <a:effectLst/>
      </c:spPr>
      <c:txPr>
        <a:bodyPr rot="0" spcFirstLastPara="1" vertOverflow="ellipsis" vert="horz" wrap="square" anchor="ctr" anchorCtr="1"/>
        <a:lstStyle/>
        <a:p>
          <a:pPr>
            <a:defRPr lang="ar-SA" sz="1400" b="1" i="0" u="none" strike="noStrike" kern="1200" cap="all" spc="0" baseline="0">
              <a:solidFill>
                <a:srgbClr val="A4907E"/>
              </a:solidFill>
              <a:latin typeface="+mn-lt"/>
              <a:ea typeface="+mn-ea"/>
              <a:cs typeface="+mn-cs"/>
            </a:defRPr>
          </a:pPr>
          <a:endParaRPr lang="ar-SA"/>
        </a:p>
      </c:txPr>
    </c:title>
    <c:autoTitleDeleted val="0"/>
    <c:plotArea>
      <c:layout/>
      <c:lineChart>
        <c:grouping val="standard"/>
        <c:varyColors val="0"/>
        <c:ser>
          <c:idx val="0"/>
          <c:order val="0"/>
          <c:tx>
            <c:strRef>
              <c:f>Study!$B$246</c:f>
              <c:strCache>
                <c:ptCount val="1"/>
                <c:pt idx="0">
                  <c:v>حجم التمويل للفترة 
 (Principal amount for the period)</c:v>
                </c:pt>
              </c:strCache>
            </c:strRef>
          </c:tx>
          <c:spPr>
            <a:ln w="28575" cap="rnd">
              <a:solidFill>
                <a:srgbClr val="A4907E"/>
              </a:solidFill>
              <a:round/>
              <a:headEnd type="none"/>
            </a:ln>
            <a:effectLst/>
          </c:spPr>
          <c:marker>
            <c:symbol val="circle"/>
            <c:size val="8"/>
            <c:spPr>
              <a:solidFill>
                <a:srgbClr val="967F6E"/>
              </a:solidFill>
              <a:ln w="9525">
                <a:noFill/>
              </a:ln>
              <a:effectLst/>
            </c:spPr>
          </c:marker>
          <c:cat>
            <c:strRef>
              <c:f>Study!$C$241:$AC$241</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Study!$C$246:$AC$246</c:f>
              <c:numCache>
                <c:formatCode>@</c:formatCode>
                <c:ptCount val="27"/>
                <c:pt idx="3" formatCode="#,##0_);[Red]\(#,##0\)">
                  <c:v>0</c:v>
                </c:pt>
                <c:pt idx="4" formatCode="#,##0_);[Red]\(#,##0\)">
                  <c:v>0</c:v>
                </c:pt>
                <c:pt idx="5" formatCode="#,##0_);[Red]\(#,##0\)">
                  <c:v>0</c:v>
                </c:pt>
                <c:pt idx="6" formatCode="#,##0_);[Red]\(#,##0\)">
                  <c:v>0</c:v>
                </c:pt>
                <c:pt idx="7" formatCode="#,##0_);[Red]\(#,##0\)">
                  <c:v>0</c:v>
                </c:pt>
                <c:pt idx="8" formatCode="#,##0_);[Red]\(#,##0\)">
                  <c:v>0</c:v>
                </c:pt>
                <c:pt idx="9" formatCode="#,##0_);[Red]\(#,##0\)">
                  <c:v>2552006</c:v>
                </c:pt>
                <c:pt idx="10" formatCode="#,##0_);[Red]\(#,##0\)">
                  <c:v>3352006</c:v>
                </c:pt>
                <c:pt idx="11" formatCode="#,##0_);[Red]\(#,##0\)">
                  <c:v>5552006</c:v>
                </c:pt>
                <c:pt idx="12" formatCode="#,##0_);[Red]\(#,##0\)">
                  <c:v>7752006</c:v>
                </c:pt>
                <c:pt idx="13" formatCode="#,##0_);[Red]\(#,##0\)">
                  <c:v>13552006</c:v>
                </c:pt>
                <c:pt idx="14" formatCode="#,##0_);[Red]\(#,##0\)">
                  <c:v>22552006</c:v>
                </c:pt>
                <c:pt idx="15" formatCode="#,##0_);[Red]\(#,##0\)">
                  <c:v>28652006</c:v>
                </c:pt>
                <c:pt idx="16" formatCode="#,##0_);[Red]\(#,##0\)">
                  <c:v>36052006</c:v>
                </c:pt>
                <c:pt idx="17" formatCode="#,##0_);[Red]\(#,##0\)">
                  <c:v>43252006</c:v>
                </c:pt>
                <c:pt idx="18" formatCode="#,##0_);[Red]\(#,##0\)">
                  <c:v>53252006</c:v>
                </c:pt>
                <c:pt idx="19" formatCode="#,##0_);[Red]\(#,##0\)">
                  <c:v>53552006</c:v>
                </c:pt>
                <c:pt idx="20" formatCode="#,##0_);[Red]\(#,##0\)">
                  <c:v>54352006</c:v>
                </c:pt>
                <c:pt idx="21" formatCode="#,##0_);[Red]\(#,##0\)">
                  <c:v>52022133.136878826</c:v>
                </c:pt>
                <c:pt idx="22" formatCode="#,##0_);[Red]\(#,##0\)">
                  <c:v>0</c:v>
                </c:pt>
                <c:pt idx="23" formatCode="#,##0_);[Red]\(#,##0\)">
                  <c:v>0</c:v>
                </c:pt>
                <c:pt idx="24" formatCode="#,##0_);[Red]\(#,##0\)">
                  <c:v>0</c:v>
                </c:pt>
                <c:pt idx="25" formatCode="#,##0_);[Red]\(#,##0\)">
                  <c:v>0</c:v>
                </c:pt>
                <c:pt idx="26" formatCode="#,##0_);[Red]\(#,##0\)">
                  <c:v>0</c:v>
                </c:pt>
              </c:numCache>
            </c:numRef>
          </c:val>
          <c:smooth val="0"/>
          <c:extLst>
            <c:ext xmlns:c16="http://schemas.microsoft.com/office/drawing/2014/chart" uri="{C3380CC4-5D6E-409C-BE32-E72D297353CC}">
              <c16:uniqueId val="{00000000-3C10-4D64-8868-16643E64D69E}"/>
            </c:ext>
          </c:extLst>
        </c:ser>
        <c:ser>
          <c:idx val="1"/>
          <c:order val="1"/>
          <c:tx>
            <c:strRef>
              <c:f>Summary!$S$165</c:f>
              <c:strCache>
                <c:ptCount val="1"/>
                <c:pt idx="0">
                  <c:v>حجم التمويل للفترة      </c:v>
                </c:pt>
              </c:strCache>
            </c:strRef>
          </c:tx>
          <c:spPr>
            <a:ln w="28575" cap="rnd">
              <a:solidFill>
                <a:srgbClr val="967F6E"/>
              </a:solidFill>
              <a:round/>
            </a:ln>
            <a:effectLst/>
          </c:spPr>
          <c:marker>
            <c:symbol val="circle"/>
            <c:size val="5"/>
            <c:spPr>
              <a:solidFill>
                <a:srgbClr val="967F6E"/>
              </a:solidFill>
              <a:ln w="9525">
                <a:solidFill>
                  <a:schemeClr val="accent2"/>
                </a:solidFill>
              </a:ln>
              <a:effectLst/>
            </c:spPr>
          </c:marker>
          <c:cat>
            <c:strRef>
              <c:f>Study!$C$241:$AC$241</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Study!$C$247:$AC$247</c:f>
              <c:numCache>
                <c:formatCode>@</c:formatCode>
                <c:ptCount val="27"/>
              </c:numCache>
            </c:numRef>
          </c:val>
          <c:smooth val="0"/>
          <c:extLst>
            <c:ext xmlns:c16="http://schemas.microsoft.com/office/drawing/2014/chart" uri="{C3380CC4-5D6E-409C-BE32-E72D297353CC}">
              <c16:uniqueId val="{00000001-3C10-4D64-8868-16643E64D69E}"/>
            </c:ext>
          </c:extLst>
        </c:ser>
        <c:ser>
          <c:idx val="2"/>
          <c:order val="2"/>
          <c:tx>
            <c:strRef>
              <c:f>Summary!$S$166</c:f>
              <c:strCache>
                <c:ptCount val="1"/>
                <c:pt idx="0">
                  <c:v>أصل التمويل  </c:v>
                </c:pt>
              </c:strCache>
            </c:strRef>
          </c:tx>
          <c:spPr>
            <a:ln w="28575" cap="rnd">
              <a:solidFill>
                <a:srgbClr val="E0D0C2"/>
              </a:solidFill>
              <a:round/>
            </a:ln>
            <a:effectLst/>
          </c:spPr>
          <c:marker>
            <c:symbol val="circle"/>
            <c:size val="9"/>
            <c:spPr>
              <a:solidFill>
                <a:srgbClr val="D4BF9C"/>
              </a:solidFill>
              <a:ln w="9525">
                <a:solidFill>
                  <a:schemeClr val="accent3"/>
                </a:solidFill>
              </a:ln>
              <a:effectLst/>
            </c:spPr>
          </c:marker>
          <c:cat>
            <c:strRef>
              <c:f>Study!$C$241:$AC$241</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Study!$C$248:$AC$248</c:f>
              <c:numCache>
                <c:formatCode>@</c:formatCode>
                <c:ptCount val="27"/>
                <c:pt idx="3" formatCode="#,##0_);[Red]\(#,##0\)">
                  <c:v>0</c:v>
                </c:pt>
                <c:pt idx="4" formatCode="#,##0_);[Red]\(#,##0\)">
                  <c:v>0</c:v>
                </c:pt>
                <c:pt idx="5" formatCode="#,##0_);[Red]\(#,##0\)">
                  <c:v>0</c:v>
                </c:pt>
                <c:pt idx="6" formatCode="#,##0_);[Red]\(#,##0\)">
                  <c:v>0</c:v>
                </c:pt>
                <c:pt idx="7" formatCode="#,##0_);[Red]\(#,##0\)">
                  <c:v>0</c:v>
                </c:pt>
                <c:pt idx="8" formatCode="#,##0_);[Red]\(#,##0\)">
                  <c:v>0</c:v>
                </c:pt>
                <c:pt idx="9" formatCode="#,##0_);[Red]\(#,##0\)">
                  <c:v>2552006</c:v>
                </c:pt>
                <c:pt idx="10" formatCode="#,##0_);[Red]\(#,##0\)">
                  <c:v>800000</c:v>
                </c:pt>
                <c:pt idx="11" formatCode="#,##0_);[Red]\(#,##0\)">
                  <c:v>2200000</c:v>
                </c:pt>
                <c:pt idx="12" formatCode="#,##0_);[Red]\(#,##0\)">
                  <c:v>2200000</c:v>
                </c:pt>
                <c:pt idx="13" formatCode="#,##0_);[Red]\(#,##0\)">
                  <c:v>5800000</c:v>
                </c:pt>
                <c:pt idx="14" formatCode="#,##0_);[Red]\(#,##0\)">
                  <c:v>9000000</c:v>
                </c:pt>
                <c:pt idx="15" formatCode="#,##0_);[Red]\(#,##0\)">
                  <c:v>6100000</c:v>
                </c:pt>
                <c:pt idx="16" formatCode="#,##0_);[Red]\(#,##0\)">
                  <c:v>7400000</c:v>
                </c:pt>
                <c:pt idx="17" formatCode="#,##0_);[Red]\(#,##0\)">
                  <c:v>7200000</c:v>
                </c:pt>
                <c:pt idx="18" formatCode="#,##0_);[Red]\(#,##0\)">
                  <c:v>10000000</c:v>
                </c:pt>
                <c:pt idx="19" formatCode="#,##0_);[Red]\(#,##0\)">
                  <c:v>300000</c:v>
                </c:pt>
                <c:pt idx="20" formatCode="#,##0_);[Red]\(#,##0\)">
                  <c:v>800000</c:v>
                </c:pt>
                <c:pt idx="21" formatCode="#,##0_);[Red]\(#,##0\)">
                  <c:v>0</c:v>
                </c:pt>
                <c:pt idx="22" formatCode="#,##0_);[Red]\(#,##0\)">
                  <c:v>0</c:v>
                </c:pt>
                <c:pt idx="23" formatCode="#,##0_);[Red]\(#,##0\)">
                  <c:v>0</c:v>
                </c:pt>
                <c:pt idx="24" formatCode="#,##0_);[Red]\(#,##0\)">
                  <c:v>0</c:v>
                </c:pt>
                <c:pt idx="25" formatCode="#,##0_);[Red]\(#,##0\)">
                  <c:v>0</c:v>
                </c:pt>
                <c:pt idx="26" formatCode="#,##0_);[Red]\(#,##0\)">
                  <c:v>0</c:v>
                </c:pt>
              </c:numCache>
            </c:numRef>
          </c:val>
          <c:smooth val="0"/>
          <c:extLst>
            <c:ext xmlns:c16="http://schemas.microsoft.com/office/drawing/2014/chart" uri="{C3380CC4-5D6E-409C-BE32-E72D297353CC}">
              <c16:uniqueId val="{00000002-3C10-4D64-8868-16643E64D69E}"/>
            </c:ext>
          </c:extLst>
        </c:ser>
        <c:ser>
          <c:idx val="3"/>
          <c:order val="3"/>
          <c:tx>
            <c:strRef>
              <c:f>Study!$B$249</c:f>
              <c:strCache>
                <c:ptCount val="1"/>
              </c:strCache>
            </c:strRef>
          </c:tx>
          <c:spPr>
            <a:ln w="28575" cap="rnd">
              <a:solidFill>
                <a:schemeClr val="bg1"/>
              </a:solidFill>
              <a:round/>
            </a:ln>
            <a:effectLst/>
          </c:spPr>
          <c:marker>
            <c:symbol val="circle"/>
            <c:size val="5"/>
            <c:spPr>
              <a:solidFill>
                <a:schemeClr val="accent4"/>
              </a:solidFill>
              <a:ln w="9525">
                <a:solidFill>
                  <a:schemeClr val="accent4"/>
                </a:solidFill>
              </a:ln>
              <a:effectLst/>
            </c:spPr>
          </c:marker>
          <c:cat>
            <c:strRef>
              <c:f>Study!$C$241:$AC$241</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Study!$C$249:$AC$249</c:f>
              <c:numCache>
                <c:formatCode>@</c:formatCode>
                <c:ptCount val="27"/>
              </c:numCache>
            </c:numRef>
          </c:val>
          <c:smooth val="0"/>
          <c:extLst>
            <c:ext xmlns:c16="http://schemas.microsoft.com/office/drawing/2014/chart" uri="{C3380CC4-5D6E-409C-BE32-E72D297353CC}">
              <c16:uniqueId val="{00000003-3C10-4D64-8868-16643E64D69E}"/>
            </c:ext>
          </c:extLst>
        </c:ser>
        <c:dLbls>
          <c:showLegendKey val="0"/>
          <c:showVal val="0"/>
          <c:showCatName val="0"/>
          <c:showSerName val="0"/>
          <c:showPercent val="0"/>
          <c:showBubbleSize val="0"/>
        </c:dLbls>
        <c:marker val="1"/>
        <c:smooth val="0"/>
        <c:axId val="1775317103"/>
        <c:axId val="1775318063"/>
      </c:lineChart>
      <c:catAx>
        <c:axId val="1775317103"/>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775318063"/>
        <c:crosses val="autoZero"/>
        <c:auto val="1"/>
        <c:lblAlgn val="ctr"/>
        <c:lblOffset val="100"/>
        <c:noMultiLvlLbl val="0"/>
      </c:catAx>
      <c:valAx>
        <c:axId val="1775318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775317103"/>
        <c:crosses val="autoZero"/>
        <c:crossBetween val="between"/>
      </c:valAx>
      <c:spPr>
        <a:noFill/>
        <a:ln>
          <a:noFill/>
        </a:ln>
        <a:effectLst/>
      </c:spPr>
    </c:plotArea>
    <c:legend>
      <c:legendPos val="tr"/>
      <c:legendEntry>
        <c:idx val="0"/>
        <c:delete val="1"/>
      </c:legendEntry>
      <c:legendEntry>
        <c:idx val="1"/>
        <c:txPr>
          <a:bodyPr rot="0" spcFirstLastPara="1" vertOverflow="ellipsis" vert="horz" wrap="square" anchor="ctr" anchorCtr="1"/>
          <a:lstStyle/>
          <a:p>
            <a:pPr>
              <a:defRPr sz="1100" b="0" i="0" u="none" strike="noStrike" kern="1200" baseline="0">
                <a:ln>
                  <a:noFill/>
                </a:ln>
                <a:solidFill>
                  <a:sysClr val="windowText" lastClr="000000"/>
                </a:solidFill>
                <a:latin typeface="Calibri" panose="020F0502020204030204" pitchFamily="34" charset="0"/>
                <a:ea typeface="+mn-ea"/>
                <a:cs typeface="Calibri" panose="020F0502020204030204" pitchFamily="34" charset="0"/>
              </a:defRPr>
            </a:pPr>
            <a:endParaRPr lang="ar-SA"/>
          </a:p>
        </c:txPr>
      </c:legendEntry>
      <c:legendEntry>
        <c:idx val="3"/>
        <c:delete val="1"/>
      </c:legendEntry>
      <c:layout>
        <c:manualLayout>
          <c:xMode val="edge"/>
          <c:yMode val="edge"/>
          <c:x val="0.86048172869269701"/>
          <c:y val="1.960562909060494E-2"/>
          <c:w val="0.13469004113217833"/>
          <c:h val="0.15863936863676034"/>
        </c:manualLayout>
      </c:layout>
      <c:overlay val="1"/>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1">
              <a:defRPr lang="ar-SA" sz="1800" b="1" i="0" u="none" strike="noStrike" kern="1200" cap="all" spc="0" baseline="0">
                <a:solidFill>
                  <a:srgbClr val="A4907E"/>
                </a:solidFill>
                <a:latin typeface="+mn-lt"/>
                <a:ea typeface="+mn-ea"/>
                <a:cs typeface="+mn-cs"/>
              </a:defRPr>
            </a:pPr>
            <a:r>
              <a:rPr lang="ar-SA" sz="1800" b="1" i="0" u="none" strike="noStrike" kern="1200" cap="all" spc="0" baseline="0">
                <a:solidFill>
                  <a:srgbClr val="A4907E"/>
                </a:solidFill>
                <a:latin typeface="+mn-lt"/>
                <a:ea typeface="+mn-ea"/>
                <a:cs typeface="+mn-cs"/>
              </a:rPr>
              <a:t>التكاليف الاخرى</a:t>
            </a:r>
          </a:p>
        </c:rich>
      </c:tx>
      <c:overlay val="0"/>
      <c:spPr>
        <a:noFill/>
        <a:ln>
          <a:noFill/>
        </a:ln>
        <a:effectLst/>
      </c:spPr>
      <c:txPr>
        <a:bodyPr rot="0" spcFirstLastPara="1" vertOverflow="ellipsis" vert="horz" wrap="square" anchor="ctr" anchorCtr="1"/>
        <a:lstStyle/>
        <a:p>
          <a:pPr algn="ctr" rtl="1">
            <a:defRPr lang="ar-SA" sz="1800" b="1" i="0" u="none" strike="noStrike" kern="1200" cap="all" spc="0" baseline="0">
              <a:solidFill>
                <a:srgbClr val="A4907E"/>
              </a:solidFill>
              <a:latin typeface="+mn-lt"/>
              <a:ea typeface="+mn-ea"/>
              <a:cs typeface="+mn-cs"/>
            </a:defRPr>
          </a:pPr>
          <a:endParaRPr lang="ar-SA"/>
        </a:p>
      </c:txPr>
    </c:title>
    <c:autoTitleDeleted val="0"/>
    <c:view3D>
      <c:rotX val="15"/>
      <c:rotY val="20"/>
      <c:depthPercent val="100"/>
      <c:rAngAx val="1"/>
    </c:view3D>
    <c:floor>
      <c:thickness val="0"/>
      <c:spPr>
        <a:noFill/>
        <a:ln>
          <a:noFill/>
        </a:ln>
        <a:effectLst/>
        <a:sp3d/>
      </c:spPr>
    </c:floor>
    <c:sideWall>
      <c:thickness val="0"/>
      <c:spPr>
        <a:noFill/>
        <a:ln>
          <a:solidFill>
            <a:srgbClr val="846C5E"/>
          </a:solidFill>
        </a:ln>
        <a:effectLst/>
        <a:sp3d>
          <a:contourClr>
            <a:srgbClr val="846C5E"/>
          </a:contourClr>
        </a:sp3d>
      </c:spPr>
    </c:sideWall>
    <c:backWall>
      <c:thickness val="0"/>
      <c:spPr>
        <a:solidFill>
          <a:srgbClr val="F2F0EE"/>
        </a:solidFill>
        <a:ln>
          <a:solidFill>
            <a:srgbClr val="846C5E"/>
          </a:solidFill>
        </a:ln>
        <a:effectLst/>
        <a:sp3d>
          <a:contourClr>
            <a:srgbClr val="846C5E"/>
          </a:contourClr>
        </a:sp3d>
      </c:spPr>
    </c:backWall>
    <c:plotArea>
      <c:layout/>
      <c:bar3DChart>
        <c:barDir val="col"/>
        <c:grouping val="stacked"/>
        <c:varyColors val="0"/>
        <c:ser>
          <c:idx val="0"/>
          <c:order val="0"/>
          <c:tx>
            <c:strRef>
              <c:f>Summary!$T$144</c:f>
              <c:strCache>
                <c:ptCount val="1"/>
                <c:pt idx="0">
                  <c:v>القيمة</c:v>
                </c:pt>
              </c:strCache>
            </c:strRef>
          </c:tx>
          <c:spPr>
            <a:solidFill>
              <a:schemeClr val="accent1"/>
            </a:solidFill>
            <a:ln>
              <a:noFill/>
            </a:ln>
            <a:effectLst/>
            <a:sp3d/>
          </c:spPr>
          <c:invertIfNegative val="0"/>
          <c:dPt>
            <c:idx val="0"/>
            <c:invertIfNegative val="0"/>
            <c:bubble3D val="0"/>
            <c:spPr>
              <a:solidFill>
                <a:srgbClr val="DAD2CC"/>
              </a:solidFill>
              <a:ln>
                <a:noFill/>
              </a:ln>
              <a:effectLst/>
              <a:sp3d/>
            </c:spPr>
            <c:extLst>
              <c:ext xmlns:c16="http://schemas.microsoft.com/office/drawing/2014/chart" uri="{C3380CC4-5D6E-409C-BE32-E72D297353CC}">
                <c16:uniqueId val="{00000001-6D1B-46F3-AB53-8CE3AB1B1F54}"/>
              </c:ext>
            </c:extLst>
          </c:dPt>
          <c:dPt>
            <c:idx val="1"/>
            <c:invertIfNegative val="0"/>
            <c:bubble3D val="0"/>
            <c:spPr>
              <a:solidFill>
                <a:srgbClr val="7F6A5B"/>
              </a:solidFill>
              <a:ln>
                <a:noFill/>
              </a:ln>
              <a:effectLst/>
              <a:sp3d/>
            </c:spPr>
            <c:extLst>
              <c:ext xmlns:c16="http://schemas.microsoft.com/office/drawing/2014/chart" uri="{C3380CC4-5D6E-409C-BE32-E72D297353CC}">
                <c16:uniqueId val="{00000003-6D1B-46F3-AB53-8CE3AB1B1F54}"/>
              </c:ext>
            </c:extLst>
          </c:dPt>
          <c:dPt>
            <c:idx val="2"/>
            <c:invertIfNegative val="0"/>
            <c:bubble3D val="0"/>
            <c:spPr>
              <a:solidFill>
                <a:srgbClr val="433931"/>
              </a:solidFill>
              <a:ln>
                <a:noFill/>
              </a:ln>
              <a:effectLst/>
              <a:sp3d/>
            </c:spPr>
            <c:extLst>
              <c:ext xmlns:c16="http://schemas.microsoft.com/office/drawing/2014/chart" uri="{C3380CC4-5D6E-409C-BE32-E72D297353CC}">
                <c16:uniqueId val="{00000005-6D1B-46F3-AB53-8CE3AB1B1F54}"/>
              </c:ext>
            </c:extLst>
          </c:dPt>
          <c:dPt>
            <c:idx val="3"/>
            <c:invertIfNegative val="0"/>
            <c:bubble3D val="0"/>
            <c:spPr>
              <a:solidFill>
                <a:srgbClr val="967F6E"/>
              </a:solidFill>
              <a:ln>
                <a:noFill/>
              </a:ln>
              <a:effectLst/>
              <a:sp3d/>
            </c:spPr>
            <c:extLst>
              <c:ext xmlns:c16="http://schemas.microsoft.com/office/drawing/2014/chart" uri="{C3380CC4-5D6E-409C-BE32-E72D297353CC}">
                <c16:uniqueId val="{00000007-6D1B-46F3-AB53-8CE3AB1B1F54}"/>
              </c:ext>
            </c:extLst>
          </c:dPt>
          <c:dPt>
            <c:idx val="4"/>
            <c:invertIfNegative val="0"/>
            <c:bubble3D val="0"/>
            <c:spPr>
              <a:solidFill>
                <a:srgbClr val="D4BF9C"/>
              </a:solidFill>
              <a:ln>
                <a:noFill/>
              </a:ln>
              <a:effectLst/>
              <a:sp3d/>
            </c:spPr>
            <c:extLst>
              <c:ext xmlns:c16="http://schemas.microsoft.com/office/drawing/2014/chart" uri="{C3380CC4-5D6E-409C-BE32-E72D297353CC}">
                <c16:uniqueId val="{00000009-6D1B-46F3-AB53-8CE3AB1B1F54}"/>
              </c:ext>
            </c:extLst>
          </c:dPt>
          <c:dPt>
            <c:idx val="5"/>
            <c:invertIfNegative val="0"/>
            <c:bubble3D val="0"/>
            <c:spPr>
              <a:solidFill>
                <a:srgbClr val="F0EAE4"/>
              </a:solidFill>
              <a:ln>
                <a:noFill/>
              </a:ln>
              <a:effectLst/>
              <a:sp3d/>
            </c:spPr>
            <c:extLst>
              <c:ext xmlns:c16="http://schemas.microsoft.com/office/drawing/2014/chart" uri="{C3380CC4-5D6E-409C-BE32-E72D297353CC}">
                <c16:uniqueId val="{0000000B-6D1B-46F3-AB53-8CE3AB1B1F54}"/>
              </c:ext>
            </c:extLst>
          </c:dPt>
          <c:dPt>
            <c:idx val="6"/>
            <c:invertIfNegative val="0"/>
            <c:bubble3D val="0"/>
            <c:spPr>
              <a:solidFill>
                <a:srgbClr val="CABFB6"/>
              </a:solidFill>
              <a:ln>
                <a:noFill/>
              </a:ln>
              <a:effectLst/>
              <a:sp3d/>
            </c:spPr>
            <c:extLst>
              <c:ext xmlns:c16="http://schemas.microsoft.com/office/drawing/2014/chart" uri="{C3380CC4-5D6E-409C-BE32-E72D297353CC}">
                <c16:uniqueId val="{0000000D-6D1B-46F3-AB53-8CE3AB1B1F54}"/>
              </c:ext>
            </c:extLst>
          </c:dPt>
          <c:dPt>
            <c:idx val="7"/>
            <c:invertIfNegative val="0"/>
            <c:bubble3D val="0"/>
            <c:spPr>
              <a:solidFill>
                <a:srgbClr val="CABFB6"/>
              </a:solidFill>
              <a:ln>
                <a:noFill/>
              </a:ln>
              <a:effectLst/>
              <a:sp3d/>
            </c:spPr>
            <c:extLst>
              <c:ext xmlns:c16="http://schemas.microsoft.com/office/drawing/2014/chart" uri="{C3380CC4-5D6E-409C-BE32-E72D297353CC}">
                <c16:uniqueId val="{0000000F-6D1B-46F3-AB53-8CE3AB1B1F54}"/>
              </c:ext>
            </c:extLst>
          </c:dPt>
          <c:dPt>
            <c:idx val="8"/>
            <c:invertIfNegative val="0"/>
            <c:bubble3D val="0"/>
            <c:spPr>
              <a:solidFill>
                <a:srgbClr val="EDE4D6"/>
              </a:solidFill>
              <a:ln>
                <a:noFill/>
              </a:ln>
              <a:effectLst/>
              <a:sp3d/>
            </c:spPr>
            <c:extLst>
              <c:ext xmlns:c16="http://schemas.microsoft.com/office/drawing/2014/chart" uri="{C3380CC4-5D6E-409C-BE32-E72D297353CC}">
                <c16:uniqueId val="{00000011-6D1B-46F3-AB53-8CE3AB1B1F54}"/>
              </c:ext>
            </c:extLst>
          </c:dPt>
          <c:dPt>
            <c:idx val="9"/>
            <c:invertIfNegative val="0"/>
            <c:bubble3D val="0"/>
            <c:spPr>
              <a:solidFill>
                <a:srgbClr val="C3A573"/>
              </a:solidFill>
              <a:ln>
                <a:noFill/>
              </a:ln>
              <a:effectLst/>
              <a:sp3d/>
            </c:spPr>
            <c:extLst>
              <c:ext xmlns:c16="http://schemas.microsoft.com/office/drawing/2014/chart" uri="{C3380CC4-5D6E-409C-BE32-E72D297353CC}">
                <c16:uniqueId val="{00000013-6D1B-46F3-AB53-8CE3AB1B1F54}"/>
              </c:ext>
            </c:extLst>
          </c:dPt>
          <c:dPt>
            <c:idx val="10"/>
            <c:invertIfNegative val="0"/>
            <c:bubble3D val="0"/>
            <c:spPr>
              <a:solidFill>
                <a:srgbClr val="E3D5BF"/>
              </a:solidFill>
              <a:ln>
                <a:noFill/>
              </a:ln>
              <a:effectLst/>
              <a:sp3d/>
            </c:spPr>
            <c:extLst>
              <c:ext xmlns:c16="http://schemas.microsoft.com/office/drawing/2014/chart" uri="{C3380CC4-5D6E-409C-BE32-E72D297353CC}">
                <c16:uniqueId val="{00000015-6D1B-46F3-AB53-8CE3AB1B1F54}"/>
              </c:ext>
            </c:extLst>
          </c:dPt>
          <c:dPt>
            <c:idx val="11"/>
            <c:invertIfNegative val="0"/>
            <c:bubble3D val="0"/>
            <c:spPr>
              <a:solidFill>
                <a:srgbClr val="B5A599"/>
              </a:solidFill>
              <a:ln>
                <a:noFill/>
              </a:ln>
              <a:effectLst/>
              <a:sp3d/>
            </c:spPr>
            <c:extLst>
              <c:ext xmlns:c16="http://schemas.microsoft.com/office/drawing/2014/chart" uri="{C3380CC4-5D6E-409C-BE32-E72D297353CC}">
                <c16:uniqueId val="{00000017-6D1B-46F3-AB53-8CE3AB1B1F54}"/>
              </c:ext>
            </c:extLst>
          </c:dPt>
          <c:dPt>
            <c:idx val="12"/>
            <c:invertIfNegative val="0"/>
            <c:bubble3D val="0"/>
            <c:spPr>
              <a:solidFill>
                <a:srgbClr val="DAD2CC"/>
              </a:solidFill>
              <a:ln>
                <a:noFill/>
              </a:ln>
              <a:effectLst/>
              <a:sp3d/>
            </c:spPr>
            <c:extLst>
              <c:ext xmlns:c16="http://schemas.microsoft.com/office/drawing/2014/chart" uri="{C3380CC4-5D6E-409C-BE32-E72D297353CC}">
                <c16:uniqueId val="{00000019-6D1B-46F3-AB53-8CE3AB1B1F54}"/>
              </c:ext>
            </c:extLst>
          </c:dPt>
          <c:dPt>
            <c:idx val="13"/>
            <c:invertIfNegative val="0"/>
            <c:bubble3D val="0"/>
            <c:spPr>
              <a:solidFill>
                <a:srgbClr val="F0EAE4"/>
              </a:solidFill>
              <a:ln>
                <a:noFill/>
              </a:ln>
              <a:effectLst/>
              <a:sp3d/>
            </c:spPr>
            <c:extLst>
              <c:ext xmlns:c16="http://schemas.microsoft.com/office/drawing/2014/chart" uri="{C3380CC4-5D6E-409C-BE32-E72D297353CC}">
                <c16:uniqueId val="{0000001B-6D1B-46F3-AB53-8CE3AB1B1F54}"/>
              </c:ext>
            </c:extLst>
          </c:dPt>
          <c:dPt>
            <c:idx val="14"/>
            <c:invertIfNegative val="0"/>
            <c:bubble3D val="0"/>
            <c:spPr>
              <a:solidFill>
                <a:srgbClr val="D4BF9C"/>
              </a:solidFill>
              <a:ln>
                <a:noFill/>
              </a:ln>
              <a:effectLst/>
              <a:sp3d/>
            </c:spPr>
            <c:extLst>
              <c:ext xmlns:c16="http://schemas.microsoft.com/office/drawing/2014/chart" uri="{C3380CC4-5D6E-409C-BE32-E72D297353CC}">
                <c16:uniqueId val="{0000001D-6D1B-46F3-AB53-8CE3AB1B1F54}"/>
              </c:ext>
            </c:extLst>
          </c:dPt>
          <c:dPt>
            <c:idx val="15"/>
            <c:invertIfNegative val="0"/>
            <c:bubble3D val="0"/>
            <c:spPr>
              <a:solidFill>
                <a:srgbClr val="808080"/>
              </a:solidFill>
              <a:ln>
                <a:noFill/>
              </a:ln>
              <a:effectLst/>
              <a:sp3d/>
            </c:spPr>
            <c:extLst>
              <c:ext xmlns:c16="http://schemas.microsoft.com/office/drawing/2014/chart" uri="{C3380CC4-5D6E-409C-BE32-E72D297353CC}">
                <c16:uniqueId val="{0000001F-6D1B-46F3-AB53-8CE3AB1B1F54}"/>
              </c:ext>
            </c:extLst>
          </c:dPt>
          <c:cat>
            <c:strRef>
              <c:f>Summary!$S$145:$S$160</c:f>
              <c:strCache>
                <c:ptCount val="16"/>
                <c:pt idx="0">
                  <c:v>التسوير</c:v>
                </c:pt>
                <c:pt idx="1">
                  <c:v>الحفر والمسح والاختبار</c:v>
                </c:pt>
                <c:pt idx="2">
                  <c:v>التأمين</c:v>
                </c:pt>
                <c:pt idx="3">
                  <c:v>الرخصة</c:v>
                </c:pt>
                <c:pt idx="4">
                  <c:v>التصميم</c:v>
                </c:pt>
                <c:pt idx="5">
                  <c:v>أثاث الوحدات الفندقية</c:v>
                </c:pt>
                <c:pt idx="6">
                  <c:v>أثاث الوحدات</c:v>
                </c:pt>
                <c:pt idx="7">
                  <c:v>رسوم الكهرباء</c:v>
                </c:pt>
                <c:pt idx="8">
                  <c:v>رسوم الماء وصرف الصحي</c:v>
                </c:pt>
                <c:pt idx="9">
                  <c:v>الفرز</c:v>
                </c:pt>
                <c:pt idx="10">
                  <c:v>الصيانة و التشغيل</c:v>
                </c:pt>
                <c:pt idx="11">
                  <c:v>الاحتياطي</c:v>
                </c:pt>
                <c:pt idx="12">
                  <c:v>تسويق المبيعات</c:v>
                </c:pt>
                <c:pt idx="13">
                  <c:v>تسويق التأجير</c:v>
                </c:pt>
                <c:pt idx="14">
                  <c:v>تسويق البيع على الخارطة</c:v>
                </c:pt>
                <c:pt idx="15">
                  <c:v>الإشراف الهندسي</c:v>
                </c:pt>
              </c:strCache>
            </c:strRef>
          </c:cat>
          <c:val>
            <c:numRef>
              <c:f>Summary!$T$145:$T$160</c:f>
              <c:numCache>
                <c:formatCode>#,##0</c:formatCode>
                <c:ptCount val="16"/>
                <c:pt idx="0">
                  <c:v>534040</c:v>
                </c:pt>
                <c:pt idx="1">
                  <c:v>2835360</c:v>
                </c:pt>
                <c:pt idx="2">
                  <c:v>1330515.3360000001</c:v>
                </c:pt>
                <c:pt idx="3">
                  <c:v>62830.559999999998</c:v>
                </c:pt>
                <c:pt idx="4">
                  <c:v>3913280.4000000004</c:v>
                </c:pt>
                <c:pt idx="5">
                  <c:v>6149999.9999999991</c:v>
                </c:pt>
                <c:pt idx="6">
                  <c:v>0</c:v>
                </c:pt>
                <c:pt idx="7">
                  <c:v>912500</c:v>
                </c:pt>
                <c:pt idx="8">
                  <c:v>984000</c:v>
                </c:pt>
                <c:pt idx="9">
                  <c:v>18000</c:v>
                </c:pt>
                <c:pt idx="10">
                  <c:v>299000</c:v>
                </c:pt>
                <c:pt idx="11">
                  <c:v>1173984.1199999999</c:v>
                </c:pt>
                <c:pt idx="12">
                  <c:v>46954.910520000005</c:v>
                </c:pt>
                <c:pt idx="13">
                  <c:v>952952.44319999998</c:v>
                </c:pt>
                <c:pt idx="14">
                  <c:v>0</c:v>
                </c:pt>
                <c:pt idx="15">
                  <c:v>1956640.2000000002</c:v>
                </c:pt>
              </c:numCache>
            </c:numRef>
          </c:val>
          <c:extLst>
            <c:ext xmlns:c16="http://schemas.microsoft.com/office/drawing/2014/chart" uri="{C3380CC4-5D6E-409C-BE32-E72D297353CC}">
              <c16:uniqueId val="{00000020-6D1B-46F3-AB53-8CE3AB1B1F54}"/>
            </c:ext>
          </c:extLst>
        </c:ser>
        <c:dLbls>
          <c:showLegendKey val="0"/>
          <c:showVal val="0"/>
          <c:showCatName val="0"/>
          <c:showSerName val="0"/>
          <c:showPercent val="0"/>
          <c:showBubbleSize val="0"/>
        </c:dLbls>
        <c:gapWidth val="150"/>
        <c:shape val="box"/>
        <c:axId val="406301776"/>
        <c:axId val="406298032"/>
        <c:axId val="0"/>
      </c:bar3DChart>
      <c:catAx>
        <c:axId val="406301776"/>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406298032"/>
        <c:crosses val="autoZero"/>
        <c:auto val="1"/>
        <c:lblAlgn val="ctr"/>
        <c:lblOffset val="100"/>
        <c:noMultiLvlLbl val="0"/>
      </c:catAx>
      <c:valAx>
        <c:axId val="406298032"/>
        <c:scaling>
          <c:orientation val="minMax"/>
        </c:scaling>
        <c:delete val="0"/>
        <c:axPos val="r"/>
        <c:majorGridlines>
          <c:spPr>
            <a:ln w="9525" cap="flat" cmpd="sng" algn="ctr">
              <a:solidFill>
                <a:srgbClr val="846C5E"/>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406301776"/>
        <c:crosses val="autoZero"/>
        <c:crossBetween val="between"/>
      </c:valAx>
      <c:spPr>
        <a:solidFill>
          <a:srgbClr val="F2F0E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_xlchart.v1.0</cx:f>
      </cx:numDim>
    </cx:data>
  </cx:chartData>
  <cx:chart>
    <cx:title pos="t" align="ctr" overlay="0">
      <cx:tx>
        <cx:rich>
          <a:bodyPr spcFirstLastPara="1" vertOverflow="ellipsis" horzOverflow="overflow" wrap="square" lIns="0" tIns="0" rIns="0" bIns="0" anchor="ctr" anchorCtr="1"/>
          <a:lstStyle/>
          <a:p>
            <a:pPr algn="ctr" rtl="0">
              <a:defRPr sz="1400"/>
            </a:pPr>
            <a:r>
              <a:rPr lang="ar-SA" sz="1400" b="1" i="0" u="none" strike="noStrike" kern="1200" cap="all" spc="0" baseline="0">
                <a:solidFill>
                  <a:srgbClr val="A4907E"/>
                </a:solidFill>
                <a:latin typeface="+mn-lt"/>
                <a:ea typeface="+mn-ea"/>
                <a:cs typeface="+mn-cs"/>
              </a:rPr>
              <a:t>التكاليف</a:t>
            </a:r>
            <a:r>
              <a:rPr lang="ar-SA" sz="1400" b="1" i="0" u="none" strike="noStrike" cap="all" baseline="0" dirty="0">
                <a:solidFill>
                  <a:sysClr val="windowText" lastClr="000000">
                    <a:lumMod val="65000"/>
                    <a:lumOff val="35000"/>
                  </a:sysClr>
                </a:solidFill>
                <a:latin typeface="Calibri" panose="020F0502020204030204"/>
              </a:rPr>
              <a:t> </a:t>
            </a:r>
            <a:r>
              <a:rPr lang="ar-SA" sz="1400" b="1" i="0" u="none" strike="noStrike" kern="1200" spc="0" baseline="0" dirty="0">
                <a:solidFill>
                  <a:srgbClr val="A4907E"/>
                </a:solidFill>
                <a:latin typeface="+mn-lt"/>
                <a:ea typeface="+mn-ea"/>
                <a:cs typeface="+mn-cs"/>
              </a:rPr>
              <a:t>الاخرى</a:t>
            </a:r>
          </a:p>
        </cx:rich>
      </cx:tx>
    </cx:title>
    <cx:plotArea>
      <cx:plotAreaRegion>
        <cx:series layoutId="treemap" uniqueId="{4A216023-3C54-4CDC-9254-CF23CED93CAC}">
          <cx:spPr>
            <a:solidFill>
              <a:schemeClr val="tx1"/>
            </a:solidFill>
          </cx:spPr>
          <cx:dataPt idx="0">
            <cx:spPr>
              <a:solidFill>
                <a:srgbClr val="957E6F"/>
              </a:solidFill>
            </cx:spPr>
          </cx:dataPt>
          <cx:dataPt idx="1">
            <cx:spPr>
              <a:solidFill>
                <a:srgbClr val="B29C85"/>
              </a:solidFill>
            </cx:spPr>
          </cx:dataPt>
          <cx:dataPt idx="2">
            <cx:spPr>
              <a:solidFill>
                <a:srgbClr val="D1C2B4"/>
              </a:solidFill>
            </cx:spPr>
          </cx:dataPt>
          <cx:dataPt idx="3">
            <cx:spPr>
              <a:solidFill>
                <a:srgbClr val="866C60"/>
              </a:solidFill>
            </cx:spPr>
          </cx:dataPt>
          <cx:dataPt idx="4">
            <cx:spPr>
              <a:solidFill>
                <a:srgbClr val="957E6F"/>
              </a:solidFill>
            </cx:spPr>
          </cx:dataPt>
          <cx:dataPt idx="5">
            <cx:spPr>
              <a:solidFill>
                <a:srgbClr val="866C60"/>
              </a:solidFill>
            </cx:spPr>
          </cx:dataPt>
          <cx:dataPt idx="7">
            <cx:spPr>
              <a:solidFill>
                <a:srgbClr val="D1C2B4"/>
              </a:solidFill>
            </cx:spPr>
          </cx:dataPt>
          <cx:dataPt idx="8">
            <cx:spPr>
              <a:solidFill>
                <a:srgbClr val="B29C85"/>
              </a:solidFill>
            </cx:spPr>
          </cx:dataPt>
          <cx:dataPt idx="9">
            <cx:spPr>
              <a:solidFill>
                <a:srgbClr val="A4907E"/>
              </a:solidFill>
            </cx:spPr>
          </cx:dataPt>
          <cx:dataPt idx="10">
            <cx:spPr>
              <a:solidFill>
                <a:srgbClr val="C1AF9C"/>
              </a:solidFill>
            </cx:spPr>
          </cx:dataPt>
          <cx:dataPt idx="11">
            <cx:spPr>
              <a:solidFill>
                <a:srgbClr val="E0D5CB"/>
              </a:solidFill>
            </cx:spPr>
          </cx:dataPt>
          <cx:dataPt idx="12">
            <cx:spPr>
              <a:solidFill>
                <a:srgbClr val="C1AF9C"/>
              </a:solidFill>
            </cx:spPr>
          </cx:dataPt>
          <cx:dataPt idx="13">
            <cx:spPr>
              <a:solidFill>
                <a:srgbClr val="F0E8E3"/>
              </a:solidFill>
            </cx:spPr>
          </cx:dataPt>
          <cx:dataPt idx="14">
            <cx:spPr>
              <a:solidFill>
                <a:srgbClr val="A4907E"/>
              </a:solidFill>
            </cx:spPr>
          </cx:dataPt>
          <cx:dataPt idx="15">
            <cx:spPr>
              <a:solidFill>
                <a:srgbClr val="887262"/>
              </a:solidFill>
            </cx:spPr>
          </cx:dataPt>
          <cx:dataLabels>
            <cx:txPr>
              <a:bodyPr spcFirstLastPara="1" vertOverflow="ellipsis" horzOverflow="overflow" wrap="square" lIns="0" tIns="0" rIns="0" bIns="0" anchor="ctr" anchorCtr="1"/>
              <a:lstStyle/>
              <a:p>
                <a:pPr algn="ctr" rtl="0">
                  <a:defRPr sz="1600" baseline="0">
                    <a:cs typeface="Calibri" panose="020F0502020204030204" pitchFamily="34" charset="0"/>
                  </a:defRPr>
                </a:pPr>
                <a:endParaRPr lang="ar-SA" sz="1600" b="1" i="0" u="none" strike="noStrike" baseline="0">
                  <a:solidFill>
                    <a:sysClr val="window" lastClr="FFFFFF"/>
                  </a:solidFill>
                  <a:latin typeface="Calibri" panose="020F0502020204030204"/>
                  <a:cs typeface="Calibri" panose="020F0502020204030204" pitchFamily="34" charset="0"/>
                </a:endParaRPr>
              </a:p>
            </cx:txPr>
            <cx:visibility seriesName="0" categoryName="1" value="0"/>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586154</xdr:colOff>
      <xdr:row>0</xdr:row>
      <xdr:rowOff>149080</xdr:rowOff>
    </xdr:from>
    <xdr:to>
      <xdr:col>5</xdr:col>
      <xdr:colOff>601719</xdr:colOff>
      <xdr:row>11</xdr:row>
      <xdr:rowOff>117232</xdr:rowOff>
    </xdr:to>
    <xdr:pic>
      <xdr:nvPicPr>
        <xdr:cNvPr id="3" name="صورة 2">
          <a:extLst>
            <a:ext uri="{FF2B5EF4-FFF2-40B4-BE49-F238E27FC236}">
              <a16:creationId xmlns:a16="http://schemas.microsoft.com/office/drawing/2014/main" id="{59CB2BD2-FCC9-4A45-998E-E402998E396B}"/>
            </a:ext>
          </a:extLst>
        </xdr:cNvPr>
        <xdr:cNvPicPr>
          <a:picLocks noChangeAspect="1"/>
        </xdr:cNvPicPr>
      </xdr:nvPicPr>
      <xdr:blipFill>
        <a:blip xmlns:r="http://schemas.openxmlformats.org/officeDocument/2006/relationships" r:embed="rId1"/>
        <a:stretch>
          <a:fillRect/>
        </a:stretch>
      </xdr:blipFill>
      <xdr:spPr>
        <a:xfrm>
          <a:off x="10921590389" y="149080"/>
          <a:ext cx="3906996" cy="1587402"/>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95251</xdr:colOff>
      <xdr:row>73</xdr:row>
      <xdr:rowOff>194581</xdr:rowOff>
    </xdr:from>
    <xdr:to>
      <xdr:col>5</xdr:col>
      <xdr:colOff>680358</xdr:colOff>
      <xdr:row>92</xdr:row>
      <xdr:rowOff>95250</xdr:rowOff>
    </xdr:to>
    <xdr:graphicFrame macro="">
      <xdr:nvGraphicFramePr>
        <xdr:cNvPr id="6" name="Chart 5">
          <a:extLst>
            <a:ext uri="{FF2B5EF4-FFF2-40B4-BE49-F238E27FC236}">
              <a16:creationId xmlns:a16="http://schemas.microsoft.com/office/drawing/2014/main" id="{137E0C52-DD0F-886D-7F10-79F53BFF1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661211</xdr:colOff>
      <xdr:row>73</xdr:row>
      <xdr:rowOff>205417</xdr:rowOff>
    </xdr:from>
    <xdr:to>
      <xdr:col>9</xdr:col>
      <xdr:colOff>205189</xdr:colOff>
      <xdr:row>91</xdr:row>
      <xdr:rowOff>183007</xdr:rowOff>
    </xdr:to>
    <xdr:graphicFrame macro="">
      <xdr:nvGraphicFramePr>
        <xdr:cNvPr id="9" name="Chart 8">
          <a:extLst>
            <a:ext uri="{FF2B5EF4-FFF2-40B4-BE49-F238E27FC236}">
              <a16:creationId xmlns:a16="http://schemas.microsoft.com/office/drawing/2014/main" id="{C222972C-FCD9-9462-DEEF-6050FAE4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305406</xdr:colOff>
      <xdr:row>74</xdr:row>
      <xdr:rowOff>76151</xdr:rowOff>
    </xdr:from>
    <xdr:to>
      <xdr:col>11</xdr:col>
      <xdr:colOff>123825</xdr:colOff>
      <xdr:row>91</xdr:row>
      <xdr:rowOff>76200</xdr:rowOff>
    </xdr:to>
    <xdr:graphicFrame macro="">
      <xdr:nvGraphicFramePr>
        <xdr:cNvPr id="13" name="Chart 12">
          <a:extLst>
            <a:ext uri="{FF2B5EF4-FFF2-40B4-BE49-F238E27FC236}">
              <a16:creationId xmlns:a16="http://schemas.microsoft.com/office/drawing/2014/main" id="{59C721F8-E00E-4CF5-A952-3080CAC61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340179</xdr:colOff>
      <xdr:row>142</xdr:row>
      <xdr:rowOff>13608</xdr:rowOff>
    </xdr:from>
    <xdr:to>
      <xdr:col>11</xdr:col>
      <xdr:colOff>44823</xdr:colOff>
      <xdr:row>162</xdr:row>
      <xdr:rowOff>27215</xdr:rowOff>
    </xdr:to>
    <xdr:graphicFrame macro="">
      <xdr:nvGraphicFramePr>
        <xdr:cNvPr id="5" name="Chart 4">
          <a:extLst>
            <a:ext uri="{FF2B5EF4-FFF2-40B4-BE49-F238E27FC236}">
              <a16:creationId xmlns:a16="http://schemas.microsoft.com/office/drawing/2014/main" id="{0CFFE428-315B-43F7-A4CC-F48B79C2A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3333750</xdr:colOff>
      <xdr:row>116</xdr:row>
      <xdr:rowOff>258535</xdr:rowOff>
    </xdr:from>
    <xdr:to>
      <xdr:col>9</xdr:col>
      <xdr:colOff>971711</xdr:colOff>
      <xdr:row>135</xdr:row>
      <xdr:rowOff>176893</xdr:rowOff>
    </xdr:to>
    <mc:AlternateContent xmlns:mc="http://schemas.openxmlformats.org/markup-compatibility/2006">
      <mc:Choice xmlns:cx1="http://schemas.microsoft.com/office/drawing/2015/9/8/chartex" Requires="cx1">
        <xdr:graphicFrame macro="">
          <xdr:nvGraphicFramePr>
            <xdr:cNvPr id="7" name="Chart 9">
              <a:extLst>
                <a:ext uri="{FF2B5EF4-FFF2-40B4-BE49-F238E27FC236}">
                  <a16:creationId xmlns:a16="http://schemas.microsoft.com/office/drawing/2014/main" id="{6A9A4D8B-D1D4-41C9-A47F-0710FFF6C7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235337414" y="26509435"/>
              <a:ext cx="12373136" cy="4461783"/>
            </a:xfrm>
            <a:prstGeom prst="rect">
              <a:avLst/>
            </a:prstGeom>
            <a:solidFill>
              <a:prstClr val="white"/>
            </a:solidFill>
            <a:ln w="1">
              <a:solidFill>
                <a:prstClr val="green"/>
              </a:solidFill>
            </a:ln>
          </xdr:spPr>
          <xdr:txBody>
            <a:bodyPr vertOverflow="clip" horzOverflow="clip"/>
            <a:lstStyle/>
            <a:p>
              <a:r>
                <a:rPr lang="ar-SA" sz="1100"/>
                <a:t>هذا المخطط غير متوفر في إصدار Excel.‏
سيؤدي تحرير هذا الشكل أو حفظ هذا المصنف بتنسيق ملف مختلف إلى تعطيل التخطيط بشكل دائم.</a:t>
              </a:r>
            </a:p>
          </xdr:txBody>
        </xdr:sp>
      </mc:Fallback>
    </mc:AlternateContent>
    <xdr:clientData/>
  </xdr:twoCellAnchor>
  <xdr:twoCellAnchor>
    <xdr:from>
      <xdr:col>2</xdr:col>
      <xdr:colOff>81643</xdr:colOff>
      <xdr:row>115</xdr:row>
      <xdr:rowOff>68036</xdr:rowOff>
    </xdr:from>
    <xdr:to>
      <xdr:col>11</xdr:col>
      <xdr:colOff>54429</xdr:colOff>
      <xdr:row>138</xdr:row>
      <xdr:rowOff>87087</xdr:rowOff>
    </xdr:to>
    <xdr:graphicFrame macro="">
      <xdr:nvGraphicFramePr>
        <xdr:cNvPr id="8" name="مخطط 7">
          <a:extLst>
            <a:ext uri="{FF2B5EF4-FFF2-40B4-BE49-F238E27FC236}">
              <a16:creationId xmlns:a16="http://schemas.microsoft.com/office/drawing/2014/main" id="{ED99E100-5E50-4651-8902-117868039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My%20work\1-%20&#1583;&#1585;&#1575;&#1587;&#1575;&#1578;%20&#1605;&#1575;&#1604;&#1610;&#1577;%20&#1593;&#1605;&#1585;%20-%20&#1593;&#1576;&#1583;&#1575;&#1604;&#1604;&#1607;\&#1583;&#1585;&#1575;&#1587;&#1577;%20&#1605;&#1575;&#1604;&#1610;&#1577;%20-%20&#1593;&#1605;&#1585;\&#1605;&#1585;&#1581;&#1604;&#1577;%20&#1575;&#1604;&#1578;&#1606;&#1601;&#1610;&#1584;\&#1589;&#1601;&#1575;%20-%20&#1602;&#1585;&#1591;&#1576;&#1577;\New%20folder\Safa%20Rasf%20-%20Fund%20Model%20-%20QUR%20229k%20(Phase%20I%20-%20Infra%20Only)%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erGuide"/>
      <sheetName val="FundSummary"/>
      <sheetName val="Dashboard_F"/>
      <sheetName val="ProjectsSummary"/>
      <sheetName val="ScenarioAnalysis"/>
      <sheetName val="Assump_Areas"/>
      <sheetName val="Assump_Global"/>
      <sheetName val="Assump_Main"/>
      <sheetName val="Assump_Overrides"/>
      <sheetName val="Calc_Projects"/>
      <sheetName val="Calc_Fund"/>
      <sheetName val="Charts"/>
      <sheetName val="Audit"/>
      <sheetName val="Temp"/>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1">
          <cell r="G11">
            <v>0</v>
          </cell>
        </row>
        <row r="12">
          <cell r="G12">
            <v>0</v>
          </cell>
        </row>
        <row r="13">
          <cell r="G13">
            <v>0</v>
          </cell>
        </row>
      </sheetData>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AA245A-7129-4B41-99F9-BE2E935500F1}" name="الجدول1" displayName="الجدول1" ref="S144:T160" totalsRowShown="0" headerRowDxfId="6" dataDxfId="4" headerRowBorderDxfId="5" tableBorderDxfId="3" totalsRowBorderDxfId="2">
  <autoFilter ref="S144:T160" xr:uid="{4AAA245A-7129-4B41-99F9-BE2E935500F1}">
    <filterColumn colId="0" hiddenButton="1"/>
    <filterColumn colId="1" hiddenButton="1"/>
  </autoFilter>
  <tableColumns count="2">
    <tableColumn id="1" xr3:uid="{32B2B6D7-1884-4577-A1F3-34E611962740}" name="البند" dataDxfId="1"/>
    <tableColumn id="2" xr3:uid="{DA11BC98-2FB8-4274-A1C6-C25B3FDA19C8}" name="القيمة" dataDxfId="0">
      <calculatedColumnFormula>Study!C86</calculatedColumnFormula>
    </tableColumn>
  </tableColumns>
  <tableStyleInfo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3274-562F-4974-82C7-706E6B81DA38}">
  <dimension ref="A2:Z664"/>
  <sheetViews>
    <sheetView rightToLeft="1" workbookViewId="0">
      <selection activeCell="C17" sqref="C17"/>
    </sheetView>
  </sheetViews>
  <sheetFormatPr defaultRowHeight="14.25" x14ac:dyDescent="0.2"/>
  <cols>
    <col min="1" max="1" width="21.875" style="731" bestFit="1" customWidth="1"/>
    <col min="2" max="2" width="29.625" style="731" bestFit="1" customWidth="1"/>
    <col min="3" max="3" width="15.25" style="758" bestFit="1" customWidth="1"/>
    <col min="4" max="4" width="17.125" style="731" bestFit="1" customWidth="1"/>
    <col min="5" max="5" width="9.875" style="731" bestFit="1" customWidth="1"/>
    <col min="6" max="6" width="11" style="731" bestFit="1" customWidth="1"/>
    <col min="7" max="12" width="9.875" style="759" bestFit="1" customWidth="1"/>
    <col min="13" max="16" width="9" style="759"/>
    <col min="17" max="17" width="9.875" style="759" bestFit="1" customWidth="1"/>
    <col min="18" max="18" width="8" style="759" bestFit="1" customWidth="1"/>
    <col min="19" max="19" width="8.875" style="759" bestFit="1" customWidth="1"/>
    <col min="20" max="22" width="8" style="759" bestFit="1" customWidth="1"/>
    <col min="23" max="23" width="8.875" style="759" bestFit="1" customWidth="1"/>
    <col min="24" max="26" width="8" style="759" bestFit="1" customWidth="1"/>
  </cols>
  <sheetData>
    <row r="2" spans="1:26" ht="101.25" x14ac:dyDescent="0.2">
      <c r="A2" s="730" t="str">
        <f>Study!CF1</f>
        <v>القالب الموحّد الشامل لبنود دراسة الجدوى | Master Feasibility Template</v>
      </c>
      <c r="B2" s="730">
        <f>Study!CG1</f>
        <v>0</v>
      </c>
      <c r="C2" s="730">
        <f>Study!CH1</f>
        <v>0</v>
      </c>
      <c r="D2" s="730">
        <f>Study!CI1</f>
        <v>0</v>
      </c>
      <c r="E2" s="730">
        <f>Study!CJ1</f>
        <v>0</v>
      </c>
      <c r="F2" s="730">
        <f>Study!CK1</f>
        <v>0</v>
      </c>
      <c r="G2" s="731"/>
      <c r="H2" s="731"/>
      <c r="I2" s="731"/>
      <c r="J2" s="731"/>
      <c r="K2" s="731"/>
      <c r="L2" s="731"/>
      <c r="M2" s="731"/>
      <c r="N2" s="731"/>
      <c r="O2" s="731"/>
      <c r="P2" s="731"/>
      <c r="Q2" s="731"/>
      <c r="R2" s="731"/>
      <c r="S2" s="731"/>
      <c r="T2" s="731"/>
      <c r="U2" s="731"/>
      <c r="V2" s="731"/>
      <c r="W2" s="731"/>
      <c r="X2" s="731"/>
      <c r="Y2" s="731"/>
      <c r="Z2" s="731"/>
    </row>
    <row r="3" spans="1:26" ht="38.25" x14ac:dyDescent="0.2">
      <c r="A3" s="732" t="str">
        <f>Study!CF2</f>
        <v>قالب ثابت يشمل كل المكوّنات والأقسام (حتى الفارغة) | مراجع حية داخل ورقة Study</v>
      </c>
      <c r="B3" s="732">
        <f>Study!CG2</f>
        <v>0</v>
      </c>
      <c r="C3" s="732">
        <f>Study!CH2</f>
        <v>0</v>
      </c>
      <c r="D3" s="732">
        <f>Study!CI2</f>
        <v>0</v>
      </c>
      <c r="E3" s="732">
        <f>Study!CJ2</f>
        <v>0</v>
      </c>
      <c r="F3" s="732">
        <f>Study!CK2</f>
        <v>0</v>
      </c>
      <c r="G3" s="731"/>
      <c r="H3" s="731"/>
      <c r="I3" s="731"/>
      <c r="J3" s="731"/>
      <c r="K3" s="731"/>
      <c r="L3" s="731"/>
      <c r="M3" s="731"/>
      <c r="N3" s="731"/>
      <c r="O3" s="731"/>
      <c r="P3" s="731"/>
      <c r="Q3" s="731"/>
      <c r="R3" s="731"/>
      <c r="S3" s="731"/>
      <c r="T3" s="731"/>
      <c r="U3" s="731"/>
      <c r="V3" s="731"/>
      <c r="W3" s="731"/>
      <c r="X3" s="731"/>
      <c r="Y3" s="731"/>
      <c r="Z3" s="731"/>
    </row>
    <row r="4" spans="1:26" ht="22.5" x14ac:dyDescent="0.2">
      <c r="A4" s="731">
        <f>Study!CF3</f>
        <v>0</v>
      </c>
      <c r="B4" s="731">
        <f>Study!CG3</f>
        <v>0</v>
      </c>
      <c r="C4" s="758">
        <f>Study!CH3</f>
        <v>0</v>
      </c>
      <c r="D4" s="731">
        <f>Study!CI3</f>
        <v>0</v>
      </c>
      <c r="E4" s="731">
        <f>Study!CJ3</f>
        <v>0</v>
      </c>
      <c r="F4" s="731">
        <f>Study!CK3</f>
        <v>0</v>
      </c>
      <c r="G4" s="731"/>
      <c r="H4" s="731"/>
      <c r="I4" s="731"/>
      <c r="J4" s="731"/>
      <c r="K4" s="731"/>
      <c r="L4" s="731"/>
      <c r="M4" s="731"/>
      <c r="N4" s="731"/>
      <c r="O4" s="731"/>
      <c r="P4" s="731"/>
      <c r="Q4" s="731"/>
      <c r="R4" s="731"/>
      <c r="S4" s="731"/>
      <c r="T4" s="731"/>
      <c r="U4" s="731"/>
      <c r="V4" s="731"/>
      <c r="W4" s="731"/>
      <c r="X4" s="731"/>
      <c r="Y4" s="731"/>
      <c r="Z4" s="731"/>
    </row>
    <row r="5" spans="1:26" ht="15" x14ac:dyDescent="0.2">
      <c r="A5" s="733" t="str">
        <f>Study!CF4</f>
        <v>#</v>
      </c>
      <c r="B5" s="733" t="str">
        <f>Study!CG4</f>
        <v>اسم البند</v>
      </c>
      <c r="C5" s="760" t="str">
        <f>Study!CH4</f>
        <v>الناتج</v>
      </c>
      <c r="D5" s="733" t="str">
        <f>Study!CI4</f>
        <v>الفئة</v>
      </c>
      <c r="E5" s="733" t="str">
        <f>Study!CJ4</f>
        <v>مصدر الخلية</v>
      </c>
      <c r="F5" s="733" t="str">
        <f>Study!CK4</f>
        <v>ملاحظة / الوحدة</v>
      </c>
      <c r="G5" s="731"/>
      <c r="H5" s="731"/>
      <c r="I5" s="731"/>
      <c r="J5" s="731"/>
      <c r="K5" s="731"/>
      <c r="L5" s="731"/>
      <c r="M5" s="731"/>
      <c r="N5" s="731"/>
      <c r="O5" s="731"/>
      <c r="P5" s="731"/>
      <c r="Q5" s="731"/>
      <c r="R5" s="731"/>
      <c r="S5" s="731"/>
      <c r="T5" s="731"/>
      <c r="U5" s="731"/>
      <c r="V5" s="731"/>
      <c r="W5" s="731"/>
      <c r="X5" s="731"/>
      <c r="Y5" s="731"/>
      <c r="Z5" s="731"/>
    </row>
    <row r="6" spans="1:26" ht="15" x14ac:dyDescent="0.2">
      <c r="A6" s="734" t="str">
        <f>Study!CF5</f>
        <v>▌ معلومات المشروع</v>
      </c>
      <c r="B6" s="734">
        <f>Study!CG5</f>
        <v>0</v>
      </c>
      <c r="C6" s="761">
        <f>Study!CH5</f>
        <v>0</v>
      </c>
      <c r="D6" s="734">
        <f>Study!CI5</f>
        <v>0</v>
      </c>
      <c r="E6" s="734">
        <f>Study!CJ5</f>
        <v>0</v>
      </c>
      <c r="F6" s="734">
        <f>Study!CK5</f>
        <v>0</v>
      </c>
      <c r="G6" s="731"/>
      <c r="H6" s="731"/>
      <c r="I6" s="731"/>
      <c r="J6" s="731"/>
      <c r="K6" s="731"/>
      <c r="L6" s="731"/>
      <c r="M6" s="731"/>
      <c r="N6" s="731"/>
      <c r="O6" s="731"/>
      <c r="P6" s="731"/>
      <c r="Q6" s="731"/>
      <c r="R6" s="731"/>
      <c r="S6" s="731"/>
      <c r="T6" s="731"/>
      <c r="U6" s="731"/>
      <c r="V6" s="731"/>
      <c r="W6" s="731"/>
      <c r="X6" s="731"/>
      <c r="Y6" s="731"/>
      <c r="Z6" s="731"/>
    </row>
    <row r="7" spans="1:26" ht="38.25" customHeight="1" x14ac:dyDescent="0.2">
      <c r="A7" s="735">
        <f>Study!CF6</f>
        <v>1</v>
      </c>
      <c r="B7" s="736" t="str">
        <f>Study!CG6</f>
        <v>اسم المشروع</v>
      </c>
      <c r="C7" s="762" t="s">
        <v>1791</v>
      </c>
      <c r="D7" s="736" t="str">
        <f>Study!CI6</f>
        <v>معلومات المشروع</v>
      </c>
      <c r="E7" s="738" t="str">
        <f>Study!CJ6</f>
        <v>F2</v>
      </c>
      <c r="F7" s="736" t="str">
        <f>Study!CK6</f>
        <v>هوية المشروع</v>
      </c>
      <c r="G7" s="731"/>
      <c r="H7" s="731"/>
      <c r="I7" s="731"/>
      <c r="J7" s="731"/>
      <c r="K7" s="731"/>
      <c r="L7" s="731"/>
      <c r="M7" s="731"/>
      <c r="N7" s="731"/>
      <c r="O7" s="731"/>
      <c r="P7" s="731"/>
      <c r="Q7" s="731"/>
      <c r="R7" s="731"/>
      <c r="S7" s="731"/>
      <c r="T7" s="731"/>
      <c r="U7" s="731"/>
      <c r="V7" s="731"/>
      <c r="W7" s="731"/>
      <c r="X7" s="731"/>
      <c r="Y7" s="731"/>
      <c r="Z7" s="731"/>
    </row>
    <row r="8" spans="1:26" x14ac:dyDescent="0.2">
      <c r="A8" s="739">
        <f>Study!CF7</f>
        <v>2</v>
      </c>
      <c r="B8" s="740" t="str">
        <f>Study!CG7</f>
        <v>موقع المشروع</v>
      </c>
      <c r="C8" s="763" t="s">
        <v>1792</v>
      </c>
      <c r="D8" s="740" t="str">
        <f>Study!CI7</f>
        <v>معلومات المشروع</v>
      </c>
      <c r="E8" s="742" t="str">
        <f>Study!CJ7</f>
        <v>F3</v>
      </c>
      <c r="F8" s="740">
        <f>Study!CK7</f>
        <v>0</v>
      </c>
      <c r="G8" s="731"/>
      <c r="H8" s="731"/>
      <c r="I8" s="731"/>
      <c r="J8" s="731"/>
      <c r="K8" s="731"/>
      <c r="L8" s="731"/>
      <c r="M8" s="731"/>
      <c r="N8" s="731"/>
      <c r="O8" s="731"/>
      <c r="P8" s="731"/>
      <c r="Q8" s="731"/>
      <c r="R8" s="731"/>
      <c r="S8" s="731"/>
      <c r="T8" s="731"/>
      <c r="U8" s="731"/>
      <c r="V8" s="731"/>
      <c r="W8" s="731"/>
      <c r="X8" s="731"/>
      <c r="Y8" s="731"/>
      <c r="Z8" s="731"/>
    </row>
    <row r="9" spans="1:26" ht="15" x14ac:dyDescent="0.2">
      <c r="A9" s="734" t="str">
        <f>Study!CF8</f>
        <v>▌ ملخص الدراسة</v>
      </c>
      <c r="B9" s="734">
        <f>Study!CG8</f>
        <v>0</v>
      </c>
      <c r="C9" s="761">
        <f>Study!CH8</f>
        <v>0</v>
      </c>
      <c r="D9" s="734">
        <f>Study!CI8</f>
        <v>0</v>
      </c>
      <c r="E9" s="734">
        <f>Study!CJ8</f>
        <v>0</v>
      </c>
      <c r="F9" s="734">
        <f>Study!CK8</f>
        <v>0</v>
      </c>
      <c r="G9" s="731"/>
      <c r="H9" s="731"/>
      <c r="I9" s="731"/>
      <c r="J9" s="731"/>
      <c r="K9" s="731"/>
      <c r="L9" s="731"/>
      <c r="M9" s="731"/>
      <c r="N9" s="731"/>
      <c r="O9" s="731"/>
      <c r="P9" s="731"/>
      <c r="Q9" s="731"/>
      <c r="R9" s="731"/>
      <c r="S9" s="731"/>
      <c r="T9" s="731"/>
      <c r="U9" s="731"/>
      <c r="V9" s="731"/>
      <c r="W9" s="731"/>
      <c r="X9" s="731"/>
      <c r="Y9" s="731"/>
      <c r="Z9" s="731"/>
    </row>
    <row r="10" spans="1:26" x14ac:dyDescent="0.2">
      <c r="A10" s="735">
        <f>Study!CF9</f>
        <v>3</v>
      </c>
      <c r="B10" s="736" t="str">
        <f>Study!CG9</f>
        <v>إجمالي الإيرادات</v>
      </c>
      <c r="C10" s="743">
        <f>Study!CH9</f>
        <v>313182586.6767391</v>
      </c>
      <c r="D10" s="736" t="str">
        <f>Study!CI9</f>
        <v>ملخص الدراسة</v>
      </c>
      <c r="E10" s="738" t="str">
        <f>Study!CJ9</f>
        <v>C17</v>
      </c>
      <c r="F10" s="736" t="str">
        <f>Study!CK9</f>
        <v>ريال سعودي</v>
      </c>
      <c r="G10" s="731"/>
      <c r="H10" s="731"/>
      <c r="I10" s="731"/>
      <c r="J10" s="731"/>
      <c r="K10" s="731"/>
      <c r="L10" s="731"/>
      <c r="M10" s="731"/>
      <c r="N10" s="731"/>
      <c r="O10" s="731"/>
      <c r="P10" s="731"/>
      <c r="Q10" s="731"/>
      <c r="R10" s="731"/>
      <c r="S10" s="731"/>
      <c r="T10" s="731"/>
      <c r="U10" s="731"/>
      <c r="V10" s="731"/>
      <c r="W10" s="731"/>
      <c r="X10" s="731"/>
      <c r="Y10" s="731"/>
      <c r="Z10" s="731"/>
    </row>
    <row r="11" spans="1:26" x14ac:dyDescent="0.2">
      <c r="A11" s="739">
        <f>Study!CF10</f>
        <v>4</v>
      </c>
      <c r="B11" s="740" t="str">
        <f>Study!CG10</f>
        <v>إجمالي تكلفة الأرض</v>
      </c>
      <c r="C11" s="744">
        <f>Study!CH10</f>
        <v>91847824</v>
      </c>
      <c r="D11" s="740" t="str">
        <f>Study!CI10</f>
        <v>ملخص الدراسة</v>
      </c>
      <c r="E11" s="742" t="str">
        <f>Study!CJ10</f>
        <v>C18</v>
      </c>
      <c r="F11" s="740" t="str">
        <f>Study!CK10</f>
        <v>ريال سعودي</v>
      </c>
      <c r="G11" s="731"/>
      <c r="H11" s="731"/>
      <c r="I11" s="731"/>
      <c r="J11" s="731"/>
      <c r="K11" s="731"/>
      <c r="L11" s="731"/>
      <c r="M11" s="731"/>
      <c r="N11" s="731"/>
      <c r="O11" s="731"/>
      <c r="P11" s="731"/>
      <c r="Q11" s="731"/>
      <c r="R11" s="731"/>
      <c r="S11" s="731"/>
      <c r="T11" s="731"/>
      <c r="U11" s="731"/>
      <c r="V11" s="731"/>
      <c r="W11" s="731"/>
      <c r="X11" s="731"/>
      <c r="Y11" s="731"/>
      <c r="Z11" s="731"/>
    </row>
    <row r="12" spans="1:26" x14ac:dyDescent="0.2">
      <c r="A12" s="735">
        <f>Study!CF11</f>
        <v>5</v>
      </c>
      <c r="B12" s="736" t="str">
        <f>Study!CG11</f>
        <v>إجمالي تكلفة البناء</v>
      </c>
      <c r="C12" s="743">
        <f>Study!CH11</f>
        <v>78265608</v>
      </c>
      <c r="D12" s="736" t="str">
        <f>Study!CI11</f>
        <v>ملخص الدراسة</v>
      </c>
      <c r="E12" s="738" t="str">
        <f>Study!CJ11</f>
        <v>C19</v>
      </c>
      <c r="F12" s="736" t="str">
        <f>Study!CK11</f>
        <v>ريال سعودي</v>
      </c>
      <c r="G12" s="731"/>
      <c r="H12" s="731"/>
      <c r="I12" s="731"/>
      <c r="J12" s="731"/>
      <c r="K12" s="731"/>
      <c r="L12" s="731"/>
      <c r="M12" s="731"/>
      <c r="N12" s="731"/>
      <c r="O12" s="731"/>
      <c r="P12" s="731"/>
      <c r="Q12" s="731"/>
      <c r="R12" s="731"/>
      <c r="S12" s="731"/>
      <c r="T12" s="731"/>
      <c r="U12" s="731"/>
      <c r="V12" s="731"/>
      <c r="W12" s="731"/>
      <c r="X12" s="731"/>
      <c r="Y12" s="731"/>
      <c r="Z12" s="731"/>
    </row>
    <row r="13" spans="1:26" x14ac:dyDescent="0.2">
      <c r="A13" s="739">
        <f>Study!CF12</f>
        <v>6</v>
      </c>
      <c r="B13" s="740" t="str">
        <f>Study!CG12</f>
        <v>إجمالي التكاليف الأخرى</v>
      </c>
      <c r="C13" s="744">
        <f>Study!CH12</f>
        <v>21170057.969719999</v>
      </c>
      <c r="D13" s="740" t="str">
        <f>Study!CI12</f>
        <v>ملخص الدراسة</v>
      </c>
      <c r="E13" s="742" t="str">
        <f>Study!CJ12</f>
        <v>C20</v>
      </c>
      <c r="F13" s="740" t="str">
        <f>Study!CK12</f>
        <v>ريال سعودي</v>
      </c>
      <c r="G13" s="731"/>
      <c r="H13" s="731"/>
      <c r="I13" s="731"/>
      <c r="J13" s="731"/>
      <c r="K13" s="731"/>
      <c r="L13" s="731"/>
      <c r="M13" s="731"/>
      <c r="N13" s="731"/>
      <c r="O13" s="731"/>
      <c r="P13" s="731"/>
      <c r="Q13" s="731"/>
      <c r="R13" s="731"/>
      <c r="S13" s="731"/>
      <c r="T13" s="731"/>
      <c r="U13" s="731"/>
      <c r="V13" s="731"/>
      <c r="W13" s="731"/>
      <c r="X13" s="731"/>
      <c r="Y13" s="731"/>
      <c r="Z13" s="731"/>
    </row>
    <row r="14" spans="1:26" x14ac:dyDescent="0.2">
      <c r="A14" s="735">
        <f>Study!CF13</f>
        <v>7</v>
      </c>
      <c r="B14" s="736" t="str">
        <f>Study!CG13</f>
        <v>إجمالي رسوم الصندوق</v>
      </c>
      <c r="C14" s="743">
        <f>Study!CH13</f>
        <v>22314657.199999999</v>
      </c>
      <c r="D14" s="736" t="str">
        <f>Study!CI13</f>
        <v>ملخص الدراسة</v>
      </c>
      <c r="E14" s="738" t="str">
        <f>Study!CJ13</f>
        <v>C21</v>
      </c>
      <c r="F14" s="736" t="str">
        <f>Study!CK13</f>
        <v>ريال سعودي</v>
      </c>
      <c r="G14" s="731"/>
      <c r="H14" s="731"/>
      <c r="I14" s="731"/>
      <c r="J14" s="731"/>
      <c r="K14" s="731"/>
      <c r="L14" s="731"/>
      <c r="M14" s="731"/>
      <c r="N14" s="731"/>
      <c r="O14" s="731"/>
      <c r="P14" s="731"/>
      <c r="Q14" s="731"/>
      <c r="R14" s="731"/>
      <c r="S14" s="731"/>
      <c r="T14" s="731"/>
      <c r="U14" s="731"/>
      <c r="V14" s="731"/>
      <c r="W14" s="731"/>
      <c r="X14" s="731"/>
      <c r="Y14" s="731"/>
      <c r="Z14" s="731"/>
    </row>
    <row r="15" spans="1:26" x14ac:dyDescent="0.2">
      <c r="A15" s="739">
        <f>Study!CF14</f>
        <v>8</v>
      </c>
      <c r="B15" s="740" t="str">
        <f>Study!CG14</f>
        <v>فوائد التمويل</v>
      </c>
      <c r="C15" s="744">
        <f>Study!CH14</f>
        <v>7141903.2737480383</v>
      </c>
      <c r="D15" s="740" t="str">
        <f>Study!CI14</f>
        <v>ملخص الدراسة</v>
      </c>
      <c r="E15" s="742" t="str">
        <f>Study!CJ14</f>
        <v>C22</v>
      </c>
      <c r="F15" s="740" t="str">
        <f>Study!CK14</f>
        <v>ريال سعودي</v>
      </c>
      <c r="G15" s="731"/>
      <c r="H15" s="731"/>
      <c r="I15" s="731"/>
      <c r="J15" s="731"/>
      <c r="K15" s="731"/>
      <c r="L15" s="731"/>
      <c r="M15" s="731"/>
      <c r="N15" s="731"/>
      <c r="O15" s="731"/>
      <c r="P15" s="731"/>
      <c r="Q15" s="731"/>
      <c r="R15" s="731"/>
      <c r="S15" s="731"/>
      <c r="T15" s="731"/>
      <c r="U15" s="731"/>
      <c r="V15" s="731"/>
      <c r="W15" s="731"/>
      <c r="X15" s="731"/>
      <c r="Y15" s="731"/>
      <c r="Z15" s="731"/>
    </row>
    <row r="16" spans="1:26" x14ac:dyDescent="0.2">
      <c r="A16" s="735">
        <f>Study!CF15</f>
        <v>9</v>
      </c>
      <c r="B16" s="736" t="str">
        <f>Study!CG15</f>
        <v>التمويل البنكي</v>
      </c>
      <c r="C16" s="743">
        <f>Study!CH15</f>
        <v>0</v>
      </c>
      <c r="D16" s="736" t="str">
        <f>Study!CI15</f>
        <v>ملخص الدراسة</v>
      </c>
      <c r="E16" s="738" t="str">
        <f>Study!CJ15</f>
        <v>C23</v>
      </c>
      <c r="F16" s="736" t="str">
        <f>Study!CK15</f>
        <v>ريال سعودي</v>
      </c>
      <c r="G16" s="731"/>
      <c r="H16" s="731"/>
      <c r="I16" s="731"/>
      <c r="J16" s="731"/>
      <c r="K16" s="731"/>
      <c r="L16" s="731"/>
      <c r="M16" s="731"/>
      <c r="N16" s="731"/>
      <c r="O16" s="731"/>
      <c r="P16" s="731"/>
      <c r="Q16" s="731"/>
      <c r="R16" s="731"/>
      <c r="S16" s="731"/>
      <c r="T16" s="731"/>
      <c r="U16" s="731"/>
      <c r="V16" s="731"/>
      <c r="W16" s="731"/>
      <c r="X16" s="731"/>
      <c r="Y16" s="731"/>
      <c r="Z16" s="731"/>
    </row>
    <row r="17" spans="1:26" x14ac:dyDescent="0.2">
      <c r="A17" s="739">
        <f>Study!CF16</f>
        <v>10</v>
      </c>
      <c r="B17" s="740" t="str">
        <f>Study!CG16</f>
        <v>إجمالي التكاليف الرأسمالية (CapEx)</v>
      </c>
      <c r="C17" s="744">
        <f>Study!CH16</f>
        <v>220740050.44346803</v>
      </c>
      <c r="D17" s="740" t="str">
        <f>Study!CI16</f>
        <v>ملخص الدراسة</v>
      </c>
      <c r="E17" s="742" t="str">
        <f>Study!CJ16</f>
        <v>C24</v>
      </c>
      <c r="F17" s="740" t="str">
        <f>Study!CK16</f>
        <v>ريال سعودي</v>
      </c>
      <c r="G17" s="731"/>
      <c r="H17" s="731"/>
      <c r="I17" s="731"/>
      <c r="J17" s="731"/>
      <c r="K17" s="731"/>
      <c r="L17" s="731"/>
      <c r="M17" s="731"/>
      <c r="N17" s="731"/>
      <c r="O17" s="731"/>
      <c r="P17" s="731"/>
      <c r="Q17" s="731"/>
      <c r="R17" s="731"/>
      <c r="S17" s="731"/>
      <c r="T17" s="731"/>
      <c r="U17" s="731"/>
      <c r="V17" s="731"/>
      <c r="W17" s="731"/>
      <c r="X17" s="731"/>
      <c r="Y17" s="731"/>
      <c r="Z17" s="731"/>
    </row>
    <row r="18" spans="1:26" x14ac:dyDescent="0.2">
      <c r="A18" s="735">
        <f>Study!CF17</f>
        <v>11</v>
      </c>
      <c r="B18" s="736" t="str">
        <f>Study!CG17</f>
        <v>إجمالي التكاليف التشغيلية (OpEx)</v>
      </c>
      <c r="C18" s="743">
        <f>Study!CH17</f>
        <v>6529315.5539999995</v>
      </c>
      <c r="D18" s="736" t="str">
        <f>Study!CI17</f>
        <v>ملخص الدراسة</v>
      </c>
      <c r="E18" s="738" t="str">
        <f>Study!CJ17</f>
        <v>C25</v>
      </c>
      <c r="F18" s="736" t="str">
        <f>Study!CK17</f>
        <v>ريال سعودي</v>
      </c>
      <c r="G18" s="731"/>
      <c r="H18" s="731"/>
      <c r="I18" s="731"/>
      <c r="J18" s="731"/>
      <c r="K18" s="731"/>
      <c r="L18" s="731"/>
      <c r="M18" s="731"/>
      <c r="N18" s="731"/>
      <c r="O18" s="731"/>
      <c r="P18" s="731"/>
      <c r="Q18" s="731"/>
      <c r="R18" s="731"/>
      <c r="S18" s="731"/>
      <c r="T18" s="731"/>
      <c r="U18" s="731"/>
      <c r="V18" s="731"/>
      <c r="W18" s="731"/>
      <c r="X18" s="731"/>
      <c r="Y18" s="731"/>
      <c r="Z18" s="731"/>
    </row>
    <row r="19" spans="1:26" x14ac:dyDescent="0.2">
      <c r="A19" s="739">
        <f>Study!CF18</f>
        <v>12</v>
      </c>
      <c r="B19" s="740" t="str">
        <f>Study!CG18</f>
        <v>صافي الدخل</v>
      </c>
      <c r="C19" s="744">
        <f>Study!CH18</f>
        <v>85913220.679271072</v>
      </c>
      <c r="D19" s="740" t="str">
        <f>Study!CI18</f>
        <v>ملخص الدراسة</v>
      </c>
      <c r="E19" s="742" t="str">
        <f>Study!CJ18</f>
        <v>C26</v>
      </c>
      <c r="F19" s="740" t="str">
        <f>Study!CK18</f>
        <v>ريال سعودي</v>
      </c>
      <c r="G19" s="731"/>
      <c r="H19" s="731"/>
      <c r="I19" s="731"/>
      <c r="J19" s="731"/>
      <c r="K19" s="731"/>
      <c r="L19" s="731"/>
      <c r="M19" s="731"/>
      <c r="N19" s="731"/>
      <c r="O19" s="731"/>
      <c r="P19" s="731"/>
      <c r="Q19" s="731"/>
      <c r="R19" s="731"/>
      <c r="S19" s="731"/>
      <c r="T19" s="731"/>
      <c r="U19" s="731"/>
      <c r="V19" s="731"/>
      <c r="W19" s="731"/>
      <c r="X19" s="731"/>
      <c r="Y19" s="731"/>
      <c r="Z19" s="731"/>
    </row>
    <row r="20" spans="1:26" x14ac:dyDescent="0.2">
      <c r="A20" s="735">
        <f>Study!CF19</f>
        <v>13</v>
      </c>
      <c r="B20" s="736" t="str">
        <f>Study!CG19</f>
        <v>مدة المشروع المتوقعة (سنوات)</v>
      </c>
      <c r="C20" s="745">
        <f ca="1">Study!CH19</f>
        <v>5</v>
      </c>
      <c r="D20" s="736" t="str">
        <f>Study!CI19</f>
        <v>ملخص الدراسة</v>
      </c>
      <c r="E20" s="738" t="str">
        <f>Study!CJ19</f>
        <v>C27</v>
      </c>
      <c r="F20" s="736" t="str">
        <f>Study!CK19</f>
        <v>سنة</v>
      </c>
      <c r="G20" s="731"/>
      <c r="H20" s="731"/>
      <c r="I20" s="731"/>
      <c r="J20" s="731"/>
      <c r="K20" s="731"/>
      <c r="L20" s="731"/>
      <c r="M20" s="731"/>
      <c r="N20" s="731"/>
      <c r="O20" s="731"/>
      <c r="P20" s="731"/>
      <c r="Q20" s="731"/>
      <c r="R20" s="731"/>
      <c r="S20" s="731"/>
      <c r="T20" s="731"/>
      <c r="U20" s="731"/>
      <c r="V20" s="731"/>
      <c r="W20" s="731"/>
      <c r="X20" s="731"/>
      <c r="Y20" s="731"/>
      <c r="Z20" s="731"/>
    </row>
    <row r="21" spans="1:26" ht="15" x14ac:dyDescent="0.2">
      <c r="A21" s="734" t="str">
        <f>Study!CF20</f>
        <v>▌ المؤشرات المالية</v>
      </c>
      <c r="B21" s="734">
        <f>Study!CG20</f>
        <v>0</v>
      </c>
      <c r="C21" s="734">
        <f>Study!CH20</f>
        <v>0</v>
      </c>
      <c r="D21" s="734">
        <f>Study!CI20</f>
        <v>0</v>
      </c>
      <c r="E21" s="734">
        <f>Study!CJ20</f>
        <v>0</v>
      </c>
      <c r="F21" s="734">
        <f>Study!CK20</f>
        <v>0</v>
      </c>
      <c r="G21" s="731"/>
      <c r="H21" s="731"/>
      <c r="I21" s="731"/>
      <c r="J21" s="731"/>
      <c r="K21" s="731"/>
      <c r="L21" s="731"/>
      <c r="M21" s="731"/>
      <c r="N21" s="731"/>
      <c r="O21" s="731"/>
      <c r="P21" s="731"/>
      <c r="Q21" s="731"/>
      <c r="R21" s="731"/>
      <c r="S21" s="731"/>
      <c r="T21" s="731"/>
      <c r="U21" s="731"/>
      <c r="V21" s="731"/>
      <c r="W21" s="731"/>
      <c r="X21" s="731"/>
      <c r="Y21" s="731"/>
      <c r="Z21" s="731"/>
    </row>
    <row r="22" spans="1:26" x14ac:dyDescent="0.2">
      <c r="A22" s="739">
        <f>Study!CF21</f>
        <v>14</v>
      </c>
      <c r="B22" s="740" t="str">
        <f>Study!CG21</f>
        <v>معدل العائد الداخلي (IRR)</v>
      </c>
      <c r="C22" s="746">
        <f>Study!CH21</f>
        <v>0.13308131098747253</v>
      </c>
      <c r="D22" s="740" t="str">
        <f>Study!CI21</f>
        <v>المؤشرات المالية</v>
      </c>
      <c r="E22" s="742" t="str">
        <f>Study!CJ21</f>
        <v>C28</v>
      </c>
      <c r="F22" s="740" t="str">
        <f>Study!CK21</f>
        <v>نسبة مئوية</v>
      </c>
      <c r="G22" s="731"/>
      <c r="H22" s="731"/>
      <c r="I22" s="731"/>
      <c r="J22" s="731"/>
      <c r="K22" s="731"/>
      <c r="L22" s="731"/>
      <c r="M22" s="731"/>
      <c r="N22" s="731"/>
      <c r="O22" s="731"/>
      <c r="P22" s="731"/>
      <c r="Q22" s="731"/>
      <c r="R22" s="731"/>
      <c r="S22" s="731"/>
      <c r="T22" s="731"/>
      <c r="U22" s="731"/>
      <c r="V22" s="731"/>
      <c r="W22" s="731"/>
      <c r="X22" s="731"/>
      <c r="Y22" s="731"/>
      <c r="Z22" s="731"/>
    </row>
    <row r="23" spans="1:26" x14ac:dyDescent="0.2">
      <c r="A23" s="735">
        <f>Study!CF22</f>
        <v>15</v>
      </c>
      <c r="B23" s="736" t="str">
        <f>Study!CG22</f>
        <v>العائد على الاستثمار (ROI)</v>
      </c>
      <c r="C23" s="747">
        <f>Study!CH22</f>
        <v>0.38920540475854254</v>
      </c>
      <c r="D23" s="736" t="str">
        <f>Study!CI22</f>
        <v>المؤشرات المالية</v>
      </c>
      <c r="E23" s="738" t="str">
        <f>Study!CJ22</f>
        <v>C30</v>
      </c>
      <c r="F23" s="736" t="str">
        <f>Study!CK22</f>
        <v>نسبة مئوية</v>
      </c>
      <c r="G23" s="731"/>
      <c r="H23" s="731"/>
      <c r="I23" s="731"/>
      <c r="J23" s="731"/>
      <c r="K23" s="731"/>
      <c r="L23" s="731"/>
      <c r="M23" s="731"/>
      <c r="N23" s="731"/>
      <c r="O23" s="731"/>
      <c r="P23" s="731"/>
      <c r="Q23" s="731"/>
      <c r="R23" s="731"/>
      <c r="S23" s="731"/>
      <c r="T23" s="731"/>
      <c r="U23" s="731"/>
      <c r="V23" s="731"/>
      <c r="W23" s="731"/>
      <c r="X23" s="731"/>
      <c r="Y23" s="731"/>
      <c r="Z23" s="731"/>
    </row>
    <row r="24" spans="1:26" x14ac:dyDescent="0.2">
      <c r="A24" s="739">
        <f>Study!CF23</f>
        <v>16</v>
      </c>
      <c r="B24" s="740" t="str">
        <f>Study!CG23</f>
        <v>العائد على الملكية (ROE)</v>
      </c>
      <c r="C24" s="746">
        <f>Study!CH23</f>
        <v>0.79248720297161024</v>
      </c>
      <c r="D24" s="740" t="str">
        <f>Study!CI23</f>
        <v>المؤشرات المالية</v>
      </c>
      <c r="E24" s="742" t="str">
        <f>Study!CJ23</f>
        <v>C32</v>
      </c>
      <c r="F24" s="740" t="str">
        <f>Study!CK23</f>
        <v>نسبة مئوية</v>
      </c>
      <c r="G24" s="731"/>
      <c r="H24" s="731"/>
      <c r="I24" s="731"/>
      <c r="J24" s="731"/>
      <c r="K24" s="731"/>
      <c r="L24" s="731"/>
      <c r="M24" s="731"/>
      <c r="N24" s="731"/>
      <c r="O24" s="731"/>
      <c r="P24" s="731"/>
      <c r="Q24" s="731"/>
      <c r="R24" s="731"/>
      <c r="S24" s="731"/>
      <c r="T24" s="731"/>
      <c r="U24" s="731"/>
      <c r="V24" s="731"/>
      <c r="W24" s="731"/>
      <c r="X24" s="731"/>
      <c r="Y24" s="731"/>
      <c r="Z24" s="731"/>
    </row>
    <row r="25" spans="1:26" x14ac:dyDescent="0.2">
      <c r="A25" s="735">
        <f>Study!CF24</f>
        <v>17</v>
      </c>
      <c r="B25" s="736" t="str">
        <f>Study!CG24</f>
        <v>العائد على الملكية السنوي</v>
      </c>
      <c r="C25" s="747">
        <f ca="1">Study!CH24</f>
        <v>0.15849744059432205</v>
      </c>
      <c r="D25" s="736" t="str">
        <f>Study!CI24</f>
        <v>المؤشرات المالية</v>
      </c>
      <c r="E25" s="738" t="str">
        <f>Study!CJ24</f>
        <v>C34</v>
      </c>
      <c r="F25" s="736" t="str">
        <f>Study!CK24</f>
        <v>نسبة مئوية</v>
      </c>
      <c r="G25" s="731"/>
      <c r="H25" s="731"/>
      <c r="I25" s="731"/>
      <c r="J25" s="731"/>
      <c r="K25" s="731"/>
      <c r="L25" s="731"/>
      <c r="M25" s="731"/>
      <c r="N25" s="731"/>
      <c r="O25" s="731"/>
      <c r="P25" s="731"/>
      <c r="Q25" s="731"/>
      <c r="R25" s="731"/>
      <c r="S25" s="731"/>
      <c r="T25" s="731"/>
      <c r="U25" s="731"/>
      <c r="V25" s="731"/>
      <c r="W25" s="731"/>
      <c r="X25" s="731"/>
      <c r="Y25" s="731"/>
      <c r="Z25" s="731"/>
    </row>
    <row r="26" spans="1:26" ht="15" x14ac:dyDescent="0.2">
      <c r="A26" s="734" t="str">
        <f>Study!CF25</f>
        <v>▌ الهيكلة المالية</v>
      </c>
      <c r="B26" s="734">
        <f>Study!CG25</f>
        <v>0</v>
      </c>
      <c r="C26" s="734">
        <f>Study!CH25</f>
        <v>0</v>
      </c>
      <c r="D26" s="734">
        <f>Study!CI25</f>
        <v>0</v>
      </c>
      <c r="E26" s="734">
        <f>Study!CJ25</f>
        <v>0</v>
      </c>
      <c r="F26" s="734">
        <f>Study!CK25</f>
        <v>0</v>
      </c>
      <c r="G26" s="731"/>
      <c r="H26" s="731"/>
      <c r="I26" s="731"/>
      <c r="J26" s="731"/>
      <c r="K26" s="731"/>
      <c r="L26" s="731"/>
      <c r="M26" s="731"/>
      <c r="N26" s="731"/>
      <c r="O26" s="731"/>
      <c r="P26" s="731"/>
      <c r="Q26" s="731"/>
      <c r="R26" s="731"/>
      <c r="S26" s="731"/>
      <c r="T26" s="731"/>
      <c r="U26" s="731"/>
      <c r="V26" s="731"/>
      <c r="W26" s="731"/>
      <c r="X26" s="731"/>
      <c r="Y26" s="731"/>
      <c r="Z26" s="731"/>
    </row>
    <row r="27" spans="1:26" x14ac:dyDescent="0.2">
      <c r="A27" s="739">
        <f>Study!CF26</f>
        <v>18</v>
      </c>
      <c r="B27" s="740" t="str">
        <f>Study!CG26</f>
        <v>الاشتراكات النقدية</v>
      </c>
      <c r="C27" s="744">
        <f>Study!CH26</f>
        <v>34500000</v>
      </c>
      <c r="D27" s="740" t="str">
        <f>Study!CI26</f>
        <v>الهيكلة المالية</v>
      </c>
      <c r="E27" s="742" t="str">
        <f>Study!CJ26</f>
        <v>H19</v>
      </c>
      <c r="F27" s="740" t="str">
        <f>Study!CK26</f>
        <v>ريال سعودي</v>
      </c>
      <c r="G27" s="731"/>
      <c r="H27" s="731"/>
      <c r="I27" s="731"/>
      <c r="J27" s="731"/>
      <c r="K27" s="731"/>
      <c r="L27" s="731"/>
      <c r="M27" s="731"/>
      <c r="N27" s="731"/>
      <c r="O27" s="731"/>
      <c r="P27" s="731"/>
      <c r="Q27" s="731"/>
      <c r="R27" s="731"/>
      <c r="S27" s="731"/>
      <c r="T27" s="731"/>
      <c r="U27" s="731"/>
      <c r="V27" s="731"/>
      <c r="W27" s="731"/>
      <c r="X27" s="731"/>
      <c r="Y27" s="731"/>
      <c r="Z27" s="731"/>
    </row>
    <row r="28" spans="1:26" x14ac:dyDescent="0.2">
      <c r="A28" s="735">
        <f>Study!CF27</f>
        <v>19</v>
      </c>
      <c r="B28" s="736" t="str">
        <f>Study!CG27</f>
        <v>نسبة الاشتراكات النقدية</v>
      </c>
      <c r="C28" s="747">
        <f>Study!CH27</f>
        <v>0.15629243506418206</v>
      </c>
      <c r="D28" s="736" t="str">
        <f>Study!CI27</f>
        <v>الهيكلة المالية</v>
      </c>
      <c r="E28" s="738" t="str">
        <f>Study!CJ27</f>
        <v>I19</v>
      </c>
      <c r="F28" s="736" t="str">
        <f>Study!CK27</f>
        <v>نسبة مئوية</v>
      </c>
      <c r="G28" s="731"/>
      <c r="H28" s="731"/>
      <c r="I28" s="731"/>
      <c r="J28" s="731"/>
      <c r="K28" s="731"/>
      <c r="L28" s="731"/>
      <c r="M28" s="731"/>
      <c r="N28" s="731"/>
      <c r="O28" s="731"/>
      <c r="P28" s="731"/>
      <c r="Q28" s="731"/>
      <c r="R28" s="731"/>
      <c r="S28" s="731"/>
      <c r="T28" s="731"/>
      <c r="U28" s="731"/>
      <c r="V28" s="731"/>
      <c r="W28" s="731"/>
      <c r="X28" s="731"/>
      <c r="Y28" s="731"/>
      <c r="Z28" s="731"/>
    </row>
    <row r="29" spans="1:26" x14ac:dyDescent="0.2">
      <c r="A29" s="739">
        <f>Study!CF28</f>
        <v>20</v>
      </c>
      <c r="B29" s="740" t="str">
        <f>Study!CG28</f>
        <v>الاشتراك من مدير الصندوق</v>
      </c>
      <c r="C29" s="744">
        <f>Study!CH28</f>
        <v>0</v>
      </c>
      <c r="D29" s="740" t="str">
        <f>Study!CI28</f>
        <v>الهيكلة المالية</v>
      </c>
      <c r="E29" s="742" t="str">
        <f>Study!CJ28</f>
        <v>H20</v>
      </c>
      <c r="F29" s="740" t="str">
        <f>Study!CK28</f>
        <v>ريال سعودي</v>
      </c>
      <c r="G29" s="731"/>
      <c r="H29" s="731"/>
      <c r="I29" s="731"/>
      <c r="J29" s="731"/>
      <c r="K29" s="731"/>
      <c r="L29" s="731"/>
      <c r="M29" s="731"/>
      <c r="N29" s="731"/>
      <c r="O29" s="731"/>
      <c r="P29" s="731"/>
      <c r="Q29" s="731"/>
      <c r="R29" s="731"/>
      <c r="S29" s="731"/>
      <c r="T29" s="731"/>
      <c r="U29" s="731"/>
      <c r="V29" s="731"/>
      <c r="W29" s="731"/>
      <c r="X29" s="731"/>
      <c r="Y29" s="731"/>
      <c r="Z29" s="731"/>
    </row>
    <row r="30" spans="1:26" x14ac:dyDescent="0.2">
      <c r="A30" s="735">
        <f>Study!CF29</f>
        <v>21</v>
      </c>
      <c r="B30" s="736" t="str">
        <f>Study!CG29</f>
        <v>الاشتراك النقدي من المطور</v>
      </c>
      <c r="C30" s="743">
        <f>Study!CH29</f>
        <v>11100000</v>
      </c>
      <c r="D30" s="736" t="str">
        <f>Study!CI29</f>
        <v>الهيكلة المالية</v>
      </c>
      <c r="E30" s="738" t="str">
        <f>Study!CJ29</f>
        <v>H21</v>
      </c>
      <c r="F30" s="736" t="str">
        <f>Study!CK29</f>
        <v>ريال سعودي</v>
      </c>
      <c r="G30" s="731"/>
      <c r="H30" s="731"/>
      <c r="I30" s="731"/>
      <c r="J30" s="731"/>
      <c r="K30" s="731"/>
      <c r="L30" s="731"/>
      <c r="M30" s="731"/>
      <c r="N30" s="731"/>
      <c r="O30" s="731"/>
      <c r="P30" s="731"/>
      <c r="Q30" s="731"/>
      <c r="R30" s="731"/>
      <c r="S30" s="731"/>
      <c r="T30" s="731"/>
      <c r="U30" s="731"/>
      <c r="V30" s="731"/>
      <c r="W30" s="731"/>
      <c r="X30" s="731"/>
      <c r="Y30" s="731"/>
      <c r="Z30" s="731"/>
    </row>
    <row r="31" spans="1:26" x14ac:dyDescent="0.2">
      <c r="A31" s="739">
        <f>Study!CF30</f>
        <v>22</v>
      </c>
      <c r="B31" s="740" t="str">
        <f>Study!CG30</f>
        <v>الاشتراك العيني من المطور</v>
      </c>
      <c r="C31" s="744">
        <f>Study!CH30</f>
        <v>0</v>
      </c>
      <c r="D31" s="740" t="str">
        <f>Study!CI30</f>
        <v>الهيكلة المالية</v>
      </c>
      <c r="E31" s="742" t="str">
        <f>Study!CJ30</f>
        <v>H22</v>
      </c>
      <c r="F31" s="740" t="str">
        <f>Study!CK30</f>
        <v>ريال سعودي</v>
      </c>
      <c r="G31" s="731"/>
      <c r="H31" s="731"/>
      <c r="I31" s="731"/>
      <c r="J31" s="731"/>
      <c r="K31" s="731"/>
      <c r="L31" s="731"/>
      <c r="M31" s="731"/>
      <c r="N31" s="731"/>
      <c r="O31" s="731"/>
      <c r="P31" s="731"/>
      <c r="Q31" s="731"/>
      <c r="R31" s="731"/>
      <c r="S31" s="731"/>
      <c r="T31" s="731"/>
      <c r="U31" s="731"/>
      <c r="V31" s="731"/>
      <c r="W31" s="731"/>
      <c r="X31" s="731"/>
      <c r="Y31" s="731"/>
      <c r="Z31" s="731"/>
    </row>
    <row r="32" spans="1:26" x14ac:dyDescent="0.2">
      <c r="A32" s="735">
        <f>Study!CF31</f>
        <v>23</v>
      </c>
      <c r="B32" s="736" t="str">
        <f>Study!CG31</f>
        <v>نسبة الاشتراك العيني من المطور</v>
      </c>
      <c r="C32" s="747">
        <f>Study!CH31</f>
        <v>0</v>
      </c>
      <c r="D32" s="736" t="str">
        <f>Study!CI31</f>
        <v>الهيكلة المالية</v>
      </c>
      <c r="E32" s="738" t="str">
        <f>Study!CJ31</f>
        <v>I22</v>
      </c>
      <c r="F32" s="736" t="str">
        <f>Study!CK31</f>
        <v>نسبة مئوية</v>
      </c>
      <c r="G32" s="731"/>
      <c r="H32" s="731"/>
      <c r="I32" s="731"/>
      <c r="J32" s="731"/>
      <c r="K32" s="731"/>
      <c r="L32" s="731"/>
      <c r="M32" s="731"/>
      <c r="N32" s="731"/>
      <c r="O32" s="731"/>
      <c r="P32" s="731"/>
      <c r="Q32" s="731"/>
      <c r="R32" s="731"/>
      <c r="S32" s="731"/>
      <c r="T32" s="731"/>
      <c r="U32" s="731"/>
      <c r="V32" s="731"/>
      <c r="W32" s="731"/>
      <c r="X32" s="731"/>
      <c r="Y32" s="731"/>
      <c r="Z32" s="731"/>
    </row>
    <row r="33" spans="1:26" x14ac:dyDescent="0.2">
      <c r="A33" s="739">
        <f>Study!CF32</f>
        <v>24</v>
      </c>
      <c r="B33" s="740" t="str">
        <f>Study!CG32</f>
        <v>الاشتراك العيني من مالك الأرض</v>
      </c>
      <c r="C33" s="744">
        <f>Study!CH32</f>
        <v>62809599.999999993</v>
      </c>
      <c r="D33" s="740" t="str">
        <f>Study!CI32</f>
        <v>الهيكلة المالية</v>
      </c>
      <c r="E33" s="742" t="str">
        <f>Study!CJ32</f>
        <v>H23</v>
      </c>
      <c r="F33" s="740" t="str">
        <f>Study!CK32</f>
        <v>ريال سعودي</v>
      </c>
      <c r="G33" s="731"/>
      <c r="H33" s="731"/>
      <c r="I33" s="731"/>
      <c r="J33" s="731"/>
      <c r="K33" s="731"/>
      <c r="L33" s="731"/>
      <c r="M33" s="731"/>
      <c r="N33" s="731"/>
      <c r="O33" s="731"/>
      <c r="P33" s="731"/>
      <c r="Q33" s="731"/>
      <c r="R33" s="731"/>
      <c r="S33" s="731"/>
      <c r="T33" s="731"/>
      <c r="U33" s="731"/>
      <c r="V33" s="731"/>
      <c r="W33" s="731"/>
      <c r="X33" s="731"/>
      <c r="Y33" s="731"/>
      <c r="Z33" s="731"/>
    </row>
    <row r="34" spans="1:26" x14ac:dyDescent="0.2">
      <c r="A34" s="735">
        <f>Study!CF33</f>
        <v>25</v>
      </c>
      <c r="B34" s="736" t="str">
        <f>Study!CG33</f>
        <v>نسبة الاشتراك العيني من مالك الأرض</v>
      </c>
      <c r="C34" s="747">
        <f>Study!CH33</f>
        <v>0.28454102404078979</v>
      </c>
      <c r="D34" s="736" t="str">
        <f>Study!CI33</f>
        <v>الهيكلة المالية</v>
      </c>
      <c r="E34" s="738" t="str">
        <f>Study!CJ33</f>
        <v>I23</v>
      </c>
      <c r="F34" s="736" t="str">
        <f>Study!CK33</f>
        <v>نسبة مئوية</v>
      </c>
      <c r="G34" s="731"/>
      <c r="H34" s="731"/>
      <c r="I34" s="731"/>
      <c r="J34" s="731"/>
      <c r="K34" s="731"/>
      <c r="L34" s="731"/>
      <c r="M34" s="731"/>
      <c r="N34" s="731"/>
      <c r="O34" s="731"/>
      <c r="P34" s="731"/>
      <c r="Q34" s="731"/>
      <c r="R34" s="731"/>
      <c r="S34" s="731"/>
      <c r="T34" s="731"/>
      <c r="U34" s="731"/>
      <c r="V34" s="731"/>
      <c r="W34" s="731"/>
      <c r="X34" s="731"/>
      <c r="Y34" s="731"/>
      <c r="Z34" s="731"/>
    </row>
    <row r="35" spans="1:26" x14ac:dyDescent="0.2">
      <c r="A35" s="739">
        <f>Study!CF34</f>
        <v>26</v>
      </c>
      <c r="B35" s="740" t="str">
        <f>Study!CG34</f>
        <v>إجمالي الملكية</v>
      </c>
      <c r="C35" s="744">
        <f>Study!CH34</f>
        <v>108409600</v>
      </c>
      <c r="D35" s="740" t="str">
        <f>Study!CI34</f>
        <v>الهيكلة المالية</v>
      </c>
      <c r="E35" s="742" t="str">
        <f>Study!CJ34</f>
        <v>H24</v>
      </c>
      <c r="F35" s="740" t="str">
        <f>Study!CK34</f>
        <v>ريال سعودي</v>
      </c>
      <c r="G35" s="731"/>
      <c r="H35" s="731"/>
      <c r="I35" s="731"/>
      <c r="J35" s="731"/>
      <c r="K35" s="731"/>
      <c r="L35" s="731"/>
      <c r="M35" s="731"/>
      <c r="N35" s="731"/>
      <c r="O35" s="731"/>
      <c r="P35" s="731"/>
      <c r="Q35" s="731"/>
      <c r="R35" s="731"/>
      <c r="S35" s="731"/>
      <c r="T35" s="731"/>
      <c r="U35" s="731"/>
      <c r="V35" s="731"/>
      <c r="W35" s="731"/>
      <c r="X35" s="731"/>
      <c r="Y35" s="731"/>
      <c r="Z35" s="731"/>
    </row>
    <row r="36" spans="1:26" x14ac:dyDescent="0.2">
      <c r="A36" s="735">
        <f>Study!CF35</f>
        <v>27</v>
      </c>
      <c r="B36" s="736" t="str">
        <f>Study!CG35</f>
        <v>نسبة إجمالي الملكية</v>
      </c>
      <c r="C36" s="747">
        <f>Study!CH35</f>
        <v>0.49111885125605659</v>
      </c>
      <c r="D36" s="736" t="str">
        <f>Study!CI35</f>
        <v>الهيكلة المالية</v>
      </c>
      <c r="E36" s="738" t="str">
        <f>Study!CJ35</f>
        <v>I24</v>
      </c>
      <c r="F36" s="736" t="str">
        <f>Study!CK35</f>
        <v>نسبة مئوية</v>
      </c>
      <c r="G36" s="731"/>
      <c r="H36" s="731"/>
      <c r="I36" s="731"/>
      <c r="J36" s="731"/>
      <c r="K36" s="731"/>
      <c r="L36" s="731"/>
      <c r="M36" s="731"/>
      <c r="N36" s="731"/>
      <c r="O36" s="731"/>
      <c r="P36" s="731"/>
      <c r="Q36" s="731"/>
      <c r="R36" s="731"/>
      <c r="S36" s="731"/>
      <c r="T36" s="731"/>
      <c r="U36" s="731"/>
      <c r="V36" s="731"/>
      <c r="W36" s="731"/>
      <c r="X36" s="731"/>
      <c r="Y36" s="731"/>
      <c r="Z36" s="731"/>
    </row>
    <row r="37" spans="1:26" x14ac:dyDescent="0.2">
      <c r="A37" s="739">
        <f>Study!CF36</f>
        <v>28</v>
      </c>
      <c r="B37" s="740" t="str">
        <f>Study!CG36</f>
        <v>إجمالي التمويل البنكي</v>
      </c>
      <c r="C37" s="744">
        <f>Study!CH36</f>
        <v>54352006</v>
      </c>
      <c r="D37" s="740" t="str">
        <f>Study!CI36</f>
        <v>الهيكلة المالية</v>
      </c>
      <c r="E37" s="742" t="str">
        <f>Study!CJ36</f>
        <v>H26</v>
      </c>
      <c r="F37" s="740" t="str">
        <f>Study!CK36</f>
        <v>ريال سعودي</v>
      </c>
      <c r="G37" s="731"/>
      <c r="H37" s="731"/>
      <c r="I37" s="731"/>
      <c r="J37" s="731"/>
      <c r="K37" s="731"/>
      <c r="L37" s="731"/>
      <c r="M37" s="731"/>
      <c r="N37" s="731"/>
      <c r="O37" s="731"/>
      <c r="P37" s="731"/>
      <c r="Q37" s="731"/>
      <c r="R37" s="731"/>
      <c r="S37" s="731"/>
      <c r="T37" s="731"/>
      <c r="U37" s="731"/>
      <c r="V37" s="731"/>
      <c r="W37" s="731"/>
      <c r="X37" s="731"/>
      <c r="Y37" s="731"/>
      <c r="Z37" s="731"/>
    </row>
    <row r="38" spans="1:26" x14ac:dyDescent="0.2">
      <c r="A38" s="735">
        <f>Study!CF37</f>
        <v>29</v>
      </c>
      <c r="B38" s="736" t="str">
        <f>Study!CG37</f>
        <v>نسبة التمويل البنكي</v>
      </c>
      <c r="C38" s="747">
        <f>Study!CH37</f>
        <v>0.24622630053226185</v>
      </c>
      <c r="D38" s="736" t="str">
        <f>Study!CI37</f>
        <v>الهيكلة المالية</v>
      </c>
      <c r="E38" s="738" t="str">
        <f>Study!CJ37</f>
        <v>I26</v>
      </c>
      <c r="F38" s="736" t="str">
        <f>Study!CK37</f>
        <v>نسبة مئوية</v>
      </c>
      <c r="G38" s="731"/>
      <c r="H38" s="731"/>
      <c r="I38" s="731"/>
      <c r="J38" s="731"/>
      <c r="K38" s="731"/>
      <c r="L38" s="731"/>
      <c r="M38" s="731"/>
      <c r="N38" s="731"/>
      <c r="O38" s="731"/>
      <c r="P38" s="731"/>
      <c r="Q38" s="731"/>
      <c r="R38" s="731"/>
      <c r="S38" s="731"/>
      <c r="T38" s="731"/>
      <c r="U38" s="731"/>
      <c r="V38" s="731"/>
      <c r="W38" s="731"/>
      <c r="X38" s="731"/>
      <c r="Y38" s="731"/>
      <c r="Z38" s="731"/>
    </row>
    <row r="39" spans="1:26" x14ac:dyDescent="0.2">
      <c r="A39" s="739">
        <f>Study!CF38</f>
        <v>30</v>
      </c>
      <c r="B39" s="740" t="str">
        <f>Study!CG38</f>
        <v>البيع على الخارطة (هيكلة)</v>
      </c>
      <c r="C39" s="744">
        <f>Study!CH38</f>
        <v>46486956.52173914</v>
      </c>
      <c r="D39" s="740" t="str">
        <f>Study!CI38</f>
        <v>الهيكلة المالية</v>
      </c>
      <c r="E39" s="742" t="str">
        <f>Study!CJ38</f>
        <v>H29</v>
      </c>
      <c r="F39" s="740" t="str">
        <f>Study!CK38</f>
        <v>ريال سعودي</v>
      </c>
      <c r="G39" s="731"/>
      <c r="H39" s="731"/>
      <c r="I39" s="731"/>
      <c r="J39" s="731"/>
      <c r="K39" s="731"/>
      <c r="L39" s="731"/>
      <c r="M39" s="731"/>
      <c r="N39" s="731"/>
      <c r="O39" s="731"/>
      <c r="P39" s="731"/>
      <c r="Q39" s="731"/>
      <c r="R39" s="731"/>
      <c r="S39" s="731"/>
      <c r="T39" s="731"/>
      <c r="U39" s="731"/>
      <c r="V39" s="731"/>
      <c r="W39" s="731"/>
      <c r="X39" s="731"/>
      <c r="Y39" s="731"/>
      <c r="Z39" s="731"/>
    </row>
    <row r="40" spans="1:26" x14ac:dyDescent="0.2">
      <c r="A40" s="735">
        <f>Study!CF39</f>
        <v>31</v>
      </c>
      <c r="B40" s="736" t="str">
        <f>Study!CG39</f>
        <v>نسبة البيع على الخارطة</v>
      </c>
      <c r="C40" s="747">
        <f>Study!CH39</f>
        <v>0.21059593140595273</v>
      </c>
      <c r="D40" s="736" t="str">
        <f>Study!CI39</f>
        <v>الهيكلة المالية</v>
      </c>
      <c r="E40" s="738" t="str">
        <f>Study!CJ39</f>
        <v>I29</v>
      </c>
      <c r="F40" s="736" t="str">
        <f>Study!CK39</f>
        <v>نسبة مئوية</v>
      </c>
      <c r="G40" s="731"/>
      <c r="H40" s="731"/>
      <c r="I40" s="731"/>
      <c r="J40" s="731"/>
      <c r="K40" s="731"/>
      <c r="L40" s="731"/>
      <c r="M40" s="731"/>
      <c r="N40" s="731"/>
      <c r="O40" s="731"/>
      <c r="P40" s="731"/>
      <c r="Q40" s="731"/>
      <c r="R40" s="731"/>
      <c r="S40" s="731"/>
      <c r="T40" s="731"/>
      <c r="U40" s="731"/>
      <c r="V40" s="731"/>
      <c r="W40" s="731"/>
      <c r="X40" s="731"/>
      <c r="Y40" s="731"/>
      <c r="Z40" s="731"/>
    </row>
    <row r="41" spans="1:26" x14ac:dyDescent="0.2">
      <c r="A41" s="739">
        <f>Study!CF40</f>
        <v>32</v>
      </c>
      <c r="B41" s="740" t="str">
        <f>Study!CG40</f>
        <v>مصادر أخرى</v>
      </c>
      <c r="C41" s="744">
        <f>Study!CH40</f>
        <v>11491487.921728909</v>
      </c>
      <c r="D41" s="740" t="str">
        <f>Study!CI40</f>
        <v>الهيكلة المالية</v>
      </c>
      <c r="E41" s="742" t="str">
        <f>Study!CJ40</f>
        <v>H30</v>
      </c>
      <c r="F41" s="740" t="str">
        <f>Study!CK40</f>
        <v>ريال سعودي</v>
      </c>
      <c r="G41" s="731"/>
      <c r="H41" s="731"/>
      <c r="I41" s="731"/>
      <c r="J41" s="731"/>
      <c r="K41" s="731"/>
      <c r="L41" s="731"/>
      <c r="M41" s="731"/>
      <c r="N41" s="731"/>
      <c r="O41" s="731"/>
      <c r="P41" s="731"/>
      <c r="Q41" s="731"/>
      <c r="R41" s="731"/>
      <c r="S41" s="731"/>
      <c r="T41" s="731"/>
      <c r="U41" s="731"/>
      <c r="V41" s="731"/>
      <c r="W41" s="731"/>
      <c r="X41" s="731"/>
      <c r="Y41" s="731"/>
      <c r="Z41" s="731"/>
    </row>
    <row r="42" spans="1:26" x14ac:dyDescent="0.2">
      <c r="A42" s="735">
        <f>Study!CF41</f>
        <v>33</v>
      </c>
      <c r="B42" s="736" t="str">
        <f>Study!CG41</f>
        <v>نسبة المصادر الأخرى</v>
      </c>
      <c r="C42" s="747">
        <f>Study!CH41</f>
        <v>5.2058916805728925E-2</v>
      </c>
      <c r="D42" s="736" t="str">
        <f>Study!CI41</f>
        <v>الهيكلة المالية</v>
      </c>
      <c r="E42" s="738" t="str">
        <f>Study!CJ41</f>
        <v>I30</v>
      </c>
      <c r="F42" s="736" t="str">
        <f>Study!CK41</f>
        <v>نسبة مئوية</v>
      </c>
      <c r="G42" s="731"/>
      <c r="H42" s="731"/>
      <c r="I42" s="731"/>
      <c r="J42" s="731"/>
      <c r="K42" s="731"/>
      <c r="L42" s="731"/>
      <c r="M42" s="731"/>
      <c r="N42" s="731"/>
      <c r="O42" s="731"/>
      <c r="P42" s="731"/>
      <c r="Q42" s="731"/>
      <c r="R42" s="731"/>
      <c r="S42" s="731"/>
      <c r="T42" s="731"/>
      <c r="U42" s="731"/>
      <c r="V42" s="731"/>
      <c r="W42" s="731"/>
      <c r="X42" s="731"/>
      <c r="Y42" s="731"/>
      <c r="Z42" s="731"/>
    </row>
    <row r="43" spans="1:26" x14ac:dyDescent="0.2">
      <c r="A43" s="739">
        <f>Study!CF42</f>
        <v>34</v>
      </c>
      <c r="B43" s="740" t="str">
        <f>Study!CG42</f>
        <v>إجمالي التمويل التشغيلي</v>
      </c>
      <c r="C43" s="744">
        <f>Study!CH42</f>
        <v>57978444.443468049</v>
      </c>
      <c r="D43" s="740" t="str">
        <f>Study!CI42</f>
        <v>الهيكلة المالية</v>
      </c>
      <c r="E43" s="742" t="str">
        <f>Study!CJ42</f>
        <v>H31</v>
      </c>
      <c r="F43" s="740" t="str">
        <f>Study!CK42</f>
        <v>ريال سعودي</v>
      </c>
      <c r="G43" s="731"/>
      <c r="H43" s="731"/>
      <c r="I43" s="731"/>
      <c r="J43" s="731"/>
      <c r="K43" s="731"/>
      <c r="L43" s="731"/>
      <c r="M43" s="731"/>
      <c r="N43" s="731"/>
      <c r="O43" s="731"/>
      <c r="P43" s="731"/>
      <c r="Q43" s="731"/>
      <c r="R43" s="731"/>
      <c r="S43" s="731"/>
      <c r="T43" s="731"/>
      <c r="U43" s="731"/>
      <c r="V43" s="731"/>
      <c r="W43" s="731"/>
      <c r="X43" s="731"/>
      <c r="Y43" s="731"/>
      <c r="Z43" s="731"/>
    </row>
    <row r="44" spans="1:26" x14ac:dyDescent="0.2">
      <c r="A44" s="735">
        <f>Study!CF43</f>
        <v>35</v>
      </c>
      <c r="B44" s="736" t="str">
        <f>Study!CG43</f>
        <v>نسبة إجمالي التمويل التشغيلي</v>
      </c>
      <c r="C44" s="747">
        <f>Study!CH43</f>
        <v>0.26265484821168167</v>
      </c>
      <c r="D44" s="736" t="str">
        <f>Study!CI43</f>
        <v>الهيكلة المالية</v>
      </c>
      <c r="E44" s="738" t="str">
        <f>Study!CJ43</f>
        <v>I31</v>
      </c>
      <c r="F44" s="736" t="str">
        <f>Study!CK43</f>
        <v>نسبة مئوية</v>
      </c>
      <c r="G44" s="731"/>
      <c r="H44" s="731"/>
      <c r="I44" s="731"/>
      <c r="J44" s="731"/>
      <c r="K44" s="731"/>
      <c r="L44" s="731"/>
      <c r="M44" s="731"/>
      <c r="N44" s="731"/>
      <c r="O44" s="731"/>
      <c r="P44" s="731"/>
      <c r="Q44" s="731"/>
      <c r="R44" s="731"/>
      <c r="S44" s="731"/>
      <c r="T44" s="731"/>
      <c r="U44" s="731"/>
      <c r="V44" s="731"/>
      <c r="W44" s="731"/>
      <c r="X44" s="731"/>
      <c r="Y44" s="731"/>
      <c r="Z44" s="731"/>
    </row>
    <row r="45" spans="1:26" x14ac:dyDescent="0.2">
      <c r="A45" s="739">
        <f>Study!CF44</f>
        <v>36</v>
      </c>
      <c r="B45" s="740" t="str">
        <f>Study!CG44</f>
        <v>إجمالي مصادر التمويل</v>
      </c>
      <c r="C45" s="744">
        <f>Study!CH44</f>
        <v>220740050.44346803</v>
      </c>
      <c r="D45" s="740" t="str">
        <f>Study!CI44</f>
        <v>الهيكلة المالية</v>
      </c>
      <c r="E45" s="742" t="str">
        <f>Study!CJ44</f>
        <v>H33</v>
      </c>
      <c r="F45" s="740" t="str">
        <f>Study!CK44</f>
        <v>ريال سعودي</v>
      </c>
      <c r="G45" s="731"/>
      <c r="H45" s="731"/>
      <c r="I45" s="731"/>
      <c r="J45" s="731"/>
      <c r="K45" s="731"/>
      <c r="L45" s="731"/>
      <c r="M45" s="731"/>
      <c r="N45" s="731"/>
      <c r="O45" s="731"/>
      <c r="P45" s="731"/>
      <c r="Q45" s="731"/>
      <c r="R45" s="731"/>
      <c r="S45" s="731"/>
      <c r="T45" s="731"/>
      <c r="U45" s="731"/>
      <c r="V45" s="731"/>
      <c r="W45" s="731"/>
      <c r="X45" s="731"/>
      <c r="Y45" s="731"/>
      <c r="Z45" s="731"/>
    </row>
    <row r="46" spans="1:26" ht="15" x14ac:dyDescent="0.2">
      <c r="A46" s="734" t="str">
        <f>Study!CF45</f>
        <v>▌ تفاصيل الأرض</v>
      </c>
      <c r="B46" s="734">
        <f>Study!CG45</f>
        <v>0</v>
      </c>
      <c r="C46" s="734">
        <f>Study!CH45</f>
        <v>0</v>
      </c>
      <c r="D46" s="734">
        <f>Study!CI45</f>
        <v>0</v>
      </c>
      <c r="E46" s="734">
        <f>Study!CJ45</f>
        <v>0</v>
      </c>
      <c r="F46" s="734">
        <f>Study!CK45</f>
        <v>0</v>
      </c>
      <c r="G46" s="731"/>
      <c r="H46" s="731"/>
      <c r="I46" s="731"/>
      <c r="J46" s="731"/>
      <c r="K46" s="731"/>
      <c r="L46" s="731"/>
      <c r="M46" s="731"/>
      <c r="N46" s="731"/>
      <c r="O46" s="731"/>
      <c r="P46" s="731"/>
      <c r="Q46" s="731"/>
      <c r="R46" s="731"/>
      <c r="S46" s="731"/>
      <c r="T46" s="731"/>
      <c r="U46" s="731"/>
      <c r="V46" s="731"/>
      <c r="W46" s="731"/>
      <c r="X46" s="731"/>
      <c r="Y46" s="731"/>
      <c r="Z46" s="731"/>
    </row>
    <row r="47" spans="1:26" x14ac:dyDescent="0.2">
      <c r="A47" s="735">
        <f>Study!CF46</f>
        <v>37</v>
      </c>
      <c r="B47" s="736" t="str">
        <f>Study!CG46</f>
        <v>مساحة الأرض الإجمالية</v>
      </c>
      <c r="C47" s="745">
        <f>Study!CH46</f>
        <v>8216</v>
      </c>
      <c r="D47" s="736" t="str">
        <f>Study!CI46</f>
        <v>تفاصيل الأرض</v>
      </c>
      <c r="E47" s="738" t="str">
        <f>Study!CJ46</f>
        <v>C49</v>
      </c>
      <c r="F47" s="736" t="str">
        <f>Study!CK46</f>
        <v>م²</v>
      </c>
      <c r="G47" s="731"/>
      <c r="H47" s="731"/>
      <c r="I47" s="731"/>
      <c r="J47" s="731"/>
      <c r="K47" s="731"/>
      <c r="L47" s="731"/>
      <c r="M47" s="731"/>
      <c r="N47" s="731"/>
      <c r="O47" s="731"/>
      <c r="P47" s="731"/>
      <c r="Q47" s="731"/>
      <c r="R47" s="731"/>
      <c r="S47" s="731"/>
      <c r="T47" s="731"/>
      <c r="U47" s="731"/>
      <c r="V47" s="731"/>
      <c r="W47" s="731"/>
      <c r="X47" s="731"/>
      <c r="Y47" s="731"/>
      <c r="Z47" s="731"/>
    </row>
    <row r="48" spans="1:26" x14ac:dyDescent="0.2">
      <c r="A48" s="739">
        <f>Study!CF47</f>
        <v>38</v>
      </c>
      <c r="B48" s="740" t="str">
        <f>Study!CG47</f>
        <v>التكلفة للمتر</v>
      </c>
      <c r="C48" s="744">
        <f>Study!CH47</f>
        <v>10921.129503407985</v>
      </c>
      <c r="D48" s="740" t="str">
        <f>Study!CI47</f>
        <v>تفاصيل الأرض</v>
      </c>
      <c r="E48" s="742" t="str">
        <f>Study!CJ47</f>
        <v>D49</v>
      </c>
      <c r="F48" s="740" t="str">
        <f>Study!CK47</f>
        <v>ريال/م²</v>
      </c>
      <c r="G48" s="731"/>
      <c r="H48" s="731"/>
      <c r="I48" s="731"/>
      <c r="J48" s="731"/>
      <c r="K48" s="731"/>
      <c r="L48" s="731"/>
      <c r="M48" s="731"/>
      <c r="N48" s="731"/>
      <c r="O48" s="731"/>
      <c r="P48" s="731"/>
      <c r="Q48" s="731"/>
      <c r="R48" s="731"/>
      <c r="S48" s="731"/>
      <c r="T48" s="731"/>
      <c r="U48" s="731"/>
      <c r="V48" s="731"/>
      <c r="W48" s="731"/>
      <c r="X48" s="731"/>
      <c r="Y48" s="731"/>
      <c r="Z48" s="731"/>
    </row>
    <row r="49" spans="1:26" x14ac:dyDescent="0.2">
      <c r="A49" s="735">
        <f>Study!CF48</f>
        <v>39</v>
      </c>
      <c r="B49" s="736" t="str">
        <f>Study!CG48</f>
        <v>تكلفة الأرض قبل الضرائب</v>
      </c>
      <c r="C49" s="743">
        <f>Study!CH48</f>
        <v>89728000</v>
      </c>
      <c r="D49" s="736" t="str">
        <f>Study!CI48</f>
        <v>تفاصيل الأرض</v>
      </c>
      <c r="E49" s="738" t="str">
        <f>Study!CJ48</f>
        <v>E49</v>
      </c>
      <c r="F49" s="736" t="str">
        <f>Study!CK48</f>
        <v>ريال سعودي</v>
      </c>
      <c r="G49" s="731"/>
      <c r="H49" s="731"/>
      <c r="I49" s="731"/>
      <c r="J49" s="731"/>
      <c r="K49" s="731"/>
      <c r="L49" s="731"/>
      <c r="M49" s="731"/>
      <c r="N49" s="731"/>
      <c r="O49" s="731"/>
      <c r="P49" s="731"/>
      <c r="Q49" s="731"/>
      <c r="R49" s="731"/>
      <c r="S49" s="731"/>
      <c r="T49" s="731"/>
      <c r="U49" s="731"/>
      <c r="V49" s="731"/>
      <c r="W49" s="731"/>
      <c r="X49" s="731"/>
      <c r="Y49" s="731"/>
      <c r="Z49" s="731"/>
    </row>
    <row r="50" spans="1:26" x14ac:dyDescent="0.2">
      <c r="A50" s="739">
        <f>Study!CF49</f>
        <v>40</v>
      </c>
      <c r="B50" s="740" t="str">
        <f>Study!CG49</f>
        <v>ضريبة التصرفات العقارية (RETT)</v>
      </c>
      <c r="C50" s="744">
        <f>Study!CH49</f>
        <v>1345920</v>
      </c>
      <c r="D50" s="740" t="str">
        <f>Study!CI49</f>
        <v>تفاصيل الأرض</v>
      </c>
      <c r="E50" s="742" t="str">
        <f>Study!CJ49</f>
        <v>F49</v>
      </c>
      <c r="F50" s="740" t="str">
        <f>Study!CK49</f>
        <v>ريال سعودي</v>
      </c>
      <c r="G50" s="731"/>
      <c r="H50" s="731"/>
      <c r="I50" s="731"/>
      <c r="J50" s="731"/>
      <c r="K50" s="731"/>
      <c r="L50" s="731"/>
      <c r="M50" s="731"/>
      <c r="N50" s="731"/>
      <c r="O50" s="731"/>
      <c r="P50" s="731"/>
      <c r="Q50" s="731"/>
      <c r="R50" s="731"/>
      <c r="S50" s="731"/>
      <c r="T50" s="731"/>
      <c r="U50" s="731"/>
      <c r="V50" s="731"/>
      <c r="W50" s="731"/>
      <c r="X50" s="731"/>
      <c r="Y50" s="731"/>
      <c r="Z50" s="731"/>
    </row>
    <row r="51" spans="1:26" x14ac:dyDescent="0.2">
      <c r="A51" s="735">
        <f>Study!CF50</f>
        <v>41</v>
      </c>
      <c r="B51" s="736" t="str">
        <f>Study!CG50</f>
        <v>السعي (Commission)</v>
      </c>
      <c r="C51" s="743">
        <f>Study!CH50</f>
        <v>672960</v>
      </c>
      <c r="D51" s="736" t="str">
        <f>Study!CI50</f>
        <v>تفاصيل الأرض</v>
      </c>
      <c r="E51" s="738" t="str">
        <f>Study!CJ50</f>
        <v>G49</v>
      </c>
      <c r="F51" s="736" t="str">
        <f>Study!CK50</f>
        <v>ريال سعودي</v>
      </c>
      <c r="G51" s="731"/>
      <c r="H51" s="731"/>
      <c r="I51" s="731"/>
      <c r="J51" s="731"/>
      <c r="K51" s="731"/>
      <c r="L51" s="731"/>
      <c r="M51" s="731"/>
      <c r="N51" s="731"/>
      <c r="O51" s="731"/>
      <c r="P51" s="731"/>
      <c r="Q51" s="731"/>
      <c r="R51" s="731"/>
      <c r="S51" s="731"/>
      <c r="T51" s="731"/>
      <c r="U51" s="731"/>
      <c r="V51" s="731"/>
      <c r="W51" s="731"/>
      <c r="X51" s="731"/>
      <c r="Y51" s="731"/>
      <c r="Z51" s="731"/>
    </row>
    <row r="52" spans="1:26" x14ac:dyDescent="0.2">
      <c r="A52" s="739">
        <f>Study!CF51</f>
        <v>42</v>
      </c>
      <c r="B52" s="740" t="str">
        <f>Study!CG51</f>
        <v>ضريبة السعي</v>
      </c>
      <c r="C52" s="744">
        <f>Study!CH51</f>
        <v>100944</v>
      </c>
      <c r="D52" s="740" t="str">
        <f>Study!CI51</f>
        <v>تفاصيل الأرض</v>
      </c>
      <c r="E52" s="742" t="str">
        <f>Study!CJ51</f>
        <v>H49</v>
      </c>
      <c r="F52" s="740" t="str">
        <f>Study!CK51</f>
        <v>ريال سعودي</v>
      </c>
      <c r="G52" s="731"/>
      <c r="H52" s="731"/>
      <c r="I52" s="731"/>
      <c r="J52" s="731"/>
      <c r="K52" s="731"/>
      <c r="L52" s="731"/>
      <c r="M52" s="731"/>
      <c r="N52" s="731"/>
      <c r="O52" s="731"/>
      <c r="P52" s="731"/>
      <c r="Q52" s="731"/>
      <c r="R52" s="731"/>
      <c r="S52" s="731"/>
      <c r="T52" s="731"/>
      <c r="U52" s="731"/>
      <c r="V52" s="731"/>
      <c r="W52" s="731"/>
      <c r="X52" s="731"/>
      <c r="Y52" s="731"/>
      <c r="Z52" s="731"/>
    </row>
    <row r="53" spans="1:26" x14ac:dyDescent="0.2">
      <c r="A53" s="735">
        <f>Study!CF52</f>
        <v>43</v>
      </c>
      <c r="B53" s="736" t="str">
        <f>Study!CG52</f>
        <v>إجمالي تكلفة الأرض بعد الضرائب</v>
      </c>
      <c r="C53" s="743">
        <f>Study!CH52</f>
        <v>91847824</v>
      </c>
      <c r="D53" s="736" t="str">
        <f>Study!CI52</f>
        <v>تفاصيل الأرض</v>
      </c>
      <c r="E53" s="738" t="str">
        <f>Study!CJ52</f>
        <v>I49</v>
      </c>
      <c r="F53" s="736" t="str">
        <f>Study!CK52</f>
        <v>ريال سعودي</v>
      </c>
      <c r="G53" s="731"/>
      <c r="H53" s="731"/>
      <c r="I53" s="731"/>
      <c r="J53" s="731"/>
      <c r="K53" s="731"/>
      <c r="L53" s="731"/>
      <c r="M53" s="731"/>
      <c r="N53" s="731"/>
      <c r="O53" s="731"/>
      <c r="P53" s="731"/>
      <c r="Q53" s="731"/>
      <c r="R53" s="731"/>
      <c r="S53" s="731"/>
      <c r="T53" s="731"/>
      <c r="U53" s="731"/>
      <c r="V53" s="731"/>
      <c r="W53" s="731"/>
      <c r="X53" s="731"/>
      <c r="Y53" s="731"/>
      <c r="Z53" s="731"/>
    </row>
    <row r="54" spans="1:26" x14ac:dyDescent="0.2">
      <c r="A54" s="739">
        <f>Study!CF53</f>
        <v>44</v>
      </c>
      <c r="B54" s="740" t="str">
        <f>Study!CG53</f>
        <v>معامل البناء (FAR)</v>
      </c>
      <c r="C54" s="748">
        <f>Study!CH53</f>
        <v>1.9118354430379747</v>
      </c>
      <c r="D54" s="740" t="str">
        <f>Study!CI53</f>
        <v>تفاصيل الأرض</v>
      </c>
      <c r="E54" s="742" t="str">
        <f>Study!CJ53</f>
        <v>K49</v>
      </c>
      <c r="F54" s="740" t="str">
        <f>Study!CK53</f>
        <v>معامل</v>
      </c>
      <c r="G54" s="731"/>
      <c r="H54" s="731"/>
      <c r="I54" s="731"/>
      <c r="J54" s="731"/>
      <c r="K54" s="731"/>
      <c r="L54" s="731"/>
      <c r="M54" s="731"/>
      <c r="N54" s="731"/>
      <c r="O54" s="731"/>
      <c r="P54" s="731"/>
      <c r="Q54" s="731"/>
      <c r="R54" s="731"/>
      <c r="S54" s="731"/>
      <c r="T54" s="731"/>
      <c r="U54" s="731"/>
      <c r="V54" s="731"/>
      <c r="W54" s="731"/>
      <c r="X54" s="731"/>
      <c r="Y54" s="731"/>
      <c r="Z54" s="731"/>
    </row>
    <row r="55" spans="1:26" x14ac:dyDescent="0.2">
      <c r="A55" s="735">
        <f>Study!CF54</f>
        <v>45</v>
      </c>
      <c r="B55" s="736" t="str">
        <f>Study!CG54</f>
        <v>إجمالي مسطحات البناء فوق الأرض</v>
      </c>
      <c r="C55" s="745">
        <f>Study!CH54</f>
        <v>15707.64</v>
      </c>
      <c r="D55" s="736" t="str">
        <f>Study!CI54</f>
        <v>تفاصيل الأرض</v>
      </c>
      <c r="E55" s="738" t="str">
        <f>Study!CJ54</f>
        <v>L49</v>
      </c>
      <c r="F55" s="736" t="str">
        <f>Study!CK54</f>
        <v>م²</v>
      </c>
      <c r="G55" s="731"/>
      <c r="H55" s="731"/>
      <c r="I55" s="731"/>
      <c r="J55" s="731"/>
      <c r="K55" s="731"/>
      <c r="L55" s="731"/>
      <c r="M55" s="731"/>
      <c r="N55" s="731"/>
      <c r="O55" s="731"/>
      <c r="P55" s="731"/>
      <c r="Q55" s="731"/>
      <c r="R55" s="731"/>
      <c r="S55" s="731"/>
      <c r="T55" s="731"/>
      <c r="U55" s="731"/>
      <c r="V55" s="731"/>
      <c r="W55" s="731"/>
      <c r="X55" s="731"/>
      <c r="Y55" s="731"/>
      <c r="Z55" s="731"/>
    </row>
    <row r="56" spans="1:26" ht="15" x14ac:dyDescent="0.2">
      <c r="A56" s="734" t="str">
        <f>Study!CF55</f>
        <v>▌ تفاصيل البناء</v>
      </c>
      <c r="B56" s="734">
        <f>Study!CG55</f>
        <v>0</v>
      </c>
      <c r="C56" s="734">
        <f>Study!CH55</f>
        <v>0</v>
      </c>
      <c r="D56" s="734">
        <f>Study!CI55</f>
        <v>0</v>
      </c>
      <c r="E56" s="734">
        <f>Study!CJ55</f>
        <v>0</v>
      </c>
      <c r="F56" s="734">
        <f>Study!CK55</f>
        <v>0</v>
      </c>
      <c r="G56" s="731"/>
      <c r="H56" s="731"/>
      <c r="I56" s="731"/>
      <c r="J56" s="731"/>
      <c r="K56" s="731"/>
      <c r="L56" s="731"/>
      <c r="M56" s="731"/>
      <c r="N56" s="731"/>
      <c r="O56" s="731"/>
      <c r="P56" s="731"/>
      <c r="Q56" s="731"/>
      <c r="R56" s="731"/>
      <c r="S56" s="731"/>
      <c r="T56" s="731"/>
      <c r="U56" s="731"/>
      <c r="V56" s="731"/>
      <c r="W56" s="731"/>
      <c r="X56" s="731"/>
      <c r="Y56" s="731"/>
      <c r="Z56" s="731"/>
    </row>
    <row r="57" spans="1:26" x14ac:dyDescent="0.2">
      <c r="A57" s="739">
        <f>Study!CF56</f>
        <v>46</v>
      </c>
      <c r="B57" s="740" t="str">
        <f>Study!CG56</f>
        <v>معامل البناء (FAR)</v>
      </c>
      <c r="C57" s="748">
        <f>Study!CH56</f>
        <v>0</v>
      </c>
      <c r="D57" s="740" t="str">
        <f>Study!CI56</f>
        <v>تفاصيل البناء</v>
      </c>
      <c r="E57" s="742" t="str">
        <f>Study!CJ56</f>
        <v>D59</v>
      </c>
      <c r="F57" s="740" t="str">
        <f>Study!CK56</f>
        <v>معامل</v>
      </c>
      <c r="G57" s="731"/>
      <c r="H57" s="731"/>
      <c r="I57" s="731"/>
      <c r="J57" s="731"/>
      <c r="K57" s="731"/>
      <c r="L57" s="731"/>
      <c r="M57" s="731"/>
      <c r="N57" s="731"/>
      <c r="O57" s="731"/>
      <c r="P57" s="731"/>
      <c r="Q57" s="731"/>
      <c r="R57" s="731"/>
      <c r="S57" s="731"/>
      <c r="T57" s="731"/>
      <c r="U57" s="731"/>
      <c r="V57" s="731"/>
      <c r="W57" s="731"/>
      <c r="X57" s="731"/>
      <c r="Y57" s="731"/>
      <c r="Z57" s="731"/>
    </row>
    <row r="58" spans="1:26" x14ac:dyDescent="0.2">
      <c r="A58" s="735">
        <f>Study!CF57</f>
        <v>47</v>
      </c>
      <c r="B58" s="736" t="str">
        <f>Study!CG57</f>
        <v>إجمالي المساحة التطويرية</v>
      </c>
      <c r="C58" s="745">
        <f>Study!CH57</f>
        <v>0</v>
      </c>
      <c r="D58" s="736" t="str">
        <f>Study!CI57</f>
        <v>تفاصيل البناء</v>
      </c>
      <c r="E58" s="738" t="str">
        <f>Study!CJ57</f>
        <v>E59</v>
      </c>
      <c r="F58" s="736" t="str">
        <f>Study!CK57</f>
        <v>م²</v>
      </c>
      <c r="G58" s="731"/>
      <c r="H58" s="731"/>
      <c r="I58" s="731"/>
      <c r="J58" s="731"/>
      <c r="K58" s="731"/>
      <c r="L58" s="731"/>
      <c r="M58" s="731"/>
      <c r="N58" s="731"/>
      <c r="O58" s="731"/>
      <c r="P58" s="731"/>
      <c r="Q58" s="731"/>
      <c r="R58" s="731"/>
      <c r="S58" s="731"/>
      <c r="T58" s="731"/>
      <c r="U58" s="731"/>
      <c r="V58" s="731"/>
      <c r="W58" s="731"/>
      <c r="X58" s="731"/>
      <c r="Y58" s="731"/>
      <c r="Z58" s="731"/>
    </row>
    <row r="59" spans="1:26" x14ac:dyDescent="0.2">
      <c r="A59" s="739">
        <f>Study!CF58</f>
        <v>48</v>
      </c>
      <c r="B59" s="740" t="str">
        <f>Study!CG58</f>
        <v>إجمالي المساحة المبنية (GBA)</v>
      </c>
      <c r="C59" s="749">
        <f>Study!CH58</f>
        <v>1.9118354430379747</v>
      </c>
      <c r="D59" s="740" t="str">
        <f>Study!CI58</f>
        <v>تفاصيل البناء</v>
      </c>
      <c r="E59" s="742" t="str">
        <f>Study!CJ58</f>
        <v>F59</v>
      </c>
      <c r="F59" s="740" t="str">
        <f>Study!CK58</f>
        <v>م²</v>
      </c>
      <c r="G59" s="731"/>
      <c r="H59" s="731"/>
      <c r="I59" s="731"/>
      <c r="J59" s="731"/>
      <c r="K59" s="731"/>
      <c r="L59" s="731"/>
      <c r="M59" s="731"/>
      <c r="N59" s="731"/>
      <c r="O59" s="731"/>
      <c r="P59" s="731"/>
      <c r="Q59" s="731"/>
      <c r="R59" s="731"/>
      <c r="S59" s="731"/>
      <c r="T59" s="731"/>
      <c r="U59" s="731"/>
      <c r="V59" s="731"/>
      <c r="W59" s="731"/>
      <c r="X59" s="731"/>
      <c r="Y59" s="731"/>
      <c r="Z59" s="731"/>
    </row>
    <row r="60" spans="1:26" x14ac:dyDescent="0.2">
      <c r="A60" s="735">
        <f>Study!CF59</f>
        <v>49</v>
      </c>
      <c r="B60" s="736" t="str">
        <f>Study!CG59</f>
        <v>إجمالي المساحة فوق مستوى الأرض</v>
      </c>
      <c r="C60" s="745">
        <f>Study!CH59</f>
        <v>23583.64</v>
      </c>
      <c r="D60" s="736" t="str">
        <f>Study!CI59</f>
        <v>تفاصيل البناء</v>
      </c>
      <c r="E60" s="738" t="str">
        <f>Study!CJ59</f>
        <v>H59</v>
      </c>
      <c r="F60" s="736" t="str">
        <f>Study!CK59</f>
        <v>م²</v>
      </c>
      <c r="G60" s="731"/>
      <c r="H60" s="731"/>
      <c r="I60" s="731"/>
      <c r="J60" s="731"/>
      <c r="K60" s="731"/>
      <c r="L60" s="731"/>
      <c r="M60" s="731"/>
      <c r="N60" s="731"/>
      <c r="O60" s="731"/>
      <c r="P60" s="731"/>
      <c r="Q60" s="731"/>
      <c r="R60" s="731"/>
      <c r="S60" s="731"/>
      <c r="T60" s="731"/>
      <c r="U60" s="731"/>
      <c r="V60" s="731"/>
      <c r="W60" s="731"/>
      <c r="X60" s="731"/>
      <c r="Y60" s="731"/>
      <c r="Z60" s="731"/>
    </row>
    <row r="61" spans="1:26" x14ac:dyDescent="0.2">
      <c r="A61" s="739">
        <f>Study!CF60</f>
        <v>50</v>
      </c>
      <c r="B61" s="740" t="str">
        <f>Study!CG60</f>
        <v>إجمالي المساحات القابلة للبيع (NSA)</v>
      </c>
      <c r="C61" s="749">
        <f>Study!CH60</f>
        <v>9920.7939999999981</v>
      </c>
      <c r="D61" s="740" t="str">
        <f>Study!CI60</f>
        <v>تفاصيل البناء</v>
      </c>
      <c r="E61" s="742" t="str">
        <f>Study!CJ60</f>
        <v>J59</v>
      </c>
      <c r="F61" s="740" t="str">
        <f>Study!CK60</f>
        <v>م²</v>
      </c>
      <c r="G61" s="731"/>
      <c r="H61" s="731"/>
      <c r="I61" s="731"/>
      <c r="J61" s="731"/>
      <c r="K61" s="731"/>
      <c r="L61" s="731"/>
      <c r="M61" s="731"/>
      <c r="N61" s="731"/>
      <c r="O61" s="731"/>
      <c r="P61" s="731"/>
      <c r="Q61" s="731"/>
      <c r="R61" s="731"/>
      <c r="S61" s="731"/>
      <c r="T61" s="731"/>
      <c r="U61" s="731"/>
      <c r="V61" s="731"/>
      <c r="W61" s="731"/>
      <c r="X61" s="731"/>
      <c r="Y61" s="731"/>
      <c r="Z61" s="731"/>
    </row>
    <row r="62" spans="1:26" x14ac:dyDescent="0.2">
      <c r="A62" s="735">
        <f>Study!CF61</f>
        <v>51</v>
      </c>
      <c r="B62" s="736" t="str">
        <f>Study!CG61</f>
        <v>معيار المواقف</v>
      </c>
      <c r="C62" s="750">
        <f>Study!CH61</f>
        <v>3.5</v>
      </c>
      <c r="D62" s="736" t="str">
        <f>Study!CI61</f>
        <v>تفاصيل البناء</v>
      </c>
      <c r="E62" s="738" t="str">
        <f>Study!CJ61</f>
        <v>L60</v>
      </c>
      <c r="F62" s="736" t="str">
        <f>Study!CK61</f>
        <v>موقف/وحدة</v>
      </c>
      <c r="G62" s="731"/>
      <c r="H62" s="731"/>
      <c r="I62" s="731"/>
      <c r="J62" s="731"/>
      <c r="K62" s="731"/>
      <c r="L62" s="731"/>
      <c r="M62" s="731"/>
      <c r="N62" s="731"/>
      <c r="O62" s="731"/>
      <c r="P62" s="731"/>
      <c r="Q62" s="731"/>
      <c r="R62" s="731"/>
      <c r="S62" s="731"/>
      <c r="T62" s="731"/>
      <c r="U62" s="731"/>
      <c r="V62" s="731"/>
      <c r="W62" s="731"/>
      <c r="X62" s="731"/>
      <c r="Y62" s="731"/>
      <c r="Z62" s="731"/>
    </row>
    <row r="63" spans="1:26" ht="15" x14ac:dyDescent="0.2">
      <c r="A63" s="734" t="str">
        <f>Study!CF62</f>
        <v>▌ مكوّن البناء - سكني</v>
      </c>
      <c r="B63" s="734">
        <f>Study!CG62</f>
        <v>0</v>
      </c>
      <c r="C63" s="734">
        <f>Study!CH62</f>
        <v>0</v>
      </c>
      <c r="D63" s="734">
        <f>Study!CI62</f>
        <v>0</v>
      </c>
      <c r="E63" s="734">
        <f>Study!CJ62</f>
        <v>0</v>
      </c>
      <c r="F63" s="734">
        <f>Study!CK62</f>
        <v>0</v>
      </c>
      <c r="G63" s="731"/>
      <c r="H63" s="731"/>
      <c r="I63" s="731"/>
      <c r="J63" s="731"/>
      <c r="K63" s="731"/>
      <c r="L63" s="731"/>
      <c r="M63" s="731"/>
      <c r="N63" s="731"/>
      <c r="O63" s="731"/>
      <c r="P63" s="731"/>
      <c r="Q63" s="731"/>
      <c r="R63" s="731"/>
      <c r="S63" s="731"/>
      <c r="T63" s="731"/>
      <c r="U63" s="731"/>
      <c r="V63" s="731"/>
      <c r="W63" s="731"/>
      <c r="X63" s="731"/>
      <c r="Y63" s="731"/>
      <c r="Z63" s="731"/>
    </row>
    <row r="64" spans="1:26" x14ac:dyDescent="0.2">
      <c r="A64" s="739">
        <f>Study!CF63</f>
        <v>52</v>
      </c>
      <c r="B64" s="740" t="str">
        <f>Study!CG63</f>
        <v>سكني - نسبة من المساحة البنائية</v>
      </c>
      <c r="C64" s="746">
        <f>Study!CH63</f>
        <v>0.22572709840561664</v>
      </c>
      <c r="D64" s="740" t="str">
        <f>Study!CI63</f>
        <v>مكوّن البناء - سكني</v>
      </c>
      <c r="E64" s="742" t="str">
        <f>Study!CJ63</f>
        <v>C61</v>
      </c>
      <c r="F64" s="740" t="str">
        <f>Study!CK63</f>
        <v>نسبة مئوية</v>
      </c>
      <c r="G64" s="731"/>
      <c r="H64" s="731"/>
      <c r="I64" s="731"/>
      <c r="J64" s="731"/>
      <c r="K64" s="731"/>
      <c r="L64" s="731"/>
      <c r="M64" s="731"/>
      <c r="N64" s="731"/>
      <c r="O64" s="731"/>
      <c r="P64" s="731"/>
      <c r="Q64" s="731"/>
      <c r="R64" s="731"/>
      <c r="S64" s="731"/>
      <c r="T64" s="731"/>
      <c r="U64" s="731"/>
      <c r="V64" s="731"/>
      <c r="W64" s="731"/>
      <c r="X64" s="731"/>
      <c r="Y64" s="731"/>
      <c r="Z64" s="731"/>
    </row>
    <row r="65" spans="1:26" x14ac:dyDescent="0.2">
      <c r="A65" s="735">
        <f>Study!CF64</f>
        <v>53</v>
      </c>
      <c r="B65" s="736" t="str">
        <f>Study!CG64</f>
        <v>سكني - إجمالي المساحة البنائية (GBA)</v>
      </c>
      <c r="C65" s="745">
        <f>Study!CH64</f>
        <v>3545.64</v>
      </c>
      <c r="D65" s="736" t="str">
        <f>Study!CI64</f>
        <v>مكوّن البناء - سكني</v>
      </c>
      <c r="E65" s="738" t="str">
        <f>Study!CJ64</f>
        <v>D61</v>
      </c>
      <c r="F65" s="736" t="str">
        <f>Study!CK64</f>
        <v>م²</v>
      </c>
      <c r="G65" s="731"/>
      <c r="H65" s="731"/>
      <c r="I65" s="731"/>
      <c r="J65" s="731"/>
      <c r="K65" s="731"/>
      <c r="L65" s="731"/>
      <c r="M65" s="731"/>
      <c r="N65" s="731"/>
      <c r="O65" s="731"/>
      <c r="P65" s="731"/>
      <c r="Q65" s="731"/>
      <c r="R65" s="731"/>
      <c r="S65" s="731"/>
      <c r="T65" s="731"/>
      <c r="U65" s="731"/>
      <c r="V65" s="731"/>
      <c r="W65" s="731"/>
      <c r="X65" s="731"/>
      <c r="Y65" s="731"/>
      <c r="Z65" s="731"/>
    </row>
    <row r="66" spans="1:26" x14ac:dyDescent="0.2">
      <c r="A66" s="739">
        <f>Study!CF65</f>
        <v>54</v>
      </c>
      <c r="B66" s="740" t="str">
        <f>Study!CG65</f>
        <v>سكني - نسبة المساحات القابلة للبيع</v>
      </c>
      <c r="C66" s="746">
        <f>Study!CH65</f>
        <v>0.85</v>
      </c>
      <c r="D66" s="740" t="str">
        <f>Study!CI65</f>
        <v>مكوّن البناء - سكني</v>
      </c>
      <c r="E66" s="742" t="str">
        <f>Study!CJ65</f>
        <v>E61</v>
      </c>
      <c r="F66" s="740" t="str">
        <f>Study!CK65</f>
        <v>نسبة مئوية</v>
      </c>
      <c r="G66" s="731"/>
      <c r="H66" s="731"/>
      <c r="I66" s="731"/>
      <c r="J66" s="731"/>
      <c r="K66" s="731"/>
      <c r="L66" s="731"/>
      <c r="M66" s="731"/>
      <c r="N66" s="731"/>
      <c r="O66" s="731"/>
      <c r="P66" s="731"/>
      <c r="Q66" s="731"/>
      <c r="R66" s="731"/>
      <c r="S66" s="731"/>
      <c r="T66" s="731"/>
      <c r="U66" s="731"/>
      <c r="V66" s="731"/>
      <c r="W66" s="731"/>
      <c r="X66" s="731"/>
      <c r="Y66" s="731"/>
      <c r="Z66" s="731"/>
    </row>
    <row r="67" spans="1:26" x14ac:dyDescent="0.2">
      <c r="A67" s="735">
        <f>Study!CF66</f>
        <v>55</v>
      </c>
      <c r="B67" s="736" t="str">
        <f>Study!CG66</f>
        <v>سكني - المساحات الصافية القابلة للبيع (NSA)</v>
      </c>
      <c r="C67" s="745">
        <f>Study!CH66</f>
        <v>3013.7939999999999</v>
      </c>
      <c r="D67" s="736" t="str">
        <f>Study!CI66</f>
        <v>مكوّن البناء - سكني</v>
      </c>
      <c r="E67" s="738" t="str">
        <f>Study!CJ66</f>
        <v>F61</v>
      </c>
      <c r="F67" s="736" t="str">
        <f>Study!CK66</f>
        <v>م²</v>
      </c>
      <c r="G67" s="731"/>
      <c r="H67" s="731"/>
      <c r="I67" s="731"/>
      <c r="J67" s="731"/>
      <c r="K67" s="731"/>
      <c r="L67" s="731"/>
      <c r="M67" s="731"/>
      <c r="N67" s="731"/>
      <c r="O67" s="731"/>
      <c r="P67" s="731"/>
      <c r="Q67" s="731"/>
      <c r="R67" s="731"/>
      <c r="S67" s="731"/>
      <c r="T67" s="731"/>
      <c r="U67" s="731"/>
      <c r="V67" s="731"/>
      <c r="W67" s="731"/>
      <c r="X67" s="731"/>
      <c r="Y67" s="731"/>
      <c r="Z67" s="731"/>
    </row>
    <row r="68" spans="1:26" x14ac:dyDescent="0.2">
      <c r="A68" s="739">
        <f>Study!CF67</f>
        <v>56</v>
      </c>
      <c r="B68" s="740" t="str">
        <f>Study!CG67</f>
        <v>سكني - مساحة الوحدة</v>
      </c>
      <c r="C68" s="749">
        <f>Study!CH67</f>
        <v>12</v>
      </c>
      <c r="D68" s="740" t="str">
        <f>Study!CI67</f>
        <v>مكوّن البناء - سكني</v>
      </c>
      <c r="E68" s="742" t="str">
        <f>Study!CJ67</f>
        <v>G61</v>
      </c>
      <c r="F68" s="740" t="str">
        <f>Study!CK67</f>
        <v>م²</v>
      </c>
      <c r="G68" s="731"/>
      <c r="H68" s="731"/>
      <c r="I68" s="731"/>
      <c r="J68" s="731"/>
      <c r="K68" s="731"/>
      <c r="L68" s="731"/>
      <c r="M68" s="731"/>
      <c r="N68" s="731"/>
      <c r="O68" s="731"/>
      <c r="P68" s="731"/>
      <c r="Q68" s="731"/>
      <c r="R68" s="731"/>
      <c r="S68" s="731"/>
      <c r="T68" s="731"/>
      <c r="U68" s="731"/>
      <c r="V68" s="731"/>
      <c r="W68" s="731"/>
      <c r="X68" s="731"/>
      <c r="Y68" s="731"/>
      <c r="Z68" s="731"/>
    </row>
    <row r="69" spans="1:26" x14ac:dyDescent="0.2">
      <c r="A69" s="735">
        <f>Study!CF68</f>
        <v>57</v>
      </c>
      <c r="B69" s="736" t="str">
        <f>Study!CG68</f>
        <v>سكني - عدد الوحدات</v>
      </c>
      <c r="C69" s="750">
        <f>Study!CH68</f>
        <v>251.14949999999999</v>
      </c>
      <c r="D69" s="736" t="str">
        <f>Study!CI68</f>
        <v>مكوّن البناء - سكني</v>
      </c>
      <c r="E69" s="738" t="str">
        <f>Study!CJ68</f>
        <v>H61</v>
      </c>
      <c r="F69" s="736" t="str">
        <f>Study!CK68</f>
        <v>وحدة</v>
      </c>
      <c r="G69" s="731"/>
      <c r="H69" s="731"/>
      <c r="I69" s="731"/>
      <c r="J69" s="731"/>
      <c r="K69" s="731"/>
      <c r="L69" s="731"/>
      <c r="M69" s="731"/>
      <c r="N69" s="731"/>
      <c r="O69" s="731"/>
      <c r="P69" s="731"/>
      <c r="Q69" s="731"/>
      <c r="R69" s="731"/>
      <c r="S69" s="731"/>
      <c r="T69" s="731"/>
      <c r="U69" s="731"/>
      <c r="V69" s="731"/>
      <c r="W69" s="731"/>
      <c r="X69" s="731"/>
      <c r="Y69" s="731"/>
      <c r="Z69" s="731"/>
    </row>
    <row r="70" spans="1:26" x14ac:dyDescent="0.2">
      <c r="A70" s="739">
        <f>Study!CF69</f>
        <v>58</v>
      </c>
      <c r="B70" s="740" t="str">
        <f>Study!CG69</f>
        <v>سكني - تكلفة متر البناء</v>
      </c>
      <c r="C70" s="744">
        <f>Study!CH69</f>
        <v>2200</v>
      </c>
      <c r="D70" s="740" t="str">
        <f>Study!CI69</f>
        <v>مكوّن البناء - سكني</v>
      </c>
      <c r="E70" s="742" t="str">
        <f>Study!CJ69</f>
        <v>I61</v>
      </c>
      <c r="F70" s="740" t="str">
        <f>Study!CK69</f>
        <v>ريال/م²</v>
      </c>
      <c r="G70" s="731"/>
      <c r="H70" s="731"/>
      <c r="I70" s="731"/>
      <c r="J70" s="731"/>
      <c r="K70" s="731"/>
      <c r="L70" s="731"/>
      <c r="M70" s="731"/>
      <c r="N70" s="731"/>
      <c r="O70" s="731"/>
      <c r="P70" s="731"/>
      <c r="Q70" s="731"/>
      <c r="R70" s="731"/>
      <c r="S70" s="731"/>
      <c r="T70" s="731"/>
      <c r="U70" s="731"/>
      <c r="V70" s="731"/>
      <c r="W70" s="731"/>
      <c r="X70" s="731"/>
      <c r="Y70" s="731"/>
      <c r="Z70" s="731"/>
    </row>
    <row r="71" spans="1:26" x14ac:dyDescent="0.2">
      <c r="A71" s="735">
        <f>Study!CF70</f>
        <v>59</v>
      </c>
      <c r="B71" s="736" t="str">
        <f>Study!CG70</f>
        <v>سكني - إجمالي التكاليف</v>
      </c>
      <c r="C71" s="743">
        <f>Study!CH70</f>
        <v>7800408</v>
      </c>
      <c r="D71" s="736" t="str">
        <f>Study!CI70</f>
        <v>مكوّن البناء - سكني</v>
      </c>
      <c r="E71" s="738" t="str">
        <f>Study!CJ70</f>
        <v>J61</v>
      </c>
      <c r="F71" s="736" t="str">
        <f>Study!CK70</f>
        <v>ريال سعودي</v>
      </c>
      <c r="G71" s="731"/>
      <c r="H71" s="731"/>
      <c r="I71" s="731"/>
      <c r="J71" s="731"/>
      <c r="K71" s="731"/>
      <c r="L71" s="731"/>
      <c r="M71" s="731"/>
      <c r="N71" s="731"/>
      <c r="O71" s="731"/>
      <c r="P71" s="731"/>
      <c r="Q71" s="731"/>
      <c r="R71" s="731"/>
      <c r="S71" s="731"/>
      <c r="T71" s="731"/>
      <c r="U71" s="731"/>
      <c r="V71" s="731"/>
      <c r="W71" s="731"/>
      <c r="X71" s="731"/>
      <c r="Y71" s="731"/>
      <c r="Z71" s="731"/>
    </row>
    <row r="72" spans="1:26" x14ac:dyDescent="0.2">
      <c r="A72" s="739">
        <f>Study!CF71</f>
        <v>60</v>
      </c>
      <c r="B72" s="740" t="str">
        <f>Study!CG71</f>
        <v>سكني - عدد المواقف</v>
      </c>
      <c r="C72" s="751">
        <f>Study!CH71</f>
        <v>12</v>
      </c>
      <c r="D72" s="740" t="str">
        <f>Study!CI71</f>
        <v>مكوّن البناء - سكني</v>
      </c>
      <c r="E72" s="742" t="str">
        <f>Study!CJ71</f>
        <v>K61</v>
      </c>
      <c r="F72" s="740" t="str">
        <f>Study!CK71</f>
        <v>موقف</v>
      </c>
      <c r="G72" s="731"/>
      <c r="H72" s="731"/>
      <c r="I72" s="731"/>
      <c r="J72" s="731"/>
      <c r="K72" s="731"/>
      <c r="L72" s="731"/>
      <c r="M72" s="731"/>
      <c r="N72" s="731"/>
      <c r="O72" s="731"/>
      <c r="P72" s="731"/>
      <c r="Q72" s="731"/>
      <c r="R72" s="731"/>
      <c r="S72" s="731"/>
      <c r="T72" s="731"/>
      <c r="U72" s="731"/>
      <c r="V72" s="731"/>
      <c r="W72" s="731"/>
      <c r="X72" s="731"/>
      <c r="Y72" s="731"/>
      <c r="Z72" s="731"/>
    </row>
    <row r="73" spans="1:26" x14ac:dyDescent="0.2">
      <c r="A73" s="735">
        <f>Study!CF72</f>
        <v>61</v>
      </c>
      <c r="B73" s="736" t="str">
        <f>Study!CG72</f>
        <v>سكني - معيار المواقف</v>
      </c>
      <c r="C73" s="752">
        <f>Study!CH72</f>
        <v>1</v>
      </c>
      <c r="D73" s="736" t="str">
        <f>Study!CI72</f>
        <v>مكوّن البناء - سكني</v>
      </c>
      <c r="E73" s="738" t="str">
        <f>Study!CJ72</f>
        <v>L61</v>
      </c>
      <c r="F73" s="736" t="str">
        <f>Study!CK72</f>
        <v>معيار</v>
      </c>
      <c r="G73" s="731"/>
      <c r="H73" s="731"/>
      <c r="I73" s="731"/>
      <c r="J73" s="731"/>
      <c r="K73" s="731"/>
      <c r="L73" s="731"/>
      <c r="M73" s="731"/>
      <c r="N73" s="731"/>
      <c r="O73" s="731"/>
      <c r="P73" s="731"/>
      <c r="Q73" s="731"/>
      <c r="R73" s="731"/>
      <c r="S73" s="731"/>
      <c r="T73" s="731"/>
      <c r="U73" s="731"/>
      <c r="V73" s="731"/>
      <c r="W73" s="731"/>
      <c r="X73" s="731"/>
      <c r="Y73" s="731"/>
      <c r="Z73" s="731"/>
    </row>
    <row r="74" spans="1:26" ht="15" x14ac:dyDescent="0.2">
      <c r="A74" s="734" t="str">
        <f>Study!CF73</f>
        <v>▌ مكوّن البناء - فلل</v>
      </c>
      <c r="B74" s="734">
        <f>Study!CG73</f>
        <v>0</v>
      </c>
      <c r="C74" s="734">
        <f>Study!CH73</f>
        <v>0</v>
      </c>
      <c r="D74" s="734">
        <f>Study!CI73</f>
        <v>0</v>
      </c>
      <c r="E74" s="734">
        <f>Study!CJ73</f>
        <v>0</v>
      </c>
      <c r="F74" s="734">
        <f>Study!CK73</f>
        <v>0</v>
      </c>
      <c r="G74" s="731"/>
      <c r="H74" s="731"/>
      <c r="I74" s="731"/>
      <c r="J74" s="731"/>
      <c r="K74" s="731"/>
      <c r="L74" s="731"/>
      <c r="M74" s="731"/>
      <c r="N74" s="731"/>
      <c r="O74" s="731"/>
      <c r="P74" s="731"/>
      <c r="Q74" s="731"/>
      <c r="R74" s="731"/>
      <c r="S74" s="731"/>
      <c r="T74" s="731"/>
      <c r="U74" s="731"/>
      <c r="V74" s="731"/>
      <c r="W74" s="731"/>
      <c r="X74" s="731"/>
      <c r="Y74" s="731"/>
      <c r="Z74" s="731"/>
    </row>
    <row r="75" spans="1:26" x14ac:dyDescent="0.2">
      <c r="A75" s="739">
        <f>Study!CF74</f>
        <v>62</v>
      </c>
      <c r="B75" s="740" t="str">
        <f>Study!CG74</f>
        <v>فلل - نسبة من المساحة البنائية</v>
      </c>
      <c r="C75" s="746">
        <f>Study!CH74</f>
        <v>0.38274368396525515</v>
      </c>
      <c r="D75" s="740" t="str">
        <f>Study!CI74</f>
        <v>مكوّن البناء - فلل</v>
      </c>
      <c r="E75" s="742" t="str">
        <f>Study!CJ74</f>
        <v>C62</v>
      </c>
      <c r="F75" s="740" t="str">
        <f>Study!CK74</f>
        <v>نسبة مئوية</v>
      </c>
      <c r="G75" s="731"/>
      <c r="H75" s="731"/>
      <c r="I75" s="731"/>
      <c r="J75" s="731"/>
      <c r="K75" s="731"/>
      <c r="L75" s="731"/>
      <c r="M75" s="731"/>
      <c r="N75" s="731"/>
      <c r="O75" s="731"/>
      <c r="P75" s="731"/>
      <c r="Q75" s="731"/>
      <c r="R75" s="731"/>
      <c r="S75" s="731"/>
      <c r="T75" s="731"/>
      <c r="U75" s="731"/>
      <c r="V75" s="731"/>
      <c r="W75" s="731"/>
      <c r="X75" s="731"/>
      <c r="Y75" s="731"/>
      <c r="Z75" s="731"/>
    </row>
    <row r="76" spans="1:26" x14ac:dyDescent="0.2">
      <c r="A76" s="735">
        <f>Study!CF75</f>
        <v>63</v>
      </c>
      <c r="B76" s="736" t="str">
        <f>Study!CG75</f>
        <v>فلل - إجمالي المساحة البنائية (GBA)</v>
      </c>
      <c r="C76" s="745">
        <f>Study!CH75</f>
        <v>6012</v>
      </c>
      <c r="D76" s="736" t="str">
        <f>Study!CI75</f>
        <v>مكوّن البناء - فلل</v>
      </c>
      <c r="E76" s="738" t="str">
        <f>Study!CJ75</f>
        <v>D62</v>
      </c>
      <c r="F76" s="736" t="str">
        <f>Study!CK75</f>
        <v>م²</v>
      </c>
      <c r="G76" s="731"/>
      <c r="H76" s="731"/>
      <c r="I76" s="731"/>
      <c r="J76" s="731"/>
      <c r="K76" s="731"/>
      <c r="L76" s="731"/>
      <c r="M76" s="731"/>
      <c r="N76" s="731"/>
      <c r="O76" s="731"/>
      <c r="P76" s="731"/>
      <c r="Q76" s="731"/>
      <c r="R76" s="731"/>
      <c r="S76" s="731"/>
      <c r="T76" s="731"/>
      <c r="U76" s="731"/>
      <c r="V76" s="731"/>
      <c r="W76" s="731"/>
      <c r="X76" s="731"/>
      <c r="Y76" s="731"/>
      <c r="Z76" s="731"/>
    </row>
    <row r="77" spans="1:26" x14ac:dyDescent="0.2">
      <c r="A77" s="739">
        <f>Study!CF76</f>
        <v>64</v>
      </c>
      <c r="B77" s="740" t="str">
        <f>Study!CG76</f>
        <v>فلل - نسبة المساحات القابلة للبيع</v>
      </c>
      <c r="C77" s="746">
        <f>Study!CH76</f>
        <v>1</v>
      </c>
      <c r="D77" s="740" t="str">
        <f>Study!CI76</f>
        <v>مكوّن البناء - فلل</v>
      </c>
      <c r="E77" s="742" t="str">
        <f>Study!CJ76</f>
        <v>E62</v>
      </c>
      <c r="F77" s="740" t="str">
        <f>Study!CK76</f>
        <v>نسبة مئوية</v>
      </c>
      <c r="G77" s="731"/>
      <c r="H77" s="731"/>
      <c r="I77" s="731"/>
      <c r="J77" s="731"/>
      <c r="K77" s="731"/>
      <c r="L77" s="731"/>
      <c r="M77" s="731"/>
      <c r="N77" s="731"/>
      <c r="O77" s="731"/>
      <c r="P77" s="731"/>
      <c r="Q77" s="731"/>
      <c r="R77" s="731"/>
      <c r="S77" s="731"/>
      <c r="T77" s="731"/>
      <c r="U77" s="731"/>
      <c r="V77" s="731"/>
      <c r="W77" s="731"/>
      <c r="X77" s="731"/>
      <c r="Y77" s="731"/>
      <c r="Z77" s="731"/>
    </row>
    <row r="78" spans="1:26" x14ac:dyDescent="0.2">
      <c r="A78" s="735">
        <f>Study!CF77</f>
        <v>65</v>
      </c>
      <c r="B78" s="736" t="str">
        <f>Study!CG77</f>
        <v>فلل - المساحات الصافية القابلة للبيع (NSA)</v>
      </c>
      <c r="C78" s="745">
        <f>Study!CH77</f>
        <v>3340</v>
      </c>
      <c r="D78" s="736" t="str">
        <f>Study!CI77</f>
        <v>مكوّن البناء - فلل</v>
      </c>
      <c r="E78" s="738" t="str">
        <f>Study!CJ77</f>
        <v>F62</v>
      </c>
      <c r="F78" s="736" t="str">
        <f>Study!CK77</f>
        <v>م²</v>
      </c>
      <c r="G78" s="731"/>
      <c r="H78" s="731"/>
      <c r="I78" s="731"/>
      <c r="J78" s="731"/>
      <c r="K78" s="731"/>
      <c r="L78" s="731"/>
      <c r="M78" s="731"/>
      <c r="N78" s="731"/>
      <c r="O78" s="731"/>
      <c r="P78" s="731"/>
      <c r="Q78" s="731"/>
      <c r="R78" s="731"/>
      <c r="S78" s="731"/>
      <c r="T78" s="731"/>
      <c r="U78" s="731"/>
      <c r="V78" s="731"/>
      <c r="W78" s="731"/>
      <c r="X78" s="731"/>
      <c r="Y78" s="731"/>
      <c r="Z78" s="731"/>
    </row>
    <row r="79" spans="1:26" x14ac:dyDescent="0.2">
      <c r="A79" s="739">
        <f>Study!CF78</f>
        <v>66</v>
      </c>
      <c r="B79" s="740" t="str">
        <f>Study!CG78</f>
        <v>فلل - مساحة الوحدة</v>
      </c>
      <c r="C79" s="749">
        <f>Study!CH78</f>
        <v>11</v>
      </c>
      <c r="D79" s="740" t="str">
        <f>Study!CI78</f>
        <v>مكوّن البناء - فلل</v>
      </c>
      <c r="E79" s="742" t="str">
        <f>Study!CJ78</f>
        <v>G62</v>
      </c>
      <c r="F79" s="740" t="str">
        <f>Study!CK78</f>
        <v>م²</v>
      </c>
      <c r="G79" s="731"/>
      <c r="H79" s="731"/>
      <c r="I79" s="731"/>
      <c r="J79" s="731"/>
      <c r="K79" s="731"/>
      <c r="L79" s="731"/>
      <c r="M79" s="731"/>
      <c r="N79" s="731"/>
      <c r="O79" s="731"/>
      <c r="P79" s="731"/>
      <c r="Q79" s="731"/>
      <c r="R79" s="731"/>
      <c r="S79" s="731"/>
      <c r="T79" s="731"/>
      <c r="U79" s="731"/>
      <c r="V79" s="731"/>
      <c r="W79" s="731"/>
      <c r="X79" s="731"/>
      <c r="Y79" s="731"/>
      <c r="Z79" s="731"/>
    </row>
    <row r="80" spans="1:26" x14ac:dyDescent="0.2">
      <c r="A80" s="735">
        <f>Study!CF79</f>
        <v>67</v>
      </c>
      <c r="B80" s="736" t="str">
        <f>Study!CG79</f>
        <v>فلل - عدد الوحدات</v>
      </c>
      <c r="C80" s="750">
        <f>Study!CH79</f>
        <v>303.63636363636363</v>
      </c>
      <c r="D80" s="736" t="str">
        <f>Study!CI79</f>
        <v>مكوّن البناء - فلل</v>
      </c>
      <c r="E80" s="738" t="str">
        <f>Study!CJ79</f>
        <v>H62</v>
      </c>
      <c r="F80" s="736" t="str">
        <f>Study!CK79</f>
        <v>وحدة</v>
      </c>
      <c r="G80" s="731"/>
      <c r="H80" s="731"/>
      <c r="I80" s="731"/>
      <c r="J80" s="731"/>
      <c r="K80" s="731"/>
      <c r="L80" s="731"/>
      <c r="M80" s="731"/>
      <c r="N80" s="731"/>
      <c r="O80" s="731"/>
      <c r="P80" s="731"/>
      <c r="Q80" s="731"/>
      <c r="R80" s="731"/>
      <c r="S80" s="731"/>
      <c r="T80" s="731"/>
      <c r="U80" s="731"/>
      <c r="V80" s="731"/>
      <c r="W80" s="731"/>
      <c r="X80" s="731"/>
      <c r="Y80" s="731"/>
      <c r="Z80" s="731"/>
    </row>
    <row r="81" spans="1:26" x14ac:dyDescent="0.2">
      <c r="A81" s="739">
        <f>Study!CF80</f>
        <v>68</v>
      </c>
      <c r="B81" s="740" t="str">
        <f>Study!CG80</f>
        <v>فلل - تكلفة متر البناء</v>
      </c>
      <c r="C81" s="744">
        <f>Study!CH80</f>
        <v>2200</v>
      </c>
      <c r="D81" s="740" t="str">
        <f>Study!CI80</f>
        <v>مكوّن البناء - فلل</v>
      </c>
      <c r="E81" s="742" t="str">
        <f>Study!CJ80</f>
        <v>I62</v>
      </c>
      <c r="F81" s="740" t="str">
        <f>Study!CK80</f>
        <v>ريال/م²</v>
      </c>
      <c r="G81" s="731"/>
      <c r="H81" s="731"/>
      <c r="I81" s="731"/>
      <c r="J81" s="731"/>
      <c r="K81" s="731"/>
      <c r="L81" s="731"/>
      <c r="M81" s="731"/>
      <c r="N81" s="731"/>
      <c r="O81" s="731"/>
      <c r="P81" s="731"/>
      <c r="Q81" s="731"/>
      <c r="R81" s="731"/>
      <c r="S81" s="731"/>
      <c r="T81" s="731"/>
      <c r="U81" s="731"/>
      <c r="V81" s="731"/>
      <c r="W81" s="731"/>
      <c r="X81" s="731"/>
      <c r="Y81" s="731"/>
      <c r="Z81" s="731"/>
    </row>
    <row r="82" spans="1:26" x14ac:dyDescent="0.2">
      <c r="A82" s="735">
        <f>Study!CF81</f>
        <v>69</v>
      </c>
      <c r="B82" s="736" t="str">
        <f>Study!CG81</f>
        <v>فلل - إجمالي التكاليف</v>
      </c>
      <c r="C82" s="743">
        <f>Study!CH81</f>
        <v>13226400</v>
      </c>
      <c r="D82" s="736" t="str">
        <f>Study!CI81</f>
        <v>مكوّن البناء - فلل</v>
      </c>
      <c r="E82" s="738" t="str">
        <f>Study!CJ81</f>
        <v>J62</v>
      </c>
      <c r="F82" s="736" t="str">
        <f>Study!CK81</f>
        <v>ريال سعودي</v>
      </c>
      <c r="G82" s="731"/>
      <c r="H82" s="731"/>
      <c r="I82" s="731"/>
      <c r="J82" s="731"/>
      <c r="K82" s="731"/>
      <c r="L82" s="731"/>
      <c r="M82" s="731"/>
      <c r="N82" s="731"/>
      <c r="O82" s="731"/>
      <c r="P82" s="731"/>
      <c r="Q82" s="731"/>
      <c r="R82" s="731"/>
      <c r="S82" s="731"/>
      <c r="T82" s="731"/>
      <c r="U82" s="731"/>
      <c r="V82" s="731"/>
      <c r="W82" s="731"/>
      <c r="X82" s="731"/>
      <c r="Y82" s="731"/>
      <c r="Z82" s="731"/>
    </row>
    <row r="83" spans="1:26" x14ac:dyDescent="0.2">
      <c r="A83" s="739">
        <f>Study!CF82</f>
        <v>70</v>
      </c>
      <c r="B83" s="740" t="str">
        <f>Study!CG82</f>
        <v>فلل - عدد المواقف</v>
      </c>
      <c r="C83" s="751">
        <f>Study!CH82</f>
        <v>0</v>
      </c>
      <c r="D83" s="740" t="str">
        <f>Study!CI82</f>
        <v>مكوّن البناء - فلل</v>
      </c>
      <c r="E83" s="742" t="str">
        <f>Study!CJ82</f>
        <v>K62</v>
      </c>
      <c r="F83" s="740" t="str">
        <f>Study!CK82</f>
        <v>موقف</v>
      </c>
      <c r="G83" s="731"/>
      <c r="H83" s="731"/>
      <c r="I83" s="731"/>
      <c r="J83" s="731"/>
      <c r="K83" s="731"/>
      <c r="L83" s="731"/>
      <c r="M83" s="731"/>
      <c r="N83" s="731"/>
      <c r="O83" s="731"/>
      <c r="P83" s="731"/>
      <c r="Q83" s="731"/>
      <c r="R83" s="731"/>
      <c r="S83" s="731"/>
      <c r="T83" s="731"/>
      <c r="U83" s="731"/>
      <c r="V83" s="731"/>
      <c r="W83" s="731"/>
      <c r="X83" s="731"/>
      <c r="Y83" s="731"/>
      <c r="Z83" s="731"/>
    </row>
    <row r="84" spans="1:26" x14ac:dyDescent="0.2">
      <c r="A84" s="735">
        <f>Study!CF83</f>
        <v>71</v>
      </c>
      <c r="B84" s="736" t="str">
        <f>Study!CG83</f>
        <v>فلل - معيار المواقف</v>
      </c>
      <c r="C84" s="752">
        <f>Study!CH83</f>
        <v>0</v>
      </c>
      <c r="D84" s="736" t="str">
        <f>Study!CI83</f>
        <v>مكوّن البناء - فلل</v>
      </c>
      <c r="E84" s="738" t="str">
        <f>Study!CJ83</f>
        <v>L62</v>
      </c>
      <c r="F84" s="736" t="str">
        <f>Study!CK83</f>
        <v>معيار</v>
      </c>
      <c r="G84" s="731"/>
      <c r="H84" s="731"/>
      <c r="I84" s="731"/>
      <c r="J84" s="731"/>
      <c r="K84" s="731"/>
      <c r="L84" s="731"/>
      <c r="M84" s="731"/>
      <c r="N84" s="731"/>
      <c r="O84" s="731"/>
      <c r="P84" s="731"/>
      <c r="Q84" s="731"/>
      <c r="R84" s="731"/>
      <c r="S84" s="731"/>
      <c r="T84" s="731"/>
      <c r="U84" s="731"/>
      <c r="V84" s="731"/>
      <c r="W84" s="731"/>
      <c r="X84" s="731"/>
      <c r="Y84" s="731"/>
      <c r="Z84" s="731"/>
    </row>
    <row r="85" spans="1:26" ht="15" x14ac:dyDescent="0.2">
      <c r="A85" s="734" t="str">
        <f>Study!CF84</f>
        <v>▌ مكوّن البناء - تاون هاوس</v>
      </c>
      <c r="B85" s="734">
        <f>Study!CG84</f>
        <v>0</v>
      </c>
      <c r="C85" s="734">
        <f>Study!CH84</f>
        <v>0</v>
      </c>
      <c r="D85" s="734">
        <f>Study!CI84</f>
        <v>0</v>
      </c>
      <c r="E85" s="734">
        <f>Study!CJ84</f>
        <v>0</v>
      </c>
      <c r="F85" s="734">
        <f>Study!CK84</f>
        <v>0</v>
      </c>
      <c r="G85" s="731"/>
      <c r="H85" s="731"/>
      <c r="I85" s="731"/>
      <c r="J85" s="731"/>
      <c r="K85" s="731"/>
      <c r="L85" s="731"/>
      <c r="M85" s="731"/>
      <c r="N85" s="731"/>
      <c r="O85" s="731"/>
      <c r="P85" s="731"/>
      <c r="Q85" s="731"/>
      <c r="R85" s="731"/>
      <c r="S85" s="731"/>
      <c r="T85" s="731"/>
      <c r="U85" s="731"/>
      <c r="V85" s="731"/>
      <c r="W85" s="731"/>
      <c r="X85" s="731"/>
      <c r="Y85" s="731"/>
      <c r="Z85" s="731"/>
    </row>
    <row r="86" spans="1:26" x14ac:dyDescent="0.2">
      <c r="A86" s="739">
        <f>Study!CF85</f>
        <v>72</v>
      </c>
      <c r="B86" s="740" t="str">
        <f>Study!CG85</f>
        <v>تاون هاوس - نسبة من المساحة البنائية</v>
      </c>
      <c r="C86" s="746">
        <f>Study!CH85</f>
        <v>0</v>
      </c>
      <c r="D86" s="740" t="str">
        <f>Study!CI85</f>
        <v>مكوّن البناء - تاون هاوس</v>
      </c>
      <c r="E86" s="742" t="str">
        <f>Study!CJ85</f>
        <v>C63</v>
      </c>
      <c r="F86" s="740" t="str">
        <f>Study!CK85</f>
        <v>نسبة مئوية</v>
      </c>
      <c r="G86" s="731"/>
      <c r="H86" s="731"/>
      <c r="I86" s="731"/>
      <c r="J86" s="731"/>
      <c r="K86" s="731"/>
      <c r="L86" s="731"/>
      <c r="M86" s="731"/>
      <c r="N86" s="731"/>
      <c r="O86" s="731"/>
      <c r="P86" s="731"/>
      <c r="Q86" s="731"/>
      <c r="R86" s="731"/>
      <c r="S86" s="731"/>
      <c r="T86" s="731"/>
      <c r="U86" s="731"/>
      <c r="V86" s="731"/>
      <c r="W86" s="731"/>
      <c r="X86" s="731"/>
      <c r="Y86" s="731"/>
      <c r="Z86" s="731"/>
    </row>
    <row r="87" spans="1:26" x14ac:dyDescent="0.2">
      <c r="A87" s="735">
        <f>Study!CF86</f>
        <v>73</v>
      </c>
      <c r="B87" s="736" t="str">
        <f>Study!CG86</f>
        <v>تاون هاوس - إجمالي المساحة البنائية (GBA)</v>
      </c>
      <c r="C87" s="745">
        <f>Study!CH86</f>
        <v>0</v>
      </c>
      <c r="D87" s="736" t="str">
        <f>Study!CI86</f>
        <v>مكوّن البناء - تاون هاوس</v>
      </c>
      <c r="E87" s="738" t="str">
        <f>Study!CJ86</f>
        <v>D63</v>
      </c>
      <c r="F87" s="736" t="str">
        <f>Study!CK86</f>
        <v>م²</v>
      </c>
      <c r="G87" s="731"/>
      <c r="H87" s="731"/>
      <c r="I87" s="731"/>
      <c r="J87" s="731"/>
      <c r="K87" s="731"/>
      <c r="L87" s="731"/>
      <c r="M87" s="731"/>
      <c r="N87" s="731"/>
      <c r="O87" s="731"/>
      <c r="P87" s="731"/>
      <c r="Q87" s="731"/>
      <c r="R87" s="731"/>
      <c r="S87" s="731"/>
      <c r="T87" s="731"/>
      <c r="U87" s="731"/>
      <c r="V87" s="731"/>
      <c r="W87" s="731"/>
      <c r="X87" s="731"/>
      <c r="Y87" s="731"/>
      <c r="Z87" s="731"/>
    </row>
    <row r="88" spans="1:26" x14ac:dyDescent="0.2">
      <c r="A88" s="739">
        <f>Study!CF87</f>
        <v>74</v>
      </c>
      <c r="B88" s="740" t="str">
        <f>Study!CG87</f>
        <v>تاون هاوس - نسبة المساحات القابلة للبيع</v>
      </c>
      <c r="C88" s="746">
        <f>Study!CH87</f>
        <v>0</v>
      </c>
      <c r="D88" s="740" t="str">
        <f>Study!CI87</f>
        <v>مكوّن البناء - تاون هاوس</v>
      </c>
      <c r="E88" s="742" t="str">
        <f>Study!CJ87</f>
        <v>E63</v>
      </c>
      <c r="F88" s="740" t="str">
        <f>Study!CK87</f>
        <v>نسبة مئوية</v>
      </c>
      <c r="G88" s="731"/>
      <c r="H88" s="731"/>
      <c r="I88" s="731"/>
      <c r="J88" s="731"/>
      <c r="K88" s="731"/>
      <c r="L88" s="731"/>
      <c r="M88" s="731"/>
      <c r="N88" s="731"/>
      <c r="O88" s="731"/>
      <c r="P88" s="731"/>
      <c r="Q88" s="731"/>
      <c r="R88" s="731"/>
      <c r="S88" s="731"/>
      <c r="T88" s="731"/>
      <c r="U88" s="731"/>
      <c r="V88" s="731"/>
      <c r="W88" s="731"/>
      <c r="X88" s="731"/>
      <c r="Y88" s="731"/>
      <c r="Z88" s="731"/>
    </row>
    <row r="89" spans="1:26" x14ac:dyDescent="0.2">
      <c r="A89" s="735">
        <f>Study!CF88</f>
        <v>75</v>
      </c>
      <c r="B89" s="736" t="str">
        <f>Study!CG88</f>
        <v>تاون هاوس - المساحات الصافية القابلة للبيع (NSA)</v>
      </c>
      <c r="C89" s="745">
        <f>Study!CH88</f>
        <v>0</v>
      </c>
      <c r="D89" s="736" t="str">
        <f>Study!CI88</f>
        <v>مكوّن البناء - تاون هاوس</v>
      </c>
      <c r="E89" s="738" t="str">
        <f>Study!CJ88</f>
        <v>F63</v>
      </c>
      <c r="F89" s="736" t="str">
        <f>Study!CK88</f>
        <v>م²</v>
      </c>
      <c r="G89" s="731"/>
      <c r="H89" s="731"/>
      <c r="I89" s="731"/>
      <c r="J89" s="731"/>
      <c r="K89" s="731"/>
      <c r="L89" s="731"/>
      <c r="M89" s="731"/>
      <c r="N89" s="731"/>
      <c r="O89" s="731"/>
      <c r="P89" s="731"/>
      <c r="Q89" s="731"/>
      <c r="R89" s="731"/>
      <c r="S89" s="731"/>
      <c r="T89" s="731"/>
      <c r="U89" s="731"/>
      <c r="V89" s="731"/>
      <c r="W89" s="731"/>
      <c r="X89" s="731"/>
      <c r="Y89" s="731"/>
      <c r="Z89" s="731"/>
    </row>
    <row r="90" spans="1:26" x14ac:dyDescent="0.2">
      <c r="A90" s="739">
        <f>Study!CF89</f>
        <v>76</v>
      </c>
      <c r="B90" s="740" t="str">
        <f>Study!CG89</f>
        <v>تاون هاوس - مساحة الوحدة</v>
      </c>
      <c r="C90" s="749">
        <f>Study!CH89</f>
        <v>0</v>
      </c>
      <c r="D90" s="740" t="str">
        <f>Study!CI89</f>
        <v>مكوّن البناء - تاون هاوس</v>
      </c>
      <c r="E90" s="742" t="str">
        <f>Study!CJ89</f>
        <v>G63</v>
      </c>
      <c r="F90" s="740" t="str">
        <f>Study!CK89</f>
        <v>م²</v>
      </c>
      <c r="G90" s="731"/>
      <c r="H90" s="731"/>
      <c r="I90" s="731"/>
      <c r="J90" s="731"/>
      <c r="K90" s="731"/>
      <c r="L90" s="731"/>
      <c r="M90" s="731"/>
      <c r="N90" s="731"/>
      <c r="O90" s="731"/>
      <c r="P90" s="731"/>
      <c r="Q90" s="731"/>
      <c r="R90" s="731"/>
      <c r="S90" s="731"/>
      <c r="T90" s="731"/>
      <c r="U90" s="731"/>
      <c r="V90" s="731"/>
      <c r="W90" s="731"/>
      <c r="X90" s="731"/>
      <c r="Y90" s="731"/>
      <c r="Z90" s="731"/>
    </row>
    <row r="91" spans="1:26" x14ac:dyDescent="0.2">
      <c r="A91" s="735">
        <f>Study!CF90</f>
        <v>77</v>
      </c>
      <c r="B91" s="736" t="str">
        <f>Study!CG90</f>
        <v>تاون هاوس - عدد الوحدات</v>
      </c>
      <c r="C91" s="750" t="str">
        <f>Study!CH90</f>
        <v>0.00</v>
      </c>
      <c r="D91" s="736" t="str">
        <f>Study!CI90</f>
        <v>مكوّن البناء - تاون هاوس</v>
      </c>
      <c r="E91" s="738" t="str">
        <f>Study!CJ90</f>
        <v>H63</v>
      </c>
      <c r="F91" s="736" t="str">
        <f>Study!CK90</f>
        <v>وحدة</v>
      </c>
      <c r="G91" s="731"/>
      <c r="H91" s="731"/>
      <c r="I91" s="731"/>
      <c r="J91" s="731"/>
      <c r="K91" s="731"/>
      <c r="L91" s="731"/>
      <c r="M91" s="731"/>
      <c r="N91" s="731"/>
      <c r="O91" s="731"/>
      <c r="P91" s="731"/>
      <c r="Q91" s="731"/>
      <c r="R91" s="731"/>
      <c r="S91" s="731"/>
      <c r="T91" s="731"/>
      <c r="U91" s="731"/>
      <c r="V91" s="731"/>
      <c r="W91" s="731"/>
      <c r="X91" s="731"/>
      <c r="Y91" s="731"/>
      <c r="Z91" s="731"/>
    </row>
    <row r="92" spans="1:26" x14ac:dyDescent="0.2">
      <c r="A92" s="739">
        <f>Study!CF91</f>
        <v>78</v>
      </c>
      <c r="B92" s="740" t="str">
        <f>Study!CG91</f>
        <v>تاون هاوس - تكلفة متر البناء</v>
      </c>
      <c r="C92" s="744">
        <f>Study!CH91</f>
        <v>0</v>
      </c>
      <c r="D92" s="740" t="str">
        <f>Study!CI91</f>
        <v>مكوّن البناء - تاون هاوس</v>
      </c>
      <c r="E92" s="742" t="str">
        <f>Study!CJ91</f>
        <v>I63</v>
      </c>
      <c r="F92" s="740" t="str">
        <f>Study!CK91</f>
        <v>ريال/م²</v>
      </c>
      <c r="G92" s="731"/>
      <c r="H92" s="731"/>
      <c r="I92" s="731"/>
      <c r="J92" s="731"/>
      <c r="K92" s="731"/>
      <c r="L92" s="731"/>
      <c r="M92" s="731"/>
      <c r="N92" s="731"/>
      <c r="O92" s="731"/>
      <c r="P92" s="731"/>
      <c r="Q92" s="731"/>
      <c r="R92" s="731"/>
      <c r="S92" s="731"/>
      <c r="T92" s="731"/>
      <c r="U92" s="731"/>
      <c r="V92" s="731"/>
      <c r="W92" s="731"/>
      <c r="X92" s="731"/>
      <c r="Y92" s="731"/>
      <c r="Z92" s="731"/>
    </row>
    <row r="93" spans="1:26" x14ac:dyDescent="0.2">
      <c r="A93" s="735">
        <f>Study!CF92</f>
        <v>79</v>
      </c>
      <c r="B93" s="736" t="str">
        <f>Study!CG92</f>
        <v>تاون هاوس - إجمالي التكاليف</v>
      </c>
      <c r="C93" s="743">
        <f>Study!CH92</f>
        <v>0</v>
      </c>
      <c r="D93" s="736" t="str">
        <f>Study!CI92</f>
        <v>مكوّن البناء - تاون هاوس</v>
      </c>
      <c r="E93" s="738" t="str">
        <f>Study!CJ92</f>
        <v>J63</v>
      </c>
      <c r="F93" s="736" t="str">
        <f>Study!CK92</f>
        <v>ريال سعودي</v>
      </c>
      <c r="G93" s="731"/>
      <c r="H93" s="731"/>
      <c r="I93" s="731"/>
      <c r="J93" s="731"/>
      <c r="K93" s="731"/>
      <c r="L93" s="731"/>
      <c r="M93" s="731"/>
      <c r="N93" s="731"/>
      <c r="O93" s="731"/>
      <c r="P93" s="731"/>
      <c r="Q93" s="731"/>
      <c r="R93" s="731"/>
      <c r="S93" s="731"/>
      <c r="T93" s="731"/>
      <c r="U93" s="731"/>
      <c r="V93" s="731"/>
      <c r="W93" s="731"/>
      <c r="X93" s="731"/>
      <c r="Y93" s="731"/>
      <c r="Z93" s="731"/>
    </row>
    <row r="94" spans="1:26" x14ac:dyDescent="0.2">
      <c r="A94" s="739">
        <f>Study!CF93</f>
        <v>80</v>
      </c>
      <c r="B94" s="740" t="str">
        <f>Study!CG93</f>
        <v>تاون هاوس - عدد المواقف</v>
      </c>
      <c r="C94" s="751">
        <f>Study!CH93</f>
        <v>0</v>
      </c>
      <c r="D94" s="740" t="str">
        <f>Study!CI93</f>
        <v>مكوّن البناء - تاون هاوس</v>
      </c>
      <c r="E94" s="742" t="str">
        <f>Study!CJ93</f>
        <v>K63</v>
      </c>
      <c r="F94" s="740" t="str">
        <f>Study!CK93</f>
        <v>موقف</v>
      </c>
      <c r="G94" s="731"/>
      <c r="H94" s="731"/>
      <c r="I94" s="731"/>
      <c r="J94" s="731"/>
      <c r="K94" s="731"/>
      <c r="L94" s="731"/>
      <c r="M94" s="731"/>
      <c r="N94" s="731"/>
      <c r="O94" s="731"/>
      <c r="P94" s="731"/>
      <c r="Q94" s="731"/>
      <c r="R94" s="731"/>
      <c r="S94" s="731"/>
      <c r="T94" s="731"/>
      <c r="U94" s="731"/>
      <c r="V94" s="731"/>
      <c r="W94" s="731"/>
      <c r="X94" s="731"/>
      <c r="Y94" s="731"/>
      <c r="Z94" s="731"/>
    </row>
    <row r="95" spans="1:26" x14ac:dyDescent="0.2">
      <c r="A95" s="735">
        <f>Study!CF94</f>
        <v>81</v>
      </c>
      <c r="B95" s="736" t="str">
        <f>Study!CG94</f>
        <v>تاون هاوس - معيار المواقف</v>
      </c>
      <c r="C95" s="752">
        <f>Study!CH94</f>
        <v>0</v>
      </c>
      <c r="D95" s="736" t="str">
        <f>Study!CI94</f>
        <v>مكوّن البناء - تاون هاوس</v>
      </c>
      <c r="E95" s="738" t="str">
        <f>Study!CJ94</f>
        <v>L63</v>
      </c>
      <c r="F95" s="736" t="str">
        <f>Study!CK94</f>
        <v>معيار</v>
      </c>
      <c r="G95" s="731"/>
      <c r="H95" s="731"/>
      <c r="I95" s="731"/>
      <c r="J95" s="731"/>
      <c r="K95" s="731"/>
      <c r="L95" s="731"/>
      <c r="M95" s="731"/>
      <c r="N95" s="731"/>
      <c r="O95" s="731"/>
      <c r="P95" s="731"/>
      <c r="Q95" s="731"/>
      <c r="R95" s="731"/>
      <c r="S95" s="731"/>
      <c r="T95" s="731"/>
      <c r="U95" s="731"/>
      <c r="V95" s="731"/>
      <c r="W95" s="731"/>
      <c r="X95" s="731"/>
      <c r="Y95" s="731"/>
      <c r="Z95" s="731"/>
    </row>
    <row r="96" spans="1:26" ht="15" x14ac:dyDescent="0.2">
      <c r="A96" s="734" t="str">
        <f>Study!CF95</f>
        <v>▌ مكوّن البناء - أدوار</v>
      </c>
      <c r="B96" s="734">
        <f>Study!CG95</f>
        <v>0</v>
      </c>
      <c r="C96" s="734">
        <f>Study!CH95</f>
        <v>0</v>
      </c>
      <c r="D96" s="734">
        <f>Study!CI95</f>
        <v>0</v>
      </c>
      <c r="E96" s="734">
        <f>Study!CJ95</f>
        <v>0</v>
      </c>
      <c r="F96" s="734">
        <f>Study!CK95</f>
        <v>0</v>
      </c>
      <c r="G96" s="731"/>
      <c r="H96" s="731"/>
      <c r="I96" s="731"/>
      <c r="J96" s="731"/>
      <c r="K96" s="731"/>
      <c r="L96" s="731"/>
      <c r="M96" s="731"/>
      <c r="N96" s="731"/>
      <c r="O96" s="731"/>
      <c r="P96" s="731"/>
      <c r="Q96" s="731"/>
      <c r="R96" s="731"/>
      <c r="S96" s="731"/>
      <c r="T96" s="731"/>
      <c r="U96" s="731"/>
      <c r="V96" s="731"/>
      <c r="W96" s="731"/>
      <c r="X96" s="731"/>
      <c r="Y96" s="731"/>
      <c r="Z96" s="731"/>
    </row>
    <row r="97" spans="1:26" x14ac:dyDescent="0.2">
      <c r="A97" s="739">
        <f>Study!CF96</f>
        <v>82</v>
      </c>
      <c r="B97" s="740" t="str">
        <f>Study!CG96</f>
        <v>أدوار - نسبة من المساحة البنائية</v>
      </c>
      <c r="C97" s="746">
        <f>Study!CH96</f>
        <v>0</v>
      </c>
      <c r="D97" s="740" t="str">
        <f>Study!CI96</f>
        <v>مكوّن البناء - أدوار</v>
      </c>
      <c r="E97" s="742" t="str">
        <f>Study!CJ96</f>
        <v>C64</v>
      </c>
      <c r="F97" s="740" t="str">
        <f>Study!CK96</f>
        <v>نسبة مئوية</v>
      </c>
      <c r="G97" s="731"/>
      <c r="H97" s="731"/>
      <c r="I97" s="731"/>
      <c r="J97" s="731"/>
      <c r="K97" s="731"/>
      <c r="L97" s="731"/>
      <c r="M97" s="731"/>
      <c r="N97" s="731"/>
      <c r="O97" s="731"/>
      <c r="P97" s="731"/>
      <c r="Q97" s="731"/>
      <c r="R97" s="731"/>
      <c r="S97" s="731"/>
      <c r="T97" s="731"/>
      <c r="U97" s="731"/>
      <c r="V97" s="731"/>
      <c r="W97" s="731"/>
      <c r="X97" s="731"/>
      <c r="Y97" s="731"/>
      <c r="Z97" s="731"/>
    </row>
    <row r="98" spans="1:26" x14ac:dyDescent="0.2">
      <c r="A98" s="735">
        <f>Study!CF97</f>
        <v>83</v>
      </c>
      <c r="B98" s="736" t="str">
        <f>Study!CG97</f>
        <v>أدوار - إجمالي المساحة البنائية (GBA)</v>
      </c>
      <c r="C98" s="745">
        <f>Study!CH97</f>
        <v>0</v>
      </c>
      <c r="D98" s="736" t="str">
        <f>Study!CI97</f>
        <v>مكوّن البناء - أدوار</v>
      </c>
      <c r="E98" s="738" t="str">
        <f>Study!CJ97</f>
        <v>D64</v>
      </c>
      <c r="F98" s="736" t="str">
        <f>Study!CK97</f>
        <v>م²</v>
      </c>
      <c r="G98" s="731"/>
      <c r="H98" s="731"/>
      <c r="I98" s="731"/>
      <c r="J98" s="731"/>
      <c r="K98" s="731"/>
      <c r="L98" s="731"/>
      <c r="M98" s="731"/>
      <c r="N98" s="731"/>
      <c r="O98" s="731"/>
      <c r="P98" s="731"/>
      <c r="Q98" s="731"/>
      <c r="R98" s="731"/>
      <c r="S98" s="731"/>
      <c r="T98" s="731"/>
      <c r="U98" s="731"/>
      <c r="V98" s="731"/>
      <c r="W98" s="731"/>
      <c r="X98" s="731"/>
      <c r="Y98" s="731"/>
      <c r="Z98" s="731"/>
    </row>
    <row r="99" spans="1:26" x14ac:dyDescent="0.2">
      <c r="A99" s="739">
        <f>Study!CF98</f>
        <v>84</v>
      </c>
      <c r="B99" s="740" t="str">
        <f>Study!CG98</f>
        <v>أدوار - نسبة المساحات القابلة للبيع</v>
      </c>
      <c r="C99" s="746">
        <f>Study!CH98</f>
        <v>0</v>
      </c>
      <c r="D99" s="740" t="str">
        <f>Study!CI98</f>
        <v>مكوّن البناء - أدوار</v>
      </c>
      <c r="E99" s="742" t="str">
        <f>Study!CJ98</f>
        <v>E64</v>
      </c>
      <c r="F99" s="740" t="str">
        <f>Study!CK98</f>
        <v>نسبة مئوية</v>
      </c>
      <c r="G99" s="731"/>
      <c r="H99" s="731"/>
      <c r="I99" s="731"/>
      <c r="J99" s="731"/>
      <c r="K99" s="731"/>
      <c r="L99" s="731"/>
      <c r="M99" s="731"/>
      <c r="N99" s="731"/>
      <c r="O99" s="731"/>
      <c r="P99" s="731"/>
      <c r="Q99" s="731"/>
      <c r="R99" s="731"/>
      <c r="S99" s="731"/>
      <c r="T99" s="731"/>
      <c r="U99" s="731"/>
      <c r="V99" s="731"/>
      <c r="W99" s="731"/>
      <c r="X99" s="731"/>
      <c r="Y99" s="731"/>
      <c r="Z99" s="731"/>
    </row>
    <row r="100" spans="1:26" x14ac:dyDescent="0.2">
      <c r="A100" s="735">
        <f>Study!CF99</f>
        <v>85</v>
      </c>
      <c r="B100" s="736" t="str">
        <f>Study!CG99</f>
        <v>أدوار - المساحات الصافية القابلة للبيع (NSA)</v>
      </c>
      <c r="C100" s="745">
        <f>Study!CH99</f>
        <v>0</v>
      </c>
      <c r="D100" s="736" t="str">
        <f>Study!CI99</f>
        <v>مكوّن البناء - أدوار</v>
      </c>
      <c r="E100" s="738" t="str">
        <f>Study!CJ99</f>
        <v>F64</v>
      </c>
      <c r="F100" s="736" t="str">
        <f>Study!CK99</f>
        <v>م²</v>
      </c>
      <c r="G100" s="731"/>
      <c r="H100" s="731"/>
      <c r="I100" s="731"/>
      <c r="J100" s="731"/>
      <c r="K100" s="731"/>
      <c r="L100" s="731"/>
      <c r="M100" s="731"/>
      <c r="N100" s="731"/>
      <c r="O100" s="731"/>
      <c r="P100" s="731"/>
      <c r="Q100" s="731"/>
      <c r="R100" s="731"/>
      <c r="S100" s="731"/>
      <c r="T100" s="731"/>
      <c r="U100" s="731"/>
      <c r="V100" s="731"/>
      <c r="W100" s="731"/>
      <c r="X100" s="731"/>
      <c r="Y100" s="731"/>
      <c r="Z100" s="731"/>
    </row>
    <row r="101" spans="1:26" x14ac:dyDescent="0.2">
      <c r="A101" s="739">
        <f>Study!CF100</f>
        <v>86</v>
      </c>
      <c r="B101" s="740" t="str">
        <f>Study!CG100</f>
        <v>أدوار - مساحة الوحدة</v>
      </c>
      <c r="C101" s="749">
        <f>Study!CH100</f>
        <v>0</v>
      </c>
      <c r="D101" s="740" t="str">
        <f>Study!CI100</f>
        <v>مكوّن البناء - أدوار</v>
      </c>
      <c r="E101" s="742" t="str">
        <f>Study!CJ100</f>
        <v>G64</v>
      </c>
      <c r="F101" s="740" t="str">
        <f>Study!CK100</f>
        <v>م²</v>
      </c>
      <c r="G101" s="731"/>
      <c r="H101" s="731"/>
      <c r="I101" s="731"/>
      <c r="J101" s="731"/>
      <c r="K101" s="731"/>
      <c r="L101" s="731"/>
      <c r="M101" s="731"/>
      <c r="N101" s="731"/>
      <c r="O101" s="731"/>
      <c r="P101" s="731"/>
      <c r="Q101" s="731"/>
      <c r="R101" s="731"/>
      <c r="S101" s="731"/>
      <c r="T101" s="731"/>
      <c r="U101" s="731"/>
      <c r="V101" s="731"/>
      <c r="W101" s="731"/>
      <c r="X101" s="731"/>
      <c r="Y101" s="731"/>
      <c r="Z101" s="731"/>
    </row>
    <row r="102" spans="1:26" x14ac:dyDescent="0.2">
      <c r="A102" s="735">
        <f>Study!CF101</f>
        <v>87</v>
      </c>
      <c r="B102" s="736" t="str">
        <f>Study!CG101</f>
        <v>أدوار - عدد الوحدات</v>
      </c>
      <c r="C102" s="750" t="str">
        <f>Study!CH101</f>
        <v>0.00</v>
      </c>
      <c r="D102" s="736" t="str">
        <f>Study!CI101</f>
        <v>مكوّن البناء - أدوار</v>
      </c>
      <c r="E102" s="738" t="str">
        <f>Study!CJ101</f>
        <v>H64</v>
      </c>
      <c r="F102" s="736" t="str">
        <f>Study!CK101</f>
        <v>وحدة</v>
      </c>
      <c r="G102" s="731"/>
      <c r="H102" s="731"/>
      <c r="I102" s="731"/>
      <c r="J102" s="731"/>
      <c r="K102" s="731"/>
      <c r="L102" s="731"/>
      <c r="M102" s="731"/>
      <c r="N102" s="731"/>
      <c r="O102" s="731"/>
      <c r="P102" s="731"/>
      <c r="Q102" s="731"/>
      <c r="R102" s="731"/>
      <c r="S102" s="731"/>
      <c r="T102" s="731"/>
      <c r="U102" s="731"/>
      <c r="V102" s="731"/>
      <c r="W102" s="731"/>
      <c r="X102" s="731"/>
      <c r="Y102" s="731"/>
      <c r="Z102" s="731"/>
    </row>
    <row r="103" spans="1:26" x14ac:dyDescent="0.2">
      <c r="A103" s="739">
        <f>Study!CF102</f>
        <v>88</v>
      </c>
      <c r="B103" s="740" t="str">
        <f>Study!CG102</f>
        <v>أدوار - تكلفة متر البناء</v>
      </c>
      <c r="C103" s="744">
        <f>Study!CH102</f>
        <v>0</v>
      </c>
      <c r="D103" s="740" t="str">
        <f>Study!CI102</f>
        <v>مكوّن البناء - أدوار</v>
      </c>
      <c r="E103" s="742" t="str">
        <f>Study!CJ102</f>
        <v>I64</v>
      </c>
      <c r="F103" s="740" t="str">
        <f>Study!CK102</f>
        <v>ريال/م²</v>
      </c>
      <c r="G103" s="731"/>
      <c r="H103" s="731"/>
      <c r="I103" s="731"/>
      <c r="J103" s="731"/>
      <c r="K103" s="731"/>
      <c r="L103" s="731"/>
      <c r="M103" s="731"/>
      <c r="N103" s="731"/>
      <c r="O103" s="731"/>
      <c r="P103" s="731"/>
      <c r="Q103" s="731"/>
      <c r="R103" s="731"/>
      <c r="S103" s="731"/>
      <c r="T103" s="731"/>
      <c r="U103" s="731"/>
      <c r="V103" s="731"/>
      <c r="W103" s="731"/>
      <c r="X103" s="731"/>
      <c r="Y103" s="731"/>
      <c r="Z103" s="731"/>
    </row>
    <row r="104" spans="1:26" x14ac:dyDescent="0.2">
      <c r="A104" s="735">
        <f>Study!CF103</f>
        <v>89</v>
      </c>
      <c r="B104" s="736" t="str">
        <f>Study!CG103</f>
        <v>أدوار - إجمالي التكاليف</v>
      </c>
      <c r="C104" s="743">
        <f>Study!CH103</f>
        <v>0</v>
      </c>
      <c r="D104" s="736" t="str">
        <f>Study!CI103</f>
        <v>مكوّن البناء - أدوار</v>
      </c>
      <c r="E104" s="738" t="str">
        <f>Study!CJ103</f>
        <v>J64</v>
      </c>
      <c r="F104" s="736" t="str">
        <f>Study!CK103</f>
        <v>ريال سعودي</v>
      </c>
      <c r="G104" s="731"/>
      <c r="H104" s="731"/>
      <c r="I104" s="731"/>
      <c r="J104" s="731"/>
      <c r="K104" s="731"/>
      <c r="L104" s="731"/>
      <c r="M104" s="731"/>
      <c r="N104" s="731"/>
      <c r="O104" s="731"/>
      <c r="P104" s="731"/>
      <c r="Q104" s="731"/>
      <c r="R104" s="731"/>
      <c r="S104" s="731"/>
      <c r="T104" s="731"/>
      <c r="U104" s="731"/>
      <c r="V104" s="731"/>
      <c r="W104" s="731"/>
      <c r="X104" s="731"/>
      <c r="Y104" s="731"/>
      <c r="Z104" s="731"/>
    </row>
    <row r="105" spans="1:26" x14ac:dyDescent="0.2">
      <c r="A105" s="739">
        <f>Study!CF104</f>
        <v>90</v>
      </c>
      <c r="B105" s="740" t="str">
        <f>Study!CG104</f>
        <v>أدوار - عدد المواقف</v>
      </c>
      <c r="C105" s="751">
        <f>Study!CH104</f>
        <v>0</v>
      </c>
      <c r="D105" s="740" t="str">
        <f>Study!CI104</f>
        <v>مكوّن البناء - أدوار</v>
      </c>
      <c r="E105" s="742" t="str">
        <f>Study!CJ104</f>
        <v>K64</v>
      </c>
      <c r="F105" s="740" t="str">
        <f>Study!CK104</f>
        <v>موقف</v>
      </c>
      <c r="G105" s="731"/>
      <c r="H105" s="731"/>
      <c r="I105" s="731"/>
      <c r="J105" s="731"/>
      <c r="K105" s="731"/>
      <c r="L105" s="731"/>
      <c r="M105" s="731"/>
      <c r="N105" s="731"/>
      <c r="O105" s="731"/>
      <c r="P105" s="731"/>
      <c r="Q105" s="731"/>
      <c r="R105" s="731"/>
      <c r="S105" s="731"/>
      <c r="T105" s="731"/>
      <c r="U105" s="731"/>
      <c r="V105" s="731"/>
      <c r="W105" s="731"/>
      <c r="X105" s="731"/>
      <c r="Y105" s="731"/>
      <c r="Z105" s="731"/>
    </row>
    <row r="106" spans="1:26" x14ac:dyDescent="0.2">
      <c r="A106" s="735">
        <f>Study!CF105</f>
        <v>91</v>
      </c>
      <c r="B106" s="736" t="str">
        <f>Study!CG105</f>
        <v>أدوار - معيار المواقف</v>
      </c>
      <c r="C106" s="752">
        <f>Study!CH105</f>
        <v>0</v>
      </c>
      <c r="D106" s="736" t="str">
        <f>Study!CI105</f>
        <v>مكوّن البناء - أدوار</v>
      </c>
      <c r="E106" s="738" t="str">
        <f>Study!CJ105</f>
        <v>L64</v>
      </c>
      <c r="F106" s="736" t="str">
        <f>Study!CK105</f>
        <v>معيار</v>
      </c>
      <c r="G106" s="731"/>
      <c r="H106" s="731"/>
      <c r="I106" s="731"/>
      <c r="J106" s="731"/>
      <c r="K106" s="731"/>
      <c r="L106" s="731"/>
      <c r="M106" s="731"/>
      <c r="N106" s="731"/>
      <c r="O106" s="731"/>
      <c r="P106" s="731"/>
      <c r="Q106" s="731"/>
      <c r="R106" s="731"/>
      <c r="S106" s="731"/>
      <c r="T106" s="731"/>
      <c r="U106" s="731"/>
      <c r="V106" s="731"/>
      <c r="W106" s="731"/>
      <c r="X106" s="731"/>
      <c r="Y106" s="731"/>
      <c r="Z106" s="731"/>
    </row>
    <row r="107" spans="1:26" ht="15" x14ac:dyDescent="0.2">
      <c r="A107" s="734" t="str">
        <f>Study!CF106</f>
        <v>▌ مكوّن البناء - أستوديوهات</v>
      </c>
      <c r="B107" s="734">
        <f>Study!CG106</f>
        <v>0</v>
      </c>
      <c r="C107" s="734">
        <f>Study!CH106</f>
        <v>0</v>
      </c>
      <c r="D107" s="734">
        <f>Study!CI106</f>
        <v>0</v>
      </c>
      <c r="E107" s="734">
        <f>Study!CJ106</f>
        <v>0</v>
      </c>
      <c r="F107" s="734">
        <f>Study!CK106</f>
        <v>0</v>
      </c>
      <c r="G107" s="731"/>
      <c r="H107" s="731"/>
      <c r="I107" s="731"/>
      <c r="J107" s="731"/>
      <c r="K107" s="731"/>
      <c r="L107" s="731"/>
      <c r="M107" s="731"/>
      <c r="N107" s="731"/>
      <c r="O107" s="731"/>
      <c r="P107" s="731"/>
      <c r="Q107" s="731"/>
      <c r="R107" s="731"/>
      <c r="S107" s="731"/>
      <c r="T107" s="731"/>
      <c r="U107" s="731"/>
      <c r="V107" s="731"/>
      <c r="W107" s="731"/>
      <c r="X107" s="731"/>
      <c r="Y107" s="731"/>
      <c r="Z107" s="731"/>
    </row>
    <row r="108" spans="1:26" x14ac:dyDescent="0.2">
      <c r="A108" s="739">
        <f>Study!CF107</f>
        <v>92</v>
      </c>
      <c r="B108" s="740" t="str">
        <f>Study!CG107</f>
        <v>أستوديوهات - نسبة من المساحة البنائية</v>
      </c>
      <c r="C108" s="746">
        <f>Study!CH107</f>
        <v>0</v>
      </c>
      <c r="D108" s="740" t="str">
        <f>Study!CI107</f>
        <v>مكوّن البناء - أستوديوهات</v>
      </c>
      <c r="E108" s="742" t="str">
        <f>Study!CJ107</f>
        <v>C65</v>
      </c>
      <c r="F108" s="740" t="str">
        <f>Study!CK107</f>
        <v>نسبة مئوية</v>
      </c>
      <c r="G108" s="731"/>
      <c r="H108" s="731"/>
      <c r="I108" s="731"/>
      <c r="J108" s="731"/>
      <c r="K108" s="731"/>
      <c r="L108" s="731"/>
      <c r="M108" s="731"/>
      <c r="N108" s="731"/>
      <c r="O108" s="731"/>
      <c r="P108" s="731"/>
      <c r="Q108" s="731"/>
      <c r="R108" s="731"/>
      <c r="S108" s="731"/>
      <c r="T108" s="731"/>
      <c r="U108" s="731"/>
      <c r="V108" s="731"/>
      <c r="W108" s="731"/>
      <c r="X108" s="731"/>
      <c r="Y108" s="731"/>
      <c r="Z108" s="731"/>
    </row>
    <row r="109" spans="1:26" x14ac:dyDescent="0.2">
      <c r="A109" s="735">
        <f>Study!CF108</f>
        <v>93</v>
      </c>
      <c r="B109" s="736" t="str">
        <f>Study!CG108</f>
        <v>أستوديوهات - إجمالي المساحة البنائية (GBA)</v>
      </c>
      <c r="C109" s="745">
        <f>Study!CH108</f>
        <v>0</v>
      </c>
      <c r="D109" s="736" t="str">
        <f>Study!CI108</f>
        <v>مكوّن البناء - أستوديوهات</v>
      </c>
      <c r="E109" s="738" t="str">
        <f>Study!CJ108</f>
        <v>D65</v>
      </c>
      <c r="F109" s="736" t="str">
        <f>Study!CK108</f>
        <v>م²</v>
      </c>
      <c r="G109" s="731"/>
      <c r="H109" s="731"/>
      <c r="I109" s="731"/>
      <c r="J109" s="731"/>
      <c r="K109" s="731"/>
      <c r="L109" s="731"/>
      <c r="M109" s="731"/>
      <c r="N109" s="731"/>
      <c r="O109" s="731"/>
      <c r="P109" s="731"/>
      <c r="Q109" s="731"/>
      <c r="R109" s="731"/>
      <c r="S109" s="731"/>
      <c r="T109" s="731"/>
      <c r="U109" s="731"/>
      <c r="V109" s="731"/>
      <c r="W109" s="731"/>
      <c r="X109" s="731"/>
      <c r="Y109" s="731"/>
      <c r="Z109" s="731"/>
    </row>
    <row r="110" spans="1:26" x14ac:dyDescent="0.2">
      <c r="A110" s="739">
        <f>Study!CF109</f>
        <v>94</v>
      </c>
      <c r="B110" s="740" t="str">
        <f>Study!CG109</f>
        <v>أستوديوهات - نسبة المساحات القابلة للبيع</v>
      </c>
      <c r="C110" s="746">
        <f>Study!CH109</f>
        <v>0</v>
      </c>
      <c r="D110" s="740" t="str">
        <f>Study!CI109</f>
        <v>مكوّن البناء - أستوديوهات</v>
      </c>
      <c r="E110" s="742" t="str">
        <f>Study!CJ109</f>
        <v>E65</v>
      </c>
      <c r="F110" s="740" t="str">
        <f>Study!CK109</f>
        <v>نسبة مئوية</v>
      </c>
      <c r="G110" s="731"/>
      <c r="H110" s="731"/>
      <c r="I110" s="731"/>
      <c r="J110" s="731"/>
      <c r="K110" s="731"/>
      <c r="L110" s="731"/>
      <c r="M110" s="731"/>
      <c r="N110" s="731"/>
      <c r="O110" s="731"/>
      <c r="P110" s="731"/>
      <c r="Q110" s="731"/>
      <c r="R110" s="731"/>
      <c r="S110" s="731"/>
      <c r="T110" s="731"/>
      <c r="U110" s="731"/>
      <c r="V110" s="731"/>
      <c r="W110" s="731"/>
      <c r="X110" s="731"/>
      <c r="Y110" s="731"/>
      <c r="Z110" s="731"/>
    </row>
    <row r="111" spans="1:26" ht="25.5" x14ac:dyDescent="0.2">
      <c r="A111" s="735">
        <f>Study!CF110</f>
        <v>95</v>
      </c>
      <c r="B111" s="736" t="str">
        <f>Study!CG110</f>
        <v>أستوديوهات - المساحات الصافية القابلة للبيع (NSA)</v>
      </c>
      <c r="C111" s="745">
        <f>Study!CH110</f>
        <v>0</v>
      </c>
      <c r="D111" s="736" t="str">
        <f>Study!CI110</f>
        <v>مكوّن البناء - أستوديوهات</v>
      </c>
      <c r="E111" s="738" t="str">
        <f>Study!CJ110</f>
        <v>F65</v>
      </c>
      <c r="F111" s="736" t="str">
        <f>Study!CK110</f>
        <v>م²</v>
      </c>
      <c r="G111" s="731"/>
      <c r="H111" s="731"/>
      <c r="I111" s="731"/>
      <c r="J111" s="731"/>
      <c r="K111" s="731"/>
      <c r="L111" s="731"/>
      <c r="M111" s="731"/>
      <c r="N111" s="731"/>
      <c r="O111" s="731"/>
      <c r="P111" s="731"/>
      <c r="Q111" s="731"/>
      <c r="R111" s="731"/>
      <c r="S111" s="731"/>
      <c r="T111" s="731"/>
      <c r="U111" s="731"/>
      <c r="V111" s="731"/>
      <c r="W111" s="731"/>
      <c r="X111" s="731"/>
      <c r="Y111" s="731"/>
      <c r="Z111" s="731"/>
    </row>
    <row r="112" spans="1:26" x14ac:dyDescent="0.2">
      <c r="A112" s="739">
        <f>Study!CF111</f>
        <v>96</v>
      </c>
      <c r="B112" s="740" t="str">
        <f>Study!CG111</f>
        <v>أستوديوهات - مساحة الوحدة</v>
      </c>
      <c r="C112" s="749">
        <f>Study!CH111</f>
        <v>0</v>
      </c>
      <c r="D112" s="740" t="str">
        <f>Study!CI111</f>
        <v>مكوّن البناء - أستوديوهات</v>
      </c>
      <c r="E112" s="742" t="str">
        <f>Study!CJ111</f>
        <v>G65</v>
      </c>
      <c r="F112" s="740" t="str">
        <f>Study!CK111</f>
        <v>م²</v>
      </c>
      <c r="G112" s="731"/>
      <c r="H112" s="731"/>
      <c r="I112" s="731"/>
      <c r="J112" s="731"/>
      <c r="K112" s="731"/>
      <c r="L112" s="731"/>
      <c r="M112" s="731"/>
      <c r="N112" s="731"/>
      <c r="O112" s="731"/>
      <c r="P112" s="731"/>
      <c r="Q112" s="731"/>
      <c r="R112" s="731"/>
      <c r="S112" s="731"/>
      <c r="T112" s="731"/>
      <c r="U112" s="731"/>
      <c r="V112" s="731"/>
      <c r="W112" s="731"/>
      <c r="X112" s="731"/>
      <c r="Y112" s="731"/>
      <c r="Z112" s="731"/>
    </row>
    <row r="113" spans="1:26" x14ac:dyDescent="0.2">
      <c r="A113" s="735">
        <f>Study!CF112</f>
        <v>97</v>
      </c>
      <c r="B113" s="736" t="str">
        <f>Study!CG112</f>
        <v>أستوديوهات - عدد الوحدات</v>
      </c>
      <c r="C113" s="750" t="str">
        <f>Study!CH112</f>
        <v>0.00</v>
      </c>
      <c r="D113" s="736" t="str">
        <f>Study!CI112</f>
        <v>مكوّن البناء - أستوديوهات</v>
      </c>
      <c r="E113" s="738" t="str">
        <f>Study!CJ112</f>
        <v>H65</v>
      </c>
      <c r="F113" s="736" t="str">
        <f>Study!CK112</f>
        <v>وحدة</v>
      </c>
      <c r="G113" s="731"/>
      <c r="H113" s="731"/>
      <c r="I113" s="731"/>
      <c r="J113" s="731"/>
      <c r="K113" s="731"/>
      <c r="L113" s="731"/>
      <c r="M113" s="731"/>
      <c r="N113" s="731"/>
      <c r="O113" s="731"/>
      <c r="P113" s="731"/>
      <c r="Q113" s="731"/>
      <c r="R113" s="731"/>
      <c r="S113" s="731"/>
      <c r="T113" s="731"/>
      <c r="U113" s="731"/>
      <c r="V113" s="731"/>
      <c r="W113" s="731"/>
      <c r="X113" s="731"/>
      <c r="Y113" s="731"/>
      <c r="Z113" s="731"/>
    </row>
    <row r="114" spans="1:26" x14ac:dyDescent="0.2">
      <c r="A114" s="739">
        <f>Study!CF113</f>
        <v>98</v>
      </c>
      <c r="B114" s="740" t="str">
        <f>Study!CG113</f>
        <v>أستوديوهات - تكلفة متر البناء</v>
      </c>
      <c r="C114" s="744">
        <f>Study!CH113</f>
        <v>0</v>
      </c>
      <c r="D114" s="740" t="str">
        <f>Study!CI113</f>
        <v>مكوّن البناء - أستوديوهات</v>
      </c>
      <c r="E114" s="742" t="str">
        <f>Study!CJ113</f>
        <v>I65</v>
      </c>
      <c r="F114" s="740" t="str">
        <f>Study!CK113</f>
        <v>ريال/م²</v>
      </c>
      <c r="G114" s="731"/>
      <c r="H114" s="731"/>
      <c r="I114" s="731"/>
      <c r="J114" s="731"/>
      <c r="K114" s="731"/>
      <c r="L114" s="731"/>
      <c r="M114" s="731"/>
      <c r="N114" s="731"/>
      <c r="O114" s="731"/>
      <c r="P114" s="731"/>
      <c r="Q114" s="731"/>
      <c r="R114" s="731"/>
      <c r="S114" s="731"/>
      <c r="T114" s="731"/>
      <c r="U114" s="731"/>
      <c r="V114" s="731"/>
      <c r="W114" s="731"/>
      <c r="X114" s="731"/>
      <c r="Y114" s="731"/>
      <c r="Z114" s="731"/>
    </row>
    <row r="115" spans="1:26" x14ac:dyDescent="0.2">
      <c r="A115" s="735">
        <f>Study!CF114</f>
        <v>99</v>
      </c>
      <c r="B115" s="736" t="str">
        <f>Study!CG114</f>
        <v>أستوديوهات - إجمالي التكاليف</v>
      </c>
      <c r="C115" s="743">
        <f>Study!CH114</f>
        <v>0</v>
      </c>
      <c r="D115" s="736" t="str">
        <f>Study!CI114</f>
        <v>مكوّن البناء - أستوديوهات</v>
      </c>
      <c r="E115" s="738" t="str">
        <f>Study!CJ114</f>
        <v>J65</v>
      </c>
      <c r="F115" s="736" t="str">
        <f>Study!CK114</f>
        <v>ريال سعودي</v>
      </c>
      <c r="G115" s="731"/>
      <c r="H115" s="731"/>
      <c r="I115" s="731"/>
      <c r="J115" s="731"/>
      <c r="K115" s="731"/>
      <c r="L115" s="731"/>
      <c r="M115" s="731"/>
      <c r="N115" s="731"/>
      <c r="O115" s="731"/>
      <c r="P115" s="731"/>
      <c r="Q115" s="731"/>
      <c r="R115" s="731"/>
      <c r="S115" s="731"/>
      <c r="T115" s="731"/>
      <c r="U115" s="731"/>
      <c r="V115" s="731"/>
      <c r="W115" s="731"/>
      <c r="X115" s="731"/>
      <c r="Y115" s="731"/>
      <c r="Z115" s="731"/>
    </row>
    <row r="116" spans="1:26" x14ac:dyDescent="0.2">
      <c r="A116" s="739">
        <f>Study!CF115</f>
        <v>100</v>
      </c>
      <c r="B116" s="740" t="str">
        <f>Study!CG115</f>
        <v>أستوديوهات - عدد المواقف</v>
      </c>
      <c r="C116" s="751">
        <f>Study!CH115</f>
        <v>0</v>
      </c>
      <c r="D116" s="740" t="str">
        <f>Study!CI115</f>
        <v>مكوّن البناء - أستوديوهات</v>
      </c>
      <c r="E116" s="742" t="str">
        <f>Study!CJ115</f>
        <v>K65</v>
      </c>
      <c r="F116" s="740" t="str">
        <f>Study!CK115</f>
        <v>موقف</v>
      </c>
      <c r="G116" s="731"/>
      <c r="H116" s="731"/>
      <c r="I116" s="731"/>
      <c r="J116" s="731"/>
      <c r="K116" s="731"/>
      <c r="L116" s="731"/>
      <c r="M116" s="731"/>
      <c r="N116" s="731"/>
      <c r="O116" s="731"/>
      <c r="P116" s="731"/>
      <c r="Q116" s="731"/>
      <c r="R116" s="731"/>
      <c r="S116" s="731"/>
      <c r="T116" s="731"/>
      <c r="U116" s="731"/>
      <c r="V116" s="731"/>
      <c r="W116" s="731"/>
      <c r="X116" s="731"/>
      <c r="Y116" s="731"/>
      <c r="Z116" s="731"/>
    </row>
    <row r="117" spans="1:26" x14ac:dyDescent="0.2">
      <c r="A117" s="735">
        <f>Study!CF116</f>
        <v>101</v>
      </c>
      <c r="B117" s="736" t="str">
        <f>Study!CG116</f>
        <v>أستوديوهات - معيار المواقف</v>
      </c>
      <c r="C117" s="752">
        <f>Study!CH116</f>
        <v>1</v>
      </c>
      <c r="D117" s="736" t="str">
        <f>Study!CI116</f>
        <v>مكوّن البناء - أستوديوهات</v>
      </c>
      <c r="E117" s="738" t="str">
        <f>Study!CJ116</f>
        <v>L65</v>
      </c>
      <c r="F117" s="736" t="str">
        <f>Study!CK116</f>
        <v>معيار</v>
      </c>
      <c r="G117" s="731"/>
      <c r="H117" s="731"/>
      <c r="I117" s="731"/>
      <c r="J117" s="731"/>
      <c r="K117" s="731"/>
      <c r="L117" s="731"/>
      <c r="M117" s="731"/>
      <c r="N117" s="731"/>
      <c r="O117" s="731"/>
      <c r="P117" s="731"/>
      <c r="Q117" s="731"/>
      <c r="R117" s="731"/>
      <c r="S117" s="731"/>
      <c r="T117" s="731"/>
      <c r="U117" s="731"/>
      <c r="V117" s="731"/>
      <c r="W117" s="731"/>
      <c r="X117" s="731"/>
      <c r="Y117" s="731"/>
      <c r="Z117" s="731"/>
    </row>
    <row r="118" spans="1:26" ht="15" x14ac:dyDescent="0.2">
      <c r="A118" s="734" t="str">
        <f>Study!CF117</f>
        <v>▌ مكوّن البناء - مكتبي</v>
      </c>
      <c r="B118" s="734">
        <f>Study!CG117</f>
        <v>0</v>
      </c>
      <c r="C118" s="734">
        <f>Study!CH117</f>
        <v>0</v>
      </c>
      <c r="D118" s="734">
        <f>Study!CI117</f>
        <v>0</v>
      </c>
      <c r="E118" s="734">
        <f>Study!CJ117</f>
        <v>0</v>
      </c>
      <c r="F118" s="734">
        <f>Study!CK117</f>
        <v>0</v>
      </c>
      <c r="G118" s="731"/>
      <c r="H118" s="731"/>
      <c r="I118" s="731"/>
      <c r="J118" s="731"/>
      <c r="K118" s="731"/>
      <c r="L118" s="731"/>
      <c r="M118" s="731"/>
      <c r="N118" s="731"/>
      <c r="O118" s="731"/>
      <c r="P118" s="731"/>
      <c r="Q118" s="731"/>
      <c r="R118" s="731"/>
      <c r="S118" s="731"/>
      <c r="T118" s="731"/>
      <c r="U118" s="731"/>
      <c r="V118" s="731"/>
      <c r="W118" s="731"/>
      <c r="X118" s="731"/>
      <c r="Y118" s="731"/>
      <c r="Z118" s="731"/>
    </row>
    <row r="119" spans="1:26" x14ac:dyDescent="0.2">
      <c r="A119" s="739">
        <f>Study!CF118</f>
        <v>102</v>
      </c>
      <c r="B119" s="740" t="str">
        <f>Study!CG118</f>
        <v>مكتبي - نسبة من المساحة البنائية</v>
      </c>
      <c r="C119" s="746">
        <f>Study!CH118</f>
        <v>0</v>
      </c>
      <c r="D119" s="740" t="str">
        <f>Study!CI118</f>
        <v>مكوّن البناء - مكتبي</v>
      </c>
      <c r="E119" s="742" t="str">
        <f>Study!CJ118</f>
        <v>C66</v>
      </c>
      <c r="F119" s="740" t="str">
        <f>Study!CK118</f>
        <v>نسبة مئوية</v>
      </c>
      <c r="G119" s="731"/>
      <c r="H119" s="731"/>
      <c r="I119" s="731"/>
      <c r="J119" s="731"/>
      <c r="K119" s="731"/>
      <c r="L119" s="731"/>
      <c r="M119" s="731"/>
      <c r="N119" s="731"/>
      <c r="O119" s="731"/>
      <c r="P119" s="731"/>
      <c r="Q119" s="731"/>
      <c r="R119" s="731"/>
      <c r="S119" s="731"/>
      <c r="T119" s="731"/>
      <c r="U119" s="731"/>
      <c r="V119" s="731"/>
      <c r="W119" s="731"/>
      <c r="X119" s="731"/>
      <c r="Y119" s="731"/>
      <c r="Z119" s="731"/>
    </row>
    <row r="120" spans="1:26" x14ac:dyDescent="0.2">
      <c r="A120" s="735">
        <f>Study!CF119</f>
        <v>103</v>
      </c>
      <c r="B120" s="736" t="str">
        <f>Study!CG119</f>
        <v>مكتبي - إجمالي المساحة البنائية (GBA)</v>
      </c>
      <c r="C120" s="745">
        <f>Study!CH119</f>
        <v>0</v>
      </c>
      <c r="D120" s="736" t="str">
        <f>Study!CI119</f>
        <v>مكوّن البناء - مكتبي</v>
      </c>
      <c r="E120" s="738" t="str">
        <f>Study!CJ119</f>
        <v>D66</v>
      </c>
      <c r="F120" s="736" t="str">
        <f>Study!CK119</f>
        <v>م²</v>
      </c>
      <c r="G120" s="731"/>
      <c r="H120" s="731"/>
      <c r="I120" s="731"/>
      <c r="J120" s="731"/>
      <c r="K120" s="731"/>
      <c r="L120" s="731"/>
      <c r="M120" s="731"/>
      <c r="N120" s="731"/>
      <c r="O120" s="731"/>
      <c r="P120" s="731"/>
      <c r="Q120" s="731"/>
      <c r="R120" s="731"/>
      <c r="S120" s="731"/>
      <c r="T120" s="731"/>
      <c r="U120" s="731"/>
      <c r="V120" s="731"/>
      <c r="W120" s="731"/>
      <c r="X120" s="731"/>
      <c r="Y120" s="731"/>
      <c r="Z120" s="731"/>
    </row>
    <row r="121" spans="1:26" x14ac:dyDescent="0.2">
      <c r="A121" s="739">
        <f>Study!CF120</f>
        <v>104</v>
      </c>
      <c r="B121" s="740" t="str">
        <f>Study!CG120</f>
        <v>مكتبي - نسبة المساحات القابلة للبيع</v>
      </c>
      <c r="C121" s="746">
        <f>Study!CH120</f>
        <v>0</v>
      </c>
      <c r="D121" s="740" t="str">
        <f>Study!CI120</f>
        <v>مكوّن البناء - مكتبي</v>
      </c>
      <c r="E121" s="742" t="str">
        <f>Study!CJ120</f>
        <v>E66</v>
      </c>
      <c r="F121" s="740" t="str">
        <f>Study!CK120</f>
        <v>نسبة مئوية</v>
      </c>
      <c r="G121" s="731"/>
      <c r="H121" s="731"/>
      <c r="I121" s="731"/>
      <c r="J121" s="731"/>
      <c r="K121" s="731"/>
      <c r="L121" s="731"/>
      <c r="M121" s="731"/>
      <c r="N121" s="731"/>
      <c r="O121" s="731"/>
      <c r="P121" s="731"/>
      <c r="Q121" s="731"/>
      <c r="R121" s="731"/>
      <c r="S121" s="731"/>
      <c r="T121" s="731"/>
      <c r="U121" s="731"/>
      <c r="V121" s="731"/>
      <c r="W121" s="731"/>
      <c r="X121" s="731"/>
      <c r="Y121" s="731"/>
      <c r="Z121" s="731"/>
    </row>
    <row r="122" spans="1:26" x14ac:dyDescent="0.2">
      <c r="A122" s="735">
        <f>Study!CF121</f>
        <v>105</v>
      </c>
      <c r="B122" s="736" t="str">
        <f>Study!CG121</f>
        <v>مكتبي - المساحات الصافية القابلة للبيع (NSA)</v>
      </c>
      <c r="C122" s="745">
        <f>Study!CH121</f>
        <v>0</v>
      </c>
      <c r="D122" s="736" t="str">
        <f>Study!CI121</f>
        <v>مكوّن البناء - مكتبي</v>
      </c>
      <c r="E122" s="738" t="str">
        <f>Study!CJ121</f>
        <v>F66</v>
      </c>
      <c r="F122" s="736" t="str">
        <f>Study!CK121</f>
        <v>م²</v>
      </c>
      <c r="G122" s="731"/>
      <c r="H122" s="731"/>
      <c r="I122" s="731"/>
      <c r="J122" s="731"/>
      <c r="K122" s="731"/>
      <c r="L122" s="731"/>
      <c r="M122" s="731"/>
      <c r="N122" s="731"/>
      <c r="O122" s="731"/>
      <c r="P122" s="731"/>
      <c r="Q122" s="731"/>
      <c r="R122" s="731"/>
      <c r="S122" s="731"/>
      <c r="T122" s="731"/>
      <c r="U122" s="731"/>
      <c r="V122" s="731"/>
      <c r="W122" s="731"/>
      <c r="X122" s="731"/>
      <c r="Y122" s="731"/>
      <c r="Z122" s="731"/>
    </row>
    <row r="123" spans="1:26" x14ac:dyDescent="0.2">
      <c r="A123" s="739">
        <f>Study!CF122</f>
        <v>106</v>
      </c>
      <c r="B123" s="740" t="str">
        <f>Study!CG122</f>
        <v>مكتبي - مساحة الوحدة</v>
      </c>
      <c r="C123" s="749">
        <f>Study!CH122</f>
        <v>0</v>
      </c>
      <c r="D123" s="740" t="str">
        <f>Study!CI122</f>
        <v>مكوّن البناء - مكتبي</v>
      </c>
      <c r="E123" s="742" t="str">
        <f>Study!CJ122</f>
        <v>G66</v>
      </c>
      <c r="F123" s="740" t="str">
        <f>Study!CK122</f>
        <v>م²</v>
      </c>
      <c r="G123" s="731"/>
      <c r="H123" s="731"/>
      <c r="I123" s="731"/>
      <c r="J123" s="731"/>
      <c r="K123" s="731"/>
      <c r="L123" s="731"/>
      <c r="M123" s="731"/>
      <c r="N123" s="731"/>
      <c r="O123" s="731"/>
      <c r="P123" s="731"/>
      <c r="Q123" s="731"/>
      <c r="R123" s="731"/>
      <c r="S123" s="731"/>
      <c r="T123" s="731"/>
      <c r="U123" s="731"/>
      <c r="V123" s="731"/>
      <c r="W123" s="731"/>
      <c r="X123" s="731"/>
      <c r="Y123" s="731"/>
      <c r="Z123" s="731"/>
    </row>
    <row r="124" spans="1:26" x14ac:dyDescent="0.2">
      <c r="A124" s="735">
        <f>Study!CF123</f>
        <v>107</v>
      </c>
      <c r="B124" s="736" t="str">
        <f>Study!CG123</f>
        <v>مكتبي - عدد الوحدات</v>
      </c>
      <c r="C124" s="750" t="str">
        <f>Study!CH123</f>
        <v>0.00</v>
      </c>
      <c r="D124" s="736" t="str">
        <f>Study!CI123</f>
        <v>مكوّن البناء - مكتبي</v>
      </c>
      <c r="E124" s="738" t="str">
        <f>Study!CJ123</f>
        <v>H66</v>
      </c>
      <c r="F124" s="736" t="str">
        <f>Study!CK123</f>
        <v>وحدة</v>
      </c>
      <c r="G124" s="731"/>
      <c r="H124" s="731"/>
      <c r="I124" s="731"/>
      <c r="J124" s="731"/>
      <c r="K124" s="731"/>
      <c r="L124" s="731"/>
      <c r="M124" s="731"/>
      <c r="N124" s="731"/>
      <c r="O124" s="731"/>
      <c r="P124" s="731"/>
      <c r="Q124" s="731"/>
      <c r="R124" s="731"/>
      <c r="S124" s="731"/>
      <c r="T124" s="731"/>
      <c r="U124" s="731"/>
      <c r="V124" s="731"/>
      <c r="W124" s="731"/>
      <c r="X124" s="731"/>
      <c r="Y124" s="731"/>
      <c r="Z124" s="731"/>
    </row>
    <row r="125" spans="1:26" x14ac:dyDescent="0.2">
      <c r="A125" s="739">
        <f>Study!CF124</f>
        <v>108</v>
      </c>
      <c r="B125" s="740" t="str">
        <f>Study!CG124</f>
        <v>مكتبي - تكلفة متر البناء</v>
      </c>
      <c r="C125" s="744">
        <f>Study!CH124</f>
        <v>0</v>
      </c>
      <c r="D125" s="740" t="str">
        <f>Study!CI124</f>
        <v>مكوّن البناء - مكتبي</v>
      </c>
      <c r="E125" s="742" t="str">
        <f>Study!CJ124</f>
        <v>I66</v>
      </c>
      <c r="F125" s="740" t="str">
        <f>Study!CK124</f>
        <v>ريال/م²</v>
      </c>
      <c r="G125" s="731"/>
      <c r="H125" s="731"/>
      <c r="I125" s="731"/>
      <c r="J125" s="731"/>
      <c r="K125" s="731"/>
      <c r="L125" s="731"/>
      <c r="M125" s="731"/>
      <c r="N125" s="731"/>
      <c r="O125" s="731"/>
      <c r="P125" s="731"/>
      <c r="Q125" s="731"/>
      <c r="R125" s="731"/>
      <c r="S125" s="731"/>
      <c r="T125" s="731"/>
      <c r="U125" s="731"/>
      <c r="V125" s="731"/>
      <c r="W125" s="731"/>
      <c r="X125" s="731"/>
      <c r="Y125" s="731"/>
      <c r="Z125" s="731"/>
    </row>
    <row r="126" spans="1:26" x14ac:dyDescent="0.2">
      <c r="A126" s="735">
        <f>Study!CF125</f>
        <v>109</v>
      </c>
      <c r="B126" s="736" t="str">
        <f>Study!CG125</f>
        <v>مكتبي - إجمالي التكاليف</v>
      </c>
      <c r="C126" s="743">
        <f>Study!CH125</f>
        <v>0</v>
      </c>
      <c r="D126" s="736" t="str">
        <f>Study!CI125</f>
        <v>مكوّن البناء - مكتبي</v>
      </c>
      <c r="E126" s="738" t="str">
        <f>Study!CJ125</f>
        <v>J66</v>
      </c>
      <c r="F126" s="736" t="str">
        <f>Study!CK125</f>
        <v>ريال سعودي</v>
      </c>
      <c r="G126" s="731"/>
      <c r="H126" s="731"/>
      <c r="I126" s="731"/>
      <c r="J126" s="731"/>
      <c r="K126" s="731"/>
      <c r="L126" s="731"/>
      <c r="M126" s="731"/>
      <c r="N126" s="731"/>
      <c r="O126" s="731"/>
      <c r="P126" s="731"/>
      <c r="Q126" s="731"/>
      <c r="R126" s="731"/>
      <c r="S126" s="731"/>
      <c r="T126" s="731"/>
      <c r="U126" s="731"/>
      <c r="V126" s="731"/>
      <c r="W126" s="731"/>
      <c r="X126" s="731"/>
      <c r="Y126" s="731"/>
      <c r="Z126" s="731"/>
    </row>
    <row r="127" spans="1:26" x14ac:dyDescent="0.2">
      <c r="A127" s="739">
        <f>Study!CF126</f>
        <v>110</v>
      </c>
      <c r="B127" s="740" t="str">
        <f>Study!CG126</f>
        <v>مكتبي - عدد المواقف</v>
      </c>
      <c r="C127" s="751">
        <f>Study!CH126</f>
        <v>0</v>
      </c>
      <c r="D127" s="740" t="str">
        <f>Study!CI126</f>
        <v>مكوّن البناء - مكتبي</v>
      </c>
      <c r="E127" s="742" t="str">
        <f>Study!CJ126</f>
        <v>K66</v>
      </c>
      <c r="F127" s="740" t="str">
        <f>Study!CK126</f>
        <v>موقف</v>
      </c>
      <c r="G127" s="731"/>
      <c r="H127" s="731"/>
      <c r="I127" s="731"/>
      <c r="J127" s="731"/>
      <c r="K127" s="731"/>
      <c r="L127" s="731"/>
      <c r="M127" s="731"/>
      <c r="N127" s="731"/>
      <c r="O127" s="731"/>
      <c r="P127" s="731"/>
      <c r="Q127" s="731"/>
      <c r="R127" s="731"/>
      <c r="S127" s="731"/>
      <c r="T127" s="731"/>
      <c r="U127" s="731"/>
      <c r="V127" s="731"/>
      <c r="W127" s="731"/>
      <c r="X127" s="731"/>
      <c r="Y127" s="731"/>
      <c r="Z127" s="731"/>
    </row>
    <row r="128" spans="1:26" x14ac:dyDescent="0.2">
      <c r="A128" s="735">
        <f>Study!CF127</f>
        <v>111</v>
      </c>
      <c r="B128" s="736" t="str">
        <f>Study!CG127</f>
        <v>مكتبي - معيار المواقف</v>
      </c>
      <c r="C128" s="752">
        <f>Study!CH127</f>
        <v>25</v>
      </c>
      <c r="D128" s="736" t="str">
        <f>Study!CI127</f>
        <v>مكوّن البناء - مكتبي</v>
      </c>
      <c r="E128" s="738" t="str">
        <f>Study!CJ127</f>
        <v>L66</v>
      </c>
      <c r="F128" s="736" t="str">
        <f>Study!CK127</f>
        <v>معيار</v>
      </c>
      <c r="G128" s="731"/>
      <c r="H128" s="731"/>
      <c r="I128" s="731"/>
      <c r="J128" s="731"/>
      <c r="K128" s="731"/>
      <c r="L128" s="731"/>
      <c r="M128" s="731"/>
      <c r="N128" s="731"/>
      <c r="O128" s="731"/>
      <c r="P128" s="731"/>
      <c r="Q128" s="731"/>
      <c r="R128" s="731"/>
      <c r="S128" s="731"/>
      <c r="T128" s="731"/>
      <c r="U128" s="731"/>
      <c r="V128" s="731"/>
      <c r="W128" s="731"/>
      <c r="X128" s="731"/>
      <c r="Y128" s="731"/>
      <c r="Z128" s="731"/>
    </row>
    <row r="129" spans="1:26" ht="15" x14ac:dyDescent="0.2">
      <c r="A129" s="734" t="str">
        <f>Study!CF128</f>
        <v>▌ مكوّن البناء - تجاري</v>
      </c>
      <c r="B129" s="734">
        <f>Study!CG128</f>
        <v>0</v>
      </c>
      <c r="C129" s="734">
        <f>Study!CH128</f>
        <v>0</v>
      </c>
      <c r="D129" s="734">
        <f>Study!CI128</f>
        <v>0</v>
      </c>
      <c r="E129" s="734">
        <f>Study!CJ128</f>
        <v>0</v>
      </c>
      <c r="F129" s="734">
        <f>Study!CK128</f>
        <v>0</v>
      </c>
      <c r="G129" s="731"/>
      <c r="H129" s="731"/>
      <c r="I129" s="731"/>
      <c r="J129" s="731"/>
      <c r="K129" s="731"/>
      <c r="L129" s="731"/>
      <c r="M129" s="731"/>
      <c r="N129" s="731"/>
      <c r="O129" s="731"/>
      <c r="P129" s="731"/>
      <c r="Q129" s="731"/>
      <c r="R129" s="731"/>
      <c r="S129" s="731"/>
      <c r="T129" s="731"/>
      <c r="U129" s="731"/>
      <c r="V129" s="731"/>
      <c r="W129" s="731"/>
      <c r="X129" s="731"/>
      <c r="Y129" s="731"/>
      <c r="Z129" s="731"/>
    </row>
    <row r="130" spans="1:26" x14ac:dyDescent="0.2">
      <c r="A130" s="739">
        <f>Study!CF129</f>
        <v>112</v>
      </c>
      <c r="B130" s="740" t="str">
        <f>Study!CG129</f>
        <v>تجاري - نسبة من المساحة البنائية</v>
      </c>
      <c r="C130" s="746">
        <f>Study!CH129</f>
        <v>0</v>
      </c>
      <c r="D130" s="740" t="str">
        <f>Study!CI129</f>
        <v>مكوّن البناء - تجاري</v>
      </c>
      <c r="E130" s="742" t="str">
        <f>Study!CJ129</f>
        <v>C67</v>
      </c>
      <c r="F130" s="740" t="str">
        <f>Study!CK129</f>
        <v>نسبة مئوية</v>
      </c>
      <c r="G130" s="731"/>
      <c r="H130" s="731"/>
      <c r="I130" s="731"/>
      <c r="J130" s="731"/>
      <c r="K130" s="731"/>
      <c r="L130" s="731"/>
      <c r="M130" s="731"/>
      <c r="N130" s="731"/>
      <c r="O130" s="731"/>
      <c r="P130" s="731"/>
      <c r="Q130" s="731"/>
      <c r="R130" s="731"/>
      <c r="S130" s="731"/>
      <c r="T130" s="731"/>
      <c r="U130" s="731"/>
      <c r="V130" s="731"/>
      <c r="W130" s="731"/>
      <c r="X130" s="731"/>
      <c r="Y130" s="731"/>
      <c r="Z130" s="731"/>
    </row>
    <row r="131" spans="1:26" x14ac:dyDescent="0.2">
      <c r="A131" s="735">
        <f>Study!CF130</f>
        <v>113</v>
      </c>
      <c r="B131" s="736" t="str">
        <f>Study!CG130</f>
        <v>تجاري - إجمالي المساحة البنائية (GBA)</v>
      </c>
      <c r="C131" s="745">
        <f>Study!CH130</f>
        <v>0</v>
      </c>
      <c r="D131" s="736" t="str">
        <f>Study!CI130</f>
        <v>مكوّن البناء - تجاري</v>
      </c>
      <c r="E131" s="738" t="str">
        <f>Study!CJ130</f>
        <v>D67</v>
      </c>
      <c r="F131" s="736" t="str">
        <f>Study!CK130</f>
        <v>م²</v>
      </c>
      <c r="G131" s="731"/>
      <c r="H131" s="731"/>
      <c r="I131" s="731"/>
      <c r="J131" s="731"/>
      <c r="K131" s="731"/>
      <c r="L131" s="731"/>
      <c r="M131" s="731"/>
      <c r="N131" s="731"/>
      <c r="O131" s="731"/>
      <c r="P131" s="731"/>
      <c r="Q131" s="731"/>
      <c r="R131" s="731"/>
      <c r="S131" s="731"/>
      <c r="T131" s="731"/>
      <c r="U131" s="731"/>
      <c r="V131" s="731"/>
      <c r="W131" s="731"/>
      <c r="X131" s="731"/>
      <c r="Y131" s="731"/>
      <c r="Z131" s="731"/>
    </row>
    <row r="132" spans="1:26" x14ac:dyDescent="0.2">
      <c r="A132" s="739">
        <f>Study!CF131</f>
        <v>114</v>
      </c>
      <c r="B132" s="740" t="str">
        <f>Study!CG131</f>
        <v>تجاري - نسبة المساحات القابلة للبيع</v>
      </c>
      <c r="C132" s="746">
        <f>Study!CH131</f>
        <v>0</v>
      </c>
      <c r="D132" s="740" t="str">
        <f>Study!CI131</f>
        <v>مكوّن البناء - تجاري</v>
      </c>
      <c r="E132" s="742" t="str">
        <f>Study!CJ131</f>
        <v>E67</v>
      </c>
      <c r="F132" s="740" t="str">
        <f>Study!CK131</f>
        <v>نسبة مئوية</v>
      </c>
      <c r="G132" s="731"/>
      <c r="H132" s="731"/>
      <c r="I132" s="731"/>
      <c r="J132" s="731"/>
      <c r="K132" s="731"/>
      <c r="L132" s="731"/>
      <c r="M132" s="731"/>
      <c r="N132" s="731"/>
      <c r="O132" s="731"/>
      <c r="P132" s="731"/>
      <c r="Q132" s="731"/>
      <c r="R132" s="731"/>
      <c r="S132" s="731"/>
      <c r="T132" s="731"/>
      <c r="U132" s="731"/>
      <c r="V132" s="731"/>
      <c r="W132" s="731"/>
      <c r="X132" s="731"/>
      <c r="Y132" s="731"/>
      <c r="Z132" s="731"/>
    </row>
    <row r="133" spans="1:26" x14ac:dyDescent="0.2">
      <c r="A133" s="735">
        <f>Study!CF132</f>
        <v>115</v>
      </c>
      <c r="B133" s="736" t="str">
        <f>Study!CG132</f>
        <v>تجاري - المساحات الصافية القابلة للبيع (NSA)</v>
      </c>
      <c r="C133" s="745">
        <f>Study!CH132</f>
        <v>0</v>
      </c>
      <c r="D133" s="736" t="str">
        <f>Study!CI132</f>
        <v>مكوّن البناء - تجاري</v>
      </c>
      <c r="E133" s="738" t="str">
        <f>Study!CJ132</f>
        <v>F67</v>
      </c>
      <c r="F133" s="736" t="str">
        <f>Study!CK132</f>
        <v>م²</v>
      </c>
      <c r="G133" s="731"/>
      <c r="H133" s="731"/>
      <c r="I133" s="731"/>
      <c r="J133" s="731"/>
      <c r="K133" s="731"/>
      <c r="L133" s="731"/>
      <c r="M133" s="731"/>
      <c r="N133" s="731"/>
      <c r="O133" s="731"/>
      <c r="P133" s="731"/>
      <c r="Q133" s="731"/>
      <c r="R133" s="731"/>
      <c r="S133" s="731"/>
      <c r="T133" s="731"/>
      <c r="U133" s="731"/>
      <c r="V133" s="731"/>
      <c r="W133" s="731"/>
      <c r="X133" s="731"/>
      <c r="Y133" s="731"/>
      <c r="Z133" s="731"/>
    </row>
    <row r="134" spans="1:26" x14ac:dyDescent="0.2">
      <c r="A134" s="739">
        <f>Study!CF133</f>
        <v>116</v>
      </c>
      <c r="B134" s="740" t="str">
        <f>Study!CG133</f>
        <v>تجاري - مساحة الوحدة</v>
      </c>
      <c r="C134" s="749">
        <f>Study!CH133</f>
        <v>0</v>
      </c>
      <c r="D134" s="740" t="str">
        <f>Study!CI133</f>
        <v>مكوّن البناء - تجاري</v>
      </c>
      <c r="E134" s="742" t="str">
        <f>Study!CJ133</f>
        <v>G67</v>
      </c>
      <c r="F134" s="740" t="str">
        <f>Study!CK133</f>
        <v>م²</v>
      </c>
      <c r="G134" s="731"/>
      <c r="H134" s="731"/>
      <c r="I134" s="731"/>
      <c r="J134" s="731"/>
      <c r="K134" s="731"/>
      <c r="L134" s="731"/>
      <c r="M134" s="731"/>
      <c r="N134" s="731"/>
      <c r="O134" s="731"/>
      <c r="P134" s="731"/>
      <c r="Q134" s="731"/>
      <c r="R134" s="731"/>
      <c r="S134" s="731"/>
      <c r="T134" s="731"/>
      <c r="U134" s="731"/>
      <c r="V134" s="731"/>
      <c r="W134" s="731"/>
      <c r="X134" s="731"/>
      <c r="Y134" s="731"/>
      <c r="Z134" s="731"/>
    </row>
    <row r="135" spans="1:26" x14ac:dyDescent="0.2">
      <c r="A135" s="735">
        <f>Study!CF134</f>
        <v>117</v>
      </c>
      <c r="B135" s="736" t="str">
        <f>Study!CG134</f>
        <v>تجاري - عدد الوحدات</v>
      </c>
      <c r="C135" s="750" t="str">
        <f>Study!CH134</f>
        <v>0.00</v>
      </c>
      <c r="D135" s="736" t="str">
        <f>Study!CI134</f>
        <v>مكوّن البناء - تجاري</v>
      </c>
      <c r="E135" s="738" t="str">
        <f>Study!CJ134</f>
        <v>H67</v>
      </c>
      <c r="F135" s="736" t="str">
        <f>Study!CK134</f>
        <v>وحدة</v>
      </c>
      <c r="G135" s="731"/>
      <c r="H135" s="731"/>
      <c r="I135" s="731"/>
      <c r="J135" s="731"/>
      <c r="K135" s="731"/>
      <c r="L135" s="731"/>
      <c r="M135" s="731"/>
      <c r="N135" s="731"/>
      <c r="O135" s="731"/>
      <c r="P135" s="731"/>
      <c r="Q135" s="731"/>
      <c r="R135" s="731"/>
      <c r="S135" s="731"/>
      <c r="T135" s="731"/>
      <c r="U135" s="731"/>
      <c r="V135" s="731"/>
      <c r="W135" s="731"/>
      <c r="X135" s="731"/>
      <c r="Y135" s="731"/>
      <c r="Z135" s="731"/>
    </row>
    <row r="136" spans="1:26" x14ac:dyDescent="0.2">
      <c r="A136" s="739">
        <f>Study!CF135</f>
        <v>118</v>
      </c>
      <c r="B136" s="740" t="str">
        <f>Study!CG135</f>
        <v>تجاري - تكلفة متر البناء</v>
      </c>
      <c r="C136" s="744">
        <f>Study!CH135</f>
        <v>0</v>
      </c>
      <c r="D136" s="740" t="str">
        <f>Study!CI135</f>
        <v>مكوّن البناء - تجاري</v>
      </c>
      <c r="E136" s="742" t="str">
        <f>Study!CJ135</f>
        <v>I67</v>
      </c>
      <c r="F136" s="740" t="str">
        <f>Study!CK135</f>
        <v>ريال/م²</v>
      </c>
      <c r="G136" s="731"/>
      <c r="H136" s="731"/>
      <c r="I136" s="731"/>
      <c r="J136" s="731"/>
      <c r="K136" s="731"/>
      <c r="L136" s="731"/>
      <c r="M136" s="731"/>
      <c r="N136" s="731"/>
      <c r="O136" s="731"/>
      <c r="P136" s="731"/>
      <c r="Q136" s="731"/>
      <c r="R136" s="731"/>
      <c r="S136" s="731"/>
      <c r="T136" s="731"/>
      <c r="U136" s="731"/>
      <c r="V136" s="731"/>
      <c r="W136" s="731"/>
      <c r="X136" s="731"/>
      <c r="Y136" s="731"/>
      <c r="Z136" s="731"/>
    </row>
    <row r="137" spans="1:26" x14ac:dyDescent="0.2">
      <c r="A137" s="735">
        <f>Study!CF136</f>
        <v>119</v>
      </c>
      <c r="B137" s="736" t="str">
        <f>Study!CG136</f>
        <v>تجاري - إجمالي التكاليف</v>
      </c>
      <c r="C137" s="743">
        <f>Study!CH136</f>
        <v>0</v>
      </c>
      <c r="D137" s="736" t="str">
        <f>Study!CI136</f>
        <v>مكوّن البناء - تجاري</v>
      </c>
      <c r="E137" s="738" t="str">
        <f>Study!CJ136</f>
        <v>J67</v>
      </c>
      <c r="F137" s="736" t="str">
        <f>Study!CK136</f>
        <v>ريال سعودي</v>
      </c>
      <c r="G137" s="731"/>
      <c r="H137" s="731"/>
      <c r="I137" s="731"/>
      <c r="J137" s="731"/>
      <c r="K137" s="731"/>
      <c r="L137" s="731"/>
      <c r="M137" s="731"/>
      <c r="N137" s="731"/>
      <c r="O137" s="731"/>
      <c r="P137" s="731"/>
      <c r="Q137" s="731"/>
      <c r="R137" s="731"/>
      <c r="S137" s="731"/>
      <c r="T137" s="731"/>
      <c r="U137" s="731"/>
      <c r="V137" s="731"/>
      <c r="W137" s="731"/>
      <c r="X137" s="731"/>
      <c r="Y137" s="731"/>
      <c r="Z137" s="731"/>
    </row>
    <row r="138" spans="1:26" x14ac:dyDescent="0.2">
      <c r="A138" s="739">
        <f>Study!CF137</f>
        <v>120</v>
      </c>
      <c r="B138" s="740" t="str">
        <f>Study!CG137</f>
        <v>تجاري - عدد المواقف</v>
      </c>
      <c r="C138" s="751">
        <f>Study!CH137</f>
        <v>0</v>
      </c>
      <c r="D138" s="740" t="str">
        <f>Study!CI137</f>
        <v>مكوّن البناء - تجاري</v>
      </c>
      <c r="E138" s="742" t="str">
        <f>Study!CJ137</f>
        <v>K67</v>
      </c>
      <c r="F138" s="740" t="str">
        <f>Study!CK137</f>
        <v>موقف</v>
      </c>
      <c r="G138" s="731"/>
      <c r="H138" s="731"/>
      <c r="I138" s="731"/>
      <c r="J138" s="731"/>
      <c r="K138" s="731"/>
      <c r="L138" s="731"/>
      <c r="M138" s="731"/>
      <c r="N138" s="731"/>
      <c r="O138" s="731"/>
      <c r="P138" s="731"/>
      <c r="Q138" s="731"/>
      <c r="R138" s="731"/>
      <c r="S138" s="731"/>
      <c r="T138" s="731"/>
      <c r="U138" s="731"/>
      <c r="V138" s="731"/>
      <c r="W138" s="731"/>
      <c r="X138" s="731"/>
      <c r="Y138" s="731"/>
      <c r="Z138" s="731"/>
    </row>
    <row r="139" spans="1:26" x14ac:dyDescent="0.2">
      <c r="A139" s="735">
        <f>Study!CF138</f>
        <v>121</v>
      </c>
      <c r="B139" s="736" t="str">
        <f>Study!CG138</f>
        <v>تجاري - معيار المواقف</v>
      </c>
      <c r="C139" s="752">
        <f>Study!CH138</f>
        <v>45</v>
      </c>
      <c r="D139" s="736" t="str">
        <f>Study!CI138</f>
        <v>مكوّن البناء - تجاري</v>
      </c>
      <c r="E139" s="738" t="str">
        <f>Study!CJ138</f>
        <v>L67</v>
      </c>
      <c r="F139" s="736" t="str">
        <f>Study!CK138</f>
        <v>معيار</v>
      </c>
      <c r="G139" s="731"/>
      <c r="H139" s="731"/>
      <c r="I139" s="731"/>
      <c r="J139" s="731"/>
      <c r="K139" s="731"/>
      <c r="L139" s="731"/>
      <c r="M139" s="731"/>
      <c r="N139" s="731"/>
      <c r="O139" s="731"/>
      <c r="P139" s="731"/>
      <c r="Q139" s="731"/>
      <c r="R139" s="731"/>
      <c r="S139" s="731"/>
      <c r="T139" s="731"/>
      <c r="U139" s="731"/>
      <c r="V139" s="731"/>
      <c r="W139" s="731"/>
      <c r="X139" s="731"/>
      <c r="Y139" s="731"/>
      <c r="Z139" s="731"/>
    </row>
    <row r="140" spans="1:26" ht="15" x14ac:dyDescent="0.2">
      <c r="A140" s="734" t="str">
        <f>Study!CF139</f>
        <v>▌ مكوّن البناء - فندقي</v>
      </c>
      <c r="B140" s="734">
        <f>Study!CG139</f>
        <v>0</v>
      </c>
      <c r="C140" s="734">
        <f>Study!CH139</f>
        <v>0</v>
      </c>
      <c r="D140" s="734">
        <f>Study!CI139</f>
        <v>0</v>
      </c>
      <c r="E140" s="734">
        <f>Study!CJ139</f>
        <v>0</v>
      </c>
      <c r="F140" s="734">
        <f>Study!CK139</f>
        <v>0</v>
      </c>
      <c r="G140" s="731"/>
      <c r="H140" s="731"/>
      <c r="I140" s="731"/>
      <c r="J140" s="731"/>
      <c r="K140" s="731"/>
      <c r="L140" s="731"/>
      <c r="M140" s="731"/>
      <c r="N140" s="731"/>
      <c r="O140" s="731"/>
      <c r="P140" s="731"/>
      <c r="Q140" s="731"/>
      <c r="R140" s="731"/>
      <c r="S140" s="731"/>
      <c r="T140" s="731"/>
      <c r="U140" s="731"/>
      <c r="V140" s="731"/>
      <c r="W140" s="731"/>
      <c r="X140" s="731"/>
      <c r="Y140" s="731"/>
      <c r="Z140" s="731"/>
    </row>
    <row r="141" spans="1:26" x14ac:dyDescent="0.2">
      <c r="A141" s="739">
        <f>Study!CF140</f>
        <v>122</v>
      </c>
      <c r="B141" s="740" t="str">
        <f>Study!CG140</f>
        <v>فندقي - نسبة من المساحة البنائية</v>
      </c>
      <c r="C141" s="746">
        <f>Study!CH140</f>
        <v>0.39152921762912818</v>
      </c>
      <c r="D141" s="740" t="str">
        <f>Study!CI140</f>
        <v>مكوّن البناء - فندقي</v>
      </c>
      <c r="E141" s="742" t="str">
        <f>Study!CJ140</f>
        <v>C68</v>
      </c>
      <c r="F141" s="740" t="str">
        <f>Study!CK140</f>
        <v>نسبة مئوية</v>
      </c>
      <c r="G141" s="731"/>
      <c r="H141" s="731"/>
      <c r="I141" s="731"/>
      <c r="J141" s="731"/>
      <c r="K141" s="731"/>
      <c r="L141" s="731"/>
      <c r="M141" s="731"/>
      <c r="N141" s="731"/>
      <c r="O141" s="731"/>
      <c r="P141" s="731"/>
      <c r="Q141" s="731"/>
      <c r="R141" s="731"/>
      <c r="S141" s="731"/>
      <c r="T141" s="731"/>
      <c r="U141" s="731"/>
      <c r="V141" s="731"/>
      <c r="W141" s="731"/>
      <c r="X141" s="731"/>
      <c r="Y141" s="731"/>
      <c r="Z141" s="731"/>
    </row>
    <row r="142" spans="1:26" x14ac:dyDescent="0.2">
      <c r="A142" s="735">
        <f>Study!CF141</f>
        <v>123</v>
      </c>
      <c r="B142" s="736" t="str">
        <f>Study!CG141</f>
        <v>فندقي - إجمالي المساحة البنائية (GBA)</v>
      </c>
      <c r="C142" s="745">
        <f>Study!CH141</f>
        <v>6149.9999999999991</v>
      </c>
      <c r="D142" s="736" t="str">
        <f>Study!CI141</f>
        <v>مكوّن البناء - فندقي</v>
      </c>
      <c r="E142" s="738" t="str">
        <f>Study!CJ141</f>
        <v>D68</v>
      </c>
      <c r="F142" s="736" t="str">
        <f>Study!CK141</f>
        <v>م²</v>
      </c>
      <c r="G142" s="731"/>
      <c r="H142" s="731"/>
      <c r="I142" s="731"/>
      <c r="J142" s="731"/>
      <c r="K142" s="731"/>
      <c r="L142" s="731"/>
      <c r="M142" s="731"/>
      <c r="N142" s="731"/>
      <c r="O142" s="731"/>
      <c r="P142" s="731"/>
      <c r="Q142" s="731"/>
      <c r="R142" s="731"/>
      <c r="S142" s="731"/>
      <c r="T142" s="731"/>
      <c r="U142" s="731"/>
      <c r="V142" s="731"/>
      <c r="W142" s="731"/>
      <c r="X142" s="731"/>
      <c r="Y142" s="731"/>
      <c r="Z142" s="731"/>
    </row>
    <row r="143" spans="1:26" x14ac:dyDescent="0.2">
      <c r="A143" s="739">
        <f>Study!CF142</f>
        <v>124</v>
      </c>
      <c r="B143" s="740" t="str">
        <f>Study!CG142</f>
        <v>فندقي - نسبة المساحات القابلة للبيع</v>
      </c>
      <c r="C143" s="746">
        <f>Study!CH142</f>
        <v>0.57999999999999996</v>
      </c>
      <c r="D143" s="740" t="str">
        <f>Study!CI142</f>
        <v>مكوّن البناء - فندقي</v>
      </c>
      <c r="E143" s="742" t="str">
        <f>Study!CJ142</f>
        <v>E68</v>
      </c>
      <c r="F143" s="740" t="str">
        <f>Study!CK142</f>
        <v>نسبة مئوية</v>
      </c>
      <c r="G143" s="731"/>
      <c r="H143" s="731"/>
      <c r="I143" s="731"/>
      <c r="J143" s="731"/>
      <c r="K143" s="731"/>
      <c r="L143" s="731"/>
      <c r="M143" s="731"/>
      <c r="N143" s="731"/>
      <c r="O143" s="731"/>
      <c r="P143" s="731"/>
      <c r="Q143" s="731"/>
      <c r="R143" s="731"/>
      <c r="S143" s="731"/>
      <c r="T143" s="731"/>
      <c r="U143" s="731"/>
      <c r="V143" s="731"/>
      <c r="W143" s="731"/>
      <c r="X143" s="731"/>
      <c r="Y143" s="731"/>
      <c r="Z143" s="731"/>
    </row>
    <row r="144" spans="1:26" x14ac:dyDescent="0.2">
      <c r="A144" s="735">
        <f>Study!CF143</f>
        <v>125</v>
      </c>
      <c r="B144" s="736" t="str">
        <f>Study!CG143</f>
        <v>فندقي - المساحات الصافية القابلة للبيع (NSA)</v>
      </c>
      <c r="C144" s="745">
        <f>Study!CH143</f>
        <v>3566.9999999999991</v>
      </c>
      <c r="D144" s="736" t="str">
        <f>Study!CI143</f>
        <v>مكوّن البناء - فندقي</v>
      </c>
      <c r="E144" s="738" t="str">
        <f>Study!CJ143</f>
        <v>F68</v>
      </c>
      <c r="F144" s="736" t="str">
        <f>Study!CK143</f>
        <v>م²</v>
      </c>
      <c r="G144" s="731"/>
      <c r="H144" s="731"/>
      <c r="I144" s="731"/>
      <c r="J144" s="731"/>
      <c r="K144" s="731"/>
      <c r="L144" s="731"/>
      <c r="M144" s="731"/>
      <c r="N144" s="731"/>
      <c r="O144" s="731"/>
      <c r="P144" s="731"/>
      <c r="Q144" s="731"/>
      <c r="R144" s="731"/>
      <c r="S144" s="731"/>
      <c r="T144" s="731"/>
      <c r="U144" s="731"/>
      <c r="V144" s="731"/>
      <c r="W144" s="731"/>
      <c r="X144" s="731"/>
      <c r="Y144" s="731"/>
      <c r="Z144" s="731"/>
    </row>
    <row r="145" spans="1:26" x14ac:dyDescent="0.2">
      <c r="A145" s="739">
        <f>Study!CF144</f>
        <v>126</v>
      </c>
      <c r="B145" s="740" t="str">
        <f>Study!CG144</f>
        <v>فندقي - مساحة الوحدة</v>
      </c>
      <c r="C145" s="749">
        <f>Study!CH144</f>
        <v>100</v>
      </c>
      <c r="D145" s="740" t="str">
        <f>Study!CI144</f>
        <v>مكوّن البناء - فندقي</v>
      </c>
      <c r="E145" s="742" t="str">
        <f>Study!CJ144</f>
        <v>G68</v>
      </c>
      <c r="F145" s="740" t="str">
        <f>Study!CK144</f>
        <v>م²</v>
      </c>
      <c r="G145" s="731"/>
      <c r="H145" s="731"/>
      <c r="I145" s="731"/>
      <c r="J145" s="731"/>
      <c r="K145" s="731"/>
      <c r="L145" s="731"/>
      <c r="M145" s="731"/>
      <c r="N145" s="731"/>
      <c r="O145" s="731"/>
      <c r="P145" s="731"/>
      <c r="Q145" s="731"/>
      <c r="R145" s="731"/>
      <c r="S145" s="731"/>
      <c r="T145" s="731"/>
      <c r="U145" s="731"/>
      <c r="V145" s="731"/>
      <c r="W145" s="731"/>
      <c r="X145" s="731"/>
      <c r="Y145" s="731"/>
      <c r="Z145" s="731"/>
    </row>
    <row r="146" spans="1:26" x14ac:dyDescent="0.2">
      <c r="A146" s="735">
        <f>Study!CF145</f>
        <v>127</v>
      </c>
      <c r="B146" s="736" t="str">
        <f>Study!CG145</f>
        <v>فندقي - عدد الوحدات</v>
      </c>
      <c r="C146" s="750">
        <f>Study!CH145</f>
        <v>35.669999999999987</v>
      </c>
      <c r="D146" s="736" t="str">
        <f>Study!CI145</f>
        <v>مكوّن البناء - فندقي</v>
      </c>
      <c r="E146" s="738" t="str">
        <f>Study!CJ145</f>
        <v>H68</v>
      </c>
      <c r="F146" s="736" t="str">
        <f>Study!CK145</f>
        <v>وحدة</v>
      </c>
      <c r="G146" s="731"/>
      <c r="H146" s="731"/>
      <c r="I146" s="731"/>
      <c r="J146" s="731"/>
      <c r="K146" s="731"/>
      <c r="L146" s="731"/>
      <c r="M146" s="731"/>
      <c r="N146" s="731"/>
      <c r="O146" s="731"/>
      <c r="P146" s="731"/>
      <c r="Q146" s="731"/>
      <c r="R146" s="731"/>
      <c r="S146" s="731"/>
      <c r="T146" s="731"/>
      <c r="U146" s="731"/>
      <c r="V146" s="731"/>
      <c r="W146" s="731"/>
      <c r="X146" s="731"/>
      <c r="Y146" s="731"/>
      <c r="Z146" s="731"/>
    </row>
    <row r="147" spans="1:26" x14ac:dyDescent="0.2">
      <c r="A147" s="739">
        <f>Study!CF146</f>
        <v>128</v>
      </c>
      <c r="B147" s="740" t="str">
        <f>Study!CG146</f>
        <v>فندقي - تكلفة متر البناء</v>
      </c>
      <c r="C147" s="744">
        <f>Study!CH146</f>
        <v>6000</v>
      </c>
      <c r="D147" s="740" t="str">
        <f>Study!CI146</f>
        <v>مكوّن البناء - فندقي</v>
      </c>
      <c r="E147" s="742" t="str">
        <f>Study!CJ146</f>
        <v>I68</v>
      </c>
      <c r="F147" s="740" t="str">
        <f>Study!CK146</f>
        <v>ريال/م²</v>
      </c>
      <c r="G147" s="731"/>
      <c r="H147" s="731"/>
      <c r="I147" s="731"/>
      <c r="J147" s="731"/>
      <c r="K147" s="731"/>
      <c r="L147" s="731"/>
      <c r="M147" s="731"/>
      <c r="N147" s="731"/>
      <c r="O147" s="731"/>
      <c r="P147" s="731"/>
      <c r="Q147" s="731"/>
      <c r="R147" s="731"/>
      <c r="S147" s="731"/>
      <c r="T147" s="731"/>
      <c r="U147" s="731"/>
      <c r="V147" s="731"/>
      <c r="W147" s="731"/>
      <c r="X147" s="731"/>
      <c r="Y147" s="731"/>
      <c r="Z147" s="731"/>
    </row>
    <row r="148" spans="1:26" x14ac:dyDescent="0.2">
      <c r="A148" s="735">
        <f>Study!CF147</f>
        <v>129</v>
      </c>
      <c r="B148" s="736" t="str">
        <f>Study!CG147</f>
        <v>فندقي - إجمالي التكاليف</v>
      </c>
      <c r="C148" s="743">
        <f>Study!CH147</f>
        <v>36899999.999999993</v>
      </c>
      <c r="D148" s="736" t="str">
        <f>Study!CI147</f>
        <v>مكوّن البناء - فندقي</v>
      </c>
      <c r="E148" s="738" t="str">
        <f>Study!CJ147</f>
        <v>J68</v>
      </c>
      <c r="F148" s="736" t="str">
        <f>Study!CK147</f>
        <v>ريال سعودي</v>
      </c>
      <c r="G148" s="731"/>
      <c r="H148" s="731"/>
      <c r="I148" s="731"/>
      <c r="J148" s="731"/>
      <c r="K148" s="731"/>
      <c r="L148" s="731"/>
      <c r="M148" s="731"/>
      <c r="N148" s="731"/>
      <c r="O148" s="731"/>
      <c r="P148" s="731"/>
      <c r="Q148" s="731"/>
      <c r="R148" s="731"/>
      <c r="S148" s="731"/>
      <c r="T148" s="731"/>
      <c r="U148" s="731"/>
      <c r="V148" s="731"/>
      <c r="W148" s="731"/>
      <c r="X148" s="731"/>
      <c r="Y148" s="731"/>
      <c r="Z148" s="731"/>
    </row>
    <row r="149" spans="1:26" x14ac:dyDescent="0.2">
      <c r="A149" s="739">
        <f>Study!CF148</f>
        <v>130</v>
      </c>
      <c r="B149" s="740" t="str">
        <f>Study!CG148</f>
        <v>فندقي - عدد المواقف</v>
      </c>
      <c r="C149" s="751">
        <f>Study!CH148</f>
        <v>50</v>
      </c>
      <c r="D149" s="740" t="str">
        <f>Study!CI148</f>
        <v>مكوّن البناء - فندقي</v>
      </c>
      <c r="E149" s="742" t="str">
        <f>Study!CJ148</f>
        <v>K68</v>
      </c>
      <c r="F149" s="740" t="str">
        <f>Study!CK148</f>
        <v>موقف</v>
      </c>
      <c r="G149" s="731"/>
      <c r="H149" s="731"/>
      <c r="I149" s="731"/>
      <c r="J149" s="731"/>
      <c r="K149" s="731"/>
      <c r="L149" s="731"/>
      <c r="M149" s="731"/>
      <c r="N149" s="731"/>
      <c r="O149" s="731"/>
      <c r="P149" s="731"/>
      <c r="Q149" s="731"/>
      <c r="R149" s="731"/>
      <c r="S149" s="731"/>
      <c r="T149" s="731"/>
      <c r="U149" s="731"/>
      <c r="V149" s="731"/>
      <c r="W149" s="731"/>
      <c r="X149" s="731"/>
      <c r="Y149" s="731"/>
      <c r="Z149" s="731"/>
    </row>
    <row r="150" spans="1:26" x14ac:dyDescent="0.2">
      <c r="A150" s="735">
        <f>Study!CF149</f>
        <v>131</v>
      </c>
      <c r="B150" s="736" t="str">
        <f>Study!CG149</f>
        <v>فندقي - معيار المواقف</v>
      </c>
      <c r="C150" s="752">
        <f>Study!CH149</f>
        <v>2</v>
      </c>
      <c r="D150" s="736" t="str">
        <f>Study!CI149</f>
        <v>مكوّن البناء - فندقي</v>
      </c>
      <c r="E150" s="738" t="str">
        <f>Study!CJ149</f>
        <v>L68</v>
      </c>
      <c r="F150" s="736" t="str">
        <f>Study!CK149</f>
        <v>معيار</v>
      </c>
      <c r="G150" s="731"/>
      <c r="H150" s="731"/>
      <c r="I150" s="731"/>
      <c r="J150" s="731"/>
      <c r="K150" s="731"/>
      <c r="L150" s="731"/>
      <c r="M150" s="731"/>
      <c r="N150" s="731"/>
      <c r="O150" s="731"/>
      <c r="P150" s="731"/>
      <c r="Q150" s="731"/>
      <c r="R150" s="731"/>
      <c r="S150" s="731"/>
      <c r="T150" s="731"/>
      <c r="U150" s="731"/>
      <c r="V150" s="731"/>
      <c r="W150" s="731"/>
      <c r="X150" s="731"/>
      <c r="Y150" s="731"/>
      <c r="Z150" s="731"/>
    </row>
    <row r="151" spans="1:26" ht="15" x14ac:dyDescent="0.2">
      <c r="A151" s="734" t="str">
        <f>Study!CF150</f>
        <v>▌ مكوّن البناء - صحي</v>
      </c>
      <c r="B151" s="734">
        <f>Study!CG150</f>
        <v>0</v>
      </c>
      <c r="C151" s="734">
        <f>Study!CH150</f>
        <v>0</v>
      </c>
      <c r="D151" s="734">
        <f>Study!CI150</f>
        <v>0</v>
      </c>
      <c r="E151" s="734">
        <f>Study!CJ150</f>
        <v>0</v>
      </c>
      <c r="F151" s="734">
        <f>Study!CK150</f>
        <v>0</v>
      </c>
      <c r="G151" s="731"/>
      <c r="H151" s="731"/>
      <c r="I151" s="731"/>
      <c r="J151" s="731"/>
      <c r="K151" s="731"/>
      <c r="L151" s="731"/>
      <c r="M151" s="731"/>
      <c r="N151" s="731"/>
      <c r="O151" s="731"/>
      <c r="P151" s="731"/>
      <c r="Q151" s="731"/>
      <c r="R151" s="731"/>
      <c r="S151" s="731"/>
      <c r="T151" s="731"/>
      <c r="U151" s="731"/>
      <c r="V151" s="731"/>
      <c r="W151" s="731"/>
      <c r="X151" s="731"/>
      <c r="Y151" s="731"/>
      <c r="Z151" s="731"/>
    </row>
    <row r="152" spans="1:26" x14ac:dyDescent="0.2">
      <c r="A152" s="739">
        <f>Study!CF151</f>
        <v>132</v>
      </c>
      <c r="B152" s="740" t="str">
        <f>Study!CG151</f>
        <v>صحي - نسبة من المساحة البنائية</v>
      </c>
      <c r="C152" s="746">
        <f>Study!CH151</f>
        <v>0</v>
      </c>
      <c r="D152" s="740" t="str">
        <f>Study!CI151</f>
        <v>مكوّن البناء - صحي</v>
      </c>
      <c r="E152" s="742" t="str">
        <f>Study!CJ151</f>
        <v>C69</v>
      </c>
      <c r="F152" s="740" t="str">
        <f>Study!CK151</f>
        <v>نسبة مئوية</v>
      </c>
      <c r="G152" s="731"/>
      <c r="H152" s="731"/>
      <c r="I152" s="731"/>
      <c r="J152" s="731"/>
      <c r="K152" s="731"/>
      <c r="L152" s="731"/>
      <c r="M152" s="731"/>
      <c r="N152" s="731"/>
      <c r="O152" s="731"/>
      <c r="P152" s="731"/>
      <c r="Q152" s="731"/>
      <c r="R152" s="731"/>
      <c r="S152" s="731"/>
      <c r="T152" s="731"/>
      <c r="U152" s="731"/>
      <c r="V152" s="731"/>
      <c r="W152" s="731"/>
      <c r="X152" s="731"/>
      <c r="Y152" s="731"/>
      <c r="Z152" s="731"/>
    </row>
    <row r="153" spans="1:26" x14ac:dyDescent="0.2">
      <c r="A153" s="735">
        <f>Study!CF152</f>
        <v>133</v>
      </c>
      <c r="B153" s="736" t="str">
        <f>Study!CG152</f>
        <v>صحي - إجمالي المساحة البنائية (GBA)</v>
      </c>
      <c r="C153" s="745">
        <f>Study!CH152</f>
        <v>0</v>
      </c>
      <c r="D153" s="736" t="str">
        <f>Study!CI152</f>
        <v>مكوّن البناء - صحي</v>
      </c>
      <c r="E153" s="738" t="str">
        <f>Study!CJ152</f>
        <v>D69</v>
      </c>
      <c r="F153" s="736" t="str">
        <f>Study!CK152</f>
        <v>م²</v>
      </c>
      <c r="G153" s="731"/>
      <c r="H153" s="731"/>
      <c r="I153" s="731"/>
      <c r="J153" s="731"/>
      <c r="K153" s="731"/>
      <c r="L153" s="731"/>
      <c r="M153" s="731"/>
      <c r="N153" s="731"/>
      <c r="O153" s="731"/>
      <c r="P153" s="731"/>
      <c r="Q153" s="731"/>
      <c r="R153" s="731"/>
      <c r="S153" s="731"/>
      <c r="T153" s="731"/>
      <c r="U153" s="731"/>
      <c r="V153" s="731"/>
      <c r="W153" s="731"/>
      <c r="X153" s="731"/>
      <c r="Y153" s="731"/>
      <c r="Z153" s="731"/>
    </row>
    <row r="154" spans="1:26" x14ac:dyDescent="0.2">
      <c r="A154" s="739">
        <f>Study!CF153</f>
        <v>134</v>
      </c>
      <c r="B154" s="740" t="str">
        <f>Study!CG153</f>
        <v>صحي - نسبة المساحات القابلة للبيع</v>
      </c>
      <c r="C154" s="746">
        <f>Study!CH153</f>
        <v>0</v>
      </c>
      <c r="D154" s="740" t="str">
        <f>Study!CI153</f>
        <v>مكوّن البناء - صحي</v>
      </c>
      <c r="E154" s="742" t="str">
        <f>Study!CJ153</f>
        <v>E69</v>
      </c>
      <c r="F154" s="740" t="str">
        <f>Study!CK153</f>
        <v>نسبة مئوية</v>
      </c>
      <c r="G154" s="731"/>
      <c r="H154" s="731"/>
      <c r="I154" s="731"/>
      <c r="J154" s="731"/>
      <c r="K154" s="731"/>
      <c r="L154" s="731"/>
      <c r="M154" s="731"/>
      <c r="N154" s="731"/>
      <c r="O154" s="731"/>
      <c r="P154" s="731"/>
      <c r="Q154" s="731"/>
      <c r="R154" s="731"/>
      <c r="S154" s="731"/>
      <c r="T154" s="731"/>
      <c r="U154" s="731"/>
      <c r="V154" s="731"/>
      <c r="W154" s="731"/>
      <c r="X154" s="731"/>
      <c r="Y154" s="731"/>
      <c r="Z154" s="731"/>
    </row>
    <row r="155" spans="1:26" x14ac:dyDescent="0.2">
      <c r="A155" s="735">
        <f>Study!CF154</f>
        <v>135</v>
      </c>
      <c r="B155" s="736" t="str">
        <f>Study!CG154</f>
        <v>صحي - المساحات الصافية القابلة للبيع (NSA)</v>
      </c>
      <c r="C155" s="745">
        <f>Study!CH154</f>
        <v>0</v>
      </c>
      <c r="D155" s="736" t="str">
        <f>Study!CI154</f>
        <v>مكوّن البناء - صحي</v>
      </c>
      <c r="E155" s="738" t="str">
        <f>Study!CJ154</f>
        <v>F69</v>
      </c>
      <c r="F155" s="736" t="str">
        <f>Study!CK154</f>
        <v>م²</v>
      </c>
      <c r="G155" s="731"/>
      <c r="H155" s="731"/>
      <c r="I155" s="731"/>
      <c r="J155" s="731"/>
      <c r="K155" s="731"/>
      <c r="L155" s="731"/>
      <c r="M155" s="731"/>
      <c r="N155" s="731"/>
      <c r="O155" s="731"/>
      <c r="P155" s="731"/>
      <c r="Q155" s="731"/>
      <c r="R155" s="731"/>
      <c r="S155" s="731"/>
      <c r="T155" s="731"/>
      <c r="U155" s="731"/>
      <c r="V155" s="731"/>
      <c r="W155" s="731"/>
      <c r="X155" s="731"/>
      <c r="Y155" s="731"/>
      <c r="Z155" s="731"/>
    </row>
    <row r="156" spans="1:26" x14ac:dyDescent="0.2">
      <c r="A156" s="739">
        <f>Study!CF155</f>
        <v>136</v>
      </c>
      <c r="B156" s="740" t="str">
        <f>Study!CG155</f>
        <v>صحي - مساحة الوحدة</v>
      </c>
      <c r="C156" s="749">
        <f>Study!CH155</f>
        <v>0</v>
      </c>
      <c r="D156" s="740" t="str">
        <f>Study!CI155</f>
        <v>مكوّن البناء - صحي</v>
      </c>
      <c r="E156" s="742" t="str">
        <f>Study!CJ155</f>
        <v>G69</v>
      </c>
      <c r="F156" s="740" t="str">
        <f>Study!CK155</f>
        <v>م²</v>
      </c>
      <c r="G156" s="731"/>
      <c r="H156" s="731"/>
      <c r="I156" s="731"/>
      <c r="J156" s="731"/>
      <c r="K156" s="731"/>
      <c r="L156" s="731"/>
      <c r="M156" s="731"/>
      <c r="N156" s="731"/>
      <c r="O156" s="731"/>
      <c r="P156" s="731"/>
      <c r="Q156" s="731"/>
      <c r="R156" s="731"/>
      <c r="S156" s="731"/>
      <c r="T156" s="731"/>
      <c r="U156" s="731"/>
      <c r="V156" s="731"/>
      <c r="W156" s="731"/>
      <c r="X156" s="731"/>
      <c r="Y156" s="731"/>
      <c r="Z156" s="731"/>
    </row>
    <row r="157" spans="1:26" x14ac:dyDescent="0.2">
      <c r="A157" s="735">
        <f>Study!CF156</f>
        <v>137</v>
      </c>
      <c r="B157" s="736" t="str">
        <f>Study!CG156</f>
        <v>صحي - عدد الوحدات</v>
      </c>
      <c r="C157" s="750" t="str">
        <f>Study!CH156</f>
        <v>0.00</v>
      </c>
      <c r="D157" s="736" t="str">
        <f>Study!CI156</f>
        <v>مكوّن البناء - صحي</v>
      </c>
      <c r="E157" s="738" t="str">
        <f>Study!CJ156</f>
        <v>H69</v>
      </c>
      <c r="F157" s="736" t="str">
        <f>Study!CK156</f>
        <v>وحدة</v>
      </c>
      <c r="G157" s="731"/>
      <c r="H157" s="731"/>
      <c r="I157" s="731"/>
      <c r="J157" s="731"/>
      <c r="K157" s="731"/>
      <c r="L157" s="731"/>
      <c r="M157" s="731"/>
      <c r="N157" s="731"/>
      <c r="O157" s="731"/>
      <c r="P157" s="731"/>
      <c r="Q157" s="731"/>
      <c r="R157" s="731"/>
      <c r="S157" s="731"/>
      <c r="T157" s="731"/>
      <c r="U157" s="731"/>
      <c r="V157" s="731"/>
      <c r="W157" s="731"/>
      <c r="X157" s="731"/>
      <c r="Y157" s="731"/>
      <c r="Z157" s="731"/>
    </row>
    <row r="158" spans="1:26" x14ac:dyDescent="0.2">
      <c r="A158" s="739">
        <f>Study!CF157</f>
        <v>138</v>
      </c>
      <c r="B158" s="740" t="str">
        <f>Study!CG157</f>
        <v>صحي - تكلفة متر البناء</v>
      </c>
      <c r="C158" s="744">
        <f>Study!CH157</f>
        <v>0</v>
      </c>
      <c r="D158" s="740" t="str">
        <f>Study!CI157</f>
        <v>مكوّن البناء - صحي</v>
      </c>
      <c r="E158" s="742" t="str">
        <f>Study!CJ157</f>
        <v>I69</v>
      </c>
      <c r="F158" s="740" t="str">
        <f>Study!CK157</f>
        <v>ريال/م²</v>
      </c>
      <c r="G158" s="731"/>
      <c r="H158" s="731"/>
      <c r="I158" s="731"/>
      <c r="J158" s="731"/>
      <c r="K158" s="731"/>
      <c r="L158" s="731"/>
      <c r="M158" s="731"/>
      <c r="N158" s="731"/>
      <c r="O158" s="731"/>
      <c r="P158" s="731"/>
      <c r="Q158" s="731"/>
      <c r="R158" s="731"/>
      <c r="S158" s="731"/>
      <c r="T158" s="731"/>
      <c r="U158" s="731"/>
      <c r="V158" s="731"/>
      <c r="W158" s="731"/>
      <c r="X158" s="731"/>
      <c r="Y158" s="731"/>
      <c r="Z158" s="731"/>
    </row>
    <row r="159" spans="1:26" x14ac:dyDescent="0.2">
      <c r="A159" s="735">
        <f>Study!CF158</f>
        <v>139</v>
      </c>
      <c r="B159" s="736" t="str">
        <f>Study!CG158</f>
        <v>صحي - إجمالي التكاليف</v>
      </c>
      <c r="C159" s="743">
        <f>Study!CH158</f>
        <v>0</v>
      </c>
      <c r="D159" s="736" t="str">
        <f>Study!CI158</f>
        <v>مكوّن البناء - صحي</v>
      </c>
      <c r="E159" s="738" t="str">
        <f>Study!CJ158</f>
        <v>J69</v>
      </c>
      <c r="F159" s="736" t="str">
        <f>Study!CK158</f>
        <v>ريال سعودي</v>
      </c>
      <c r="G159" s="731"/>
      <c r="H159" s="731"/>
      <c r="I159" s="731"/>
      <c r="J159" s="731"/>
      <c r="K159" s="731"/>
      <c r="L159" s="731"/>
      <c r="M159" s="731"/>
      <c r="N159" s="731"/>
      <c r="O159" s="731"/>
      <c r="P159" s="731"/>
      <c r="Q159" s="731"/>
      <c r="R159" s="731"/>
      <c r="S159" s="731"/>
      <c r="T159" s="731"/>
      <c r="U159" s="731"/>
      <c r="V159" s="731"/>
      <c r="W159" s="731"/>
      <c r="X159" s="731"/>
      <c r="Y159" s="731"/>
      <c r="Z159" s="731"/>
    </row>
    <row r="160" spans="1:26" x14ac:dyDescent="0.2">
      <c r="A160" s="739">
        <f>Study!CF159</f>
        <v>140</v>
      </c>
      <c r="B160" s="740" t="str">
        <f>Study!CG159</f>
        <v>صحي - عدد المواقف</v>
      </c>
      <c r="C160" s="751">
        <f>Study!CH159</f>
        <v>0</v>
      </c>
      <c r="D160" s="740" t="str">
        <f>Study!CI159</f>
        <v>مكوّن البناء - صحي</v>
      </c>
      <c r="E160" s="742" t="str">
        <f>Study!CJ159</f>
        <v>K69</v>
      </c>
      <c r="F160" s="740" t="str">
        <f>Study!CK159</f>
        <v>موقف</v>
      </c>
      <c r="G160" s="731"/>
      <c r="H160" s="731"/>
      <c r="I160" s="731"/>
      <c r="J160" s="731"/>
      <c r="K160" s="731"/>
      <c r="L160" s="731"/>
      <c r="M160" s="731"/>
      <c r="N160" s="731"/>
      <c r="O160" s="731"/>
      <c r="P160" s="731"/>
      <c r="Q160" s="731"/>
      <c r="R160" s="731"/>
      <c r="S160" s="731"/>
      <c r="T160" s="731"/>
      <c r="U160" s="731"/>
      <c r="V160" s="731"/>
      <c r="W160" s="731"/>
      <c r="X160" s="731"/>
      <c r="Y160" s="731"/>
      <c r="Z160" s="731"/>
    </row>
    <row r="161" spans="1:26" x14ac:dyDescent="0.2">
      <c r="A161" s="735">
        <f>Study!CF160</f>
        <v>141</v>
      </c>
      <c r="B161" s="736" t="str">
        <f>Study!CG160</f>
        <v>صحي - معيار المواقف</v>
      </c>
      <c r="C161" s="752">
        <f>Study!CH160</f>
        <v>35</v>
      </c>
      <c r="D161" s="736" t="str">
        <f>Study!CI160</f>
        <v>مكوّن البناء - صحي</v>
      </c>
      <c r="E161" s="738" t="str">
        <f>Study!CJ160</f>
        <v>L69</v>
      </c>
      <c r="F161" s="736" t="str">
        <f>Study!CK160</f>
        <v>معيار</v>
      </c>
      <c r="G161" s="731"/>
      <c r="H161" s="731"/>
      <c r="I161" s="731"/>
      <c r="J161" s="731"/>
      <c r="K161" s="731"/>
      <c r="L161" s="731"/>
      <c r="M161" s="731"/>
      <c r="N161" s="731"/>
      <c r="O161" s="731"/>
      <c r="P161" s="731"/>
      <c r="Q161" s="731"/>
      <c r="R161" s="731"/>
      <c r="S161" s="731"/>
      <c r="T161" s="731"/>
      <c r="U161" s="731"/>
      <c r="V161" s="731"/>
      <c r="W161" s="731"/>
      <c r="X161" s="731"/>
      <c r="Y161" s="731"/>
      <c r="Z161" s="731"/>
    </row>
    <row r="162" spans="1:26" ht="15" x14ac:dyDescent="0.2">
      <c r="A162" s="734" t="str">
        <f>Study!CF161</f>
        <v>▌ مكوّن البناء - أخرى</v>
      </c>
      <c r="B162" s="734">
        <f>Study!CG161</f>
        <v>0</v>
      </c>
      <c r="C162" s="734">
        <f>Study!CH161</f>
        <v>0</v>
      </c>
      <c r="D162" s="734">
        <f>Study!CI161</f>
        <v>0</v>
      </c>
      <c r="E162" s="734">
        <f>Study!CJ161</f>
        <v>0</v>
      </c>
      <c r="F162" s="734">
        <f>Study!CK161</f>
        <v>0</v>
      </c>
      <c r="G162" s="731"/>
      <c r="H162" s="731"/>
      <c r="I162" s="731"/>
      <c r="J162" s="731"/>
      <c r="K162" s="731"/>
      <c r="L162" s="731"/>
      <c r="M162" s="731"/>
      <c r="N162" s="731"/>
      <c r="O162" s="731"/>
      <c r="P162" s="731"/>
      <c r="Q162" s="731"/>
      <c r="R162" s="731"/>
      <c r="S162" s="731"/>
      <c r="T162" s="731"/>
      <c r="U162" s="731"/>
      <c r="V162" s="731"/>
      <c r="W162" s="731"/>
      <c r="X162" s="731"/>
      <c r="Y162" s="731"/>
      <c r="Z162" s="731"/>
    </row>
    <row r="163" spans="1:26" x14ac:dyDescent="0.2">
      <c r="A163" s="739">
        <f>Study!CF162</f>
        <v>142</v>
      </c>
      <c r="B163" s="740" t="str">
        <f>Study!CG162</f>
        <v>أخرى - نسبة من المساحة البنائية</v>
      </c>
      <c r="C163" s="746">
        <f>Study!CH162</f>
        <v>0</v>
      </c>
      <c r="D163" s="740" t="str">
        <f>Study!CI162</f>
        <v>مكوّن البناء - أخرى</v>
      </c>
      <c r="E163" s="742" t="str">
        <f>Study!CJ162</f>
        <v>C70</v>
      </c>
      <c r="F163" s="740" t="str">
        <f>Study!CK162</f>
        <v>نسبة مئوية</v>
      </c>
      <c r="G163" s="731"/>
      <c r="H163" s="731"/>
      <c r="I163" s="731"/>
      <c r="J163" s="731"/>
      <c r="K163" s="731"/>
      <c r="L163" s="731"/>
      <c r="M163" s="731"/>
      <c r="N163" s="731"/>
      <c r="O163" s="731"/>
      <c r="P163" s="731"/>
      <c r="Q163" s="731"/>
      <c r="R163" s="731"/>
      <c r="S163" s="731"/>
      <c r="T163" s="731"/>
      <c r="U163" s="731"/>
      <c r="V163" s="731"/>
      <c r="W163" s="731"/>
      <c r="X163" s="731"/>
      <c r="Y163" s="731"/>
      <c r="Z163" s="731"/>
    </row>
    <row r="164" spans="1:26" x14ac:dyDescent="0.2">
      <c r="A164" s="735">
        <f>Study!CF163</f>
        <v>143</v>
      </c>
      <c r="B164" s="736" t="str">
        <f>Study!CG163</f>
        <v>أخرى - إجمالي المساحة البنائية (GBA)</v>
      </c>
      <c r="C164" s="745">
        <f>Study!CH163</f>
        <v>0</v>
      </c>
      <c r="D164" s="736" t="str">
        <f>Study!CI163</f>
        <v>مكوّن البناء - أخرى</v>
      </c>
      <c r="E164" s="738" t="str">
        <f>Study!CJ163</f>
        <v>D70</v>
      </c>
      <c r="F164" s="736" t="str">
        <f>Study!CK163</f>
        <v>م²</v>
      </c>
      <c r="G164" s="731"/>
      <c r="H164" s="731"/>
      <c r="I164" s="731"/>
      <c r="J164" s="731"/>
      <c r="K164" s="731"/>
      <c r="L164" s="731"/>
      <c r="M164" s="731"/>
      <c r="N164" s="731"/>
      <c r="O164" s="731"/>
      <c r="P164" s="731"/>
      <c r="Q164" s="731"/>
      <c r="R164" s="731"/>
      <c r="S164" s="731"/>
      <c r="T164" s="731"/>
      <c r="U164" s="731"/>
      <c r="V164" s="731"/>
      <c r="W164" s="731"/>
      <c r="X164" s="731"/>
      <c r="Y164" s="731"/>
      <c r="Z164" s="731"/>
    </row>
    <row r="165" spans="1:26" x14ac:dyDescent="0.2">
      <c r="A165" s="739">
        <f>Study!CF164</f>
        <v>144</v>
      </c>
      <c r="B165" s="740" t="str">
        <f>Study!CG164</f>
        <v>أخرى - نسبة المساحات القابلة للبيع</v>
      </c>
      <c r="C165" s="746">
        <f>Study!CH164</f>
        <v>0</v>
      </c>
      <c r="D165" s="740" t="str">
        <f>Study!CI164</f>
        <v>مكوّن البناء - أخرى</v>
      </c>
      <c r="E165" s="742" t="str">
        <f>Study!CJ164</f>
        <v>E70</v>
      </c>
      <c r="F165" s="740" t="str">
        <f>Study!CK164</f>
        <v>نسبة مئوية</v>
      </c>
      <c r="G165" s="731"/>
      <c r="H165" s="731"/>
      <c r="I165" s="731"/>
      <c r="J165" s="731"/>
      <c r="K165" s="731"/>
      <c r="L165" s="731"/>
      <c r="M165" s="731"/>
      <c r="N165" s="731"/>
      <c r="O165" s="731"/>
      <c r="P165" s="731"/>
      <c r="Q165" s="731"/>
      <c r="R165" s="731"/>
      <c r="S165" s="731"/>
      <c r="T165" s="731"/>
      <c r="U165" s="731"/>
      <c r="V165" s="731"/>
      <c r="W165" s="731"/>
      <c r="X165" s="731"/>
      <c r="Y165" s="731"/>
      <c r="Z165" s="731"/>
    </row>
    <row r="166" spans="1:26" x14ac:dyDescent="0.2">
      <c r="A166" s="735">
        <f>Study!CF165</f>
        <v>145</v>
      </c>
      <c r="B166" s="736" t="str">
        <f>Study!CG165</f>
        <v>أخرى - المساحات الصافية القابلة للبيع (NSA)</v>
      </c>
      <c r="C166" s="745">
        <f>Study!CH165</f>
        <v>0</v>
      </c>
      <c r="D166" s="736" t="str">
        <f>Study!CI165</f>
        <v>مكوّن البناء - أخرى</v>
      </c>
      <c r="E166" s="738" t="str">
        <f>Study!CJ165</f>
        <v>F70</v>
      </c>
      <c r="F166" s="736" t="str">
        <f>Study!CK165</f>
        <v>م²</v>
      </c>
      <c r="G166" s="731"/>
      <c r="H166" s="731"/>
      <c r="I166" s="731"/>
      <c r="J166" s="731"/>
      <c r="K166" s="731"/>
      <c r="L166" s="731"/>
      <c r="M166" s="731"/>
      <c r="N166" s="731"/>
      <c r="O166" s="731"/>
      <c r="P166" s="731"/>
      <c r="Q166" s="731"/>
      <c r="R166" s="731"/>
      <c r="S166" s="731"/>
      <c r="T166" s="731"/>
      <c r="U166" s="731"/>
      <c r="V166" s="731"/>
      <c r="W166" s="731"/>
      <c r="X166" s="731"/>
      <c r="Y166" s="731"/>
      <c r="Z166" s="731"/>
    </row>
    <row r="167" spans="1:26" x14ac:dyDescent="0.2">
      <c r="A167" s="739">
        <f>Study!CF166</f>
        <v>146</v>
      </c>
      <c r="B167" s="740" t="str">
        <f>Study!CG166</f>
        <v>أخرى - مساحة الوحدة</v>
      </c>
      <c r="C167" s="749">
        <f>Study!CH166</f>
        <v>0</v>
      </c>
      <c r="D167" s="740" t="str">
        <f>Study!CI166</f>
        <v>مكوّن البناء - أخرى</v>
      </c>
      <c r="E167" s="742" t="str">
        <f>Study!CJ166</f>
        <v>G70</v>
      </c>
      <c r="F167" s="740" t="str">
        <f>Study!CK166</f>
        <v>م²</v>
      </c>
      <c r="G167" s="731"/>
      <c r="H167" s="731"/>
      <c r="I167" s="731"/>
      <c r="J167" s="731"/>
      <c r="K167" s="731"/>
      <c r="L167" s="731"/>
      <c r="M167" s="731"/>
      <c r="N167" s="731"/>
      <c r="O167" s="731"/>
      <c r="P167" s="731"/>
      <c r="Q167" s="731"/>
      <c r="R167" s="731"/>
      <c r="S167" s="731"/>
      <c r="T167" s="731"/>
      <c r="U167" s="731"/>
      <c r="V167" s="731"/>
      <c r="W167" s="731"/>
      <c r="X167" s="731"/>
      <c r="Y167" s="731"/>
      <c r="Z167" s="731"/>
    </row>
    <row r="168" spans="1:26" x14ac:dyDescent="0.2">
      <c r="A168" s="735">
        <f>Study!CF167</f>
        <v>147</v>
      </c>
      <c r="B168" s="736" t="str">
        <f>Study!CG167</f>
        <v>أخرى - عدد الوحدات</v>
      </c>
      <c r="C168" s="750" t="str">
        <f>Study!CH167</f>
        <v>0.00</v>
      </c>
      <c r="D168" s="736" t="str">
        <f>Study!CI167</f>
        <v>مكوّن البناء - أخرى</v>
      </c>
      <c r="E168" s="738" t="str">
        <f>Study!CJ167</f>
        <v>H70</v>
      </c>
      <c r="F168" s="736" t="str">
        <f>Study!CK167</f>
        <v>وحدة</v>
      </c>
      <c r="G168" s="731"/>
      <c r="H168" s="731"/>
      <c r="I168" s="731"/>
      <c r="J168" s="731"/>
      <c r="K168" s="731"/>
      <c r="L168" s="731"/>
      <c r="M168" s="731"/>
      <c r="N168" s="731"/>
      <c r="O168" s="731"/>
      <c r="P168" s="731"/>
      <c r="Q168" s="731"/>
      <c r="R168" s="731"/>
      <c r="S168" s="731"/>
      <c r="T168" s="731"/>
      <c r="U168" s="731"/>
      <c r="V168" s="731"/>
      <c r="W168" s="731"/>
      <c r="X168" s="731"/>
      <c r="Y168" s="731"/>
      <c r="Z168" s="731"/>
    </row>
    <row r="169" spans="1:26" x14ac:dyDescent="0.2">
      <c r="A169" s="739">
        <f>Study!CF168</f>
        <v>148</v>
      </c>
      <c r="B169" s="740" t="str">
        <f>Study!CG168</f>
        <v>أخرى - تكلفة متر البناء</v>
      </c>
      <c r="C169" s="744">
        <f>Study!CH168</f>
        <v>0</v>
      </c>
      <c r="D169" s="740" t="str">
        <f>Study!CI168</f>
        <v>مكوّن البناء - أخرى</v>
      </c>
      <c r="E169" s="742" t="str">
        <f>Study!CJ168</f>
        <v>I70</v>
      </c>
      <c r="F169" s="740" t="str">
        <f>Study!CK168</f>
        <v>ريال/م²</v>
      </c>
      <c r="G169" s="731"/>
      <c r="H169" s="731"/>
      <c r="I169" s="731"/>
      <c r="J169" s="731"/>
      <c r="K169" s="731"/>
      <c r="L169" s="731"/>
      <c r="M169" s="731"/>
      <c r="N169" s="731"/>
      <c r="O169" s="731"/>
      <c r="P169" s="731"/>
      <c r="Q169" s="731"/>
      <c r="R169" s="731"/>
      <c r="S169" s="731"/>
      <c r="T169" s="731"/>
      <c r="U169" s="731"/>
      <c r="V169" s="731"/>
      <c r="W169" s="731"/>
      <c r="X169" s="731"/>
      <c r="Y169" s="731"/>
      <c r="Z169" s="731"/>
    </row>
    <row r="170" spans="1:26" x14ac:dyDescent="0.2">
      <c r="A170" s="735">
        <f>Study!CF169</f>
        <v>149</v>
      </c>
      <c r="B170" s="736" t="str">
        <f>Study!CG169</f>
        <v>أخرى - إجمالي التكاليف</v>
      </c>
      <c r="C170" s="743">
        <f>Study!CH169</f>
        <v>0</v>
      </c>
      <c r="D170" s="736" t="str">
        <f>Study!CI169</f>
        <v>مكوّن البناء - أخرى</v>
      </c>
      <c r="E170" s="738" t="str">
        <f>Study!CJ169</f>
        <v>J70</v>
      </c>
      <c r="F170" s="736" t="str">
        <f>Study!CK169</f>
        <v>ريال سعودي</v>
      </c>
      <c r="G170" s="731"/>
      <c r="H170" s="731"/>
      <c r="I170" s="731"/>
      <c r="J170" s="731"/>
      <c r="K170" s="731"/>
      <c r="L170" s="731"/>
      <c r="M170" s="731"/>
      <c r="N170" s="731"/>
      <c r="O170" s="731"/>
      <c r="P170" s="731"/>
      <c r="Q170" s="731"/>
      <c r="R170" s="731"/>
      <c r="S170" s="731"/>
      <c r="T170" s="731"/>
      <c r="U170" s="731"/>
      <c r="V170" s="731"/>
      <c r="W170" s="731"/>
      <c r="X170" s="731"/>
      <c r="Y170" s="731"/>
      <c r="Z170" s="731"/>
    </row>
    <row r="171" spans="1:26" x14ac:dyDescent="0.2">
      <c r="A171" s="739">
        <f>Study!CF170</f>
        <v>150</v>
      </c>
      <c r="B171" s="740" t="str">
        <f>Study!CG170</f>
        <v>أخرى - عدد المواقف</v>
      </c>
      <c r="C171" s="751">
        <f>Study!CH170</f>
        <v>0</v>
      </c>
      <c r="D171" s="740" t="str">
        <f>Study!CI170</f>
        <v>مكوّن البناء - أخرى</v>
      </c>
      <c r="E171" s="742" t="str">
        <f>Study!CJ170</f>
        <v>K70</v>
      </c>
      <c r="F171" s="740" t="str">
        <f>Study!CK170</f>
        <v>موقف</v>
      </c>
      <c r="G171" s="731"/>
      <c r="H171" s="731"/>
      <c r="I171" s="731"/>
      <c r="J171" s="731"/>
      <c r="K171" s="731"/>
      <c r="L171" s="731"/>
      <c r="M171" s="731"/>
      <c r="N171" s="731"/>
      <c r="O171" s="731"/>
      <c r="P171" s="731"/>
      <c r="Q171" s="731"/>
      <c r="R171" s="731"/>
      <c r="S171" s="731"/>
      <c r="T171" s="731"/>
      <c r="U171" s="731"/>
      <c r="V171" s="731"/>
      <c r="W171" s="731"/>
      <c r="X171" s="731"/>
      <c r="Y171" s="731"/>
      <c r="Z171" s="731"/>
    </row>
    <row r="172" spans="1:26" x14ac:dyDescent="0.2">
      <c r="A172" s="735">
        <f>Study!CF171</f>
        <v>151</v>
      </c>
      <c r="B172" s="736" t="str">
        <f>Study!CG171</f>
        <v>أخرى - معيار المواقف</v>
      </c>
      <c r="C172" s="752" t="str">
        <f>Study!CH171</f>
        <v>لا يــــنــطــبــق</v>
      </c>
      <c r="D172" s="736" t="str">
        <f>Study!CI171</f>
        <v>مكوّن البناء - أخرى</v>
      </c>
      <c r="E172" s="738" t="str">
        <f>Study!CJ171</f>
        <v>L70</v>
      </c>
      <c r="F172" s="736" t="str">
        <f>Study!CK171</f>
        <v>معيار</v>
      </c>
      <c r="G172" s="731"/>
      <c r="H172" s="731"/>
      <c r="I172" s="731"/>
      <c r="J172" s="731"/>
      <c r="K172" s="731"/>
      <c r="L172" s="731"/>
      <c r="M172" s="731"/>
      <c r="N172" s="731"/>
      <c r="O172" s="731"/>
      <c r="P172" s="731"/>
      <c r="Q172" s="731"/>
      <c r="R172" s="731"/>
      <c r="S172" s="731"/>
      <c r="T172" s="731"/>
      <c r="U172" s="731"/>
      <c r="V172" s="731"/>
      <c r="W172" s="731"/>
      <c r="X172" s="731"/>
      <c r="Y172" s="731"/>
      <c r="Z172" s="731"/>
    </row>
    <row r="173" spans="1:26" ht="15" x14ac:dyDescent="0.2">
      <c r="A173" s="734" t="str">
        <f>Study!CF172</f>
        <v>▌ مساحات حركية وخدمية</v>
      </c>
      <c r="B173" s="734">
        <f>Study!CG172</f>
        <v>0</v>
      </c>
      <c r="C173" s="734">
        <f>Study!CH172</f>
        <v>0</v>
      </c>
      <c r="D173" s="734">
        <f>Study!CI172</f>
        <v>0</v>
      </c>
      <c r="E173" s="734">
        <f>Study!CJ172</f>
        <v>0</v>
      </c>
      <c r="F173" s="734">
        <f>Study!CK172</f>
        <v>0</v>
      </c>
      <c r="G173" s="731"/>
      <c r="H173" s="731"/>
      <c r="I173" s="731"/>
      <c r="J173" s="731"/>
      <c r="K173" s="731"/>
      <c r="L173" s="731"/>
      <c r="M173" s="731"/>
      <c r="N173" s="731"/>
      <c r="O173" s="731"/>
      <c r="P173" s="731"/>
      <c r="Q173" s="731"/>
      <c r="R173" s="731"/>
      <c r="S173" s="731"/>
      <c r="T173" s="731"/>
      <c r="U173" s="731"/>
      <c r="V173" s="731"/>
      <c r="W173" s="731"/>
      <c r="X173" s="731"/>
      <c r="Y173" s="731"/>
      <c r="Z173" s="731"/>
    </row>
    <row r="174" spans="1:26" x14ac:dyDescent="0.2">
      <c r="A174" s="739">
        <f>Study!CF173</f>
        <v>152</v>
      </c>
      <c r="B174" s="740" t="str">
        <f>Study!CG173</f>
        <v>المساحات الحركية - نسبة من المساحة البنائية</v>
      </c>
      <c r="C174" s="746">
        <f>Study!CH173</f>
        <v>0</v>
      </c>
      <c r="D174" s="740" t="str">
        <f>Study!CI173</f>
        <v>مساحات حركية وخدمية</v>
      </c>
      <c r="E174" s="742" t="str">
        <f>Study!CJ173</f>
        <v>C71</v>
      </c>
      <c r="F174" s="740" t="str">
        <f>Study!CK173</f>
        <v>نسبة مئوية</v>
      </c>
      <c r="G174" s="731"/>
      <c r="H174" s="731"/>
      <c r="I174" s="731"/>
      <c r="J174" s="731"/>
      <c r="K174" s="731"/>
      <c r="L174" s="731"/>
      <c r="M174" s="731"/>
      <c r="N174" s="731"/>
      <c r="O174" s="731"/>
      <c r="P174" s="731"/>
      <c r="Q174" s="731"/>
      <c r="R174" s="731"/>
      <c r="S174" s="731"/>
      <c r="T174" s="731"/>
      <c r="U174" s="731"/>
      <c r="V174" s="731"/>
      <c r="W174" s="731"/>
      <c r="X174" s="731"/>
      <c r="Y174" s="731"/>
      <c r="Z174" s="731"/>
    </row>
    <row r="175" spans="1:26" x14ac:dyDescent="0.2">
      <c r="A175" s="735">
        <f>Study!CF174</f>
        <v>153</v>
      </c>
      <c r="B175" s="736" t="str">
        <f>Study!CG174</f>
        <v>المساحات الحركية - إجمالي المساحة البنائية</v>
      </c>
      <c r="C175" s="745">
        <f>Study!CH174</f>
        <v>0</v>
      </c>
      <c r="D175" s="736" t="str">
        <f>Study!CI174</f>
        <v>مساحات حركية وخدمية</v>
      </c>
      <c r="E175" s="738" t="str">
        <f>Study!CJ174</f>
        <v>D71</v>
      </c>
      <c r="F175" s="736" t="str">
        <f>Study!CK174</f>
        <v>م²</v>
      </c>
      <c r="G175" s="731"/>
      <c r="H175" s="731"/>
      <c r="I175" s="731"/>
      <c r="J175" s="731"/>
      <c r="K175" s="731"/>
      <c r="L175" s="731"/>
      <c r="M175" s="731"/>
      <c r="N175" s="731"/>
      <c r="O175" s="731"/>
      <c r="P175" s="731"/>
      <c r="Q175" s="731"/>
      <c r="R175" s="731"/>
      <c r="S175" s="731"/>
      <c r="T175" s="731"/>
      <c r="U175" s="731"/>
      <c r="V175" s="731"/>
      <c r="W175" s="731"/>
      <c r="X175" s="731"/>
      <c r="Y175" s="731"/>
      <c r="Z175" s="731"/>
    </row>
    <row r="176" spans="1:26" x14ac:dyDescent="0.2">
      <c r="A176" s="739">
        <f>Study!CF175</f>
        <v>154</v>
      </c>
      <c r="B176" s="740" t="str">
        <f>Study!CG175</f>
        <v>المساحات الحركية - تكلفة متر البناء</v>
      </c>
      <c r="C176" s="744">
        <f>Study!CH175</f>
        <v>0</v>
      </c>
      <c r="D176" s="740" t="str">
        <f>Study!CI175</f>
        <v>مساحات حركية وخدمية</v>
      </c>
      <c r="E176" s="742" t="str">
        <f>Study!CJ175</f>
        <v>I71</v>
      </c>
      <c r="F176" s="740" t="str">
        <f>Study!CK175</f>
        <v>ريال/م²</v>
      </c>
      <c r="G176" s="731"/>
      <c r="H176" s="731"/>
      <c r="I176" s="731"/>
      <c r="J176" s="731"/>
      <c r="K176" s="731"/>
      <c r="L176" s="731"/>
      <c r="M176" s="731"/>
      <c r="N176" s="731"/>
      <c r="O176" s="731"/>
      <c r="P176" s="731"/>
      <c r="Q176" s="731"/>
      <c r="R176" s="731"/>
      <c r="S176" s="731"/>
      <c r="T176" s="731"/>
      <c r="U176" s="731"/>
      <c r="V176" s="731"/>
      <c r="W176" s="731"/>
      <c r="X176" s="731"/>
      <c r="Y176" s="731"/>
      <c r="Z176" s="731"/>
    </row>
    <row r="177" spans="1:26" x14ac:dyDescent="0.2">
      <c r="A177" s="735">
        <f>Study!CF176</f>
        <v>155</v>
      </c>
      <c r="B177" s="736" t="str">
        <f>Study!CG176</f>
        <v>المساحات الحركية - إجمالي التكاليف</v>
      </c>
      <c r="C177" s="743">
        <f>Study!CH176</f>
        <v>0</v>
      </c>
      <c r="D177" s="736" t="str">
        <f>Study!CI176</f>
        <v>مساحات حركية وخدمية</v>
      </c>
      <c r="E177" s="738" t="str">
        <f>Study!CJ176</f>
        <v>J71</v>
      </c>
      <c r="F177" s="736" t="str">
        <f>Study!CK176</f>
        <v>ريال سعودي</v>
      </c>
      <c r="G177" s="731"/>
      <c r="H177" s="731"/>
      <c r="I177" s="731"/>
      <c r="J177" s="731"/>
      <c r="K177" s="731"/>
      <c r="L177" s="731"/>
      <c r="M177" s="731"/>
      <c r="N177" s="731"/>
      <c r="O177" s="731"/>
      <c r="P177" s="731"/>
      <c r="Q177" s="731"/>
      <c r="R177" s="731"/>
      <c r="S177" s="731"/>
      <c r="T177" s="731"/>
      <c r="U177" s="731"/>
      <c r="V177" s="731"/>
      <c r="W177" s="731"/>
      <c r="X177" s="731"/>
      <c r="Y177" s="731"/>
      <c r="Z177" s="731"/>
    </row>
    <row r="178" spans="1:26" ht="15" x14ac:dyDescent="0.2">
      <c r="A178" s="734" t="str">
        <f>Study!CF177</f>
        <v>▌ مساحات إضافية</v>
      </c>
      <c r="B178" s="734">
        <f>Study!CG177</f>
        <v>0</v>
      </c>
      <c r="C178" s="734">
        <f>Study!CH177</f>
        <v>0</v>
      </c>
      <c r="D178" s="734">
        <f>Study!CI177</f>
        <v>0</v>
      </c>
      <c r="E178" s="734">
        <f>Study!CJ177</f>
        <v>0</v>
      </c>
      <c r="F178" s="734">
        <f>Study!CK177</f>
        <v>0</v>
      </c>
      <c r="G178" s="731"/>
      <c r="H178" s="731"/>
      <c r="I178" s="731"/>
      <c r="J178" s="731"/>
      <c r="K178" s="731"/>
      <c r="L178" s="731"/>
      <c r="M178" s="731"/>
      <c r="N178" s="731"/>
      <c r="O178" s="731"/>
      <c r="P178" s="731"/>
      <c r="Q178" s="731"/>
      <c r="R178" s="731"/>
      <c r="S178" s="731"/>
      <c r="T178" s="731"/>
      <c r="U178" s="731"/>
      <c r="V178" s="731"/>
      <c r="W178" s="731"/>
      <c r="X178" s="731"/>
      <c r="Y178" s="731"/>
      <c r="Z178" s="731"/>
    </row>
    <row r="179" spans="1:26" x14ac:dyDescent="0.2">
      <c r="A179" s="739">
        <f>Study!CF178</f>
        <v>156</v>
      </c>
      <c r="B179" s="740" t="str">
        <f>Study!CG178</f>
        <v>لاند سكيب - النسبة من الأرض</v>
      </c>
      <c r="C179" s="748">
        <f>Study!CH178</f>
        <v>1</v>
      </c>
      <c r="D179" s="740" t="str">
        <f>Study!CI178</f>
        <v>مساحات إضافية</v>
      </c>
      <c r="E179" s="742" t="str">
        <f>Study!CJ178</f>
        <v>C73</v>
      </c>
      <c r="F179" s="740" t="str">
        <f>Study!CK178</f>
        <v>معامل من الأرض</v>
      </c>
      <c r="G179" s="731"/>
      <c r="H179" s="731"/>
      <c r="I179" s="731"/>
      <c r="J179" s="731"/>
      <c r="K179" s="731"/>
      <c r="L179" s="731"/>
      <c r="M179" s="731"/>
      <c r="N179" s="731"/>
      <c r="O179" s="731"/>
      <c r="P179" s="731"/>
      <c r="Q179" s="731"/>
      <c r="R179" s="731"/>
      <c r="S179" s="731"/>
      <c r="T179" s="731"/>
      <c r="U179" s="731"/>
      <c r="V179" s="731"/>
      <c r="W179" s="731"/>
      <c r="X179" s="731"/>
      <c r="Y179" s="731"/>
      <c r="Z179" s="731"/>
    </row>
    <row r="180" spans="1:26" x14ac:dyDescent="0.2">
      <c r="A180" s="735">
        <f>Study!CF179</f>
        <v>157</v>
      </c>
      <c r="B180" s="736" t="str">
        <f>Study!CG179</f>
        <v>لاند سكيب - إجمالي المساحة</v>
      </c>
      <c r="C180" s="745">
        <f>Study!CH179</f>
        <v>8216</v>
      </c>
      <c r="D180" s="736" t="str">
        <f>Study!CI179</f>
        <v>مساحات إضافية</v>
      </c>
      <c r="E180" s="738" t="str">
        <f>Study!CJ179</f>
        <v>D73</v>
      </c>
      <c r="F180" s="736" t="str">
        <f>Study!CK179</f>
        <v>م²</v>
      </c>
      <c r="G180" s="731"/>
      <c r="H180" s="731"/>
      <c r="I180" s="731"/>
      <c r="J180" s="731"/>
      <c r="K180" s="731"/>
      <c r="L180" s="731"/>
      <c r="M180" s="731"/>
      <c r="N180" s="731"/>
      <c r="O180" s="731"/>
      <c r="P180" s="731"/>
      <c r="Q180" s="731"/>
      <c r="R180" s="731"/>
      <c r="S180" s="731"/>
      <c r="T180" s="731"/>
      <c r="U180" s="731"/>
      <c r="V180" s="731"/>
      <c r="W180" s="731"/>
      <c r="X180" s="731"/>
      <c r="Y180" s="731"/>
      <c r="Z180" s="731"/>
    </row>
    <row r="181" spans="1:26" x14ac:dyDescent="0.2">
      <c r="A181" s="739">
        <f>Study!CF180</f>
        <v>158</v>
      </c>
      <c r="B181" s="740" t="str">
        <f>Study!CG180</f>
        <v>لاند سكيب - تكلفة متر البناء</v>
      </c>
      <c r="C181" s="744">
        <f>Study!CH180</f>
        <v>750</v>
      </c>
      <c r="D181" s="740" t="str">
        <f>Study!CI180</f>
        <v>مساحات إضافية</v>
      </c>
      <c r="E181" s="742" t="str">
        <f>Study!CJ180</f>
        <v>I73</v>
      </c>
      <c r="F181" s="740" t="str">
        <f>Study!CK180</f>
        <v>ريال/م²</v>
      </c>
      <c r="G181" s="731"/>
      <c r="H181" s="731"/>
      <c r="I181" s="731"/>
      <c r="J181" s="731"/>
      <c r="K181" s="731"/>
      <c r="L181" s="731"/>
      <c r="M181" s="731"/>
      <c r="N181" s="731"/>
      <c r="O181" s="731"/>
      <c r="P181" s="731"/>
      <c r="Q181" s="731"/>
      <c r="R181" s="731"/>
      <c r="S181" s="731"/>
      <c r="T181" s="731"/>
      <c r="U181" s="731"/>
      <c r="V181" s="731"/>
      <c r="W181" s="731"/>
      <c r="X181" s="731"/>
      <c r="Y181" s="731"/>
      <c r="Z181" s="731"/>
    </row>
    <row r="182" spans="1:26" x14ac:dyDescent="0.2">
      <c r="A182" s="735">
        <f>Study!CF181</f>
        <v>159</v>
      </c>
      <c r="B182" s="736" t="str">
        <f>Study!CG181</f>
        <v>لاند سكيب - إجمالي التكاليف</v>
      </c>
      <c r="C182" s="743">
        <f>Study!CH181</f>
        <v>6162000</v>
      </c>
      <c r="D182" s="736" t="str">
        <f>Study!CI181</f>
        <v>مساحات إضافية</v>
      </c>
      <c r="E182" s="738" t="str">
        <f>Study!CJ181</f>
        <v>J73</v>
      </c>
      <c r="F182" s="736" t="str">
        <f>Study!CK181</f>
        <v>ريال سعودي</v>
      </c>
      <c r="G182" s="731"/>
      <c r="H182" s="731"/>
      <c r="I182" s="731"/>
      <c r="J182" s="731"/>
      <c r="K182" s="731"/>
      <c r="L182" s="731"/>
      <c r="M182" s="731"/>
      <c r="N182" s="731"/>
      <c r="O182" s="731"/>
      <c r="P182" s="731"/>
      <c r="Q182" s="731"/>
      <c r="R182" s="731"/>
      <c r="S182" s="731"/>
      <c r="T182" s="731"/>
      <c r="U182" s="731"/>
      <c r="V182" s="731"/>
      <c r="W182" s="731"/>
      <c r="X182" s="731"/>
      <c r="Y182" s="731"/>
      <c r="Z182" s="731"/>
    </row>
    <row r="183" spans="1:26" x14ac:dyDescent="0.2">
      <c r="A183" s="739">
        <f>Study!CF182</f>
        <v>160</v>
      </c>
      <c r="B183" s="740" t="str">
        <f>Study!CG182</f>
        <v>قبو - النسبة من الأرض</v>
      </c>
      <c r="C183" s="748">
        <f>Study!CH182</f>
        <v>0.9586173320350535</v>
      </c>
      <c r="D183" s="740" t="str">
        <f>Study!CI182</f>
        <v>مساحات إضافية</v>
      </c>
      <c r="E183" s="742" t="str">
        <f>Study!CJ182</f>
        <v>C74</v>
      </c>
      <c r="F183" s="740" t="str">
        <f>Study!CK182</f>
        <v>معامل من الأرض</v>
      </c>
      <c r="G183" s="731"/>
      <c r="H183" s="731"/>
      <c r="I183" s="731"/>
      <c r="J183" s="731"/>
      <c r="K183" s="731"/>
      <c r="L183" s="731"/>
      <c r="M183" s="731"/>
      <c r="N183" s="731"/>
      <c r="O183" s="731"/>
      <c r="P183" s="731"/>
      <c r="Q183" s="731"/>
      <c r="R183" s="731"/>
      <c r="S183" s="731"/>
      <c r="T183" s="731"/>
      <c r="U183" s="731"/>
      <c r="V183" s="731"/>
      <c r="W183" s="731"/>
      <c r="X183" s="731"/>
      <c r="Y183" s="731"/>
      <c r="Z183" s="731"/>
    </row>
    <row r="184" spans="1:26" x14ac:dyDescent="0.2">
      <c r="A184" s="735">
        <f>Study!CF183</f>
        <v>161</v>
      </c>
      <c r="B184" s="736" t="str">
        <f>Study!CG183</f>
        <v>قبو - إجمالي المساحة</v>
      </c>
      <c r="C184" s="745">
        <f>Study!CH183</f>
        <v>7876</v>
      </c>
      <c r="D184" s="736" t="str">
        <f>Study!CI183</f>
        <v>مساحات إضافية</v>
      </c>
      <c r="E184" s="738" t="str">
        <f>Study!CJ183</f>
        <v>D74</v>
      </c>
      <c r="F184" s="736" t="str">
        <f>Study!CK183</f>
        <v>م²</v>
      </c>
      <c r="G184" s="731"/>
      <c r="H184" s="731"/>
      <c r="I184" s="731"/>
      <c r="J184" s="731"/>
      <c r="K184" s="731"/>
      <c r="L184" s="731"/>
      <c r="M184" s="731"/>
      <c r="N184" s="731"/>
      <c r="O184" s="731"/>
      <c r="P184" s="731"/>
      <c r="Q184" s="731"/>
      <c r="R184" s="731"/>
      <c r="S184" s="731"/>
      <c r="T184" s="731"/>
      <c r="U184" s="731"/>
      <c r="V184" s="731"/>
      <c r="W184" s="731"/>
      <c r="X184" s="731"/>
      <c r="Y184" s="731"/>
      <c r="Z184" s="731"/>
    </row>
    <row r="185" spans="1:26" x14ac:dyDescent="0.2">
      <c r="A185" s="739">
        <f>Study!CF184</f>
        <v>162</v>
      </c>
      <c r="B185" s="740" t="str">
        <f>Study!CG184</f>
        <v>قبو - تكلفة متر البناء</v>
      </c>
      <c r="C185" s="744">
        <f>Study!CH184</f>
        <v>1800</v>
      </c>
      <c r="D185" s="740" t="str">
        <f>Study!CI184</f>
        <v>مساحات إضافية</v>
      </c>
      <c r="E185" s="742" t="str">
        <f>Study!CJ184</f>
        <v>I74</v>
      </c>
      <c r="F185" s="740" t="str">
        <f>Study!CK184</f>
        <v>ريال/م²</v>
      </c>
      <c r="G185" s="731"/>
      <c r="H185" s="731"/>
      <c r="I185" s="731"/>
      <c r="J185" s="731"/>
      <c r="K185" s="731"/>
      <c r="L185" s="731"/>
      <c r="M185" s="731"/>
      <c r="N185" s="731"/>
      <c r="O185" s="731"/>
      <c r="P185" s="731"/>
      <c r="Q185" s="731"/>
      <c r="R185" s="731"/>
      <c r="S185" s="731"/>
      <c r="T185" s="731"/>
      <c r="U185" s="731"/>
      <c r="V185" s="731"/>
      <c r="W185" s="731"/>
      <c r="X185" s="731"/>
      <c r="Y185" s="731"/>
      <c r="Z185" s="731"/>
    </row>
    <row r="186" spans="1:26" x14ac:dyDescent="0.2">
      <c r="A186" s="735">
        <f>Study!CF185</f>
        <v>163</v>
      </c>
      <c r="B186" s="736" t="str">
        <f>Study!CG185</f>
        <v>قبو - إجمالي التكاليف</v>
      </c>
      <c r="C186" s="743">
        <f>Study!CH185</f>
        <v>14176800</v>
      </c>
      <c r="D186" s="736" t="str">
        <f>Study!CI185</f>
        <v>مساحات إضافية</v>
      </c>
      <c r="E186" s="738" t="str">
        <f>Study!CJ185</f>
        <v>J74</v>
      </c>
      <c r="F186" s="736" t="str">
        <f>Study!CK185</f>
        <v>ريال سعودي</v>
      </c>
      <c r="G186" s="731"/>
      <c r="H186" s="731"/>
      <c r="I186" s="731"/>
      <c r="J186" s="731"/>
      <c r="K186" s="731"/>
      <c r="L186" s="731"/>
      <c r="M186" s="731"/>
      <c r="N186" s="731"/>
      <c r="O186" s="731"/>
      <c r="P186" s="731"/>
      <c r="Q186" s="731"/>
      <c r="R186" s="731"/>
      <c r="S186" s="731"/>
      <c r="T186" s="731"/>
      <c r="U186" s="731"/>
      <c r="V186" s="731"/>
      <c r="W186" s="731"/>
      <c r="X186" s="731"/>
      <c r="Y186" s="731"/>
      <c r="Z186" s="731"/>
    </row>
    <row r="187" spans="1:26" x14ac:dyDescent="0.2">
      <c r="A187" s="739">
        <f>Study!CF186</f>
        <v>164</v>
      </c>
      <c r="B187" s="740" t="str">
        <f>Study!CG186</f>
        <v>قبو - عدد المواقف</v>
      </c>
      <c r="C187" s="751">
        <f>Study!CH186</f>
        <v>175.02222222222221</v>
      </c>
      <c r="D187" s="740" t="str">
        <f>Study!CI186</f>
        <v>مساحات إضافية</v>
      </c>
      <c r="E187" s="742" t="str">
        <f>Study!CJ186</f>
        <v>K74</v>
      </c>
      <c r="F187" s="740" t="str">
        <f>Study!CK186</f>
        <v>موقف</v>
      </c>
      <c r="G187" s="731"/>
      <c r="H187" s="731"/>
      <c r="I187" s="731"/>
      <c r="J187" s="731"/>
      <c r="K187" s="731"/>
      <c r="L187" s="731"/>
      <c r="M187" s="731"/>
      <c r="N187" s="731"/>
      <c r="O187" s="731"/>
      <c r="P187" s="731"/>
      <c r="Q187" s="731"/>
      <c r="R187" s="731"/>
      <c r="S187" s="731"/>
      <c r="T187" s="731"/>
      <c r="U187" s="731"/>
      <c r="V187" s="731"/>
      <c r="W187" s="731"/>
      <c r="X187" s="731"/>
      <c r="Y187" s="731"/>
      <c r="Z187" s="731"/>
    </row>
    <row r="188" spans="1:26" x14ac:dyDescent="0.2">
      <c r="A188" s="735">
        <f>Study!CF187</f>
        <v>165</v>
      </c>
      <c r="B188" s="736" t="str">
        <f>Study!CG187</f>
        <v>بوديوم - النسبة من الأرض</v>
      </c>
      <c r="C188" s="752">
        <f>Study!CH187</f>
        <v>0</v>
      </c>
      <c r="D188" s="736" t="str">
        <f>Study!CI187</f>
        <v>مساحات إضافية</v>
      </c>
      <c r="E188" s="738" t="str">
        <f>Study!CJ187</f>
        <v>C75</v>
      </c>
      <c r="F188" s="736" t="str">
        <f>Study!CK187</f>
        <v>معامل من الأرض</v>
      </c>
      <c r="G188" s="731"/>
      <c r="H188" s="731"/>
      <c r="I188" s="731"/>
      <c r="J188" s="731"/>
      <c r="K188" s="731"/>
      <c r="L188" s="731"/>
      <c r="M188" s="731"/>
      <c r="N188" s="731"/>
      <c r="O188" s="731"/>
      <c r="P188" s="731"/>
      <c r="Q188" s="731"/>
      <c r="R188" s="731"/>
      <c r="S188" s="731"/>
      <c r="T188" s="731"/>
      <c r="U188" s="731"/>
      <c r="V188" s="731"/>
      <c r="W188" s="731"/>
      <c r="X188" s="731"/>
      <c r="Y188" s="731"/>
      <c r="Z188" s="731"/>
    </row>
    <row r="189" spans="1:26" x14ac:dyDescent="0.2">
      <c r="A189" s="739">
        <f>Study!CF188</f>
        <v>166</v>
      </c>
      <c r="B189" s="740" t="str">
        <f>Study!CG188</f>
        <v>بوديوم - إجمالي المساحة</v>
      </c>
      <c r="C189" s="749">
        <f>Study!CH188</f>
        <v>0</v>
      </c>
      <c r="D189" s="740" t="str">
        <f>Study!CI188</f>
        <v>مساحات إضافية</v>
      </c>
      <c r="E189" s="742" t="str">
        <f>Study!CJ188</f>
        <v>D75</v>
      </c>
      <c r="F189" s="740" t="str">
        <f>Study!CK188</f>
        <v>م²</v>
      </c>
      <c r="G189" s="731"/>
      <c r="H189" s="731"/>
      <c r="I189" s="731"/>
      <c r="J189" s="731"/>
      <c r="K189" s="731"/>
      <c r="L189" s="731"/>
      <c r="M189" s="731"/>
      <c r="N189" s="731"/>
      <c r="O189" s="731"/>
      <c r="P189" s="731"/>
      <c r="Q189" s="731"/>
      <c r="R189" s="731"/>
      <c r="S189" s="731"/>
      <c r="T189" s="731"/>
      <c r="U189" s="731"/>
      <c r="V189" s="731"/>
      <c r="W189" s="731"/>
      <c r="X189" s="731"/>
      <c r="Y189" s="731"/>
      <c r="Z189" s="731"/>
    </row>
    <row r="190" spans="1:26" x14ac:dyDescent="0.2">
      <c r="A190" s="735">
        <f>Study!CF189</f>
        <v>167</v>
      </c>
      <c r="B190" s="736" t="str">
        <f>Study!CG189</f>
        <v>بوديوم - تكلفة متر البناء</v>
      </c>
      <c r="C190" s="743">
        <f>Study!CH189</f>
        <v>0</v>
      </c>
      <c r="D190" s="736" t="str">
        <f>Study!CI189</f>
        <v>مساحات إضافية</v>
      </c>
      <c r="E190" s="738" t="str">
        <f>Study!CJ189</f>
        <v>I75</v>
      </c>
      <c r="F190" s="736" t="str">
        <f>Study!CK189</f>
        <v>ريال/م²</v>
      </c>
      <c r="G190" s="731"/>
      <c r="H190" s="731"/>
      <c r="I190" s="731"/>
      <c r="J190" s="731"/>
      <c r="K190" s="731"/>
      <c r="L190" s="731"/>
      <c r="M190" s="731"/>
      <c r="N190" s="731"/>
      <c r="O190" s="731"/>
      <c r="P190" s="731"/>
      <c r="Q190" s="731"/>
      <c r="R190" s="731"/>
      <c r="S190" s="731"/>
      <c r="T190" s="731"/>
      <c r="U190" s="731"/>
      <c r="V190" s="731"/>
      <c r="W190" s="731"/>
      <c r="X190" s="731"/>
      <c r="Y190" s="731"/>
      <c r="Z190" s="731"/>
    </row>
    <row r="191" spans="1:26" x14ac:dyDescent="0.2">
      <c r="A191" s="739">
        <f>Study!CF190</f>
        <v>168</v>
      </c>
      <c r="B191" s="740" t="str">
        <f>Study!CG190</f>
        <v>بوديوم - إجمالي التكاليف</v>
      </c>
      <c r="C191" s="744">
        <f>Study!CH190</f>
        <v>0</v>
      </c>
      <c r="D191" s="740" t="str">
        <f>Study!CI190</f>
        <v>مساحات إضافية</v>
      </c>
      <c r="E191" s="742" t="str">
        <f>Study!CJ190</f>
        <v>J75</v>
      </c>
      <c r="F191" s="740" t="str">
        <f>Study!CK190</f>
        <v>ريال سعودي</v>
      </c>
      <c r="G191" s="731"/>
      <c r="H191" s="731"/>
      <c r="I191" s="731"/>
      <c r="J191" s="731"/>
      <c r="K191" s="731"/>
      <c r="L191" s="731"/>
      <c r="M191" s="731"/>
      <c r="N191" s="731"/>
      <c r="O191" s="731"/>
      <c r="P191" s="731"/>
      <c r="Q191" s="731"/>
      <c r="R191" s="731"/>
      <c r="S191" s="731"/>
      <c r="T191" s="731"/>
      <c r="U191" s="731"/>
      <c r="V191" s="731"/>
      <c r="W191" s="731"/>
      <c r="X191" s="731"/>
      <c r="Y191" s="731"/>
      <c r="Z191" s="731"/>
    </row>
    <row r="192" spans="1:26" x14ac:dyDescent="0.2">
      <c r="A192" s="735">
        <f>Study!CF191</f>
        <v>169</v>
      </c>
      <c r="B192" s="736" t="str">
        <f>Study!CG191</f>
        <v>بوديوم - عدد المواقف</v>
      </c>
      <c r="C192" s="750">
        <f>Study!CH191</f>
        <v>0</v>
      </c>
      <c r="D192" s="736" t="str">
        <f>Study!CI191</f>
        <v>مساحات إضافية</v>
      </c>
      <c r="E192" s="738" t="str">
        <f>Study!CJ191</f>
        <v>K75</v>
      </c>
      <c r="F192" s="736" t="str">
        <f>Study!CK191</f>
        <v>موقف</v>
      </c>
      <c r="G192" s="731"/>
      <c r="H192" s="731"/>
      <c r="I192" s="731"/>
      <c r="J192" s="731"/>
      <c r="K192" s="731"/>
      <c r="L192" s="731"/>
      <c r="M192" s="731"/>
      <c r="N192" s="731"/>
      <c r="O192" s="731"/>
      <c r="P192" s="731"/>
      <c r="Q192" s="731"/>
      <c r="R192" s="731"/>
      <c r="S192" s="731"/>
      <c r="T192" s="731"/>
      <c r="U192" s="731"/>
      <c r="V192" s="731"/>
      <c r="W192" s="731"/>
      <c r="X192" s="731"/>
      <c r="Y192" s="731"/>
      <c r="Z192" s="731"/>
    </row>
    <row r="193" spans="1:26" ht="15" x14ac:dyDescent="0.2">
      <c r="A193" s="734" t="str">
        <f>Study!CF192</f>
        <v>▌ إجمالي البناء</v>
      </c>
      <c r="B193" s="734">
        <f>Study!CG192</f>
        <v>0</v>
      </c>
      <c r="C193" s="734">
        <f>Study!CH192</f>
        <v>0</v>
      </c>
      <c r="D193" s="734">
        <f>Study!CI192</f>
        <v>0</v>
      </c>
      <c r="E193" s="734">
        <f>Study!CJ192</f>
        <v>0</v>
      </c>
      <c r="F193" s="734">
        <f>Study!CK192</f>
        <v>0</v>
      </c>
      <c r="G193" s="731"/>
      <c r="H193" s="731"/>
      <c r="I193" s="731"/>
      <c r="J193" s="731"/>
      <c r="K193" s="731"/>
      <c r="L193" s="731"/>
      <c r="M193" s="731"/>
      <c r="N193" s="731"/>
      <c r="O193" s="731"/>
      <c r="P193" s="731"/>
      <c r="Q193" s="731"/>
      <c r="R193" s="731"/>
      <c r="S193" s="731"/>
      <c r="T193" s="731"/>
      <c r="U193" s="731"/>
      <c r="V193" s="731"/>
      <c r="W193" s="731"/>
      <c r="X193" s="731"/>
      <c r="Y193" s="731"/>
      <c r="Z193" s="731"/>
    </row>
    <row r="194" spans="1:26" x14ac:dyDescent="0.2">
      <c r="A194" s="739">
        <f>Study!CF193</f>
        <v>170</v>
      </c>
      <c r="B194" s="740" t="str">
        <f>Study!CG193</f>
        <v>إجمالي مكونات البناء - GBA</v>
      </c>
      <c r="C194" s="749">
        <f>Study!CH193</f>
        <v>31799.64</v>
      </c>
      <c r="D194" s="740" t="str">
        <f>Study!CI193</f>
        <v>إجمالي البناء</v>
      </c>
      <c r="E194" s="742" t="str">
        <f>Study!CJ193</f>
        <v>D76</v>
      </c>
      <c r="F194" s="740" t="str">
        <f>Study!CK193</f>
        <v>م²</v>
      </c>
      <c r="G194" s="731"/>
      <c r="H194" s="731"/>
      <c r="I194" s="731"/>
      <c r="J194" s="731"/>
      <c r="K194" s="731"/>
      <c r="L194" s="731"/>
      <c r="M194" s="731"/>
      <c r="N194" s="731"/>
      <c r="O194" s="731"/>
      <c r="P194" s="731"/>
      <c r="Q194" s="731"/>
      <c r="R194" s="731"/>
      <c r="S194" s="731"/>
      <c r="T194" s="731"/>
      <c r="U194" s="731"/>
      <c r="V194" s="731"/>
      <c r="W194" s="731"/>
      <c r="X194" s="731"/>
      <c r="Y194" s="731"/>
      <c r="Z194" s="731"/>
    </row>
    <row r="195" spans="1:26" x14ac:dyDescent="0.2">
      <c r="A195" s="735">
        <f>Study!CF194</f>
        <v>171</v>
      </c>
      <c r="B195" s="736" t="str">
        <f>Study!CG194</f>
        <v>إجمالي مكونات البناء - NSA</v>
      </c>
      <c r="C195" s="745">
        <f>Study!CH194</f>
        <v>9920.7939999999981</v>
      </c>
      <c r="D195" s="736" t="str">
        <f>Study!CI194</f>
        <v>إجمالي البناء</v>
      </c>
      <c r="E195" s="738" t="str">
        <f>Study!CJ194</f>
        <v>F76</v>
      </c>
      <c r="F195" s="736" t="str">
        <f>Study!CK194</f>
        <v>م²</v>
      </c>
      <c r="G195" s="731"/>
      <c r="H195" s="731"/>
      <c r="I195" s="731"/>
      <c r="J195" s="731"/>
      <c r="K195" s="731"/>
      <c r="L195" s="731"/>
      <c r="M195" s="731"/>
      <c r="N195" s="731"/>
      <c r="O195" s="731"/>
      <c r="P195" s="731"/>
      <c r="Q195" s="731"/>
      <c r="R195" s="731"/>
      <c r="S195" s="731"/>
      <c r="T195" s="731"/>
      <c r="U195" s="731"/>
      <c r="V195" s="731"/>
      <c r="W195" s="731"/>
      <c r="X195" s="731"/>
      <c r="Y195" s="731"/>
      <c r="Z195" s="731"/>
    </row>
    <row r="196" spans="1:26" x14ac:dyDescent="0.2">
      <c r="A196" s="739">
        <f>Study!CF195</f>
        <v>172</v>
      </c>
      <c r="B196" s="740" t="str">
        <f>Study!CG195</f>
        <v>متوسط مساحة الوحدة</v>
      </c>
      <c r="C196" s="749">
        <f>Study!CH195</f>
        <v>123</v>
      </c>
      <c r="D196" s="740" t="str">
        <f>Study!CI195</f>
        <v>إجمالي البناء</v>
      </c>
      <c r="E196" s="742" t="str">
        <f>Study!CJ195</f>
        <v>G76</v>
      </c>
      <c r="F196" s="740" t="str">
        <f>Study!CK195</f>
        <v>م²</v>
      </c>
      <c r="G196" s="731"/>
      <c r="H196" s="731"/>
      <c r="I196" s="731"/>
      <c r="J196" s="731"/>
      <c r="K196" s="731"/>
      <c r="L196" s="731"/>
      <c r="M196" s="731"/>
      <c r="N196" s="731"/>
      <c r="O196" s="731"/>
      <c r="P196" s="731"/>
      <c r="Q196" s="731"/>
      <c r="R196" s="731"/>
      <c r="S196" s="731"/>
      <c r="T196" s="731"/>
      <c r="U196" s="731"/>
      <c r="V196" s="731"/>
      <c r="W196" s="731"/>
      <c r="X196" s="731"/>
      <c r="Y196" s="731"/>
      <c r="Z196" s="731"/>
    </row>
    <row r="197" spans="1:26" x14ac:dyDescent="0.2">
      <c r="A197" s="735">
        <f>Study!CF196</f>
        <v>173</v>
      </c>
      <c r="B197" s="736" t="str">
        <f>Study!CG196</f>
        <v>إجمالي عدد الوحدات</v>
      </c>
      <c r="C197" s="750">
        <f>Study!CH196</f>
        <v>80.656861788617874</v>
      </c>
      <c r="D197" s="736" t="str">
        <f>Study!CI196</f>
        <v>إجمالي البناء</v>
      </c>
      <c r="E197" s="738" t="str">
        <f>Study!CJ196</f>
        <v>H76</v>
      </c>
      <c r="F197" s="736" t="str">
        <f>Study!CK196</f>
        <v>وحدة</v>
      </c>
      <c r="G197" s="731"/>
      <c r="H197" s="731"/>
      <c r="I197" s="731"/>
      <c r="J197" s="731"/>
      <c r="K197" s="731"/>
      <c r="L197" s="731"/>
      <c r="M197" s="731"/>
      <c r="N197" s="731"/>
      <c r="O197" s="731"/>
      <c r="P197" s="731"/>
      <c r="Q197" s="731"/>
      <c r="R197" s="731"/>
      <c r="S197" s="731"/>
      <c r="T197" s="731"/>
      <c r="U197" s="731"/>
      <c r="V197" s="731"/>
      <c r="W197" s="731"/>
      <c r="X197" s="731"/>
      <c r="Y197" s="731"/>
      <c r="Z197" s="731"/>
    </row>
    <row r="198" spans="1:26" x14ac:dyDescent="0.2">
      <c r="A198" s="739">
        <f>Study!CF197</f>
        <v>174</v>
      </c>
      <c r="B198" s="740" t="str">
        <f>Study!CG197</f>
        <v>متوسط تكلفة متر البناء</v>
      </c>
      <c r="C198" s="744">
        <f>Study!CH197</f>
        <v>2461.2105042698595</v>
      </c>
      <c r="D198" s="740" t="str">
        <f>Study!CI197</f>
        <v>إجمالي البناء</v>
      </c>
      <c r="E198" s="742" t="str">
        <f>Study!CJ197</f>
        <v>I76</v>
      </c>
      <c r="F198" s="740" t="str">
        <f>Study!CK197</f>
        <v>ريال/م²</v>
      </c>
      <c r="G198" s="731"/>
      <c r="H198" s="731"/>
      <c r="I198" s="731"/>
      <c r="J198" s="731"/>
      <c r="K198" s="731"/>
      <c r="L198" s="731"/>
      <c r="M198" s="731"/>
      <c r="N198" s="731"/>
      <c r="O198" s="731"/>
      <c r="P198" s="731"/>
      <c r="Q198" s="731"/>
      <c r="R198" s="731"/>
      <c r="S198" s="731"/>
      <c r="T198" s="731"/>
      <c r="U198" s="731"/>
      <c r="V198" s="731"/>
      <c r="W198" s="731"/>
      <c r="X198" s="731"/>
      <c r="Y198" s="731"/>
      <c r="Z198" s="731"/>
    </row>
    <row r="199" spans="1:26" x14ac:dyDescent="0.2">
      <c r="A199" s="735">
        <f>Study!CF198</f>
        <v>175</v>
      </c>
      <c r="B199" s="736" t="str">
        <f>Study!CG198</f>
        <v>إجمالي تكاليف البناء</v>
      </c>
      <c r="C199" s="743">
        <f>Study!CH198</f>
        <v>78265608</v>
      </c>
      <c r="D199" s="736" t="str">
        <f>Study!CI198</f>
        <v>إجمالي البناء</v>
      </c>
      <c r="E199" s="738" t="str">
        <f>Study!CJ198</f>
        <v>J76</v>
      </c>
      <c r="F199" s="736" t="str">
        <f>Study!CK198</f>
        <v>ريال سعودي</v>
      </c>
      <c r="G199" s="731"/>
      <c r="H199" s="731"/>
      <c r="I199" s="731"/>
      <c r="J199" s="731"/>
      <c r="K199" s="731"/>
      <c r="L199" s="731"/>
      <c r="M199" s="731"/>
      <c r="N199" s="731"/>
      <c r="O199" s="731"/>
      <c r="P199" s="731"/>
      <c r="Q199" s="731"/>
      <c r="R199" s="731"/>
      <c r="S199" s="731"/>
      <c r="T199" s="731"/>
      <c r="U199" s="731"/>
      <c r="V199" s="731"/>
      <c r="W199" s="731"/>
      <c r="X199" s="731"/>
      <c r="Y199" s="731"/>
      <c r="Z199" s="731"/>
    </row>
    <row r="200" spans="1:26" x14ac:dyDescent="0.2">
      <c r="A200" s="739">
        <f>Study!CF199</f>
        <v>176</v>
      </c>
      <c r="B200" s="740" t="str">
        <f>Study!CG199</f>
        <v>إجمالي المواقف المطلوبة</v>
      </c>
      <c r="C200" s="751">
        <f>Study!CH199</f>
        <v>62</v>
      </c>
      <c r="D200" s="740" t="str">
        <f>Study!CI199</f>
        <v>إجمالي البناء</v>
      </c>
      <c r="E200" s="742" t="str">
        <f>Study!CJ199</f>
        <v>L76</v>
      </c>
      <c r="F200" s="740" t="str">
        <f>Study!CK199</f>
        <v>موقف</v>
      </c>
      <c r="G200" s="731"/>
      <c r="H200" s="731"/>
      <c r="I200" s="731"/>
      <c r="J200" s="731"/>
      <c r="K200" s="731"/>
      <c r="L200" s="731"/>
      <c r="M200" s="731"/>
      <c r="N200" s="731"/>
      <c r="O200" s="731"/>
      <c r="P200" s="731"/>
      <c r="Q200" s="731"/>
      <c r="R200" s="731"/>
      <c r="S200" s="731"/>
      <c r="T200" s="731"/>
      <c r="U200" s="731"/>
      <c r="V200" s="731"/>
      <c r="W200" s="731"/>
      <c r="X200" s="731"/>
      <c r="Y200" s="731"/>
      <c r="Z200" s="731"/>
    </row>
    <row r="201" spans="1:26" x14ac:dyDescent="0.2">
      <c r="A201" s="735">
        <f>Study!CF200</f>
        <v>177</v>
      </c>
      <c r="B201" s="736" t="str">
        <f>Study!CG200</f>
        <v>إجمالي المواقف المتوفرة</v>
      </c>
      <c r="C201" s="750">
        <f>Study!CH200</f>
        <v>175.02222222222221</v>
      </c>
      <c r="D201" s="736" t="str">
        <f>Study!CI200</f>
        <v>إجمالي البناء</v>
      </c>
      <c r="E201" s="738" t="str">
        <f>Study!CJ200</f>
        <v>L77</v>
      </c>
      <c r="F201" s="736" t="str">
        <f>Study!CK200</f>
        <v>موقف</v>
      </c>
      <c r="G201" s="731"/>
      <c r="H201" s="731"/>
      <c r="I201" s="731"/>
      <c r="J201" s="731"/>
      <c r="K201" s="731"/>
      <c r="L201" s="731"/>
      <c r="M201" s="731"/>
      <c r="N201" s="731"/>
      <c r="O201" s="731"/>
      <c r="P201" s="731"/>
      <c r="Q201" s="731"/>
      <c r="R201" s="731"/>
      <c r="S201" s="731"/>
      <c r="T201" s="731"/>
      <c r="U201" s="731"/>
      <c r="V201" s="731"/>
      <c r="W201" s="731"/>
      <c r="X201" s="731"/>
      <c r="Y201" s="731"/>
      <c r="Z201" s="731"/>
    </row>
    <row r="202" spans="1:26" x14ac:dyDescent="0.2">
      <c r="A202" s="739">
        <f>Study!CF201</f>
        <v>178</v>
      </c>
      <c r="B202" s="740" t="str">
        <f>Study!CG201</f>
        <v>فارق المواقف (Parking Deficit)</v>
      </c>
      <c r="C202" s="751">
        <f>Study!CH201</f>
        <v>113.02222222222221</v>
      </c>
      <c r="D202" s="740" t="str">
        <f>Study!CI201</f>
        <v>إجمالي البناء</v>
      </c>
      <c r="E202" s="742" t="str">
        <f>Study!CJ201</f>
        <v>L78</v>
      </c>
      <c r="F202" s="740" t="str">
        <f>Study!CK201</f>
        <v>موقف</v>
      </c>
      <c r="G202" s="731"/>
      <c r="H202" s="731"/>
      <c r="I202" s="731"/>
      <c r="J202" s="731"/>
      <c r="K202" s="731"/>
      <c r="L202" s="731"/>
      <c r="M202" s="731"/>
      <c r="N202" s="731"/>
      <c r="O202" s="731"/>
      <c r="P202" s="731"/>
      <c r="Q202" s="731"/>
      <c r="R202" s="731"/>
      <c r="S202" s="731"/>
      <c r="T202" s="731"/>
      <c r="U202" s="731"/>
      <c r="V202" s="731"/>
      <c r="W202" s="731"/>
      <c r="X202" s="731"/>
      <c r="Y202" s="731"/>
      <c r="Z202" s="731"/>
    </row>
    <row r="203" spans="1:26" ht="15" x14ac:dyDescent="0.2">
      <c r="A203" s="734" t="str">
        <f>Study!CF202</f>
        <v>▌ التكاليف الأخرى</v>
      </c>
      <c r="B203" s="734">
        <f>Study!CG202</f>
        <v>0</v>
      </c>
      <c r="C203" s="734">
        <f>Study!CH202</f>
        <v>0</v>
      </c>
      <c r="D203" s="734">
        <f>Study!CI202</f>
        <v>0</v>
      </c>
      <c r="E203" s="734">
        <f>Study!CJ202</f>
        <v>0</v>
      </c>
      <c r="F203" s="734">
        <f>Study!CK202</f>
        <v>0</v>
      </c>
      <c r="G203" s="731"/>
      <c r="H203" s="731"/>
      <c r="I203" s="731"/>
      <c r="J203" s="731"/>
      <c r="K203" s="731"/>
      <c r="L203" s="731"/>
      <c r="M203" s="731"/>
      <c r="N203" s="731"/>
      <c r="O203" s="731"/>
      <c r="P203" s="731"/>
      <c r="Q203" s="731"/>
      <c r="R203" s="731"/>
      <c r="S203" s="731"/>
      <c r="T203" s="731"/>
      <c r="U203" s="731"/>
      <c r="V203" s="731"/>
      <c r="W203" s="731"/>
      <c r="X203" s="731"/>
      <c r="Y203" s="731"/>
      <c r="Z203" s="731"/>
    </row>
    <row r="204" spans="1:26" x14ac:dyDescent="0.2">
      <c r="A204" s="735">
        <f>Study!CF203</f>
        <v>179</v>
      </c>
      <c r="B204" s="736" t="str">
        <f>Study!CG203</f>
        <v>التسوير</v>
      </c>
      <c r="C204" s="743">
        <f>Study!CH203</f>
        <v>534040</v>
      </c>
      <c r="D204" s="736" t="str">
        <f>Study!CI203</f>
        <v>التكاليف الأخرى</v>
      </c>
      <c r="E204" s="738" t="str">
        <f>Study!CJ203</f>
        <v>C86</v>
      </c>
      <c r="F204" s="736" t="str">
        <f>Study!CK203</f>
        <v>ريال سعودي</v>
      </c>
      <c r="G204" s="731"/>
      <c r="H204" s="731"/>
      <c r="I204" s="731"/>
      <c r="J204" s="731"/>
      <c r="K204" s="731"/>
      <c r="L204" s="731"/>
      <c r="M204" s="731"/>
      <c r="N204" s="731"/>
      <c r="O204" s="731"/>
      <c r="P204" s="731"/>
      <c r="Q204" s="731"/>
      <c r="R204" s="731"/>
      <c r="S204" s="731"/>
      <c r="T204" s="731"/>
      <c r="U204" s="731"/>
      <c r="V204" s="731"/>
      <c r="W204" s="731"/>
      <c r="X204" s="731"/>
      <c r="Y204" s="731"/>
      <c r="Z204" s="731"/>
    </row>
    <row r="205" spans="1:26" x14ac:dyDescent="0.2">
      <c r="A205" s="739">
        <f>Study!CF204</f>
        <v>180</v>
      </c>
      <c r="B205" s="740" t="str">
        <f>Study!CG204</f>
        <v>الحفر والمسح والاختبار</v>
      </c>
      <c r="C205" s="744">
        <f>Study!CH204</f>
        <v>2835360</v>
      </c>
      <c r="D205" s="740" t="str">
        <f>Study!CI204</f>
        <v>التكاليف الأخرى</v>
      </c>
      <c r="E205" s="742" t="str">
        <f>Study!CJ204</f>
        <v>C87</v>
      </c>
      <c r="F205" s="740" t="str">
        <f>Study!CK204</f>
        <v>ريال سعودي</v>
      </c>
      <c r="G205" s="731"/>
      <c r="H205" s="731"/>
      <c r="I205" s="731"/>
      <c r="J205" s="731"/>
      <c r="K205" s="731"/>
      <c r="L205" s="731"/>
      <c r="M205" s="731"/>
      <c r="N205" s="731"/>
      <c r="O205" s="731"/>
      <c r="P205" s="731"/>
      <c r="Q205" s="731"/>
      <c r="R205" s="731"/>
      <c r="S205" s="731"/>
      <c r="T205" s="731"/>
      <c r="U205" s="731"/>
      <c r="V205" s="731"/>
      <c r="W205" s="731"/>
      <c r="X205" s="731"/>
      <c r="Y205" s="731"/>
      <c r="Z205" s="731"/>
    </row>
    <row r="206" spans="1:26" x14ac:dyDescent="0.2">
      <c r="A206" s="735">
        <f>Study!CF205</f>
        <v>181</v>
      </c>
      <c r="B206" s="736" t="str">
        <f>Study!CG205</f>
        <v>التأمين</v>
      </c>
      <c r="C206" s="743">
        <f>Study!CH205</f>
        <v>1330515.3360000001</v>
      </c>
      <c r="D206" s="736" t="str">
        <f>Study!CI205</f>
        <v>التكاليف الأخرى</v>
      </c>
      <c r="E206" s="738" t="str">
        <f>Study!CJ205</f>
        <v>C88</v>
      </c>
      <c r="F206" s="736" t="str">
        <f>Study!CK205</f>
        <v>ريال سعودي</v>
      </c>
      <c r="G206" s="731"/>
      <c r="H206" s="731"/>
      <c r="I206" s="731"/>
      <c r="J206" s="731"/>
      <c r="K206" s="731"/>
      <c r="L206" s="731"/>
      <c r="M206" s="731"/>
      <c r="N206" s="731"/>
      <c r="O206" s="731"/>
      <c r="P206" s="731"/>
      <c r="Q206" s="731"/>
      <c r="R206" s="731"/>
      <c r="S206" s="731"/>
      <c r="T206" s="731"/>
      <c r="U206" s="731"/>
      <c r="V206" s="731"/>
      <c r="W206" s="731"/>
      <c r="X206" s="731"/>
      <c r="Y206" s="731"/>
      <c r="Z206" s="731"/>
    </row>
    <row r="207" spans="1:26" x14ac:dyDescent="0.2">
      <c r="A207" s="739">
        <f>Study!CF206</f>
        <v>182</v>
      </c>
      <c r="B207" s="740" t="str">
        <f>Study!CG206</f>
        <v>الرخصة</v>
      </c>
      <c r="C207" s="744">
        <f>Study!CH206</f>
        <v>62830.559999999998</v>
      </c>
      <c r="D207" s="740" t="str">
        <f>Study!CI206</f>
        <v>التكاليف الأخرى</v>
      </c>
      <c r="E207" s="742" t="str">
        <f>Study!CJ206</f>
        <v>C89</v>
      </c>
      <c r="F207" s="740" t="str">
        <f>Study!CK206</f>
        <v>ريال سعودي</v>
      </c>
      <c r="G207" s="731"/>
      <c r="H207" s="731"/>
      <c r="I207" s="731"/>
      <c r="J207" s="731"/>
      <c r="K207" s="731"/>
      <c r="L207" s="731"/>
      <c r="M207" s="731"/>
      <c r="N207" s="731"/>
      <c r="O207" s="731"/>
      <c r="P207" s="731"/>
      <c r="Q207" s="731"/>
      <c r="R207" s="731"/>
      <c r="S207" s="731"/>
      <c r="T207" s="731"/>
      <c r="U207" s="731"/>
      <c r="V207" s="731"/>
      <c r="W207" s="731"/>
      <c r="X207" s="731"/>
      <c r="Y207" s="731"/>
      <c r="Z207" s="731"/>
    </row>
    <row r="208" spans="1:26" x14ac:dyDescent="0.2">
      <c r="A208" s="735">
        <f>Study!CF207</f>
        <v>183</v>
      </c>
      <c r="B208" s="736" t="str">
        <f>Study!CG207</f>
        <v>التصميم</v>
      </c>
      <c r="C208" s="743">
        <f>Study!CH207</f>
        <v>3913280.4000000004</v>
      </c>
      <c r="D208" s="736" t="str">
        <f>Study!CI207</f>
        <v>التكاليف الأخرى</v>
      </c>
      <c r="E208" s="738" t="str">
        <f>Study!CJ207</f>
        <v>C90</v>
      </c>
      <c r="F208" s="736" t="str">
        <f>Study!CK207</f>
        <v>ريال سعودي</v>
      </c>
      <c r="G208" s="731"/>
      <c r="H208" s="731"/>
      <c r="I208" s="731"/>
      <c r="J208" s="731"/>
      <c r="K208" s="731"/>
      <c r="L208" s="731"/>
      <c r="M208" s="731"/>
      <c r="N208" s="731"/>
      <c r="O208" s="731"/>
      <c r="P208" s="731"/>
      <c r="Q208" s="731"/>
      <c r="R208" s="731"/>
      <c r="S208" s="731"/>
      <c r="T208" s="731"/>
      <c r="U208" s="731"/>
      <c r="V208" s="731"/>
      <c r="W208" s="731"/>
      <c r="X208" s="731"/>
      <c r="Y208" s="731"/>
      <c r="Z208" s="731"/>
    </row>
    <row r="209" spans="1:26" x14ac:dyDescent="0.2">
      <c r="A209" s="739">
        <f>Study!CF208</f>
        <v>184</v>
      </c>
      <c r="B209" s="740" t="str">
        <f>Study!CG208</f>
        <v>أثاث الوحدات الفندقية</v>
      </c>
      <c r="C209" s="744">
        <f>Study!CH208</f>
        <v>6149999.9999999991</v>
      </c>
      <c r="D209" s="740" t="str">
        <f>Study!CI208</f>
        <v>التكاليف الأخرى</v>
      </c>
      <c r="E209" s="742" t="str">
        <f>Study!CJ208</f>
        <v>C91</v>
      </c>
      <c r="F209" s="740" t="str">
        <f>Study!CK208</f>
        <v>ريال سعودي</v>
      </c>
      <c r="G209" s="731"/>
      <c r="H209" s="731"/>
      <c r="I209" s="731"/>
      <c r="J209" s="731"/>
      <c r="K209" s="731"/>
      <c r="L209" s="731"/>
      <c r="M209" s="731"/>
      <c r="N209" s="731"/>
      <c r="O209" s="731"/>
      <c r="P209" s="731"/>
      <c r="Q209" s="731"/>
      <c r="R209" s="731"/>
      <c r="S209" s="731"/>
      <c r="T209" s="731"/>
      <c r="U209" s="731"/>
      <c r="V209" s="731"/>
      <c r="W209" s="731"/>
      <c r="X209" s="731"/>
      <c r="Y209" s="731"/>
      <c r="Z209" s="731"/>
    </row>
    <row r="210" spans="1:26" x14ac:dyDescent="0.2">
      <c r="A210" s="735">
        <f>Study!CF209</f>
        <v>185</v>
      </c>
      <c r="B210" s="736" t="str">
        <f>Study!CG209</f>
        <v>أثاث الوحدات</v>
      </c>
      <c r="C210" s="743">
        <f>Study!CH209</f>
        <v>0</v>
      </c>
      <c r="D210" s="736" t="str">
        <f>Study!CI209</f>
        <v>التكاليف الأخرى</v>
      </c>
      <c r="E210" s="738" t="str">
        <f>Study!CJ209</f>
        <v>C92</v>
      </c>
      <c r="F210" s="736" t="str">
        <f>Study!CK209</f>
        <v>ريال سعودي</v>
      </c>
      <c r="G210" s="731"/>
      <c r="H210" s="731"/>
      <c r="I210" s="731"/>
      <c r="J210" s="731"/>
      <c r="K210" s="731"/>
      <c r="L210" s="731"/>
      <c r="M210" s="731"/>
      <c r="N210" s="731"/>
      <c r="O210" s="731"/>
      <c r="P210" s="731"/>
      <c r="Q210" s="731"/>
      <c r="R210" s="731"/>
      <c r="S210" s="731"/>
      <c r="T210" s="731"/>
      <c r="U210" s="731"/>
      <c r="V210" s="731"/>
      <c r="W210" s="731"/>
      <c r="X210" s="731"/>
      <c r="Y210" s="731"/>
      <c r="Z210" s="731"/>
    </row>
    <row r="211" spans="1:26" x14ac:dyDescent="0.2">
      <c r="A211" s="739">
        <f>Study!CF210</f>
        <v>186</v>
      </c>
      <c r="B211" s="740" t="str">
        <f>Study!CG210</f>
        <v>رسوم الكهرباء</v>
      </c>
      <c r="C211" s="744">
        <f>Study!CH210</f>
        <v>912500</v>
      </c>
      <c r="D211" s="740" t="str">
        <f>Study!CI210</f>
        <v>التكاليف الأخرى</v>
      </c>
      <c r="E211" s="742" t="str">
        <f>Study!CJ210</f>
        <v>C93</v>
      </c>
      <c r="F211" s="740" t="str">
        <f>Study!CK210</f>
        <v>ريال سعودي</v>
      </c>
      <c r="G211" s="731"/>
      <c r="H211" s="731"/>
      <c r="I211" s="731"/>
      <c r="J211" s="731"/>
      <c r="K211" s="731"/>
      <c r="L211" s="731"/>
      <c r="M211" s="731"/>
      <c r="N211" s="731"/>
      <c r="O211" s="731"/>
      <c r="P211" s="731"/>
      <c r="Q211" s="731"/>
      <c r="R211" s="731"/>
      <c r="S211" s="731"/>
      <c r="T211" s="731"/>
      <c r="U211" s="731"/>
      <c r="V211" s="731"/>
      <c r="W211" s="731"/>
      <c r="X211" s="731"/>
      <c r="Y211" s="731"/>
      <c r="Z211" s="731"/>
    </row>
    <row r="212" spans="1:26" x14ac:dyDescent="0.2">
      <c r="A212" s="735">
        <f>Study!CF211</f>
        <v>187</v>
      </c>
      <c r="B212" s="736" t="str">
        <f>Study!CG211</f>
        <v>رسوم الماء وصرف الصحي</v>
      </c>
      <c r="C212" s="743">
        <f>Study!CH211</f>
        <v>984000</v>
      </c>
      <c r="D212" s="736" t="str">
        <f>Study!CI211</f>
        <v>التكاليف الأخرى</v>
      </c>
      <c r="E212" s="738" t="str">
        <f>Study!CJ211</f>
        <v>C94</v>
      </c>
      <c r="F212" s="736" t="str">
        <f>Study!CK211</f>
        <v>ريال سعودي</v>
      </c>
      <c r="G212" s="731"/>
      <c r="H212" s="731"/>
      <c r="I212" s="731"/>
      <c r="J212" s="731"/>
      <c r="K212" s="731"/>
      <c r="L212" s="731"/>
      <c r="M212" s="731"/>
      <c r="N212" s="731"/>
      <c r="O212" s="731"/>
      <c r="P212" s="731"/>
      <c r="Q212" s="731"/>
      <c r="R212" s="731"/>
      <c r="S212" s="731"/>
      <c r="T212" s="731"/>
      <c r="U212" s="731"/>
      <c r="V212" s="731"/>
      <c r="W212" s="731"/>
      <c r="X212" s="731"/>
      <c r="Y212" s="731"/>
      <c r="Z212" s="731"/>
    </row>
    <row r="213" spans="1:26" x14ac:dyDescent="0.2">
      <c r="A213" s="739">
        <f>Study!CF212</f>
        <v>188</v>
      </c>
      <c r="B213" s="740" t="str">
        <f>Study!CG212</f>
        <v>الفرز</v>
      </c>
      <c r="C213" s="744">
        <f>Study!CH212</f>
        <v>18000</v>
      </c>
      <c r="D213" s="740" t="str">
        <f>Study!CI212</f>
        <v>التكاليف الأخرى</v>
      </c>
      <c r="E213" s="742" t="str">
        <f>Study!CJ212</f>
        <v>C95</v>
      </c>
      <c r="F213" s="740" t="str">
        <f>Study!CK212</f>
        <v>ريال سعودي</v>
      </c>
      <c r="G213" s="731"/>
      <c r="H213" s="731"/>
      <c r="I213" s="731"/>
      <c r="J213" s="731"/>
      <c r="K213" s="731"/>
      <c r="L213" s="731"/>
      <c r="M213" s="731"/>
      <c r="N213" s="731"/>
      <c r="O213" s="731"/>
      <c r="P213" s="731"/>
      <c r="Q213" s="731"/>
      <c r="R213" s="731"/>
      <c r="S213" s="731"/>
      <c r="T213" s="731"/>
      <c r="U213" s="731"/>
      <c r="V213" s="731"/>
      <c r="W213" s="731"/>
      <c r="X213" s="731"/>
      <c r="Y213" s="731"/>
      <c r="Z213" s="731"/>
    </row>
    <row r="214" spans="1:26" x14ac:dyDescent="0.2">
      <c r="A214" s="735">
        <f>Study!CF213</f>
        <v>189</v>
      </c>
      <c r="B214" s="736" t="str">
        <f>Study!CG213</f>
        <v>الصيانة والتشغيل</v>
      </c>
      <c r="C214" s="743">
        <f>Study!CH213</f>
        <v>299000</v>
      </c>
      <c r="D214" s="736" t="str">
        <f>Study!CI213</f>
        <v>التكاليف الأخرى</v>
      </c>
      <c r="E214" s="738" t="str">
        <f>Study!CJ213</f>
        <v>C96</v>
      </c>
      <c r="F214" s="736" t="str">
        <f>Study!CK213</f>
        <v>ريال سعودي</v>
      </c>
      <c r="G214" s="731"/>
      <c r="H214" s="731"/>
      <c r="I214" s="731"/>
      <c r="J214" s="731"/>
      <c r="K214" s="731"/>
      <c r="L214" s="731"/>
      <c r="M214" s="731"/>
      <c r="N214" s="731"/>
      <c r="O214" s="731"/>
      <c r="P214" s="731"/>
      <c r="Q214" s="731"/>
      <c r="R214" s="731"/>
      <c r="S214" s="731"/>
      <c r="T214" s="731"/>
      <c r="U214" s="731"/>
      <c r="V214" s="731"/>
      <c r="W214" s="731"/>
      <c r="X214" s="731"/>
      <c r="Y214" s="731"/>
      <c r="Z214" s="731"/>
    </row>
    <row r="215" spans="1:26" x14ac:dyDescent="0.2">
      <c r="A215" s="739">
        <f>Study!CF214</f>
        <v>190</v>
      </c>
      <c r="B215" s="740" t="str">
        <f>Study!CG214</f>
        <v>الاحتياطي</v>
      </c>
      <c r="C215" s="744">
        <f>Study!CH214</f>
        <v>1173984.1199999999</v>
      </c>
      <c r="D215" s="740" t="str">
        <f>Study!CI214</f>
        <v>التكاليف الأخرى</v>
      </c>
      <c r="E215" s="742" t="str">
        <f>Study!CJ214</f>
        <v>C97</v>
      </c>
      <c r="F215" s="740" t="str">
        <f>Study!CK214</f>
        <v>ريال سعودي</v>
      </c>
      <c r="G215" s="731"/>
      <c r="H215" s="731"/>
      <c r="I215" s="731"/>
      <c r="J215" s="731"/>
      <c r="K215" s="731"/>
      <c r="L215" s="731"/>
      <c r="M215" s="731"/>
      <c r="N215" s="731"/>
      <c r="O215" s="731"/>
      <c r="P215" s="731"/>
      <c r="Q215" s="731"/>
      <c r="R215" s="731"/>
      <c r="S215" s="731"/>
      <c r="T215" s="731"/>
      <c r="U215" s="731"/>
      <c r="V215" s="731"/>
      <c r="W215" s="731"/>
      <c r="X215" s="731"/>
      <c r="Y215" s="731"/>
      <c r="Z215" s="731"/>
    </row>
    <row r="216" spans="1:26" x14ac:dyDescent="0.2">
      <c r="A216" s="735">
        <f>Study!CF215</f>
        <v>191</v>
      </c>
      <c r="B216" s="736" t="str">
        <f>Study!CG215</f>
        <v>تسويق المبيعات</v>
      </c>
      <c r="C216" s="743">
        <f>Study!CH215</f>
        <v>46954.910520000005</v>
      </c>
      <c r="D216" s="736" t="str">
        <f>Study!CI215</f>
        <v>التكاليف الأخرى</v>
      </c>
      <c r="E216" s="738" t="str">
        <f>Study!CJ215</f>
        <v>C98</v>
      </c>
      <c r="F216" s="736" t="str">
        <f>Study!CK215</f>
        <v>ريال سعودي</v>
      </c>
      <c r="G216" s="731"/>
      <c r="H216" s="731"/>
      <c r="I216" s="731"/>
      <c r="J216" s="731"/>
      <c r="K216" s="731"/>
      <c r="L216" s="731"/>
      <c r="M216" s="731"/>
      <c r="N216" s="731"/>
      <c r="O216" s="731"/>
      <c r="P216" s="731"/>
      <c r="Q216" s="731"/>
      <c r="R216" s="731"/>
      <c r="S216" s="731"/>
      <c r="T216" s="731"/>
      <c r="U216" s="731"/>
      <c r="V216" s="731"/>
      <c r="W216" s="731"/>
      <c r="X216" s="731"/>
      <c r="Y216" s="731"/>
      <c r="Z216" s="731"/>
    </row>
    <row r="217" spans="1:26" x14ac:dyDescent="0.2">
      <c r="A217" s="739">
        <f>Study!CF216</f>
        <v>192</v>
      </c>
      <c r="B217" s="740" t="str">
        <f>Study!CG216</f>
        <v>تسويق التأجير</v>
      </c>
      <c r="C217" s="744">
        <f>Study!CH216</f>
        <v>952952.44319999998</v>
      </c>
      <c r="D217" s="740" t="str">
        <f>Study!CI216</f>
        <v>التكاليف الأخرى</v>
      </c>
      <c r="E217" s="742" t="str">
        <f>Study!CJ216</f>
        <v>C99</v>
      </c>
      <c r="F217" s="740" t="str">
        <f>Study!CK216</f>
        <v>ريال سعودي</v>
      </c>
      <c r="G217" s="731"/>
      <c r="H217" s="731"/>
      <c r="I217" s="731"/>
      <c r="J217" s="731"/>
      <c r="K217" s="731"/>
      <c r="L217" s="731"/>
      <c r="M217" s="731"/>
      <c r="N217" s="731"/>
      <c r="O217" s="731"/>
      <c r="P217" s="731"/>
      <c r="Q217" s="731"/>
      <c r="R217" s="731"/>
      <c r="S217" s="731"/>
      <c r="T217" s="731"/>
      <c r="U217" s="731"/>
      <c r="V217" s="731"/>
      <c r="W217" s="731"/>
      <c r="X217" s="731"/>
      <c r="Y217" s="731"/>
      <c r="Z217" s="731"/>
    </row>
    <row r="218" spans="1:26" x14ac:dyDescent="0.2">
      <c r="A218" s="735">
        <f>Study!CF217</f>
        <v>193</v>
      </c>
      <c r="B218" s="736" t="str">
        <f>Study!CG217</f>
        <v>تسويق البيع على الخارطة</v>
      </c>
      <c r="C218" s="743">
        <f>Study!CH217</f>
        <v>0</v>
      </c>
      <c r="D218" s="736" t="str">
        <f>Study!CI217</f>
        <v>التكاليف الأخرى</v>
      </c>
      <c r="E218" s="738" t="str">
        <f>Study!CJ217</f>
        <v>C100</v>
      </c>
      <c r="F218" s="736" t="str">
        <f>Study!CK217</f>
        <v>ريال سعودي</v>
      </c>
      <c r="G218" s="731"/>
      <c r="H218" s="731"/>
      <c r="I218" s="731"/>
      <c r="J218" s="731"/>
      <c r="K218" s="731"/>
      <c r="L218" s="731"/>
      <c r="M218" s="731"/>
      <c r="N218" s="731"/>
      <c r="O218" s="731"/>
      <c r="P218" s="731"/>
      <c r="Q218" s="731"/>
      <c r="R218" s="731"/>
      <c r="S218" s="731"/>
      <c r="T218" s="731"/>
      <c r="U218" s="731"/>
      <c r="V218" s="731"/>
      <c r="W218" s="731"/>
      <c r="X218" s="731"/>
      <c r="Y218" s="731"/>
      <c r="Z218" s="731"/>
    </row>
    <row r="219" spans="1:26" x14ac:dyDescent="0.2">
      <c r="A219" s="739">
        <f>Study!CF218</f>
        <v>194</v>
      </c>
      <c r="B219" s="740" t="str">
        <f>Study!CG218</f>
        <v>الإشراف الهندسي</v>
      </c>
      <c r="C219" s="744">
        <f>Study!CH218</f>
        <v>1956640.2000000002</v>
      </c>
      <c r="D219" s="740" t="str">
        <f>Study!CI218</f>
        <v>التكاليف الأخرى</v>
      </c>
      <c r="E219" s="742" t="str">
        <f>Study!CJ218</f>
        <v>C101</v>
      </c>
      <c r="F219" s="740" t="str">
        <f>Study!CK218</f>
        <v>ريال سعودي</v>
      </c>
      <c r="G219" s="731"/>
      <c r="H219" s="731"/>
      <c r="I219" s="731"/>
      <c r="J219" s="731"/>
      <c r="K219" s="731"/>
      <c r="L219" s="731"/>
      <c r="M219" s="731"/>
      <c r="N219" s="731"/>
      <c r="O219" s="731"/>
      <c r="P219" s="731"/>
      <c r="Q219" s="731"/>
      <c r="R219" s="731"/>
      <c r="S219" s="731"/>
      <c r="T219" s="731"/>
      <c r="U219" s="731"/>
      <c r="V219" s="731"/>
      <c r="W219" s="731"/>
      <c r="X219" s="731"/>
      <c r="Y219" s="731"/>
      <c r="Z219" s="731"/>
    </row>
    <row r="220" spans="1:26" x14ac:dyDescent="0.2">
      <c r="A220" s="735">
        <f>Study!CF219</f>
        <v>195</v>
      </c>
      <c r="B220" s="736" t="str">
        <f>Study!CG219</f>
        <v>إجمالي التكاليف الأخرى</v>
      </c>
      <c r="C220" s="743">
        <f>Study!CH219</f>
        <v>21170057.969719999</v>
      </c>
      <c r="D220" s="736" t="str">
        <f>Study!CI219</f>
        <v>التكاليف الأخرى</v>
      </c>
      <c r="E220" s="738" t="str">
        <f>Study!CJ219</f>
        <v>C102</v>
      </c>
      <c r="F220" s="736" t="str">
        <f>Study!CK219</f>
        <v>ريال سعودي</v>
      </c>
      <c r="G220" s="731"/>
      <c r="H220" s="731"/>
      <c r="I220" s="731"/>
      <c r="J220" s="731"/>
      <c r="K220" s="731"/>
      <c r="L220" s="731"/>
      <c r="M220" s="731"/>
      <c r="N220" s="731"/>
      <c r="O220" s="731"/>
      <c r="P220" s="731"/>
      <c r="Q220" s="731"/>
      <c r="R220" s="731"/>
      <c r="S220" s="731"/>
      <c r="T220" s="731"/>
      <c r="U220" s="731"/>
      <c r="V220" s="731"/>
      <c r="W220" s="731"/>
      <c r="X220" s="731"/>
      <c r="Y220" s="731"/>
      <c r="Z220" s="731"/>
    </row>
    <row r="221" spans="1:26" ht="15" x14ac:dyDescent="0.2">
      <c r="A221" s="734" t="str">
        <f>Study!CF220</f>
        <v>▌ تكاليف الصندوق</v>
      </c>
      <c r="B221" s="734">
        <f>Study!CG220</f>
        <v>0</v>
      </c>
      <c r="C221" s="734">
        <f>Study!CH220</f>
        <v>0</v>
      </c>
      <c r="D221" s="734">
        <f>Study!CI220</f>
        <v>0</v>
      </c>
      <c r="E221" s="734">
        <f>Study!CJ220</f>
        <v>0</v>
      </c>
      <c r="F221" s="734">
        <f>Study!CK220</f>
        <v>0</v>
      </c>
      <c r="G221" s="731"/>
      <c r="H221" s="731"/>
      <c r="I221" s="731"/>
      <c r="J221" s="731"/>
      <c r="K221" s="731"/>
      <c r="L221" s="731"/>
      <c r="M221" s="731"/>
      <c r="N221" s="731"/>
      <c r="O221" s="731"/>
      <c r="P221" s="731"/>
      <c r="Q221" s="731"/>
      <c r="R221" s="731"/>
      <c r="S221" s="731"/>
      <c r="T221" s="731"/>
      <c r="U221" s="731"/>
      <c r="V221" s="731"/>
      <c r="W221" s="731"/>
      <c r="X221" s="731"/>
      <c r="Y221" s="731"/>
      <c r="Z221" s="731"/>
    </row>
    <row r="222" spans="1:26" x14ac:dyDescent="0.2">
      <c r="A222" s="739">
        <f>Study!CF221</f>
        <v>196</v>
      </c>
      <c r="B222" s="740" t="str">
        <f>Study!CG221</f>
        <v>تكاليف المطور</v>
      </c>
      <c r="C222" s="744">
        <f>Study!CH221</f>
        <v>11739841.199999999</v>
      </c>
      <c r="D222" s="740" t="str">
        <f>Study!CI221</f>
        <v>تكاليف الصندوق</v>
      </c>
      <c r="E222" s="742" t="str">
        <f>Study!CJ221</f>
        <v>C104</v>
      </c>
      <c r="F222" s="740" t="str">
        <f>Study!CK221</f>
        <v>ريال سعودي</v>
      </c>
      <c r="G222" s="731"/>
      <c r="H222" s="731"/>
      <c r="I222" s="731"/>
      <c r="J222" s="731"/>
      <c r="K222" s="731"/>
      <c r="L222" s="731"/>
      <c r="M222" s="731"/>
      <c r="N222" s="731"/>
      <c r="O222" s="731"/>
      <c r="P222" s="731"/>
      <c r="Q222" s="731"/>
      <c r="R222" s="731"/>
      <c r="S222" s="731"/>
      <c r="T222" s="731"/>
      <c r="U222" s="731"/>
      <c r="V222" s="731"/>
      <c r="W222" s="731"/>
      <c r="X222" s="731"/>
      <c r="Y222" s="731"/>
      <c r="Z222" s="731"/>
    </row>
    <row r="223" spans="1:26" x14ac:dyDescent="0.2">
      <c r="A223" s="735">
        <f>Study!CF222</f>
        <v>197</v>
      </c>
      <c r="B223" s="736" t="str">
        <f>Study!CG222</f>
        <v>نسبة تكاليف المطور</v>
      </c>
      <c r="C223" s="747">
        <f>Study!CH222</f>
        <v>0.15</v>
      </c>
      <c r="D223" s="736" t="str">
        <f>Study!CI222</f>
        <v>تكاليف الصندوق</v>
      </c>
      <c r="E223" s="738" t="str">
        <f>Study!CJ222</f>
        <v>D104</v>
      </c>
      <c r="F223" s="736" t="str">
        <f>Study!CK222</f>
        <v>نسبة مئوية</v>
      </c>
      <c r="G223" s="731"/>
      <c r="H223" s="731"/>
      <c r="I223" s="731"/>
      <c r="J223" s="731"/>
      <c r="K223" s="731"/>
      <c r="L223" s="731"/>
      <c r="M223" s="731"/>
      <c r="N223" s="731"/>
      <c r="O223" s="731"/>
      <c r="P223" s="731"/>
      <c r="Q223" s="731"/>
      <c r="R223" s="731"/>
      <c r="S223" s="731"/>
      <c r="T223" s="731"/>
      <c r="U223" s="731"/>
      <c r="V223" s="731"/>
      <c r="W223" s="731"/>
      <c r="X223" s="731"/>
      <c r="Y223" s="731"/>
      <c r="Z223" s="731"/>
    </row>
    <row r="224" spans="1:26" x14ac:dyDescent="0.2">
      <c r="A224" s="739">
        <f>Study!CF223</f>
        <v>198</v>
      </c>
      <c r="B224" s="740" t="str">
        <f>Study!CG223</f>
        <v>رسوم الصندوق</v>
      </c>
      <c r="C224" s="744">
        <f>Study!CH223</f>
        <v>9214816</v>
      </c>
      <c r="D224" s="740" t="str">
        <f>Study!CI223</f>
        <v>تكاليف الصندوق</v>
      </c>
      <c r="E224" s="742" t="str">
        <f>Study!CJ223</f>
        <v>C105</v>
      </c>
      <c r="F224" s="740" t="str">
        <f>Study!CK223</f>
        <v>ريال سعودي</v>
      </c>
      <c r="G224" s="731"/>
      <c r="H224" s="731"/>
      <c r="I224" s="731"/>
      <c r="J224" s="731"/>
      <c r="K224" s="731"/>
      <c r="L224" s="731"/>
      <c r="M224" s="731"/>
      <c r="N224" s="731"/>
      <c r="O224" s="731"/>
      <c r="P224" s="731"/>
      <c r="Q224" s="731"/>
      <c r="R224" s="731"/>
      <c r="S224" s="731"/>
      <c r="T224" s="731"/>
      <c r="U224" s="731"/>
      <c r="V224" s="731"/>
      <c r="W224" s="731"/>
      <c r="X224" s="731"/>
      <c r="Y224" s="731"/>
      <c r="Z224" s="731"/>
    </row>
    <row r="225" spans="1:26" x14ac:dyDescent="0.2">
      <c r="A225" s="735">
        <f>Study!CF224</f>
        <v>199</v>
      </c>
      <c r="B225" s="736" t="str">
        <f>Study!CG224</f>
        <v>التكاليف الأخرى للصندوق</v>
      </c>
      <c r="C225" s="743">
        <f>Study!CH224</f>
        <v>1360000</v>
      </c>
      <c r="D225" s="736" t="str">
        <f>Study!CI224</f>
        <v>تكاليف الصندوق</v>
      </c>
      <c r="E225" s="738" t="str">
        <f>Study!CJ224</f>
        <v>C106</v>
      </c>
      <c r="F225" s="736" t="str">
        <f>Study!CK224</f>
        <v>ريال سعودي</v>
      </c>
      <c r="G225" s="731"/>
      <c r="H225" s="731"/>
      <c r="I225" s="731"/>
      <c r="J225" s="731"/>
      <c r="K225" s="731"/>
      <c r="L225" s="731"/>
      <c r="M225" s="731"/>
      <c r="N225" s="731"/>
      <c r="O225" s="731"/>
      <c r="P225" s="731"/>
      <c r="Q225" s="731"/>
      <c r="R225" s="731"/>
      <c r="S225" s="731"/>
      <c r="T225" s="731"/>
      <c r="U225" s="731"/>
      <c r="V225" s="731"/>
      <c r="W225" s="731"/>
      <c r="X225" s="731"/>
      <c r="Y225" s="731"/>
      <c r="Z225" s="731"/>
    </row>
    <row r="226" spans="1:26" x14ac:dyDescent="0.2">
      <c r="A226" s="739">
        <f>Study!CF225</f>
        <v>200</v>
      </c>
      <c r="B226" s="740" t="str">
        <f>Study!CG225</f>
        <v>إجمالي تكاليف الصندوق</v>
      </c>
      <c r="C226" s="744">
        <f>Study!CH225</f>
        <v>22314657.199999999</v>
      </c>
      <c r="D226" s="740" t="str">
        <f>Study!CI225</f>
        <v>تكاليف الصندوق</v>
      </c>
      <c r="E226" s="742" t="str">
        <f>Study!CJ225</f>
        <v>C107</v>
      </c>
      <c r="F226" s="740" t="str">
        <f>Study!CK225</f>
        <v>ريال سعودي</v>
      </c>
      <c r="G226" s="731"/>
      <c r="H226" s="731"/>
      <c r="I226" s="731"/>
      <c r="J226" s="731"/>
      <c r="K226" s="731"/>
      <c r="L226" s="731"/>
      <c r="M226" s="731"/>
      <c r="N226" s="731"/>
      <c r="O226" s="731"/>
      <c r="P226" s="731"/>
      <c r="Q226" s="731"/>
      <c r="R226" s="731"/>
      <c r="S226" s="731"/>
      <c r="T226" s="731"/>
      <c r="U226" s="731"/>
      <c r="V226" s="731"/>
      <c r="W226" s="731"/>
      <c r="X226" s="731"/>
      <c r="Y226" s="731"/>
      <c r="Z226" s="731"/>
    </row>
    <row r="227" spans="1:26" ht="15" x14ac:dyDescent="0.2">
      <c r="A227" s="734" t="str">
        <f>Study!CF226</f>
        <v>▌ ملخص التكاليف</v>
      </c>
      <c r="B227" s="734">
        <f>Study!CG226</f>
        <v>0</v>
      </c>
      <c r="C227" s="734">
        <f>Study!CH226</f>
        <v>0</v>
      </c>
      <c r="D227" s="734">
        <f>Study!CI226</f>
        <v>0</v>
      </c>
      <c r="E227" s="734">
        <f>Study!CJ226</f>
        <v>0</v>
      </c>
      <c r="F227" s="734">
        <f>Study!CK226</f>
        <v>0</v>
      </c>
      <c r="G227" s="731"/>
      <c r="H227" s="731"/>
      <c r="I227" s="731"/>
      <c r="J227" s="731"/>
      <c r="K227" s="731"/>
      <c r="L227" s="731"/>
      <c r="M227" s="731"/>
      <c r="N227" s="731"/>
      <c r="O227" s="731"/>
      <c r="P227" s="731"/>
      <c r="Q227" s="731"/>
      <c r="R227" s="731"/>
      <c r="S227" s="731"/>
      <c r="T227" s="731"/>
      <c r="U227" s="731"/>
      <c r="V227" s="731"/>
      <c r="W227" s="731"/>
      <c r="X227" s="731"/>
      <c r="Y227" s="731"/>
      <c r="Z227" s="731"/>
    </row>
    <row r="228" spans="1:26" x14ac:dyDescent="0.2">
      <c r="A228" s="735">
        <f>Study!CF227</f>
        <v>201</v>
      </c>
      <c r="B228" s="736" t="str">
        <f>Study!CG227</f>
        <v>إجمالي تكلفة الأرض</v>
      </c>
      <c r="C228" s="743">
        <f>Study!CH227</f>
        <v>91847824</v>
      </c>
      <c r="D228" s="736" t="str">
        <f>Study!CI227</f>
        <v>ملخص التكاليف</v>
      </c>
      <c r="E228" s="738" t="str">
        <f>Study!CJ227</f>
        <v>C109</v>
      </c>
      <c r="F228" s="736" t="str">
        <f>Study!CK227</f>
        <v>ريال سعودي</v>
      </c>
      <c r="G228" s="731"/>
      <c r="H228" s="731"/>
      <c r="I228" s="731"/>
      <c r="J228" s="731"/>
      <c r="K228" s="731"/>
      <c r="L228" s="731"/>
      <c r="M228" s="731"/>
      <c r="N228" s="731"/>
      <c r="O228" s="731"/>
      <c r="P228" s="731"/>
      <c r="Q228" s="731"/>
      <c r="R228" s="731"/>
      <c r="S228" s="731"/>
      <c r="T228" s="731"/>
      <c r="U228" s="731"/>
      <c r="V228" s="731"/>
      <c r="W228" s="731"/>
      <c r="X228" s="731"/>
      <c r="Y228" s="731"/>
      <c r="Z228" s="731"/>
    </row>
    <row r="229" spans="1:26" x14ac:dyDescent="0.2">
      <c r="A229" s="739">
        <f>Study!CF228</f>
        <v>202</v>
      </c>
      <c r="B229" s="740" t="str">
        <f>Study!CG228</f>
        <v>إجمالي تكلفة البناء</v>
      </c>
      <c r="C229" s="744">
        <f>Study!CH228</f>
        <v>78265608</v>
      </c>
      <c r="D229" s="740" t="str">
        <f>Study!CI228</f>
        <v>ملخص التكاليف</v>
      </c>
      <c r="E229" s="742" t="str">
        <f>Study!CJ228</f>
        <v>C110</v>
      </c>
      <c r="F229" s="740" t="str">
        <f>Study!CK228</f>
        <v>ريال سعودي</v>
      </c>
      <c r="G229" s="731"/>
      <c r="H229" s="731"/>
      <c r="I229" s="731"/>
      <c r="J229" s="731"/>
      <c r="K229" s="731"/>
      <c r="L229" s="731"/>
      <c r="M229" s="731"/>
      <c r="N229" s="731"/>
      <c r="O229" s="731"/>
      <c r="P229" s="731"/>
      <c r="Q229" s="731"/>
      <c r="R229" s="731"/>
      <c r="S229" s="731"/>
      <c r="T229" s="731"/>
      <c r="U229" s="731"/>
      <c r="V229" s="731"/>
      <c r="W229" s="731"/>
      <c r="X229" s="731"/>
      <c r="Y229" s="731"/>
      <c r="Z229" s="731"/>
    </row>
    <row r="230" spans="1:26" x14ac:dyDescent="0.2">
      <c r="A230" s="735">
        <f>Study!CF229</f>
        <v>203</v>
      </c>
      <c r="B230" s="736" t="str">
        <f>Study!CG229</f>
        <v>إجمالي التكاليف الأخرى</v>
      </c>
      <c r="C230" s="743">
        <f>Study!CH229</f>
        <v>21170057.969719999</v>
      </c>
      <c r="D230" s="736" t="str">
        <f>Study!CI229</f>
        <v>ملخص التكاليف</v>
      </c>
      <c r="E230" s="738" t="str">
        <f>Study!CJ229</f>
        <v>C111</v>
      </c>
      <c r="F230" s="736" t="str">
        <f>Study!CK229</f>
        <v>ريال سعودي</v>
      </c>
      <c r="G230" s="731"/>
      <c r="H230" s="731"/>
      <c r="I230" s="731"/>
      <c r="J230" s="731"/>
      <c r="K230" s="731"/>
      <c r="L230" s="731"/>
      <c r="M230" s="731"/>
      <c r="N230" s="731"/>
      <c r="O230" s="731"/>
      <c r="P230" s="731"/>
      <c r="Q230" s="731"/>
      <c r="R230" s="731"/>
      <c r="S230" s="731"/>
      <c r="T230" s="731"/>
      <c r="U230" s="731"/>
      <c r="V230" s="731"/>
      <c r="W230" s="731"/>
      <c r="X230" s="731"/>
      <c r="Y230" s="731"/>
      <c r="Z230" s="731"/>
    </row>
    <row r="231" spans="1:26" x14ac:dyDescent="0.2">
      <c r="A231" s="739">
        <f>Study!CF230</f>
        <v>204</v>
      </c>
      <c r="B231" s="740" t="str">
        <f>Study!CG230</f>
        <v>إجمالي تكلفة التطوير</v>
      </c>
      <c r="C231" s="744">
        <f>Study!CH230</f>
        <v>99435665.969720006</v>
      </c>
      <c r="D231" s="740" t="str">
        <f>Study!CI230</f>
        <v>ملخص التكاليف</v>
      </c>
      <c r="E231" s="742" t="str">
        <f>Study!CJ230</f>
        <v>C112</v>
      </c>
      <c r="F231" s="740" t="str">
        <f>Study!CK230</f>
        <v>ريال سعودي</v>
      </c>
      <c r="G231" s="731"/>
      <c r="H231" s="731"/>
      <c r="I231" s="731"/>
      <c r="J231" s="731"/>
      <c r="K231" s="731"/>
      <c r="L231" s="731"/>
      <c r="M231" s="731"/>
      <c r="N231" s="731"/>
      <c r="O231" s="731"/>
      <c r="P231" s="731"/>
      <c r="Q231" s="731"/>
      <c r="R231" s="731"/>
      <c r="S231" s="731"/>
      <c r="T231" s="731"/>
      <c r="U231" s="731"/>
      <c r="V231" s="731"/>
      <c r="W231" s="731"/>
      <c r="X231" s="731"/>
      <c r="Y231" s="731"/>
      <c r="Z231" s="731"/>
    </row>
    <row r="232" spans="1:26" x14ac:dyDescent="0.2">
      <c r="A232" s="735">
        <f>Study!CF231</f>
        <v>205</v>
      </c>
      <c r="B232" s="736" t="str">
        <f>Study!CG231</f>
        <v>إجمالي تكاليف الصندوق</v>
      </c>
      <c r="C232" s="743">
        <f>Study!CH231</f>
        <v>22314657.199999999</v>
      </c>
      <c r="D232" s="736" t="str">
        <f>Study!CI231</f>
        <v>ملخص التكاليف</v>
      </c>
      <c r="E232" s="738" t="str">
        <f>Study!CJ231</f>
        <v>C113</v>
      </c>
      <c r="F232" s="736" t="str">
        <f>Study!CK231</f>
        <v>ريال سعودي</v>
      </c>
      <c r="G232" s="731"/>
      <c r="H232" s="731"/>
      <c r="I232" s="731"/>
      <c r="J232" s="731"/>
      <c r="K232" s="731"/>
      <c r="L232" s="731"/>
      <c r="M232" s="731"/>
      <c r="N232" s="731"/>
      <c r="O232" s="731"/>
      <c r="P232" s="731"/>
      <c r="Q232" s="731"/>
      <c r="R232" s="731"/>
      <c r="S232" s="731"/>
      <c r="T232" s="731"/>
      <c r="U232" s="731"/>
      <c r="V232" s="731"/>
      <c r="W232" s="731"/>
      <c r="X232" s="731"/>
      <c r="Y232" s="731"/>
      <c r="Z232" s="731"/>
    </row>
    <row r="233" spans="1:26" x14ac:dyDescent="0.2">
      <c r="A233" s="739">
        <f>Study!CF232</f>
        <v>206</v>
      </c>
      <c r="B233" s="740" t="str">
        <f>Study!CG232</f>
        <v>إجمالي التكاليف التشغيلية</v>
      </c>
      <c r="C233" s="744">
        <f>Study!CH232</f>
        <v>6529315.5539999995</v>
      </c>
      <c r="D233" s="740" t="str">
        <f>Study!CI232</f>
        <v>ملخص التكاليف</v>
      </c>
      <c r="E233" s="742" t="str">
        <f>Study!CJ232</f>
        <v>C114</v>
      </c>
      <c r="F233" s="740" t="str">
        <f>Study!CK232</f>
        <v>ريال سعودي</v>
      </c>
      <c r="G233" s="731"/>
      <c r="H233" s="731"/>
      <c r="I233" s="731"/>
      <c r="J233" s="731"/>
      <c r="K233" s="731"/>
      <c r="L233" s="731"/>
      <c r="M233" s="731"/>
      <c r="N233" s="731"/>
      <c r="O233" s="731"/>
      <c r="P233" s="731"/>
      <c r="Q233" s="731"/>
      <c r="R233" s="731"/>
      <c r="S233" s="731"/>
      <c r="T233" s="731"/>
      <c r="U233" s="731"/>
      <c r="V233" s="731"/>
      <c r="W233" s="731"/>
      <c r="X233" s="731"/>
      <c r="Y233" s="731"/>
      <c r="Z233" s="731"/>
    </row>
    <row r="234" spans="1:26" x14ac:dyDescent="0.2">
      <c r="A234" s="735">
        <f>Study!CF233</f>
        <v>207</v>
      </c>
      <c r="B234" s="736" t="str">
        <f>Study!CG233</f>
        <v>إجمالي التكاليف الكاملة للمشروع</v>
      </c>
      <c r="C234" s="743">
        <f>Study!CH233</f>
        <v>227269365.99746802</v>
      </c>
      <c r="D234" s="736" t="str">
        <f>Study!CI233</f>
        <v>ملخص التكاليف</v>
      </c>
      <c r="E234" s="738" t="str">
        <f>Study!CJ233</f>
        <v>C115</v>
      </c>
      <c r="F234" s="736" t="str">
        <f>Study!CK233</f>
        <v>ريال سعودي</v>
      </c>
      <c r="G234" s="731"/>
      <c r="H234" s="731"/>
      <c r="I234" s="731"/>
      <c r="J234" s="731"/>
      <c r="K234" s="731"/>
      <c r="L234" s="731"/>
      <c r="M234" s="731"/>
      <c r="N234" s="731"/>
      <c r="O234" s="731"/>
      <c r="P234" s="731"/>
      <c r="Q234" s="731"/>
      <c r="R234" s="731"/>
      <c r="S234" s="731"/>
      <c r="T234" s="731"/>
      <c r="U234" s="731"/>
      <c r="V234" s="731"/>
      <c r="W234" s="731"/>
      <c r="X234" s="731"/>
      <c r="Y234" s="731"/>
      <c r="Z234" s="731"/>
    </row>
    <row r="235" spans="1:26" x14ac:dyDescent="0.2">
      <c r="A235" s="739">
        <f>Study!CF234</f>
        <v>208</v>
      </c>
      <c r="B235" s="740" t="str">
        <f>Study!CG234</f>
        <v>الملكية</v>
      </c>
      <c r="C235" s="744">
        <f>Study!CH234</f>
        <v>108409600</v>
      </c>
      <c r="D235" s="740" t="str">
        <f>Study!CI234</f>
        <v>ملخص التكاليف</v>
      </c>
      <c r="E235" s="742" t="str">
        <f>Study!CJ234</f>
        <v>C116</v>
      </c>
      <c r="F235" s="740" t="str">
        <f>Study!CK234</f>
        <v>ريال سعودي</v>
      </c>
      <c r="G235" s="731"/>
      <c r="H235" s="731"/>
      <c r="I235" s="731"/>
      <c r="J235" s="731"/>
      <c r="K235" s="731"/>
      <c r="L235" s="731"/>
      <c r="M235" s="731"/>
      <c r="N235" s="731"/>
      <c r="O235" s="731"/>
      <c r="P235" s="731"/>
      <c r="Q235" s="731"/>
      <c r="R235" s="731"/>
      <c r="S235" s="731"/>
      <c r="T235" s="731"/>
      <c r="U235" s="731"/>
      <c r="V235" s="731"/>
      <c r="W235" s="731"/>
      <c r="X235" s="731"/>
      <c r="Y235" s="731"/>
      <c r="Z235" s="731"/>
    </row>
    <row r="236" spans="1:26" ht="15" x14ac:dyDescent="0.2">
      <c r="A236" s="734" t="str">
        <f>Study!CF235</f>
        <v>▌ التمويل</v>
      </c>
      <c r="B236" s="734">
        <f>Study!CG235</f>
        <v>0</v>
      </c>
      <c r="C236" s="734">
        <f>Study!CH235</f>
        <v>0</v>
      </c>
      <c r="D236" s="734">
        <f>Study!CI235</f>
        <v>0</v>
      </c>
      <c r="E236" s="734">
        <f>Study!CJ235</f>
        <v>0</v>
      </c>
      <c r="F236" s="734">
        <f>Study!CK235</f>
        <v>0</v>
      </c>
      <c r="G236" s="731"/>
      <c r="H236" s="731"/>
      <c r="I236" s="731"/>
      <c r="J236" s="731"/>
      <c r="K236" s="731"/>
      <c r="L236" s="731"/>
      <c r="M236" s="731"/>
      <c r="N236" s="731"/>
      <c r="O236" s="731"/>
      <c r="P236" s="731"/>
      <c r="Q236" s="731"/>
      <c r="R236" s="731"/>
      <c r="S236" s="731"/>
      <c r="T236" s="731"/>
      <c r="U236" s="731"/>
      <c r="V236" s="731"/>
      <c r="W236" s="731"/>
      <c r="X236" s="731"/>
      <c r="Y236" s="731"/>
      <c r="Z236" s="731"/>
    </row>
    <row r="237" spans="1:26" x14ac:dyDescent="0.2">
      <c r="A237" s="735">
        <f>Study!CF236</f>
        <v>209</v>
      </c>
      <c r="B237" s="736" t="str">
        <f>Study!CG236</f>
        <v>التمويل المطلوب</v>
      </c>
      <c r="C237" s="743">
        <f>Study!CH236</f>
        <v>54352006</v>
      </c>
      <c r="D237" s="736" t="str">
        <f>Study!CI236</f>
        <v>التمويل</v>
      </c>
      <c r="E237" s="738" t="str">
        <f>Study!CJ236</f>
        <v>C118</v>
      </c>
      <c r="F237" s="736" t="str">
        <f>Study!CK236</f>
        <v>ريال سعودي</v>
      </c>
      <c r="G237" s="731"/>
      <c r="H237" s="731"/>
      <c r="I237" s="731"/>
      <c r="J237" s="731"/>
      <c r="K237" s="731"/>
      <c r="L237" s="731"/>
      <c r="M237" s="731"/>
      <c r="N237" s="731"/>
      <c r="O237" s="731"/>
      <c r="P237" s="731"/>
      <c r="Q237" s="731"/>
      <c r="R237" s="731"/>
      <c r="S237" s="731"/>
      <c r="T237" s="731"/>
      <c r="U237" s="731"/>
      <c r="V237" s="731"/>
      <c r="W237" s="731"/>
      <c r="X237" s="731"/>
      <c r="Y237" s="731"/>
      <c r="Z237" s="731"/>
    </row>
    <row r="238" spans="1:26" x14ac:dyDescent="0.2">
      <c r="A238" s="739">
        <f>Study!CF237</f>
        <v>210</v>
      </c>
      <c r="B238" s="740" t="str">
        <f>Study!CG237</f>
        <v>فوائد التمويل</v>
      </c>
      <c r="C238" s="744">
        <f>Study!CH237</f>
        <v>7141903.2737480383</v>
      </c>
      <c r="D238" s="740" t="str">
        <f>Study!CI237</f>
        <v>التمويل</v>
      </c>
      <c r="E238" s="742" t="str">
        <f>Study!CJ237</f>
        <v>C119</v>
      </c>
      <c r="F238" s="740" t="str">
        <f>Study!CK237</f>
        <v>ريال سعودي</v>
      </c>
      <c r="G238" s="731"/>
      <c r="H238" s="731"/>
      <c r="I238" s="731"/>
      <c r="J238" s="731"/>
      <c r="K238" s="731"/>
      <c r="L238" s="731"/>
      <c r="M238" s="731"/>
      <c r="N238" s="731"/>
      <c r="O238" s="731"/>
      <c r="P238" s="731"/>
      <c r="Q238" s="731"/>
      <c r="R238" s="731"/>
      <c r="S238" s="731"/>
      <c r="T238" s="731"/>
      <c r="U238" s="731"/>
      <c r="V238" s="731"/>
      <c r="W238" s="731"/>
      <c r="X238" s="731"/>
      <c r="Y238" s="731"/>
      <c r="Z238" s="731"/>
    </row>
    <row r="239" spans="1:26" x14ac:dyDescent="0.2">
      <c r="A239" s="735">
        <f>Study!CF238</f>
        <v>211</v>
      </c>
      <c r="B239" s="736" t="str">
        <f>Study!CG238</f>
        <v>مدة الفوائد بالسنين</v>
      </c>
      <c r="C239" s="745">
        <f>Study!CH238</f>
        <v>0</v>
      </c>
      <c r="D239" s="736" t="str">
        <f>Study!CI238</f>
        <v>التمويل</v>
      </c>
      <c r="E239" s="738" t="str">
        <f>Study!CJ238</f>
        <v>E119</v>
      </c>
      <c r="F239" s="736" t="str">
        <f>Study!CK238</f>
        <v>سنة</v>
      </c>
      <c r="G239" s="731"/>
      <c r="H239" s="731"/>
      <c r="I239" s="731"/>
      <c r="J239" s="731"/>
      <c r="K239" s="731"/>
      <c r="L239" s="731"/>
      <c r="M239" s="731"/>
      <c r="N239" s="731"/>
      <c r="O239" s="731"/>
      <c r="P239" s="731"/>
      <c r="Q239" s="731"/>
      <c r="R239" s="731"/>
      <c r="S239" s="731"/>
      <c r="T239" s="731"/>
      <c r="U239" s="731"/>
      <c r="V239" s="731"/>
      <c r="W239" s="731"/>
      <c r="X239" s="731"/>
      <c r="Y239" s="731"/>
      <c r="Z239" s="731"/>
    </row>
    <row r="240" spans="1:26" ht="15" x14ac:dyDescent="0.2">
      <c r="A240" s="734" t="str">
        <f>Study!CF239</f>
        <v>▌ الإطار الزمني</v>
      </c>
      <c r="B240" s="734">
        <f>Study!CG239</f>
        <v>0</v>
      </c>
      <c r="C240" s="734">
        <f>Study!CH239</f>
        <v>0</v>
      </c>
      <c r="D240" s="734">
        <f>Study!CI239</f>
        <v>0</v>
      </c>
      <c r="E240" s="734">
        <f>Study!CJ239</f>
        <v>0</v>
      </c>
      <c r="F240" s="734">
        <f>Study!CK239</f>
        <v>0</v>
      </c>
      <c r="G240" s="731"/>
      <c r="H240" s="731"/>
      <c r="I240" s="731"/>
      <c r="J240" s="731"/>
      <c r="K240" s="731"/>
      <c r="L240" s="731"/>
      <c r="M240" s="731"/>
      <c r="N240" s="731"/>
      <c r="O240" s="731"/>
      <c r="P240" s="731"/>
      <c r="Q240" s="731"/>
      <c r="R240" s="731"/>
      <c r="S240" s="731"/>
      <c r="T240" s="731"/>
      <c r="U240" s="731"/>
      <c r="V240" s="731"/>
      <c r="W240" s="731"/>
      <c r="X240" s="731"/>
      <c r="Y240" s="731"/>
      <c r="Z240" s="731"/>
    </row>
    <row r="241" spans="1:26" x14ac:dyDescent="0.2">
      <c r="A241" s="739">
        <f>Study!CF240</f>
        <v>212</v>
      </c>
      <c r="B241" s="740" t="str">
        <f>Study!CG240</f>
        <v>مدة المشروع - بالأشهر</v>
      </c>
      <c r="C241" s="749">
        <f ca="1">Study!CH240</f>
        <v>20.277777777777779</v>
      </c>
      <c r="D241" s="740" t="str">
        <f>Study!CI240</f>
        <v>الإطار الزمني</v>
      </c>
      <c r="E241" s="742" t="str">
        <f>Study!CJ240</f>
        <v>C122</v>
      </c>
      <c r="F241" s="740" t="str">
        <f>Study!CK240</f>
        <v>شهر</v>
      </c>
      <c r="G241" s="731"/>
      <c r="H241" s="731"/>
      <c r="I241" s="731"/>
      <c r="J241" s="731"/>
      <c r="K241" s="731"/>
      <c r="L241" s="731"/>
      <c r="M241" s="731"/>
      <c r="N241" s="731"/>
      <c r="O241" s="731"/>
      <c r="P241" s="731"/>
      <c r="Q241" s="731"/>
      <c r="R241" s="731"/>
      <c r="S241" s="731"/>
      <c r="T241" s="731"/>
      <c r="U241" s="731"/>
      <c r="V241" s="731"/>
      <c r="W241" s="731"/>
      <c r="X241" s="731"/>
      <c r="Y241" s="731"/>
      <c r="Z241" s="731"/>
    </row>
    <row r="242" spans="1:26" x14ac:dyDescent="0.2">
      <c r="A242" s="735">
        <f>Study!CF241</f>
        <v>213</v>
      </c>
      <c r="B242" s="736" t="str">
        <f>Study!CG241</f>
        <v>مدة المشروع - بالسنين</v>
      </c>
      <c r="C242" s="745">
        <f ca="1">Study!CH241</f>
        <v>60.833333333333336</v>
      </c>
      <c r="D242" s="736" t="str">
        <f>Study!CI241</f>
        <v>الإطار الزمني</v>
      </c>
      <c r="E242" s="738" t="str">
        <f>Study!CJ241</f>
        <v>D122</v>
      </c>
      <c r="F242" s="736" t="str">
        <f>Study!CK241</f>
        <v>سنة</v>
      </c>
      <c r="G242" s="731"/>
      <c r="H242" s="731"/>
      <c r="I242" s="731"/>
      <c r="J242" s="731"/>
      <c r="K242" s="731"/>
      <c r="L242" s="731"/>
      <c r="M242" s="731"/>
      <c r="N242" s="731"/>
      <c r="O242" s="731"/>
      <c r="P242" s="731"/>
      <c r="Q242" s="731"/>
      <c r="R242" s="731"/>
      <c r="S242" s="731"/>
      <c r="T242" s="731"/>
      <c r="U242" s="731"/>
      <c r="V242" s="731"/>
      <c r="W242" s="731"/>
      <c r="X242" s="731"/>
      <c r="Y242" s="731"/>
      <c r="Z242" s="731"/>
    </row>
    <row r="243" spans="1:26" x14ac:dyDescent="0.2">
      <c r="A243" s="739">
        <f>Study!CF242</f>
        <v>214</v>
      </c>
      <c r="B243" s="740" t="str">
        <f>Study!CG242</f>
        <v>مدة المشروع - ربع سنوي</v>
      </c>
      <c r="C243" s="751">
        <f>Study!CH242</f>
        <v>0</v>
      </c>
      <c r="D243" s="740" t="str">
        <f>Study!CI242</f>
        <v>الإطار الزمني</v>
      </c>
      <c r="E243" s="742" t="str">
        <f>Study!CJ242</f>
        <v>E122</v>
      </c>
      <c r="F243" s="740" t="str">
        <f>Study!CK242</f>
        <v>ربع</v>
      </c>
      <c r="G243" s="731"/>
      <c r="H243" s="731"/>
      <c r="I243" s="731"/>
      <c r="J243" s="731"/>
      <c r="K243" s="731"/>
      <c r="L243" s="731"/>
      <c r="M243" s="731"/>
      <c r="N243" s="731"/>
      <c r="O243" s="731"/>
      <c r="P243" s="731"/>
      <c r="Q243" s="731"/>
      <c r="R243" s="731"/>
      <c r="S243" s="731"/>
      <c r="T243" s="731"/>
      <c r="U243" s="731"/>
      <c r="V243" s="731"/>
      <c r="W243" s="731"/>
      <c r="X243" s="731"/>
      <c r="Y243" s="731"/>
      <c r="Z243" s="731"/>
    </row>
    <row r="244" spans="1:26" ht="15" x14ac:dyDescent="0.2">
      <c r="A244" s="734" t="str">
        <f>Study!CF243</f>
        <v>▌ البيع المباشر - سكني</v>
      </c>
      <c r="B244" s="734">
        <f>Study!CG243</f>
        <v>0</v>
      </c>
      <c r="C244" s="734">
        <f>Study!CH243</f>
        <v>0</v>
      </c>
      <c r="D244" s="734">
        <f>Study!CI243</f>
        <v>0</v>
      </c>
      <c r="E244" s="734">
        <f>Study!CJ243</f>
        <v>0</v>
      </c>
      <c r="F244" s="734">
        <f>Study!CK243</f>
        <v>0</v>
      </c>
      <c r="G244" s="731"/>
      <c r="H244" s="731"/>
      <c r="I244" s="731"/>
      <c r="J244" s="731"/>
      <c r="K244" s="731"/>
      <c r="L244" s="731"/>
      <c r="M244" s="731"/>
      <c r="N244" s="731"/>
      <c r="O244" s="731"/>
      <c r="P244" s="731"/>
      <c r="Q244" s="731"/>
      <c r="R244" s="731"/>
      <c r="S244" s="731"/>
      <c r="T244" s="731"/>
      <c r="U244" s="731"/>
      <c r="V244" s="731"/>
      <c r="W244" s="731"/>
      <c r="X244" s="731"/>
      <c r="Y244" s="731"/>
      <c r="Z244" s="731"/>
    </row>
    <row r="245" spans="1:26" x14ac:dyDescent="0.2">
      <c r="A245" s="735">
        <f>Study!CF244</f>
        <v>215</v>
      </c>
      <c r="B245" s="736" t="str">
        <f>Study!CG244</f>
        <v>سكني - عدد الوحدات للبيع</v>
      </c>
      <c r="C245" s="750">
        <f>Study!CH244</f>
        <v>12</v>
      </c>
      <c r="D245" s="736" t="str">
        <f>Study!CI244</f>
        <v>البيع المباشر - سكني</v>
      </c>
      <c r="E245" s="738" t="str">
        <f>Study!CJ244</f>
        <v>C129</v>
      </c>
      <c r="F245" s="736" t="str">
        <f>Study!CK244</f>
        <v>وحدة</v>
      </c>
      <c r="G245" s="731"/>
      <c r="H245" s="731"/>
      <c r="I245" s="731"/>
      <c r="J245" s="731"/>
      <c r="K245" s="731"/>
      <c r="L245" s="731"/>
      <c r="M245" s="731"/>
      <c r="N245" s="731"/>
      <c r="O245" s="731"/>
      <c r="P245" s="731"/>
      <c r="Q245" s="731"/>
      <c r="R245" s="731"/>
      <c r="S245" s="731"/>
      <c r="T245" s="731"/>
      <c r="U245" s="731"/>
      <c r="V245" s="731"/>
      <c r="W245" s="731"/>
      <c r="X245" s="731"/>
      <c r="Y245" s="731"/>
      <c r="Z245" s="731"/>
    </row>
    <row r="246" spans="1:26" x14ac:dyDescent="0.2">
      <c r="A246" s="739">
        <f>Study!CF245</f>
        <v>216</v>
      </c>
      <c r="B246" s="740" t="str">
        <f>Study!CG245</f>
        <v>سكني - نسبة البيع</v>
      </c>
      <c r="C246" s="746">
        <f>Study!CH245</f>
        <v>1</v>
      </c>
      <c r="D246" s="740" t="str">
        <f>Study!CI245</f>
        <v>البيع المباشر - سكني</v>
      </c>
      <c r="E246" s="742" t="str">
        <f>Study!CJ245</f>
        <v>D129</v>
      </c>
      <c r="F246" s="740" t="str">
        <f>Study!CK245</f>
        <v>نسبة مئوية</v>
      </c>
      <c r="G246" s="731"/>
      <c r="H246" s="731"/>
      <c r="I246" s="731"/>
      <c r="J246" s="731"/>
      <c r="K246" s="731"/>
      <c r="L246" s="731"/>
      <c r="M246" s="731"/>
      <c r="N246" s="731"/>
      <c r="O246" s="731"/>
      <c r="P246" s="731"/>
      <c r="Q246" s="731"/>
      <c r="R246" s="731"/>
      <c r="S246" s="731"/>
      <c r="T246" s="731"/>
      <c r="U246" s="731"/>
      <c r="V246" s="731"/>
      <c r="W246" s="731"/>
      <c r="X246" s="731"/>
      <c r="Y246" s="731"/>
      <c r="Z246" s="731"/>
    </row>
    <row r="247" spans="1:26" x14ac:dyDescent="0.2">
      <c r="A247" s="735">
        <f>Study!CF246</f>
        <v>217</v>
      </c>
      <c r="B247" s="736" t="str">
        <f>Study!CG246</f>
        <v>سكني - المساحات القابلة للبيع</v>
      </c>
      <c r="C247" s="745">
        <f>Study!CH246</f>
        <v>3013.7939999999999</v>
      </c>
      <c r="D247" s="736" t="str">
        <f>Study!CI246</f>
        <v>البيع المباشر - سكني</v>
      </c>
      <c r="E247" s="738" t="str">
        <f>Study!CJ246</f>
        <v>E129</v>
      </c>
      <c r="F247" s="736" t="str">
        <f>Study!CK246</f>
        <v>م²</v>
      </c>
      <c r="G247" s="731"/>
      <c r="H247" s="731"/>
      <c r="I247" s="731"/>
      <c r="J247" s="731"/>
      <c r="K247" s="731"/>
      <c r="L247" s="731"/>
      <c r="M247" s="731"/>
      <c r="N247" s="731"/>
      <c r="O247" s="731"/>
      <c r="P247" s="731"/>
      <c r="Q247" s="731"/>
      <c r="R247" s="731"/>
      <c r="S247" s="731"/>
      <c r="T247" s="731"/>
      <c r="U247" s="731"/>
      <c r="V247" s="731"/>
      <c r="W247" s="731"/>
      <c r="X247" s="731"/>
      <c r="Y247" s="731"/>
      <c r="Z247" s="731"/>
    </row>
    <row r="248" spans="1:26" x14ac:dyDescent="0.2">
      <c r="A248" s="739">
        <f>Study!CF247</f>
        <v>218</v>
      </c>
      <c r="B248" s="740" t="str">
        <f>Study!CG247</f>
        <v>سكني - مساحة الوحدة</v>
      </c>
      <c r="C248" s="749">
        <f>Study!CH247</f>
        <v>251.14949999999999</v>
      </c>
      <c r="D248" s="740" t="str">
        <f>Study!CI247</f>
        <v>البيع المباشر - سكني</v>
      </c>
      <c r="E248" s="742" t="str">
        <f>Study!CJ247</f>
        <v>F129</v>
      </c>
      <c r="F248" s="740" t="str">
        <f>Study!CK247</f>
        <v>م²</v>
      </c>
      <c r="G248" s="731"/>
      <c r="H248" s="731"/>
      <c r="I248" s="731"/>
      <c r="J248" s="731"/>
      <c r="K248" s="731"/>
      <c r="L248" s="731"/>
      <c r="M248" s="731"/>
      <c r="N248" s="731"/>
      <c r="O248" s="731"/>
      <c r="P248" s="731"/>
      <c r="Q248" s="731"/>
      <c r="R248" s="731"/>
      <c r="S248" s="731"/>
      <c r="T248" s="731"/>
      <c r="U248" s="731"/>
      <c r="V248" s="731"/>
      <c r="W248" s="731"/>
      <c r="X248" s="731"/>
      <c r="Y248" s="731"/>
      <c r="Z248" s="731"/>
    </row>
    <row r="249" spans="1:26" x14ac:dyDescent="0.2">
      <c r="A249" s="735">
        <f>Study!CF248</f>
        <v>219</v>
      </c>
      <c r="B249" s="736" t="str">
        <f>Study!CG248</f>
        <v>سكني - سعر بيع المتر</v>
      </c>
      <c r="C249" s="743">
        <f>Study!CH248</f>
        <v>0</v>
      </c>
      <c r="D249" s="736" t="str">
        <f>Study!CI248</f>
        <v>البيع المباشر - سكني</v>
      </c>
      <c r="E249" s="738" t="str">
        <f>Study!CJ248</f>
        <v>H129</v>
      </c>
      <c r="F249" s="736" t="str">
        <f>Study!CK248</f>
        <v>ريال/م²</v>
      </c>
      <c r="G249" s="731"/>
      <c r="H249" s="731"/>
      <c r="I249" s="731"/>
      <c r="J249" s="731"/>
      <c r="K249" s="731"/>
      <c r="L249" s="731"/>
      <c r="M249" s="731"/>
      <c r="N249" s="731"/>
      <c r="O249" s="731"/>
      <c r="P249" s="731"/>
      <c r="Q249" s="731"/>
      <c r="R249" s="731"/>
      <c r="S249" s="731"/>
      <c r="T249" s="731"/>
      <c r="U249" s="731"/>
      <c r="V249" s="731"/>
      <c r="W249" s="731"/>
      <c r="X249" s="731"/>
      <c r="Y249" s="731"/>
      <c r="Z249" s="731"/>
    </row>
    <row r="250" spans="1:26" x14ac:dyDescent="0.2">
      <c r="A250" s="739">
        <f>Study!CF249</f>
        <v>220</v>
      </c>
      <c r="B250" s="740" t="str">
        <f>Study!CG249</f>
        <v>سكني - قيمة الوحدة</v>
      </c>
      <c r="C250" s="744">
        <f>Study!CH249</f>
        <v>0</v>
      </c>
      <c r="D250" s="740" t="str">
        <f>Study!CI249</f>
        <v>البيع المباشر - سكني</v>
      </c>
      <c r="E250" s="742" t="str">
        <f>Study!CJ249</f>
        <v>I129</v>
      </c>
      <c r="F250" s="740" t="str">
        <f>Study!CK249</f>
        <v>ريال سعودي</v>
      </c>
      <c r="G250" s="731"/>
      <c r="H250" s="731"/>
      <c r="I250" s="731"/>
      <c r="J250" s="731"/>
      <c r="K250" s="731"/>
      <c r="L250" s="731"/>
      <c r="M250" s="731"/>
      <c r="N250" s="731"/>
      <c r="O250" s="731"/>
      <c r="P250" s="731"/>
      <c r="Q250" s="731"/>
      <c r="R250" s="731"/>
      <c r="S250" s="731"/>
      <c r="T250" s="731"/>
      <c r="U250" s="731"/>
      <c r="V250" s="731"/>
      <c r="W250" s="731"/>
      <c r="X250" s="731"/>
      <c r="Y250" s="731"/>
      <c r="Z250" s="731"/>
    </row>
    <row r="251" spans="1:26" x14ac:dyDescent="0.2">
      <c r="A251" s="735">
        <f>Study!CF250</f>
        <v>221</v>
      </c>
      <c r="B251" s="736" t="str">
        <f>Study!CG250</f>
        <v>سكني - إجمالي المبيعات</v>
      </c>
      <c r="C251" s="743">
        <f>Study!CH250</f>
        <v>0</v>
      </c>
      <c r="D251" s="736" t="str">
        <f>Study!CI250</f>
        <v>البيع المباشر - سكني</v>
      </c>
      <c r="E251" s="738" t="str">
        <f>Study!CJ250</f>
        <v>J129</v>
      </c>
      <c r="F251" s="736" t="str">
        <f>Study!CK250</f>
        <v>ريال سعودي</v>
      </c>
      <c r="G251" s="731"/>
      <c r="H251" s="731"/>
      <c r="I251" s="731"/>
      <c r="J251" s="731"/>
      <c r="K251" s="731"/>
      <c r="L251" s="731"/>
      <c r="M251" s="731"/>
      <c r="N251" s="731"/>
      <c r="O251" s="731"/>
      <c r="P251" s="731"/>
      <c r="Q251" s="731"/>
      <c r="R251" s="731"/>
      <c r="S251" s="731"/>
      <c r="T251" s="731"/>
      <c r="U251" s="731"/>
      <c r="V251" s="731"/>
      <c r="W251" s="731"/>
      <c r="X251" s="731"/>
      <c r="Y251" s="731"/>
      <c r="Z251" s="731"/>
    </row>
    <row r="252" spans="1:26" ht="15" x14ac:dyDescent="0.2">
      <c r="A252" s="734" t="str">
        <f>Study!CF251</f>
        <v>▌ البيع المباشر - فلل</v>
      </c>
      <c r="B252" s="734">
        <f>Study!CG251</f>
        <v>0</v>
      </c>
      <c r="C252" s="734">
        <f>Study!CH251</f>
        <v>0</v>
      </c>
      <c r="D252" s="734">
        <f>Study!CI251</f>
        <v>0</v>
      </c>
      <c r="E252" s="734">
        <f>Study!CJ251</f>
        <v>0</v>
      </c>
      <c r="F252" s="734">
        <f>Study!CK251</f>
        <v>0</v>
      </c>
      <c r="G252" s="731"/>
      <c r="H252" s="731"/>
      <c r="I252" s="731"/>
      <c r="J252" s="731"/>
      <c r="K252" s="731"/>
      <c r="L252" s="731"/>
      <c r="M252" s="731"/>
      <c r="N252" s="731"/>
      <c r="O252" s="731"/>
      <c r="P252" s="731"/>
      <c r="Q252" s="731"/>
      <c r="R252" s="731"/>
      <c r="S252" s="731"/>
      <c r="T252" s="731"/>
      <c r="U252" s="731"/>
      <c r="V252" s="731"/>
      <c r="W252" s="731"/>
      <c r="X252" s="731"/>
      <c r="Y252" s="731"/>
      <c r="Z252" s="731"/>
    </row>
    <row r="253" spans="1:26" x14ac:dyDescent="0.2">
      <c r="A253" s="739">
        <f>Study!CF252</f>
        <v>222</v>
      </c>
      <c r="B253" s="740" t="str">
        <f>Study!CG252</f>
        <v>فلل - عدد الوحدات للبيع</v>
      </c>
      <c r="C253" s="751">
        <f>Study!CH252</f>
        <v>0</v>
      </c>
      <c r="D253" s="740" t="str">
        <f>Study!CI252</f>
        <v>البيع المباشر - فلل</v>
      </c>
      <c r="E253" s="742" t="str">
        <f>Study!CJ252</f>
        <v>C130</v>
      </c>
      <c r="F253" s="740" t="str">
        <f>Study!CK252</f>
        <v>وحدة</v>
      </c>
      <c r="G253" s="731"/>
      <c r="H253" s="731"/>
      <c r="I253" s="731"/>
      <c r="J253" s="731"/>
      <c r="K253" s="731"/>
      <c r="L253" s="731"/>
      <c r="M253" s="731"/>
      <c r="N253" s="731"/>
      <c r="O253" s="731"/>
      <c r="P253" s="731"/>
      <c r="Q253" s="731"/>
      <c r="R253" s="731"/>
      <c r="S253" s="731"/>
      <c r="T253" s="731"/>
      <c r="U253" s="731"/>
      <c r="V253" s="731"/>
      <c r="W253" s="731"/>
      <c r="X253" s="731"/>
      <c r="Y253" s="731"/>
      <c r="Z253" s="731"/>
    </row>
    <row r="254" spans="1:26" x14ac:dyDescent="0.2">
      <c r="A254" s="735">
        <f>Study!CF253</f>
        <v>223</v>
      </c>
      <c r="B254" s="736" t="str">
        <f>Study!CG253</f>
        <v>فلل - نسبة البيع</v>
      </c>
      <c r="C254" s="747">
        <f>Study!CH253</f>
        <v>0</v>
      </c>
      <c r="D254" s="736" t="str">
        <f>Study!CI253</f>
        <v>البيع المباشر - فلل</v>
      </c>
      <c r="E254" s="738" t="str">
        <f>Study!CJ253</f>
        <v>D130</v>
      </c>
      <c r="F254" s="736" t="str">
        <f>Study!CK253</f>
        <v>نسبة مئوية</v>
      </c>
      <c r="G254" s="731"/>
      <c r="H254" s="731"/>
      <c r="I254" s="731"/>
      <c r="J254" s="731"/>
      <c r="K254" s="731"/>
      <c r="L254" s="731"/>
      <c r="M254" s="731"/>
      <c r="N254" s="731"/>
      <c r="O254" s="731"/>
      <c r="P254" s="731"/>
      <c r="Q254" s="731"/>
      <c r="R254" s="731"/>
      <c r="S254" s="731"/>
      <c r="T254" s="731"/>
      <c r="U254" s="731"/>
      <c r="V254" s="731"/>
      <c r="W254" s="731"/>
      <c r="X254" s="731"/>
      <c r="Y254" s="731"/>
      <c r="Z254" s="731"/>
    </row>
    <row r="255" spans="1:26" x14ac:dyDescent="0.2">
      <c r="A255" s="739">
        <f>Study!CF254</f>
        <v>224</v>
      </c>
      <c r="B255" s="740" t="str">
        <f>Study!CG254</f>
        <v>فلل - المساحات القابلة للبيع</v>
      </c>
      <c r="C255" s="749">
        <f>Study!CH254</f>
        <v>3340</v>
      </c>
      <c r="D255" s="740" t="str">
        <f>Study!CI254</f>
        <v>البيع المباشر - فلل</v>
      </c>
      <c r="E255" s="742" t="str">
        <f>Study!CJ254</f>
        <v>E130</v>
      </c>
      <c r="F255" s="740" t="str">
        <f>Study!CK254</f>
        <v>م²</v>
      </c>
      <c r="G255" s="731"/>
      <c r="H255" s="731"/>
      <c r="I255" s="731"/>
      <c r="J255" s="731"/>
      <c r="K255" s="731"/>
      <c r="L255" s="731"/>
      <c r="M255" s="731"/>
      <c r="N255" s="731"/>
      <c r="O255" s="731"/>
      <c r="P255" s="731"/>
      <c r="Q255" s="731"/>
      <c r="R255" s="731"/>
      <c r="S255" s="731"/>
      <c r="T255" s="731"/>
      <c r="U255" s="731"/>
      <c r="V255" s="731"/>
      <c r="W255" s="731"/>
      <c r="X255" s="731"/>
      <c r="Y255" s="731"/>
      <c r="Z255" s="731"/>
    </row>
    <row r="256" spans="1:26" x14ac:dyDescent="0.2">
      <c r="A256" s="735">
        <f>Study!CF255</f>
        <v>225</v>
      </c>
      <c r="B256" s="736" t="str">
        <f>Study!CG255</f>
        <v>فلل - مساحة الوحدة</v>
      </c>
      <c r="C256" s="745" t="str">
        <f>Study!CH255</f>
        <v>0</v>
      </c>
      <c r="D256" s="736" t="str">
        <f>Study!CI255</f>
        <v>البيع المباشر - فلل</v>
      </c>
      <c r="E256" s="738" t="str">
        <f>Study!CJ255</f>
        <v>F130</v>
      </c>
      <c r="F256" s="736" t="str">
        <f>Study!CK255</f>
        <v>م²</v>
      </c>
      <c r="G256" s="731"/>
      <c r="H256" s="731"/>
      <c r="I256" s="731"/>
      <c r="J256" s="731"/>
      <c r="K256" s="731"/>
      <c r="L256" s="731"/>
      <c r="M256" s="731"/>
      <c r="N256" s="731"/>
      <c r="O256" s="731"/>
      <c r="P256" s="731"/>
      <c r="Q256" s="731"/>
      <c r="R256" s="731"/>
      <c r="S256" s="731"/>
      <c r="T256" s="731"/>
      <c r="U256" s="731"/>
      <c r="V256" s="731"/>
      <c r="W256" s="731"/>
      <c r="X256" s="731"/>
      <c r="Y256" s="731"/>
      <c r="Z256" s="731"/>
    </row>
    <row r="257" spans="1:26" x14ac:dyDescent="0.2">
      <c r="A257" s="739">
        <f>Study!CF256</f>
        <v>226</v>
      </c>
      <c r="B257" s="740" t="str">
        <f>Study!CG256</f>
        <v>فلل - سعر بيع المتر</v>
      </c>
      <c r="C257" s="744">
        <f>Study!CH256</f>
        <v>0</v>
      </c>
      <c r="D257" s="740" t="str">
        <f>Study!CI256</f>
        <v>البيع المباشر - فلل</v>
      </c>
      <c r="E257" s="742" t="str">
        <f>Study!CJ256</f>
        <v>H130</v>
      </c>
      <c r="F257" s="740" t="str">
        <f>Study!CK256</f>
        <v>ريال/م²</v>
      </c>
      <c r="G257" s="731"/>
      <c r="H257" s="731"/>
      <c r="I257" s="731"/>
      <c r="J257" s="731"/>
      <c r="K257" s="731"/>
      <c r="L257" s="731"/>
      <c r="M257" s="731"/>
      <c r="N257" s="731"/>
      <c r="O257" s="731"/>
      <c r="P257" s="731"/>
      <c r="Q257" s="731"/>
      <c r="R257" s="731"/>
      <c r="S257" s="731"/>
      <c r="T257" s="731"/>
      <c r="U257" s="731"/>
      <c r="V257" s="731"/>
      <c r="W257" s="731"/>
      <c r="X257" s="731"/>
      <c r="Y257" s="731"/>
      <c r="Z257" s="731"/>
    </row>
    <row r="258" spans="1:26" x14ac:dyDescent="0.2">
      <c r="A258" s="735">
        <f>Study!CF257</f>
        <v>227</v>
      </c>
      <c r="B258" s="736" t="str">
        <f>Study!CG257</f>
        <v>فلل - قيمة الوحدة</v>
      </c>
      <c r="C258" s="743">
        <f>Study!CH257</f>
        <v>0</v>
      </c>
      <c r="D258" s="736" t="str">
        <f>Study!CI257</f>
        <v>البيع المباشر - فلل</v>
      </c>
      <c r="E258" s="738" t="str">
        <f>Study!CJ257</f>
        <v>I130</v>
      </c>
      <c r="F258" s="736" t="str">
        <f>Study!CK257</f>
        <v>ريال سعودي</v>
      </c>
      <c r="G258" s="731"/>
      <c r="H258" s="731"/>
      <c r="I258" s="731"/>
      <c r="J258" s="731"/>
      <c r="K258" s="731"/>
      <c r="L258" s="731"/>
      <c r="M258" s="731"/>
      <c r="N258" s="731"/>
      <c r="O258" s="731"/>
      <c r="P258" s="731"/>
      <c r="Q258" s="731"/>
      <c r="R258" s="731"/>
      <c r="S258" s="731"/>
      <c r="T258" s="731"/>
      <c r="U258" s="731"/>
      <c r="V258" s="731"/>
      <c r="W258" s="731"/>
      <c r="X258" s="731"/>
      <c r="Y258" s="731"/>
      <c r="Z258" s="731"/>
    </row>
    <row r="259" spans="1:26" x14ac:dyDescent="0.2">
      <c r="A259" s="739">
        <f>Study!CF258</f>
        <v>228</v>
      </c>
      <c r="B259" s="740" t="str">
        <f>Study!CG258</f>
        <v>فلل - إجمالي المبيعات</v>
      </c>
      <c r="C259" s="744">
        <f>Study!CH258</f>
        <v>0</v>
      </c>
      <c r="D259" s="740" t="str">
        <f>Study!CI258</f>
        <v>البيع المباشر - فلل</v>
      </c>
      <c r="E259" s="742" t="str">
        <f>Study!CJ258</f>
        <v>J130</v>
      </c>
      <c r="F259" s="740" t="str">
        <f>Study!CK258</f>
        <v>ريال سعودي</v>
      </c>
      <c r="G259" s="731"/>
      <c r="H259" s="731"/>
      <c r="I259" s="731"/>
      <c r="J259" s="731"/>
      <c r="K259" s="731"/>
      <c r="L259" s="731"/>
      <c r="M259" s="731"/>
      <c r="N259" s="731"/>
      <c r="O259" s="731"/>
      <c r="P259" s="731"/>
      <c r="Q259" s="731"/>
      <c r="R259" s="731"/>
      <c r="S259" s="731"/>
      <c r="T259" s="731"/>
      <c r="U259" s="731"/>
      <c r="V259" s="731"/>
      <c r="W259" s="731"/>
      <c r="X259" s="731"/>
      <c r="Y259" s="731"/>
      <c r="Z259" s="731"/>
    </row>
    <row r="260" spans="1:26" ht="15" x14ac:dyDescent="0.2">
      <c r="A260" s="734" t="str">
        <f>Study!CF259</f>
        <v>▌ البيع المباشر - تاون هاوس</v>
      </c>
      <c r="B260" s="734">
        <f>Study!CG259</f>
        <v>0</v>
      </c>
      <c r="C260" s="734">
        <f>Study!CH259</f>
        <v>0</v>
      </c>
      <c r="D260" s="734">
        <f>Study!CI259</f>
        <v>0</v>
      </c>
      <c r="E260" s="734">
        <f>Study!CJ259</f>
        <v>0</v>
      </c>
      <c r="F260" s="734">
        <f>Study!CK259</f>
        <v>0</v>
      </c>
      <c r="G260" s="731"/>
      <c r="H260" s="731"/>
      <c r="I260" s="731"/>
      <c r="J260" s="731"/>
      <c r="K260" s="731"/>
      <c r="L260" s="731"/>
      <c r="M260" s="731"/>
      <c r="N260" s="731"/>
      <c r="O260" s="731"/>
      <c r="P260" s="731"/>
      <c r="Q260" s="731"/>
      <c r="R260" s="731"/>
      <c r="S260" s="731"/>
      <c r="T260" s="731"/>
      <c r="U260" s="731"/>
      <c r="V260" s="731"/>
      <c r="W260" s="731"/>
      <c r="X260" s="731"/>
      <c r="Y260" s="731"/>
      <c r="Z260" s="731"/>
    </row>
    <row r="261" spans="1:26" x14ac:dyDescent="0.2">
      <c r="A261" s="735">
        <f>Study!CF260</f>
        <v>229</v>
      </c>
      <c r="B261" s="736" t="str">
        <f>Study!CG260</f>
        <v>تاون هاوس - عدد الوحدات للبيع</v>
      </c>
      <c r="C261" s="750">
        <f>Study!CH260</f>
        <v>0</v>
      </c>
      <c r="D261" s="736" t="str">
        <f>Study!CI260</f>
        <v>البيع المباشر - تاون هاوس</v>
      </c>
      <c r="E261" s="738" t="str">
        <f>Study!CJ260</f>
        <v>C131</v>
      </c>
      <c r="F261" s="736" t="str">
        <f>Study!CK260</f>
        <v>وحدة</v>
      </c>
      <c r="G261" s="731"/>
      <c r="H261" s="731"/>
      <c r="I261" s="731"/>
      <c r="J261" s="731"/>
      <c r="K261" s="731"/>
      <c r="L261" s="731"/>
      <c r="M261" s="731"/>
      <c r="N261" s="731"/>
      <c r="O261" s="731"/>
      <c r="P261" s="731"/>
      <c r="Q261" s="731"/>
      <c r="R261" s="731"/>
      <c r="S261" s="731"/>
      <c r="T261" s="731"/>
      <c r="U261" s="731"/>
      <c r="V261" s="731"/>
      <c r="W261" s="731"/>
      <c r="X261" s="731"/>
      <c r="Y261" s="731"/>
      <c r="Z261" s="731"/>
    </row>
    <row r="262" spans="1:26" x14ac:dyDescent="0.2">
      <c r="A262" s="739">
        <f>Study!CF261</f>
        <v>230</v>
      </c>
      <c r="B262" s="740" t="str">
        <f>Study!CG261</f>
        <v>تاون هاوس - نسبة البيع</v>
      </c>
      <c r="C262" s="746">
        <f>Study!CH261</f>
        <v>1</v>
      </c>
      <c r="D262" s="740" t="str">
        <f>Study!CI261</f>
        <v>البيع المباشر - تاون هاوس</v>
      </c>
      <c r="E262" s="742" t="str">
        <f>Study!CJ261</f>
        <v>D131</v>
      </c>
      <c r="F262" s="740" t="str">
        <f>Study!CK261</f>
        <v>نسبة مئوية</v>
      </c>
      <c r="G262" s="731"/>
      <c r="H262" s="731"/>
      <c r="I262" s="731"/>
      <c r="J262" s="731"/>
      <c r="K262" s="731"/>
      <c r="L262" s="731"/>
      <c r="M262" s="731"/>
      <c r="N262" s="731"/>
      <c r="O262" s="731"/>
      <c r="P262" s="731"/>
      <c r="Q262" s="731"/>
      <c r="R262" s="731"/>
      <c r="S262" s="731"/>
      <c r="T262" s="731"/>
      <c r="U262" s="731"/>
      <c r="V262" s="731"/>
      <c r="W262" s="731"/>
      <c r="X262" s="731"/>
      <c r="Y262" s="731"/>
      <c r="Z262" s="731"/>
    </row>
    <row r="263" spans="1:26" x14ac:dyDescent="0.2">
      <c r="A263" s="735">
        <f>Study!CF262</f>
        <v>231</v>
      </c>
      <c r="B263" s="736" t="str">
        <f>Study!CG262</f>
        <v>تاون هاوس - المساحات القابلة للبيع</v>
      </c>
      <c r="C263" s="745">
        <f>Study!CH262</f>
        <v>0</v>
      </c>
      <c r="D263" s="736" t="str">
        <f>Study!CI262</f>
        <v>البيع المباشر - تاون هاوس</v>
      </c>
      <c r="E263" s="738" t="str">
        <f>Study!CJ262</f>
        <v>E131</v>
      </c>
      <c r="F263" s="736" t="str">
        <f>Study!CK262</f>
        <v>م²</v>
      </c>
      <c r="G263" s="731"/>
      <c r="H263" s="731"/>
      <c r="I263" s="731"/>
      <c r="J263" s="731"/>
      <c r="K263" s="731"/>
      <c r="L263" s="731"/>
      <c r="M263" s="731"/>
      <c r="N263" s="731"/>
      <c r="O263" s="731"/>
      <c r="P263" s="731"/>
      <c r="Q263" s="731"/>
      <c r="R263" s="731"/>
      <c r="S263" s="731"/>
      <c r="T263" s="731"/>
      <c r="U263" s="731"/>
      <c r="V263" s="731"/>
      <c r="W263" s="731"/>
      <c r="X263" s="731"/>
      <c r="Y263" s="731"/>
      <c r="Z263" s="731"/>
    </row>
    <row r="264" spans="1:26" x14ac:dyDescent="0.2">
      <c r="A264" s="739">
        <f>Study!CF263</f>
        <v>232</v>
      </c>
      <c r="B264" s="740" t="str">
        <f>Study!CG263</f>
        <v>تاون هاوس - مساحة الوحدة</v>
      </c>
      <c r="C264" s="749" t="str">
        <f>Study!CH263</f>
        <v>0</v>
      </c>
      <c r="D264" s="740" t="str">
        <f>Study!CI263</f>
        <v>البيع المباشر - تاون هاوس</v>
      </c>
      <c r="E264" s="742" t="str">
        <f>Study!CJ263</f>
        <v>F131</v>
      </c>
      <c r="F264" s="740" t="str">
        <f>Study!CK263</f>
        <v>م²</v>
      </c>
      <c r="G264" s="731"/>
      <c r="H264" s="731"/>
      <c r="I264" s="731"/>
      <c r="J264" s="731"/>
      <c r="K264" s="731"/>
      <c r="L264" s="731"/>
      <c r="M264" s="731"/>
      <c r="N264" s="731"/>
      <c r="O264" s="731"/>
      <c r="P264" s="731"/>
      <c r="Q264" s="731"/>
      <c r="R264" s="731"/>
      <c r="S264" s="731"/>
      <c r="T264" s="731"/>
      <c r="U264" s="731"/>
      <c r="V264" s="731"/>
      <c r="W264" s="731"/>
      <c r="X264" s="731"/>
      <c r="Y264" s="731"/>
      <c r="Z264" s="731"/>
    </row>
    <row r="265" spans="1:26" x14ac:dyDescent="0.2">
      <c r="A265" s="735">
        <f>Study!CF264</f>
        <v>233</v>
      </c>
      <c r="B265" s="736" t="str">
        <f>Study!CG264</f>
        <v>تاون هاوس - سعر بيع المتر</v>
      </c>
      <c r="C265" s="743">
        <f>Study!CH264</f>
        <v>0</v>
      </c>
      <c r="D265" s="736" t="str">
        <f>Study!CI264</f>
        <v>البيع المباشر - تاون هاوس</v>
      </c>
      <c r="E265" s="738" t="str">
        <f>Study!CJ264</f>
        <v>H131</v>
      </c>
      <c r="F265" s="736" t="str">
        <f>Study!CK264</f>
        <v>ريال/م²</v>
      </c>
      <c r="G265" s="731"/>
      <c r="H265" s="731"/>
      <c r="I265" s="731"/>
      <c r="J265" s="731"/>
      <c r="K265" s="731"/>
      <c r="L265" s="731"/>
      <c r="M265" s="731"/>
      <c r="N265" s="731"/>
      <c r="O265" s="731"/>
      <c r="P265" s="731"/>
      <c r="Q265" s="731"/>
      <c r="R265" s="731"/>
      <c r="S265" s="731"/>
      <c r="T265" s="731"/>
      <c r="U265" s="731"/>
      <c r="V265" s="731"/>
      <c r="W265" s="731"/>
      <c r="X265" s="731"/>
      <c r="Y265" s="731"/>
      <c r="Z265" s="731"/>
    </row>
    <row r="266" spans="1:26" x14ac:dyDescent="0.2">
      <c r="A266" s="739">
        <f>Study!CF265</f>
        <v>234</v>
      </c>
      <c r="B266" s="740" t="str">
        <f>Study!CG265</f>
        <v>تاون هاوس - قيمة الوحدة</v>
      </c>
      <c r="C266" s="744">
        <f>Study!CH265</f>
        <v>0</v>
      </c>
      <c r="D266" s="740" t="str">
        <f>Study!CI265</f>
        <v>البيع المباشر - تاون هاوس</v>
      </c>
      <c r="E266" s="742" t="str">
        <f>Study!CJ265</f>
        <v>I131</v>
      </c>
      <c r="F266" s="740" t="str">
        <f>Study!CK265</f>
        <v>ريال سعودي</v>
      </c>
      <c r="G266" s="731"/>
      <c r="H266" s="731"/>
      <c r="I266" s="731"/>
      <c r="J266" s="731"/>
      <c r="K266" s="731"/>
      <c r="L266" s="731"/>
      <c r="M266" s="731"/>
      <c r="N266" s="731"/>
      <c r="O266" s="731"/>
      <c r="P266" s="731"/>
      <c r="Q266" s="731"/>
      <c r="R266" s="731"/>
      <c r="S266" s="731"/>
      <c r="T266" s="731"/>
      <c r="U266" s="731"/>
      <c r="V266" s="731"/>
      <c r="W266" s="731"/>
      <c r="X266" s="731"/>
      <c r="Y266" s="731"/>
      <c r="Z266" s="731"/>
    </row>
    <row r="267" spans="1:26" x14ac:dyDescent="0.2">
      <c r="A267" s="735">
        <f>Study!CF266</f>
        <v>235</v>
      </c>
      <c r="B267" s="736" t="str">
        <f>Study!CG266</f>
        <v>تاون هاوس - إجمالي المبيعات</v>
      </c>
      <c r="C267" s="743">
        <f>Study!CH266</f>
        <v>0</v>
      </c>
      <c r="D267" s="736" t="str">
        <f>Study!CI266</f>
        <v>البيع المباشر - تاون هاوس</v>
      </c>
      <c r="E267" s="738" t="str">
        <f>Study!CJ266</f>
        <v>J131</v>
      </c>
      <c r="F267" s="736" t="str">
        <f>Study!CK266</f>
        <v>ريال سعودي</v>
      </c>
      <c r="G267" s="731"/>
      <c r="H267" s="731"/>
      <c r="I267" s="731"/>
      <c r="J267" s="731"/>
      <c r="K267" s="731"/>
      <c r="L267" s="731"/>
      <c r="M267" s="731"/>
      <c r="N267" s="731"/>
      <c r="O267" s="731"/>
      <c r="P267" s="731"/>
      <c r="Q267" s="731"/>
      <c r="R267" s="731"/>
      <c r="S267" s="731"/>
      <c r="T267" s="731"/>
      <c r="U267" s="731"/>
      <c r="V267" s="731"/>
      <c r="W267" s="731"/>
      <c r="X267" s="731"/>
      <c r="Y267" s="731"/>
      <c r="Z267" s="731"/>
    </row>
    <row r="268" spans="1:26" ht="15" x14ac:dyDescent="0.2">
      <c r="A268" s="734" t="str">
        <f>Study!CF267</f>
        <v>▌ البيع المباشر - أدوار</v>
      </c>
      <c r="B268" s="734">
        <f>Study!CG267</f>
        <v>0</v>
      </c>
      <c r="C268" s="734">
        <f>Study!CH267</f>
        <v>0</v>
      </c>
      <c r="D268" s="734">
        <f>Study!CI267</f>
        <v>0</v>
      </c>
      <c r="E268" s="734">
        <f>Study!CJ267</f>
        <v>0</v>
      </c>
      <c r="F268" s="734">
        <f>Study!CK267</f>
        <v>0</v>
      </c>
      <c r="G268" s="731"/>
      <c r="H268" s="731"/>
      <c r="I268" s="731"/>
      <c r="J268" s="731"/>
      <c r="K268" s="731"/>
      <c r="L268" s="731"/>
      <c r="M268" s="731"/>
      <c r="N268" s="731"/>
      <c r="O268" s="731"/>
      <c r="P268" s="731"/>
      <c r="Q268" s="731"/>
      <c r="R268" s="731"/>
      <c r="S268" s="731"/>
      <c r="T268" s="731"/>
      <c r="U268" s="731"/>
      <c r="V268" s="731"/>
      <c r="W268" s="731"/>
      <c r="X268" s="731"/>
      <c r="Y268" s="731"/>
      <c r="Z268" s="731"/>
    </row>
    <row r="269" spans="1:26" x14ac:dyDescent="0.2">
      <c r="A269" s="739">
        <f>Study!CF268</f>
        <v>236</v>
      </c>
      <c r="B269" s="740" t="str">
        <f>Study!CG268</f>
        <v>أدوار - عدد الوحدات للبيع</v>
      </c>
      <c r="C269" s="751">
        <f>Study!CH268</f>
        <v>0</v>
      </c>
      <c r="D269" s="740" t="str">
        <f>Study!CI268</f>
        <v>البيع المباشر - أدوار</v>
      </c>
      <c r="E269" s="742" t="str">
        <f>Study!CJ268</f>
        <v>C132</v>
      </c>
      <c r="F269" s="740" t="str">
        <f>Study!CK268</f>
        <v>وحدة</v>
      </c>
      <c r="G269" s="731"/>
      <c r="H269" s="731"/>
      <c r="I269" s="731"/>
      <c r="J269" s="731"/>
      <c r="K269" s="731"/>
      <c r="L269" s="731"/>
      <c r="M269" s="731"/>
      <c r="N269" s="731"/>
      <c r="O269" s="731"/>
      <c r="P269" s="731"/>
      <c r="Q269" s="731"/>
      <c r="R269" s="731"/>
      <c r="S269" s="731"/>
      <c r="T269" s="731"/>
      <c r="U269" s="731"/>
      <c r="V269" s="731"/>
      <c r="W269" s="731"/>
      <c r="X269" s="731"/>
      <c r="Y269" s="731"/>
      <c r="Z269" s="731"/>
    </row>
    <row r="270" spans="1:26" x14ac:dyDescent="0.2">
      <c r="A270" s="735">
        <f>Study!CF269</f>
        <v>237</v>
      </c>
      <c r="B270" s="736" t="str">
        <f>Study!CG269</f>
        <v>أدوار - نسبة البيع</v>
      </c>
      <c r="C270" s="747">
        <f>Study!CH269</f>
        <v>1</v>
      </c>
      <c r="D270" s="736" t="str">
        <f>Study!CI269</f>
        <v>البيع المباشر - أدوار</v>
      </c>
      <c r="E270" s="738" t="str">
        <f>Study!CJ269</f>
        <v>D132</v>
      </c>
      <c r="F270" s="736" t="str">
        <f>Study!CK269</f>
        <v>نسبة مئوية</v>
      </c>
      <c r="G270" s="731"/>
      <c r="H270" s="731"/>
      <c r="I270" s="731"/>
      <c r="J270" s="731"/>
      <c r="K270" s="731"/>
      <c r="L270" s="731"/>
      <c r="M270" s="731"/>
      <c r="N270" s="731"/>
      <c r="O270" s="731"/>
      <c r="P270" s="731"/>
      <c r="Q270" s="731"/>
      <c r="R270" s="731"/>
      <c r="S270" s="731"/>
      <c r="T270" s="731"/>
      <c r="U270" s="731"/>
      <c r="V270" s="731"/>
      <c r="W270" s="731"/>
      <c r="X270" s="731"/>
      <c r="Y270" s="731"/>
      <c r="Z270" s="731"/>
    </row>
    <row r="271" spans="1:26" x14ac:dyDescent="0.2">
      <c r="A271" s="739">
        <f>Study!CF270</f>
        <v>238</v>
      </c>
      <c r="B271" s="740" t="str">
        <f>Study!CG270</f>
        <v>أدوار - المساحات القابلة للبيع</v>
      </c>
      <c r="C271" s="749">
        <f>Study!CH270</f>
        <v>0</v>
      </c>
      <c r="D271" s="740" t="str">
        <f>Study!CI270</f>
        <v>البيع المباشر - أدوار</v>
      </c>
      <c r="E271" s="742" t="str">
        <f>Study!CJ270</f>
        <v>E132</v>
      </c>
      <c r="F271" s="740" t="str">
        <f>Study!CK270</f>
        <v>م²</v>
      </c>
      <c r="G271" s="731"/>
      <c r="H271" s="731"/>
      <c r="I271" s="731"/>
      <c r="J271" s="731"/>
      <c r="K271" s="731"/>
      <c r="L271" s="731"/>
      <c r="M271" s="731"/>
      <c r="N271" s="731"/>
      <c r="O271" s="731"/>
      <c r="P271" s="731"/>
      <c r="Q271" s="731"/>
      <c r="R271" s="731"/>
      <c r="S271" s="731"/>
      <c r="T271" s="731"/>
      <c r="U271" s="731"/>
      <c r="V271" s="731"/>
      <c r="W271" s="731"/>
      <c r="X271" s="731"/>
      <c r="Y271" s="731"/>
      <c r="Z271" s="731"/>
    </row>
    <row r="272" spans="1:26" x14ac:dyDescent="0.2">
      <c r="A272" s="735">
        <f>Study!CF271</f>
        <v>239</v>
      </c>
      <c r="B272" s="736" t="str">
        <f>Study!CG271</f>
        <v>أدوار - مساحة الوحدة</v>
      </c>
      <c r="C272" s="745" t="str">
        <f>Study!CH271</f>
        <v>0</v>
      </c>
      <c r="D272" s="736" t="str">
        <f>Study!CI271</f>
        <v>البيع المباشر - أدوار</v>
      </c>
      <c r="E272" s="738" t="str">
        <f>Study!CJ271</f>
        <v>F132</v>
      </c>
      <c r="F272" s="736" t="str">
        <f>Study!CK271</f>
        <v>م²</v>
      </c>
      <c r="G272" s="731"/>
      <c r="H272" s="731"/>
      <c r="I272" s="731"/>
      <c r="J272" s="731"/>
      <c r="K272" s="731"/>
      <c r="L272" s="731"/>
      <c r="M272" s="731"/>
      <c r="N272" s="731"/>
      <c r="O272" s="731"/>
      <c r="P272" s="731"/>
      <c r="Q272" s="731"/>
      <c r="R272" s="731"/>
      <c r="S272" s="731"/>
      <c r="T272" s="731"/>
      <c r="U272" s="731"/>
      <c r="V272" s="731"/>
      <c r="W272" s="731"/>
      <c r="X272" s="731"/>
      <c r="Y272" s="731"/>
      <c r="Z272" s="731"/>
    </row>
    <row r="273" spans="1:26" x14ac:dyDescent="0.2">
      <c r="A273" s="739">
        <f>Study!CF272</f>
        <v>240</v>
      </c>
      <c r="B273" s="740" t="str">
        <f>Study!CG272</f>
        <v>أدوار - سعر بيع المتر</v>
      </c>
      <c r="C273" s="744">
        <f>Study!CH272</f>
        <v>0</v>
      </c>
      <c r="D273" s="740" t="str">
        <f>Study!CI272</f>
        <v>البيع المباشر - أدوار</v>
      </c>
      <c r="E273" s="742" t="str">
        <f>Study!CJ272</f>
        <v>H132</v>
      </c>
      <c r="F273" s="740" t="str">
        <f>Study!CK272</f>
        <v>ريال/م²</v>
      </c>
      <c r="G273" s="731"/>
      <c r="H273" s="731"/>
      <c r="I273" s="731"/>
      <c r="J273" s="731"/>
      <c r="K273" s="731"/>
      <c r="L273" s="731"/>
      <c r="M273" s="731"/>
      <c r="N273" s="731"/>
      <c r="O273" s="731"/>
      <c r="P273" s="731"/>
      <c r="Q273" s="731"/>
      <c r="R273" s="731"/>
      <c r="S273" s="731"/>
      <c r="T273" s="731"/>
      <c r="U273" s="731"/>
      <c r="V273" s="731"/>
      <c r="W273" s="731"/>
      <c r="X273" s="731"/>
      <c r="Y273" s="731"/>
      <c r="Z273" s="731"/>
    </row>
    <row r="274" spans="1:26" x14ac:dyDescent="0.2">
      <c r="A274" s="735">
        <f>Study!CF273</f>
        <v>241</v>
      </c>
      <c r="B274" s="736" t="str">
        <f>Study!CG273</f>
        <v>أدوار - قيمة الوحدة</v>
      </c>
      <c r="C274" s="743">
        <f>Study!CH273</f>
        <v>0</v>
      </c>
      <c r="D274" s="736" t="str">
        <f>Study!CI273</f>
        <v>البيع المباشر - أدوار</v>
      </c>
      <c r="E274" s="738" t="str">
        <f>Study!CJ273</f>
        <v>I132</v>
      </c>
      <c r="F274" s="736" t="str">
        <f>Study!CK273</f>
        <v>ريال سعودي</v>
      </c>
      <c r="G274" s="731"/>
      <c r="H274" s="731"/>
      <c r="I274" s="731"/>
      <c r="J274" s="731"/>
      <c r="K274" s="731"/>
      <c r="L274" s="731"/>
      <c r="M274" s="731"/>
      <c r="N274" s="731"/>
      <c r="O274" s="731"/>
      <c r="P274" s="731"/>
      <c r="Q274" s="731"/>
      <c r="R274" s="731"/>
      <c r="S274" s="731"/>
      <c r="T274" s="731"/>
      <c r="U274" s="731"/>
      <c r="V274" s="731"/>
      <c r="W274" s="731"/>
      <c r="X274" s="731"/>
      <c r="Y274" s="731"/>
      <c r="Z274" s="731"/>
    </row>
    <row r="275" spans="1:26" x14ac:dyDescent="0.2">
      <c r="A275" s="739">
        <f>Study!CF274</f>
        <v>242</v>
      </c>
      <c r="B275" s="740" t="str">
        <f>Study!CG274</f>
        <v>أدوار - إجمالي المبيعات</v>
      </c>
      <c r="C275" s="744">
        <f>Study!CH274</f>
        <v>0</v>
      </c>
      <c r="D275" s="740" t="str">
        <f>Study!CI274</f>
        <v>البيع المباشر - أدوار</v>
      </c>
      <c r="E275" s="742" t="str">
        <f>Study!CJ274</f>
        <v>J132</v>
      </c>
      <c r="F275" s="740" t="str">
        <f>Study!CK274</f>
        <v>ريال سعودي</v>
      </c>
      <c r="G275" s="731"/>
      <c r="H275" s="731"/>
      <c r="I275" s="731"/>
      <c r="J275" s="731"/>
      <c r="K275" s="731"/>
      <c r="L275" s="731"/>
      <c r="M275" s="731"/>
      <c r="N275" s="731"/>
      <c r="O275" s="731"/>
      <c r="P275" s="731"/>
      <c r="Q275" s="731"/>
      <c r="R275" s="731"/>
      <c r="S275" s="731"/>
      <c r="T275" s="731"/>
      <c r="U275" s="731"/>
      <c r="V275" s="731"/>
      <c r="W275" s="731"/>
      <c r="X275" s="731"/>
      <c r="Y275" s="731"/>
      <c r="Z275" s="731"/>
    </row>
    <row r="276" spans="1:26" ht="15" x14ac:dyDescent="0.2">
      <c r="A276" s="734" t="str">
        <f>Study!CF275</f>
        <v>▌ البيع المباشر - أستوديوهات</v>
      </c>
      <c r="B276" s="734">
        <f>Study!CG275</f>
        <v>0</v>
      </c>
      <c r="C276" s="734">
        <f>Study!CH275</f>
        <v>0</v>
      </c>
      <c r="D276" s="734">
        <f>Study!CI275</f>
        <v>0</v>
      </c>
      <c r="E276" s="734">
        <f>Study!CJ275</f>
        <v>0</v>
      </c>
      <c r="F276" s="734">
        <f>Study!CK275</f>
        <v>0</v>
      </c>
      <c r="G276" s="731"/>
      <c r="H276" s="731"/>
      <c r="I276" s="731"/>
      <c r="J276" s="731"/>
      <c r="K276" s="731"/>
      <c r="L276" s="731"/>
      <c r="M276" s="731"/>
      <c r="N276" s="731"/>
      <c r="O276" s="731"/>
      <c r="P276" s="731"/>
      <c r="Q276" s="731"/>
      <c r="R276" s="731"/>
      <c r="S276" s="731"/>
      <c r="T276" s="731"/>
      <c r="U276" s="731"/>
      <c r="V276" s="731"/>
      <c r="W276" s="731"/>
      <c r="X276" s="731"/>
      <c r="Y276" s="731"/>
      <c r="Z276" s="731"/>
    </row>
    <row r="277" spans="1:26" x14ac:dyDescent="0.2">
      <c r="A277" s="735">
        <f>Study!CF276</f>
        <v>243</v>
      </c>
      <c r="B277" s="736" t="str">
        <f>Study!CG276</f>
        <v>أستوديوهات - عدد الوحدات للبيع</v>
      </c>
      <c r="C277" s="750">
        <f>Study!CH276</f>
        <v>0</v>
      </c>
      <c r="D277" s="736" t="str">
        <f>Study!CI276</f>
        <v>البيع المباشر - أستوديوهات</v>
      </c>
      <c r="E277" s="738" t="str">
        <f>Study!CJ276</f>
        <v>C133</v>
      </c>
      <c r="F277" s="736" t="str">
        <f>Study!CK276</f>
        <v>وحدة</v>
      </c>
      <c r="G277" s="731"/>
      <c r="H277" s="731"/>
      <c r="I277" s="731"/>
      <c r="J277" s="731"/>
      <c r="K277" s="731"/>
      <c r="L277" s="731"/>
      <c r="M277" s="731"/>
      <c r="N277" s="731"/>
      <c r="O277" s="731"/>
      <c r="P277" s="731"/>
      <c r="Q277" s="731"/>
      <c r="R277" s="731"/>
      <c r="S277" s="731"/>
      <c r="T277" s="731"/>
      <c r="U277" s="731"/>
      <c r="V277" s="731"/>
      <c r="W277" s="731"/>
      <c r="X277" s="731"/>
      <c r="Y277" s="731"/>
      <c r="Z277" s="731"/>
    </row>
    <row r="278" spans="1:26" x14ac:dyDescent="0.2">
      <c r="A278" s="739">
        <f>Study!CF277</f>
        <v>244</v>
      </c>
      <c r="B278" s="740" t="str">
        <f>Study!CG277</f>
        <v>أستوديوهات - نسبة البيع</v>
      </c>
      <c r="C278" s="746">
        <f>Study!CH277</f>
        <v>1</v>
      </c>
      <c r="D278" s="740" t="str">
        <f>Study!CI277</f>
        <v>البيع المباشر - أستوديوهات</v>
      </c>
      <c r="E278" s="742" t="str">
        <f>Study!CJ277</f>
        <v>D133</v>
      </c>
      <c r="F278" s="740" t="str">
        <f>Study!CK277</f>
        <v>نسبة مئوية</v>
      </c>
      <c r="G278" s="731"/>
      <c r="H278" s="731"/>
      <c r="I278" s="731"/>
      <c r="J278" s="731"/>
      <c r="K278" s="731"/>
      <c r="L278" s="731"/>
      <c r="M278" s="731"/>
      <c r="N278" s="731"/>
      <c r="O278" s="731"/>
      <c r="P278" s="731"/>
      <c r="Q278" s="731"/>
      <c r="R278" s="731"/>
      <c r="S278" s="731"/>
      <c r="T278" s="731"/>
      <c r="U278" s="731"/>
      <c r="V278" s="731"/>
      <c r="W278" s="731"/>
      <c r="X278" s="731"/>
      <c r="Y278" s="731"/>
      <c r="Z278" s="731"/>
    </row>
    <row r="279" spans="1:26" x14ac:dyDescent="0.2">
      <c r="A279" s="735">
        <f>Study!CF278</f>
        <v>245</v>
      </c>
      <c r="B279" s="736" t="str">
        <f>Study!CG278</f>
        <v>أستوديوهات - المساحات القابلة للبيع</v>
      </c>
      <c r="C279" s="745">
        <f>Study!CH278</f>
        <v>0</v>
      </c>
      <c r="D279" s="736" t="str">
        <f>Study!CI278</f>
        <v>البيع المباشر - أستوديوهات</v>
      </c>
      <c r="E279" s="738" t="str">
        <f>Study!CJ278</f>
        <v>E133</v>
      </c>
      <c r="F279" s="736" t="str">
        <f>Study!CK278</f>
        <v>م²</v>
      </c>
      <c r="G279" s="731"/>
      <c r="H279" s="731"/>
      <c r="I279" s="731"/>
      <c r="J279" s="731"/>
      <c r="K279" s="731"/>
      <c r="L279" s="731"/>
      <c r="M279" s="731"/>
      <c r="N279" s="731"/>
      <c r="O279" s="731"/>
      <c r="P279" s="731"/>
      <c r="Q279" s="731"/>
      <c r="R279" s="731"/>
      <c r="S279" s="731"/>
      <c r="T279" s="731"/>
      <c r="U279" s="731"/>
      <c r="V279" s="731"/>
      <c r="W279" s="731"/>
      <c r="X279" s="731"/>
      <c r="Y279" s="731"/>
      <c r="Z279" s="731"/>
    </row>
    <row r="280" spans="1:26" x14ac:dyDescent="0.2">
      <c r="A280" s="739">
        <f>Study!CF279</f>
        <v>246</v>
      </c>
      <c r="B280" s="740" t="str">
        <f>Study!CG279</f>
        <v>أستوديوهات - مساحة الوحدة</v>
      </c>
      <c r="C280" s="749" t="str">
        <f>Study!CH279</f>
        <v>0</v>
      </c>
      <c r="D280" s="740" t="str">
        <f>Study!CI279</f>
        <v>البيع المباشر - أستوديوهات</v>
      </c>
      <c r="E280" s="742" t="str">
        <f>Study!CJ279</f>
        <v>F133</v>
      </c>
      <c r="F280" s="740" t="str">
        <f>Study!CK279</f>
        <v>م²</v>
      </c>
      <c r="G280" s="731"/>
      <c r="H280" s="731"/>
      <c r="I280" s="731"/>
      <c r="J280" s="731"/>
      <c r="K280" s="731"/>
      <c r="L280" s="731"/>
      <c r="M280" s="731"/>
      <c r="N280" s="731"/>
      <c r="O280" s="731"/>
      <c r="P280" s="731"/>
      <c r="Q280" s="731"/>
      <c r="R280" s="731"/>
      <c r="S280" s="731"/>
      <c r="T280" s="731"/>
      <c r="U280" s="731"/>
      <c r="V280" s="731"/>
      <c r="W280" s="731"/>
      <c r="X280" s="731"/>
      <c r="Y280" s="731"/>
      <c r="Z280" s="731"/>
    </row>
    <row r="281" spans="1:26" x14ac:dyDescent="0.2">
      <c r="A281" s="735">
        <f>Study!CF280</f>
        <v>247</v>
      </c>
      <c r="B281" s="736" t="str">
        <f>Study!CG280</f>
        <v>أستوديوهات - سعر بيع المتر</v>
      </c>
      <c r="C281" s="743">
        <f>Study!CH280</f>
        <v>0</v>
      </c>
      <c r="D281" s="736" t="str">
        <f>Study!CI280</f>
        <v>البيع المباشر - أستوديوهات</v>
      </c>
      <c r="E281" s="738" t="str">
        <f>Study!CJ280</f>
        <v>H133</v>
      </c>
      <c r="F281" s="736" t="str">
        <f>Study!CK280</f>
        <v>ريال/م²</v>
      </c>
      <c r="G281" s="731"/>
      <c r="H281" s="731"/>
      <c r="I281" s="731"/>
      <c r="J281" s="731"/>
      <c r="K281" s="731"/>
      <c r="L281" s="731"/>
      <c r="M281" s="731"/>
      <c r="N281" s="731"/>
      <c r="O281" s="731"/>
      <c r="P281" s="731"/>
      <c r="Q281" s="731"/>
      <c r="R281" s="731"/>
      <c r="S281" s="731"/>
      <c r="T281" s="731"/>
      <c r="U281" s="731"/>
      <c r="V281" s="731"/>
      <c r="W281" s="731"/>
      <c r="X281" s="731"/>
      <c r="Y281" s="731"/>
      <c r="Z281" s="731"/>
    </row>
    <row r="282" spans="1:26" x14ac:dyDescent="0.2">
      <c r="A282" s="739">
        <f>Study!CF281</f>
        <v>248</v>
      </c>
      <c r="B282" s="740" t="str">
        <f>Study!CG281</f>
        <v>أستوديوهات - قيمة الوحدة</v>
      </c>
      <c r="C282" s="744">
        <f>Study!CH281</f>
        <v>0</v>
      </c>
      <c r="D282" s="740" t="str">
        <f>Study!CI281</f>
        <v>البيع المباشر - أستوديوهات</v>
      </c>
      <c r="E282" s="742" t="str">
        <f>Study!CJ281</f>
        <v>I133</v>
      </c>
      <c r="F282" s="740" t="str">
        <f>Study!CK281</f>
        <v>ريال سعودي</v>
      </c>
      <c r="G282" s="731"/>
      <c r="H282" s="731"/>
      <c r="I282" s="731"/>
      <c r="J282" s="731"/>
      <c r="K282" s="731"/>
      <c r="L282" s="731"/>
      <c r="M282" s="731"/>
      <c r="N282" s="731"/>
      <c r="O282" s="731"/>
      <c r="P282" s="731"/>
      <c r="Q282" s="731"/>
      <c r="R282" s="731"/>
      <c r="S282" s="731"/>
      <c r="T282" s="731"/>
      <c r="U282" s="731"/>
      <c r="V282" s="731"/>
      <c r="W282" s="731"/>
      <c r="X282" s="731"/>
      <c r="Y282" s="731"/>
      <c r="Z282" s="731"/>
    </row>
    <row r="283" spans="1:26" x14ac:dyDescent="0.2">
      <c r="A283" s="735">
        <f>Study!CF282</f>
        <v>249</v>
      </c>
      <c r="B283" s="736" t="str">
        <f>Study!CG282</f>
        <v>أستوديوهات - إجمالي المبيعات</v>
      </c>
      <c r="C283" s="743">
        <f>Study!CH282</f>
        <v>0</v>
      </c>
      <c r="D283" s="736" t="str">
        <f>Study!CI282</f>
        <v>البيع المباشر - أستوديوهات</v>
      </c>
      <c r="E283" s="738" t="str">
        <f>Study!CJ282</f>
        <v>J133</v>
      </c>
      <c r="F283" s="736" t="str">
        <f>Study!CK282</f>
        <v>ريال سعودي</v>
      </c>
      <c r="G283" s="731"/>
      <c r="H283" s="731"/>
      <c r="I283" s="731"/>
      <c r="J283" s="731"/>
      <c r="K283" s="731"/>
      <c r="L283" s="731"/>
      <c r="M283" s="731"/>
      <c r="N283" s="731"/>
      <c r="O283" s="731"/>
      <c r="P283" s="731"/>
      <c r="Q283" s="731"/>
      <c r="R283" s="731"/>
      <c r="S283" s="731"/>
      <c r="T283" s="731"/>
      <c r="U283" s="731"/>
      <c r="V283" s="731"/>
      <c r="W283" s="731"/>
      <c r="X283" s="731"/>
      <c r="Y283" s="731"/>
      <c r="Z283" s="731"/>
    </row>
    <row r="284" spans="1:26" ht="15" x14ac:dyDescent="0.2">
      <c r="A284" s="734" t="str">
        <f>Study!CF283</f>
        <v>▌ البيع المباشر - مكتبي</v>
      </c>
      <c r="B284" s="734">
        <f>Study!CG283</f>
        <v>0</v>
      </c>
      <c r="C284" s="734">
        <f>Study!CH283</f>
        <v>0</v>
      </c>
      <c r="D284" s="734">
        <f>Study!CI283</f>
        <v>0</v>
      </c>
      <c r="E284" s="734">
        <f>Study!CJ283</f>
        <v>0</v>
      </c>
      <c r="F284" s="734">
        <f>Study!CK283</f>
        <v>0</v>
      </c>
      <c r="G284" s="731"/>
      <c r="H284" s="731"/>
      <c r="I284" s="731"/>
      <c r="J284" s="731"/>
      <c r="K284" s="731"/>
      <c r="L284" s="731"/>
      <c r="M284" s="731"/>
      <c r="N284" s="731"/>
      <c r="O284" s="731"/>
      <c r="P284" s="731"/>
      <c r="Q284" s="731"/>
      <c r="R284" s="731"/>
      <c r="S284" s="731"/>
      <c r="T284" s="731"/>
      <c r="U284" s="731"/>
      <c r="V284" s="731"/>
      <c r="W284" s="731"/>
      <c r="X284" s="731"/>
      <c r="Y284" s="731"/>
      <c r="Z284" s="731"/>
    </row>
    <row r="285" spans="1:26" x14ac:dyDescent="0.2">
      <c r="A285" s="739">
        <f>Study!CF284</f>
        <v>250</v>
      </c>
      <c r="B285" s="740" t="str">
        <f>Study!CG284</f>
        <v>مكتبي - عدد الوحدات للبيع</v>
      </c>
      <c r="C285" s="751">
        <f>Study!CH284</f>
        <v>0</v>
      </c>
      <c r="D285" s="740" t="str">
        <f>Study!CI284</f>
        <v>البيع المباشر - مكتبي</v>
      </c>
      <c r="E285" s="742" t="str">
        <f>Study!CJ284</f>
        <v>C134</v>
      </c>
      <c r="F285" s="740" t="str">
        <f>Study!CK284</f>
        <v>وحدة</v>
      </c>
      <c r="G285" s="731"/>
      <c r="H285" s="731"/>
      <c r="I285" s="731"/>
      <c r="J285" s="731"/>
      <c r="K285" s="731"/>
      <c r="L285" s="731"/>
      <c r="M285" s="731"/>
      <c r="N285" s="731"/>
      <c r="O285" s="731"/>
      <c r="P285" s="731"/>
      <c r="Q285" s="731"/>
      <c r="R285" s="731"/>
      <c r="S285" s="731"/>
      <c r="T285" s="731"/>
      <c r="U285" s="731"/>
      <c r="V285" s="731"/>
      <c r="W285" s="731"/>
      <c r="X285" s="731"/>
      <c r="Y285" s="731"/>
      <c r="Z285" s="731"/>
    </row>
    <row r="286" spans="1:26" x14ac:dyDescent="0.2">
      <c r="A286" s="735">
        <f>Study!CF285</f>
        <v>251</v>
      </c>
      <c r="B286" s="736" t="str">
        <f>Study!CG285</f>
        <v>مكتبي - نسبة البيع</v>
      </c>
      <c r="C286" s="747">
        <f>Study!CH285</f>
        <v>1</v>
      </c>
      <c r="D286" s="736" t="str">
        <f>Study!CI285</f>
        <v>البيع المباشر - مكتبي</v>
      </c>
      <c r="E286" s="738" t="str">
        <f>Study!CJ285</f>
        <v>D134</v>
      </c>
      <c r="F286" s="736" t="str">
        <f>Study!CK285</f>
        <v>نسبة مئوية</v>
      </c>
      <c r="G286" s="731"/>
      <c r="H286" s="731"/>
      <c r="I286" s="731"/>
      <c r="J286" s="731"/>
      <c r="K286" s="731"/>
      <c r="L286" s="731"/>
      <c r="M286" s="731"/>
      <c r="N286" s="731"/>
      <c r="O286" s="731"/>
      <c r="P286" s="731"/>
      <c r="Q286" s="731"/>
      <c r="R286" s="731"/>
      <c r="S286" s="731"/>
      <c r="T286" s="731"/>
      <c r="U286" s="731"/>
      <c r="V286" s="731"/>
      <c r="W286" s="731"/>
      <c r="X286" s="731"/>
      <c r="Y286" s="731"/>
      <c r="Z286" s="731"/>
    </row>
    <row r="287" spans="1:26" x14ac:dyDescent="0.2">
      <c r="A287" s="739">
        <f>Study!CF286</f>
        <v>252</v>
      </c>
      <c r="B287" s="740" t="str">
        <f>Study!CG286</f>
        <v>مكتبي - المساحات القابلة للبيع</v>
      </c>
      <c r="C287" s="749">
        <f>Study!CH286</f>
        <v>0</v>
      </c>
      <c r="D287" s="740" t="str">
        <f>Study!CI286</f>
        <v>البيع المباشر - مكتبي</v>
      </c>
      <c r="E287" s="742" t="str">
        <f>Study!CJ286</f>
        <v>E134</v>
      </c>
      <c r="F287" s="740" t="str">
        <f>Study!CK286</f>
        <v>م²</v>
      </c>
      <c r="G287" s="731"/>
      <c r="H287" s="731"/>
      <c r="I287" s="731"/>
      <c r="J287" s="731"/>
      <c r="K287" s="731"/>
      <c r="L287" s="731"/>
      <c r="M287" s="731"/>
      <c r="N287" s="731"/>
      <c r="O287" s="731"/>
      <c r="P287" s="731"/>
      <c r="Q287" s="731"/>
      <c r="R287" s="731"/>
      <c r="S287" s="731"/>
      <c r="T287" s="731"/>
      <c r="U287" s="731"/>
      <c r="V287" s="731"/>
      <c r="W287" s="731"/>
      <c r="X287" s="731"/>
      <c r="Y287" s="731"/>
      <c r="Z287" s="731"/>
    </row>
    <row r="288" spans="1:26" x14ac:dyDescent="0.2">
      <c r="A288" s="735">
        <f>Study!CF287</f>
        <v>253</v>
      </c>
      <c r="B288" s="736" t="str">
        <f>Study!CG287</f>
        <v>مكتبي - مساحة الوحدة</v>
      </c>
      <c r="C288" s="745" t="str">
        <f>Study!CH287</f>
        <v>0</v>
      </c>
      <c r="D288" s="736" t="str">
        <f>Study!CI287</f>
        <v>البيع المباشر - مكتبي</v>
      </c>
      <c r="E288" s="738" t="str">
        <f>Study!CJ287</f>
        <v>F134</v>
      </c>
      <c r="F288" s="736" t="str">
        <f>Study!CK287</f>
        <v>م²</v>
      </c>
      <c r="G288" s="731"/>
      <c r="H288" s="731"/>
      <c r="I288" s="731"/>
      <c r="J288" s="731"/>
      <c r="K288" s="731"/>
      <c r="L288" s="731"/>
      <c r="M288" s="731"/>
      <c r="N288" s="731"/>
      <c r="O288" s="731"/>
      <c r="P288" s="731"/>
      <c r="Q288" s="731"/>
      <c r="R288" s="731"/>
      <c r="S288" s="731"/>
      <c r="T288" s="731"/>
      <c r="U288" s="731"/>
      <c r="V288" s="731"/>
      <c r="W288" s="731"/>
      <c r="X288" s="731"/>
      <c r="Y288" s="731"/>
      <c r="Z288" s="731"/>
    </row>
    <row r="289" spans="1:26" x14ac:dyDescent="0.2">
      <c r="A289" s="739">
        <f>Study!CF288</f>
        <v>254</v>
      </c>
      <c r="B289" s="740" t="str">
        <f>Study!CG288</f>
        <v>مكتبي - سعر بيع المتر</v>
      </c>
      <c r="C289" s="744">
        <f>Study!CH288</f>
        <v>0</v>
      </c>
      <c r="D289" s="740" t="str">
        <f>Study!CI288</f>
        <v>البيع المباشر - مكتبي</v>
      </c>
      <c r="E289" s="742" t="str">
        <f>Study!CJ288</f>
        <v>H134</v>
      </c>
      <c r="F289" s="740" t="str">
        <f>Study!CK288</f>
        <v>ريال/م²</v>
      </c>
      <c r="G289" s="731"/>
      <c r="H289" s="731"/>
      <c r="I289" s="731"/>
      <c r="J289" s="731"/>
      <c r="K289" s="731"/>
      <c r="L289" s="731"/>
      <c r="M289" s="731"/>
      <c r="N289" s="731"/>
      <c r="O289" s="731"/>
      <c r="P289" s="731"/>
      <c r="Q289" s="731"/>
      <c r="R289" s="731"/>
      <c r="S289" s="731"/>
      <c r="T289" s="731"/>
      <c r="U289" s="731"/>
      <c r="V289" s="731"/>
      <c r="W289" s="731"/>
      <c r="X289" s="731"/>
      <c r="Y289" s="731"/>
      <c r="Z289" s="731"/>
    </row>
    <row r="290" spans="1:26" x14ac:dyDescent="0.2">
      <c r="A290" s="735">
        <f>Study!CF289</f>
        <v>255</v>
      </c>
      <c r="B290" s="736" t="str">
        <f>Study!CG289</f>
        <v>مكتبي - قيمة الوحدة</v>
      </c>
      <c r="C290" s="743">
        <f>Study!CH289</f>
        <v>0</v>
      </c>
      <c r="D290" s="736" t="str">
        <f>Study!CI289</f>
        <v>البيع المباشر - مكتبي</v>
      </c>
      <c r="E290" s="738" t="str">
        <f>Study!CJ289</f>
        <v>I134</v>
      </c>
      <c r="F290" s="736" t="str">
        <f>Study!CK289</f>
        <v>ريال سعودي</v>
      </c>
      <c r="G290" s="731"/>
      <c r="H290" s="731"/>
      <c r="I290" s="731"/>
      <c r="J290" s="731"/>
      <c r="K290" s="731"/>
      <c r="L290" s="731"/>
      <c r="M290" s="731"/>
      <c r="N290" s="731"/>
      <c r="O290" s="731"/>
      <c r="P290" s="731"/>
      <c r="Q290" s="731"/>
      <c r="R290" s="731"/>
      <c r="S290" s="731"/>
      <c r="T290" s="731"/>
      <c r="U290" s="731"/>
      <c r="V290" s="731"/>
      <c r="W290" s="731"/>
      <c r="X290" s="731"/>
      <c r="Y290" s="731"/>
      <c r="Z290" s="731"/>
    </row>
    <row r="291" spans="1:26" x14ac:dyDescent="0.2">
      <c r="A291" s="739">
        <f>Study!CF290</f>
        <v>256</v>
      </c>
      <c r="B291" s="740" t="str">
        <f>Study!CG290</f>
        <v>مكتبي - إجمالي المبيعات</v>
      </c>
      <c r="C291" s="744">
        <f>Study!CH290</f>
        <v>0</v>
      </c>
      <c r="D291" s="740" t="str">
        <f>Study!CI290</f>
        <v>البيع المباشر - مكتبي</v>
      </c>
      <c r="E291" s="742" t="str">
        <f>Study!CJ290</f>
        <v>J134</v>
      </c>
      <c r="F291" s="740" t="str">
        <f>Study!CK290</f>
        <v>ريال سعودي</v>
      </c>
      <c r="G291" s="731"/>
      <c r="H291" s="731"/>
      <c r="I291" s="731"/>
      <c r="J291" s="731"/>
      <c r="K291" s="731"/>
      <c r="L291" s="731"/>
      <c r="M291" s="731"/>
      <c r="N291" s="731"/>
      <c r="O291" s="731"/>
      <c r="P291" s="731"/>
      <c r="Q291" s="731"/>
      <c r="R291" s="731"/>
      <c r="S291" s="731"/>
      <c r="T291" s="731"/>
      <c r="U291" s="731"/>
      <c r="V291" s="731"/>
      <c r="W291" s="731"/>
      <c r="X291" s="731"/>
      <c r="Y291" s="731"/>
      <c r="Z291" s="731"/>
    </row>
    <row r="292" spans="1:26" ht="15" x14ac:dyDescent="0.2">
      <c r="A292" s="734" t="str">
        <f>Study!CF291</f>
        <v>▌ البيع المباشر - تجاري</v>
      </c>
      <c r="B292" s="734">
        <f>Study!CG291</f>
        <v>0</v>
      </c>
      <c r="C292" s="734">
        <f>Study!CH291</f>
        <v>0</v>
      </c>
      <c r="D292" s="734">
        <f>Study!CI291</f>
        <v>0</v>
      </c>
      <c r="E292" s="734">
        <f>Study!CJ291</f>
        <v>0</v>
      </c>
      <c r="F292" s="734">
        <f>Study!CK291</f>
        <v>0</v>
      </c>
      <c r="G292" s="731"/>
      <c r="H292" s="731"/>
      <c r="I292" s="731"/>
      <c r="J292" s="731"/>
      <c r="K292" s="731"/>
      <c r="L292" s="731"/>
      <c r="M292" s="731"/>
      <c r="N292" s="731"/>
      <c r="O292" s="731"/>
      <c r="P292" s="731"/>
      <c r="Q292" s="731"/>
      <c r="R292" s="731"/>
      <c r="S292" s="731"/>
      <c r="T292" s="731"/>
      <c r="U292" s="731"/>
      <c r="V292" s="731"/>
      <c r="W292" s="731"/>
      <c r="X292" s="731"/>
      <c r="Y292" s="731"/>
      <c r="Z292" s="731"/>
    </row>
    <row r="293" spans="1:26" x14ac:dyDescent="0.2">
      <c r="A293" s="735">
        <f>Study!CF292</f>
        <v>257</v>
      </c>
      <c r="B293" s="736" t="str">
        <f>Study!CG292</f>
        <v>تجاري - عدد الوحدات للبيع</v>
      </c>
      <c r="C293" s="750">
        <f>Study!CH292</f>
        <v>0</v>
      </c>
      <c r="D293" s="736" t="str">
        <f>Study!CI292</f>
        <v>البيع المباشر - تجاري</v>
      </c>
      <c r="E293" s="738" t="str">
        <f>Study!CJ292</f>
        <v>C135</v>
      </c>
      <c r="F293" s="736" t="str">
        <f>Study!CK292</f>
        <v>وحدة</v>
      </c>
      <c r="G293" s="731"/>
      <c r="H293" s="731"/>
      <c r="I293" s="731"/>
      <c r="J293" s="731"/>
      <c r="K293" s="731"/>
      <c r="L293" s="731"/>
      <c r="M293" s="731"/>
      <c r="N293" s="731"/>
      <c r="O293" s="731"/>
      <c r="P293" s="731"/>
      <c r="Q293" s="731"/>
      <c r="R293" s="731"/>
      <c r="S293" s="731"/>
      <c r="T293" s="731"/>
      <c r="U293" s="731"/>
      <c r="V293" s="731"/>
      <c r="W293" s="731"/>
      <c r="X293" s="731"/>
      <c r="Y293" s="731"/>
      <c r="Z293" s="731"/>
    </row>
    <row r="294" spans="1:26" x14ac:dyDescent="0.2">
      <c r="A294" s="739">
        <f>Study!CF293</f>
        <v>258</v>
      </c>
      <c r="B294" s="740" t="str">
        <f>Study!CG293</f>
        <v>تجاري - نسبة البيع</v>
      </c>
      <c r="C294" s="746">
        <f>Study!CH293</f>
        <v>1</v>
      </c>
      <c r="D294" s="740" t="str">
        <f>Study!CI293</f>
        <v>البيع المباشر - تجاري</v>
      </c>
      <c r="E294" s="742" t="str">
        <f>Study!CJ293</f>
        <v>D135</v>
      </c>
      <c r="F294" s="740" t="str">
        <f>Study!CK293</f>
        <v>نسبة مئوية</v>
      </c>
      <c r="G294" s="731"/>
      <c r="H294" s="731"/>
      <c r="I294" s="731"/>
      <c r="J294" s="731"/>
      <c r="K294" s="731"/>
      <c r="L294" s="731"/>
      <c r="M294" s="731"/>
      <c r="N294" s="731"/>
      <c r="O294" s="731"/>
      <c r="P294" s="731"/>
      <c r="Q294" s="731"/>
      <c r="R294" s="731"/>
      <c r="S294" s="731"/>
      <c r="T294" s="731"/>
      <c r="U294" s="731"/>
      <c r="V294" s="731"/>
      <c r="W294" s="731"/>
      <c r="X294" s="731"/>
      <c r="Y294" s="731"/>
      <c r="Z294" s="731"/>
    </row>
    <row r="295" spans="1:26" x14ac:dyDescent="0.2">
      <c r="A295" s="735">
        <f>Study!CF294</f>
        <v>259</v>
      </c>
      <c r="B295" s="736" t="str">
        <f>Study!CG294</f>
        <v>تجاري - المساحات القابلة للبيع</v>
      </c>
      <c r="C295" s="745">
        <f>Study!CH294</f>
        <v>0</v>
      </c>
      <c r="D295" s="736" t="str">
        <f>Study!CI294</f>
        <v>البيع المباشر - تجاري</v>
      </c>
      <c r="E295" s="738" t="str">
        <f>Study!CJ294</f>
        <v>E135</v>
      </c>
      <c r="F295" s="736" t="str">
        <f>Study!CK294</f>
        <v>م²</v>
      </c>
      <c r="G295" s="731"/>
      <c r="H295" s="731"/>
      <c r="I295" s="731"/>
      <c r="J295" s="731"/>
      <c r="K295" s="731"/>
      <c r="L295" s="731"/>
      <c r="M295" s="731"/>
      <c r="N295" s="731"/>
      <c r="O295" s="731"/>
      <c r="P295" s="731"/>
      <c r="Q295" s="731"/>
      <c r="R295" s="731"/>
      <c r="S295" s="731"/>
      <c r="T295" s="731"/>
      <c r="U295" s="731"/>
      <c r="V295" s="731"/>
      <c r="W295" s="731"/>
      <c r="X295" s="731"/>
      <c r="Y295" s="731"/>
      <c r="Z295" s="731"/>
    </row>
    <row r="296" spans="1:26" x14ac:dyDescent="0.2">
      <c r="A296" s="739">
        <f>Study!CF295</f>
        <v>260</v>
      </c>
      <c r="B296" s="740" t="str">
        <f>Study!CG295</f>
        <v>تجاري - مساحة الوحدة</v>
      </c>
      <c r="C296" s="749" t="str">
        <f>Study!CH295</f>
        <v>0</v>
      </c>
      <c r="D296" s="740" t="str">
        <f>Study!CI295</f>
        <v>البيع المباشر - تجاري</v>
      </c>
      <c r="E296" s="742" t="str">
        <f>Study!CJ295</f>
        <v>F135</v>
      </c>
      <c r="F296" s="740" t="str">
        <f>Study!CK295</f>
        <v>م²</v>
      </c>
      <c r="G296" s="731"/>
      <c r="H296" s="731"/>
      <c r="I296" s="731"/>
      <c r="J296" s="731"/>
      <c r="K296" s="731"/>
      <c r="L296" s="731"/>
      <c r="M296" s="731"/>
      <c r="N296" s="731"/>
      <c r="O296" s="731"/>
      <c r="P296" s="731"/>
      <c r="Q296" s="731"/>
      <c r="R296" s="731"/>
      <c r="S296" s="731"/>
      <c r="T296" s="731"/>
      <c r="U296" s="731"/>
      <c r="V296" s="731"/>
      <c r="W296" s="731"/>
      <c r="X296" s="731"/>
      <c r="Y296" s="731"/>
      <c r="Z296" s="731"/>
    </row>
    <row r="297" spans="1:26" x14ac:dyDescent="0.2">
      <c r="A297" s="735">
        <f>Study!CF296</f>
        <v>261</v>
      </c>
      <c r="B297" s="736" t="str">
        <f>Study!CG296</f>
        <v>تجاري - سعر بيع المتر</v>
      </c>
      <c r="C297" s="743">
        <f>Study!CH296</f>
        <v>0</v>
      </c>
      <c r="D297" s="736" t="str">
        <f>Study!CI296</f>
        <v>البيع المباشر - تجاري</v>
      </c>
      <c r="E297" s="738" t="str">
        <f>Study!CJ296</f>
        <v>H135</v>
      </c>
      <c r="F297" s="736" t="str">
        <f>Study!CK296</f>
        <v>ريال/م²</v>
      </c>
      <c r="G297" s="731"/>
      <c r="H297" s="731"/>
      <c r="I297" s="731"/>
      <c r="J297" s="731"/>
      <c r="K297" s="731"/>
      <c r="L297" s="731"/>
      <c r="M297" s="731"/>
      <c r="N297" s="731"/>
      <c r="O297" s="731"/>
      <c r="P297" s="731"/>
      <c r="Q297" s="731"/>
      <c r="R297" s="731"/>
      <c r="S297" s="731"/>
      <c r="T297" s="731"/>
      <c r="U297" s="731"/>
      <c r="V297" s="731"/>
      <c r="W297" s="731"/>
      <c r="X297" s="731"/>
      <c r="Y297" s="731"/>
      <c r="Z297" s="731"/>
    </row>
    <row r="298" spans="1:26" x14ac:dyDescent="0.2">
      <c r="A298" s="739">
        <f>Study!CF297</f>
        <v>262</v>
      </c>
      <c r="B298" s="740" t="str">
        <f>Study!CG297</f>
        <v>تجاري - قيمة الوحدة</v>
      </c>
      <c r="C298" s="744">
        <f>Study!CH297</f>
        <v>0</v>
      </c>
      <c r="D298" s="740" t="str">
        <f>Study!CI297</f>
        <v>البيع المباشر - تجاري</v>
      </c>
      <c r="E298" s="742" t="str">
        <f>Study!CJ297</f>
        <v>I135</v>
      </c>
      <c r="F298" s="740" t="str">
        <f>Study!CK297</f>
        <v>ريال سعودي</v>
      </c>
      <c r="G298" s="731"/>
      <c r="H298" s="731"/>
      <c r="I298" s="731"/>
      <c r="J298" s="731"/>
      <c r="K298" s="731"/>
      <c r="L298" s="731"/>
      <c r="M298" s="731"/>
      <c r="N298" s="731"/>
      <c r="O298" s="731"/>
      <c r="P298" s="731"/>
      <c r="Q298" s="731"/>
      <c r="R298" s="731"/>
      <c r="S298" s="731"/>
      <c r="T298" s="731"/>
      <c r="U298" s="731"/>
      <c r="V298" s="731"/>
      <c r="W298" s="731"/>
      <c r="X298" s="731"/>
      <c r="Y298" s="731"/>
      <c r="Z298" s="731"/>
    </row>
    <row r="299" spans="1:26" x14ac:dyDescent="0.2">
      <c r="A299" s="735">
        <f>Study!CF298</f>
        <v>263</v>
      </c>
      <c r="B299" s="736" t="str">
        <f>Study!CG298</f>
        <v>تجاري - إجمالي المبيعات</v>
      </c>
      <c r="C299" s="743">
        <f>Study!CH298</f>
        <v>0</v>
      </c>
      <c r="D299" s="736" t="str">
        <f>Study!CI298</f>
        <v>البيع المباشر - تجاري</v>
      </c>
      <c r="E299" s="738" t="str">
        <f>Study!CJ298</f>
        <v>J135</v>
      </c>
      <c r="F299" s="736" t="str">
        <f>Study!CK298</f>
        <v>ريال سعودي</v>
      </c>
      <c r="G299" s="731"/>
      <c r="H299" s="731"/>
      <c r="I299" s="731"/>
      <c r="J299" s="731"/>
      <c r="K299" s="731"/>
      <c r="L299" s="731"/>
      <c r="M299" s="731"/>
      <c r="N299" s="731"/>
      <c r="O299" s="731"/>
      <c r="P299" s="731"/>
      <c r="Q299" s="731"/>
      <c r="R299" s="731"/>
      <c r="S299" s="731"/>
      <c r="T299" s="731"/>
      <c r="U299" s="731"/>
      <c r="V299" s="731"/>
      <c r="W299" s="731"/>
      <c r="X299" s="731"/>
      <c r="Y299" s="731"/>
      <c r="Z299" s="731"/>
    </row>
    <row r="300" spans="1:26" ht="15" x14ac:dyDescent="0.2">
      <c r="A300" s="734" t="str">
        <f>Study!CF299</f>
        <v>▌ البيع المباشر - فندقي</v>
      </c>
      <c r="B300" s="734">
        <f>Study!CG299</f>
        <v>0</v>
      </c>
      <c r="C300" s="734">
        <f>Study!CH299</f>
        <v>0</v>
      </c>
      <c r="D300" s="734">
        <f>Study!CI299</f>
        <v>0</v>
      </c>
      <c r="E300" s="734">
        <f>Study!CJ299</f>
        <v>0</v>
      </c>
      <c r="F300" s="734">
        <f>Study!CK299</f>
        <v>0</v>
      </c>
      <c r="G300" s="731"/>
      <c r="H300" s="731"/>
      <c r="I300" s="731"/>
      <c r="J300" s="731"/>
      <c r="K300" s="731"/>
      <c r="L300" s="731"/>
      <c r="M300" s="731"/>
      <c r="N300" s="731"/>
      <c r="O300" s="731"/>
      <c r="P300" s="731"/>
      <c r="Q300" s="731"/>
      <c r="R300" s="731"/>
      <c r="S300" s="731"/>
      <c r="T300" s="731"/>
      <c r="U300" s="731"/>
      <c r="V300" s="731"/>
      <c r="W300" s="731"/>
      <c r="X300" s="731"/>
      <c r="Y300" s="731"/>
      <c r="Z300" s="731"/>
    </row>
    <row r="301" spans="1:26" x14ac:dyDescent="0.2">
      <c r="A301" s="739">
        <f>Study!CF300</f>
        <v>264</v>
      </c>
      <c r="B301" s="740" t="str">
        <f>Study!CG300</f>
        <v>فندقي - عدد الوحدات للبيع</v>
      </c>
      <c r="C301" s="751">
        <f>Study!CH300</f>
        <v>100</v>
      </c>
      <c r="D301" s="740" t="str">
        <f>Study!CI300</f>
        <v>البيع المباشر - فندقي</v>
      </c>
      <c r="E301" s="742" t="str">
        <f>Study!CJ300</f>
        <v>C136</v>
      </c>
      <c r="F301" s="740" t="str">
        <f>Study!CK300</f>
        <v>وحدة</v>
      </c>
      <c r="G301" s="731"/>
      <c r="H301" s="731"/>
      <c r="I301" s="731"/>
      <c r="J301" s="731"/>
      <c r="K301" s="731"/>
      <c r="L301" s="731"/>
      <c r="M301" s="731"/>
      <c r="N301" s="731"/>
      <c r="O301" s="731"/>
      <c r="P301" s="731"/>
      <c r="Q301" s="731"/>
      <c r="R301" s="731"/>
      <c r="S301" s="731"/>
      <c r="T301" s="731"/>
      <c r="U301" s="731"/>
      <c r="V301" s="731"/>
      <c r="W301" s="731"/>
      <c r="X301" s="731"/>
      <c r="Y301" s="731"/>
      <c r="Z301" s="731"/>
    </row>
    <row r="302" spans="1:26" x14ac:dyDescent="0.2">
      <c r="A302" s="735">
        <f>Study!CF301</f>
        <v>265</v>
      </c>
      <c r="B302" s="736" t="str">
        <f>Study!CG301</f>
        <v>فندقي - نسبة البيع</v>
      </c>
      <c r="C302" s="747">
        <f>Study!CH301</f>
        <v>1</v>
      </c>
      <c r="D302" s="736" t="str">
        <f>Study!CI301</f>
        <v>البيع المباشر - فندقي</v>
      </c>
      <c r="E302" s="738" t="str">
        <f>Study!CJ301</f>
        <v>D136</v>
      </c>
      <c r="F302" s="736" t="str">
        <f>Study!CK301</f>
        <v>نسبة مئوية</v>
      </c>
      <c r="G302" s="731"/>
      <c r="H302" s="731"/>
      <c r="I302" s="731"/>
      <c r="J302" s="731"/>
      <c r="K302" s="731"/>
      <c r="L302" s="731"/>
      <c r="M302" s="731"/>
      <c r="N302" s="731"/>
      <c r="O302" s="731"/>
      <c r="P302" s="731"/>
      <c r="Q302" s="731"/>
      <c r="R302" s="731"/>
      <c r="S302" s="731"/>
      <c r="T302" s="731"/>
      <c r="U302" s="731"/>
      <c r="V302" s="731"/>
      <c r="W302" s="731"/>
      <c r="X302" s="731"/>
      <c r="Y302" s="731"/>
      <c r="Z302" s="731"/>
    </row>
    <row r="303" spans="1:26" x14ac:dyDescent="0.2">
      <c r="A303" s="739">
        <f>Study!CF302</f>
        <v>266</v>
      </c>
      <c r="B303" s="740" t="str">
        <f>Study!CG302</f>
        <v>فندقي - المساحات القابلة للبيع</v>
      </c>
      <c r="C303" s="749">
        <f>Study!CH302</f>
        <v>3566.9999999999991</v>
      </c>
      <c r="D303" s="740" t="str">
        <f>Study!CI302</f>
        <v>البيع المباشر - فندقي</v>
      </c>
      <c r="E303" s="742" t="str">
        <f>Study!CJ302</f>
        <v>E136</v>
      </c>
      <c r="F303" s="740" t="str">
        <f>Study!CK302</f>
        <v>م²</v>
      </c>
      <c r="G303" s="731"/>
      <c r="H303" s="731"/>
      <c r="I303" s="731"/>
      <c r="J303" s="731"/>
      <c r="K303" s="731"/>
      <c r="L303" s="731"/>
      <c r="M303" s="731"/>
      <c r="N303" s="731"/>
      <c r="O303" s="731"/>
      <c r="P303" s="731"/>
      <c r="Q303" s="731"/>
      <c r="R303" s="731"/>
      <c r="S303" s="731"/>
      <c r="T303" s="731"/>
      <c r="U303" s="731"/>
      <c r="V303" s="731"/>
      <c r="W303" s="731"/>
      <c r="X303" s="731"/>
      <c r="Y303" s="731"/>
      <c r="Z303" s="731"/>
    </row>
    <row r="304" spans="1:26" x14ac:dyDescent="0.2">
      <c r="A304" s="735">
        <f>Study!CF303</f>
        <v>267</v>
      </c>
      <c r="B304" s="736" t="str">
        <f>Study!CG303</f>
        <v>فندقي - مساحة الوحدة</v>
      </c>
      <c r="C304" s="745">
        <f>Study!CH303</f>
        <v>35.669999999999987</v>
      </c>
      <c r="D304" s="736" t="str">
        <f>Study!CI303</f>
        <v>البيع المباشر - فندقي</v>
      </c>
      <c r="E304" s="738" t="str">
        <f>Study!CJ303</f>
        <v>F136</v>
      </c>
      <c r="F304" s="736" t="str">
        <f>Study!CK303</f>
        <v>م²</v>
      </c>
      <c r="G304" s="731"/>
      <c r="H304" s="731"/>
      <c r="I304" s="731"/>
      <c r="J304" s="731"/>
      <c r="K304" s="731"/>
      <c r="L304" s="731"/>
      <c r="M304" s="731"/>
      <c r="N304" s="731"/>
      <c r="O304" s="731"/>
      <c r="P304" s="731"/>
      <c r="Q304" s="731"/>
      <c r="R304" s="731"/>
      <c r="S304" s="731"/>
      <c r="T304" s="731"/>
      <c r="U304" s="731"/>
      <c r="V304" s="731"/>
      <c r="W304" s="731"/>
      <c r="X304" s="731"/>
      <c r="Y304" s="731"/>
      <c r="Z304" s="731"/>
    </row>
    <row r="305" spans="1:26" x14ac:dyDescent="0.2">
      <c r="A305" s="739">
        <f>Study!CF304</f>
        <v>268</v>
      </c>
      <c r="B305" s="740" t="str">
        <f>Study!CG304</f>
        <v>فندقي - سعر بيع المتر</v>
      </c>
      <c r="C305" s="744">
        <f>Study!CH304</f>
        <v>0</v>
      </c>
      <c r="D305" s="740" t="str">
        <f>Study!CI304</f>
        <v>البيع المباشر - فندقي</v>
      </c>
      <c r="E305" s="742" t="str">
        <f>Study!CJ304</f>
        <v>H136</v>
      </c>
      <c r="F305" s="740" t="str">
        <f>Study!CK304</f>
        <v>ريال/م²</v>
      </c>
      <c r="G305" s="731"/>
      <c r="H305" s="731"/>
      <c r="I305" s="731"/>
      <c r="J305" s="731"/>
      <c r="K305" s="731"/>
      <c r="L305" s="731"/>
      <c r="M305" s="731"/>
      <c r="N305" s="731"/>
      <c r="O305" s="731"/>
      <c r="P305" s="731"/>
      <c r="Q305" s="731"/>
      <c r="R305" s="731"/>
      <c r="S305" s="731"/>
      <c r="T305" s="731"/>
      <c r="U305" s="731"/>
      <c r="V305" s="731"/>
      <c r="W305" s="731"/>
      <c r="X305" s="731"/>
      <c r="Y305" s="731"/>
      <c r="Z305" s="731"/>
    </row>
    <row r="306" spans="1:26" x14ac:dyDescent="0.2">
      <c r="A306" s="735">
        <f>Study!CF305</f>
        <v>269</v>
      </c>
      <c r="B306" s="736" t="str">
        <f>Study!CG305</f>
        <v>فندقي - قيمة الوحدة</v>
      </c>
      <c r="C306" s="743">
        <f>Study!CH305</f>
        <v>0</v>
      </c>
      <c r="D306" s="736" t="str">
        <f>Study!CI305</f>
        <v>البيع المباشر - فندقي</v>
      </c>
      <c r="E306" s="738" t="str">
        <f>Study!CJ305</f>
        <v>I136</v>
      </c>
      <c r="F306" s="736" t="str">
        <f>Study!CK305</f>
        <v>ريال سعودي</v>
      </c>
      <c r="G306" s="731"/>
      <c r="H306" s="731"/>
      <c r="I306" s="731"/>
      <c r="J306" s="731"/>
      <c r="K306" s="731"/>
      <c r="L306" s="731"/>
      <c r="M306" s="731"/>
      <c r="N306" s="731"/>
      <c r="O306" s="731"/>
      <c r="P306" s="731"/>
      <c r="Q306" s="731"/>
      <c r="R306" s="731"/>
      <c r="S306" s="731"/>
      <c r="T306" s="731"/>
      <c r="U306" s="731"/>
      <c r="V306" s="731"/>
      <c r="W306" s="731"/>
      <c r="X306" s="731"/>
      <c r="Y306" s="731"/>
      <c r="Z306" s="731"/>
    </row>
    <row r="307" spans="1:26" x14ac:dyDescent="0.2">
      <c r="A307" s="739">
        <f>Study!CF306</f>
        <v>270</v>
      </c>
      <c r="B307" s="740" t="str">
        <f>Study!CG306</f>
        <v>فندقي - إجمالي المبيعات</v>
      </c>
      <c r="C307" s="744">
        <f>Study!CH306</f>
        <v>0</v>
      </c>
      <c r="D307" s="740" t="str">
        <f>Study!CI306</f>
        <v>البيع المباشر - فندقي</v>
      </c>
      <c r="E307" s="742" t="str">
        <f>Study!CJ306</f>
        <v>J136</v>
      </c>
      <c r="F307" s="740" t="str">
        <f>Study!CK306</f>
        <v>ريال سعودي</v>
      </c>
      <c r="G307" s="731"/>
      <c r="H307" s="731"/>
      <c r="I307" s="731"/>
      <c r="J307" s="731"/>
      <c r="K307" s="731"/>
      <c r="L307" s="731"/>
      <c r="M307" s="731"/>
      <c r="N307" s="731"/>
      <c r="O307" s="731"/>
      <c r="P307" s="731"/>
      <c r="Q307" s="731"/>
      <c r="R307" s="731"/>
      <c r="S307" s="731"/>
      <c r="T307" s="731"/>
      <c r="U307" s="731"/>
      <c r="V307" s="731"/>
      <c r="W307" s="731"/>
      <c r="X307" s="731"/>
      <c r="Y307" s="731"/>
      <c r="Z307" s="731"/>
    </row>
    <row r="308" spans="1:26" ht="15" x14ac:dyDescent="0.2">
      <c r="A308" s="734" t="str">
        <f>Study!CF307</f>
        <v>▌ البيع المباشر - صحي</v>
      </c>
      <c r="B308" s="734">
        <f>Study!CG307</f>
        <v>0</v>
      </c>
      <c r="C308" s="734">
        <f>Study!CH307</f>
        <v>0</v>
      </c>
      <c r="D308" s="734">
        <f>Study!CI307</f>
        <v>0</v>
      </c>
      <c r="E308" s="734">
        <f>Study!CJ307</f>
        <v>0</v>
      </c>
      <c r="F308" s="734">
        <f>Study!CK307</f>
        <v>0</v>
      </c>
      <c r="G308" s="731"/>
      <c r="H308" s="731"/>
      <c r="I308" s="731"/>
      <c r="J308" s="731"/>
      <c r="K308" s="731"/>
      <c r="L308" s="731"/>
      <c r="M308" s="731"/>
      <c r="N308" s="731"/>
      <c r="O308" s="731"/>
      <c r="P308" s="731"/>
      <c r="Q308" s="731"/>
      <c r="R308" s="731"/>
      <c r="S308" s="731"/>
      <c r="T308" s="731"/>
      <c r="U308" s="731"/>
      <c r="V308" s="731"/>
      <c r="W308" s="731"/>
      <c r="X308" s="731"/>
      <c r="Y308" s="731"/>
      <c r="Z308" s="731"/>
    </row>
    <row r="309" spans="1:26" x14ac:dyDescent="0.2">
      <c r="A309" s="735">
        <f>Study!CF308</f>
        <v>271</v>
      </c>
      <c r="B309" s="736" t="str">
        <f>Study!CG308</f>
        <v>صحي - عدد الوحدات للبيع</v>
      </c>
      <c r="C309" s="750">
        <f>Study!CH308</f>
        <v>0</v>
      </c>
      <c r="D309" s="736" t="str">
        <f>Study!CI308</f>
        <v>البيع المباشر - صحي</v>
      </c>
      <c r="E309" s="738" t="str">
        <f>Study!CJ308</f>
        <v>C137</v>
      </c>
      <c r="F309" s="736" t="str">
        <f>Study!CK308</f>
        <v>وحدة</v>
      </c>
      <c r="G309" s="731"/>
      <c r="H309" s="731"/>
      <c r="I309" s="731"/>
      <c r="J309" s="731"/>
      <c r="K309" s="731"/>
      <c r="L309" s="731"/>
      <c r="M309" s="731"/>
      <c r="N309" s="731"/>
      <c r="O309" s="731"/>
      <c r="P309" s="731"/>
      <c r="Q309" s="731"/>
      <c r="R309" s="731"/>
      <c r="S309" s="731"/>
      <c r="T309" s="731"/>
      <c r="U309" s="731"/>
      <c r="V309" s="731"/>
      <c r="W309" s="731"/>
      <c r="X309" s="731"/>
      <c r="Y309" s="731"/>
      <c r="Z309" s="731"/>
    </row>
    <row r="310" spans="1:26" x14ac:dyDescent="0.2">
      <c r="A310" s="739">
        <f>Study!CF309</f>
        <v>272</v>
      </c>
      <c r="B310" s="740" t="str">
        <f>Study!CG309</f>
        <v>صحي - نسبة البيع</v>
      </c>
      <c r="C310" s="746">
        <f>Study!CH309</f>
        <v>1</v>
      </c>
      <c r="D310" s="740" t="str">
        <f>Study!CI309</f>
        <v>البيع المباشر - صحي</v>
      </c>
      <c r="E310" s="742" t="str">
        <f>Study!CJ309</f>
        <v>D137</v>
      </c>
      <c r="F310" s="740" t="str">
        <f>Study!CK309</f>
        <v>نسبة مئوية</v>
      </c>
      <c r="G310" s="731"/>
      <c r="H310" s="731"/>
      <c r="I310" s="731"/>
      <c r="J310" s="731"/>
      <c r="K310" s="731"/>
      <c r="L310" s="731"/>
      <c r="M310" s="731"/>
      <c r="N310" s="731"/>
      <c r="O310" s="731"/>
      <c r="P310" s="731"/>
      <c r="Q310" s="731"/>
      <c r="R310" s="731"/>
      <c r="S310" s="731"/>
      <c r="T310" s="731"/>
      <c r="U310" s="731"/>
      <c r="V310" s="731"/>
      <c r="W310" s="731"/>
      <c r="X310" s="731"/>
      <c r="Y310" s="731"/>
      <c r="Z310" s="731"/>
    </row>
    <row r="311" spans="1:26" x14ac:dyDescent="0.2">
      <c r="A311" s="735">
        <f>Study!CF310</f>
        <v>273</v>
      </c>
      <c r="B311" s="736" t="str">
        <f>Study!CG310</f>
        <v>صحي - المساحات القابلة للبيع</v>
      </c>
      <c r="C311" s="745">
        <f>Study!CH310</f>
        <v>0</v>
      </c>
      <c r="D311" s="736" t="str">
        <f>Study!CI310</f>
        <v>البيع المباشر - صحي</v>
      </c>
      <c r="E311" s="738" t="str">
        <f>Study!CJ310</f>
        <v>E137</v>
      </c>
      <c r="F311" s="736" t="str">
        <f>Study!CK310</f>
        <v>م²</v>
      </c>
      <c r="G311" s="731"/>
      <c r="H311" s="731"/>
      <c r="I311" s="731"/>
      <c r="J311" s="731"/>
      <c r="K311" s="731"/>
      <c r="L311" s="731"/>
      <c r="M311" s="731"/>
      <c r="N311" s="731"/>
      <c r="O311" s="731"/>
      <c r="P311" s="731"/>
      <c r="Q311" s="731"/>
      <c r="R311" s="731"/>
      <c r="S311" s="731"/>
      <c r="T311" s="731"/>
      <c r="U311" s="731"/>
      <c r="V311" s="731"/>
      <c r="W311" s="731"/>
      <c r="X311" s="731"/>
      <c r="Y311" s="731"/>
      <c r="Z311" s="731"/>
    </row>
    <row r="312" spans="1:26" x14ac:dyDescent="0.2">
      <c r="A312" s="739">
        <f>Study!CF311</f>
        <v>274</v>
      </c>
      <c r="B312" s="740" t="str">
        <f>Study!CG311</f>
        <v>صحي - مساحة الوحدة</v>
      </c>
      <c r="C312" s="749" t="str">
        <f>Study!CH311</f>
        <v>0</v>
      </c>
      <c r="D312" s="740" t="str">
        <f>Study!CI311</f>
        <v>البيع المباشر - صحي</v>
      </c>
      <c r="E312" s="742" t="str">
        <f>Study!CJ311</f>
        <v>F137</v>
      </c>
      <c r="F312" s="740" t="str">
        <f>Study!CK311</f>
        <v>م²</v>
      </c>
      <c r="G312" s="731"/>
      <c r="H312" s="731"/>
      <c r="I312" s="731"/>
      <c r="J312" s="731"/>
      <c r="K312" s="731"/>
      <c r="L312" s="731"/>
      <c r="M312" s="731"/>
      <c r="N312" s="731"/>
      <c r="O312" s="731"/>
      <c r="P312" s="731"/>
      <c r="Q312" s="731"/>
      <c r="R312" s="731"/>
      <c r="S312" s="731"/>
      <c r="T312" s="731"/>
      <c r="U312" s="731"/>
      <c r="V312" s="731"/>
      <c r="W312" s="731"/>
      <c r="X312" s="731"/>
      <c r="Y312" s="731"/>
      <c r="Z312" s="731"/>
    </row>
    <row r="313" spans="1:26" x14ac:dyDescent="0.2">
      <c r="A313" s="735">
        <f>Study!CF312</f>
        <v>275</v>
      </c>
      <c r="B313" s="736" t="str">
        <f>Study!CG312</f>
        <v>صحي - سعر بيع المتر</v>
      </c>
      <c r="C313" s="743">
        <f>Study!CH312</f>
        <v>0</v>
      </c>
      <c r="D313" s="736" t="str">
        <f>Study!CI312</f>
        <v>البيع المباشر - صحي</v>
      </c>
      <c r="E313" s="738" t="str">
        <f>Study!CJ312</f>
        <v>H137</v>
      </c>
      <c r="F313" s="736" t="str">
        <f>Study!CK312</f>
        <v>ريال/م²</v>
      </c>
      <c r="G313" s="731"/>
      <c r="H313" s="731"/>
      <c r="I313" s="731"/>
      <c r="J313" s="731"/>
      <c r="K313" s="731"/>
      <c r="L313" s="731"/>
      <c r="M313" s="731"/>
      <c r="N313" s="731"/>
      <c r="O313" s="731"/>
      <c r="P313" s="731"/>
      <c r="Q313" s="731"/>
      <c r="R313" s="731"/>
      <c r="S313" s="731"/>
      <c r="T313" s="731"/>
      <c r="U313" s="731"/>
      <c r="V313" s="731"/>
      <c r="W313" s="731"/>
      <c r="X313" s="731"/>
      <c r="Y313" s="731"/>
      <c r="Z313" s="731"/>
    </row>
    <row r="314" spans="1:26" x14ac:dyDescent="0.2">
      <c r="A314" s="739">
        <f>Study!CF313</f>
        <v>276</v>
      </c>
      <c r="B314" s="740" t="str">
        <f>Study!CG313</f>
        <v>صحي - قيمة الوحدة</v>
      </c>
      <c r="C314" s="744">
        <f>Study!CH313</f>
        <v>0</v>
      </c>
      <c r="D314" s="740" t="str">
        <f>Study!CI313</f>
        <v>البيع المباشر - صحي</v>
      </c>
      <c r="E314" s="742" t="str">
        <f>Study!CJ313</f>
        <v>I137</v>
      </c>
      <c r="F314" s="740" t="str">
        <f>Study!CK313</f>
        <v>ريال سعودي</v>
      </c>
      <c r="G314" s="731"/>
      <c r="H314" s="731"/>
      <c r="I314" s="731"/>
      <c r="J314" s="731"/>
      <c r="K314" s="731"/>
      <c r="L314" s="731"/>
      <c r="M314" s="731"/>
      <c r="N314" s="731"/>
      <c r="O314" s="731"/>
      <c r="P314" s="731"/>
      <c r="Q314" s="731"/>
      <c r="R314" s="731"/>
      <c r="S314" s="731"/>
      <c r="T314" s="731"/>
      <c r="U314" s="731"/>
      <c r="V314" s="731"/>
      <c r="W314" s="731"/>
      <c r="X314" s="731"/>
      <c r="Y314" s="731"/>
      <c r="Z314" s="731"/>
    </row>
    <row r="315" spans="1:26" x14ac:dyDescent="0.2">
      <c r="A315" s="735">
        <f>Study!CF314</f>
        <v>277</v>
      </c>
      <c r="B315" s="736" t="str">
        <f>Study!CG314</f>
        <v>صحي - إجمالي المبيعات</v>
      </c>
      <c r="C315" s="743">
        <f>Study!CH314</f>
        <v>0</v>
      </c>
      <c r="D315" s="736" t="str">
        <f>Study!CI314</f>
        <v>البيع المباشر - صحي</v>
      </c>
      <c r="E315" s="738" t="str">
        <f>Study!CJ314</f>
        <v>J137</v>
      </c>
      <c r="F315" s="736" t="str">
        <f>Study!CK314</f>
        <v>ريال سعودي</v>
      </c>
      <c r="G315" s="731"/>
      <c r="H315" s="731"/>
      <c r="I315" s="731"/>
      <c r="J315" s="731"/>
      <c r="K315" s="731"/>
      <c r="L315" s="731"/>
      <c r="M315" s="731"/>
      <c r="N315" s="731"/>
      <c r="O315" s="731"/>
      <c r="P315" s="731"/>
      <c r="Q315" s="731"/>
      <c r="R315" s="731"/>
      <c r="S315" s="731"/>
      <c r="T315" s="731"/>
      <c r="U315" s="731"/>
      <c r="V315" s="731"/>
      <c r="W315" s="731"/>
      <c r="X315" s="731"/>
      <c r="Y315" s="731"/>
      <c r="Z315" s="731"/>
    </row>
    <row r="316" spans="1:26" ht="15" x14ac:dyDescent="0.2">
      <c r="A316" s="734" t="str">
        <f>Study!CF315</f>
        <v>▌ البيع المباشر - أخرى</v>
      </c>
      <c r="B316" s="734">
        <f>Study!CG315</f>
        <v>0</v>
      </c>
      <c r="C316" s="734">
        <f>Study!CH315</f>
        <v>0</v>
      </c>
      <c r="D316" s="734">
        <f>Study!CI315</f>
        <v>0</v>
      </c>
      <c r="E316" s="734">
        <f>Study!CJ315</f>
        <v>0</v>
      </c>
      <c r="F316" s="734">
        <f>Study!CK315</f>
        <v>0</v>
      </c>
      <c r="G316" s="731"/>
      <c r="H316" s="731"/>
      <c r="I316" s="731"/>
      <c r="J316" s="731"/>
      <c r="K316" s="731"/>
      <c r="L316" s="731"/>
      <c r="M316" s="731"/>
      <c r="N316" s="731"/>
      <c r="O316" s="731"/>
      <c r="P316" s="731"/>
      <c r="Q316" s="731"/>
      <c r="R316" s="731"/>
      <c r="S316" s="731"/>
      <c r="T316" s="731"/>
      <c r="U316" s="731"/>
      <c r="V316" s="731"/>
      <c r="W316" s="731"/>
      <c r="X316" s="731"/>
      <c r="Y316" s="731"/>
      <c r="Z316" s="731"/>
    </row>
    <row r="317" spans="1:26" x14ac:dyDescent="0.2">
      <c r="A317" s="739">
        <f>Study!CF316</f>
        <v>278</v>
      </c>
      <c r="B317" s="740" t="str">
        <f>Study!CG316</f>
        <v>أخرى - عدد الوحدات للبيع</v>
      </c>
      <c r="C317" s="751">
        <f>Study!CH316</f>
        <v>0</v>
      </c>
      <c r="D317" s="740" t="str">
        <f>Study!CI316</f>
        <v>البيع المباشر - أخرى</v>
      </c>
      <c r="E317" s="742" t="str">
        <f>Study!CJ316</f>
        <v>C138</v>
      </c>
      <c r="F317" s="740" t="str">
        <f>Study!CK316</f>
        <v>وحدة</v>
      </c>
      <c r="G317" s="731"/>
      <c r="H317" s="731"/>
      <c r="I317" s="731"/>
      <c r="J317" s="731"/>
      <c r="K317" s="731"/>
      <c r="L317" s="731"/>
      <c r="M317" s="731"/>
      <c r="N317" s="731"/>
      <c r="O317" s="731"/>
      <c r="P317" s="731"/>
      <c r="Q317" s="731"/>
      <c r="R317" s="731"/>
      <c r="S317" s="731"/>
      <c r="T317" s="731"/>
      <c r="U317" s="731"/>
      <c r="V317" s="731"/>
      <c r="W317" s="731"/>
      <c r="X317" s="731"/>
      <c r="Y317" s="731"/>
      <c r="Z317" s="731"/>
    </row>
    <row r="318" spans="1:26" x14ac:dyDescent="0.2">
      <c r="A318" s="735">
        <f>Study!CF317</f>
        <v>279</v>
      </c>
      <c r="B318" s="736" t="str">
        <f>Study!CG317</f>
        <v>أخرى - نسبة البيع</v>
      </c>
      <c r="C318" s="747">
        <f>Study!CH317</f>
        <v>1</v>
      </c>
      <c r="D318" s="736" t="str">
        <f>Study!CI317</f>
        <v>البيع المباشر - أخرى</v>
      </c>
      <c r="E318" s="738" t="str">
        <f>Study!CJ317</f>
        <v>D138</v>
      </c>
      <c r="F318" s="736" t="str">
        <f>Study!CK317</f>
        <v>نسبة مئوية</v>
      </c>
      <c r="G318" s="731"/>
      <c r="H318" s="731"/>
      <c r="I318" s="731"/>
      <c r="J318" s="731"/>
      <c r="K318" s="731"/>
      <c r="L318" s="731"/>
      <c r="M318" s="731"/>
      <c r="N318" s="731"/>
      <c r="O318" s="731"/>
      <c r="P318" s="731"/>
      <c r="Q318" s="731"/>
      <c r="R318" s="731"/>
      <c r="S318" s="731"/>
      <c r="T318" s="731"/>
      <c r="U318" s="731"/>
      <c r="V318" s="731"/>
      <c r="W318" s="731"/>
      <c r="X318" s="731"/>
      <c r="Y318" s="731"/>
      <c r="Z318" s="731"/>
    </row>
    <row r="319" spans="1:26" x14ac:dyDescent="0.2">
      <c r="A319" s="739">
        <f>Study!CF318</f>
        <v>280</v>
      </c>
      <c r="B319" s="740" t="str">
        <f>Study!CG318</f>
        <v>أخرى - المساحات القابلة للبيع</v>
      </c>
      <c r="C319" s="749">
        <f>Study!CH318</f>
        <v>0</v>
      </c>
      <c r="D319" s="740" t="str">
        <f>Study!CI318</f>
        <v>البيع المباشر - أخرى</v>
      </c>
      <c r="E319" s="742" t="str">
        <f>Study!CJ318</f>
        <v>E138</v>
      </c>
      <c r="F319" s="740" t="str">
        <f>Study!CK318</f>
        <v>م²</v>
      </c>
      <c r="G319" s="731"/>
      <c r="H319" s="731"/>
      <c r="I319" s="731"/>
      <c r="J319" s="731"/>
      <c r="K319" s="731"/>
      <c r="L319" s="731"/>
      <c r="M319" s="731"/>
      <c r="N319" s="731"/>
      <c r="O319" s="731"/>
      <c r="P319" s="731"/>
      <c r="Q319" s="731"/>
      <c r="R319" s="731"/>
      <c r="S319" s="731"/>
      <c r="T319" s="731"/>
      <c r="U319" s="731"/>
      <c r="V319" s="731"/>
      <c r="W319" s="731"/>
      <c r="X319" s="731"/>
      <c r="Y319" s="731"/>
      <c r="Z319" s="731"/>
    </row>
    <row r="320" spans="1:26" x14ac:dyDescent="0.2">
      <c r="A320" s="735">
        <f>Study!CF319</f>
        <v>281</v>
      </c>
      <c r="B320" s="736" t="str">
        <f>Study!CG319</f>
        <v>أخرى - مساحة الوحدة</v>
      </c>
      <c r="C320" s="745" t="str">
        <f>Study!CH319</f>
        <v>0</v>
      </c>
      <c r="D320" s="736" t="str">
        <f>Study!CI319</f>
        <v>البيع المباشر - أخرى</v>
      </c>
      <c r="E320" s="738" t="str">
        <f>Study!CJ319</f>
        <v>F138</v>
      </c>
      <c r="F320" s="736" t="str">
        <f>Study!CK319</f>
        <v>م²</v>
      </c>
      <c r="G320" s="731"/>
      <c r="H320" s="731"/>
      <c r="I320" s="731"/>
      <c r="J320" s="731"/>
      <c r="K320" s="731"/>
      <c r="L320" s="731"/>
      <c r="M320" s="731"/>
      <c r="N320" s="731"/>
      <c r="O320" s="731"/>
      <c r="P320" s="731"/>
      <c r="Q320" s="731"/>
      <c r="R320" s="731"/>
      <c r="S320" s="731"/>
      <c r="T320" s="731"/>
      <c r="U320" s="731"/>
      <c r="V320" s="731"/>
      <c r="W320" s="731"/>
      <c r="X320" s="731"/>
      <c r="Y320" s="731"/>
      <c r="Z320" s="731"/>
    </row>
    <row r="321" spans="1:26" x14ac:dyDescent="0.2">
      <c r="A321" s="739">
        <f>Study!CF320</f>
        <v>282</v>
      </c>
      <c r="B321" s="740" t="str">
        <f>Study!CG320</f>
        <v>أخرى - سعر بيع المتر</v>
      </c>
      <c r="C321" s="744">
        <f>Study!CH320</f>
        <v>0</v>
      </c>
      <c r="D321" s="740" t="str">
        <f>Study!CI320</f>
        <v>البيع المباشر - أخرى</v>
      </c>
      <c r="E321" s="742" t="str">
        <f>Study!CJ320</f>
        <v>H138</v>
      </c>
      <c r="F321" s="740" t="str">
        <f>Study!CK320</f>
        <v>ريال/م²</v>
      </c>
      <c r="G321" s="731"/>
      <c r="H321" s="731"/>
      <c r="I321" s="731"/>
      <c r="J321" s="731"/>
      <c r="K321" s="731"/>
      <c r="L321" s="731"/>
      <c r="M321" s="731"/>
      <c r="N321" s="731"/>
      <c r="O321" s="731"/>
      <c r="P321" s="731"/>
      <c r="Q321" s="731"/>
      <c r="R321" s="731"/>
      <c r="S321" s="731"/>
      <c r="T321" s="731"/>
      <c r="U321" s="731"/>
      <c r="V321" s="731"/>
      <c r="W321" s="731"/>
      <c r="X321" s="731"/>
      <c r="Y321" s="731"/>
      <c r="Z321" s="731"/>
    </row>
    <row r="322" spans="1:26" x14ac:dyDescent="0.2">
      <c r="A322" s="735">
        <f>Study!CF321</f>
        <v>283</v>
      </c>
      <c r="B322" s="736" t="str">
        <f>Study!CG321</f>
        <v>أخرى - قيمة الوحدة</v>
      </c>
      <c r="C322" s="743">
        <f>Study!CH321</f>
        <v>0</v>
      </c>
      <c r="D322" s="736" t="str">
        <f>Study!CI321</f>
        <v>البيع المباشر - أخرى</v>
      </c>
      <c r="E322" s="738" t="str">
        <f>Study!CJ321</f>
        <v>I138</v>
      </c>
      <c r="F322" s="736" t="str">
        <f>Study!CK321</f>
        <v>ريال سعودي</v>
      </c>
      <c r="G322" s="731"/>
      <c r="H322" s="731"/>
      <c r="I322" s="731"/>
      <c r="J322" s="731"/>
      <c r="K322" s="731"/>
      <c r="L322" s="731"/>
      <c r="M322" s="731"/>
      <c r="N322" s="731"/>
      <c r="O322" s="731"/>
      <c r="P322" s="731"/>
      <c r="Q322" s="731"/>
      <c r="R322" s="731"/>
      <c r="S322" s="731"/>
      <c r="T322" s="731"/>
      <c r="U322" s="731"/>
      <c r="V322" s="731"/>
      <c r="W322" s="731"/>
      <c r="X322" s="731"/>
      <c r="Y322" s="731"/>
      <c r="Z322" s="731"/>
    </row>
    <row r="323" spans="1:26" x14ac:dyDescent="0.2">
      <c r="A323" s="739">
        <f>Study!CF322</f>
        <v>284</v>
      </c>
      <c r="B323" s="740" t="str">
        <f>Study!CG322</f>
        <v>أخرى - إجمالي المبيعات</v>
      </c>
      <c r="C323" s="744">
        <f>Study!CH322</f>
        <v>0</v>
      </c>
      <c r="D323" s="740" t="str">
        <f>Study!CI322</f>
        <v>البيع المباشر - أخرى</v>
      </c>
      <c r="E323" s="742" t="str">
        <f>Study!CJ322</f>
        <v>J138</v>
      </c>
      <c r="F323" s="740" t="str">
        <f>Study!CK322</f>
        <v>ريال سعودي</v>
      </c>
      <c r="G323" s="731"/>
      <c r="H323" s="731"/>
      <c r="I323" s="731"/>
      <c r="J323" s="731"/>
      <c r="K323" s="731"/>
      <c r="L323" s="731"/>
      <c r="M323" s="731"/>
      <c r="N323" s="731"/>
      <c r="O323" s="731"/>
      <c r="P323" s="731"/>
      <c r="Q323" s="731"/>
      <c r="R323" s="731"/>
      <c r="S323" s="731"/>
      <c r="T323" s="731"/>
      <c r="U323" s="731"/>
      <c r="V323" s="731"/>
      <c r="W323" s="731"/>
      <c r="X323" s="731"/>
      <c r="Y323" s="731"/>
      <c r="Z323" s="731"/>
    </row>
    <row r="324" spans="1:26" ht="15" x14ac:dyDescent="0.2">
      <c r="A324" s="734" t="str">
        <f>Study!CF323</f>
        <v>▌ البيع المباشر - الإجمالي</v>
      </c>
      <c r="B324" s="734">
        <f>Study!CG323</f>
        <v>0</v>
      </c>
      <c r="C324" s="734">
        <f>Study!CH323</f>
        <v>0</v>
      </c>
      <c r="D324" s="734">
        <f>Study!CI323</f>
        <v>0</v>
      </c>
      <c r="E324" s="734">
        <f>Study!CJ323</f>
        <v>0</v>
      </c>
      <c r="F324" s="734">
        <f>Study!CK323</f>
        <v>0</v>
      </c>
      <c r="G324" s="731"/>
      <c r="H324" s="731"/>
      <c r="I324" s="731"/>
      <c r="J324" s="731"/>
      <c r="K324" s="731"/>
      <c r="L324" s="731"/>
      <c r="M324" s="731"/>
      <c r="N324" s="731"/>
      <c r="O324" s="731"/>
      <c r="P324" s="731"/>
      <c r="Q324" s="731"/>
      <c r="R324" s="731"/>
      <c r="S324" s="731"/>
      <c r="T324" s="731"/>
      <c r="U324" s="731"/>
      <c r="V324" s="731"/>
      <c r="W324" s="731"/>
      <c r="X324" s="731"/>
      <c r="Y324" s="731"/>
      <c r="Z324" s="731"/>
    </row>
    <row r="325" spans="1:26" x14ac:dyDescent="0.2">
      <c r="A325" s="735">
        <f>Study!CF324</f>
        <v>285</v>
      </c>
      <c r="B325" s="736" t="str">
        <f>Study!CG324</f>
        <v>إجمالي عدد الوحدات للبيع</v>
      </c>
      <c r="C325" s="750">
        <f>Study!CH324</f>
        <v>112</v>
      </c>
      <c r="D325" s="736" t="str">
        <f>Study!CI324</f>
        <v>البيع المباشر - الإجمالي</v>
      </c>
      <c r="E325" s="738" t="str">
        <f>Study!CJ324</f>
        <v>C139</v>
      </c>
      <c r="F325" s="736" t="str">
        <f>Study!CK324</f>
        <v>وحدة</v>
      </c>
      <c r="G325" s="731"/>
      <c r="H325" s="731"/>
      <c r="I325" s="731"/>
      <c r="J325" s="731"/>
      <c r="K325" s="731"/>
      <c r="L325" s="731"/>
      <c r="M325" s="731"/>
      <c r="N325" s="731"/>
      <c r="O325" s="731"/>
      <c r="P325" s="731"/>
      <c r="Q325" s="731"/>
      <c r="R325" s="731"/>
      <c r="S325" s="731"/>
      <c r="T325" s="731"/>
      <c r="U325" s="731"/>
      <c r="V325" s="731"/>
      <c r="W325" s="731"/>
      <c r="X325" s="731"/>
      <c r="Y325" s="731"/>
      <c r="Z325" s="731"/>
    </row>
    <row r="326" spans="1:26" x14ac:dyDescent="0.2">
      <c r="A326" s="739">
        <f>Study!CF325</f>
        <v>286</v>
      </c>
      <c r="B326" s="740" t="str">
        <f>Study!CG325</f>
        <v>إجمالي مساحات البيع</v>
      </c>
      <c r="C326" s="749">
        <f>Study!CH325</f>
        <v>9920.7939999999981</v>
      </c>
      <c r="D326" s="740" t="str">
        <f>Study!CI325</f>
        <v>البيع المباشر - الإجمالي</v>
      </c>
      <c r="E326" s="742" t="str">
        <f>Study!CJ325</f>
        <v>E139</v>
      </c>
      <c r="F326" s="740" t="str">
        <f>Study!CK325</f>
        <v>م²</v>
      </c>
      <c r="G326" s="731"/>
      <c r="H326" s="731"/>
      <c r="I326" s="731"/>
      <c r="J326" s="731"/>
      <c r="K326" s="731"/>
      <c r="L326" s="731"/>
      <c r="M326" s="731"/>
      <c r="N326" s="731"/>
      <c r="O326" s="731"/>
      <c r="P326" s="731"/>
      <c r="Q326" s="731"/>
      <c r="R326" s="731"/>
      <c r="S326" s="731"/>
      <c r="T326" s="731"/>
      <c r="U326" s="731"/>
      <c r="V326" s="731"/>
      <c r="W326" s="731"/>
      <c r="X326" s="731"/>
      <c r="Y326" s="731"/>
      <c r="Z326" s="731"/>
    </row>
    <row r="327" spans="1:26" x14ac:dyDescent="0.2">
      <c r="A327" s="735">
        <f>Study!CF326</f>
        <v>287</v>
      </c>
      <c r="B327" s="736" t="str">
        <f>Study!CG326</f>
        <v>متوسط سعر بيع المتر</v>
      </c>
      <c r="C327" s="743">
        <f>Study!CH326</f>
        <v>0</v>
      </c>
      <c r="D327" s="736" t="str">
        <f>Study!CI326</f>
        <v>البيع المباشر - الإجمالي</v>
      </c>
      <c r="E327" s="738" t="str">
        <f>Study!CJ326</f>
        <v>H139</v>
      </c>
      <c r="F327" s="736" t="str">
        <f>Study!CK326</f>
        <v>ريال/م²</v>
      </c>
      <c r="G327" s="731"/>
      <c r="H327" s="731"/>
      <c r="I327" s="731"/>
      <c r="J327" s="731"/>
      <c r="K327" s="731"/>
      <c r="L327" s="731"/>
      <c r="M327" s="731"/>
      <c r="N327" s="731"/>
      <c r="O327" s="731"/>
      <c r="P327" s="731"/>
      <c r="Q327" s="731"/>
      <c r="R327" s="731"/>
      <c r="S327" s="731"/>
      <c r="T327" s="731"/>
      <c r="U327" s="731"/>
      <c r="V327" s="731"/>
      <c r="W327" s="731"/>
      <c r="X327" s="731"/>
      <c r="Y327" s="731"/>
      <c r="Z327" s="731"/>
    </row>
    <row r="328" spans="1:26" x14ac:dyDescent="0.2">
      <c r="A328" s="739">
        <f>Study!CF327</f>
        <v>288</v>
      </c>
      <c r="B328" s="740" t="str">
        <f>Study!CG327</f>
        <v>إجمالي مبيعات البيع المباشر</v>
      </c>
      <c r="C328" s="744">
        <f>Study!CH327</f>
        <v>0</v>
      </c>
      <c r="D328" s="740" t="str">
        <f>Study!CI327</f>
        <v>البيع المباشر - الإجمالي</v>
      </c>
      <c r="E328" s="742" t="str">
        <f>Study!CJ327</f>
        <v>J139</v>
      </c>
      <c r="F328" s="740" t="str">
        <f>Study!CK327</f>
        <v>ريال سعودي</v>
      </c>
      <c r="G328" s="731"/>
      <c r="H328" s="731"/>
      <c r="I328" s="731"/>
      <c r="J328" s="731"/>
      <c r="K328" s="731"/>
      <c r="L328" s="731"/>
      <c r="M328" s="731"/>
      <c r="N328" s="731"/>
      <c r="O328" s="731"/>
      <c r="P328" s="731"/>
      <c r="Q328" s="731"/>
      <c r="R328" s="731"/>
      <c r="S328" s="731"/>
      <c r="T328" s="731"/>
      <c r="U328" s="731"/>
      <c r="V328" s="731"/>
      <c r="W328" s="731"/>
      <c r="X328" s="731"/>
      <c r="Y328" s="731"/>
      <c r="Z328" s="731"/>
    </row>
    <row r="329" spans="1:26" ht="15" x14ac:dyDescent="0.2">
      <c r="A329" s="734" t="str">
        <f>Study!CF328</f>
        <v>▌ معدلات الرسملة - سكني</v>
      </c>
      <c r="B329" s="734">
        <f>Study!CG328</f>
        <v>0</v>
      </c>
      <c r="C329" s="734">
        <f>Study!CH328</f>
        <v>0</v>
      </c>
      <c r="D329" s="734">
        <f>Study!CI328</f>
        <v>0</v>
      </c>
      <c r="E329" s="734">
        <f>Study!CJ328</f>
        <v>0</v>
      </c>
      <c r="F329" s="734">
        <f>Study!CK328</f>
        <v>0</v>
      </c>
      <c r="G329" s="731"/>
      <c r="H329" s="731"/>
      <c r="I329" s="731"/>
      <c r="J329" s="731"/>
      <c r="K329" s="731"/>
      <c r="L329" s="731"/>
      <c r="M329" s="731"/>
      <c r="N329" s="731"/>
      <c r="O329" s="731"/>
      <c r="P329" s="731"/>
      <c r="Q329" s="731"/>
      <c r="R329" s="731"/>
      <c r="S329" s="731"/>
      <c r="T329" s="731"/>
      <c r="U329" s="731"/>
      <c r="V329" s="731"/>
      <c r="W329" s="731"/>
      <c r="X329" s="731"/>
      <c r="Y329" s="731"/>
      <c r="Z329" s="731"/>
    </row>
    <row r="330" spans="1:26" x14ac:dyDescent="0.2">
      <c r="A330" s="735">
        <f>Study!CF329</f>
        <v>289</v>
      </c>
      <c r="B330" s="736" t="str">
        <f>Study!CG329</f>
        <v>سكني - Cap Rate</v>
      </c>
      <c r="C330" s="747">
        <f>Study!CH329</f>
        <v>0.08</v>
      </c>
      <c r="D330" s="736" t="str">
        <f>Study!CI329</f>
        <v>معدلات الرسملة - سكني</v>
      </c>
      <c r="E330" s="738" t="str">
        <f>Study!CJ329</f>
        <v>M129</v>
      </c>
      <c r="F330" s="736" t="str">
        <f>Study!CK329</f>
        <v>نسبة مئوية</v>
      </c>
      <c r="G330" s="731"/>
      <c r="H330" s="731"/>
      <c r="I330" s="731"/>
      <c r="J330" s="731"/>
      <c r="K330" s="731"/>
      <c r="L330" s="731"/>
      <c r="M330" s="731"/>
      <c r="N330" s="731"/>
      <c r="O330" s="731"/>
      <c r="P330" s="731"/>
      <c r="Q330" s="731"/>
      <c r="R330" s="731"/>
      <c r="S330" s="731"/>
      <c r="T330" s="731"/>
      <c r="U330" s="731"/>
      <c r="V330" s="731"/>
      <c r="W330" s="731"/>
      <c r="X330" s="731"/>
      <c r="Y330" s="731"/>
      <c r="Z330" s="731"/>
    </row>
    <row r="331" spans="1:26" x14ac:dyDescent="0.2">
      <c r="A331" s="739">
        <f>Study!CF330</f>
        <v>290</v>
      </c>
      <c r="B331" s="740" t="str">
        <f>Study!CG330</f>
        <v>سكني - قيمة الوحدة بعد الرسملة</v>
      </c>
      <c r="C331" s="744">
        <f>Study!CH330</f>
        <v>2574282.375</v>
      </c>
      <c r="D331" s="740" t="str">
        <f>Study!CI330</f>
        <v>معدلات الرسملة - سكني</v>
      </c>
      <c r="E331" s="742" t="str">
        <f>Study!CJ330</f>
        <v>N129</v>
      </c>
      <c r="F331" s="740" t="str">
        <f>Study!CK330</f>
        <v>ريال سعودي</v>
      </c>
      <c r="G331" s="731"/>
      <c r="H331" s="731"/>
      <c r="I331" s="731"/>
      <c r="J331" s="731"/>
      <c r="K331" s="731"/>
      <c r="L331" s="731"/>
      <c r="M331" s="731"/>
      <c r="N331" s="731"/>
      <c r="O331" s="731"/>
      <c r="P331" s="731"/>
      <c r="Q331" s="731"/>
      <c r="R331" s="731"/>
      <c r="S331" s="731"/>
      <c r="T331" s="731"/>
      <c r="U331" s="731"/>
      <c r="V331" s="731"/>
      <c r="W331" s="731"/>
      <c r="X331" s="731"/>
      <c r="Y331" s="731"/>
      <c r="Z331" s="731"/>
    </row>
    <row r="332" spans="1:26" x14ac:dyDescent="0.2">
      <c r="A332" s="735">
        <f>Study!CF331</f>
        <v>291</v>
      </c>
      <c r="B332" s="736" t="str">
        <f>Study!CG331</f>
        <v>سكني - إجمالي القيمة بعد الرسملة</v>
      </c>
      <c r="C332" s="743">
        <f>Study!CH331</f>
        <v>29346819.074999999</v>
      </c>
      <c r="D332" s="736" t="str">
        <f>Study!CI331</f>
        <v>معدلات الرسملة - سكني</v>
      </c>
      <c r="E332" s="738" t="str">
        <f>Study!CJ331</f>
        <v>O129</v>
      </c>
      <c r="F332" s="736" t="str">
        <f>Study!CK331</f>
        <v>ريال سعودي</v>
      </c>
      <c r="G332" s="731"/>
      <c r="H332" s="731"/>
      <c r="I332" s="731"/>
      <c r="J332" s="731"/>
      <c r="K332" s="731"/>
      <c r="L332" s="731"/>
      <c r="M332" s="731"/>
      <c r="N332" s="731"/>
      <c r="O332" s="731"/>
      <c r="P332" s="731"/>
      <c r="Q332" s="731"/>
      <c r="R332" s="731"/>
      <c r="S332" s="731"/>
      <c r="T332" s="731"/>
      <c r="U332" s="731"/>
      <c r="V332" s="731"/>
      <c r="W332" s="731"/>
      <c r="X332" s="731"/>
      <c r="Y332" s="731"/>
      <c r="Z332" s="731"/>
    </row>
    <row r="333" spans="1:26" ht="15" x14ac:dyDescent="0.2">
      <c r="A333" s="734" t="str">
        <f>Study!CF332</f>
        <v>▌ معدلات الرسملة - فلل</v>
      </c>
      <c r="B333" s="734">
        <f>Study!CG332</f>
        <v>0</v>
      </c>
      <c r="C333" s="734">
        <f>Study!CH332</f>
        <v>0</v>
      </c>
      <c r="D333" s="734">
        <f>Study!CI332</f>
        <v>0</v>
      </c>
      <c r="E333" s="734">
        <f>Study!CJ332</f>
        <v>0</v>
      </c>
      <c r="F333" s="734">
        <f>Study!CK332</f>
        <v>0</v>
      </c>
      <c r="G333" s="731"/>
      <c r="H333" s="731"/>
      <c r="I333" s="731"/>
      <c r="J333" s="731"/>
      <c r="K333" s="731"/>
      <c r="L333" s="731"/>
      <c r="M333" s="731"/>
      <c r="N333" s="731"/>
      <c r="O333" s="731"/>
      <c r="P333" s="731"/>
      <c r="Q333" s="731"/>
      <c r="R333" s="731"/>
      <c r="S333" s="731"/>
      <c r="T333" s="731"/>
      <c r="U333" s="731"/>
      <c r="V333" s="731"/>
      <c r="W333" s="731"/>
      <c r="X333" s="731"/>
      <c r="Y333" s="731"/>
      <c r="Z333" s="731"/>
    </row>
    <row r="334" spans="1:26" x14ac:dyDescent="0.2">
      <c r="A334" s="739">
        <f>Study!CF333</f>
        <v>292</v>
      </c>
      <c r="B334" s="740" t="str">
        <f>Study!CG333</f>
        <v>فلل - Cap Rate</v>
      </c>
      <c r="C334" s="746">
        <f>Study!CH333</f>
        <v>0.08</v>
      </c>
      <c r="D334" s="740" t="str">
        <f>Study!CI333</f>
        <v>معدلات الرسملة - فلل</v>
      </c>
      <c r="E334" s="742" t="str">
        <f>Study!CJ333</f>
        <v>M130</v>
      </c>
      <c r="F334" s="740" t="str">
        <f>Study!CK333</f>
        <v>نسبة مئوية</v>
      </c>
      <c r="G334" s="731"/>
      <c r="H334" s="731"/>
      <c r="I334" s="731"/>
      <c r="J334" s="731"/>
      <c r="K334" s="731"/>
      <c r="L334" s="731"/>
      <c r="M334" s="731"/>
      <c r="N334" s="731"/>
      <c r="O334" s="731"/>
      <c r="P334" s="731"/>
      <c r="Q334" s="731"/>
      <c r="R334" s="731"/>
      <c r="S334" s="731"/>
      <c r="T334" s="731"/>
      <c r="U334" s="731"/>
      <c r="V334" s="731"/>
      <c r="W334" s="731"/>
      <c r="X334" s="731"/>
      <c r="Y334" s="731"/>
      <c r="Z334" s="731"/>
    </row>
    <row r="335" spans="1:26" x14ac:dyDescent="0.2">
      <c r="A335" s="735">
        <f>Study!CF334</f>
        <v>293</v>
      </c>
      <c r="B335" s="736" t="str">
        <f>Study!CG334</f>
        <v>فلل - قيمة الوحدة بعد الرسملة</v>
      </c>
      <c r="C335" s="743">
        <f>Study!CH334</f>
        <v>0</v>
      </c>
      <c r="D335" s="736" t="str">
        <f>Study!CI334</f>
        <v>معدلات الرسملة - فلل</v>
      </c>
      <c r="E335" s="738" t="str">
        <f>Study!CJ334</f>
        <v>N130</v>
      </c>
      <c r="F335" s="736" t="str">
        <f>Study!CK334</f>
        <v>ريال سعودي</v>
      </c>
      <c r="G335" s="731"/>
      <c r="H335" s="731"/>
      <c r="I335" s="731"/>
      <c r="J335" s="731"/>
      <c r="K335" s="731"/>
      <c r="L335" s="731"/>
      <c r="M335" s="731"/>
      <c r="N335" s="731"/>
      <c r="O335" s="731"/>
      <c r="P335" s="731"/>
      <c r="Q335" s="731"/>
      <c r="R335" s="731"/>
      <c r="S335" s="731"/>
      <c r="T335" s="731"/>
      <c r="U335" s="731"/>
      <c r="V335" s="731"/>
      <c r="W335" s="731"/>
      <c r="X335" s="731"/>
      <c r="Y335" s="731"/>
      <c r="Z335" s="731"/>
    </row>
    <row r="336" spans="1:26" x14ac:dyDescent="0.2">
      <c r="A336" s="739">
        <f>Study!CF335</f>
        <v>294</v>
      </c>
      <c r="B336" s="740" t="str">
        <f>Study!CG335</f>
        <v>فلل - إجمالي القيمة بعد الرسملة</v>
      </c>
      <c r="C336" s="744">
        <f>Study!CH335</f>
        <v>0</v>
      </c>
      <c r="D336" s="740" t="str">
        <f>Study!CI335</f>
        <v>معدلات الرسملة - فلل</v>
      </c>
      <c r="E336" s="742" t="str">
        <f>Study!CJ335</f>
        <v>O130</v>
      </c>
      <c r="F336" s="740" t="str">
        <f>Study!CK335</f>
        <v>ريال سعودي</v>
      </c>
      <c r="G336" s="731"/>
      <c r="H336" s="731"/>
      <c r="I336" s="731"/>
      <c r="J336" s="731"/>
      <c r="K336" s="731"/>
      <c r="L336" s="731"/>
      <c r="M336" s="731"/>
      <c r="N336" s="731"/>
      <c r="O336" s="731"/>
      <c r="P336" s="731"/>
      <c r="Q336" s="731"/>
      <c r="R336" s="731"/>
      <c r="S336" s="731"/>
      <c r="T336" s="731"/>
      <c r="U336" s="731"/>
      <c r="V336" s="731"/>
      <c r="W336" s="731"/>
      <c r="X336" s="731"/>
      <c r="Y336" s="731"/>
      <c r="Z336" s="731"/>
    </row>
    <row r="337" spans="1:26" ht="15" x14ac:dyDescent="0.2">
      <c r="A337" s="734" t="str">
        <f>Study!CF336</f>
        <v>▌ معدلات الرسملة - تاون هاوس</v>
      </c>
      <c r="B337" s="734">
        <f>Study!CG336</f>
        <v>0</v>
      </c>
      <c r="C337" s="734">
        <f>Study!CH336</f>
        <v>0</v>
      </c>
      <c r="D337" s="734">
        <f>Study!CI336</f>
        <v>0</v>
      </c>
      <c r="E337" s="734">
        <f>Study!CJ336</f>
        <v>0</v>
      </c>
      <c r="F337" s="734">
        <f>Study!CK336</f>
        <v>0</v>
      </c>
      <c r="G337" s="731"/>
      <c r="H337" s="731"/>
      <c r="I337" s="731"/>
      <c r="J337" s="731"/>
      <c r="K337" s="731"/>
      <c r="L337" s="731"/>
      <c r="M337" s="731"/>
      <c r="N337" s="731"/>
      <c r="O337" s="731"/>
      <c r="P337" s="731"/>
      <c r="Q337" s="731"/>
      <c r="R337" s="731"/>
      <c r="S337" s="731"/>
      <c r="T337" s="731"/>
      <c r="U337" s="731"/>
      <c r="V337" s="731"/>
      <c r="W337" s="731"/>
      <c r="X337" s="731"/>
      <c r="Y337" s="731"/>
      <c r="Z337" s="731"/>
    </row>
    <row r="338" spans="1:26" x14ac:dyDescent="0.2">
      <c r="A338" s="735">
        <f>Study!CF337</f>
        <v>295</v>
      </c>
      <c r="B338" s="736" t="str">
        <f>Study!CG337</f>
        <v>تاون هاوس - Cap Rate</v>
      </c>
      <c r="C338" s="747">
        <f>Study!CH337</f>
        <v>0.08</v>
      </c>
      <c r="D338" s="736" t="str">
        <f>Study!CI337</f>
        <v>معدلات الرسملة - تاون هاوس</v>
      </c>
      <c r="E338" s="738" t="str">
        <f>Study!CJ337</f>
        <v>M131</v>
      </c>
      <c r="F338" s="736" t="str">
        <f>Study!CK337</f>
        <v>نسبة مئوية</v>
      </c>
      <c r="G338" s="731"/>
      <c r="H338" s="731"/>
      <c r="I338" s="731"/>
      <c r="J338" s="731"/>
      <c r="K338" s="731"/>
      <c r="L338" s="731"/>
      <c r="M338" s="731"/>
      <c r="N338" s="731"/>
      <c r="O338" s="731"/>
      <c r="P338" s="731"/>
      <c r="Q338" s="731"/>
      <c r="R338" s="731"/>
      <c r="S338" s="731"/>
      <c r="T338" s="731"/>
      <c r="U338" s="731"/>
      <c r="V338" s="731"/>
      <c r="W338" s="731"/>
      <c r="X338" s="731"/>
      <c r="Y338" s="731"/>
      <c r="Z338" s="731"/>
    </row>
    <row r="339" spans="1:26" x14ac:dyDescent="0.2">
      <c r="A339" s="739">
        <f>Study!CF338</f>
        <v>296</v>
      </c>
      <c r="B339" s="740" t="str">
        <f>Study!CG338</f>
        <v>تاون هاوس - قيمة الوحدة بعد الرسملة</v>
      </c>
      <c r="C339" s="744">
        <f>Study!CH338</f>
        <v>0</v>
      </c>
      <c r="D339" s="740" t="str">
        <f>Study!CI338</f>
        <v>معدلات الرسملة - تاون هاوس</v>
      </c>
      <c r="E339" s="742" t="str">
        <f>Study!CJ338</f>
        <v>N131</v>
      </c>
      <c r="F339" s="740" t="str">
        <f>Study!CK338</f>
        <v>ريال سعودي</v>
      </c>
      <c r="G339" s="731"/>
      <c r="H339" s="731"/>
      <c r="I339" s="731"/>
      <c r="J339" s="731"/>
      <c r="K339" s="731"/>
      <c r="L339" s="731"/>
      <c r="M339" s="731"/>
      <c r="N339" s="731"/>
      <c r="O339" s="731"/>
      <c r="P339" s="731"/>
      <c r="Q339" s="731"/>
      <c r="R339" s="731"/>
      <c r="S339" s="731"/>
      <c r="T339" s="731"/>
      <c r="U339" s="731"/>
      <c r="V339" s="731"/>
      <c r="W339" s="731"/>
      <c r="X339" s="731"/>
      <c r="Y339" s="731"/>
      <c r="Z339" s="731"/>
    </row>
    <row r="340" spans="1:26" x14ac:dyDescent="0.2">
      <c r="A340" s="735">
        <f>Study!CF339</f>
        <v>297</v>
      </c>
      <c r="B340" s="736" t="str">
        <f>Study!CG339</f>
        <v>تاون هاوس - إجمالي القيمة بعد الرسملة</v>
      </c>
      <c r="C340" s="743">
        <f>Study!CH339</f>
        <v>0</v>
      </c>
      <c r="D340" s="736" t="str">
        <f>Study!CI339</f>
        <v>معدلات الرسملة - تاون هاوس</v>
      </c>
      <c r="E340" s="738" t="str">
        <f>Study!CJ339</f>
        <v>O131</v>
      </c>
      <c r="F340" s="736" t="str">
        <f>Study!CK339</f>
        <v>ريال سعودي</v>
      </c>
      <c r="G340" s="731"/>
      <c r="H340" s="731"/>
      <c r="I340" s="731"/>
      <c r="J340" s="731"/>
      <c r="K340" s="731"/>
      <c r="L340" s="731"/>
      <c r="M340" s="731"/>
      <c r="N340" s="731"/>
      <c r="O340" s="731"/>
      <c r="P340" s="731"/>
      <c r="Q340" s="731"/>
      <c r="R340" s="731"/>
      <c r="S340" s="731"/>
      <c r="T340" s="731"/>
      <c r="U340" s="731"/>
      <c r="V340" s="731"/>
      <c r="W340" s="731"/>
      <c r="X340" s="731"/>
      <c r="Y340" s="731"/>
      <c r="Z340" s="731"/>
    </row>
    <row r="341" spans="1:26" ht="15" x14ac:dyDescent="0.2">
      <c r="A341" s="734" t="str">
        <f>Study!CF340</f>
        <v>▌ معدلات الرسملة - أدوار</v>
      </c>
      <c r="B341" s="734">
        <f>Study!CG340</f>
        <v>0</v>
      </c>
      <c r="C341" s="734">
        <f>Study!CH340</f>
        <v>0</v>
      </c>
      <c r="D341" s="734">
        <f>Study!CI340</f>
        <v>0</v>
      </c>
      <c r="E341" s="734">
        <f>Study!CJ340</f>
        <v>0</v>
      </c>
      <c r="F341" s="734">
        <f>Study!CK340</f>
        <v>0</v>
      </c>
      <c r="G341" s="731"/>
      <c r="H341" s="731"/>
      <c r="I341" s="731"/>
      <c r="J341" s="731"/>
      <c r="K341" s="731"/>
      <c r="L341" s="731"/>
      <c r="M341" s="731"/>
      <c r="N341" s="731"/>
      <c r="O341" s="731"/>
      <c r="P341" s="731"/>
      <c r="Q341" s="731"/>
      <c r="R341" s="731"/>
      <c r="S341" s="731"/>
      <c r="T341" s="731"/>
      <c r="U341" s="731"/>
      <c r="V341" s="731"/>
      <c r="W341" s="731"/>
      <c r="X341" s="731"/>
      <c r="Y341" s="731"/>
      <c r="Z341" s="731"/>
    </row>
    <row r="342" spans="1:26" x14ac:dyDescent="0.2">
      <c r="A342" s="739">
        <f>Study!CF341</f>
        <v>298</v>
      </c>
      <c r="B342" s="740" t="str">
        <f>Study!CG341</f>
        <v>أدوار - Cap Rate</v>
      </c>
      <c r="C342" s="746">
        <f>Study!CH341</f>
        <v>0.08</v>
      </c>
      <c r="D342" s="740" t="str">
        <f>Study!CI341</f>
        <v>معدلات الرسملة - أدوار</v>
      </c>
      <c r="E342" s="742" t="str">
        <f>Study!CJ341</f>
        <v>M132</v>
      </c>
      <c r="F342" s="740" t="str">
        <f>Study!CK341</f>
        <v>نسبة مئوية</v>
      </c>
      <c r="G342" s="731"/>
      <c r="H342" s="731"/>
      <c r="I342" s="731"/>
      <c r="J342" s="731"/>
      <c r="K342" s="731"/>
      <c r="L342" s="731"/>
      <c r="M342" s="731"/>
      <c r="N342" s="731"/>
      <c r="O342" s="731"/>
      <c r="P342" s="731"/>
      <c r="Q342" s="731"/>
      <c r="R342" s="731"/>
      <c r="S342" s="731"/>
      <c r="T342" s="731"/>
      <c r="U342" s="731"/>
      <c r="V342" s="731"/>
      <c r="W342" s="731"/>
      <c r="X342" s="731"/>
      <c r="Y342" s="731"/>
      <c r="Z342" s="731"/>
    </row>
    <row r="343" spans="1:26" x14ac:dyDescent="0.2">
      <c r="A343" s="735">
        <f>Study!CF342</f>
        <v>299</v>
      </c>
      <c r="B343" s="736" t="str">
        <f>Study!CG342</f>
        <v>أدوار - قيمة الوحدة بعد الرسملة</v>
      </c>
      <c r="C343" s="743">
        <f>Study!CH342</f>
        <v>0</v>
      </c>
      <c r="D343" s="736" t="str">
        <f>Study!CI342</f>
        <v>معدلات الرسملة - أدوار</v>
      </c>
      <c r="E343" s="738" t="str">
        <f>Study!CJ342</f>
        <v>N132</v>
      </c>
      <c r="F343" s="736" t="str">
        <f>Study!CK342</f>
        <v>ريال سعودي</v>
      </c>
      <c r="G343" s="731"/>
      <c r="H343" s="731"/>
      <c r="I343" s="731"/>
      <c r="J343" s="731"/>
      <c r="K343" s="731"/>
      <c r="L343" s="731"/>
      <c r="M343" s="731"/>
      <c r="N343" s="731"/>
      <c r="O343" s="731"/>
      <c r="P343" s="731"/>
      <c r="Q343" s="731"/>
      <c r="R343" s="731"/>
      <c r="S343" s="731"/>
      <c r="T343" s="731"/>
      <c r="U343" s="731"/>
      <c r="V343" s="731"/>
      <c r="W343" s="731"/>
      <c r="X343" s="731"/>
      <c r="Y343" s="731"/>
      <c r="Z343" s="731"/>
    </row>
    <row r="344" spans="1:26" x14ac:dyDescent="0.2">
      <c r="A344" s="739">
        <f>Study!CF343</f>
        <v>300</v>
      </c>
      <c r="B344" s="740" t="str">
        <f>Study!CG343</f>
        <v>أدوار - إجمالي القيمة بعد الرسملة</v>
      </c>
      <c r="C344" s="744">
        <f>Study!CH343</f>
        <v>0</v>
      </c>
      <c r="D344" s="740" t="str">
        <f>Study!CI343</f>
        <v>معدلات الرسملة - أدوار</v>
      </c>
      <c r="E344" s="742" t="str">
        <f>Study!CJ343</f>
        <v>O132</v>
      </c>
      <c r="F344" s="740" t="str">
        <f>Study!CK343</f>
        <v>ريال سعودي</v>
      </c>
      <c r="G344" s="731"/>
      <c r="H344" s="731"/>
      <c r="I344" s="731"/>
      <c r="J344" s="731"/>
      <c r="K344" s="731"/>
      <c r="L344" s="731"/>
      <c r="M344" s="731"/>
      <c r="N344" s="731"/>
      <c r="O344" s="731"/>
      <c r="P344" s="731"/>
      <c r="Q344" s="731"/>
      <c r="R344" s="731"/>
      <c r="S344" s="731"/>
      <c r="T344" s="731"/>
      <c r="U344" s="731"/>
      <c r="V344" s="731"/>
      <c r="W344" s="731"/>
      <c r="X344" s="731"/>
      <c r="Y344" s="731"/>
      <c r="Z344" s="731"/>
    </row>
    <row r="345" spans="1:26" ht="15" x14ac:dyDescent="0.2">
      <c r="A345" s="734" t="str">
        <f>Study!CF344</f>
        <v>▌ معدلات الرسملة - أستوديوهات</v>
      </c>
      <c r="B345" s="734">
        <f>Study!CG344</f>
        <v>0</v>
      </c>
      <c r="C345" s="734">
        <f>Study!CH344</f>
        <v>0</v>
      </c>
      <c r="D345" s="734">
        <f>Study!CI344</f>
        <v>0</v>
      </c>
      <c r="E345" s="734">
        <f>Study!CJ344</f>
        <v>0</v>
      </c>
      <c r="F345" s="734">
        <f>Study!CK344</f>
        <v>0</v>
      </c>
      <c r="G345" s="731"/>
      <c r="H345" s="731"/>
      <c r="I345" s="731"/>
      <c r="J345" s="731"/>
      <c r="K345" s="731"/>
      <c r="L345" s="731"/>
      <c r="M345" s="731"/>
      <c r="N345" s="731"/>
      <c r="O345" s="731"/>
      <c r="P345" s="731"/>
      <c r="Q345" s="731"/>
      <c r="R345" s="731"/>
      <c r="S345" s="731"/>
      <c r="T345" s="731"/>
      <c r="U345" s="731"/>
      <c r="V345" s="731"/>
      <c r="W345" s="731"/>
      <c r="X345" s="731"/>
      <c r="Y345" s="731"/>
      <c r="Z345" s="731"/>
    </row>
    <row r="346" spans="1:26" x14ac:dyDescent="0.2">
      <c r="A346" s="735">
        <f>Study!CF345</f>
        <v>301</v>
      </c>
      <c r="B346" s="736" t="str">
        <f>Study!CG345</f>
        <v>أستوديوهات - Cap Rate</v>
      </c>
      <c r="C346" s="747">
        <f>Study!CH345</f>
        <v>7.0000000000000007E-2</v>
      </c>
      <c r="D346" s="736" t="str">
        <f>Study!CI345</f>
        <v>معدلات الرسملة - أستوديوهات</v>
      </c>
      <c r="E346" s="738" t="str">
        <f>Study!CJ345</f>
        <v>M133</v>
      </c>
      <c r="F346" s="736" t="str">
        <f>Study!CK345</f>
        <v>نسبة مئوية</v>
      </c>
      <c r="G346" s="731"/>
      <c r="H346" s="731"/>
      <c r="I346" s="731"/>
      <c r="J346" s="731"/>
      <c r="K346" s="731"/>
      <c r="L346" s="731"/>
      <c r="M346" s="731"/>
      <c r="N346" s="731"/>
      <c r="O346" s="731"/>
      <c r="P346" s="731"/>
      <c r="Q346" s="731"/>
      <c r="R346" s="731"/>
      <c r="S346" s="731"/>
      <c r="T346" s="731"/>
      <c r="U346" s="731"/>
      <c r="V346" s="731"/>
      <c r="W346" s="731"/>
      <c r="X346" s="731"/>
      <c r="Y346" s="731"/>
      <c r="Z346" s="731"/>
    </row>
    <row r="347" spans="1:26" x14ac:dyDescent="0.2">
      <c r="A347" s="739">
        <f>Study!CF346</f>
        <v>302</v>
      </c>
      <c r="B347" s="740" t="str">
        <f>Study!CG346</f>
        <v>أستوديوهات - قيمة الوحدة بعد الرسملة</v>
      </c>
      <c r="C347" s="744">
        <f>Study!CH346</f>
        <v>0</v>
      </c>
      <c r="D347" s="740" t="str">
        <f>Study!CI346</f>
        <v>معدلات الرسملة - أستوديوهات</v>
      </c>
      <c r="E347" s="742" t="str">
        <f>Study!CJ346</f>
        <v>N133</v>
      </c>
      <c r="F347" s="740" t="str">
        <f>Study!CK346</f>
        <v>ريال سعودي</v>
      </c>
      <c r="G347" s="731"/>
      <c r="H347" s="731"/>
      <c r="I347" s="731"/>
      <c r="J347" s="731"/>
      <c r="K347" s="731"/>
      <c r="L347" s="731"/>
      <c r="M347" s="731"/>
      <c r="N347" s="731"/>
      <c r="O347" s="731"/>
      <c r="P347" s="731"/>
      <c r="Q347" s="731"/>
      <c r="R347" s="731"/>
      <c r="S347" s="731"/>
      <c r="T347" s="731"/>
      <c r="U347" s="731"/>
      <c r="V347" s="731"/>
      <c r="W347" s="731"/>
      <c r="X347" s="731"/>
      <c r="Y347" s="731"/>
      <c r="Z347" s="731"/>
    </row>
    <row r="348" spans="1:26" x14ac:dyDescent="0.2">
      <c r="A348" s="735">
        <f>Study!CF347</f>
        <v>303</v>
      </c>
      <c r="B348" s="736" t="str">
        <f>Study!CG347</f>
        <v>أستوديوهات - إجمالي القيمة بعد الرسملة</v>
      </c>
      <c r="C348" s="743">
        <f>Study!CH347</f>
        <v>0</v>
      </c>
      <c r="D348" s="736" t="str">
        <f>Study!CI347</f>
        <v>معدلات الرسملة - أستوديوهات</v>
      </c>
      <c r="E348" s="738" t="str">
        <f>Study!CJ347</f>
        <v>O133</v>
      </c>
      <c r="F348" s="736" t="str">
        <f>Study!CK347</f>
        <v>ريال سعودي</v>
      </c>
      <c r="G348" s="731"/>
      <c r="H348" s="731"/>
      <c r="I348" s="731"/>
      <c r="J348" s="731"/>
      <c r="K348" s="731"/>
      <c r="L348" s="731"/>
      <c r="M348" s="731"/>
      <c r="N348" s="731"/>
      <c r="O348" s="731"/>
      <c r="P348" s="731"/>
      <c r="Q348" s="731"/>
      <c r="R348" s="731"/>
      <c r="S348" s="731"/>
      <c r="T348" s="731"/>
      <c r="U348" s="731"/>
      <c r="V348" s="731"/>
      <c r="W348" s="731"/>
      <c r="X348" s="731"/>
      <c r="Y348" s="731"/>
      <c r="Z348" s="731"/>
    </row>
    <row r="349" spans="1:26" ht="15" x14ac:dyDescent="0.2">
      <c r="A349" s="734" t="str">
        <f>Study!CF348</f>
        <v>▌ معدلات الرسملة - مكتبي</v>
      </c>
      <c r="B349" s="734">
        <f>Study!CG348</f>
        <v>0</v>
      </c>
      <c r="C349" s="734">
        <f>Study!CH348</f>
        <v>0</v>
      </c>
      <c r="D349" s="734">
        <f>Study!CI348</f>
        <v>0</v>
      </c>
      <c r="E349" s="734">
        <f>Study!CJ348</f>
        <v>0</v>
      </c>
      <c r="F349" s="734">
        <f>Study!CK348</f>
        <v>0</v>
      </c>
      <c r="G349" s="731"/>
      <c r="H349" s="731"/>
      <c r="I349" s="731"/>
      <c r="J349" s="731"/>
      <c r="K349" s="731"/>
      <c r="L349" s="731"/>
      <c r="M349" s="731"/>
      <c r="N349" s="731"/>
      <c r="O349" s="731"/>
      <c r="P349" s="731"/>
      <c r="Q349" s="731"/>
      <c r="R349" s="731"/>
      <c r="S349" s="731"/>
      <c r="T349" s="731"/>
      <c r="U349" s="731"/>
      <c r="V349" s="731"/>
      <c r="W349" s="731"/>
      <c r="X349" s="731"/>
      <c r="Y349" s="731"/>
      <c r="Z349" s="731"/>
    </row>
    <row r="350" spans="1:26" x14ac:dyDescent="0.2">
      <c r="A350" s="739">
        <f>Study!CF349</f>
        <v>304</v>
      </c>
      <c r="B350" s="740" t="str">
        <f>Study!CG349</f>
        <v>مكتبي - Cap Rate</v>
      </c>
      <c r="C350" s="746">
        <f>Study!CH349</f>
        <v>0.08</v>
      </c>
      <c r="D350" s="740" t="str">
        <f>Study!CI349</f>
        <v>معدلات الرسملة - مكتبي</v>
      </c>
      <c r="E350" s="742" t="str">
        <f>Study!CJ349</f>
        <v>M134</v>
      </c>
      <c r="F350" s="740" t="str">
        <f>Study!CK349</f>
        <v>نسبة مئوية</v>
      </c>
      <c r="G350" s="731"/>
      <c r="H350" s="731"/>
      <c r="I350" s="731"/>
      <c r="J350" s="731"/>
      <c r="K350" s="731"/>
      <c r="L350" s="731"/>
      <c r="M350" s="731"/>
      <c r="N350" s="731"/>
      <c r="O350" s="731"/>
      <c r="P350" s="731"/>
      <c r="Q350" s="731"/>
      <c r="R350" s="731"/>
      <c r="S350" s="731"/>
      <c r="T350" s="731"/>
      <c r="U350" s="731"/>
      <c r="V350" s="731"/>
      <c r="W350" s="731"/>
      <c r="X350" s="731"/>
      <c r="Y350" s="731"/>
      <c r="Z350" s="731"/>
    </row>
    <row r="351" spans="1:26" x14ac:dyDescent="0.2">
      <c r="A351" s="735">
        <f>Study!CF350</f>
        <v>305</v>
      </c>
      <c r="B351" s="736" t="str">
        <f>Study!CG350</f>
        <v>مكتبي - قيمة الوحدة بعد الرسملة</v>
      </c>
      <c r="C351" s="743">
        <f>Study!CH350</f>
        <v>0</v>
      </c>
      <c r="D351" s="736" t="str">
        <f>Study!CI350</f>
        <v>معدلات الرسملة - مكتبي</v>
      </c>
      <c r="E351" s="738" t="str">
        <f>Study!CJ350</f>
        <v>N134</v>
      </c>
      <c r="F351" s="736" t="str">
        <f>Study!CK350</f>
        <v>ريال سعودي</v>
      </c>
      <c r="G351" s="731"/>
      <c r="H351" s="731"/>
      <c r="I351" s="731"/>
      <c r="J351" s="731"/>
      <c r="K351" s="731"/>
      <c r="L351" s="731"/>
      <c r="M351" s="731"/>
      <c r="N351" s="731"/>
      <c r="O351" s="731"/>
      <c r="P351" s="731"/>
      <c r="Q351" s="731"/>
      <c r="R351" s="731"/>
      <c r="S351" s="731"/>
      <c r="T351" s="731"/>
      <c r="U351" s="731"/>
      <c r="V351" s="731"/>
      <c r="W351" s="731"/>
      <c r="X351" s="731"/>
      <c r="Y351" s="731"/>
      <c r="Z351" s="731"/>
    </row>
    <row r="352" spans="1:26" x14ac:dyDescent="0.2">
      <c r="A352" s="739">
        <f>Study!CF351</f>
        <v>306</v>
      </c>
      <c r="B352" s="740" t="str">
        <f>Study!CG351</f>
        <v>مكتبي - إجمالي القيمة بعد الرسملة</v>
      </c>
      <c r="C352" s="744">
        <f>Study!CH351</f>
        <v>0</v>
      </c>
      <c r="D352" s="740" t="str">
        <f>Study!CI351</f>
        <v>معدلات الرسملة - مكتبي</v>
      </c>
      <c r="E352" s="742" t="str">
        <f>Study!CJ351</f>
        <v>O134</v>
      </c>
      <c r="F352" s="740" t="str">
        <f>Study!CK351</f>
        <v>ريال سعودي</v>
      </c>
      <c r="G352" s="731"/>
      <c r="H352" s="731"/>
      <c r="I352" s="731"/>
      <c r="J352" s="731"/>
      <c r="K352" s="731"/>
      <c r="L352" s="731"/>
      <c r="M352" s="731"/>
      <c r="N352" s="731"/>
      <c r="O352" s="731"/>
      <c r="P352" s="731"/>
      <c r="Q352" s="731"/>
      <c r="R352" s="731"/>
      <c r="S352" s="731"/>
      <c r="T352" s="731"/>
      <c r="U352" s="731"/>
      <c r="V352" s="731"/>
      <c r="W352" s="731"/>
      <c r="X352" s="731"/>
      <c r="Y352" s="731"/>
      <c r="Z352" s="731"/>
    </row>
    <row r="353" spans="1:26" ht="15" x14ac:dyDescent="0.2">
      <c r="A353" s="734" t="str">
        <f>Study!CF352</f>
        <v>▌ معدلات الرسملة - تجاري</v>
      </c>
      <c r="B353" s="734">
        <f>Study!CG352</f>
        <v>0</v>
      </c>
      <c r="C353" s="734">
        <f>Study!CH352</f>
        <v>0</v>
      </c>
      <c r="D353" s="734">
        <f>Study!CI352</f>
        <v>0</v>
      </c>
      <c r="E353" s="734">
        <f>Study!CJ352</f>
        <v>0</v>
      </c>
      <c r="F353" s="734">
        <f>Study!CK352</f>
        <v>0</v>
      </c>
      <c r="G353" s="731"/>
      <c r="H353" s="731"/>
      <c r="I353" s="731"/>
      <c r="J353" s="731"/>
      <c r="K353" s="731"/>
      <c r="L353" s="731"/>
      <c r="M353" s="731"/>
      <c r="N353" s="731"/>
      <c r="O353" s="731"/>
      <c r="P353" s="731"/>
      <c r="Q353" s="731"/>
      <c r="R353" s="731"/>
      <c r="S353" s="731"/>
      <c r="T353" s="731"/>
      <c r="U353" s="731"/>
      <c r="V353" s="731"/>
      <c r="W353" s="731"/>
      <c r="X353" s="731"/>
      <c r="Y353" s="731"/>
      <c r="Z353" s="731"/>
    </row>
    <row r="354" spans="1:26" x14ac:dyDescent="0.2">
      <c r="A354" s="735">
        <f>Study!CF353</f>
        <v>307</v>
      </c>
      <c r="B354" s="736" t="str">
        <f>Study!CG353</f>
        <v>تجاري - Cap Rate</v>
      </c>
      <c r="C354" s="747">
        <f>Study!CH353</f>
        <v>0.08</v>
      </c>
      <c r="D354" s="736" t="str">
        <f>Study!CI353</f>
        <v>معدلات الرسملة - تجاري</v>
      </c>
      <c r="E354" s="738" t="str">
        <f>Study!CJ353</f>
        <v>M135</v>
      </c>
      <c r="F354" s="736" t="str">
        <f>Study!CK353</f>
        <v>نسبة مئوية</v>
      </c>
      <c r="G354" s="731"/>
      <c r="H354" s="731"/>
      <c r="I354" s="731"/>
      <c r="J354" s="731"/>
      <c r="K354" s="731"/>
      <c r="L354" s="731"/>
      <c r="M354" s="731"/>
      <c r="N354" s="731"/>
      <c r="O354" s="731"/>
      <c r="P354" s="731"/>
      <c r="Q354" s="731"/>
      <c r="R354" s="731"/>
      <c r="S354" s="731"/>
      <c r="T354" s="731"/>
      <c r="U354" s="731"/>
      <c r="V354" s="731"/>
      <c r="W354" s="731"/>
      <c r="X354" s="731"/>
      <c r="Y354" s="731"/>
      <c r="Z354" s="731"/>
    </row>
    <row r="355" spans="1:26" x14ac:dyDescent="0.2">
      <c r="A355" s="739">
        <f>Study!CF354</f>
        <v>308</v>
      </c>
      <c r="B355" s="740" t="str">
        <f>Study!CG354</f>
        <v>تجاري - قيمة الوحدة بعد الرسملة</v>
      </c>
      <c r="C355" s="744">
        <f>Study!CH354</f>
        <v>0</v>
      </c>
      <c r="D355" s="740" t="str">
        <f>Study!CI354</f>
        <v>معدلات الرسملة - تجاري</v>
      </c>
      <c r="E355" s="742" t="str">
        <f>Study!CJ354</f>
        <v>N135</v>
      </c>
      <c r="F355" s="740" t="str">
        <f>Study!CK354</f>
        <v>ريال سعودي</v>
      </c>
      <c r="G355" s="731"/>
      <c r="H355" s="731"/>
      <c r="I355" s="731"/>
      <c r="J355" s="731"/>
      <c r="K355" s="731"/>
      <c r="L355" s="731"/>
      <c r="M355" s="731"/>
      <c r="N355" s="731"/>
      <c r="O355" s="731"/>
      <c r="P355" s="731"/>
      <c r="Q355" s="731"/>
      <c r="R355" s="731"/>
      <c r="S355" s="731"/>
      <c r="T355" s="731"/>
      <c r="U355" s="731"/>
      <c r="V355" s="731"/>
      <c r="W355" s="731"/>
      <c r="X355" s="731"/>
      <c r="Y355" s="731"/>
      <c r="Z355" s="731"/>
    </row>
    <row r="356" spans="1:26" x14ac:dyDescent="0.2">
      <c r="A356" s="735">
        <f>Study!CF355</f>
        <v>309</v>
      </c>
      <c r="B356" s="736" t="str">
        <f>Study!CG355</f>
        <v>تجاري - إجمالي القيمة بعد الرسملة</v>
      </c>
      <c r="C356" s="743">
        <f>Study!CH355</f>
        <v>0</v>
      </c>
      <c r="D356" s="736" t="str">
        <f>Study!CI355</f>
        <v>معدلات الرسملة - تجاري</v>
      </c>
      <c r="E356" s="738" t="str">
        <f>Study!CJ355</f>
        <v>O135</v>
      </c>
      <c r="F356" s="736" t="str">
        <f>Study!CK355</f>
        <v>ريال سعودي</v>
      </c>
      <c r="G356" s="731"/>
      <c r="H356" s="731"/>
      <c r="I356" s="731"/>
      <c r="J356" s="731"/>
      <c r="K356" s="731"/>
      <c r="L356" s="731"/>
      <c r="M356" s="731"/>
      <c r="N356" s="731"/>
      <c r="O356" s="731"/>
      <c r="P356" s="731"/>
      <c r="Q356" s="731"/>
      <c r="R356" s="731"/>
      <c r="S356" s="731"/>
      <c r="T356" s="731"/>
      <c r="U356" s="731"/>
      <c r="V356" s="731"/>
      <c r="W356" s="731"/>
      <c r="X356" s="731"/>
      <c r="Y356" s="731"/>
      <c r="Z356" s="731"/>
    </row>
    <row r="357" spans="1:26" ht="15" x14ac:dyDescent="0.2">
      <c r="A357" s="734" t="str">
        <f>Study!CF356</f>
        <v>▌ معدلات الرسملة - فندقي</v>
      </c>
      <c r="B357" s="734">
        <f>Study!CG356</f>
        <v>0</v>
      </c>
      <c r="C357" s="734">
        <f>Study!CH356</f>
        <v>0</v>
      </c>
      <c r="D357" s="734">
        <f>Study!CI356</f>
        <v>0</v>
      </c>
      <c r="E357" s="734">
        <f>Study!CJ356</f>
        <v>0</v>
      </c>
      <c r="F357" s="734">
        <f>Study!CK356</f>
        <v>0</v>
      </c>
      <c r="G357" s="731"/>
      <c r="H357" s="731"/>
      <c r="I357" s="731"/>
      <c r="J357" s="731"/>
      <c r="K357" s="731"/>
      <c r="L357" s="731"/>
      <c r="M357" s="731"/>
      <c r="N357" s="731"/>
      <c r="O357" s="731"/>
      <c r="P357" s="731"/>
      <c r="Q357" s="731"/>
      <c r="R357" s="731"/>
      <c r="S357" s="731"/>
      <c r="T357" s="731"/>
      <c r="U357" s="731"/>
      <c r="V357" s="731"/>
      <c r="W357" s="731"/>
      <c r="X357" s="731"/>
      <c r="Y357" s="731"/>
      <c r="Z357" s="731"/>
    </row>
    <row r="358" spans="1:26" x14ac:dyDescent="0.2">
      <c r="A358" s="739">
        <f>Study!CF357</f>
        <v>310</v>
      </c>
      <c r="B358" s="740" t="str">
        <f>Study!CG357</f>
        <v>فندقي - Cap Rate</v>
      </c>
      <c r="C358" s="746">
        <f>Study!CH357</f>
        <v>7.0000000000000007E-2</v>
      </c>
      <c r="D358" s="740" t="str">
        <f>Study!CI357</f>
        <v>معدلات الرسملة - فندقي</v>
      </c>
      <c r="E358" s="742" t="str">
        <f>Study!CJ357</f>
        <v>M136</v>
      </c>
      <c r="F358" s="740" t="str">
        <f>Study!CK357</f>
        <v>نسبة مئوية</v>
      </c>
      <c r="G358" s="731"/>
      <c r="H358" s="731"/>
      <c r="I358" s="731"/>
      <c r="J358" s="731"/>
      <c r="K358" s="731"/>
      <c r="L358" s="731"/>
      <c r="M358" s="731"/>
      <c r="N358" s="731"/>
      <c r="O358" s="731"/>
      <c r="P358" s="731"/>
      <c r="Q358" s="731"/>
      <c r="R358" s="731"/>
      <c r="S358" s="731"/>
      <c r="T358" s="731"/>
      <c r="U358" s="731"/>
      <c r="V358" s="731"/>
      <c r="W358" s="731"/>
      <c r="X358" s="731"/>
      <c r="Y358" s="731"/>
      <c r="Z358" s="731"/>
    </row>
    <row r="359" spans="1:26" x14ac:dyDescent="0.2">
      <c r="A359" s="735">
        <f>Study!CF358</f>
        <v>311</v>
      </c>
      <c r="B359" s="736" t="str">
        <f>Study!CG358</f>
        <v>فندقي - قيمة الوحدة بعد الرسملة</v>
      </c>
      <c r="C359" s="743">
        <f>Study!CH358</f>
        <v>3050357.1428571427</v>
      </c>
      <c r="D359" s="736" t="str">
        <f>Study!CI358</f>
        <v>معدلات الرسملة - فندقي</v>
      </c>
      <c r="E359" s="738" t="str">
        <f>Study!CJ358</f>
        <v>N136</v>
      </c>
      <c r="F359" s="736" t="str">
        <f>Study!CK358</f>
        <v>ريال سعودي</v>
      </c>
      <c r="G359" s="731"/>
      <c r="H359" s="731"/>
      <c r="I359" s="731"/>
      <c r="J359" s="731"/>
      <c r="K359" s="731"/>
      <c r="L359" s="731"/>
      <c r="M359" s="731"/>
      <c r="N359" s="731"/>
      <c r="O359" s="731"/>
      <c r="P359" s="731"/>
      <c r="Q359" s="731"/>
      <c r="R359" s="731"/>
      <c r="S359" s="731"/>
      <c r="T359" s="731"/>
      <c r="U359" s="731"/>
      <c r="V359" s="731"/>
      <c r="W359" s="731"/>
      <c r="X359" s="731"/>
      <c r="Y359" s="731"/>
      <c r="Z359" s="731"/>
    </row>
    <row r="360" spans="1:26" x14ac:dyDescent="0.2">
      <c r="A360" s="739">
        <f>Study!CF359</f>
        <v>312</v>
      </c>
      <c r="B360" s="740" t="str">
        <f>Study!CG359</f>
        <v>فندقي - إجمالي القيمة بعد الرسملة</v>
      </c>
      <c r="C360" s="744">
        <f>Study!CH359</f>
        <v>213524999.99999997</v>
      </c>
      <c r="D360" s="740" t="str">
        <f>Study!CI359</f>
        <v>معدلات الرسملة - فندقي</v>
      </c>
      <c r="E360" s="742" t="str">
        <f>Study!CJ359</f>
        <v>O136</v>
      </c>
      <c r="F360" s="740" t="str">
        <f>Study!CK359</f>
        <v>ريال سعودي</v>
      </c>
      <c r="G360" s="731"/>
      <c r="H360" s="731"/>
      <c r="I360" s="731"/>
      <c r="J360" s="731"/>
      <c r="K360" s="731"/>
      <c r="L360" s="731"/>
      <c r="M360" s="731"/>
      <c r="N360" s="731"/>
      <c r="O360" s="731"/>
      <c r="P360" s="731"/>
      <c r="Q360" s="731"/>
      <c r="R360" s="731"/>
      <c r="S360" s="731"/>
      <c r="T360" s="731"/>
      <c r="U360" s="731"/>
      <c r="V360" s="731"/>
      <c r="W360" s="731"/>
      <c r="X360" s="731"/>
      <c r="Y360" s="731"/>
      <c r="Z360" s="731"/>
    </row>
    <row r="361" spans="1:26" ht="15" x14ac:dyDescent="0.2">
      <c r="A361" s="734" t="str">
        <f>Study!CF360</f>
        <v>▌ معدلات الرسملة - صحي</v>
      </c>
      <c r="B361" s="734">
        <f>Study!CG360</f>
        <v>0</v>
      </c>
      <c r="C361" s="734">
        <f>Study!CH360</f>
        <v>0</v>
      </c>
      <c r="D361" s="734">
        <f>Study!CI360</f>
        <v>0</v>
      </c>
      <c r="E361" s="734">
        <f>Study!CJ360</f>
        <v>0</v>
      </c>
      <c r="F361" s="734">
        <f>Study!CK360</f>
        <v>0</v>
      </c>
      <c r="G361" s="731"/>
      <c r="H361" s="731"/>
      <c r="I361" s="731"/>
      <c r="J361" s="731"/>
      <c r="K361" s="731"/>
      <c r="L361" s="731"/>
      <c r="M361" s="731"/>
      <c r="N361" s="731"/>
      <c r="O361" s="731"/>
      <c r="P361" s="731"/>
      <c r="Q361" s="731"/>
      <c r="R361" s="731"/>
      <c r="S361" s="731"/>
      <c r="T361" s="731"/>
      <c r="U361" s="731"/>
      <c r="V361" s="731"/>
      <c r="W361" s="731"/>
      <c r="X361" s="731"/>
      <c r="Y361" s="731"/>
      <c r="Z361" s="731"/>
    </row>
    <row r="362" spans="1:26" x14ac:dyDescent="0.2">
      <c r="A362" s="735">
        <f>Study!CF361</f>
        <v>313</v>
      </c>
      <c r="B362" s="736" t="str">
        <f>Study!CG361</f>
        <v>صحي - Cap Rate</v>
      </c>
      <c r="C362" s="747">
        <f>Study!CH361</f>
        <v>7.0000000000000007E-2</v>
      </c>
      <c r="D362" s="736" t="str">
        <f>Study!CI361</f>
        <v>معدلات الرسملة - صحي</v>
      </c>
      <c r="E362" s="738" t="str">
        <f>Study!CJ361</f>
        <v>M137</v>
      </c>
      <c r="F362" s="736" t="str">
        <f>Study!CK361</f>
        <v>نسبة مئوية</v>
      </c>
      <c r="G362" s="731"/>
      <c r="H362" s="731"/>
      <c r="I362" s="731"/>
      <c r="J362" s="731"/>
      <c r="K362" s="731"/>
      <c r="L362" s="731"/>
      <c r="M362" s="731"/>
      <c r="N362" s="731"/>
      <c r="O362" s="731"/>
      <c r="P362" s="731"/>
      <c r="Q362" s="731"/>
      <c r="R362" s="731"/>
      <c r="S362" s="731"/>
      <c r="T362" s="731"/>
      <c r="U362" s="731"/>
      <c r="V362" s="731"/>
      <c r="W362" s="731"/>
      <c r="X362" s="731"/>
      <c r="Y362" s="731"/>
      <c r="Z362" s="731"/>
    </row>
    <row r="363" spans="1:26" x14ac:dyDescent="0.2">
      <c r="A363" s="739">
        <f>Study!CF362</f>
        <v>314</v>
      </c>
      <c r="B363" s="740" t="str">
        <f>Study!CG362</f>
        <v>صحي - قيمة الوحدة بعد الرسملة</v>
      </c>
      <c r="C363" s="744">
        <f>Study!CH362</f>
        <v>0</v>
      </c>
      <c r="D363" s="740" t="str">
        <f>Study!CI362</f>
        <v>معدلات الرسملة - صحي</v>
      </c>
      <c r="E363" s="742" t="str">
        <f>Study!CJ362</f>
        <v>N137</v>
      </c>
      <c r="F363" s="740" t="str">
        <f>Study!CK362</f>
        <v>ريال سعودي</v>
      </c>
      <c r="G363" s="731"/>
      <c r="H363" s="731"/>
      <c r="I363" s="731"/>
      <c r="J363" s="731"/>
      <c r="K363" s="731"/>
      <c r="L363" s="731"/>
      <c r="M363" s="731"/>
      <c r="N363" s="731"/>
      <c r="O363" s="731"/>
      <c r="P363" s="731"/>
      <c r="Q363" s="731"/>
      <c r="R363" s="731"/>
      <c r="S363" s="731"/>
      <c r="T363" s="731"/>
      <c r="U363" s="731"/>
      <c r="V363" s="731"/>
      <c r="W363" s="731"/>
      <c r="X363" s="731"/>
      <c r="Y363" s="731"/>
      <c r="Z363" s="731"/>
    </row>
    <row r="364" spans="1:26" x14ac:dyDescent="0.2">
      <c r="A364" s="735">
        <f>Study!CF363</f>
        <v>315</v>
      </c>
      <c r="B364" s="736" t="str">
        <f>Study!CG363</f>
        <v>صحي - إجمالي القيمة بعد الرسملة</v>
      </c>
      <c r="C364" s="743">
        <f>Study!CH363</f>
        <v>0</v>
      </c>
      <c r="D364" s="736" t="str">
        <f>Study!CI363</f>
        <v>معدلات الرسملة - صحي</v>
      </c>
      <c r="E364" s="738" t="str">
        <f>Study!CJ363</f>
        <v>O137</v>
      </c>
      <c r="F364" s="736" t="str">
        <f>Study!CK363</f>
        <v>ريال سعودي</v>
      </c>
      <c r="G364" s="731"/>
      <c r="H364" s="731"/>
      <c r="I364" s="731"/>
      <c r="J364" s="731"/>
      <c r="K364" s="731"/>
      <c r="L364" s="731"/>
      <c r="M364" s="731"/>
      <c r="N364" s="731"/>
      <c r="O364" s="731"/>
      <c r="P364" s="731"/>
      <c r="Q364" s="731"/>
      <c r="R364" s="731"/>
      <c r="S364" s="731"/>
      <c r="T364" s="731"/>
      <c r="U364" s="731"/>
      <c r="V364" s="731"/>
      <c r="W364" s="731"/>
      <c r="X364" s="731"/>
      <c r="Y364" s="731"/>
      <c r="Z364" s="731"/>
    </row>
    <row r="365" spans="1:26" ht="15" x14ac:dyDescent="0.2">
      <c r="A365" s="734" t="str">
        <f>Study!CF364</f>
        <v>▌ معدلات الرسملة - أخرى</v>
      </c>
      <c r="B365" s="734">
        <f>Study!CG364</f>
        <v>0</v>
      </c>
      <c r="C365" s="734">
        <f>Study!CH364</f>
        <v>0</v>
      </c>
      <c r="D365" s="734">
        <f>Study!CI364</f>
        <v>0</v>
      </c>
      <c r="E365" s="734">
        <f>Study!CJ364</f>
        <v>0</v>
      </c>
      <c r="F365" s="734">
        <f>Study!CK364</f>
        <v>0</v>
      </c>
      <c r="G365" s="731"/>
      <c r="H365" s="731"/>
      <c r="I365" s="731"/>
      <c r="J365" s="731"/>
      <c r="K365" s="731"/>
      <c r="L365" s="731"/>
      <c r="M365" s="731"/>
      <c r="N365" s="731"/>
      <c r="O365" s="731"/>
      <c r="P365" s="731"/>
      <c r="Q365" s="731"/>
      <c r="R365" s="731"/>
      <c r="S365" s="731"/>
      <c r="T365" s="731"/>
      <c r="U365" s="731"/>
      <c r="V365" s="731"/>
      <c r="W365" s="731"/>
      <c r="X365" s="731"/>
      <c r="Y365" s="731"/>
      <c r="Z365" s="731"/>
    </row>
    <row r="366" spans="1:26" x14ac:dyDescent="0.2">
      <c r="A366" s="739">
        <f>Study!CF365</f>
        <v>316</v>
      </c>
      <c r="B366" s="740" t="str">
        <f>Study!CG365</f>
        <v>أخرى - Cap Rate</v>
      </c>
      <c r="C366" s="746">
        <f>Study!CH365</f>
        <v>7.0000000000000007E-2</v>
      </c>
      <c r="D366" s="740" t="str">
        <f>Study!CI365</f>
        <v>معدلات الرسملة - أخرى</v>
      </c>
      <c r="E366" s="742" t="str">
        <f>Study!CJ365</f>
        <v>M138</v>
      </c>
      <c r="F366" s="740" t="str">
        <f>Study!CK365</f>
        <v>نسبة مئوية</v>
      </c>
      <c r="G366" s="731"/>
      <c r="H366" s="731"/>
      <c r="I366" s="731"/>
      <c r="J366" s="731"/>
      <c r="K366" s="731"/>
      <c r="L366" s="731"/>
      <c r="M366" s="731"/>
      <c r="N366" s="731"/>
      <c r="O366" s="731"/>
      <c r="P366" s="731"/>
      <c r="Q366" s="731"/>
      <c r="R366" s="731"/>
      <c r="S366" s="731"/>
      <c r="T366" s="731"/>
      <c r="U366" s="731"/>
      <c r="V366" s="731"/>
      <c r="W366" s="731"/>
      <c r="X366" s="731"/>
      <c r="Y366" s="731"/>
      <c r="Z366" s="731"/>
    </row>
    <row r="367" spans="1:26" x14ac:dyDescent="0.2">
      <c r="A367" s="735">
        <f>Study!CF366</f>
        <v>317</v>
      </c>
      <c r="B367" s="736" t="str">
        <f>Study!CG366</f>
        <v>أخرى - قيمة الوحدة بعد الرسملة</v>
      </c>
      <c r="C367" s="743">
        <f>Study!CH366</f>
        <v>0</v>
      </c>
      <c r="D367" s="736" t="str">
        <f>Study!CI366</f>
        <v>معدلات الرسملة - أخرى</v>
      </c>
      <c r="E367" s="738" t="str">
        <f>Study!CJ366</f>
        <v>N138</v>
      </c>
      <c r="F367" s="736" t="str">
        <f>Study!CK366</f>
        <v>ريال سعودي</v>
      </c>
      <c r="G367" s="731"/>
      <c r="H367" s="731"/>
      <c r="I367" s="731"/>
      <c r="J367" s="731"/>
      <c r="K367" s="731"/>
      <c r="L367" s="731"/>
      <c r="M367" s="731"/>
      <c r="N367" s="731"/>
      <c r="O367" s="731"/>
      <c r="P367" s="731"/>
      <c r="Q367" s="731"/>
      <c r="R367" s="731"/>
      <c r="S367" s="731"/>
      <c r="T367" s="731"/>
      <c r="U367" s="731"/>
      <c r="V367" s="731"/>
      <c r="W367" s="731"/>
      <c r="X367" s="731"/>
      <c r="Y367" s="731"/>
      <c r="Z367" s="731"/>
    </row>
    <row r="368" spans="1:26" x14ac:dyDescent="0.2">
      <c r="A368" s="739">
        <f>Study!CF367</f>
        <v>318</v>
      </c>
      <c r="B368" s="740" t="str">
        <f>Study!CG367</f>
        <v>أخرى - إجمالي القيمة بعد الرسملة</v>
      </c>
      <c r="C368" s="744">
        <f>Study!CH367</f>
        <v>0</v>
      </c>
      <c r="D368" s="740" t="str">
        <f>Study!CI367</f>
        <v>معدلات الرسملة - أخرى</v>
      </c>
      <c r="E368" s="742" t="str">
        <f>Study!CJ367</f>
        <v>O138</v>
      </c>
      <c r="F368" s="740" t="str">
        <f>Study!CK367</f>
        <v>ريال سعودي</v>
      </c>
      <c r="G368" s="731"/>
      <c r="H368" s="731"/>
      <c r="I368" s="731"/>
      <c r="J368" s="731"/>
      <c r="K368" s="731"/>
      <c r="L368" s="731"/>
      <c r="M368" s="731"/>
      <c r="N368" s="731"/>
      <c r="O368" s="731"/>
      <c r="P368" s="731"/>
      <c r="Q368" s="731"/>
      <c r="R368" s="731"/>
      <c r="S368" s="731"/>
      <c r="T368" s="731"/>
      <c r="U368" s="731"/>
      <c r="V368" s="731"/>
      <c r="W368" s="731"/>
      <c r="X368" s="731"/>
      <c r="Y368" s="731"/>
      <c r="Z368" s="731"/>
    </row>
    <row r="369" spans="1:26" ht="15" x14ac:dyDescent="0.2">
      <c r="A369" s="734" t="str">
        <f>Study!CF368</f>
        <v>▌ معدلات الرسملة - الإجمالي</v>
      </c>
      <c r="B369" s="734">
        <f>Study!CG368</f>
        <v>0</v>
      </c>
      <c r="C369" s="734">
        <f>Study!CH368</f>
        <v>0</v>
      </c>
      <c r="D369" s="734">
        <f>Study!CI368</f>
        <v>0</v>
      </c>
      <c r="E369" s="734">
        <f>Study!CJ368</f>
        <v>0</v>
      </c>
      <c r="F369" s="734">
        <f>Study!CK368</f>
        <v>0</v>
      </c>
      <c r="G369" s="731"/>
      <c r="H369" s="731"/>
      <c r="I369" s="731"/>
      <c r="J369" s="731"/>
      <c r="K369" s="731"/>
      <c r="L369" s="731"/>
      <c r="M369" s="731"/>
      <c r="N369" s="731"/>
      <c r="O369" s="731"/>
      <c r="P369" s="731"/>
      <c r="Q369" s="731"/>
      <c r="R369" s="731"/>
      <c r="S369" s="731"/>
      <c r="T369" s="731"/>
      <c r="U369" s="731"/>
      <c r="V369" s="731"/>
      <c r="W369" s="731"/>
      <c r="X369" s="731"/>
      <c r="Y369" s="731"/>
      <c r="Z369" s="731"/>
    </row>
    <row r="370" spans="1:26" x14ac:dyDescent="0.2">
      <c r="A370" s="735">
        <f>Study!CF369</f>
        <v>319</v>
      </c>
      <c r="B370" s="736" t="str">
        <f>Study!CG369</f>
        <v>إجمالي قيمة المخارجة (الرسملة)</v>
      </c>
      <c r="C370" s="743">
        <f>Study!CH369</f>
        <v>242871819.07499996</v>
      </c>
      <c r="D370" s="736" t="str">
        <f>Study!CI369</f>
        <v>معدلات الرسملة - الإجمالي</v>
      </c>
      <c r="E370" s="738" t="str">
        <f>Study!CJ369</f>
        <v>O139</v>
      </c>
      <c r="F370" s="736" t="str">
        <f>Study!CK369</f>
        <v>ريال سعودي</v>
      </c>
      <c r="G370" s="731"/>
      <c r="H370" s="731"/>
      <c r="I370" s="731"/>
      <c r="J370" s="731"/>
      <c r="K370" s="731"/>
      <c r="L370" s="731"/>
      <c r="M370" s="731"/>
      <c r="N370" s="731"/>
      <c r="O370" s="731"/>
      <c r="P370" s="731"/>
      <c r="Q370" s="731"/>
      <c r="R370" s="731"/>
      <c r="S370" s="731"/>
      <c r="T370" s="731"/>
      <c r="U370" s="731"/>
      <c r="V370" s="731"/>
      <c r="W370" s="731"/>
      <c r="X370" s="731"/>
      <c r="Y370" s="731"/>
      <c r="Z370" s="731"/>
    </row>
    <row r="371" spans="1:26" ht="15" x14ac:dyDescent="0.2">
      <c r="A371" s="734" t="str">
        <f>Study!CF370</f>
        <v>▌ التأجير السنوي - سكني</v>
      </c>
      <c r="B371" s="734">
        <f>Study!CG370</f>
        <v>0</v>
      </c>
      <c r="C371" s="734">
        <f>Study!CH370</f>
        <v>0</v>
      </c>
      <c r="D371" s="734">
        <f>Study!CI370</f>
        <v>0</v>
      </c>
      <c r="E371" s="734">
        <f>Study!CJ370</f>
        <v>0</v>
      </c>
      <c r="F371" s="734">
        <f>Study!CK370</f>
        <v>0</v>
      </c>
      <c r="G371" s="731"/>
      <c r="H371" s="731"/>
      <c r="I371" s="731"/>
      <c r="J371" s="731"/>
      <c r="K371" s="731"/>
      <c r="L371" s="731"/>
      <c r="M371" s="731"/>
      <c r="N371" s="731"/>
      <c r="O371" s="731"/>
      <c r="P371" s="731"/>
      <c r="Q371" s="731"/>
      <c r="R371" s="731"/>
      <c r="S371" s="731"/>
      <c r="T371" s="731"/>
      <c r="U371" s="731"/>
      <c r="V371" s="731"/>
      <c r="W371" s="731"/>
      <c r="X371" s="731"/>
      <c r="Y371" s="731"/>
      <c r="Z371" s="731"/>
    </row>
    <row r="372" spans="1:26" x14ac:dyDescent="0.2">
      <c r="A372" s="739">
        <f>Study!CF371</f>
        <v>320</v>
      </c>
      <c r="B372" s="740" t="str">
        <f>Study!CG371</f>
        <v>سكني - عدد الوحدات للتأجير</v>
      </c>
      <c r="C372" s="751">
        <f>Study!CH371</f>
        <v>12</v>
      </c>
      <c r="D372" s="740" t="str">
        <f>Study!CI371</f>
        <v>التأجير السنوي - سكني</v>
      </c>
      <c r="E372" s="742" t="str">
        <f>Study!CJ371</f>
        <v>C147</v>
      </c>
      <c r="F372" s="740" t="str">
        <f>Study!CK371</f>
        <v>وحدة</v>
      </c>
      <c r="G372" s="731"/>
      <c r="H372" s="731"/>
      <c r="I372" s="731"/>
      <c r="J372" s="731"/>
      <c r="K372" s="731"/>
      <c r="L372" s="731"/>
      <c r="M372" s="731"/>
      <c r="N372" s="731"/>
      <c r="O372" s="731"/>
      <c r="P372" s="731"/>
      <c r="Q372" s="731"/>
      <c r="R372" s="731"/>
      <c r="S372" s="731"/>
      <c r="T372" s="731"/>
      <c r="U372" s="731"/>
      <c r="V372" s="731"/>
      <c r="W372" s="731"/>
      <c r="X372" s="731"/>
      <c r="Y372" s="731"/>
      <c r="Z372" s="731"/>
    </row>
    <row r="373" spans="1:26" x14ac:dyDescent="0.2">
      <c r="A373" s="735">
        <f>Study!CF372</f>
        <v>321</v>
      </c>
      <c r="B373" s="736" t="str">
        <f>Study!CG372</f>
        <v>سكني - مساحة الوحدة</v>
      </c>
      <c r="C373" s="745">
        <f>Study!CH372</f>
        <v>251.14949999999999</v>
      </c>
      <c r="D373" s="736" t="str">
        <f>Study!CI372</f>
        <v>التأجير السنوي - سكني</v>
      </c>
      <c r="E373" s="738" t="str">
        <f>Study!CJ372</f>
        <v>D147</v>
      </c>
      <c r="F373" s="736" t="str">
        <f>Study!CK372</f>
        <v>م²</v>
      </c>
      <c r="G373" s="731"/>
      <c r="H373" s="731"/>
      <c r="I373" s="731"/>
      <c r="J373" s="731"/>
      <c r="K373" s="731"/>
      <c r="L373" s="731"/>
      <c r="M373" s="731"/>
      <c r="N373" s="731"/>
      <c r="O373" s="731"/>
      <c r="P373" s="731"/>
      <c r="Q373" s="731"/>
      <c r="R373" s="731"/>
      <c r="S373" s="731"/>
      <c r="T373" s="731"/>
      <c r="U373" s="731"/>
      <c r="V373" s="731"/>
      <c r="W373" s="731"/>
      <c r="X373" s="731"/>
      <c r="Y373" s="731"/>
      <c r="Z373" s="731"/>
    </row>
    <row r="374" spans="1:26" x14ac:dyDescent="0.2">
      <c r="A374" s="739">
        <f>Study!CF373</f>
        <v>322</v>
      </c>
      <c r="B374" s="740" t="str">
        <f>Study!CG373</f>
        <v>سكني - تأجير المتر</v>
      </c>
      <c r="C374" s="744">
        <f>Study!CH373</f>
        <v>820</v>
      </c>
      <c r="D374" s="740" t="str">
        <f>Study!CI373</f>
        <v>التأجير السنوي - سكني</v>
      </c>
      <c r="E374" s="742" t="str">
        <f>Study!CJ373</f>
        <v>E147</v>
      </c>
      <c r="F374" s="740" t="str">
        <f>Study!CK373</f>
        <v>ريال/م²</v>
      </c>
      <c r="G374" s="731"/>
      <c r="H374" s="731"/>
      <c r="I374" s="731"/>
      <c r="J374" s="731"/>
      <c r="K374" s="731"/>
      <c r="L374" s="731"/>
      <c r="M374" s="731"/>
      <c r="N374" s="731"/>
      <c r="O374" s="731"/>
      <c r="P374" s="731"/>
      <c r="Q374" s="731"/>
      <c r="R374" s="731"/>
      <c r="S374" s="731"/>
      <c r="T374" s="731"/>
      <c r="U374" s="731"/>
      <c r="V374" s="731"/>
      <c r="W374" s="731"/>
      <c r="X374" s="731"/>
      <c r="Y374" s="731"/>
      <c r="Z374" s="731"/>
    </row>
    <row r="375" spans="1:26" x14ac:dyDescent="0.2">
      <c r="A375" s="735">
        <f>Study!CF374</f>
        <v>323</v>
      </c>
      <c r="B375" s="736" t="str">
        <f>Study!CG374</f>
        <v>سكني - قيمة تأجير الوحدة السنوي</v>
      </c>
      <c r="C375" s="743">
        <f>Study!CH374</f>
        <v>205942.59</v>
      </c>
      <c r="D375" s="736" t="str">
        <f>Study!CI374</f>
        <v>التأجير السنوي - سكني</v>
      </c>
      <c r="E375" s="738" t="str">
        <f>Study!CJ374</f>
        <v>F147</v>
      </c>
      <c r="F375" s="736" t="str">
        <f>Study!CK374</f>
        <v>ريال سعودي</v>
      </c>
      <c r="G375" s="731"/>
      <c r="H375" s="731"/>
      <c r="I375" s="731"/>
      <c r="J375" s="731"/>
      <c r="K375" s="731"/>
      <c r="L375" s="731"/>
      <c r="M375" s="731"/>
      <c r="N375" s="731"/>
      <c r="O375" s="731"/>
      <c r="P375" s="731"/>
      <c r="Q375" s="731"/>
      <c r="R375" s="731"/>
      <c r="S375" s="731"/>
      <c r="T375" s="731"/>
      <c r="U375" s="731"/>
      <c r="V375" s="731"/>
      <c r="W375" s="731"/>
      <c r="X375" s="731"/>
      <c r="Y375" s="731"/>
      <c r="Z375" s="731"/>
    </row>
    <row r="376" spans="1:26" x14ac:dyDescent="0.2">
      <c r="A376" s="739">
        <f>Study!CF375</f>
        <v>324</v>
      </c>
      <c r="B376" s="740" t="str">
        <f>Study!CG375</f>
        <v>سكني - نسبة الإشغال</v>
      </c>
      <c r="C376" s="746">
        <f>Study!CH375</f>
        <v>1</v>
      </c>
      <c r="D376" s="740" t="str">
        <f>Study!CI375</f>
        <v>التأجير السنوي - سكني</v>
      </c>
      <c r="E376" s="742" t="str">
        <f>Study!CJ375</f>
        <v>G147</v>
      </c>
      <c r="F376" s="740" t="str">
        <f>Study!CK375</f>
        <v>نسبة مئوية</v>
      </c>
      <c r="G376" s="731"/>
      <c r="H376" s="731"/>
      <c r="I376" s="731"/>
      <c r="J376" s="731"/>
      <c r="K376" s="731"/>
      <c r="L376" s="731"/>
      <c r="M376" s="731"/>
      <c r="N376" s="731"/>
      <c r="O376" s="731"/>
      <c r="P376" s="731"/>
      <c r="Q376" s="731"/>
      <c r="R376" s="731"/>
      <c r="S376" s="731"/>
      <c r="T376" s="731"/>
      <c r="U376" s="731"/>
      <c r="V376" s="731"/>
      <c r="W376" s="731"/>
      <c r="X376" s="731"/>
      <c r="Y376" s="731"/>
      <c r="Z376" s="731"/>
    </row>
    <row r="377" spans="1:26" x14ac:dyDescent="0.2">
      <c r="A377" s="735">
        <f>Study!CF376</f>
        <v>325</v>
      </c>
      <c r="B377" s="736" t="str">
        <f>Study!CG376</f>
        <v>سكني - إجمالي إيرادات التأجير السنوي</v>
      </c>
      <c r="C377" s="743">
        <f>Study!CH376</f>
        <v>2471311.08</v>
      </c>
      <c r="D377" s="736" t="str">
        <f>Study!CI376</f>
        <v>التأجير السنوي - سكني</v>
      </c>
      <c r="E377" s="738" t="str">
        <f>Study!CJ376</f>
        <v>H147</v>
      </c>
      <c r="F377" s="736" t="str">
        <f>Study!CK376</f>
        <v>ريال سعودي</v>
      </c>
      <c r="G377" s="731"/>
      <c r="H377" s="731"/>
      <c r="I377" s="731"/>
      <c r="J377" s="731"/>
      <c r="K377" s="731"/>
      <c r="L377" s="731"/>
      <c r="M377" s="731"/>
      <c r="N377" s="731"/>
      <c r="O377" s="731"/>
      <c r="P377" s="731"/>
      <c r="Q377" s="731"/>
      <c r="R377" s="731"/>
      <c r="S377" s="731"/>
      <c r="T377" s="731"/>
      <c r="U377" s="731"/>
      <c r="V377" s="731"/>
      <c r="W377" s="731"/>
      <c r="X377" s="731"/>
      <c r="Y377" s="731"/>
      <c r="Z377" s="731"/>
    </row>
    <row r="378" spans="1:26" x14ac:dyDescent="0.2">
      <c r="A378" s="739">
        <f>Study!CF377</f>
        <v>326</v>
      </c>
      <c r="B378" s="740" t="str">
        <f>Study!CG377</f>
        <v>سكني - التكاليف التشغيلية</v>
      </c>
      <c r="C378" s="744">
        <f>Study!CH377</f>
        <v>123565.554</v>
      </c>
      <c r="D378" s="740" t="str">
        <f>Study!CI377</f>
        <v>التأجير السنوي - سكني</v>
      </c>
      <c r="E378" s="742" t="str">
        <f>Study!CJ377</f>
        <v>I147</v>
      </c>
      <c r="F378" s="740" t="str">
        <f>Study!CK377</f>
        <v>ريال سعودي</v>
      </c>
      <c r="G378" s="731"/>
      <c r="H378" s="731"/>
      <c r="I378" s="731"/>
      <c r="J378" s="731"/>
      <c r="K378" s="731"/>
      <c r="L378" s="731"/>
      <c r="M378" s="731"/>
      <c r="N378" s="731"/>
      <c r="O378" s="731"/>
      <c r="P378" s="731"/>
      <c r="Q378" s="731"/>
      <c r="R378" s="731"/>
      <c r="S378" s="731"/>
      <c r="T378" s="731"/>
      <c r="U378" s="731"/>
      <c r="V378" s="731"/>
      <c r="W378" s="731"/>
      <c r="X378" s="731"/>
      <c r="Y378" s="731"/>
      <c r="Z378" s="731"/>
    </row>
    <row r="379" spans="1:26" x14ac:dyDescent="0.2">
      <c r="A379" s="735">
        <f>Study!CF378</f>
        <v>327</v>
      </c>
      <c r="B379" s="736" t="str">
        <f>Study!CG378</f>
        <v>سكني - فترة استرداد رأس المال</v>
      </c>
      <c r="C379" s="745">
        <f>Study!CH378</f>
        <v>12.084136669799859</v>
      </c>
      <c r="D379" s="736" t="str">
        <f>Study!CI378</f>
        <v>التأجير السنوي - سكني</v>
      </c>
      <c r="E379" s="738" t="str">
        <f>Study!CJ378</f>
        <v>K147</v>
      </c>
      <c r="F379" s="736" t="str">
        <f>Study!CK378</f>
        <v>سنة</v>
      </c>
      <c r="G379" s="731"/>
      <c r="H379" s="731"/>
      <c r="I379" s="731"/>
      <c r="J379" s="731"/>
      <c r="K379" s="731"/>
      <c r="L379" s="731"/>
      <c r="M379" s="731"/>
      <c r="N379" s="731"/>
      <c r="O379" s="731"/>
      <c r="P379" s="731"/>
      <c r="Q379" s="731"/>
      <c r="R379" s="731"/>
      <c r="S379" s="731"/>
      <c r="T379" s="731"/>
      <c r="U379" s="731"/>
      <c r="V379" s="731"/>
      <c r="W379" s="731"/>
      <c r="X379" s="731"/>
      <c r="Y379" s="731"/>
      <c r="Z379" s="731"/>
    </row>
    <row r="380" spans="1:26" x14ac:dyDescent="0.2">
      <c r="A380" s="739">
        <f>Study!CF379</f>
        <v>328</v>
      </c>
      <c r="B380" s="740" t="str">
        <f>Study!CG379</f>
        <v>سكني - العائد على التكلفة السنوي</v>
      </c>
      <c r="C380" s="746">
        <f>Study!CH379</f>
        <v>8.275311901256098E-2</v>
      </c>
      <c r="D380" s="740" t="str">
        <f>Study!CI379</f>
        <v>التأجير السنوي - سكني</v>
      </c>
      <c r="E380" s="742" t="str">
        <f>Study!CJ379</f>
        <v>L147</v>
      </c>
      <c r="F380" s="740" t="str">
        <f>Study!CK379</f>
        <v>نسبة مئوية</v>
      </c>
      <c r="G380" s="731"/>
      <c r="H380" s="731"/>
      <c r="I380" s="731"/>
      <c r="J380" s="731"/>
      <c r="K380" s="731"/>
      <c r="L380" s="731"/>
      <c r="M380" s="731"/>
      <c r="N380" s="731"/>
      <c r="O380" s="731"/>
      <c r="P380" s="731"/>
      <c r="Q380" s="731"/>
      <c r="R380" s="731"/>
      <c r="S380" s="731"/>
      <c r="T380" s="731"/>
      <c r="U380" s="731"/>
      <c r="V380" s="731"/>
      <c r="W380" s="731"/>
      <c r="X380" s="731"/>
      <c r="Y380" s="731"/>
      <c r="Z380" s="731"/>
    </row>
    <row r="381" spans="1:26" x14ac:dyDescent="0.2">
      <c r="A381" s="735">
        <f>Study!CF380</f>
        <v>329</v>
      </c>
      <c r="B381" s="736" t="str">
        <f>Study!CG380</f>
        <v>سكني - إجمالي الربح التشغيلي</v>
      </c>
      <c r="C381" s="743">
        <f>Study!CH380</f>
        <v>2347745.5260000001</v>
      </c>
      <c r="D381" s="736" t="str">
        <f>Study!CI380</f>
        <v>التأجير السنوي - سكني</v>
      </c>
      <c r="E381" s="738" t="str">
        <f>Study!CJ380</f>
        <v>M147</v>
      </c>
      <c r="F381" s="736" t="str">
        <f>Study!CK380</f>
        <v>ريال سعودي</v>
      </c>
      <c r="G381" s="731"/>
      <c r="H381" s="731"/>
      <c r="I381" s="731"/>
      <c r="J381" s="731"/>
      <c r="K381" s="731"/>
      <c r="L381" s="731"/>
      <c r="M381" s="731"/>
      <c r="N381" s="731"/>
      <c r="O381" s="731"/>
      <c r="P381" s="731"/>
      <c r="Q381" s="731"/>
      <c r="R381" s="731"/>
      <c r="S381" s="731"/>
      <c r="T381" s="731"/>
      <c r="U381" s="731"/>
      <c r="V381" s="731"/>
      <c r="W381" s="731"/>
      <c r="X381" s="731"/>
      <c r="Y381" s="731"/>
      <c r="Z381" s="731"/>
    </row>
    <row r="382" spans="1:26" ht="15" x14ac:dyDescent="0.2">
      <c r="A382" s="734" t="str">
        <f>Study!CF381</f>
        <v>▌ التأجير السنوي - فلل</v>
      </c>
      <c r="B382" s="734">
        <f>Study!CG381</f>
        <v>0</v>
      </c>
      <c r="C382" s="734">
        <f>Study!CH381</f>
        <v>0</v>
      </c>
      <c r="D382" s="734">
        <f>Study!CI381</f>
        <v>0</v>
      </c>
      <c r="E382" s="734">
        <f>Study!CJ381</f>
        <v>0</v>
      </c>
      <c r="F382" s="734">
        <f>Study!CK381</f>
        <v>0</v>
      </c>
      <c r="G382" s="731"/>
      <c r="H382" s="731"/>
      <c r="I382" s="731"/>
      <c r="J382" s="731"/>
      <c r="K382" s="731"/>
      <c r="L382" s="731"/>
      <c r="M382" s="731"/>
      <c r="N382" s="731"/>
      <c r="O382" s="731"/>
      <c r="P382" s="731"/>
      <c r="Q382" s="731"/>
      <c r="R382" s="731"/>
      <c r="S382" s="731"/>
      <c r="T382" s="731"/>
      <c r="U382" s="731"/>
      <c r="V382" s="731"/>
      <c r="W382" s="731"/>
      <c r="X382" s="731"/>
      <c r="Y382" s="731"/>
      <c r="Z382" s="731"/>
    </row>
    <row r="383" spans="1:26" x14ac:dyDescent="0.2">
      <c r="A383" s="739">
        <f>Study!CF382</f>
        <v>330</v>
      </c>
      <c r="B383" s="740" t="str">
        <f>Study!CG382</f>
        <v>فلل - عدد الوحدات للتأجير</v>
      </c>
      <c r="C383" s="751">
        <f>Study!CH382</f>
        <v>11</v>
      </c>
      <c r="D383" s="740" t="str">
        <f>Study!CI382</f>
        <v>التأجير السنوي - فلل</v>
      </c>
      <c r="E383" s="742" t="str">
        <f>Study!CJ382</f>
        <v>C148</v>
      </c>
      <c r="F383" s="740" t="str">
        <f>Study!CK382</f>
        <v>وحدة</v>
      </c>
      <c r="G383" s="731"/>
      <c r="H383" s="731"/>
      <c r="I383" s="731"/>
      <c r="J383" s="731"/>
      <c r="K383" s="731"/>
      <c r="L383" s="731"/>
      <c r="M383" s="731"/>
      <c r="N383" s="731"/>
      <c r="O383" s="731"/>
      <c r="P383" s="731"/>
      <c r="Q383" s="731"/>
      <c r="R383" s="731"/>
      <c r="S383" s="731"/>
      <c r="T383" s="731"/>
      <c r="U383" s="731"/>
      <c r="V383" s="731"/>
      <c r="W383" s="731"/>
      <c r="X383" s="731"/>
      <c r="Y383" s="731"/>
      <c r="Z383" s="731"/>
    </row>
    <row r="384" spans="1:26" x14ac:dyDescent="0.2">
      <c r="A384" s="735">
        <f>Study!CF383</f>
        <v>331</v>
      </c>
      <c r="B384" s="736" t="str">
        <f>Study!CG383</f>
        <v>فلل - مساحة الوحدة</v>
      </c>
      <c r="C384" s="745">
        <f>Study!CH383</f>
        <v>303.63636363636363</v>
      </c>
      <c r="D384" s="736" t="str">
        <f>Study!CI383</f>
        <v>التأجير السنوي - فلل</v>
      </c>
      <c r="E384" s="738" t="str">
        <f>Study!CJ383</f>
        <v>D148</v>
      </c>
      <c r="F384" s="736" t="str">
        <f>Study!CK383</f>
        <v>م²</v>
      </c>
      <c r="G384" s="731"/>
      <c r="H384" s="731"/>
      <c r="I384" s="731"/>
      <c r="J384" s="731"/>
      <c r="K384" s="731"/>
      <c r="L384" s="731"/>
      <c r="M384" s="731"/>
      <c r="N384" s="731"/>
      <c r="O384" s="731"/>
      <c r="P384" s="731"/>
      <c r="Q384" s="731"/>
      <c r="R384" s="731"/>
      <c r="S384" s="731"/>
      <c r="T384" s="731"/>
      <c r="U384" s="731"/>
      <c r="V384" s="731"/>
      <c r="W384" s="731"/>
      <c r="X384" s="731"/>
      <c r="Y384" s="731"/>
      <c r="Z384" s="731"/>
    </row>
    <row r="385" spans="1:26" x14ac:dyDescent="0.2">
      <c r="A385" s="739">
        <f>Study!CF384</f>
        <v>332</v>
      </c>
      <c r="B385" s="740" t="str">
        <f>Study!CG384</f>
        <v>فلل - تأجير المتر</v>
      </c>
      <c r="C385" s="744">
        <f>Study!CH384</f>
        <v>0</v>
      </c>
      <c r="D385" s="740" t="str">
        <f>Study!CI384</f>
        <v>التأجير السنوي - فلل</v>
      </c>
      <c r="E385" s="742" t="str">
        <f>Study!CJ384</f>
        <v>E148</v>
      </c>
      <c r="F385" s="740" t="str">
        <f>Study!CK384</f>
        <v>ريال/م²</v>
      </c>
      <c r="G385" s="731"/>
      <c r="H385" s="731"/>
      <c r="I385" s="731"/>
      <c r="J385" s="731"/>
      <c r="K385" s="731"/>
      <c r="L385" s="731"/>
      <c r="M385" s="731"/>
      <c r="N385" s="731"/>
      <c r="O385" s="731"/>
      <c r="P385" s="731"/>
      <c r="Q385" s="731"/>
      <c r="R385" s="731"/>
      <c r="S385" s="731"/>
      <c r="T385" s="731"/>
      <c r="U385" s="731"/>
      <c r="V385" s="731"/>
      <c r="W385" s="731"/>
      <c r="X385" s="731"/>
      <c r="Y385" s="731"/>
      <c r="Z385" s="731"/>
    </row>
    <row r="386" spans="1:26" x14ac:dyDescent="0.2">
      <c r="A386" s="735">
        <f>Study!CF385</f>
        <v>333</v>
      </c>
      <c r="B386" s="736" t="str">
        <f>Study!CG385</f>
        <v>فلل - قيمة تأجير الوحدة السنوي</v>
      </c>
      <c r="C386" s="743">
        <f>Study!CH385</f>
        <v>0</v>
      </c>
      <c r="D386" s="736" t="str">
        <f>Study!CI385</f>
        <v>التأجير السنوي - فلل</v>
      </c>
      <c r="E386" s="738" t="str">
        <f>Study!CJ385</f>
        <v>F148</v>
      </c>
      <c r="F386" s="736" t="str">
        <f>Study!CK385</f>
        <v>ريال سعودي</v>
      </c>
      <c r="G386" s="731"/>
      <c r="H386" s="731"/>
      <c r="I386" s="731"/>
      <c r="J386" s="731"/>
      <c r="K386" s="731"/>
      <c r="L386" s="731"/>
      <c r="M386" s="731"/>
      <c r="N386" s="731"/>
      <c r="O386" s="731"/>
      <c r="P386" s="731"/>
      <c r="Q386" s="731"/>
      <c r="R386" s="731"/>
      <c r="S386" s="731"/>
      <c r="T386" s="731"/>
      <c r="U386" s="731"/>
      <c r="V386" s="731"/>
      <c r="W386" s="731"/>
      <c r="X386" s="731"/>
      <c r="Y386" s="731"/>
      <c r="Z386" s="731"/>
    </row>
    <row r="387" spans="1:26" x14ac:dyDescent="0.2">
      <c r="A387" s="739">
        <f>Study!CF386</f>
        <v>334</v>
      </c>
      <c r="B387" s="740" t="str">
        <f>Study!CG386</f>
        <v>فلل - نسبة الإشغال</v>
      </c>
      <c r="C387" s="746">
        <f>Study!CH386</f>
        <v>0</v>
      </c>
      <c r="D387" s="740" t="str">
        <f>Study!CI386</f>
        <v>التأجير السنوي - فلل</v>
      </c>
      <c r="E387" s="742" t="str">
        <f>Study!CJ386</f>
        <v>G148</v>
      </c>
      <c r="F387" s="740" t="str">
        <f>Study!CK386</f>
        <v>نسبة مئوية</v>
      </c>
      <c r="G387" s="731"/>
      <c r="H387" s="731"/>
      <c r="I387" s="731"/>
      <c r="J387" s="731"/>
      <c r="K387" s="731"/>
      <c r="L387" s="731"/>
      <c r="M387" s="731"/>
      <c r="N387" s="731"/>
      <c r="O387" s="731"/>
      <c r="P387" s="731"/>
      <c r="Q387" s="731"/>
      <c r="R387" s="731"/>
      <c r="S387" s="731"/>
      <c r="T387" s="731"/>
      <c r="U387" s="731"/>
      <c r="V387" s="731"/>
      <c r="W387" s="731"/>
      <c r="X387" s="731"/>
      <c r="Y387" s="731"/>
      <c r="Z387" s="731"/>
    </row>
    <row r="388" spans="1:26" x14ac:dyDescent="0.2">
      <c r="A388" s="735">
        <f>Study!CF387</f>
        <v>335</v>
      </c>
      <c r="B388" s="736" t="str">
        <f>Study!CG387</f>
        <v>فلل - إجمالي إيرادات التأجير السنوي</v>
      </c>
      <c r="C388" s="743">
        <f>Study!CH387</f>
        <v>0</v>
      </c>
      <c r="D388" s="736" t="str">
        <f>Study!CI387</f>
        <v>التأجير السنوي - فلل</v>
      </c>
      <c r="E388" s="738" t="str">
        <f>Study!CJ387</f>
        <v>H148</v>
      </c>
      <c r="F388" s="736" t="str">
        <f>Study!CK387</f>
        <v>ريال سعودي</v>
      </c>
      <c r="G388" s="731"/>
      <c r="H388" s="731"/>
      <c r="I388" s="731"/>
      <c r="J388" s="731"/>
      <c r="K388" s="731"/>
      <c r="L388" s="731"/>
      <c r="M388" s="731"/>
      <c r="N388" s="731"/>
      <c r="O388" s="731"/>
      <c r="P388" s="731"/>
      <c r="Q388" s="731"/>
      <c r="R388" s="731"/>
      <c r="S388" s="731"/>
      <c r="T388" s="731"/>
      <c r="U388" s="731"/>
      <c r="V388" s="731"/>
      <c r="W388" s="731"/>
      <c r="X388" s="731"/>
      <c r="Y388" s="731"/>
      <c r="Z388" s="731"/>
    </row>
    <row r="389" spans="1:26" x14ac:dyDescent="0.2">
      <c r="A389" s="739">
        <f>Study!CF388</f>
        <v>336</v>
      </c>
      <c r="B389" s="740" t="str">
        <f>Study!CG388</f>
        <v>فلل - التكاليف التشغيلية</v>
      </c>
      <c r="C389" s="744">
        <f>Study!CH388</f>
        <v>0</v>
      </c>
      <c r="D389" s="740" t="str">
        <f>Study!CI388</f>
        <v>التأجير السنوي - فلل</v>
      </c>
      <c r="E389" s="742" t="str">
        <f>Study!CJ388</f>
        <v>I148</v>
      </c>
      <c r="F389" s="740" t="str">
        <f>Study!CK388</f>
        <v>ريال سعودي</v>
      </c>
      <c r="G389" s="731"/>
      <c r="H389" s="731"/>
      <c r="I389" s="731"/>
      <c r="J389" s="731"/>
      <c r="K389" s="731"/>
      <c r="L389" s="731"/>
      <c r="M389" s="731"/>
      <c r="N389" s="731"/>
      <c r="O389" s="731"/>
      <c r="P389" s="731"/>
      <c r="Q389" s="731"/>
      <c r="R389" s="731"/>
      <c r="S389" s="731"/>
      <c r="T389" s="731"/>
      <c r="U389" s="731"/>
      <c r="V389" s="731"/>
      <c r="W389" s="731"/>
      <c r="X389" s="731"/>
      <c r="Y389" s="731"/>
      <c r="Z389" s="731"/>
    </row>
    <row r="390" spans="1:26" x14ac:dyDescent="0.2">
      <c r="A390" s="735">
        <f>Study!CF389</f>
        <v>337</v>
      </c>
      <c r="B390" s="736" t="str">
        <f>Study!CG389</f>
        <v>فلل - فترة استرداد رأس المال</v>
      </c>
      <c r="C390" s="745" t="str">
        <f>Study!CH389</f>
        <v>0</v>
      </c>
      <c r="D390" s="736" t="str">
        <f>Study!CI389</f>
        <v>التأجير السنوي - فلل</v>
      </c>
      <c r="E390" s="738" t="str">
        <f>Study!CJ389</f>
        <v>K148</v>
      </c>
      <c r="F390" s="736" t="str">
        <f>Study!CK389</f>
        <v>سنة</v>
      </c>
      <c r="G390" s="731"/>
      <c r="H390" s="731"/>
      <c r="I390" s="731"/>
      <c r="J390" s="731"/>
      <c r="K390" s="731"/>
      <c r="L390" s="731"/>
      <c r="M390" s="731"/>
      <c r="N390" s="731"/>
      <c r="O390" s="731"/>
      <c r="P390" s="731"/>
      <c r="Q390" s="731"/>
      <c r="R390" s="731"/>
      <c r="S390" s="731"/>
      <c r="T390" s="731"/>
      <c r="U390" s="731"/>
      <c r="V390" s="731"/>
      <c r="W390" s="731"/>
      <c r="X390" s="731"/>
      <c r="Y390" s="731"/>
      <c r="Z390" s="731"/>
    </row>
    <row r="391" spans="1:26" x14ac:dyDescent="0.2">
      <c r="A391" s="739">
        <f>Study!CF390</f>
        <v>338</v>
      </c>
      <c r="B391" s="740" t="str">
        <f>Study!CG390</f>
        <v>فلل - العائد على التكلفة السنوي</v>
      </c>
      <c r="C391" s="746">
        <f>Study!CH390</f>
        <v>0</v>
      </c>
      <c r="D391" s="740" t="str">
        <f>Study!CI390</f>
        <v>التأجير السنوي - فلل</v>
      </c>
      <c r="E391" s="742" t="str">
        <f>Study!CJ390</f>
        <v>L148</v>
      </c>
      <c r="F391" s="740" t="str">
        <f>Study!CK390</f>
        <v>نسبة مئوية</v>
      </c>
      <c r="G391" s="731"/>
      <c r="H391" s="731"/>
      <c r="I391" s="731"/>
      <c r="J391" s="731"/>
      <c r="K391" s="731"/>
      <c r="L391" s="731"/>
      <c r="M391" s="731"/>
      <c r="N391" s="731"/>
      <c r="O391" s="731"/>
      <c r="P391" s="731"/>
      <c r="Q391" s="731"/>
      <c r="R391" s="731"/>
      <c r="S391" s="731"/>
      <c r="T391" s="731"/>
      <c r="U391" s="731"/>
      <c r="V391" s="731"/>
      <c r="W391" s="731"/>
      <c r="X391" s="731"/>
      <c r="Y391" s="731"/>
      <c r="Z391" s="731"/>
    </row>
    <row r="392" spans="1:26" x14ac:dyDescent="0.2">
      <c r="A392" s="735">
        <f>Study!CF391</f>
        <v>339</v>
      </c>
      <c r="B392" s="736" t="str">
        <f>Study!CG391</f>
        <v>فلل - إجمالي الربح التشغيلي</v>
      </c>
      <c r="C392" s="743">
        <f>Study!CH391</f>
        <v>0</v>
      </c>
      <c r="D392" s="736" t="str">
        <f>Study!CI391</f>
        <v>التأجير السنوي - فلل</v>
      </c>
      <c r="E392" s="738" t="str">
        <f>Study!CJ391</f>
        <v>M148</v>
      </c>
      <c r="F392" s="736" t="str">
        <f>Study!CK391</f>
        <v>ريال سعودي</v>
      </c>
      <c r="G392" s="731"/>
      <c r="H392" s="731"/>
      <c r="I392" s="731"/>
      <c r="J392" s="731"/>
      <c r="K392" s="731"/>
      <c r="L392" s="731"/>
      <c r="M392" s="731"/>
      <c r="N392" s="731"/>
      <c r="O392" s="731"/>
      <c r="P392" s="731"/>
      <c r="Q392" s="731"/>
      <c r="R392" s="731"/>
      <c r="S392" s="731"/>
      <c r="T392" s="731"/>
      <c r="U392" s="731"/>
      <c r="V392" s="731"/>
      <c r="W392" s="731"/>
      <c r="X392" s="731"/>
      <c r="Y392" s="731"/>
      <c r="Z392" s="731"/>
    </row>
    <row r="393" spans="1:26" ht="15" x14ac:dyDescent="0.2">
      <c r="A393" s="734" t="str">
        <f>Study!CF392</f>
        <v>▌ التأجير السنوي - تاون هاوس</v>
      </c>
      <c r="B393" s="734">
        <f>Study!CG392</f>
        <v>0</v>
      </c>
      <c r="C393" s="734">
        <f>Study!CH392</f>
        <v>0</v>
      </c>
      <c r="D393" s="734">
        <f>Study!CI392</f>
        <v>0</v>
      </c>
      <c r="E393" s="734">
        <f>Study!CJ392</f>
        <v>0</v>
      </c>
      <c r="F393" s="734">
        <f>Study!CK392</f>
        <v>0</v>
      </c>
      <c r="G393" s="731"/>
      <c r="H393" s="731"/>
      <c r="I393" s="731"/>
      <c r="J393" s="731"/>
      <c r="K393" s="731"/>
      <c r="L393" s="731"/>
      <c r="M393" s="731"/>
      <c r="N393" s="731"/>
      <c r="O393" s="731"/>
      <c r="P393" s="731"/>
      <c r="Q393" s="731"/>
      <c r="R393" s="731"/>
      <c r="S393" s="731"/>
      <c r="T393" s="731"/>
      <c r="U393" s="731"/>
      <c r="V393" s="731"/>
      <c r="W393" s="731"/>
      <c r="X393" s="731"/>
      <c r="Y393" s="731"/>
      <c r="Z393" s="731"/>
    </row>
    <row r="394" spans="1:26" x14ac:dyDescent="0.2">
      <c r="A394" s="739">
        <f>Study!CF393</f>
        <v>340</v>
      </c>
      <c r="B394" s="740" t="str">
        <f>Study!CG393</f>
        <v>تاون هاوس - عدد الوحدات للتأجير</v>
      </c>
      <c r="C394" s="751">
        <f>Study!CH393</f>
        <v>0</v>
      </c>
      <c r="D394" s="740" t="str">
        <f>Study!CI393</f>
        <v>التأجير السنوي - تاون هاوس</v>
      </c>
      <c r="E394" s="742" t="str">
        <f>Study!CJ393</f>
        <v>C149</v>
      </c>
      <c r="F394" s="740" t="str">
        <f>Study!CK393</f>
        <v>وحدة</v>
      </c>
      <c r="G394" s="731"/>
      <c r="H394" s="731"/>
      <c r="I394" s="731"/>
      <c r="J394" s="731"/>
      <c r="K394" s="731"/>
      <c r="L394" s="731"/>
      <c r="M394" s="731"/>
      <c r="N394" s="731"/>
      <c r="O394" s="731"/>
      <c r="P394" s="731"/>
      <c r="Q394" s="731"/>
      <c r="R394" s="731"/>
      <c r="S394" s="731"/>
      <c r="T394" s="731"/>
      <c r="U394" s="731"/>
      <c r="V394" s="731"/>
      <c r="W394" s="731"/>
      <c r="X394" s="731"/>
      <c r="Y394" s="731"/>
      <c r="Z394" s="731"/>
    </row>
    <row r="395" spans="1:26" x14ac:dyDescent="0.2">
      <c r="A395" s="735">
        <f>Study!CF394</f>
        <v>341</v>
      </c>
      <c r="B395" s="736" t="str">
        <f>Study!CG394</f>
        <v>تاون هاوس - مساحة الوحدة</v>
      </c>
      <c r="C395" s="745" t="str">
        <f>Study!CH394</f>
        <v>0.00</v>
      </c>
      <c r="D395" s="736" t="str">
        <f>Study!CI394</f>
        <v>التأجير السنوي - تاون هاوس</v>
      </c>
      <c r="E395" s="738" t="str">
        <f>Study!CJ394</f>
        <v>D149</v>
      </c>
      <c r="F395" s="736" t="str">
        <f>Study!CK394</f>
        <v>م²</v>
      </c>
      <c r="G395" s="731"/>
      <c r="H395" s="731"/>
      <c r="I395" s="731"/>
      <c r="J395" s="731"/>
      <c r="K395" s="731"/>
      <c r="L395" s="731"/>
      <c r="M395" s="731"/>
      <c r="N395" s="731"/>
      <c r="O395" s="731"/>
      <c r="P395" s="731"/>
      <c r="Q395" s="731"/>
      <c r="R395" s="731"/>
      <c r="S395" s="731"/>
      <c r="T395" s="731"/>
      <c r="U395" s="731"/>
      <c r="V395" s="731"/>
      <c r="W395" s="731"/>
      <c r="X395" s="731"/>
      <c r="Y395" s="731"/>
      <c r="Z395" s="731"/>
    </row>
    <row r="396" spans="1:26" x14ac:dyDescent="0.2">
      <c r="A396" s="739">
        <f>Study!CF395</f>
        <v>342</v>
      </c>
      <c r="B396" s="740" t="str">
        <f>Study!CG395</f>
        <v>تاون هاوس - تأجير المتر</v>
      </c>
      <c r="C396" s="744">
        <f>Study!CH395</f>
        <v>0</v>
      </c>
      <c r="D396" s="740" t="str">
        <f>Study!CI395</f>
        <v>التأجير السنوي - تاون هاوس</v>
      </c>
      <c r="E396" s="742" t="str">
        <f>Study!CJ395</f>
        <v>E149</v>
      </c>
      <c r="F396" s="740" t="str">
        <f>Study!CK395</f>
        <v>ريال/م²</v>
      </c>
      <c r="G396" s="731"/>
      <c r="H396" s="731"/>
      <c r="I396" s="731"/>
      <c r="J396" s="731"/>
      <c r="K396" s="731"/>
      <c r="L396" s="731"/>
      <c r="M396" s="731"/>
      <c r="N396" s="731"/>
      <c r="O396" s="731"/>
      <c r="P396" s="731"/>
      <c r="Q396" s="731"/>
      <c r="R396" s="731"/>
      <c r="S396" s="731"/>
      <c r="T396" s="731"/>
      <c r="U396" s="731"/>
      <c r="V396" s="731"/>
      <c r="W396" s="731"/>
      <c r="X396" s="731"/>
      <c r="Y396" s="731"/>
      <c r="Z396" s="731"/>
    </row>
    <row r="397" spans="1:26" x14ac:dyDescent="0.2">
      <c r="A397" s="735">
        <f>Study!CF396</f>
        <v>343</v>
      </c>
      <c r="B397" s="736" t="str">
        <f>Study!CG396</f>
        <v>تاون هاوس - قيمة تأجير الوحدة السنوي</v>
      </c>
      <c r="C397" s="743">
        <f>Study!CH396</f>
        <v>0</v>
      </c>
      <c r="D397" s="736" t="str">
        <f>Study!CI396</f>
        <v>التأجير السنوي - تاون هاوس</v>
      </c>
      <c r="E397" s="738" t="str">
        <f>Study!CJ396</f>
        <v>F149</v>
      </c>
      <c r="F397" s="736" t="str">
        <f>Study!CK396</f>
        <v>ريال سعودي</v>
      </c>
      <c r="G397" s="731"/>
      <c r="H397" s="731"/>
      <c r="I397" s="731"/>
      <c r="J397" s="731"/>
      <c r="K397" s="731"/>
      <c r="L397" s="731"/>
      <c r="M397" s="731"/>
      <c r="N397" s="731"/>
      <c r="O397" s="731"/>
      <c r="P397" s="731"/>
      <c r="Q397" s="731"/>
      <c r="R397" s="731"/>
      <c r="S397" s="731"/>
      <c r="T397" s="731"/>
      <c r="U397" s="731"/>
      <c r="V397" s="731"/>
      <c r="W397" s="731"/>
      <c r="X397" s="731"/>
      <c r="Y397" s="731"/>
      <c r="Z397" s="731"/>
    </row>
    <row r="398" spans="1:26" x14ac:dyDescent="0.2">
      <c r="A398" s="739">
        <f>Study!CF397</f>
        <v>344</v>
      </c>
      <c r="B398" s="740" t="str">
        <f>Study!CG397</f>
        <v>تاون هاوس - نسبة الإشغال</v>
      </c>
      <c r="C398" s="746">
        <f>Study!CH397</f>
        <v>0</v>
      </c>
      <c r="D398" s="740" t="str">
        <f>Study!CI397</f>
        <v>التأجير السنوي - تاون هاوس</v>
      </c>
      <c r="E398" s="742" t="str">
        <f>Study!CJ397</f>
        <v>G149</v>
      </c>
      <c r="F398" s="740" t="str">
        <f>Study!CK397</f>
        <v>نسبة مئوية</v>
      </c>
      <c r="G398" s="731"/>
      <c r="H398" s="731"/>
      <c r="I398" s="731"/>
      <c r="J398" s="731"/>
      <c r="K398" s="731"/>
      <c r="L398" s="731"/>
      <c r="M398" s="731"/>
      <c r="N398" s="731"/>
      <c r="O398" s="731"/>
      <c r="P398" s="731"/>
      <c r="Q398" s="731"/>
      <c r="R398" s="731"/>
      <c r="S398" s="731"/>
      <c r="T398" s="731"/>
      <c r="U398" s="731"/>
      <c r="V398" s="731"/>
      <c r="W398" s="731"/>
      <c r="X398" s="731"/>
      <c r="Y398" s="731"/>
      <c r="Z398" s="731"/>
    </row>
    <row r="399" spans="1:26" x14ac:dyDescent="0.2">
      <c r="A399" s="735">
        <f>Study!CF398</f>
        <v>345</v>
      </c>
      <c r="B399" s="736" t="str">
        <f>Study!CG398</f>
        <v>تاون هاوس - إجمالي إيرادات التأجير السنوي</v>
      </c>
      <c r="C399" s="743">
        <f>Study!CH398</f>
        <v>0</v>
      </c>
      <c r="D399" s="736" t="str">
        <f>Study!CI398</f>
        <v>التأجير السنوي - تاون هاوس</v>
      </c>
      <c r="E399" s="738" t="str">
        <f>Study!CJ398</f>
        <v>H149</v>
      </c>
      <c r="F399" s="736" t="str">
        <f>Study!CK398</f>
        <v>ريال سعودي</v>
      </c>
      <c r="G399" s="731"/>
      <c r="H399" s="731"/>
      <c r="I399" s="731"/>
      <c r="J399" s="731"/>
      <c r="K399" s="731"/>
      <c r="L399" s="731"/>
      <c r="M399" s="731"/>
      <c r="N399" s="731"/>
      <c r="O399" s="731"/>
      <c r="P399" s="731"/>
      <c r="Q399" s="731"/>
      <c r="R399" s="731"/>
      <c r="S399" s="731"/>
      <c r="T399" s="731"/>
      <c r="U399" s="731"/>
      <c r="V399" s="731"/>
      <c r="W399" s="731"/>
      <c r="X399" s="731"/>
      <c r="Y399" s="731"/>
      <c r="Z399" s="731"/>
    </row>
    <row r="400" spans="1:26" x14ac:dyDescent="0.2">
      <c r="A400" s="739">
        <f>Study!CF399</f>
        <v>346</v>
      </c>
      <c r="B400" s="740" t="str">
        <f>Study!CG399</f>
        <v>تاون هاوس - التكاليف التشغيلية</v>
      </c>
      <c r="C400" s="744">
        <f>Study!CH399</f>
        <v>0</v>
      </c>
      <c r="D400" s="740" t="str">
        <f>Study!CI399</f>
        <v>التأجير السنوي - تاون هاوس</v>
      </c>
      <c r="E400" s="742" t="str">
        <f>Study!CJ399</f>
        <v>I149</v>
      </c>
      <c r="F400" s="740" t="str">
        <f>Study!CK399</f>
        <v>ريال سعودي</v>
      </c>
      <c r="G400" s="731"/>
      <c r="H400" s="731"/>
      <c r="I400" s="731"/>
      <c r="J400" s="731"/>
      <c r="K400" s="731"/>
      <c r="L400" s="731"/>
      <c r="M400" s="731"/>
      <c r="N400" s="731"/>
      <c r="O400" s="731"/>
      <c r="P400" s="731"/>
      <c r="Q400" s="731"/>
      <c r="R400" s="731"/>
      <c r="S400" s="731"/>
      <c r="T400" s="731"/>
      <c r="U400" s="731"/>
      <c r="V400" s="731"/>
      <c r="W400" s="731"/>
      <c r="X400" s="731"/>
      <c r="Y400" s="731"/>
      <c r="Z400" s="731"/>
    </row>
    <row r="401" spans="1:26" x14ac:dyDescent="0.2">
      <c r="A401" s="735">
        <f>Study!CF400</f>
        <v>347</v>
      </c>
      <c r="B401" s="736" t="str">
        <f>Study!CG400</f>
        <v>تاون هاوس - فترة استرداد رأس المال</v>
      </c>
      <c r="C401" s="745" t="str">
        <f>Study!CH400</f>
        <v>0</v>
      </c>
      <c r="D401" s="736" t="str">
        <f>Study!CI400</f>
        <v>التأجير السنوي - تاون هاوس</v>
      </c>
      <c r="E401" s="738" t="str">
        <f>Study!CJ400</f>
        <v>K149</v>
      </c>
      <c r="F401" s="736" t="str">
        <f>Study!CK400</f>
        <v>سنة</v>
      </c>
      <c r="G401" s="731"/>
      <c r="H401" s="731"/>
      <c r="I401" s="731"/>
      <c r="J401" s="731"/>
      <c r="K401" s="731"/>
      <c r="L401" s="731"/>
      <c r="M401" s="731"/>
      <c r="N401" s="731"/>
      <c r="O401" s="731"/>
      <c r="P401" s="731"/>
      <c r="Q401" s="731"/>
      <c r="R401" s="731"/>
      <c r="S401" s="731"/>
      <c r="T401" s="731"/>
      <c r="U401" s="731"/>
      <c r="V401" s="731"/>
      <c r="W401" s="731"/>
      <c r="X401" s="731"/>
      <c r="Y401" s="731"/>
      <c r="Z401" s="731"/>
    </row>
    <row r="402" spans="1:26" x14ac:dyDescent="0.2">
      <c r="A402" s="739">
        <f>Study!CF401</f>
        <v>348</v>
      </c>
      <c r="B402" s="740" t="str">
        <f>Study!CG401</f>
        <v>تاون هاوس - العائد على التكلفة السنوي</v>
      </c>
      <c r="C402" s="746" t="str">
        <f>Study!CH401</f>
        <v>0.00%</v>
      </c>
      <c r="D402" s="740" t="str">
        <f>Study!CI401</f>
        <v>التأجير السنوي - تاون هاوس</v>
      </c>
      <c r="E402" s="742" t="str">
        <f>Study!CJ401</f>
        <v>L149</v>
      </c>
      <c r="F402" s="740" t="str">
        <f>Study!CK401</f>
        <v>نسبة مئوية</v>
      </c>
      <c r="G402" s="731"/>
      <c r="H402" s="731"/>
      <c r="I402" s="731"/>
      <c r="J402" s="731"/>
      <c r="K402" s="731"/>
      <c r="L402" s="731"/>
      <c r="M402" s="731"/>
      <c r="N402" s="731"/>
      <c r="O402" s="731"/>
      <c r="P402" s="731"/>
      <c r="Q402" s="731"/>
      <c r="R402" s="731"/>
      <c r="S402" s="731"/>
      <c r="T402" s="731"/>
      <c r="U402" s="731"/>
      <c r="V402" s="731"/>
      <c r="W402" s="731"/>
      <c r="X402" s="731"/>
      <c r="Y402" s="731"/>
      <c r="Z402" s="731"/>
    </row>
    <row r="403" spans="1:26" x14ac:dyDescent="0.2">
      <c r="A403" s="735">
        <f>Study!CF402</f>
        <v>349</v>
      </c>
      <c r="B403" s="736" t="str">
        <f>Study!CG402</f>
        <v>تاون هاوس - إجمالي الربح التشغيلي</v>
      </c>
      <c r="C403" s="743">
        <f>Study!CH402</f>
        <v>0</v>
      </c>
      <c r="D403" s="736" t="str">
        <f>Study!CI402</f>
        <v>التأجير السنوي - تاون هاوس</v>
      </c>
      <c r="E403" s="738" t="str">
        <f>Study!CJ402</f>
        <v>M149</v>
      </c>
      <c r="F403" s="736" t="str">
        <f>Study!CK402</f>
        <v>ريال سعودي</v>
      </c>
      <c r="G403" s="731"/>
      <c r="H403" s="731"/>
      <c r="I403" s="731"/>
      <c r="J403" s="731"/>
      <c r="K403" s="731"/>
      <c r="L403" s="731"/>
      <c r="M403" s="731"/>
      <c r="N403" s="731"/>
      <c r="O403" s="731"/>
      <c r="P403" s="731"/>
      <c r="Q403" s="731"/>
      <c r="R403" s="731"/>
      <c r="S403" s="731"/>
      <c r="T403" s="731"/>
      <c r="U403" s="731"/>
      <c r="V403" s="731"/>
      <c r="W403" s="731"/>
      <c r="X403" s="731"/>
      <c r="Y403" s="731"/>
      <c r="Z403" s="731"/>
    </row>
    <row r="404" spans="1:26" ht="15" x14ac:dyDescent="0.2">
      <c r="A404" s="734" t="str">
        <f>Study!CF403</f>
        <v>▌ التأجير السنوي - أدوار</v>
      </c>
      <c r="B404" s="734">
        <f>Study!CG403</f>
        <v>0</v>
      </c>
      <c r="C404" s="734">
        <f>Study!CH403</f>
        <v>0</v>
      </c>
      <c r="D404" s="734">
        <f>Study!CI403</f>
        <v>0</v>
      </c>
      <c r="E404" s="734">
        <f>Study!CJ403</f>
        <v>0</v>
      </c>
      <c r="F404" s="734">
        <f>Study!CK403</f>
        <v>0</v>
      </c>
      <c r="G404" s="731"/>
      <c r="H404" s="731"/>
      <c r="I404" s="731"/>
      <c r="J404" s="731"/>
      <c r="K404" s="731"/>
      <c r="L404" s="731"/>
      <c r="M404" s="731"/>
      <c r="N404" s="731"/>
      <c r="O404" s="731"/>
      <c r="P404" s="731"/>
      <c r="Q404" s="731"/>
      <c r="R404" s="731"/>
      <c r="S404" s="731"/>
      <c r="T404" s="731"/>
      <c r="U404" s="731"/>
      <c r="V404" s="731"/>
      <c r="W404" s="731"/>
      <c r="X404" s="731"/>
      <c r="Y404" s="731"/>
      <c r="Z404" s="731"/>
    </row>
    <row r="405" spans="1:26" x14ac:dyDescent="0.2">
      <c r="A405" s="739">
        <f>Study!CF404</f>
        <v>350</v>
      </c>
      <c r="B405" s="740" t="str">
        <f>Study!CG404</f>
        <v>أدوار - عدد الوحدات للتأجير</v>
      </c>
      <c r="C405" s="751">
        <f>Study!CH404</f>
        <v>0</v>
      </c>
      <c r="D405" s="740" t="str">
        <f>Study!CI404</f>
        <v>التأجير السنوي - أدوار</v>
      </c>
      <c r="E405" s="742" t="str">
        <f>Study!CJ404</f>
        <v>C150</v>
      </c>
      <c r="F405" s="740" t="str">
        <f>Study!CK404</f>
        <v>وحدة</v>
      </c>
      <c r="G405" s="731"/>
      <c r="H405" s="731"/>
      <c r="I405" s="731"/>
      <c r="J405" s="731"/>
      <c r="K405" s="731"/>
      <c r="L405" s="731"/>
      <c r="M405" s="731"/>
      <c r="N405" s="731"/>
      <c r="O405" s="731"/>
      <c r="P405" s="731"/>
      <c r="Q405" s="731"/>
      <c r="R405" s="731"/>
      <c r="S405" s="731"/>
      <c r="T405" s="731"/>
      <c r="U405" s="731"/>
      <c r="V405" s="731"/>
      <c r="W405" s="731"/>
      <c r="X405" s="731"/>
      <c r="Y405" s="731"/>
      <c r="Z405" s="731"/>
    </row>
    <row r="406" spans="1:26" x14ac:dyDescent="0.2">
      <c r="A406" s="735">
        <f>Study!CF405</f>
        <v>351</v>
      </c>
      <c r="B406" s="736" t="str">
        <f>Study!CG405</f>
        <v>أدوار - مساحة الوحدة</v>
      </c>
      <c r="C406" s="745" t="str">
        <f>Study!CH405</f>
        <v>0.00</v>
      </c>
      <c r="D406" s="736" t="str">
        <f>Study!CI405</f>
        <v>التأجير السنوي - أدوار</v>
      </c>
      <c r="E406" s="738" t="str">
        <f>Study!CJ405</f>
        <v>D150</v>
      </c>
      <c r="F406" s="736" t="str">
        <f>Study!CK405</f>
        <v>م²</v>
      </c>
      <c r="G406" s="731"/>
      <c r="H406" s="731"/>
      <c r="I406" s="731"/>
      <c r="J406" s="731"/>
      <c r="K406" s="731"/>
      <c r="L406" s="731"/>
      <c r="M406" s="731"/>
      <c r="N406" s="731"/>
      <c r="O406" s="731"/>
      <c r="P406" s="731"/>
      <c r="Q406" s="731"/>
      <c r="R406" s="731"/>
      <c r="S406" s="731"/>
      <c r="T406" s="731"/>
      <c r="U406" s="731"/>
      <c r="V406" s="731"/>
      <c r="W406" s="731"/>
      <c r="X406" s="731"/>
      <c r="Y406" s="731"/>
      <c r="Z406" s="731"/>
    </row>
    <row r="407" spans="1:26" x14ac:dyDescent="0.2">
      <c r="A407" s="739">
        <f>Study!CF406</f>
        <v>352</v>
      </c>
      <c r="B407" s="740" t="str">
        <f>Study!CG406</f>
        <v>أدوار - تأجير المتر</v>
      </c>
      <c r="C407" s="744">
        <f>Study!CH406</f>
        <v>0</v>
      </c>
      <c r="D407" s="740" t="str">
        <f>Study!CI406</f>
        <v>التأجير السنوي - أدوار</v>
      </c>
      <c r="E407" s="742" t="str">
        <f>Study!CJ406</f>
        <v>E150</v>
      </c>
      <c r="F407" s="740" t="str">
        <f>Study!CK406</f>
        <v>ريال/م²</v>
      </c>
      <c r="G407" s="731"/>
      <c r="H407" s="731"/>
      <c r="I407" s="731"/>
      <c r="J407" s="731"/>
      <c r="K407" s="731"/>
      <c r="L407" s="731"/>
      <c r="M407" s="731"/>
      <c r="N407" s="731"/>
      <c r="O407" s="731"/>
      <c r="P407" s="731"/>
      <c r="Q407" s="731"/>
      <c r="R407" s="731"/>
      <c r="S407" s="731"/>
      <c r="T407" s="731"/>
      <c r="U407" s="731"/>
      <c r="V407" s="731"/>
      <c r="W407" s="731"/>
      <c r="X407" s="731"/>
      <c r="Y407" s="731"/>
      <c r="Z407" s="731"/>
    </row>
    <row r="408" spans="1:26" x14ac:dyDescent="0.2">
      <c r="A408" s="735">
        <f>Study!CF407</f>
        <v>353</v>
      </c>
      <c r="B408" s="736" t="str">
        <f>Study!CG407</f>
        <v>أدوار - قيمة تأجير الوحدة السنوي</v>
      </c>
      <c r="C408" s="743">
        <f>Study!CH407</f>
        <v>0</v>
      </c>
      <c r="D408" s="736" t="str">
        <f>Study!CI407</f>
        <v>التأجير السنوي - أدوار</v>
      </c>
      <c r="E408" s="738" t="str">
        <f>Study!CJ407</f>
        <v>F150</v>
      </c>
      <c r="F408" s="736" t="str">
        <f>Study!CK407</f>
        <v>ريال سعودي</v>
      </c>
      <c r="G408" s="731"/>
      <c r="H408" s="731"/>
      <c r="I408" s="731"/>
      <c r="J408" s="731"/>
      <c r="K408" s="731"/>
      <c r="L408" s="731"/>
      <c r="M408" s="731"/>
      <c r="N408" s="731"/>
      <c r="O408" s="731"/>
      <c r="P408" s="731"/>
      <c r="Q408" s="731"/>
      <c r="R408" s="731"/>
      <c r="S408" s="731"/>
      <c r="T408" s="731"/>
      <c r="U408" s="731"/>
      <c r="V408" s="731"/>
      <c r="W408" s="731"/>
      <c r="X408" s="731"/>
      <c r="Y408" s="731"/>
      <c r="Z408" s="731"/>
    </row>
    <row r="409" spans="1:26" x14ac:dyDescent="0.2">
      <c r="A409" s="739">
        <f>Study!CF408</f>
        <v>354</v>
      </c>
      <c r="B409" s="740" t="str">
        <f>Study!CG408</f>
        <v>أدوار - نسبة الإشغال</v>
      </c>
      <c r="C409" s="746">
        <f>Study!CH408</f>
        <v>0</v>
      </c>
      <c r="D409" s="740" t="str">
        <f>Study!CI408</f>
        <v>التأجير السنوي - أدوار</v>
      </c>
      <c r="E409" s="742" t="str">
        <f>Study!CJ408</f>
        <v>G150</v>
      </c>
      <c r="F409" s="740" t="str">
        <f>Study!CK408</f>
        <v>نسبة مئوية</v>
      </c>
      <c r="G409" s="731"/>
      <c r="H409" s="731"/>
      <c r="I409" s="731"/>
      <c r="J409" s="731"/>
      <c r="K409" s="731"/>
      <c r="L409" s="731"/>
      <c r="M409" s="731"/>
      <c r="N409" s="731"/>
      <c r="O409" s="731"/>
      <c r="P409" s="731"/>
      <c r="Q409" s="731"/>
      <c r="R409" s="731"/>
      <c r="S409" s="731"/>
      <c r="T409" s="731"/>
      <c r="U409" s="731"/>
      <c r="V409" s="731"/>
      <c r="W409" s="731"/>
      <c r="X409" s="731"/>
      <c r="Y409" s="731"/>
      <c r="Z409" s="731"/>
    </row>
    <row r="410" spans="1:26" x14ac:dyDescent="0.2">
      <c r="A410" s="735">
        <f>Study!CF409</f>
        <v>355</v>
      </c>
      <c r="B410" s="736" t="str">
        <f>Study!CG409</f>
        <v>أدوار - إجمالي إيرادات التأجير السنوي</v>
      </c>
      <c r="C410" s="743">
        <f>Study!CH409</f>
        <v>0</v>
      </c>
      <c r="D410" s="736" t="str">
        <f>Study!CI409</f>
        <v>التأجير السنوي - أدوار</v>
      </c>
      <c r="E410" s="738" t="str">
        <f>Study!CJ409</f>
        <v>H150</v>
      </c>
      <c r="F410" s="736" t="str">
        <f>Study!CK409</f>
        <v>ريال سعودي</v>
      </c>
      <c r="G410" s="731"/>
      <c r="H410" s="731"/>
      <c r="I410" s="731"/>
      <c r="J410" s="731"/>
      <c r="K410" s="731"/>
      <c r="L410" s="731"/>
      <c r="M410" s="731"/>
      <c r="N410" s="731"/>
      <c r="O410" s="731"/>
      <c r="P410" s="731"/>
      <c r="Q410" s="731"/>
      <c r="R410" s="731"/>
      <c r="S410" s="731"/>
      <c r="T410" s="731"/>
      <c r="U410" s="731"/>
      <c r="V410" s="731"/>
      <c r="W410" s="731"/>
      <c r="X410" s="731"/>
      <c r="Y410" s="731"/>
      <c r="Z410" s="731"/>
    </row>
    <row r="411" spans="1:26" x14ac:dyDescent="0.2">
      <c r="A411" s="739">
        <f>Study!CF410</f>
        <v>356</v>
      </c>
      <c r="B411" s="740" t="str">
        <f>Study!CG410</f>
        <v>أدوار - التكاليف التشغيلية</v>
      </c>
      <c r="C411" s="744">
        <f>Study!CH410</f>
        <v>0</v>
      </c>
      <c r="D411" s="740" t="str">
        <f>Study!CI410</f>
        <v>التأجير السنوي - أدوار</v>
      </c>
      <c r="E411" s="742" t="str">
        <f>Study!CJ410</f>
        <v>I150</v>
      </c>
      <c r="F411" s="740" t="str">
        <f>Study!CK410</f>
        <v>ريال سعودي</v>
      </c>
      <c r="G411" s="731"/>
      <c r="H411" s="731"/>
      <c r="I411" s="731"/>
      <c r="J411" s="731"/>
      <c r="K411" s="731"/>
      <c r="L411" s="731"/>
      <c r="M411" s="731"/>
      <c r="N411" s="731"/>
      <c r="O411" s="731"/>
      <c r="P411" s="731"/>
      <c r="Q411" s="731"/>
      <c r="R411" s="731"/>
      <c r="S411" s="731"/>
      <c r="T411" s="731"/>
      <c r="U411" s="731"/>
      <c r="V411" s="731"/>
      <c r="W411" s="731"/>
      <c r="X411" s="731"/>
      <c r="Y411" s="731"/>
      <c r="Z411" s="731"/>
    </row>
    <row r="412" spans="1:26" x14ac:dyDescent="0.2">
      <c r="A412" s="735">
        <f>Study!CF411</f>
        <v>357</v>
      </c>
      <c r="B412" s="736" t="str">
        <f>Study!CG411</f>
        <v>أدوار - فترة استرداد رأس المال</v>
      </c>
      <c r="C412" s="745" t="str">
        <f>Study!CH411</f>
        <v>0</v>
      </c>
      <c r="D412" s="736" t="str">
        <f>Study!CI411</f>
        <v>التأجير السنوي - أدوار</v>
      </c>
      <c r="E412" s="738" t="str">
        <f>Study!CJ411</f>
        <v>K150</v>
      </c>
      <c r="F412" s="736" t="str">
        <f>Study!CK411</f>
        <v>سنة</v>
      </c>
      <c r="G412" s="731"/>
      <c r="H412" s="731"/>
      <c r="I412" s="731"/>
      <c r="J412" s="731"/>
      <c r="K412" s="731"/>
      <c r="L412" s="731"/>
      <c r="M412" s="731"/>
      <c r="N412" s="731"/>
      <c r="O412" s="731"/>
      <c r="P412" s="731"/>
      <c r="Q412" s="731"/>
      <c r="R412" s="731"/>
      <c r="S412" s="731"/>
      <c r="T412" s="731"/>
      <c r="U412" s="731"/>
      <c r="V412" s="731"/>
      <c r="W412" s="731"/>
      <c r="X412" s="731"/>
      <c r="Y412" s="731"/>
      <c r="Z412" s="731"/>
    </row>
    <row r="413" spans="1:26" x14ac:dyDescent="0.2">
      <c r="A413" s="739">
        <f>Study!CF412</f>
        <v>358</v>
      </c>
      <c r="B413" s="740" t="str">
        <f>Study!CG412</f>
        <v>أدوار - العائد على التكلفة السنوي</v>
      </c>
      <c r="C413" s="746" t="str">
        <f>Study!CH412</f>
        <v>0.00%</v>
      </c>
      <c r="D413" s="740" t="str">
        <f>Study!CI412</f>
        <v>التأجير السنوي - أدوار</v>
      </c>
      <c r="E413" s="742" t="str">
        <f>Study!CJ412</f>
        <v>L150</v>
      </c>
      <c r="F413" s="740" t="str">
        <f>Study!CK412</f>
        <v>نسبة مئوية</v>
      </c>
      <c r="G413" s="731"/>
      <c r="H413" s="731"/>
      <c r="I413" s="731"/>
      <c r="J413" s="731"/>
      <c r="K413" s="731"/>
      <c r="L413" s="731"/>
      <c r="M413" s="731"/>
      <c r="N413" s="731"/>
      <c r="O413" s="731"/>
      <c r="P413" s="731"/>
      <c r="Q413" s="731"/>
      <c r="R413" s="731"/>
      <c r="S413" s="731"/>
      <c r="T413" s="731"/>
      <c r="U413" s="731"/>
      <c r="V413" s="731"/>
      <c r="W413" s="731"/>
      <c r="X413" s="731"/>
      <c r="Y413" s="731"/>
      <c r="Z413" s="731"/>
    </row>
    <row r="414" spans="1:26" x14ac:dyDescent="0.2">
      <c r="A414" s="735">
        <f>Study!CF413</f>
        <v>359</v>
      </c>
      <c r="B414" s="736" t="str">
        <f>Study!CG413</f>
        <v>أدوار - إجمالي الربح التشغيلي</v>
      </c>
      <c r="C414" s="743">
        <f>Study!CH413</f>
        <v>0</v>
      </c>
      <c r="D414" s="736" t="str">
        <f>Study!CI413</f>
        <v>التأجير السنوي - أدوار</v>
      </c>
      <c r="E414" s="738" t="str">
        <f>Study!CJ413</f>
        <v>M150</v>
      </c>
      <c r="F414" s="736" t="str">
        <f>Study!CK413</f>
        <v>ريال سعودي</v>
      </c>
      <c r="G414" s="731"/>
      <c r="H414" s="731"/>
      <c r="I414" s="731"/>
      <c r="J414" s="731"/>
      <c r="K414" s="731"/>
      <c r="L414" s="731"/>
      <c r="M414" s="731"/>
      <c r="N414" s="731"/>
      <c r="O414" s="731"/>
      <c r="P414" s="731"/>
      <c r="Q414" s="731"/>
      <c r="R414" s="731"/>
      <c r="S414" s="731"/>
      <c r="T414" s="731"/>
      <c r="U414" s="731"/>
      <c r="V414" s="731"/>
      <c r="W414" s="731"/>
      <c r="X414" s="731"/>
      <c r="Y414" s="731"/>
      <c r="Z414" s="731"/>
    </row>
    <row r="415" spans="1:26" ht="15" x14ac:dyDescent="0.2">
      <c r="A415" s="734" t="str">
        <f>Study!CF414</f>
        <v>▌ التأجير السنوي - أستوديوهات</v>
      </c>
      <c r="B415" s="734">
        <f>Study!CG414</f>
        <v>0</v>
      </c>
      <c r="C415" s="734">
        <f>Study!CH414</f>
        <v>0</v>
      </c>
      <c r="D415" s="734">
        <f>Study!CI414</f>
        <v>0</v>
      </c>
      <c r="E415" s="734">
        <f>Study!CJ414</f>
        <v>0</v>
      </c>
      <c r="F415" s="734">
        <f>Study!CK414</f>
        <v>0</v>
      </c>
      <c r="G415" s="731"/>
      <c r="H415" s="731"/>
      <c r="I415" s="731"/>
      <c r="J415" s="731"/>
      <c r="K415" s="731"/>
      <c r="L415" s="731"/>
      <c r="M415" s="731"/>
      <c r="N415" s="731"/>
      <c r="O415" s="731"/>
      <c r="P415" s="731"/>
      <c r="Q415" s="731"/>
      <c r="R415" s="731"/>
      <c r="S415" s="731"/>
      <c r="T415" s="731"/>
      <c r="U415" s="731"/>
      <c r="V415" s="731"/>
      <c r="W415" s="731"/>
      <c r="X415" s="731"/>
      <c r="Y415" s="731"/>
      <c r="Z415" s="731"/>
    </row>
    <row r="416" spans="1:26" x14ac:dyDescent="0.2">
      <c r="A416" s="739">
        <f>Study!CF415</f>
        <v>360</v>
      </c>
      <c r="B416" s="740" t="str">
        <f>Study!CG415</f>
        <v>أستوديوهات - عدد الوحدات للتأجير</v>
      </c>
      <c r="C416" s="751">
        <f>Study!CH415</f>
        <v>0</v>
      </c>
      <c r="D416" s="740" t="str">
        <f>Study!CI415</f>
        <v>التأجير السنوي - أستوديوهات</v>
      </c>
      <c r="E416" s="742" t="str">
        <f>Study!CJ415</f>
        <v>C151</v>
      </c>
      <c r="F416" s="740" t="str">
        <f>Study!CK415</f>
        <v>وحدة</v>
      </c>
      <c r="G416" s="731"/>
      <c r="H416" s="731"/>
      <c r="I416" s="731"/>
      <c r="J416" s="731"/>
      <c r="K416" s="731"/>
      <c r="L416" s="731"/>
      <c r="M416" s="731"/>
      <c r="N416" s="731"/>
      <c r="O416" s="731"/>
      <c r="P416" s="731"/>
      <c r="Q416" s="731"/>
      <c r="R416" s="731"/>
      <c r="S416" s="731"/>
      <c r="T416" s="731"/>
      <c r="U416" s="731"/>
      <c r="V416" s="731"/>
      <c r="W416" s="731"/>
      <c r="X416" s="731"/>
      <c r="Y416" s="731"/>
      <c r="Z416" s="731"/>
    </row>
    <row r="417" spans="1:26" x14ac:dyDescent="0.2">
      <c r="A417" s="735">
        <f>Study!CF416</f>
        <v>361</v>
      </c>
      <c r="B417" s="736" t="str">
        <f>Study!CG416</f>
        <v>أستوديوهات - مساحة الوحدة</v>
      </c>
      <c r="C417" s="745" t="str">
        <f>Study!CH416</f>
        <v>0.00</v>
      </c>
      <c r="D417" s="736" t="str">
        <f>Study!CI416</f>
        <v>التأجير السنوي - أستوديوهات</v>
      </c>
      <c r="E417" s="738" t="str">
        <f>Study!CJ416</f>
        <v>D151</v>
      </c>
      <c r="F417" s="736" t="str">
        <f>Study!CK416</f>
        <v>م²</v>
      </c>
      <c r="G417" s="731"/>
      <c r="H417" s="731"/>
      <c r="I417" s="731"/>
      <c r="J417" s="731"/>
      <c r="K417" s="731"/>
      <c r="L417" s="731"/>
      <c r="M417" s="731"/>
      <c r="N417" s="731"/>
      <c r="O417" s="731"/>
      <c r="P417" s="731"/>
      <c r="Q417" s="731"/>
      <c r="R417" s="731"/>
      <c r="S417" s="731"/>
      <c r="T417" s="731"/>
      <c r="U417" s="731"/>
      <c r="V417" s="731"/>
      <c r="W417" s="731"/>
      <c r="X417" s="731"/>
      <c r="Y417" s="731"/>
      <c r="Z417" s="731"/>
    </row>
    <row r="418" spans="1:26" x14ac:dyDescent="0.2">
      <c r="A418" s="739">
        <f>Study!CF417</f>
        <v>362</v>
      </c>
      <c r="B418" s="740" t="str">
        <f>Study!CG417</f>
        <v>أستوديوهات - تأجير المتر</v>
      </c>
      <c r="C418" s="744">
        <f>Study!CH417</f>
        <v>0</v>
      </c>
      <c r="D418" s="740" t="str">
        <f>Study!CI417</f>
        <v>التأجير السنوي - أستوديوهات</v>
      </c>
      <c r="E418" s="742" t="str">
        <f>Study!CJ417</f>
        <v>E151</v>
      </c>
      <c r="F418" s="740" t="str">
        <f>Study!CK417</f>
        <v>ريال/م²</v>
      </c>
      <c r="G418" s="731"/>
      <c r="H418" s="731"/>
      <c r="I418" s="731"/>
      <c r="J418" s="731"/>
      <c r="K418" s="731"/>
      <c r="L418" s="731"/>
      <c r="M418" s="731"/>
      <c r="N418" s="731"/>
      <c r="O418" s="731"/>
      <c r="P418" s="731"/>
      <c r="Q418" s="731"/>
      <c r="R418" s="731"/>
      <c r="S418" s="731"/>
      <c r="T418" s="731"/>
      <c r="U418" s="731"/>
      <c r="V418" s="731"/>
      <c r="W418" s="731"/>
      <c r="X418" s="731"/>
      <c r="Y418" s="731"/>
      <c r="Z418" s="731"/>
    </row>
    <row r="419" spans="1:26" x14ac:dyDescent="0.2">
      <c r="A419" s="735">
        <f>Study!CF418</f>
        <v>363</v>
      </c>
      <c r="B419" s="736" t="str">
        <f>Study!CG418</f>
        <v>أستوديوهات - قيمة تأجير الوحدة السنوي</v>
      </c>
      <c r="C419" s="743">
        <f>Study!CH418</f>
        <v>0</v>
      </c>
      <c r="D419" s="736" t="str">
        <f>Study!CI418</f>
        <v>التأجير السنوي - أستوديوهات</v>
      </c>
      <c r="E419" s="738" t="str">
        <f>Study!CJ418</f>
        <v>F151</v>
      </c>
      <c r="F419" s="736" t="str">
        <f>Study!CK418</f>
        <v>ريال سعودي</v>
      </c>
      <c r="G419" s="731"/>
      <c r="H419" s="731"/>
      <c r="I419" s="731"/>
      <c r="J419" s="731"/>
      <c r="K419" s="731"/>
      <c r="L419" s="731"/>
      <c r="M419" s="731"/>
      <c r="N419" s="731"/>
      <c r="O419" s="731"/>
      <c r="P419" s="731"/>
      <c r="Q419" s="731"/>
      <c r="R419" s="731"/>
      <c r="S419" s="731"/>
      <c r="T419" s="731"/>
      <c r="U419" s="731"/>
      <c r="V419" s="731"/>
      <c r="W419" s="731"/>
      <c r="X419" s="731"/>
      <c r="Y419" s="731"/>
      <c r="Z419" s="731"/>
    </row>
    <row r="420" spans="1:26" x14ac:dyDescent="0.2">
      <c r="A420" s="739">
        <f>Study!CF419</f>
        <v>364</v>
      </c>
      <c r="B420" s="740" t="str">
        <f>Study!CG419</f>
        <v>أستوديوهات - نسبة الإشغال</v>
      </c>
      <c r="C420" s="746">
        <f>Study!CH419</f>
        <v>0</v>
      </c>
      <c r="D420" s="740" t="str">
        <f>Study!CI419</f>
        <v>التأجير السنوي - أستوديوهات</v>
      </c>
      <c r="E420" s="742" t="str">
        <f>Study!CJ419</f>
        <v>G151</v>
      </c>
      <c r="F420" s="740" t="str">
        <f>Study!CK419</f>
        <v>نسبة مئوية</v>
      </c>
      <c r="G420" s="731"/>
      <c r="H420" s="731"/>
      <c r="I420" s="731"/>
      <c r="J420" s="731"/>
      <c r="K420" s="731"/>
      <c r="L420" s="731"/>
      <c r="M420" s="731"/>
      <c r="N420" s="731"/>
      <c r="O420" s="731"/>
      <c r="P420" s="731"/>
      <c r="Q420" s="731"/>
      <c r="R420" s="731"/>
      <c r="S420" s="731"/>
      <c r="T420" s="731"/>
      <c r="U420" s="731"/>
      <c r="V420" s="731"/>
      <c r="W420" s="731"/>
      <c r="X420" s="731"/>
      <c r="Y420" s="731"/>
      <c r="Z420" s="731"/>
    </row>
    <row r="421" spans="1:26" x14ac:dyDescent="0.2">
      <c r="A421" s="735">
        <f>Study!CF420</f>
        <v>365</v>
      </c>
      <c r="B421" s="736" t="str">
        <f>Study!CG420</f>
        <v>أستوديوهات - إجمالي إيرادات التأجير السنوي</v>
      </c>
      <c r="C421" s="743">
        <f>Study!CH420</f>
        <v>0</v>
      </c>
      <c r="D421" s="736" t="str">
        <f>Study!CI420</f>
        <v>التأجير السنوي - أستوديوهات</v>
      </c>
      <c r="E421" s="738" t="str">
        <f>Study!CJ420</f>
        <v>H151</v>
      </c>
      <c r="F421" s="736" t="str">
        <f>Study!CK420</f>
        <v>ريال سعودي</v>
      </c>
      <c r="G421" s="731"/>
      <c r="H421" s="731"/>
      <c r="I421" s="731"/>
      <c r="J421" s="731"/>
      <c r="K421" s="731"/>
      <c r="L421" s="731"/>
      <c r="M421" s="731"/>
      <c r="N421" s="731"/>
      <c r="O421" s="731"/>
      <c r="P421" s="731"/>
      <c r="Q421" s="731"/>
      <c r="R421" s="731"/>
      <c r="S421" s="731"/>
      <c r="T421" s="731"/>
      <c r="U421" s="731"/>
      <c r="V421" s="731"/>
      <c r="W421" s="731"/>
      <c r="X421" s="731"/>
      <c r="Y421" s="731"/>
      <c r="Z421" s="731"/>
    </row>
    <row r="422" spans="1:26" x14ac:dyDescent="0.2">
      <c r="A422" s="739">
        <f>Study!CF421</f>
        <v>366</v>
      </c>
      <c r="B422" s="740" t="str">
        <f>Study!CG421</f>
        <v>أستوديوهات - التكاليف التشغيلية</v>
      </c>
      <c r="C422" s="744">
        <f>Study!CH421</f>
        <v>0</v>
      </c>
      <c r="D422" s="740" t="str">
        <f>Study!CI421</f>
        <v>التأجير السنوي - أستوديوهات</v>
      </c>
      <c r="E422" s="742" t="str">
        <f>Study!CJ421</f>
        <v>I151</v>
      </c>
      <c r="F422" s="740" t="str">
        <f>Study!CK421</f>
        <v>ريال سعودي</v>
      </c>
      <c r="G422" s="731"/>
      <c r="H422" s="731"/>
      <c r="I422" s="731"/>
      <c r="J422" s="731"/>
      <c r="K422" s="731"/>
      <c r="L422" s="731"/>
      <c r="M422" s="731"/>
      <c r="N422" s="731"/>
      <c r="O422" s="731"/>
      <c r="P422" s="731"/>
      <c r="Q422" s="731"/>
      <c r="R422" s="731"/>
      <c r="S422" s="731"/>
      <c r="T422" s="731"/>
      <c r="U422" s="731"/>
      <c r="V422" s="731"/>
      <c r="W422" s="731"/>
      <c r="X422" s="731"/>
      <c r="Y422" s="731"/>
      <c r="Z422" s="731"/>
    </row>
    <row r="423" spans="1:26" x14ac:dyDescent="0.2">
      <c r="A423" s="735">
        <f>Study!CF422</f>
        <v>367</v>
      </c>
      <c r="B423" s="736" t="str">
        <f>Study!CG422</f>
        <v>أستوديوهات - فترة استرداد رأس المال</v>
      </c>
      <c r="C423" s="745" t="str">
        <f>Study!CH422</f>
        <v>0</v>
      </c>
      <c r="D423" s="736" t="str">
        <f>Study!CI422</f>
        <v>التأجير السنوي - أستوديوهات</v>
      </c>
      <c r="E423" s="738" t="str">
        <f>Study!CJ422</f>
        <v>K151</v>
      </c>
      <c r="F423" s="736" t="str">
        <f>Study!CK422</f>
        <v>سنة</v>
      </c>
      <c r="G423" s="731"/>
      <c r="H423" s="731"/>
      <c r="I423" s="731"/>
      <c r="J423" s="731"/>
      <c r="K423" s="731"/>
      <c r="L423" s="731"/>
      <c r="M423" s="731"/>
      <c r="N423" s="731"/>
      <c r="O423" s="731"/>
      <c r="P423" s="731"/>
      <c r="Q423" s="731"/>
      <c r="R423" s="731"/>
      <c r="S423" s="731"/>
      <c r="T423" s="731"/>
      <c r="U423" s="731"/>
      <c r="V423" s="731"/>
      <c r="W423" s="731"/>
      <c r="X423" s="731"/>
      <c r="Y423" s="731"/>
      <c r="Z423" s="731"/>
    </row>
    <row r="424" spans="1:26" x14ac:dyDescent="0.2">
      <c r="A424" s="739">
        <f>Study!CF423</f>
        <v>368</v>
      </c>
      <c r="B424" s="740" t="str">
        <f>Study!CG423</f>
        <v>أستوديوهات - العائد على التكلفة السنوي</v>
      </c>
      <c r="C424" s="746" t="str">
        <f>Study!CH423</f>
        <v>0.00%</v>
      </c>
      <c r="D424" s="740" t="str">
        <f>Study!CI423</f>
        <v>التأجير السنوي - أستوديوهات</v>
      </c>
      <c r="E424" s="742" t="str">
        <f>Study!CJ423</f>
        <v>L151</v>
      </c>
      <c r="F424" s="740" t="str">
        <f>Study!CK423</f>
        <v>نسبة مئوية</v>
      </c>
      <c r="G424" s="731"/>
      <c r="H424" s="731"/>
      <c r="I424" s="731"/>
      <c r="J424" s="731"/>
      <c r="K424" s="731"/>
      <c r="L424" s="731"/>
      <c r="M424" s="731"/>
      <c r="N424" s="731"/>
      <c r="O424" s="731"/>
      <c r="P424" s="731"/>
      <c r="Q424" s="731"/>
      <c r="R424" s="731"/>
      <c r="S424" s="731"/>
      <c r="T424" s="731"/>
      <c r="U424" s="731"/>
      <c r="V424" s="731"/>
      <c r="W424" s="731"/>
      <c r="X424" s="731"/>
      <c r="Y424" s="731"/>
      <c r="Z424" s="731"/>
    </row>
    <row r="425" spans="1:26" x14ac:dyDescent="0.2">
      <c r="A425" s="735">
        <f>Study!CF424</f>
        <v>369</v>
      </c>
      <c r="B425" s="736" t="str">
        <f>Study!CG424</f>
        <v>أستوديوهات - إجمالي الربح التشغيلي</v>
      </c>
      <c r="C425" s="743">
        <f>Study!CH424</f>
        <v>0</v>
      </c>
      <c r="D425" s="736" t="str">
        <f>Study!CI424</f>
        <v>التأجير السنوي - أستوديوهات</v>
      </c>
      <c r="E425" s="738" t="str">
        <f>Study!CJ424</f>
        <v>M151</v>
      </c>
      <c r="F425" s="736" t="str">
        <f>Study!CK424</f>
        <v>ريال سعودي</v>
      </c>
      <c r="G425" s="731"/>
      <c r="H425" s="731"/>
      <c r="I425" s="731"/>
      <c r="J425" s="731"/>
      <c r="K425" s="731"/>
      <c r="L425" s="731"/>
      <c r="M425" s="731"/>
      <c r="N425" s="731"/>
      <c r="O425" s="731"/>
      <c r="P425" s="731"/>
      <c r="Q425" s="731"/>
      <c r="R425" s="731"/>
      <c r="S425" s="731"/>
      <c r="T425" s="731"/>
      <c r="U425" s="731"/>
      <c r="V425" s="731"/>
      <c r="W425" s="731"/>
      <c r="X425" s="731"/>
      <c r="Y425" s="731"/>
      <c r="Z425" s="731"/>
    </row>
    <row r="426" spans="1:26" ht="15" x14ac:dyDescent="0.2">
      <c r="A426" s="734" t="str">
        <f>Study!CF425</f>
        <v>▌ التأجير السنوي - مكتبي</v>
      </c>
      <c r="B426" s="734">
        <f>Study!CG425</f>
        <v>0</v>
      </c>
      <c r="C426" s="734">
        <f>Study!CH425</f>
        <v>0</v>
      </c>
      <c r="D426" s="734">
        <f>Study!CI425</f>
        <v>0</v>
      </c>
      <c r="E426" s="734">
        <f>Study!CJ425</f>
        <v>0</v>
      </c>
      <c r="F426" s="734">
        <f>Study!CK425</f>
        <v>0</v>
      </c>
      <c r="G426" s="731"/>
      <c r="H426" s="731"/>
      <c r="I426" s="731"/>
      <c r="J426" s="731"/>
      <c r="K426" s="731"/>
      <c r="L426" s="731"/>
      <c r="M426" s="731"/>
      <c r="N426" s="731"/>
      <c r="O426" s="731"/>
      <c r="P426" s="731"/>
      <c r="Q426" s="731"/>
      <c r="R426" s="731"/>
      <c r="S426" s="731"/>
      <c r="T426" s="731"/>
      <c r="U426" s="731"/>
      <c r="V426" s="731"/>
      <c r="W426" s="731"/>
      <c r="X426" s="731"/>
      <c r="Y426" s="731"/>
      <c r="Z426" s="731"/>
    </row>
    <row r="427" spans="1:26" x14ac:dyDescent="0.2">
      <c r="A427" s="739">
        <f>Study!CF426</f>
        <v>370</v>
      </c>
      <c r="B427" s="740" t="str">
        <f>Study!CG426</f>
        <v>مكتبي - عدد الوحدات للتأجير</v>
      </c>
      <c r="C427" s="751">
        <f>Study!CH426</f>
        <v>0</v>
      </c>
      <c r="D427" s="740" t="str">
        <f>Study!CI426</f>
        <v>التأجير السنوي - مكتبي</v>
      </c>
      <c r="E427" s="742" t="str">
        <f>Study!CJ426</f>
        <v>C152</v>
      </c>
      <c r="F427" s="740" t="str">
        <f>Study!CK426</f>
        <v>وحدة</v>
      </c>
      <c r="G427" s="731"/>
      <c r="H427" s="731"/>
      <c r="I427" s="731"/>
      <c r="J427" s="731"/>
      <c r="K427" s="731"/>
      <c r="L427" s="731"/>
      <c r="M427" s="731"/>
      <c r="N427" s="731"/>
      <c r="O427" s="731"/>
      <c r="P427" s="731"/>
      <c r="Q427" s="731"/>
      <c r="R427" s="731"/>
      <c r="S427" s="731"/>
      <c r="T427" s="731"/>
      <c r="U427" s="731"/>
      <c r="V427" s="731"/>
      <c r="W427" s="731"/>
      <c r="X427" s="731"/>
      <c r="Y427" s="731"/>
      <c r="Z427" s="731"/>
    </row>
    <row r="428" spans="1:26" x14ac:dyDescent="0.2">
      <c r="A428" s="735">
        <f>Study!CF427</f>
        <v>371</v>
      </c>
      <c r="B428" s="736" t="str">
        <f>Study!CG427</f>
        <v>مكتبي - مساحة الوحدة</v>
      </c>
      <c r="C428" s="745" t="str">
        <f>Study!CH427</f>
        <v>0.00</v>
      </c>
      <c r="D428" s="736" t="str">
        <f>Study!CI427</f>
        <v>التأجير السنوي - مكتبي</v>
      </c>
      <c r="E428" s="738" t="str">
        <f>Study!CJ427</f>
        <v>D152</v>
      </c>
      <c r="F428" s="736" t="str">
        <f>Study!CK427</f>
        <v>م²</v>
      </c>
      <c r="G428" s="731"/>
      <c r="H428" s="731"/>
      <c r="I428" s="731"/>
      <c r="J428" s="731"/>
      <c r="K428" s="731"/>
      <c r="L428" s="731"/>
      <c r="M428" s="731"/>
      <c r="N428" s="731"/>
      <c r="O428" s="731"/>
      <c r="P428" s="731"/>
      <c r="Q428" s="731"/>
      <c r="R428" s="731"/>
      <c r="S428" s="731"/>
      <c r="T428" s="731"/>
      <c r="U428" s="731"/>
      <c r="V428" s="731"/>
      <c r="W428" s="731"/>
      <c r="X428" s="731"/>
      <c r="Y428" s="731"/>
      <c r="Z428" s="731"/>
    </row>
    <row r="429" spans="1:26" x14ac:dyDescent="0.2">
      <c r="A429" s="739">
        <f>Study!CF428</f>
        <v>372</v>
      </c>
      <c r="B429" s="740" t="str">
        <f>Study!CG428</f>
        <v>مكتبي - تأجير المتر</v>
      </c>
      <c r="C429" s="744">
        <f>Study!CH428</f>
        <v>0</v>
      </c>
      <c r="D429" s="740" t="str">
        <f>Study!CI428</f>
        <v>التأجير السنوي - مكتبي</v>
      </c>
      <c r="E429" s="742" t="str">
        <f>Study!CJ428</f>
        <v>E152</v>
      </c>
      <c r="F429" s="740" t="str">
        <f>Study!CK428</f>
        <v>ريال/م²</v>
      </c>
      <c r="G429" s="731"/>
      <c r="H429" s="731"/>
      <c r="I429" s="731"/>
      <c r="J429" s="731"/>
      <c r="K429" s="731"/>
      <c r="L429" s="731"/>
      <c r="M429" s="731"/>
      <c r="N429" s="731"/>
      <c r="O429" s="731"/>
      <c r="P429" s="731"/>
      <c r="Q429" s="731"/>
      <c r="R429" s="731"/>
      <c r="S429" s="731"/>
      <c r="T429" s="731"/>
      <c r="U429" s="731"/>
      <c r="V429" s="731"/>
      <c r="W429" s="731"/>
      <c r="X429" s="731"/>
      <c r="Y429" s="731"/>
      <c r="Z429" s="731"/>
    </row>
    <row r="430" spans="1:26" x14ac:dyDescent="0.2">
      <c r="A430" s="735">
        <f>Study!CF429</f>
        <v>373</v>
      </c>
      <c r="B430" s="736" t="str">
        <f>Study!CG429</f>
        <v>مكتبي - قيمة تأجير الوحدة السنوي</v>
      </c>
      <c r="C430" s="743">
        <f>Study!CH429</f>
        <v>0</v>
      </c>
      <c r="D430" s="736" t="str">
        <f>Study!CI429</f>
        <v>التأجير السنوي - مكتبي</v>
      </c>
      <c r="E430" s="738" t="str">
        <f>Study!CJ429</f>
        <v>F152</v>
      </c>
      <c r="F430" s="736" t="str">
        <f>Study!CK429</f>
        <v>ريال سعودي</v>
      </c>
      <c r="G430" s="731"/>
      <c r="H430" s="731"/>
      <c r="I430" s="731"/>
      <c r="J430" s="731"/>
      <c r="K430" s="731"/>
      <c r="L430" s="731"/>
      <c r="M430" s="731"/>
      <c r="N430" s="731"/>
      <c r="O430" s="731"/>
      <c r="P430" s="731"/>
      <c r="Q430" s="731"/>
      <c r="R430" s="731"/>
      <c r="S430" s="731"/>
      <c r="T430" s="731"/>
      <c r="U430" s="731"/>
      <c r="V430" s="731"/>
      <c r="W430" s="731"/>
      <c r="X430" s="731"/>
      <c r="Y430" s="731"/>
      <c r="Z430" s="731"/>
    </row>
    <row r="431" spans="1:26" x14ac:dyDescent="0.2">
      <c r="A431" s="739">
        <f>Study!CF430</f>
        <v>374</v>
      </c>
      <c r="B431" s="740" t="str">
        <f>Study!CG430</f>
        <v>مكتبي - نسبة الإشغال</v>
      </c>
      <c r="C431" s="746">
        <f>Study!CH430</f>
        <v>0</v>
      </c>
      <c r="D431" s="740" t="str">
        <f>Study!CI430</f>
        <v>التأجير السنوي - مكتبي</v>
      </c>
      <c r="E431" s="742" t="str">
        <f>Study!CJ430</f>
        <v>G152</v>
      </c>
      <c r="F431" s="740" t="str">
        <f>Study!CK430</f>
        <v>نسبة مئوية</v>
      </c>
      <c r="G431" s="731"/>
      <c r="H431" s="731"/>
      <c r="I431" s="731"/>
      <c r="J431" s="731"/>
      <c r="K431" s="731"/>
      <c r="L431" s="731"/>
      <c r="M431" s="731"/>
      <c r="N431" s="731"/>
      <c r="O431" s="731"/>
      <c r="P431" s="731"/>
      <c r="Q431" s="731"/>
      <c r="R431" s="731"/>
      <c r="S431" s="731"/>
      <c r="T431" s="731"/>
      <c r="U431" s="731"/>
      <c r="V431" s="731"/>
      <c r="W431" s="731"/>
      <c r="X431" s="731"/>
      <c r="Y431" s="731"/>
      <c r="Z431" s="731"/>
    </row>
    <row r="432" spans="1:26" x14ac:dyDescent="0.2">
      <c r="A432" s="735">
        <f>Study!CF431</f>
        <v>375</v>
      </c>
      <c r="B432" s="736" t="str">
        <f>Study!CG431</f>
        <v>مكتبي - إجمالي إيرادات التأجير السنوي</v>
      </c>
      <c r="C432" s="743">
        <f>Study!CH431</f>
        <v>0</v>
      </c>
      <c r="D432" s="736" t="str">
        <f>Study!CI431</f>
        <v>التأجير السنوي - مكتبي</v>
      </c>
      <c r="E432" s="738" t="str">
        <f>Study!CJ431</f>
        <v>H152</v>
      </c>
      <c r="F432" s="736" t="str">
        <f>Study!CK431</f>
        <v>ريال سعودي</v>
      </c>
      <c r="G432" s="731"/>
      <c r="H432" s="731"/>
      <c r="I432" s="731"/>
      <c r="J432" s="731"/>
      <c r="K432" s="731"/>
      <c r="L432" s="731"/>
      <c r="M432" s="731"/>
      <c r="N432" s="731"/>
      <c r="O432" s="731"/>
      <c r="P432" s="731"/>
      <c r="Q432" s="731"/>
      <c r="R432" s="731"/>
      <c r="S432" s="731"/>
      <c r="T432" s="731"/>
      <c r="U432" s="731"/>
      <c r="V432" s="731"/>
      <c r="W432" s="731"/>
      <c r="X432" s="731"/>
      <c r="Y432" s="731"/>
      <c r="Z432" s="731"/>
    </row>
    <row r="433" spans="1:26" x14ac:dyDescent="0.2">
      <c r="A433" s="739">
        <f>Study!CF432</f>
        <v>376</v>
      </c>
      <c r="B433" s="740" t="str">
        <f>Study!CG432</f>
        <v>مكتبي - التكاليف التشغيلية</v>
      </c>
      <c r="C433" s="744">
        <f>Study!CH432</f>
        <v>0</v>
      </c>
      <c r="D433" s="740" t="str">
        <f>Study!CI432</f>
        <v>التأجير السنوي - مكتبي</v>
      </c>
      <c r="E433" s="742" t="str">
        <f>Study!CJ432</f>
        <v>I152</v>
      </c>
      <c r="F433" s="740" t="str">
        <f>Study!CK432</f>
        <v>ريال سعودي</v>
      </c>
      <c r="G433" s="731"/>
      <c r="H433" s="731"/>
      <c r="I433" s="731"/>
      <c r="J433" s="731"/>
      <c r="K433" s="731"/>
      <c r="L433" s="731"/>
      <c r="M433" s="731"/>
      <c r="N433" s="731"/>
      <c r="O433" s="731"/>
      <c r="P433" s="731"/>
      <c r="Q433" s="731"/>
      <c r="R433" s="731"/>
      <c r="S433" s="731"/>
      <c r="T433" s="731"/>
      <c r="U433" s="731"/>
      <c r="V433" s="731"/>
      <c r="W433" s="731"/>
      <c r="X433" s="731"/>
      <c r="Y433" s="731"/>
      <c r="Z433" s="731"/>
    </row>
    <row r="434" spans="1:26" x14ac:dyDescent="0.2">
      <c r="A434" s="735">
        <f>Study!CF433</f>
        <v>377</v>
      </c>
      <c r="B434" s="736" t="str">
        <f>Study!CG433</f>
        <v>مكتبي - فترة استرداد رأس المال</v>
      </c>
      <c r="C434" s="745" t="str">
        <f>Study!CH433</f>
        <v>0</v>
      </c>
      <c r="D434" s="736" t="str">
        <f>Study!CI433</f>
        <v>التأجير السنوي - مكتبي</v>
      </c>
      <c r="E434" s="738" t="str">
        <f>Study!CJ433</f>
        <v>K152</v>
      </c>
      <c r="F434" s="736" t="str">
        <f>Study!CK433</f>
        <v>سنة</v>
      </c>
      <c r="G434" s="731"/>
      <c r="H434" s="731"/>
      <c r="I434" s="731"/>
      <c r="J434" s="731"/>
      <c r="K434" s="731"/>
      <c r="L434" s="731"/>
      <c r="M434" s="731"/>
      <c r="N434" s="731"/>
      <c r="O434" s="731"/>
      <c r="P434" s="731"/>
      <c r="Q434" s="731"/>
      <c r="R434" s="731"/>
      <c r="S434" s="731"/>
      <c r="T434" s="731"/>
      <c r="U434" s="731"/>
      <c r="V434" s="731"/>
      <c r="W434" s="731"/>
      <c r="X434" s="731"/>
      <c r="Y434" s="731"/>
      <c r="Z434" s="731"/>
    </row>
    <row r="435" spans="1:26" x14ac:dyDescent="0.2">
      <c r="A435" s="739">
        <f>Study!CF434</f>
        <v>378</v>
      </c>
      <c r="B435" s="740" t="str">
        <f>Study!CG434</f>
        <v>مكتبي - العائد على التكلفة السنوي</v>
      </c>
      <c r="C435" s="746" t="str">
        <f>Study!CH434</f>
        <v>0.00%</v>
      </c>
      <c r="D435" s="740" t="str">
        <f>Study!CI434</f>
        <v>التأجير السنوي - مكتبي</v>
      </c>
      <c r="E435" s="742" t="str">
        <f>Study!CJ434</f>
        <v>L152</v>
      </c>
      <c r="F435" s="740" t="str">
        <f>Study!CK434</f>
        <v>نسبة مئوية</v>
      </c>
      <c r="G435" s="731"/>
      <c r="H435" s="731"/>
      <c r="I435" s="731"/>
      <c r="J435" s="731"/>
      <c r="K435" s="731"/>
      <c r="L435" s="731"/>
      <c r="M435" s="731"/>
      <c r="N435" s="731"/>
      <c r="O435" s="731"/>
      <c r="P435" s="731"/>
      <c r="Q435" s="731"/>
      <c r="R435" s="731"/>
      <c r="S435" s="731"/>
      <c r="T435" s="731"/>
      <c r="U435" s="731"/>
      <c r="V435" s="731"/>
      <c r="W435" s="731"/>
      <c r="X435" s="731"/>
      <c r="Y435" s="731"/>
      <c r="Z435" s="731"/>
    </row>
    <row r="436" spans="1:26" x14ac:dyDescent="0.2">
      <c r="A436" s="735">
        <f>Study!CF435</f>
        <v>379</v>
      </c>
      <c r="B436" s="736" t="str">
        <f>Study!CG435</f>
        <v>مكتبي - إجمالي الربح التشغيلي</v>
      </c>
      <c r="C436" s="743">
        <f>Study!CH435</f>
        <v>0</v>
      </c>
      <c r="D436" s="736" t="str">
        <f>Study!CI435</f>
        <v>التأجير السنوي - مكتبي</v>
      </c>
      <c r="E436" s="738" t="str">
        <f>Study!CJ435</f>
        <v>M152</v>
      </c>
      <c r="F436" s="736" t="str">
        <f>Study!CK435</f>
        <v>ريال سعودي</v>
      </c>
      <c r="G436" s="731"/>
      <c r="H436" s="731"/>
      <c r="I436" s="731"/>
      <c r="J436" s="731"/>
      <c r="K436" s="731"/>
      <c r="L436" s="731"/>
      <c r="M436" s="731"/>
      <c r="N436" s="731"/>
      <c r="O436" s="731"/>
      <c r="P436" s="731"/>
      <c r="Q436" s="731"/>
      <c r="R436" s="731"/>
      <c r="S436" s="731"/>
      <c r="T436" s="731"/>
      <c r="U436" s="731"/>
      <c r="V436" s="731"/>
      <c r="W436" s="731"/>
      <c r="X436" s="731"/>
      <c r="Y436" s="731"/>
      <c r="Z436" s="731"/>
    </row>
    <row r="437" spans="1:26" ht="15" x14ac:dyDescent="0.2">
      <c r="A437" s="734" t="str">
        <f>Study!CF436</f>
        <v>▌ التأجير السنوي - تجاري</v>
      </c>
      <c r="B437" s="734">
        <f>Study!CG436</f>
        <v>0</v>
      </c>
      <c r="C437" s="734">
        <f>Study!CH436</f>
        <v>0</v>
      </c>
      <c r="D437" s="734">
        <f>Study!CI436</f>
        <v>0</v>
      </c>
      <c r="E437" s="734">
        <f>Study!CJ436</f>
        <v>0</v>
      </c>
      <c r="F437" s="734">
        <f>Study!CK436</f>
        <v>0</v>
      </c>
      <c r="G437" s="731"/>
      <c r="H437" s="731"/>
      <c r="I437" s="731"/>
      <c r="J437" s="731"/>
      <c r="K437" s="731"/>
      <c r="L437" s="731"/>
      <c r="M437" s="731"/>
      <c r="N437" s="731"/>
      <c r="O437" s="731"/>
      <c r="P437" s="731"/>
      <c r="Q437" s="731"/>
      <c r="R437" s="731"/>
      <c r="S437" s="731"/>
      <c r="T437" s="731"/>
      <c r="U437" s="731"/>
      <c r="V437" s="731"/>
      <c r="W437" s="731"/>
      <c r="X437" s="731"/>
      <c r="Y437" s="731"/>
      <c r="Z437" s="731"/>
    </row>
    <row r="438" spans="1:26" x14ac:dyDescent="0.2">
      <c r="A438" s="739">
        <f>Study!CF437</f>
        <v>380</v>
      </c>
      <c r="B438" s="740" t="str">
        <f>Study!CG437</f>
        <v>تجاري - عدد الوحدات للتأجير</v>
      </c>
      <c r="C438" s="751">
        <f>Study!CH437</f>
        <v>0</v>
      </c>
      <c r="D438" s="740" t="str">
        <f>Study!CI437</f>
        <v>التأجير السنوي - تجاري</v>
      </c>
      <c r="E438" s="742" t="str">
        <f>Study!CJ437</f>
        <v>C153</v>
      </c>
      <c r="F438" s="740" t="str">
        <f>Study!CK437</f>
        <v>وحدة</v>
      </c>
      <c r="G438" s="731"/>
      <c r="H438" s="731"/>
      <c r="I438" s="731"/>
      <c r="J438" s="731"/>
      <c r="K438" s="731"/>
      <c r="L438" s="731"/>
      <c r="M438" s="731"/>
      <c r="N438" s="731"/>
      <c r="O438" s="731"/>
      <c r="P438" s="731"/>
      <c r="Q438" s="731"/>
      <c r="R438" s="731"/>
      <c r="S438" s="731"/>
      <c r="T438" s="731"/>
      <c r="U438" s="731"/>
      <c r="V438" s="731"/>
      <c r="W438" s="731"/>
      <c r="X438" s="731"/>
      <c r="Y438" s="731"/>
      <c r="Z438" s="731"/>
    </row>
    <row r="439" spans="1:26" x14ac:dyDescent="0.2">
      <c r="A439" s="735">
        <f>Study!CF438</f>
        <v>381</v>
      </c>
      <c r="B439" s="736" t="str">
        <f>Study!CG438</f>
        <v>تجاري - مساحة الوحدة</v>
      </c>
      <c r="C439" s="745" t="str">
        <f>Study!CH438</f>
        <v>0.00</v>
      </c>
      <c r="D439" s="736" t="str">
        <f>Study!CI438</f>
        <v>التأجير السنوي - تجاري</v>
      </c>
      <c r="E439" s="738" t="str">
        <f>Study!CJ438</f>
        <v>D153</v>
      </c>
      <c r="F439" s="736" t="str">
        <f>Study!CK438</f>
        <v>م²</v>
      </c>
      <c r="G439" s="731"/>
      <c r="H439" s="731"/>
      <c r="I439" s="731"/>
      <c r="J439" s="731"/>
      <c r="K439" s="731"/>
      <c r="L439" s="731"/>
      <c r="M439" s="731"/>
      <c r="N439" s="731"/>
      <c r="O439" s="731"/>
      <c r="P439" s="731"/>
      <c r="Q439" s="731"/>
      <c r="R439" s="731"/>
      <c r="S439" s="731"/>
      <c r="T439" s="731"/>
      <c r="U439" s="731"/>
      <c r="V439" s="731"/>
      <c r="W439" s="731"/>
      <c r="X439" s="731"/>
      <c r="Y439" s="731"/>
      <c r="Z439" s="731"/>
    </row>
    <row r="440" spans="1:26" x14ac:dyDescent="0.2">
      <c r="A440" s="739">
        <f>Study!CF439</f>
        <v>382</v>
      </c>
      <c r="B440" s="740" t="str">
        <f>Study!CG439</f>
        <v>تجاري - تأجير المتر</v>
      </c>
      <c r="C440" s="744">
        <f>Study!CH439</f>
        <v>0</v>
      </c>
      <c r="D440" s="740" t="str">
        <f>Study!CI439</f>
        <v>التأجير السنوي - تجاري</v>
      </c>
      <c r="E440" s="742" t="str">
        <f>Study!CJ439</f>
        <v>E153</v>
      </c>
      <c r="F440" s="740" t="str">
        <f>Study!CK439</f>
        <v>ريال/م²</v>
      </c>
      <c r="G440" s="731"/>
      <c r="H440" s="731"/>
      <c r="I440" s="731"/>
      <c r="J440" s="731"/>
      <c r="K440" s="731"/>
      <c r="L440" s="731"/>
      <c r="M440" s="731"/>
      <c r="N440" s="731"/>
      <c r="O440" s="731"/>
      <c r="P440" s="731"/>
      <c r="Q440" s="731"/>
      <c r="R440" s="731"/>
      <c r="S440" s="731"/>
      <c r="T440" s="731"/>
      <c r="U440" s="731"/>
      <c r="V440" s="731"/>
      <c r="W440" s="731"/>
      <c r="X440" s="731"/>
      <c r="Y440" s="731"/>
      <c r="Z440" s="731"/>
    </row>
    <row r="441" spans="1:26" x14ac:dyDescent="0.2">
      <c r="A441" s="735">
        <f>Study!CF440</f>
        <v>383</v>
      </c>
      <c r="B441" s="736" t="str">
        <f>Study!CG440</f>
        <v>تجاري - قيمة تأجير الوحدة السنوي</v>
      </c>
      <c r="C441" s="743">
        <f>Study!CH440</f>
        <v>0</v>
      </c>
      <c r="D441" s="736" t="str">
        <f>Study!CI440</f>
        <v>التأجير السنوي - تجاري</v>
      </c>
      <c r="E441" s="738" t="str">
        <f>Study!CJ440</f>
        <v>F153</v>
      </c>
      <c r="F441" s="736" t="str">
        <f>Study!CK440</f>
        <v>ريال سعودي</v>
      </c>
      <c r="G441" s="731"/>
      <c r="H441" s="731"/>
      <c r="I441" s="731"/>
      <c r="J441" s="731"/>
      <c r="K441" s="731"/>
      <c r="L441" s="731"/>
      <c r="M441" s="731"/>
      <c r="N441" s="731"/>
      <c r="O441" s="731"/>
      <c r="P441" s="731"/>
      <c r="Q441" s="731"/>
      <c r="R441" s="731"/>
      <c r="S441" s="731"/>
      <c r="T441" s="731"/>
      <c r="U441" s="731"/>
      <c r="V441" s="731"/>
      <c r="W441" s="731"/>
      <c r="X441" s="731"/>
      <c r="Y441" s="731"/>
      <c r="Z441" s="731"/>
    </row>
    <row r="442" spans="1:26" x14ac:dyDescent="0.2">
      <c r="A442" s="739">
        <f>Study!CF441</f>
        <v>384</v>
      </c>
      <c r="B442" s="740" t="str">
        <f>Study!CG441</f>
        <v>تجاري - نسبة الإشغال</v>
      </c>
      <c r="C442" s="746">
        <f>Study!CH441</f>
        <v>0</v>
      </c>
      <c r="D442" s="740" t="str">
        <f>Study!CI441</f>
        <v>التأجير السنوي - تجاري</v>
      </c>
      <c r="E442" s="742" t="str">
        <f>Study!CJ441</f>
        <v>G153</v>
      </c>
      <c r="F442" s="740" t="str">
        <f>Study!CK441</f>
        <v>نسبة مئوية</v>
      </c>
      <c r="G442" s="731"/>
      <c r="H442" s="731"/>
      <c r="I442" s="731"/>
      <c r="J442" s="731"/>
      <c r="K442" s="731"/>
      <c r="L442" s="731"/>
      <c r="M442" s="731"/>
      <c r="N442" s="731"/>
      <c r="O442" s="731"/>
      <c r="P442" s="731"/>
      <c r="Q442" s="731"/>
      <c r="R442" s="731"/>
      <c r="S442" s="731"/>
      <c r="T442" s="731"/>
      <c r="U442" s="731"/>
      <c r="V442" s="731"/>
      <c r="W442" s="731"/>
      <c r="X442" s="731"/>
      <c r="Y442" s="731"/>
      <c r="Z442" s="731"/>
    </row>
    <row r="443" spans="1:26" x14ac:dyDescent="0.2">
      <c r="A443" s="735">
        <f>Study!CF442</f>
        <v>385</v>
      </c>
      <c r="B443" s="736" t="str">
        <f>Study!CG442</f>
        <v>تجاري - إجمالي إيرادات التأجير السنوي</v>
      </c>
      <c r="C443" s="743">
        <f>Study!CH442</f>
        <v>0</v>
      </c>
      <c r="D443" s="736" t="str">
        <f>Study!CI442</f>
        <v>التأجير السنوي - تجاري</v>
      </c>
      <c r="E443" s="738" t="str">
        <f>Study!CJ442</f>
        <v>H153</v>
      </c>
      <c r="F443" s="736" t="str">
        <f>Study!CK442</f>
        <v>ريال سعودي</v>
      </c>
      <c r="G443" s="731"/>
      <c r="H443" s="731"/>
      <c r="I443" s="731"/>
      <c r="J443" s="731"/>
      <c r="K443" s="731"/>
      <c r="L443" s="731"/>
      <c r="M443" s="731"/>
      <c r="N443" s="731"/>
      <c r="O443" s="731"/>
      <c r="P443" s="731"/>
      <c r="Q443" s="731"/>
      <c r="R443" s="731"/>
      <c r="S443" s="731"/>
      <c r="T443" s="731"/>
      <c r="U443" s="731"/>
      <c r="V443" s="731"/>
      <c r="W443" s="731"/>
      <c r="X443" s="731"/>
      <c r="Y443" s="731"/>
      <c r="Z443" s="731"/>
    </row>
    <row r="444" spans="1:26" x14ac:dyDescent="0.2">
      <c r="A444" s="739">
        <f>Study!CF443</f>
        <v>386</v>
      </c>
      <c r="B444" s="740" t="str">
        <f>Study!CG443</f>
        <v>تجاري - التكاليف التشغيلية</v>
      </c>
      <c r="C444" s="744">
        <f>Study!CH443</f>
        <v>0</v>
      </c>
      <c r="D444" s="740" t="str">
        <f>Study!CI443</f>
        <v>التأجير السنوي - تجاري</v>
      </c>
      <c r="E444" s="742" t="str">
        <f>Study!CJ443</f>
        <v>I153</v>
      </c>
      <c r="F444" s="740" t="str">
        <f>Study!CK443</f>
        <v>ريال سعودي</v>
      </c>
      <c r="G444" s="731"/>
      <c r="H444" s="731"/>
      <c r="I444" s="731"/>
      <c r="J444" s="731"/>
      <c r="K444" s="731"/>
      <c r="L444" s="731"/>
      <c r="M444" s="731"/>
      <c r="N444" s="731"/>
      <c r="O444" s="731"/>
      <c r="P444" s="731"/>
      <c r="Q444" s="731"/>
      <c r="R444" s="731"/>
      <c r="S444" s="731"/>
      <c r="T444" s="731"/>
      <c r="U444" s="731"/>
      <c r="V444" s="731"/>
      <c r="W444" s="731"/>
      <c r="X444" s="731"/>
      <c r="Y444" s="731"/>
      <c r="Z444" s="731"/>
    </row>
    <row r="445" spans="1:26" x14ac:dyDescent="0.2">
      <c r="A445" s="735">
        <f>Study!CF444</f>
        <v>387</v>
      </c>
      <c r="B445" s="736" t="str">
        <f>Study!CG444</f>
        <v>تجاري - فترة استرداد رأس المال</v>
      </c>
      <c r="C445" s="745" t="str">
        <f>Study!CH444</f>
        <v>0</v>
      </c>
      <c r="D445" s="736" t="str">
        <f>Study!CI444</f>
        <v>التأجير السنوي - تجاري</v>
      </c>
      <c r="E445" s="738" t="str">
        <f>Study!CJ444</f>
        <v>K153</v>
      </c>
      <c r="F445" s="736" t="str">
        <f>Study!CK444</f>
        <v>سنة</v>
      </c>
      <c r="G445" s="731"/>
      <c r="H445" s="731"/>
      <c r="I445" s="731"/>
      <c r="J445" s="731"/>
      <c r="K445" s="731"/>
      <c r="L445" s="731"/>
      <c r="M445" s="731"/>
      <c r="N445" s="731"/>
      <c r="O445" s="731"/>
      <c r="P445" s="731"/>
      <c r="Q445" s="731"/>
      <c r="R445" s="731"/>
      <c r="S445" s="731"/>
      <c r="T445" s="731"/>
      <c r="U445" s="731"/>
      <c r="V445" s="731"/>
      <c r="W445" s="731"/>
      <c r="X445" s="731"/>
      <c r="Y445" s="731"/>
      <c r="Z445" s="731"/>
    </row>
    <row r="446" spans="1:26" x14ac:dyDescent="0.2">
      <c r="A446" s="739">
        <f>Study!CF445</f>
        <v>388</v>
      </c>
      <c r="B446" s="740" t="str">
        <f>Study!CG445</f>
        <v>تجاري - العائد على التكلفة السنوي</v>
      </c>
      <c r="C446" s="746" t="str">
        <f>Study!CH445</f>
        <v>0.00%</v>
      </c>
      <c r="D446" s="740" t="str">
        <f>Study!CI445</f>
        <v>التأجير السنوي - تجاري</v>
      </c>
      <c r="E446" s="742" t="str">
        <f>Study!CJ445</f>
        <v>L153</v>
      </c>
      <c r="F446" s="740" t="str">
        <f>Study!CK445</f>
        <v>نسبة مئوية</v>
      </c>
      <c r="G446" s="731"/>
      <c r="H446" s="731"/>
      <c r="I446" s="731"/>
      <c r="J446" s="731"/>
      <c r="K446" s="731"/>
      <c r="L446" s="731"/>
      <c r="M446" s="731"/>
      <c r="N446" s="731"/>
      <c r="O446" s="731"/>
      <c r="P446" s="731"/>
      <c r="Q446" s="731"/>
      <c r="R446" s="731"/>
      <c r="S446" s="731"/>
      <c r="T446" s="731"/>
      <c r="U446" s="731"/>
      <c r="V446" s="731"/>
      <c r="W446" s="731"/>
      <c r="X446" s="731"/>
      <c r="Y446" s="731"/>
      <c r="Z446" s="731"/>
    </row>
    <row r="447" spans="1:26" x14ac:dyDescent="0.2">
      <c r="A447" s="735">
        <f>Study!CF446</f>
        <v>389</v>
      </c>
      <c r="B447" s="736" t="str">
        <f>Study!CG446</f>
        <v>تجاري - إجمالي الربح التشغيلي</v>
      </c>
      <c r="C447" s="743">
        <f>Study!CH446</f>
        <v>0</v>
      </c>
      <c r="D447" s="736" t="str">
        <f>Study!CI446</f>
        <v>التأجير السنوي - تجاري</v>
      </c>
      <c r="E447" s="738" t="str">
        <f>Study!CJ446</f>
        <v>M153</v>
      </c>
      <c r="F447" s="736" t="str">
        <f>Study!CK446</f>
        <v>ريال سعودي</v>
      </c>
      <c r="G447" s="731"/>
      <c r="H447" s="731"/>
      <c r="I447" s="731"/>
      <c r="J447" s="731"/>
      <c r="K447" s="731"/>
      <c r="L447" s="731"/>
      <c r="M447" s="731"/>
      <c r="N447" s="731"/>
      <c r="O447" s="731"/>
      <c r="P447" s="731"/>
      <c r="Q447" s="731"/>
      <c r="R447" s="731"/>
      <c r="S447" s="731"/>
      <c r="T447" s="731"/>
      <c r="U447" s="731"/>
      <c r="V447" s="731"/>
      <c r="W447" s="731"/>
      <c r="X447" s="731"/>
      <c r="Y447" s="731"/>
      <c r="Z447" s="731"/>
    </row>
    <row r="448" spans="1:26" ht="15" x14ac:dyDescent="0.2">
      <c r="A448" s="734" t="str">
        <f>Study!CF447</f>
        <v>▌ التأجير السنوي - فندقي</v>
      </c>
      <c r="B448" s="734">
        <f>Study!CG447</f>
        <v>0</v>
      </c>
      <c r="C448" s="734">
        <f>Study!CH447</f>
        <v>0</v>
      </c>
      <c r="D448" s="734">
        <f>Study!CI447</f>
        <v>0</v>
      </c>
      <c r="E448" s="734">
        <f>Study!CJ447</f>
        <v>0</v>
      </c>
      <c r="F448" s="734">
        <f>Study!CK447</f>
        <v>0</v>
      </c>
      <c r="G448" s="731"/>
      <c r="H448" s="731"/>
      <c r="I448" s="731"/>
      <c r="J448" s="731"/>
      <c r="K448" s="731"/>
      <c r="L448" s="731"/>
      <c r="M448" s="731"/>
      <c r="N448" s="731"/>
      <c r="O448" s="731"/>
      <c r="P448" s="731"/>
      <c r="Q448" s="731"/>
      <c r="R448" s="731"/>
      <c r="S448" s="731"/>
      <c r="T448" s="731"/>
      <c r="U448" s="731"/>
      <c r="V448" s="731"/>
      <c r="W448" s="731"/>
      <c r="X448" s="731"/>
      <c r="Y448" s="731"/>
      <c r="Z448" s="731"/>
    </row>
    <row r="449" spans="1:26" x14ac:dyDescent="0.2">
      <c r="A449" s="739">
        <f>Study!CF448</f>
        <v>390</v>
      </c>
      <c r="B449" s="740" t="str">
        <f>Study!CG448</f>
        <v>فندقي - عدد الوحدات للتأجير</v>
      </c>
      <c r="C449" s="751">
        <f>Study!CH448</f>
        <v>100</v>
      </c>
      <c r="D449" s="740" t="str">
        <f>Study!CI448</f>
        <v>التأجير السنوي - فندقي</v>
      </c>
      <c r="E449" s="742" t="str">
        <f>Study!CJ448</f>
        <v>C154</v>
      </c>
      <c r="F449" s="740" t="str">
        <f>Study!CK448</f>
        <v>وحدة</v>
      </c>
      <c r="G449" s="731"/>
      <c r="H449" s="731"/>
      <c r="I449" s="731"/>
      <c r="J449" s="731"/>
      <c r="K449" s="731"/>
      <c r="L449" s="731"/>
      <c r="M449" s="731"/>
      <c r="N449" s="731"/>
      <c r="O449" s="731"/>
      <c r="P449" s="731"/>
      <c r="Q449" s="731"/>
      <c r="R449" s="731"/>
      <c r="S449" s="731"/>
      <c r="T449" s="731"/>
      <c r="U449" s="731"/>
      <c r="V449" s="731"/>
      <c r="W449" s="731"/>
      <c r="X449" s="731"/>
      <c r="Y449" s="731"/>
      <c r="Z449" s="731"/>
    </row>
    <row r="450" spans="1:26" x14ac:dyDescent="0.2">
      <c r="A450" s="735">
        <f>Study!CF449</f>
        <v>391</v>
      </c>
      <c r="B450" s="736" t="str">
        <f>Study!CG449</f>
        <v>فندقي - مساحة الوحدة</v>
      </c>
      <c r="C450" s="745">
        <f>Study!CH449</f>
        <v>35.669999999999987</v>
      </c>
      <c r="D450" s="736" t="str">
        <f>Study!CI449</f>
        <v>التأجير السنوي - فندقي</v>
      </c>
      <c r="E450" s="738" t="str">
        <f>Study!CJ449</f>
        <v>D154</v>
      </c>
      <c r="F450" s="736" t="str">
        <f>Study!CK449</f>
        <v>م²</v>
      </c>
      <c r="G450" s="731"/>
      <c r="H450" s="731"/>
      <c r="I450" s="731"/>
      <c r="J450" s="731"/>
      <c r="K450" s="731"/>
      <c r="L450" s="731"/>
      <c r="M450" s="731"/>
      <c r="N450" s="731"/>
      <c r="O450" s="731"/>
      <c r="P450" s="731"/>
      <c r="Q450" s="731"/>
      <c r="R450" s="731"/>
      <c r="S450" s="731"/>
      <c r="T450" s="731"/>
      <c r="U450" s="731"/>
      <c r="V450" s="731"/>
      <c r="W450" s="731"/>
      <c r="X450" s="731"/>
      <c r="Y450" s="731"/>
      <c r="Z450" s="731"/>
    </row>
    <row r="451" spans="1:26" x14ac:dyDescent="0.2">
      <c r="A451" s="739">
        <f>Study!CF450</f>
        <v>392</v>
      </c>
      <c r="B451" s="740" t="str">
        <f>Study!CG450</f>
        <v>فندقي - تأجير المتر</v>
      </c>
      <c r="C451" s="744">
        <f>Study!CH450</f>
        <v>0</v>
      </c>
      <c r="D451" s="740" t="str">
        <f>Study!CI450</f>
        <v>التأجير السنوي - فندقي</v>
      </c>
      <c r="E451" s="742" t="str">
        <f>Study!CJ450</f>
        <v>E154</v>
      </c>
      <c r="F451" s="740" t="str">
        <f>Study!CK450</f>
        <v>ريال/م²</v>
      </c>
      <c r="G451" s="731"/>
      <c r="H451" s="731"/>
      <c r="I451" s="731"/>
      <c r="J451" s="731"/>
      <c r="K451" s="731"/>
      <c r="L451" s="731"/>
      <c r="M451" s="731"/>
      <c r="N451" s="731"/>
      <c r="O451" s="731"/>
      <c r="P451" s="731"/>
      <c r="Q451" s="731"/>
      <c r="R451" s="731"/>
      <c r="S451" s="731"/>
      <c r="T451" s="731"/>
      <c r="U451" s="731"/>
      <c r="V451" s="731"/>
      <c r="W451" s="731"/>
      <c r="X451" s="731"/>
      <c r="Y451" s="731"/>
      <c r="Z451" s="731"/>
    </row>
    <row r="452" spans="1:26" x14ac:dyDescent="0.2">
      <c r="A452" s="735">
        <f>Study!CF451</f>
        <v>393</v>
      </c>
      <c r="B452" s="736" t="str">
        <f>Study!CG451</f>
        <v>فندقي - قيمة تأجير الوحدة السنوي</v>
      </c>
      <c r="C452" s="743">
        <f>Study!CH451</f>
        <v>0</v>
      </c>
      <c r="D452" s="736" t="str">
        <f>Study!CI451</f>
        <v>التأجير السنوي - فندقي</v>
      </c>
      <c r="E452" s="738" t="str">
        <f>Study!CJ451</f>
        <v>F154</v>
      </c>
      <c r="F452" s="736" t="str">
        <f>Study!CK451</f>
        <v>ريال سعودي</v>
      </c>
      <c r="G452" s="731"/>
      <c r="H452" s="731"/>
      <c r="I452" s="731"/>
      <c r="J452" s="731"/>
      <c r="K452" s="731"/>
      <c r="L452" s="731"/>
      <c r="M452" s="731"/>
      <c r="N452" s="731"/>
      <c r="O452" s="731"/>
      <c r="P452" s="731"/>
      <c r="Q452" s="731"/>
      <c r="R452" s="731"/>
      <c r="S452" s="731"/>
      <c r="T452" s="731"/>
      <c r="U452" s="731"/>
      <c r="V452" s="731"/>
      <c r="W452" s="731"/>
      <c r="X452" s="731"/>
      <c r="Y452" s="731"/>
      <c r="Z452" s="731"/>
    </row>
    <row r="453" spans="1:26" x14ac:dyDescent="0.2">
      <c r="A453" s="739">
        <f>Study!CF452</f>
        <v>394</v>
      </c>
      <c r="B453" s="740" t="str">
        <f>Study!CG452</f>
        <v>فندقي - نسبة الإشغال</v>
      </c>
      <c r="C453" s="746">
        <f>Study!CH452</f>
        <v>0</v>
      </c>
      <c r="D453" s="740" t="str">
        <f>Study!CI452</f>
        <v>التأجير السنوي - فندقي</v>
      </c>
      <c r="E453" s="742" t="str">
        <f>Study!CJ452</f>
        <v>G154</v>
      </c>
      <c r="F453" s="740" t="str">
        <f>Study!CK452</f>
        <v>نسبة مئوية</v>
      </c>
      <c r="G453" s="731"/>
      <c r="H453" s="731"/>
      <c r="I453" s="731"/>
      <c r="J453" s="731"/>
      <c r="K453" s="731"/>
      <c r="L453" s="731"/>
      <c r="M453" s="731"/>
      <c r="N453" s="731"/>
      <c r="O453" s="731"/>
      <c r="P453" s="731"/>
      <c r="Q453" s="731"/>
      <c r="R453" s="731"/>
      <c r="S453" s="731"/>
      <c r="T453" s="731"/>
      <c r="U453" s="731"/>
      <c r="V453" s="731"/>
      <c r="W453" s="731"/>
      <c r="X453" s="731"/>
      <c r="Y453" s="731"/>
      <c r="Z453" s="731"/>
    </row>
    <row r="454" spans="1:26" x14ac:dyDescent="0.2">
      <c r="A454" s="735">
        <f>Study!CF453</f>
        <v>395</v>
      </c>
      <c r="B454" s="736" t="str">
        <f>Study!CG453</f>
        <v>فندقي - إجمالي إيرادات التأجير السنوي</v>
      </c>
      <c r="C454" s="743">
        <f>Study!CH453</f>
        <v>0</v>
      </c>
      <c r="D454" s="736" t="str">
        <f>Study!CI453</f>
        <v>التأجير السنوي - فندقي</v>
      </c>
      <c r="E454" s="738" t="str">
        <f>Study!CJ453</f>
        <v>H154</v>
      </c>
      <c r="F454" s="736" t="str">
        <f>Study!CK453</f>
        <v>ريال سعودي</v>
      </c>
      <c r="G454" s="731"/>
      <c r="H454" s="731"/>
      <c r="I454" s="731"/>
      <c r="J454" s="731"/>
      <c r="K454" s="731"/>
      <c r="L454" s="731"/>
      <c r="M454" s="731"/>
      <c r="N454" s="731"/>
      <c r="O454" s="731"/>
      <c r="P454" s="731"/>
      <c r="Q454" s="731"/>
      <c r="R454" s="731"/>
      <c r="S454" s="731"/>
      <c r="T454" s="731"/>
      <c r="U454" s="731"/>
      <c r="V454" s="731"/>
      <c r="W454" s="731"/>
      <c r="X454" s="731"/>
      <c r="Y454" s="731"/>
      <c r="Z454" s="731"/>
    </row>
    <row r="455" spans="1:26" x14ac:dyDescent="0.2">
      <c r="A455" s="739">
        <f>Study!CF454</f>
        <v>396</v>
      </c>
      <c r="B455" s="740" t="str">
        <f>Study!CG454</f>
        <v>فندقي - التكاليف التشغيلية</v>
      </c>
      <c r="C455" s="744">
        <f>Study!CH454</f>
        <v>0</v>
      </c>
      <c r="D455" s="740" t="str">
        <f>Study!CI454</f>
        <v>التأجير السنوي - فندقي</v>
      </c>
      <c r="E455" s="742" t="str">
        <f>Study!CJ454</f>
        <v>I154</v>
      </c>
      <c r="F455" s="740" t="str">
        <f>Study!CK454</f>
        <v>ريال سعودي</v>
      </c>
      <c r="G455" s="731"/>
      <c r="H455" s="731"/>
      <c r="I455" s="731"/>
      <c r="J455" s="731"/>
      <c r="K455" s="731"/>
      <c r="L455" s="731"/>
      <c r="M455" s="731"/>
      <c r="N455" s="731"/>
      <c r="O455" s="731"/>
      <c r="P455" s="731"/>
      <c r="Q455" s="731"/>
      <c r="R455" s="731"/>
      <c r="S455" s="731"/>
      <c r="T455" s="731"/>
      <c r="U455" s="731"/>
      <c r="V455" s="731"/>
      <c r="W455" s="731"/>
      <c r="X455" s="731"/>
      <c r="Y455" s="731"/>
      <c r="Z455" s="731"/>
    </row>
    <row r="456" spans="1:26" x14ac:dyDescent="0.2">
      <c r="A456" s="735">
        <f>Study!CF455</f>
        <v>397</v>
      </c>
      <c r="B456" s="736" t="str">
        <f>Study!CG455</f>
        <v>فندقي - فترة استرداد رأس المال</v>
      </c>
      <c r="C456" s="745" t="str">
        <f>Study!CH455</f>
        <v>0</v>
      </c>
      <c r="D456" s="736" t="str">
        <f>Study!CI455</f>
        <v>التأجير السنوي - فندقي</v>
      </c>
      <c r="E456" s="738" t="str">
        <f>Study!CJ455</f>
        <v>K154</v>
      </c>
      <c r="F456" s="736" t="str">
        <f>Study!CK455</f>
        <v>سنة</v>
      </c>
      <c r="G456" s="731"/>
      <c r="H456" s="731"/>
      <c r="I456" s="731"/>
      <c r="J456" s="731"/>
      <c r="K456" s="731"/>
      <c r="L456" s="731"/>
      <c r="M456" s="731"/>
      <c r="N456" s="731"/>
      <c r="O456" s="731"/>
      <c r="P456" s="731"/>
      <c r="Q456" s="731"/>
      <c r="R456" s="731"/>
      <c r="S456" s="731"/>
      <c r="T456" s="731"/>
      <c r="U456" s="731"/>
      <c r="V456" s="731"/>
      <c r="W456" s="731"/>
      <c r="X456" s="731"/>
      <c r="Y456" s="731"/>
      <c r="Z456" s="731"/>
    </row>
    <row r="457" spans="1:26" x14ac:dyDescent="0.2">
      <c r="A457" s="739">
        <f>Study!CF456</f>
        <v>398</v>
      </c>
      <c r="B457" s="740" t="str">
        <f>Study!CG456</f>
        <v>فندقي - العائد على التكلفة السنوي</v>
      </c>
      <c r="C457" s="746">
        <f>Study!CH456</f>
        <v>0</v>
      </c>
      <c r="D457" s="740" t="str">
        <f>Study!CI456</f>
        <v>التأجير السنوي - فندقي</v>
      </c>
      <c r="E457" s="742" t="str">
        <f>Study!CJ456</f>
        <v>L154</v>
      </c>
      <c r="F457" s="740" t="str">
        <f>Study!CK456</f>
        <v>نسبة مئوية</v>
      </c>
      <c r="G457" s="731"/>
      <c r="H457" s="731"/>
      <c r="I457" s="731"/>
      <c r="J457" s="731"/>
      <c r="K457" s="731"/>
      <c r="L457" s="731"/>
      <c r="M457" s="731"/>
      <c r="N457" s="731"/>
      <c r="O457" s="731"/>
      <c r="P457" s="731"/>
      <c r="Q457" s="731"/>
      <c r="R457" s="731"/>
      <c r="S457" s="731"/>
      <c r="T457" s="731"/>
      <c r="U457" s="731"/>
      <c r="V457" s="731"/>
      <c r="W457" s="731"/>
      <c r="X457" s="731"/>
      <c r="Y457" s="731"/>
      <c r="Z457" s="731"/>
    </row>
    <row r="458" spans="1:26" x14ac:dyDescent="0.2">
      <c r="A458" s="735">
        <f>Study!CF457</f>
        <v>399</v>
      </c>
      <c r="B458" s="736" t="str">
        <f>Study!CG457</f>
        <v>فندقي - إجمالي الربح التشغيلي</v>
      </c>
      <c r="C458" s="743">
        <f>Study!CH457</f>
        <v>0</v>
      </c>
      <c r="D458" s="736" t="str">
        <f>Study!CI457</f>
        <v>التأجير السنوي - فندقي</v>
      </c>
      <c r="E458" s="738" t="str">
        <f>Study!CJ457</f>
        <v>M154</v>
      </c>
      <c r="F458" s="736" t="str">
        <f>Study!CK457</f>
        <v>ريال سعودي</v>
      </c>
      <c r="G458" s="731"/>
      <c r="H458" s="731"/>
      <c r="I458" s="731"/>
      <c r="J458" s="731"/>
      <c r="K458" s="731"/>
      <c r="L458" s="731"/>
      <c r="M458" s="731"/>
      <c r="N458" s="731"/>
      <c r="O458" s="731"/>
      <c r="P458" s="731"/>
      <c r="Q458" s="731"/>
      <c r="R458" s="731"/>
      <c r="S458" s="731"/>
      <c r="T458" s="731"/>
      <c r="U458" s="731"/>
      <c r="V458" s="731"/>
      <c r="W458" s="731"/>
      <c r="X458" s="731"/>
      <c r="Y458" s="731"/>
      <c r="Z458" s="731"/>
    </row>
    <row r="459" spans="1:26" ht="15" x14ac:dyDescent="0.2">
      <c r="A459" s="734" t="str">
        <f>Study!CF458</f>
        <v>▌ التأجير السنوي - صحي</v>
      </c>
      <c r="B459" s="734">
        <f>Study!CG458</f>
        <v>0</v>
      </c>
      <c r="C459" s="734">
        <f>Study!CH458</f>
        <v>0</v>
      </c>
      <c r="D459" s="734">
        <f>Study!CI458</f>
        <v>0</v>
      </c>
      <c r="E459" s="734">
        <f>Study!CJ458</f>
        <v>0</v>
      </c>
      <c r="F459" s="734">
        <f>Study!CK458</f>
        <v>0</v>
      </c>
      <c r="G459" s="731"/>
      <c r="H459" s="731"/>
      <c r="I459" s="731"/>
      <c r="J459" s="731"/>
      <c r="K459" s="731"/>
      <c r="L459" s="731"/>
      <c r="M459" s="731"/>
      <c r="N459" s="731"/>
      <c r="O459" s="731"/>
      <c r="P459" s="731"/>
      <c r="Q459" s="731"/>
      <c r="R459" s="731"/>
      <c r="S459" s="731"/>
      <c r="T459" s="731"/>
      <c r="U459" s="731"/>
      <c r="V459" s="731"/>
      <c r="W459" s="731"/>
      <c r="X459" s="731"/>
      <c r="Y459" s="731"/>
      <c r="Z459" s="731"/>
    </row>
    <row r="460" spans="1:26" x14ac:dyDescent="0.2">
      <c r="A460" s="739">
        <f>Study!CF459</f>
        <v>400</v>
      </c>
      <c r="B460" s="740" t="str">
        <f>Study!CG459</f>
        <v>صحي - عدد الوحدات للتأجير</v>
      </c>
      <c r="C460" s="751">
        <f>Study!CH459</f>
        <v>0</v>
      </c>
      <c r="D460" s="740" t="str">
        <f>Study!CI459</f>
        <v>التأجير السنوي - صحي</v>
      </c>
      <c r="E460" s="742" t="str">
        <f>Study!CJ459</f>
        <v>C155</v>
      </c>
      <c r="F460" s="740" t="str">
        <f>Study!CK459</f>
        <v>وحدة</v>
      </c>
      <c r="G460" s="731"/>
      <c r="H460" s="731"/>
      <c r="I460" s="731"/>
      <c r="J460" s="731"/>
      <c r="K460" s="731"/>
      <c r="L460" s="731"/>
      <c r="M460" s="731"/>
      <c r="N460" s="731"/>
      <c r="O460" s="731"/>
      <c r="P460" s="731"/>
      <c r="Q460" s="731"/>
      <c r="R460" s="731"/>
      <c r="S460" s="731"/>
      <c r="T460" s="731"/>
      <c r="U460" s="731"/>
      <c r="V460" s="731"/>
      <c r="W460" s="731"/>
      <c r="X460" s="731"/>
      <c r="Y460" s="731"/>
      <c r="Z460" s="731"/>
    </row>
    <row r="461" spans="1:26" x14ac:dyDescent="0.2">
      <c r="A461" s="735">
        <f>Study!CF460</f>
        <v>401</v>
      </c>
      <c r="B461" s="736" t="str">
        <f>Study!CG460</f>
        <v>صحي - مساحة الوحدة</v>
      </c>
      <c r="C461" s="745" t="str">
        <f>Study!CH460</f>
        <v>0.00</v>
      </c>
      <c r="D461" s="736" t="str">
        <f>Study!CI460</f>
        <v>التأجير السنوي - صحي</v>
      </c>
      <c r="E461" s="738" t="str">
        <f>Study!CJ460</f>
        <v>D155</v>
      </c>
      <c r="F461" s="736" t="str">
        <f>Study!CK460</f>
        <v>م²</v>
      </c>
      <c r="G461" s="731"/>
      <c r="H461" s="731"/>
      <c r="I461" s="731"/>
      <c r="J461" s="731"/>
      <c r="K461" s="731"/>
      <c r="L461" s="731"/>
      <c r="M461" s="731"/>
      <c r="N461" s="731"/>
      <c r="O461" s="731"/>
      <c r="P461" s="731"/>
      <c r="Q461" s="731"/>
      <c r="R461" s="731"/>
      <c r="S461" s="731"/>
      <c r="T461" s="731"/>
      <c r="U461" s="731"/>
      <c r="V461" s="731"/>
      <c r="W461" s="731"/>
      <c r="X461" s="731"/>
      <c r="Y461" s="731"/>
      <c r="Z461" s="731"/>
    </row>
    <row r="462" spans="1:26" x14ac:dyDescent="0.2">
      <c r="A462" s="739">
        <f>Study!CF461</f>
        <v>402</v>
      </c>
      <c r="B462" s="740" t="str">
        <f>Study!CG461</f>
        <v>صحي - تأجير المتر</v>
      </c>
      <c r="C462" s="744">
        <f>Study!CH461</f>
        <v>0</v>
      </c>
      <c r="D462" s="740" t="str">
        <f>Study!CI461</f>
        <v>التأجير السنوي - صحي</v>
      </c>
      <c r="E462" s="742" t="str">
        <f>Study!CJ461</f>
        <v>E155</v>
      </c>
      <c r="F462" s="740" t="str">
        <f>Study!CK461</f>
        <v>ريال/م²</v>
      </c>
      <c r="G462" s="731"/>
      <c r="H462" s="731"/>
      <c r="I462" s="731"/>
      <c r="J462" s="731"/>
      <c r="K462" s="731"/>
      <c r="L462" s="731"/>
      <c r="M462" s="731"/>
      <c r="N462" s="731"/>
      <c r="O462" s="731"/>
      <c r="P462" s="731"/>
      <c r="Q462" s="731"/>
      <c r="R462" s="731"/>
      <c r="S462" s="731"/>
      <c r="T462" s="731"/>
      <c r="U462" s="731"/>
      <c r="V462" s="731"/>
      <c r="W462" s="731"/>
      <c r="X462" s="731"/>
      <c r="Y462" s="731"/>
      <c r="Z462" s="731"/>
    </row>
    <row r="463" spans="1:26" x14ac:dyDescent="0.2">
      <c r="A463" s="735">
        <f>Study!CF462</f>
        <v>403</v>
      </c>
      <c r="B463" s="736" t="str">
        <f>Study!CG462</f>
        <v>صحي - قيمة تأجير الوحدة السنوي</v>
      </c>
      <c r="C463" s="743">
        <f>Study!CH462</f>
        <v>0</v>
      </c>
      <c r="D463" s="736" t="str">
        <f>Study!CI462</f>
        <v>التأجير السنوي - صحي</v>
      </c>
      <c r="E463" s="738" t="str">
        <f>Study!CJ462</f>
        <v>F155</v>
      </c>
      <c r="F463" s="736" t="str">
        <f>Study!CK462</f>
        <v>ريال سعودي</v>
      </c>
      <c r="G463" s="731"/>
      <c r="H463" s="731"/>
      <c r="I463" s="731"/>
      <c r="J463" s="731"/>
      <c r="K463" s="731"/>
      <c r="L463" s="731"/>
      <c r="M463" s="731"/>
      <c r="N463" s="731"/>
      <c r="O463" s="731"/>
      <c r="P463" s="731"/>
      <c r="Q463" s="731"/>
      <c r="R463" s="731"/>
      <c r="S463" s="731"/>
      <c r="T463" s="731"/>
      <c r="U463" s="731"/>
      <c r="V463" s="731"/>
      <c r="W463" s="731"/>
      <c r="X463" s="731"/>
      <c r="Y463" s="731"/>
      <c r="Z463" s="731"/>
    </row>
    <row r="464" spans="1:26" x14ac:dyDescent="0.2">
      <c r="A464" s="739">
        <f>Study!CF463</f>
        <v>404</v>
      </c>
      <c r="B464" s="740" t="str">
        <f>Study!CG463</f>
        <v>صحي - نسبة الإشغال</v>
      </c>
      <c r="C464" s="746">
        <f>Study!CH463</f>
        <v>0</v>
      </c>
      <c r="D464" s="740" t="str">
        <f>Study!CI463</f>
        <v>التأجير السنوي - صحي</v>
      </c>
      <c r="E464" s="742" t="str">
        <f>Study!CJ463</f>
        <v>G155</v>
      </c>
      <c r="F464" s="740" t="str">
        <f>Study!CK463</f>
        <v>نسبة مئوية</v>
      </c>
      <c r="G464" s="731"/>
      <c r="H464" s="731"/>
      <c r="I464" s="731"/>
      <c r="J464" s="731"/>
      <c r="K464" s="731"/>
      <c r="L464" s="731"/>
      <c r="M464" s="731"/>
      <c r="N464" s="731"/>
      <c r="O464" s="731"/>
      <c r="P464" s="731"/>
      <c r="Q464" s="731"/>
      <c r="R464" s="731"/>
      <c r="S464" s="731"/>
      <c r="T464" s="731"/>
      <c r="U464" s="731"/>
      <c r="V464" s="731"/>
      <c r="W464" s="731"/>
      <c r="X464" s="731"/>
      <c r="Y464" s="731"/>
      <c r="Z464" s="731"/>
    </row>
    <row r="465" spans="1:26" x14ac:dyDescent="0.2">
      <c r="A465" s="735">
        <f>Study!CF464</f>
        <v>405</v>
      </c>
      <c r="B465" s="736" t="str">
        <f>Study!CG464</f>
        <v>صحي - إجمالي إيرادات التأجير السنوي</v>
      </c>
      <c r="C465" s="743">
        <f>Study!CH464</f>
        <v>0</v>
      </c>
      <c r="D465" s="736" t="str">
        <f>Study!CI464</f>
        <v>التأجير السنوي - صحي</v>
      </c>
      <c r="E465" s="738" t="str">
        <f>Study!CJ464</f>
        <v>H155</v>
      </c>
      <c r="F465" s="736" t="str">
        <f>Study!CK464</f>
        <v>ريال سعودي</v>
      </c>
      <c r="G465" s="731"/>
      <c r="H465" s="731"/>
      <c r="I465" s="731"/>
      <c r="J465" s="731"/>
      <c r="K465" s="731"/>
      <c r="L465" s="731"/>
      <c r="M465" s="731"/>
      <c r="N465" s="731"/>
      <c r="O465" s="731"/>
      <c r="P465" s="731"/>
      <c r="Q465" s="731"/>
      <c r="R465" s="731"/>
      <c r="S465" s="731"/>
      <c r="T465" s="731"/>
      <c r="U465" s="731"/>
      <c r="V465" s="731"/>
      <c r="W465" s="731"/>
      <c r="X465" s="731"/>
      <c r="Y465" s="731"/>
      <c r="Z465" s="731"/>
    </row>
    <row r="466" spans="1:26" x14ac:dyDescent="0.2">
      <c r="A466" s="739">
        <f>Study!CF465</f>
        <v>406</v>
      </c>
      <c r="B466" s="740" t="str">
        <f>Study!CG465</f>
        <v>صحي - التكاليف التشغيلية</v>
      </c>
      <c r="C466" s="744">
        <f>Study!CH465</f>
        <v>0</v>
      </c>
      <c r="D466" s="740" t="str">
        <f>Study!CI465</f>
        <v>التأجير السنوي - صحي</v>
      </c>
      <c r="E466" s="742" t="str">
        <f>Study!CJ465</f>
        <v>I155</v>
      </c>
      <c r="F466" s="740" t="str">
        <f>Study!CK465</f>
        <v>ريال سعودي</v>
      </c>
      <c r="G466" s="731"/>
      <c r="H466" s="731"/>
      <c r="I466" s="731"/>
      <c r="J466" s="731"/>
      <c r="K466" s="731"/>
      <c r="L466" s="731"/>
      <c r="M466" s="731"/>
      <c r="N466" s="731"/>
      <c r="O466" s="731"/>
      <c r="P466" s="731"/>
      <c r="Q466" s="731"/>
      <c r="R466" s="731"/>
      <c r="S466" s="731"/>
      <c r="T466" s="731"/>
      <c r="U466" s="731"/>
      <c r="V466" s="731"/>
      <c r="W466" s="731"/>
      <c r="X466" s="731"/>
      <c r="Y466" s="731"/>
      <c r="Z466" s="731"/>
    </row>
    <row r="467" spans="1:26" x14ac:dyDescent="0.2">
      <c r="A467" s="735">
        <f>Study!CF466</f>
        <v>407</v>
      </c>
      <c r="B467" s="736" t="str">
        <f>Study!CG466</f>
        <v>صحي - فترة استرداد رأس المال</v>
      </c>
      <c r="C467" s="745" t="str">
        <f>Study!CH466</f>
        <v>0</v>
      </c>
      <c r="D467" s="736" t="str">
        <f>Study!CI466</f>
        <v>التأجير السنوي - صحي</v>
      </c>
      <c r="E467" s="738" t="str">
        <f>Study!CJ466</f>
        <v>K155</v>
      </c>
      <c r="F467" s="736" t="str">
        <f>Study!CK466</f>
        <v>سنة</v>
      </c>
      <c r="G467" s="731"/>
      <c r="H467" s="731"/>
      <c r="I467" s="731"/>
      <c r="J467" s="731"/>
      <c r="K467" s="731"/>
      <c r="L467" s="731"/>
      <c r="M467" s="731"/>
      <c r="N467" s="731"/>
      <c r="O467" s="731"/>
      <c r="P467" s="731"/>
      <c r="Q467" s="731"/>
      <c r="R467" s="731"/>
      <c r="S467" s="731"/>
      <c r="T467" s="731"/>
      <c r="U467" s="731"/>
      <c r="V467" s="731"/>
      <c r="W467" s="731"/>
      <c r="X467" s="731"/>
      <c r="Y467" s="731"/>
      <c r="Z467" s="731"/>
    </row>
    <row r="468" spans="1:26" x14ac:dyDescent="0.2">
      <c r="A468" s="739">
        <f>Study!CF467</f>
        <v>408</v>
      </c>
      <c r="B468" s="740" t="str">
        <f>Study!CG467</f>
        <v>صحي - العائد على التكلفة السنوي</v>
      </c>
      <c r="C468" s="746" t="str">
        <f>Study!CH467</f>
        <v>0.00%</v>
      </c>
      <c r="D468" s="740" t="str">
        <f>Study!CI467</f>
        <v>التأجير السنوي - صحي</v>
      </c>
      <c r="E468" s="742" t="str">
        <f>Study!CJ467</f>
        <v>L155</v>
      </c>
      <c r="F468" s="740" t="str">
        <f>Study!CK467</f>
        <v>نسبة مئوية</v>
      </c>
      <c r="G468" s="731"/>
      <c r="H468" s="731"/>
      <c r="I468" s="731"/>
      <c r="J468" s="731"/>
      <c r="K468" s="731"/>
      <c r="L468" s="731"/>
      <c r="M468" s="731"/>
      <c r="N468" s="731"/>
      <c r="O468" s="731"/>
      <c r="P468" s="731"/>
      <c r="Q468" s="731"/>
      <c r="R468" s="731"/>
      <c r="S468" s="731"/>
      <c r="T468" s="731"/>
      <c r="U468" s="731"/>
      <c r="V468" s="731"/>
      <c r="W468" s="731"/>
      <c r="X468" s="731"/>
      <c r="Y468" s="731"/>
      <c r="Z468" s="731"/>
    </row>
    <row r="469" spans="1:26" x14ac:dyDescent="0.2">
      <c r="A469" s="735">
        <f>Study!CF468</f>
        <v>409</v>
      </c>
      <c r="B469" s="736" t="str">
        <f>Study!CG468</f>
        <v>صحي - إجمالي الربح التشغيلي</v>
      </c>
      <c r="C469" s="743">
        <f>Study!CH468</f>
        <v>0</v>
      </c>
      <c r="D469" s="736" t="str">
        <f>Study!CI468</f>
        <v>التأجير السنوي - صحي</v>
      </c>
      <c r="E469" s="738" t="str">
        <f>Study!CJ468</f>
        <v>M155</v>
      </c>
      <c r="F469" s="736" t="str">
        <f>Study!CK468</f>
        <v>ريال سعودي</v>
      </c>
      <c r="G469" s="731"/>
      <c r="H469" s="731"/>
      <c r="I469" s="731"/>
      <c r="J469" s="731"/>
      <c r="K469" s="731"/>
      <c r="L469" s="731"/>
      <c r="M469" s="731"/>
      <c r="N469" s="731"/>
      <c r="O469" s="731"/>
      <c r="P469" s="731"/>
      <c r="Q469" s="731"/>
      <c r="R469" s="731"/>
      <c r="S469" s="731"/>
      <c r="T469" s="731"/>
      <c r="U469" s="731"/>
      <c r="V469" s="731"/>
      <c r="W469" s="731"/>
      <c r="X469" s="731"/>
      <c r="Y469" s="731"/>
      <c r="Z469" s="731"/>
    </row>
    <row r="470" spans="1:26" ht="15" x14ac:dyDescent="0.2">
      <c r="A470" s="734" t="str">
        <f>Study!CF469</f>
        <v>▌ التأجير السنوي - أخرى</v>
      </c>
      <c r="B470" s="734">
        <f>Study!CG469</f>
        <v>0</v>
      </c>
      <c r="C470" s="734">
        <f>Study!CH469</f>
        <v>0</v>
      </c>
      <c r="D470" s="734">
        <f>Study!CI469</f>
        <v>0</v>
      </c>
      <c r="E470" s="734">
        <f>Study!CJ469</f>
        <v>0</v>
      </c>
      <c r="F470" s="734">
        <f>Study!CK469</f>
        <v>0</v>
      </c>
      <c r="G470" s="731"/>
      <c r="H470" s="731"/>
      <c r="I470" s="731"/>
      <c r="J470" s="731"/>
      <c r="K470" s="731"/>
      <c r="L470" s="731"/>
      <c r="M470" s="731"/>
      <c r="N470" s="731"/>
      <c r="O470" s="731"/>
      <c r="P470" s="731"/>
      <c r="Q470" s="731"/>
      <c r="R470" s="731"/>
      <c r="S470" s="731"/>
      <c r="T470" s="731"/>
      <c r="U470" s="731"/>
      <c r="V470" s="731"/>
      <c r="W470" s="731"/>
      <c r="X470" s="731"/>
      <c r="Y470" s="731"/>
      <c r="Z470" s="731"/>
    </row>
    <row r="471" spans="1:26" x14ac:dyDescent="0.2">
      <c r="A471" s="739">
        <f>Study!CF470</f>
        <v>410</v>
      </c>
      <c r="B471" s="740" t="str">
        <f>Study!CG470</f>
        <v>أخرى - عدد الوحدات للتأجير</v>
      </c>
      <c r="C471" s="751">
        <f>Study!CH470</f>
        <v>0</v>
      </c>
      <c r="D471" s="740" t="str">
        <f>Study!CI470</f>
        <v>التأجير السنوي - أخرى</v>
      </c>
      <c r="E471" s="742" t="str">
        <f>Study!CJ470</f>
        <v>C156</v>
      </c>
      <c r="F471" s="740" t="str">
        <f>Study!CK470</f>
        <v>وحدة</v>
      </c>
      <c r="G471" s="731"/>
      <c r="H471" s="731"/>
      <c r="I471" s="731"/>
      <c r="J471" s="731"/>
      <c r="K471" s="731"/>
      <c r="L471" s="731"/>
      <c r="M471" s="731"/>
      <c r="N471" s="731"/>
      <c r="O471" s="731"/>
      <c r="P471" s="731"/>
      <c r="Q471" s="731"/>
      <c r="R471" s="731"/>
      <c r="S471" s="731"/>
      <c r="T471" s="731"/>
      <c r="U471" s="731"/>
      <c r="V471" s="731"/>
      <c r="W471" s="731"/>
      <c r="X471" s="731"/>
      <c r="Y471" s="731"/>
      <c r="Z471" s="731"/>
    </row>
    <row r="472" spans="1:26" x14ac:dyDescent="0.2">
      <c r="A472" s="735">
        <f>Study!CF471</f>
        <v>411</v>
      </c>
      <c r="B472" s="736" t="str">
        <f>Study!CG471</f>
        <v>أخرى - مساحة الوحدة</v>
      </c>
      <c r="C472" s="745" t="str">
        <f>Study!CH471</f>
        <v>0.00</v>
      </c>
      <c r="D472" s="736" t="str">
        <f>Study!CI471</f>
        <v>التأجير السنوي - أخرى</v>
      </c>
      <c r="E472" s="738" t="str">
        <f>Study!CJ471</f>
        <v>D156</v>
      </c>
      <c r="F472" s="736" t="str">
        <f>Study!CK471</f>
        <v>م²</v>
      </c>
      <c r="G472" s="731"/>
      <c r="H472" s="731"/>
      <c r="I472" s="731"/>
      <c r="J472" s="731"/>
      <c r="K472" s="731"/>
      <c r="L472" s="731"/>
      <c r="M472" s="731"/>
      <c r="N472" s="731"/>
      <c r="O472" s="731"/>
      <c r="P472" s="731"/>
      <c r="Q472" s="731"/>
      <c r="R472" s="731"/>
      <c r="S472" s="731"/>
      <c r="T472" s="731"/>
      <c r="U472" s="731"/>
      <c r="V472" s="731"/>
      <c r="W472" s="731"/>
      <c r="X472" s="731"/>
      <c r="Y472" s="731"/>
      <c r="Z472" s="731"/>
    </row>
    <row r="473" spans="1:26" x14ac:dyDescent="0.2">
      <c r="A473" s="739">
        <f>Study!CF472</f>
        <v>412</v>
      </c>
      <c r="B473" s="740" t="str">
        <f>Study!CG472</f>
        <v>أخرى - تأجير المتر</v>
      </c>
      <c r="C473" s="744">
        <f>Study!CH472</f>
        <v>0</v>
      </c>
      <c r="D473" s="740" t="str">
        <f>Study!CI472</f>
        <v>التأجير السنوي - أخرى</v>
      </c>
      <c r="E473" s="742" t="str">
        <f>Study!CJ472</f>
        <v>E156</v>
      </c>
      <c r="F473" s="740" t="str">
        <f>Study!CK472</f>
        <v>ريال/م²</v>
      </c>
      <c r="G473" s="731"/>
      <c r="H473" s="731"/>
      <c r="I473" s="731"/>
      <c r="J473" s="731"/>
      <c r="K473" s="731"/>
      <c r="L473" s="731"/>
      <c r="M473" s="731"/>
      <c r="N473" s="731"/>
      <c r="O473" s="731"/>
      <c r="P473" s="731"/>
      <c r="Q473" s="731"/>
      <c r="R473" s="731"/>
      <c r="S473" s="731"/>
      <c r="T473" s="731"/>
      <c r="U473" s="731"/>
      <c r="V473" s="731"/>
      <c r="W473" s="731"/>
      <c r="X473" s="731"/>
      <c r="Y473" s="731"/>
      <c r="Z473" s="731"/>
    </row>
    <row r="474" spans="1:26" x14ac:dyDescent="0.2">
      <c r="A474" s="735">
        <f>Study!CF473</f>
        <v>413</v>
      </c>
      <c r="B474" s="736" t="str">
        <f>Study!CG473</f>
        <v>أخرى - قيمة تأجير الوحدة السنوي</v>
      </c>
      <c r="C474" s="743">
        <f>Study!CH473</f>
        <v>0</v>
      </c>
      <c r="D474" s="736" t="str">
        <f>Study!CI473</f>
        <v>التأجير السنوي - أخرى</v>
      </c>
      <c r="E474" s="738" t="str">
        <f>Study!CJ473</f>
        <v>F156</v>
      </c>
      <c r="F474" s="736" t="str">
        <f>Study!CK473</f>
        <v>ريال سعودي</v>
      </c>
      <c r="G474" s="731"/>
      <c r="H474" s="731"/>
      <c r="I474" s="731"/>
      <c r="J474" s="731"/>
      <c r="K474" s="731"/>
      <c r="L474" s="731"/>
      <c r="M474" s="731"/>
      <c r="N474" s="731"/>
      <c r="O474" s="731"/>
      <c r="P474" s="731"/>
      <c r="Q474" s="731"/>
      <c r="R474" s="731"/>
      <c r="S474" s="731"/>
      <c r="T474" s="731"/>
      <c r="U474" s="731"/>
      <c r="V474" s="731"/>
      <c r="W474" s="731"/>
      <c r="X474" s="731"/>
      <c r="Y474" s="731"/>
      <c r="Z474" s="731"/>
    </row>
    <row r="475" spans="1:26" x14ac:dyDescent="0.2">
      <c r="A475" s="739">
        <f>Study!CF474</f>
        <v>414</v>
      </c>
      <c r="B475" s="740" t="str">
        <f>Study!CG474</f>
        <v>أخرى - نسبة الإشغال</v>
      </c>
      <c r="C475" s="746">
        <f>Study!CH474</f>
        <v>0</v>
      </c>
      <c r="D475" s="740" t="str">
        <f>Study!CI474</f>
        <v>التأجير السنوي - أخرى</v>
      </c>
      <c r="E475" s="742" t="str">
        <f>Study!CJ474</f>
        <v>G156</v>
      </c>
      <c r="F475" s="740" t="str">
        <f>Study!CK474</f>
        <v>نسبة مئوية</v>
      </c>
      <c r="G475" s="731"/>
      <c r="H475" s="731"/>
      <c r="I475" s="731"/>
      <c r="J475" s="731"/>
      <c r="K475" s="731"/>
      <c r="L475" s="731"/>
      <c r="M475" s="731"/>
      <c r="N475" s="731"/>
      <c r="O475" s="731"/>
      <c r="P475" s="731"/>
      <c r="Q475" s="731"/>
      <c r="R475" s="731"/>
      <c r="S475" s="731"/>
      <c r="T475" s="731"/>
      <c r="U475" s="731"/>
      <c r="V475" s="731"/>
      <c r="W475" s="731"/>
      <c r="X475" s="731"/>
      <c r="Y475" s="731"/>
      <c r="Z475" s="731"/>
    </row>
    <row r="476" spans="1:26" x14ac:dyDescent="0.2">
      <c r="A476" s="735">
        <f>Study!CF475</f>
        <v>415</v>
      </c>
      <c r="B476" s="736" t="str">
        <f>Study!CG475</f>
        <v>أخرى - إجمالي إيرادات التأجير السنوي</v>
      </c>
      <c r="C476" s="743">
        <f>Study!CH475</f>
        <v>0</v>
      </c>
      <c r="D476" s="736" t="str">
        <f>Study!CI475</f>
        <v>التأجير السنوي - أخرى</v>
      </c>
      <c r="E476" s="738" t="str">
        <f>Study!CJ475</f>
        <v>H156</v>
      </c>
      <c r="F476" s="736" t="str">
        <f>Study!CK475</f>
        <v>ريال سعودي</v>
      </c>
      <c r="G476" s="731"/>
      <c r="H476" s="731"/>
      <c r="I476" s="731"/>
      <c r="J476" s="731"/>
      <c r="K476" s="731"/>
      <c r="L476" s="731"/>
      <c r="M476" s="731"/>
      <c r="N476" s="731"/>
      <c r="O476" s="731"/>
      <c r="P476" s="731"/>
      <c r="Q476" s="731"/>
      <c r="R476" s="731"/>
      <c r="S476" s="731"/>
      <c r="T476" s="731"/>
      <c r="U476" s="731"/>
      <c r="V476" s="731"/>
      <c r="W476" s="731"/>
      <c r="X476" s="731"/>
      <c r="Y476" s="731"/>
      <c r="Z476" s="731"/>
    </row>
    <row r="477" spans="1:26" x14ac:dyDescent="0.2">
      <c r="A477" s="739">
        <f>Study!CF476</f>
        <v>416</v>
      </c>
      <c r="B477" s="740" t="str">
        <f>Study!CG476</f>
        <v>أخرى - التكاليف التشغيلية</v>
      </c>
      <c r="C477" s="744">
        <f>Study!CH476</f>
        <v>0</v>
      </c>
      <c r="D477" s="740" t="str">
        <f>Study!CI476</f>
        <v>التأجير السنوي - أخرى</v>
      </c>
      <c r="E477" s="742" t="str">
        <f>Study!CJ476</f>
        <v>I156</v>
      </c>
      <c r="F477" s="740" t="str">
        <f>Study!CK476</f>
        <v>ريال سعودي</v>
      </c>
      <c r="G477" s="731"/>
      <c r="H477" s="731"/>
      <c r="I477" s="731"/>
      <c r="J477" s="731"/>
      <c r="K477" s="731"/>
      <c r="L477" s="731"/>
      <c r="M477" s="731"/>
      <c r="N477" s="731"/>
      <c r="O477" s="731"/>
      <c r="P477" s="731"/>
      <c r="Q477" s="731"/>
      <c r="R477" s="731"/>
      <c r="S477" s="731"/>
      <c r="T477" s="731"/>
      <c r="U477" s="731"/>
      <c r="V477" s="731"/>
      <c r="W477" s="731"/>
      <c r="X477" s="731"/>
      <c r="Y477" s="731"/>
      <c r="Z477" s="731"/>
    </row>
    <row r="478" spans="1:26" x14ac:dyDescent="0.2">
      <c r="A478" s="735">
        <f>Study!CF477</f>
        <v>417</v>
      </c>
      <c r="B478" s="736" t="str">
        <f>Study!CG477</f>
        <v>أخرى - فترة استرداد رأس المال</v>
      </c>
      <c r="C478" s="745" t="str">
        <f>Study!CH477</f>
        <v>0</v>
      </c>
      <c r="D478" s="736" t="str">
        <f>Study!CI477</f>
        <v>التأجير السنوي - أخرى</v>
      </c>
      <c r="E478" s="738" t="str">
        <f>Study!CJ477</f>
        <v>K156</v>
      </c>
      <c r="F478" s="736" t="str">
        <f>Study!CK477</f>
        <v>سنة</v>
      </c>
      <c r="G478" s="731"/>
      <c r="H478" s="731"/>
      <c r="I478" s="731"/>
      <c r="J478" s="731"/>
      <c r="K478" s="731"/>
      <c r="L478" s="731"/>
      <c r="M478" s="731"/>
      <c r="N478" s="731"/>
      <c r="O478" s="731"/>
      <c r="P478" s="731"/>
      <c r="Q478" s="731"/>
      <c r="R478" s="731"/>
      <c r="S478" s="731"/>
      <c r="T478" s="731"/>
      <c r="U478" s="731"/>
      <c r="V478" s="731"/>
      <c r="W478" s="731"/>
      <c r="X478" s="731"/>
      <c r="Y478" s="731"/>
      <c r="Z478" s="731"/>
    </row>
    <row r="479" spans="1:26" x14ac:dyDescent="0.2">
      <c r="A479" s="739">
        <f>Study!CF478</f>
        <v>418</v>
      </c>
      <c r="B479" s="740" t="str">
        <f>Study!CG478</f>
        <v>أخرى - العائد على التكلفة السنوي</v>
      </c>
      <c r="C479" s="746" t="str">
        <f>Study!CH478</f>
        <v>0.00%</v>
      </c>
      <c r="D479" s="740" t="str">
        <f>Study!CI478</f>
        <v>التأجير السنوي - أخرى</v>
      </c>
      <c r="E479" s="742" t="str">
        <f>Study!CJ478</f>
        <v>L156</v>
      </c>
      <c r="F479" s="740" t="str">
        <f>Study!CK478</f>
        <v>نسبة مئوية</v>
      </c>
      <c r="G479" s="731"/>
      <c r="H479" s="731"/>
      <c r="I479" s="731"/>
      <c r="J479" s="731"/>
      <c r="K479" s="731"/>
      <c r="L479" s="731"/>
      <c r="M479" s="731"/>
      <c r="N479" s="731"/>
      <c r="O479" s="731"/>
      <c r="P479" s="731"/>
      <c r="Q479" s="731"/>
      <c r="R479" s="731"/>
      <c r="S479" s="731"/>
      <c r="T479" s="731"/>
      <c r="U479" s="731"/>
      <c r="V479" s="731"/>
      <c r="W479" s="731"/>
      <c r="X479" s="731"/>
      <c r="Y479" s="731"/>
      <c r="Z479" s="731"/>
    </row>
    <row r="480" spans="1:26" x14ac:dyDescent="0.2">
      <c r="A480" s="735">
        <f>Study!CF479</f>
        <v>419</v>
      </c>
      <c r="B480" s="736" t="str">
        <f>Study!CG479</f>
        <v>أخرى - إجمالي الربح التشغيلي</v>
      </c>
      <c r="C480" s="743">
        <f>Study!CH479</f>
        <v>0</v>
      </c>
      <c r="D480" s="736" t="str">
        <f>Study!CI479</f>
        <v>التأجير السنوي - أخرى</v>
      </c>
      <c r="E480" s="738" t="str">
        <f>Study!CJ479</f>
        <v>M156</v>
      </c>
      <c r="F480" s="736" t="str">
        <f>Study!CK479</f>
        <v>ريال سعودي</v>
      </c>
      <c r="G480" s="731"/>
      <c r="H480" s="731"/>
      <c r="I480" s="731"/>
      <c r="J480" s="731"/>
      <c r="K480" s="731"/>
      <c r="L480" s="731"/>
      <c r="M480" s="731"/>
      <c r="N480" s="731"/>
      <c r="O480" s="731"/>
      <c r="P480" s="731"/>
      <c r="Q480" s="731"/>
      <c r="R480" s="731"/>
      <c r="S480" s="731"/>
      <c r="T480" s="731"/>
      <c r="U480" s="731"/>
      <c r="V480" s="731"/>
      <c r="W480" s="731"/>
      <c r="X480" s="731"/>
      <c r="Y480" s="731"/>
      <c r="Z480" s="731"/>
    </row>
    <row r="481" spans="1:26" ht="15" x14ac:dyDescent="0.2">
      <c r="A481" s="734" t="str">
        <f>Study!CF480</f>
        <v>▌ التأجير السنوي - الإجمالي</v>
      </c>
      <c r="B481" s="734">
        <f>Study!CG480</f>
        <v>0</v>
      </c>
      <c r="C481" s="734">
        <f>Study!CH480</f>
        <v>0</v>
      </c>
      <c r="D481" s="734">
        <f>Study!CI480</f>
        <v>0</v>
      </c>
      <c r="E481" s="734">
        <f>Study!CJ480</f>
        <v>0</v>
      </c>
      <c r="F481" s="734">
        <f>Study!CK480</f>
        <v>0</v>
      </c>
      <c r="G481" s="731"/>
      <c r="H481" s="731"/>
      <c r="I481" s="731"/>
      <c r="J481" s="731"/>
      <c r="K481" s="731"/>
      <c r="L481" s="731"/>
      <c r="M481" s="731"/>
      <c r="N481" s="731"/>
      <c r="O481" s="731"/>
      <c r="P481" s="731"/>
      <c r="Q481" s="731"/>
      <c r="R481" s="731"/>
      <c r="S481" s="731"/>
      <c r="T481" s="731"/>
      <c r="U481" s="731"/>
      <c r="V481" s="731"/>
      <c r="W481" s="731"/>
      <c r="X481" s="731"/>
      <c r="Y481" s="731"/>
      <c r="Z481" s="731"/>
    </row>
    <row r="482" spans="1:26" x14ac:dyDescent="0.2">
      <c r="A482" s="739">
        <f>Study!CF481</f>
        <v>420</v>
      </c>
      <c r="B482" s="740" t="str">
        <f>Study!CG481</f>
        <v>إجمالي عدد الوحدات للتأجير</v>
      </c>
      <c r="C482" s="751">
        <f>Study!CH481</f>
        <v>123</v>
      </c>
      <c r="D482" s="740" t="str">
        <f>Study!CI481</f>
        <v>التأجير السنوي - الإجمالي</v>
      </c>
      <c r="E482" s="742" t="str">
        <f>Study!CJ481</f>
        <v>C157</v>
      </c>
      <c r="F482" s="740" t="str">
        <f>Study!CK481</f>
        <v>وحدة</v>
      </c>
      <c r="G482" s="731"/>
      <c r="H482" s="731"/>
      <c r="I482" s="731"/>
      <c r="J482" s="731"/>
      <c r="K482" s="731"/>
      <c r="L482" s="731"/>
      <c r="M482" s="731"/>
      <c r="N482" s="731"/>
      <c r="O482" s="731"/>
      <c r="P482" s="731"/>
      <c r="Q482" s="731"/>
      <c r="R482" s="731"/>
      <c r="S482" s="731"/>
      <c r="T482" s="731"/>
      <c r="U482" s="731"/>
      <c r="V482" s="731"/>
      <c r="W482" s="731"/>
      <c r="X482" s="731"/>
      <c r="Y482" s="731"/>
      <c r="Z482" s="731"/>
    </row>
    <row r="483" spans="1:26" x14ac:dyDescent="0.2">
      <c r="A483" s="735">
        <f>Study!CF482</f>
        <v>421</v>
      </c>
      <c r="B483" s="736" t="str">
        <f>Study!CG482</f>
        <v>إجمالي قيمة التأجير السنوي</v>
      </c>
      <c r="C483" s="743">
        <f>Study!CH482</f>
        <v>205942.59</v>
      </c>
      <c r="D483" s="736" t="str">
        <f>Study!CI482</f>
        <v>التأجير السنوي - الإجمالي</v>
      </c>
      <c r="E483" s="738" t="str">
        <f>Study!CJ482</f>
        <v>F157</v>
      </c>
      <c r="F483" s="736" t="str">
        <f>Study!CK482</f>
        <v>ريال سعودي</v>
      </c>
      <c r="G483" s="731"/>
      <c r="H483" s="731"/>
      <c r="I483" s="731"/>
      <c r="J483" s="731"/>
      <c r="K483" s="731"/>
      <c r="L483" s="731"/>
      <c r="M483" s="731"/>
      <c r="N483" s="731"/>
      <c r="O483" s="731"/>
      <c r="P483" s="731"/>
      <c r="Q483" s="731"/>
      <c r="R483" s="731"/>
      <c r="S483" s="731"/>
      <c r="T483" s="731"/>
      <c r="U483" s="731"/>
      <c r="V483" s="731"/>
      <c r="W483" s="731"/>
      <c r="X483" s="731"/>
      <c r="Y483" s="731"/>
      <c r="Z483" s="731"/>
    </row>
    <row r="484" spans="1:26" x14ac:dyDescent="0.2">
      <c r="A484" s="739">
        <f>Study!CF483</f>
        <v>422</v>
      </c>
      <c r="B484" s="740" t="str">
        <f>Study!CG483</f>
        <v>متوسط نسبة الإشغال</v>
      </c>
      <c r="C484" s="746">
        <f>Study!CH483</f>
        <v>0.30378556393772521</v>
      </c>
      <c r="D484" s="740" t="str">
        <f>Study!CI483</f>
        <v>التأجير السنوي - الإجمالي</v>
      </c>
      <c r="E484" s="742" t="str">
        <f>Study!CJ483</f>
        <v>G157</v>
      </c>
      <c r="F484" s="740" t="str">
        <f>Study!CK483</f>
        <v>نسبة مئوية</v>
      </c>
      <c r="G484" s="731"/>
      <c r="H484" s="731"/>
      <c r="I484" s="731"/>
      <c r="J484" s="731"/>
      <c r="K484" s="731"/>
      <c r="L484" s="731"/>
      <c r="M484" s="731"/>
      <c r="N484" s="731"/>
      <c r="O484" s="731"/>
      <c r="P484" s="731"/>
      <c r="Q484" s="731"/>
      <c r="R484" s="731"/>
      <c r="S484" s="731"/>
      <c r="T484" s="731"/>
      <c r="U484" s="731"/>
      <c r="V484" s="731"/>
      <c r="W484" s="731"/>
      <c r="X484" s="731"/>
      <c r="Y484" s="731"/>
      <c r="Z484" s="731"/>
    </row>
    <row r="485" spans="1:26" x14ac:dyDescent="0.2">
      <c r="A485" s="735">
        <f>Study!CF484</f>
        <v>423</v>
      </c>
      <c r="B485" s="736" t="str">
        <f>Study!CG484</f>
        <v>إجمالي إيرادات التأجير السنوي</v>
      </c>
      <c r="C485" s="743">
        <f>Study!CH484</f>
        <v>2471311.08</v>
      </c>
      <c r="D485" s="736" t="str">
        <f>Study!CI484</f>
        <v>التأجير السنوي - الإجمالي</v>
      </c>
      <c r="E485" s="738" t="str">
        <f>Study!CJ484</f>
        <v>H157</v>
      </c>
      <c r="F485" s="736" t="str">
        <f>Study!CK484</f>
        <v>ريال سعودي</v>
      </c>
      <c r="G485" s="731"/>
      <c r="H485" s="731"/>
      <c r="I485" s="731"/>
      <c r="J485" s="731"/>
      <c r="K485" s="731"/>
      <c r="L485" s="731"/>
      <c r="M485" s="731"/>
      <c r="N485" s="731"/>
      <c r="O485" s="731"/>
      <c r="P485" s="731"/>
      <c r="Q485" s="731"/>
      <c r="R485" s="731"/>
      <c r="S485" s="731"/>
      <c r="T485" s="731"/>
      <c r="U485" s="731"/>
      <c r="V485" s="731"/>
      <c r="W485" s="731"/>
      <c r="X485" s="731"/>
      <c r="Y485" s="731"/>
      <c r="Z485" s="731"/>
    </row>
    <row r="486" spans="1:26" x14ac:dyDescent="0.2">
      <c r="A486" s="739">
        <f>Study!CF485</f>
        <v>424</v>
      </c>
      <c r="B486" s="740" t="str">
        <f>Study!CG485</f>
        <v>إجمالي التكاليف التشغيلية للتأجير</v>
      </c>
      <c r="C486" s="744">
        <f>Study!CH485</f>
        <v>123565.554</v>
      </c>
      <c r="D486" s="740" t="str">
        <f>Study!CI485</f>
        <v>التأجير السنوي - الإجمالي</v>
      </c>
      <c r="E486" s="742" t="str">
        <f>Study!CJ485</f>
        <v>I157</v>
      </c>
      <c r="F486" s="740" t="str">
        <f>Study!CK485</f>
        <v>ريال سعودي</v>
      </c>
      <c r="G486" s="731"/>
      <c r="H486" s="731"/>
      <c r="I486" s="731"/>
      <c r="J486" s="731"/>
      <c r="K486" s="731"/>
      <c r="L486" s="731"/>
      <c r="M486" s="731"/>
      <c r="N486" s="731"/>
      <c r="O486" s="731"/>
      <c r="P486" s="731"/>
      <c r="Q486" s="731"/>
      <c r="R486" s="731"/>
      <c r="S486" s="731"/>
      <c r="T486" s="731"/>
      <c r="U486" s="731"/>
      <c r="V486" s="731"/>
      <c r="W486" s="731"/>
      <c r="X486" s="731"/>
      <c r="Y486" s="731"/>
      <c r="Z486" s="731"/>
    </row>
    <row r="487" spans="1:26" x14ac:dyDescent="0.2">
      <c r="A487" s="735">
        <f>Study!CF486</f>
        <v>425</v>
      </c>
      <c r="B487" s="736" t="str">
        <f>Study!CG486</f>
        <v>إجمالي الربح التشغيلي من التأجير</v>
      </c>
      <c r="C487" s="743">
        <f>Study!CH486</f>
        <v>2347745.5260000001</v>
      </c>
      <c r="D487" s="736" t="str">
        <f>Study!CI486</f>
        <v>التأجير السنوي - الإجمالي</v>
      </c>
      <c r="E487" s="738" t="str">
        <f>Study!CJ486</f>
        <v>M157</v>
      </c>
      <c r="F487" s="736" t="str">
        <f>Study!CK486</f>
        <v>ريال سعودي</v>
      </c>
      <c r="G487" s="731"/>
      <c r="H487" s="731"/>
      <c r="I487" s="731"/>
      <c r="J487" s="731"/>
      <c r="K487" s="731"/>
      <c r="L487" s="731"/>
      <c r="M487" s="731"/>
      <c r="N487" s="731"/>
      <c r="O487" s="731"/>
      <c r="P487" s="731"/>
      <c r="Q487" s="731"/>
      <c r="R487" s="731"/>
      <c r="S487" s="731"/>
      <c r="T487" s="731"/>
      <c r="U487" s="731"/>
      <c r="V487" s="731"/>
      <c r="W487" s="731"/>
      <c r="X487" s="731"/>
      <c r="Y487" s="731"/>
      <c r="Z487" s="731"/>
    </row>
    <row r="488" spans="1:26" ht="15" x14ac:dyDescent="0.2">
      <c r="A488" s="734" t="str">
        <f>Study!CF487</f>
        <v>▌ التأجير اليومي - سكني</v>
      </c>
      <c r="B488" s="734">
        <f>Study!CG487</f>
        <v>0</v>
      </c>
      <c r="C488" s="734">
        <f>Study!CH487</f>
        <v>0</v>
      </c>
      <c r="D488" s="734">
        <f>Study!CI487</f>
        <v>0</v>
      </c>
      <c r="E488" s="734">
        <f>Study!CJ487</f>
        <v>0</v>
      </c>
      <c r="F488" s="734">
        <f>Study!CK487</f>
        <v>0</v>
      </c>
      <c r="G488" s="731"/>
      <c r="H488" s="731"/>
      <c r="I488" s="731"/>
      <c r="J488" s="731"/>
      <c r="K488" s="731"/>
      <c r="L488" s="731"/>
      <c r="M488" s="731"/>
      <c r="N488" s="731"/>
      <c r="O488" s="731"/>
      <c r="P488" s="731"/>
      <c r="Q488" s="731"/>
      <c r="R488" s="731"/>
      <c r="S488" s="731"/>
      <c r="T488" s="731"/>
      <c r="U488" s="731"/>
      <c r="V488" s="731"/>
      <c r="W488" s="731"/>
      <c r="X488" s="731"/>
      <c r="Y488" s="731"/>
      <c r="Z488" s="731"/>
    </row>
    <row r="489" spans="1:26" x14ac:dyDescent="0.2">
      <c r="A489" s="739">
        <f>Study!CF488</f>
        <v>426</v>
      </c>
      <c r="B489" s="740" t="str">
        <f>Study!CG488</f>
        <v>سكني - عدد الوحدات</v>
      </c>
      <c r="C489" s="751">
        <f>Study!CH488</f>
        <v>12</v>
      </c>
      <c r="D489" s="740" t="str">
        <f>Study!CI488</f>
        <v>التأجير اليومي - سكني</v>
      </c>
      <c r="E489" s="742" t="str">
        <f>Study!CJ488</f>
        <v>R147</v>
      </c>
      <c r="F489" s="740" t="str">
        <f>Study!CK488</f>
        <v>وحدة</v>
      </c>
      <c r="G489" s="731"/>
      <c r="H489" s="731"/>
      <c r="I489" s="731"/>
      <c r="J489" s="731"/>
      <c r="K489" s="731"/>
      <c r="L489" s="731"/>
      <c r="M489" s="731"/>
      <c r="N489" s="731"/>
      <c r="O489" s="731"/>
      <c r="P489" s="731"/>
      <c r="Q489" s="731"/>
      <c r="R489" s="731"/>
      <c r="S489" s="731"/>
      <c r="T489" s="731"/>
      <c r="U489" s="731"/>
      <c r="V489" s="731"/>
      <c r="W489" s="731"/>
      <c r="X489" s="731"/>
      <c r="Y489" s="731"/>
      <c r="Z489" s="731"/>
    </row>
    <row r="490" spans="1:26" x14ac:dyDescent="0.2">
      <c r="A490" s="735">
        <f>Study!CF489</f>
        <v>427</v>
      </c>
      <c r="B490" s="736" t="str">
        <f>Study!CG489</f>
        <v>سكني - نسبة الإشغال</v>
      </c>
      <c r="C490" s="747">
        <f>Study!CH489</f>
        <v>0</v>
      </c>
      <c r="D490" s="736" t="str">
        <f>Study!CI489</f>
        <v>التأجير اليومي - سكني</v>
      </c>
      <c r="E490" s="738" t="str">
        <f>Study!CJ489</f>
        <v>S147</v>
      </c>
      <c r="F490" s="736" t="str">
        <f>Study!CK489</f>
        <v>نسبة مئوية</v>
      </c>
      <c r="G490" s="731"/>
      <c r="H490" s="731"/>
      <c r="I490" s="731"/>
      <c r="J490" s="731"/>
      <c r="K490" s="731"/>
      <c r="L490" s="731"/>
      <c r="M490" s="731"/>
      <c r="N490" s="731"/>
      <c r="O490" s="731"/>
      <c r="P490" s="731"/>
      <c r="Q490" s="731"/>
      <c r="R490" s="731"/>
      <c r="S490" s="731"/>
      <c r="T490" s="731"/>
      <c r="U490" s="731"/>
      <c r="V490" s="731"/>
      <c r="W490" s="731"/>
      <c r="X490" s="731"/>
      <c r="Y490" s="731"/>
      <c r="Z490" s="731"/>
    </row>
    <row r="491" spans="1:26" x14ac:dyDescent="0.2">
      <c r="A491" s="739">
        <f>Study!CF490</f>
        <v>428</v>
      </c>
      <c r="B491" s="740" t="str">
        <f>Study!CG490</f>
        <v>سكني - عدد الوحدات المشغولة سنوياً</v>
      </c>
      <c r="C491" s="751">
        <f>Study!CH490</f>
        <v>0</v>
      </c>
      <c r="D491" s="740" t="str">
        <f>Study!CI490</f>
        <v>التأجير اليومي - سكني</v>
      </c>
      <c r="E491" s="742" t="str">
        <f>Study!CJ490</f>
        <v>T147</v>
      </c>
      <c r="F491" s="740" t="str">
        <f>Study!CK490</f>
        <v>ليلة</v>
      </c>
      <c r="G491" s="731"/>
      <c r="H491" s="731"/>
      <c r="I491" s="731"/>
      <c r="J491" s="731"/>
      <c r="K491" s="731"/>
      <c r="L491" s="731"/>
      <c r="M491" s="731"/>
      <c r="N491" s="731"/>
      <c r="O491" s="731"/>
      <c r="P491" s="731"/>
      <c r="Q491" s="731"/>
      <c r="R491" s="731"/>
      <c r="S491" s="731"/>
      <c r="T491" s="731"/>
      <c r="U491" s="731"/>
      <c r="V491" s="731"/>
      <c r="W491" s="731"/>
      <c r="X491" s="731"/>
      <c r="Y491" s="731"/>
      <c r="Z491" s="731"/>
    </row>
    <row r="492" spans="1:26" x14ac:dyDescent="0.2">
      <c r="A492" s="735">
        <f>Study!CF491</f>
        <v>429</v>
      </c>
      <c r="B492" s="736" t="str">
        <f>Study!CG491</f>
        <v>سكني - متوسط السعر اليومي</v>
      </c>
      <c r="C492" s="743">
        <f>Study!CH491</f>
        <v>0</v>
      </c>
      <c r="D492" s="736" t="str">
        <f>Study!CI491</f>
        <v>التأجير اليومي - سكني</v>
      </c>
      <c r="E492" s="738" t="str">
        <f>Study!CJ491</f>
        <v>U147</v>
      </c>
      <c r="F492" s="736" t="str">
        <f>Study!CK491</f>
        <v>ريال</v>
      </c>
      <c r="G492" s="731"/>
      <c r="H492" s="731"/>
      <c r="I492" s="731"/>
      <c r="J492" s="731"/>
      <c r="K492" s="731"/>
      <c r="L492" s="731"/>
      <c r="M492" s="731"/>
      <c r="N492" s="731"/>
      <c r="O492" s="731"/>
      <c r="P492" s="731"/>
      <c r="Q492" s="731"/>
      <c r="R492" s="731"/>
      <c r="S492" s="731"/>
      <c r="T492" s="731"/>
      <c r="U492" s="731"/>
      <c r="V492" s="731"/>
      <c r="W492" s="731"/>
      <c r="X492" s="731"/>
      <c r="Y492" s="731"/>
      <c r="Z492" s="731"/>
    </row>
    <row r="493" spans="1:26" x14ac:dyDescent="0.2">
      <c r="A493" s="739">
        <f>Study!CF492</f>
        <v>430</v>
      </c>
      <c r="B493" s="740" t="str">
        <f>Study!CG492</f>
        <v>سكني - الإيراد الفعلي للوحدة السنوي</v>
      </c>
      <c r="C493" s="744">
        <f>Study!CH492</f>
        <v>0</v>
      </c>
      <c r="D493" s="740" t="str">
        <f>Study!CI492</f>
        <v>التأجير اليومي - سكني</v>
      </c>
      <c r="E493" s="742" t="str">
        <f>Study!CJ492</f>
        <v>V147</v>
      </c>
      <c r="F493" s="740" t="str">
        <f>Study!CK492</f>
        <v>ريال سعودي</v>
      </c>
      <c r="G493" s="731"/>
      <c r="H493" s="731"/>
      <c r="I493" s="731"/>
      <c r="J493" s="731"/>
      <c r="K493" s="731"/>
      <c r="L493" s="731"/>
      <c r="M493" s="731"/>
      <c r="N493" s="731"/>
      <c r="O493" s="731"/>
      <c r="P493" s="731"/>
      <c r="Q493" s="731"/>
      <c r="R493" s="731"/>
      <c r="S493" s="731"/>
      <c r="T493" s="731"/>
      <c r="U493" s="731"/>
      <c r="V493" s="731"/>
      <c r="W493" s="731"/>
      <c r="X493" s="731"/>
      <c r="Y493" s="731"/>
      <c r="Z493" s="731"/>
    </row>
    <row r="494" spans="1:26" x14ac:dyDescent="0.2">
      <c r="A494" s="735">
        <f>Study!CF493</f>
        <v>431</v>
      </c>
      <c r="B494" s="736" t="str">
        <f>Study!CG493</f>
        <v>سكني - نسبة إيرادات الأنشطة الإضافية</v>
      </c>
      <c r="C494" s="747">
        <f>Study!CH493</f>
        <v>0</v>
      </c>
      <c r="D494" s="736" t="str">
        <f>Study!CI493</f>
        <v>التأجير اليومي - سكني</v>
      </c>
      <c r="E494" s="738" t="str">
        <f>Study!CJ493</f>
        <v>W147</v>
      </c>
      <c r="F494" s="736" t="str">
        <f>Study!CK493</f>
        <v>نسبة مئوية</v>
      </c>
      <c r="G494" s="731"/>
      <c r="H494" s="731"/>
      <c r="I494" s="731"/>
      <c r="J494" s="731"/>
      <c r="K494" s="731"/>
      <c r="L494" s="731"/>
      <c r="M494" s="731"/>
      <c r="N494" s="731"/>
      <c r="O494" s="731"/>
      <c r="P494" s="731"/>
      <c r="Q494" s="731"/>
      <c r="R494" s="731"/>
      <c r="S494" s="731"/>
      <c r="T494" s="731"/>
      <c r="U494" s="731"/>
      <c r="V494" s="731"/>
      <c r="W494" s="731"/>
      <c r="X494" s="731"/>
      <c r="Y494" s="731"/>
      <c r="Z494" s="731"/>
    </row>
    <row r="495" spans="1:26" x14ac:dyDescent="0.2">
      <c r="A495" s="739">
        <f>Study!CF494</f>
        <v>432</v>
      </c>
      <c r="B495" s="740" t="str">
        <f>Study!CG494</f>
        <v>سكني - إجمالي الإيرادات</v>
      </c>
      <c r="C495" s="744">
        <f>Study!CH494</f>
        <v>0</v>
      </c>
      <c r="D495" s="740" t="str">
        <f>Study!CI494</f>
        <v>التأجير اليومي - سكني</v>
      </c>
      <c r="E495" s="742" t="str">
        <f>Study!CJ494</f>
        <v>X147</v>
      </c>
      <c r="F495" s="740" t="str">
        <f>Study!CK494</f>
        <v>ريال سعودي</v>
      </c>
      <c r="G495" s="731"/>
      <c r="H495" s="731"/>
      <c r="I495" s="731"/>
      <c r="J495" s="731"/>
      <c r="K495" s="731"/>
      <c r="L495" s="731"/>
      <c r="M495" s="731"/>
      <c r="N495" s="731"/>
      <c r="O495" s="731"/>
      <c r="P495" s="731"/>
      <c r="Q495" s="731"/>
      <c r="R495" s="731"/>
      <c r="S495" s="731"/>
      <c r="T495" s="731"/>
      <c r="U495" s="731"/>
      <c r="V495" s="731"/>
      <c r="W495" s="731"/>
      <c r="X495" s="731"/>
      <c r="Y495" s="731"/>
      <c r="Z495" s="731"/>
    </row>
    <row r="496" spans="1:26" x14ac:dyDescent="0.2">
      <c r="A496" s="735">
        <f>Study!CF495</f>
        <v>433</v>
      </c>
      <c r="B496" s="736" t="str">
        <f>Study!CG495</f>
        <v>سكني - التكاليف التشغيلية والإدارية</v>
      </c>
      <c r="C496" s="743">
        <f>Study!CH495</f>
        <v>0</v>
      </c>
      <c r="D496" s="736" t="str">
        <f>Study!CI495</f>
        <v>التأجير اليومي - سكني</v>
      </c>
      <c r="E496" s="738" t="str">
        <f>Study!CJ495</f>
        <v>Y147</v>
      </c>
      <c r="F496" s="736" t="str">
        <f>Study!CK495</f>
        <v>ريال سعودي</v>
      </c>
      <c r="G496" s="731"/>
      <c r="H496" s="731"/>
      <c r="I496" s="731"/>
      <c r="J496" s="731"/>
      <c r="K496" s="731"/>
      <c r="L496" s="731"/>
      <c r="M496" s="731"/>
      <c r="N496" s="731"/>
      <c r="O496" s="731"/>
      <c r="P496" s="731"/>
      <c r="Q496" s="731"/>
      <c r="R496" s="731"/>
      <c r="S496" s="731"/>
      <c r="T496" s="731"/>
      <c r="U496" s="731"/>
      <c r="V496" s="731"/>
      <c r="W496" s="731"/>
      <c r="X496" s="731"/>
      <c r="Y496" s="731"/>
      <c r="Z496" s="731"/>
    </row>
    <row r="497" spans="1:26" x14ac:dyDescent="0.2">
      <c r="A497" s="739">
        <f>Study!CF496</f>
        <v>434</v>
      </c>
      <c r="B497" s="740" t="str">
        <f>Study!CG496</f>
        <v>سكني - فترة استرداد رأس المال</v>
      </c>
      <c r="C497" s="749">
        <f>Study!CH496</f>
        <v>0</v>
      </c>
      <c r="D497" s="740" t="str">
        <f>Study!CI496</f>
        <v>التأجير اليومي - سكني</v>
      </c>
      <c r="E497" s="742" t="str">
        <f>Study!CJ496</f>
        <v>Z147</v>
      </c>
      <c r="F497" s="740" t="str">
        <f>Study!CK496</f>
        <v>سنة</v>
      </c>
      <c r="G497" s="731"/>
      <c r="H497" s="731"/>
      <c r="I497" s="731"/>
      <c r="J497" s="731"/>
      <c r="K497" s="731"/>
      <c r="L497" s="731"/>
      <c r="M497" s="731"/>
      <c r="N497" s="731"/>
      <c r="O497" s="731"/>
      <c r="P497" s="731"/>
      <c r="Q497" s="731"/>
      <c r="R497" s="731"/>
      <c r="S497" s="731"/>
      <c r="T497" s="731"/>
      <c r="U497" s="731"/>
      <c r="V497" s="731"/>
      <c r="W497" s="731"/>
      <c r="X497" s="731"/>
      <c r="Y497" s="731"/>
      <c r="Z497" s="731"/>
    </row>
    <row r="498" spans="1:26" x14ac:dyDescent="0.2">
      <c r="A498" s="735">
        <f>Study!CF497</f>
        <v>435</v>
      </c>
      <c r="B498" s="736" t="str">
        <f>Study!CG497</f>
        <v>سكني - العائد على التكلفة السنوي</v>
      </c>
      <c r="C498" s="747">
        <f>Study!CH497</f>
        <v>0</v>
      </c>
      <c r="D498" s="736" t="str">
        <f>Study!CI497</f>
        <v>التأجير اليومي - سكني</v>
      </c>
      <c r="E498" s="738" t="str">
        <f>Study!CJ497</f>
        <v>AA147</v>
      </c>
      <c r="F498" s="736" t="str">
        <f>Study!CK497</f>
        <v>نسبة مئوية</v>
      </c>
      <c r="G498" s="731"/>
      <c r="H498" s="731"/>
      <c r="I498" s="731"/>
      <c r="J498" s="731"/>
      <c r="K498" s="731"/>
      <c r="L498" s="731"/>
      <c r="M498" s="731"/>
      <c r="N498" s="731"/>
      <c r="O498" s="731"/>
      <c r="P498" s="731"/>
      <c r="Q498" s="731"/>
      <c r="R498" s="731"/>
      <c r="S498" s="731"/>
      <c r="T498" s="731"/>
      <c r="U498" s="731"/>
      <c r="V498" s="731"/>
      <c r="W498" s="731"/>
      <c r="X498" s="731"/>
      <c r="Y498" s="731"/>
      <c r="Z498" s="731"/>
    </row>
    <row r="499" spans="1:26" ht="15" x14ac:dyDescent="0.2">
      <c r="A499" s="734" t="str">
        <f>Study!CF498</f>
        <v>▌ التأجير اليومي - فلل</v>
      </c>
      <c r="B499" s="734">
        <f>Study!CG498</f>
        <v>0</v>
      </c>
      <c r="C499" s="734">
        <f>Study!CH498</f>
        <v>0</v>
      </c>
      <c r="D499" s="734">
        <f>Study!CI498</f>
        <v>0</v>
      </c>
      <c r="E499" s="734">
        <f>Study!CJ498</f>
        <v>0</v>
      </c>
      <c r="F499" s="734">
        <f>Study!CK498</f>
        <v>0</v>
      </c>
      <c r="G499" s="731"/>
      <c r="H499" s="731"/>
      <c r="I499" s="731"/>
      <c r="J499" s="731"/>
      <c r="K499" s="731"/>
      <c r="L499" s="731"/>
      <c r="M499" s="731"/>
      <c r="N499" s="731"/>
      <c r="O499" s="731"/>
      <c r="P499" s="731"/>
      <c r="Q499" s="731"/>
      <c r="R499" s="731"/>
      <c r="S499" s="731"/>
      <c r="T499" s="731"/>
      <c r="U499" s="731"/>
      <c r="V499" s="731"/>
      <c r="W499" s="731"/>
      <c r="X499" s="731"/>
      <c r="Y499" s="731"/>
      <c r="Z499" s="731"/>
    </row>
    <row r="500" spans="1:26" x14ac:dyDescent="0.2">
      <c r="A500" s="739">
        <f>Study!CF499</f>
        <v>436</v>
      </c>
      <c r="B500" s="740" t="str">
        <f>Study!CG499</f>
        <v>فلل - عدد الوحدات</v>
      </c>
      <c r="C500" s="751">
        <f>Study!CH499</f>
        <v>11</v>
      </c>
      <c r="D500" s="740" t="str">
        <f>Study!CI499</f>
        <v>التأجير اليومي - فلل</v>
      </c>
      <c r="E500" s="742" t="str">
        <f>Study!CJ499</f>
        <v>R148</v>
      </c>
      <c r="F500" s="740" t="str">
        <f>Study!CK499</f>
        <v>وحدة</v>
      </c>
      <c r="G500" s="731"/>
      <c r="H500" s="731"/>
      <c r="I500" s="731"/>
      <c r="J500" s="731"/>
      <c r="K500" s="731"/>
      <c r="L500" s="731"/>
      <c r="M500" s="731"/>
      <c r="N500" s="731"/>
      <c r="O500" s="731"/>
      <c r="P500" s="731"/>
      <c r="Q500" s="731"/>
      <c r="R500" s="731"/>
      <c r="S500" s="731"/>
      <c r="T500" s="731"/>
      <c r="U500" s="731"/>
      <c r="V500" s="731"/>
      <c r="W500" s="731"/>
      <c r="X500" s="731"/>
      <c r="Y500" s="731"/>
      <c r="Z500" s="731"/>
    </row>
    <row r="501" spans="1:26" x14ac:dyDescent="0.2">
      <c r="A501" s="735">
        <f>Study!CF500</f>
        <v>437</v>
      </c>
      <c r="B501" s="736" t="str">
        <f>Study!CG500</f>
        <v>فلل - نسبة الإشغال</v>
      </c>
      <c r="C501" s="747">
        <f>Study!CH500</f>
        <v>0</v>
      </c>
      <c r="D501" s="736" t="str">
        <f>Study!CI500</f>
        <v>التأجير اليومي - فلل</v>
      </c>
      <c r="E501" s="738" t="str">
        <f>Study!CJ500</f>
        <v>S148</v>
      </c>
      <c r="F501" s="736" t="str">
        <f>Study!CK500</f>
        <v>نسبة مئوية</v>
      </c>
      <c r="G501" s="731"/>
      <c r="H501" s="731"/>
      <c r="I501" s="731"/>
      <c r="J501" s="731"/>
      <c r="K501" s="731"/>
      <c r="L501" s="731"/>
      <c r="M501" s="731"/>
      <c r="N501" s="731"/>
      <c r="O501" s="731"/>
      <c r="P501" s="731"/>
      <c r="Q501" s="731"/>
      <c r="R501" s="731"/>
      <c r="S501" s="731"/>
      <c r="T501" s="731"/>
      <c r="U501" s="731"/>
      <c r="V501" s="731"/>
      <c r="W501" s="731"/>
      <c r="X501" s="731"/>
      <c r="Y501" s="731"/>
      <c r="Z501" s="731"/>
    </row>
    <row r="502" spans="1:26" x14ac:dyDescent="0.2">
      <c r="A502" s="739">
        <f>Study!CF501</f>
        <v>438</v>
      </c>
      <c r="B502" s="740" t="str">
        <f>Study!CG501</f>
        <v>فلل - عدد الوحدات المشغولة سنوياً</v>
      </c>
      <c r="C502" s="751">
        <f>Study!CH501</f>
        <v>0</v>
      </c>
      <c r="D502" s="740" t="str">
        <f>Study!CI501</f>
        <v>التأجير اليومي - فلل</v>
      </c>
      <c r="E502" s="742" t="str">
        <f>Study!CJ501</f>
        <v>T148</v>
      </c>
      <c r="F502" s="740" t="str">
        <f>Study!CK501</f>
        <v>ليلة</v>
      </c>
      <c r="G502" s="731"/>
      <c r="H502" s="731"/>
      <c r="I502" s="731"/>
      <c r="J502" s="731"/>
      <c r="K502" s="731"/>
      <c r="L502" s="731"/>
      <c r="M502" s="731"/>
      <c r="N502" s="731"/>
      <c r="O502" s="731"/>
      <c r="P502" s="731"/>
      <c r="Q502" s="731"/>
      <c r="R502" s="731"/>
      <c r="S502" s="731"/>
      <c r="T502" s="731"/>
      <c r="U502" s="731"/>
      <c r="V502" s="731"/>
      <c r="W502" s="731"/>
      <c r="X502" s="731"/>
      <c r="Y502" s="731"/>
      <c r="Z502" s="731"/>
    </row>
    <row r="503" spans="1:26" x14ac:dyDescent="0.2">
      <c r="A503" s="735">
        <f>Study!CF502</f>
        <v>439</v>
      </c>
      <c r="B503" s="736" t="str">
        <f>Study!CG502</f>
        <v>فلل - متوسط السعر اليومي</v>
      </c>
      <c r="C503" s="743">
        <f>Study!CH502</f>
        <v>0</v>
      </c>
      <c r="D503" s="736" t="str">
        <f>Study!CI502</f>
        <v>التأجير اليومي - فلل</v>
      </c>
      <c r="E503" s="738" t="str">
        <f>Study!CJ502</f>
        <v>U148</v>
      </c>
      <c r="F503" s="736" t="str">
        <f>Study!CK502</f>
        <v>ريال</v>
      </c>
      <c r="G503" s="731"/>
      <c r="H503" s="731"/>
      <c r="I503" s="731"/>
      <c r="J503" s="731"/>
      <c r="K503" s="731"/>
      <c r="L503" s="731"/>
      <c r="M503" s="731"/>
      <c r="N503" s="731"/>
      <c r="O503" s="731"/>
      <c r="P503" s="731"/>
      <c r="Q503" s="731"/>
      <c r="R503" s="731"/>
      <c r="S503" s="731"/>
      <c r="T503" s="731"/>
      <c r="U503" s="731"/>
      <c r="V503" s="731"/>
      <c r="W503" s="731"/>
      <c r="X503" s="731"/>
      <c r="Y503" s="731"/>
      <c r="Z503" s="731"/>
    </row>
    <row r="504" spans="1:26" x14ac:dyDescent="0.2">
      <c r="A504" s="739">
        <f>Study!CF503</f>
        <v>440</v>
      </c>
      <c r="B504" s="740" t="str">
        <f>Study!CG503</f>
        <v>فلل - الإيراد الفعلي للوحدة السنوي</v>
      </c>
      <c r="C504" s="744">
        <f>Study!CH503</f>
        <v>0</v>
      </c>
      <c r="D504" s="740" t="str">
        <f>Study!CI503</f>
        <v>التأجير اليومي - فلل</v>
      </c>
      <c r="E504" s="742" t="str">
        <f>Study!CJ503</f>
        <v>V148</v>
      </c>
      <c r="F504" s="740" t="str">
        <f>Study!CK503</f>
        <v>ريال سعودي</v>
      </c>
      <c r="G504" s="731"/>
      <c r="H504" s="731"/>
      <c r="I504" s="731"/>
      <c r="J504" s="731"/>
      <c r="K504" s="731"/>
      <c r="L504" s="731"/>
      <c r="M504" s="731"/>
      <c r="N504" s="731"/>
      <c r="O504" s="731"/>
      <c r="P504" s="731"/>
      <c r="Q504" s="731"/>
      <c r="R504" s="731"/>
      <c r="S504" s="731"/>
      <c r="T504" s="731"/>
      <c r="U504" s="731"/>
      <c r="V504" s="731"/>
      <c r="W504" s="731"/>
      <c r="X504" s="731"/>
      <c r="Y504" s="731"/>
      <c r="Z504" s="731"/>
    </row>
    <row r="505" spans="1:26" x14ac:dyDescent="0.2">
      <c r="A505" s="735">
        <f>Study!CF504</f>
        <v>441</v>
      </c>
      <c r="B505" s="736" t="str">
        <f>Study!CG504</f>
        <v>فلل - نسبة إيرادات الأنشطة الإضافية</v>
      </c>
      <c r="C505" s="747">
        <f>Study!CH504</f>
        <v>0</v>
      </c>
      <c r="D505" s="736" t="str">
        <f>Study!CI504</f>
        <v>التأجير اليومي - فلل</v>
      </c>
      <c r="E505" s="738" t="str">
        <f>Study!CJ504</f>
        <v>W148</v>
      </c>
      <c r="F505" s="736" t="str">
        <f>Study!CK504</f>
        <v>نسبة مئوية</v>
      </c>
      <c r="G505" s="731"/>
      <c r="H505" s="731"/>
      <c r="I505" s="731"/>
      <c r="J505" s="731"/>
      <c r="K505" s="731"/>
      <c r="L505" s="731"/>
      <c r="M505" s="731"/>
      <c r="N505" s="731"/>
      <c r="O505" s="731"/>
      <c r="P505" s="731"/>
      <c r="Q505" s="731"/>
      <c r="R505" s="731"/>
      <c r="S505" s="731"/>
      <c r="T505" s="731"/>
      <c r="U505" s="731"/>
      <c r="V505" s="731"/>
      <c r="W505" s="731"/>
      <c r="X505" s="731"/>
      <c r="Y505" s="731"/>
      <c r="Z505" s="731"/>
    </row>
    <row r="506" spans="1:26" x14ac:dyDescent="0.2">
      <c r="A506" s="739">
        <f>Study!CF505</f>
        <v>442</v>
      </c>
      <c r="B506" s="740" t="str">
        <f>Study!CG505</f>
        <v>فلل - إجمالي الإيرادات</v>
      </c>
      <c r="C506" s="744">
        <f>Study!CH505</f>
        <v>0</v>
      </c>
      <c r="D506" s="740" t="str">
        <f>Study!CI505</f>
        <v>التأجير اليومي - فلل</v>
      </c>
      <c r="E506" s="742" t="str">
        <f>Study!CJ505</f>
        <v>X148</v>
      </c>
      <c r="F506" s="740" t="str">
        <f>Study!CK505</f>
        <v>ريال سعودي</v>
      </c>
      <c r="G506" s="731"/>
      <c r="H506" s="731"/>
      <c r="I506" s="731"/>
      <c r="J506" s="731"/>
      <c r="K506" s="731"/>
      <c r="L506" s="731"/>
      <c r="M506" s="731"/>
      <c r="N506" s="731"/>
      <c r="O506" s="731"/>
      <c r="P506" s="731"/>
      <c r="Q506" s="731"/>
      <c r="R506" s="731"/>
      <c r="S506" s="731"/>
      <c r="T506" s="731"/>
      <c r="U506" s="731"/>
      <c r="V506" s="731"/>
      <c r="W506" s="731"/>
      <c r="X506" s="731"/>
      <c r="Y506" s="731"/>
      <c r="Z506" s="731"/>
    </row>
    <row r="507" spans="1:26" x14ac:dyDescent="0.2">
      <c r="A507" s="735">
        <f>Study!CF506</f>
        <v>443</v>
      </c>
      <c r="B507" s="736" t="str">
        <f>Study!CG506</f>
        <v>فلل - التكاليف التشغيلية والإدارية</v>
      </c>
      <c r="C507" s="743">
        <f>Study!CH506</f>
        <v>0</v>
      </c>
      <c r="D507" s="736" t="str">
        <f>Study!CI506</f>
        <v>التأجير اليومي - فلل</v>
      </c>
      <c r="E507" s="738" t="str">
        <f>Study!CJ506</f>
        <v>Y148</v>
      </c>
      <c r="F507" s="736" t="str">
        <f>Study!CK506</f>
        <v>ريال سعودي</v>
      </c>
      <c r="G507" s="731"/>
      <c r="H507" s="731"/>
      <c r="I507" s="731"/>
      <c r="J507" s="731"/>
      <c r="K507" s="731"/>
      <c r="L507" s="731"/>
      <c r="M507" s="731"/>
      <c r="N507" s="731"/>
      <c r="O507" s="731"/>
      <c r="P507" s="731"/>
      <c r="Q507" s="731"/>
      <c r="R507" s="731"/>
      <c r="S507" s="731"/>
      <c r="T507" s="731"/>
      <c r="U507" s="731"/>
      <c r="V507" s="731"/>
      <c r="W507" s="731"/>
      <c r="X507" s="731"/>
      <c r="Y507" s="731"/>
      <c r="Z507" s="731"/>
    </row>
    <row r="508" spans="1:26" x14ac:dyDescent="0.2">
      <c r="A508" s="739">
        <f>Study!CF507</f>
        <v>444</v>
      </c>
      <c r="B508" s="740" t="str">
        <f>Study!CG507</f>
        <v>فلل - فترة استرداد رأس المال</v>
      </c>
      <c r="C508" s="749">
        <f>Study!CH507</f>
        <v>0</v>
      </c>
      <c r="D508" s="740" t="str">
        <f>Study!CI507</f>
        <v>التأجير اليومي - فلل</v>
      </c>
      <c r="E508" s="742" t="str">
        <f>Study!CJ507</f>
        <v>Z148</v>
      </c>
      <c r="F508" s="740" t="str">
        <f>Study!CK507</f>
        <v>سنة</v>
      </c>
      <c r="G508" s="731"/>
      <c r="H508" s="731"/>
      <c r="I508" s="731"/>
      <c r="J508" s="731"/>
      <c r="K508" s="731"/>
      <c r="L508" s="731"/>
      <c r="M508" s="731"/>
      <c r="N508" s="731"/>
      <c r="O508" s="731"/>
      <c r="P508" s="731"/>
      <c r="Q508" s="731"/>
      <c r="R508" s="731"/>
      <c r="S508" s="731"/>
      <c r="T508" s="731"/>
      <c r="U508" s="731"/>
      <c r="V508" s="731"/>
      <c r="W508" s="731"/>
      <c r="X508" s="731"/>
      <c r="Y508" s="731"/>
      <c r="Z508" s="731"/>
    </row>
    <row r="509" spans="1:26" x14ac:dyDescent="0.2">
      <c r="A509" s="735">
        <f>Study!CF508</f>
        <v>445</v>
      </c>
      <c r="B509" s="736" t="str">
        <f>Study!CG508</f>
        <v>فلل - العائد على التكلفة السنوي</v>
      </c>
      <c r="C509" s="747">
        <f>Study!CH508</f>
        <v>0</v>
      </c>
      <c r="D509" s="736" t="str">
        <f>Study!CI508</f>
        <v>التأجير اليومي - فلل</v>
      </c>
      <c r="E509" s="738" t="str">
        <f>Study!CJ508</f>
        <v>AA148</v>
      </c>
      <c r="F509" s="736" t="str">
        <f>Study!CK508</f>
        <v>نسبة مئوية</v>
      </c>
      <c r="G509" s="731"/>
      <c r="H509" s="731"/>
      <c r="I509" s="731"/>
      <c r="J509" s="731"/>
      <c r="K509" s="731"/>
      <c r="L509" s="731"/>
      <c r="M509" s="731"/>
      <c r="N509" s="731"/>
      <c r="O509" s="731"/>
      <c r="P509" s="731"/>
      <c r="Q509" s="731"/>
      <c r="R509" s="731"/>
      <c r="S509" s="731"/>
      <c r="T509" s="731"/>
      <c r="U509" s="731"/>
      <c r="V509" s="731"/>
      <c r="W509" s="731"/>
      <c r="X509" s="731"/>
      <c r="Y509" s="731"/>
      <c r="Z509" s="731"/>
    </row>
    <row r="510" spans="1:26" ht="15" x14ac:dyDescent="0.2">
      <c r="A510" s="734" t="str">
        <f>Study!CF509</f>
        <v>▌ التأجير اليومي - تاون هاوس</v>
      </c>
      <c r="B510" s="734">
        <f>Study!CG509</f>
        <v>0</v>
      </c>
      <c r="C510" s="734">
        <f>Study!CH509</f>
        <v>0</v>
      </c>
      <c r="D510" s="734">
        <f>Study!CI509</f>
        <v>0</v>
      </c>
      <c r="E510" s="734">
        <f>Study!CJ509</f>
        <v>0</v>
      </c>
      <c r="F510" s="734">
        <f>Study!CK509</f>
        <v>0</v>
      </c>
      <c r="G510" s="731"/>
      <c r="H510" s="731"/>
      <c r="I510" s="731"/>
      <c r="J510" s="731"/>
      <c r="K510" s="731"/>
      <c r="L510" s="731"/>
      <c r="M510" s="731"/>
      <c r="N510" s="731"/>
      <c r="O510" s="731"/>
      <c r="P510" s="731"/>
      <c r="Q510" s="731"/>
      <c r="R510" s="731"/>
      <c r="S510" s="731"/>
      <c r="T510" s="731"/>
      <c r="U510" s="731"/>
      <c r="V510" s="731"/>
      <c r="W510" s="731"/>
      <c r="X510" s="731"/>
      <c r="Y510" s="731"/>
      <c r="Z510" s="731"/>
    </row>
    <row r="511" spans="1:26" x14ac:dyDescent="0.2">
      <c r="A511" s="739">
        <f>Study!CF510</f>
        <v>446</v>
      </c>
      <c r="B511" s="740" t="str">
        <f>Study!CG510</f>
        <v>تاون هاوس - عدد الوحدات</v>
      </c>
      <c r="C511" s="751">
        <f>Study!CH510</f>
        <v>0</v>
      </c>
      <c r="D511" s="740" t="str">
        <f>Study!CI510</f>
        <v>التأجير اليومي - تاون هاوس</v>
      </c>
      <c r="E511" s="742" t="str">
        <f>Study!CJ510</f>
        <v>R149</v>
      </c>
      <c r="F511" s="740" t="str">
        <f>Study!CK510</f>
        <v>وحدة</v>
      </c>
      <c r="G511" s="731"/>
      <c r="H511" s="731"/>
      <c r="I511" s="731"/>
      <c r="J511" s="731"/>
      <c r="K511" s="731"/>
      <c r="L511" s="731"/>
      <c r="M511" s="731"/>
      <c r="N511" s="731"/>
      <c r="O511" s="731"/>
      <c r="P511" s="731"/>
      <c r="Q511" s="731"/>
      <c r="R511" s="731"/>
      <c r="S511" s="731"/>
      <c r="T511" s="731"/>
      <c r="U511" s="731"/>
      <c r="V511" s="731"/>
      <c r="W511" s="731"/>
      <c r="X511" s="731"/>
      <c r="Y511" s="731"/>
      <c r="Z511" s="731"/>
    </row>
    <row r="512" spans="1:26" x14ac:dyDescent="0.2">
      <c r="A512" s="735">
        <f>Study!CF511</f>
        <v>447</v>
      </c>
      <c r="B512" s="736" t="str">
        <f>Study!CG511</f>
        <v>تاون هاوس - نسبة الإشغال</v>
      </c>
      <c r="C512" s="747">
        <f>Study!CH511</f>
        <v>0</v>
      </c>
      <c r="D512" s="736" t="str">
        <f>Study!CI511</f>
        <v>التأجير اليومي - تاون هاوس</v>
      </c>
      <c r="E512" s="738" t="str">
        <f>Study!CJ511</f>
        <v>S149</v>
      </c>
      <c r="F512" s="736" t="str">
        <f>Study!CK511</f>
        <v>نسبة مئوية</v>
      </c>
      <c r="G512" s="731"/>
      <c r="H512" s="731"/>
      <c r="I512" s="731"/>
      <c r="J512" s="731"/>
      <c r="K512" s="731"/>
      <c r="L512" s="731"/>
      <c r="M512" s="731"/>
      <c r="N512" s="731"/>
      <c r="O512" s="731"/>
      <c r="P512" s="731"/>
      <c r="Q512" s="731"/>
      <c r="R512" s="731"/>
      <c r="S512" s="731"/>
      <c r="T512" s="731"/>
      <c r="U512" s="731"/>
      <c r="V512" s="731"/>
      <c r="W512" s="731"/>
      <c r="X512" s="731"/>
      <c r="Y512" s="731"/>
      <c r="Z512" s="731"/>
    </row>
    <row r="513" spans="1:26" x14ac:dyDescent="0.2">
      <c r="A513" s="739">
        <f>Study!CF512</f>
        <v>448</v>
      </c>
      <c r="B513" s="740" t="str">
        <f>Study!CG512</f>
        <v>تاون هاوس - عدد الوحدات المشغولة سنوياً</v>
      </c>
      <c r="C513" s="751">
        <f>Study!CH512</f>
        <v>0</v>
      </c>
      <c r="D513" s="740" t="str">
        <f>Study!CI512</f>
        <v>التأجير اليومي - تاون هاوس</v>
      </c>
      <c r="E513" s="742" t="str">
        <f>Study!CJ512</f>
        <v>T149</v>
      </c>
      <c r="F513" s="740" t="str">
        <f>Study!CK512</f>
        <v>ليلة</v>
      </c>
      <c r="G513" s="731"/>
      <c r="H513" s="731"/>
      <c r="I513" s="731"/>
      <c r="J513" s="731"/>
      <c r="K513" s="731"/>
      <c r="L513" s="731"/>
      <c r="M513" s="731"/>
      <c r="N513" s="731"/>
      <c r="O513" s="731"/>
      <c r="P513" s="731"/>
      <c r="Q513" s="731"/>
      <c r="R513" s="731"/>
      <c r="S513" s="731"/>
      <c r="T513" s="731"/>
      <c r="U513" s="731"/>
      <c r="V513" s="731"/>
      <c r="W513" s="731"/>
      <c r="X513" s="731"/>
      <c r="Y513" s="731"/>
      <c r="Z513" s="731"/>
    </row>
    <row r="514" spans="1:26" x14ac:dyDescent="0.2">
      <c r="A514" s="735">
        <f>Study!CF513</f>
        <v>449</v>
      </c>
      <c r="B514" s="736" t="str">
        <f>Study!CG513</f>
        <v>تاون هاوس - متوسط السعر اليومي</v>
      </c>
      <c r="C514" s="743">
        <f>Study!CH513</f>
        <v>0</v>
      </c>
      <c r="D514" s="736" t="str">
        <f>Study!CI513</f>
        <v>التأجير اليومي - تاون هاوس</v>
      </c>
      <c r="E514" s="738" t="str">
        <f>Study!CJ513</f>
        <v>U149</v>
      </c>
      <c r="F514" s="736" t="str">
        <f>Study!CK513</f>
        <v>ريال</v>
      </c>
      <c r="G514" s="731"/>
      <c r="H514" s="731"/>
      <c r="I514" s="731"/>
      <c r="J514" s="731"/>
      <c r="K514" s="731"/>
      <c r="L514" s="731"/>
      <c r="M514" s="731"/>
      <c r="N514" s="731"/>
      <c r="O514" s="731"/>
      <c r="P514" s="731"/>
      <c r="Q514" s="731"/>
      <c r="R514" s="731"/>
      <c r="S514" s="731"/>
      <c r="T514" s="731"/>
      <c r="U514" s="731"/>
      <c r="V514" s="731"/>
      <c r="W514" s="731"/>
      <c r="X514" s="731"/>
      <c r="Y514" s="731"/>
      <c r="Z514" s="731"/>
    </row>
    <row r="515" spans="1:26" x14ac:dyDescent="0.2">
      <c r="A515" s="739">
        <f>Study!CF514</f>
        <v>450</v>
      </c>
      <c r="B515" s="740" t="str">
        <f>Study!CG514</f>
        <v>تاون هاوس - الإيراد الفعلي للوحدة السنوي</v>
      </c>
      <c r="C515" s="744" t="str">
        <f>Study!CH514</f>
        <v>0</v>
      </c>
      <c r="D515" s="740" t="str">
        <f>Study!CI514</f>
        <v>التأجير اليومي - تاون هاوس</v>
      </c>
      <c r="E515" s="742" t="str">
        <f>Study!CJ514</f>
        <v>V149</v>
      </c>
      <c r="F515" s="740" t="str">
        <f>Study!CK514</f>
        <v>ريال سعودي</v>
      </c>
      <c r="G515" s="731"/>
      <c r="H515" s="731"/>
      <c r="I515" s="731"/>
      <c r="J515" s="731"/>
      <c r="K515" s="731"/>
      <c r="L515" s="731"/>
      <c r="M515" s="731"/>
      <c r="N515" s="731"/>
      <c r="O515" s="731"/>
      <c r="P515" s="731"/>
      <c r="Q515" s="731"/>
      <c r="R515" s="731"/>
      <c r="S515" s="731"/>
      <c r="T515" s="731"/>
      <c r="U515" s="731"/>
      <c r="V515" s="731"/>
      <c r="W515" s="731"/>
      <c r="X515" s="731"/>
      <c r="Y515" s="731"/>
      <c r="Z515" s="731"/>
    </row>
    <row r="516" spans="1:26" x14ac:dyDescent="0.2">
      <c r="A516" s="735">
        <f>Study!CF515</f>
        <v>451</v>
      </c>
      <c r="B516" s="736" t="str">
        <f>Study!CG515</f>
        <v>تاون هاوس - نسبة إيرادات الأنشطة الإضافية</v>
      </c>
      <c r="C516" s="747">
        <f>Study!CH515</f>
        <v>0</v>
      </c>
      <c r="D516" s="736" t="str">
        <f>Study!CI515</f>
        <v>التأجير اليومي - تاون هاوس</v>
      </c>
      <c r="E516" s="738" t="str">
        <f>Study!CJ515</f>
        <v>W149</v>
      </c>
      <c r="F516" s="736" t="str">
        <f>Study!CK515</f>
        <v>نسبة مئوية</v>
      </c>
      <c r="G516" s="731"/>
      <c r="H516" s="731"/>
      <c r="I516" s="731"/>
      <c r="J516" s="731"/>
      <c r="K516" s="731"/>
      <c r="L516" s="731"/>
      <c r="M516" s="731"/>
      <c r="N516" s="731"/>
      <c r="O516" s="731"/>
      <c r="P516" s="731"/>
      <c r="Q516" s="731"/>
      <c r="R516" s="731"/>
      <c r="S516" s="731"/>
      <c r="T516" s="731"/>
      <c r="U516" s="731"/>
      <c r="V516" s="731"/>
      <c r="W516" s="731"/>
      <c r="X516" s="731"/>
      <c r="Y516" s="731"/>
      <c r="Z516" s="731"/>
    </row>
    <row r="517" spans="1:26" x14ac:dyDescent="0.2">
      <c r="A517" s="739">
        <f>Study!CF516</f>
        <v>452</v>
      </c>
      <c r="B517" s="740" t="str">
        <f>Study!CG516</f>
        <v>تاون هاوس - إجمالي الإيرادات</v>
      </c>
      <c r="C517" s="744">
        <f>Study!CH516</f>
        <v>0</v>
      </c>
      <c r="D517" s="740" t="str">
        <f>Study!CI516</f>
        <v>التأجير اليومي - تاون هاوس</v>
      </c>
      <c r="E517" s="742" t="str">
        <f>Study!CJ516</f>
        <v>X149</v>
      </c>
      <c r="F517" s="740" t="str">
        <f>Study!CK516</f>
        <v>ريال سعودي</v>
      </c>
      <c r="G517" s="731"/>
      <c r="H517" s="731"/>
      <c r="I517" s="731"/>
      <c r="J517" s="731"/>
      <c r="K517" s="731"/>
      <c r="L517" s="731"/>
      <c r="M517" s="731"/>
      <c r="N517" s="731"/>
      <c r="O517" s="731"/>
      <c r="P517" s="731"/>
      <c r="Q517" s="731"/>
      <c r="R517" s="731"/>
      <c r="S517" s="731"/>
      <c r="T517" s="731"/>
      <c r="U517" s="731"/>
      <c r="V517" s="731"/>
      <c r="W517" s="731"/>
      <c r="X517" s="731"/>
      <c r="Y517" s="731"/>
      <c r="Z517" s="731"/>
    </row>
    <row r="518" spans="1:26" x14ac:dyDescent="0.2">
      <c r="A518" s="735">
        <f>Study!CF517</f>
        <v>453</v>
      </c>
      <c r="B518" s="736" t="str">
        <f>Study!CG517</f>
        <v>تاون هاوس - التكاليف التشغيلية والإدارية</v>
      </c>
      <c r="C518" s="743">
        <f>Study!CH517</f>
        <v>0</v>
      </c>
      <c r="D518" s="736" t="str">
        <f>Study!CI517</f>
        <v>التأجير اليومي - تاون هاوس</v>
      </c>
      <c r="E518" s="738" t="str">
        <f>Study!CJ517</f>
        <v>Y149</v>
      </c>
      <c r="F518" s="736" t="str">
        <f>Study!CK517</f>
        <v>ريال سعودي</v>
      </c>
      <c r="G518" s="731"/>
      <c r="H518" s="731"/>
      <c r="I518" s="731"/>
      <c r="J518" s="731"/>
      <c r="K518" s="731"/>
      <c r="L518" s="731"/>
      <c r="M518" s="731"/>
      <c r="N518" s="731"/>
      <c r="O518" s="731"/>
      <c r="P518" s="731"/>
      <c r="Q518" s="731"/>
      <c r="R518" s="731"/>
      <c r="S518" s="731"/>
      <c r="T518" s="731"/>
      <c r="U518" s="731"/>
      <c r="V518" s="731"/>
      <c r="W518" s="731"/>
      <c r="X518" s="731"/>
      <c r="Y518" s="731"/>
      <c r="Z518" s="731"/>
    </row>
    <row r="519" spans="1:26" x14ac:dyDescent="0.2">
      <c r="A519" s="739">
        <f>Study!CF518</f>
        <v>454</v>
      </c>
      <c r="B519" s="740" t="str">
        <f>Study!CG518</f>
        <v>تاون هاوس - فترة استرداد رأس المال</v>
      </c>
      <c r="C519" s="749">
        <f>Study!CH518</f>
        <v>0</v>
      </c>
      <c r="D519" s="740" t="str">
        <f>Study!CI518</f>
        <v>التأجير اليومي - تاون هاوس</v>
      </c>
      <c r="E519" s="742" t="str">
        <f>Study!CJ518</f>
        <v>Z149</v>
      </c>
      <c r="F519" s="740" t="str">
        <f>Study!CK518</f>
        <v>سنة</v>
      </c>
      <c r="G519" s="731"/>
      <c r="H519" s="731"/>
      <c r="I519" s="731"/>
      <c r="J519" s="731"/>
      <c r="K519" s="731"/>
      <c r="L519" s="731"/>
      <c r="M519" s="731"/>
      <c r="N519" s="731"/>
      <c r="O519" s="731"/>
      <c r="P519" s="731"/>
      <c r="Q519" s="731"/>
      <c r="R519" s="731"/>
      <c r="S519" s="731"/>
      <c r="T519" s="731"/>
      <c r="U519" s="731"/>
      <c r="V519" s="731"/>
      <c r="W519" s="731"/>
      <c r="X519" s="731"/>
      <c r="Y519" s="731"/>
      <c r="Z519" s="731"/>
    </row>
    <row r="520" spans="1:26" x14ac:dyDescent="0.2">
      <c r="A520" s="735">
        <f>Study!CF519</f>
        <v>455</v>
      </c>
      <c r="B520" s="736" t="str">
        <f>Study!CG519</f>
        <v>تاون هاوس - العائد على التكلفة السنوي</v>
      </c>
      <c r="C520" s="747" t="str">
        <f>Study!CH519</f>
        <v>0.00%</v>
      </c>
      <c r="D520" s="736" t="str">
        <f>Study!CI519</f>
        <v>التأجير اليومي - تاون هاوس</v>
      </c>
      <c r="E520" s="738" t="str">
        <f>Study!CJ519</f>
        <v>AA149</v>
      </c>
      <c r="F520" s="736" t="str">
        <f>Study!CK519</f>
        <v>نسبة مئوية</v>
      </c>
      <c r="G520" s="731"/>
      <c r="H520" s="731"/>
      <c r="I520" s="731"/>
      <c r="J520" s="731"/>
      <c r="K520" s="731"/>
      <c r="L520" s="731"/>
      <c r="M520" s="731"/>
      <c r="N520" s="731"/>
      <c r="O520" s="731"/>
      <c r="P520" s="731"/>
      <c r="Q520" s="731"/>
      <c r="R520" s="731"/>
      <c r="S520" s="731"/>
      <c r="T520" s="731"/>
      <c r="U520" s="731"/>
      <c r="V520" s="731"/>
      <c r="W520" s="731"/>
      <c r="X520" s="731"/>
      <c r="Y520" s="731"/>
      <c r="Z520" s="731"/>
    </row>
    <row r="521" spans="1:26" ht="15" x14ac:dyDescent="0.2">
      <c r="A521" s="734" t="str">
        <f>Study!CF520</f>
        <v>▌ التأجير اليومي - أدوار</v>
      </c>
      <c r="B521" s="734">
        <f>Study!CG520</f>
        <v>0</v>
      </c>
      <c r="C521" s="734">
        <f>Study!CH520</f>
        <v>0</v>
      </c>
      <c r="D521" s="734">
        <f>Study!CI520</f>
        <v>0</v>
      </c>
      <c r="E521" s="734">
        <f>Study!CJ520</f>
        <v>0</v>
      </c>
      <c r="F521" s="734">
        <f>Study!CK520</f>
        <v>0</v>
      </c>
      <c r="G521" s="731"/>
      <c r="H521" s="731"/>
      <c r="I521" s="731"/>
      <c r="J521" s="731"/>
      <c r="K521" s="731"/>
      <c r="L521" s="731"/>
      <c r="M521" s="731"/>
      <c r="N521" s="731"/>
      <c r="O521" s="731"/>
      <c r="P521" s="731"/>
      <c r="Q521" s="731"/>
      <c r="R521" s="731"/>
      <c r="S521" s="731"/>
      <c r="T521" s="731"/>
      <c r="U521" s="731"/>
      <c r="V521" s="731"/>
      <c r="W521" s="731"/>
      <c r="X521" s="731"/>
      <c r="Y521" s="731"/>
      <c r="Z521" s="731"/>
    </row>
    <row r="522" spans="1:26" x14ac:dyDescent="0.2">
      <c r="A522" s="739">
        <f>Study!CF521</f>
        <v>456</v>
      </c>
      <c r="B522" s="740" t="str">
        <f>Study!CG521</f>
        <v>أدوار - عدد الوحدات</v>
      </c>
      <c r="C522" s="751">
        <f>Study!CH521</f>
        <v>0</v>
      </c>
      <c r="D522" s="740" t="str">
        <f>Study!CI521</f>
        <v>التأجير اليومي - أدوار</v>
      </c>
      <c r="E522" s="742" t="str">
        <f>Study!CJ521</f>
        <v>R150</v>
      </c>
      <c r="F522" s="740" t="str">
        <f>Study!CK521</f>
        <v>وحدة</v>
      </c>
      <c r="G522" s="731"/>
      <c r="H522" s="731"/>
      <c r="I522" s="731"/>
      <c r="J522" s="731"/>
      <c r="K522" s="731"/>
      <c r="L522" s="731"/>
      <c r="M522" s="731"/>
      <c r="N522" s="731"/>
      <c r="O522" s="731"/>
      <c r="P522" s="731"/>
      <c r="Q522" s="731"/>
      <c r="R522" s="731"/>
      <c r="S522" s="731"/>
      <c r="T522" s="731"/>
      <c r="U522" s="731"/>
      <c r="V522" s="731"/>
      <c r="W522" s="731"/>
      <c r="X522" s="731"/>
      <c r="Y522" s="731"/>
      <c r="Z522" s="731"/>
    </row>
    <row r="523" spans="1:26" x14ac:dyDescent="0.2">
      <c r="A523" s="735">
        <f>Study!CF522</f>
        <v>457</v>
      </c>
      <c r="B523" s="736" t="str">
        <f>Study!CG522</f>
        <v>أدوار - نسبة الإشغال</v>
      </c>
      <c r="C523" s="747">
        <f>Study!CH522</f>
        <v>0</v>
      </c>
      <c r="D523" s="736" t="str">
        <f>Study!CI522</f>
        <v>التأجير اليومي - أدوار</v>
      </c>
      <c r="E523" s="738" t="str">
        <f>Study!CJ522</f>
        <v>S150</v>
      </c>
      <c r="F523" s="736" t="str">
        <f>Study!CK522</f>
        <v>نسبة مئوية</v>
      </c>
      <c r="G523" s="731"/>
      <c r="H523" s="731"/>
      <c r="I523" s="731"/>
      <c r="J523" s="731"/>
      <c r="K523" s="731"/>
      <c r="L523" s="731"/>
      <c r="M523" s="731"/>
      <c r="N523" s="731"/>
      <c r="O523" s="731"/>
      <c r="P523" s="731"/>
      <c r="Q523" s="731"/>
      <c r="R523" s="731"/>
      <c r="S523" s="731"/>
      <c r="T523" s="731"/>
      <c r="U523" s="731"/>
      <c r="V523" s="731"/>
      <c r="W523" s="731"/>
      <c r="X523" s="731"/>
      <c r="Y523" s="731"/>
      <c r="Z523" s="731"/>
    </row>
    <row r="524" spans="1:26" x14ac:dyDescent="0.2">
      <c r="A524" s="739">
        <f>Study!CF523</f>
        <v>458</v>
      </c>
      <c r="B524" s="740" t="str">
        <f>Study!CG523</f>
        <v>أدوار - عدد الوحدات المشغولة سنوياً</v>
      </c>
      <c r="C524" s="751">
        <f>Study!CH523</f>
        <v>0</v>
      </c>
      <c r="D524" s="740" t="str">
        <f>Study!CI523</f>
        <v>التأجير اليومي - أدوار</v>
      </c>
      <c r="E524" s="742" t="str">
        <f>Study!CJ523</f>
        <v>T150</v>
      </c>
      <c r="F524" s="740" t="str">
        <f>Study!CK523</f>
        <v>ليلة</v>
      </c>
      <c r="G524" s="731"/>
      <c r="H524" s="731"/>
      <c r="I524" s="731"/>
      <c r="J524" s="731"/>
      <c r="K524" s="731"/>
      <c r="L524" s="731"/>
      <c r="M524" s="731"/>
      <c r="N524" s="731"/>
      <c r="O524" s="731"/>
      <c r="P524" s="731"/>
      <c r="Q524" s="731"/>
      <c r="R524" s="731"/>
      <c r="S524" s="731"/>
      <c r="T524" s="731"/>
      <c r="U524" s="731"/>
      <c r="V524" s="731"/>
      <c r="W524" s="731"/>
      <c r="X524" s="731"/>
      <c r="Y524" s="731"/>
      <c r="Z524" s="731"/>
    </row>
    <row r="525" spans="1:26" x14ac:dyDescent="0.2">
      <c r="A525" s="735">
        <f>Study!CF524</f>
        <v>459</v>
      </c>
      <c r="B525" s="736" t="str">
        <f>Study!CG524</f>
        <v>أدوار - متوسط السعر اليومي</v>
      </c>
      <c r="C525" s="743">
        <f>Study!CH524</f>
        <v>0</v>
      </c>
      <c r="D525" s="736" t="str">
        <f>Study!CI524</f>
        <v>التأجير اليومي - أدوار</v>
      </c>
      <c r="E525" s="738" t="str">
        <f>Study!CJ524</f>
        <v>U150</v>
      </c>
      <c r="F525" s="736" t="str">
        <f>Study!CK524</f>
        <v>ريال</v>
      </c>
      <c r="G525" s="731"/>
      <c r="H525" s="731"/>
      <c r="I525" s="731"/>
      <c r="J525" s="731"/>
      <c r="K525" s="731"/>
      <c r="L525" s="731"/>
      <c r="M525" s="731"/>
      <c r="N525" s="731"/>
      <c r="O525" s="731"/>
      <c r="P525" s="731"/>
      <c r="Q525" s="731"/>
      <c r="R525" s="731"/>
      <c r="S525" s="731"/>
      <c r="T525" s="731"/>
      <c r="U525" s="731"/>
      <c r="V525" s="731"/>
      <c r="W525" s="731"/>
      <c r="X525" s="731"/>
      <c r="Y525" s="731"/>
      <c r="Z525" s="731"/>
    </row>
    <row r="526" spans="1:26" x14ac:dyDescent="0.2">
      <c r="A526" s="739">
        <f>Study!CF525</f>
        <v>460</v>
      </c>
      <c r="B526" s="740" t="str">
        <f>Study!CG525</f>
        <v>أدوار - الإيراد الفعلي للوحدة السنوي</v>
      </c>
      <c r="C526" s="744" t="str">
        <f>Study!CH525</f>
        <v>0</v>
      </c>
      <c r="D526" s="740" t="str">
        <f>Study!CI525</f>
        <v>التأجير اليومي - أدوار</v>
      </c>
      <c r="E526" s="742" t="str">
        <f>Study!CJ525</f>
        <v>V150</v>
      </c>
      <c r="F526" s="740" t="str">
        <f>Study!CK525</f>
        <v>ريال سعودي</v>
      </c>
      <c r="G526" s="731"/>
      <c r="H526" s="731"/>
      <c r="I526" s="731"/>
      <c r="J526" s="731"/>
      <c r="K526" s="731"/>
      <c r="L526" s="731"/>
      <c r="M526" s="731"/>
      <c r="N526" s="731"/>
      <c r="O526" s="731"/>
      <c r="P526" s="731"/>
      <c r="Q526" s="731"/>
      <c r="R526" s="731"/>
      <c r="S526" s="731"/>
      <c r="T526" s="731"/>
      <c r="U526" s="731"/>
      <c r="V526" s="731"/>
      <c r="W526" s="731"/>
      <c r="X526" s="731"/>
      <c r="Y526" s="731"/>
      <c r="Z526" s="731"/>
    </row>
    <row r="527" spans="1:26" x14ac:dyDescent="0.2">
      <c r="A527" s="735">
        <f>Study!CF526</f>
        <v>461</v>
      </c>
      <c r="B527" s="736" t="str">
        <f>Study!CG526</f>
        <v>أدوار - نسبة إيرادات الأنشطة الإضافية</v>
      </c>
      <c r="C527" s="747">
        <f>Study!CH526</f>
        <v>0</v>
      </c>
      <c r="D527" s="736" t="str">
        <f>Study!CI526</f>
        <v>التأجير اليومي - أدوار</v>
      </c>
      <c r="E527" s="738" t="str">
        <f>Study!CJ526</f>
        <v>W150</v>
      </c>
      <c r="F527" s="736" t="str">
        <f>Study!CK526</f>
        <v>نسبة مئوية</v>
      </c>
      <c r="G527" s="731"/>
      <c r="H527" s="731"/>
      <c r="I527" s="731"/>
      <c r="J527" s="731"/>
      <c r="K527" s="731"/>
      <c r="L527" s="731"/>
      <c r="M527" s="731"/>
      <c r="N527" s="731"/>
      <c r="O527" s="731"/>
      <c r="P527" s="731"/>
      <c r="Q527" s="731"/>
      <c r="R527" s="731"/>
      <c r="S527" s="731"/>
      <c r="T527" s="731"/>
      <c r="U527" s="731"/>
      <c r="V527" s="731"/>
      <c r="W527" s="731"/>
      <c r="X527" s="731"/>
      <c r="Y527" s="731"/>
      <c r="Z527" s="731"/>
    </row>
    <row r="528" spans="1:26" x14ac:dyDescent="0.2">
      <c r="A528" s="739">
        <f>Study!CF527</f>
        <v>462</v>
      </c>
      <c r="B528" s="740" t="str">
        <f>Study!CG527</f>
        <v>أدوار - إجمالي الإيرادات</v>
      </c>
      <c r="C528" s="744">
        <f>Study!CH527</f>
        <v>0</v>
      </c>
      <c r="D528" s="740" t="str">
        <f>Study!CI527</f>
        <v>التأجير اليومي - أدوار</v>
      </c>
      <c r="E528" s="742" t="str">
        <f>Study!CJ527</f>
        <v>X150</v>
      </c>
      <c r="F528" s="740" t="str">
        <f>Study!CK527</f>
        <v>ريال سعودي</v>
      </c>
      <c r="G528" s="731"/>
      <c r="H528" s="731"/>
      <c r="I528" s="731"/>
      <c r="J528" s="731"/>
      <c r="K528" s="731"/>
      <c r="L528" s="731"/>
      <c r="M528" s="731"/>
      <c r="N528" s="731"/>
      <c r="O528" s="731"/>
      <c r="P528" s="731"/>
      <c r="Q528" s="731"/>
      <c r="R528" s="731"/>
      <c r="S528" s="731"/>
      <c r="T528" s="731"/>
      <c r="U528" s="731"/>
      <c r="V528" s="731"/>
      <c r="W528" s="731"/>
      <c r="X528" s="731"/>
      <c r="Y528" s="731"/>
      <c r="Z528" s="731"/>
    </row>
    <row r="529" spans="1:26" x14ac:dyDescent="0.2">
      <c r="A529" s="735">
        <f>Study!CF528</f>
        <v>463</v>
      </c>
      <c r="B529" s="736" t="str">
        <f>Study!CG528</f>
        <v>أدوار - التكاليف التشغيلية والإدارية</v>
      </c>
      <c r="C529" s="743">
        <f>Study!CH528</f>
        <v>0</v>
      </c>
      <c r="D529" s="736" t="str">
        <f>Study!CI528</f>
        <v>التأجير اليومي - أدوار</v>
      </c>
      <c r="E529" s="738" t="str">
        <f>Study!CJ528</f>
        <v>Y150</v>
      </c>
      <c r="F529" s="736" t="str">
        <f>Study!CK528</f>
        <v>ريال سعودي</v>
      </c>
      <c r="G529" s="731"/>
      <c r="H529" s="731"/>
      <c r="I529" s="731"/>
      <c r="J529" s="731"/>
      <c r="K529" s="731"/>
      <c r="L529" s="731"/>
      <c r="M529" s="731"/>
      <c r="N529" s="731"/>
      <c r="O529" s="731"/>
      <c r="P529" s="731"/>
      <c r="Q529" s="731"/>
      <c r="R529" s="731"/>
      <c r="S529" s="731"/>
      <c r="T529" s="731"/>
      <c r="U529" s="731"/>
      <c r="V529" s="731"/>
      <c r="W529" s="731"/>
      <c r="X529" s="731"/>
      <c r="Y529" s="731"/>
      <c r="Z529" s="731"/>
    </row>
    <row r="530" spans="1:26" x14ac:dyDescent="0.2">
      <c r="A530" s="739">
        <f>Study!CF529</f>
        <v>464</v>
      </c>
      <c r="B530" s="740" t="str">
        <f>Study!CG529</f>
        <v>أدوار - فترة استرداد رأس المال</v>
      </c>
      <c r="C530" s="749">
        <f>Study!CH529</f>
        <v>0</v>
      </c>
      <c r="D530" s="740" t="str">
        <f>Study!CI529</f>
        <v>التأجير اليومي - أدوار</v>
      </c>
      <c r="E530" s="742" t="str">
        <f>Study!CJ529</f>
        <v>Z150</v>
      </c>
      <c r="F530" s="740" t="str">
        <f>Study!CK529</f>
        <v>سنة</v>
      </c>
      <c r="G530" s="731"/>
      <c r="H530" s="731"/>
      <c r="I530" s="731"/>
      <c r="J530" s="731"/>
      <c r="K530" s="731"/>
      <c r="L530" s="731"/>
      <c r="M530" s="731"/>
      <c r="N530" s="731"/>
      <c r="O530" s="731"/>
      <c r="P530" s="731"/>
      <c r="Q530" s="731"/>
      <c r="R530" s="731"/>
      <c r="S530" s="731"/>
      <c r="T530" s="731"/>
      <c r="U530" s="731"/>
      <c r="V530" s="731"/>
      <c r="W530" s="731"/>
      <c r="X530" s="731"/>
      <c r="Y530" s="731"/>
      <c r="Z530" s="731"/>
    </row>
    <row r="531" spans="1:26" x14ac:dyDescent="0.2">
      <c r="A531" s="735">
        <f>Study!CF530</f>
        <v>465</v>
      </c>
      <c r="B531" s="736" t="str">
        <f>Study!CG530</f>
        <v>أدوار - العائد على التكلفة السنوي</v>
      </c>
      <c r="C531" s="747" t="str">
        <f>Study!CH530</f>
        <v>0.00%</v>
      </c>
      <c r="D531" s="736" t="str">
        <f>Study!CI530</f>
        <v>التأجير اليومي - أدوار</v>
      </c>
      <c r="E531" s="738" t="str">
        <f>Study!CJ530</f>
        <v>AA150</v>
      </c>
      <c r="F531" s="736" t="str">
        <f>Study!CK530</f>
        <v>نسبة مئوية</v>
      </c>
      <c r="G531" s="731"/>
      <c r="H531" s="731"/>
      <c r="I531" s="731"/>
      <c r="J531" s="731"/>
      <c r="K531" s="731"/>
      <c r="L531" s="731"/>
      <c r="M531" s="731"/>
      <c r="N531" s="731"/>
      <c r="O531" s="731"/>
      <c r="P531" s="731"/>
      <c r="Q531" s="731"/>
      <c r="R531" s="731"/>
      <c r="S531" s="731"/>
      <c r="T531" s="731"/>
      <c r="U531" s="731"/>
      <c r="V531" s="731"/>
      <c r="W531" s="731"/>
      <c r="X531" s="731"/>
      <c r="Y531" s="731"/>
      <c r="Z531" s="731"/>
    </row>
    <row r="532" spans="1:26" ht="15" x14ac:dyDescent="0.2">
      <c r="A532" s="734" t="str">
        <f>Study!CF531</f>
        <v>▌ التأجير اليومي - أستوديوهات</v>
      </c>
      <c r="B532" s="734">
        <f>Study!CG531</f>
        <v>0</v>
      </c>
      <c r="C532" s="734">
        <f>Study!CH531</f>
        <v>0</v>
      </c>
      <c r="D532" s="734">
        <f>Study!CI531</f>
        <v>0</v>
      </c>
      <c r="E532" s="734">
        <f>Study!CJ531</f>
        <v>0</v>
      </c>
      <c r="F532" s="734">
        <f>Study!CK531</f>
        <v>0</v>
      </c>
      <c r="G532" s="731"/>
      <c r="H532" s="731"/>
      <c r="I532" s="731"/>
      <c r="J532" s="731"/>
      <c r="K532" s="731"/>
      <c r="L532" s="731"/>
      <c r="M532" s="731"/>
      <c r="N532" s="731"/>
      <c r="O532" s="731"/>
      <c r="P532" s="731"/>
      <c r="Q532" s="731"/>
      <c r="R532" s="731"/>
      <c r="S532" s="731"/>
      <c r="T532" s="731"/>
      <c r="U532" s="731"/>
      <c r="V532" s="731"/>
      <c r="W532" s="731"/>
      <c r="X532" s="731"/>
      <c r="Y532" s="731"/>
      <c r="Z532" s="731"/>
    </row>
    <row r="533" spans="1:26" x14ac:dyDescent="0.2">
      <c r="A533" s="739">
        <f>Study!CF532</f>
        <v>466</v>
      </c>
      <c r="B533" s="740" t="str">
        <f>Study!CG532</f>
        <v>أستوديوهات - عدد الوحدات</v>
      </c>
      <c r="C533" s="751">
        <f>Study!CH532</f>
        <v>0</v>
      </c>
      <c r="D533" s="740" t="str">
        <f>Study!CI532</f>
        <v>التأجير اليومي - أستوديوهات</v>
      </c>
      <c r="E533" s="742" t="str">
        <f>Study!CJ532</f>
        <v>R151</v>
      </c>
      <c r="F533" s="740" t="str">
        <f>Study!CK532</f>
        <v>وحدة</v>
      </c>
      <c r="G533" s="731"/>
      <c r="H533" s="731"/>
      <c r="I533" s="731"/>
      <c r="J533" s="731"/>
      <c r="K533" s="731"/>
      <c r="L533" s="731"/>
      <c r="M533" s="731"/>
      <c r="N533" s="731"/>
      <c r="O533" s="731"/>
      <c r="P533" s="731"/>
      <c r="Q533" s="731"/>
      <c r="R533" s="731"/>
      <c r="S533" s="731"/>
      <c r="T533" s="731"/>
      <c r="U533" s="731"/>
      <c r="V533" s="731"/>
      <c r="W533" s="731"/>
      <c r="X533" s="731"/>
      <c r="Y533" s="731"/>
      <c r="Z533" s="731"/>
    </row>
    <row r="534" spans="1:26" x14ac:dyDescent="0.2">
      <c r="A534" s="735">
        <f>Study!CF533</f>
        <v>467</v>
      </c>
      <c r="B534" s="736" t="str">
        <f>Study!CG533</f>
        <v>أستوديوهات - نسبة الإشغال</v>
      </c>
      <c r="C534" s="747">
        <f>Study!CH533</f>
        <v>0</v>
      </c>
      <c r="D534" s="736" t="str">
        <f>Study!CI533</f>
        <v>التأجير اليومي - أستوديوهات</v>
      </c>
      <c r="E534" s="738" t="str">
        <f>Study!CJ533</f>
        <v>S151</v>
      </c>
      <c r="F534" s="736" t="str">
        <f>Study!CK533</f>
        <v>نسبة مئوية</v>
      </c>
      <c r="G534" s="731"/>
      <c r="H534" s="731"/>
      <c r="I534" s="731"/>
      <c r="J534" s="731"/>
      <c r="K534" s="731"/>
      <c r="L534" s="731"/>
      <c r="M534" s="731"/>
      <c r="N534" s="731"/>
      <c r="O534" s="731"/>
      <c r="P534" s="731"/>
      <c r="Q534" s="731"/>
      <c r="R534" s="731"/>
      <c r="S534" s="731"/>
      <c r="T534" s="731"/>
      <c r="U534" s="731"/>
      <c r="V534" s="731"/>
      <c r="W534" s="731"/>
      <c r="X534" s="731"/>
      <c r="Y534" s="731"/>
      <c r="Z534" s="731"/>
    </row>
    <row r="535" spans="1:26" x14ac:dyDescent="0.2">
      <c r="A535" s="739">
        <f>Study!CF534</f>
        <v>468</v>
      </c>
      <c r="B535" s="740" t="str">
        <f>Study!CG534</f>
        <v>أستوديوهات - عدد الوحدات المشغولة سنوياً</v>
      </c>
      <c r="C535" s="751">
        <f>Study!CH534</f>
        <v>0</v>
      </c>
      <c r="D535" s="740" t="str">
        <f>Study!CI534</f>
        <v>التأجير اليومي - أستوديوهات</v>
      </c>
      <c r="E535" s="742" t="str">
        <f>Study!CJ534</f>
        <v>T151</v>
      </c>
      <c r="F535" s="740" t="str">
        <f>Study!CK534</f>
        <v>ليلة</v>
      </c>
      <c r="G535" s="731"/>
      <c r="H535" s="731"/>
      <c r="I535" s="731"/>
      <c r="J535" s="731"/>
      <c r="K535" s="731"/>
      <c r="L535" s="731"/>
      <c r="M535" s="731"/>
      <c r="N535" s="731"/>
      <c r="O535" s="731"/>
      <c r="P535" s="731"/>
      <c r="Q535" s="731"/>
      <c r="R535" s="731"/>
      <c r="S535" s="731"/>
      <c r="T535" s="731"/>
      <c r="U535" s="731"/>
      <c r="V535" s="731"/>
      <c r="W535" s="731"/>
      <c r="X535" s="731"/>
      <c r="Y535" s="731"/>
      <c r="Z535" s="731"/>
    </row>
    <row r="536" spans="1:26" x14ac:dyDescent="0.2">
      <c r="A536" s="735">
        <f>Study!CF535</f>
        <v>469</v>
      </c>
      <c r="B536" s="736" t="str">
        <f>Study!CG535</f>
        <v>أستوديوهات - متوسط السعر اليومي</v>
      </c>
      <c r="C536" s="743">
        <f>Study!CH535</f>
        <v>0</v>
      </c>
      <c r="D536" s="736" t="str">
        <f>Study!CI535</f>
        <v>التأجير اليومي - أستوديوهات</v>
      </c>
      <c r="E536" s="738" t="str">
        <f>Study!CJ535</f>
        <v>U151</v>
      </c>
      <c r="F536" s="736" t="str">
        <f>Study!CK535</f>
        <v>ريال</v>
      </c>
      <c r="G536" s="731"/>
      <c r="H536" s="731"/>
      <c r="I536" s="731"/>
      <c r="J536" s="731"/>
      <c r="K536" s="731"/>
      <c r="L536" s="731"/>
      <c r="M536" s="731"/>
      <c r="N536" s="731"/>
      <c r="O536" s="731"/>
      <c r="P536" s="731"/>
      <c r="Q536" s="731"/>
      <c r="R536" s="731"/>
      <c r="S536" s="731"/>
      <c r="T536" s="731"/>
      <c r="U536" s="731"/>
      <c r="V536" s="731"/>
      <c r="W536" s="731"/>
      <c r="X536" s="731"/>
      <c r="Y536" s="731"/>
      <c r="Z536" s="731"/>
    </row>
    <row r="537" spans="1:26" x14ac:dyDescent="0.2">
      <c r="A537" s="739">
        <f>Study!CF536</f>
        <v>470</v>
      </c>
      <c r="B537" s="740" t="str">
        <f>Study!CG536</f>
        <v>أستوديوهات - الإيراد الفعلي للوحدة السنوي</v>
      </c>
      <c r="C537" s="744" t="str">
        <f>Study!CH536</f>
        <v>0</v>
      </c>
      <c r="D537" s="740" t="str">
        <f>Study!CI536</f>
        <v>التأجير اليومي - أستوديوهات</v>
      </c>
      <c r="E537" s="742" t="str">
        <f>Study!CJ536</f>
        <v>V151</v>
      </c>
      <c r="F537" s="740" t="str">
        <f>Study!CK536</f>
        <v>ريال سعودي</v>
      </c>
      <c r="G537" s="731"/>
      <c r="H537" s="731"/>
      <c r="I537" s="731"/>
      <c r="J537" s="731"/>
      <c r="K537" s="731"/>
      <c r="L537" s="731"/>
      <c r="M537" s="731"/>
      <c r="N537" s="731"/>
      <c r="O537" s="731"/>
      <c r="P537" s="731"/>
      <c r="Q537" s="731"/>
      <c r="R537" s="731"/>
      <c r="S537" s="731"/>
      <c r="T537" s="731"/>
      <c r="U537" s="731"/>
      <c r="V537" s="731"/>
      <c r="W537" s="731"/>
      <c r="X537" s="731"/>
      <c r="Y537" s="731"/>
      <c r="Z537" s="731"/>
    </row>
    <row r="538" spans="1:26" x14ac:dyDescent="0.2">
      <c r="A538" s="735">
        <f>Study!CF537</f>
        <v>471</v>
      </c>
      <c r="B538" s="736" t="str">
        <f>Study!CG537</f>
        <v>أستوديوهات - نسبة إيرادات الأنشطة الإضافية</v>
      </c>
      <c r="C538" s="747">
        <f>Study!CH537</f>
        <v>0</v>
      </c>
      <c r="D538" s="736" t="str">
        <f>Study!CI537</f>
        <v>التأجير اليومي - أستوديوهات</v>
      </c>
      <c r="E538" s="738" t="str">
        <f>Study!CJ537</f>
        <v>W151</v>
      </c>
      <c r="F538" s="736" t="str">
        <f>Study!CK537</f>
        <v>نسبة مئوية</v>
      </c>
      <c r="G538" s="731"/>
      <c r="H538" s="731"/>
      <c r="I538" s="731"/>
      <c r="J538" s="731"/>
      <c r="K538" s="731"/>
      <c r="L538" s="731"/>
      <c r="M538" s="731"/>
      <c r="N538" s="731"/>
      <c r="O538" s="731"/>
      <c r="P538" s="731"/>
      <c r="Q538" s="731"/>
      <c r="R538" s="731"/>
      <c r="S538" s="731"/>
      <c r="T538" s="731"/>
      <c r="U538" s="731"/>
      <c r="V538" s="731"/>
      <c r="W538" s="731"/>
      <c r="X538" s="731"/>
      <c r="Y538" s="731"/>
      <c r="Z538" s="731"/>
    </row>
    <row r="539" spans="1:26" x14ac:dyDescent="0.2">
      <c r="A539" s="739">
        <f>Study!CF538</f>
        <v>472</v>
      </c>
      <c r="B539" s="740" t="str">
        <f>Study!CG538</f>
        <v>أستوديوهات - إجمالي الإيرادات</v>
      </c>
      <c r="C539" s="744">
        <f>Study!CH538</f>
        <v>0</v>
      </c>
      <c r="D539" s="740" t="str">
        <f>Study!CI538</f>
        <v>التأجير اليومي - أستوديوهات</v>
      </c>
      <c r="E539" s="742" t="str">
        <f>Study!CJ538</f>
        <v>X151</v>
      </c>
      <c r="F539" s="740" t="str">
        <f>Study!CK538</f>
        <v>ريال سعودي</v>
      </c>
      <c r="G539" s="731"/>
      <c r="H539" s="731"/>
      <c r="I539" s="731"/>
      <c r="J539" s="731"/>
      <c r="K539" s="731"/>
      <c r="L539" s="731"/>
      <c r="M539" s="731"/>
      <c r="N539" s="731"/>
      <c r="O539" s="731"/>
      <c r="P539" s="731"/>
      <c r="Q539" s="731"/>
      <c r="R539" s="731"/>
      <c r="S539" s="731"/>
      <c r="T539" s="731"/>
      <c r="U539" s="731"/>
      <c r="V539" s="731"/>
      <c r="W539" s="731"/>
      <c r="X539" s="731"/>
      <c r="Y539" s="731"/>
      <c r="Z539" s="731"/>
    </row>
    <row r="540" spans="1:26" x14ac:dyDescent="0.2">
      <c r="A540" s="735">
        <f>Study!CF539</f>
        <v>473</v>
      </c>
      <c r="B540" s="736" t="str">
        <f>Study!CG539</f>
        <v>أستوديوهات - التكاليف التشغيلية والإدارية</v>
      </c>
      <c r="C540" s="743">
        <f>Study!CH539</f>
        <v>0</v>
      </c>
      <c r="D540" s="736" t="str">
        <f>Study!CI539</f>
        <v>التأجير اليومي - أستوديوهات</v>
      </c>
      <c r="E540" s="738" t="str">
        <f>Study!CJ539</f>
        <v>Y151</v>
      </c>
      <c r="F540" s="736" t="str">
        <f>Study!CK539</f>
        <v>ريال سعودي</v>
      </c>
      <c r="G540" s="731"/>
      <c r="H540" s="731"/>
      <c r="I540" s="731"/>
      <c r="J540" s="731"/>
      <c r="K540" s="731"/>
      <c r="L540" s="731"/>
      <c r="M540" s="731"/>
      <c r="N540" s="731"/>
      <c r="O540" s="731"/>
      <c r="P540" s="731"/>
      <c r="Q540" s="731"/>
      <c r="R540" s="731"/>
      <c r="S540" s="731"/>
      <c r="T540" s="731"/>
      <c r="U540" s="731"/>
      <c r="V540" s="731"/>
      <c r="W540" s="731"/>
      <c r="X540" s="731"/>
      <c r="Y540" s="731"/>
      <c r="Z540" s="731"/>
    </row>
    <row r="541" spans="1:26" x14ac:dyDescent="0.2">
      <c r="A541" s="739">
        <f>Study!CF540</f>
        <v>474</v>
      </c>
      <c r="B541" s="740" t="str">
        <f>Study!CG540</f>
        <v>أستوديوهات - فترة استرداد رأس المال</v>
      </c>
      <c r="C541" s="749">
        <f>Study!CH540</f>
        <v>0</v>
      </c>
      <c r="D541" s="740" t="str">
        <f>Study!CI540</f>
        <v>التأجير اليومي - أستوديوهات</v>
      </c>
      <c r="E541" s="742" t="str">
        <f>Study!CJ540</f>
        <v>Z151</v>
      </c>
      <c r="F541" s="740" t="str">
        <f>Study!CK540</f>
        <v>سنة</v>
      </c>
      <c r="G541" s="731"/>
      <c r="H541" s="731"/>
      <c r="I541" s="731"/>
      <c r="J541" s="731"/>
      <c r="K541" s="731"/>
      <c r="L541" s="731"/>
      <c r="M541" s="731"/>
      <c r="N541" s="731"/>
      <c r="O541" s="731"/>
      <c r="P541" s="731"/>
      <c r="Q541" s="731"/>
      <c r="R541" s="731"/>
      <c r="S541" s="731"/>
      <c r="T541" s="731"/>
      <c r="U541" s="731"/>
      <c r="V541" s="731"/>
      <c r="W541" s="731"/>
      <c r="X541" s="731"/>
      <c r="Y541" s="731"/>
      <c r="Z541" s="731"/>
    </row>
    <row r="542" spans="1:26" x14ac:dyDescent="0.2">
      <c r="A542" s="735">
        <f>Study!CF541</f>
        <v>475</v>
      </c>
      <c r="B542" s="736" t="str">
        <f>Study!CG541</f>
        <v>أستوديوهات - العائد على التكلفة السنوي</v>
      </c>
      <c r="C542" s="747" t="str">
        <f>Study!CH541</f>
        <v>0.00%</v>
      </c>
      <c r="D542" s="736" t="str">
        <f>Study!CI541</f>
        <v>التأجير اليومي - أستوديوهات</v>
      </c>
      <c r="E542" s="738" t="str">
        <f>Study!CJ541</f>
        <v>AA151</v>
      </c>
      <c r="F542" s="736" t="str">
        <f>Study!CK541</f>
        <v>نسبة مئوية</v>
      </c>
      <c r="G542" s="731"/>
      <c r="H542" s="731"/>
      <c r="I542" s="731"/>
      <c r="J542" s="731"/>
      <c r="K542" s="731"/>
      <c r="L542" s="731"/>
      <c r="M542" s="731"/>
      <c r="N542" s="731"/>
      <c r="O542" s="731"/>
      <c r="P542" s="731"/>
      <c r="Q542" s="731"/>
      <c r="R542" s="731"/>
      <c r="S542" s="731"/>
      <c r="T542" s="731"/>
      <c r="U542" s="731"/>
      <c r="V542" s="731"/>
      <c r="W542" s="731"/>
      <c r="X542" s="731"/>
      <c r="Y542" s="731"/>
      <c r="Z542" s="731"/>
    </row>
    <row r="543" spans="1:26" ht="15" x14ac:dyDescent="0.2">
      <c r="A543" s="734" t="str">
        <f>Study!CF542</f>
        <v>▌ التأجير اليومي - مكتبي</v>
      </c>
      <c r="B543" s="734">
        <f>Study!CG542</f>
        <v>0</v>
      </c>
      <c r="C543" s="734">
        <f>Study!CH542</f>
        <v>0</v>
      </c>
      <c r="D543" s="734">
        <f>Study!CI542</f>
        <v>0</v>
      </c>
      <c r="E543" s="734">
        <f>Study!CJ542</f>
        <v>0</v>
      </c>
      <c r="F543" s="734">
        <f>Study!CK542</f>
        <v>0</v>
      </c>
      <c r="G543" s="731"/>
      <c r="H543" s="731"/>
      <c r="I543" s="731"/>
      <c r="J543" s="731"/>
      <c r="K543" s="731"/>
      <c r="L543" s="731"/>
      <c r="M543" s="731"/>
      <c r="N543" s="731"/>
      <c r="O543" s="731"/>
      <c r="P543" s="731"/>
      <c r="Q543" s="731"/>
      <c r="R543" s="731"/>
      <c r="S543" s="731"/>
      <c r="T543" s="731"/>
      <c r="U543" s="731"/>
      <c r="V543" s="731"/>
      <c r="W543" s="731"/>
      <c r="X543" s="731"/>
      <c r="Y543" s="731"/>
      <c r="Z543" s="731"/>
    </row>
    <row r="544" spans="1:26" x14ac:dyDescent="0.2">
      <c r="A544" s="739">
        <f>Study!CF543</f>
        <v>476</v>
      </c>
      <c r="B544" s="740" t="str">
        <f>Study!CG543</f>
        <v>مكتبي - عدد الوحدات</v>
      </c>
      <c r="C544" s="751">
        <f>Study!CH543</f>
        <v>0</v>
      </c>
      <c r="D544" s="740" t="str">
        <f>Study!CI543</f>
        <v>التأجير اليومي - مكتبي</v>
      </c>
      <c r="E544" s="742" t="str">
        <f>Study!CJ543</f>
        <v>R152</v>
      </c>
      <c r="F544" s="740" t="str">
        <f>Study!CK543</f>
        <v>وحدة</v>
      </c>
      <c r="G544" s="731"/>
      <c r="H544" s="731"/>
      <c r="I544" s="731"/>
      <c r="J544" s="731"/>
      <c r="K544" s="731"/>
      <c r="L544" s="731"/>
      <c r="M544" s="731"/>
      <c r="N544" s="731"/>
      <c r="O544" s="731"/>
      <c r="P544" s="731"/>
      <c r="Q544" s="731"/>
      <c r="R544" s="731"/>
      <c r="S544" s="731"/>
      <c r="T544" s="731"/>
      <c r="U544" s="731"/>
      <c r="V544" s="731"/>
      <c r="W544" s="731"/>
      <c r="X544" s="731"/>
      <c r="Y544" s="731"/>
      <c r="Z544" s="731"/>
    </row>
    <row r="545" spans="1:26" x14ac:dyDescent="0.2">
      <c r="A545" s="735">
        <f>Study!CF544</f>
        <v>477</v>
      </c>
      <c r="B545" s="736" t="str">
        <f>Study!CG544</f>
        <v>مكتبي - نسبة الإشغال</v>
      </c>
      <c r="C545" s="747">
        <f>Study!CH544</f>
        <v>0</v>
      </c>
      <c r="D545" s="736" t="str">
        <f>Study!CI544</f>
        <v>التأجير اليومي - مكتبي</v>
      </c>
      <c r="E545" s="738" t="str">
        <f>Study!CJ544</f>
        <v>S152</v>
      </c>
      <c r="F545" s="736" t="str">
        <f>Study!CK544</f>
        <v>نسبة مئوية</v>
      </c>
      <c r="G545" s="731"/>
      <c r="H545" s="731"/>
      <c r="I545" s="731"/>
      <c r="J545" s="731"/>
      <c r="K545" s="731"/>
      <c r="L545" s="731"/>
      <c r="M545" s="731"/>
      <c r="N545" s="731"/>
      <c r="O545" s="731"/>
      <c r="P545" s="731"/>
      <c r="Q545" s="731"/>
      <c r="R545" s="731"/>
      <c r="S545" s="731"/>
      <c r="T545" s="731"/>
      <c r="U545" s="731"/>
      <c r="V545" s="731"/>
      <c r="W545" s="731"/>
      <c r="X545" s="731"/>
      <c r="Y545" s="731"/>
      <c r="Z545" s="731"/>
    </row>
    <row r="546" spans="1:26" x14ac:dyDescent="0.2">
      <c r="A546" s="739">
        <f>Study!CF545</f>
        <v>478</v>
      </c>
      <c r="B546" s="740" t="str">
        <f>Study!CG545</f>
        <v>مكتبي - عدد الوحدات المشغولة سنوياً</v>
      </c>
      <c r="C546" s="751">
        <f>Study!CH545</f>
        <v>0</v>
      </c>
      <c r="D546" s="740" t="str">
        <f>Study!CI545</f>
        <v>التأجير اليومي - مكتبي</v>
      </c>
      <c r="E546" s="742" t="str">
        <f>Study!CJ545</f>
        <v>T152</v>
      </c>
      <c r="F546" s="740" t="str">
        <f>Study!CK545</f>
        <v>ليلة</v>
      </c>
      <c r="G546" s="731"/>
      <c r="H546" s="731"/>
      <c r="I546" s="731"/>
      <c r="J546" s="731"/>
      <c r="K546" s="731"/>
      <c r="L546" s="731"/>
      <c r="M546" s="731"/>
      <c r="N546" s="731"/>
      <c r="O546" s="731"/>
      <c r="P546" s="731"/>
      <c r="Q546" s="731"/>
      <c r="R546" s="731"/>
      <c r="S546" s="731"/>
      <c r="T546" s="731"/>
      <c r="U546" s="731"/>
      <c r="V546" s="731"/>
      <c r="W546" s="731"/>
      <c r="X546" s="731"/>
      <c r="Y546" s="731"/>
      <c r="Z546" s="731"/>
    </row>
    <row r="547" spans="1:26" x14ac:dyDescent="0.2">
      <c r="A547" s="735">
        <f>Study!CF546</f>
        <v>479</v>
      </c>
      <c r="B547" s="736" t="str">
        <f>Study!CG546</f>
        <v>مكتبي - متوسط السعر اليومي</v>
      </c>
      <c r="C547" s="743">
        <f>Study!CH546</f>
        <v>0</v>
      </c>
      <c r="D547" s="736" t="str">
        <f>Study!CI546</f>
        <v>التأجير اليومي - مكتبي</v>
      </c>
      <c r="E547" s="738" t="str">
        <f>Study!CJ546</f>
        <v>U152</v>
      </c>
      <c r="F547" s="736" t="str">
        <f>Study!CK546</f>
        <v>ريال</v>
      </c>
      <c r="G547" s="731"/>
      <c r="H547" s="731"/>
      <c r="I547" s="731"/>
      <c r="J547" s="731"/>
      <c r="K547" s="731"/>
      <c r="L547" s="731"/>
      <c r="M547" s="731"/>
      <c r="N547" s="731"/>
      <c r="O547" s="731"/>
      <c r="P547" s="731"/>
      <c r="Q547" s="731"/>
      <c r="R547" s="731"/>
      <c r="S547" s="731"/>
      <c r="T547" s="731"/>
      <c r="U547" s="731"/>
      <c r="V547" s="731"/>
      <c r="W547" s="731"/>
      <c r="X547" s="731"/>
      <c r="Y547" s="731"/>
      <c r="Z547" s="731"/>
    </row>
    <row r="548" spans="1:26" x14ac:dyDescent="0.2">
      <c r="A548" s="739">
        <f>Study!CF547</f>
        <v>480</v>
      </c>
      <c r="B548" s="740" t="str">
        <f>Study!CG547</f>
        <v>مكتبي - الإيراد الفعلي للوحدة السنوي</v>
      </c>
      <c r="C548" s="744" t="str">
        <f>Study!CH547</f>
        <v>0</v>
      </c>
      <c r="D548" s="740" t="str">
        <f>Study!CI547</f>
        <v>التأجير اليومي - مكتبي</v>
      </c>
      <c r="E548" s="742" t="str">
        <f>Study!CJ547</f>
        <v>V152</v>
      </c>
      <c r="F548" s="740" t="str">
        <f>Study!CK547</f>
        <v>ريال سعودي</v>
      </c>
      <c r="G548" s="731"/>
      <c r="H548" s="731"/>
      <c r="I548" s="731"/>
      <c r="J548" s="731"/>
      <c r="K548" s="731"/>
      <c r="L548" s="731"/>
      <c r="M548" s="731"/>
      <c r="N548" s="731"/>
      <c r="O548" s="731"/>
      <c r="P548" s="731"/>
      <c r="Q548" s="731"/>
      <c r="R548" s="731"/>
      <c r="S548" s="731"/>
      <c r="T548" s="731"/>
      <c r="U548" s="731"/>
      <c r="V548" s="731"/>
      <c r="W548" s="731"/>
      <c r="X548" s="731"/>
      <c r="Y548" s="731"/>
      <c r="Z548" s="731"/>
    </row>
    <row r="549" spans="1:26" x14ac:dyDescent="0.2">
      <c r="A549" s="735">
        <f>Study!CF548</f>
        <v>481</v>
      </c>
      <c r="B549" s="736" t="str">
        <f>Study!CG548</f>
        <v>مكتبي - نسبة إيرادات الأنشطة الإضافية</v>
      </c>
      <c r="C549" s="747">
        <f>Study!CH548</f>
        <v>0</v>
      </c>
      <c r="D549" s="736" t="str">
        <f>Study!CI548</f>
        <v>التأجير اليومي - مكتبي</v>
      </c>
      <c r="E549" s="738" t="str">
        <f>Study!CJ548</f>
        <v>W152</v>
      </c>
      <c r="F549" s="736" t="str">
        <f>Study!CK548</f>
        <v>نسبة مئوية</v>
      </c>
      <c r="G549" s="731"/>
      <c r="H549" s="731"/>
      <c r="I549" s="731"/>
      <c r="J549" s="731"/>
      <c r="K549" s="731"/>
      <c r="L549" s="731"/>
      <c r="M549" s="731"/>
      <c r="N549" s="731"/>
      <c r="O549" s="731"/>
      <c r="P549" s="731"/>
      <c r="Q549" s="731"/>
      <c r="R549" s="731"/>
      <c r="S549" s="731"/>
      <c r="T549" s="731"/>
      <c r="U549" s="731"/>
      <c r="V549" s="731"/>
      <c r="W549" s="731"/>
      <c r="X549" s="731"/>
      <c r="Y549" s="731"/>
      <c r="Z549" s="731"/>
    </row>
    <row r="550" spans="1:26" x14ac:dyDescent="0.2">
      <c r="A550" s="739">
        <f>Study!CF549</f>
        <v>482</v>
      </c>
      <c r="B550" s="740" t="str">
        <f>Study!CG549</f>
        <v>مكتبي - إجمالي الإيرادات</v>
      </c>
      <c r="C550" s="744">
        <f>Study!CH549</f>
        <v>0</v>
      </c>
      <c r="D550" s="740" t="str">
        <f>Study!CI549</f>
        <v>التأجير اليومي - مكتبي</v>
      </c>
      <c r="E550" s="742" t="str">
        <f>Study!CJ549</f>
        <v>X152</v>
      </c>
      <c r="F550" s="740" t="str">
        <f>Study!CK549</f>
        <v>ريال سعودي</v>
      </c>
      <c r="G550" s="731"/>
      <c r="H550" s="731"/>
      <c r="I550" s="731"/>
      <c r="J550" s="731"/>
      <c r="K550" s="731"/>
      <c r="L550" s="731"/>
      <c r="M550" s="731"/>
      <c r="N550" s="731"/>
      <c r="O550" s="731"/>
      <c r="P550" s="731"/>
      <c r="Q550" s="731"/>
      <c r="R550" s="731"/>
      <c r="S550" s="731"/>
      <c r="T550" s="731"/>
      <c r="U550" s="731"/>
      <c r="V550" s="731"/>
      <c r="W550" s="731"/>
      <c r="X550" s="731"/>
      <c r="Y550" s="731"/>
      <c r="Z550" s="731"/>
    </row>
    <row r="551" spans="1:26" x14ac:dyDescent="0.2">
      <c r="A551" s="735">
        <f>Study!CF550</f>
        <v>483</v>
      </c>
      <c r="B551" s="736" t="str">
        <f>Study!CG550</f>
        <v>مكتبي - التكاليف التشغيلية والإدارية</v>
      </c>
      <c r="C551" s="743">
        <f>Study!CH550</f>
        <v>0</v>
      </c>
      <c r="D551" s="736" t="str">
        <f>Study!CI550</f>
        <v>التأجير اليومي - مكتبي</v>
      </c>
      <c r="E551" s="738" t="str">
        <f>Study!CJ550</f>
        <v>Y152</v>
      </c>
      <c r="F551" s="736" t="str">
        <f>Study!CK550</f>
        <v>ريال سعودي</v>
      </c>
      <c r="G551" s="731"/>
      <c r="H551" s="731"/>
      <c r="I551" s="731"/>
      <c r="J551" s="731"/>
      <c r="K551" s="731"/>
      <c r="L551" s="731"/>
      <c r="M551" s="731"/>
      <c r="N551" s="731"/>
      <c r="O551" s="731"/>
      <c r="P551" s="731"/>
      <c r="Q551" s="731"/>
      <c r="R551" s="731"/>
      <c r="S551" s="731"/>
      <c r="T551" s="731"/>
      <c r="U551" s="731"/>
      <c r="V551" s="731"/>
      <c r="W551" s="731"/>
      <c r="X551" s="731"/>
      <c r="Y551" s="731"/>
      <c r="Z551" s="731"/>
    </row>
    <row r="552" spans="1:26" x14ac:dyDescent="0.2">
      <c r="A552" s="739">
        <f>Study!CF551</f>
        <v>484</v>
      </c>
      <c r="B552" s="740" t="str">
        <f>Study!CG551</f>
        <v>مكتبي - فترة استرداد رأس المال</v>
      </c>
      <c r="C552" s="749">
        <f>Study!CH551</f>
        <v>0</v>
      </c>
      <c r="D552" s="740" t="str">
        <f>Study!CI551</f>
        <v>التأجير اليومي - مكتبي</v>
      </c>
      <c r="E552" s="742" t="str">
        <f>Study!CJ551</f>
        <v>Z152</v>
      </c>
      <c r="F552" s="740" t="str">
        <f>Study!CK551</f>
        <v>سنة</v>
      </c>
      <c r="G552" s="731"/>
      <c r="H552" s="731"/>
      <c r="I552" s="731"/>
      <c r="J552" s="731"/>
      <c r="K552" s="731"/>
      <c r="L552" s="731"/>
      <c r="M552" s="731"/>
      <c r="N552" s="731"/>
      <c r="O552" s="731"/>
      <c r="P552" s="731"/>
      <c r="Q552" s="731"/>
      <c r="R552" s="731"/>
      <c r="S552" s="731"/>
      <c r="T552" s="731"/>
      <c r="U552" s="731"/>
      <c r="V552" s="731"/>
      <c r="W552" s="731"/>
      <c r="X552" s="731"/>
      <c r="Y552" s="731"/>
      <c r="Z552" s="731"/>
    </row>
    <row r="553" spans="1:26" x14ac:dyDescent="0.2">
      <c r="A553" s="735">
        <f>Study!CF552</f>
        <v>485</v>
      </c>
      <c r="B553" s="736" t="str">
        <f>Study!CG552</f>
        <v>مكتبي - العائد على التكلفة السنوي</v>
      </c>
      <c r="C553" s="747" t="str">
        <f>Study!CH552</f>
        <v>0.00%</v>
      </c>
      <c r="D553" s="736" t="str">
        <f>Study!CI552</f>
        <v>التأجير اليومي - مكتبي</v>
      </c>
      <c r="E553" s="738" t="str">
        <f>Study!CJ552</f>
        <v>AA152</v>
      </c>
      <c r="F553" s="736" t="str">
        <f>Study!CK552</f>
        <v>نسبة مئوية</v>
      </c>
      <c r="G553" s="731"/>
      <c r="H553" s="731"/>
      <c r="I553" s="731"/>
      <c r="J553" s="731"/>
      <c r="K553" s="731"/>
      <c r="L553" s="731"/>
      <c r="M553" s="731"/>
      <c r="N553" s="731"/>
      <c r="O553" s="731"/>
      <c r="P553" s="731"/>
      <c r="Q553" s="731"/>
      <c r="R553" s="731"/>
      <c r="S553" s="731"/>
      <c r="T553" s="731"/>
      <c r="U553" s="731"/>
      <c r="V553" s="731"/>
      <c r="W553" s="731"/>
      <c r="X553" s="731"/>
      <c r="Y553" s="731"/>
      <c r="Z553" s="731"/>
    </row>
    <row r="554" spans="1:26" ht="15" x14ac:dyDescent="0.2">
      <c r="A554" s="734" t="str">
        <f>Study!CF553</f>
        <v>▌ التأجير اليومي - تجاري</v>
      </c>
      <c r="B554" s="734">
        <f>Study!CG553</f>
        <v>0</v>
      </c>
      <c r="C554" s="734">
        <f>Study!CH553</f>
        <v>0</v>
      </c>
      <c r="D554" s="734">
        <f>Study!CI553</f>
        <v>0</v>
      </c>
      <c r="E554" s="734">
        <f>Study!CJ553</f>
        <v>0</v>
      </c>
      <c r="F554" s="734">
        <f>Study!CK553</f>
        <v>0</v>
      </c>
      <c r="G554" s="731"/>
      <c r="H554" s="731"/>
      <c r="I554" s="731"/>
      <c r="J554" s="731"/>
      <c r="K554" s="731"/>
      <c r="L554" s="731"/>
      <c r="M554" s="731"/>
      <c r="N554" s="731"/>
      <c r="O554" s="731"/>
      <c r="P554" s="731"/>
      <c r="Q554" s="731"/>
      <c r="R554" s="731"/>
      <c r="S554" s="731"/>
      <c r="T554" s="731"/>
      <c r="U554" s="731"/>
      <c r="V554" s="731"/>
      <c r="W554" s="731"/>
      <c r="X554" s="731"/>
      <c r="Y554" s="731"/>
      <c r="Z554" s="731"/>
    </row>
    <row r="555" spans="1:26" x14ac:dyDescent="0.2">
      <c r="A555" s="739">
        <f>Study!CF554</f>
        <v>486</v>
      </c>
      <c r="B555" s="740" t="str">
        <f>Study!CG554</f>
        <v>تجاري - عدد الوحدات</v>
      </c>
      <c r="C555" s="751">
        <f>Study!CH554</f>
        <v>0</v>
      </c>
      <c r="D555" s="740" t="str">
        <f>Study!CI554</f>
        <v>التأجير اليومي - تجاري</v>
      </c>
      <c r="E555" s="742" t="str">
        <f>Study!CJ554</f>
        <v>R153</v>
      </c>
      <c r="F555" s="740" t="str">
        <f>Study!CK554</f>
        <v>وحدة</v>
      </c>
      <c r="G555" s="731"/>
      <c r="H555" s="731"/>
      <c r="I555" s="731"/>
      <c r="J555" s="731"/>
      <c r="K555" s="731"/>
      <c r="L555" s="731"/>
      <c r="M555" s="731"/>
      <c r="N555" s="731"/>
      <c r="O555" s="731"/>
      <c r="P555" s="731"/>
      <c r="Q555" s="731"/>
      <c r="R555" s="731"/>
      <c r="S555" s="731"/>
      <c r="T555" s="731"/>
      <c r="U555" s="731"/>
      <c r="V555" s="731"/>
      <c r="W555" s="731"/>
      <c r="X555" s="731"/>
      <c r="Y555" s="731"/>
      <c r="Z555" s="731"/>
    </row>
    <row r="556" spans="1:26" x14ac:dyDescent="0.2">
      <c r="A556" s="735">
        <f>Study!CF555</f>
        <v>487</v>
      </c>
      <c r="B556" s="736" t="str">
        <f>Study!CG555</f>
        <v>تجاري - نسبة الإشغال</v>
      </c>
      <c r="C556" s="747">
        <f>Study!CH555</f>
        <v>0</v>
      </c>
      <c r="D556" s="736" t="str">
        <f>Study!CI555</f>
        <v>التأجير اليومي - تجاري</v>
      </c>
      <c r="E556" s="738" t="str">
        <f>Study!CJ555</f>
        <v>S153</v>
      </c>
      <c r="F556" s="736" t="str">
        <f>Study!CK555</f>
        <v>نسبة مئوية</v>
      </c>
      <c r="G556" s="731"/>
      <c r="H556" s="731"/>
      <c r="I556" s="731"/>
      <c r="J556" s="731"/>
      <c r="K556" s="731"/>
      <c r="L556" s="731"/>
      <c r="M556" s="731"/>
      <c r="N556" s="731"/>
      <c r="O556" s="731"/>
      <c r="P556" s="731"/>
      <c r="Q556" s="731"/>
      <c r="R556" s="731"/>
      <c r="S556" s="731"/>
      <c r="T556" s="731"/>
      <c r="U556" s="731"/>
      <c r="V556" s="731"/>
      <c r="W556" s="731"/>
      <c r="X556" s="731"/>
      <c r="Y556" s="731"/>
      <c r="Z556" s="731"/>
    </row>
    <row r="557" spans="1:26" x14ac:dyDescent="0.2">
      <c r="A557" s="739">
        <f>Study!CF556</f>
        <v>488</v>
      </c>
      <c r="B557" s="740" t="str">
        <f>Study!CG556</f>
        <v>تجاري - عدد الوحدات المشغولة سنوياً</v>
      </c>
      <c r="C557" s="751">
        <f>Study!CH556</f>
        <v>0</v>
      </c>
      <c r="D557" s="740" t="str">
        <f>Study!CI556</f>
        <v>التأجير اليومي - تجاري</v>
      </c>
      <c r="E557" s="742" t="str">
        <f>Study!CJ556</f>
        <v>T153</v>
      </c>
      <c r="F557" s="740" t="str">
        <f>Study!CK556</f>
        <v>ليلة</v>
      </c>
      <c r="G557" s="731"/>
      <c r="H557" s="731"/>
      <c r="I557" s="731"/>
      <c r="J557" s="731"/>
      <c r="K557" s="731"/>
      <c r="L557" s="731"/>
      <c r="M557" s="731"/>
      <c r="N557" s="731"/>
      <c r="O557" s="731"/>
      <c r="P557" s="731"/>
      <c r="Q557" s="731"/>
      <c r="R557" s="731"/>
      <c r="S557" s="731"/>
      <c r="T557" s="731"/>
      <c r="U557" s="731"/>
      <c r="V557" s="731"/>
      <c r="W557" s="731"/>
      <c r="X557" s="731"/>
      <c r="Y557" s="731"/>
      <c r="Z557" s="731"/>
    </row>
    <row r="558" spans="1:26" x14ac:dyDescent="0.2">
      <c r="A558" s="735">
        <f>Study!CF557</f>
        <v>489</v>
      </c>
      <c r="B558" s="736" t="str">
        <f>Study!CG557</f>
        <v>تجاري - متوسط السعر اليومي</v>
      </c>
      <c r="C558" s="743">
        <f>Study!CH557</f>
        <v>0</v>
      </c>
      <c r="D558" s="736" t="str">
        <f>Study!CI557</f>
        <v>التأجير اليومي - تجاري</v>
      </c>
      <c r="E558" s="738" t="str">
        <f>Study!CJ557</f>
        <v>U153</v>
      </c>
      <c r="F558" s="736" t="str">
        <f>Study!CK557</f>
        <v>ريال</v>
      </c>
      <c r="G558" s="731"/>
      <c r="H558" s="731"/>
      <c r="I558" s="731"/>
      <c r="J558" s="731"/>
      <c r="K558" s="731"/>
      <c r="L558" s="731"/>
      <c r="M558" s="731"/>
      <c r="N558" s="731"/>
      <c r="O558" s="731"/>
      <c r="P558" s="731"/>
      <c r="Q558" s="731"/>
      <c r="R558" s="731"/>
      <c r="S558" s="731"/>
      <c r="T558" s="731"/>
      <c r="U558" s="731"/>
      <c r="V558" s="731"/>
      <c r="W558" s="731"/>
      <c r="X558" s="731"/>
      <c r="Y558" s="731"/>
      <c r="Z558" s="731"/>
    </row>
    <row r="559" spans="1:26" x14ac:dyDescent="0.2">
      <c r="A559" s="739">
        <f>Study!CF558</f>
        <v>490</v>
      </c>
      <c r="B559" s="740" t="str">
        <f>Study!CG558</f>
        <v>تجاري - الإيراد الفعلي للوحدة السنوي</v>
      </c>
      <c r="C559" s="744" t="str">
        <f>Study!CH558</f>
        <v>0</v>
      </c>
      <c r="D559" s="740" t="str">
        <f>Study!CI558</f>
        <v>التأجير اليومي - تجاري</v>
      </c>
      <c r="E559" s="742" t="str">
        <f>Study!CJ558</f>
        <v>V153</v>
      </c>
      <c r="F559" s="740" t="str">
        <f>Study!CK558</f>
        <v>ريال سعودي</v>
      </c>
      <c r="G559" s="731"/>
      <c r="H559" s="731"/>
      <c r="I559" s="731"/>
      <c r="J559" s="731"/>
      <c r="K559" s="731"/>
      <c r="L559" s="731"/>
      <c r="M559" s="731"/>
      <c r="N559" s="731"/>
      <c r="O559" s="731"/>
      <c r="P559" s="731"/>
      <c r="Q559" s="731"/>
      <c r="R559" s="731"/>
      <c r="S559" s="731"/>
      <c r="T559" s="731"/>
      <c r="U559" s="731"/>
      <c r="V559" s="731"/>
      <c r="W559" s="731"/>
      <c r="X559" s="731"/>
      <c r="Y559" s="731"/>
      <c r="Z559" s="731"/>
    </row>
    <row r="560" spans="1:26" x14ac:dyDescent="0.2">
      <c r="A560" s="735">
        <f>Study!CF559</f>
        <v>491</v>
      </c>
      <c r="B560" s="736" t="str">
        <f>Study!CG559</f>
        <v>تجاري - نسبة إيرادات الأنشطة الإضافية</v>
      </c>
      <c r="C560" s="747">
        <f>Study!CH559</f>
        <v>0</v>
      </c>
      <c r="D560" s="736" t="str">
        <f>Study!CI559</f>
        <v>التأجير اليومي - تجاري</v>
      </c>
      <c r="E560" s="738" t="str">
        <f>Study!CJ559</f>
        <v>W153</v>
      </c>
      <c r="F560" s="736" t="str">
        <f>Study!CK559</f>
        <v>نسبة مئوية</v>
      </c>
      <c r="G560" s="731"/>
      <c r="H560" s="731"/>
      <c r="I560" s="731"/>
      <c r="J560" s="731"/>
      <c r="K560" s="731"/>
      <c r="L560" s="731"/>
      <c r="M560" s="731"/>
      <c r="N560" s="731"/>
      <c r="O560" s="731"/>
      <c r="P560" s="731"/>
      <c r="Q560" s="731"/>
      <c r="R560" s="731"/>
      <c r="S560" s="731"/>
      <c r="T560" s="731"/>
      <c r="U560" s="731"/>
      <c r="V560" s="731"/>
      <c r="W560" s="731"/>
      <c r="X560" s="731"/>
      <c r="Y560" s="731"/>
      <c r="Z560" s="731"/>
    </row>
    <row r="561" spans="1:26" x14ac:dyDescent="0.2">
      <c r="A561" s="739">
        <f>Study!CF560</f>
        <v>492</v>
      </c>
      <c r="B561" s="740" t="str">
        <f>Study!CG560</f>
        <v>تجاري - إجمالي الإيرادات</v>
      </c>
      <c r="C561" s="744">
        <f>Study!CH560</f>
        <v>0</v>
      </c>
      <c r="D561" s="740" t="str">
        <f>Study!CI560</f>
        <v>التأجير اليومي - تجاري</v>
      </c>
      <c r="E561" s="742" t="str">
        <f>Study!CJ560</f>
        <v>X153</v>
      </c>
      <c r="F561" s="740" t="str">
        <f>Study!CK560</f>
        <v>ريال سعودي</v>
      </c>
      <c r="G561" s="731"/>
      <c r="H561" s="731"/>
      <c r="I561" s="731"/>
      <c r="J561" s="731"/>
      <c r="K561" s="731"/>
      <c r="L561" s="731"/>
      <c r="M561" s="731"/>
      <c r="N561" s="731"/>
      <c r="O561" s="731"/>
      <c r="P561" s="731"/>
      <c r="Q561" s="731"/>
      <c r="R561" s="731"/>
      <c r="S561" s="731"/>
      <c r="T561" s="731"/>
      <c r="U561" s="731"/>
      <c r="V561" s="731"/>
      <c r="W561" s="731"/>
      <c r="X561" s="731"/>
      <c r="Y561" s="731"/>
      <c r="Z561" s="731"/>
    </row>
    <row r="562" spans="1:26" x14ac:dyDescent="0.2">
      <c r="A562" s="735">
        <f>Study!CF561</f>
        <v>493</v>
      </c>
      <c r="B562" s="736" t="str">
        <f>Study!CG561</f>
        <v>تجاري - التكاليف التشغيلية والإدارية</v>
      </c>
      <c r="C562" s="743">
        <f>Study!CH561</f>
        <v>0</v>
      </c>
      <c r="D562" s="736" t="str">
        <f>Study!CI561</f>
        <v>التأجير اليومي - تجاري</v>
      </c>
      <c r="E562" s="738" t="str">
        <f>Study!CJ561</f>
        <v>Y153</v>
      </c>
      <c r="F562" s="736" t="str">
        <f>Study!CK561</f>
        <v>ريال سعودي</v>
      </c>
      <c r="G562" s="731"/>
      <c r="H562" s="731"/>
      <c r="I562" s="731"/>
      <c r="J562" s="731"/>
      <c r="K562" s="731"/>
      <c r="L562" s="731"/>
      <c r="M562" s="731"/>
      <c r="N562" s="731"/>
      <c r="O562" s="731"/>
      <c r="P562" s="731"/>
      <c r="Q562" s="731"/>
      <c r="R562" s="731"/>
      <c r="S562" s="731"/>
      <c r="T562" s="731"/>
      <c r="U562" s="731"/>
      <c r="V562" s="731"/>
      <c r="W562" s="731"/>
      <c r="X562" s="731"/>
      <c r="Y562" s="731"/>
      <c r="Z562" s="731"/>
    </row>
    <row r="563" spans="1:26" x14ac:dyDescent="0.2">
      <c r="A563" s="739">
        <f>Study!CF562</f>
        <v>494</v>
      </c>
      <c r="B563" s="740" t="str">
        <f>Study!CG562</f>
        <v>تجاري - فترة استرداد رأس المال</v>
      </c>
      <c r="C563" s="749">
        <f>Study!CH562</f>
        <v>0</v>
      </c>
      <c r="D563" s="740" t="str">
        <f>Study!CI562</f>
        <v>التأجير اليومي - تجاري</v>
      </c>
      <c r="E563" s="742" t="str">
        <f>Study!CJ562</f>
        <v>Z153</v>
      </c>
      <c r="F563" s="740" t="str">
        <f>Study!CK562</f>
        <v>سنة</v>
      </c>
      <c r="G563" s="731"/>
      <c r="H563" s="731"/>
      <c r="I563" s="731"/>
      <c r="J563" s="731"/>
      <c r="K563" s="731"/>
      <c r="L563" s="731"/>
      <c r="M563" s="731"/>
      <c r="N563" s="731"/>
      <c r="O563" s="731"/>
      <c r="P563" s="731"/>
      <c r="Q563" s="731"/>
      <c r="R563" s="731"/>
      <c r="S563" s="731"/>
      <c r="T563" s="731"/>
      <c r="U563" s="731"/>
      <c r="V563" s="731"/>
      <c r="W563" s="731"/>
      <c r="X563" s="731"/>
      <c r="Y563" s="731"/>
      <c r="Z563" s="731"/>
    </row>
    <row r="564" spans="1:26" x14ac:dyDescent="0.2">
      <c r="A564" s="735">
        <f>Study!CF563</f>
        <v>495</v>
      </c>
      <c r="B564" s="736" t="str">
        <f>Study!CG563</f>
        <v>تجاري - العائد على التكلفة السنوي</v>
      </c>
      <c r="C564" s="747" t="str">
        <f>Study!CH563</f>
        <v>0.00%</v>
      </c>
      <c r="D564" s="736" t="str">
        <f>Study!CI563</f>
        <v>التأجير اليومي - تجاري</v>
      </c>
      <c r="E564" s="738" t="str">
        <f>Study!CJ563</f>
        <v>AA153</v>
      </c>
      <c r="F564" s="736" t="str">
        <f>Study!CK563</f>
        <v>نسبة مئوية</v>
      </c>
      <c r="G564" s="731"/>
      <c r="H564" s="731"/>
      <c r="I564" s="731"/>
      <c r="J564" s="731"/>
      <c r="K564" s="731"/>
      <c r="L564" s="731"/>
      <c r="M564" s="731"/>
      <c r="N564" s="731"/>
      <c r="O564" s="731"/>
      <c r="P564" s="731"/>
      <c r="Q564" s="731"/>
      <c r="R564" s="731"/>
      <c r="S564" s="731"/>
      <c r="T564" s="731"/>
      <c r="U564" s="731"/>
      <c r="V564" s="731"/>
      <c r="W564" s="731"/>
      <c r="X564" s="731"/>
      <c r="Y564" s="731"/>
      <c r="Z564" s="731"/>
    </row>
    <row r="565" spans="1:26" ht="15" x14ac:dyDescent="0.2">
      <c r="A565" s="734" t="str">
        <f>Study!CF564</f>
        <v>▌ التأجير اليومي - فندقي</v>
      </c>
      <c r="B565" s="734">
        <f>Study!CG564</f>
        <v>0</v>
      </c>
      <c r="C565" s="734">
        <f>Study!CH564</f>
        <v>0</v>
      </c>
      <c r="D565" s="734">
        <f>Study!CI564</f>
        <v>0</v>
      </c>
      <c r="E565" s="734">
        <f>Study!CJ564</f>
        <v>0</v>
      </c>
      <c r="F565" s="734">
        <f>Study!CK564</f>
        <v>0</v>
      </c>
      <c r="G565" s="731"/>
      <c r="H565" s="731"/>
      <c r="I565" s="731"/>
      <c r="J565" s="731"/>
      <c r="K565" s="731"/>
      <c r="L565" s="731"/>
      <c r="M565" s="731"/>
      <c r="N565" s="731"/>
      <c r="O565" s="731"/>
      <c r="P565" s="731"/>
      <c r="Q565" s="731"/>
      <c r="R565" s="731"/>
      <c r="S565" s="731"/>
      <c r="T565" s="731"/>
      <c r="U565" s="731"/>
      <c r="V565" s="731"/>
      <c r="W565" s="731"/>
      <c r="X565" s="731"/>
      <c r="Y565" s="731"/>
      <c r="Z565" s="731"/>
    </row>
    <row r="566" spans="1:26" x14ac:dyDescent="0.2">
      <c r="A566" s="739">
        <f>Study!CF565</f>
        <v>496</v>
      </c>
      <c r="B566" s="740" t="str">
        <f>Study!CG565</f>
        <v>فندقي - عدد الوحدات</v>
      </c>
      <c r="C566" s="751">
        <f>Study!CH565</f>
        <v>100</v>
      </c>
      <c r="D566" s="740" t="str">
        <f>Study!CI565</f>
        <v>التأجير اليومي - فندقي</v>
      </c>
      <c r="E566" s="742" t="str">
        <f>Study!CJ565</f>
        <v>R154</v>
      </c>
      <c r="F566" s="740" t="str">
        <f>Study!CK565</f>
        <v>وحدة</v>
      </c>
      <c r="G566" s="731"/>
      <c r="H566" s="731"/>
      <c r="I566" s="731"/>
      <c r="J566" s="731"/>
      <c r="K566" s="731"/>
      <c r="L566" s="731"/>
      <c r="M566" s="731"/>
      <c r="N566" s="731"/>
      <c r="O566" s="731"/>
      <c r="P566" s="731"/>
      <c r="Q566" s="731"/>
      <c r="R566" s="731"/>
      <c r="S566" s="731"/>
      <c r="T566" s="731"/>
      <c r="U566" s="731"/>
      <c r="V566" s="731"/>
      <c r="W566" s="731"/>
      <c r="X566" s="731"/>
      <c r="Y566" s="731"/>
      <c r="Z566" s="731"/>
    </row>
    <row r="567" spans="1:26" x14ac:dyDescent="0.2">
      <c r="A567" s="735">
        <f>Study!CF566</f>
        <v>497</v>
      </c>
      <c r="B567" s="736" t="str">
        <f>Study!CG566</f>
        <v>فندقي - نسبة الإشغال</v>
      </c>
      <c r="C567" s="747">
        <f>Study!CH566</f>
        <v>0.65</v>
      </c>
      <c r="D567" s="736" t="str">
        <f>Study!CI566</f>
        <v>التأجير اليومي - فندقي</v>
      </c>
      <c r="E567" s="738" t="str">
        <f>Study!CJ566</f>
        <v>S154</v>
      </c>
      <c r="F567" s="736" t="str">
        <f>Study!CK566</f>
        <v>نسبة مئوية</v>
      </c>
      <c r="G567" s="731"/>
      <c r="H567" s="731"/>
      <c r="I567" s="731"/>
      <c r="J567" s="731"/>
      <c r="K567" s="731"/>
      <c r="L567" s="731"/>
      <c r="M567" s="731"/>
      <c r="N567" s="731"/>
      <c r="O567" s="731"/>
      <c r="P567" s="731"/>
      <c r="Q567" s="731"/>
      <c r="R567" s="731"/>
      <c r="S567" s="731"/>
      <c r="T567" s="731"/>
      <c r="U567" s="731"/>
      <c r="V567" s="731"/>
      <c r="W567" s="731"/>
      <c r="X567" s="731"/>
      <c r="Y567" s="731"/>
      <c r="Z567" s="731"/>
    </row>
    <row r="568" spans="1:26" x14ac:dyDescent="0.2">
      <c r="A568" s="739">
        <f>Study!CF567</f>
        <v>498</v>
      </c>
      <c r="B568" s="740" t="str">
        <f>Study!CG567</f>
        <v>فندقي - عدد الوحدات المشغولة سنوياً</v>
      </c>
      <c r="C568" s="751">
        <f>Study!CH567</f>
        <v>23725</v>
      </c>
      <c r="D568" s="740" t="str">
        <f>Study!CI567</f>
        <v>التأجير اليومي - فندقي</v>
      </c>
      <c r="E568" s="742" t="str">
        <f>Study!CJ567</f>
        <v>T154</v>
      </c>
      <c r="F568" s="740" t="str">
        <f>Study!CK567</f>
        <v>ليلة</v>
      </c>
      <c r="G568" s="731"/>
      <c r="H568" s="731"/>
      <c r="I568" s="731"/>
      <c r="J568" s="731"/>
      <c r="K568" s="731"/>
      <c r="L568" s="731"/>
      <c r="M568" s="731"/>
      <c r="N568" s="731"/>
      <c r="O568" s="731"/>
      <c r="P568" s="731"/>
      <c r="Q568" s="731"/>
      <c r="R568" s="731"/>
      <c r="S568" s="731"/>
      <c r="T568" s="731"/>
      <c r="U568" s="731"/>
      <c r="V568" s="731"/>
      <c r="W568" s="731"/>
      <c r="X568" s="731"/>
      <c r="Y568" s="731"/>
      <c r="Z568" s="731"/>
    </row>
    <row r="569" spans="1:26" x14ac:dyDescent="0.2">
      <c r="A569" s="735">
        <f>Study!CF568</f>
        <v>499</v>
      </c>
      <c r="B569" s="736" t="str">
        <f>Study!CG568</f>
        <v>فندقي - متوسط السعر اليومي</v>
      </c>
      <c r="C569" s="743">
        <f>Study!CH568</f>
        <v>900</v>
      </c>
      <c r="D569" s="736" t="str">
        <f>Study!CI568</f>
        <v>التأجير اليومي - فندقي</v>
      </c>
      <c r="E569" s="738" t="str">
        <f>Study!CJ568</f>
        <v>U154</v>
      </c>
      <c r="F569" s="736" t="str">
        <f>Study!CK568</f>
        <v>ريال</v>
      </c>
      <c r="G569" s="731"/>
      <c r="H569" s="731"/>
      <c r="I569" s="731"/>
      <c r="J569" s="731"/>
      <c r="K569" s="731"/>
      <c r="L569" s="731"/>
      <c r="M569" s="731"/>
      <c r="N569" s="731"/>
      <c r="O569" s="731"/>
      <c r="P569" s="731"/>
      <c r="Q569" s="731"/>
      <c r="R569" s="731"/>
      <c r="S569" s="731"/>
      <c r="T569" s="731"/>
      <c r="U569" s="731"/>
      <c r="V569" s="731"/>
      <c r="W569" s="731"/>
      <c r="X569" s="731"/>
      <c r="Y569" s="731"/>
      <c r="Z569" s="731"/>
    </row>
    <row r="570" spans="1:26" x14ac:dyDescent="0.2">
      <c r="A570" s="739">
        <f>Study!CF569</f>
        <v>500</v>
      </c>
      <c r="B570" s="740" t="str">
        <f>Study!CG569</f>
        <v>فندقي - الإيراد الفعلي للوحدة السنوي</v>
      </c>
      <c r="C570" s="744">
        <f>Study!CH569</f>
        <v>213525</v>
      </c>
      <c r="D570" s="740" t="str">
        <f>Study!CI569</f>
        <v>التأجير اليومي - فندقي</v>
      </c>
      <c r="E570" s="742" t="str">
        <f>Study!CJ569</f>
        <v>V154</v>
      </c>
      <c r="F570" s="740" t="str">
        <f>Study!CK569</f>
        <v>ريال سعودي</v>
      </c>
      <c r="G570" s="731"/>
      <c r="H570" s="731"/>
      <c r="I570" s="731"/>
      <c r="J570" s="731"/>
      <c r="K570" s="731"/>
      <c r="L570" s="731"/>
      <c r="M570" s="731"/>
      <c r="N570" s="731"/>
      <c r="O570" s="731"/>
      <c r="P570" s="731"/>
      <c r="Q570" s="731"/>
      <c r="R570" s="731"/>
      <c r="S570" s="731"/>
      <c r="T570" s="731"/>
      <c r="U570" s="731"/>
      <c r="V570" s="731"/>
      <c r="W570" s="731"/>
      <c r="X570" s="731"/>
      <c r="Y570" s="731"/>
      <c r="Z570" s="731"/>
    </row>
    <row r="571" spans="1:26" x14ac:dyDescent="0.2">
      <c r="A571" s="735">
        <f>Study!CF570</f>
        <v>501</v>
      </c>
      <c r="B571" s="736" t="str">
        <f>Study!CG570</f>
        <v>فندقي - نسبة إيرادات الأنشطة الإضافية</v>
      </c>
      <c r="C571" s="747">
        <f>Study!CH570</f>
        <v>0</v>
      </c>
      <c r="D571" s="736" t="str">
        <f>Study!CI570</f>
        <v>التأجير اليومي - فندقي</v>
      </c>
      <c r="E571" s="738" t="str">
        <f>Study!CJ570</f>
        <v>W154</v>
      </c>
      <c r="F571" s="736" t="str">
        <f>Study!CK570</f>
        <v>نسبة مئوية</v>
      </c>
      <c r="G571" s="731"/>
      <c r="H571" s="731"/>
      <c r="I571" s="731"/>
      <c r="J571" s="731"/>
      <c r="K571" s="731"/>
      <c r="L571" s="731"/>
      <c r="M571" s="731"/>
      <c r="N571" s="731"/>
      <c r="O571" s="731"/>
      <c r="P571" s="731"/>
      <c r="Q571" s="731"/>
      <c r="R571" s="731"/>
      <c r="S571" s="731"/>
      <c r="T571" s="731"/>
      <c r="U571" s="731"/>
      <c r="V571" s="731"/>
      <c r="W571" s="731"/>
      <c r="X571" s="731"/>
      <c r="Y571" s="731"/>
      <c r="Z571" s="731"/>
    </row>
    <row r="572" spans="1:26" x14ac:dyDescent="0.2">
      <c r="A572" s="739">
        <f>Study!CF571</f>
        <v>502</v>
      </c>
      <c r="B572" s="740" t="str">
        <f>Study!CG571</f>
        <v>فندقي - إجمالي الإيرادات</v>
      </c>
      <c r="C572" s="744">
        <f>Study!CH571</f>
        <v>21352500</v>
      </c>
      <c r="D572" s="740" t="str">
        <f>Study!CI571</f>
        <v>التأجير اليومي - فندقي</v>
      </c>
      <c r="E572" s="742" t="str">
        <f>Study!CJ571</f>
        <v>X154</v>
      </c>
      <c r="F572" s="740" t="str">
        <f>Study!CK571</f>
        <v>ريال سعودي</v>
      </c>
      <c r="G572" s="731"/>
      <c r="H572" s="731"/>
      <c r="I572" s="731"/>
      <c r="J572" s="731"/>
      <c r="K572" s="731"/>
      <c r="L572" s="731"/>
      <c r="M572" s="731"/>
      <c r="N572" s="731"/>
      <c r="O572" s="731"/>
      <c r="P572" s="731"/>
      <c r="Q572" s="731"/>
      <c r="R572" s="731"/>
      <c r="S572" s="731"/>
      <c r="T572" s="731"/>
      <c r="U572" s="731"/>
      <c r="V572" s="731"/>
      <c r="W572" s="731"/>
      <c r="X572" s="731"/>
      <c r="Y572" s="731"/>
      <c r="Z572" s="731"/>
    </row>
    <row r="573" spans="1:26" x14ac:dyDescent="0.2">
      <c r="A573" s="735">
        <f>Study!CF572</f>
        <v>503</v>
      </c>
      <c r="B573" s="736" t="str">
        <f>Study!CG572</f>
        <v>فندقي - التكاليف التشغيلية والإدارية</v>
      </c>
      <c r="C573" s="743">
        <f>Study!CH572</f>
        <v>6405750</v>
      </c>
      <c r="D573" s="736" t="str">
        <f>Study!CI572</f>
        <v>التأجير اليومي - فندقي</v>
      </c>
      <c r="E573" s="738" t="str">
        <f>Study!CJ572</f>
        <v>Y154</v>
      </c>
      <c r="F573" s="736" t="str">
        <f>Study!CK572</f>
        <v>ريال سعودي</v>
      </c>
      <c r="G573" s="731"/>
      <c r="H573" s="731"/>
      <c r="I573" s="731"/>
      <c r="J573" s="731"/>
      <c r="K573" s="731"/>
      <c r="L573" s="731"/>
      <c r="M573" s="731"/>
      <c r="N573" s="731"/>
      <c r="O573" s="731"/>
      <c r="P573" s="731"/>
      <c r="Q573" s="731"/>
      <c r="R573" s="731"/>
      <c r="S573" s="731"/>
      <c r="T573" s="731"/>
      <c r="U573" s="731"/>
      <c r="V573" s="731"/>
      <c r="W573" s="731"/>
      <c r="X573" s="731"/>
      <c r="Y573" s="731"/>
      <c r="Z573" s="731"/>
    </row>
    <row r="574" spans="1:26" x14ac:dyDescent="0.2">
      <c r="A574" s="739">
        <f>Study!CF573</f>
        <v>504</v>
      </c>
      <c r="B574" s="740" t="str">
        <f>Study!CG573</f>
        <v>فندقي - فترة استرداد رأس المال</v>
      </c>
      <c r="C574" s="749">
        <f>Study!CH573</f>
        <v>9.4058136153707359</v>
      </c>
      <c r="D574" s="740" t="str">
        <f>Study!CI573</f>
        <v>التأجير اليومي - فندقي</v>
      </c>
      <c r="E574" s="742" t="str">
        <f>Study!CJ573</f>
        <v>Z154</v>
      </c>
      <c r="F574" s="740" t="str">
        <f>Study!CK573</f>
        <v>سنة</v>
      </c>
      <c r="G574" s="731"/>
      <c r="H574" s="731"/>
      <c r="I574" s="731"/>
      <c r="J574" s="731"/>
      <c r="K574" s="731"/>
      <c r="L574" s="731"/>
      <c r="M574" s="731"/>
      <c r="N574" s="731"/>
      <c r="O574" s="731"/>
      <c r="P574" s="731"/>
      <c r="Q574" s="731"/>
      <c r="R574" s="731"/>
      <c r="S574" s="731"/>
      <c r="T574" s="731"/>
      <c r="U574" s="731"/>
      <c r="V574" s="731"/>
      <c r="W574" s="731"/>
      <c r="X574" s="731"/>
      <c r="Y574" s="731"/>
      <c r="Z574" s="731"/>
    </row>
    <row r="575" spans="1:26" x14ac:dyDescent="0.2">
      <c r="A575" s="735">
        <f>Study!CF574</f>
        <v>505</v>
      </c>
      <c r="B575" s="736" t="str">
        <f>Study!CG574</f>
        <v>فندقي - العائد على التكلفة السنوي</v>
      </c>
      <c r="C575" s="747">
        <f>Study!CH574</f>
        <v>0.10631722473915771</v>
      </c>
      <c r="D575" s="736" t="str">
        <f>Study!CI574</f>
        <v>التأجير اليومي - فندقي</v>
      </c>
      <c r="E575" s="738" t="str">
        <f>Study!CJ574</f>
        <v>AA154</v>
      </c>
      <c r="F575" s="736" t="str">
        <f>Study!CK574</f>
        <v>نسبة مئوية</v>
      </c>
      <c r="G575" s="731"/>
      <c r="H575" s="731"/>
      <c r="I575" s="731"/>
      <c r="J575" s="731"/>
      <c r="K575" s="731"/>
      <c r="L575" s="731"/>
      <c r="M575" s="731"/>
      <c r="N575" s="731"/>
      <c r="O575" s="731"/>
      <c r="P575" s="731"/>
      <c r="Q575" s="731"/>
      <c r="R575" s="731"/>
      <c r="S575" s="731"/>
      <c r="T575" s="731"/>
      <c r="U575" s="731"/>
      <c r="V575" s="731"/>
      <c r="W575" s="731"/>
      <c r="X575" s="731"/>
      <c r="Y575" s="731"/>
      <c r="Z575" s="731"/>
    </row>
    <row r="576" spans="1:26" ht="15" x14ac:dyDescent="0.2">
      <c r="A576" s="734" t="str">
        <f>Study!CF575</f>
        <v>▌ التأجير اليومي - صحي</v>
      </c>
      <c r="B576" s="734">
        <f>Study!CG575</f>
        <v>0</v>
      </c>
      <c r="C576" s="734">
        <f>Study!CH575</f>
        <v>0</v>
      </c>
      <c r="D576" s="734">
        <f>Study!CI575</f>
        <v>0</v>
      </c>
      <c r="E576" s="734">
        <f>Study!CJ575</f>
        <v>0</v>
      </c>
      <c r="F576" s="734">
        <f>Study!CK575</f>
        <v>0</v>
      </c>
      <c r="G576" s="731"/>
      <c r="H576" s="731"/>
      <c r="I576" s="731"/>
      <c r="J576" s="731"/>
      <c r="K576" s="731"/>
      <c r="L576" s="731"/>
      <c r="M576" s="731"/>
      <c r="N576" s="731"/>
      <c r="O576" s="731"/>
      <c r="P576" s="731"/>
      <c r="Q576" s="731"/>
      <c r="R576" s="731"/>
      <c r="S576" s="731"/>
      <c r="T576" s="731"/>
      <c r="U576" s="731"/>
      <c r="V576" s="731"/>
      <c r="W576" s="731"/>
      <c r="X576" s="731"/>
      <c r="Y576" s="731"/>
      <c r="Z576" s="731"/>
    </row>
    <row r="577" spans="1:26" x14ac:dyDescent="0.2">
      <c r="A577" s="739">
        <f>Study!CF576</f>
        <v>506</v>
      </c>
      <c r="B577" s="740" t="str">
        <f>Study!CG576</f>
        <v>صحي - عدد الوحدات</v>
      </c>
      <c r="C577" s="751">
        <f>Study!CH576</f>
        <v>0</v>
      </c>
      <c r="D577" s="740" t="str">
        <f>Study!CI576</f>
        <v>التأجير اليومي - صحي</v>
      </c>
      <c r="E577" s="742" t="str">
        <f>Study!CJ576</f>
        <v>R155</v>
      </c>
      <c r="F577" s="740" t="str">
        <f>Study!CK576</f>
        <v>وحدة</v>
      </c>
      <c r="G577" s="731"/>
      <c r="H577" s="731"/>
      <c r="I577" s="731"/>
      <c r="J577" s="731"/>
      <c r="K577" s="731"/>
      <c r="L577" s="731"/>
      <c r="M577" s="731"/>
      <c r="N577" s="731"/>
      <c r="O577" s="731"/>
      <c r="P577" s="731"/>
      <c r="Q577" s="731"/>
      <c r="R577" s="731"/>
      <c r="S577" s="731"/>
      <c r="T577" s="731"/>
      <c r="U577" s="731"/>
      <c r="V577" s="731"/>
      <c r="W577" s="731"/>
      <c r="X577" s="731"/>
      <c r="Y577" s="731"/>
      <c r="Z577" s="731"/>
    </row>
    <row r="578" spans="1:26" x14ac:dyDescent="0.2">
      <c r="A578" s="735">
        <f>Study!CF577</f>
        <v>507</v>
      </c>
      <c r="B578" s="736" t="str">
        <f>Study!CG577</f>
        <v>صحي - نسبة الإشغال</v>
      </c>
      <c r="C578" s="747">
        <f>Study!CH577</f>
        <v>0</v>
      </c>
      <c r="D578" s="736" t="str">
        <f>Study!CI577</f>
        <v>التأجير اليومي - صحي</v>
      </c>
      <c r="E578" s="738" t="str">
        <f>Study!CJ577</f>
        <v>S155</v>
      </c>
      <c r="F578" s="736" t="str">
        <f>Study!CK577</f>
        <v>نسبة مئوية</v>
      </c>
      <c r="G578" s="731"/>
      <c r="H578" s="731"/>
      <c r="I578" s="731"/>
      <c r="J578" s="731"/>
      <c r="K578" s="731"/>
      <c r="L578" s="731"/>
      <c r="M578" s="731"/>
      <c r="N578" s="731"/>
      <c r="O578" s="731"/>
      <c r="P578" s="731"/>
      <c r="Q578" s="731"/>
      <c r="R578" s="731"/>
      <c r="S578" s="731"/>
      <c r="T578" s="731"/>
      <c r="U578" s="731"/>
      <c r="V578" s="731"/>
      <c r="W578" s="731"/>
      <c r="X578" s="731"/>
      <c r="Y578" s="731"/>
      <c r="Z578" s="731"/>
    </row>
    <row r="579" spans="1:26" x14ac:dyDescent="0.2">
      <c r="A579" s="739">
        <f>Study!CF578</f>
        <v>508</v>
      </c>
      <c r="B579" s="740" t="str">
        <f>Study!CG578</f>
        <v>صحي - عدد الوحدات المشغولة سنوياً</v>
      </c>
      <c r="C579" s="751">
        <f>Study!CH578</f>
        <v>0</v>
      </c>
      <c r="D579" s="740" t="str">
        <f>Study!CI578</f>
        <v>التأجير اليومي - صحي</v>
      </c>
      <c r="E579" s="742" t="str">
        <f>Study!CJ578</f>
        <v>T155</v>
      </c>
      <c r="F579" s="740" t="str">
        <f>Study!CK578</f>
        <v>ليلة</v>
      </c>
      <c r="G579" s="731"/>
      <c r="H579" s="731"/>
      <c r="I579" s="731"/>
      <c r="J579" s="731"/>
      <c r="K579" s="731"/>
      <c r="L579" s="731"/>
      <c r="M579" s="731"/>
      <c r="N579" s="731"/>
      <c r="O579" s="731"/>
      <c r="P579" s="731"/>
      <c r="Q579" s="731"/>
      <c r="R579" s="731"/>
      <c r="S579" s="731"/>
      <c r="T579" s="731"/>
      <c r="U579" s="731"/>
      <c r="V579" s="731"/>
      <c r="W579" s="731"/>
      <c r="X579" s="731"/>
      <c r="Y579" s="731"/>
      <c r="Z579" s="731"/>
    </row>
    <row r="580" spans="1:26" x14ac:dyDescent="0.2">
      <c r="A580" s="735">
        <f>Study!CF579</f>
        <v>509</v>
      </c>
      <c r="B580" s="736" t="str">
        <f>Study!CG579</f>
        <v>صحي - متوسط السعر اليومي</v>
      </c>
      <c r="C580" s="743">
        <f>Study!CH579</f>
        <v>0</v>
      </c>
      <c r="D580" s="736" t="str">
        <f>Study!CI579</f>
        <v>التأجير اليومي - صحي</v>
      </c>
      <c r="E580" s="738" t="str">
        <f>Study!CJ579</f>
        <v>U155</v>
      </c>
      <c r="F580" s="736" t="str">
        <f>Study!CK579</f>
        <v>ريال</v>
      </c>
      <c r="G580" s="731"/>
      <c r="H580" s="731"/>
      <c r="I580" s="731"/>
      <c r="J580" s="731"/>
      <c r="K580" s="731"/>
      <c r="L580" s="731"/>
      <c r="M580" s="731"/>
      <c r="N580" s="731"/>
      <c r="O580" s="731"/>
      <c r="P580" s="731"/>
      <c r="Q580" s="731"/>
      <c r="R580" s="731"/>
      <c r="S580" s="731"/>
      <c r="T580" s="731"/>
      <c r="U580" s="731"/>
      <c r="V580" s="731"/>
      <c r="W580" s="731"/>
      <c r="X580" s="731"/>
      <c r="Y580" s="731"/>
      <c r="Z580" s="731"/>
    </row>
    <row r="581" spans="1:26" x14ac:dyDescent="0.2">
      <c r="A581" s="739">
        <f>Study!CF580</f>
        <v>510</v>
      </c>
      <c r="B581" s="740" t="str">
        <f>Study!CG580</f>
        <v>صحي - الإيراد الفعلي للوحدة السنوي</v>
      </c>
      <c r="C581" s="744" t="str">
        <f>Study!CH580</f>
        <v>0</v>
      </c>
      <c r="D581" s="740" t="str">
        <f>Study!CI580</f>
        <v>التأجير اليومي - صحي</v>
      </c>
      <c r="E581" s="742" t="str">
        <f>Study!CJ580</f>
        <v>V155</v>
      </c>
      <c r="F581" s="740" t="str">
        <f>Study!CK580</f>
        <v>ريال سعودي</v>
      </c>
      <c r="G581" s="731"/>
      <c r="H581" s="731"/>
      <c r="I581" s="731"/>
      <c r="J581" s="731"/>
      <c r="K581" s="731"/>
      <c r="L581" s="731"/>
      <c r="M581" s="731"/>
      <c r="N581" s="731"/>
      <c r="O581" s="731"/>
      <c r="P581" s="731"/>
      <c r="Q581" s="731"/>
      <c r="R581" s="731"/>
      <c r="S581" s="731"/>
      <c r="T581" s="731"/>
      <c r="U581" s="731"/>
      <c r="V581" s="731"/>
      <c r="W581" s="731"/>
      <c r="X581" s="731"/>
      <c r="Y581" s="731"/>
      <c r="Z581" s="731"/>
    </row>
    <row r="582" spans="1:26" x14ac:dyDescent="0.2">
      <c r="A582" s="735">
        <f>Study!CF581</f>
        <v>511</v>
      </c>
      <c r="B582" s="736" t="str">
        <f>Study!CG581</f>
        <v>صحي - نسبة إيرادات الأنشطة الإضافية</v>
      </c>
      <c r="C582" s="747">
        <f>Study!CH581</f>
        <v>0</v>
      </c>
      <c r="D582" s="736" t="str">
        <f>Study!CI581</f>
        <v>التأجير اليومي - صحي</v>
      </c>
      <c r="E582" s="738" t="str">
        <f>Study!CJ581</f>
        <v>W155</v>
      </c>
      <c r="F582" s="736" t="str">
        <f>Study!CK581</f>
        <v>نسبة مئوية</v>
      </c>
      <c r="G582" s="731"/>
      <c r="H582" s="731"/>
      <c r="I582" s="731"/>
      <c r="J582" s="731"/>
      <c r="K582" s="731"/>
      <c r="L582" s="731"/>
      <c r="M582" s="731"/>
      <c r="N582" s="731"/>
      <c r="O582" s="731"/>
      <c r="P582" s="731"/>
      <c r="Q582" s="731"/>
      <c r="R582" s="731"/>
      <c r="S582" s="731"/>
      <c r="T582" s="731"/>
      <c r="U582" s="731"/>
      <c r="V582" s="731"/>
      <c r="W582" s="731"/>
      <c r="X582" s="731"/>
      <c r="Y582" s="731"/>
      <c r="Z582" s="731"/>
    </row>
    <row r="583" spans="1:26" x14ac:dyDescent="0.2">
      <c r="A583" s="739">
        <f>Study!CF582</f>
        <v>512</v>
      </c>
      <c r="B583" s="740" t="str">
        <f>Study!CG582</f>
        <v>صحي - إجمالي الإيرادات</v>
      </c>
      <c r="C583" s="744">
        <f>Study!CH582</f>
        <v>0</v>
      </c>
      <c r="D583" s="740" t="str">
        <f>Study!CI582</f>
        <v>التأجير اليومي - صحي</v>
      </c>
      <c r="E583" s="742" t="str">
        <f>Study!CJ582</f>
        <v>X155</v>
      </c>
      <c r="F583" s="740" t="str">
        <f>Study!CK582</f>
        <v>ريال سعودي</v>
      </c>
      <c r="G583" s="731"/>
      <c r="H583" s="731"/>
      <c r="I583" s="731"/>
      <c r="J583" s="731"/>
      <c r="K583" s="731"/>
      <c r="L583" s="731"/>
      <c r="M583" s="731"/>
      <c r="N583" s="731"/>
      <c r="O583" s="731"/>
      <c r="P583" s="731"/>
      <c r="Q583" s="731"/>
      <c r="R583" s="731"/>
      <c r="S583" s="731"/>
      <c r="T583" s="731"/>
      <c r="U583" s="731"/>
      <c r="V583" s="731"/>
      <c r="W583" s="731"/>
      <c r="X583" s="731"/>
      <c r="Y583" s="731"/>
      <c r="Z583" s="731"/>
    </row>
    <row r="584" spans="1:26" x14ac:dyDescent="0.2">
      <c r="A584" s="735">
        <f>Study!CF583</f>
        <v>513</v>
      </c>
      <c r="B584" s="736" t="str">
        <f>Study!CG583</f>
        <v>صحي - التكاليف التشغيلية والإدارية</v>
      </c>
      <c r="C584" s="743">
        <f>Study!CH583</f>
        <v>0</v>
      </c>
      <c r="D584" s="736" t="str">
        <f>Study!CI583</f>
        <v>التأجير اليومي - صحي</v>
      </c>
      <c r="E584" s="738" t="str">
        <f>Study!CJ583</f>
        <v>Y155</v>
      </c>
      <c r="F584" s="736" t="str">
        <f>Study!CK583</f>
        <v>ريال سعودي</v>
      </c>
      <c r="G584" s="731"/>
      <c r="H584" s="731"/>
      <c r="I584" s="731"/>
      <c r="J584" s="731"/>
      <c r="K584" s="731"/>
      <c r="L584" s="731"/>
      <c r="M584" s="731"/>
      <c r="N584" s="731"/>
      <c r="O584" s="731"/>
      <c r="P584" s="731"/>
      <c r="Q584" s="731"/>
      <c r="R584" s="731"/>
      <c r="S584" s="731"/>
      <c r="T584" s="731"/>
      <c r="U584" s="731"/>
      <c r="V584" s="731"/>
      <c r="W584" s="731"/>
      <c r="X584" s="731"/>
      <c r="Y584" s="731"/>
      <c r="Z584" s="731"/>
    </row>
    <row r="585" spans="1:26" x14ac:dyDescent="0.2">
      <c r="A585" s="739">
        <f>Study!CF584</f>
        <v>514</v>
      </c>
      <c r="B585" s="740" t="str">
        <f>Study!CG584</f>
        <v>صحي - فترة استرداد رأس المال</v>
      </c>
      <c r="C585" s="749">
        <f>Study!CH584</f>
        <v>0</v>
      </c>
      <c r="D585" s="740" t="str">
        <f>Study!CI584</f>
        <v>التأجير اليومي - صحي</v>
      </c>
      <c r="E585" s="742" t="str">
        <f>Study!CJ584</f>
        <v>Z155</v>
      </c>
      <c r="F585" s="740" t="str">
        <f>Study!CK584</f>
        <v>سنة</v>
      </c>
      <c r="G585" s="731"/>
      <c r="H585" s="731"/>
      <c r="I585" s="731"/>
      <c r="J585" s="731"/>
      <c r="K585" s="731"/>
      <c r="L585" s="731"/>
      <c r="M585" s="731"/>
      <c r="N585" s="731"/>
      <c r="O585" s="731"/>
      <c r="P585" s="731"/>
      <c r="Q585" s="731"/>
      <c r="R585" s="731"/>
      <c r="S585" s="731"/>
      <c r="T585" s="731"/>
      <c r="U585" s="731"/>
      <c r="V585" s="731"/>
      <c r="W585" s="731"/>
      <c r="X585" s="731"/>
      <c r="Y585" s="731"/>
      <c r="Z585" s="731"/>
    </row>
    <row r="586" spans="1:26" x14ac:dyDescent="0.2">
      <c r="A586" s="735">
        <f>Study!CF585</f>
        <v>515</v>
      </c>
      <c r="B586" s="736" t="str">
        <f>Study!CG585</f>
        <v>صحي - العائد على التكلفة السنوي</v>
      </c>
      <c r="C586" s="747" t="str">
        <f>Study!CH585</f>
        <v>0.00%</v>
      </c>
      <c r="D586" s="736" t="str">
        <f>Study!CI585</f>
        <v>التأجير اليومي - صحي</v>
      </c>
      <c r="E586" s="738" t="str">
        <f>Study!CJ585</f>
        <v>AA155</v>
      </c>
      <c r="F586" s="736" t="str">
        <f>Study!CK585</f>
        <v>نسبة مئوية</v>
      </c>
      <c r="G586" s="731"/>
      <c r="H586" s="731"/>
      <c r="I586" s="731"/>
      <c r="J586" s="731"/>
      <c r="K586" s="731"/>
      <c r="L586" s="731"/>
      <c r="M586" s="731"/>
      <c r="N586" s="731"/>
      <c r="O586" s="731"/>
      <c r="P586" s="731"/>
      <c r="Q586" s="731"/>
      <c r="R586" s="731"/>
      <c r="S586" s="731"/>
      <c r="T586" s="731"/>
      <c r="U586" s="731"/>
      <c r="V586" s="731"/>
      <c r="W586" s="731"/>
      <c r="X586" s="731"/>
      <c r="Y586" s="731"/>
      <c r="Z586" s="731"/>
    </row>
    <row r="587" spans="1:26" ht="15" x14ac:dyDescent="0.2">
      <c r="A587" s="734" t="str">
        <f>Study!CF586</f>
        <v>▌ التأجير اليومي - أخرى</v>
      </c>
      <c r="B587" s="734">
        <f>Study!CG586</f>
        <v>0</v>
      </c>
      <c r="C587" s="734">
        <f>Study!CH586</f>
        <v>0</v>
      </c>
      <c r="D587" s="734">
        <f>Study!CI586</f>
        <v>0</v>
      </c>
      <c r="E587" s="734">
        <f>Study!CJ586</f>
        <v>0</v>
      </c>
      <c r="F587" s="734">
        <f>Study!CK586</f>
        <v>0</v>
      </c>
      <c r="G587" s="731"/>
      <c r="H587" s="731"/>
      <c r="I587" s="731"/>
      <c r="J587" s="731"/>
      <c r="K587" s="731"/>
      <c r="L587" s="731"/>
      <c r="M587" s="731"/>
      <c r="N587" s="731"/>
      <c r="O587" s="731"/>
      <c r="P587" s="731"/>
      <c r="Q587" s="731"/>
      <c r="R587" s="731"/>
      <c r="S587" s="731"/>
      <c r="T587" s="731"/>
      <c r="U587" s="731"/>
      <c r="V587" s="731"/>
      <c r="W587" s="731"/>
      <c r="X587" s="731"/>
      <c r="Y587" s="731"/>
      <c r="Z587" s="731"/>
    </row>
    <row r="588" spans="1:26" x14ac:dyDescent="0.2">
      <c r="A588" s="739">
        <f>Study!CF587</f>
        <v>516</v>
      </c>
      <c r="B588" s="740" t="str">
        <f>Study!CG587</f>
        <v>أخرى - عدد الوحدات</v>
      </c>
      <c r="C588" s="751">
        <f>Study!CH587</f>
        <v>0</v>
      </c>
      <c r="D588" s="740" t="str">
        <f>Study!CI587</f>
        <v>التأجير اليومي - أخرى</v>
      </c>
      <c r="E588" s="742" t="str">
        <f>Study!CJ587</f>
        <v>R156</v>
      </c>
      <c r="F588" s="740" t="str">
        <f>Study!CK587</f>
        <v>وحدة</v>
      </c>
      <c r="G588" s="731"/>
      <c r="H588" s="731"/>
      <c r="I588" s="731"/>
      <c r="J588" s="731"/>
      <c r="K588" s="731"/>
      <c r="L588" s="731"/>
      <c r="M588" s="731"/>
      <c r="N588" s="731"/>
      <c r="O588" s="731"/>
      <c r="P588" s="731"/>
      <c r="Q588" s="731"/>
      <c r="R588" s="731"/>
      <c r="S588" s="731"/>
      <c r="T588" s="731"/>
      <c r="U588" s="731"/>
      <c r="V588" s="731"/>
      <c r="W588" s="731"/>
      <c r="X588" s="731"/>
      <c r="Y588" s="731"/>
      <c r="Z588" s="731"/>
    </row>
    <row r="589" spans="1:26" x14ac:dyDescent="0.2">
      <c r="A589" s="735">
        <f>Study!CF588</f>
        <v>517</v>
      </c>
      <c r="B589" s="736" t="str">
        <f>Study!CG588</f>
        <v>أخرى - نسبة الإشغال</v>
      </c>
      <c r="C589" s="747">
        <f>Study!CH588</f>
        <v>0</v>
      </c>
      <c r="D589" s="736" t="str">
        <f>Study!CI588</f>
        <v>التأجير اليومي - أخرى</v>
      </c>
      <c r="E589" s="738" t="str">
        <f>Study!CJ588</f>
        <v>S156</v>
      </c>
      <c r="F589" s="736" t="str">
        <f>Study!CK588</f>
        <v>نسبة مئوية</v>
      </c>
      <c r="G589" s="731"/>
      <c r="H589" s="731"/>
      <c r="I589" s="731"/>
      <c r="J589" s="731"/>
      <c r="K589" s="731"/>
      <c r="L589" s="731"/>
      <c r="M589" s="731"/>
      <c r="N589" s="731"/>
      <c r="O589" s="731"/>
      <c r="P589" s="731"/>
      <c r="Q589" s="731"/>
      <c r="R589" s="731"/>
      <c r="S589" s="731"/>
      <c r="T589" s="731"/>
      <c r="U589" s="731"/>
      <c r="V589" s="731"/>
      <c r="W589" s="731"/>
      <c r="X589" s="731"/>
      <c r="Y589" s="731"/>
      <c r="Z589" s="731"/>
    </row>
    <row r="590" spans="1:26" x14ac:dyDescent="0.2">
      <c r="A590" s="739">
        <f>Study!CF589</f>
        <v>518</v>
      </c>
      <c r="B590" s="740" t="str">
        <f>Study!CG589</f>
        <v>أخرى - عدد الوحدات المشغولة سنوياً</v>
      </c>
      <c r="C590" s="751">
        <f>Study!CH589</f>
        <v>0</v>
      </c>
      <c r="D590" s="740" t="str">
        <f>Study!CI589</f>
        <v>التأجير اليومي - أخرى</v>
      </c>
      <c r="E590" s="742" t="str">
        <f>Study!CJ589</f>
        <v>T156</v>
      </c>
      <c r="F590" s="740" t="str">
        <f>Study!CK589</f>
        <v>ليلة</v>
      </c>
      <c r="G590" s="731"/>
      <c r="H590" s="731"/>
      <c r="I590" s="731"/>
      <c r="J590" s="731"/>
      <c r="K590" s="731"/>
      <c r="L590" s="731"/>
      <c r="M590" s="731"/>
      <c r="N590" s="731"/>
      <c r="O590" s="731"/>
      <c r="P590" s="731"/>
      <c r="Q590" s="731"/>
      <c r="R590" s="731"/>
      <c r="S590" s="731"/>
      <c r="T590" s="731"/>
      <c r="U590" s="731"/>
      <c r="V590" s="731"/>
      <c r="W590" s="731"/>
      <c r="X590" s="731"/>
      <c r="Y590" s="731"/>
      <c r="Z590" s="731"/>
    </row>
    <row r="591" spans="1:26" x14ac:dyDescent="0.2">
      <c r="A591" s="735">
        <f>Study!CF590</f>
        <v>519</v>
      </c>
      <c r="B591" s="736" t="str">
        <f>Study!CG590</f>
        <v>أخرى - متوسط السعر اليومي</v>
      </c>
      <c r="C591" s="743">
        <f>Study!CH590</f>
        <v>0</v>
      </c>
      <c r="D591" s="736" t="str">
        <f>Study!CI590</f>
        <v>التأجير اليومي - أخرى</v>
      </c>
      <c r="E591" s="738" t="str">
        <f>Study!CJ590</f>
        <v>U156</v>
      </c>
      <c r="F591" s="736" t="str">
        <f>Study!CK590</f>
        <v>ريال</v>
      </c>
      <c r="G591" s="731"/>
      <c r="H591" s="731"/>
      <c r="I591" s="731"/>
      <c r="J591" s="731"/>
      <c r="K591" s="731"/>
      <c r="L591" s="731"/>
      <c r="M591" s="731"/>
      <c r="N591" s="731"/>
      <c r="O591" s="731"/>
      <c r="P591" s="731"/>
      <c r="Q591" s="731"/>
      <c r="R591" s="731"/>
      <c r="S591" s="731"/>
      <c r="T591" s="731"/>
      <c r="U591" s="731"/>
      <c r="V591" s="731"/>
      <c r="W591" s="731"/>
      <c r="X591" s="731"/>
      <c r="Y591" s="731"/>
      <c r="Z591" s="731"/>
    </row>
    <row r="592" spans="1:26" x14ac:dyDescent="0.2">
      <c r="A592" s="739">
        <f>Study!CF591</f>
        <v>520</v>
      </c>
      <c r="B592" s="740" t="str">
        <f>Study!CG591</f>
        <v>أخرى - الإيراد الفعلي للوحدة السنوي</v>
      </c>
      <c r="C592" s="744" t="str">
        <f>Study!CH591</f>
        <v>0</v>
      </c>
      <c r="D592" s="740" t="str">
        <f>Study!CI591</f>
        <v>التأجير اليومي - أخرى</v>
      </c>
      <c r="E592" s="742" t="str">
        <f>Study!CJ591</f>
        <v>V156</v>
      </c>
      <c r="F592" s="740" t="str">
        <f>Study!CK591</f>
        <v>ريال سعودي</v>
      </c>
      <c r="G592" s="731"/>
      <c r="H592" s="731"/>
      <c r="I592" s="731"/>
      <c r="J592" s="731"/>
      <c r="K592" s="731"/>
      <c r="L592" s="731"/>
      <c r="M592" s="731"/>
      <c r="N592" s="731"/>
      <c r="O592" s="731"/>
      <c r="P592" s="731"/>
      <c r="Q592" s="731"/>
      <c r="R592" s="731"/>
      <c r="S592" s="731"/>
      <c r="T592" s="731"/>
      <c r="U592" s="731"/>
      <c r="V592" s="731"/>
      <c r="W592" s="731"/>
      <c r="X592" s="731"/>
      <c r="Y592" s="731"/>
      <c r="Z592" s="731"/>
    </row>
    <row r="593" spans="1:26" x14ac:dyDescent="0.2">
      <c r="A593" s="735">
        <f>Study!CF592</f>
        <v>521</v>
      </c>
      <c r="B593" s="736" t="str">
        <f>Study!CG592</f>
        <v>أخرى - نسبة إيرادات الأنشطة الإضافية</v>
      </c>
      <c r="C593" s="747">
        <f>Study!CH592</f>
        <v>0</v>
      </c>
      <c r="D593" s="736" t="str">
        <f>Study!CI592</f>
        <v>التأجير اليومي - أخرى</v>
      </c>
      <c r="E593" s="738" t="str">
        <f>Study!CJ592</f>
        <v>W156</v>
      </c>
      <c r="F593" s="736" t="str">
        <f>Study!CK592</f>
        <v>نسبة مئوية</v>
      </c>
      <c r="G593" s="731"/>
      <c r="H593" s="731"/>
      <c r="I593" s="731"/>
      <c r="J593" s="731"/>
      <c r="K593" s="731"/>
      <c r="L593" s="731"/>
      <c r="M593" s="731"/>
      <c r="N593" s="731"/>
      <c r="O593" s="731"/>
      <c r="P593" s="731"/>
      <c r="Q593" s="731"/>
      <c r="R593" s="731"/>
      <c r="S593" s="731"/>
      <c r="T593" s="731"/>
      <c r="U593" s="731"/>
      <c r="V593" s="731"/>
      <c r="W593" s="731"/>
      <c r="X593" s="731"/>
      <c r="Y593" s="731"/>
      <c r="Z593" s="731"/>
    </row>
    <row r="594" spans="1:26" x14ac:dyDescent="0.2">
      <c r="A594" s="739">
        <f>Study!CF593</f>
        <v>522</v>
      </c>
      <c r="B594" s="740" t="str">
        <f>Study!CG593</f>
        <v>أخرى - إجمالي الإيرادات</v>
      </c>
      <c r="C594" s="744">
        <f>Study!CH593</f>
        <v>0</v>
      </c>
      <c r="D594" s="740" t="str">
        <f>Study!CI593</f>
        <v>التأجير اليومي - أخرى</v>
      </c>
      <c r="E594" s="742" t="str">
        <f>Study!CJ593</f>
        <v>X156</v>
      </c>
      <c r="F594" s="740" t="str">
        <f>Study!CK593</f>
        <v>ريال سعودي</v>
      </c>
      <c r="G594" s="731"/>
      <c r="H594" s="731"/>
      <c r="I594" s="731"/>
      <c r="J594" s="731"/>
      <c r="K594" s="731"/>
      <c r="L594" s="731"/>
      <c r="M594" s="731"/>
      <c r="N594" s="731"/>
      <c r="O594" s="731"/>
      <c r="P594" s="731"/>
      <c r="Q594" s="731"/>
      <c r="R594" s="731"/>
      <c r="S594" s="731"/>
      <c r="T594" s="731"/>
      <c r="U594" s="731"/>
      <c r="V594" s="731"/>
      <c r="W594" s="731"/>
      <c r="X594" s="731"/>
      <c r="Y594" s="731"/>
      <c r="Z594" s="731"/>
    </row>
    <row r="595" spans="1:26" x14ac:dyDescent="0.2">
      <c r="A595" s="735">
        <f>Study!CF594</f>
        <v>523</v>
      </c>
      <c r="B595" s="736" t="str">
        <f>Study!CG594</f>
        <v>أخرى - التكاليف التشغيلية والإدارية</v>
      </c>
      <c r="C595" s="743">
        <f>Study!CH594</f>
        <v>0</v>
      </c>
      <c r="D595" s="736" t="str">
        <f>Study!CI594</f>
        <v>التأجير اليومي - أخرى</v>
      </c>
      <c r="E595" s="738" t="str">
        <f>Study!CJ594</f>
        <v>Y156</v>
      </c>
      <c r="F595" s="736" t="str">
        <f>Study!CK594</f>
        <v>ريال سعودي</v>
      </c>
      <c r="G595" s="731"/>
      <c r="H595" s="731"/>
      <c r="I595" s="731"/>
      <c r="J595" s="731"/>
      <c r="K595" s="731"/>
      <c r="L595" s="731"/>
      <c r="M595" s="731"/>
      <c r="N595" s="731"/>
      <c r="O595" s="731"/>
      <c r="P595" s="731"/>
      <c r="Q595" s="731"/>
      <c r="R595" s="731"/>
      <c r="S595" s="731"/>
      <c r="T595" s="731"/>
      <c r="U595" s="731"/>
      <c r="V595" s="731"/>
      <c r="W595" s="731"/>
      <c r="X595" s="731"/>
      <c r="Y595" s="731"/>
      <c r="Z595" s="731"/>
    </row>
    <row r="596" spans="1:26" x14ac:dyDescent="0.2">
      <c r="A596" s="739">
        <f>Study!CF595</f>
        <v>524</v>
      </c>
      <c r="B596" s="740" t="str">
        <f>Study!CG595</f>
        <v>أخرى - فترة استرداد رأس المال</v>
      </c>
      <c r="C596" s="749">
        <f>Study!CH595</f>
        <v>0</v>
      </c>
      <c r="D596" s="740" t="str">
        <f>Study!CI595</f>
        <v>التأجير اليومي - أخرى</v>
      </c>
      <c r="E596" s="742" t="str">
        <f>Study!CJ595</f>
        <v>Z156</v>
      </c>
      <c r="F596" s="740" t="str">
        <f>Study!CK595</f>
        <v>سنة</v>
      </c>
      <c r="G596" s="731"/>
      <c r="H596" s="731"/>
      <c r="I596" s="731"/>
      <c r="J596" s="731"/>
      <c r="K596" s="731"/>
      <c r="L596" s="731"/>
      <c r="M596" s="731"/>
      <c r="N596" s="731"/>
      <c r="O596" s="731"/>
      <c r="P596" s="731"/>
      <c r="Q596" s="731"/>
      <c r="R596" s="731"/>
      <c r="S596" s="731"/>
      <c r="T596" s="731"/>
      <c r="U596" s="731"/>
      <c r="V596" s="731"/>
      <c r="W596" s="731"/>
      <c r="X596" s="731"/>
      <c r="Y596" s="731"/>
      <c r="Z596" s="731"/>
    </row>
    <row r="597" spans="1:26" x14ac:dyDescent="0.2">
      <c r="A597" s="735">
        <f>Study!CF596</f>
        <v>525</v>
      </c>
      <c r="B597" s="736" t="str">
        <f>Study!CG596</f>
        <v>أخرى - العائد على التكلفة السنوي</v>
      </c>
      <c r="C597" s="747" t="str">
        <f>Study!CH596</f>
        <v>0.00%</v>
      </c>
      <c r="D597" s="736" t="str">
        <f>Study!CI596</f>
        <v>التأجير اليومي - أخرى</v>
      </c>
      <c r="E597" s="738" t="str">
        <f>Study!CJ596</f>
        <v>AA156</v>
      </c>
      <c r="F597" s="736" t="str">
        <f>Study!CK596</f>
        <v>نسبة مئوية</v>
      </c>
      <c r="G597" s="731"/>
      <c r="H597" s="731"/>
      <c r="I597" s="731"/>
      <c r="J597" s="731"/>
      <c r="K597" s="731"/>
      <c r="L597" s="731"/>
      <c r="M597" s="731"/>
      <c r="N597" s="731"/>
      <c r="O597" s="731"/>
      <c r="P597" s="731"/>
      <c r="Q597" s="731"/>
      <c r="R597" s="731"/>
      <c r="S597" s="731"/>
      <c r="T597" s="731"/>
      <c r="U597" s="731"/>
      <c r="V597" s="731"/>
      <c r="W597" s="731"/>
      <c r="X597" s="731"/>
      <c r="Y597" s="731"/>
      <c r="Z597" s="731"/>
    </row>
    <row r="598" spans="1:26" ht="15" x14ac:dyDescent="0.2">
      <c r="A598" s="734" t="str">
        <f>Study!CF597</f>
        <v>▌ التأجير اليومي - الإجمالي</v>
      </c>
      <c r="B598" s="734">
        <f>Study!CG597</f>
        <v>0</v>
      </c>
      <c r="C598" s="734">
        <f>Study!CH597</f>
        <v>0</v>
      </c>
      <c r="D598" s="734">
        <f>Study!CI597</f>
        <v>0</v>
      </c>
      <c r="E598" s="734">
        <f>Study!CJ597</f>
        <v>0</v>
      </c>
      <c r="F598" s="734">
        <f>Study!CK597</f>
        <v>0</v>
      </c>
      <c r="G598" s="731"/>
      <c r="H598" s="731"/>
      <c r="I598" s="731"/>
      <c r="J598" s="731"/>
      <c r="K598" s="731"/>
      <c r="L598" s="731"/>
      <c r="M598" s="731"/>
      <c r="N598" s="731"/>
      <c r="O598" s="731"/>
      <c r="P598" s="731"/>
      <c r="Q598" s="731"/>
      <c r="R598" s="731"/>
      <c r="S598" s="731"/>
      <c r="T598" s="731"/>
      <c r="U598" s="731"/>
      <c r="V598" s="731"/>
      <c r="W598" s="731"/>
      <c r="X598" s="731"/>
      <c r="Y598" s="731"/>
      <c r="Z598" s="731"/>
    </row>
    <row r="599" spans="1:26" x14ac:dyDescent="0.2">
      <c r="A599" s="739">
        <f>Study!CF598</f>
        <v>526</v>
      </c>
      <c r="B599" s="740" t="str">
        <f>Study!CG598</f>
        <v>إجمالي عدد وحدات التأجير اليومي</v>
      </c>
      <c r="C599" s="751">
        <f>Study!CH598</f>
        <v>123</v>
      </c>
      <c r="D599" s="740" t="str">
        <f>Study!CI598</f>
        <v>التأجير اليومي - الإجمالي</v>
      </c>
      <c r="E599" s="742" t="str">
        <f>Study!CJ598</f>
        <v>R157</v>
      </c>
      <c r="F599" s="740" t="str">
        <f>Study!CK598</f>
        <v>وحدة</v>
      </c>
      <c r="G599" s="731"/>
      <c r="H599" s="731"/>
      <c r="I599" s="731"/>
      <c r="J599" s="731"/>
      <c r="K599" s="731"/>
      <c r="L599" s="731"/>
      <c r="M599" s="731"/>
      <c r="N599" s="731"/>
      <c r="O599" s="731"/>
      <c r="P599" s="731"/>
      <c r="Q599" s="731"/>
      <c r="R599" s="731"/>
      <c r="S599" s="731"/>
      <c r="T599" s="731"/>
      <c r="U599" s="731"/>
      <c r="V599" s="731"/>
      <c r="W599" s="731"/>
      <c r="X599" s="731"/>
      <c r="Y599" s="731"/>
      <c r="Z599" s="731"/>
    </row>
    <row r="600" spans="1:26" x14ac:dyDescent="0.2">
      <c r="A600" s="735">
        <f>Study!CF599</f>
        <v>527</v>
      </c>
      <c r="B600" s="736" t="str">
        <f>Study!CG599</f>
        <v>إجمالي عدد الوحدات المشغولة سنوياً</v>
      </c>
      <c r="C600" s="750">
        <f>Study!CH599</f>
        <v>23725</v>
      </c>
      <c r="D600" s="736" t="str">
        <f>Study!CI599</f>
        <v>التأجير اليومي - الإجمالي</v>
      </c>
      <c r="E600" s="738" t="str">
        <f>Study!CJ599</f>
        <v>T157</v>
      </c>
      <c r="F600" s="736" t="str">
        <f>Study!CK599</f>
        <v>ليلة</v>
      </c>
      <c r="G600" s="731"/>
      <c r="H600" s="731"/>
      <c r="I600" s="731"/>
      <c r="J600" s="731"/>
      <c r="K600" s="731"/>
      <c r="L600" s="731"/>
      <c r="M600" s="731"/>
      <c r="N600" s="731"/>
      <c r="O600" s="731"/>
      <c r="P600" s="731"/>
      <c r="Q600" s="731"/>
      <c r="R600" s="731"/>
      <c r="S600" s="731"/>
      <c r="T600" s="731"/>
      <c r="U600" s="731"/>
      <c r="V600" s="731"/>
      <c r="W600" s="731"/>
      <c r="X600" s="731"/>
      <c r="Y600" s="731"/>
      <c r="Z600" s="731"/>
    </row>
    <row r="601" spans="1:26" x14ac:dyDescent="0.2">
      <c r="A601" s="739">
        <f>Study!CF600</f>
        <v>528</v>
      </c>
      <c r="B601" s="740" t="str">
        <f>Study!CG600</f>
        <v>إجمالي إيرادات التأجير اليومي</v>
      </c>
      <c r="C601" s="744">
        <f>Study!CH600</f>
        <v>21352500</v>
      </c>
      <c r="D601" s="740" t="str">
        <f>Study!CI600</f>
        <v>التأجير اليومي - الإجمالي</v>
      </c>
      <c r="E601" s="742" t="str">
        <f>Study!CJ600</f>
        <v>X157</v>
      </c>
      <c r="F601" s="740" t="str">
        <f>Study!CK600</f>
        <v>ريال سعودي</v>
      </c>
      <c r="G601" s="731"/>
      <c r="H601" s="731"/>
      <c r="I601" s="731"/>
      <c r="J601" s="731"/>
      <c r="K601" s="731"/>
      <c r="L601" s="731"/>
      <c r="M601" s="731"/>
      <c r="N601" s="731"/>
      <c r="O601" s="731"/>
      <c r="P601" s="731"/>
      <c r="Q601" s="731"/>
      <c r="R601" s="731"/>
      <c r="S601" s="731"/>
      <c r="T601" s="731"/>
      <c r="U601" s="731"/>
      <c r="V601" s="731"/>
      <c r="W601" s="731"/>
      <c r="X601" s="731"/>
      <c r="Y601" s="731"/>
      <c r="Z601" s="731"/>
    </row>
    <row r="602" spans="1:26" x14ac:dyDescent="0.2">
      <c r="A602" s="735">
        <f>Study!CF601</f>
        <v>529</v>
      </c>
      <c r="B602" s="736" t="str">
        <f>Study!CG601</f>
        <v>إجمالي التكاليف التشغيلية للتأجير اليومي</v>
      </c>
      <c r="C602" s="743">
        <f>Study!CH601</f>
        <v>6405750</v>
      </c>
      <c r="D602" s="736" t="str">
        <f>Study!CI601</f>
        <v>التأجير اليومي - الإجمالي</v>
      </c>
      <c r="E602" s="738" t="str">
        <f>Study!CJ601</f>
        <v>Y157</v>
      </c>
      <c r="F602" s="736" t="str">
        <f>Study!CK601</f>
        <v>ريال سعودي</v>
      </c>
      <c r="G602" s="731"/>
      <c r="H602" s="731"/>
      <c r="I602" s="731"/>
      <c r="J602" s="731"/>
      <c r="K602" s="731"/>
      <c r="L602" s="731"/>
      <c r="M602" s="731"/>
      <c r="N602" s="731"/>
      <c r="O602" s="731"/>
      <c r="P602" s="731"/>
      <c r="Q602" s="731"/>
      <c r="R602" s="731"/>
      <c r="S602" s="731"/>
      <c r="T602" s="731"/>
      <c r="U602" s="731"/>
      <c r="V602" s="731"/>
      <c r="W602" s="731"/>
      <c r="X602" s="731"/>
      <c r="Y602" s="731"/>
      <c r="Z602" s="731"/>
    </row>
    <row r="603" spans="1:26" ht="15" x14ac:dyDescent="0.2">
      <c r="A603" s="734" t="str">
        <f>Study!CF602</f>
        <v>▌ البيع على الخارطة</v>
      </c>
      <c r="B603" s="734">
        <f>Study!CG602</f>
        <v>0</v>
      </c>
      <c r="C603" s="734">
        <f>Study!CH602</f>
        <v>0</v>
      </c>
      <c r="D603" s="734">
        <f>Study!CI602</f>
        <v>0</v>
      </c>
      <c r="E603" s="734">
        <f>Study!CJ602</f>
        <v>0</v>
      </c>
      <c r="F603" s="734">
        <f>Study!CK602</f>
        <v>0</v>
      </c>
      <c r="G603" s="731"/>
      <c r="H603" s="731"/>
      <c r="I603" s="731"/>
      <c r="J603" s="731"/>
      <c r="K603" s="731"/>
      <c r="L603" s="731"/>
      <c r="M603" s="731"/>
      <c r="N603" s="731"/>
      <c r="O603" s="731"/>
      <c r="P603" s="731"/>
      <c r="Q603" s="731"/>
      <c r="R603" s="731"/>
      <c r="S603" s="731"/>
      <c r="T603" s="731"/>
      <c r="U603" s="731"/>
      <c r="V603" s="731"/>
      <c r="W603" s="731"/>
      <c r="X603" s="731"/>
      <c r="Y603" s="731"/>
      <c r="Z603" s="731"/>
    </row>
    <row r="604" spans="1:26" x14ac:dyDescent="0.2">
      <c r="A604" s="739">
        <f>Study!CF603</f>
        <v>530</v>
      </c>
      <c r="B604" s="740" t="str">
        <f>Study!CG603</f>
        <v>إجمالي إيرادات البيع على الخارطة</v>
      </c>
      <c r="C604" s="744">
        <f>Study!CH603</f>
        <v>47826086.956521749</v>
      </c>
      <c r="D604" s="740" t="str">
        <f>Study!CI603</f>
        <v>البيع على الخارطة</v>
      </c>
      <c r="E604" s="742" t="str">
        <f>Study!CJ603</f>
        <v>C303</v>
      </c>
      <c r="F604" s="740" t="str">
        <f>Study!CK603</f>
        <v>ريال سعودي</v>
      </c>
      <c r="G604" s="731"/>
      <c r="H604" s="731"/>
      <c r="I604" s="731"/>
      <c r="J604" s="731"/>
      <c r="K604" s="731"/>
      <c r="L604" s="731"/>
      <c r="M604" s="731"/>
      <c r="N604" s="731"/>
      <c r="O604" s="731"/>
      <c r="P604" s="731"/>
      <c r="Q604" s="731"/>
      <c r="R604" s="731"/>
      <c r="S604" s="731"/>
      <c r="T604" s="731"/>
      <c r="U604" s="731"/>
      <c r="V604" s="731"/>
      <c r="W604" s="731"/>
      <c r="X604" s="731"/>
      <c r="Y604" s="731"/>
      <c r="Z604" s="731"/>
    </row>
    <row r="605" spans="1:26" x14ac:dyDescent="0.2">
      <c r="A605" s="735">
        <f>Study!CF604</f>
        <v>531</v>
      </c>
      <c r="B605" s="736" t="str">
        <f>Study!CG604</f>
        <v>دفعات مراحل الإنجاز</v>
      </c>
      <c r="C605" s="743">
        <f>Study!CH604</f>
        <v>39313043.478260875</v>
      </c>
      <c r="D605" s="736" t="str">
        <f>Study!CI604</f>
        <v>البيع على الخارطة</v>
      </c>
      <c r="E605" s="738" t="str">
        <f>Study!CJ604</f>
        <v>C304</v>
      </c>
      <c r="F605" s="736" t="str">
        <f>Study!CK604</f>
        <v>ريال سعودي</v>
      </c>
      <c r="G605" s="731"/>
      <c r="H605" s="731"/>
      <c r="I605" s="731"/>
      <c r="J605" s="731"/>
      <c r="K605" s="731"/>
      <c r="L605" s="731"/>
      <c r="M605" s="731"/>
      <c r="N605" s="731"/>
      <c r="O605" s="731"/>
      <c r="P605" s="731"/>
      <c r="Q605" s="731"/>
      <c r="R605" s="731"/>
      <c r="S605" s="731"/>
      <c r="T605" s="731"/>
      <c r="U605" s="731"/>
      <c r="V605" s="731"/>
      <c r="W605" s="731"/>
      <c r="X605" s="731"/>
      <c r="Y605" s="731"/>
      <c r="Z605" s="731"/>
    </row>
    <row r="606" spans="1:26" x14ac:dyDescent="0.2">
      <c r="A606" s="739">
        <f>Study!CF605</f>
        <v>532</v>
      </c>
      <c r="B606" s="740" t="str">
        <f>Study!CG605</f>
        <v>الدفعات الأولى + دفعات الإنجاز</v>
      </c>
      <c r="C606" s="744">
        <f>Study!CH605</f>
        <v>46486956.52173914</v>
      </c>
      <c r="D606" s="740" t="str">
        <f>Study!CI605</f>
        <v>البيع على الخارطة</v>
      </c>
      <c r="E606" s="742" t="str">
        <f>Study!CJ605</f>
        <v>C305</v>
      </c>
      <c r="F606" s="740" t="str">
        <f>Study!CK605</f>
        <v>ريال سعودي</v>
      </c>
      <c r="G606" s="731"/>
      <c r="H606" s="731"/>
      <c r="I606" s="731"/>
      <c r="J606" s="731"/>
      <c r="K606" s="731"/>
      <c r="L606" s="731"/>
      <c r="M606" s="731"/>
      <c r="N606" s="731"/>
      <c r="O606" s="731"/>
      <c r="P606" s="731"/>
      <c r="Q606" s="731"/>
      <c r="R606" s="731"/>
      <c r="S606" s="731"/>
      <c r="T606" s="731"/>
      <c r="U606" s="731"/>
      <c r="V606" s="731"/>
      <c r="W606" s="731"/>
      <c r="X606" s="731"/>
      <c r="Y606" s="731"/>
      <c r="Z606" s="731"/>
    </row>
    <row r="607" spans="1:26" x14ac:dyDescent="0.2">
      <c r="A607" s="735">
        <f>Study!CF606</f>
        <v>533</v>
      </c>
      <c r="B607" s="736" t="str">
        <f>Study!CG606</f>
        <v>عدد الوحدات المباعة على الخارطة</v>
      </c>
      <c r="C607" s="750">
        <f>Study!CH606</f>
        <v>11</v>
      </c>
      <c r="D607" s="736" t="str">
        <f>Study!CI606</f>
        <v>البيع على الخارطة</v>
      </c>
      <c r="E607" s="738" t="str">
        <f>Study!CJ606</f>
        <v>C306</v>
      </c>
      <c r="F607" s="736" t="str">
        <f>Study!CK606</f>
        <v>وحدة</v>
      </c>
      <c r="G607" s="731"/>
      <c r="H607" s="731"/>
      <c r="I607" s="731"/>
      <c r="J607" s="731"/>
      <c r="K607" s="731"/>
      <c r="L607" s="731"/>
      <c r="M607" s="731"/>
      <c r="N607" s="731"/>
      <c r="O607" s="731"/>
      <c r="P607" s="731"/>
      <c r="Q607" s="731"/>
      <c r="R607" s="731"/>
      <c r="S607" s="731"/>
      <c r="T607" s="731"/>
      <c r="U607" s="731"/>
      <c r="V607" s="731"/>
      <c r="W607" s="731"/>
      <c r="X607" s="731"/>
      <c r="Y607" s="731"/>
      <c r="Z607" s="731"/>
    </row>
    <row r="608" spans="1:26" x14ac:dyDescent="0.2">
      <c r="A608" s="739">
        <f>Study!CF607</f>
        <v>534</v>
      </c>
      <c r="B608" s="740" t="str">
        <f>Study!CG607</f>
        <v>متوسط سعر بيع الوحدة (الخارطة)</v>
      </c>
      <c r="C608" s="744">
        <f>Study!CH607</f>
        <v>4347826.0869565224</v>
      </c>
      <c r="D608" s="740" t="str">
        <f>Study!CI607</f>
        <v>البيع على الخارطة</v>
      </c>
      <c r="E608" s="742" t="str">
        <f>Study!CJ607</f>
        <v>C307</v>
      </c>
      <c r="F608" s="740" t="str">
        <f>Study!CK607</f>
        <v>ريال سعودي</v>
      </c>
      <c r="G608" s="731"/>
      <c r="H608" s="731"/>
      <c r="I608" s="731"/>
      <c r="J608" s="731"/>
      <c r="K608" s="731"/>
      <c r="L608" s="731"/>
      <c r="M608" s="731"/>
      <c r="N608" s="731"/>
      <c r="O608" s="731"/>
      <c r="P608" s="731"/>
      <c r="Q608" s="731"/>
      <c r="R608" s="731"/>
      <c r="S608" s="731"/>
      <c r="T608" s="731"/>
      <c r="U608" s="731"/>
      <c r="V608" s="731"/>
      <c r="W608" s="731"/>
      <c r="X608" s="731"/>
      <c r="Y608" s="731"/>
      <c r="Z608" s="731"/>
    </row>
    <row r="609" spans="1:26" x14ac:dyDescent="0.2">
      <c r="A609" s="735">
        <f>Study!CF608</f>
        <v>535</v>
      </c>
      <c r="B609" s="736" t="str">
        <f>Study!CG608</f>
        <v>إجمالي رسوم وافي</v>
      </c>
      <c r="C609" s="743">
        <f>Study!CH608</f>
        <v>717391.30434782617</v>
      </c>
      <c r="D609" s="736" t="str">
        <f>Study!CI608</f>
        <v>البيع على الخارطة</v>
      </c>
      <c r="E609" s="738" t="str">
        <f>Study!CJ608</f>
        <v>C308</v>
      </c>
      <c r="F609" s="736" t="str">
        <f>Study!CK608</f>
        <v>ريال سعودي</v>
      </c>
      <c r="G609" s="731"/>
      <c r="H609" s="731"/>
      <c r="I609" s="731"/>
      <c r="J609" s="731"/>
      <c r="K609" s="731"/>
      <c r="L609" s="731"/>
      <c r="M609" s="731"/>
      <c r="N609" s="731"/>
      <c r="O609" s="731"/>
      <c r="P609" s="731"/>
      <c r="Q609" s="731"/>
      <c r="R609" s="731"/>
      <c r="S609" s="731"/>
      <c r="T609" s="731"/>
      <c r="U609" s="731"/>
      <c r="V609" s="731"/>
      <c r="W609" s="731"/>
      <c r="X609" s="731"/>
      <c r="Y609" s="731"/>
      <c r="Z609" s="731"/>
    </row>
    <row r="610" spans="1:26" x14ac:dyDescent="0.2">
      <c r="A610" s="739">
        <f>Study!CF609</f>
        <v>536</v>
      </c>
      <c r="B610" s="740" t="str">
        <f>Study!CG609</f>
        <v>نسبة رسوم وافي</v>
      </c>
      <c r="C610" s="746">
        <f>Study!CH609</f>
        <v>1.4999999999999999E-2</v>
      </c>
      <c r="D610" s="740" t="str">
        <f>Study!CI609</f>
        <v>البيع على الخارطة</v>
      </c>
      <c r="E610" s="742" t="str">
        <f>Study!CJ609</f>
        <v>D308</v>
      </c>
      <c r="F610" s="740" t="str">
        <f>Study!CK609</f>
        <v>نسبة مئوية</v>
      </c>
      <c r="G610" s="731"/>
      <c r="H610" s="731"/>
      <c r="I610" s="731"/>
      <c r="J610" s="731"/>
      <c r="K610" s="731"/>
      <c r="L610" s="731"/>
      <c r="M610" s="731"/>
      <c r="N610" s="731"/>
      <c r="O610" s="731"/>
      <c r="P610" s="731"/>
      <c r="Q610" s="731"/>
      <c r="R610" s="731"/>
      <c r="S610" s="731"/>
      <c r="T610" s="731"/>
      <c r="U610" s="731"/>
      <c r="V610" s="731"/>
      <c r="W610" s="731"/>
      <c r="X610" s="731"/>
      <c r="Y610" s="731"/>
      <c r="Z610" s="731"/>
    </row>
    <row r="611" spans="1:26" x14ac:dyDescent="0.2">
      <c r="A611" s="735">
        <f>Study!CF610</f>
        <v>537</v>
      </c>
      <c r="B611" s="736" t="str">
        <f>Study!CG610</f>
        <v>أتعاب المكتب الاستشاري الهندسي</v>
      </c>
      <c r="C611" s="743">
        <f>Study!CH610</f>
        <v>478260.86956521752</v>
      </c>
      <c r="D611" s="736" t="str">
        <f>Study!CI610</f>
        <v>البيع على الخارطة</v>
      </c>
      <c r="E611" s="738" t="str">
        <f>Study!CJ610</f>
        <v>C309</v>
      </c>
      <c r="F611" s="736" t="str">
        <f>Study!CK610</f>
        <v>ريال سعودي</v>
      </c>
      <c r="G611" s="731"/>
      <c r="H611" s="731"/>
      <c r="I611" s="731"/>
      <c r="J611" s="731"/>
      <c r="K611" s="731"/>
      <c r="L611" s="731"/>
      <c r="M611" s="731"/>
      <c r="N611" s="731"/>
      <c r="O611" s="731"/>
      <c r="P611" s="731"/>
      <c r="Q611" s="731"/>
      <c r="R611" s="731"/>
      <c r="S611" s="731"/>
      <c r="T611" s="731"/>
      <c r="U611" s="731"/>
      <c r="V611" s="731"/>
      <c r="W611" s="731"/>
      <c r="X611" s="731"/>
      <c r="Y611" s="731"/>
      <c r="Z611" s="731"/>
    </row>
    <row r="612" spans="1:26" x14ac:dyDescent="0.2">
      <c r="A612" s="739">
        <f>Study!CF611</f>
        <v>538</v>
      </c>
      <c r="B612" s="740" t="str">
        <f>Study!CG611</f>
        <v>نسبة أتعاب المكتب الاستشاري</v>
      </c>
      <c r="C612" s="746">
        <f>Study!CH611</f>
        <v>0.01</v>
      </c>
      <c r="D612" s="740" t="str">
        <f>Study!CI611</f>
        <v>البيع على الخارطة</v>
      </c>
      <c r="E612" s="742" t="str">
        <f>Study!CJ611</f>
        <v>D309</v>
      </c>
      <c r="F612" s="740" t="str">
        <f>Study!CK611</f>
        <v>نسبة مئوية</v>
      </c>
      <c r="G612" s="731"/>
      <c r="H612" s="731"/>
      <c r="I612" s="731"/>
      <c r="J612" s="731"/>
      <c r="K612" s="731"/>
      <c r="L612" s="731"/>
      <c r="M612" s="731"/>
      <c r="N612" s="731"/>
      <c r="O612" s="731"/>
      <c r="P612" s="731"/>
      <c r="Q612" s="731"/>
      <c r="R612" s="731"/>
      <c r="S612" s="731"/>
      <c r="T612" s="731"/>
      <c r="U612" s="731"/>
      <c r="V612" s="731"/>
      <c r="W612" s="731"/>
      <c r="X612" s="731"/>
      <c r="Y612" s="731"/>
      <c r="Z612" s="731"/>
    </row>
    <row r="613" spans="1:26" x14ac:dyDescent="0.2">
      <c r="A613" s="735">
        <f>Study!CF612</f>
        <v>539</v>
      </c>
      <c r="B613" s="736" t="str">
        <f>Study!CG612</f>
        <v>تكاليف المحاسب القانوني المعتمد</v>
      </c>
      <c r="C613" s="743">
        <f>Study!CH612</f>
        <v>143478.26086956525</v>
      </c>
      <c r="D613" s="736" t="str">
        <f>Study!CI612</f>
        <v>البيع على الخارطة</v>
      </c>
      <c r="E613" s="738" t="str">
        <f>Study!CJ612</f>
        <v>C310</v>
      </c>
      <c r="F613" s="736" t="str">
        <f>Study!CK612</f>
        <v>ريال سعودي</v>
      </c>
      <c r="G613" s="731"/>
      <c r="H613" s="731"/>
      <c r="I613" s="731"/>
      <c r="J613" s="731"/>
      <c r="K613" s="731"/>
      <c r="L613" s="731"/>
      <c r="M613" s="731"/>
      <c r="N613" s="731"/>
      <c r="O613" s="731"/>
      <c r="P613" s="731"/>
      <c r="Q613" s="731"/>
      <c r="R613" s="731"/>
      <c r="S613" s="731"/>
      <c r="T613" s="731"/>
      <c r="U613" s="731"/>
      <c r="V613" s="731"/>
      <c r="W613" s="731"/>
      <c r="X613" s="731"/>
      <c r="Y613" s="731"/>
      <c r="Z613" s="731"/>
    </row>
    <row r="614" spans="1:26" x14ac:dyDescent="0.2">
      <c r="A614" s="739">
        <f>Study!CF613</f>
        <v>540</v>
      </c>
      <c r="B614" s="740" t="str">
        <f>Study!CG613</f>
        <v>نسبة تكاليف المحاسب القانوني</v>
      </c>
      <c r="C614" s="746">
        <f>Study!CH613</f>
        <v>3.0000000000000001E-3</v>
      </c>
      <c r="D614" s="740" t="str">
        <f>Study!CI613</f>
        <v>البيع على الخارطة</v>
      </c>
      <c r="E614" s="742" t="str">
        <f>Study!CJ613</f>
        <v>D310</v>
      </c>
      <c r="F614" s="740" t="str">
        <f>Study!CK613</f>
        <v>نسبة مئوية</v>
      </c>
      <c r="G614" s="731"/>
      <c r="H614" s="731"/>
      <c r="I614" s="731"/>
      <c r="J614" s="731"/>
      <c r="K614" s="731"/>
      <c r="L614" s="731"/>
      <c r="M614" s="731"/>
      <c r="N614" s="731"/>
      <c r="O614" s="731"/>
      <c r="P614" s="731"/>
      <c r="Q614" s="731"/>
      <c r="R614" s="731"/>
      <c r="S614" s="731"/>
      <c r="T614" s="731"/>
      <c r="U614" s="731"/>
      <c r="V614" s="731"/>
      <c r="W614" s="731"/>
      <c r="X614" s="731"/>
      <c r="Y614" s="731"/>
      <c r="Z614" s="731"/>
    </row>
    <row r="615" spans="1:26" x14ac:dyDescent="0.2">
      <c r="A615" s="735">
        <f>Study!CF614</f>
        <v>541</v>
      </c>
      <c r="B615" s="736" t="str">
        <f>Study!CG614</f>
        <v>إجمالي قيمة استقطاع الضمان</v>
      </c>
      <c r="C615" s="743">
        <f>Study!CH614</f>
        <v>0</v>
      </c>
      <c r="D615" s="736" t="str">
        <f>Study!CI614</f>
        <v>البيع على الخارطة</v>
      </c>
      <c r="E615" s="738" t="str">
        <f>Study!CJ614</f>
        <v>C311</v>
      </c>
      <c r="F615" s="736" t="str">
        <f>Study!CK614</f>
        <v>ريال سعودي</v>
      </c>
      <c r="G615" s="731"/>
      <c r="H615" s="731"/>
      <c r="I615" s="731"/>
      <c r="J615" s="731"/>
      <c r="K615" s="731"/>
      <c r="L615" s="731"/>
      <c r="M615" s="731"/>
      <c r="N615" s="731"/>
      <c r="O615" s="731"/>
      <c r="P615" s="731"/>
      <c r="Q615" s="731"/>
      <c r="R615" s="731"/>
      <c r="S615" s="731"/>
      <c r="T615" s="731"/>
      <c r="U615" s="731"/>
      <c r="V615" s="731"/>
      <c r="W615" s="731"/>
      <c r="X615" s="731"/>
      <c r="Y615" s="731"/>
      <c r="Z615" s="731"/>
    </row>
    <row r="616" spans="1:26" x14ac:dyDescent="0.2">
      <c r="A616" s="739">
        <f>Study!CF615</f>
        <v>542</v>
      </c>
      <c r="B616" s="740" t="str">
        <f>Study!CG615</f>
        <v>نسبة استقطاع الضمان</v>
      </c>
      <c r="C616" s="746">
        <f>Study!CH615</f>
        <v>0</v>
      </c>
      <c r="D616" s="740" t="str">
        <f>Study!CI615</f>
        <v>البيع على الخارطة</v>
      </c>
      <c r="E616" s="742" t="str">
        <f>Study!CJ615</f>
        <v>D311</v>
      </c>
      <c r="F616" s="740" t="str">
        <f>Study!CK615</f>
        <v>نسبة مئوية</v>
      </c>
      <c r="G616" s="731"/>
      <c r="H616" s="731"/>
      <c r="I616" s="731"/>
      <c r="J616" s="731"/>
      <c r="K616" s="731"/>
      <c r="L616" s="731"/>
      <c r="M616" s="731"/>
      <c r="N616" s="731"/>
      <c r="O616" s="731"/>
      <c r="P616" s="731"/>
      <c r="Q616" s="731"/>
      <c r="R616" s="731"/>
      <c r="S616" s="731"/>
      <c r="T616" s="731"/>
      <c r="U616" s="731"/>
      <c r="V616" s="731"/>
      <c r="W616" s="731"/>
      <c r="X616" s="731"/>
      <c r="Y616" s="731"/>
      <c r="Z616" s="731"/>
    </row>
    <row r="617" spans="1:26" x14ac:dyDescent="0.2">
      <c r="A617" s="735">
        <f>Study!CF616</f>
        <v>543</v>
      </c>
      <c r="B617" s="736" t="str">
        <f>Study!CG616</f>
        <v>قيم الدفعات الأولى</v>
      </c>
      <c r="C617" s="743">
        <f>Study!CH616</f>
        <v>7173913.0434782626</v>
      </c>
      <c r="D617" s="736" t="str">
        <f>Study!CI616</f>
        <v>البيع على الخارطة</v>
      </c>
      <c r="E617" s="738" t="str">
        <f>Study!CJ616</f>
        <v>C312</v>
      </c>
      <c r="F617" s="736" t="str">
        <f>Study!CK616</f>
        <v>ريال سعودي</v>
      </c>
      <c r="G617" s="731"/>
      <c r="H617" s="731"/>
      <c r="I617" s="731"/>
      <c r="J617" s="731"/>
      <c r="K617" s="731"/>
      <c r="L617" s="731"/>
      <c r="M617" s="731"/>
      <c r="N617" s="731"/>
      <c r="O617" s="731"/>
      <c r="P617" s="731"/>
      <c r="Q617" s="731"/>
      <c r="R617" s="731"/>
      <c r="S617" s="731"/>
      <c r="T617" s="731"/>
      <c r="U617" s="731"/>
      <c r="V617" s="731"/>
      <c r="W617" s="731"/>
      <c r="X617" s="731"/>
      <c r="Y617" s="731"/>
      <c r="Z617" s="731"/>
    </row>
    <row r="618" spans="1:26" x14ac:dyDescent="0.2">
      <c r="A618" s="739">
        <f>Study!CF617</f>
        <v>544</v>
      </c>
      <c r="B618" s="740" t="str">
        <f>Study!CG617</f>
        <v>نسبة الدفعات الأولى</v>
      </c>
      <c r="C618" s="746">
        <f>Study!CH617</f>
        <v>0.15</v>
      </c>
      <c r="D618" s="740" t="str">
        <f>Study!CI617</f>
        <v>البيع على الخارطة</v>
      </c>
      <c r="E618" s="742" t="str">
        <f>Study!CJ617</f>
        <v>D312</v>
      </c>
      <c r="F618" s="740" t="str">
        <f>Study!CK617</f>
        <v>نسبة مئوية</v>
      </c>
      <c r="G618" s="731"/>
      <c r="H618" s="731"/>
      <c r="I618" s="731"/>
      <c r="J618" s="731"/>
      <c r="K618" s="731"/>
      <c r="L618" s="731"/>
      <c r="M618" s="731"/>
      <c r="N618" s="731"/>
      <c r="O618" s="731"/>
      <c r="P618" s="731"/>
      <c r="Q618" s="731"/>
      <c r="R618" s="731"/>
      <c r="S618" s="731"/>
      <c r="T618" s="731"/>
      <c r="U618" s="731"/>
      <c r="V618" s="731"/>
      <c r="W618" s="731"/>
      <c r="X618" s="731"/>
      <c r="Y618" s="731"/>
      <c r="Z618" s="731"/>
    </row>
    <row r="619" spans="1:26" x14ac:dyDescent="0.2">
      <c r="A619" s="735">
        <f>Study!CF618</f>
        <v>545</v>
      </c>
      <c r="B619" s="736" t="str">
        <f>Study!CG618</f>
        <v>صافي المبيعات على الخارطة</v>
      </c>
      <c r="C619" s="743">
        <f>Study!CH618</f>
        <v>46486956.52173914</v>
      </c>
      <c r="D619" s="736" t="str">
        <f>Study!CI618</f>
        <v>البيع على الخارطة</v>
      </c>
      <c r="E619" s="738" t="str">
        <f>Study!CJ618</f>
        <v>C313</v>
      </c>
      <c r="F619" s="736" t="str">
        <f>Study!CK618</f>
        <v>ريال سعودي</v>
      </c>
      <c r="G619" s="731"/>
      <c r="H619" s="731"/>
      <c r="I619" s="731"/>
      <c r="J619" s="731"/>
      <c r="K619" s="731"/>
      <c r="L619" s="731"/>
      <c r="M619" s="731"/>
      <c r="N619" s="731"/>
      <c r="O619" s="731"/>
      <c r="P619" s="731"/>
      <c r="Q619" s="731"/>
      <c r="R619" s="731"/>
      <c r="S619" s="731"/>
      <c r="T619" s="731"/>
      <c r="U619" s="731"/>
      <c r="V619" s="731"/>
      <c r="W619" s="731"/>
      <c r="X619" s="731"/>
      <c r="Y619" s="731"/>
      <c r="Z619" s="731"/>
    </row>
    <row r="620" spans="1:26" ht="15" x14ac:dyDescent="0.2">
      <c r="A620" s="734" t="str">
        <f>Study!CF619</f>
        <v>▌ مصروفات الصندوق</v>
      </c>
      <c r="B620" s="734">
        <f>Study!CG619</f>
        <v>0</v>
      </c>
      <c r="C620" s="734">
        <f>Study!CH619</f>
        <v>0</v>
      </c>
      <c r="D620" s="734">
        <f>Study!CI619</f>
        <v>0</v>
      </c>
      <c r="E620" s="734">
        <f>Study!CJ619</f>
        <v>0</v>
      </c>
      <c r="F620" s="734">
        <f>Study!CK619</f>
        <v>0</v>
      </c>
      <c r="G620" s="731"/>
      <c r="H620" s="731"/>
      <c r="I620" s="731"/>
      <c r="J620" s="731"/>
      <c r="K620" s="731"/>
      <c r="L620" s="731"/>
      <c r="M620" s="731"/>
      <c r="N620" s="731"/>
      <c r="O620" s="731"/>
      <c r="P620" s="731"/>
      <c r="Q620" s="731"/>
      <c r="R620" s="731"/>
      <c r="S620" s="731"/>
      <c r="T620" s="731"/>
      <c r="U620" s="731"/>
      <c r="V620" s="731"/>
      <c r="W620" s="731"/>
      <c r="X620" s="731"/>
      <c r="Y620" s="731"/>
      <c r="Z620" s="731"/>
    </row>
    <row r="621" spans="1:26" x14ac:dyDescent="0.2">
      <c r="A621" s="739">
        <f>Study!CF620</f>
        <v>546</v>
      </c>
      <c r="B621" s="740" t="str">
        <f>Study!CG620</f>
        <v>رسوم ترتيب القرض</v>
      </c>
      <c r="C621" s="744">
        <f>Study!CH620</f>
        <v>0</v>
      </c>
      <c r="D621" s="740" t="str">
        <f>Study!CI620</f>
        <v>مصروفات الصندوق</v>
      </c>
      <c r="E621" s="742" t="str">
        <f>Study!CJ620</f>
        <v>E321</v>
      </c>
      <c r="F621" s="740" t="str">
        <f>Study!CK620</f>
        <v>ريال سعودي</v>
      </c>
      <c r="G621" s="731"/>
      <c r="H621" s="731"/>
      <c r="I621" s="731"/>
      <c r="J621" s="731"/>
      <c r="K621" s="731"/>
      <c r="L621" s="731"/>
      <c r="M621" s="731"/>
      <c r="N621" s="731"/>
      <c r="O621" s="731"/>
      <c r="P621" s="731"/>
      <c r="Q621" s="731"/>
      <c r="R621" s="731"/>
      <c r="S621" s="731"/>
      <c r="T621" s="731"/>
      <c r="U621" s="731"/>
      <c r="V621" s="731"/>
      <c r="W621" s="731"/>
      <c r="X621" s="731"/>
      <c r="Y621" s="731"/>
      <c r="Z621" s="731"/>
    </row>
    <row r="622" spans="1:26" x14ac:dyDescent="0.2">
      <c r="A622" s="735">
        <f>Study!CF621</f>
        <v>547</v>
      </c>
      <c r="B622" s="736" t="str">
        <f>Study!CG621</f>
        <v>نسبة رسوم ترتيب القرض</v>
      </c>
      <c r="C622" s="747">
        <f>Study!CH621</f>
        <v>0</v>
      </c>
      <c r="D622" s="736" t="str">
        <f>Study!CI621</f>
        <v>مصروفات الصندوق</v>
      </c>
      <c r="E622" s="738" t="str">
        <f>Study!CJ621</f>
        <v>C321</v>
      </c>
      <c r="F622" s="736" t="str">
        <f>Study!CK621</f>
        <v>نسبة مئوية</v>
      </c>
      <c r="G622" s="731"/>
      <c r="H622" s="731"/>
      <c r="I622" s="731"/>
      <c r="J622" s="731"/>
      <c r="K622" s="731"/>
      <c r="L622" s="731"/>
      <c r="M622" s="731"/>
      <c r="N622" s="731"/>
      <c r="O622" s="731"/>
      <c r="P622" s="731"/>
      <c r="Q622" s="731"/>
      <c r="R622" s="731"/>
      <c r="S622" s="731"/>
      <c r="T622" s="731"/>
      <c r="U622" s="731"/>
      <c r="V622" s="731"/>
      <c r="W622" s="731"/>
      <c r="X622" s="731"/>
      <c r="Y622" s="731"/>
      <c r="Z622" s="731"/>
    </row>
    <row r="623" spans="1:26" x14ac:dyDescent="0.2">
      <c r="A623" s="739">
        <f>Study!CF622</f>
        <v>548</v>
      </c>
      <c r="B623" s="740" t="str">
        <f>Study!CG622</f>
        <v>رسوم إدارة الهيكل</v>
      </c>
      <c r="C623" s="744">
        <f>Study!CH622</f>
        <v>0</v>
      </c>
      <c r="D623" s="740" t="str">
        <f>Study!CI622</f>
        <v>مصروفات الصندوق</v>
      </c>
      <c r="E623" s="742" t="str">
        <f>Study!CJ622</f>
        <v>E322</v>
      </c>
      <c r="F623" s="740" t="str">
        <f>Study!CK622</f>
        <v>ريال سعودي</v>
      </c>
      <c r="G623" s="731"/>
      <c r="H623" s="731"/>
      <c r="I623" s="731"/>
      <c r="J623" s="731"/>
      <c r="K623" s="731"/>
      <c r="L623" s="731"/>
      <c r="M623" s="731"/>
      <c r="N623" s="731"/>
      <c r="O623" s="731"/>
      <c r="P623" s="731"/>
      <c r="Q623" s="731"/>
      <c r="R623" s="731"/>
      <c r="S623" s="731"/>
      <c r="T623" s="731"/>
      <c r="U623" s="731"/>
      <c r="V623" s="731"/>
      <c r="W623" s="731"/>
      <c r="X623" s="731"/>
      <c r="Y623" s="731"/>
      <c r="Z623" s="731"/>
    </row>
    <row r="624" spans="1:26" x14ac:dyDescent="0.2">
      <c r="A624" s="735">
        <f>Study!CF623</f>
        <v>549</v>
      </c>
      <c r="B624" s="736" t="str">
        <f>Study!CG623</f>
        <v>نسبة رسوم إدارة الهيكل</v>
      </c>
      <c r="C624" s="747">
        <f>Study!CH623</f>
        <v>0</v>
      </c>
      <c r="D624" s="736" t="str">
        <f>Study!CI623</f>
        <v>مصروفات الصندوق</v>
      </c>
      <c r="E624" s="738" t="str">
        <f>Study!CJ623</f>
        <v>C322</v>
      </c>
      <c r="F624" s="736" t="str">
        <f>Study!CK623</f>
        <v>نسبة مئوية</v>
      </c>
      <c r="G624" s="731"/>
      <c r="H624" s="731"/>
      <c r="I624" s="731"/>
      <c r="J624" s="731"/>
      <c r="K624" s="731"/>
      <c r="L624" s="731"/>
      <c r="M624" s="731"/>
      <c r="N624" s="731"/>
      <c r="O624" s="731"/>
      <c r="P624" s="731"/>
      <c r="Q624" s="731"/>
      <c r="R624" s="731"/>
      <c r="S624" s="731"/>
      <c r="T624" s="731"/>
      <c r="U624" s="731"/>
      <c r="V624" s="731"/>
      <c r="W624" s="731"/>
      <c r="X624" s="731"/>
      <c r="Y624" s="731"/>
      <c r="Z624" s="731"/>
    </row>
    <row r="625" spans="1:26" x14ac:dyDescent="0.2">
      <c r="A625" s="739">
        <f>Study!CF624</f>
        <v>550</v>
      </c>
      <c r="B625" s="740" t="str">
        <f>Study!CG624</f>
        <v>رسوم إدارة الأصول</v>
      </c>
      <c r="C625" s="744">
        <f>Study!CH624</f>
        <v>0</v>
      </c>
      <c r="D625" s="740" t="str">
        <f>Study!CI624</f>
        <v>مصروفات الصندوق</v>
      </c>
      <c r="E625" s="742" t="str">
        <f>Study!CJ624</f>
        <v>E323</v>
      </c>
      <c r="F625" s="740" t="str">
        <f>Study!CK624</f>
        <v>ريال سعودي</v>
      </c>
      <c r="G625" s="731"/>
      <c r="H625" s="731"/>
      <c r="I625" s="731"/>
      <c r="J625" s="731"/>
      <c r="K625" s="731"/>
      <c r="L625" s="731"/>
      <c r="M625" s="731"/>
      <c r="N625" s="731"/>
      <c r="O625" s="731"/>
      <c r="P625" s="731"/>
      <c r="Q625" s="731"/>
      <c r="R625" s="731"/>
      <c r="S625" s="731"/>
      <c r="T625" s="731"/>
      <c r="U625" s="731"/>
      <c r="V625" s="731"/>
      <c r="W625" s="731"/>
      <c r="X625" s="731"/>
      <c r="Y625" s="731"/>
      <c r="Z625" s="731"/>
    </row>
    <row r="626" spans="1:26" x14ac:dyDescent="0.2">
      <c r="A626" s="735">
        <f>Study!CF625</f>
        <v>551</v>
      </c>
      <c r="B626" s="736" t="str">
        <f>Study!CG625</f>
        <v>نسبة رسوم إدارة الأصول</v>
      </c>
      <c r="C626" s="747">
        <f>Study!CH625</f>
        <v>0</v>
      </c>
      <c r="D626" s="736" t="str">
        <f>Study!CI625</f>
        <v>مصروفات الصندوق</v>
      </c>
      <c r="E626" s="738" t="str">
        <f>Study!CJ625</f>
        <v>C323</v>
      </c>
      <c r="F626" s="736" t="str">
        <f>Study!CK625</f>
        <v>نسبة مئوية</v>
      </c>
      <c r="G626" s="731"/>
      <c r="H626" s="731"/>
      <c r="I626" s="731"/>
      <c r="J626" s="731"/>
      <c r="K626" s="731"/>
      <c r="L626" s="731"/>
      <c r="M626" s="731"/>
      <c r="N626" s="731"/>
      <c r="O626" s="731"/>
      <c r="P626" s="731"/>
      <c r="Q626" s="731"/>
      <c r="R626" s="731"/>
      <c r="S626" s="731"/>
      <c r="T626" s="731"/>
      <c r="U626" s="731"/>
      <c r="V626" s="731"/>
      <c r="W626" s="731"/>
      <c r="X626" s="731"/>
      <c r="Y626" s="731"/>
      <c r="Z626" s="731"/>
    </row>
    <row r="627" spans="1:26" x14ac:dyDescent="0.2">
      <c r="A627" s="739">
        <f>Study!CF626</f>
        <v>552</v>
      </c>
      <c r="B627" s="740" t="str">
        <f>Study!CG626</f>
        <v>أتعاب المشغل</v>
      </c>
      <c r="C627" s="744" t="str">
        <f>Study!CH626</f>
        <v>الإطار الزمني
(Time frame)</v>
      </c>
      <c r="D627" s="740" t="str">
        <f>Study!CI626</f>
        <v>مصروفات الصندوق</v>
      </c>
      <c r="E627" s="742" t="str">
        <f>Study!CJ626</f>
        <v>E324</v>
      </c>
      <c r="F627" s="740" t="str">
        <f>Study!CK626</f>
        <v>ريال سعودي</v>
      </c>
      <c r="G627" s="731"/>
      <c r="H627" s="731"/>
      <c r="I627" s="731"/>
      <c r="J627" s="731"/>
      <c r="K627" s="731"/>
      <c r="L627" s="731"/>
      <c r="M627" s="731"/>
      <c r="N627" s="731"/>
      <c r="O627" s="731"/>
      <c r="P627" s="731"/>
      <c r="Q627" s="731"/>
      <c r="R627" s="731"/>
      <c r="S627" s="731"/>
      <c r="T627" s="731"/>
      <c r="U627" s="731"/>
      <c r="V627" s="731"/>
      <c r="W627" s="731"/>
      <c r="X627" s="731"/>
      <c r="Y627" s="731"/>
      <c r="Z627" s="731"/>
    </row>
    <row r="628" spans="1:26" x14ac:dyDescent="0.2">
      <c r="A628" s="735">
        <f>Study!CF627</f>
        <v>553</v>
      </c>
      <c r="B628" s="736" t="str">
        <f>Study!CG627</f>
        <v>نسبة أتعاب المشغل</v>
      </c>
      <c r="C628" s="747" t="str">
        <f>Study!CH627</f>
        <v>%</v>
      </c>
      <c r="D628" s="736" t="str">
        <f>Study!CI627</f>
        <v>مصروفات الصندوق</v>
      </c>
      <c r="E628" s="738" t="str">
        <f>Study!CJ627</f>
        <v>C324</v>
      </c>
      <c r="F628" s="736" t="str">
        <f>Study!CK627</f>
        <v>نسبة مئوية</v>
      </c>
      <c r="G628" s="731"/>
      <c r="H628" s="731"/>
      <c r="I628" s="731"/>
      <c r="J628" s="731"/>
      <c r="K628" s="731"/>
      <c r="L628" s="731"/>
      <c r="M628" s="731"/>
      <c r="N628" s="731"/>
      <c r="O628" s="731"/>
      <c r="P628" s="731"/>
      <c r="Q628" s="731"/>
      <c r="R628" s="731"/>
      <c r="S628" s="731"/>
      <c r="T628" s="731"/>
      <c r="U628" s="731"/>
      <c r="V628" s="731"/>
      <c r="W628" s="731"/>
      <c r="X628" s="731"/>
      <c r="Y628" s="731"/>
      <c r="Z628" s="731"/>
    </row>
    <row r="629" spans="1:26" x14ac:dyDescent="0.2">
      <c r="A629" s="739">
        <f>Study!CF628</f>
        <v>554</v>
      </c>
      <c r="B629" s="740" t="str">
        <f>Study!CG628</f>
        <v>إجمالي مصروفات الصندوق</v>
      </c>
      <c r="C629" s="744">
        <f>Study!CH628</f>
        <v>0</v>
      </c>
      <c r="D629" s="740" t="str">
        <f>Study!CI628</f>
        <v>مصروفات الصندوق</v>
      </c>
      <c r="E629" s="742" t="str">
        <f>Study!CJ628</f>
        <v>E325</v>
      </c>
      <c r="F629" s="740" t="str">
        <f>Study!CK628</f>
        <v>ريال سعودي</v>
      </c>
      <c r="G629" s="731"/>
      <c r="H629" s="731"/>
      <c r="I629" s="731"/>
      <c r="J629" s="731"/>
      <c r="K629" s="731"/>
      <c r="L629" s="731"/>
      <c r="M629" s="731"/>
      <c r="N629" s="731"/>
      <c r="O629" s="731"/>
      <c r="P629" s="731"/>
      <c r="Q629" s="731"/>
      <c r="R629" s="731"/>
      <c r="S629" s="731"/>
      <c r="T629" s="731"/>
      <c r="U629" s="731"/>
      <c r="V629" s="731"/>
      <c r="W629" s="731"/>
      <c r="X629" s="731"/>
      <c r="Y629" s="731"/>
      <c r="Z629" s="731"/>
    </row>
    <row r="630" spans="1:26" ht="15" x14ac:dyDescent="0.2">
      <c r="A630" s="734" t="str">
        <f>Study!CF629</f>
        <v>▌ التسهيلات المصرفية</v>
      </c>
      <c r="B630" s="734">
        <f>Study!CG629</f>
        <v>0</v>
      </c>
      <c r="C630" s="734">
        <f>Study!CH629</f>
        <v>0</v>
      </c>
      <c r="D630" s="734">
        <f>Study!CI629</f>
        <v>0</v>
      </c>
      <c r="E630" s="734">
        <f>Study!CJ629</f>
        <v>0</v>
      </c>
      <c r="F630" s="734">
        <f>Study!CK629</f>
        <v>0</v>
      </c>
      <c r="G630" s="731"/>
      <c r="H630" s="731"/>
      <c r="I630" s="731"/>
      <c r="J630" s="731"/>
      <c r="K630" s="731"/>
      <c r="L630" s="731"/>
      <c r="M630" s="731"/>
      <c r="N630" s="731"/>
      <c r="O630" s="731"/>
      <c r="P630" s="731"/>
      <c r="Q630" s="731"/>
      <c r="R630" s="731"/>
      <c r="S630" s="731"/>
      <c r="T630" s="731"/>
      <c r="U630" s="731"/>
      <c r="V630" s="731"/>
      <c r="W630" s="731"/>
      <c r="X630" s="731"/>
      <c r="Y630" s="731"/>
      <c r="Z630" s="731"/>
    </row>
    <row r="631" spans="1:26" x14ac:dyDescent="0.2">
      <c r="A631" s="735">
        <f>Study!CF630</f>
        <v>555</v>
      </c>
      <c r="B631" s="736" t="str">
        <f>Study!CG630</f>
        <v>نسبة فوائد التمويل السنوية</v>
      </c>
      <c r="C631" s="747">
        <f>Study!CH630</f>
        <v>7.2999999999999995E-2</v>
      </c>
      <c r="D631" s="736" t="str">
        <f>Study!CI630</f>
        <v>التسهيلات المصرفية</v>
      </c>
      <c r="E631" s="738" t="str">
        <f>Study!CJ630</f>
        <v>F242</v>
      </c>
      <c r="F631" s="736" t="str">
        <f>Study!CK630</f>
        <v>نسبة مئوية</v>
      </c>
      <c r="G631" s="731"/>
      <c r="H631" s="731"/>
      <c r="I631" s="731"/>
      <c r="J631" s="731"/>
      <c r="K631" s="731"/>
      <c r="L631" s="731"/>
      <c r="M631" s="731"/>
      <c r="N631" s="731"/>
      <c r="O631" s="731"/>
      <c r="P631" s="731"/>
      <c r="Q631" s="731"/>
      <c r="R631" s="731"/>
      <c r="S631" s="731"/>
      <c r="T631" s="731"/>
      <c r="U631" s="731"/>
      <c r="V631" s="731"/>
      <c r="W631" s="731"/>
      <c r="X631" s="731"/>
      <c r="Y631" s="731"/>
      <c r="Z631" s="731"/>
    </row>
    <row r="632" spans="1:26" x14ac:dyDescent="0.2">
      <c r="A632" s="739">
        <f>Study!CF631</f>
        <v>556</v>
      </c>
      <c r="B632" s="740" t="str">
        <f>Study!CG631</f>
        <v>نسبة فوائد التمويل الربع السنوية (QER)</v>
      </c>
      <c r="C632" s="746">
        <f>Study!CH631</f>
        <v>1.8249999999999999E-2</v>
      </c>
      <c r="D632" s="740" t="str">
        <f>Study!CI631</f>
        <v>التسهيلات المصرفية</v>
      </c>
      <c r="E632" s="742" t="str">
        <f>Study!CJ631</f>
        <v>F244</v>
      </c>
      <c r="F632" s="740" t="str">
        <f>Study!CK631</f>
        <v>نسبة مئوية</v>
      </c>
      <c r="G632" s="731"/>
      <c r="H632" s="731"/>
      <c r="I632" s="731"/>
      <c r="J632" s="731"/>
      <c r="K632" s="731"/>
      <c r="L632" s="731"/>
      <c r="M632" s="731"/>
      <c r="N632" s="731"/>
      <c r="O632" s="731"/>
      <c r="P632" s="731"/>
      <c r="Q632" s="731"/>
      <c r="R632" s="731"/>
      <c r="S632" s="731"/>
      <c r="T632" s="731"/>
      <c r="U632" s="731"/>
      <c r="V632" s="731"/>
      <c r="W632" s="731"/>
      <c r="X632" s="731"/>
      <c r="Y632" s="731"/>
      <c r="Z632" s="731"/>
    </row>
    <row r="633" spans="1:26" ht="15" x14ac:dyDescent="0.2">
      <c r="A633" s="734" t="str">
        <f>Study!CF632</f>
        <v>▌ التدفقات النقدية</v>
      </c>
      <c r="B633" s="734">
        <f>Study!CG632</f>
        <v>0</v>
      </c>
      <c r="C633" s="734">
        <f>Study!CH632</f>
        <v>0</v>
      </c>
      <c r="D633" s="734">
        <f>Study!CI632</f>
        <v>0</v>
      </c>
      <c r="E633" s="734">
        <f>Study!CJ632</f>
        <v>0</v>
      </c>
      <c r="F633" s="734">
        <f>Study!CK632</f>
        <v>0</v>
      </c>
      <c r="G633" s="731"/>
      <c r="H633" s="731"/>
      <c r="I633" s="731"/>
      <c r="J633" s="731"/>
      <c r="K633" s="731"/>
      <c r="L633" s="731"/>
      <c r="M633" s="731"/>
      <c r="N633" s="731"/>
      <c r="O633" s="731"/>
      <c r="P633" s="731"/>
      <c r="Q633" s="731"/>
      <c r="R633" s="731"/>
      <c r="S633" s="731"/>
      <c r="T633" s="731"/>
      <c r="U633" s="731"/>
      <c r="V633" s="731"/>
      <c r="W633" s="731"/>
      <c r="X633" s="731"/>
      <c r="Y633" s="731"/>
      <c r="Z633" s="731"/>
    </row>
    <row r="634" spans="1:26" x14ac:dyDescent="0.2">
      <c r="A634" s="735">
        <f>Study!CF633</f>
        <v>557</v>
      </c>
      <c r="B634" s="736" t="str">
        <f>Study!CG633</f>
        <v>الاشتراكات النقدية - قيمة إجمالية</v>
      </c>
      <c r="C634" s="743">
        <f>Study!CH633</f>
        <v>34500000</v>
      </c>
      <c r="D634" s="736" t="str">
        <f>Study!CI633</f>
        <v>التدفقات النقدية</v>
      </c>
      <c r="E634" s="738" t="str">
        <f>Study!CJ633</f>
        <v>C180</v>
      </c>
      <c r="F634" s="736" t="str">
        <f>Study!CK633</f>
        <v>ريال سعودي</v>
      </c>
      <c r="G634" s="731"/>
      <c r="H634" s="731"/>
      <c r="I634" s="731"/>
      <c r="J634" s="731"/>
      <c r="K634" s="731"/>
      <c r="L634" s="731"/>
      <c r="M634" s="731"/>
      <c r="N634" s="731"/>
      <c r="O634" s="731"/>
      <c r="P634" s="731"/>
      <c r="Q634" s="731"/>
      <c r="R634" s="731"/>
      <c r="S634" s="731"/>
      <c r="T634" s="731"/>
      <c r="U634" s="731"/>
      <c r="V634" s="731"/>
      <c r="W634" s="731"/>
      <c r="X634" s="731"/>
      <c r="Y634" s="731"/>
      <c r="Z634" s="731"/>
    </row>
    <row r="635" spans="1:26" x14ac:dyDescent="0.2">
      <c r="A635" s="739">
        <f>Study!CF634</f>
        <v>558</v>
      </c>
      <c r="B635" s="740" t="str">
        <f>Study!CG634</f>
        <v>الاشتراك النقدي من المطور - قيمة إجمالية</v>
      </c>
      <c r="C635" s="744">
        <f>Study!CH634</f>
        <v>11100000</v>
      </c>
      <c r="D635" s="740" t="str">
        <f>Study!CI634</f>
        <v>التدفقات النقدية</v>
      </c>
      <c r="E635" s="742" t="str">
        <f>Study!CJ634</f>
        <v>C181</v>
      </c>
      <c r="F635" s="740" t="str">
        <f>Study!CK634</f>
        <v>ريال سعودي</v>
      </c>
      <c r="G635" s="731"/>
      <c r="H635" s="731"/>
      <c r="I635" s="731"/>
      <c r="J635" s="731"/>
      <c r="K635" s="731"/>
      <c r="L635" s="731"/>
      <c r="M635" s="731"/>
      <c r="N635" s="731"/>
      <c r="O635" s="731"/>
      <c r="P635" s="731"/>
      <c r="Q635" s="731"/>
      <c r="R635" s="731"/>
      <c r="S635" s="731"/>
      <c r="T635" s="731"/>
      <c r="U635" s="731"/>
      <c r="V635" s="731"/>
      <c r="W635" s="731"/>
      <c r="X635" s="731"/>
      <c r="Y635" s="731"/>
      <c r="Z635" s="731"/>
    </row>
    <row r="636" spans="1:26" x14ac:dyDescent="0.2">
      <c r="A636" s="735">
        <f>Study!CF635</f>
        <v>559</v>
      </c>
      <c r="B636" s="736" t="str">
        <f>Study!CG635</f>
        <v>الاشتراك العيني من المطور - قيمة إجمالية</v>
      </c>
      <c r="C636" s="743">
        <f>Study!CH635</f>
        <v>0</v>
      </c>
      <c r="D636" s="736" t="str">
        <f>Study!CI635</f>
        <v>التدفقات النقدية</v>
      </c>
      <c r="E636" s="738" t="str">
        <f>Study!CJ635</f>
        <v>C182</v>
      </c>
      <c r="F636" s="736" t="str">
        <f>Study!CK635</f>
        <v>ريال سعودي</v>
      </c>
      <c r="G636" s="731"/>
      <c r="H636" s="731"/>
      <c r="I636" s="731"/>
      <c r="J636" s="731"/>
      <c r="K636" s="731"/>
      <c r="L636" s="731"/>
      <c r="M636" s="731"/>
      <c r="N636" s="731"/>
      <c r="O636" s="731"/>
      <c r="P636" s="731"/>
      <c r="Q636" s="731"/>
      <c r="R636" s="731"/>
      <c r="S636" s="731"/>
      <c r="T636" s="731"/>
      <c r="U636" s="731"/>
      <c r="V636" s="731"/>
      <c r="W636" s="731"/>
      <c r="X636" s="731"/>
      <c r="Y636" s="731"/>
      <c r="Z636" s="731"/>
    </row>
    <row r="637" spans="1:26" x14ac:dyDescent="0.2">
      <c r="A637" s="739">
        <f>Study!CF636</f>
        <v>560</v>
      </c>
      <c r="B637" s="740" t="str">
        <f>Study!CG636</f>
        <v>الاشتراك العيني من مالك الأرض - قيمة إجمالية</v>
      </c>
      <c r="C637" s="744">
        <f>Study!CH636</f>
        <v>62809599.999999993</v>
      </c>
      <c r="D637" s="740" t="str">
        <f>Study!CI636</f>
        <v>التدفقات النقدية</v>
      </c>
      <c r="E637" s="742" t="str">
        <f>Study!CJ636</f>
        <v>C183</v>
      </c>
      <c r="F637" s="740" t="str">
        <f>Study!CK636</f>
        <v>ريال سعودي</v>
      </c>
      <c r="G637" s="731"/>
      <c r="H637" s="731"/>
      <c r="I637" s="731"/>
      <c r="J637" s="731"/>
      <c r="K637" s="731"/>
      <c r="L637" s="731"/>
      <c r="M637" s="731"/>
      <c r="N637" s="731"/>
      <c r="O637" s="731"/>
      <c r="P637" s="731"/>
      <c r="Q637" s="731"/>
      <c r="R637" s="731"/>
      <c r="S637" s="731"/>
      <c r="T637" s="731"/>
      <c r="U637" s="731"/>
      <c r="V637" s="731"/>
      <c r="W637" s="731"/>
      <c r="X637" s="731"/>
      <c r="Y637" s="731"/>
      <c r="Z637" s="731"/>
    </row>
    <row r="638" spans="1:26" x14ac:dyDescent="0.2">
      <c r="A638" s="735">
        <f>Study!CF637</f>
        <v>561</v>
      </c>
      <c r="B638" s="736" t="str">
        <f>Study!CG637</f>
        <v>البيع على الخارطة - قيمة إجمالية</v>
      </c>
      <c r="C638" s="743">
        <f>Study!CH637</f>
        <v>46486956.52173914</v>
      </c>
      <c r="D638" s="736" t="str">
        <f>Study!CI637</f>
        <v>التدفقات النقدية</v>
      </c>
      <c r="E638" s="738" t="str">
        <f>Study!CJ637</f>
        <v>C184</v>
      </c>
      <c r="F638" s="736" t="str">
        <f>Study!CK637</f>
        <v>ريال سعودي</v>
      </c>
      <c r="G638" s="731"/>
      <c r="H638" s="731"/>
      <c r="I638" s="731"/>
      <c r="J638" s="731"/>
      <c r="K638" s="731"/>
      <c r="L638" s="731"/>
      <c r="M638" s="731"/>
      <c r="N638" s="731"/>
      <c r="O638" s="731"/>
      <c r="P638" s="731"/>
      <c r="Q638" s="731"/>
      <c r="R638" s="731"/>
      <c r="S638" s="731"/>
      <c r="T638" s="731"/>
      <c r="U638" s="731"/>
      <c r="V638" s="731"/>
      <c r="W638" s="731"/>
      <c r="X638" s="731"/>
      <c r="Y638" s="731"/>
      <c r="Z638" s="731"/>
    </row>
    <row r="639" spans="1:26" x14ac:dyDescent="0.2">
      <c r="A639" s="739">
        <f>Study!CF638</f>
        <v>562</v>
      </c>
      <c r="B639" s="740" t="str">
        <f>Study!CG638</f>
        <v>التأجير السنوي - قيمة إجمالية</v>
      </c>
      <c r="C639" s="744">
        <f>Study!CH638</f>
        <v>2471311.08</v>
      </c>
      <c r="D639" s="740" t="str">
        <f>Study!CI638</f>
        <v>التدفقات النقدية</v>
      </c>
      <c r="E639" s="742" t="str">
        <f>Study!CJ638</f>
        <v>C185</v>
      </c>
      <c r="F639" s="740" t="str">
        <f>Study!CK638</f>
        <v>ريال سعودي</v>
      </c>
      <c r="G639" s="731"/>
      <c r="H639" s="731"/>
      <c r="I639" s="731"/>
      <c r="J639" s="731"/>
      <c r="K639" s="731"/>
      <c r="L639" s="731"/>
      <c r="M639" s="731"/>
      <c r="N639" s="731"/>
      <c r="O639" s="731"/>
      <c r="P639" s="731"/>
      <c r="Q639" s="731"/>
      <c r="R639" s="731"/>
      <c r="S639" s="731"/>
      <c r="T639" s="731"/>
      <c r="U639" s="731"/>
      <c r="V639" s="731"/>
      <c r="W639" s="731"/>
      <c r="X639" s="731"/>
      <c r="Y639" s="731"/>
      <c r="Z639" s="731"/>
    </row>
    <row r="640" spans="1:26" x14ac:dyDescent="0.2">
      <c r="A640" s="735">
        <f>Study!CF639</f>
        <v>563</v>
      </c>
      <c r="B640" s="736" t="str">
        <f>Study!CG639</f>
        <v>التأجير اليومي - قيمة إجمالية</v>
      </c>
      <c r="C640" s="743">
        <f>Study!CH639</f>
        <v>21352500</v>
      </c>
      <c r="D640" s="736" t="str">
        <f>Study!CI639</f>
        <v>التدفقات النقدية</v>
      </c>
      <c r="E640" s="738" t="str">
        <f>Study!CJ639</f>
        <v>C186</v>
      </c>
      <c r="F640" s="736" t="str">
        <f>Study!CK639</f>
        <v>ريال سعودي</v>
      </c>
      <c r="G640" s="731"/>
      <c r="H640" s="731"/>
      <c r="I640" s="731"/>
      <c r="J640" s="731"/>
      <c r="K640" s="731"/>
      <c r="L640" s="731"/>
      <c r="M640" s="731"/>
      <c r="N640" s="731"/>
      <c r="O640" s="731"/>
      <c r="P640" s="731"/>
      <c r="Q640" s="731"/>
      <c r="R640" s="731"/>
      <c r="S640" s="731"/>
      <c r="T640" s="731"/>
      <c r="U640" s="731"/>
      <c r="V640" s="731"/>
      <c r="W640" s="731"/>
      <c r="X640" s="731"/>
      <c r="Y640" s="731"/>
      <c r="Z640" s="731"/>
    </row>
    <row r="641" spans="1:26" x14ac:dyDescent="0.2">
      <c r="A641" s="739">
        <f>Study!CF640</f>
        <v>564</v>
      </c>
      <c r="B641" s="740" t="str">
        <f>Study!CG640</f>
        <v>البيع المباشر - قيمة إجمالية</v>
      </c>
      <c r="C641" s="744">
        <f>Study!CH640</f>
        <v>0</v>
      </c>
      <c r="D641" s="740" t="str">
        <f>Study!CI640</f>
        <v>التدفقات النقدية</v>
      </c>
      <c r="E641" s="742" t="str">
        <f>Study!CJ640</f>
        <v>C187</v>
      </c>
      <c r="F641" s="740" t="str">
        <f>Study!CK640</f>
        <v>ريال سعودي</v>
      </c>
      <c r="G641" s="731"/>
      <c r="H641" s="731"/>
      <c r="I641" s="731"/>
      <c r="J641" s="731"/>
      <c r="K641" s="731"/>
      <c r="L641" s="731"/>
      <c r="M641" s="731"/>
      <c r="N641" s="731"/>
      <c r="O641" s="731"/>
      <c r="P641" s="731"/>
      <c r="Q641" s="731"/>
      <c r="R641" s="731"/>
      <c r="S641" s="731"/>
      <c r="T641" s="731"/>
      <c r="U641" s="731"/>
      <c r="V641" s="731"/>
      <c r="W641" s="731"/>
      <c r="X641" s="731"/>
      <c r="Y641" s="731"/>
      <c r="Z641" s="731"/>
    </row>
    <row r="642" spans="1:26" x14ac:dyDescent="0.2">
      <c r="A642" s="735">
        <f>Study!CF641</f>
        <v>565</v>
      </c>
      <c r="B642" s="736" t="str">
        <f>Study!CG641</f>
        <v>المخارجة (Buyout) - قيمة إجمالية</v>
      </c>
      <c r="C642" s="743">
        <f>Study!CH641</f>
        <v>242871819.07499996</v>
      </c>
      <c r="D642" s="736" t="str">
        <f>Study!CI641</f>
        <v>التدفقات النقدية</v>
      </c>
      <c r="E642" s="738" t="str">
        <f>Study!CJ641</f>
        <v>C188</v>
      </c>
      <c r="F642" s="736" t="str">
        <f>Study!CK641</f>
        <v>ريال سعودي</v>
      </c>
      <c r="G642" s="731"/>
      <c r="H642" s="731"/>
      <c r="I642" s="731"/>
      <c r="J642" s="731"/>
      <c r="K642" s="731"/>
      <c r="L642" s="731"/>
      <c r="M642" s="731"/>
      <c r="N642" s="731"/>
      <c r="O642" s="731"/>
      <c r="P642" s="731"/>
      <c r="Q642" s="731"/>
      <c r="R642" s="731"/>
      <c r="S642" s="731"/>
      <c r="T642" s="731"/>
      <c r="U642" s="731"/>
      <c r="V642" s="731"/>
      <c r="W642" s="731"/>
      <c r="X642" s="731"/>
      <c r="Y642" s="731"/>
      <c r="Z642" s="731"/>
    </row>
    <row r="643" spans="1:26" x14ac:dyDescent="0.2">
      <c r="A643" s="739">
        <f>Study!CF642</f>
        <v>566</v>
      </c>
      <c r="B643" s="740" t="str">
        <f>Study!CG642</f>
        <v>أصل التمويل - قيمة إجمالية</v>
      </c>
      <c r="C643" s="744">
        <f>Study!CH642</f>
        <v>0.01</v>
      </c>
      <c r="D643" s="740" t="str">
        <f>Study!CI642</f>
        <v>التدفقات النقدية</v>
      </c>
      <c r="E643" s="742" t="str">
        <f>Study!CJ642</f>
        <v>C189</v>
      </c>
      <c r="F643" s="740" t="str">
        <f>Study!CK642</f>
        <v>ريال سعودي</v>
      </c>
      <c r="G643" s="731"/>
      <c r="H643" s="731"/>
      <c r="I643" s="731"/>
      <c r="J643" s="731"/>
      <c r="K643" s="731"/>
      <c r="L643" s="731"/>
      <c r="M643" s="731"/>
      <c r="N643" s="731"/>
      <c r="O643" s="731"/>
      <c r="P643" s="731"/>
      <c r="Q643" s="731"/>
      <c r="R643" s="731"/>
      <c r="S643" s="731"/>
      <c r="T643" s="731"/>
      <c r="U643" s="731"/>
      <c r="V643" s="731"/>
      <c r="W643" s="731"/>
      <c r="X643" s="731"/>
      <c r="Y643" s="731"/>
      <c r="Z643" s="731"/>
    </row>
    <row r="644" spans="1:26" x14ac:dyDescent="0.2">
      <c r="A644" s="735">
        <f>Study!CF643</f>
        <v>567</v>
      </c>
      <c r="B644" s="736" t="str">
        <f>Study!CG643</f>
        <v>سداد أصل التمويل - قيمة إجمالية</v>
      </c>
      <c r="C644" s="743">
        <f>Study!CH643</f>
        <v>-54352006</v>
      </c>
      <c r="D644" s="736" t="str">
        <f>Study!CI643</f>
        <v>التدفقات النقدية</v>
      </c>
      <c r="E644" s="738" t="str">
        <f>Study!CJ643</f>
        <v>C191</v>
      </c>
      <c r="F644" s="736" t="str">
        <f>Study!CK643</f>
        <v>ريال سعودي</v>
      </c>
      <c r="G644" s="731"/>
      <c r="H644" s="731"/>
      <c r="I644" s="731"/>
      <c r="J644" s="731"/>
      <c r="K644" s="731"/>
      <c r="L644" s="731"/>
      <c r="M644" s="731"/>
      <c r="N644" s="731"/>
      <c r="O644" s="731"/>
      <c r="P644" s="731"/>
      <c r="Q644" s="731"/>
      <c r="R644" s="731"/>
      <c r="S644" s="731"/>
      <c r="T644" s="731"/>
      <c r="U644" s="731"/>
      <c r="V644" s="731"/>
      <c r="W644" s="731"/>
      <c r="X644" s="731"/>
      <c r="Y644" s="731"/>
      <c r="Z644" s="731"/>
    </row>
    <row r="645" spans="1:26" x14ac:dyDescent="0.2">
      <c r="A645" s="739">
        <f>Study!CF644</f>
        <v>568</v>
      </c>
      <c r="B645" s="740" t="str">
        <f>Study!CG644</f>
        <v>نسبة فوائد التمويل</v>
      </c>
      <c r="C645" s="746">
        <f>Study!CH644</f>
        <v>7.2999999999999995E-2</v>
      </c>
      <c r="D645" s="740" t="str">
        <f>Study!CI644</f>
        <v>التدفقات النقدية</v>
      </c>
      <c r="E645" s="742" t="str">
        <f>Study!CJ644</f>
        <v>C192</v>
      </c>
      <c r="F645" s="740" t="str">
        <f>Study!CK644</f>
        <v>نسبة مئوية</v>
      </c>
      <c r="G645" s="731"/>
      <c r="H645" s="731"/>
      <c r="I645" s="731"/>
      <c r="J645" s="731"/>
      <c r="K645" s="731"/>
      <c r="L645" s="731"/>
      <c r="M645" s="731"/>
      <c r="N645" s="731"/>
      <c r="O645" s="731"/>
      <c r="P645" s="731"/>
      <c r="Q645" s="731"/>
      <c r="R645" s="731"/>
      <c r="S645" s="731"/>
      <c r="T645" s="731"/>
      <c r="U645" s="731"/>
      <c r="V645" s="731"/>
      <c r="W645" s="731"/>
      <c r="X645" s="731"/>
      <c r="Y645" s="731"/>
      <c r="Z645" s="731"/>
    </row>
    <row r="646" spans="1:26" x14ac:dyDescent="0.2">
      <c r="A646" s="735">
        <f>Study!CF645</f>
        <v>569</v>
      </c>
      <c r="B646" s="736" t="str">
        <f>Study!CG645</f>
        <v>نسبة رسوم ترتيب التمويل</v>
      </c>
      <c r="C646" s="747">
        <f>Study!CH645</f>
        <v>5.0000000000000001E-3</v>
      </c>
      <c r="D646" s="736" t="str">
        <f>Study!CI645</f>
        <v>التدفقات النقدية</v>
      </c>
      <c r="E646" s="738" t="str">
        <f>Study!CJ645</f>
        <v>C193</v>
      </c>
      <c r="F646" s="736" t="str">
        <f>Study!CK645</f>
        <v>نسبة مئوية</v>
      </c>
      <c r="G646" s="731"/>
      <c r="H646" s="731"/>
      <c r="I646" s="731"/>
      <c r="J646" s="731"/>
      <c r="K646" s="731"/>
      <c r="L646" s="731"/>
      <c r="M646" s="731"/>
      <c r="N646" s="731"/>
      <c r="O646" s="731"/>
      <c r="P646" s="731"/>
      <c r="Q646" s="731"/>
      <c r="R646" s="731"/>
      <c r="S646" s="731"/>
      <c r="T646" s="731"/>
      <c r="U646" s="731"/>
      <c r="V646" s="731"/>
      <c r="W646" s="731"/>
      <c r="X646" s="731"/>
      <c r="Y646" s="731"/>
      <c r="Z646" s="731"/>
    </row>
    <row r="647" spans="1:26" x14ac:dyDescent="0.2">
      <c r="A647" s="739">
        <f>Study!CF646</f>
        <v>570</v>
      </c>
      <c r="B647" s="740" t="str">
        <f>Study!CG646</f>
        <v>تكلفة الأرض (تدفقات)</v>
      </c>
      <c r="C647" s="744">
        <f>Study!CH646</f>
        <v>-89728000</v>
      </c>
      <c r="D647" s="740" t="str">
        <f>Study!CI646</f>
        <v>التدفقات النقدية</v>
      </c>
      <c r="E647" s="742" t="str">
        <f>Study!CJ646</f>
        <v>C194</v>
      </c>
      <c r="F647" s="740" t="str">
        <f>Study!CK646</f>
        <v>ريال سعودي</v>
      </c>
      <c r="G647" s="731"/>
      <c r="H647" s="731"/>
      <c r="I647" s="731"/>
      <c r="J647" s="731"/>
      <c r="K647" s="731"/>
      <c r="L647" s="731"/>
      <c r="M647" s="731"/>
      <c r="N647" s="731"/>
      <c r="O647" s="731"/>
      <c r="P647" s="731"/>
      <c r="Q647" s="731"/>
      <c r="R647" s="731"/>
      <c r="S647" s="731"/>
      <c r="T647" s="731"/>
      <c r="U647" s="731"/>
      <c r="V647" s="731"/>
      <c r="W647" s="731"/>
      <c r="X647" s="731"/>
      <c r="Y647" s="731"/>
      <c r="Z647" s="731"/>
    </row>
    <row r="648" spans="1:26" x14ac:dyDescent="0.2">
      <c r="A648" s="735">
        <f>Study!CF647</f>
        <v>571</v>
      </c>
      <c r="B648" s="736" t="str">
        <f>Study!CG647</f>
        <v>ضريبة التصرفات + السعي (تدفقات)</v>
      </c>
      <c r="C648" s="743">
        <f>Study!CH647</f>
        <v>-2119824</v>
      </c>
      <c r="D648" s="736" t="str">
        <f>Study!CI647</f>
        <v>التدفقات النقدية</v>
      </c>
      <c r="E648" s="738" t="str">
        <f>Study!CJ647</f>
        <v>C195</v>
      </c>
      <c r="F648" s="736" t="str">
        <f>Study!CK647</f>
        <v>ريال سعودي</v>
      </c>
      <c r="G648" s="731"/>
      <c r="H648" s="731"/>
      <c r="I648" s="731"/>
      <c r="J648" s="731"/>
      <c r="K648" s="731"/>
      <c r="L648" s="731"/>
      <c r="M648" s="731"/>
      <c r="N648" s="731"/>
      <c r="O648" s="731"/>
      <c r="P648" s="731"/>
      <c r="Q648" s="731"/>
      <c r="R648" s="731"/>
      <c r="S648" s="731"/>
      <c r="T648" s="731"/>
      <c r="U648" s="731"/>
      <c r="V648" s="731"/>
      <c r="W648" s="731"/>
      <c r="X648" s="731"/>
      <c r="Y648" s="731"/>
      <c r="Z648" s="731"/>
    </row>
    <row r="649" spans="1:26" x14ac:dyDescent="0.2">
      <c r="A649" s="739">
        <f>Study!CF648</f>
        <v>572</v>
      </c>
      <c r="B649" s="740" t="str">
        <f>Study!CG648</f>
        <v>تكاليف مسطحات البناء (تدفقات)</v>
      </c>
      <c r="C649" s="744">
        <f>Study!CH648</f>
        <v>-78265608</v>
      </c>
      <c r="D649" s="740" t="str">
        <f>Study!CI648</f>
        <v>التدفقات النقدية</v>
      </c>
      <c r="E649" s="742" t="str">
        <f>Study!CJ648</f>
        <v>C196</v>
      </c>
      <c r="F649" s="740" t="str">
        <f>Study!CK648</f>
        <v>ريال سعودي</v>
      </c>
      <c r="G649" s="731"/>
      <c r="H649" s="731"/>
      <c r="I649" s="731"/>
      <c r="J649" s="731"/>
      <c r="K649" s="731"/>
      <c r="L649" s="731"/>
      <c r="M649" s="731"/>
      <c r="N649" s="731"/>
      <c r="O649" s="731"/>
      <c r="P649" s="731"/>
      <c r="Q649" s="731"/>
      <c r="R649" s="731"/>
      <c r="S649" s="731"/>
      <c r="T649" s="731"/>
      <c r="U649" s="731"/>
      <c r="V649" s="731"/>
      <c r="W649" s="731"/>
      <c r="X649" s="731"/>
      <c r="Y649" s="731"/>
      <c r="Z649" s="731"/>
    </row>
    <row r="650" spans="1:26" x14ac:dyDescent="0.2">
      <c r="A650" s="735">
        <f>Study!CF649</f>
        <v>573</v>
      </c>
      <c r="B650" s="736" t="str">
        <f>Study!CG649</f>
        <v>صافي التدفق النقدي (تدفقات)</v>
      </c>
      <c r="C650" s="743">
        <f>Study!CH649</f>
        <v>85913220.679271087</v>
      </c>
      <c r="D650" s="736" t="str">
        <f>Study!CI649</f>
        <v>التدفقات النقدية</v>
      </c>
      <c r="E650" s="738" t="str">
        <f>Study!CJ649</f>
        <v>C218</v>
      </c>
      <c r="F650" s="736" t="str">
        <f>Study!CK649</f>
        <v>ريال سعودي</v>
      </c>
      <c r="G650" s="731"/>
      <c r="H650" s="731"/>
      <c r="I650" s="731"/>
      <c r="J650" s="731"/>
      <c r="K650" s="731"/>
      <c r="L650" s="731"/>
      <c r="M650" s="731"/>
      <c r="N650" s="731"/>
      <c r="O650" s="731"/>
      <c r="P650" s="731"/>
      <c r="Q650" s="731"/>
      <c r="R650" s="731"/>
      <c r="S650" s="731"/>
      <c r="T650" s="731"/>
      <c r="U650" s="731"/>
      <c r="V650" s="731"/>
      <c r="W650" s="731"/>
      <c r="X650" s="731"/>
      <c r="Y650" s="731"/>
      <c r="Z650" s="731"/>
    </row>
    <row r="651" spans="1:26" x14ac:dyDescent="0.2">
      <c r="A651" s="739">
        <f>Study!CF650</f>
        <v>574</v>
      </c>
      <c r="B651" s="740" t="str">
        <f>Study!CG650</f>
        <v>إجمالي CapEx + OpEx (تدفقات)</v>
      </c>
      <c r="C651" s="744">
        <f>Study!CH650</f>
        <v>227269365.99746799</v>
      </c>
      <c r="D651" s="740" t="str">
        <f>Study!CI650</f>
        <v>التدفقات النقدية</v>
      </c>
      <c r="E651" s="742" t="str">
        <f>Study!CJ650</f>
        <v>C219</v>
      </c>
      <c r="F651" s="740" t="str">
        <f>Study!CK650</f>
        <v>ريال سعودي</v>
      </c>
      <c r="G651" s="731"/>
      <c r="H651" s="731"/>
      <c r="I651" s="731"/>
      <c r="J651" s="731"/>
      <c r="K651" s="731"/>
      <c r="L651" s="731"/>
      <c r="M651" s="731"/>
      <c r="N651" s="731"/>
      <c r="O651" s="731"/>
      <c r="P651" s="731"/>
      <c r="Q651" s="731"/>
      <c r="R651" s="731"/>
      <c r="S651" s="731"/>
      <c r="T651" s="731"/>
      <c r="U651" s="731"/>
      <c r="V651" s="731"/>
      <c r="W651" s="731"/>
      <c r="X651" s="731"/>
      <c r="Y651" s="731"/>
      <c r="Z651" s="731"/>
    </row>
    <row r="652" spans="1:26" x14ac:dyDescent="0.2">
      <c r="A652" s="735">
        <f>Study!CF651</f>
        <v>575</v>
      </c>
      <c r="B652" s="736" t="str">
        <f>Study!CG651</f>
        <v>إجمالي الإيرادات (تدفقات)</v>
      </c>
      <c r="C652" s="743">
        <f>Study!CH651</f>
        <v>313182586.6767391</v>
      </c>
      <c r="D652" s="736" t="str">
        <f>Study!CI651</f>
        <v>التدفقات النقدية</v>
      </c>
      <c r="E652" s="738" t="str">
        <f>Study!CJ651</f>
        <v>C220</v>
      </c>
      <c r="F652" s="736" t="str">
        <f>Study!CK651</f>
        <v>ريال سعودي</v>
      </c>
      <c r="G652" s="731"/>
      <c r="H652" s="731"/>
      <c r="I652" s="731"/>
      <c r="J652" s="731"/>
      <c r="K652" s="731"/>
      <c r="L652" s="731"/>
      <c r="M652" s="731"/>
      <c r="N652" s="731"/>
      <c r="O652" s="731"/>
      <c r="P652" s="731"/>
      <c r="Q652" s="731"/>
      <c r="R652" s="731"/>
      <c r="S652" s="731"/>
      <c r="T652" s="731"/>
      <c r="U652" s="731"/>
      <c r="V652" s="731"/>
      <c r="W652" s="731"/>
      <c r="X652" s="731"/>
      <c r="Y652" s="731"/>
      <c r="Z652" s="731"/>
    </row>
    <row r="653" spans="1:26" x14ac:dyDescent="0.2">
      <c r="A653" s="739">
        <f>Study!CF652</f>
        <v>576</v>
      </c>
      <c r="B653" s="740" t="str">
        <f>Study!CG652</f>
        <v>صافي الدخل (تدفقات)</v>
      </c>
      <c r="C653" s="744">
        <f>Study!CH652</f>
        <v>85913220.679271102</v>
      </c>
      <c r="D653" s="740" t="str">
        <f>Study!CI652</f>
        <v>التدفقات النقدية</v>
      </c>
      <c r="E653" s="742" t="str">
        <f>Study!CJ652</f>
        <v>C221</v>
      </c>
      <c r="F653" s="740" t="str">
        <f>Study!CK652</f>
        <v>ريال سعودي</v>
      </c>
      <c r="G653" s="731"/>
      <c r="H653" s="731"/>
      <c r="I653" s="731"/>
      <c r="J653" s="731"/>
      <c r="K653" s="731"/>
      <c r="L653" s="731"/>
      <c r="M653" s="731"/>
      <c r="N653" s="731"/>
      <c r="O653" s="731"/>
      <c r="P653" s="731"/>
      <c r="Q653" s="731"/>
      <c r="R653" s="731"/>
      <c r="S653" s="731"/>
      <c r="T653" s="731"/>
      <c r="U653" s="731"/>
      <c r="V653" s="731"/>
      <c r="W653" s="731"/>
      <c r="X653" s="731"/>
      <c r="Y653" s="731"/>
      <c r="Z653" s="731"/>
    </row>
    <row r="654" spans="1:26" x14ac:dyDescent="0.2">
      <c r="A654" s="735">
        <f>Study!CF653</f>
        <v>577</v>
      </c>
      <c r="B654" s="736" t="str">
        <f>Study!CG653</f>
        <v>الاطار الزمني (ربع سنوي)</v>
      </c>
      <c r="C654" s="762" t="str">
        <f>Study!CH653</f>
        <v>Q1</v>
      </c>
      <c r="D654" s="743" t="str">
        <f>Study!CI653</f>
        <v>Q2</v>
      </c>
      <c r="E654" s="743" t="str">
        <f>Study!CJ653</f>
        <v>Q3</v>
      </c>
      <c r="F654" s="743" t="str">
        <f>Study!CK653</f>
        <v>Q4</v>
      </c>
      <c r="G654" s="743" t="str">
        <f>Study!CL653</f>
        <v>Q5</v>
      </c>
      <c r="H654" s="743" t="str">
        <f>Study!CM653</f>
        <v>Q6</v>
      </c>
      <c r="I654" s="743" t="str">
        <f>Study!CN653</f>
        <v>Q7</v>
      </c>
      <c r="J654" s="743" t="str">
        <f>Study!CO653</f>
        <v>Q8</v>
      </c>
      <c r="K654" s="743" t="str">
        <f>Study!CP653</f>
        <v>Q9</v>
      </c>
      <c r="L654" s="743" t="str">
        <f>Study!CQ653</f>
        <v>Q10</v>
      </c>
      <c r="M654" s="743" t="str">
        <f>Study!CR653</f>
        <v>Q11</v>
      </c>
      <c r="N654" s="743" t="str">
        <f>Study!CS653</f>
        <v>Q12</v>
      </c>
      <c r="O654" s="743" t="str">
        <f>Study!CT653</f>
        <v>Q13</v>
      </c>
      <c r="P654" s="743" t="str">
        <f>Study!CU653</f>
        <v>Q14</v>
      </c>
      <c r="Q654" s="743" t="str">
        <f>Study!CV653</f>
        <v>Q15</v>
      </c>
      <c r="R654" s="743" t="str">
        <f>Study!CW653</f>
        <v>Q16</v>
      </c>
      <c r="S654" s="743" t="str">
        <f>Study!CX653</f>
        <v>Q17</v>
      </c>
      <c r="T654" s="743" t="str">
        <f>Study!CY653</f>
        <v>Q18</v>
      </c>
      <c r="U654" s="743" t="str">
        <f>Study!CZ653</f>
        <v>Q19</v>
      </c>
      <c r="V654" s="743" t="str">
        <f>Study!DA653</f>
        <v>Q20</v>
      </c>
      <c r="W654" s="743" t="str">
        <f>Study!DB653</f>
        <v>Q21</v>
      </c>
      <c r="X654" s="743" t="str">
        <f>Study!DC653</f>
        <v>Q22</v>
      </c>
      <c r="Y654" s="743" t="str">
        <f>Study!DD653</f>
        <v>Q23</v>
      </c>
      <c r="Z654" s="743" t="str">
        <f>Study!DE653</f>
        <v>Q24</v>
      </c>
    </row>
    <row r="655" spans="1:26" x14ac:dyDescent="0.2">
      <c r="A655" s="739">
        <f>Study!CF654</f>
        <v>578</v>
      </c>
      <c r="B655" s="740" t="str">
        <f>Study!CG654</f>
        <v>التاريخ</v>
      </c>
      <c r="C655" s="753">
        <f>Study!CH654</f>
        <v>46388</v>
      </c>
      <c r="D655" s="753">
        <f>Study!CI654</f>
        <v>46478</v>
      </c>
      <c r="E655" s="753">
        <f>Study!CJ654</f>
        <v>46569</v>
      </c>
      <c r="F655" s="753">
        <f>Study!CK654</f>
        <v>46661</v>
      </c>
      <c r="G655" s="753">
        <f>Study!CL654</f>
        <v>46753</v>
      </c>
      <c r="H655" s="753">
        <f>Study!CM654</f>
        <v>46844</v>
      </c>
      <c r="I655" s="753">
        <f>Study!CN654</f>
        <v>46935</v>
      </c>
      <c r="J655" s="753">
        <f>Study!CO654</f>
        <v>47027</v>
      </c>
      <c r="K655" s="753">
        <f>Study!CP654</f>
        <v>47119</v>
      </c>
      <c r="L655" s="753">
        <f>Study!CQ654</f>
        <v>47209</v>
      </c>
      <c r="M655" s="753">
        <f>Study!CR654</f>
        <v>47300</v>
      </c>
      <c r="N655" s="753">
        <f>Study!CS654</f>
        <v>47392</v>
      </c>
      <c r="O655" s="753">
        <f>Study!CT654</f>
        <v>47484</v>
      </c>
      <c r="P655" s="753">
        <f>Study!CU654</f>
        <v>47574</v>
      </c>
      <c r="Q655" s="753">
        <f>Study!CV654</f>
        <v>47665</v>
      </c>
      <c r="R655" s="753">
        <f>Study!CW654</f>
        <v>47757</v>
      </c>
      <c r="S655" s="753">
        <f>Study!CX654</f>
        <v>47849</v>
      </c>
      <c r="T655" s="753">
        <f>Study!CY654</f>
        <v>47939</v>
      </c>
      <c r="U655" s="753">
        <f>Study!CZ654</f>
        <v>48030</v>
      </c>
      <c r="V655" s="753">
        <f>Study!DA654</f>
        <v>48122</v>
      </c>
      <c r="W655" s="753">
        <f>Study!DB654</f>
        <v>48214</v>
      </c>
      <c r="X655" s="753">
        <f>Study!DC654</f>
        <v>48305</v>
      </c>
      <c r="Y655" s="753">
        <f>Study!DD654</f>
        <v>48396</v>
      </c>
      <c r="Z655" s="753">
        <f>Study!DE654</f>
        <v>48488</v>
      </c>
    </row>
    <row r="656" spans="1:26" ht="25.5" x14ac:dyDescent="0.2">
      <c r="A656" s="735">
        <f>Study!CF655</f>
        <v>579</v>
      </c>
      <c r="B656" s="736" t="str">
        <f>Study!CG655</f>
        <v>الحفر والمسح والاختبار 
 (Excavation, surveying, and testing)</v>
      </c>
      <c r="C656" s="762">
        <f>Study!CH655</f>
        <v>-89728000</v>
      </c>
      <c r="D656" s="762">
        <f>Study!CI655</f>
        <v>0</v>
      </c>
      <c r="E656" s="762">
        <f>Study!CJ655</f>
        <v>0</v>
      </c>
      <c r="F656" s="762">
        <f>Study!CK655</f>
        <v>0</v>
      </c>
      <c r="G656" s="762">
        <f>Study!CL655</f>
        <v>0</v>
      </c>
      <c r="H656" s="762">
        <f>Study!CM655</f>
        <v>0</v>
      </c>
      <c r="I656" s="762">
        <f>Study!CN655</f>
        <v>0</v>
      </c>
      <c r="J656" s="762">
        <f>Study!CO655</f>
        <v>0</v>
      </c>
      <c r="K656" s="762">
        <f>Study!CP655</f>
        <v>0</v>
      </c>
      <c r="L656" s="762">
        <f>Study!CQ655</f>
        <v>0</v>
      </c>
      <c r="M656" s="762">
        <f>Study!CR655</f>
        <v>0</v>
      </c>
      <c r="N656" s="762">
        <f>Study!CS655</f>
        <v>0</v>
      </c>
      <c r="O656" s="762">
        <f>Study!CT655</f>
        <v>0</v>
      </c>
      <c r="P656" s="762">
        <f>Study!CU655</f>
        <v>0</v>
      </c>
      <c r="Q656" s="762">
        <f>Study!CV655</f>
        <v>0</v>
      </c>
      <c r="R656" s="762">
        <f>Study!CW655</f>
        <v>0</v>
      </c>
      <c r="S656" s="762">
        <f>Study!CX655</f>
        <v>0</v>
      </c>
      <c r="T656" s="762">
        <f>Study!CY655</f>
        <v>0</v>
      </c>
      <c r="U656" s="762">
        <f>Study!CZ655</f>
        <v>0</v>
      </c>
      <c r="V656" s="762">
        <f>Study!DA655</f>
        <v>0</v>
      </c>
      <c r="W656" s="762">
        <f>Study!DB655</f>
        <v>0</v>
      </c>
      <c r="X656" s="762">
        <f>Study!DC655</f>
        <v>0</v>
      </c>
      <c r="Y656" s="762">
        <f>Study!DD655</f>
        <v>0</v>
      </c>
      <c r="Z656" s="762">
        <f>Study!DE655</f>
        <v>0</v>
      </c>
    </row>
    <row r="657" spans="1:26" ht="25.5" x14ac:dyDescent="0.2">
      <c r="A657" s="739">
        <f>Study!CF656</f>
        <v>580</v>
      </c>
      <c r="B657" s="740" t="str">
        <f>Study!CG656</f>
        <v>أثاث الوحدات الفندقية 
 (Apartment furniture)</v>
      </c>
      <c r="C657" s="763">
        <f>Study!CH656</f>
        <v>0</v>
      </c>
      <c r="D657" s="763">
        <f>Study!CI656</f>
        <v>0</v>
      </c>
      <c r="E657" s="763">
        <f>Study!CJ656</f>
        <v>-945120</v>
      </c>
      <c r="F657" s="763">
        <f>Study!CK656</f>
        <v>-945120</v>
      </c>
      <c r="G657" s="763">
        <f>Study!CL656</f>
        <v>-945120</v>
      </c>
      <c r="H657" s="763">
        <f>Study!CM656</f>
        <v>0</v>
      </c>
      <c r="I657" s="763">
        <f>Study!CN656</f>
        <v>0</v>
      </c>
      <c r="J657" s="763">
        <f>Study!CO656</f>
        <v>0</v>
      </c>
      <c r="K657" s="763">
        <f>Study!CP656</f>
        <v>0</v>
      </c>
      <c r="L657" s="763">
        <f>Study!CQ656</f>
        <v>0</v>
      </c>
      <c r="M657" s="763">
        <f>Study!CR656</f>
        <v>0</v>
      </c>
      <c r="N657" s="763">
        <f>Study!CS656</f>
        <v>0</v>
      </c>
      <c r="O657" s="763">
        <f>Study!CT656</f>
        <v>0</v>
      </c>
      <c r="P657" s="763">
        <f>Study!CU656</f>
        <v>0</v>
      </c>
      <c r="Q657" s="763">
        <f>Study!CV656</f>
        <v>0</v>
      </c>
      <c r="R657" s="763">
        <f>Study!CW656</f>
        <v>0</v>
      </c>
      <c r="S657" s="763">
        <f>Study!CX656</f>
        <v>0</v>
      </c>
      <c r="T657" s="763">
        <f>Study!CY656</f>
        <v>0</v>
      </c>
      <c r="U657" s="763">
        <f>Study!CZ656</f>
        <v>0</v>
      </c>
      <c r="V657" s="763">
        <f>Study!DA656</f>
        <v>0</v>
      </c>
      <c r="W657" s="763">
        <f>Study!DB656</f>
        <v>0</v>
      </c>
      <c r="X657" s="763">
        <f>Study!DC656</f>
        <v>0</v>
      </c>
      <c r="Y657" s="763">
        <f>Study!DD656</f>
        <v>0</v>
      </c>
      <c r="Z657" s="763">
        <f>Study!DE656</f>
        <v>0</v>
      </c>
    </row>
    <row r="658" spans="1:26" ht="25.5" x14ac:dyDescent="0.2">
      <c r="A658" s="735">
        <f>Study!CF657</f>
        <v>581</v>
      </c>
      <c r="B658" s="736" t="str">
        <f>Study!CG657</f>
        <v>رسوم الماء وصرف الصحي 
 (Water and sewer fees)</v>
      </c>
      <c r="C658" s="762">
        <f>Study!CH657</f>
        <v>-652213.4</v>
      </c>
      <c r="D658" s="762">
        <f>Study!CI657</f>
        <v>-652213.4</v>
      </c>
      <c r="E658" s="762">
        <f>Study!CJ657</f>
        <v>-652213.4</v>
      </c>
      <c r="F658" s="762">
        <f>Study!CK657</f>
        <v>-652213.4</v>
      </c>
      <c r="G658" s="762">
        <f>Study!CL657</f>
        <v>-652213.4</v>
      </c>
      <c r="H658" s="762">
        <f>Study!CM657</f>
        <v>-652213.4</v>
      </c>
      <c r="I658" s="762">
        <f>Study!CN657</f>
        <v>0</v>
      </c>
      <c r="J658" s="762">
        <f>Study!CO657</f>
        <v>0</v>
      </c>
      <c r="K658" s="762">
        <f>Study!CP657</f>
        <v>0</v>
      </c>
      <c r="L658" s="762">
        <f>Study!CQ657</f>
        <v>0</v>
      </c>
      <c r="M658" s="762">
        <f>Study!CR657</f>
        <v>0</v>
      </c>
      <c r="N658" s="762">
        <f>Study!CS657</f>
        <v>0</v>
      </c>
      <c r="O658" s="762">
        <f>Study!CT657</f>
        <v>0</v>
      </c>
      <c r="P658" s="762">
        <f>Study!CU657</f>
        <v>0</v>
      </c>
      <c r="Q658" s="762">
        <f>Study!CV657</f>
        <v>0</v>
      </c>
      <c r="R658" s="762">
        <f>Study!CW657</f>
        <v>0</v>
      </c>
      <c r="S658" s="762">
        <f>Study!CX657</f>
        <v>0</v>
      </c>
      <c r="T658" s="762">
        <f>Study!CY657</f>
        <v>0</v>
      </c>
      <c r="U658" s="762">
        <f>Study!CZ657</f>
        <v>0</v>
      </c>
      <c r="V658" s="762">
        <f>Study!DA657</f>
        <v>0</v>
      </c>
      <c r="W658" s="762">
        <f>Study!DB657</f>
        <v>0</v>
      </c>
      <c r="X658" s="762">
        <f>Study!DC657</f>
        <v>0</v>
      </c>
      <c r="Y658" s="762">
        <f>Study!DD657</f>
        <v>0</v>
      </c>
      <c r="Z658" s="762">
        <f>Study!DE657</f>
        <v>0</v>
      </c>
    </row>
    <row r="659" spans="1:26" ht="25.5" x14ac:dyDescent="0.2">
      <c r="A659" s="739">
        <f>Study!CF658</f>
        <v>582</v>
      </c>
      <c r="B659" s="740" t="str">
        <f>Study!CG658</f>
        <v>الرخصة
 (License)</v>
      </c>
      <c r="C659" s="763">
        <f>Study!CH658</f>
        <v>0</v>
      </c>
      <c r="D659" s="763">
        <f>Study!CI658</f>
        <v>0</v>
      </c>
      <c r="E659" s="763">
        <f>Study!CJ658</f>
        <v>0</v>
      </c>
      <c r="F659" s="763">
        <f>Study!CK658</f>
        <v>0</v>
      </c>
      <c r="G659" s="763">
        <f>Study!CL658</f>
        <v>0</v>
      </c>
      <c r="H659" s="763">
        <f>Study!CM658</f>
        <v>-5478592.5600000005</v>
      </c>
      <c r="I659" s="763">
        <f>Study!CN658</f>
        <v>-5478592.5600000005</v>
      </c>
      <c r="J659" s="763">
        <f>Study!CO658</f>
        <v>-5478592.5600000005</v>
      </c>
      <c r="K659" s="763">
        <f>Study!CP658</f>
        <v>-10174529.040000001</v>
      </c>
      <c r="L659" s="763">
        <f>Study!CQ658</f>
        <v>-10174529.040000001</v>
      </c>
      <c r="M659" s="763">
        <f>Study!CR658</f>
        <v>-10174529.040000001</v>
      </c>
      <c r="N659" s="763">
        <f>Study!CS658</f>
        <v>-9391872.959999999</v>
      </c>
      <c r="O659" s="763">
        <f>Study!CT658</f>
        <v>-5478592.5600000005</v>
      </c>
      <c r="P659" s="763">
        <f>Study!CU658</f>
        <v>-5478592.5600000005</v>
      </c>
      <c r="Q659" s="763">
        <f>Study!CV658</f>
        <v>-5478592.5600000005</v>
      </c>
      <c r="R659" s="763">
        <f>Study!CW658</f>
        <v>-5478592.5600000005</v>
      </c>
      <c r="S659" s="763">
        <f>Study!CX658</f>
        <v>0</v>
      </c>
      <c r="T659" s="763">
        <f>Study!CY658</f>
        <v>0</v>
      </c>
      <c r="U659" s="763">
        <f>Study!CZ658</f>
        <v>0</v>
      </c>
      <c r="V659" s="763">
        <f>Study!DA658</f>
        <v>0</v>
      </c>
      <c r="W659" s="763">
        <f>Study!DB658</f>
        <v>0</v>
      </c>
      <c r="X659" s="763">
        <f>Study!DC658</f>
        <v>0</v>
      </c>
      <c r="Y659" s="763">
        <f>Study!DD658</f>
        <v>0</v>
      </c>
      <c r="Z659" s="763">
        <f>Study!DE658</f>
        <v>0</v>
      </c>
    </row>
    <row r="660" spans="1:26" ht="25.5" x14ac:dyDescent="0.2">
      <c r="A660" s="735">
        <f>Study!CF659</f>
        <v>583</v>
      </c>
      <c r="B660" s="736" t="str">
        <f>Study!CG659</f>
        <v>الايراد
(Revenue)</v>
      </c>
      <c r="C660" s="762">
        <f>Study!CH659</f>
        <v>0</v>
      </c>
      <c r="D660" s="762">
        <f>Study!CI659</f>
        <v>0</v>
      </c>
      <c r="E660" s="762">
        <f>Study!CJ659</f>
        <v>0</v>
      </c>
      <c r="F660" s="762">
        <f>Study!CK659</f>
        <v>0</v>
      </c>
      <c r="G660" s="762">
        <f>Study!CL659</f>
        <v>0</v>
      </c>
      <c r="H660" s="762">
        <f>Study!CM659</f>
        <v>0</v>
      </c>
      <c r="I660" s="762">
        <f>Study!CN659</f>
        <v>0</v>
      </c>
      <c r="J660" s="762">
        <f>Study!CO659</f>
        <v>0</v>
      </c>
      <c r="K660" s="762">
        <f>Study!CP659</f>
        <v>0</v>
      </c>
      <c r="L660" s="762">
        <f>Study!CQ659</f>
        <v>0</v>
      </c>
      <c r="M660" s="762">
        <f>Study!CR659</f>
        <v>0</v>
      </c>
      <c r="N660" s="762">
        <f>Study!CS659</f>
        <v>0</v>
      </c>
      <c r="O660" s="762">
        <f>Study!CT659</f>
        <v>0</v>
      </c>
      <c r="P660" s="762">
        <f>Study!CU659</f>
        <v>0</v>
      </c>
      <c r="Q660" s="762">
        <f>Study!CV659</f>
        <v>0</v>
      </c>
      <c r="R660" s="762">
        <f>Study!CW659</f>
        <v>0</v>
      </c>
      <c r="S660" s="762">
        <f>Study!CX659</f>
        <v>5955952.7699999996</v>
      </c>
      <c r="T660" s="762">
        <f>Study!CY659</f>
        <v>5955952.7699999996</v>
      </c>
      <c r="U660" s="762">
        <f>Study!CZ659</f>
        <v>5955952.7699999996</v>
      </c>
      <c r="V660" s="762">
        <f>Study!DA659</f>
        <v>248827771.84499997</v>
      </c>
      <c r="W660" s="762">
        <f>Study!DB659</f>
        <v>0</v>
      </c>
      <c r="X660" s="762">
        <f>Study!DC659</f>
        <v>0</v>
      </c>
      <c r="Y660" s="762">
        <f>Study!DD659</f>
        <v>0</v>
      </c>
      <c r="Z660" s="762">
        <f>Study!DE659</f>
        <v>0</v>
      </c>
    </row>
    <row r="661" spans="1:26" ht="63.75" x14ac:dyDescent="0.2">
      <c r="A661" s="739">
        <f>Study!CF660</f>
        <v>584</v>
      </c>
      <c r="B661" s="740" t="str">
        <f>Study!CG660</f>
        <v>ضريبة التصرفات العقارية + السعي + ضريبة السعي 
-
(RETT + Commission + Commission tax)</v>
      </c>
      <c r="C661" s="763">
        <f>Study!CH660</f>
        <v>0</v>
      </c>
      <c r="D661" s="763">
        <f>Study!CI660</f>
        <v>0</v>
      </c>
      <c r="E661" s="763">
        <f>Study!CJ660</f>
        <v>0</v>
      </c>
      <c r="F661" s="763">
        <f>Study!CK660</f>
        <v>0</v>
      </c>
      <c r="G661" s="763">
        <f>Study!CL660</f>
        <v>0</v>
      </c>
      <c r="H661" s="763">
        <f>Study!CM660</f>
        <v>0</v>
      </c>
      <c r="I661" s="763">
        <f>Study!CN660</f>
        <v>0</v>
      </c>
      <c r="J661" s="763">
        <f>Study!CO660</f>
        <v>0</v>
      </c>
      <c r="K661" s="763">
        <f>Study!CP660</f>
        <v>0</v>
      </c>
      <c r="L661" s="763">
        <f>Study!CQ660</f>
        <v>0</v>
      </c>
      <c r="M661" s="763">
        <f>Study!CR660</f>
        <v>0</v>
      </c>
      <c r="N661" s="763">
        <f>Study!CS660</f>
        <v>0</v>
      </c>
      <c r="O661" s="763">
        <f>Study!CT660</f>
        <v>0</v>
      </c>
      <c r="P661" s="763">
        <f>Study!CU660</f>
        <v>0</v>
      </c>
      <c r="Q661" s="763">
        <f>Study!CV660</f>
        <v>0</v>
      </c>
      <c r="R661" s="763">
        <f>Study!CW660</f>
        <v>0</v>
      </c>
      <c r="S661" s="763">
        <f>Study!CX660</f>
        <v>0</v>
      </c>
      <c r="T661" s="763">
        <f>Study!CY660</f>
        <v>0</v>
      </c>
      <c r="U661" s="763">
        <f>Study!CZ660</f>
        <v>-2329872.8631211729</v>
      </c>
      <c r="V661" s="763">
        <f>Study!DA660</f>
        <v>-52022133.136878826</v>
      </c>
      <c r="W661" s="763">
        <f>Study!DB660</f>
        <v>0</v>
      </c>
      <c r="X661" s="763">
        <f>Study!DC660</f>
        <v>0</v>
      </c>
      <c r="Y661" s="763">
        <f>Study!DD660</f>
        <v>0</v>
      </c>
      <c r="Z661" s="763">
        <f>Study!DE660</f>
        <v>0</v>
      </c>
    </row>
    <row r="662" spans="1:26" x14ac:dyDescent="0.2">
      <c r="A662" s="735">
        <f>Study!CF661</f>
        <v>585</v>
      </c>
      <c r="B662" s="754" t="str">
        <f>Study!CG661</f>
        <v>اجمالي التكاليف</v>
      </c>
      <c r="C662" s="764">
        <f>Study!CH661</f>
        <v>-97189234.642500013</v>
      </c>
      <c r="D662" s="764">
        <f>Study!CI661</f>
        <v>-1316551.4125000001</v>
      </c>
      <c r="E662" s="764">
        <f>Study!CJ661</f>
        <v>-1719623.4124999999</v>
      </c>
      <c r="F662" s="764">
        <f>Study!CK661</f>
        <v>-2261671.4124999996</v>
      </c>
      <c r="G662" s="764">
        <f>Study!CL661</f>
        <v>-2266273.1724999999</v>
      </c>
      <c r="H662" s="764">
        <f>Study!CM661</f>
        <v>-7827467.3420200013</v>
      </c>
      <c r="I662" s="764">
        <f>Study!CN661</f>
        <v>-6633205.9420200009</v>
      </c>
      <c r="J662" s="764">
        <f>Study!CO661</f>
        <v>-7221828.0515200011</v>
      </c>
      <c r="K662" s="764">
        <f>Study!CP661</f>
        <v>-12658357.123680001</v>
      </c>
      <c r="L662" s="764">
        <f>Study!CQ661</f>
        <v>-12756735.923680002</v>
      </c>
      <c r="M662" s="764">
        <f>Study!CR661</f>
        <v>-12254837.923680002</v>
      </c>
      <c r="N662" s="764">
        <f>Study!CS661</f>
        <v>-11989376.27832</v>
      </c>
      <c r="O662" s="764">
        <f>Study!CT661</f>
        <v>-7528599.2515200004</v>
      </c>
      <c r="P662" s="764">
        <f>Study!CU661</f>
        <v>-7698153.0515200011</v>
      </c>
      <c r="Q662" s="764">
        <f>Study!CV661</f>
        <v>-7302893.7791499998</v>
      </c>
      <c r="R662" s="764">
        <f>Study!CW661</f>
        <v>-9848193.3671499994</v>
      </c>
      <c r="S662" s="764">
        <f>Study!CX661</f>
        <v>-6487724.0364300003</v>
      </c>
      <c r="T662" s="764">
        <f>Study!CY661</f>
        <v>-6551427.8364300001</v>
      </c>
      <c r="U662" s="764">
        <f>Study!CZ661</f>
        <v>-2937241.1087999996</v>
      </c>
      <c r="V662" s="764">
        <f>Study!DA661</f>
        <v>-2819970.9290480381</v>
      </c>
      <c r="W662" s="764">
        <f>Study!DB661</f>
        <v>0</v>
      </c>
      <c r="X662" s="764">
        <f>Study!DC661</f>
        <v>0</v>
      </c>
      <c r="Y662" s="764">
        <f>Study!DD661</f>
        <v>0</v>
      </c>
      <c r="Z662" s="764">
        <f>Study!DE661</f>
        <v>0</v>
      </c>
    </row>
    <row r="663" spans="1:26" x14ac:dyDescent="0.2">
      <c r="A663" s="739">
        <f>Study!CF662</f>
        <v>586</v>
      </c>
      <c r="B663" s="756" t="str">
        <f>Study!CG662</f>
        <v>البيع على الخارطة</v>
      </c>
      <c r="C663" s="765">
        <f>Study!CH662</f>
        <v>0</v>
      </c>
      <c r="D663" s="765">
        <f>Study!CI662</f>
        <v>0</v>
      </c>
      <c r="E663" s="765">
        <f>Study!CJ662</f>
        <v>0</v>
      </c>
      <c r="F663" s="765">
        <f>Study!CK662</f>
        <v>0</v>
      </c>
      <c r="G663" s="765">
        <f>Study!CL662</f>
        <v>1304347.8260869568</v>
      </c>
      <c r="H663" s="765">
        <f>Study!CM662</f>
        <v>2305043.4782608701</v>
      </c>
      <c r="I663" s="765">
        <f>Study!CN662</f>
        <v>4166337.3913043486</v>
      </c>
      <c r="J663" s="765">
        <f>Study!CO662</f>
        <v>6497357.8434782634</v>
      </c>
      <c r="K663" s="765">
        <f>Study!CP662</f>
        <v>10376715.794086959</v>
      </c>
      <c r="L663" s="765">
        <f>Study!CQ662</f>
        <v>10609114.642518263</v>
      </c>
      <c r="M663" s="765">
        <f>Study!CR662</f>
        <v>6736823.7276020898</v>
      </c>
      <c r="N663" s="765">
        <f>Study!CS662</f>
        <v>3233675.3892490026</v>
      </c>
      <c r="O663" s="765">
        <f>Study!CT662</f>
        <v>993456.93903038744</v>
      </c>
      <c r="P663" s="765">
        <f>Study!CU662</f>
        <v>227111.80150492143</v>
      </c>
      <c r="Q663" s="765">
        <f>Study!CV662</f>
        <v>34383.670413884582</v>
      </c>
      <c r="R663" s="765">
        <f>Study!CW662</f>
        <v>2588.0182031956069</v>
      </c>
      <c r="S663" s="765">
        <f>Study!CX662</f>
        <v>0</v>
      </c>
      <c r="T663" s="765">
        <f>Study!CY662</f>
        <v>0</v>
      </c>
      <c r="U663" s="765">
        <f>Study!CZ662</f>
        <v>0</v>
      </c>
      <c r="V663" s="765">
        <f>Study!DA662</f>
        <v>0</v>
      </c>
      <c r="W663" s="765">
        <f>Study!DB662</f>
        <v>0</v>
      </c>
      <c r="X663" s="765">
        <f>Study!DC662</f>
        <v>0</v>
      </c>
      <c r="Y663" s="765">
        <f>Study!DD662</f>
        <v>0</v>
      </c>
      <c r="Z663" s="765">
        <f>Study!DE662</f>
        <v>0</v>
      </c>
    </row>
    <row r="664" spans="1:26" x14ac:dyDescent="0.2">
      <c r="A664" s="735">
        <f>Study!CF663</f>
        <v>586</v>
      </c>
      <c r="B664" s="754" t="str">
        <f>Study!CG663</f>
        <v xml:space="preserve">اجمالي الايراد </v>
      </c>
      <c r="C664" s="764">
        <f>Study!CH663</f>
        <v>0</v>
      </c>
      <c r="D664" s="764">
        <f>Study!CI663</f>
        <v>0</v>
      </c>
      <c r="E664" s="764">
        <f>Study!CJ663</f>
        <v>0</v>
      </c>
      <c r="F664" s="764">
        <f>Study!CK663</f>
        <v>0</v>
      </c>
      <c r="G664" s="764">
        <f>Study!CL663</f>
        <v>0</v>
      </c>
      <c r="H664" s="764">
        <f>Study!CM663</f>
        <v>0</v>
      </c>
      <c r="I664" s="764">
        <f>Study!CN663</f>
        <v>0</v>
      </c>
      <c r="J664" s="764">
        <f>Study!CO663</f>
        <v>0</v>
      </c>
      <c r="K664" s="764">
        <f>Study!CP663</f>
        <v>0</v>
      </c>
      <c r="L664" s="764">
        <f>Study!CQ663</f>
        <v>0</v>
      </c>
      <c r="M664" s="764">
        <f>Study!CR663</f>
        <v>0</v>
      </c>
      <c r="N664" s="764">
        <f>Study!CS663</f>
        <v>0</v>
      </c>
      <c r="O664" s="764">
        <f>Study!CT663</f>
        <v>0</v>
      </c>
      <c r="P664" s="764">
        <f>Study!CU663</f>
        <v>0</v>
      </c>
      <c r="Q664" s="764">
        <f>Study!CV663</f>
        <v>0</v>
      </c>
      <c r="R664" s="764">
        <f>Study!CW663</f>
        <v>0</v>
      </c>
      <c r="S664" s="764">
        <f>Study!CX663</f>
        <v>5955952.7699999996</v>
      </c>
      <c r="T664" s="764">
        <f>Study!CY663</f>
        <v>5955952.7699999996</v>
      </c>
      <c r="U664" s="764">
        <f>Study!CZ663</f>
        <v>5955952.7699999996</v>
      </c>
      <c r="V664" s="764">
        <f>Study!DA663</f>
        <v>248827771.84499997</v>
      </c>
      <c r="W664" s="764">
        <f>Study!DB663</f>
        <v>0</v>
      </c>
      <c r="X664" s="764">
        <f>Study!DC663</f>
        <v>0</v>
      </c>
      <c r="Y664" s="764">
        <f>Study!DD663</f>
        <v>0</v>
      </c>
      <c r="Z664" s="764">
        <f>Study!DE663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6F7C-DA1C-4B4C-A94C-CBB988F02B33}">
  <sheetPr codeName="Worksheet____11"/>
  <dimension ref="A1:P30"/>
  <sheetViews>
    <sheetView showGridLines="0" rightToLeft="1" zoomScale="115" zoomScaleNormal="115" workbookViewId="0">
      <selection activeCell="I43" sqref="I43"/>
    </sheetView>
  </sheetViews>
  <sheetFormatPr defaultColWidth="10" defaultRowHeight="11.25" x14ac:dyDescent="0.2"/>
  <cols>
    <col min="1" max="1" width="9.75" style="209" bestFit="1" customWidth="1"/>
    <col min="2" max="3" width="10" style="209"/>
    <col min="4" max="4" width="28.375" style="209" bestFit="1" customWidth="1"/>
    <col min="5" max="8" width="10" style="209"/>
    <col min="9" max="9" width="10" style="209" customWidth="1"/>
    <col min="10" max="11" width="10" style="209"/>
    <col min="12" max="12" width="28.375" style="209" bestFit="1" customWidth="1"/>
    <col min="13" max="17" width="10" style="209"/>
    <col min="18" max="18" width="23.25" style="209" bestFit="1" customWidth="1"/>
    <col min="19" max="16384" width="10" style="209"/>
  </cols>
  <sheetData>
    <row r="1" spans="1:16" ht="12" thickTop="1" x14ac:dyDescent="0.2">
      <c r="A1" s="230"/>
      <c r="B1" s="231"/>
      <c r="C1" s="231"/>
      <c r="D1" s="231"/>
      <c r="E1" s="231"/>
      <c r="F1" s="231"/>
      <c r="G1" s="231"/>
      <c r="H1" s="766" t="s">
        <v>484</v>
      </c>
      <c r="I1" s="766"/>
      <c r="J1" s="766"/>
      <c r="K1" s="766"/>
      <c r="L1" s="766"/>
      <c r="M1" s="766"/>
      <c r="N1" s="766"/>
      <c r="O1" s="766"/>
      <c r="P1" s="767"/>
    </row>
    <row r="2" spans="1:16" x14ac:dyDescent="0.2">
      <c r="A2" s="232"/>
      <c r="B2" s="211"/>
      <c r="C2" s="211"/>
      <c r="D2" s="211"/>
      <c r="E2" s="211"/>
      <c r="F2" s="211"/>
      <c r="G2" s="211"/>
      <c r="H2" s="768"/>
      <c r="I2" s="768"/>
      <c r="J2" s="768"/>
      <c r="K2" s="768"/>
      <c r="L2" s="768"/>
      <c r="M2" s="768"/>
      <c r="N2" s="768"/>
      <c r="O2" s="768"/>
      <c r="P2" s="769"/>
    </row>
    <row r="3" spans="1:16" x14ac:dyDescent="0.2">
      <c r="A3" s="232"/>
      <c r="B3" s="211"/>
      <c r="C3" s="211"/>
      <c r="D3" s="211"/>
      <c r="E3" s="211"/>
      <c r="F3" s="211"/>
      <c r="G3" s="211"/>
      <c r="H3" s="768"/>
      <c r="I3" s="768"/>
      <c r="J3" s="768"/>
      <c r="K3" s="768"/>
      <c r="L3" s="768"/>
      <c r="M3" s="768"/>
      <c r="N3" s="768"/>
      <c r="O3" s="768"/>
      <c r="P3" s="769"/>
    </row>
    <row r="4" spans="1:16" x14ac:dyDescent="0.2">
      <c r="A4" s="232"/>
      <c r="B4" s="211"/>
      <c r="C4" s="211"/>
      <c r="D4" s="211"/>
      <c r="E4" s="211"/>
      <c r="F4" s="211"/>
      <c r="G4" s="211"/>
      <c r="H4" s="768"/>
      <c r="I4" s="768"/>
      <c r="J4" s="768"/>
      <c r="K4" s="768"/>
      <c r="L4" s="768"/>
      <c r="M4" s="768"/>
      <c r="N4" s="768"/>
      <c r="O4" s="768"/>
      <c r="P4" s="769"/>
    </row>
    <row r="5" spans="1:16" x14ac:dyDescent="0.2">
      <c r="A5" s="232"/>
      <c r="B5" s="211"/>
      <c r="C5" s="211"/>
      <c r="D5" s="211"/>
      <c r="E5" s="211"/>
      <c r="F5" s="211"/>
      <c r="G5" s="211"/>
      <c r="H5" s="768"/>
      <c r="I5" s="768"/>
      <c r="J5" s="768"/>
      <c r="K5" s="768"/>
      <c r="L5" s="768"/>
      <c r="M5" s="768"/>
      <c r="N5" s="768"/>
      <c r="O5" s="768"/>
      <c r="P5" s="769"/>
    </row>
    <row r="6" spans="1:16" x14ac:dyDescent="0.2">
      <c r="A6" s="232"/>
      <c r="B6" s="211"/>
      <c r="C6" s="211"/>
      <c r="D6" s="211"/>
      <c r="E6" s="211"/>
      <c r="F6" s="211"/>
      <c r="G6" s="211"/>
      <c r="H6" s="768"/>
      <c r="I6" s="768"/>
      <c r="J6" s="768"/>
      <c r="K6" s="768"/>
      <c r="L6" s="768"/>
      <c r="M6" s="768"/>
      <c r="N6" s="768"/>
      <c r="O6" s="768"/>
      <c r="P6" s="769"/>
    </row>
    <row r="7" spans="1:16" x14ac:dyDescent="0.2">
      <c r="A7" s="232"/>
      <c r="B7" s="211"/>
      <c r="C7" s="211"/>
      <c r="D7" s="211"/>
      <c r="E7" s="211"/>
      <c r="F7" s="211"/>
      <c r="G7" s="211"/>
      <c r="H7" s="768"/>
      <c r="I7" s="768"/>
      <c r="J7" s="768"/>
      <c r="K7" s="768"/>
      <c r="L7" s="768"/>
      <c r="M7" s="768"/>
      <c r="N7" s="768"/>
      <c r="O7" s="768"/>
      <c r="P7" s="769"/>
    </row>
    <row r="8" spans="1:16" x14ac:dyDescent="0.2">
      <c r="A8" s="232"/>
      <c r="B8" s="211"/>
      <c r="C8" s="211"/>
      <c r="D8" s="211"/>
      <c r="E8" s="211"/>
      <c r="F8" s="211"/>
      <c r="G8" s="211"/>
      <c r="H8" s="768"/>
      <c r="I8" s="768"/>
      <c r="J8" s="768"/>
      <c r="K8" s="768"/>
      <c r="L8" s="768"/>
      <c r="M8" s="768"/>
      <c r="N8" s="768"/>
      <c r="O8" s="768"/>
      <c r="P8" s="769"/>
    </row>
    <row r="9" spans="1:16" x14ac:dyDescent="0.2">
      <c r="A9" s="232"/>
      <c r="B9" s="211"/>
      <c r="C9" s="211"/>
      <c r="D9" s="211"/>
      <c r="E9" s="211"/>
      <c r="F9" s="211"/>
      <c r="G9" s="211"/>
      <c r="H9" s="768"/>
      <c r="I9" s="768"/>
      <c r="J9" s="768"/>
      <c r="K9" s="768"/>
      <c r="L9" s="768"/>
      <c r="M9" s="768"/>
      <c r="N9" s="768"/>
      <c r="O9" s="768"/>
      <c r="P9" s="769"/>
    </row>
    <row r="10" spans="1:16" x14ac:dyDescent="0.2">
      <c r="A10" s="232"/>
      <c r="B10" s="211"/>
      <c r="C10" s="414"/>
      <c r="D10" s="211"/>
      <c r="E10" s="211"/>
      <c r="F10" s="211"/>
      <c r="G10" s="211"/>
      <c r="H10" s="768"/>
      <c r="I10" s="768"/>
      <c r="J10" s="768"/>
      <c r="K10" s="768"/>
      <c r="L10" s="768"/>
      <c r="M10" s="768"/>
      <c r="N10" s="768"/>
      <c r="O10" s="768"/>
      <c r="P10" s="769"/>
    </row>
    <row r="11" spans="1:16" x14ac:dyDescent="0.2">
      <c r="A11" s="232"/>
      <c r="B11" s="211"/>
      <c r="C11" s="415"/>
      <c r="D11" s="211"/>
      <c r="E11" s="211"/>
      <c r="F11" s="211"/>
      <c r="G11" s="211"/>
      <c r="H11" s="768"/>
      <c r="I11" s="768"/>
      <c r="J11" s="768"/>
      <c r="K11" s="768"/>
      <c r="L11" s="768"/>
      <c r="M11" s="768"/>
      <c r="N11" s="768"/>
      <c r="O11" s="768"/>
      <c r="P11" s="769"/>
    </row>
    <row r="12" spans="1:16" x14ac:dyDescent="0.2">
      <c r="A12" s="232"/>
      <c r="B12" s="211"/>
      <c r="C12" s="414"/>
      <c r="D12" s="211"/>
      <c r="E12" s="211"/>
      <c r="F12" s="211"/>
      <c r="G12" s="211"/>
      <c r="H12" s="768"/>
      <c r="I12" s="768"/>
      <c r="J12" s="768"/>
      <c r="K12" s="768"/>
      <c r="L12" s="768"/>
      <c r="M12" s="768"/>
      <c r="N12" s="768"/>
      <c r="O12" s="768"/>
      <c r="P12" s="769"/>
    </row>
    <row r="13" spans="1:16" x14ac:dyDescent="0.2">
      <c r="A13" s="232"/>
      <c r="B13" s="420"/>
      <c r="C13" s="421"/>
      <c r="D13" s="421"/>
      <c r="E13" s="420"/>
      <c r="F13" s="420"/>
      <c r="G13" s="420"/>
      <c r="H13" s="416"/>
      <c r="I13" s="416"/>
      <c r="J13" s="419"/>
      <c r="K13" s="419"/>
      <c r="L13" s="419"/>
      <c r="M13" s="419"/>
      <c r="N13" s="419"/>
      <c r="O13" s="416"/>
      <c r="P13" s="233"/>
    </row>
    <row r="14" spans="1:16" x14ac:dyDescent="0.2">
      <c r="A14" s="232"/>
      <c r="B14" s="211"/>
      <c r="C14" s="210"/>
      <c r="D14" s="210"/>
      <c r="E14" s="211"/>
      <c r="F14" s="211"/>
      <c r="G14" s="211"/>
      <c r="H14" s="215"/>
      <c r="I14" s="215"/>
      <c r="J14" s="215"/>
      <c r="K14" s="215"/>
      <c r="L14" s="215"/>
      <c r="M14" s="215"/>
      <c r="N14" s="215"/>
      <c r="O14" s="215"/>
      <c r="P14" s="417"/>
    </row>
    <row r="15" spans="1:16" ht="12.75" x14ac:dyDescent="0.2">
      <c r="A15" s="234"/>
      <c r="B15" s="215"/>
      <c r="C15" s="215"/>
      <c r="D15" s="215"/>
      <c r="E15" s="215"/>
      <c r="F15" s="215"/>
      <c r="G15" s="215"/>
      <c r="H15" s="214"/>
      <c r="I15" s="214"/>
      <c r="J15" s="214"/>
      <c r="K15" s="214"/>
      <c r="L15" s="214"/>
      <c r="M15" s="214"/>
      <c r="N15" s="214"/>
      <c r="O15" s="214"/>
      <c r="P15" s="235"/>
    </row>
    <row r="16" spans="1:16" ht="15" x14ac:dyDescent="0.2">
      <c r="A16" s="773" t="s">
        <v>438</v>
      </c>
      <c r="B16" s="774"/>
      <c r="C16" s="774"/>
      <c r="D16" s="774"/>
      <c r="E16" s="774"/>
      <c r="F16" s="774"/>
      <c r="G16" s="774"/>
      <c r="H16" s="418"/>
      <c r="I16" s="774" t="s">
        <v>549</v>
      </c>
      <c r="J16" s="774"/>
      <c r="K16" s="774"/>
      <c r="L16" s="774"/>
      <c r="M16" s="774"/>
      <c r="N16" s="774"/>
      <c r="O16" s="774"/>
      <c r="P16" s="235"/>
    </row>
    <row r="17" spans="1:16" ht="15" x14ac:dyDescent="0.2">
      <c r="A17" s="773"/>
      <c r="B17" s="774"/>
      <c r="C17" s="774"/>
      <c r="D17" s="774"/>
      <c r="E17" s="774"/>
      <c r="F17" s="774"/>
      <c r="G17" s="774"/>
      <c r="H17" s="418"/>
      <c r="I17" s="774"/>
      <c r="J17" s="774"/>
      <c r="K17" s="774"/>
      <c r="L17" s="774"/>
      <c r="M17" s="774"/>
      <c r="N17" s="774"/>
      <c r="O17" s="774"/>
      <c r="P17" s="235"/>
    </row>
    <row r="18" spans="1:16" ht="15" x14ac:dyDescent="0.2">
      <c r="A18" s="773"/>
      <c r="B18" s="774"/>
      <c r="C18" s="774"/>
      <c r="D18" s="774"/>
      <c r="E18" s="774"/>
      <c r="F18" s="774"/>
      <c r="G18" s="774"/>
      <c r="H18" s="418"/>
      <c r="I18" s="774"/>
      <c r="J18" s="774"/>
      <c r="K18" s="774"/>
      <c r="L18" s="774"/>
      <c r="M18" s="774"/>
      <c r="N18" s="774"/>
      <c r="O18" s="774"/>
      <c r="P18" s="235"/>
    </row>
    <row r="19" spans="1:16" ht="15.75" x14ac:dyDescent="0.2">
      <c r="A19" s="236"/>
      <c r="B19" s="228"/>
      <c r="C19" s="228"/>
      <c r="D19" s="229" t="s">
        <v>437</v>
      </c>
      <c r="E19" s="228"/>
      <c r="F19" s="228"/>
      <c r="G19" s="228"/>
      <c r="H19" s="418"/>
      <c r="I19" s="227"/>
      <c r="J19" s="227"/>
      <c r="K19" s="227"/>
      <c r="L19" s="229" t="s">
        <v>437</v>
      </c>
      <c r="M19" s="227"/>
      <c r="N19" s="227"/>
      <c r="O19" s="227"/>
      <c r="P19" s="235"/>
    </row>
    <row r="20" spans="1:16" ht="15" x14ac:dyDescent="0.2">
      <c r="A20" s="773" t="s">
        <v>435</v>
      </c>
      <c r="B20" s="774"/>
      <c r="C20" s="774"/>
      <c r="D20" s="774"/>
      <c r="E20" s="774"/>
      <c r="F20" s="774"/>
      <c r="G20" s="774"/>
      <c r="H20" s="418"/>
      <c r="I20" s="775">
        <v>46147</v>
      </c>
      <c r="J20" s="775"/>
      <c r="K20" s="775"/>
      <c r="L20" s="775"/>
      <c r="M20" s="775"/>
      <c r="N20" s="775"/>
      <c r="O20" s="775"/>
      <c r="P20" s="235"/>
    </row>
    <row r="21" spans="1:16" ht="15" x14ac:dyDescent="0.2">
      <c r="A21" s="773"/>
      <c r="B21" s="774"/>
      <c r="C21" s="774"/>
      <c r="D21" s="774"/>
      <c r="E21" s="774"/>
      <c r="F21" s="774"/>
      <c r="G21" s="774"/>
      <c r="H21" s="418"/>
      <c r="I21" s="775"/>
      <c r="J21" s="775"/>
      <c r="K21" s="775"/>
      <c r="L21" s="775"/>
      <c r="M21" s="775"/>
      <c r="N21" s="775"/>
      <c r="O21" s="775"/>
      <c r="P21" s="235"/>
    </row>
    <row r="22" spans="1:16" ht="15" x14ac:dyDescent="0.2">
      <c r="A22" s="773"/>
      <c r="B22" s="774"/>
      <c r="C22" s="774"/>
      <c r="D22" s="774"/>
      <c r="E22" s="774"/>
      <c r="F22" s="774"/>
      <c r="G22" s="774"/>
      <c r="H22" s="418"/>
      <c r="I22" s="775"/>
      <c r="J22" s="775"/>
      <c r="K22" s="775"/>
      <c r="L22" s="775"/>
      <c r="M22" s="775"/>
      <c r="N22" s="775"/>
      <c r="O22" s="775"/>
      <c r="P22" s="235"/>
    </row>
    <row r="23" spans="1:16" ht="15.75" x14ac:dyDescent="0.2">
      <c r="A23" s="236"/>
      <c r="B23" s="228"/>
      <c r="C23" s="228"/>
      <c r="D23" s="229" t="s">
        <v>437</v>
      </c>
      <c r="E23" s="228"/>
      <c r="F23" s="228"/>
      <c r="G23" s="228"/>
      <c r="H23" s="418"/>
      <c r="I23" s="227"/>
      <c r="J23" s="227"/>
      <c r="K23" s="227"/>
      <c r="L23" s="229" t="s">
        <v>437</v>
      </c>
      <c r="M23" s="227"/>
      <c r="N23" s="227"/>
      <c r="O23" s="227"/>
      <c r="P23" s="235"/>
    </row>
    <row r="24" spans="1:16" ht="15" x14ac:dyDescent="0.2">
      <c r="A24" s="770" t="s">
        <v>436</v>
      </c>
      <c r="B24" s="771"/>
      <c r="C24" s="771"/>
      <c r="D24" s="771"/>
      <c r="E24" s="771"/>
      <c r="F24" s="771"/>
      <c r="G24" s="771"/>
      <c r="H24" s="418"/>
      <c r="I24" s="772" t="s">
        <v>434</v>
      </c>
      <c r="J24" s="772"/>
      <c r="K24" s="772"/>
      <c r="L24" s="772"/>
      <c r="M24" s="772"/>
      <c r="N24" s="772"/>
      <c r="O24" s="772"/>
      <c r="P24" s="235"/>
    </row>
    <row r="25" spans="1:16" ht="15" x14ac:dyDescent="0.2">
      <c r="A25" s="770"/>
      <c r="B25" s="771"/>
      <c r="C25" s="771"/>
      <c r="D25" s="771"/>
      <c r="E25" s="771"/>
      <c r="F25" s="771"/>
      <c r="G25" s="771"/>
      <c r="H25" s="418"/>
      <c r="I25" s="772"/>
      <c r="J25" s="772"/>
      <c r="K25" s="772"/>
      <c r="L25" s="772"/>
      <c r="M25" s="772"/>
      <c r="N25" s="772"/>
      <c r="O25" s="772"/>
      <c r="P25" s="235"/>
    </row>
    <row r="26" spans="1:16" ht="15" x14ac:dyDescent="0.2">
      <c r="A26" s="770"/>
      <c r="B26" s="771"/>
      <c r="C26" s="771"/>
      <c r="D26" s="771"/>
      <c r="E26" s="771"/>
      <c r="F26" s="771"/>
      <c r="G26" s="771"/>
      <c r="H26" s="418"/>
      <c r="I26" s="772"/>
      <c r="J26" s="772"/>
      <c r="K26" s="772"/>
      <c r="L26" s="772"/>
      <c r="M26" s="772"/>
      <c r="N26" s="772"/>
      <c r="O26" s="772"/>
      <c r="P26" s="237"/>
    </row>
    <row r="27" spans="1:16" x14ac:dyDescent="0.2">
      <c r="A27" s="238"/>
      <c r="B27" s="213"/>
      <c r="C27" s="213"/>
      <c r="D27" s="213"/>
      <c r="E27" s="213"/>
      <c r="F27" s="213"/>
      <c r="G27" s="213"/>
      <c r="H27" s="213"/>
      <c r="I27" s="213"/>
      <c r="J27" s="212"/>
      <c r="K27" s="212"/>
      <c r="L27" s="212"/>
      <c r="M27" s="212"/>
      <c r="N27" s="212"/>
      <c r="O27" s="212"/>
      <c r="P27" s="237"/>
    </row>
    <row r="28" spans="1:16" x14ac:dyDescent="0.2">
      <c r="A28" s="238"/>
      <c r="B28" s="213"/>
      <c r="C28" s="213"/>
      <c r="D28" s="213"/>
      <c r="E28" s="213"/>
      <c r="F28" s="213"/>
      <c r="G28" s="213"/>
      <c r="H28" s="213"/>
      <c r="I28" s="213"/>
      <c r="J28" s="211"/>
      <c r="K28" s="211"/>
      <c r="L28" s="211"/>
      <c r="M28" s="211"/>
      <c r="N28" s="211"/>
      <c r="O28" s="211"/>
      <c r="P28" s="237"/>
    </row>
    <row r="29" spans="1:16" ht="12" thickBot="1" x14ac:dyDescent="0.25">
      <c r="A29" s="239"/>
      <c r="B29" s="240"/>
      <c r="C29" s="240"/>
      <c r="D29" s="240"/>
      <c r="E29" s="240"/>
      <c r="F29" s="240"/>
      <c r="G29" s="240"/>
      <c r="H29" s="240"/>
      <c r="I29" s="240"/>
      <c r="J29" s="241"/>
      <c r="K29" s="241"/>
      <c r="L29" s="241"/>
      <c r="M29" s="241"/>
      <c r="N29" s="241"/>
      <c r="O29" s="241"/>
      <c r="P29" s="242"/>
    </row>
    <row r="30" spans="1:16" ht="12" thickTop="1" x14ac:dyDescent="0.2"/>
  </sheetData>
  <mergeCells count="8">
    <mergeCell ref="H1:P12"/>
    <mergeCell ref="A24:G26"/>
    <mergeCell ref="I26:O26"/>
    <mergeCell ref="A16:G18"/>
    <mergeCell ref="I16:O18"/>
    <mergeCell ref="A20:G22"/>
    <mergeCell ref="I20:O22"/>
    <mergeCell ref="I24:O2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DC33-B640-40D5-8D09-0ED98AAC20BF}">
  <sheetPr codeName="Worksheet____1"/>
  <dimension ref="A1:DE663"/>
  <sheetViews>
    <sheetView showGridLines="0" rightToLeft="1" tabSelected="1" topLeftCell="A10" zoomScale="85" zoomScaleNormal="85" workbookViewId="0">
      <selection activeCell="E28" sqref="E28"/>
    </sheetView>
  </sheetViews>
  <sheetFormatPr defaultColWidth="5.375" defaultRowHeight="11.25" x14ac:dyDescent="0.2"/>
  <cols>
    <col min="1" max="1" width="5.375" style="173" customWidth="1"/>
    <col min="2" max="2" width="40" style="173" bestFit="1" customWidth="1"/>
    <col min="3" max="3" width="27.125" style="173" bestFit="1" customWidth="1"/>
    <col min="4" max="4" width="23.375" style="173" bestFit="1" customWidth="1"/>
    <col min="5" max="5" width="20.125" style="173" bestFit="1" customWidth="1"/>
    <col min="6" max="6" width="18.875" style="173" bestFit="1" customWidth="1"/>
    <col min="7" max="7" width="27.75" style="173" bestFit="1" customWidth="1"/>
    <col min="8" max="8" width="21.75" style="173" bestFit="1" customWidth="1"/>
    <col min="9" max="9" width="24.25" style="173" bestFit="1" customWidth="1"/>
    <col min="10" max="10" width="26.375" style="173" bestFit="1" customWidth="1"/>
    <col min="11" max="11" width="23.125" style="173" bestFit="1" customWidth="1"/>
    <col min="12" max="12" width="18.875" style="173" bestFit="1" customWidth="1"/>
    <col min="13" max="13" width="17.25" style="173" bestFit="1" customWidth="1"/>
    <col min="14" max="17" width="10.375" style="173" bestFit="1" customWidth="1"/>
    <col min="18" max="18" width="13" style="173" bestFit="1" customWidth="1"/>
    <col min="19" max="19" width="10.375" style="173" bestFit="1" customWidth="1"/>
    <col min="20" max="20" width="19.125" style="173" bestFit="1" customWidth="1"/>
    <col min="21" max="21" width="15" style="173" bestFit="1" customWidth="1"/>
    <col min="22" max="22" width="23.375" style="173" bestFit="1" customWidth="1"/>
    <col min="23" max="23" width="14.375" style="173" bestFit="1" customWidth="1"/>
    <col min="24" max="24" width="10.625" style="173" bestFit="1" customWidth="1"/>
    <col min="25" max="25" width="21.375" style="173" bestFit="1" customWidth="1"/>
    <col min="26" max="26" width="19.125" style="173" bestFit="1" customWidth="1"/>
    <col min="27" max="27" width="30.25" style="173" bestFit="1" customWidth="1"/>
    <col min="28" max="28" width="28.125" style="173" bestFit="1" customWidth="1"/>
    <col min="29" max="29" width="15.375" style="173" bestFit="1" customWidth="1"/>
    <col min="30" max="30" width="1.75" style="173" bestFit="1" customWidth="1"/>
    <col min="31" max="31" width="10" style="173" bestFit="1" customWidth="1"/>
    <col min="32" max="32" width="9.875" style="173" bestFit="1" customWidth="1"/>
    <col min="33" max="33" width="10.125" style="173" bestFit="1" customWidth="1"/>
    <col min="34" max="34" width="13.625" style="173" bestFit="1" customWidth="1"/>
    <col min="35" max="35" width="11.25" style="173" bestFit="1" customWidth="1"/>
    <col min="36" max="36" width="12.625" style="173" bestFit="1" customWidth="1"/>
    <col min="37" max="37" width="14.125" style="173" customWidth="1"/>
    <col min="38" max="38" width="8.125" style="173" bestFit="1" customWidth="1"/>
    <col min="39" max="39" width="18.625" style="173" bestFit="1" customWidth="1"/>
    <col min="40" max="40" width="9.125" style="173" bestFit="1" customWidth="1"/>
    <col min="41" max="41" width="14.125" style="173" customWidth="1"/>
    <col min="42" max="42" width="10.625" style="173" bestFit="1" customWidth="1"/>
    <col min="43" max="43" width="12.375" style="173" bestFit="1" customWidth="1"/>
    <col min="44" max="44" width="9.875" style="173" bestFit="1" customWidth="1"/>
    <col min="45" max="45" width="10.625" style="173" bestFit="1" customWidth="1"/>
    <col min="46" max="46" width="10.875" style="173" bestFit="1" customWidth="1"/>
    <col min="47" max="47" width="11.625" style="173" bestFit="1" customWidth="1"/>
    <col min="48" max="48" width="11.375" style="173" bestFit="1" customWidth="1"/>
    <col min="49" max="49" width="8" style="173" bestFit="1" customWidth="1"/>
    <col min="50" max="50" width="10.75" style="173" bestFit="1" customWidth="1"/>
    <col min="51" max="51" width="11.625" style="173" bestFit="1" customWidth="1"/>
    <col min="52" max="52" width="10.25" style="173" bestFit="1" customWidth="1"/>
    <col min="53" max="53" width="9.625" style="173" bestFit="1" customWidth="1"/>
    <col min="54" max="54" width="6.375" style="173" bestFit="1" customWidth="1"/>
    <col min="55" max="55" width="9.375" style="173" bestFit="1" customWidth="1"/>
    <col min="56" max="56" width="12.375" style="173" bestFit="1" customWidth="1"/>
    <col min="57" max="57" width="5" style="173" bestFit="1" customWidth="1"/>
    <col min="58" max="59" width="5.375" style="173"/>
    <col min="60" max="60" width="44.75" style="173" bestFit="1" customWidth="1"/>
    <col min="61" max="61" width="30.125" style="173" bestFit="1" customWidth="1"/>
    <col min="62" max="62" width="23.875" style="173" bestFit="1" customWidth="1"/>
    <col min="63" max="63" width="5.375" style="173"/>
    <col min="64" max="64" width="24.625" style="173" bestFit="1" customWidth="1"/>
    <col min="65" max="65" width="5.375" style="173"/>
    <col min="66" max="66" width="10.125" style="173" bestFit="1" customWidth="1"/>
    <col min="67" max="67" width="3.375" style="173" bestFit="1" customWidth="1"/>
    <col min="68" max="68" width="5.875" style="173" bestFit="1" customWidth="1"/>
    <col min="69" max="69" width="10.125" style="173" bestFit="1" customWidth="1"/>
    <col min="70" max="70" width="3.375" style="173" bestFit="1" customWidth="1"/>
    <col min="71" max="71" width="5.875" style="173" bestFit="1" customWidth="1"/>
    <col min="72" max="73" width="5.375" style="173"/>
    <col min="74" max="74" width="14.625" style="173" bestFit="1" customWidth="1"/>
    <col min="75" max="75" width="9.125" style="173" bestFit="1" customWidth="1"/>
    <col min="76" max="76" width="7.75" style="173" bestFit="1" customWidth="1"/>
    <col min="77" max="77" width="9.25" style="173" bestFit="1" customWidth="1"/>
    <col min="78" max="78" width="7.875" style="173" bestFit="1" customWidth="1"/>
    <col min="79" max="79" width="14.875" style="173" bestFit="1" customWidth="1"/>
    <col min="80" max="80" width="12.125" style="173" bestFit="1" customWidth="1"/>
    <col min="81" max="83" width="5.375" style="173"/>
    <col min="84" max="84" width="80.125" style="173" bestFit="1" customWidth="1"/>
    <col min="85" max="85" width="42.625" style="173" bestFit="1" customWidth="1"/>
    <col min="86" max="86" width="78.875" style="173" bestFit="1" customWidth="1"/>
    <col min="87" max="87" width="52.625" style="173" bestFit="1" customWidth="1"/>
    <col min="88" max="88" width="51.375" style="173" bestFit="1" customWidth="1"/>
    <col min="89" max="90" width="53.875" style="173" bestFit="1" customWidth="1"/>
    <col min="91" max="91" width="56.375" style="173" bestFit="1" customWidth="1"/>
    <col min="92" max="93" width="55.125" style="173" bestFit="1" customWidth="1"/>
    <col min="94" max="94" width="53.875" style="173" bestFit="1" customWidth="1"/>
    <col min="95" max="95" width="55.125" style="173" bestFit="1" customWidth="1"/>
    <col min="96" max="96" width="53.875" style="173" bestFit="1" customWidth="1"/>
    <col min="97" max="97" width="52.625" style="173" bestFit="1" customWidth="1"/>
    <col min="98" max="98" width="55.125" style="173" bestFit="1" customWidth="1"/>
    <col min="99" max="100" width="53.875" style="173" bestFit="1" customWidth="1"/>
    <col min="101" max="103" width="55.125" style="173" bestFit="1" customWidth="1"/>
    <col min="104" max="105" width="52.625" style="173" bestFit="1" customWidth="1"/>
    <col min="106" max="109" width="51.375" style="173" bestFit="1" customWidth="1"/>
    <col min="110" max="110" width="71.625" style="173" customWidth="1"/>
    <col min="111" max="179" width="5.375" style="173"/>
    <col min="180" max="180" width="5.375" style="173" customWidth="1"/>
    <col min="181" max="16384" width="5.375" style="173"/>
  </cols>
  <sheetData>
    <row r="1" spans="1:109" ht="21" thickBot="1" x14ac:dyDescent="0.25">
      <c r="CF1" s="730" t="s">
        <v>552</v>
      </c>
      <c r="CG1" s="730"/>
      <c r="CH1" s="730"/>
      <c r="CI1" s="730"/>
      <c r="CJ1" s="730"/>
      <c r="CK1" s="730"/>
      <c r="CL1" s="731"/>
      <c r="CM1" s="731"/>
      <c r="CN1" s="731"/>
      <c r="CO1" s="731"/>
      <c r="CP1" s="731"/>
      <c r="CQ1" s="731"/>
      <c r="CR1" s="731"/>
      <c r="CS1" s="731"/>
      <c r="CT1" s="731"/>
      <c r="CU1" s="731"/>
      <c r="CV1" s="731"/>
      <c r="CW1" s="731"/>
      <c r="CX1" s="731"/>
      <c r="CY1" s="731"/>
      <c r="CZ1" s="731"/>
      <c r="DA1" s="731"/>
      <c r="DB1" s="731"/>
      <c r="DC1" s="731"/>
      <c r="DD1" s="731"/>
      <c r="DE1" s="731"/>
    </row>
    <row r="2" spans="1:109" ht="15" x14ac:dyDescent="0.2">
      <c r="A2" s="297"/>
      <c r="B2" s="297"/>
      <c r="C2" s="297"/>
      <c r="D2" s="297"/>
      <c r="E2" s="297"/>
      <c r="F2" s="297"/>
      <c r="AE2" s="811" t="s">
        <v>362</v>
      </c>
      <c r="AF2" s="812"/>
      <c r="AG2" s="812"/>
      <c r="AH2" s="812"/>
      <c r="AI2" s="812"/>
      <c r="AJ2" s="812"/>
      <c r="AK2" s="812"/>
      <c r="AL2" s="812"/>
      <c r="AM2" s="812"/>
      <c r="AN2" s="812"/>
      <c r="AO2" s="812"/>
      <c r="AP2" s="812"/>
      <c r="AQ2" s="812"/>
      <c r="AR2" s="812"/>
      <c r="AS2" s="812"/>
      <c r="AT2" s="812"/>
      <c r="AU2" s="812"/>
      <c r="AV2" s="812"/>
      <c r="AW2" s="812"/>
      <c r="AX2" s="812"/>
      <c r="AY2" s="812"/>
      <c r="AZ2" s="812"/>
      <c r="BA2" s="812"/>
      <c r="BB2" s="812"/>
      <c r="BC2" s="812"/>
      <c r="BD2" s="813"/>
      <c r="BH2" s="794" t="s">
        <v>326</v>
      </c>
      <c r="BI2" s="795"/>
      <c r="BJ2" s="796"/>
      <c r="BK2" s="193"/>
      <c r="BL2" s="803" t="s">
        <v>332</v>
      </c>
      <c r="BN2" s="789" t="s">
        <v>367</v>
      </c>
      <c r="BO2" s="787"/>
      <c r="BP2" s="790"/>
      <c r="BQ2" s="786" t="s">
        <v>368</v>
      </c>
      <c r="BR2" s="787"/>
      <c r="BS2" s="788"/>
      <c r="BV2" s="298" t="s">
        <v>384</v>
      </c>
      <c r="BW2" s="404" t="s">
        <v>455</v>
      </c>
      <c r="BX2" s="184"/>
      <c r="BY2" s="184"/>
      <c r="BZ2" s="184"/>
      <c r="CA2" s="298" t="s">
        <v>385</v>
      </c>
      <c r="CB2" s="299" t="s">
        <v>387</v>
      </c>
      <c r="CC2" s="202"/>
      <c r="CF2" s="732" t="s">
        <v>553</v>
      </c>
      <c r="CG2" s="732"/>
      <c r="CH2" s="732"/>
      <c r="CI2" s="732"/>
      <c r="CJ2" s="732"/>
      <c r="CK2" s="732"/>
      <c r="CL2" s="731"/>
      <c r="CM2" s="731"/>
      <c r="CN2" s="731"/>
      <c r="CO2" s="731"/>
      <c r="CP2" s="731"/>
      <c r="CQ2" s="731"/>
      <c r="CR2" s="731"/>
      <c r="CS2" s="731"/>
      <c r="CT2" s="731"/>
      <c r="CU2" s="731"/>
      <c r="CV2" s="731"/>
      <c r="CW2" s="731"/>
      <c r="CX2" s="731"/>
      <c r="CY2" s="731"/>
      <c r="CZ2" s="731"/>
      <c r="DA2" s="731"/>
      <c r="DB2" s="731"/>
      <c r="DC2" s="731"/>
      <c r="DD2" s="731"/>
      <c r="DE2" s="731"/>
    </row>
    <row r="3" spans="1:109" ht="34.5" thickBot="1" x14ac:dyDescent="0.25">
      <c r="A3" s="297"/>
      <c r="B3" s="297"/>
      <c r="C3" s="297"/>
      <c r="D3" s="297"/>
      <c r="E3" s="297"/>
      <c r="F3" s="297"/>
      <c r="AE3" s="31" t="s">
        <v>313</v>
      </c>
      <c r="AF3" s="32" t="s">
        <v>297</v>
      </c>
      <c r="AG3" s="32" t="s">
        <v>517</v>
      </c>
      <c r="AH3" s="122" t="s">
        <v>439</v>
      </c>
      <c r="AI3" s="32" t="s">
        <v>299</v>
      </c>
      <c r="AJ3" s="32" t="s">
        <v>300</v>
      </c>
      <c r="AK3" s="32" t="s">
        <v>301</v>
      </c>
      <c r="AL3" s="32" t="s">
        <v>302</v>
      </c>
      <c r="AM3" s="122" t="s">
        <v>357</v>
      </c>
      <c r="AN3" s="122" t="s">
        <v>356</v>
      </c>
      <c r="AO3" s="32" t="s">
        <v>380</v>
      </c>
      <c r="AP3" s="32" t="s">
        <v>303</v>
      </c>
      <c r="AQ3" s="32" t="s">
        <v>355</v>
      </c>
      <c r="AR3" s="32" t="s">
        <v>304</v>
      </c>
      <c r="AS3" s="32" t="s">
        <v>305</v>
      </c>
      <c r="AT3" s="32" t="s">
        <v>354</v>
      </c>
      <c r="AU3" s="32" t="s">
        <v>306</v>
      </c>
      <c r="AV3" s="32" t="s">
        <v>364</v>
      </c>
      <c r="AW3" s="32" t="s">
        <v>308</v>
      </c>
      <c r="AX3" s="32" t="s">
        <v>309</v>
      </c>
      <c r="AY3" s="32" t="s">
        <v>310</v>
      </c>
      <c r="AZ3" s="32" t="s">
        <v>311</v>
      </c>
      <c r="BA3" s="32" t="s">
        <v>370</v>
      </c>
      <c r="BB3" s="32" t="s">
        <v>361</v>
      </c>
      <c r="BC3" s="32" t="s">
        <v>369</v>
      </c>
      <c r="BD3" s="33" t="s">
        <v>312</v>
      </c>
      <c r="BE3" s="172"/>
      <c r="BH3" s="797"/>
      <c r="BI3" s="798"/>
      <c r="BJ3" s="799"/>
      <c r="BK3" s="692"/>
      <c r="BL3" s="804"/>
      <c r="BN3" s="268" t="s">
        <v>37</v>
      </c>
      <c r="BO3" s="269" t="s">
        <v>365</v>
      </c>
      <c r="BP3" s="425" t="s">
        <v>366</v>
      </c>
      <c r="BQ3" s="428" t="s">
        <v>37</v>
      </c>
      <c r="BR3" s="269" t="s">
        <v>365</v>
      </c>
      <c r="BS3" s="270" t="s">
        <v>366</v>
      </c>
      <c r="BV3" s="156" t="s">
        <v>463</v>
      </c>
      <c r="BW3" s="625" t="s">
        <v>456</v>
      </c>
      <c r="CA3" s="626" t="s">
        <v>386</v>
      </c>
      <c r="CB3" s="627" t="s">
        <v>399</v>
      </c>
      <c r="CE3"/>
      <c r="CF3" s="731"/>
      <c r="CG3" s="731"/>
      <c r="CH3" s="731"/>
      <c r="CI3" s="731"/>
      <c r="CJ3" s="731"/>
      <c r="CK3" s="731"/>
      <c r="CL3" s="731"/>
      <c r="CM3" s="731"/>
      <c r="CN3" s="731"/>
      <c r="CO3" s="731"/>
      <c r="CP3" s="731"/>
      <c r="CQ3" s="731"/>
      <c r="CR3" s="731"/>
      <c r="CS3" s="731"/>
      <c r="CT3" s="731"/>
      <c r="CU3" s="731"/>
      <c r="CV3" s="731"/>
      <c r="CW3" s="731"/>
      <c r="CX3" s="731"/>
      <c r="CY3" s="731"/>
      <c r="CZ3" s="731"/>
      <c r="DA3" s="731"/>
      <c r="DB3" s="731"/>
      <c r="DC3" s="731"/>
      <c r="DD3" s="731"/>
      <c r="DE3" s="731"/>
    </row>
    <row r="4" spans="1:109" ht="27.75" thickBot="1" x14ac:dyDescent="0.25">
      <c r="A4" s="297"/>
      <c r="B4" s="297"/>
      <c r="C4" s="297"/>
      <c r="D4" s="297"/>
      <c r="E4" s="297"/>
      <c r="F4" s="297"/>
      <c r="AE4" s="98" t="s">
        <v>215</v>
      </c>
      <c r="AF4" s="285">
        <f>I45</f>
        <v>15362564</v>
      </c>
      <c r="AG4" s="285">
        <f t="shared" ref="AG4:AG13" si="0">J61*AO4</f>
        <v>7800408</v>
      </c>
      <c r="AH4" s="145">
        <v>0</v>
      </c>
      <c r="AI4" s="285">
        <f t="shared" ref="AI4:AI13" si="1">($J$73*AH4)*AO4</f>
        <v>0</v>
      </c>
      <c r="AJ4" s="285"/>
      <c r="AK4" s="285"/>
      <c r="AL4" s="285">
        <f t="shared" ref="AL4:AL13" si="2">(((D61-F61)/$I$59)*$J$71)*AO4</f>
        <v>0</v>
      </c>
      <c r="AM4" s="123">
        <f>SUM(AF4:AG4,AI4:AL4)/$AM$14</f>
        <v>0.14502019228462343</v>
      </c>
      <c r="AN4" s="123">
        <f>SUM(AF4:AG4,AI4:AL4)/$AN$14</f>
        <v>0.11361588880169904</v>
      </c>
      <c r="AO4" s="147">
        <f t="shared" ref="AO4:AO13" si="3">D129</f>
        <v>1</v>
      </c>
      <c r="AP4" s="285">
        <f>(AN4*SUM($C$86,$C$88:$C$89,$C$96:$C$97))+((H147+X147)/($H$157+$X$157))*$C$99+(SUM($D$93:$D$95)*G61*AO4)</f>
        <v>749188.50482248759</v>
      </c>
      <c r="AQ4" s="124">
        <f>(($A$92+$C$98)*AM4)+((C90+C101)*15%)</f>
        <v>887297.50015231781</v>
      </c>
      <c r="AR4" s="151">
        <f t="shared" ref="AR4:AR13" si="4">AM4*$C$119</f>
        <v>1035720.186037122</v>
      </c>
      <c r="AS4" s="285">
        <f t="shared" ref="AS4:AS13" si="5">AN4*$C$107</f>
        <v>2535299.6110832328</v>
      </c>
      <c r="AT4" s="125">
        <f t="shared" ref="AT4:AT13" si="6">SUM(I147,Y147)</f>
        <v>123565.554</v>
      </c>
      <c r="AU4" s="125">
        <f>SUM(AF4:AG4,AI4:AL4,AP4:AT4)</f>
        <v>28494043.356095161</v>
      </c>
      <c r="AV4" s="125">
        <f t="shared" ref="AV4:AV13" si="7">IFERROR((AU4-AT4)/E129, "0")</f>
        <v>9413.5424657740914</v>
      </c>
      <c r="AW4" s="119">
        <f t="shared" ref="AW4:AW13" si="8">(AU4-AT4)/($C$23)</f>
        <v>0.1285243785398196</v>
      </c>
      <c r="AX4" s="143">
        <f t="shared" ref="AX4:AX13" si="9">SUM(J129,H147,O129,X147)</f>
        <v>31818130.155000001</v>
      </c>
      <c r="AY4" s="126">
        <f t="shared" ref="AY4:AY13" si="10">IFERROR(AZ4/E129, "0.00")</f>
        <v>1102.9575342259093</v>
      </c>
      <c r="AZ4" s="126">
        <f>AX4-AU4</f>
        <v>3324086.7989048399</v>
      </c>
      <c r="BA4" s="165">
        <f>IFERROR(BD4/AW4, "0.00")</f>
        <v>0.91163332591623647</v>
      </c>
      <c r="BB4" s="153">
        <f t="shared" ref="BB4:BB14" si="11">IFERROR(AZ4/AX4, "0.00%")</f>
        <v>0.10447146902447636</v>
      </c>
      <c r="BC4" s="153">
        <f t="shared" ref="BC4:BC13" si="12">AZ4/$C$25</f>
        <v>3.8691213908907354E-2</v>
      </c>
      <c r="BD4" s="127">
        <f>IFERROR(AZ4/(AU4-AT4), "0.00%")</f>
        <v>0.11716710666957311</v>
      </c>
      <c r="BE4" s="218" t="s">
        <v>215</v>
      </c>
      <c r="BH4" s="800"/>
      <c r="BI4" s="801"/>
      <c r="BJ4" s="802"/>
      <c r="BK4" s="692"/>
      <c r="BL4" s="804"/>
      <c r="BN4" s="279" t="s">
        <v>38</v>
      </c>
      <c r="BO4" s="271">
        <f t="shared" ref="BO4:BO13" si="13">IFERROR((AU4-AT4) / (C147 * D147 * G147 * (1 - $I$158) * BP4), 0)</f>
        <v>0</v>
      </c>
      <c r="BP4" s="426"/>
      <c r="BQ4" s="429" t="s">
        <v>38</v>
      </c>
      <c r="BR4" s="271">
        <f t="shared" ref="BR4:BR13" si="14">IFERROR((AU4-AT4) / ((R147 * S147 * (1 - $Y$158) * 365 * BS4) * (1 + W147)), 0)</f>
        <v>0</v>
      </c>
      <c r="BS4" s="13"/>
      <c r="BV4" s="98" t="str">
        <f>B19</f>
        <v>إجمالي تكلفة البناء
 (Total Construction Cost)</v>
      </c>
      <c r="BW4" s="195">
        <f>J76</f>
        <v>78265608</v>
      </c>
      <c r="CB4" s="185"/>
      <c r="CE4"/>
      <c r="CF4" s="733" t="s">
        <v>554</v>
      </c>
      <c r="CG4" s="733" t="s">
        <v>555</v>
      </c>
      <c r="CH4" s="733" t="s">
        <v>556</v>
      </c>
      <c r="CI4" s="733" t="s">
        <v>557</v>
      </c>
      <c r="CJ4" s="733" t="s">
        <v>558</v>
      </c>
      <c r="CK4" s="733" t="s">
        <v>559</v>
      </c>
      <c r="CL4" s="731"/>
      <c r="CM4" s="731"/>
      <c r="CN4" s="731"/>
      <c r="CO4" s="731"/>
      <c r="CP4" s="731"/>
      <c r="CQ4" s="731"/>
      <c r="CR4" s="731"/>
      <c r="CS4" s="731"/>
      <c r="CT4" s="731"/>
      <c r="CU4" s="731"/>
      <c r="CV4" s="731"/>
      <c r="CW4" s="731"/>
      <c r="CX4" s="731"/>
      <c r="CY4" s="731"/>
      <c r="CZ4" s="731"/>
      <c r="DA4" s="731"/>
      <c r="DB4" s="731"/>
      <c r="DC4" s="731"/>
      <c r="DD4" s="731"/>
      <c r="DE4" s="731"/>
    </row>
    <row r="5" spans="1:109" ht="27.75" thickBot="1" x14ac:dyDescent="0.25">
      <c r="A5" s="297"/>
      <c r="B5" s="297"/>
      <c r="C5" s="297"/>
      <c r="D5" s="297"/>
      <c r="E5" s="297"/>
      <c r="F5" s="297"/>
      <c r="AE5" s="83" t="s">
        <v>216</v>
      </c>
      <c r="AF5" s="105">
        <f>I46</f>
        <v>27351260</v>
      </c>
      <c r="AG5" s="105">
        <f t="shared" si="0"/>
        <v>0</v>
      </c>
      <c r="AH5" s="146">
        <v>0</v>
      </c>
      <c r="AI5" s="105">
        <f t="shared" si="1"/>
        <v>0</v>
      </c>
      <c r="AJ5" s="105">
        <f t="shared" ref="AJ5:AJ10" si="15">((K62/$L$76)*($J$74+$J$75))*AO5</f>
        <v>0</v>
      </c>
      <c r="AK5" s="105">
        <f t="shared" ref="AK5:AK10" si="16">((K62/$L$76)*$C$87)*AO5</f>
        <v>0</v>
      </c>
      <c r="AL5" s="105">
        <f t="shared" si="2"/>
        <v>0</v>
      </c>
      <c r="AM5" s="128">
        <f t="shared" ref="AM5:AM13" si="17">SUM(AF5:AG5,AI5:AL5)/$AM$14</f>
        <v>0.17124248928102703</v>
      </c>
      <c r="AN5" s="128">
        <f t="shared" ref="AN5:AN13" si="18">SUM(AF5:AG5,AI5:AL5)/$AN$14</f>
        <v>0.13415971468369253</v>
      </c>
      <c r="AO5" s="148">
        <f t="shared" si="3"/>
        <v>0</v>
      </c>
      <c r="AP5" s="105">
        <f>(AN5*SUM($C$86,$C$88:$C$89,$C$96:$C$97))+((H148+X148)/($H$157+$X$157))*$C$99+(SUM($D$93:$D$95)*G62*AO5)</f>
        <v>456192.67116554297</v>
      </c>
      <c r="AQ5" s="124">
        <f>(($A$92+$C$98)*AM5)+((C90+C101)*15%)</f>
        <v>888528.7657614128</v>
      </c>
      <c r="AR5" s="152">
        <f t="shared" si="4"/>
        <v>1222997.2948009304</v>
      </c>
      <c r="AS5" s="150">
        <f t="shared" si="5"/>
        <v>2993728.043216405</v>
      </c>
      <c r="AT5" s="129">
        <f t="shared" si="6"/>
        <v>0</v>
      </c>
      <c r="AU5" s="129">
        <f t="shared" ref="AU5:AU13" si="19">SUM(AF5:AG5,AI5:AL5,AP5:AT5)</f>
        <v>32912706.774944291</v>
      </c>
      <c r="AV5" s="129">
        <f t="shared" si="7"/>
        <v>9854.1038248336208</v>
      </c>
      <c r="AW5" s="120">
        <f t="shared" si="8"/>
        <v>0.14910165467853465</v>
      </c>
      <c r="AX5" s="149">
        <f t="shared" si="9"/>
        <v>0</v>
      </c>
      <c r="AY5" s="141">
        <f t="shared" si="10"/>
        <v>-9854.1038248336208</v>
      </c>
      <c r="AZ5" s="141">
        <f t="shared" ref="AZ5:AZ13" si="20">AX5-AU5</f>
        <v>-32912706.774944291</v>
      </c>
      <c r="BA5" s="166">
        <f t="shared" ref="BA5:BA13" si="21">IFERROR(BD5/AW5, "0.00")</f>
        <v>-6.7068336844149359</v>
      </c>
      <c r="BB5" s="154" t="str">
        <f t="shared" si="11"/>
        <v>0.00%</v>
      </c>
      <c r="BC5" s="154">
        <f t="shared" si="12"/>
        <v>-0.38309245672226772</v>
      </c>
      <c r="BD5" s="130">
        <f t="shared" ref="BD5:BD13" si="22">IFERROR(AZ5/(AU5-AT5), "0.00%")</f>
        <v>-1</v>
      </c>
      <c r="BE5" s="218" t="s">
        <v>216</v>
      </c>
      <c r="BH5" s="791" t="s">
        <v>327</v>
      </c>
      <c r="BI5" s="792"/>
      <c r="BJ5" s="793"/>
      <c r="BK5" s="692"/>
      <c r="BL5" s="805"/>
      <c r="BN5" s="268" t="s">
        <v>39</v>
      </c>
      <c r="BO5" s="269">
        <f t="shared" si="13"/>
        <v>0</v>
      </c>
      <c r="BP5" s="426"/>
      <c r="BQ5" s="428" t="s">
        <v>39</v>
      </c>
      <c r="BR5" s="269">
        <f t="shared" si="14"/>
        <v>0</v>
      </c>
      <c r="BS5" s="13"/>
      <c r="BV5" s="83" t="str">
        <f>B23</f>
        <v>إجمالي التكاليف الرأسمالية للمشروع
(Total Capital Expenditures)</v>
      </c>
      <c r="BW5" s="194">
        <f>C23</f>
        <v>220740050.44346803</v>
      </c>
      <c r="CB5" s="185"/>
      <c r="CE5"/>
      <c r="CF5" s="734" t="s">
        <v>560</v>
      </c>
      <c r="CG5" s="734"/>
      <c r="CH5" s="734"/>
      <c r="CI5" s="734"/>
      <c r="CJ5" s="734"/>
      <c r="CK5" s="734"/>
      <c r="CL5" s="731"/>
      <c r="CM5" s="731"/>
      <c r="CN5" s="731"/>
      <c r="CO5" s="731"/>
      <c r="CP5" s="731"/>
      <c r="CQ5" s="731"/>
      <c r="CR5" s="731"/>
      <c r="CS5" s="731"/>
      <c r="CT5" s="731"/>
      <c r="CU5" s="731"/>
      <c r="CV5" s="731"/>
      <c r="CW5" s="731"/>
      <c r="CX5" s="731"/>
      <c r="CY5" s="731"/>
      <c r="CZ5" s="731"/>
      <c r="DA5" s="731"/>
      <c r="DB5" s="731"/>
      <c r="DC5" s="731"/>
      <c r="DD5" s="731"/>
      <c r="DE5" s="731"/>
    </row>
    <row r="6" spans="1:109" ht="22.5" x14ac:dyDescent="0.2">
      <c r="A6" s="297"/>
      <c r="B6" s="297"/>
      <c r="C6" s="297"/>
      <c r="D6" s="297"/>
      <c r="E6" s="297"/>
      <c r="F6" s="297"/>
      <c r="AE6" s="98" t="s">
        <v>217</v>
      </c>
      <c r="AF6" s="285">
        <f>((F63/$J$59)*$I$49)*AO6</f>
        <v>0</v>
      </c>
      <c r="AG6" s="285">
        <f t="shared" si="0"/>
        <v>0</v>
      </c>
      <c r="AH6" s="145">
        <v>0</v>
      </c>
      <c r="AI6" s="285">
        <f t="shared" si="1"/>
        <v>0</v>
      </c>
      <c r="AJ6" s="285">
        <f t="shared" si="15"/>
        <v>0</v>
      </c>
      <c r="AK6" s="285">
        <f t="shared" si="16"/>
        <v>0</v>
      </c>
      <c r="AL6" s="285">
        <f t="shared" si="2"/>
        <v>0</v>
      </c>
      <c r="AM6" s="123">
        <f t="shared" si="17"/>
        <v>0</v>
      </c>
      <c r="AN6" s="123">
        <f t="shared" si="18"/>
        <v>0</v>
      </c>
      <c r="AO6" s="147">
        <f t="shared" si="3"/>
        <v>1</v>
      </c>
      <c r="AP6" s="285">
        <f>(AN6*SUM($C$86,$C$88:$C$90,$C$96:$C$97,$C$101))+((H149+X149)/($H$157+$X$157))*$C$99+(SUM($D$93:$D$95)*G63*AO6)</f>
        <v>0</v>
      </c>
      <c r="AQ6" s="124">
        <f>(($A$92+$C$98)*AM6)</f>
        <v>0</v>
      </c>
      <c r="AR6" s="142">
        <f t="shared" si="4"/>
        <v>0</v>
      </c>
      <c r="AS6" s="106">
        <f t="shared" si="5"/>
        <v>0</v>
      </c>
      <c r="AT6" s="125">
        <f t="shared" si="6"/>
        <v>0</v>
      </c>
      <c r="AU6" s="125">
        <f t="shared" si="19"/>
        <v>0</v>
      </c>
      <c r="AV6" s="125" t="str">
        <f t="shared" si="7"/>
        <v>0</v>
      </c>
      <c r="AW6" s="119">
        <f t="shared" si="8"/>
        <v>0</v>
      </c>
      <c r="AX6" s="143">
        <f t="shared" si="9"/>
        <v>0</v>
      </c>
      <c r="AY6" s="126" t="str">
        <f t="shared" si="10"/>
        <v>0.00</v>
      </c>
      <c r="AZ6" s="143">
        <f t="shared" si="20"/>
        <v>0</v>
      </c>
      <c r="BA6" s="165" t="str">
        <f t="shared" si="21"/>
        <v>0.00</v>
      </c>
      <c r="BB6" s="153" t="str">
        <f t="shared" si="11"/>
        <v>0.00%</v>
      </c>
      <c r="BC6" s="153">
        <f t="shared" si="12"/>
        <v>0</v>
      </c>
      <c r="BD6" s="127" t="str">
        <f t="shared" si="22"/>
        <v>0.00%</v>
      </c>
      <c r="BE6" s="218" t="s">
        <v>217</v>
      </c>
      <c r="BH6" s="700" t="s">
        <v>414</v>
      </c>
      <c r="BI6" s="784">
        <f>C23/G59</f>
        <v>6941.5896042680997</v>
      </c>
      <c r="BJ6" s="785"/>
      <c r="BK6" s="193"/>
      <c r="BL6" s="697" t="s">
        <v>67</v>
      </c>
      <c r="BN6" s="279" t="s">
        <v>40</v>
      </c>
      <c r="BO6" s="271">
        <f t="shared" si="13"/>
        <v>0</v>
      </c>
      <c r="BP6" s="426"/>
      <c r="BQ6" s="429" t="s">
        <v>40</v>
      </c>
      <c r="BR6" s="271">
        <f t="shared" si="14"/>
        <v>0</v>
      </c>
      <c r="BS6" s="13"/>
      <c r="BV6" s="98" t="str">
        <f>B17</f>
        <v>إجمالي الإيرادات
(Total Revenue)</v>
      </c>
      <c r="BW6" s="197">
        <f>C17</f>
        <v>313182586.6767391</v>
      </c>
      <c r="CB6" s="185"/>
      <c r="CE6"/>
      <c r="CF6" s="735">
        <v>1</v>
      </c>
      <c r="CG6" s="736" t="s">
        <v>561</v>
      </c>
      <c r="CH6" s="737">
        <f>F2</f>
        <v>0</v>
      </c>
      <c r="CI6" s="736" t="s">
        <v>562</v>
      </c>
      <c r="CJ6" s="738" t="s">
        <v>563</v>
      </c>
      <c r="CK6" s="736" t="s">
        <v>564</v>
      </c>
      <c r="CL6" s="731"/>
      <c r="CM6" s="731"/>
      <c r="CN6" s="731"/>
      <c r="CO6" s="731"/>
      <c r="CP6" s="731"/>
      <c r="CQ6" s="731"/>
      <c r="CR6" s="731"/>
      <c r="CS6" s="731"/>
      <c r="CT6" s="731"/>
      <c r="CU6" s="731"/>
      <c r="CV6" s="731"/>
      <c r="CW6" s="731"/>
      <c r="CX6" s="731"/>
      <c r="CY6" s="731"/>
      <c r="CZ6" s="731"/>
      <c r="DA6" s="731"/>
      <c r="DB6" s="731"/>
      <c r="DC6" s="731"/>
      <c r="DD6" s="731"/>
      <c r="DE6" s="731"/>
    </row>
    <row r="7" spans="1:109" ht="23.25" thickBot="1" x14ac:dyDescent="0.25">
      <c r="A7" s="297"/>
      <c r="B7" s="297"/>
      <c r="C7" s="297"/>
      <c r="D7" s="297"/>
      <c r="E7" s="297"/>
      <c r="F7" s="297"/>
      <c r="AE7" s="83" t="s">
        <v>218</v>
      </c>
      <c r="AF7" s="105">
        <f>((F64/$J$59)*$I$49)*AO7</f>
        <v>0</v>
      </c>
      <c r="AG7" s="105">
        <f t="shared" si="0"/>
        <v>0</v>
      </c>
      <c r="AH7" s="146">
        <v>0</v>
      </c>
      <c r="AI7" s="105">
        <f t="shared" si="1"/>
        <v>0</v>
      </c>
      <c r="AJ7" s="105">
        <f t="shared" si="15"/>
        <v>0</v>
      </c>
      <c r="AK7" s="105">
        <f t="shared" si="16"/>
        <v>0</v>
      </c>
      <c r="AL7" s="105">
        <f t="shared" si="2"/>
        <v>0</v>
      </c>
      <c r="AM7" s="128">
        <f t="shared" si="17"/>
        <v>0</v>
      </c>
      <c r="AN7" s="128">
        <f t="shared" si="18"/>
        <v>0</v>
      </c>
      <c r="AO7" s="148">
        <f t="shared" si="3"/>
        <v>1</v>
      </c>
      <c r="AP7" s="105">
        <f>(AN7*SUM($C$86,$C$88:$C$90,$C$96:$C$97,$C$101))+((H150+X150)/($H$157+$X$157))*$C$99+(SUM($D$93:$D$95)*G64*AO7)</f>
        <v>0</v>
      </c>
      <c r="AQ7" s="124">
        <f>(($A$92+$C$98)*AM7)</f>
        <v>0</v>
      </c>
      <c r="AR7" s="152">
        <f t="shared" si="4"/>
        <v>0</v>
      </c>
      <c r="AS7" s="150">
        <f t="shared" si="5"/>
        <v>0</v>
      </c>
      <c r="AT7" s="129">
        <f t="shared" si="6"/>
        <v>0</v>
      </c>
      <c r="AU7" s="129">
        <f t="shared" si="19"/>
        <v>0</v>
      </c>
      <c r="AV7" s="129" t="str">
        <f t="shared" si="7"/>
        <v>0</v>
      </c>
      <c r="AW7" s="120">
        <f t="shared" si="8"/>
        <v>0</v>
      </c>
      <c r="AX7" s="149">
        <f t="shared" si="9"/>
        <v>0</v>
      </c>
      <c r="AY7" s="141" t="str">
        <f t="shared" si="10"/>
        <v>0.00</v>
      </c>
      <c r="AZ7" s="141">
        <f>AX7-AU7</f>
        <v>0</v>
      </c>
      <c r="BA7" s="166" t="str">
        <f t="shared" si="21"/>
        <v>0.00</v>
      </c>
      <c r="BB7" s="154" t="str">
        <f t="shared" si="11"/>
        <v>0.00%</v>
      </c>
      <c r="BC7" s="154">
        <f t="shared" si="12"/>
        <v>0</v>
      </c>
      <c r="BD7" s="130" t="str">
        <f t="shared" si="22"/>
        <v>0.00%</v>
      </c>
      <c r="BE7" s="218" t="s">
        <v>218</v>
      </c>
      <c r="BH7" s="156" t="s">
        <v>413</v>
      </c>
      <c r="BI7" s="782">
        <f>C23/J59</f>
        <v>22250.240297648361</v>
      </c>
      <c r="BJ7" s="783"/>
      <c r="BK7" s="692"/>
      <c r="BL7" s="670" t="s">
        <v>67</v>
      </c>
      <c r="BN7" s="268" t="s">
        <v>41</v>
      </c>
      <c r="BO7" s="269">
        <f t="shared" si="13"/>
        <v>0</v>
      </c>
      <c r="BP7" s="426"/>
      <c r="BQ7" s="428" t="s">
        <v>41</v>
      </c>
      <c r="BR7" s="269">
        <f t="shared" si="14"/>
        <v>0</v>
      </c>
      <c r="BS7" s="13"/>
      <c r="BV7" s="187" t="str">
        <f>B34</f>
        <v xml:space="preserve">  العائد على الملكية السنوي
(ROE Annually)</v>
      </c>
      <c r="BW7" s="196">
        <f>C32</f>
        <v>0.79248720297161024</v>
      </c>
      <c r="CB7" s="185"/>
      <c r="CE7"/>
      <c r="CF7" s="739">
        <v>2</v>
      </c>
      <c r="CG7" s="740" t="s">
        <v>565</v>
      </c>
      <c r="CH7" s="741">
        <f>F3</f>
        <v>0</v>
      </c>
      <c r="CI7" s="740" t="s">
        <v>562</v>
      </c>
      <c r="CJ7" s="742" t="s">
        <v>566</v>
      </c>
      <c r="CK7" s="740"/>
      <c r="CL7" s="731"/>
      <c r="CM7" s="731"/>
      <c r="CN7" s="731"/>
      <c r="CO7" s="731"/>
      <c r="CP7" s="731"/>
      <c r="CQ7" s="731"/>
      <c r="CR7" s="731"/>
      <c r="CS7" s="731"/>
      <c r="CT7" s="731"/>
      <c r="CU7" s="731"/>
      <c r="CV7" s="731"/>
      <c r="CW7" s="731"/>
      <c r="CX7" s="731"/>
      <c r="CY7" s="731"/>
      <c r="CZ7" s="731"/>
      <c r="DA7" s="731"/>
      <c r="DB7" s="731"/>
      <c r="DC7" s="731"/>
      <c r="DD7" s="731"/>
      <c r="DE7" s="731"/>
    </row>
    <row r="8" spans="1:109" ht="23.25" thickBot="1" x14ac:dyDescent="0.25">
      <c r="A8" s="297"/>
      <c r="B8" s="297"/>
      <c r="C8" s="297"/>
      <c r="D8" s="297"/>
      <c r="E8" s="297"/>
      <c r="F8" s="297"/>
      <c r="AE8" s="98" t="s">
        <v>219</v>
      </c>
      <c r="AF8" s="285">
        <f>((F65/$J$59)*$I$49)*AO8</f>
        <v>0</v>
      </c>
      <c r="AG8" s="285">
        <f t="shared" si="0"/>
        <v>0</v>
      </c>
      <c r="AH8" s="145">
        <v>0</v>
      </c>
      <c r="AI8" s="285">
        <f t="shared" si="1"/>
        <v>0</v>
      </c>
      <c r="AJ8" s="285">
        <f t="shared" si="15"/>
        <v>0</v>
      </c>
      <c r="AK8" s="285">
        <f t="shared" si="16"/>
        <v>0</v>
      </c>
      <c r="AL8" s="285">
        <f t="shared" si="2"/>
        <v>0</v>
      </c>
      <c r="AM8" s="123">
        <f t="shared" si="17"/>
        <v>0</v>
      </c>
      <c r="AN8" s="123">
        <f t="shared" si="18"/>
        <v>0</v>
      </c>
      <c r="AO8" s="147">
        <f t="shared" si="3"/>
        <v>1</v>
      </c>
      <c r="AP8" s="285">
        <f>(AN8*SUM($C$86,$C$88:$C$90,$C$96:$C$97,$C$101))+((H151+X151)/($H$157+$X$157))*$C$99+(SUM($D$93:$D$95)*G65*AO8)</f>
        <v>0</v>
      </c>
      <c r="AQ8" s="124">
        <f>(($A$92+$C$98)*AM8)</f>
        <v>0</v>
      </c>
      <c r="AR8" s="142">
        <f t="shared" si="4"/>
        <v>0</v>
      </c>
      <c r="AS8" s="106">
        <f t="shared" si="5"/>
        <v>0</v>
      </c>
      <c r="AT8" s="125">
        <f t="shared" si="6"/>
        <v>0</v>
      </c>
      <c r="AU8" s="125">
        <f t="shared" si="19"/>
        <v>0</v>
      </c>
      <c r="AV8" s="125" t="str">
        <f t="shared" si="7"/>
        <v>0</v>
      </c>
      <c r="AW8" s="119">
        <f t="shared" si="8"/>
        <v>0</v>
      </c>
      <c r="AX8" s="143">
        <f t="shared" si="9"/>
        <v>0</v>
      </c>
      <c r="AY8" s="126" t="str">
        <f t="shared" si="10"/>
        <v>0.00</v>
      </c>
      <c r="AZ8" s="143">
        <f t="shared" si="20"/>
        <v>0</v>
      </c>
      <c r="BA8" s="165" t="str">
        <f t="shared" si="21"/>
        <v>0.00</v>
      </c>
      <c r="BB8" s="153" t="str">
        <f t="shared" si="11"/>
        <v>0.00%</v>
      </c>
      <c r="BC8" s="153">
        <f t="shared" si="12"/>
        <v>0</v>
      </c>
      <c r="BD8" s="127" t="str">
        <f t="shared" si="22"/>
        <v>0.00%</v>
      </c>
      <c r="BE8" s="218" t="s">
        <v>219</v>
      </c>
      <c r="BH8" s="98" t="s">
        <v>543</v>
      </c>
      <c r="BI8" s="161">
        <f>-SUM(C196:C198,C202:C203)</f>
        <v>87785008</v>
      </c>
      <c r="BJ8" s="678">
        <f>BI8/($C$23+$C$24)</f>
        <v>0.38625974783146971</v>
      </c>
      <c r="BK8" s="692"/>
      <c r="BL8" s="676" t="s">
        <v>67</v>
      </c>
      <c r="BN8" s="279" t="s">
        <v>65</v>
      </c>
      <c r="BO8" s="271">
        <f t="shared" si="13"/>
        <v>0</v>
      </c>
      <c r="BP8" s="426"/>
      <c r="BQ8" s="429" t="s">
        <v>65</v>
      </c>
      <c r="BR8" s="271">
        <f t="shared" si="14"/>
        <v>0</v>
      </c>
      <c r="BS8" s="13"/>
      <c r="BV8" s="186"/>
      <c r="CA8" s="193" t="s">
        <v>67</v>
      </c>
      <c r="CB8" s="185"/>
      <c r="CE8"/>
      <c r="CF8" s="734" t="s">
        <v>567</v>
      </c>
      <c r="CG8" s="734"/>
      <c r="CH8" s="734"/>
      <c r="CI8" s="734"/>
      <c r="CJ8" s="734"/>
      <c r="CK8" s="734"/>
      <c r="CL8" s="731"/>
      <c r="CM8" s="731"/>
      <c r="CN8" s="731"/>
      <c r="CO8" s="731"/>
      <c r="CP8" s="731"/>
      <c r="CQ8" s="731"/>
      <c r="CR8" s="731"/>
      <c r="CS8" s="731"/>
      <c r="CT8" s="731"/>
      <c r="CU8" s="731"/>
      <c r="CV8" s="731"/>
      <c r="CW8" s="731"/>
      <c r="CX8" s="731"/>
      <c r="CY8" s="731"/>
      <c r="CZ8" s="731"/>
      <c r="DA8" s="731"/>
      <c r="DB8" s="731"/>
      <c r="DC8" s="731"/>
      <c r="DD8" s="731"/>
      <c r="DE8" s="731"/>
    </row>
    <row r="9" spans="1:109" ht="22.5" x14ac:dyDescent="0.2">
      <c r="A9" s="297"/>
      <c r="B9" s="297"/>
      <c r="C9" s="297"/>
      <c r="D9" s="297"/>
      <c r="E9" s="297"/>
      <c r="F9" s="297"/>
      <c r="AE9" s="83" t="s">
        <v>319</v>
      </c>
      <c r="AF9" s="105">
        <f>((F66/$J$59)*$I$49)*AO9</f>
        <v>0</v>
      </c>
      <c r="AG9" s="105">
        <f t="shared" si="0"/>
        <v>0</v>
      </c>
      <c r="AH9" s="146"/>
      <c r="AI9" s="105">
        <f t="shared" si="1"/>
        <v>0</v>
      </c>
      <c r="AJ9" s="105">
        <f t="shared" si="15"/>
        <v>0</v>
      </c>
      <c r="AK9" s="105">
        <f t="shared" si="16"/>
        <v>0</v>
      </c>
      <c r="AL9" s="105">
        <f t="shared" si="2"/>
        <v>0</v>
      </c>
      <c r="AM9" s="128">
        <f t="shared" si="17"/>
        <v>0</v>
      </c>
      <c r="AN9" s="128">
        <f t="shared" si="18"/>
        <v>0</v>
      </c>
      <c r="AO9" s="148">
        <f t="shared" si="3"/>
        <v>1</v>
      </c>
      <c r="AP9" s="105">
        <f>(AN9*SUM($C$86,$C$88:$C$90,$C$96:$C$97,$C$101))+((H152+X152)/($H$157+$X$157))*$C$99+(SUM($D$93:$D$95)*G66*AO9)</f>
        <v>0</v>
      </c>
      <c r="AQ9" s="124">
        <f>(($A$92+$C$98)*AM9)</f>
        <v>0</v>
      </c>
      <c r="AR9" s="152">
        <f t="shared" si="4"/>
        <v>0</v>
      </c>
      <c r="AS9" s="150">
        <f t="shared" si="5"/>
        <v>0</v>
      </c>
      <c r="AT9" s="129">
        <f t="shared" si="6"/>
        <v>0</v>
      </c>
      <c r="AU9" s="129">
        <f t="shared" si="19"/>
        <v>0</v>
      </c>
      <c r="AV9" s="129" t="str">
        <f t="shared" si="7"/>
        <v>0</v>
      </c>
      <c r="AW9" s="120">
        <f t="shared" si="8"/>
        <v>0</v>
      </c>
      <c r="AX9" s="149">
        <f t="shared" si="9"/>
        <v>0</v>
      </c>
      <c r="AY9" s="141" t="str">
        <f t="shared" si="10"/>
        <v>0.00</v>
      </c>
      <c r="AZ9" s="141">
        <f>AX9-AU9</f>
        <v>0</v>
      </c>
      <c r="BA9" s="166" t="str">
        <f>IFERROR(BD9/AW9, "0.00")</f>
        <v>0.00</v>
      </c>
      <c r="BB9" s="154" t="str">
        <f>IFERROR(AZ9/AX9, "0.00%")</f>
        <v>0.00%</v>
      </c>
      <c r="BC9" s="154">
        <f t="shared" si="12"/>
        <v>0</v>
      </c>
      <c r="BD9" s="130" t="str">
        <f t="shared" si="22"/>
        <v>0.00%</v>
      </c>
      <c r="BE9" s="218" t="s">
        <v>277</v>
      </c>
      <c r="BH9" s="156" t="s">
        <v>542</v>
      </c>
      <c r="BI9" s="167">
        <f ca="1">-SUM(C199:C201,C204:C207,C209:C212,C214:C216)</f>
        <v>32791331.04972</v>
      </c>
      <c r="BJ9" s="679">
        <f ca="1">BI9/($C$23+$C$24)</f>
        <v>0.14428399052288166</v>
      </c>
      <c r="BK9" s="692"/>
      <c r="BL9" s="676" t="s">
        <v>67</v>
      </c>
      <c r="BN9" s="268" t="s">
        <v>263</v>
      </c>
      <c r="BO9" s="269">
        <f t="shared" si="13"/>
        <v>0</v>
      </c>
      <c r="BP9" s="426"/>
      <c r="BQ9" s="428" t="s">
        <v>263</v>
      </c>
      <c r="BR9" s="269">
        <f t="shared" si="14"/>
        <v>0</v>
      </c>
      <c r="BS9" s="13"/>
      <c r="BV9" s="298" t="s">
        <v>388</v>
      </c>
      <c r="BW9" s="300" t="s">
        <v>424</v>
      </c>
      <c r="BX9" s="300" t="s">
        <v>389</v>
      </c>
      <c r="BY9" s="300" t="s">
        <v>390</v>
      </c>
      <c r="BZ9" s="300" t="s">
        <v>459</v>
      </c>
      <c r="CA9" s="300" t="s">
        <v>462</v>
      </c>
      <c r="CB9" s="299" t="s">
        <v>391</v>
      </c>
      <c r="CE9"/>
      <c r="CF9" s="735">
        <v>3</v>
      </c>
      <c r="CG9" s="736" t="s">
        <v>568</v>
      </c>
      <c r="CH9" s="743">
        <f t="shared" ref="CH9:CH19" si="23">C17</f>
        <v>313182586.6767391</v>
      </c>
      <c r="CI9" s="736" t="s">
        <v>569</v>
      </c>
      <c r="CJ9" s="738" t="s">
        <v>570</v>
      </c>
      <c r="CK9" s="736" t="s">
        <v>571</v>
      </c>
      <c r="CL9" s="731"/>
      <c r="CM9" s="731"/>
      <c r="CN9" s="731"/>
      <c r="CO9" s="731"/>
      <c r="CP9" s="731"/>
      <c r="CQ9" s="731"/>
      <c r="CR9" s="731"/>
      <c r="CS9" s="731"/>
      <c r="CT9" s="731"/>
      <c r="CU9" s="731"/>
      <c r="CV9" s="731"/>
      <c r="CW9" s="731"/>
      <c r="CX9" s="731"/>
      <c r="CY9" s="731"/>
      <c r="CZ9" s="731"/>
      <c r="DA9" s="731"/>
      <c r="DB9" s="731"/>
      <c r="DC9" s="731"/>
      <c r="DD9" s="731"/>
      <c r="DE9" s="731"/>
    </row>
    <row r="10" spans="1:109" ht="22.5" x14ac:dyDescent="0.2">
      <c r="A10" s="297"/>
      <c r="B10" s="297"/>
      <c r="C10" s="297"/>
      <c r="D10" s="297"/>
      <c r="E10" s="297"/>
      <c r="F10" s="297"/>
      <c r="AE10" s="98" t="s">
        <v>220</v>
      </c>
      <c r="AF10" s="285">
        <f>((F67/$J$59)*$I$49)*AO10</f>
        <v>0</v>
      </c>
      <c r="AG10" s="285">
        <f t="shared" si="0"/>
        <v>0</v>
      </c>
      <c r="AH10" s="145"/>
      <c r="AI10" s="285">
        <f t="shared" si="1"/>
        <v>0</v>
      </c>
      <c r="AJ10" s="285">
        <f t="shared" si="15"/>
        <v>0</v>
      </c>
      <c r="AK10" s="285">
        <f t="shared" si="16"/>
        <v>0</v>
      </c>
      <c r="AL10" s="285">
        <f t="shared" si="2"/>
        <v>0</v>
      </c>
      <c r="AM10" s="123">
        <f t="shared" si="17"/>
        <v>0</v>
      </c>
      <c r="AN10" s="123">
        <f t="shared" si="18"/>
        <v>0</v>
      </c>
      <c r="AO10" s="147">
        <f t="shared" si="3"/>
        <v>1</v>
      </c>
      <c r="AP10" s="285">
        <f>(AN10*SUM($C$86,$C$88:$C$90,$C$96:$C$97,$C$101))+((H153+X153)/($H$157+$X$157))*$C$99+(SUM($D$93:$D$95)*G67*AO10)</f>
        <v>0</v>
      </c>
      <c r="AQ10" s="124">
        <f>(($A$92+$C$98)*AM10)</f>
        <v>0</v>
      </c>
      <c r="AR10" s="142">
        <f t="shared" si="4"/>
        <v>0</v>
      </c>
      <c r="AS10" s="106">
        <f t="shared" si="5"/>
        <v>0</v>
      </c>
      <c r="AT10" s="125">
        <f t="shared" si="6"/>
        <v>0</v>
      </c>
      <c r="AU10" s="125">
        <f t="shared" si="19"/>
        <v>0</v>
      </c>
      <c r="AV10" s="125" t="str">
        <f t="shared" si="7"/>
        <v>0</v>
      </c>
      <c r="AW10" s="119">
        <f t="shared" si="8"/>
        <v>0</v>
      </c>
      <c r="AX10" s="143">
        <f t="shared" si="9"/>
        <v>0</v>
      </c>
      <c r="AY10" s="126" t="str">
        <f t="shared" si="10"/>
        <v>0.00</v>
      </c>
      <c r="AZ10" s="143">
        <f t="shared" si="20"/>
        <v>0</v>
      </c>
      <c r="BA10" s="165" t="str">
        <f t="shared" si="21"/>
        <v>0.00</v>
      </c>
      <c r="BB10" s="153" t="str">
        <f t="shared" si="11"/>
        <v>0.00%</v>
      </c>
      <c r="BC10" s="153">
        <f t="shared" si="12"/>
        <v>0</v>
      </c>
      <c r="BD10" s="127" t="str">
        <f t="shared" si="22"/>
        <v>0.00%</v>
      </c>
      <c r="BE10" s="218" t="s">
        <v>220</v>
      </c>
      <c r="BH10" s="98" t="s">
        <v>544</v>
      </c>
      <c r="BI10" s="161">
        <f>-SUM(E192:E193,C194:C195,C208,C213)</f>
        <v>106693026.94774805</v>
      </c>
      <c r="BJ10" s="678">
        <f>BI10/($C$23+$C$24)</f>
        <v>0.46945626164564874</v>
      </c>
      <c r="BK10" s="692"/>
      <c r="BL10" s="676" t="s">
        <v>67</v>
      </c>
      <c r="BN10" s="279" t="s">
        <v>42</v>
      </c>
      <c r="BO10" s="271">
        <f t="shared" si="13"/>
        <v>0</v>
      </c>
      <c r="BP10" s="426"/>
      <c r="BQ10" s="429" t="s">
        <v>42</v>
      </c>
      <c r="BR10" s="271">
        <f t="shared" si="14"/>
        <v>0</v>
      </c>
      <c r="BS10" s="13"/>
      <c r="BV10" s="98" t="s">
        <v>392</v>
      </c>
      <c r="BW10" s="146">
        <v>1</v>
      </c>
      <c r="BX10" s="285">
        <f>H22*BW10</f>
        <v>0</v>
      </c>
      <c r="BY10" s="285" t="s">
        <v>393</v>
      </c>
      <c r="BZ10" s="143">
        <f>BX10*$BW$7</f>
        <v>0</v>
      </c>
      <c r="CA10" s="285">
        <f>BZ10+BX10</f>
        <v>0</v>
      </c>
      <c r="CB10" s="392" t="s">
        <v>67</v>
      </c>
      <c r="CE10"/>
      <c r="CF10" s="739">
        <v>4</v>
      </c>
      <c r="CG10" s="740" t="s">
        <v>572</v>
      </c>
      <c r="CH10" s="744">
        <f t="shared" si="23"/>
        <v>91847824</v>
      </c>
      <c r="CI10" s="740" t="s">
        <v>569</v>
      </c>
      <c r="CJ10" s="742" t="s">
        <v>573</v>
      </c>
      <c r="CK10" s="740" t="s">
        <v>571</v>
      </c>
      <c r="CL10" s="731"/>
      <c r="CM10" s="731"/>
      <c r="CN10" s="731"/>
      <c r="CO10" s="731"/>
      <c r="CP10" s="731"/>
      <c r="CQ10" s="731"/>
      <c r="CR10" s="731"/>
      <c r="CS10" s="731"/>
      <c r="CT10" s="731"/>
      <c r="CU10" s="731"/>
      <c r="CV10" s="731"/>
      <c r="CW10" s="731"/>
      <c r="CX10" s="731"/>
      <c r="CY10" s="731"/>
      <c r="CZ10" s="731"/>
      <c r="DA10" s="731"/>
      <c r="DB10" s="731"/>
      <c r="DC10" s="731"/>
      <c r="DD10" s="731"/>
      <c r="DE10" s="731"/>
    </row>
    <row r="11" spans="1:109" ht="22.5" x14ac:dyDescent="0.2">
      <c r="A11" s="297"/>
      <c r="B11" s="297"/>
      <c r="C11" s="297"/>
      <c r="D11" s="297"/>
      <c r="E11" s="297"/>
      <c r="F11" s="297"/>
      <c r="AE11" s="83" t="s">
        <v>315</v>
      </c>
      <c r="AF11" s="105">
        <f>I44</f>
        <v>49134000</v>
      </c>
      <c r="AG11" s="105">
        <f t="shared" si="0"/>
        <v>36899999.999999993</v>
      </c>
      <c r="AH11" s="146">
        <v>1</v>
      </c>
      <c r="AI11" s="105">
        <f t="shared" si="1"/>
        <v>6162000</v>
      </c>
      <c r="AJ11" s="105">
        <f>J74</f>
        <v>14176800</v>
      </c>
      <c r="AK11" s="105">
        <f>C87</f>
        <v>2835360</v>
      </c>
      <c r="AL11" s="105">
        <f t="shared" si="2"/>
        <v>0</v>
      </c>
      <c r="AM11" s="128">
        <f t="shared" si="17"/>
        <v>0.68373731843434948</v>
      </c>
      <c r="AN11" s="128">
        <f t="shared" si="18"/>
        <v>0.5356731494904089</v>
      </c>
      <c r="AO11" s="148">
        <f t="shared" si="3"/>
        <v>1</v>
      </c>
      <c r="AP11" s="105">
        <f>(AN11*SUM($C$86,$C$88:$C$89,$C$96:$C$97))+((H154+X154)/($H$157+$X$157))*$C$99+((SUM($D$94:$D$95)*G68*AO11)+(D93*G68/2*AO11))</f>
        <v>4250586.9159034723</v>
      </c>
      <c r="AQ11" s="124">
        <f>(((($C$98)*AM11))+C91)+((C90+C101)*70%)</f>
        <v>10291049.244606268</v>
      </c>
      <c r="AR11" s="152">
        <f t="shared" si="4"/>
        <v>4883185.7929099854</v>
      </c>
      <c r="AS11" s="150">
        <f t="shared" si="5"/>
        <v>11953362.702122828</v>
      </c>
      <c r="AT11" s="129">
        <f t="shared" si="6"/>
        <v>6405750</v>
      </c>
      <c r="AU11" s="129">
        <f>SUM(AF11:AG11,AI11:AL11,AP11:AT11)</f>
        <v>146992094.65554255</v>
      </c>
      <c r="AV11" s="129">
        <f t="shared" si="7"/>
        <v>39413.048683919988</v>
      </c>
      <c r="AW11" s="120">
        <f t="shared" si="8"/>
        <v>0.63688643892716246</v>
      </c>
      <c r="AX11" s="149">
        <f t="shared" si="9"/>
        <v>234877499.99999997</v>
      </c>
      <c r="AY11" s="141">
        <f t="shared" si="10"/>
        <v>24638.46519328776</v>
      </c>
      <c r="AZ11" s="141">
        <f>AX11-AU11</f>
        <v>87885405.344457418</v>
      </c>
      <c r="BA11" s="166">
        <f t="shared" si="21"/>
        <v>0.9815481737464542</v>
      </c>
      <c r="BB11" s="154">
        <f t="shared" si="11"/>
        <v>0.37417549720368032</v>
      </c>
      <c r="BC11" s="154">
        <f t="shared" si="12"/>
        <v>1.0229555433912652</v>
      </c>
      <c r="BD11" s="130">
        <f t="shared" si="22"/>
        <v>0.62513472101283896</v>
      </c>
      <c r="BE11" s="218" t="s">
        <v>221</v>
      </c>
      <c r="BH11" s="156" t="s">
        <v>371</v>
      </c>
      <c r="BI11" s="167">
        <f>-SUM(C194:C198,C202:C206,C213)</f>
        <v>188076647.55399999</v>
      </c>
      <c r="BJ11" s="679">
        <f>BI11/($C$23+$C$24)</f>
        <v>0.82754948837273268</v>
      </c>
      <c r="BK11" s="692"/>
      <c r="BL11" s="676" t="s">
        <v>333</v>
      </c>
      <c r="BN11" s="268" t="s">
        <v>43</v>
      </c>
      <c r="BO11" s="269">
        <f t="shared" si="13"/>
        <v>0</v>
      </c>
      <c r="BP11" s="426"/>
      <c r="BQ11" s="428" t="s">
        <v>43</v>
      </c>
      <c r="BR11" s="269">
        <f t="shared" si="14"/>
        <v>0</v>
      </c>
      <c r="BS11" s="13"/>
      <c r="BV11" s="83" t="s">
        <v>458</v>
      </c>
      <c r="BW11" s="146">
        <v>0</v>
      </c>
      <c r="BX11" s="105" t="s">
        <v>67</v>
      </c>
      <c r="BY11" s="105" t="s">
        <v>67</v>
      </c>
      <c r="BZ11" s="149">
        <f>H22*BW11</f>
        <v>0</v>
      </c>
      <c r="CA11" s="105">
        <f>BZ11</f>
        <v>0</v>
      </c>
      <c r="CB11" s="394" t="s">
        <v>67</v>
      </c>
      <c r="CE11"/>
      <c r="CF11" s="735">
        <v>5</v>
      </c>
      <c r="CG11" s="736" t="s">
        <v>574</v>
      </c>
      <c r="CH11" s="743">
        <f t="shared" si="23"/>
        <v>78265608</v>
      </c>
      <c r="CI11" s="736" t="s">
        <v>569</v>
      </c>
      <c r="CJ11" s="738" t="s">
        <v>575</v>
      </c>
      <c r="CK11" s="736" t="s">
        <v>571</v>
      </c>
      <c r="CL11" s="731"/>
      <c r="CM11" s="731"/>
      <c r="CN11" s="731"/>
      <c r="CO11" s="731"/>
      <c r="CP11" s="731"/>
      <c r="CQ11" s="731"/>
      <c r="CR11" s="731"/>
      <c r="CS11" s="731"/>
      <c r="CT11" s="731"/>
      <c r="CU11" s="731"/>
      <c r="CV11" s="731"/>
      <c r="CW11" s="731"/>
      <c r="CX11" s="731"/>
      <c r="CY11" s="731"/>
      <c r="CZ11" s="731"/>
      <c r="DA11" s="731"/>
      <c r="DB11" s="731"/>
      <c r="DC11" s="731"/>
      <c r="DD11" s="731"/>
      <c r="DE11" s="731"/>
    </row>
    <row r="12" spans="1:109" ht="22.5" x14ac:dyDescent="0.2">
      <c r="A12" s="297"/>
      <c r="B12" s="297"/>
      <c r="C12" s="297"/>
      <c r="D12" s="297"/>
      <c r="E12" s="297"/>
      <c r="F12" s="297"/>
      <c r="AE12" s="98" t="s">
        <v>316</v>
      </c>
      <c r="AF12" s="285">
        <f>((F69/$J$59)*$I$49)*AO12</f>
        <v>0</v>
      </c>
      <c r="AG12" s="285">
        <f t="shared" si="0"/>
        <v>0</v>
      </c>
      <c r="AH12" s="145"/>
      <c r="AI12" s="285">
        <f t="shared" si="1"/>
        <v>0</v>
      </c>
      <c r="AJ12" s="285">
        <f>((K69/$L$76)*($J$74+$J$75))*AO12</f>
        <v>0</v>
      </c>
      <c r="AK12" s="285">
        <f>((K69/$L$76)*$C$87)*AO12</f>
        <v>0</v>
      </c>
      <c r="AL12" s="285">
        <f t="shared" si="2"/>
        <v>0</v>
      </c>
      <c r="AM12" s="123">
        <f t="shared" si="17"/>
        <v>0</v>
      </c>
      <c r="AN12" s="123">
        <f t="shared" si="18"/>
        <v>0</v>
      </c>
      <c r="AO12" s="147">
        <f t="shared" si="3"/>
        <v>1</v>
      </c>
      <c r="AP12" s="285">
        <f>(AN12*SUM($C$86,$C$88:$C$90,$C$96:$C$97,$C$101))+((H155+X155)/($H$157+$X$157))*$C$99+(SUM($D$93:$D$95)*G69*AO12)</f>
        <v>0</v>
      </c>
      <c r="AQ12" s="124">
        <f>(($A$92+$C$98)*AM12)</f>
        <v>0</v>
      </c>
      <c r="AR12" s="142">
        <f t="shared" si="4"/>
        <v>0</v>
      </c>
      <c r="AS12" s="106">
        <f t="shared" si="5"/>
        <v>0</v>
      </c>
      <c r="AT12" s="125">
        <f t="shared" si="6"/>
        <v>0</v>
      </c>
      <c r="AU12" s="125">
        <f t="shared" si="19"/>
        <v>0</v>
      </c>
      <c r="AV12" s="125" t="str">
        <f t="shared" si="7"/>
        <v>0</v>
      </c>
      <c r="AW12" s="119">
        <f t="shared" si="8"/>
        <v>0</v>
      </c>
      <c r="AX12" s="143">
        <f t="shared" si="9"/>
        <v>0</v>
      </c>
      <c r="AY12" s="126" t="str">
        <f t="shared" si="10"/>
        <v>0.00</v>
      </c>
      <c r="AZ12" s="143">
        <f t="shared" si="20"/>
        <v>0</v>
      </c>
      <c r="BA12" s="165" t="str">
        <f t="shared" si="21"/>
        <v>0.00</v>
      </c>
      <c r="BB12" s="153" t="str">
        <f t="shared" si="11"/>
        <v>0.00%</v>
      </c>
      <c r="BC12" s="153">
        <f t="shared" si="12"/>
        <v>0</v>
      </c>
      <c r="BD12" s="127" t="str">
        <f t="shared" si="22"/>
        <v>0.00%</v>
      </c>
      <c r="BE12" s="218" t="s">
        <v>222</v>
      </c>
      <c r="BH12" s="98" t="s">
        <v>328</v>
      </c>
      <c r="BI12" s="161">
        <f ca="1">-SUM(E192:E193,C199:C201,C207:C212,C214:C216)</f>
        <v>39192718.443468034</v>
      </c>
      <c r="BJ12" s="678">
        <f ca="1">BI12/($C$23+$C$24)</f>
        <v>0.17245051162726732</v>
      </c>
      <c r="BK12" s="692"/>
      <c r="BL12" s="676" t="s">
        <v>382</v>
      </c>
      <c r="BN12" s="279" t="s">
        <v>44</v>
      </c>
      <c r="BO12" s="271">
        <f t="shared" si="13"/>
        <v>0</v>
      </c>
      <c r="BP12" s="426"/>
      <c r="BQ12" s="429" t="s">
        <v>44</v>
      </c>
      <c r="BR12" s="271">
        <f t="shared" si="14"/>
        <v>0</v>
      </c>
      <c r="BS12" s="13"/>
      <c r="BV12" s="98" t="s">
        <v>394</v>
      </c>
      <c r="BW12" s="146">
        <v>1</v>
      </c>
      <c r="BX12" s="285">
        <f>(E103*C195)*BW12</f>
        <v>0</v>
      </c>
      <c r="BY12" s="285" t="s">
        <v>67</v>
      </c>
      <c r="BZ12" s="143">
        <f>BX12*$BW$7</f>
        <v>0</v>
      </c>
      <c r="CA12" s="285">
        <f>BZ12+BX12</f>
        <v>0</v>
      </c>
      <c r="CB12" s="392" t="s">
        <v>67</v>
      </c>
      <c r="CE12"/>
      <c r="CF12" s="739">
        <v>6</v>
      </c>
      <c r="CG12" s="740" t="s">
        <v>576</v>
      </c>
      <c r="CH12" s="744">
        <f t="shared" si="23"/>
        <v>21170057.969719999</v>
      </c>
      <c r="CI12" s="740" t="s">
        <v>569</v>
      </c>
      <c r="CJ12" s="742" t="s">
        <v>577</v>
      </c>
      <c r="CK12" s="740" t="s">
        <v>571</v>
      </c>
      <c r="CL12" s="731"/>
      <c r="CM12" s="731"/>
      <c r="CN12" s="731"/>
      <c r="CO12" s="731"/>
      <c r="CP12" s="731"/>
      <c r="CQ12" s="731"/>
      <c r="CR12" s="731"/>
      <c r="CS12" s="731"/>
      <c r="CT12" s="731"/>
      <c r="CU12" s="731"/>
      <c r="CV12" s="731"/>
      <c r="CW12" s="731"/>
      <c r="CX12" s="731"/>
      <c r="CY12" s="731"/>
      <c r="CZ12" s="731"/>
      <c r="DA12" s="731"/>
      <c r="DB12" s="731"/>
      <c r="DC12" s="731"/>
      <c r="DD12" s="731"/>
      <c r="DE12" s="731"/>
    </row>
    <row r="13" spans="1:109" ht="23.25" thickBot="1" x14ac:dyDescent="0.25">
      <c r="A13" s="297"/>
      <c r="B13" s="297"/>
      <c r="C13" s="297"/>
      <c r="D13" s="297"/>
      <c r="E13" s="297"/>
      <c r="F13" s="297"/>
      <c r="AE13" s="83" t="s">
        <v>223</v>
      </c>
      <c r="AF13" s="105">
        <f>((F70/$J$59)*$I$49)*AO13</f>
        <v>0</v>
      </c>
      <c r="AG13" s="105">
        <f t="shared" si="0"/>
        <v>0</v>
      </c>
      <c r="AH13" s="146"/>
      <c r="AI13" s="105">
        <f t="shared" si="1"/>
        <v>0</v>
      </c>
      <c r="AJ13" s="105">
        <f>((K70/$L$76)*($J$74+$J$75))*AO13</f>
        <v>0</v>
      </c>
      <c r="AK13" s="105">
        <f>((K70/$L$76)*$C$87)*AO13</f>
        <v>0</v>
      </c>
      <c r="AL13" s="105">
        <f t="shared" si="2"/>
        <v>0</v>
      </c>
      <c r="AM13" s="128">
        <f t="shared" si="17"/>
        <v>0</v>
      </c>
      <c r="AN13" s="128">
        <f t="shared" si="18"/>
        <v>0</v>
      </c>
      <c r="AO13" s="148">
        <f t="shared" si="3"/>
        <v>1</v>
      </c>
      <c r="AP13" s="105">
        <f>(AN13*SUM($C$86,$C$88:$C$90,$C$96:$C$97,$C$101))+((H156+X156)/($H$157+$X$157))*$C$99+(SUM($D$93:$D$95)*G70*AO13)</f>
        <v>0</v>
      </c>
      <c r="AQ13" s="124">
        <f>(($A$92+$C$98)*AM13)</f>
        <v>0</v>
      </c>
      <c r="AR13" s="152">
        <f t="shared" si="4"/>
        <v>0</v>
      </c>
      <c r="AS13" s="150">
        <f t="shared" si="5"/>
        <v>0</v>
      </c>
      <c r="AT13" s="129">
        <f t="shared" si="6"/>
        <v>0</v>
      </c>
      <c r="AU13" s="129">
        <f t="shared" si="19"/>
        <v>0</v>
      </c>
      <c r="AV13" s="129" t="str">
        <f t="shared" si="7"/>
        <v>0</v>
      </c>
      <c r="AW13" s="120">
        <f t="shared" si="8"/>
        <v>0</v>
      </c>
      <c r="AX13" s="149">
        <f t="shared" si="9"/>
        <v>0</v>
      </c>
      <c r="AY13" s="141" t="str">
        <f t="shared" si="10"/>
        <v>0.00</v>
      </c>
      <c r="AZ13" s="141">
        <f t="shared" si="20"/>
        <v>0</v>
      </c>
      <c r="BA13" s="166" t="str">
        <f t="shared" si="21"/>
        <v>0.00</v>
      </c>
      <c r="BB13" s="154" t="str">
        <f t="shared" si="11"/>
        <v>0.00%</v>
      </c>
      <c r="BC13" s="154">
        <f t="shared" si="12"/>
        <v>0</v>
      </c>
      <c r="BD13" s="130" t="str">
        <f t="shared" si="22"/>
        <v>0.00%</v>
      </c>
      <c r="BE13" s="218" t="s">
        <v>223</v>
      </c>
      <c r="BH13" s="156" t="s">
        <v>412</v>
      </c>
      <c r="BI13" s="167">
        <f>C24</f>
        <v>6529315.5539999995</v>
      </c>
      <c r="BJ13" s="679">
        <f>BI13/SUM(C23:C24)</f>
        <v>2.8729413334451514E-2</v>
      </c>
      <c r="BK13" s="692"/>
      <c r="BL13" s="670" t="s">
        <v>67</v>
      </c>
      <c r="BN13" s="159" t="s">
        <v>45</v>
      </c>
      <c r="BO13" s="424">
        <f t="shared" si="13"/>
        <v>0</v>
      </c>
      <c r="BP13" s="427"/>
      <c r="BQ13" s="430" t="s">
        <v>45</v>
      </c>
      <c r="BR13" s="424">
        <f t="shared" si="14"/>
        <v>0</v>
      </c>
      <c r="BS13" s="160"/>
      <c r="BV13" s="83" t="s">
        <v>457</v>
      </c>
      <c r="BW13" s="146">
        <v>0</v>
      </c>
      <c r="BX13" s="105" t="s">
        <v>67</v>
      </c>
      <c r="BY13" s="105" t="s">
        <v>67</v>
      </c>
      <c r="BZ13" s="149">
        <f>(E104*C196)*BW13</f>
        <v>0</v>
      </c>
      <c r="CA13" s="105">
        <f>BZ13</f>
        <v>0</v>
      </c>
      <c r="CB13" s="394" t="s">
        <v>67</v>
      </c>
      <c r="CE13"/>
      <c r="CF13" s="735">
        <v>7</v>
      </c>
      <c r="CG13" s="736" t="s">
        <v>578</v>
      </c>
      <c r="CH13" s="743">
        <f t="shared" si="23"/>
        <v>22314657.199999999</v>
      </c>
      <c r="CI13" s="736" t="s">
        <v>569</v>
      </c>
      <c r="CJ13" s="738" t="s">
        <v>579</v>
      </c>
      <c r="CK13" s="736" t="s">
        <v>571</v>
      </c>
      <c r="CL13" s="731"/>
      <c r="CM13" s="731"/>
      <c r="CN13" s="731"/>
      <c r="CO13" s="731"/>
      <c r="CP13" s="731"/>
      <c r="CQ13" s="731"/>
      <c r="CR13" s="731"/>
      <c r="CS13" s="731"/>
      <c r="CT13" s="731"/>
      <c r="CU13" s="731"/>
      <c r="CV13" s="731"/>
      <c r="CW13" s="731"/>
      <c r="CX13" s="731"/>
      <c r="CY13" s="731"/>
      <c r="CZ13" s="731"/>
      <c r="DA13" s="731"/>
      <c r="DB13" s="731"/>
      <c r="DC13" s="731"/>
      <c r="DD13" s="731"/>
      <c r="DE13" s="731"/>
    </row>
    <row r="14" spans="1:109" ht="18.75" thickBot="1" x14ac:dyDescent="0.25">
      <c r="A14" s="297"/>
      <c r="B14" s="297"/>
      <c r="C14" s="297"/>
      <c r="D14" s="297"/>
      <c r="E14" s="297"/>
      <c r="F14" s="297"/>
      <c r="AE14" s="84" t="s">
        <v>317</v>
      </c>
      <c r="AF14" s="108">
        <f>SUMIF(AF4:AF13, "&lt;&gt;#DIV/0!")</f>
        <v>91847824</v>
      </c>
      <c r="AG14" s="108">
        <f>SUMIF(AG4:AG13, "&lt;&gt;#DIV/0!")</f>
        <v>44700407.999999993</v>
      </c>
      <c r="AH14" s="144">
        <f>SUM(AH4:AH13)</f>
        <v>1</v>
      </c>
      <c r="AI14" s="108">
        <f>SUM(AI4:AI13)</f>
        <v>6162000</v>
      </c>
      <c r="AJ14" s="108">
        <f>SUMIF(AJ4:AJ13, "&lt;&gt;#DIV/0!")</f>
        <v>14176800</v>
      </c>
      <c r="AK14" s="108">
        <f>SUMIF(AK4:AK13, "&lt;&gt;#DIV/0!")</f>
        <v>2835360</v>
      </c>
      <c r="AL14" s="108">
        <f>SUM(AL4:AL13)</f>
        <v>0</v>
      </c>
      <c r="AM14" s="140">
        <f>SUM(AF14:AG14,AI14:AL14)</f>
        <v>159722392</v>
      </c>
      <c r="AN14" s="108">
        <f>SUM(AF4:AG13,AI4:AL13,AF22:AG31,AI22:AL31)</f>
        <v>203870886.75975412</v>
      </c>
      <c r="AO14" s="108" t="s">
        <v>67</v>
      </c>
      <c r="AP14" s="809">
        <f>SUM(AP4:AQ13)</f>
        <v>17522843.602411501</v>
      </c>
      <c r="AQ14" s="809"/>
      <c r="AR14" s="287">
        <f>SUMIF(AR4:AR13, "&lt;&gt;#DIV/0!")</f>
        <v>7141903.2737480383</v>
      </c>
      <c r="AS14" s="287">
        <f>SUMIF(AS4:AS13, "&lt;&gt;#DIV/0!")</f>
        <v>17482390.356422465</v>
      </c>
      <c r="AT14" s="132">
        <f>SUM(AT4:AT13)</f>
        <v>6529315.5539999995</v>
      </c>
      <c r="AU14" s="132">
        <f>SUM(AU4:AU13)</f>
        <v>208398844.78658199</v>
      </c>
      <c r="AV14" s="133">
        <f>IFERROR(AU14/E139, "0")</f>
        <v>21006.266714799443</v>
      </c>
      <c r="AW14" s="134">
        <f>SUMIF(AW4:AW13, "&lt;&gt;#DIV/0!")</f>
        <v>0.91451247214551667</v>
      </c>
      <c r="AX14" s="136">
        <f>SUMIF(AX4:AX13, "&lt;&gt;#DIV/0!")</f>
        <v>266695630.15499997</v>
      </c>
      <c r="AY14" s="135">
        <f>AZ14/E139</f>
        <v>5876.2217387457067</v>
      </c>
      <c r="AZ14" s="136">
        <f>SUMIF(AZ4:AZ13, "&lt;&gt;#DIV/0!")</f>
        <v>58296785.368417963</v>
      </c>
      <c r="BA14" s="136" t="s">
        <v>67</v>
      </c>
      <c r="BB14" s="155">
        <f t="shared" si="11"/>
        <v>0.21858920348464894</v>
      </c>
      <c r="BC14" s="155">
        <f>SUM(BC4:BC13)</f>
        <v>0.67855430057790478</v>
      </c>
      <c r="BD14" s="137">
        <f>IFERROR(AZ14/AU14, "0.00%")</f>
        <v>0.2797366052010451</v>
      </c>
      <c r="BE14" s="172"/>
      <c r="BH14" s="98" t="s">
        <v>411</v>
      </c>
      <c r="BI14" s="161">
        <f>I49</f>
        <v>91847824</v>
      </c>
      <c r="BJ14" s="678">
        <f>BI14/$C$23</f>
        <v>0.41609043676250501</v>
      </c>
      <c r="BK14" s="692"/>
      <c r="BL14" s="670" t="s">
        <v>334</v>
      </c>
      <c r="BV14" s="98" t="s">
        <v>422</v>
      </c>
      <c r="BW14" s="34">
        <v>2.5000000000000001E-2</v>
      </c>
      <c r="BX14" s="285" t="s">
        <v>67</v>
      </c>
      <c r="BY14" s="285" t="s">
        <v>460</v>
      </c>
      <c r="BZ14" s="143">
        <f>BW14*(J139+AC139+O139)</f>
        <v>7233969.3899184782</v>
      </c>
      <c r="CA14" s="285">
        <f>BZ14</f>
        <v>7233969.3899184782</v>
      </c>
      <c r="CB14" s="392" t="s">
        <v>67</v>
      </c>
      <c r="CE14"/>
      <c r="CF14" s="739">
        <v>8</v>
      </c>
      <c r="CG14" s="740" t="s">
        <v>580</v>
      </c>
      <c r="CH14" s="744">
        <f t="shared" si="23"/>
        <v>7141903.2737480383</v>
      </c>
      <c r="CI14" s="740" t="s">
        <v>569</v>
      </c>
      <c r="CJ14" s="742" t="s">
        <v>581</v>
      </c>
      <c r="CK14" s="740" t="s">
        <v>571</v>
      </c>
      <c r="CL14" s="731"/>
      <c r="CM14" s="731"/>
      <c r="CN14" s="731"/>
      <c r="CO14" s="731"/>
      <c r="CP14" s="731"/>
      <c r="CQ14" s="731"/>
      <c r="CR14" s="731"/>
      <c r="CS14" s="731"/>
      <c r="CT14" s="731"/>
      <c r="CU14" s="731"/>
      <c r="CV14" s="731"/>
      <c r="CW14" s="731"/>
      <c r="CX14" s="731"/>
      <c r="CY14" s="731"/>
      <c r="CZ14" s="731"/>
      <c r="DA14" s="731"/>
      <c r="DB14" s="731"/>
      <c r="DC14" s="731"/>
      <c r="DD14" s="731"/>
      <c r="DE14" s="731"/>
    </row>
    <row r="15" spans="1:109" ht="18" x14ac:dyDescent="0.2">
      <c r="A15" s="172"/>
      <c r="B15" s="811" t="s">
        <v>1</v>
      </c>
      <c r="C15" s="813"/>
      <c r="D15" s="172"/>
      <c r="E15" s="172"/>
      <c r="G15" s="99" t="s">
        <v>0</v>
      </c>
      <c r="H15" s="100"/>
      <c r="I15" s="101"/>
      <c r="J15" s="172"/>
      <c r="K15" s="172"/>
      <c r="L15"/>
      <c r="M15"/>
      <c r="AE15" s="172"/>
      <c r="AF15" s="204">
        <f>IF(ABS(SUM(Study!AF14,Study!AF32)-SUM(Study!I49))&lt;=0.00000001,"TRUE",SUM(Study!AF14,Study!AF32)-SUM(Study!I49))</f>
        <v>30922094.759754121</v>
      </c>
      <c r="AG15" s="204" t="str">
        <f>IF(ABS(SUM(Study!AG14,Study!AG32)-SUM(J61:J71))&lt;=0.00000001,"TRUE",SUM(Study!AG14,Study!AG32)-SUM(J61:J71))</f>
        <v>TRUE</v>
      </c>
      <c r="AH15" s="199" t="str">
        <f>IF(ABS(SUM(Study!AH14)-SUM(1))&lt;=0.00000001,"TRUE",SUM(Study!AH14)-SUM(1))</f>
        <v>TRUE</v>
      </c>
      <c r="AI15" s="204" t="str">
        <f>IF(ABS(SUM(Study!AI14,Study!AI32)-SUM(Study!J73))&lt;=0.00000001,"TRUE",SUM(Study!AI14,Study!AI32)-SUM(Study!J73))</f>
        <v>TRUE</v>
      </c>
      <c r="AJ15" s="204" t="str">
        <f>IF(ABS(SUM(Study!AJ14,Study!AJ32)-SUM(J74:J75))&lt;=0.00000001,"TRUE",SUM(Study!AJ14,Study!AJ32)-SUM(J74:J75))</f>
        <v>TRUE</v>
      </c>
      <c r="AK15" s="204" t="str">
        <f>IF(ABS(SUM(Study!AK14,Study!AK32)-SUM(Study!C87))&lt;=0.00000001,"TRUE",SUM(Study!AK14,Study!AK32)-SUM(Study!C87))</f>
        <v>TRUE</v>
      </c>
      <c r="AL15" s="204" t="str">
        <f>IF(ABS(SUM(Study!AL14,Study!AL32)-SUM(Study!J71))&lt;=0.00000001,"TRUE",SUM(Study!AL14,Study!AL32)-SUM(Study!J71))</f>
        <v>TRUE</v>
      </c>
      <c r="AM15" s="204" t="str">
        <f>IF(ABS(SUM(Study!AM4:AM13)-SUM(1))&lt;=0.00000001,"TRUE",SUM(Study!AM4:AM13)-SUM(1))</f>
        <v>TRUE</v>
      </c>
      <c r="AN15" s="204" t="str">
        <f>IF(ABS(SUM(Study!AN4:AN13,Study!AN22:AN31)-SUM(1))&lt;=0.00000001,"TRUE",SUM(Study!AN4:AN13,Study!AN22:AN31)-SUM(1))</f>
        <v>TRUE</v>
      </c>
      <c r="AO15" s="204" t="str">
        <f>IF(ABS(SUM(Study!AO4:AO13,Study!AO22:AO31)-SUM(10))&lt;=0.00000001,"TRUE",SUM(Study!AO4:AO13,Study!AO22:AO31)-SUM(10))</f>
        <v>TRUE</v>
      </c>
      <c r="AP15" s="810">
        <f>IF(ABS(SUM(Study!AP4:AQ13,Study!AP22:AQ31)-SUM(Study!C86,Study!C88:C101))&lt;=0.1,"TRUE",SUM(Study!AP4:AQ13,Study!AP22:AQ31)-SUM(Study!C86,Study!C88:C101))</f>
        <v>1437638.6645137146</v>
      </c>
      <c r="AQ15" s="810"/>
      <c r="AR15" s="204" t="str">
        <f>IF(ABS(SUM(Study!AR14)-SUM(Study!C119))&lt;=0.00000001,"TRUE",SUM(Study!AR14)-SUM(Study!C119))</f>
        <v>TRUE</v>
      </c>
      <c r="AS15" s="204" t="str">
        <f>IF(ABS(SUM(Study!AS14,Study!AS32)-SUM(Study!C107))&lt;=1,"TRUE",SUM(Study!AS14,Study!AS32)-SUM(Study!C107))</f>
        <v>TRUE</v>
      </c>
      <c r="AT15" s="204" t="str">
        <f>IF(ABS(SUM(Study!AT14)-SUM(Study!C24))&lt;=0.01,"TRUE",SUM(Study!AT14)-SUM(Study!C24))</f>
        <v>TRUE</v>
      </c>
      <c r="AU15" s="204">
        <f>IF(ABS(SUM(Study!AU14,Study!AU32)-SUM(Study!C23:C24))&lt;=0.25,"TRUE",SUM(Study!AU14,Study!AU32)-SUM(Study!C23:C24))</f>
        <v>-18870521.210886031</v>
      </c>
      <c r="AV15" s="204" t="b">
        <f>AV14=AV14</f>
        <v>1</v>
      </c>
      <c r="AW15" s="204">
        <f>IF(ABS(SUM(Study!AW14,Study!AW32)-SUM(1))&lt;=0.01,"TRUE",SUM(Study!AW14,Study!AW32)-SUM(1))</f>
        <v>-8.5487527854483325E-2</v>
      </c>
      <c r="AX15" s="204" t="str">
        <f>IF(ABS(SUM(Study!AX14,Study!AX32)-SUM(Study!C17))&lt;=0.01,"TRUE",SUM(Study!AX14,Study!AX32)-SUM(Study!C17))</f>
        <v>TRUE</v>
      </c>
      <c r="AY15" s="204" t="b">
        <f>AY14=AY14</f>
        <v>1</v>
      </c>
      <c r="AZ15" s="204">
        <f>IF(ABS(SUM(Study!AZ14,Study!AZ32)-SUM(Study!C25))&lt;=0.2,"TRUE",SUM(Study!AZ14,Study!AZ32)-SUM(Study!C25))</f>
        <v>-27616435.310853109</v>
      </c>
      <c r="BA15" s="204" t="b">
        <f>BA14=BA14</f>
        <v>1</v>
      </c>
      <c r="BB15" s="204" t="b">
        <f>BB14=BB14</f>
        <v>1</v>
      </c>
      <c r="BC15" s="204">
        <f>IF(ABS(SUM(Study!BC14,Study!BC32)-SUM(1))&lt;=0.01,"TRUE",SUM(Study!BC14,Study!BC32)-SUM(1))</f>
        <v>-0.32144569942209522</v>
      </c>
      <c r="BD15" s="204" t="b">
        <f>BD14=BD14</f>
        <v>1</v>
      </c>
      <c r="BE15" s="172"/>
      <c r="BH15" s="156" t="s">
        <v>410</v>
      </c>
      <c r="BI15" s="167">
        <f>J76</f>
        <v>78265608</v>
      </c>
      <c r="BJ15" s="679">
        <f>BI15/$C$23</f>
        <v>0.35456007119126748</v>
      </c>
      <c r="BK15" s="692"/>
      <c r="BL15" s="670" t="s">
        <v>541</v>
      </c>
      <c r="BV15" s="83" t="s">
        <v>423</v>
      </c>
      <c r="BW15" s="34">
        <v>0</v>
      </c>
      <c r="BX15" s="105">
        <f>BW15*H21</f>
        <v>0</v>
      </c>
      <c r="BY15" s="105" t="s">
        <v>67</v>
      </c>
      <c r="BZ15" s="149">
        <f>BX15*$BW$7</f>
        <v>0</v>
      </c>
      <c r="CA15" s="105">
        <f>BZ15+BX15</f>
        <v>0</v>
      </c>
      <c r="CB15" s="394" t="s">
        <v>67</v>
      </c>
      <c r="CE15"/>
      <c r="CF15" s="735">
        <v>9</v>
      </c>
      <c r="CG15" s="736" t="s">
        <v>582</v>
      </c>
      <c r="CH15" s="743"/>
      <c r="CI15" s="736" t="s">
        <v>569</v>
      </c>
      <c r="CJ15" s="738" t="s">
        <v>583</v>
      </c>
      <c r="CK15" s="736" t="s">
        <v>571</v>
      </c>
      <c r="CL15" s="731"/>
      <c r="CM15" s="731"/>
      <c r="CN15" s="731"/>
      <c r="CO15" s="731"/>
      <c r="CP15" s="731"/>
      <c r="CQ15" s="731"/>
      <c r="CR15" s="731"/>
      <c r="CS15" s="731"/>
      <c r="CT15" s="731"/>
      <c r="CU15" s="731"/>
      <c r="CV15" s="731"/>
      <c r="CW15" s="731"/>
      <c r="CX15" s="731"/>
      <c r="CY15" s="731"/>
      <c r="CZ15" s="731"/>
      <c r="DA15" s="731"/>
      <c r="DB15" s="731"/>
      <c r="DC15" s="731"/>
      <c r="DD15" s="731"/>
      <c r="DE15" s="731"/>
    </row>
    <row r="16" spans="1:109" ht="22.5" x14ac:dyDescent="0.2">
      <c r="A16" s="172"/>
      <c r="B16" s="207" t="s">
        <v>5</v>
      </c>
      <c r="C16" s="284" t="s">
        <v>6</v>
      </c>
      <c r="D16" s="172"/>
      <c r="E16" s="172"/>
      <c r="G16" s="818" t="s">
        <v>9</v>
      </c>
      <c r="H16" s="819"/>
      <c r="I16" s="820"/>
      <c r="J16" s="172"/>
      <c r="K16" s="172"/>
      <c r="L16"/>
      <c r="M16"/>
      <c r="AF16" s="646"/>
      <c r="AG16" s="646"/>
      <c r="AH16" s="646"/>
      <c r="AI16" s="646"/>
      <c r="AJ16" s="646"/>
      <c r="AK16" s="646"/>
      <c r="AL16" s="646"/>
      <c r="AM16" s="643"/>
      <c r="AN16" s="643"/>
      <c r="AO16" s="646"/>
      <c r="AP16" s="827"/>
      <c r="AQ16" s="827"/>
      <c r="AR16" s="646"/>
      <c r="AS16" s="643"/>
      <c r="AT16" s="646"/>
      <c r="AU16" s="646"/>
      <c r="AV16" s="172"/>
      <c r="AW16" s="646"/>
      <c r="AX16" s="643"/>
      <c r="AY16" s="172"/>
      <c r="AZ16" s="646"/>
      <c r="BD16" s="172"/>
      <c r="BH16" s="98" t="s">
        <v>409</v>
      </c>
      <c r="BI16" s="161">
        <f>C102</f>
        <v>21170057.969719999</v>
      </c>
      <c r="BJ16" s="678">
        <f>BI16/$C$23</f>
        <v>9.5904924943113992E-2</v>
      </c>
      <c r="BK16" s="692"/>
      <c r="BL16" s="670" t="s">
        <v>383</v>
      </c>
      <c r="BV16" s="98" t="s">
        <v>395</v>
      </c>
      <c r="BW16" s="146">
        <v>1</v>
      </c>
      <c r="BX16" s="285">
        <f>K23*BW16</f>
        <v>0</v>
      </c>
      <c r="BY16" s="285" t="s">
        <v>67</v>
      </c>
      <c r="BZ16" s="143">
        <f>BX16*$BW$7</f>
        <v>0</v>
      </c>
      <c r="CA16" s="285">
        <f>BZ16+BX16</f>
        <v>0</v>
      </c>
      <c r="CB16" s="392" t="s">
        <v>67</v>
      </c>
      <c r="CF16" s="739">
        <v>10</v>
      </c>
      <c r="CG16" s="740" t="s">
        <v>584</v>
      </c>
      <c r="CH16" s="744">
        <f>C23</f>
        <v>220740050.44346803</v>
      </c>
      <c r="CI16" s="740" t="s">
        <v>569</v>
      </c>
      <c r="CJ16" s="742" t="s">
        <v>585</v>
      </c>
      <c r="CK16" s="740" t="s">
        <v>571</v>
      </c>
      <c r="CL16" s="731"/>
      <c r="CM16" s="731"/>
      <c r="CN16" s="731"/>
      <c r="CO16" s="731"/>
      <c r="CP16" s="731"/>
      <c r="CQ16" s="731"/>
      <c r="CR16" s="731"/>
      <c r="CS16" s="731"/>
      <c r="CT16" s="731"/>
      <c r="CU16" s="731"/>
      <c r="CV16" s="731"/>
      <c r="CW16" s="731"/>
      <c r="CX16" s="731"/>
      <c r="CY16" s="731"/>
      <c r="CZ16" s="731"/>
      <c r="DA16" s="731"/>
      <c r="DB16" s="731"/>
      <c r="DC16" s="731"/>
      <c r="DD16" s="731"/>
      <c r="DE16" s="731"/>
    </row>
    <row r="17" spans="1:109" ht="23.25" thickBot="1" x14ac:dyDescent="0.25">
      <c r="A17" s="172"/>
      <c r="B17" s="645" t="s">
        <v>8</v>
      </c>
      <c r="C17" s="302">
        <f>SUM(C184:C188)</f>
        <v>313182586.6767391</v>
      </c>
      <c r="D17" s="172"/>
      <c r="E17" s="172"/>
      <c r="G17" s="207" t="s">
        <v>2</v>
      </c>
      <c r="H17" s="208" t="s">
        <v>3</v>
      </c>
      <c r="I17" s="284" t="s">
        <v>4</v>
      </c>
      <c r="L17"/>
      <c r="M17"/>
      <c r="AM17" s="97"/>
      <c r="BH17" s="156" t="s">
        <v>408</v>
      </c>
      <c r="BI17" s="167">
        <f>C119</f>
        <v>7141903.2737480383</v>
      </c>
      <c r="BJ17" s="679">
        <f>BI17/$C$23</f>
        <v>3.2354360975273465E-2</v>
      </c>
      <c r="BK17" s="692"/>
      <c r="BL17" s="670" t="s">
        <v>335</v>
      </c>
      <c r="BV17" s="396" t="s">
        <v>396</v>
      </c>
      <c r="BW17" s="397">
        <v>0</v>
      </c>
      <c r="BX17" s="398">
        <f>H19*BW17</f>
        <v>0</v>
      </c>
      <c r="BY17" s="398" t="s">
        <v>67</v>
      </c>
      <c r="BZ17" s="399">
        <f>BX17*$BW$7</f>
        <v>0</v>
      </c>
      <c r="CA17" s="398">
        <f>BZ17+BX17</f>
        <v>0</v>
      </c>
      <c r="CB17" s="400" t="s">
        <v>67</v>
      </c>
      <c r="CF17" s="735">
        <v>11</v>
      </c>
      <c r="CG17" s="736" t="s">
        <v>586</v>
      </c>
      <c r="CH17" s="743">
        <f>C24</f>
        <v>6529315.5539999995</v>
      </c>
      <c r="CI17" s="736" t="s">
        <v>569</v>
      </c>
      <c r="CJ17" s="738" t="s">
        <v>587</v>
      </c>
      <c r="CK17" s="736" t="s">
        <v>571</v>
      </c>
      <c r="CL17" s="731"/>
      <c r="CM17" s="731"/>
      <c r="CN17" s="731"/>
      <c r="CO17" s="731"/>
      <c r="CP17" s="731"/>
      <c r="CQ17" s="731"/>
      <c r="CR17" s="731"/>
      <c r="CS17" s="731"/>
      <c r="CT17" s="731"/>
      <c r="CU17" s="731"/>
      <c r="CV17" s="731"/>
      <c r="CW17" s="731"/>
      <c r="CX17" s="731"/>
      <c r="CY17" s="731"/>
      <c r="CZ17" s="731"/>
      <c r="DA17" s="731"/>
      <c r="DB17" s="731"/>
      <c r="DC17" s="731"/>
      <c r="DD17" s="731"/>
      <c r="DE17" s="731"/>
    </row>
    <row r="18" spans="1:109" ht="23.25" thickBot="1" x14ac:dyDescent="0.25">
      <c r="A18" s="172"/>
      <c r="B18" s="296" t="s">
        <v>10</v>
      </c>
      <c r="C18" s="219">
        <f>I49</f>
        <v>91847824</v>
      </c>
      <c r="D18" s="172"/>
      <c r="G18" s="818" t="s">
        <v>7</v>
      </c>
      <c r="H18" s="819"/>
      <c r="I18" s="820"/>
      <c r="L18"/>
      <c r="M18"/>
      <c r="AI18" s="172"/>
      <c r="AJ18" s="172"/>
      <c r="AK18" s="172"/>
      <c r="AL18" s="172"/>
      <c r="AM18" s="172"/>
      <c r="AN18" s="172"/>
      <c r="AO18" s="172"/>
      <c r="AP18" s="172"/>
      <c r="AQ18" s="172"/>
      <c r="AR18" s="172"/>
      <c r="AS18" s="172"/>
      <c r="AT18" s="172"/>
      <c r="AU18" s="172"/>
      <c r="AV18" s="172"/>
      <c r="AW18" s="172"/>
      <c r="AX18" s="172"/>
      <c r="AY18" s="172"/>
      <c r="AZ18" s="172"/>
      <c r="BA18" s="172"/>
      <c r="BH18" s="47" t="s">
        <v>407</v>
      </c>
      <c r="BI18" s="677">
        <f>C107</f>
        <v>22314657.199999999</v>
      </c>
      <c r="BJ18" s="680">
        <f>BI18/$C$23</f>
        <v>0.10109020612784007</v>
      </c>
      <c r="BK18" s="693"/>
      <c r="BL18" s="699" t="s">
        <v>336</v>
      </c>
      <c r="BV18" s="224"/>
      <c r="BW18" s="94"/>
      <c r="BX18" s="94"/>
      <c r="BY18" s="94"/>
      <c r="BZ18" s="94"/>
      <c r="CA18" s="94"/>
      <c r="CB18" s="403"/>
      <c r="CF18" s="739">
        <v>12</v>
      </c>
      <c r="CG18" s="740" t="s">
        <v>588</v>
      </c>
      <c r="CH18" s="743">
        <f>C25</f>
        <v>85913220.679271072</v>
      </c>
      <c r="CI18" s="740" t="s">
        <v>569</v>
      </c>
      <c r="CJ18" s="742" t="s">
        <v>589</v>
      </c>
      <c r="CK18" s="740" t="s">
        <v>571</v>
      </c>
      <c r="CL18" s="731"/>
      <c r="CM18" s="731"/>
      <c r="CN18" s="731"/>
      <c r="CO18" s="731"/>
      <c r="CP18" s="731"/>
      <c r="CQ18" s="731"/>
      <c r="CR18" s="731"/>
      <c r="CS18" s="731"/>
      <c r="CT18" s="731"/>
      <c r="CU18" s="731"/>
      <c r="CV18" s="731"/>
      <c r="CW18" s="731"/>
      <c r="CX18" s="731"/>
      <c r="CY18" s="731"/>
      <c r="CZ18" s="731"/>
      <c r="DA18" s="731"/>
      <c r="DB18" s="731"/>
      <c r="DC18" s="731"/>
      <c r="DD18" s="731"/>
      <c r="DE18" s="731"/>
    </row>
    <row r="19" spans="1:109" ht="23.25" thickBot="1" x14ac:dyDescent="0.25">
      <c r="A19" s="172"/>
      <c r="B19" s="301" t="s">
        <v>12</v>
      </c>
      <c r="C19" s="412">
        <f>J76</f>
        <v>78265608</v>
      </c>
      <c r="D19" s="172"/>
      <c r="E19" s="177"/>
      <c r="G19" s="301" t="s">
        <v>11</v>
      </c>
      <c r="H19" s="256">
        <v>34500000</v>
      </c>
      <c r="I19" s="303">
        <f t="shared" ref="I19:I24" si="24">H19/$H$34</f>
        <v>0.15629243506418206</v>
      </c>
      <c r="J19" s="172"/>
      <c r="K19" s="172"/>
      <c r="L19"/>
      <c r="M19"/>
      <c r="AI19" s="172"/>
      <c r="AJ19" s="172"/>
      <c r="AK19" s="172"/>
      <c r="AL19" s="172"/>
      <c r="AM19" s="647"/>
      <c r="AN19" s="172"/>
      <c r="AO19" s="172"/>
      <c r="AP19" s="172"/>
      <c r="AQ19" s="172"/>
      <c r="AR19" s="172"/>
      <c r="AS19" s="172"/>
      <c r="AT19" s="172"/>
      <c r="AU19" s="172"/>
      <c r="AV19" s="172"/>
      <c r="AW19" s="172"/>
      <c r="AX19" s="172"/>
      <c r="AY19" s="172"/>
      <c r="AZ19" s="172"/>
      <c r="BA19" s="172"/>
      <c r="BB19" s="172"/>
      <c r="BH19" s="811" t="s">
        <v>421</v>
      </c>
      <c r="BI19" s="812"/>
      <c r="BJ19" s="848"/>
      <c r="BK19" s="193"/>
      <c r="BL19" s="697" t="s">
        <v>67</v>
      </c>
      <c r="BV19" s="1042" t="s">
        <v>461</v>
      </c>
      <c r="BW19" s="1043"/>
      <c r="BX19" s="401">
        <f>SUM(BX10:BX17)</f>
        <v>0</v>
      </c>
      <c r="BY19" s="401" t="s">
        <v>67</v>
      </c>
      <c r="BZ19" s="401">
        <f>SUM(BZ10:BZ17)</f>
        <v>7233969.3899184782</v>
      </c>
      <c r="CA19" s="401">
        <f>SUM(CA10:CA17)</f>
        <v>7233969.3899184782</v>
      </c>
      <c r="CB19" s="402" t="s">
        <v>67</v>
      </c>
      <c r="CF19" s="735">
        <v>13</v>
      </c>
      <c r="CG19" s="736" t="s">
        <v>590</v>
      </c>
      <c r="CH19" s="745">
        <f t="shared" ca="1" si="23"/>
        <v>5</v>
      </c>
      <c r="CI19" s="736" t="s">
        <v>569</v>
      </c>
      <c r="CJ19" s="738" t="s">
        <v>591</v>
      </c>
      <c r="CK19" s="736" t="s">
        <v>592</v>
      </c>
      <c r="CL19" s="731"/>
      <c r="CM19" s="731"/>
      <c r="CN19" s="731"/>
      <c r="CO19" s="731"/>
      <c r="CP19" s="731"/>
      <c r="CQ19" s="731"/>
      <c r="CR19" s="731"/>
      <c r="CS19" s="731"/>
      <c r="CT19" s="731"/>
      <c r="CU19" s="731"/>
      <c r="CV19" s="731"/>
      <c r="CW19" s="731"/>
      <c r="CX19" s="731"/>
      <c r="CY19" s="731"/>
      <c r="CZ19" s="731"/>
      <c r="DA19" s="731"/>
      <c r="DB19" s="731"/>
      <c r="DC19" s="731"/>
      <c r="DD19" s="731"/>
      <c r="DE19" s="731"/>
    </row>
    <row r="20" spans="1:109" ht="22.5" x14ac:dyDescent="0.2">
      <c r="A20" s="172"/>
      <c r="B20" s="296" t="s">
        <v>14</v>
      </c>
      <c r="C20" s="219">
        <f>C102</f>
        <v>21170057.969719999</v>
      </c>
      <c r="D20" s="172"/>
      <c r="E20" s="179"/>
      <c r="G20" s="296" t="s">
        <v>13</v>
      </c>
      <c r="H20" s="256"/>
      <c r="I20" s="304">
        <f t="shared" si="24"/>
        <v>0</v>
      </c>
      <c r="J20" s="172"/>
      <c r="K20" s="172"/>
      <c r="N20" s="190"/>
      <c r="AE20" s="811" t="s">
        <v>342</v>
      </c>
      <c r="AF20" s="812"/>
      <c r="AG20" s="812"/>
      <c r="AH20" s="812"/>
      <c r="AI20" s="812"/>
      <c r="AJ20" s="812"/>
      <c r="AK20" s="812"/>
      <c r="AL20" s="812"/>
      <c r="AM20" s="812"/>
      <c r="AN20" s="812"/>
      <c r="AO20" s="812"/>
      <c r="AP20" s="812"/>
      <c r="AQ20" s="812"/>
      <c r="AR20" s="812"/>
      <c r="AS20" s="812"/>
      <c r="AT20" s="812"/>
      <c r="AU20" s="812"/>
      <c r="AV20" s="812"/>
      <c r="AW20" s="812"/>
      <c r="AX20" s="812"/>
      <c r="AY20" s="812"/>
      <c r="AZ20" s="812"/>
      <c r="BA20" s="812"/>
      <c r="BB20" s="812"/>
      <c r="BC20" s="812"/>
      <c r="BD20" s="813"/>
      <c r="BH20" s="98" t="s">
        <v>545</v>
      </c>
      <c r="BI20" s="849">
        <f>SUM(C184,C187:C188)/J59</f>
        <v>29166.896883126406</v>
      </c>
      <c r="BJ20" s="850"/>
      <c r="BK20" s="692"/>
      <c r="BL20" s="670" t="s">
        <v>67</v>
      </c>
      <c r="BV20" s="1040" t="s">
        <v>397</v>
      </c>
      <c r="BW20" s="1041"/>
      <c r="BX20" s="150">
        <v>0</v>
      </c>
      <c r="BY20" s="393">
        <v>0.7</v>
      </c>
      <c r="BZ20" s="150">
        <f>BX20*BW7*BY20</f>
        <v>0</v>
      </c>
      <c r="CA20" s="150">
        <f>BZ20+BX20</f>
        <v>0</v>
      </c>
      <c r="CB20" s="103" t="s">
        <v>67</v>
      </c>
      <c r="CF20" s="734" t="s">
        <v>593</v>
      </c>
      <c r="CG20" s="734"/>
      <c r="CH20" s="734"/>
      <c r="CI20" s="734"/>
      <c r="CJ20" s="734"/>
      <c r="CK20" s="734"/>
      <c r="CL20" s="731"/>
      <c r="CM20" s="731"/>
      <c r="CN20" s="731"/>
      <c r="CO20" s="731"/>
      <c r="CP20" s="731"/>
      <c r="CQ20" s="731"/>
      <c r="CR20" s="731"/>
      <c r="CS20" s="731"/>
      <c r="CT20" s="731"/>
      <c r="CU20" s="731"/>
      <c r="CV20" s="731"/>
      <c r="CW20" s="731"/>
      <c r="CX20" s="731"/>
      <c r="CY20" s="731"/>
      <c r="CZ20" s="731"/>
      <c r="DA20" s="731"/>
      <c r="DB20" s="731"/>
      <c r="DC20" s="731"/>
      <c r="DD20" s="731"/>
      <c r="DE20" s="731"/>
    </row>
    <row r="21" spans="1:109" ht="27.75" thickBot="1" x14ac:dyDescent="0.25">
      <c r="A21" s="172"/>
      <c r="B21" s="301" t="s">
        <v>16</v>
      </c>
      <c r="C21" s="412">
        <f>C107</f>
        <v>22314657.199999999</v>
      </c>
      <c r="D21" s="172"/>
      <c r="E21" s="179"/>
      <c r="G21" s="301" t="s">
        <v>15</v>
      </c>
      <c r="H21" s="256">
        <v>11100000</v>
      </c>
      <c r="I21" s="303">
        <f t="shared" si="24"/>
        <v>5.0285392151084664E-2</v>
      </c>
      <c r="J21" s="172">
        <f>H34*5%</f>
        <v>11037002.522173403</v>
      </c>
      <c r="K21" s="172"/>
      <c r="AE21" s="31" t="s">
        <v>313</v>
      </c>
      <c r="AF21" s="32" t="s">
        <v>297</v>
      </c>
      <c r="AG21" s="32" t="s">
        <v>298</v>
      </c>
      <c r="AH21" s="122" t="s">
        <v>359</v>
      </c>
      <c r="AI21" s="32" t="s">
        <v>299</v>
      </c>
      <c r="AJ21" s="32" t="s">
        <v>300</v>
      </c>
      <c r="AK21" s="32" t="s">
        <v>301</v>
      </c>
      <c r="AL21" s="32" t="s">
        <v>302</v>
      </c>
      <c r="AM21" s="122" t="s">
        <v>357</v>
      </c>
      <c r="AN21" s="122" t="s">
        <v>356</v>
      </c>
      <c r="AO21" s="32" t="s">
        <v>353</v>
      </c>
      <c r="AP21" s="32" t="s">
        <v>303</v>
      </c>
      <c r="AQ21" s="32" t="s">
        <v>355</v>
      </c>
      <c r="AR21" s="32" t="s">
        <v>304</v>
      </c>
      <c r="AS21" s="32" t="s">
        <v>305</v>
      </c>
      <c r="AT21" s="32" t="s">
        <v>358</v>
      </c>
      <c r="AU21" s="32" t="s">
        <v>306</v>
      </c>
      <c r="AV21" s="32" t="s">
        <v>364</v>
      </c>
      <c r="AW21" s="32" t="s">
        <v>308</v>
      </c>
      <c r="AX21" s="32" t="s">
        <v>309</v>
      </c>
      <c r="AY21" s="32" t="s">
        <v>310</v>
      </c>
      <c r="AZ21" s="32" t="s">
        <v>311</v>
      </c>
      <c r="BA21" s="32" t="s">
        <v>370</v>
      </c>
      <c r="BB21" s="32" t="s">
        <v>361</v>
      </c>
      <c r="BC21" s="32" t="s">
        <v>369</v>
      </c>
      <c r="BD21" s="33" t="s">
        <v>312</v>
      </c>
      <c r="BE21" s="172"/>
      <c r="BH21" s="156" t="s">
        <v>372</v>
      </c>
      <c r="BI21" s="149">
        <f>BI20-BI7</f>
        <v>6916.6565854780456</v>
      </c>
      <c r="BJ21" s="679">
        <f>BI21/BI7</f>
        <v>0.31085761290448044</v>
      </c>
      <c r="BK21" s="692"/>
      <c r="BL21" s="670" t="s">
        <v>67</v>
      </c>
      <c r="BV21" s="1038" t="s">
        <v>398</v>
      </c>
      <c r="BW21" s="1039"/>
      <c r="BX21" s="306">
        <f>SUM(BX19:BX20)</f>
        <v>0</v>
      </c>
      <c r="BY21" s="306" t="s">
        <v>67</v>
      </c>
      <c r="BZ21" s="306">
        <f>SUM(BZ19:BZ20)</f>
        <v>7233969.3899184782</v>
      </c>
      <c r="CA21" s="306">
        <f>BZ21+BX21</f>
        <v>7233969.3899184782</v>
      </c>
      <c r="CB21" s="395" t="s">
        <v>67</v>
      </c>
      <c r="CF21" s="739">
        <v>14</v>
      </c>
      <c r="CG21" s="740" t="s">
        <v>594</v>
      </c>
      <c r="CH21" s="746">
        <f>C28</f>
        <v>0.13308131098747253</v>
      </c>
      <c r="CI21" s="740" t="s">
        <v>595</v>
      </c>
      <c r="CJ21" s="742" t="s">
        <v>596</v>
      </c>
      <c r="CK21" s="740" t="s">
        <v>597</v>
      </c>
      <c r="CL21" s="731"/>
      <c r="CM21" s="731"/>
      <c r="CN21" s="731"/>
      <c r="CO21" s="731"/>
      <c r="CP21" s="731"/>
      <c r="CQ21" s="731"/>
      <c r="CR21" s="731"/>
      <c r="CS21" s="731"/>
      <c r="CT21" s="731"/>
      <c r="CU21" s="731"/>
      <c r="CV21" s="731"/>
      <c r="CW21" s="731"/>
      <c r="CX21" s="731"/>
      <c r="CY21" s="731"/>
      <c r="CZ21" s="731"/>
      <c r="DA21" s="731"/>
      <c r="DB21" s="731"/>
      <c r="DC21" s="731"/>
      <c r="DD21" s="731"/>
      <c r="DE21" s="731"/>
    </row>
    <row r="22" spans="1:109" ht="22.5" x14ac:dyDescent="0.2">
      <c r="A22" s="172"/>
      <c r="B22" s="296" t="s">
        <v>18</v>
      </c>
      <c r="C22" s="219">
        <f>C119</f>
        <v>7141903.2737480383</v>
      </c>
      <c r="D22" s="172"/>
      <c r="G22" s="296" t="s">
        <v>17</v>
      </c>
      <c r="H22" s="113">
        <f>J22*((D104+E104)*-E196)</f>
        <v>0</v>
      </c>
      <c r="I22" s="304">
        <f t="shared" si="24"/>
        <v>0</v>
      </c>
      <c r="J22" s="477">
        <v>0</v>
      </c>
      <c r="K22" s="172"/>
      <c r="AE22" s="98" t="s">
        <v>343</v>
      </c>
      <c r="AF22" s="285">
        <f t="shared" ref="AF22:AF31" si="25">((F61/$J$59)*$I$49)*AO22</f>
        <v>0</v>
      </c>
      <c r="AG22" s="285">
        <f t="shared" ref="AG22:AG31" si="26">J61*AO22</f>
        <v>0</v>
      </c>
      <c r="AH22" s="145">
        <v>0.15</v>
      </c>
      <c r="AI22" s="285">
        <f t="shared" ref="AI22:AI31" si="27">($J$73*AH22)*AO22</f>
        <v>0</v>
      </c>
      <c r="AJ22" s="285">
        <f t="shared" ref="AJ22:AJ31" si="28">((K61/$L$76)*($J$74+$J$75))*AO22</f>
        <v>0</v>
      </c>
      <c r="AK22" s="285">
        <f t="shared" ref="AK22:AK31" si="29">((K61/$L$76)*$C$87)*AO22</f>
        <v>0</v>
      </c>
      <c r="AL22" s="285">
        <f t="shared" ref="AL22:AL31" si="30">(((D61-F61)/$I$59)*$J$71)*AO22</f>
        <v>0</v>
      </c>
      <c r="AM22" s="123"/>
      <c r="AN22" s="123">
        <f>SUM(AF22:AG22,AI22:AL22)/$AN$32</f>
        <v>0</v>
      </c>
      <c r="AO22" s="308">
        <f t="shared" ref="AO22:AO31" si="31">S129</f>
        <v>0</v>
      </c>
      <c r="AP22" s="285">
        <f t="shared" ref="AP22:AP28" si="32">(AN22*SUM($C$86,$C$88:$C$90,$C$96:$C$97,$C$101))+(SUM($D$93:$D$95)*G61*AO22)</f>
        <v>0</v>
      </c>
      <c r="AQ22" s="124"/>
      <c r="AR22" s="59" t="s">
        <v>66</v>
      </c>
      <c r="AS22" s="285">
        <f t="shared" ref="AS22:AS31" si="33">AN22*$C$107</f>
        <v>0</v>
      </c>
      <c r="AT22" s="59" t="s">
        <v>66</v>
      </c>
      <c r="AU22" s="125"/>
      <c r="AV22" s="125" t="str">
        <f>IFERROR((AU22)/T129, "0")</f>
        <v>0</v>
      </c>
      <c r="AW22" s="119"/>
      <c r="AX22" s="106">
        <f t="shared" ref="AX22:AX31" si="34">AC129</f>
        <v>0</v>
      </c>
      <c r="AY22" s="126" t="str">
        <f t="shared" ref="AY22:AY31" si="35">IFERROR(AZ22/T129, "0.00")</f>
        <v>0.00</v>
      </c>
      <c r="AZ22" s="126"/>
      <c r="BA22" s="165" t="str">
        <f>IFERROR(BD22/AW22, "0.00")</f>
        <v>0.00</v>
      </c>
      <c r="BB22" s="153" t="str">
        <f t="shared" ref="BB22:BB32" si="36">IFERROR(AZ22/AX22, "0.00%")</f>
        <v>0.00%</v>
      </c>
      <c r="BC22" s="153"/>
      <c r="BD22" s="131" t="str">
        <f>IFERROR(AZ22/(AU22), "0.00%")</f>
        <v>0.00%</v>
      </c>
      <c r="BE22" s="218" t="s">
        <v>215</v>
      </c>
      <c r="BH22" s="98" t="s">
        <v>406</v>
      </c>
      <c r="BI22" s="143">
        <f>C25/F76</f>
        <v>8659.913781021065</v>
      </c>
      <c r="BJ22" s="681">
        <f>BI22/BI7</f>
        <v>0.38920540475854259</v>
      </c>
      <c r="BK22" s="692"/>
      <c r="BL22" s="670" t="s">
        <v>67</v>
      </c>
      <c r="CF22" s="735">
        <v>15</v>
      </c>
      <c r="CG22" s="736" t="s">
        <v>598</v>
      </c>
      <c r="CH22" s="747">
        <f>C30</f>
        <v>0.38920540475854254</v>
      </c>
      <c r="CI22" s="736" t="s">
        <v>595</v>
      </c>
      <c r="CJ22" s="738" t="s">
        <v>599</v>
      </c>
      <c r="CK22" s="736" t="s">
        <v>597</v>
      </c>
      <c r="CL22" s="731"/>
      <c r="CM22" s="731"/>
      <c r="CN22" s="731"/>
      <c r="CO22" s="731"/>
      <c r="CP22" s="731"/>
      <c r="CQ22" s="731"/>
      <c r="CR22" s="731"/>
      <c r="CS22" s="731"/>
      <c r="CT22" s="731"/>
      <c r="CU22" s="731"/>
      <c r="CV22" s="731"/>
      <c r="CW22" s="731"/>
      <c r="CX22" s="731"/>
      <c r="CY22" s="731"/>
      <c r="CZ22" s="731"/>
      <c r="DA22" s="731"/>
      <c r="DB22" s="731"/>
      <c r="DC22" s="731"/>
      <c r="DD22" s="731"/>
      <c r="DE22" s="731"/>
    </row>
    <row r="23" spans="1:109" ht="23.25" thickBot="1" x14ac:dyDescent="0.25">
      <c r="A23" s="172"/>
      <c r="B23" s="301" t="s">
        <v>293</v>
      </c>
      <c r="C23" s="412">
        <f>SUM(C18:C22)</f>
        <v>220740050.44346803</v>
      </c>
      <c r="D23" s="172"/>
      <c r="E23" s="179"/>
      <c r="G23" s="301" t="s">
        <v>19</v>
      </c>
      <c r="H23" s="115">
        <f>(J23*E49)+K23</f>
        <v>62809599.999999993</v>
      </c>
      <c r="I23" s="303">
        <f t="shared" si="24"/>
        <v>0.28454102404078979</v>
      </c>
      <c r="J23" s="478">
        <v>0.7</v>
      </c>
      <c r="K23" s="305"/>
      <c r="AE23" s="83" t="s">
        <v>344</v>
      </c>
      <c r="AF23" s="105">
        <f t="shared" si="25"/>
        <v>30922094.759754118</v>
      </c>
      <c r="AG23" s="105">
        <f t="shared" si="26"/>
        <v>13226400</v>
      </c>
      <c r="AH23" s="146">
        <v>0</v>
      </c>
      <c r="AI23" s="105">
        <f t="shared" si="27"/>
        <v>0</v>
      </c>
      <c r="AJ23" s="105">
        <f t="shared" si="28"/>
        <v>0</v>
      </c>
      <c r="AK23" s="105">
        <f t="shared" si="29"/>
        <v>0</v>
      </c>
      <c r="AL23" s="105">
        <f t="shared" si="30"/>
        <v>0</v>
      </c>
      <c r="AM23" s="128"/>
      <c r="AN23" s="128">
        <f t="shared" ref="AN23:AN31" si="37">SUM(AF23:AL23)/$AN$32</f>
        <v>0.21655124702419951</v>
      </c>
      <c r="AO23" s="138">
        <f t="shared" si="31"/>
        <v>1</v>
      </c>
      <c r="AP23" s="105">
        <f t="shared" si="32"/>
        <v>2249492.9931715345</v>
      </c>
      <c r="AQ23" s="124"/>
      <c r="AR23" s="60" t="s">
        <v>66</v>
      </c>
      <c r="AS23" s="105">
        <f t="shared" si="33"/>
        <v>4832266.8435775321</v>
      </c>
      <c r="AT23" s="60" t="s">
        <v>66</v>
      </c>
      <c r="AU23" s="129"/>
      <c r="AV23" s="129" t="str">
        <f t="shared" ref="AV23:AV31" si="38">IFERROR((AU23-AT23)/T130, "0")</f>
        <v>0</v>
      </c>
      <c r="AW23" s="120"/>
      <c r="AX23" s="150">
        <f t="shared" si="34"/>
        <v>46486956.52173914</v>
      </c>
      <c r="AY23" s="141">
        <f t="shared" si="35"/>
        <v>0</v>
      </c>
      <c r="AZ23" s="149"/>
      <c r="BA23" s="166" t="str">
        <f>IFERROR(BD23/AW23, "0.00")</f>
        <v>0.00</v>
      </c>
      <c r="BB23" s="154">
        <f t="shared" si="36"/>
        <v>0</v>
      </c>
      <c r="BC23" s="154"/>
      <c r="BD23" s="130" t="str">
        <f t="shared" ref="BD23:BD31" si="39">IFERROR(AZ23/(AU23), "0.00%")</f>
        <v>0.00%</v>
      </c>
      <c r="BE23" s="218" t="s">
        <v>216</v>
      </c>
      <c r="BH23" s="156" t="s">
        <v>405</v>
      </c>
      <c r="BI23" s="851">
        <f>C25/C17</f>
        <v>0.2743231084171005</v>
      </c>
      <c r="BJ23" s="852"/>
      <c r="BK23" s="692"/>
      <c r="BL23" s="670" t="s">
        <v>338</v>
      </c>
      <c r="CF23" s="739">
        <v>16</v>
      </c>
      <c r="CG23" s="740" t="s">
        <v>600</v>
      </c>
      <c r="CH23" s="746">
        <f>C32</f>
        <v>0.79248720297161024</v>
      </c>
      <c r="CI23" s="740" t="s">
        <v>595</v>
      </c>
      <c r="CJ23" s="742" t="s">
        <v>601</v>
      </c>
      <c r="CK23" s="740" t="s">
        <v>597</v>
      </c>
      <c r="CL23" s="731"/>
      <c r="CM23" s="731"/>
      <c r="CN23" s="731"/>
      <c r="CO23" s="731"/>
      <c r="CP23" s="731"/>
      <c r="CQ23" s="731"/>
      <c r="CR23" s="731"/>
      <c r="CS23" s="731"/>
      <c r="CT23" s="731"/>
      <c r="CU23" s="731"/>
      <c r="CV23" s="731"/>
      <c r="CW23" s="731"/>
      <c r="CX23" s="731"/>
      <c r="CY23" s="731"/>
      <c r="CZ23" s="731"/>
      <c r="DA23" s="731"/>
      <c r="DB23" s="731"/>
      <c r="DC23" s="731"/>
      <c r="DD23" s="731"/>
      <c r="DE23" s="731"/>
    </row>
    <row r="24" spans="1:109" ht="23.25" thickBot="1" x14ac:dyDescent="0.25">
      <c r="A24" s="172"/>
      <c r="B24" s="296" t="s">
        <v>291</v>
      </c>
      <c r="C24" s="219">
        <f>-SUM(E213)</f>
        <v>6529315.5539999995</v>
      </c>
      <c r="D24" s="172"/>
      <c r="E24" s="179"/>
      <c r="G24" s="296" t="s">
        <v>20</v>
      </c>
      <c r="H24" s="113">
        <f>SUM(H19:H23)</f>
        <v>108409600</v>
      </c>
      <c r="I24" s="304">
        <f t="shared" si="24"/>
        <v>0.49111885125605659</v>
      </c>
      <c r="K24" s="172"/>
      <c r="AE24" s="98" t="s">
        <v>345</v>
      </c>
      <c r="AF24" s="285">
        <f t="shared" si="25"/>
        <v>0</v>
      </c>
      <c r="AG24" s="285">
        <f t="shared" si="26"/>
        <v>0</v>
      </c>
      <c r="AH24" s="145">
        <v>0</v>
      </c>
      <c r="AI24" s="285">
        <f t="shared" si="27"/>
        <v>0</v>
      </c>
      <c r="AJ24" s="285">
        <f t="shared" si="28"/>
        <v>0</v>
      </c>
      <c r="AK24" s="285">
        <f t="shared" si="29"/>
        <v>0</v>
      </c>
      <c r="AL24" s="285">
        <f t="shared" si="30"/>
        <v>0</v>
      </c>
      <c r="AM24" s="123"/>
      <c r="AN24" s="123">
        <f t="shared" si="37"/>
        <v>0</v>
      </c>
      <c r="AO24" s="308" t="str">
        <f t="shared" si="31"/>
        <v>0.00%</v>
      </c>
      <c r="AP24" s="285">
        <f t="shared" si="32"/>
        <v>0</v>
      </c>
      <c r="AQ24" s="124"/>
      <c r="AR24" s="59" t="s">
        <v>66</v>
      </c>
      <c r="AS24" s="285">
        <f t="shared" si="33"/>
        <v>0</v>
      </c>
      <c r="AT24" s="59" t="s">
        <v>66</v>
      </c>
      <c r="AU24" s="125"/>
      <c r="AV24" s="125" t="str">
        <f t="shared" si="38"/>
        <v>0</v>
      </c>
      <c r="AW24" s="119"/>
      <c r="AX24" s="106">
        <f t="shared" si="34"/>
        <v>0</v>
      </c>
      <c r="AY24" s="126" t="str">
        <f t="shared" si="35"/>
        <v>0.00</v>
      </c>
      <c r="AZ24" s="126"/>
      <c r="BA24" s="165" t="str">
        <f t="shared" ref="BA24:BA31" si="40">IFERROR(BD24/AW24, "0.00")</f>
        <v>0.00</v>
      </c>
      <c r="BB24" s="153" t="str">
        <f t="shared" si="36"/>
        <v>0.00%</v>
      </c>
      <c r="BC24" s="153"/>
      <c r="BD24" s="131" t="str">
        <f t="shared" si="39"/>
        <v>0.00%</v>
      </c>
      <c r="BE24" s="218" t="s">
        <v>217</v>
      </c>
      <c r="BH24" s="47" t="s">
        <v>379</v>
      </c>
      <c r="BI24" s="307">
        <f>C23/BI20</f>
        <v>7568.1705643211662</v>
      </c>
      <c r="BJ24" s="682">
        <f>BI24/F76</f>
        <v>0.76285936028115975</v>
      </c>
      <c r="BK24" s="693"/>
      <c r="BL24" s="699" t="s">
        <v>67</v>
      </c>
      <c r="CF24" s="735">
        <v>17</v>
      </c>
      <c r="CG24" s="736" t="s">
        <v>602</v>
      </c>
      <c r="CH24" s="747">
        <f ca="1">C34</f>
        <v>0.15849744059432205</v>
      </c>
      <c r="CI24" s="736" t="s">
        <v>595</v>
      </c>
      <c r="CJ24" s="738" t="s">
        <v>603</v>
      </c>
      <c r="CK24" s="736" t="s">
        <v>597</v>
      </c>
      <c r="CL24" s="731"/>
      <c r="CM24" s="731"/>
      <c r="CN24" s="731"/>
      <c r="CO24" s="731"/>
      <c r="CP24" s="731"/>
      <c r="CQ24" s="731"/>
      <c r="CR24" s="731"/>
      <c r="CS24" s="731"/>
      <c r="CT24" s="731"/>
      <c r="CU24" s="731"/>
      <c r="CV24" s="731"/>
      <c r="CW24" s="731"/>
      <c r="CX24" s="731"/>
      <c r="CY24" s="731"/>
      <c r="CZ24" s="731"/>
      <c r="DA24" s="731"/>
      <c r="DB24" s="731"/>
      <c r="DC24" s="731"/>
      <c r="DD24" s="731"/>
      <c r="DE24" s="731"/>
    </row>
    <row r="25" spans="1:109" ht="23.25" thickBot="1" x14ac:dyDescent="0.25">
      <c r="A25" s="172"/>
      <c r="B25" s="334" t="s">
        <v>21</v>
      </c>
      <c r="C25" s="102">
        <f>C17-(C23+C24)</f>
        <v>85913220.679271072</v>
      </c>
      <c r="D25" s="172"/>
      <c r="G25" s="818" t="s">
        <v>205</v>
      </c>
      <c r="H25" s="819"/>
      <c r="I25" s="820"/>
      <c r="K25" s="172"/>
      <c r="AE25" s="83" t="s">
        <v>346</v>
      </c>
      <c r="AF25" s="105">
        <f t="shared" si="25"/>
        <v>0</v>
      </c>
      <c r="AG25" s="105">
        <f t="shared" si="26"/>
        <v>0</v>
      </c>
      <c r="AH25" s="146">
        <v>0</v>
      </c>
      <c r="AI25" s="105">
        <f t="shared" si="27"/>
        <v>0</v>
      </c>
      <c r="AJ25" s="105">
        <f t="shared" si="28"/>
        <v>0</v>
      </c>
      <c r="AK25" s="105">
        <f t="shared" si="29"/>
        <v>0</v>
      </c>
      <c r="AL25" s="105">
        <f t="shared" si="30"/>
        <v>0</v>
      </c>
      <c r="AM25" s="128"/>
      <c r="AN25" s="128">
        <f t="shared" si="37"/>
        <v>0</v>
      </c>
      <c r="AO25" s="138" t="str">
        <f t="shared" si="31"/>
        <v>0.00%</v>
      </c>
      <c r="AP25" s="105">
        <f t="shared" si="32"/>
        <v>0</v>
      </c>
      <c r="AQ25" s="124"/>
      <c r="AR25" s="60" t="s">
        <v>66</v>
      </c>
      <c r="AS25" s="105">
        <f t="shared" si="33"/>
        <v>0</v>
      </c>
      <c r="AT25" s="60" t="s">
        <v>66</v>
      </c>
      <c r="AU25" s="129"/>
      <c r="AV25" s="129" t="str">
        <f t="shared" si="38"/>
        <v>0</v>
      </c>
      <c r="AW25" s="120"/>
      <c r="AX25" s="150">
        <f t="shared" si="34"/>
        <v>0</v>
      </c>
      <c r="AY25" s="141" t="str">
        <f t="shared" si="35"/>
        <v>0.00</v>
      </c>
      <c r="AZ25" s="149"/>
      <c r="BA25" s="166" t="str">
        <f t="shared" si="40"/>
        <v>0.00</v>
      </c>
      <c r="BB25" s="154" t="str">
        <f t="shared" si="36"/>
        <v>0.00%</v>
      </c>
      <c r="BC25" s="154"/>
      <c r="BD25" s="130" t="str">
        <f t="shared" si="39"/>
        <v>0.00%</v>
      </c>
      <c r="BE25" s="218" t="s">
        <v>218</v>
      </c>
      <c r="BH25" s="811" t="s">
        <v>373</v>
      </c>
      <c r="BI25" s="812"/>
      <c r="BJ25" s="848">
        <v>0</v>
      </c>
      <c r="BK25" s="193"/>
      <c r="BL25" s="697" t="s">
        <v>67</v>
      </c>
      <c r="CF25" s="734" t="s">
        <v>604</v>
      </c>
      <c r="CG25" s="734"/>
      <c r="CH25" s="734"/>
      <c r="CI25" s="734"/>
      <c r="CJ25" s="734"/>
      <c r="CK25" s="734"/>
      <c r="CL25" s="731"/>
      <c r="CM25" s="731"/>
      <c r="CN25" s="731"/>
      <c r="CO25" s="731"/>
      <c r="CP25" s="731"/>
      <c r="CQ25" s="731"/>
      <c r="CR25" s="731"/>
      <c r="CS25" s="731"/>
      <c r="CT25" s="731"/>
      <c r="CU25" s="731"/>
      <c r="CV25" s="731"/>
      <c r="CW25" s="731"/>
      <c r="CX25" s="731"/>
      <c r="CY25" s="731"/>
      <c r="CZ25" s="731"/>
      <c r="DA25" s="731"/>
      <c r="DB25" s="731"/>
      <c r="DC25" s="731"/>
      <c r="DD25" s="731"/>
      <c r="DE25" s="731"/>
    </row>
    <row r="26" spans="1:109" ht="18.75" thickBot="1" x14ac:dyDescent="0.25">
      <c r="A26" s="172"/>
      <c r="B26" s="1036" t="s">
        <v>485</v>
      </c>
      <c r="C26" s="1037"/>
      <c r="D26" s="172"/>
      <c r="E26" s="97"/>
      <c r="G26" s="824" t="s">
        <v>288</v>
      </c>
      <c r="H26" s="844">
        <f>E189</f>
        <v>54352006</v>
      </c>
      <c r="I26" s="866">
        <f>H26/$H$34</f>
        <v>0.24622630053226185</v>
      </c>
      <c r="J26" s="97"/>
      <c r="AE26" s="98" t="s">
        <v>347</v>
      </c>
      <c r="AF26" s="285">
        <f t="shared" si="25"/>
        <v>0</v>
      </c>
      <c r="AG26" s="285">
        <f t="shared" si="26"/>
        <v>0</v>
      </c>
      <c r="AH26" s="145">
        <v>0</v>
      </c>
      <c r="AI26" s="285">
        <f t="shared" si="27"/>
        <v>0</v>
      </c>
      <c r="AJ26" s="285">
        <f t="shared" si="28"/>
        <v>0</v>
      </c>
      <c r="AK26" s="285">
        <f t="shared" si="29"/>
        <v>0</v>
      </c>
      <c r="AL26" s="285">
        <f t="shared" si="30"/>
        <v>0</v>
      </c>
      <c r="AM26" s="123"/>
      <c r="AN26" s="123">
        <f t="shared" si="37"/>
        <v>0</v>
      </c>
      <c r="AO26" s="308" t="str">
        <f t="shared" si="31"/>
        <v>0.00%</v>
      </c>
      <c r="AP26" s="285">
        <f t="shared" si="32"/>
        <v>0</v>
      </c>
      <c r="AQ26" s="124"/>
      <c r="AR26" s="59" t="s">
        <v>66</v>
      </c>
      <c r="AS26" s="285">
        <f t="shared" si="33"/>
        <v>0</v>
      </c>
      <c r="AT26" s="59" t="s">
        <v>66</v>
      </c>
      <c r="AU26" s="125"/>
      <c r="AV26" s="125" t="str">
        <f t="shared" si="38"/>
        <v>0</v>
      </c>
      <c r="AW26" s="119"/>
      <c r="AX26" s="106">
        <f t="shared" si="34"/>
        <v>0</v>
      </c>
      <c r="AY26" s="126" t="str">
        <f t="shared" si="35"/>
        <v>0.00</v>
      </c>
      <c r="AZ26" s="126"/>
      <c r="BA26" s="165" t="str">
        <f t="shared" si="40"/>
        <v>0.00</v>
      </c>
      <c r="BB26" s="153" t="str">
        <f t="shared" si="36"/>
        <v>0.00%</v>
      </c>
      <c r="BC26" s="153"/>
      <c r="BD26" s="131" t="str">
        <f t="shared" si="39"/>
        <v>0.00%</v>
      </c>
      <c r="BE26" s="218" t="s">
        <v>219</v>
      </c>
      <c r="BH26" s="865" t="s">
        <v>404</v>
      </c>
      <c r="BI26" s="705">
        <f>(BJ28+BJ27)-H26</f>
        <v>53513191.667199999</v>
      </c>
      <c r="BJ26" s="683">
        <f>H26/(BJ28+BJ27)</f>
        <v>0.50388825288851746</v>
      </c>
      <c r="BK26" s="692"/>
      <c r="BL26" s="670" t="s">
        <v>67</v>
      </c>
      <c r="CF26" s="739">
        <v>18</v>
      </c>
      <c r="CG26" s="740" t="s">
        <v>605</v>
      </c>
      <c r="CH26" s="744">
        <f>H19</f>
        <v>34500000</v>
      </c>
      <c r="CI26" s="740" t="s">
        <v>606</v>
      </c>
      <c r="CJ26" s="742" t="s">
        <v>607</v>
      </c>
      <c r="CK26" s="740" t="s">
        <v>571</v>
      </c>
      <c r="CL26" s="731"/>
      <c r="CM26" s="731"/>
      <c r="CN26" s="731"/>
      <c r="CO26" s="731"/>
      <c r="CP26" s="731"/>
      <c r="CQ26" s="731"/>
      <c r="CR26" s="731"/>
      <c r="CS26" s="731"/>
      <c r="CT26" s="731"/>
      <c r="CU26" s="731"/>
      <c r="CV26" s="731"/>
      <c r="CW26" s="731"/>
      <c r="CX26" s="731"/>
      <c r="CY26" s="731"/>
      <c r="CZ26" s="731"/>
      <c r="DA26" s="731"/>
      <c r="DB26" s="731"/>
      <c r="DC26" s="731"/>
      <c r="DD26" s="731"/>
      <c r="DE26" s="731"/>
    </row>
    <row r="27" spans="1:109" ht="22.5" x14ac:dyDescent="0.2">
      <c r="A27" s="172"/>
      <c r="B27" s="482" t="s">
        <v>278</v>
      </c>
      <c r="C27" s="665">
        <f ca="1">B122</f>
        <v>5</v>
      </c>
      <c r="D27" s="172"/>
      <c r="E27" s="177"/>
      <c r="G27" s="824"/>
      <c r="H27" s="844"/>
      <c r="I27" s="866"/>
      <c r="AE27" s="83" t="s">
        <v>348</v>
      </c>
      <c r="AF27" s="105">
        <f t="shared" si="25"/>
        <v>0</v>
      </c>
      <c r="AG27" s="105">
        <f t="shared" si="26"/>
        <v>0</v>
      </c>
      <c r="AH27" s="146">
        <v>0.35</v>
      </c>
      <c r="AI27" s="105">
        <f t="shared" si="27"/>
        <v>0</v>
      </c>
      <c r="AJ27" s="105">
        <f t="shared" si="28"/>
        <v>0</v>
      </c>
      <c r="AK27" s="105">
        <f t="shared" si="29"/>
        <v>0</v>
      </c>
      <c r="AL27" s="105">
        <f t="shared" si="30"/>
        <v>0</v>
      </c>
      <c r="AM27" s="128"/>
      <c r="AN27" s="128">
        <f t="shared" si="37"/>
        <v>1.7167728338399174E-9</v>
      </c>
      <c r="AO27" s="138" t="str">
        <f t="shared" si="31"/>
        <v>0.00%</v>
      </c>
      <c r="AP27" s="105">
        <f t="shared" si="32"/>
        <v>1.5914983091349914E-2</v>
      </c>
      <c r="AQ27" s="124"/>
      <c r="AR27" s="60" t="s">
        <v>66</v>
      </c>
      <c r="AS27" s="105">
        <f t="shared" si="33"/>
        <v>3.8309197277410313E-2</v>
      </c>
      <c r="AT27" s="60" t="s">
        <v>66</v>
      </c>
      <c r="AU27" s="129"/>
      <c r="AV27" s="129" t="str">
        <f t="shared" si="38"/>
        <v>0</v>
      </c>
      <c r="AW27" s="120"/>
      <c r="AX27" s="150">
        <f t="shared" si="34"/>
        <v>0</v>
      </c>
      <c r="AY27" s="141" t="str">
        <f t="shared" si="35"/>
        <v>0.00</v>
      </c>
      <c r="AZ27" s="149"/>
      <c r="BA27" s="166" t="str">
        <f>IFERROR(BD27/AW27, "0.00")</f>
        <v>0.00</v>
      </c>
      <c r="BB27" s="154" t="str">
        <f t="shared" si="36"/>
        <v>0.00%</v>
      </c>
      <c r="BC27" s="154"/>
      <c r="BD27" s="130" t="str">
        <f t="shared" si="39"/>
        <v>0.00%</v>
      </c>
      <c r="BE27" s="218" t="s">
        <v>277</v>
      </c>
      <c r="BF27" s="97"/>
      <c r="BG27" s="205"/>
      <c r="BH27" s="865"/>
      <c r="BI27" s="112">
        <v>0.6</v>
      </c>
      <c r="BJ27" s="684">
        <f>(I49*80%)*BI27</f>
        <v>44086955.520000003</v>
      </c>
      <c r="BK27" s="692"/>
      <c r="BL27" s="670" t="s">
        <v>67</v>
      </c>
      <c r="CF27" s="735">
        <v>19</v>
      </c>
      <c r="CG27" s="736" t="s">
        <v>608</v>
      </c>
      <c r="CH27" s="747">
        <f>I19</f>
        <v>0.15629243506418206</v>
      </c>
      <c r="CI27" s="736" t="s">
        <v>606</v>
      </c>
      <c r="CJ27" s="738" t="s">
        <v>609</v>
      </c>
      <c r="CK27" s="736" t="s">
        <v>597</v>
      </c>
      <c r="CL27" s="731"/>
      <c r="CM27" s="731"/>
      <c r="CN27" s="731"/>
      <c r="CO27" s="731"/>
      <c r="CP27" s="731"/>
      <c r="CQ27" s="731"/>
      <c r="CR27" s="731"/>
      <c r="CS27" s="731"/>
      <c r="CT27" s="731"/>
      <c r="CU27" s="731"/>
      <c r="CV27" s="731"/>
      <c r="CW27" s="731"/>
      <c r="CX27" s="731"/>
      <c r="CY27" s="731"/>
      <c r="CZ27" s="731"/>
      <c r="DA27" s="731"/>
      <c r="DB27" s="731"/>
      <c r="DC27" s="731"/>
      <c r="DD27" s="731"/>
      <c r="DE27" s="731"/>
    </row>
    <row r="28" spans="1:109" ht="18.75" thickBot="1" x14ac:dyDescent="0.25">
      <c r="A28" s="172"/>
      <c r="B28" s="824" t="s">
        <v>22</v>
      </c>
      <c r="C28" s="823">
        <f>C223</f>
        <v>0.13308131098747253</v>
      </c>
      <c r="D28" s="172"/>
      <c r="G28" s="818" t="s">
        <v>289</v>
      </c>
      <c r="H28" s="819"/>
      <c r="I28" s="820"/>
      <c r="AE28" s="98" t="s">
        <v>349</v>
      </c>
      <c r="AF28" s="285">
        <f t="shared" si="25"/>
        <v>0</v>
      </c>
      <c r="AG28" s="285">
        <f t="shared" si="26"/>
        <v>0</v>
      </c>
      <c r="AH28" s="145">
        <v>0.35</v>
      </c>
      <c r="AI28" s="285">
        <f t="shared" si="27"/>
        <v>0</v>
      </c>
      <c r="AJ28" s="285">
        <f t="shared" si="28"/>
        <v>0</v>
      </c>
      <c r="AK28" s="285">
        <f t="shared" si="29"/>
        <v>0</v>
      </c>
      <c r="AL28" s="285">
        <f t="shared" si="30"/>
        <v>0</v>
      </c>
      <c r="AM28" s="123"/>
      <c r="AN28" s="123">
        <f t="shared" si="37"/>
        <v>1.7167728338399174E-9</v>
      </c>
      <c r="AO28" s="308" t="str">
        <f t="shared" si="31"/>
        <v>0.00%</v>
      </c>
      <c r="AP28" s="285">
        <f t="shared" si="32"/>
        <v>1.5914983091349914E-2</v>
      </c>
      <c r="AQ28" s="124"/>
      <c r="AR28" s="59" t="s">
        <v>66</v>
      </c>
      <c r="AS28" s="285">
        <f t="shared" si="33"/>
        <v>3.8309197277410313E-2</v>
      </c>
      <c r="AT28" s="59" t="s">
        <v>66</v>
      </c>
      <c r="AU28" s="125"/>
      <c r="AV28" s="125" t="str">
        <f t="shared" si="38"/>
        <v>0</v>
      </c>
      <c r="AW28" s="119"/>
      <c r="AX28" s="106">
        <f t="shared" si="34"/>
        <v>0</v>
      </c>
      <c r="AY28" s="126" t="str">
        <f t="shared" si="35"/>
        <v>0.00</v>
      </c>
      <c r="AZ28" s="126"/>
      <c r="BA28" s="165" t="str">
        <f t="shared" si="40"/>
        <v>0.00</v>
      </c>
      <c r="BB28" s="153" t="str">
        <f t="shared" si="36"/>
        <v>0.00%</v>
      </c>
      <c r="BC28" s="153"/>
      <c r="BD28" s="131" t="str">
        <f t="shared" si="39"/>
        <v>0.00%</v>
      </c>
      <c r="BE28" s="218" t="s">
        <v>220</v>
      </c>
      <c r="BF28" s="97"/>
      <c r="BH28" s="865"/>
      <c r="BI28" s="77">
        <v>0.7</v>
      </c>
      <c r="BJ28" s="684">
        <f>SUM(J76,C86:C90,C93:C95,C96:C96,C101)*BI28</f>
        <v>63778242.147200003</v>
      </c>
      <c r="BK28" s="692"/>
      <c r="BL28" s="670" t="s">
        <v>67</v>
      </c>
      <c r="CF28" s="739">
        <v>20</v>
      </c>
      <c r="CG28" s="740" t="s">
        <v>610</v>
      </c>
      <c r="CH28" s="744">
        <f>H20</f>
        <v>0</v>
      </c>
      <c r="CI28" s="740" t="s">
        <v>606</v>
      </c>
      <c r="CJ28" s="742" t="s">
        <v>611</v>
      </c>
      <c r="CK28" s="740" t="s">
        <v>571</v>
      </c>
      <c r="CL28" s="731"/>
      <c r="CM28" s="731"/>
      <c r="CN28" s="731"/>
      <c r="CO28" s="731"/>
      <c r="CP28" s="731"/>
      <c r="CQ28" s="731"/>
      <c r="CR28" s="731"/>
      <c r="CS28" s="731"/>
      <c r="CT28" s="731"/>
      <c r="CU28" s="731"/>
      <c r="CV28" s="731"/>
      <c r="CW28" s="731"/>
      <c r="CX28" s="731"/>
      <c r="CY28" s="731"/>
      <c r="CZ28" s="731"/>
      <c r="DA28" s="731"/>
      <c r="DB28" s="731"/>
      <c r="DC28" s="731"/>
      <c r="DD28" s="731"/>
      <c r="DE28" s="731"/>
    </row>
    <row r="29" spans="1:109" ht="22.5" x14ac:dyDescent="0.2">
      <c r="A29" s="172"/>
      <c r="B29" s="824"/>
      <c r="C29" s="823"/>
      <c r="D29" s="172"/>
      <c r="E29" s="177"/>
      <c r="G29" s="301" t="s">
        <v>25</v>
      </c>
      <c r="H29" s="115">
        <f>K29*J29</f>
        <v>46486956.52173914</v>
      </c>
      <c r="I29" s="309">
        <f>H29/$H$34</f>
        <v>0.21059593140595273</v>
      </c>
      <c r="J29" s="479">
        <f>AC139</f>
        <v>46486956.52173914</v>
      </c>
      <c r="K29" s="475">
        <v>1</v>
      </c>
      <c r="L29" s="50">
        <f>-H35/J29</f>
        <v>0</v>
      </c>
      <c r="AE29" s="83" t="s">
        <v>350</v>
      </c>
      <c r="AF29" s="105">
        <f t="shared" si="25"/>
        <v>0</v>
      </c>
      <c r="AG29" s="105">
        <f t="shared" si="26"/>
        <v>0</v>
      </c>
      <c r="AH29" s="146">
        <v>0.15</v>
      </c>
      <c r="AI29" s="105">
        <f t="shared" si="27"/>
        <v>0</v>
      </c>
      <c r="AJ29" s="105">
        <f t="shared" si="28"/>
        <v>0</v>
      </c>
      <c r="AK29" s="105">
        <f t="shared" si="29"/>
        <v>0</v>
      </c>
      <c r="AL29" s="105">
        <f t="shared" si="30"/>
        <v>0</v>
      </c>
      <c r="AM29" s="128"/>
      <c r="AN29" s="128">
        <f t="shared" si="37"/>
        <v>7.3575978593139319E-10</v>
      </c>
      <c r="AO29" s="138">
        <f t="shared" si="31"/>
        <v>0</v>
      </c>
      <c r="AP29" s="105">
        <f>(AN29*SUM($C$86,$C$88:$C$90,$C$96:$C$97,$C$101))+((SUM($D$94:$D$95)*G68*AO29)+(D93*G68/2*AO29))</f>
        <v>6.8207070391499633E-3</v>
      </c>
      <c r="AQ29" s="124"/>
      <c r="AR29" s="60" t="s">
        <v>66</v>
      </c>
      <c r="AS29" s="105">
        <f t="shared" si="33"/>
        <v>1.641822740460442E-2</v>
      </c>
      <c r="AT29" s="60" t="s">
        <v>66</v>
      </c>
      <c r="AU29" s="129"/>
      <c r="AV29" s="129" t="str">
        <f t="shared" si="38"/>
        <v>0</v>
      </c>
      <c r="AW29" s="120"/>
      <c r="AX29" s="150">
        <f t="shared" si="34"/>
        <v>0</v>
      </c>
      <c r="AY29" s="141" t="str">
        <f t="shared" si="35"/>
        <v>0.00</v>
      </c>
      <c r="AZ29" s="149"/>
      <c r="BA29" s="166" t="str">
        <f>IFERROR(BD29/AW29, "0.00")</f>
        <v>0.00</v>
      </c>
      <c r="BB29" s="154" t="str">
        <f t="shared" si="36"/>
        <v>0.00%</v>
      </c>
      <c r="BC29" s="154"/>
      <c r="BD29" s="130" t="str">
        <f t="shared" si="39"/>
        <v>0.00%</v>
      </c>
      <c r="BE29" s="218" t="s">
        <v>221</v>
      </c>
      <c r="BH29" s="865"/>
      <c r="BI29" s="121">
        <f ca="1">BJ29/D119</f>
        <v>3.9885606315712419E-2</v>
      </c>
      <c r="BJ29" s="685">
        <f>BI30/H26</f>
        <v>0.13140091414009702</v>
      </c>
      <c r="BK29" s="692"/>
      <c r="BL29" s="670" t="s">
        <v>67</v>
      </c>
      <c r="CF29" s="735">
        <v>21</v>
      </c>
      <c r="CG29" s="736" t="s">
        <v>612</v>
      </c>
      <c r="CH29" s="743">
        <f>H21</f>
        <v>11100000</v>
      </c>
      <c r="CI29" s="736" t="s">
        <v>606</v>
      </c>
      <c r="CJ29" s="738" t="s">
        <v>613</v>
      </c>
      <c r="CK29" s="736" t="s">
        <v>571</v>
      </c>
      <c r="CL29" s="731"/>
      <c r="CM29" s="731"/>
      <c r="CN29" s="731"/>
      <c r="CO29" s="731"/>
      <c r="CP29" s="731"/>
      <c r="CQ29" s="731"/>
      <c r="CR29" s="731"/>
      <c r="CS29" s="731"/>
      <c r="CT29" s="731"/>
      <c r="CU29" s="731"/>
      <c r="CV29" s="731"/>
      <c r="CW29" s="731"/>
      <c r="CX29" s="731"/>
      <c r="CY29" s="731"/>
      <c r="CZ29" s="731"/>
      <c r="DA29" s="731"/>
      <c r="DB29" s="731"/>
      <c r="DC29" s="731"/>
      <c r="DD29" s="731"/>
      <c r="DE29" s="731"/>
    </row>
    <row r="30" spans="1:109" ht="23.25" thickBot="1" x14ac:dyDescent="0.25">
      <c r="A30" s="172"/>
      <c r="B30" s="822" t="s">
        <v>23</v>
      </c>
      <c r="C30" s="821">
        <f>C25/C23</f>
        <v>0.38920540475854254</v>
      </c>
      <c r="D30" s="188"/>
      <c r="E30" s="177"/>
      <c r="G30" s="296" t="s">
        <v>27</v>
      </c>
      <c r="H30" s="113">
        <f>K30*J30</f>
        <v>11491487.921728909</v>
      </c>
      <c r="I30" s="304">
        <f>H30/$H$34</f>
        <v>5.2058916805728925E-2</v>
      </c>
      <c r="J30" s="480">
        <f>SUM(J139,M157,AC157)</f>
        <v>17294495.526000001</v>
      </c>
      <c r="K30" s="476">
        <v>0.6644592728624531</v>
      </c>
      <c r="L30" s="50">
        <f>-H35/J30</f>
        <v>0</v>
      </c>
      <c r="AE30" s="98" t="s">
        <v>351</v>
      </c>
      <c r="AF30" s="285">
        <f t="shared" si="25"/>
        <v>0</v>
      </c>
      <c r="AG30" s="285">
        <f t="shared" si="26"/>
        <v>0</v>
      </c>
      <c r="AH30" s="145">
        <f t="shared" ref="AH30:AH31" si="41">AH12</f>
        <v>0</v>
      </c>
      <c r="AI30" s="285">
        <f t="shared" si="27"/>
        <v>0</v>
      </c>
      <c r="AJ30" s="285">
        <f t="shared" si="28"/>
        <v>0</v>
      </c>
      <c r="AK30" s="285">
        <f t="shared" si="29"/>
        <v>0</v>
      </c>
      <c r="AL30" s="285">
        <f t="shared" si="30"/>
        <v>0</v>
      </c>
      <c r="AM30" s="123"/>
      <c r="AN30" s="123">
        <f t="shared" si="37"/>
        <v>0</v>
      </c>
      <c r="AO30" s="308" t="str">
        <f t="shared" si="31"/>
        <v>0.00%</v>
      </c>
      <c r="AP30" s="285">
        <f>(AN30*SUM($C$86,$C$88:$C$90,$C$96:$C$97,$C$101))+(SUM($D$93:$D$95)*G69*AO30)</f>
        <v>0</v>
      </c>
      <c r="AQ30" s="124"/>
      <c r="AR30" s="59" t="s">
        <v>66</v>
      </c>
      <c r="AS30" s="285">
        <f t="shared" si="33"/>
        <v>0</v>
      </c>
      <c r="AT30" s="59" t="s">
        <v>66</v>
      </c>
      <c r="AU30" s="125"/>
      <c r="AV30" s="125" t="str">
        <f t="shared" si="38"/>
        <v>0</v>
      </c>
      <c r="AW30" s="119"/>
      <c r="AX30" s="106">
        <f t="shared" si="34"/>
        <v>0</v>
      </c>
      <c r="AY30" s="126" t="str">
        <f t="shared" si="35"/>
        <v>0.00</v>
      </c>
      <c r="AZ30" s="126"/>
      <c r="BA30" s="165" t="str">
        <f t="shared" si="40"/>
        <v>0.00</v>
      </c>
      <c r="BB30" s="153" t="str">
        <f t="shared" si="36"/>
        <v>0.00%</v>
      </c>
      <c r="BC30" s="153"/>
      <c r="BD30" s="131" t="str">
        <f t="shared" si="39"/>
        <v>0.00%</v>
      </c>
      <c r="BE30" s="218" t="s">
        <v>222</v>
      </c>
      <c r="BH30" s="865"/>
      <c r="BI30" s="863">
        <f>C22</f>
        <v>7141903.2737480383</v>
      </c>
      <c r="BJ30" s="864"/>
      <c r="BK30" s="692"/>
      <c r="BL30" s="670" t="s">
        <v>67</v>
      </c>
      <c r="CF30" s="739">
        <v>22</v>
      </c>
      <c r="CG30" s="740" t="s">
        <v>614</v>
      </c>
      <c r="CH30" s="744">
        <f>H22</f>
        <v>0</v>
      </c>
      <c r="CI30" s="740" t="s">
        <v>606</v>
      </c>
      <c r="CJ30" s="742" t="s">
        <v>615</v>
      </c>
      <c r="CK30" s="740" t="s">
        <v>571</v>
      </c>
      <c r="CL30" s="731"/>
      <c r="CM30" s="731"/>
      <c r="CN30" s="731"/>
      <c r="CO30" s="731"/>
      <c r="CP30" s="731"/>
      <c r="CQ30" s="731"/>
      <c r="CR30" s="731"/>
      <c r="CS30" s="731"/>
      <c r="CT30" s="731"/>
      <c r="CU30" s="731"/>
      <c r="CV30" s="731"/>
      <c r="CW30" s="731"/>
      <c r="CX30" s="731"/>
      <c r="CY30" s="731"/>
      <c r="CZ30" s="731"/>
      <c r="DA30" s="731"/>
      <c r="DB30" s="731"/>
      <c r="DC30" s="731"/>
      <c r="DD30" s="731"/>
      <c r="DE30" s="731"/>
    </row>
    <row r="31" spans="1:109" ht="24.75" x14ac:dyDescent="0.2">
      <c r="A31" s="172"/>
      <c r="B31" s="822"/>
      <c r="C31" s="821"/>
      <c r="D31" s="177"/>
      <c r="E31" s="172"/>
      <c r="G31" s="98" t="s">
        <v>290</v>
      </c>
      <c r="H31" s="115">
        <f>SUM(H29:H30)</f>
        <v>57978444.443468049</v>
      </c>
      <c r="I31" s="303">
        <f>H31/$H$34</f>
        <v>0.26265484821168167</v>
      </c>
      <c r="J31" s="172"/>
      <c r="K31" s="642"/>
      <c r="L31" s="172"/>
      <c r="AE31" s="83" t="s">
        <v>352</v>
      </c>
      <c r="AF31" s="105">
        <f t="shared" si="25"/>
        <v>0</v>
      </c>
      <c r="AG31" s="105">
        <f t="shared" si="26"/>
        <v>0</v>
      </c>
      <c r="AH31" s="146">
        <f t="shared" si="41"/>
        <v>0</v>
      </c>
      <c r="AI31" s="105">
        <f t="shared" si="27"/>
        <v>0</v>
      </c>
      <c r="AJ31" s="105">
        <f t="shared" si="28"/>
        <v>0</v>
      </c>
      <c r="AK31" s="105">
        <f t="shared" si="29"/>
        <v>0</v>
      </c>
      <c r="AL31" s="105">
        <f t="shared" si="30"/>
        <v>0</v>
      </c>
      <c r="AM31" s="128"/>
      <c r="AN31" s="128">
        <f t="shared" si="37"/>
        <v>0</v>
      </c>
      <c r="AO31" s="138" t="str">
        <f t="shared" si="31"/>
        <v>0.00%</v>
      </c>
      <c r="AP31" s="105">
        <f>(AN31*SUM($C$86,$C$88:$C$90,$C$96:$C$97,$C$101))+(SUM($D$93:$D$95)*G70*AO31)</f>
        <v>0</v>
      </c>
      <c r="AQ31" s="124"/>
      <c r="AR31" s="60" t="s">
        <v>66</v>
      </c>
      <c r="AS31" s="105">
        <f t="shared" si="33"/>
        <v>0</v>
      </c>
      <c r="AT31" s="60" t="s">
        <v>66</v>
      </c>
      <c r="AU31" s="129"/>
      <c r="AV31" s="129" t="str">
        <f t="shared" si="38"/>
        <v>0</v>
      </c>
      <c r="AW31" s="120"/>
      <c r="AX31" s="150">
        <f t="shared" si="34"/>
        <v>0</v>
      </c>
      <c r="AY31" s="141" t="str">
        <f t="shared" si="35"/>
        <v>0.00</v>
      </c>
      <c r="AZ31" s="149"/>
      <c r="BA31" s="166" t="str">
        <f t="shared" si="40"/>
        <v>0.00</v>
      </c>
      <c r="BB31" s="154" t="str">
        <f t="shared" si="36"/>
        <v>0.00%</v>
      </c>
      <c r="BC31" s="154"/>
      <c r="BD31" s="130" t="str">
        <f t="shared" si="39"/>
        <v>0.00%</v>
      </c>
      <c r="BE31" s="218" t="s">
        <v>223</v>
      </c>
      <c r="BF31" s="97"/>
      <c r="BG31" s="172"/>
      <c r="BH31" s="156" t="s">
        <v>547</v>
      </c>
      <c r="BI31" s="667">
        <f>H26/(SUM(C184:C188))</f>
        <v>0.17354734366537777</v>
      </c>
      <c r="BJ31" s="679">
        <f>1-BI31</f>
        <v>0.82645265633462217</v>
      </c>
      <c r="BK31" s="692"/>
      <c r="BL31" s="674" t="s">
        <v>381</v>
      </c>
      <c r="CF31" s="735">
        <v>23</v>
      </c>
      <c r="CG31" s="736" t="s">
        <v>616</v>
      </c>
      <c r="CH31" s="747">
        <f>I22</f>
        <v>0</v>
      </c>
      <c r="CI31" s="736" t="s">
        <v>606</v>
      </c>
      <c r="CJ31" s="738" t="s">
        <v>617</v>
      </c>
      <c r="CK31" s="736" t="s">
        <v>597</v>
      </c>
      <c r="CL31" s="731"/>
      <c r="CM31" s="731"/>
      <c r="CN31" s="731"/>
      <c r="CO31" s="731"/>
      <c r="CP31" s="731"/>
      <c r="CQ31" s="731"/>
      <c r="CR31" s="731"/>
      <c r="CS31" s="731"/>
      <c r="CT31" s="731"/>
      <c r="CU31" s="731"/>
      <c r="CV31" s="731"/>
      <c r="CW31" s="731"/>
      <c r="CX31" s="731"/>
      <c r="CY31" s="731"/>
      <c r="CZ31" s="731"/>
      <c r="DA31" s="731"/>
      <c r="DB31" s="731"/>
      <c r="DC31" s="731"/>
      <c r="DD31" s="731"/>
      <c r="DE31" s="731"/>
    </row>
    <row r="32" spans="1:109" ht="18.75" thickBot="1" x14ac:dyDescent="0.25">
      <c r="A32" s="172"/>
      <c r="B32" s="824" t="s">
        <v>24</v>
      </c>
      <c r="C32" s="823">
        <f>(C25/H24)</f>
        <v>0.79248720297161024</v>
      </c>
      <c r="D32" s="222"/>
      <c r="E32" s="172"/>
      <c r="G32" s="818" t="s">
        <v>206</v>
      </c>
      <c r="H32" s="819"/>
      <c r="I32" s="820"/>
      <c r="K32" s="204"/>
      <c r="L32" s="172"/>
      <c r="AE32" s="84" t="s">
        <v>317</v>
      </c>
      <c r="AF32" s="108">
        <f t="shared" ref="AF32:AL32" si="42">SUM(AF22:AF31)</f>
        <v>30922094.759754118</v>
      </c>
      <c r="AG32" s="108">
        <f t="shared" si="42"/>
        <v>13226400</v>
      </c>
      <c r="AH32" s="144">
        <f t="shared" si="42"/>
        <v>1</v>
      </c>
      <c r="AI32" s="108">
        <f t="shared" si="42"/>
        <v>0</v>
      </c>
      <c r="AJ32" s="108">
        <f t="shared" si="42"/>
        <v>0</v>
      </c>
      <c r="AK32" s="108">
        <f t="shared" si="42"/>
        <v>0</v>
      </c>
      <c r="AL32" s="108">
        <f t="shared" si="42"/>
        <v>0</v>
      </c>
      <c r="AM32" s="140">
        <f>SUM(AF32:AG32,AI32:AL32)</f>
        <v>44148494.759754121</v>
      </c>
      <c r="AN32" s="108">
        <f>SUM(AF4:AG13,AI4:AL13,AF22:AG31,AI22:AL31)</f>
        <v>203870886.75975412</v>
      </c>
      <c r="AO32" s="139" t="s">
        <v>67</v>
      </c>
      <c r="AP32" s="809"/>
      <c r="AQ32" s="809"/>
      <c r="AR32" s="287" t="s">
        <v>67</v>
      </c>
      <c r="AS32" s="287">
        <f>SUM(AS22:AS31)</f>
        <v>4832266.936614153</v>
      </c>
      <c r="AT32" s="132">
        <f t="shared" ref="AT32" si="43">SUM(AT22:AT31)</f>
        <v>0</v>
      </c>
      <c r="AU32" s="132"/>
      <c r="AV32" s="133">
        <f>IFERROR(AU32/T139, "0")</f>
        <v>0</v>
      </c>
      <c r="AW32" s="158"/>
      <c r="AX32" s="108">
        <f>SUM(AX22:AX31)</f>
        <v>46486956.52173914</v>
      </c>
      <c r="AY32" s="135">
        <f>AZ32/T139</f>
        <v>0</v>
      </c>
      <c r="AZ32" s="136">
        <f>SUMIF(AZ22:AZ31, "&lt;&gt;#DIV/0!")</f>
        <v>0</v>
      </c>
      <c r="BA32" s="663" t="s">
        <v>67</v>
      </c>
      <c r="BB32" s="155">
        <f t="shared" si="36"/>
        <v>0</v>
      </c>
      <c r="BC32" s="155"/>
      <c r="BD32" s="137" t="str">
        <f>IFERROR(AZ32/AU32, "0.00%")</f>
        <v>0.00%</v>
      </c>
      <c r="BE32" s="172"/>
      <c r="BH32" s="98" t="s">
        <v>403</v>
      </c>
      <c r="BI32" s="861">
        <f>H26/H24</f>
        <v>0.50135786867583687</v>
      </c>
      <c r="BJ32" s="862"/>
      <c r="BK32" s="692"/>
      <c r="BL32" s="670" t="s">
        <v>339</v>
      </c>
      <c r="CF32" s="739">
        <v>24</v>
      </c>
      <c r="CG32" s="740" t="s">
        <v>618</v>
      </c>
      <c r="CH32" s="744">
        <f>H23</f>
        <v>62809599.999999993</v>
      </c>
      <c r="CI32" s="740" t="s">
        <v>606</v>
      </c>
      <c r="CJ32" s="742" t="s">
        <v>619</v>
      </c>
      <c r="CK32" s="740" t="s">
        <v>571</v>
      </c>
      <c r="CL32" s="731"/>
      <c r="CM32" s="731"/>
      <c r="CN32" s="731"/>
      <c r="CO32" s="731"/>
      <c r="CP32" s="731"/>
      <c r="CQ32" s="731"/>
      <c r="CR32" s="731"/>
      <c r="CS32" s="731"/>
      <c r="CT32" s="731"/>
      <c r="CU32" s="731"/>
      <c r="CV32" s="731"/>
      <c r="CW32" s="731"/>
      <c r="CX32" s="731"/>
      <c r="CY32" s="731"/>
      <c r="CZ32" s="731"/>
      <c r="DA32" s="731"/>
      <c r="DB32" s="731"/>
      <c r="DC32" s="731"/>
      <c r="DD32" s="731"/>
      <c r="DE32" s="731"/>
    </row>
    <row r="33" spans="1:109" ht="22.5" x14ac:dyDescent="0.2">
      <c r="A33" s="172"/>
      <c r="B33" s="824"/>
      <c r="C33" s="823"/>
      <c r="D33" s="222"/>
      <c r="G33" s="296" t="s">
        <v>28</v>
      </c>
      <c r="H33" s="113">
        <f>H24+H26+H31</f>
        <v>220740050.44346803</v>
      </c>
      <c r="I33" s="654" t="str">
        <f>IF(ABS(SUM(1)-SUM(Study!I24,Study!I26,Study!I31))&lt;=0.001,"TRUE",SUM(1)-SUM(Study!I24,Study!I26,Study!I31))</f>
        <v>TRUE</v>
      </c>
      <c r="J33" s="177"/>
      <c r="K33" s="204"/>
      <c r="L33" s="172"/>
      <c r="AE33" s="218"/>
      <c r="AF33" s="172" t="b">
        <f>I49-AF14=AF32</f>
        <v>0</v>
      </c>
      <c r="AG33" s="172" t="b">
        <f>SUM(J61:J71)-AG14=AG32</f>
        <v>1</v>
      </c>
      <c r="AH33" s="172" t="b">
        <f>SUM(AH22:AH31)=AH32</f>
        <v>1</v>
      </c>
      <c r="AI33" s="172" t="b">
        <f>ABS((J73 - AI14) - AI32) &lt;= 0.9</f>
        <v>1</v>
      </c>
      <c r="AJ33" s="172" t="b">
        <f>(J74+J75)-AJ14=AJ32</f>
        <v>1</v>
      </c>
      <c r="AK33" s="172" t="b">
        <f>ABS((C87 - AK14) - AK32) &lt;= 0.9</f>
        <v>1</v>
      </c>
      <c r="AL33" s="172" t="b">
        <f>J71-AL14=AL32</f>
        <v>1</v>
      </c>
      <c r="AM33" s="172" t="b">
        <f>SUM(AF22:AG31,AI22:AL31)=AM32</f>
        <v>1</v>
      </c>
      <c r="AN33" s="172" t="b">
        <f>SUM(AI22:AL31,AF22:AG31,AF4:AG13,AI4:AL13)=AN32</f>
        <v>1</v>
      </c>
      <c r="AO33" s="172" t="b">
        <f>SUM(AO4:AO13,AO22:AO31)=1000%</f>
        <v>1</v>
      </c>
      <c r="AP33" s="808"/>
      <c r="AQ33" s="808"/>
      <c r="AR33" s="172" t="b">
        <f>AR32=AR32</f>
        <v>1</v>
      </c>
      <c r="AS33" s="172" t="b">
        <f>ABS((C107 - AS14) - AS32) &lt;= 0.9</f>
        <v>1</v>
      </c>
      <c r="AT33" s="172" t="b">
        <f>AT32=AT32</f>
        <v>1</v>
      </c>
      <c r="AU33" s="172"/>
      <c r="AV33" s="172" t="b">
        <f>AV32=AV32</f>
        <v>1</v>
      </c>
      <c r="AW33" s="172"/>
      <c r="AX33" s="172" t="b">
        <f>AX32=AC139</f>
        <v>1</v>
      </c>
      <c r="AY33" s="172" t="b">
        <f t="shared" ref="AY33:BD33" si="44">AY32=AY32</f>
        <v>1</v>
      </c>
      <c r="AZ33" s="172" t="b">
        <f t="shared" si="44"/>
        <v>1</v>
      </c>
      <c r="BA33" s="172" t="b">
        <f t="shared" si="44"/>
        <v>1</v>
      </c>
      <c r="BB33" s="172" t="b">
        <f t="shared" si="44"/>
        <v>1</v>
      </c>
      <c r="BC33" s="172"/>
      <c r="BD33" s="172" t="b">
        <f t="shared" si="44"/>
        <v>1</v>
      </c>
      <c r="BE33" s="172"/>
      <c r="BH33" s="169" t="s">
        <v>330</v>
      </c>
      <c r="BI33" s="170">
        <f>AX22</f>
        <v>0</v>
      </c>
      <c r="BJ33" s="686">
        <f>C184/-(SUM(G192:S216))</f>
        <v>0.49384503208230124</v>
      </c>
      <c r="BK33" s="692"/>
      <c r="BL33" s="675" t="s">
        <v>428</v>
      </c>
      <c r="CF33" s="735">
        <v>25</v>
      </c>
      <c r="CG33" s="736" t="s">
        <v>620</v>
      </c>
      <c r="CH33" s="747">
        <f>I23</f>
        <v>0.28454102404078979</v>
      </c>
      <c r="CI33" s="736" t="s">
        <v>606</v>
      </c>
      <c r="CJ33" s="738" t="s">
        <v>621</v>
      </c>
      <c r="CK33" s="736" t="s">
        <v>597</v>
      </c>
      <c r="CL33" s="731"/>
      <c r="CM33" s="731"/>
      <c r="CN33" s="731"/>
      <c r="CO33" s="731"/>
      <c r="CP33" s="731"/>
      <c r="CQ33" s="731"/>
      <c r="CR33" s="731"/>
      <c r="CS33" s="731"/>
      <c r="CT33" s="731"/>
      <c r="CU33" s="731"/>
      <c r="CV33" s="731"/>
      <c r="CW33" s="731"/>
      <c r="CX33" s="731"/>
      <c r="CY33" s="731"/>
      <c r="CZ33" s="731"/>
      <c r="DA33" s="731"/>
      <c r="DB33" s="731"/>
      <c r="DC33" s="731"/>
      <c r="DD33" s="731"/>
      <c r="DE33" s="731"/>
    </row>
    <row r="34" spans="1:109" ht="23.25" thickBot="1" x14ac:dyDescent="0.25">
      <c r="A34" s="172"/>
      <c r="B34" s="822" t="s">
        <v>26</v>
      </c>
      <c r="C34" s="821">
        <f ca="1">C32/C27</f>
        <v>0.15849744059432205</v>
      </c>
      <c r="D34" s="223"/>
      <c r="E34" s="199"/>
      <c r="G34" s="301" t="s">
        <v>293</v>
      </c>
      <c r="H34" s="840">
        <f>C23</f>
        <v>220740050.44346803</v>
      </c>
      <c r="I34" s="841"/>
      <c r="J34" s="172"/>
      <c r="K34" s="172"/>
      <c r="AT34" s="172"/>
      <c r="AX34" s="97"/>
      <c r="BF34" s="97"/>
      <c r="BG34" s="172"/>
      <c r="BH34" s="47" t="s">
        <v>402</v>
      </c>
      <c r="BI34" s="859">
        <f>(C17-C23)/C17</f>
        <v>0.29517137978264557</v>
      </c>
      <c r="BJ34" s="860"/>
      <c r="BK34" s="693"/>
      <c r="BL34" s="699" t="s">
        <v>340</v>
      </c>
      <c r="CF34" s="739">
        <v>26</v>
      </c>
      <c r="CG34" s="740" t="s">
        <v>622</v>
      </c>
      <c r="CH34" s="744">
        <f>H24</f>
        <v>108409600</v>
      </c>
      <c r="CI34" s="740" t="s">
        <v>606</v>
      </c>
      <c r="CJ34" s="742" t="s">
        <v>623</v>
      </c>
      <c r="CK34" s="740" t="s">
        <v>571</v>
      </c>
      <c r="CL34" s="731"/>
      <c r="CM34" s="731"/>
      <c r="CN34" s="731"/>
      <c r="CO34" s="731"/>
      <c r="CP34" s="731"/>
      <c r="CQ34" s="731"/>
      <c r="CR34" s="731"/>
      <c r="CS34" s="731"/>
      <c r="CT34" s="731"/>
      <c r="CU34" s="731"/>
      <c r="CV34" s="731"/>
      <c r="CW34" s="731"/>
      <c r="CX34" s="731"/>
      <c r="CY34" s="731"/>
      <c r="CZ34" s="731"/>
      <c r="DA34" s="731"/>
      <c r="DB34" s="731"/>
      <c r="DC34" s="731"/>
      <c r="DD34" s="731"/>
      <c r="DE34" s="731"/>
    </row>
    <row r="35" spans="1:109" ht="23.25" thickBot="1" x14ac:dyDescent="0.25">
      <c r="A35" s="172"/>
      <c r="B35" s="843"/>
      <c r="C35" s="842"/>
      <c r="D35" s="223"/>
      <c r="E35" s="172"/>
      <c r="G35" s="286" t="s">
        <v>29</v>
      </c>
      <c r="H35" s="838">
        <f>H33-H34</f>
        <v>0</v>
      </c>
      <c r="I35" s="839"/>
      <c r="J35" s="172"/>
      <c r="K35" s="172"/>
      <c r="BH35" s="811" t="s">
        <v>374</v>
      </c>
      <c r="BI35" s="812"/>
      <c r="BJ35" s="848">
        <v>0</v>
      </c>
      <c r="BK35" s="193"/>
      <c r="BL35" s="697" t="s">
        <v>67</v>
      </c>
      <c r="CF35" s="735">
        <v>27</v>
      </c>
      <c r="CG35" s="736" t="s">
        <v>624</v>
      </c>
      <c r="CH35" s="747">
        <f>I24</f>
        <v>0.49111885125605659</v>
      </c>
      <c r="CI35" s="736" t="s">
        <v>606</v>
      </c>
      <c r="CJ35" s="738" t="s">
        <v>625</v>
      </c>
      <c r="CK35" s="736" t="s">
        <v>597</v>
      </c>
      <c r="CL35" s="731"/>
      <c r="CM35" s="731"/>
      <c r="CN35" s="731"/>
      <c r="CO35" s="731"/>
      <c r="CP35" s="731"/>
      <c r="CQ35" s="731"/>
      <c r="CR35" s="731"/>
      <c r="CS35" s="731"/>
      <c r="CT35" s="731"/>
      <c r="CU35" s="731"/>
      <c r="CV35" s="731"/>
      <c r="CW35" s="731"/>
      <c r="CX35" s="731"/>
      <c r="CY35" s="731"/>
      <c r="CZ35" s="731"/>
      <c r="DA35" s="731"/>
      <c r="DB35" s="731"/>
      <c r="DC35" s="731"/>
      <c r="DD35" s="731"/>
      <c r="DE35" s="731"/>
    </row>
    <row r="36" spans="1:109" ht="18" x14ac:dyDescent="0.2">
      <c r="A36" s="172"/>
      <c r="AP36" s="97"/>
      <c r="AT36" s="97"/>
      <c r="AU36" s="97"/>
      <c r="AV36" s="97"/>
      <c r="BH36" s="98" t="s">
        <v>331</v>
      </c>
      <c r="BI36" s="161">
        <f>I49/C49</f>
        <v>11179.141187925998</v>
      </c>
      <c r="BJ36" s="687">
        <f>D49</f>
        <v>10921.129503407985</v>
      </c>
      <c r="BK36" s="692"/>
      <c r="BL36" s="670" t="s">
        <v>67</v>
      </c>
      <c r="CF36" s="739">
        <v>28</v>
      </c>
      <c r="CG36" s="740" t="s">
        <v>626</v>
      </c>
      <c r="CH36" s="744">
        <f>H26</f>
        <v>54352006</v>
      </c>
      <c r="CI36" s="740" t="s">
        <v>606</v>
      </c>
      <c r="CJ36" s="742" t="s">
        <v>627</v>
      </c>
      <c r="CK36" s="740" t="s">
        <v>571</v>
      </c>
      <c r="CL36" s="731"/>
      <c r="CM36" s="731"/>
      <c r="CN36" s="731"/>
      <c r="CO36" s="731"/>
      <c r="CP36" s="731"/>
      <c r="CQ36" s="731"/>
      <c r="CR36" s="731"/>
      <c r="CS36" s="731"/>
      <c r="CT36" s="731"/>
      <c r="CU36" s="731"/>
      <c r="CV36" s="731"/>
      <c r="CW36" s="731"/>
      <c r="CX36" s="731"/>
      <c r="CY36" s="731"/>
      <c r="CZ36" s="731"/>
      <c r="DA36" s="731"/>
      <c r="DB36" s="731"/>
      <c r="DC36" s="731"/>
      <c r="DD36" s="731"/>
      <c r="DE36" s="731"/>
    </row>
    <row r="37" spans="1:109" ht="18.75" thickBot="1" x14ac:dyDescent="0.25">
      <c r="A37" s="172"/>
      <c r="I37" s="171"/>
      <c r="BH37" s="156" t="s">
        <v>415</v>
      </c>
      <c r="BI37" s="855">
        <f>((I49/C23)*C17)/C49</f>
        <v>15860.793485483868</v>
      </c>
      <c r="BJ37" s="856"/>
      <c r="BK37" s="692"/>
      <c r="BL37" s="670" t="s">
        <v>67</v>
      </c>
      <c r="CF37" s="735">
        <v>29</v>
      </c>
      <c r="CG37" s="736" t="s">
        <v>628</v>
      </c>
      <c r="CH37" s="747">
        <f>I26</f>
        <v>0.24622630053226185</v>
      </c>
      <c r="CI37" s="736" t="s">
        <v>606</v>
      </c>
      <c r="CJ37" s="738" t="s">
        <v>629</v>
      </c>
      <c r="CK37" s="736" t="s">
        <v>597</v>
      </c>
      <c r="CL37" s="731"/>
      <c r="CM37" s="731"/>
      <c r="CN37" s="731"/>
      <c r="CO37" s="731"/>
      <c r="CP37" s="731"/>
      <c r="CQ37" s="731"/>
      <c r="CR37" s="731"/>
      <c r="CS37" s="731"/>
      <c r="CT37" s="731"/>
      <c r="CU37" s="731"/>
      <c r="CV37" s="731"/>
      <c r="CW37" s="731"/>
      <c r="CX37" s="731"/>
      <c r="CY37" s="731"/>
      <c r="CZ37" s="731"/>
      <c r="DA37" s="731"/>
      <c r="DB37" s="731"/>
      <c r="DC37" s="731"/>
      <c r="DD37" s="731"/>
      <c r="DE37" s="731"/>
    </row>
    <row r="38" spans="1:109" ht="18" x14ac:dyDescent="0.2">
      <c r="A38" s="172"/>
      <c r="D38" s="198"/>
      <c r="G38" s="643"/>
      <c r="I38" s="644"/>
      <c r="J38" s="638"/>
      <c r="AE38" s="811" t="s">
        <v>363</v>
      </c>
      <c r="AF38" s="812"/>
      <c r="AG38" s="812"/>
      <c r="AH38" s="812"/>
      <c r="AI38" s="812"/>
      <c r="AJ38" s="812"/>
      <c r="AK38" s="812"/>
      <c r="AL38" s="812"/>
      <c r="AM38" s="812"/>
      <c r="AN38" s="812"/>
      <c r="AO38" s="812"/>
      <c r="AP38" s="812"/>
      <c r="AQ38" s="812"/>
      <c r="AR38" s="812"/>
      <c r="AS38" s="812"/>
      <c r="AT38" s="812"/>
      <c r="AU38" s="812"/>
      <c r="AV38" s="812"/>
      <c r="AW38" s="812"/>
      <c r="AX38" s="812"/>
      <c r="AY38" s="812"/>
      <c r="AZ38" s="812"/>
      <c r="BA38" s="812"/>
      <c r="BB38" s="812"/>
      <c r="BC38" s="812"/>
      <c r="BD38" s="813"/>
      <c r="BH38" s="98" t="s">
        <v>416</v>
      </c>
      <c r="BI38" s="849">
        <f>BI37-BI36</f>
        <v>4681.65229755787</v>
      </c>
      <c r="BJ38" s="850"/>
      <c r="BK38" s="692"/>
      <c r="BL38" s="670" t="s">
        <v>67</v>
      </c>
      <c r="CF38" s="739">
        <v>30</v>
      </c>
      <c r="CG38" s="740" t="s">
        <v>630</v>
      </c>
      <c r="CH38" s="744">
        <f>H29</f>
        <v>46486956.52173914</v>
      </c>
      <c r="CI38" s="740" t="s">
        <v>606</v>
      </c>
      <c r="CJ38" s="742" t="s">
        <v>631</v>
      </c>
      <c r="CK38" s="740" t="s">
        <v>571</v>
      </c>
      <c r="CL38" s="731"/>
      <c r="CM38" s="731"/>
      <c r="CN38" s="731"/>
      <c r="CO38" s="731"/>
      <c r="CP38" s="731"/>
      <c r="CQ38" s="731"/>
      <c r="CR38" s="731"/>
      <c r="CS38" s="731"/>
      <c r="CT38" s="731"/>
      <c r="CU38" s="731"/>
      <c r="CV38" s="731"/>
      <c r="CW38" s="731"/>
      <c r="CX38" s="731"/>
      <c r="CY38" s="731"/>
      <c r="CZ38" s="731"/>
      <c r="DA38" s="731"/>
      <c r="DB38" s="731"/>
      <c r="DC38" s="731"/>
      <c r="DD38" s="731"/>
      <c r="DE38" s="731"/>
    </row>
    <row r="39" spans="1:109" ht="27" x14ac:dyDescent="0.2">
      <c r="A39" s="172"/>
      <c r="F39" s="640"/>
      <c r="H39" s="643"/>
      <c r="I39" s="190"/>
      <c r="J39" s="641"/>
      <c r="AE39" s="31" t="s">
        <v>313</v>
      </c>
      <c r="AF39" s="32" t="s">
        <v>297</v>
      </c>
      <c r="AG39" s="32" t="s">
        <v>298</v>
      </c>
      <c r="AH39" s="122" t="s">
        <v>359</v>
      </c>
      <c r="AI39" s="32" t="s">
        <v>299</v>
      </c>
      <c r="AJ39" s="32" t="s">
        <v>300</v>
      </c>
      <c r="AK39" s="32" t="s">
        <v>301</v>
      </c>
      <c r="AL39" s="32" t="s">
        <v>302</v>
      </c>
      <c r="AM39" s="122" t="s">
        <v>357</v>
      </c>
      <c r="AN39" s="122" t="s">
        <v>356</v>
      </c>
      <c r="AO39" s="32" t="s">
        <v>360</v>
      </c>
      <c r="AP39" s="32" t="s">
        <v>303</v>
      </c>
      <c r="AQ39" s="32" t="s">
        <v>355</v>
      </c>
      <c r="AR39" s="32" t="s">
        <v>304</v>
      </c>
      <c r="AS39" s="32" t="s">
        <v>305</v>
      </c>
      <c r="AT39" s="32" t="s">
        <v>354</v>
      </c>
      <c r="AU39" s="32" t="s">
        <v>306</v>
      </c>
      <c r="AV39" s="32" t="s">
        <v>307</v>
      </c>
      <c r="AW39" s="32" t="s">
        <v>308</v>
      </c>
      <c r="AX39" s="32" t="s">
        <v>309</v>
      </c>
      <c r="AY39" s="32" t="s">
        <v>310</v>
      </c>
      <c r="AZ39" s="32" t="s">
        <v>311</v>
      </c>
      <c r="BA39" s="32" t="s">
        <v>370</v>
      </c>
      <c r="BB39" s="32" t="s">
        <v>361</v>
      </c>
      <c r="BC39" s="32" t="s">
        <v>369</v>
      </c>
      <c r="BD39" s="33" t="s">
        <v>312</v>
      </c>
      <c r="BH39" s="156" t="s">
        <v>417</v>
      </c>
      <c r="BI39" s="853">
        <f>BI38/BI36</f>
        <v>0.41878461134512518</v>
      </c>
      <c r="BJ39" s="854"/>
      <c r="BK39" s="692"/>
      <c r="BL39" s="670" t="s">
        <v>341</v>
      </c>
      <c r="CF39" s="735">
        <v>31</v>
      </c>
      <c r="CG39" s="736" t="s">
        <v>632</v>
      </c>
      <c r="CH39" s="747">
        <f>I29</f>
        <v>0.21059593140595273</v>
      </c>
      <c r="CI39" s="736" t="s">
        <v>606</v>
      </c>
      <c r="CJ39" s="738" t="s">
        <v>633</v>
      </c>
      <c r="CK39" s="736" t="s">
        <v>597</v>
      </c>
      <c r="CL39" s="731"/>
      <c r="CM39" s="731"/>
      <c r="CN39" s="731"/>
      <c r="CO39" s="731"/>
      <c r="CP39" s="731"/>
      <c r="CQ39" s="731"/>
      <c r="CR39" s="731"/>
      <c r="CS39" s="731"/>
      <c r="CT39" s="731"/>
      <c r="CU39" s="731"/>
      <c r="CV39" s="731"/>
      <c r="CW39" s="731"/>
      <c r="CX39" s="731"/>
      <c r="CY39" s="731"/>
      <c r="CZ39" s="731"/>
      <c r="DA39" s="731"/>
      <c r="DB39" s="731"/>
      <c r="DC39" s="731"/>
      <c r="DD39" s="731"/>
      <c r="DE39" s="731"/>
    </row>
    <row r="40" spans="1:109" ht="18" x14ac:dyDescent="0.2">
      <c r="A40" s="172"/>
      <c r="H40" s="190"/>
      <c r="I40" s="639"/>
      <c r="J40" s="190"/>
      <c r="AE40" s="98" t="s">
        <v>215</v>
      </c>
      <c r="AF40" s="285">
        <f t="shared" ref="AF40:AG47" si="45">SUM(AF4,AF22)</f>
        <v>15362564</v>
      </c>
      <c r="AG40" s="285">
        <f t="shared" si="45"/>
        <v>7800408</v>
      </c>
      <c r="AH40" s="145">
        <f t="shared" ref="AH40:AH47" si="46">AH4</f>
        <v>0</v>
      </c>
      <c r="AI40" s="285">
        <f t="shared" ref="AI40:AL47" si="47">SUM(AI4,AI22)</f>
        <v>0</v>
      </c>
      <c r="AJ40" s="285">
        <f t="shared" si="47"/>
        <v>0</v>
      </c>
      <c r="AK40" s="285">
        <f t="shared" si="47"/>
        <v>0</v>
      </c>
      <c r="AL40" s="285">
        <f t="shared" si="47"/>
        <v>0</v>
      </c>
      <c r="AM40" s="123" t="s">
        <v>67</v>
      </c>
      <c r="AN40" s="123">
        <f t="shared" ref="AN40:AU47" si="48">SUM(AN4,AN22)</f>
        <v>0.11361588880169904</v>
      </c>
      <c r="AO40" s="147">
        <f t="shared" si="48"/>
        <v>1</v>
      </c>
      <c r="AP40" s="285">
        <f t="shared" si="48"/>
        <v>749188.50482248759</v>
      </c>
      <c r="AQ40" s="124">
        <f t="shared" si="48"/>
        <v>887297.50015231781</v>
      </c>
      <c r="AR40" s="151">
        <f t="shared" si="48"/>
        <v>1035720.186037122</v>
      </c>
      <c r="AS40" s="285">
        <f t="shared" si="48"/>
        <v>2535299.6110832328</v>
      </c>
      <c r="AT40" s="125">
        <f t="shared" si="48"/>
        <v>123565.554</v>
      </c>
      <c r="AU40" s="125">
        <f t="shared" si="48"/>
        <v>28494043.356095161</v>
      </c>
      <c r="AV40" s="125">
        <f t="shared" ref="AV40:AV49" si="49">IFERROR((AU40-AT40)/F61, "0")</f>
        <v>9413.5424657740914</v>
      </c>
      <c r="AW40" s="119">
        <f t="shared" ref="AW40:AW47" si="50">SUM(AW4,AW22)</f>
        <v>0.1285243785398196</v>
      </c>
      <c r="AX40" s="106">
        <f t="shared" ref="AX40:AX47" si="51">SUM(AX22,AX4)</f>
        <v>31818130.155000001</v>
      </c>
      <c r="AY40" s="126">
        <f t="shared" ref="AY40:AY49" si="52">IFERROR(AZ40/F61, "0.00")</f>
        <v>1102.9575342259093</v>
      </c>
      <c r="AZ40" s="126">
        <f t="shared" ref="AZ40:AZ47" si="53">SUM(AZ22,AZ4)</f>
        <v>3324086.7989048399</v>
      </c>
      <c r="BA40" s="165">
        <f t="shared" ref="BA40:BA49" si="54">IFERROR(BD40/AW40, "0.00")</f>
        <v>0.91163332591623647</v>
      </c>
      <c r="BB40" s="153">
        <f t="shared" ref="BB40:BB50" si="55">IFERROR(AZ40/AX40, "0.00%")</f>
        <v>0.10447146902447636</v>
      </c>
      <c r="BC40" s="153">
        <f t="shared" ref="BC40:BC49" si="56">AZ40/$C$25</f>
        <v>3.8691213908907354E-2</v>
      </c>
      <c r="BD40" s="127">
        <f t="shared" ref="BD40:BD49" si="57">IFERROR(AZ40/(AU40-AT40), "0.00%")</f>
        <v>0.11716710666957311</v>
      </c>
      <c r="BE40" s="218" t="s">
        <v>215</v>
      </c>
      <c r="BH40" s="98" t="s">
        <v>329</v>
      </c>
      <c r="BI40" s="857">
        <f>F76/I59</f>
        <v>0.63159035985036571</v>
      </c>
      <c r="BJ40" s="858"/>
      <c r="BK40" s="692"/>
      <c r="BL40" s="670" t="s">
        <v>337</v>
      </c>
      <c r="CF40" s="739">
        <v>32</v>
      </c>
      <c r="CG40" s="740" t="s">
        <v>233</v>
      </c>
      <c r="CH40" s="744">
        <f>H30</f>
        <v>11491487.921728909</v>
      </c>
      <c r="CI40" s="740" t="s">
        <v>606</v>
      </c>
      <c r="CJ40" s="742" t="s">
        <v>634</v>
      </c>
      <c r="CK40" s="740" t="s">
        <v>571</v>
      </c>
      <c r="CL40" s="731"/>
      <c r="CM40" s="731"/>
      <c r="CN40" s="731"/>
      <c r="CO40" s="731"/>
      <c r="CP40" s="731"/>
      <c r="CQ40" s="731"/>
      <c r="CR40" s="731"/>
      <c r="CS40" s="731"/>
      <c r="CT40" s="731"/>
      <c r="CU40" s="731"/>
      <c r="CV40" s="731"/>
      <c r="CW40" s="731"/>
      <c r="CX40" s="731"/>
      <c r="CY40" s="731"/>
      <c r="CZ40" s="731"/>
      <c r="DA40" s="731"/>
      <c r="DB40" s="731"/>
      <c r="DC40" s="731"/>
      <c r="DD40" s="731"/>
      <c r="DE40" s="731"/>
    </row>
    <row r="41" spans="1:109" ht="18.75" thickBot="1" x14ac:dyDescent="0.25">
      <c r="A41" s="172"/>
      <c r="B41" s="172"/>
      <c r="C41" s="172"/>
      <c r="D41" s="172"/>
      <c r="E41" s="172"/>
      <c r="F41" s="172"/>
      <c r="G41" s="172"/>
      <c r="H41" s="172"/>
      <c r="I41" s="179"/>
      <c r="J41" s="172"/>
      <c r="K41" s="172"/>
      <c r="L41" s="172"/>
      <c r="AE41" s="83" t="s">
        <v>216</v>
      </c>
      <c r="AF41" s="105">
        <f t="shared" si="45"/>
        <v>58273354.759754121</v>
      </c>
      <c r="AG41" s="105">
        <f t="shared" si="45"/>
        <v>13226400</v>
      </c>
      <c r="AH41" s="146">
        <f t="shared" si="46"/>
        <v>0</v>
      </c>
      <c r="AI41" s="105">
        <f t="shared" si="47"/>
        <v>0</v>
      </c>
      <c r="AJ41" s="105">
        <f t="shared" si="47"/>
        <v>0</v>
      </c>
      <c r="AK41" s="105">
        <f t="shared" si="47"/>
        <v>0</v>
      </c>
      <c r="AL41" s="105">
        <f t="shared" si="47"/>
        <v>0</v>
      </c>
      <c r="AM41" s="128" t="s">
        <v>67</v>
      </c>
      <c r="AN41" s="128">
        <f t="shared" si="48"/>
        <v>0.35071096170789207</v>
      </c>
      <c r="AO41" s="148">
        <f t="shared" si="48"/>
        <v>1</v>
      </c>
      <c r="AP41" s="105">
        <f t="shared" si="48"/>
        <v>2705685.6643370776</v>
      </c>
      <c r="AQ41" s="124">
        <f t="shared" si="48"/>
        <v>888528.7657614128</v>
      </c>
      <c r="AR41" s="152">
        <f t="shared" si="48"/>
        <v>1222997.2948009304</v>
      </c>
      <c r="AS41" s="150">
        <f t="shared" si="48"/>
        <v>7825994.8867939375</v>
      </c>
      <c r="AT41" s="129">
        <f t="shared" si="48"/>
        <v>0</v>
      </c>
      <c r="AU41" s="129">
        <f t="shared" si="48"/>
        <v>32912706.774944291</v>
      </c>
      <c r="AV41" s="129">
        <f t="shared" si="49"/>
        <v>9854.1038248336208</v>
      </c>
      <c r="AW41" s="120">
        <f t="shared" si="50"/>
        <v>0.14910165467853465</v>
      </c>
      <c r="AX41" s="105">
        <f t="shared" si="51"/>
        <v>46486956.52173914</v>
      </c>
      <c r="AY41" s="141">
        <f t="shared" si="52"/>
        <v>-9854.1038248336208</v>
      </c>
      <c r="AZ41" s="141">
        <f t="shared" si="53"/>
        <v>-32912706.774944291</v>
      </c>
      <c r="BA41" s="166">
        <f t="shared" si="54"/>
        <v>-6.7068336844149359</v>
      </c>
      <c r="BB41" s="154">
        <f t="shared" si="55"/>
        <v>-0.70799874282053732</v>
      </c>
      <c r="BC41" s="154">
        <f t="shared" si="56"/>
        <v>-0.38309245672226772</v>
      </c>
      <c r="BD41" s="130">
        <f t="shared" si="57"/>
        <v>-1</v>
      </c>
      <c r="BE41" s="218" t="s">
        <v>216</v>
      </c>
      <c r="BH41" s="247" t="s">
        <v>401</v>
      </c>
      <c r="BI41" s="248">
        <f>COUNTIFS(F187:AC187,"&gt;500")/4</f>
        <v>0</v>
      </c>
      <c r="BJ41" s="688">
        <f ca="1">BI41/B122</f>
        <v>0</v>
      </c>
      <c r="BK41" s="692"/>
      <c r="BL41" s="670" t="s">
        <v>400</v>
      </c>
      <c r="CF41" s="735">
        <v>33</v>
      </c>
      <c r="CG41" s="736" t="s">
        <v>635</v>
      </c>
      <c r="CH41" s="747">
        <f>I30</f>
        <v>5.2058916805728925E-2</v>
      </c>
      <c r="CI41" s="736" t="s">
        <v>606</v>
      </c>
      <c r="CJ41" s="738" t="s">
        <v>636</v>
      </c>
      <c r="CK41" s="736" t="s">
        <v>597</v>
      </c>
      <c r="CL41" s="731"/>
      <c r="CM41" s="731"/>
      <c r="CN41" s="731"/>
      <c r="CO41" s="731"/>
      <c r="CP41" s="731"/>
      <c r="CQ41" s="731"/>
      <c r="CR41" s="731"/>
      <c r="CS41" s="731"/>
      <c r="CT41" s="731"/>
      <c r="CU41" s="731"/>
      <c r="CV41" s="731"/>
      <c r="CW41" s="731"/>
      <c r="CX41" s="731"/>
      <c r="CY41" s="731"/>
      <c r="CZ41" s="731"/>
      <c r="DA41" s="731"/>
      <c r="DB41" s="731"/>
      <c r="DC41" s="731"/>
      <c r="DD41" s="731"/>
      <c r="DE41" s="731"/>
    </row>
    <row r="42" spans="1:109" ht="13.5" thickBot="1" x14ac:dyDescent="0.25">
      <c r="A42" s="172"/>
      <c r="B42" s="834" t="s">
        <v>30</v>
      </c>
      <c r="C42" s="835"/>
      <c r="D42" s="835"/>
      <c r="E42" s="835"/>
      <c r="F42" s="835"/>
      <c r="G42" s="835"/>
      <c r="H42" s="835"/>
      <c r="I42" s="835"/>
      <c r="J42" s="835"/>
      <c r="K42" s="835"/>
      <c r="L42" s="803"/>
      <c r="AE42" s="98" t="s">
        <v>217</v>
      </c>
      <c r="AF42" s="285">
        <f t="shared" si="45"/>
        <v>0</v>
      </c>
      <c r="AG42" s="285">
        <f t="shared" si="45"/>
        <v>0</v>
      </c>
      <c r="AH42" s="145">
        <f t="shared" si="46"/>
        <v>0</v>
      </c>
      <c r="AI42" s="285">
        <f t="shared" si="47"/>
        <v>0</v>
      </c>
      <c r="AJ42" s="285">
        <f t="shared" si="47"/>
        <v>0</v>
      </c>
      <c r="AK42" s="285">
        <f t="shared" si="47"/>
        <v>0</v>
      </c>
      <c r="AL42" s="285">
        <f t="shared" si="47"/>
        <v>0</v>
      </c>
      <c r="AM42" s="123" t="s">
        <v>67</v>
      </c>
      <c r="AN42" s="123">
        <f t="shared" si="48"/>
        <v>0</v>
      </c>
      <c r="AO42" s="147">
        <f t="shared" si="48"/>
        <v>1</v>
      </c>
      <c r="AP42" s="285">
        <f t="shared" si="48"/>
        <v>0</v>
      </c>
      <c r="AQ42" s="124">
        <f t="shared" si="48"/>
        <v>0</v>
      </c>
      <c r="AR42" s="142">
        <f t="shared" si="48"/>
        <v>0</v>
      </c>
      <c r="AS42" s="106">
        <f t="shared" si="48"/>
        <v>0</v>
      </c>
      <c r="AT42" s="125">
        <f t="shared" si="48"/>
        <v>0</v>
      </c>
      <c r="AU42" s="125">
        <f t="shared" si="48"/>
        <v>0</v>
      </c>
      <c r="AV42" s="125" t="str">
        <f t="shared" si="49"/>
        <v>0</v>
      </c>
      <c r="AW42" s="119">
        <f t="shared" si="50"/>
        <v>0</v>
      </c>
      <c r="AX42" s="285">
        <f t="shared" si="51"/>
        <v>0</v>
      </c>
      <c r="AY42" s="126" t="str">
        <f t="shared" si="52"/>
        <v>0.00</v>
      </c>
      <c r="AZ42" s="143">
        <f t="shared" si="53"/>
        <v>0</v>
      </c>
      <c r="BA42" s="165" t="str">
        <f t="shared" si="54"/>
        <v>0.00</v>
      </c>
      <c r="BB42" s="153" t="str">
        <f t="shared" si="55"/>
        <v>0.00%</v>
      </c>
      <c r="BC42" s="153">
        <f t="shared" si="56"/>
        <v>0</v>
      </c>
      <c r="BD42" s="127" t="str">
        <f t="shared" si="57"/>
        <v>0.00%</v>
      </c>
      <c r="BE42" s="218" t="s">
        <v>217</v>
      </c>
      <c r="BH42" s="845" t="s">
        <v>375</v>
      </c>
      <c r="BI42" s="846"/>
      <c r="BJ42" s="847"/>
      <c r="BK42" s="693"/>
      <c r="BL42" s="698" t="s">
        <v>67</v>
      </c>
      <c r="BN42" s="201"/>
      <c r="CF42" s="739">
        <v>34</v>
      </c>
      <c r="CG42" s="740" t="s">
        <v>637</v>
      </c>
      <c r="CH42" s="744">
        <f>H31</f>
        <v>57978444.443468049</v>
      </c>
      <c r="CI42" s="740" t="s">
        <v>606</v>
      </c>
      <c r="CJ42" s="742" t="s">
        <v>638</v>
      </c>
      <c r="CK42" s="740" t="s">
        <v>571</v>
      </c>
      <c r="CL42" s="731"/>
      <c r="CM42" s="731"/>
      <c r="CN42" s="731"/>
      <c r="CO42" s="731"/>
      <c r="CP42" s="731"/>
      <c r="CQ42" s="731"/>
      <c r="CR42" s="731"/>
      <c r="CS42" s="731"/>
      <c r="CT42" s="731"/>
      <c r="CU42" s="731"/>
      <c r="CV42" s="731"/>
      <c r="CW42" s="731"/>
      <c r="CX42" s="731"/>
      <c r="CY42" s="731"/>
      <c r="CZ42" s="731"/>
      <c r="DA42" s="731"/>
      <c r="DB42" s="731"/>
      <c r="DC42" s="731"/>
      <c r="DD42" s="731"/>
      <c r="DE42" s="731"/>
    </row>
    <row r="43" spans="1:109" ht="33.75" x14ac:dyDescent="0.2">
      <c r="A43" s="172"/>
      <c r="B43" s="207" t="s">
        <v>31</v>
      </c>
      <c r="C43" s="208" t="s">
        <v>32</v>
      </c>
      <c r="D43" s="208" t="s">
        <v>33</v>
      </c>
      <c r="E43" s="208" t="s">
        <v>253</v>
      </c>
      <c r="F43" s="208" t="s">
        <v>224</v>
      </c>
      <c r="G43" s="208" t="s">
        <v>225</v>
      </c>
      <c r="H43" s="208" t="s">
        <v>226</v>
      </c>
      <c r="I43" s="836" t="s">
        <v>254</v>
      </c>
      <c r="J43" s="837"/>
      <c r="K43" s="208" t="s">
        <v>34</v>
      </c>
      <c r="L43" s="284" t="s">
        <v>35</v>
      </c>
      <c r="AE43" s="83" t="s">
        <v>218</v>
      </c>
      <c r="AF43" s="105">
        <f t="shared" si="45"/>
        <v>0</v>
      </c>
      <c r="AG43" s="105">
        <f t="shared" si="45"/>
        <v>0</v>
      </c>
      <c r="AH43" s="146">
        <f t="shared" si="46"/>
        <v>0</v>
      </c>
      <c r="AI43" s="105">
        <f t="shared" si="47"/>
        <v>0</v>
      </c>
      <c r="AJ43" s="105">
        <f t="shared" si="47"/>
        <v>0</v>
      </c>
      <c r="AK43" s="105">
        <f t="shared" si="47"/>
        <v>0</v>
      </c>
      <c r="AL43" s="105">
        <f t="shared" si="47"/>
        <v>0</v>
      </c>
      <c r="AM43" s="128" t="s">
        <v>67</v>
      </c>
      <c r="AN43" s="128">
        <f t="shared" si="48"/>
        <v>0</v>
      </c>
      <c r="AO43" s="148">
        <f t="shared" si="48"/>
        <v>1</v>
      </c>
      <c r="AP43" s="105">
        <f t="shared" si="48"/>
        <v>0</v>
      </c>
      <c r="AQ43" s="124">
        <f t="shared" si="48"/>
        <v>0</v>
      </c>
      <c r="AR43" s="152">
        <f t="shared" si="48"/>
        <v>0</v>
      </c>
      <c r="AS43" s="150">
        <f t="shared" si="48"/>
        <v>0</v>
      </c>
      <c r="AT43" s="129">
        <f t="shared" si="48"/>
        <v>0</v>
      </c>
      <c r="AU43" s="129">
        <f t="shared" si="48"/>
        <v>0</v>
      </c>
      <c r="AV43" s="129" t="str">
        <f t="shared" si="49"/>
        <v>0</v>
      </c>
      <c r="AW43" s="120">
        <f t="shared" si="50"/>
        <v>0</v>
      </c>
      <c r="AX43" s="105">
        <f t="shared" si="51"/>
        <v>0</v>
      </c>
      <c r="AY43" s="141" t="str">
        <f t="shared" si="52"/>
        <v>0.00</v>
      </c>
      <c r="AZ43" s="141">
        <f t="shared" si="53"/>
        <v>0</v>
      </c>
      <c r="BA43" s="166" t="str">
        <f t="shared" si="54"/>
        <v>0.00</v>
      </c>
      <c r="BB43" s="154" t="str">
        <f t="shared" si="55"/>
        <v>0.00%</v>
      </c>
      <c r="BC43" s="154">
        <f t="shared" si="56"/>
        <v>0</v>
      </c>
      <c r="BD43" s="130" t="str">
        <f t="shared" si="57"/>
        <v>0.00%</v>
      </c>
      <c r="BE43" s="218" t="s">
        <v>218</v>
      </c>
      <c r="BH43" s="666" t="s">
        <v>377</v>
      </c>
      <c r="BI43" s="694" t="s">
        <v>376</v>
      </c>
      <c r="BJ43" s="695" t="s">
        <v>378</v>
      </c>
      <c r="BK43" s="692"/>
      <c r="BL43" s="696" t="s">
        <v>548</v>
      </c>
      <c r="CF43" s="735">
        <v>35</v>
      </c>
      <c r="CG43" s="736" t="s">
        <v>639</v>
      </c>
      <c r="CH43" s="747">
        <f>I31</f>
        <v>0.26265484821168167</v>
      </c>
      <c r="CI43" s="736" t="s">
        <v>606</v>
      </c>
      <c r="CJ43" s="738" t="s">
        <v>640</v>
      </c>
      <c r="CK43" s="736" t="s">
        <v>597</v>
      </c>
      <c r="CL43" s="731"/>
      <c r="CM43" s="731"/>
      <c r="CN43" s="731"/>
      <c r="CO43" s="731"/>
      <c r="CP43" s="731"/>
      <c r="CQ43" s="731"/>
      <c r="CR43" s="731"/>
      <c r="CS43" s="731"/>
      <c r="CT43" s="731"/>
      <c r="CU43" s="731"/>
      <c r="CV43" s="731"/>
      <c r="CW43" s="731"/>
      <c r="CX43" s="731"/>
      <c r="CY43" s="731"/>
      <c r="CZ43" s="731"/>
      <c r="DA43" s="731"/>
      <c r="DB43" s="731"/>
      <c r="DC43" s="731"/>
      <c r="DD43" s="731"/>
      <c r="DE43" s="731"/>
    </row>
    <row r="44" spans="1:109" ht="22.5" x14ac:dyDescent="0.2">
      <c r="A44" s="172"/>
      <c r="B44" s="268">
        <v>1</v>
      </c>
      <c r="C44" s="251">
        <v>3000</v>
      </c>
      <c r="D44" s="252">
        <v>16000</v>
      </c>
      <c r="E44" s="269">
        <f>D44*C44</f>
        <v>48000000</v>
      </c>
      <c r="F44" s="269">
        <f>(E44*$F$50)*$F$51</f>
        <v>720000</v>
      </c>
      <c r="G44" s="269">
        <f>(E44*$G$50)*$G$51</f>
        <v>360000</v>
      </c>
      <c r="H44" s="269">
        <f>(G44*$H$50)*$H$51</f>
        <v>54000</v>
      </c>
      <c r="I44" s="832">
        <f>SUM(E44:H44)</f>
        <v>49134000</v>
      </c>
      <c r="J44" s="833"/>
      <c r="K44" s="253">
        <v>2.0499999999999998</v>
      </c>
      <c r="L44" s="270">
        <f>K44*C44</f>
        <v>6149.9999999999991</v>
      </c>
      <c r="M44" s="173" t="s">
        <v>221</v>
      </c>
      <c r="AE44" s="98" t="s">
        <v>314</v>
      </c>
      <c r="AF44" s="285">
        <f t="shared" si="45"/>
        <v>0</v>
      </c>
      <c r="AG44" s="285">
        <f t="shared" si="45"/>
        <v>0</v>
      </c>
      <c r="AH44" s="145">
        <f t="shared" si="46"/>
        <v>0</v>
      </c>
      <c r="AI44" s="285">
        <f t="shared" si="47"/>
        <v>0</v>
      </c>
      <c r="AJ44" s="285">
        <f t="shared" si="47"/>
        <v>0</v>
      </c>
      <c r="AK44" s="285">
        <f t="shared" si="47"/>
        <v>0</v>
      </c>
      <c r="AL44" s="285">
        <f t="shared" si="47"/>
        <v>0</v>
      </c>
      <c r="AM44" s="123" t="s">
        <v>67</v>
      </c>
      <c r="AN44" s="123">
        <f t="shared" si="48"/>
        <v>0</v>
      </c>
      <c r="AO44" s="147">
        <f t="shared" si="48"/>
        <v>1</v>
      </c>
      <c r="AP44" s="285">
        <f t="shared" si="48"/>
        <v>0</v>
      </c>
      <c r="AQ44" s="124">
        <f t="shared" si="48"/>
        <v>0</v>
      </c>
      <c r="AR44" s="142">
        <f t="shared" si="48"/>
        <v>0</v>
      </c>
      <c r="AS44" s="106">
        <f t="shared" si="48"/>
        <v>0</v>
      </c>
      <c r="AT44" s="125">
        <f t="shared" si="48"/>
        <v>0</v>
      </c>
      <c r="AU44" s="125">
        <f t="shared" si="48"/>
        <v>0</v>
      </c>
      <c r="AV44" s="125" t="str">
        <f t="shared" si="49"/>
        <v>0</v>
      </c>
      <c r="AW44" s="119">
        <f t="shared" si="50"/>
        <v>0</v>
      </c>
      <c r="AX44" s="285">
        <f t="shared" si="51"/>
        <v>0</v>
      </c>
      <c r="AY44" s="126" t="str">
        <f t="shared" si="52"/>
        <v>0.00</v>
      </c>
      <c r="AZ44" s="143">
        <f t="shared" si="53"/>
        <v>0</v>
      </c>
      <c r="BA44" s="165" t="str">
        <f t="shared" si="54"/>
        <v>0.00</v>
      </c>
      <c r="BB44" s="153" t="str">
        <f t="shared" si="55"/>
        <v>0.00%</v>
      </c>
      <c r="BC44" s="153">
        <f t="shared" si="56"/>
        <v>0</v>
      </c>
      <c r="BD44" s="127" t="str">
        <f t="shared" si="57"/>
        <v>0.00%</v>
      </c>
      <c r="BE44" s="218" t="s">
        <v>219</v>
      </c>
      <c r="BH44" s="301" t="s">
        <v>418</v>
      </c>
      <c r="BI44" s="310">
        <f>H19/$H$24</f>
        <v>0.31823749926205797</v>
      </c>
      <c r="BJ44" s="689">
        <f>BI44*$C$25</f>
        <v>27340808.50252055</v>
      </c>
      <c r="BK44" s="692"/>
      <c r="BL44" s="671">
        <f>BJ44+H19</f>
        <v>61840808.502520546</v>
      </c>
      <c r="CF44" s="739">
        <v>36</v>
      </c>
      <c r="CG44" s="740" t="s">
        <v>641</v>
      </c>
      <c r="CH44" s="744">
        <f>H33</f>
        <v>220740050.44346803</v>
      </c>
      <c r="CI44" s="740" t="s">
        <v>606</v>
      </c>
      <c r="CJ44" s="742" t="s">
        <v>642</v>
      </c>
      <c r="CK44" s="740" t="s">
        <v>571</v>
      </c>
      <c r="CL44" s="731"/>
      <c r="CM44" s="731"/>
      <c r="CN44" s="731"/>
      <c r="CO44" s="731"/>
      <c r="CP44" s="731"/>
      <c r="CQ44" s="731"/>
      <c r="CR44" s="731"/>
      <c r="CS44" s="731"/>
      <c r="CT44" s="731"/>
      <c r="CU44" s="731"/>
      <c r="CV44" s="731"/>
      <c r="CW44" s="731"/>
      <c r="CX44" s="731"/>
      <c r="CY44" s="731"/>
      <c r="CZ44" s="731"/>
      <c r="DA44" s="731"/>
      <c r="DB44" s="731"/>
      <c r="DC44" s="731"/>
      <c r="DD44" s="731"/>
      <c r="DE44" s="731"/>
    </row>
    <row r="45" spans="1:109" ht="22.5" x14ac:dyDescent="0.2">
      <c r="A45" s="172"/>
      <c r="B45" s="279">
        <v>2</v>
      </c>
      <c r="C45" s="251">
        <v>1876</v>
      </c>
      <c r="D45" s="252">
        <v>8000</v>
      </c>
      <c r="E45" s="271">
        <f>D45*C45</f>
        <v>15008000</v>
      </c>
      <c r="F45" s="271">
        <f>(E45*$F$50)*$F$51</f>
        <v>225120</v>
      </c>
      <c r="G45" s="271">
        <f>(E45*$G$50)*$G$51</f>
        <v>112560</v>
      </c>
      <c r="H45" s="271">
        <f>(G45*$H$50)*$H$51</f>
        <v>16884</v>
      </c>
      <c r="I45" s="830">
        <f>SUM(E45:H45)</f>
        <v>15362564</v>
      </c>
      <c r="J45" s="831"/>
      <c r="K45" s="253">
        <v>1.89</v>
      </c>
      <c r="L45" s="272">
        <f>K45*C45</f>
        <v>3545.64</v>
      </c>
      <c r="M45" s="173" t="s">
        <v>550</v>
      </c>
      <c r="AE45" s="83" t="s">
        <v>319</v>
      </c>
      <c r="AF45" s="105">
        <f t="shared" si="45"/>
        <v>0</v>
      </c>
      <c r="AG45" s="105">
        <f t="shared" si="45"/>
        <v>0</v>
      </c>
      <c r="AH45" s="146">
        <f t="shared" si="46"/>
        <v>0</v>
      </c>
      <c r="AI45" s="105">
        <f t="shared" si="47"/>
        <v>0</v>
      </c>
      <c r="AJ45" s="105">
        <f t="shared" si="47"/>
        <v>0</v>
      </c>
      <c r="AK45" s="105">
        <f t="shared" si="47"/>
        <v>0</v>
      </c>
      <c r="AL45" s="105">
        <f t="shared" si="47"/>
        <v>0</v>
      </c>
      <c r="AM45" s="128" t="s">
        <v>67</v>
      </c>
      <c r="AN45" s="128">
        <f t="shared" si="48"/>
        <v>1.7167728338399174E-9</v>
      </c>
      <c r="AO45" s="148">
        <f t="shared" si="48"/>
        <v>1</v>
      </c>
      <c r="AP45" s="105">
        <f t="shared" si="48"/>
        <v>1.5914983091349914E-2</v>
      </c>
      <c r="AQ45" s="124">
        <f t="shared" si="48"/>
        <v>0</v>
      </c>
      <c r="AR45" s="152">
        <f t="shared" si="48"/>
        <v>0</v>
      </c>
      <c r="AS45" s="150">
        <f t="shared" si="48"/>
        <v>3.8309197277410313E-2</v>
      </c>
      <c r="AT45" s="129">
        <f t="shared" si="48"/>
        <v>0</v>
      </c>
      <c r="AU45" s="129">
        <f t="shared" si="48"/>
        <v>0</v>
      </c>
      <c r="AV45" s="129" t="str">
        <f t="shared" si="49"/>
        <v>0</v>
      </c>
      <c r="AW45" s="120">
        <f t="shared" si="50"/>
        <v>0</v>
      </c>
      <c r="AX45" s="105">
        <f t="shared" si="51"/>
        <v>0</v>
      </c>
      <c r="AY45" s="141" t="str">
        <f t="shared" si="52"/>
        <v>0.00</v>
      </c>
      <c r="AZ45" s="141">
        <f t="shared" si="53"/>
        <v>0</v>
      </c>
      <c r="BA45" s="166" t="str">
        <f t="shared" si="54"/>
        <v>0.00</v>
      </c>
      <c r="BB45" s="154" t="str">
        <f t="shared" si="55"/>
        <v>0.00%</v>
      </c>
      <c r="BC45" s="154">
        <f t="shared" si="56"/>
        <v>0</v>
      </c>
      <c r="BD45" s="130" t="str">
        <f t="shared" si="57"/>
        <v>0.00%</v>
      </c>
      <c r="BE45" s="218" t="s">
        <v>277</v>
      </c>
      <c r="BH45" s="296" t="s">
        <v>419</v>
      </c>
      <c r="BI45" s="311">
        <f>H20/$H$24</f>
        <v>0</v>
      </c>
      <c r="BJ45" s="690">
        <f>BI45*$C$25</f>
        <v>0</v>
      </c>
      <c r="BK45" s="692"/>
      <c r="BL45" s="672">
        <f>BJ45+H20</f>
        <v>0</v>
      </c>
      <c r="CF45" s="734" t="s">
        <v>643</v>
      </c>
      <c r="CG45" s="734"/>
      <c r="CH45" s="734"/>
      <c r="CI45" s="734"/>
      <c r="CJ45" s="734"/>
      <c r="CK45" s="734"/>
      <c r="CL45" s="731"/>
      <c r="CM45" s="731"/>
      <c r="CN45" s="731"/>
      <c r="CO45" s="731"/>
      <c r="CP45" s="731"/>
      <c r="CQ45" s="731"/>
      <c r="CR45" s="731"/>
      <c r="CS45" s="731"/>
      <c r="CT45" s="731"/>
      <c r="CU45" s="731"/>
      <c r="CV45" s="731"/>
      <c r="CW45" s="731"/>
      <c r="CX45" s="731"/>
      <c r="CY45" s="731"/>
      <c r="CZ45" s="731"/>
      <c r="DA45" s="731"/>
      <c r="DB45" s="731"/>
      <c r="DC45" s="731"/>
      <c r="DD45" s="731"/>
      <c r="DE45" s="731"/>
    </row>
    <row r="46" spans="1:109" ht="22.5" x14ac:dyDescent="0.2">
      <c r="A46" s="172"/>
      <c r="B46" s="268">
        <v>3</v>
      </c>
      <c r="C46" s="251">
        <v>3340</v>
      </c>
      <c r="D46" s="252">
        <v>8000</v>
      </c>
      <c r="E46" s="269">
        <f>D46*C46</f>
        <v>26720000</v>
      </c>
      <c r="F46" s="269">
        <f>(E46*$F$50)*$F$51</f>
        <v>400800</v>
      </c>
      <c r="G46" s="269">
        <f>(E46*$G$50)*$G$51</f>
        <v>200400</v>
      </c>
      <c r="H46" s="269">
        <f>(G46*$H$50)*$H$51</f>
        <v>30060</v>
      </c>
      <c r="I46" s="832">
        <f>SUM(E46:H46)</f>
        <v>27351260</v>
      </c>
      <c r="J46" s="833"/>
      <c r="K46" s="253">
        <v>1.8</v>
      </c>
      <c r="L46" s="270">
        <f>K46*C46</f>
        <v>6012</v>
      </c>
      <c r="M46" s="173" t="s">
        <v>216</v>
      </c>
      <c r="AE46" s="98" t="s">
        <v>220</v>
      </c>
      <c r="AF46" s="285">
        <f t="shared" si="45"/>
        <v>0</v>
      </c>
      <c r="AG46" s="285">
        <f t="shared" si="45"/>
        <v>0</v>
      </c>
      <c r="AH46" s="145">
        <f t="shared" si="46"/>
        <v>0</v>
      </c>
      <c r="AI46" s="285">
        <f t="shared" si="47"/>
        <v>0</v>
      </c>
      <c r="AJ46" s="285">
        <f t="shared" si="47"/>
        <v>0</v>
      </c>
      <c r="AK46" s="285">
        <f t="shared" si="47"/>
        <v>0</v>
      </c>
      <c r="AL46" s="285">
        <f t="shared" si="47"/>
        <v>0</v>
      </c>
      <c r="AM46" s="123" t="s">
        <v>67</v>
      </c>
      <c r="AN46" s="123">
        <f t="shared" si="48"/>
        <v>1.7167728338399174E-9</v>
      </c>
      <c r="AO46" s="147">
        <f t="shared" si="48"/>
        <v>1</v>
      </c>
      <c r="AP46" s="285">
        <f t="shared" si="48"/>
        <v>1.5914983091349914E-2</v>
      </c>
      <c r="AQ46" s="124">
        <f t="shared" si="48"/>
        <v>0</v>
      </c>
      <c r="AR46" s="142">
        <f t="shared" si="48"/>
        <v>0</v>
      </c>
      <c r="AS46" s="106">
        <f t="shared" si="48"/>
        <v>3.8309197277410313E-2</v>
      </c>
      <c r="AT46" s="125">
        <f t="shared" si="48"/>
        <v>0</v>
      </c>
      <c r="AU46" s="125">
        <f t="shared" si="48"/>
        <v>0</v>
      </c>
      <c r="AV46" s="125" t="str">
        <f t="shared" si="49"/>
        <v>0</v>
      </c>
      <c r="AW46" s="119">
        <f t="shared" si="50"/>
        <v>0</v>
      </c>
      <c r="AX46" s="285">
        <f t="shared" si="51"/>
        <v>0</v>
      </c>
      <c r="AY46" s="126" t="str">
        <f t="shared" si="52"/>
        <v>0.00</v>
      </c>
      <c r="AZ46" s="143">
        <f t="shared" si="53"/>
        <v>0</v>
      </c>
      <c r="BA46" s="165" t="str">
        <f t="shared" si="54"/>
        <v>0.00</v>
      </c>
      <c r="BB46" s="153" t="str">
        <f t="shared" si="55"/>
        <v>0.00%</v>
      </c>
      <c r="BC46" s="153">
        <f t="shared" si="56"/>
        <v>0</v>
      </c>
      <c r="BD46" s="127" t="str">
        <f t="shared" si="57"/>
        <v>0.00%</v>
      </c>
      <c r="BE46" s="218" t="s">
        <v>220</v>
      </c>
      <c r="BH46" s="301" t="s">
        <v>15</v>
      </c>
      <c r="BI46" s="310">
        <f>H21/$H$24</f>
        <v>0.1023894562843143</v>
      </c>
      <c r="BJ46" s="689">
        <f>BI46*$C$25</f>
        <v>8796607.9529848732</v>
      </c>
      <c r="BK46" s="692"/>
      <c r="BL46" s="672">
        <f>BJ46+H21</f>
        <v>19896607.952984873</v>
      </c>
      <c r="CF46" s="735">
        <v>37</v>
      </c>
      <c r="CG46" s="736" t="s">
        <v>644</v>
      </c>
      <c r="CH46" s="745">
        <f>C49</f>
        <v>8216</v>
      </c>
      <c r="CI46" s="736" t="s">
        <v>645</v>
      </c>
      <c r="CJ46" s="738" t="s">
        <v>646</v>
      </c>
      <c r="CK46" s="736" t="s">
        <v>647</v>
      </c>
      <c r="CL46" s="731"/>
      <c r="CM46" s="731"/>
      <c r="CN46" s="731"/>
      <c r="CO46" s="731"/>
      <c r="CP46" s="731"/>
      <c r="CQ46" s="731"/>
      <c r="CR46" s="731"/>
      <c r="CS46" s="731"/>
      <c r="CT46" s="731"/>
      <c r="CU46" s="731"/>
      <c r="CV46" s="731"/>
      <c r="CW46" s="731"/>
      <c r="CX46" s="731"/>
      <c r="CY46" s="731"/>
      <c r="CZ46" s="731"/>
      <c r="DA46" s="731"/>
      <c r="DB46" s="731"/>
      <c r="DC46" s="731"/>
      <c r="DD46" s="731"/>
      <c r="DE46" s="731"/>
    </row>
    <row r="47" spans="1:109" ht="22.5" x14ac:dyDescent="0.2">
      <c r="A47" s="172"/>
      <c r="B47" s="279">
        <v>4</v>
      </c>
      <c r="C47" s="251"/>
      <c r="D47" s="252"/>
      <c r="E47" s="271">
        <f>D47*C47</f>
        <v>0</v>
      </c>
      <c r="F47" s="271">
        <f>(E47*$F$50)*$F$51</f>
        <v>0</v>
      </c>
      <c r="G47" s="271">
        <f>(E47*$G$50)*$G$51</f>
        <v>0</v>
      </c>
      <c r="H47" s="271">
        <f>(G47*$H$50)*$H$51</f>
        <v>0</v>
      </c>
      <c r="I47" s="830">
        <f>SUM(E47:H47)</f>
        <v>0</v>
      </c>
      <c r="J47" s="831"/>
      <c r="K47" s="253"/>
      <c r="L47" s="272">
        <f>K47*C47</f>
        <v>0</v>
      </c>
      <c r="AE47" s="83" t="s">
        <v>315</v>
      </c>
      <c r="AF47" s="105">
        <f t="shared" si="45"/>
        <v>49134000</v>
      </c>
      <c r="AG47" s="105">
        <f t="shared" si="45"/>
        <v>36899999.999999993</v>
      </c>
      <c r="AH47" s="146">
        <f t="shared" si="46"/>
        <v>1</v>
      </c>
      <c r="AI47" s="105">
        <f t="shared" si="47"/>
        <v>6162000</v>
      </c>
      <c r="AJ47" s="105">
        <f t="shared" si="47"/>
        <v>14176800</v>
      </c>
      <c r="AK47" s="105">
        <f t="shared" si="47"/>
        <v>2835360</v>
      </c>
      <c r="AL47" s="105">
        <f t="shared" si="47"/>
        <v>0</v>
      </c>
      <c r="AM47" s="128" t="s">
        <v>67</v>
      </c>
      <c r="AN47" s="128">
        <f t="shared" si="48"/>
        <v>0.53567315022616868</v>
      </c>
      <c r="AO47" s="148">
        <f t="shared" si="48"/>
        <v>1</v>
      </c>
      <c r="AP47" s="105">
        <f t="shared" si="48"/>
        <v>4250586.922724179</v>
      </c>
      <c r="AQ47" s="124">
        <f t="shared" si="48"/>
        <v>10291049.244606268</v>
      </c>
      <c r="AR47" s="152">
        <f t="shared" si="48"/>
        <v>4883185.7929099854</v>
      </c>
      <c r="AS47" s="150">
        <f t="shared" si="48"/>
        <v>11953362.718541056</v>
      </c>
      <c r="AT47" s="129">
        <f t="shared" si="48"/>
        <v>6405750</v>
      </c>
      <c r="AU47" s="129">
        <f t="shared" si="48"/>
        <v>146992094.65554255</v>
      </c>
      <c r="AV47" s="129">
        <f t="shared" si="49"/>
        <v>39413.048683919988</v>
      </c>
      <c r="AW47" s="120">
        <f t="shared" si="50"/>
        <v>0.63688643892716246</v>
      </c>
      <c r="AX47" s="105">
        <f t="shared" si="51"/>
        <v>234877499.99999997</v>
      </c>
      <c r="AY47" s="141">
        <f t="shared" si="52"/>
        <v>24638.46519328776</v>
      </c>
      <c r="AZ47" s="141">
        <f t="shared" si="53"/>
        <v>87885405.344457418</v>
      </c>
      <c r="BA47" s="166">
        <f t="shared" si="54"/>
        <v>0.9815481737464542</v>
      </c>
      <c r="BB47" s="154">
        <f t="shared" si="55"/>
        <v>0.37417549720368032</v>
      </c>
      <c r="BC47" s="154">
        <f t="shared" si="56"/>
        <v>1.0229555433912652</v>
      </c>
      <c r="BD47" s="130">
        <f t="shared" si="57"/>
        <v>0.62513472101283896</v>
      </c>
      <c r="BE47" s="218" t="s">
        <v>221</v>
      </c>
      <c r="BH47" s="296" t="s">
        <v>17</v>
      </c>
      <c r="BI47" s="311">
        <f>H22/$H$24</f>
        <v>0</v>
      </c>
      <c r="BJ47" s="690">
        <f>BI47*$C$25</f>
        <v>0</v>
      </c>
      <c r="BK47" s="692"/>
      <c r="BL47" s="672">
        <f>BJ47+H22</f>
        <v>0</v>
      </c>
      <c r="CF47" s="739">
        <v>38</v>
      </c>
      <c r="CG47" s="740" t="s">
        <v>648</v>
      </c>
      <c r="CH47" s="744">
        <f>D49</f>
        <v>10921.129503407985</v>
      </c>
      <c r="CI47" s="740" t="s">
        <v>645</v>
      </c>
      <c r="CJ47" s="742" t="s">
        <v>649</v>
      </c>
      <c r="CK47" s="740" t="s">
        <v>650</v>
      </c>
      <c r="CL47" s="731"/>
      <c r="CM47" s="731"/>
      <c r="CN47" s="731"/>
      <c r="CO47" s="731"/>
      <c r="CP47" s="731"/>
      <c r="CQ47" s="731"/>
      <c r="CR47" s="731"/>
      <c r="CS47" s="731"/>
      <c r="CT47" s="731"/>
      <c r="CU47" s="731"/>
      <c r="CV47" s="731"/>
      <c r="CW47" s="731"/>
      <c r="CX47" s="731"/>
      <c r="CY47" s="731"/>
      <c r="CZ47" s="731"/>
      <c r="DA47" s="731"/>
      <c r="DB47" s="731"/>
      <c r="DC47" s="731"/>
      <c r="DD47" s="731"/>
      <c r="DE47" s="731"/>
    </row>
    <row r="48" spans="1:109" ht="22.5" x14ac:dyDescent="0.2">
      <c r="A48" s="172"/>
      <c r="B48" s="268">
        <v>5</v>
      </c>
      <c r="C48" s="251"/>
      <c r="D48" s="252"/>
      <c r="E48" s="269">
        <f>D48*C48</f>
        <v>0</v>
      </c>
      <c r="F48" s="269">
        <f>(E48*$F$50)*$F$51</f>
        <v>0</v>
      </c>
      <c r="G48" s="269">
        <f>(E48*$G$50)*$G$51</f>
        <v>0</v>
      </c>
      <c r="H48" s="269">
        <f>(G48*$H$50)*$H$51</f>
        <v>0</v>
      </c>
      <c r="I48" s="832">
        <f>SUM(E48:H48)</f>
        <v>0</v>
      </c>
      <c r="J48" s="833"/>
      <c r="K48" s="253"/>
      <c r="L48" s="270">
        <f>K48*C48</f>
        <v>0</v>
      </c>
      <c r="AE48" s="98" t="s">
        <v>316</v>
      </c>
      <c r="AF48" s="285">
        <f t="shared" ref="AF48:AG49" si="58">SUM(AF12,AF30)</f>
        <v>0</v>
      </c>
      <c r="AG48" s="285">
        <f t="shared" si="58"/>
        <v>0</v>
      </c>
      <c r="AH48" s="145">
        <f t="shared" ref="AH48:AH49" si="59">AH12</f>
        <v>0</v>
      </c>
      <c r="AI48" s="285">
        <f t="shared" ref="AI48:AL49" si="60">SUM(AI12,AI30)</f>
        <v>0</v>
      </c>
      <c r="AJ48" s="285">
        <f t="shared" si="60"/>
        <v>0</v>
      </c>
      <c r="AK48" s="285">
        <f t="shared" si="60"/>
        <v>0</v>
      </c>
      <c r="AL48" s="285">
        <f t="shared" si="60"/>
        <v>0</v>
      </c>
      <c r="AM48" s="123" t="s">
        <v>67</v>
      </c>
      <c r="AN48" s="123">
        <f t="shared" ref="AN48:AR49" si="61">SUM(AN12,AN30)</f>
        <v>0</v>
      </c>
      <c r="AO48" s="147">
        <f t="shared" si="61"/>
        <v>1</v>
      </c>
      <c r="AP48" s="285">
        <f t="shared" si="61"/>
        <v>0</v>
      </c>
      <c r="AQ48" s="124">
        <f t="shared" si="61"/>
        <v>0</v>
      </c>
      <c r="AR48" s="142">
        <f t="shared" si="61"/>
        <v>0</v>
      </c>
      <c r="AS48" s="106">
        <f t="shared" ref="AS48:AS49" si="62">SUM(AS12,AS30)</f>
        <v>0</v>
      </c>
      <c r="AT48" s="125">
        <f t="shared" ref="AT48:AU49" si="63">SUM(AT12,AT30)</f>
        <v>0</v>
      </c>
      <c r="AU48" s="125">
        <f t="shared" si="63"/>
        <v>0</v>
      </c>
      <c r="AV48" s="125" t="str">
        <f t="shared" si="49"/>
        <v>0</v>
      </c>
      <c r="AW48" s="119">
        <f t="shared" ref="AW48:AW49" si="64">SUM(AW12,AW30)</f>
        <v>0</v>
      </c>
      <c r="AX48" s="285">
        <f t="shared" ref="AX48:AX49" si="65">SUM(AX30,AX12)</f>
        <v>0</v>
      </c>
      <c r="AY48" s="126" t="str">
        <f t="shared" si="52"/>
        <v>0.00</v>
      </c>
      <c r="AZ48" s="143">
        <f t="shared" ref="AZ48:AZ49" si="66">SUM(AZ30,AZ12)</f>
        <v>0</v>
      </c>
      <c r="BA48" s="165" t="str">
        <f t="shared" si="54"/>
        <v>0.00</v>
      </c>
      <c r="BB48" s="153" t="str">
        <f t="shared" si="55"/>
        <v>0.00%</v>
      </c>
      <c r="BC48" s="153">
        <f t="shared" si="56"/>
        <v>0</v>
      </c>
      <c r="BD48" s="127" t="str">
        <f t="shared" si="57"/>
        <v>0.00%</v>
      </c>
      <c r="BE48" s="218" t="s">
        <v>222</v>
      </c>
      <c r="BH48" s="301" t="s">
        <v>420</v>
      </c>
      <c r="BI48" s="310">
        <f>H23/$H$24</f>
        <v>0.57937304445362769</v>
      </c>
      <c r="BJ48" s="689">
        <f>BI48*$C$25</f>
        <v>49775804.223765641</v>
      </c>
      <c r="BK48" s="692"/>
      <c r="BL48" s="672">
        <f>BJ48+H23</f>
        <v>112585404.22376564</v>
      </c>
      <c r="CF48" s="735">
        <v>39</v>
      </c>
      <c r="CG48" s="736" t="s">
        <v>651</v>
      </c>
      <c r="CH48" s="743">
        <f>E49</f>
        <v>89728000</v>
      </c>
      <c r="CI48" s="736" t="s">
        <v>645</v>
      </c>
      <c r="CJ48" s="738" t="s">
        <v>652</v>
      </c>
      <c r="CK48" s="736" t="s">
        <v>571</v>
      </c>
      <c r="CL48" s="731"/>
      <c r="CM48" s="731"/>
      <c r="CN48" s="731"/>
      <c r="CO48" s="731"/>
      <c r="CP48" s="731"/>
      <c r="CQ48" s="731"/>
      <c r="CR48" s="731"/>
      <c r="CS48" s="731"/>
      <c r="CT48" s="731"/>
      <c r="CU48" s="731"/>
      <c r="CV48" s="731"/>
      <c r="CW48" s="731"/>
      <c r="CX48" s="731"/>
      <c r="CY48" s="731"/>
      <c r="CZ48" s="731"/>
      <c r="DA48" s="731"/>
      <c r="DB48" s="731"/>
      <c r="DC48" s="731"/>
      <c r="DD48" s="731"/>
      <c r="DE48" s="731"/>
    </row>
    <row r="49" spans="1:109" ht="23.25" thickBot="1" x14ac:dyDescent="0.25">
      <c r="B49" s="1" t="s">
        <v>36</v>
      </c>
      <c r="C49" s="2">
        <f>SUM(C44:C48)</f>
        <v>8216</v>
      </c>
      <c r="D49" s="216">
        <f>E49/C49</f>
        <v>10921.129503407985</v>
      </c>
      <c r="E49" s="216">
        <f>SUM(E44:E48)</f>
        <v>89728000</v>
      </c>
      <c r="F49" s="216">
        <f>SUM(F44:F48)</f>
        <v>1345920</v>
      </c>
      <c r="G49" s="216">
        <f>SUM(G44:G48)</f>
        <v>672960</v>
      </c>
      <c r="H49" s="216">
        <f>SUM(H44:H48)</f>
        <v>100944</v>
      </c>
      <c r="I49" s="814">
        <f>SUM(I44:I48)</f>
        <v>91847824</v>
      </c>
      <c r="J49" s="815"/>
      <c r="K49" s="3">
        <f>L49/C49</f>
        <v>1.9118354430379747</v>
      </c>
      <c r="L49" s="4">
        <f>SUM(L44:L48)</f>
        <v>15707.64</v>
      </c>
      <c r="AE49" s="83" t="s">
        <v>223</v>
      </c>
      <c r="AF49" s="105">
        <f t="shared" si="58"/>
        <v>0</v>
      </c>
      <c r="AG49" s="105">
        <f t="shared" si="58"/>
        <v>0</v>
      </c>
      <c r="AH49" s="146">
        <f t="shared" si="59"/>
        <v>0</v>
      </c>
      <c r="AI49" s="105">
        <f t="shared" si="60"/>
        <v>0</v>
      </c>
      <c r="AJ49" s="105">
        <f t="shared" si="60"/>
        <v>0</v>
      </c>
      <c r="AK49" s="105">
        <f t="shared" si="60"/>
        <v>0</v>
      </c>
      <c r="AL49" s="105">
        <f t="shared" si="60"/>
        <v>0</v>
      </c>
      <c r="AM49" s="128" t="s">
        <v>67</v>
      </c>
      <c r="AN49" s="128">
        <f t="shared" si="61"/>
        <v>0</v>
      </c>
      <c r="AO49" s="148">
        <f t="shared" si="61"/>
        <v>1</v>
      </c>
      <c r="AP49" s="105">
        <f t="shared" si="61"/>
        <v>0</v>
      </c>
      <c r="AQ49" s="124">
        <f t="shared" si="61"/>
        <v>0</v>
      </c>
      <c r="AR49" s="152">
        <f t="shared" si="61"/>
        <v>0</v>
      </c>
      <c r="AS49" s="150">
        <f t="shared" si="62"/>
        <v>0</v>
      </c>
      <c r="AT49" s="129">
        <f t="shared" si="63"/>
        <v>0</v>
      </c>
      <c r="AU49" s="129">
        <f t="shared" si="63"/>
        <v>0</v>
      </c>
      <c r="AV49" s="129" t="str">
        <f t="shared" si="49"/>
        <v>0</v>
      </c>
      <c r="AW49" s="120">
        <f t="shared" si="64"/>
        <v>0</v>
      </c>
      <c r="AX49" s="105">
        <f t="shared" si="65"/>
        <v>0</v>
      </c>
      <c r="AY49" s="141" t="str">
        <f t="shared" si="52"/>
        <v>0.00</v>
      </c>
      <c r="AZ49" s="141">
        <f t="shared" si="66"/>
        <v>0</v>
      </c>
      <c r="BA49" s="166" t="str">
        <f t="shared" si="54"/>
        <v>0.00</v>
      </c>
      <c r="BB49" s="154" t="str">
        <f t="shared" si="55"/>
        <v>0.00%</v>
      </c>
      <c r="BC49" s="154">
        <f t="shared" si="56"/>
        <v>0</v>
      </c>
      <c r="BD49" s="130" t="str">
        <f t="shared" si="57"/>
        <v>0.00%</v>
      </c>
      <c r="BE49" s="218" t="s">
        <v>223</v>
      </c>
      <c r="BH49" s="312" t="s">
        <v>67</v>
      </c>
      <c r="BI49" s="313" t="b">
        <f>SUM(BI44:BI48)=100%</f>
        <v>1</v>
      </c>
      <c r="BJ49" s="691" t="b">
        <f>SUM(BJ44:BJ48)=C25</f>
        <v>1</v>
      </c>
      <c r="BK49" s="693"/>
      <c r="BL49" s="673">
        <f>SUM(BL44:BL48)</f>
        <v>194322820.67927104</v>
      </c>
      <c r="CF49" s="739">
        <v>40</v>
      </c>
      <c r="CG49" s="740" t="s">
        <v>653</v>
      </c>
      <c r="CH49" s="744">
        <f>F49</f>
        <v>1345920</v>
      </c>
      <c r="CI49" s="740" t="s">
        <v>645</v>
      </c>
      <c r="CJ49" s="742" t="s">
        <v>654</v>
      </c>
      <c r="CK49" s="740" t="s">
        <v>571</v>
      </c>
      <c r="CL49" s="731"/>
      <c r="CM49" s="731"/>
      <c r="CN49" s="731"/>
      <c r="CO49" s="731"/>
      <c r="CP49" s="731"/>
      <c r="CQ49" s="731"/>
      <c r="CR49" s="731"/>
      <c r="CS49" s="731"/>
      <c r="CT49" s="731"/>
      <c r="CU49" s="731"/>
      <c r="CV49" s="731"/>
      <c r="CW49" s="731"/>
      <c r="CX49" s="731"/>
      <c r="CY49" s="731"/>
      <c r="CZ49" s="731"/>
      <c r="DA49" s="731"/>
      <c r="DB49" s="731"/>
      <c r="DC49" s="731"/>
      <c r="DD49" s="731"/>
      <c r="DE49" s="731"/>
    </row>
    <row r="50" spans="1:109" ht="13.5" thickBot="1" x14ac:dyDescent="0.25">
      <c r="A50" s="172"/>
      <c r="B50" s="172"/>
      <c r="C50" s="172"/>
      <c r="D50" s="172"/>
      <c r="E50" s="172"/>
      <c r="F50" s="5">
        <v>0.05</v>
      </c>
      <c r="G50" s="6">
        <v>2.5000000000000001E-2</v>
      </c>
      <c r="H50" s="7">
        <v>0.15</v>
      </c>
      <c r="I50" s="172"/>
      <c r="J50" s="172"/>
      <c r="L50" s="172"/>
      <c r="U50" s="97"/>
      <c r="AE50" s="84" t="s">
        <v>317</v>
      </c>
      <c r="AF50" s="108">
        <f t="shared" ref="AF50:AL50" si="67">SUM(AF40:AF49)</f>
        <v>122769918.75975412</v>
      </c>
      <c r="AG50" s="108">
        <f t="shared" si="67"/>
        <v>57926807.999999993</v>
      </c>
      <c r="AH50" s="144">
        <f t="shared" si="67"/>
        <v>1</v>
      </c>
      <c r="AI50" s="108">
        <f t="shared" si="67"/>
        <v>6162000</v>
      </c>
      <c r="AJ50" s="108">
        <f t="shared" si="67"/>
        <v>14176800</v>
      </c>
      <c r="AK50" s="108">
        <f t="shared" si="67"/>
        <v>2835360</v>
      </c>
      <c r="AL50" s="108">
        <f t="shared" si="67"/>
        <v>0</v>
      </c>
      <c r="AM50" s="140" t="s">
        <v>67</v>
      </c>
      <c r="AN50" s="144">
        <f>SUM(AN40:AN49)</f>
        <v>1.0000000041693053</v>
      </c>
      <c r="AO50" s="108" t="s">
        <v>67</v>
      </c>
      <c r="AP50" s="809">
        <f>SUM(AP40:AQ49)</f>
        <v>19772336.634233709</v>
      </c>
      <c r="AQ50" s="809"/>
      <c r="AR50" s="287">
        <f>SUM(AR40:AR49)</f>
        <v>7141903.2737480383</v>
      </c>
      <c r="AS50" s="287">
        <f>SUM(AS40:AS49)</f>
        <v>22314657.293036621</v>
      </c>
      <c r="AT50" s="132">
        <f>SUM(AT40:AT49)</f>
        <v>6529315.5539999995</v>
      </c>
      <c r="AU50" s="132">
        <f>SUM(AU40:AU49)</f>
        <v>208398844.78658199</v>
      </c>
      <c r="AV50" s="133">
        <f>AU50/F76</f>
        <v>21006.266714799443</v>
      </c>
      <c r="AW50" s="134">
        <f>SUM(AW40:AW49)</f>
        <v>0.91451247214551667</v>
      </c>
      <c r="AX50" s="108">
        <f>SUM(AX40:AX49)</f>
        <v>313182586.6767391</v>
      </c>
      <c r="AY50" s="135">
        <f>AZ50/F76</f>
        <v>5876.2217387457067</v>
      </c>
      <c r="AZ50" s="136">
        <f>SUM(AZ40:AZ49)</f>
        <v>58296785.368417963</v>
      </c>
      <c r="BA50" s="136" t="s">
        <v>67</v>
      </c>
      <c r="BB50" s="155">
        <f t="shared" si="55"/>
        <v>0.18614312496432237</v>
      </c>
      <c r="BC50" s="155" t="s">
        <v>67</v>
      </c>
      <c r="BD50" s="137">
        <f>IFERROR(AZ50/AU50, "0.00%")</f>
        <v>0.2797366052010451</v>
      </c>
      <c r="CF50" s="735">
        <v>41</v>
      </c>
      <c r="CG50" s="736" t="s">
        <v>655</v>
      </c>
      <c r="CH50" s="743">
        <f>G49</f>
        <v>672960</v>
      </c>
      <c r="CI50" s="736" t="s">
        <v>645</v>
      </c>
      <c r="CJ50" s="738" t="s">
        <v>656</v>
      </c>
      <c r="CK50" s="736" t="s">
        <v>571</v>
      </c>
      <c r="CL50" s="731"/>
      <c r="CM50" s="731"/>
      <c r="CN50" s="731"/>
      <c r="CO50" s="731"/>
      <c r="CP50" s="731"/>
      <c r="CQ50" s="731"/>
      <c r="CR50" s="731"/>
      <c r="CS50" s="731"/>
      <c r="CT50" s="731"/>
      <c r="CU50" s="731"/>
      <c r="CV50" s="731"/>
      <c r="CW50" s="731"/>
      <c r="CX50" s="731"/>
      <c r="CY50" s="731"/>
      <c r="CZ50" s="731"/>
      <c r="DA50" s="731"/>
      <c r="DB50" s="731"/>
      <c r="DC50" s="731"/>
      <c r="DD50" s="731"/>
      <c r="DE50" s="731"/>
    </row>
    <row r="51" spans="1:109" ht="13.5" thickBot="1" x14ac:dyDescent="0.25">
      <c r="A51" s="172"/>
      <c r="B51" s="172"/>
      <c r="C51" s="172"/>
      <c r="D51" s="172"/>
      <c r="E51" s="172"/>
      <c r="F51" s="8">
        <v>0.3</v>
      </c>
      <c r="G51" s="9">
        <f>F51</f>
        <v>0.3</v>
      </c>
      <c r="H51" s="9">
        <v>1</v>
      </c>
      <c r="I51" s="172"/>
      <c r="J51" s="172"/>
      <c r="K51" s="172"/>
      <c r="L51" s="172"/>
      <c r="U51" s="97"/>
      <c r="AE51" s="218"/>
      <c r="AF51" s="172" t="b">
        <f>AF50=I49</f>
        <v>0</v>
      </c>
      <c r="AG51" s="172" t="b">
        <f>AG50=SUM(J61:J71)</f>
        <v>1</v>
      </c>
      <c r="AH51" s="172" t="b">
        <f>AH50=100%</f>
        <v>1</v>
      </c>
      <c r="AI51" s="172" t="b">
        <f>AI50=J73</f>
        <v>1</v>
      </c>
      <c r="AJ51" s="172" t="b">
        <f>AJ50=SUM(J74:J75)</f>
        <v>1</v>
      </c>
      <c r="AK51" s="172" t="b">
        <f>AK50=C87</f>
        <v>1</v>
      </c>
      <c r="AL51" s="172" t="b">
        <f>AL50=J71</f>
        <v>1</v>
      </c>
      <c r="AM51" s="172" t="b">
        <f>AM50=AM50</f>
        <v>1</v>
      </c>
      <c r="AN51" s="172" t="b">
        <f>ABS(AN50 - 1) &lt;= 0.0001</f>
        <v>1</v>
      </c>
      <c r="AO51" s="172" t="b">
        <f>AO50=AO50</f>
        <v>1</v>
      </c>
      <c r="AP51" s="808" t="b">
        <f>ABS(AP50 - (C102 - C87)) &lt;= 0.9</f>
        <v>0</v>
      </c>
      <c r="AQ51" s="808"/>
      <c r="AR51" s="172" t="b">
        <f>AR50=C119</f>
        <v>1</v>
      </c>
      <c r="AS51" s="172" t="b">
        <f>ABS(AS50 - C107) &lt;= 0.9</f>
        <v>1</v>
      </c>
      <c r="AT51" s="172" t="b">
        <f>AT50=C24</f>
        <v>1</v>
      </c>
      <c r="AU51" s="172" t="b">
        <f>ABS(AU50 - (C23 + C24)) &lt;= 0.9</f>
        <v>0</v>
      </c>
      <c r="AV51" s="172" t="b">
        <f>AV50=AV50</f>
        <v>1</v>
      </c>
      <c r="AW51" s="172" t="b">
        <f>ABS(AW50 - 1) &lt;= 0.0001</f>
        <v>0</v>
      </c>
      <c r="AX51" s="172" t="b">
        <f>AX50=C17</f>
        <v>1</v>
      </c>
      <c r="AY51" s="172" t="b">
        <f>AY50=AY50</f>
        <v>1</v>
      </c>
      <c r="AZ51" s="172" t="b">
        <f>ABS(AZ50 - C25) &lt;= 0.9</f>
        <v>0</v>
      </c>
      <c r="BA51" s="172" t="b">
        <f>BA50=BA50</f>
        <v>1</v>
      </c>
      <c r="BB51" s="172" t="b">
        <f>BB50=BB50</f>
        <v>1</v>
      </c>
      <c r="BC51" s="172" t="b">
        <f>BC50=BC50</f>
        <v>1</v>
      </c>
      <c r="BD51" s="172" t="b">
        <f>BD50=BD50</f>
        <v>1</v>
      </c>
      <c r="BE51" s="172"/>
      <c r="CF51" s="739">
        <v>42</v>
      </c>
      <c r="CG51" s="740" t="s">
        <v>657</v>
      </c>
      <c r="CH51" s="744">
        <f>H49</f>
        <v>100944</v>
      </c>
      <c r="CI51" s="740" t="s">
        <v>645</v>
      </c>
      <c r="CJ51" s="742" t="s">
        <v>658</v>
      </c>
      <c r="CK51" s="740" t="s">
        <v>571</v>
      </c>
      <c r="CL51" s="731"/>
      <c r="CM51" s="731"/>
      <c r="CN51" s="731"/>
      <c r="CO51" s="731"/>
      <c r="CP51" s="731"/>
      <c r="CQ51" s="731"/>
      <c r="CR51" s="731"/>
      <c r="CS51" s="731"/>
      <c r="CT51" s="731"/>
      <c r="CU51" s="731"/>
      <c r="CV51" s="731"/>
      <c r="CW51" s="731"/>
      <c r="CX51" s="731"/>
      <c r="CY51" s="731"/>
      <c r="CZ51" s="731"/>
      <c r="DA51" s="731"/>
      <c r="DB51" s="731"/>
      <c r="DC51" s="731"/>
      <c r="DD51" s="731"/>
      <c r="DE51" s="731"/>
    </row>
    <row r="52" spans="1:109" ht="12.75" x14ac:dyDescent="0.2">
      <c r="A52" s="172"/>
      <c r="C52" s="190"/>
      <c r="CF52" s="735">
        <v>43</v>
      </c>
      <c r="CG52" s="736" t="s">
        <v>659</v>
      </c>
      <c r="CH52" s="743">
        <f>I49</f>
        <v>91847824</v>
      </c>
      <c r="CI52" s="736" t="s">
        <v>645</v>
      </c>
      <c r="CJ52" s="738" t="s">
        <v>660</v>
      </c>
      <c r="CK52" s="736" t="s">
        <v>571</v>
      </c>
      <c r="CL52" s="731"/>
      <c r="CM52" s="731"/>
      <c r="CN52" s="731"/>
      <c r="CO52" s="731"/>
      <c r="CP52" s="731"/>
      <c r="CQ52" s="731"/>
      <c r="CR52" s="731"/>
      <c r="CS52" s="731"/>
      <c r="CT52" s="731"/>
      <c r="CU52" s="731"/>
      <c r="CV52" s="731"/>
      <c r="CW52" s="731"/>
      <c r="CX52" s="731"/>
      <c r="CY52" s="731"/>
      <c r="CZ52" s="731"/>
      <c r="DA52" s="731"/>
      <c r="DB52" s="731"/>
      <c r="DC52" s="731"/>
      <c r="DD52" s="731"/>
      <c r="DE52" s="731"/>
    </row>
    <row r="53" spans="1:109" ht="12.75" x14ac:dyDescent="0.2">
      <c r="A53" s="172"/>
      <c r="D53" s="190"/>
      <c r="U53" s="97"/>
      <c r="CF53" s="739">
        <v>44</v>
      </c>
      <c r="CG53" s="740" t="s">
        <v>661</v>
      </c>
      <c r="CH53" s="748">
        <f>K49</f>
        <v>1.9118354430379747</v>
      </c>
      <c r="CI53" s="740" t="s">
        <v>645</v>
      </c>
      <c r="CJ53" s="742" t="s">
        <v>662</v>
      </c>
      <c r="CK53" s="740" t="s">
        <v>663</v>
      </c>
      <c r="CL53" s="731"/>
      <c r="CM53" s="731"/>
      <c r="CN53" s="731"/>
      <c r="CO53" s="731"/>
      <c r="CP53" s="731"/>
      <c r="CQ53" s="731"/>
      <c r="CR53" s="731"/>
      <c r="CS53" s="731"/>
      <c r="CT53" s="731"/>
      <c r="CU53" s="731"/>
      <c r="CV53" s="731"/>
      <c r="CW53" s="731"/>
      <c r="CX53" s="731"/>
      <c r="CY53" s="731"/>
      <c r="CZ53" s="731"/>
      <c r="DA53" s="731"/>
      <c r="DB53" s="731"/>
      <c r="DC53" s="731"/>
      <c r="DD53" s="731"/>
      <c r="DE53" s="731"/>
    </row>
    <row r="54" spans="1:109" ht="12.75" x14ac:dyDescent="0.2">
      <c r="A54" s="172"/>
      <c r="AN54" s="385"/>
      <c r="CF54" s="735">
        <v>45</v>
      </c>
      <c r="CG54" s="736" t="s">
        <v>664</v>
      </c>
      <c r="CH54" s="745">
        <f>L49</f>
        <v>15707.64</v>
      </c>
      <c r="CI54" s="736" t="s">
        <v>645</v>
      </c>
      <c r="CJ54" s="738" t="s">
        <v>665</v>
      </c>
      <c r="CK54" s="736" t="s">
        <v>647</v>
      </c>
      <c r="CL54" s="731"/>
      <c r="CM54" s="731"/>
      <c r="CN54" s="731"/>
      <c r="CO54" s="731"/>
      <c r="CP54" s="731"/>
      <c r="CQ54" s="731"/>
      <c r="CR54" s="731"/>
      <c r="CS54" s="731"/>
      <c r="CT54" s="731"/>
      <c r="CU54" s="731"/>
      <c r="CV54" s="731"/>
      <c r="CW54" s="731"/>
      <c r="CX54" s="731"/>
      <c r="CY54" s="731"/>
      <c r="CZ54" s="731"/>
      <c r="DA54" s="731"/>
      <c r="DB54" s="731"/>
      <c r="DC54" s="731"/>
      <c r="DD54" s="731"/>
      <c r="DE54" s="731"/>
    </row>
    <row r="55" spans="1:109" ht="15.75" thickBot="1" x14ac:dyDescent="0.25">
      <c r="A55" s="172"/>
      <c r="F55" s="97"/>
      <c r="H55" s="180"/>
      <c r="U55" s="97"/>
      <c r="CF55" s="734" t="s">
        <v>666</v>
      </c>
      <c r="CG55" s="734"/>
      <c r="CH55" s="734"/>
      <c r="CI55" s="734"/>
      <c r="CJ55" s="734"/>
      <c r="CK55" s="734"/>
      <c r="CL55" s="731"/>
      <c r="CM55" s="731"/>
      <c r="CN55" s="731"/>
      <c r="CO55" s="731"/>
      <c r="CP55" s="731"/>
      <c r="CQ55" s="731"/>
      <c r="CR55" s="731"/>
      <c r="CS55" s="731"/>
      <c r="CT55" s="731"/>
      <c r="CU55" s="731"/>
      <c r="CV55" s="731"/>
      <c r="CW55" s="731"/>
      <c r="CX55" s="731"/>
      <c r="CY55" s="731"/>
      <c r="CZ55" s="731"/>
      <c r="DA55" s="731"/>
      <c r="DB55" s="731"/>
      <c r="DC55" s="731"/>
      <c r="DD55" s="731"/>
      <c r="DE55" s="731"/>
    </row>
    <row r="56" spans="1:109" ht="12.75" x14ac:dyDescent="0.2">
      <c r="A56" s="172"/>
      <c r="B56" s="794" t="s">
        <v>46</v>
      </c>
      <c r="C56" s="795"/>
      <c r="D56" s="795"/>
      <c r="E56" s="795"/>
      <c r="F56" s="795"/>
      <c r="G56" s="795"/>
      <c r="H56" s="795"/>
      <c r="I56" s="795"/>
      <c r="J56" s="795"/>
      <c r="K56" s="795"/>
      <c r="L56" s="1013"/>
      <c r="CF56" s="739">
        <v>46</v>
      </c>
      <c r="CG56" s="740" t="s">
        <v>661</v>
      </c>
      <c r="CH56" s="748">
        <f>D59</f>
        <v>0</v>
      </c>
      <c r="CI56" s="740" t="s">
        <v>667</v>
      </c>
      <c r="CJ56" s="742" t="s">
        <v>668</v>
      </c>
      <c r="CK56" s="740" t="s">
        <v>663</v>
      </c>
      <c r="CL56" s="731"/>
      <c r="CM56" s="731"/>
      <c r="CN56" s="731"/>
      <c r="CO56" s="731"/>
      <c r="CP56" s="731"/>
      <c r="CQ56" s="731"/>
      <c r="CR56" s="731"/>
      <c r="CS56" s="731"/>
      <c r="CT56" s="731"/>
      <c r="CU56" s="731"/>
      <c r="CV56" s="731"/>
      <c r="CW56" s="731"/>
      <c r="CX56" s="731"/>
      <c r="CY56" s="731"/>
      <c r="CZ56" s="731"/>
      <c r="DA56" s="731"/>
      <c r="DB56" s="731"/>
      <c r="DC56" s="731"/>
      <c r="DD56" s="731"/>
      <c r="DE56" s="731"/>
    </row>
    <row r="57" spans="1:109" ht="15" x14ac:dyDescent="0.2">
      <c r="B57" s="797"/>
      <c r="C57" s="798"/>
      <c r="D57" s="798"/>
      <c r="E57" s="798"/>
      <c r="F57" s="798"/>
      <c r="G57" s="798"/>
      <c r="H57" s="798"/>
      <c r="I57" s="798"/>
      <c r="J57" s="798"/>
      <c r="K57" s="798"/>
      <c r="L57" s="1014"/>
      <c r="BH57" s="314"/>
      <c r="BI57" s="314"/>
      <c r="BJ57" s="314"/>
      <c r="CF57" s="735">
        <v>47</v>
      </c>
      <c r="CG57" s="736" t="s">
        <v>669</v>
      </c>
      <c r="CH57" s="745">
        <f>E59</f>
        <v>0</v>
      </c>
      <c r="CI57" s="736" t="s">
        <v>667</v>
      </c>
      <c r="CJ57" s="738" t="s">
        <v>670</v>
      </c>
      <c r="CK57" s="736" t="s">
        <v>647</v>
      </c>
      <c r="CL57" s="731"/>
      <c r="CM57" s="731"/>
      <c r="CN57" s="731"/>
      <c r="CO57" s="731"/>
      <c r="CP57" s="731"/>
      <c r="CQ57" s="731"/>
      <c r="CR57" s="731"/>
      <c r="CS57" s="731"/>
      <c r="CT57" s="731"/>
      <c r="CU57" s="731"/>
      <c r="CV57" s="731"/>
      <c r="CW57" s="731"/>
      <c r="CX57" s="731"/>
      <c r="CY57" s="731"/>
      <c r="CZ57" s="731"/>
      <c r="DA57" s="731"/>
      <c r="DB57" s="731"/>
      <c r="DC57" s="731"/>
      <c r="DD57" s="731"/>
      <c r="DE57" s="731"/>
    </row>
    <row r="58" spans="1:109" ht="22.5" x14ac:dyDescent="0.2">
      <c r="B58" s="207" t="s">
        <v>47</v>
      </c>
      <c r="C58" s="208" t="s">
        <v>48</v>
      </c>
      <c r="D58" s="208" t="s">
        <v>540</v>
      </c>
      <c r="E58" s="208" t="s">
        <v>546</v>
      </c>
      <c r="F58" s="208" t="s">
        <v>34</v>
      </c>
      <c r="G58" s="208" t="s">
        <v>49</v>
      </c>
      <c r="H58" s="208" t="s">
        <v>50</v>
      </c>
      <c r="I58" s="208" t="s">
        <v>51</v>
      </c>
      <c r="J58" s="284" t="s">
        <v>52</v>
      </c>
      <c r="K58" s="828" t="s">
        <v>53</v>
      </c>
      <c r="L58" s="829" t="s">
        <v>54</v>
      </c>
      <c r="N58" s="172"/>
      <c r="O58" s="172"/>
      <c r="S58" s="172"/>
      <c r="T58" s="172"/>
      <c r="AP58" s="180"/>
      <c r="AV58" s="180"/>
      <c r="AW58" s="97"/>
      <c r="BH58" s="315"/>
      <c r="BI58" s="314"/>
      <c r="BJ58" s="314"/>
      <c r="CF58" s="739">
        <v>48</v>
      </c>
      <c r="CG58" s="740" t="s">
        <v>671</v>
      </c>
      <c r="CH58" s="749">
        <f>F59</f>
        <v>1.9118354430379747</v>
      </c>
      <c r="CI58" s="740" t="s">
        <v>667</v>
      </c>
      <c r="CJ58" s="742" t="s">
        <v>672</v>
      </c>
      <c r="CK58" s="740" t="s">
        <v>647</v>
      </c>
      <c r="CL58" s="731"/>
      <c r="CM58" s="731"/>
      <c r="CN58" s="731"/>
      <c r="CO58" s="731"/>
      <c r="CP58" s="731"/>
      <c r="CQ58" s="731"/>
      <c r="CR58" s="731"/>
      <c r="CS58" s="731"/>
      <c r="CT58" s="731"/>
      <c r="CU58" s="731"/>
      <c r="CV58" s="731"/>
      <c r="CW58" s="731"/>
      <c r="CX58" s="731"/>
      <c r="CY58" s="731"/>
      <c r="CZ58" s="731"/>
      <c r="DA58" s="731"/>
      <c r="DB58" s="731"/>
      <c r="DC58" s="731"/>
      <c r="DD58" s="731"/>
      <c r="DE58" s="731"/>
    </row>
    <row r="59" spans="1:109" ht="15" x14ac:dyDescent="0.2">
      <c r="B59" s="660">
        <v>0</v>
      </c>
      <c r="C59" s="660">
        <v>0</v>
      </c>
      <c r="D59" s="661">
        <v>0</v>
      </c>
      <c r="E59" s="267">
        <v>0</v>
      </c>
      <c r="F59" s="10">
        <f>K49</f>
        <v>1.9118354430379747</v>
      </c>
      <c r="G59" s="282">
        <f>SUM(D61:D75)</f>
        <v>31799.64</v>
      </c>
      <c r="H59" s="282">
        <f>SUM(D61:D71,D74:D75)</f>
        <v>23583.64</v>
      </c>
      <c r="I59" s="282">
        <f>SUM(D61:D71)</f>
        <v>15707.64</v>
      </c>
      <c r="J59" s="349">
        <f>F76</f>
        <v>9920.7939999999981</v>
      </c>
      <c r="K59" s="818"/>
      <c r="L59" s="820"/>
      <c r="AV59" s="180"/>
      <c r="AW59" s="97"/>
      <c r="BH59" s="315"/>
      <c r="BI59" s="314"/>
      <c r="BJ59" s="314"/>
      <c r="CF59" s="735">
        <v>49</v>
      </c>
      <c r="CG59" s="736" t="s">
        <v>673</v>
      </c>
      <c r="CH59" s="745">
        <f>H59</f>
        <v>23583.64</v>
      </c>
      <c r="CI59" s="736" t="s">
        <v>667</v>
      </c>
      <c r="CJ59" s="738" t="s">
        <v>674</v>
      </c>
      <c r="CK59" s="736" t="s">
        <v>647</v>
      </c>
      <c r="CL59" s="731"/>
      <c r="CM59" s="731"/>
      <c r="CN59" s="731"/>
      <c r="CO59" s="731"/>
      <c r="CP59" s="731"/>
      <c r="CQ59" s="731"/>
      <c r="CR59" s="731"/>
      <c r="CS59" s="731"/>
      <c r="CT59" s="731"/>
      <c r="CU59" s="731"/>
      <c r="CV59" s="731"/>
      <c r="CW59" s="731"/>
      <c r="CX59" s="731"/>
      <c r="CY59" s="731"/>
      <c r="CZ59" s="731"/>
      <c r="DA59" s="731"/>
      <c r="DB59" s="731"/>
      <c r="DC59" s="731"/>
      <c r="DD59" s="731"/>
      <c r="DE59" s="731"/>
    </row>
    <row r="60" spans="1:109" ht="22.5" x14ac:dyDescent="0.2">
      <c r="B60" s="11" t="s">
        <v>37</v>
      </c>
      <c r="C60" s="12" t="s">
        <v>55</v>
      </c>
      <c r="D60" s="208" t="s">
        <v>56</v>
      </c>
      <c r="E60" s="12" t="s">
        <v>57</v>
      </c>
      <c r="F60" s="208" t="s">
        <v>58</v>
      </c>
      <c r="G60" s="208" t="s">
        <v>60</v>
      </c>
      <c r="H60" s="208" t="s">
        <v>59</v>
      </c>
      <c r="I60" s="208" t="s">
        <v>61</v>
      </c>
      <c r="J60" s="284" t="s">
        <v>62</v>
      </c>
      <c r="K60" s="344">
        <f>B59/L60</f>
        <v>0</v>
      </c>
      <c r="L60" s="168">
        <v>3.5</v>
      </c>
      <c r="AV60" s="180"/>
      <c r="AW60" s="97"/>
      <c r="BH60" s="315"/>
      <c r="BI60" s="314"/>
      <c r="BJ60" s="314"/>
      <c r="CF60" s="739">
        <v>50</v>
      </c>
      <c r="CG60" s="740" t="s">
        <v>675</v>
      </c>
      <c r="CH60" s="749">
        <f>J59</f>
        <v>9920.7939999999981</v>
      </c>
      <c r="CI60" s="740" t="s">
        <v>667</v>
      </c>
      <c r="CJ60" s="742" t="s">
        <v>676</v>
      </c>
      <c r="CK60" s="740" t="s">
        <v>647</v>
      </c>
      <c r="CL60" s="731"/>
      <c r="CM60" s="731"/>
      <c r="CN60" s="731"/>
      <c r="CO60" s="731"/>
      <c r="CP60" s="731"/>
      <c r="CQ60" s="731"/>
      <c r="CR60" s="731"/>
      <c r="CS60" s="731"/>
      <c r="CT60" s="731"/>
      <c r="CU60" s="731"/>
      <c r="CV60" s="731"/>
      <c r="CW60" s="731"/>
      <c r="CX60" s="731"/>
      <c r="CY60" s="731"/>
      <c r="CZ60" s="731"/>
      <c r="DA60" s="731"/>
      <c r="DB60" s="731"/>
      <c r="DC60" s="731"/>
      <c r="DD60" s="731"/>
      <c r="DE60" s="731"/>
    </row>
    <row r="61" spans="1:109" ht="22.5" x14ac:dyDescent="0.2">
      <c r="B61" s="14" t="s">
        <v>38</v>
      </c>
      <c r="C61" s="659">
        <v>0.22572709840561664</v>
      </c>
      <c r="D61" s="282">
        <f t="shared" ref="D61:D71" si="68">$L$49*C61</f>
        <v>3545.64</v>
      </c>
      <c r="E61" s="254">
        <v>0.85</v>
      </c>
      <c r="F61" s="282">
        <f t="shared" ref="F61:F70" si="69">E61*D61</f>
        <v>3013.7939999999999</v>
      </c>
      <c r="G61" s="267">
        <v>12</v>
      </c>
      <c r="H61" s="282">
        <f t="shared" ref="H61:H70" si="70">IFERROR(F61/G61, "0.00")</f>
        <v>251.14949999999999</v>
      </c>
      <c r="I61" s="252">
        <v>2200</v>
      </c>
      <c r="J61" s="350">
        <f t="shared" ref="J61:J71" si="71">I61*D61</f>
        <v>7800408</v>
      </c>
      <c r="K61" s="268">
        <f>L61*G61</f>
        <v>12</v>
      </c>
      <c r="L61" s="13">
        <v>1</v>
      </c>
      <c r="AV61" s="180"/>
      <c r="AW61" s="97"/>
      <c r="BH61" s="315"/>
      <c r="BI61" s="314"/>
      <c r="BJ61" s="314"/>
      <c r="CF61" s="735">
        <v>51</v>
      </c>
      <c r="CG61" s="736" t="s">
        <v>677</v>
      </c>
      <c r="CH61" s="750">
        <f>L60</f>
        <v>3.5</v>
      </c>
      <c r="CI61" s="736" t="s">
        <v>667</v>
      </c>
      <c r="CJ61" s="738" t="s">
        <v>678</v>
      </c>
      <c r="CK61" s="736" t="s">
        <v>679</v>
      </c>
      <c r="CL61" s="731"/>
      <c r="CM61" s="731"/>
      <c r="CN61" s="731"/>
      <c r="CO61" s="731"/>
      <c r="CP61" s="731"/>
      <c r="CQ61" s="731"/>
      <c r="CR61" s="731"/>
      <c r="CS61" s="731"/>
      <c r="CT61" s="731"/>
      <c r="CU61" s="731"/>
      <c r="CV61" s="731"/>
      <c r="CW61" s="731"/>
      <c r="CX61" s="731"/>
      <c r="CY61" s="731"/>
      <c r="CZ61" s="731"/>
      <c r="DA61" s="731"/>
      <c r="DB61" s="731"/>
      <c r="DC61" s="731"/>
      <c r="DD61" s="731"/>
      <c r="DE61" s="731"/>
    </row>
    <row r="62" spans="1:109" ht="22.5" x14ac:dyDescent="0.2">
      <c r="B62" s="15" t="s">
        <v>537</v>
      </c>
      <c r="C62" s="34">
        <v>0.38274368396525515</v>
      </c>
      <c r="D62" s="16">
        <f t="shared" si="68"/>
        <v>6012</v>
      </c>
      <c r="E62" s="34">
        <v>1</v>
      </c>
      <c r="F62" s="16">
        <f>C77*$C$46</f>
        <v>3340</v>
      </c>
      <c r="G62" s="267">
        <v>11</v>
      </c>
      <c r="H62" s="16">
        <f>IFERROR(F62/G62, "0.00")</f>
        <v>303.63636363636363</v>
      </c>
      <c r="I62" s="252">
        <v>2200</v>
      </c>
      <c r="J62" s="351">
        <f>I62*D62</f>
        <v>13226400</v>
      </c>
      <c r="K62" s="279">
        <f>L62*G62</f>
        <v>0</v>
      </c>
      <c r="L62" s="13">
        <v>0</v>
      </c>
      <c r="AV62" s="180"/>
      <c r="AW62" s="97"/>
      <c r="BH62" s="315"/>
      <c r="BI62" s="314"/>
      <c r="BJ62" s="314"/>
      <c r="CF62" s="734" t="s">
        <v>680</v>
      </c>
      <c r="CG62" s="734"/>
      <c r="CH62" s="734"/>
      <c r="CI62" s="734"/>
      <c r="CJ62" s="734"/>
      <c r="CK62" s="734"/>
      <c r="CL62" s="731"/>
      <c r="CM62" s="731"/>
      <c r="CN62" s="731"/>
      <c r="CO62" s="731"/>
      <c r="CP62" s="731"/>
      <c r="CQ62" s="731"/>
      <c r="CR62" s="731"/>
      <c r="CS62" s="731"/>
      <c r="CT62" s="731"/>
      <c r="CU62" s="731"/>
      <c r="CV62" s="731"/>
      <c r="CW62" s="731"/>
      <c r="CX62" s="731"/>
      <c r="CY62" s="731"/>
      <c r="CZ62" s="731"/>
      <c r="DA62" s="731"/>
      <c r="DB62" s="731"/>
      <c r="DC62" s="731"/>
      <c r="DD62" s="731"/>
      <c r="DE62" s="731"/>
    </row>
    <row r="63" spans="1:109" ht="22.5" x14ac:dyDescent="0.2">
      <c r="B63" s="14" t="s">
        <v>538</v>
      </c>
      <c r="C63" s="254">
        <v>0</v>
      </c>
      <c r="D63" s="282">
        <f t="shared" si="68"/>
        <v>0</v>
      </c>
      <c r="E63" s="254">
        <v>0</v>
      </c>
      <c r="F63" s="282">
        <f>C78*$C$49</f>
        <v>0</v>
      </c>
      <c r="G63" s="267"/>
      <c r="H63" s="282" t="str">
        <f t="shared" si="70"/>
        <v>0.00</v>
      </c>
      <c r="I63" s="252"/>
      <c r="J63" s="350">
        <f t="shared" si="71"/>
        <v>0</v>
      </c>
      <c r="K63" s="268">
        <f>L63*G63</f>
        <v>0</v>
      </c>
      <c r="L63" s="13">
        <v>0</v>
      </c>
      <c r="AV63" s="180"/>
      <c r="AW63" s="97"/>
      <c r="BH63" s="315"/>
      <c r="BI63" s="314"/>
      <c r="BJ63" s="314"/>
      <c r="CF63" s="739">
        <v>52</v>
      </c>
      <c r="CG63" s="740" t="s">
        <v>681</v>
      </c>
      <c r="CH63" s="746">
        <f>C61</f>
        <v>0.22572709840561664</v>
      </c>
      <c r="CI63" s="740" t="s">
        <v>682</v>
      </c>
      <c r="CJ63" s="742" t="s">
        <v>683</v>
      </c>
      <c r="CK63" s="740" t="s">
        <v>597</v>
      </c>
      <c r="CL63" s="731"/>
      <c r="CM63" s="731"/>
      <c r="CN63" s="731"/>
      <c r="CO63" s="731"/>
      <c r="CP63" s="731"/>
      <c r="CQ63" s="731"/>
      <c r="CR63" s="731"/>
      <c r="CS63" s="731"/>
      <c r="CT63" s="731"/>
      <c r="CU63" s="731"/>
      <c r="CV63" s="731"/>
      <c r="CW63" s="731"/>
      <c r="CX63" s="731"/>
      <c r="CY63" s="731"/>
      <c r="CZ63" s="731"/>
      <c r="DA63" s="731"/>
      <c r="DB63" s="731"/>
      <c r="DC63" s="731"/>
      <c r="DD63" s="731"/>
      <c r="DE63" s="731"/>
    </row>
    <row r="64" spans="1:109" ht="22.5" x14ac:dyDescent="0.2">
      <c r="B64" s="15" t="s">
        <v>41</v>
      </c>
      <c r="C64" s="34">
        <v>0</v>
      </c>
      <c r="D64" s="16">
        <f t="shared" si="68"/>
        <v>0</v>
      </c>
      <c r="E64" s="34">
        <v>0</v>
      </c>
      <c r="F64" s="16">
        <f>E64*D64</f>
        <v>0</v>
      </c>
      <c r="G64" s="267"/>
      <c r="H64" s="16" t="str">
        <f t="shared" si="70"/>
        <v>0.00</v>
      </c>
      <c r="I64" s="252"/>
      <c r="J64" s="351">
        <f t="shared" si="71"/>
        <v>0</v>
      </c>
      <c r="K64" s="279">
        <f>L64*G64</f>
        <v>0</v>
      </c>
      <c r="L64" s="13">
        <v>0</v>
      </c>
      <c r="AV64" s="180"/>
      <c r="AW64" s="97"/>
      <c r="BH64" s="315"/>
      <c r="BI64" s="314"/>
      <c r="BJ64" s="314"/>
      <c r="CF64" s="735">
        <v>53</v>
      </c>
      <c r="CG64" s="736" t="s">
        <v>684</v>
      </c>
      <c r="CH64" s="745">
        <f>D61</f>
        <v>3545.64</v>
      </c>
      <c r="CI64" s="736" t="s">
        <v>682</v>
      </c>
      <c r="CJ64" s="738" t="s">
        <v>685</v>
      </c>
      <c r="CK64" s="736" t="s">
        <v>647</v>
      </c>
      <c r="CL64" s="731"/>
      <c r="CM64" s="731"/>
      <c r="CN64" s="731"/>
      <c r="CO64" s="731"/>
      <c r="CP64" s="731"/>
      <c r="CQ64" s="731"/>
      <c r="CR64" s="731"/>
      <c r="CS64" s="731"/>
      <c r="CT64" s="731"/>
      <c r="CU64" s="731"/>
      <c r="CV64" s="731"/>
      <c r="CW64" s="731"/>
      <c r="CX64" s="731"/>
      <c r="CY64" s="731"/>
      <c r="CZ64" s="731"/>
      <c r="DA64" s="731"/>
      <c r="DB64" s="731"/>
      <c r="DC64" s="731"/>
      <c r="DD64" s="731"/>
      <c r="DE64" s="731"/>
    </row>
    <row r="65" spans="1:109" ht="22.5" x14ac:dyDescent="0.2">
      <c r="B65" s="14" t="s">
        <v>65</v>
      </c>
      <c r="C65" s="254">
        <v>0</v>
      </c>
      <c r="D65" s="282">
        <f t="shared" si="68"/>
        <v>0</v>
      </c>
      <c r="E65" s="254">
        <v>0</v>
      </c>
      <c r="F65" s="282">
        <f t="shared" si="69"/>
        <v>0</v>
      </c>
      <c r="G65" s="267"/>
      <c r="H65" s="282" t="str">
        <f t="shared" si="70"/>
        <v>0.00</v>
      </c>
      <c r="I65" s="252"/>
      <c r="J65" s="350">
        <f t="shared" si="71"/>
        <v>0</v>
      </c>
      <c r="K65" s="268">
        <f>L65*G65</f>
        <v>0</v>
      </c>
      <c r="L65" s="13">
        <v>1</v>
      </c>
      <c r="AV65" s="180"/>
      <c r="AW65" s="97"/>
      <c r="BH65" s="315"/>
      <c r="BI65" s="314"/>
      <c r="BJ65" s="314"/>
      <c r="CF65" s="739">
        <v>54</v>
      </c>
      <c r="CG65" s="740" t="s">
        <v>686</v>
      </c>
      <c r="CH65" s="746">
        <f>E61</f>
        <v>0.85</v>
      </c>
      <c r="CI65" s="740" t="s">
        <v>682</v>
      </c>
      <c r="CJ65" s="742" t="s">
        <v>687</v>
      </c>
      <c r="CK65" s="740" t="s">
        <v>597</v>
      </c>
      <c r="CL65" s="731"/>
      <c r="CM65" s="731"/>
      <c r="CN65" s="731"/>
      <c r="CO65" s="731"/>
      <c r="CP65" s="731"/>
      <c r="CQ65" s="731"/>
      <c r="CR65" s="731"/>
      <c r="CS65" s="731"/>
      <c r="CT65" s="731"/>
      <c r="CU65" s="731"/>
      <c r="CV65" s="731"/>
      <c r="CW65" s="731"/>
      <c r="CX65" s="731"/>
      <c r="CY65" s="731"/>
      <c r="CZ65" s="731"/>
      <c r="DA65" s="731"/>
      <c r="DB65" s="731"/>
      <c r="DC65" s="731"/>
      <c r="DD65" s="731"/>
      <c r="DE65" s="731"/>
    </row>
    <row r="66" spans="1:109" ht="22.5" x14ac:dyDescent="0.2">
      <c r="B66" s="15" t="s">
        <v>263</v>
      </c>
      <c r="C66" s="34">
        <v>0</v>
      </c>
      <c r="D66" s="16">
        <f t="shared" si="68"/>
        <v>0</v>
      </c>
      <c r="E66" s="34">
        <v>0</v>
      </c>
      <c r="F66" s="16">
        <f t="shared" si="69"/>
        <v>0</v>
      </c>
      <c r="G66" s="267"/>
      <c r="H66" s="16" t="str">
        <f t="shared" si="70"/>
        <v>0.00</v>
      </c>
      <c r="I66" s="252"/>
      <c r="J66" s="351">
        <f t="shared" si="71"/>
        <v>0</v>
      </c>
      <c r="K66" s="279">
        <f>F66/L66</f>
        <v>0</v>
      </c>
      <c r="L66" s="13">
        <v>25</v>
      </c>
      <c r="AV66" s="180"/>
      <c r="AW66" s="97"/>
      <c r="BH66" s="315"/>
      <c r="BI66" s="314"/>
      <c r="BJ66" s="314"/>
      <c r="CF66" s="735">
        <v>55</v>
      </c>
      <c r="CG66" s="736" t="s">
        <v>688</v>
      </c>
      <c r="CH66" s="745">
        <f>F61</f>
        <v>3013.7939999999999</v>
      </c>
      <c r="CI66" s="736" t="s">
        <v>682</v>
      </c>
      <c r="CJ66" s="738" t="s">
        <v>689</v>
      </c>
      <c r="CK66" s="736" t="s">
        <v>647</v>
      </c>
      <c r="CL66" s="731"/>
      <c r="CM66" s="731"/>
      <c r="CN66" s="731"/>
      <c r="CO66" s="731"/>
      <c r="CP66" s="731"/>
      <c r="CQ66" s="731"/>
      <c r="CR66" s="731"/>
      <c r="CS66" s="731"/>
      <c r="CT66" s="731"/>
      <c r="CU66" s="731"/>
      <c r="CV66" s="731"/>
      <c r="CW66" s="731"/>
      <c r="CX66" s="731"/>
      <c r="CY66" s="731"/>
      <c r="CZ66" s="731"/>
      <c r="DA66" s="731"/>
      <c r="DB66" s="731"/>
      <c r="DC66" s="731"/>
      <c r="DD66" s="731"/>
      <c r="DE66" s="731"/>
    </row>
    <row r="67" spans="1:109" ht="22.5" x14ac:dyDescent="0.2">
      <c r="B67" s="14" t="s">
        <v>42</v>
      </c>
      <c r="C67" s="254">
        <v>0</v>
      </c>
      <c r="D67" s="282">
        <f t="shared" si="68"/>
        <v>0</v>
      </c>
      <c r="E67" s="254">
        <v>0</v>
      </c>
      <c r="F67" s="282">
        <f t="shared" si="69"/>
        <v>0</v>
      </c>
      <c r="G67" s="267"/>
      <c r="H67" s="282" t="str">
        <f t="shared" si="70"/>
        <v>0.00</v>
      </c>
      <c r="I67" s="252"/>
      <c r="J67" s="350">
        <f t="shared" si="71"/>
        <v>0</v>
      </c>
      <c r="K67" s="268">
        <f>F67/L67</f>
        <v>0</v>
      </c>
      <c r="L67" s="13">
        <v>45</v>
      </c>
      <c r="AV67" s="180"/>
      <c r="AW67" s="97"/>
      <c r="BH67" s="315"/>
      <c r="BI67" s="314"/>
      <c r="BJ67" s="314"/>
      <c r="CF67" s="739">
        <v>56</v>
      </c>
      <c r="CG67" s="740" t="s">
        <v>690</v>
      </c>
      <c r="CH67" s="749">
        <f>G61</f>
        <v>12</v>
      </c>
      <c r="CI67" s="740" t="s">
        <v>682</v>
      </c>
      <c r="CJ67" s="742" t="s">
        <v>691</v>
      </c>
      <c r="CK67" s="740" t="s">
        <v>647</v>
      </c>
      <c r="CL67" s="731"/>
      <c r="CM67" s="731"/>
      <c r="CN67" s="731"/>
      <c r="CO67" s="731"/>
      <c r="CP67" s="731"/>
      <c r="CQ67" s="731"/>
      <c r="CR67" s="731"/>
      <c r="CS67" s="731"/>
      <c r="CT67" s="731"/>
      <c r="CU67" s="731"/>
      <c r="CV67" s="731"/>
      <c r="CW67" s="731"/>
      <c r="CX67" s="731"/>
      <c r="CY67" s="731"/>
      <c r="CZ67" s="731"/>
      <c r="DA67" s="731"/>
      <c r="DB67" s="731"/>
      <c r="DC67" s="731"/>
      <c r="DD67" s="731"/>
      <c r="DE67" s="731"/>
    </row>
    <row r="68" spans="1:109" ht="22.5" x14ac:dyDescent="0.2">
      <c r="B68" s="15" t="s">
        <v>43</v>
      </c>
      <c r="C68" s="34">
        <v>0.39152921762912818</v>
      </c>
      <c r="D68" s="16">
        <f t="shared" si="68"/>
        <v>6149.9999999999991</v>
      </c>
      <c r="E68" s="34">
        <v>0.57999999999999996</v>
      </c>
      <c r="F68" s="16">
        <f t="shared" si="69"/>
        <v>3566.9999999999991</v>
      </c>
      <c r="G68" s="267">
        <v>100</v>
      </c>
      <c r="H68" s="16">
        <f t="shared" si="70"/>
        <v>35.669999999999987</v>
      </c>
      <c r="I68" s="252">
        <v>6000</v>
      </c>
      <c r="J68" s="351">
        <f t="shared" si="71"/>
        <v>36899999.999999993</v>
      </c>
      <c r="K68" s="279">
        <f>G68/L68</f>
        <v>50</v>
      </c>
      <c r="L68" s="13">
        <v>2</v>
      </c>
      <c r="AV68" s="97"/>
      <c r="BH68" s="315"/>
      <c r="BI68" s="314"/>
      <c r="BJ68" s="314"/>
      <c r="CF68" s="735">
        <v>57</v>
      </c>
      <c r="CG68" s="736" t="s">
        <v>692</v>
      </c>
      <c r="CH68" s="750">
        <f>H61</f>
        <v>251.14949999999999</v>
      </c>
      <c r="CI68" s="736" t="s">
        <v>682</v>
      </c>
      <c r="CJ68" s="738" t="s">
        <v>693</v>
      </c>
      <c r="CK68" s="736" t="s">
        <v>694</v>
      </c>
      <c r="CL68" s="731"/>
      <c r="CM68" s="731"/>
      <c r="CN68" s="731"/>
      <c r="CO68" s="731"/>
      <c r="CP68" s="731"/>
      <c r="CQ68" s="731"/>
      <c r="CR68" s="731"/>
      <c r="CS68" s="731"/>
      <c r="CT68" s="731"/>
      <c r="CU68" s="731"/>
      <c r="CV68" s="731"/>
      <c r="CW68" s="731"/>
      <c r="CX68" s="731"/>
      <c r="CY68" s="731"/>
      <c r="CZ68" s="731"/>
      <c r="DA68" s="731"/>
      <c r="DB68" s="731"/>
      <c r="DC68" s="731"/>
      <c r="DD68" s="731"/>
      <c r="DE68" s="731"/>
    </row>
    <row r="69" spans="1:109" ht="22.5" x14ac:dyDescent="0.2">
      <c r="B69" s="14" t="s">
        <v>44</v>
      </c>
      <c r="C69" s="254">
        <v>0</v>
      </c>
      <c r="D69" s="282">
        <f t="shared" si="68"/>
        <v>0</v>
      </c>
      <c r="E69" s="254"/>
      <c r="F69" s="282">
        <f t="shared" si="69"/>
        <v>0</v>
      </c>
      <c r="G69" s="267"/>
      <c r="H69" s="282" t="str">
        <f t="shared" si="70"/>
        <v>0.00</v>
      </c>
      <c r="I69" s="252"/>
      <c r="J69" s="350">
        <f t="shared" si="71"/>
        <v>0</v>
      </c>
      <c r="K69" s="268">
        <f>F69/L69</f>
        <v>0</v>
      </c>
      <c r="L69" s="13">
        <v>35</v>
      </c>
      <c r="AV69" s="97"/>
      <c r="BH69" s="315"/>
      <c r="BI69" s="314"/>
      <c r="BJ69" s="314"/>
      <c r="CF69" s="739">
        <v>58</v>
      </c>
      <c r="CG69" s="740" t="s">
        <v>695</v>
      </c>
      <c r="CH69" s="744">
        <f>I61</f>
        <v>2200</v>
      </c>
      <c r="CI69" s="740" t="s">
        <v>682</v>
      </c>
      <c r="CJ69" s="742" t="s">
        <v>696</v>
      </c>
      <c r="CK69" s="740" t="s">
        <v>650</v>
      </c>
      <c r="CL69" s="731"/>
      <c r="CM69" s="731"/>
      <c r="CN69" s="731"/>
      <c r="CO69" s="731"/>
      <c r="CP69" s="731"/>
      <c r="CQ69" s="731"/>
      <c r="CR69" s="731"/>
      <c r="CS69" s="731"/>
      <c r="CT69" s="731"/>
      <c r="CU69" s="731"/>
      <c r="CV69" s="731"/>
      <c r="CW69" s="731"/>
      <c r="CX69" s="731"/>
      <c r="CY69" s="731"/>
      <c r="CZ69" s="731"/>
      <c r="DA69" s="731"/>
      <c r="DB69" s="731"/>
      <c r="DC69" s="731"/>
      <c r="DD69" s="731"/>
      <c r="DE69" s="731"/>
    </row>
    <row r="70" spans="1:109" ht="22.5" x14ac:dyDescent="0.2">
      <c r="B70" s="15" t="s">
        <v>45</v>
      </c>
      <c r="C70" s="34"/>
      <c r="D70" s="16">
        <f t="shared" si="68"/>
        <v>0</v>
      </c>
      <c r="E70" s="34"/>
      <c r="F70" s="16">
        <f t="shared" si="69"/>
        <v>0</v>
      </c>
      <c r="G70" s="267"/>
      <c r="H70" s="16" t="str">
        <f t="shared" si="70"/>
        <v>0.00</v>
      </c>
      <c r="I70" s="252"/>
      <c r="J70" s="351">
        <f t="shared" si="71"/>
        <v>0</v>
      </c>
      <c r="K70" s="345">
        <v>0</v>
      </c>
      <c r="L70" s="61" t="s">
        <v>66</v>
      </c>
      <c r="AV70" s="97"/>
      <c r="BH70" s="315"/>
      <c r="BI70" s="314"/>
      <c r="BJ70" s="314"/>
      <c r="CF70" s="735">
        <v>59</v>
      </c>
      <c r="CG70" s="736" t="s">
        <v>697</v>
      </c>
      <c r="CH70" s="743">
        <f>J61</f>
        <v>7800408</v>
      </c>
      <c r="CI70" s="736" t="s">
        <v>682</v>
      </c>
      <c r="CJ70" s="738" t="s">
        <v>698</v>
      </c>
      <c r="CK70" s="736" t="s">
        <v>571</v>
      </c>
      <c r="CL70" s="731"/>
      <c r="CM70" s="731"/>
      <c r="CN70" s="731"/>
      <c r="CO70" s="731"/>
      <c r="CP70" s="731"/>
      <c r="CQ70" s="731"/>
      <c r="CR70" s="731"/>
      <c r="CS70" s="731"/>
      <c r="CT70" s="731"/>
      <c r="CU70" s="731"/>
      <c r="CV70" s="731"/>
      <c r="CW70" s="731"/>
      <c r="CX70" s="731"/>
      <c r="CY70" s="731"/>
      <c r="CZ70" s="731"/>
      <c r="DA70" s="731"/>
      <c r="DB70" s="731"/>
      <c r="DC70" s="731"/>
      <c r="DD70" s="731"/>
      <c r="DE70" s="731"/>
    </row>
    <row r="71" spans="1:109" ht="22.5" x14ac:dyDescent="0.2">
      <c r="B71" s="14" t="s">
        <v>228</v>
      </c>
      <c r="C71" s="352">
        <f>100%-SUM(C61:C70)</f>
        <v>0</v>
      </c>
      <c r="D71" s="282">
        <f t="shared" si="68"/>
        <v>0</v>
      </c>
      <c r="E71" s="353" t="s">
        <v>66</v>
      </c>
      <c r="F71" s="59" t="s">
        <v>66</v>
      </c>
      <c r="G71" s="354" t="s">
        <v>66</v>
      </c>
      <c r="H71" s="59" t="s">
        <v>66</v>
      </c>
      <c r="I71" s="252"/>
      <c r="J71" s="350">
        <f t="shared" si="71"/>
        <v>0</v>
      </c>
      <c r="K71" s="346" t="s">
        <v>66</v>
      </c>
      <c r="L71" s="347" t="s">
        <v>66</v>
      </c>
      <c r="CF71" s="739">
        <v>60</v>
      </c>
      <c r="CG71" s="740" t="s">
        <v>699</v>
      </c>
      <c r="CH71" s="751">
        <f>K61</f>
        <v>12</v>
      </c>
      <c r="CI71" s="740" t="s">
        <v>682</v>
      </c>
      <c r="CJ71" s="742" t="s">
        <v>700</v>
      </c>
      <c r="CK71" s="740" t="s">
        <v>701</v>
      </c>
      <c r="CL71" s="731"/>
      <c r="CM71" s="731"/>
      <c r="CN71" s="731"/>
      <c r="CO71" s="731"/>
      <c r="CP71" s="731"/>
      <c r="CQ71" s="731"/>
      <c r="CR71" s="731"/>
      <c r="CS71" s="731"/>
      <c r="CT71" s="731"/>
      <c r="CU71" s="731"/>
      <c r="CV71" s="731"/>
      <c r="CW71" s="731"/>
      <c r="CX71" s="731"/>
      <c r="CY71" s="731"/>
      <c r="CZ71" s="731"/>
      <c r="DA71" s="731"/>
      <c r="DB71" s="731"/>
      <c r="DC71" s="731"/>
      <c r="DD71" s="731"/>
      <c r="DE71" s="731"/>
    </row>
    <row r="72" spans="1:109" ht="12.75" x14ac:dyDescent="0.2">
      <c r="B72" s="15" t="s">
        <v>67</v>
      </c>
      <c r="C72" s="340" t="s">
        <v>67</v>
      </c>
      <c r="D72" s="341" t="s">
        <v>67</v>
      </c>
      <c r="E72" s="340" t="s">
        <v>67</v>
      </c>
      <c r="F72" s="341" t="s">
        <v>67</v>
      </c>
      <c r="G72" s="342" t="s">
        <v>67</v>
      </c>
      <c r="H72" s="341" t="s">
        <v>67</v>
      </c>
      <c r="I72" s="652" t="s">
        <v>67</v>
      </c>
      <c r="J72" s="651" t="s">
        <v>67</v>
      </c>
      <c r="K72" s="348" t="s">
        <v>67</v>
      </c>
      <c r="L72" s="343" t="s">
        <v>67</v>
      </c>
      <c r="CF72" s="735">
        <v>61</v>
      </c>
      <c r="CG72" s="736" t="s">
        <v>702</v>
      </c>
      <c r="CH72" s="752">
        <f>L61</f>
        <v>1</v>
      </c>
      <c r="CI72" s="736" t="s">
        <v>682</v>
      </c>
      <c r="CJ72" s="738" t="s">
        <v>703</v>
      </c>
      <c r="CK72" s="736" t="s">
        <v>704</v>
      </c>
      <c r="CL72" s="731"/>
      <c r="CM72" s="731"/>
      <c r="CN72" s="731"/>
      <c r="CO72" s="731"/>
      <c r="CP72" s="731"/>
      <c r="CQ72" s="731"/>
      <c r="CR72" s="731"/>
      <c r="CS72" s="731"/>
      <c r="CT72" s="731"/>
      <c r="CU72" s="731"/>
      <c r="CV72" s="731"/>
      <c r="CW72" s="731"/>
      <c r="CX72" s="731"/>
      <c r="CY72" s="731"/>
      <c r="CZ72" s="731"/>
      <c r="DA72" s="731"/>
      <c r="DB72" s="731"/>
      <c r="DC72" s="731"/>
      <c r="DD72" s="731"/>
      <c r="DE72" s="731"/>
    </row>
    <row r="73" spans="1:109" ht="22.5" x14ac:dyDescent="0.2">
      <c r="B73" s="14" t="s">
        <v>68</v>
      </c>
      <c r="C73" s="254">
        <v>1</v>
      </c>
      <c r="D73" s="282">
        <f>$C$49*C73</f>
        <v>8216</v>
      </c>
      <c r="E73" s="255" t="s">
        <v>66</v>
      </c>
      <c r="F73" s="59" t="s">
        <v>66</v>
      </c>
      <c r="G73" s="255" t="s">
        <v>66</v>
      </c>
      <c r="H73" s="59" t="s">
        <v>66</v>
      </c>
      <c r="I73" s="252">
        <v>750</v>
      </c>
      <c r="J73" s="350">
        <f>I73*D73</f>
        <v>6162000</v>
      </c>
      <c r="K73" s="346" t="s">
        <v>66</v>
      </c>
      <c r="L73" s="61" t="s">
        <v>66</v>
      </c>
      <c r="AC73" s="97"/>
      <c r="CF73" s="734" t="s">
        <v>705</v>
      </c>
      <c r="CG73" s="734"/>
      <c r="CH73" s="734"/>
      <c r="CI73" s="734"/>
      <c r="CJ73" s="734"/>
      <c r="CK73" s="734"/>
      <c r="CL73" s="731"/>
      <c r="CM73" s="731"/>
      <c r="CN73" s="731"/>
      <c r="CO73" s="731"/>
      <c r="CP73" s="731"/>
      <c r="CQ73" s="731"/>
      <c r="CR73" s="731"/>
      <c r="CS73" s="731"/>
      <c r="CT73" s="731"/>
      <c r="CU73" s="731"/>
      <c r="CV73" s="731"/>
      <c r="CW73" s="731"/>
      <c r="CX73" s="731"/>
      <c r="CY73" s="731"/>
      <c r="CZ73" s="731"/>
      <c r="DA73" s="731"/>
      <c r="DB73" s="731"/>
      <c r="DC73" s="731"/>
      <c r="DD73" s="731"/>
      <c r="DE73" s="731"/>
    </row>
    <row r="74" spans="1:109" ht="22.5" x14ac:dyDescent="0.2">
      <c r="B74" s="15" t="s">
        <v>539</v>
      </c>
      <c r="C74" s="34">
        <v>0.9586173320350535</v>
      </c>
      <c r="D74" s="16" cm="1">
        <f t="array" ref="D74">SUM(C44:C46*C74)</f>
        <v>7876</v>
      </c>
      <c r="E74" s="255" t="s">
        <v>66</v>
      </c>
      <c r="F74" s="60" t="s">
        <v>66</v>
      </c>
      <c r="G74" s="255" t="s">
        <v>66</v>
      </c>
      <c r="H74" s="60" t="s">
        <v>66</v>
      </c>
      <c r="I74" s="252">
        <v>1800</v>
      </c>
      <c r="J74" s="351">
        <f>I74*D74</f>
        <v>14176800</v>
      </c>
      <c r="K74" s="279">
        <f>D74/L74</f>
        <v>175.02222222222221</v>
      </c>
      <c r="L74" s="13">
        <v>45</v>
      </c>
      <c r="CF74" s="739">
        <v>62</v>
      </c>
      <c r="CG74" s="740" t="s">
        <v>706</v>
      </c>
      <c r="CH74" s="746">
        <f>C62</f>
        <v>0.38274368396525515</v>
      </c>
      <c r="CI74" s="740" t="s">
        <v>707</v>
      </c>
      <c r="CJ74" s="742" t="s">
        <v>708</v>
      </c>
      <c r="CK74" s="740" t="s">
        <v>597</v>
      </c>
      <c r="CL74" s="731"/>
      <c r="CM74" s="731"/>
      <c r="CN74" s="731"/>
      <c r="CO74" s="731"/>
      <c r="CP74" s="731"/>
      <c r="CQ74" s="731"/>
      <c r="CR74" s="731"/>
      <c r="CS74" s="731"/>
      <c r="CT74" s="731"/>
      <c r="CU74" s="731"/>
      <c r="CV74" s="731"/>
      <c r="CW74" s="731"/>
      <c r="CX74" s="731"/>
      <c r="CY74" s="731"/>
      <c r="CZ74" s="731"/>
      <c r="DA74" s="731"/>
      <c r="DB74" s="731"/>
      <c r="DC74" s="731"/>
      <c r="DD74" s="731"/>
      <c r="DE74" s="731"/>
    </row>
    <row r="75" spans="1:109" ht="22.5" x14ac:dyDescent="0.2">
      <c r="B75" s="14" t="s">
        <v>69</v>
      </c>
      <c r="C75" s="254">
        <v>0</v>
      </c>
      <c r="D75" s="282">
        <f>$C$49*C75</f>
        <v>0</v>
      </c>
      <c r="E75" s="255" t="s">
        <v>66</v>
      </c>
      <c r="F75" s="59" t="s">
        <v>66</v>
      </c>
      <c r="G75" s="255" t="s">
        <v>66</v>
      </c>
      <c r="H75" s="59" t="s">
        <v>66</v>
      </c>
      <c r="I75" s="252">
        <v>0</v>
      </c>
      <c r="J75" s="350">
        <f>I75*D75</f>
        <v>0</v>
      </c>
      <c r="K75" s="268">
        <f>D75/L75</f>
        <v>0</v>
      </c>
      <c r="L75" s="13">
        <v>45</v>
      </c>
      <c r="Q75" s="97"/>
      <c r="CF75" s="735">
        <v>63</v>
      </c>
      <c r="CG75" s="736" t="s">
        <v>709</v>
      </c>
      <c r="CH75" s="745">
        <f>D62</f>
        <v>6012</v>
      </c>
      <c r="CI75" s="736" t="s">
        <v>707</v>
      </c>
      <c r="CJ75" s="738" t="s">
        <v>710</v>
      </c>
      <c r="CK75" s="736" t="s">
        <v>647</v>
      </c>
      <c r="CL75" s="731"/>
      <c r="CM75" s="731"/>
      <c r="CN75" s="731"/>
      <c r="CO75" s="731"/>
      <c r="CP75" s="731"/>
      <c r="CQ75" s="731"/>
      <c r="CR75" s="731"/>
      <c r="CS75" s="731"/>
      <c r="CT75" s="731"/>
      <c r="CU75" s="731"/>
      <c r="CV75" s="731"/>
      <c r="CW75" s="731"/>
      <c r="CX75" s="731"/>
      <c r="CY75" s="731"/>
      <c r="CZ75" s="731"/>
      <c r="DA75" s="731"/>
      <c r="DB75" s="731"/>
      <c r="DC75" s="731"/>
      <c r="DD75" s="731"/>
      <c r="DE75" s="731"/>
    </row>
    <row r="76" spans="1:109" ht="23.25" thickBot="1" x14ac:dyDescent="0.25">
      <c r="B76" s="18" t="s">
        <v>36</v>
      </c>
      <c r="C76" s="19">
        <f>SUM(C61:C71)</f>
        <v>1</v>
      </c>
      <c r="D76" s="2">
        <f>SUM(D61:D75)</f>
        <v>31799.64</v>
      </c>
      <c r="E76" s="316">
        <f>SUMPRODUCT(E61:E70, C61:C70) / SUM(C61:C70)</f>
        <v>0.80169866383492361</v>
      </c>
      <c r="F76" s="2">
        <f>SUMIF(F61:F70, "&lt;&gt;#DIV/0!")</f>
        <v>9920.7939999999981</v>
      </c>
      <c r="G76" s="339">
        <f>SUMIF(G61:G75, "&lt;&gt;#DIV/0!")</f>
        <v>123</v>
      </c>
      <c r="H76" s="317">
        <f>IFERROR(F76/G76, "0.00")</f>
        <v>80.656861788617874</v>
      </c>
      <c r="I76" s="653">
        <f>J76/D76</f>
        <v>2461.2105042698595</v>
      </c>
      <c r="J76" s="650">
        <f>SUM(J61:J75)</f>
        <v>78265608</v>
      </c>
      <c r="K76" s="84" t="s">
        <v>72</v>
      </c>
      <c r="L76" s="74">
        <f>SUMIF(K61:K69, "&lt;&gt;#DIV/0!")</f>
        <v>62</v>
      </c>
      <c r="Q76" s="97"/>
      <c r="CF76" s="739">
        <v>64</v>
      </c>
      <c r="CG76" s="740" t="s">
        <v>711</v>
      </c>
      <c r="CH76" s="746">
        <f>E62</f>
        <v>1</v>
      </c>
      <c r="CI76" s="740" t="s">
        <v>707</v>
      </c>
      <c r="CJ76" s="742" t="s">
        <v>712</v>
      </c>
      <c r="CK76" s="740" t="s">
        <v>597</v>
      </c>
      <c r="CL76" s="731"/>
      <c r="CM76" s="731"/>
      <c r="CN76" s="731"/>
      <c r="CO76" s="731"/>
      <c r="CP76" s="731"/>
      <c r="CQ76" s="731"/>
      <c r="CR76" s="731"/>
      <c r="CS76" s="731"/>
      <c r="CT76" s="731"/>
      <c r="CU76" s="731"/>
      <c r="CV76" s="731"/>
      <c r="CW76" s="731"/>
      <c r="CX76" s="731"/>
      <c r="CY76" s="731"/>
      <c r="CZ76" s="731"/>
      <c r="DA76" s="731"/>
      <c r="DB76" s="731"/>
      <c r="DC76" s="731"/>
      <c r="DD76" s="731"/>
      <c r="DE76" s="731"/>
    </row>
    <row r="77" spans="1:109" ht="18" x14ac:dyDescent="0.2">
      <c r="B77" s="658" t="s">
        <v>71</v>
      </c>
      <c r="C77" s="648">
        <v>1</v>
      </c>
      <c r="F77" s="172"/>
      <c r="G77"/>
      <c r="H77" s="172"/>
      <c r="I77" s="172"/>
      <c r="J77" s="172"/>
      <c r="K77" s="20" t="s">
        <v>70</v>
      </c>
      <c r="L77" s="65">
        <f>SUM(K60,K74:K75)</f>
        <v>175.02222222222221</v>
      </c>
      <c r="Q77" s="97"/>
      <c r="CF77" s="735">
        <v>65</v>
      </c>
      <c r="CG77" s="736" t="s">
        <v>713</v>
      </c>
      <c r="CH77" s="745">
        <f>F62</f>
        <v>3340</v>
      </c>
      <c r="CI77" s="736" t="s">
        <v>707</v>
      </c>
      <c r="CJ77" s="738" t="s">
        <v>714</v>
      </c>
      <c r="CK77" s="736" t="s">
        <v>647</v>
      </c>
      <c r="CL77" s="731"/>
      <c r="CM77" s="731"/>
      <c r="CN77" s="731"/>
      <c r="CO77" s="731"/>
      <c r="CP77" s="731"/>
      <c r="CQ77" s="731"/>
      <c r="CR77" s="731"/>
      <c r="CS77" s="731"/>
      <c r="CT77" s="731"/>
      <c r="CU77" s="731"/>
      <c r="CV77" s="731"/>
      <c r="CW77" s="731"/>
      <c r="CX77" s="731"/>
      <c r="CY77" s="731"/>
      <c r="CZ77" s="731"/>
      <c r="DA77" s="731"/>
      <c r="DB77" s="731"/>
      <c r="DC77" s="731"/>
      <c r="DD77" s="731"/>
      <c r="DE77" s="731"/>
    </row>
    <row r="78" spans="1:109" ht="18.75" thickBot="1" x14ac:dyDescent="0.25">
      <c r="C78" s="649">
        <v>0</v>
      </c>
      <c r="D78" s="172"/>
      <c r="E78" s="183"/>
      <c r="F78" s="172"/>
      <c r="G78" s="172"/>
      <c r="H78" s="172"/>
      <c r="I78" s="172"/>
      <c r="J78" s="172"/>
      <c r="K78" s="21" t="s">
        <v>73</v>
      </c>
      <c r="L78" s="22">
        <f>L77-L76</f>
        <v>113.02222222222221</v>
      </c>
      <c r="CF78" s="739">
        <v>66</v>
      </c>
      <c r="CG78" s="740" t="s">
        <v>715</v>
      </c>
      <c r="CH78" s="749">
        <f>G62</f>
        <v>11</v>
      </c>
      <c r="CI78" s="740" t="s">
        <v>707</v>
      </c>
      <c r="CJ78" s="742" t="s">
        <v>716</v>
      </c>
      <c r="CK78" s="740" t="s">
        <v>647</v>
      </c>
      <c r="CL78" s="731"/>
      <c r="CM78" s="731"/>
      <c r="CN78" s="731"/>
      <c r="CO78" s="731"/>
      <c r="CP78" s="731"/>
      <c r="CQ78" s="731"/>
      <c r="CR78" s="731"/>
      <c r="CS78" s="731"/>
      <c r="CT78" s="731"/>
      <c r="CU78" s="731"/>
      <c r="CV78" s="731"/>
      <c r="CW78" s="731"/>
      <c r="CX78" s="731"/>
      <c r="CY78" s="731"/>
      <c r="CZ78" s="731"/>
      <c r="DA78" s="731"/>
      <c r="DB78" s="731"/>
      <c r="DC78" s="731"/>
      <c r="DD78" s="731"/>
      <c r="DE78" s="731"/>
    </row>
    <row r="79" spans="1:109" ht="12.75" x14ac:dyDescent="0.2">
      <c r="A79" s="172"/>
      <c r="CF79" s="735">
        <v>67</v>
      </c>
      <c r="CG79" s="736" t="s">
        <v>717</v>
      </c>
      <c r="CH79" s="750">
        <f>H62</f>
        <v>303.63636363636363</v>
      </c>
      <c r="CI79" s="736" t="s">
        <v>707</v>
      </c>
      <c r="CJ79" s="738" t="s">
        <v>718</v>
      </c>
      <c r="CK79" s="736" t="s">
        <v>694</v>
      </c>
      <c r="CL79" s="731"/>
      <c r="CM79" s="731"/>
      <c r="CN79" s="731"/>
      <c r="CO79" s="731"/>
      <c r="CP79" s="731"/>
      <c r="CQ79" s="731"/>
      <c r="CR79" s="731"/>
      <c r="CS79" s="731"/>
      <c r="CT79" s="731"/>
      <c r="CU79" s="731"/>
      <c r="CV79" s="731"/>
      <c r="CW79" s="731"/>
      <c r="CX79" s="731"/>
      <c r="CY79" s="731"/>
      <c r="CZ79" s="731"/>
      <c r="DA79" s="731"/>
      <c r="DB79" s="731"/>
      <c r="DC79" s="731"/>
      <c r="DD79" s="731"/>
      <c r="DE79" s="731"/>
    </row>
    <row r="80" spans="1:109" ht="12.75" x14ac:dyDescent="0.2">
      <c r="A80" s="172"/>
      <c r="CF80" s="739">
        <v>68</v>
      </c>
      <c r="CG80" s="740" t="s">
        <v>719</v>
      </c>
      <c r="CH80" s="744">
        <f>I62</f>
        <v>2200</v>
      </c>
      <c r="CI80" s="740" t="s">
        <v>707</v>
      </c>
      <c r="CJ80" s="742" t="s">
        <v>720</v>
      </c>
      <c r="CK80" s="740" t="s">
        <v>650</v>
      </c>
      <c r="CL80" s="731"/>
      <c r="CM80" s="731"/>
      <c r="CN80" s="731"/>
      <c r="CO80" s="731"/>
      <c r="CP80" s="731"/>
      <c r="CQ80" s="731"/>
      <c r="CR80" s="731"/>
      <c r="CS80" s="731"/>
      <c r="CT80" s="731"/>
      <c r="CU80" s="731"/>
      <c r="CV80" s="731"/>
      <c r="CW80" s="731"/>
      <c r="CX80" s="731"/>
      <c r="CY80" s="731"/>
      <c r="CZ80" s="731"/>
      <c r="DA80" s="731"/>
      <c r="DB80" s="731"/>
      <c r="DC80" s="731"/>
      <c r="DD80" s="731"/>
      <c r="DE80" s="731"/>
    </row>
    <row r="81" spans="1:109" ht="12.75" x14ac:dyDescent="0.2">
      <c r="A81" s="172"/>
      <c r="CF81" s="735">
        <v>69</v>
      </c>
      <c r="CG81" s="736" t="s">
        <v>721</v>
      </c>
      <c r="CH81" s="743">
        <f>J62</f>
        <v>13226400</v>
      </c>
      <c r="CI81" s="736" t="s">
        <v>707</v>
      </c>
      <c r="CJ81" s="738" t="s">
        <v>722</v>
      </c>
      <c r="CK81" s="736" t="s">
        <v>571</v>
      </c>
      <c r="CL81" s="731"/>
      <c r="CM81" s="731"/>
      <c r="CN81" s="731"/>
      <c r="CO81" s="731"/>
      <c r="CP81" s="731"/>
      <c r="CQ81" s="731"/>
      <c r="CR81" s="731"/>
      <c r="CS81" s="731"/>
      <c r="CT81" s="731"/>
      <c r="CU81" s="731"/>
      <c r="CV81" s="731"/>
      <c r="CW81" s="731"/>
      <c r="CX81" s="731"/>
      <c r="CY81" s="731"/>
      <c r="CZ81" s="731"/>
      <c r="DA81" s="731"/>
      <c r="DB81" s="731"/>
      <c r="DC81" s="731"/>
      <c r="DD81" s="731"/>
      <c r="DE81" s="731"/>
    </row>
    <row r="82" spans="1:109" ht="12.75" x14ac:dyDescent="0.2">
      <c r="A82" s="172"/>
      <c r="CF82" s="739">
        <v>70</v>
      </c>
      <c r="CG82" s="740" t="s">
        <v>723</v>
      </c>
      <c r="CH82" s="751">
        <f>K62</f>
        <v>0</v>
      </c>
      <c r="CI82" s="740" t="s">
        <v>707</v>
      </c>
      <c r="CJ82" s="742" t="s">
        <v>724</v>
      </c>
      <c r="CK82" s="740" t="s">
        <v>701</v>
      </c>
      <c r="CL82" s="731"/>
      <c r="CM82" s="731"/>
      <c r="CN82" s="731"/>
      <c r="CO82" s="731"/>
      <c r="CP82" s="731"/>
      <c r="CQ82" s="731"/>
      <c r="CR82" s="731"/>
      <c r="CS82" s="731"/>
      <c r="CT82" s="731"/>
      <c r="CU82" s="731"/>
      <c r="CV82" s="731"/>
      <c r="CW82" s="731"/>
      <c r="CX82" s="731"/>
      <c r="CY82" s="731"/>
      <c r="CZ82" s="731"/>
      <c r="DA82" s="731"/>
      <c r="DB82" s="731"/>
      <c r="DC82" s="731"/>
      <c r="DD82" s="731"/>
      <c r="DE82" s="731"/>
    </row>
    <row r="83" spans="1:109" ht="13.5" thickBot="1" x14ac:dyDescent="0.25">
      <c r="A83" s="172"/>
      <c r="CF83" s="735">
        <v>71</v>
      </c>
      <c r="CG83" s="736" t="s">
        <v>725</v>
      </c>
      <c r="CH83" s="752">
        <f>L62</f>
        <v>0</v>
      </c>
      <c r="CI83" s="736" t="s">
        <v>707</v>
      </c>
      <c r="CJ83" s="738" t="s">
        <v>726</v>
      </c>
      <c r="CK83" s="736" t="s">
        <v>704</v>
      </c>
      <c r="CL83" s="731"/>
      <c r="CM83" s="731"/>
      <c r="CN83" s="731"/>
      <c r="CO83" s="731"/>
      <c r="CP83" s="731"/>
      <c r="CQ83" s="731"/>
      <c r="CR83" s="731"/>
      <c r="CS83" s="731"/>
      <c r="CT83" s="731"/>
      <c r="CU83" s="731"/>
      <c r="CV83" s="731"/>
      <c r="CW83" s="731"/>
      <c r="CX83" s="731"/>
      <c r="CY83" s="731"/>
      <c r="CZ83" s="731"/>
      <c r="DA83" s="731"/>
      <c r="DB83" s="731"/>
      <c r="DC83" s="731"/>
      <c r="DD83" s="731"/>
      <c r="DE83" s="731"/>
    </row>
    <row r="84" spans="1:109" ht="25.5" x14ac:dyDescent="0.2">
      <c r="A84" s="172"/>
      <c r="B84" s="811" t="s">
        <v>74</v>
      </c>
      <c r="C84" s="812"/>
      <c r="D84" s="813"/>
      <c r="E84" s="636" t="s">
        <v>516</v>
      </c>
      <c r="CF84" s="734" t="s">
        <v>727</v>
      </c>
      <c r="CG84" s="734"/>
      <c r="CH84" s="734"/>
      <c r="CI84" s="734"/>
      <c r="CJ84" s="734"/>
      <c r="CK84" s="734"/>
      <c r="CL84" s="731"/>
      <c r="CM84" s="731"/>
      <c r="CN84" s="731"/>
      <c r="CO84" s="731"/>
      <c r="CP84" s="731"/>
      <c r="CQ84" s="731"/>
      <c r="CR84" s="731"/>
      <c r="CS84" s="731"/>
      <c r="CT84" s="731"/>
      <c r="CU84" s="731"/>
      <c r="CV84" s="731"/>
      <c r="CW84" s="731"/>
      <c r="CX84" s="731"/>
      <c r="CY84" s="731"/>
      <c r="CZ84" s="731"/>
      <c r="DA84" s="731"/>
      <c r="DB84" s="731"/>
      <c r="DC84" s="731"/>
      <c r="DD84" s="731"/>
      <c r="DE84" s="731"/>
    </row>
    <row r="85" spans="1:109" ht="22.5" x14ac:dyDescent="0.2">
      <c r="A85" s="172"/>
      <c r="B85" s="207" t="s">
        <v>5</v>
      </c>
      <c r="C85" s="208" t="s">
        <v>6</v>
      </c>
      <c r="D85" s="284" t="s">
        <v>75</v>
      </c>
      <c r="E85" s="632" t="s">
        <v>4</v>
      </c>
      <c r="CF85" s="739">
        <v>72</v>
      </c>
      <c r="CG85" s="740" t="s">
        <v>728</v>
      </c>
      <c r="CH85" s="746">
        <f>C63</f>
        <v>0</v>
      </c>
      <c r="CI85" s="740" t="s">
        <v>729</v>
      </c>
      <c r="CJ85" s="742" t="s">
        <v>730</v>
      </c>
      <c r="CK85" s="740" t="s">
        <v>597</v>
      </c>
      <c r="CL85" s="731"/>
      <c r="CM85" s="731"/>
      <c r="CN85" s="731"/>
      <c r="CO85" s="731"/>
      <c r="CP85" s="731"/>
      <c r="CQ85" s="731"/>
      <c r="CR85" s="731"/>
      <c r="CS85" s="731"/>
      <c r="CT85" s="731"/>
      <c r="CU85" s="731"/>
      <c r="CV85" s="731"/>
      <c r="CW85" s="731"/>
      <c r="CX85" s="731"/>
      <c r="CY85" s="731"/>
      <c r="CZ85" s="731"/>
      <c r="DA85" s="731"/>
      <c r="DB85" s="731"/>
      <c r="DC85" s="731"/>
      <c r="DD85" s="731"/>
      <c r="DE85" s="731"/>
    </row>
    <row r="86" spans="1:109" ht="22.5" x14ac:dyDescent="0.2">
      <c r="A86" s="157"/>
      <c r="B86" s="318" t="s">
        <v>76</v>
      </c>
      <c r="C86" s="703">
        <f>D86*C49</f>
        <v>534040</v>
      </c>
      <c r="D86" s="270">
        <v>65</v>
      </c>
      <c r="E86" s="633">
        <f t="shared" ref="E86:E101" si="72">C86/$C$102</f>
        <v>2.5226194503758525E-2</v>
      </c>
      <c r="G86" s="706"/>
      <c r="CF86" s="735">
        <v>73</v>
      </c>
      <c r="CG86" s="736" t="s">
        <v>731</v>
      </c>
      <c r="CH86" s="745">
        <f>D63</f>
        <v>0</v>
      </c>
      <c r="CI86" s="736" t="s">
        <v>729</v>
      </c>
      <c r="CJ86" s="738" t="s">
        <v>732</v>
      </c>
      <c r="CK86" s="736" t="s">
        <v>647</v>
      </c>
      <c r="CL86" s="731"/>
      <c r="CM86" s="731"/>
      <c r="CN86" s="731"/>
      <c r="CO86" s="731"/>
      <c r="CP86" s="731"/>
      <c r="CQ86" s="731"/>
      <c r="CR86" s="731"/>
      <c r="CS86" s="731"/>
      <c r="CT86" s="731"/>
      <c r="CU86" s="731"/>
      <c r="CV86" s="731"/>
      <c r="CW86" s="731"/>
      <c r="CX86" s="731"/>
      <c r="CY86" s="731"/>
      <c r="CZ86" s="731"/>
      <c r="DA86" s="731"/>
      <c r="DB86" s="731"/>
      <c r="DC86" s="731"/>
      <c r="DD86" s="731"/>
      <c r="DE86" s="731"/>
    </row>
    <row r="87" spans="1:109" ht="22.5" x14ac:dyDescent="0.2">
      <c r="A87" s="157"/>
      <c r="B87" s="319" t="s">
        <v>77</v>
      </c>
      <c r="C87" s="220">
        <f>(D74)*4.5*D87</f>
        <v>2835360</v>
      </c>
      <c r="D87" s="272">
        <v>80</v>
      </c>
      <c r="E87" s="634">
        <f t="shared" si="72"/>
        <v>0.13393255720203875</v>
      </c>
      <c r="CF87" s="739">
        <v>74</v>
      </c>
      <c r="CG87" s="740" t="s">
        <v>733</v>
      </c>
      <c r="CH87" s="746">
        <f>E63</f>
        <v>0</v>
      </c>
      <c r="CI87" s="740" t="s">
        <v>729</v>
      </c>
      <c r="CJ87" s="742" t="s">
        <v>734</v>
      </c>
      <c r="CK87" s="740" t="s">
        <v>597</v>
      </c>
      <c r="CL87" s="731"/>
      <c r="CM87" s="731"/>
      <c r="CN87" s="731"/>
      <c r="CO87" s="731"/>
      <c r="CP87" s="731"/>
      <c r="CQ87" s="731"/>
      <c r="CR87" s="731"/>
      <c r="CS87" s="731"/>
      <c r="CT87" s="731"/>
      <c r="CU87" s="731"/>
      <c r="CV87" s="731"/>
      <c r="CW87" s="731"/>
      <c r="CX87" s="731"/>
      <c r="CY87" s="731"/>
      <c r="CZ87" s="731"/>
      <c r="DA87" s="731"/>
      <c r="DB87" s="731"/>
      <c r="DC87" s="731"/>
      <c r="DD87" s="731"/>
      <c r="DE87" s="731"/>
    </row>
    <row r="88" spans="1:109" ht="22.5" x14ac:dyDescent="0.2">
      <c r="A88" s="157"/>
      <c r="B88" s="318" t="s">
        <v>78</v>
      </c>
      <c r="C88" s="703">
        <f>D88*C110</f>
        <v>1330515.3360000001</v>
      </c>
      <c r="D88" s="116">
        <v>1.7000000000000001E-2</v>
      </c>
      <c r="E88" s="633">
        <f t="shared" si="72"/>
        <v>6.2848922657796472E-2</v>
      </c>
      <c r="X88" s="172"/>
      <c r="CF88" s="735">
        <v>75</v>
      </c>
      <c r="CG88" s="736" t="s">
        <v>735</v>
      </c>
      <c r="CH88" s="745">
        <f>F63</f>
        <v>0</v>
      </c>
      <c r="CI88" s="736" t="s">
        <v>729</v>
      </c>
      <c r="CJ88" s="738" t="s">
        <v>736</v>
      </c>
      <c r="CK88" s="736" t="s">
        <v>647</v>
      </c>
      <c r="CL88" s="731"/>
      <c r="CM88" s="731"/>
      <c r="CN88" s="731"/>
      <c r="CO88" s="731"/>
      <c r="CP88" s="731"/>
      <c r="CQ88" s="731"/>
      <c r="CR88" s="731"/>
      <c r="CS88" s="731"/>
      <c r="CT88" s="731"/>
      <c r="CU88" s="731"/>
      <c r="CV88" s="731"/>
      <c r="CW88" s="731"/>
      <c r="CX88" s="731"/>
      <c r="CY88" s="731"/>
      <c r="CZ88" s="731"/>
      <c r="DA88" s="731"/>
      <c r="DB88" s="731"/>
      <c r="DC88" s="731"/>
      <c r="DD88" s="731"/>
      <c r="DE88" s="731"/>
    </row>
    <row r="89" spans="1:109" ht="22.5" x14ac:dyDescent="0.2">
      <c r="A89" s="157"/>
      <c r="B89" s="319" t="s">
        <v>79</v>
      </c>
      <c r="C89" s="220">
        <f>D89*I59</f>
        <v>62830.559999999998</v>
      </c>
      <c r="D89" s="272">
        <v>4</v>
      </c>
      <c r="E89" s="634">
        <f t="shared" si="72"/>
        <v>2.9678973997080186E-3</v>
      </c>
      <c r="CF89" s="739">
        <v>76</v>
      </c>
      <c r="CG89" s="740" t="s">
        <v>737</v>
      </c>
      <c r="CH89" s="749">
        <f>G63</f>
        <v>0</v>
      </c>
      <c r="CI89" s="740" t="s">
        <v>729</v>
      </c>
      <c r="CJ89" s="742" t="s">
        <v>738</v>
      </c>
      <c r="CK89" s="740" t="s">
        <v>647</v>
      </c>
      <c r="CL89" s="731"/>
      <c r="CM89" s="731"/>
      <c r="CN89" s="731"/>
      <c r="CO89" s="731"/>
      <c r="CP89" s="731"/>
      <c r="CQ89" s="731"/>
      <c r="CR89" s="731"/>
      <c r="CS89" s="731"/>
      <c r="CT89" s="731"/>
      <c r="CU89" s="731"/>
      <c r="CV89" s="731"/>
      <c r="CW89" s="731"/>
      <c r="CX89" s="731"/>
      <c r="CY89" s="731"/>
      <c r="CZ89" s="731"/>
      <c r="DA89" s="731"/>
      <c r="DB89" s="731"/>
      <c r="DC89" s="731"/>
      <c r="DD89" s="731"/>
      <c r="DE89" s="731"/>
    </row>
    <row r="90" spans="1:109" ht="22.5" x14ac:dyDescent="0.2">
      <c r="A90" s="157"/>
      <c r="B90" s="318" t="s">
        <v>80</v>
      </c>
      <c r="C90" s="703">
        <f>D90*C110</f>
        <v>3913280.4000000004</v>
      </c>
      <c r="D90" s="116">
        <v>0.05</v>
      </c>
      <c r="E90" s="633">
        <f t="shared" si="72"/>
        <v>0.18484977252293081</v>
      </c>
      <c r="CF90" s="735">
        <v>77</v>
      </c>
      <c r="CG90" s="736" t="s">
        <v>739</v>
      </c>
      <c r="CH90" s="750" t="str">
        <f>H63</f>
        <v>0.00</v>
      </c>
      <c r="CI90" s="736" t="s">
        <v>729</v>
      </c>
      <c r="CJ90" s="738" t="s">
        <v>740</v>
      </c>
      <c r="CK90" s="736" t="s">
        <v>694</v>
      </c>
      <c r="CL90" s="731"/>
      <c r="CM90" s="731"/>
      <c r="CN90" s="731"/>
      <c r="CO90" s="731"/>
      <c r="CP90" s="731"/>
      <c r="CQ90" s="731"/>
      <c r="CR90" s="731"/>
      <c r="CS90" s="731"/>
      <c r="CT90" s="731"/>
      <c r="CU90" s="731"/>
      <c r="CV90" s="731"/>
      <c r="CW90" s="731"/>
      <c r="CX90" s="731"/>
      <c r="CY90" s="731"/>
      <c r="CZ90" s="731"/>
      <c r="DA90" s="731"/>
      <c r="DB90" s="731"/>
      <c r="DC90" s="731"/>
      <c r="DD90" s="731"/>
      <c r="DE90" s="731"/>
    </row>
    <row r="91" spans="1:109" ht="22.5" x14ac:dyDescent="0.2">
      <c r="A91" s="157"/>
      <c r="B91" s="319" t="s">
        <v>81</v>
      </c>
      <c r="C91" s="220">
        <f>D91*D68</f>
        <v>6149999.9999999991</v>
      </c>
      <c r="D91" s="272">
        <v>1000</v>
      </c>
      <c r="E91" s="634">
        <f t="shared" si="72"/>
        <v>0.29050463672780114</v>
      </c>
      <c r="H91" s="97"/>
      <c r="CF91" s="739">
        <v>78</v>
      </c>
      <c r="CG91" s="740" t="s">
        <v>741</v>
      </c>
      <c r="CH91" s="744">
        <f>I63</f>
        <v>0</v>
      </c>
      <c r="CI91" s="740" t="s">
        <v>729</v>
      </c>
      <c r="CJ91" s="742" t="s">
        <v>742</v>
      </c>
      <c r="CK91" s="740" t="s">
        <v>650</v>
      </c>
      <c r="CL91" s="731"/>
      <c r="CM91" s="731"/>
      <c r="CN91" s="731"/>
      <c r="CO91" s="731"/>
      <c r="CP91" s="731"/>
      <c r="CQ91" s="731"/>
      <c r="CR91" s="731"/>
      <c r="CS91" s="731"/>
      <c r="CT91" s="731"/>
      <c r="CU91" s="731"/>
      <c r="CV91" s="731"/>
      <c r="CW91" s="731"/>
      <c r="CX91" s="731"/>
      <c r="CY91" s="731"/>
      <c r="CZ91" s="731"/>
      <c r="DA91" s="731"/>
      <c r="DB91" s="731"/>
      <c r="DC91" s="731"/>
      <c r="DD91" s="731"/>
      <c r="DE91" s="731"/>
    </row>
    <row r="92" spans="1:109" ht="22.5" x14ac:dyDescent="0.2">
      <c r="A92" s="157"/>
      <c r="B92" s="320" t="s">
        <v>82</v>
      </c>
      <c r="C92" s="704">
        <f>D92*SUM(H61,H65,H66)</f>
        <v>0</v>
      </c>
      <c r="D92" s="630">
        <v>0</v>
      </c>
      <c r="E92" s="633">
        <f t="shared" si="72"/>
        <v>0</v>
      </c>
      <c r="G92" s="190"/>
      <c r="CF92" s="735">
        <v>79</v>
      </c>
      <c r="CG92" s="736" t="s">
        <v>743</v>
      </c>
      <c r="CH92" s="743">
        <f>J63</f>
        <v>0</v>
      </c>
      <c r="CI92" s="736" t="s">
        <v>729</v>
      </c>
      <c r="CJ92" s="738" t="s">
        <v>744</v>
      </c>
      <c r="CK92" s="736" t="s">
        <v>571</v>
      </c>
      <c r="CL92" s="731"/>
      <c r="CM92" s="731"/>
      <c r="CN92" s="731"/>
      <c r="CO92" s="731"/>
      <c r="CP92" s="731"/>
      <c r="CQ92" s="731"/>
      <c r="CR92" s="731"/>
      <c r="CS92" s="731"/>
      <c r="CT92" s="731"/>
      <c r="CU92" s="731"/>
      <c r="CV92" s="731"/>
      <c r="CW92" s="731"/>
      <c r="CX92" s="731"/>
      <c r="CY92" s="731"/>
      <c r="CZ92" s="731"/>
      <c r="DA92" s="731"/>
      <c r="DB92" s="731"/>
      <c r="DC92" s="731"/>
      <c r="DD92" s="731"/>
      <c r="DE92" s="731"/>
    </row>
    <row r="93" spans="1:109" ht="22.5" x14ac:dyDescent="0.2">
      <c r="A93" s="157"/>
      <c r="B93" s="319" t="s">
        <v>83</v>
      </c>
      <c r="C93" s="220">
        <f>D93*SUM(G61:G67,G69:G70)+(D93*(G68/2))</f>
        <v>912500</v>
      </c>
      <c r="D93" s="272">
        <v>12500</v>
      </c>
      <c r="E93" s="634">
        <f t="shared" si="72"/>
        <v>4.310333024619814E-2</v>
      </c>
      <c r="I93" s="643"/>
      <c r="CF93" s="739">
        <v>80</v>
      </c>
      <c r="CG93" s="740" t="s">
        <v>745</v>
      </c>
      <c r="CH93" s="751">
        <f>K63</f>
        <v>0</v>
      </c>
      <c r="CI93" s="740" t="s">
        <v>729</v>
      </c>
      <c r="CJ93" s="742" t="s">
        <v>746</v>
      </c>
      <c r="CK93" s="740" t="s">
        <v>701</v>
      </c>
      <c r="CL93" s="731"/>
      <c r="CM93" s="731"/>
      <c r="CN93" s="731"/>
      <c r="CO93" s="731"/>
      <c r="CP93" s="731"/>
      <c r="CQ93" s="731"/>
      <c r="CR93" s="731"/>
      <c r="CS93" s="731"/>
      <c r="CT93" s="731"/>
      <c r="CU93" s="731"/>
      <c r="CV93" s="731"/>
      <c r="CW93" s="731"/>
      <c r="CX93" s="731"/>
      <c r="CY93" s="731"/>
      <c r="CZ93" s="731"/>
      <c r="DA93" s="731"/>
      <c r="DB93" s="731"/>
      <c r="DC93" s="731"/>
      <c r="DD93" s="731"/>
      <c r="DE93" s="731"/>
    </row>
    <row r="94" spans="1:109" ht="22.5" x14ac:dyDescent="0.2">
      <c r="A94" s="157"/>
      <c r="B94" s="318" t="s">
        <v>84</v>
      </c>
      <c r="C94" s="703">
        <f>D94*$G$76</f>
        <v>984000</v>
      </c>
      <c r="D94" s="270">
        <v>8000</v>
      </c>
      <c r="E94" s="633">
        <f t="shared" si="72"/>
        <v>4.6480741876448184E-2</v>
      </c>
      <c r="H94" s="191"/>
      <c r="CF94" s="735">
        <v>81</v>
      </c>
      <c r="CG94" s="736" t="s">
        <v>747</v>
      </c>
      <c r="CH94" s="752">
        <f>L63</f>
        <v>0</v>
      </c>
      <c r="CI94" s="736" t="s">
        <v>729</v>
      </c>
      <c r="CJ94" s="738" t="s">
        <v>748</v>
      </c>
      <c r="CK94" s="736" t="s">
        <v>704</v>
      </c>
      <c r="CL94" s="731"/>
      <c r="CM94" s="731"/>
      <c r="CN94" s="731"/>
      <c r="CO94" s="731"/>
      <c r="CP94" s="731"/>
      <c r="CQ94" s="731"/>
      <c r="CR94" s="731"/>
      <c r="CS94" s="731"/>
      <c r="CT94" s="731"/>
      <c r="CU94" s="731"/>
      <c r="CV94" s="731"/>
      <c r="CW94" s="731"/>
      <c r="CX94" s="731"/>
      <c r="CY94" s="731"/>
      <c r="CZ94" s="731"/>
      <c r="DA94" s="731"/>
      <c r="DB94" s="731"/>
      <c r="DC94" s="731"/>
      <c r="DD94" s="731"/>
      <c r="DE94" s="731"/>
    </row>
    <row r="95" spans="1:109" ht="22.5" x14ac:dyDescent="0.2">
      <c r="A95" s="157"/>
      <c r="B95" s="319" t="s">
        <v>85</v>
      </c>
      <c r="C95" s="220">
        <f>D95*(C129+C130)</f>
        <v>18000</v>
      </c>
      <c r="D95" s="272">
        <v>1500</v>
      </c>
      <c r="E95" s="634">
        <f t="shared" si="72"/>
        <v>8.5025747334966197E-4</v>
      </c>
      <c r="H95" s="191"/>
      <c r="CF95" s="734" t="s">
        <v>749</v>
      </c>
      <c r="CG95" s="734"/>
      <c r="CH95" s="734"/>
      <c r="CI95" s="734"/>
      <c r="CJ95" s="734"/>
      <c r="CK95" s="734"/>
      <c r="CL95" s="731"/>
      <c r="CM95" s="731"/>
      <c r="CN95" s="731"/>
      <c r="CO95" s="731"/>
      <c r="CP95" s="731"/>
      <c r="CQ95" s="731"/>
      <c r="CR95" s="731"/>
      <c r="CS95" s="731"/>
      <c r="CT95" s="731"/>
      <c r="CU95" s="731"/>
      <c r="CV95" s="731"/>
      <c r="CW95" s="731"/>
      <c r="CX95" s="731"/>
      <c r="CY95" s="731"/>
      <c r="CZ95" s="731"/>
      <c r="DA95" s="731"/>
      <c r="DB95" s="731"/>
      <c r="DC95" s="731"/>
      <c r="DD95" s="731"/>
      <c r="DE95" s="731"/>
    </row>
    <row r="96" spans="1:109" ht="22.5" x14ac:dyDescent="0.2">
      <c r="A96" s="157"/>
      <c r="B96" s="318" t="s">
        <v>86</v>
      </c>
      <c r="C96" s="703">
        <f>D96*(G61+G62)</f>
        <v>299000</v>
      </c>
      <c r="D96" s="270">
        <v>13000</v>
      </c>
      <c r="E96" s="633">
        <f t="shared" si="72"/>
        <v>1.4123721362863828E-2</v>
      </c>
      <c r="H96" s="191"/>
      <c r="I96" s="643"/>
      <c r="CF96" s="739">
        <v>82</v>
      </c>
      <c r="CG96" s="740" t="s">
        <v>750</v>
      </c>
      <c r="CH96" s="746">
        <f>C64</f>
        <v>0</v>
      </c>
      <c r="CI96" s="740" t="s">
        <v>751</v>
      </c>
      <c r="CJ96" s="742" t="s">
        <v>752</v>
      </c>
      <c r="CK96" s="740" t="s">
        <v>597</v>
      </c>
      <c r="CL96" s="731"/>
      <c r="CM96" s="731"/>
      <c r="CN96" s="731"/>
      <c r="CO96" s="731"/>
      <c r="CP96" s="731"/>
      <c r="CQ96" s="731"/>
      <c r="CR96" s="731"/>
      <c r="CS96" s="731"/>
      <c r="CT96" s="731"/>
      <c r="CU96" s="731"/>
      <c r="CV96" s="731"/>
      <c r="CW96" s="731"/>
      <c r="CX96" s="731"/>
      <c r="CY96" s="731"/>
      <c r="CZ96" s="731"/>
      <c r="DA96" s="731"/>
      <c r="DB96" s="731"/>
      <c r="DC96" s="731"/>
      <c r="DD96" s="731"/>
      <c r="DE96" s="731"/>
    </row>
    <row r="97" spans="1:109" ht="22.5" x14ac:dyDescent="0.2">
      <c r="A97" s="157"/>
      <c r="B97" s="319" t="s">
        <v>87</v>
      </c>
      <c r="C97" s="220">
        <f>D97*C110</f>
        <v>1173984.1199999999</v>
      </c>
      <c r="D97" s="117">
        <v>1.4999999999999999E-2</v>
      </c>
      <c r="E97" s="634">
        <f t="shared" si="72"/>
        <v>5.5454931756879232E-2</v>
      </c>
      <c r="H97" s="191"/>
      <c r="CF97" s="735">
        <v>83</v>
      </c>
      <c r="CG97" s="736" t="s">
        <v>753</v>
      </c>
      <c r="CH97" s="745">
        <f>D64</f>
        <v>0</v>
      </c>
      <c r="CI97" s="736" t="s">
        <v>751</v>
      </c>
      <c r="CJ97" s="738" t="s">
        <v>754</v>
      </c>
      <c r="CK97" s="736" t="s">
        <v>647</v>
      </c>
      <c r="CL97" s="731"/>
      <c r="CM97" s="731"/>
      <c r="CN97" s="731"/>
      <c r="CO97" s="731"/>
      <c r="CP97" s="731"/>
      <c r="CQ97" s="731"/>
      <c r="CR97" s="731"/>
      <c r="CS97" s="731"/>
      <c r="CT97" s="731"/>
      <c r="CU97" s="731"/>
      <c r="CV97" s="731"/>
      <c r="CW97" s="731"/>
      <c r="CX97" s="731"/>
      <c r="CY97" s="731"/>
      <c r="CZ97" s="731"/>
      <c r="DA97" s="731"/>
      <c r="DB97" s="731"/>
      <c r="DC97" s="731"/>
      <c r="DD97" s="731"/>
      <c r="DE97" s="731"/>
    </row>
    <row r="98" spans="1:109" ht="22.5" x14ac:dyDescent="0.2">
      <c r="A98" s="157"/>
      <c r="B98" s="318" t="s">
        <v>425</v>
      </c>
      <c r="C98" s="703">
        <f>D98*(J139+M157)</f>
        <v>46954.910520000005</v>
      </c>
      <c r="D98" s="116">
        <v>0.02</v>
      </c>
      <c r="E98" s="633">
        <f t="shared" si="72"/>
        <v>2.2179868655608148E-3</v>
      </c>
      <c r="H98" s="191"/>
      <c r="CF98" s="739">
        <v>84</v>
      </c>
      <c r="CG98" s="740" t="s">
        <v>755</v>
      </c>
      <c r="CH98" s="746">
        <f>E64</f>
        <v>0</v>
      </c>
      <c r="CI98" s="740" t="s">
        <v>751</v>
      </c>
      <c r="CJ98" s="742" t="s">
        <v>756</v>
      </c>
      <c r="CK98" s="740" t="s">
        <v>597</v>
      </c>
      <c r="CL98" s="731"/>
      <c r="CM98" s="731"/>
      <c r="CN98" s="731"/>
      <c r="CO98" s="731"/>
      <c r="CP98" s="731"/>
      <c r="CQ98" s="731"/>
      <c r="CR98" s="731"/>
      <c r="CS98" s="731"/>
      <c r="CT98" s="731"/>
      <c r="CU98" s="731"/>
      <c r="CV98" s="731"/>
      <c r="CW98" s="731"/>
      <c r="CX98" s="731"/>
      <c r="CY98" s="731"/>
      <c r="CZ98" s="731"/>
      <c r="DA98" s="731"/>
      <c r="DB98" s="731"/>
      <c r="DC98" s="731"/>
      <c r="DD98" s="731"/>
      <c r="DE98" s="731"/>
    </row>
    <row r="99" spans="1:109" ht="22.5" x14ac:dyDescent="0.2">
      <c r="A99" s="157"/>
      <c r="B99" s="321" t="s">
        <v>426</v>
      </c>
      <c r="C99" s="704">
        <f>D99*(SUM(C185:C186))</f>
        <v>952952.44319999998</v>
      </c>
      <c r="D99" s="189">
        <v>0.04</v>
      </c>
      <c r="E99" s="634">
        <f t="shared" si="72"/>
        <v>4.5014163143201065E-2</v>
      </c>
      <c r="H99" s="191"/>
      <c r="CF99" s="735">
        <v>85</v>
      </c>
      <c r="CG99" s="736" t="s">
        <v>757</v>
      </c>
      <c r="CH99" s="745">
        <f>F64</f>
        <v>0</v>
      </c>
      <c r="CI99" s="736" t="s">
        <v>751</v>
      </c>
      <c r="CJ99" s="738" t="s">
        <v>758</v>
      </c>
      <c r="CK99" s="736" t="s">
        <v>647</v>
      </c>
      <c r="CL99" s="731"/>
      <c r="CM99" s="731"/>
      <c r="CN99" s="731"/>
      <c r="CO99" s="731"/>
      <c r="CP99" s="731"/>
      <c r="CQ99" s="731"/>
      <c r="CR99" s="731"/>
      <c r="CS99" s="731"/>
      <c r="CT99" s="731"/>
      <c r="CU99" s="731"/>
      <c r="CV99" s="731"/>
      <c r="CW99" s="731"/>
      <c r="CX99" s="731"/>
      <c r="CY99" s="731"/>
      <c r="CZ99" s="731"/>
      <c r="DA99" s="731"/>
      <c r="DB99" s="731"/>
      <c r="DC99" s="731"/>
      <c r="DD99" s="731"/>
      <c r="DE99" s="731"/>
    </row>
    <row r="100" spans="1:109" ht="22.5" x14ac:dyDescent="0.2">
      <c r="A100" s="157"/>
      <c r="B100" s="318" t="s">
        <v>271</v>
      </c>
      <c r="C100" s="703">
        <f>D100*Y139</f>
        <v>0</v>
      </c>
      <c r="D100" s="116">
        <v>0</v>
      </c>
      <c r="E100" s="633">
        <f t="shared" si="72"/>
        <v>0</v>
      </c>
      <c r="H100" s="191"/>
      <c r="CF100" s="739">
        <v>86</v>
      </c>
      <c r="CG100" s="740" t="s">
        <v>759</v>
      </c>
      <c r="CH100" s="749">
        <f>G64</f>
        <v>0</v>
      </c>
      <c r="CI100" s="740" t="s">
        <v>751</v>
      </c>
      <c r="CJ100" s="742" t="s">
        <v>760</v>
      </c>
      <c r="CK100" s="740" t="s">
        <v>647</v>
      </c>
      <c r="CL100" s="731"/>
      <c r="CM100" s="731"/>
      <c r="CN100" s="731"/>
      <c r="CO100" s="731"/>
      <c r="CP100" s="731"/>
      <c r="CQ100" s="731"/>
      <c r="CR100" s="731"/>
      <c r="CS100" s="731"/>
      <c r="CT100" s="731"/>
      <c r="CU100" s="731"/>
      <c r="CV100" s="731"/>
      <c r="CW100" s="731"/>
      <c r="CX100" s="731"/>
      <c r="CY100" s="731"/>
      <c r="CZ100" s="731"/>
      <c r="DA100" s="731"/>
      <c r="DB100" s="731"/>
      <c r="DC100" s="731"/>
      <c r="DD100" s="731"/>
      <c r="DE100" s="731"/>
    </row>
    <row r="101" spans="1:109" ht="23.25" thickBot="1" x14ac:dyDescent="0.25">
      <c r="A101" s="157"/>
      <c r="B101" s="319" t="s">
        <v>88</v>
      </c>
      <c r="C101" s="220">
        <f>D101*C110</f>
        <v>1956640.2000000002</v>
      </c>
      <c r="D101" s="117">
        <v>2.5000000000000001E-2</v>
      </c>
      <c r="E101" s="635">
        <f t="shared" si="72"/>
        <v>9.2424886261465403E-2</v>
      </c>
      <c r="H101" s="191"/>
      <c r="CF101" s="735">
        <v>87</v>
      </c>
      <c r="CG101" s="736" t="s">
        <v>761</v>
      </c>
      <c r="CH101" s="750" t="str">
        <f>H64</f>
        <v>0.00</v>
      </c>
      <c r="CI101" s="736" t="s">
        <v>751</v>
      </c>
      <c r="CJ101" s="738" t="s">
        <v>762</v>
      </c>
      <c r="CK101" s="736" t="s">
        <v>694</v>
      </c>
      <c r="CL101" s="731"/>
      <c r="CM101" s="731"/>
      <c r="CN101" s="731"/>
      <c r="CO101" s="731"/>
      <c r="CP101" s="731"/>
      <c r="CQ101" s="731"/>
      <c r="CR101" s="731"/>
      <c r="CS101" s="731"/>
      <c r="CT101" s="731"/>
      <c r="CU101" s="731"/>
      <c r="CV101" s="731"/>
      <c r="CW101" s="731"/>
      <c r="CX101" s="731"/>
      <c r="CY101" s="731"/>
      <c r="CZ101" s="731"/>
      <c r="DA101" s="731"/>
      <c r="DB101" s="731"/>
      <c r="DC101" s="731"/>
      <c r="DD101" s="731"/>
      <c r="DE101" s="731"/>
    </row>
    <row r="102" spans="1:109" ht="23.25" thickBot="1" x14ac:dyDescent="0.25">
      <c r="A102" s="172"/>
      <c r="B102" s="322" t="s">
        <v>89</v>
      </c>
      <c r="C102" s="867">
        <f>SUMIF(C86:C101, "&lt;&gt;#DIV/0!")</f>
        <v>21170057.969719999</v>
      </c>
      <c r="D102" s="868"/>
      <c r="E102" s="723"/>
      <c r="H102" s="191"/>
      <c r="CF102" s="739">
        <v>88</v>
      </c>
      <c r="CG102" s="740" t="s">
        <v>763</v>
      </c>
      <c r="CH102" s="744">
        <f>I64</f>
        <v>0</v>
      </c>
      <c r="CI102" s="740" t="s">
        <v>751</v>
      </c>
      <c r="CJ102" s="742" t="s">
        <v>764</v>
      </c>
      <c r="CK102" s="740" t="s">
        <v>650</v>
      </c>
      <c r="CL102" s="731"/>
      <c r="CM102" s="731"/>
      <c r="CN102" s="731"/>
      <c r="CO102" s="731"/>
      <c r="CP102" s="731"/>
      <c r="CQ102" s="731"/>
      <c r="CR102" s="731"/>
      <c r="CS102" s="731"/>
      <c r="CT102" s="731"/>
      <c r="CU102" s="731"/>
      <c r="CV102" s="731"/>
      <c r="CW102" s="731"/>
      <c r="CX102" s="731"/>
      <c r="CY102" s="731"/>
      <c r="CZ102" s="731"/>
      <c r="DA102" s="731"/>
      <c r="DB102" s="731"/>
      <c r="DC102" s="731"/>
      <c r="DD102" s="731"/>
      <c r="DE102" s="731"/>
    </row>
    <row r="103" spans="1:109" ht="12.75" x14ac:dyDescent="0.2">
      <c r="A103" s="172"/>
      <c r="B103" s="869" t="s">
        <v>90</v>
      </c>
      <c r="C103" s="870"/>
      <c r="D103" s="871"/>
      <c r="H103" s="191"/>
      <c r="CF103" s="735">
        <v>89</v>
      </c>
      <c r="CG103" s="736" t="s">
        <v>765</v>
      </c>
      <c r="CH103" s="743">
        <f>J64</f>
        <v>0</v>
      </c>
      <c r="CI103" s="736" t="s">
        <v>751</v>
      </c>
      <c r="CJ103" s="738" t="s">
        <v>766</v>
      </c>
      <c r="CK103" s="736" t="s">
        <v>571</v>
      </c>
      <c r="CL103" s="731"/>
      <c r="CM103" s="731"/>
      <c r="CN103" s="731"/>
      <c r="CO103" s="731"/>
      <c r="CP103" s="731"/>
      <c r="CQ103" s="731"/>
      <c r="CR103" s="731"/>
      <c r="CS103" s="731"/>
      <c r="CT103" s="731"/>
      <c r="CU103" s="731"/>
      <c r="CV103" s="731"/>
      <c r="CW103" s="731"/>
      <c r="CX103" s="731"/>
      <c r="CY103" s="731"/>
      <c r="CZ103" s="731"/>
      <c r="DA103" s="731"/>
      <c r="DB103" s="731"/>
      <c r="DC103" s="731"/>
      <c r="DD103" s="731"/>
      <c r="DE103" s="731"/>
    </row>
    <row r="104" spans="1:109" ht="22.5" x14ac:dyDescent="0.2">
      <c r="A104" s="172"/>
      <c r="B104" s="321" t="s">
        <v>91</v>
      </c>
      <c r="C104" s="267">
        <f>D104*C110</f>
        <v>11739841.199999999</v>
      </c>
      <c r="D104" s="23">
        <v>0.15</v>
      </c>
      <c r="E104" s="637"/>
      <c r="H104" s="190"/>
      <c r="CF104" s="739">
        <v>90</v>
      </c>
      <c r="CG104" s="740" t="s">
        <v>767</v>
      </c>
      <c r="CH104" s="751">
        <f>K64</f>
        <v>0</v>
      </c>
      <c r="CI104" s="740" t="s">
        <v>751</v>
      </c>
      <c r="CJ104" s="742" t="s">
        <v>768</v>
      </c>
      <c r="CK104" s="740" t="s">
        <v>701</v>
      </c>
      <c r="CL104" s="731"/>
      <c r="CM104" s="731"/>
      <c r="CN104" s="731"/>
      <c r="CO104" s="731"/>
      <c r="CP104" s="731"/>
      <c r="CQ104" s="731"/>
      <c r="CR104" s="731"/>
      <c r="CS104" s="731"/>
      <c r="CT104" s="731"/>
      <c r="CU104" s="731"/>
      <c r="CV104" s="731"/>
      <c r="CW104" s="731"/>
      <c r="CX104" s="731"/>
      <c r="CY104" s="731"/>
      <c r="CZ104" s="731"/>
      <c r="DA104" s="731"/>
      <c r="DB104" s="731"/>
      <c r="DC104" s="731"/>
      <c r="DD104" s="731"/>
      <c r="DE104" s="731"/>
    </row>
    <row r="105" spans="1:109" ht="22.5" x14ac:dyDescent="0.2">
      <c r="A105" s="172"/>
      <c r="B105" s="405" t="s">
        <v>92</v>
      </c>
      <c r="C105" s="1015">
        <f>-E331</f>
        <v>9214816</v>
      </c>
      <c r="D105" s="1016"/>
      <c r="E105" s="631"/>
      <c r="H105" s="190"/>
      <c r="CF105" s="735">
        <v>91</v>
      </c>
      <c r="CG105" s="736" t="s">
        <v>769</v>
      </c>
      <c r="CH105" s="752">
        <f>L64</f>
        <v>0</v>
      </c>
      <c r="CI105" s="736" t="s">
        <v>751</v>
      </c>
      <c r="CJ105" s="738" t="s">
        <v>770</v>
      </c>
      <c r="CK105" s="736" t="s">
        <v>704</v>
      </c>
      <c r="CL105" s="731"/>
      <c r="CM105" s="731"/>
      <c r="CN105" s="731"/>
      <c r="CO105" s="731"/>
      <c r="CP105" s="731"/>
      <c r="CQ105" s="731"/>
      <c r="CR105" s="731"/>
      <c r="CS105" s="731"/>
      <c r="CT105" s="731"/>
      <c r="CU105" s="731"/>
      <c r="CV105" s="731"/>
      <c r="CW105" s="731"/>
      <c r="CX105" s="731"/>
      <c r="CY105" s="731"/>
      <c r="CZ105" s="731"/>
      <c r="DA105" s="731"/>
      <c r="DB105" s="731"/>
      <c r="DC105" s="731"/>
      <c r="DD105" s="731"/>
      <c r="DE105" s="731"/>
    </row>
    <row r="106" spans="1:109" ht="22.5" x14ac:dyDescent="0.2">
      <c r="A106" s="172"/>
      <c r="B106" s="318" t="s">
        <v>93</v>
      </c>
      <c r="C106" s="816">
        <f>-E215</f>
        <v>1360000</v>
      </c>
      <c r="D106" s="817"/>
      <c r="E106" s="172"/>
      <c r="H106" s="190"/>
      <c r="CF106" s="734" t="s">
        <v>771</v>
      </c>
      <c r="CG106" s="734"/>
      <c r="CH106" s="734"/>
      <c r="CI106" s="734"/>
      <c r="CJ106" s="734"/>
      <c r="CK106" s="734"/>
      <c r="CL106" s="731"/>
      <c r="CM106" s="731"/>
      <c r="CN106" s="731"/>
      <c r="CO106" s="731"/>
      <c r="CP106" s="731"/>
      <c r="CQ106" s="731"/>
      <c r="CR106" s="731"/>
      <c r="CS106" s="731"/>
      <c r="CT106" s="731"/>
      <c r="CU106" s="731"/>
      <c r="CV106" s="731"/>
      <c r="CW106" s="731"/>
      <c r="CX106" s="731"/>
      <c r="CY106" s="731"/>
      <c r="CZ106" s="731"/>
      <c r="DA106" s="731"/>
      <c r="DB106" s="731"/>
      <c r="DC106" s="731"/>
      <c r="DD106" s="731"/>
      <c r="DE106" s="731"/>
    </row>
    <row r="107" spans="1:109" ht="23.25" thickBot="1" x14ac:dyDescent="0.25">
      <c r="A107" s="172"/>
      <c r="B107" s="323" t="s">
        <v>94</v>
      </c>
      <c r="C107" s="872">
        <f>SUM(C104,C105,C106)</f>
        <v>22314657.199999999</v>
      </c>
      <c r="D107" s="873"/>
      <c r="E107" s="176"/>
      <c r="G107" s="657"/>
      <c r="H107" s="192"/>
      <c r="I107" s="172"/>
      <c r="K107" s="172"/>
      <c r="L107" s="172"/>
      <c r="M107" s="172"/>
      <c r="N107" s="172"/>
      <c r="O107" s="172"/>
      <c r="P107" s="172"/>
      <c r="Q107" s="172"/>
      <c r="CF107" s="739">
        <v>92</v>
      </c>
      <c r="CG107" s="740" t="s">
        <v>772</v>
      </c>
      <c r="CH107" s="746">
        <f>C65</f>
        <v>0</v>
      </c>
      <c r="CI107" s="740" t="s">
        <v>773</v>
      </c>
      <c r="CJ107" s="742" t="s">
        <v>774</v>
      </c>
      <c r="CK107" s="740" t="s">
        <v>597</v>
      </c>
      <c r="CL107" s="731"/>
      <c r="CM107" s="731"/>
      <c r="CN107" s="731"/>
      <c r="CO107" s="731"/>
      <c r="CP107" s="731"/>
      <c r="CQ107" s="731"/>
      <c r="CR107" s="731"/>
      <c r="CS107" s="731"/>
      <c r="CT107" s="731"/>
      <c r="CU107" s="731"/>
      <c r="CV107" s="731"/>
      <c r="CW107" s="731"/>
      <c r="CX107" s="731"/>
      <c r="CY107" s="731"/>
      <c r="CZ107" s="731"/>
      <c r="DA107" s="731"/>
      <c r="DB107" s="731"/>
      <c r="DC107" s="731"/>
      <c r="DD107" s="731"/>
      <c r="DE107" s="731"/>
    </row>
    <row r="108" spans="1:109" ht="12.75" x14ac:dyDescent="0.2">
      <c r="A108" s="172"/>
      <c r="B108" s="869" t="s">
        <v>95</v>
      </c>
      <c r="C108" s="870"/>
      <c r="D108" s="871"/>
      <c r="E108" s="176"/>
      <c r="G108" s="176"/>
      <c r="H108" s="190"/>
      <c r="I108" s="172"/>
      <c r="Q108" s="172"/>
      <c r="CF108" s="735">
        <v>93</v>
      </c>
      <c r="CG108" s="736" t="s">
        <v>775</v>
      </c>
      <c r="CH108" s="745">
        <f>D65</f>
        <v>0</v>
      </c>
      <c r="CI108" s="736" t="s">
        <v>773</v>
      </c>
      <c r="CJ108" s="738" t="s">
        <v>776</v>
      </c>
      <c r="CK108" s="736" t="s">
        <v>647</v>
      </c>
      <c r="CL108" s="731"/>
      <c r="CM108" s="731"/>
      <c r="CN108" s="731"/>
      <c r="CO108" s="731"/>
      <c r="CP108" s="731"/>
      <c r="CQ108" s="731"/>
      <c r="CR108" s="731"/>
      <c r="CS108" s="731"/>
      <c r="CT108" s="731"/>
      <c r="CU108" s="731"/>
      <c r="CV108" s="731"/>
      <c r="CW108" s="731"/>
      <c r="CX108" s="731"/>
      <c r="CY108" s="731"/>
      <c r="CZ108" s="731"/>
      <c r="DA108" s="731"/>
      <c r="DB108" s="731"/>
      <c r="DC108" s="731"/>
      <c r="DD108" s="731"/>
      <c r="DE108" s="731"/>
    </row>
    <row r="109" spans="1:109" ht="22.5" x14ac:dyDescent="0.2">
      <c r="A109" s="172"/>
      <c r="B109" s="318" t="s">
        <v>96</v>
      </c>
      <c r="C109" s="816">
        <f>I49</f>
        <v>91847824</v>
      </c>
      <c r="D109" s="817"/>
      <c r="E109" s="181"/>
      <c r="G109" s="182"/>
      <c r="H109" s="190"/>
      <c r="Q109" s="172"/>
      <c r="CF109" s="739">
        <v>94</v>
      </c>
      <c r="CG109" s="740" t="s">
        <v>777</v>
      </c>
      <c r="CH109" s="746">
        <f>E65</f>
        <v>0</v>
      </c>
      <c r="CI109" s="740" t="s">
        <v>773</v>
      </c>
      <c r="CJ109" s="742" t="s">
        <v>778</v>
      </c>
      <c r="CK109" s="740" t="s">
        <v>597</v>
      </c>
      <c r="CL109" s="731"/>
      <c r="CM109" s="731"/>
      <c r="CN109" s="731"/>
      <c r="CO109" s="731"/>
      <c r="CP109" s="731"/>
      <c r="CQ109" s="731"/>
      <c r="CR109" s="731"/>
      <c r="CS109" s="731"/>
      <c r="CT109" s="731"/>
      <c r="CU109" s="731"/>
      <c r="CV109" s="731"/>
      <c r="CW109" s="731"/>
      <c r="CX109" s="731"/>
      <c r="CY109" s="731"/>
      <c r="CZ109" s="731"/>
      <c r="DA109" s="731"/>
      <c r="DB109" s="731"/>
      <c r="DC109" s="731"/>
      <c r="DD109" s="731"/>
      <c r="DE109" s="731"/>
    </row>
    <row r="110" spans="1:109" ht="22.5" x14ac:dyDescent="0.2">
      <c r="A110" s="172"/>
      <c r="B110" s="319" t="s">
        <v>97</v>
      </c>
      <c r="C110" s="825">
        <f>J76</f>
        <v>78265608</v>
      </c>
      <c r="D110" s="826"/>
      <c r="E110" s="172"/>
      <c r="CF110" s="735">
        <v>95</v>
      </c>
      <c r="CG110" s="736" t="s">
        <v>779</v>
      </c>
      <c r="CH110" s="745">
        <f>F65</f>
        <v>0</v>
      </c>
      <c r="CI110" s="736" t="s">
        <v>773</v>
      </c>
      <c r="CJ110" s="738" t="s">
        <v>780</v>
      </c>
      <c r="CK110" s="736" t="s">
        <v>647</v>
      </c>
      <c r="CL110" s="731"/>
      <c r="CM110" s="731"/>
      <c r="CN110" s="731"/>
      <c r="CO110" s="731"/>
      <c r="CP110" s="731"/>
      <c r="CQ110" s="731"/>
      <c r="CR110" s="731"/>
      <c r="CS110" s="731"/>
      <c r="CT110" s="731"/>
      <c r="CU110" s="731"/>
      <c r="CV110" s="731"/>
      <c r="CW110" s="731"/>
      <c r="CX110" s="731"/>
      <c r="CY110" s="731"/>
      <c r="CZ110" s="731"/>
      <c r="DA110" s="731"/>
      <c r="DB110" s="731"/>
      <c r="DC110" s="731"/>
      <c r="DD110" s="731"/>
      <c r="DE110" s="731"/>
    </row>
    <row r="111" spans="1:109" ht="22.5" x14ac:dyDescent="0.2">
      <c r="A111" s="172"/>
      <c r="B111" s="318" t="s">
        <v>99</v>
      </c>
      <c r="C111" s="816">
        <f>C102</f>
        <v>21170057.969719999</v>
      </c>
      <c r="D111" s="817"/>
      <c r="E111" s="172"/>
      <c r="CF111" s="739">
        <v>96</v>
      </c>
      <c r="CG111" s="740" t="s">
        <v>781</v>
      </c>
      <c r="CH111" s="749">
        <f>G65</f>
        <v>0</v>
      </c>
      <c r="CI111" s="740" t="s">
        <v>773</v>
      </c>
      <c r="CJ111" s="742" t="s">
        <v>782</v>
      </c>
      <c r="CK111" s="740" t="s">
        <v>647</v>
      </c>
      <c r="CL111" s="731"/>
      <c r="CM111" s="731"/>
      <c r="CN111" s="731"/>
      <c r="CO111" s="731"/>
      <c r="CP111" s="731"/>
      <c r="CQ111" s="731"/>
      <c r="CR111" s="731"/>
      <c r="CS111" s="731"/>
      <c r="CT111" s="731"/>
      <c r="CU111" s="731"/>
      <c r="CV111" s="731"/>
      <c r="CW111" s="731"/>
      <c r="CX111" s="731"/>
      <c r="CY111" s="731"/>
      <c r="CZ111" s="731"/>
      <c r="DA111" s="731"/>
      <c r="DB111" s="731"/>
      <c r="DC111" s="731"/>
      <c r="DD111" s="731"/>
      <c r="DE111" s="731"/>
    </row>
    <row r="112" spans="1:109" ht="22.5" x14ac:dyDescent="0.2">
      <c r="A112" s="172"/>
      <c r="B112" s="319" t="s">
        <v>101</v>
      </c>
      <c r="C112" s="825">
        <f>C110+C111</f>
        <v>99435665.969720006</v>
      </c>
      <c r="D112" s="826"/>
      <c r="E112" s="172"/>
      <c r="CF112" s="735">
        <v>97</v>
      </c>
      <c r="CG112" s="736" t="s">
        <v>783</v>
      </c>
      <c r="CH112" s="750" t="str">
        <f>H65</f>
        <v>0.00</v>
      </c>
      <c r="CI112" s="736" t="s">
        <v>773</v>
      </c>
      <c r="CJ112" s="738" t="s">
        <v>784</v>
      </c>
      <c r="CK112" s="736" t="s">
        <v>694</v>
      </c>
      <c r="CL112" s="731"/>
      <c r="CM112" s="731"/>
      <c r="CN112" s="731"/>
      <c r="CO112" s="731"/>
      <c r="CP112" s="731"/>
      <c r="CQ112" s="731"/>
      <c r="CR112" s="731"/>
      <c r="CS112" s="731"/>
      <c r="CT112" s="731"/>
      <c r="CU112" s="731"/>
      <c r="CV112" s="731"/>
      <c r="CW112" s="731"/>
      <c r="CX112" s="731"/>
      <c r="CY112" s="731"/>
      <c r="CZ112" s="731"/>
      <c r="DA112" s="731"/>
      <c r="DB112" s="731"/>
      <c r="DC112" s="731"/>
      <c r="DD112" s="731"/>
      <c r="DE112" s="731"/>
    </row>
    <row r="113" spans="1:109" ht="22.5" x14ac:dyDescent="0.2">
      <c r="A113" s="172"/>
      <c r="B113" s="318" t="s">
        <v>103</v>
      </c>
      <c r="C113" s="816">
        <f>C107</f>
        <v>22314657.199999999</v>
      </c>
      <c r="D113" s="817"/>
      <c r="E113" s="172"/>
      <c r="CF113" s="739">
        <v>98</v>
      </c>
      <c r="CG113" s="740" t="s">
        <v>785</v>
      </c>
      <c r="CH113" s="744">
        <f>I65</f>
        <v>0</v>
      </c>
      <c r="CI113" s="740" t="s">
        <v>773</v>
      </c>
      <c r="CJ113" s="742" t="s">
        <v>786</v>
      </c>
      <c r="CK113" s="740" t="s">
        <v>650</v>
      </c>
      <c r="CL113" s="731"/>
      <c r="CM113" s="731"/>
      <c r="CN113" s="731"/>
      <c r="CO113" s="731"/>
      <c r="CP113" s="731"/>
      <c r="CQ113" s="731"/>
      <c r="CR113" s="731"/>
      <c r="CS113" s="731"/>
      <c r="CT113" s="731"/>
      <c r="CU113" s="731"/>
      <c r="CV113" s="731"/>
      <c r="CW113" s="731"/>
      <c r="CX113" s="731"/>
      <c r="CY113" s="731"/>
      <c r="CZ113" s="731"/>
      <c r="DA113" s="731"/>
      <c r="DB113" s="731"/>
      <c r="DC113" s="731"/>
      <c r="DD113" s="731"/>
      <c r="DE113" s="731"/>
    </row>
    <row r="114" spans="1:109" ht="22.5" x14ac:dyDescent="0.2">
      <c r="A114" s="172"/>
      <c r="B114" s="319" t="s">
        <v>291</v>
      </c>
      <c r="C114" s="825">
        <f>-E213</f>
        <v>6529315.5539999995</v>
      </c>
      <c r="D114" s="826"/>
      <c r="E114" s="172"/>
      <c r="CF114" s="735">
        <v>99</v>
      </c>
      <c r="CG114" s="736" t="s">
        <v>787</v>
      </c>
      <c r="CH114" s="743">
        <f>J65</f>
        <v>0</v>
      </c>
      <c r="CI114" s="736" t="s">
        <v>773</v>
      </c>
      <c r="CJ114" s="738" t="s">
        <v>788</v>
      </c>
      <c r="CK114" s="736" t="s">
        <v>571</v>
      </c>
      <c r="CL114" s="731"/>
      <c r="CM114" s="731"/>
      <c r="CN114" s="731"/>
      <c r="CO114" s="731"/>
      <c r="CP114" s="731"/>
      <c r="CQ114" s="731"/>
      <c r="CR114" s="731"/>
      <c r="CS114" s="731"/>
      <c r="CT114" s="731"/>
      <c r="CU114" s="731"/>
      <c r="CV114" s="731"/>
      <c r="CW114" s="731"/>
      <c r="CX114" s="731"/>
      <c r="CY114" s="731"/>
      <c r="CZ114" s="731"/>
      <c r="DA114" s="731"/>
      <c r="DB114" s="731"/>
      <c r="DC114" s="731"/>
      <c r="DD114" s="731"/>
      <c r="DE114" s="731"/>
    </row>
    <row r="115" spans="1:109" ht="22.5" x14ac:dyDescent="0.2">
      <c r="A115" s="172"/>
      <c r="B115" s="318" t="s">
        <v>452</v>
      </c>
      <c r="C115" s="1022">
        <f>SUM(C109:D111,C113,C119,C114)</f>
        <v>227269365.99746802</v>
      </c>
      <c r="D115" s="1023"/>
      <c r="E115" s="172"/>
      <c r="F115" s="200"/>
      <c r="K115" s="97"/>
      <c r="CF115" s="739">
        <v>100</v>
      </c>
      <c r="CG115" s="740" t="s">
        <v>789</v>
      </c>
      <c r="CH115" s="751">
        <f>K65</f>
        <v>0</v>
      </c>
      <c r="CI115" s="740" t="s">
        <v>773</v>
      </c>
      <c r="CJ115" s="742" t="s">
        <v>790</v>
      </c>
      <c r="CK115" s="740" t="s">
        <v>701</v>
      </c>
      <c r="CL115" s="731"/>
      <c r="CM115" s="731"/>
      <c r="CN115" s="731"/>
      <c r="CO115" s="731"/>
      <c r="CP115" s="731"/>
      <c r="CQ115" s="731"/>
      <c r="CR115" s="731"/>
      <c r="CS115" s="731"/>
      <c r="CT115" s="731"/>
      <c r="CU115" s="731"/>
      <c r="CV115" s="731"/>
      <c r="CW115" s="731"/>
      <c r="CX115" s="731"/>
      <c r="CY115" s="731"/>
      <c r="CZ115" s="731"/>
      <c r="DA115" s="731"/>
      <c r="DB115" s="731"/>
      <c r="DC115" s="731"/>
      <c r="DD115" s="731"/>
      <c r="DE115" s="731"/>
    </row>
    <row r="116" spans="1:109" ht="23.25" thickBot="1" x14ac:dyDescent="0.25">
      <c r="A116" s="172"/>
      <c r="B116" s="324" t="s">
        <v>106</v>
      </c>
      <c r="C116" s="1029">
        <f>H24</f>
        <v>108409600</v>
      </c>
      <c r="D116" s="1030"/>
      <c r="E116" s="172"/>
      <c r="G116" s="97"/>
      <c r="K116" s="97"/>
      <c r="CF116" s="735">
        <v>101</v>
      </c>
      <c r="CG116" s="736" t="s">
        <v>791</v>
      </c>
      <c r="CH116" s="752">
        <f>L65</f>
        <v>1</v>
      </c>
      <c r="CI116" s="736" t="s">
        <v>773</v>
      </c>
      <c r="CJ116" s="738" t="s">
        <v>792</v>
      </c>
      <c r="CK116" s="736" t="s">
        <v>704</v>
      </c>
      <c r="CL116" s="731"/>
      <c r="CM116" s="731"/>
      <c r="CN116" s="731"/>
      <c r="CO116" s="731"/>
      <c r="CP116" s="731"/>
      <c r="CQ116" s="731"/>
      <c r="CR116" s="731"/>
      <c r="CS116" s="731"/>
      <c r="CT116" s="731"/>
      <c r="CU116" s="731"/>
      <c r="CV116" s="731"/>
      <c r="CW116" s="731"/>
      <c r="CX116" s="731"/>
      <c r="CY116" s="731"/>
      <c r="CZ116" s="731"/>
      <c r="DA116" s="731"/>
      <c r="DB116" s="731"/>
      <c r="DC116" s="731"/>
      <c r="DD116" s="731"/>
      <c r="DE116" s="731"/>
    </row>
    <row r="117" spans="1:109" ht="15" x14ac:dyDescent="0.2">
      <c r="A117" s="172"/>
      <c r="B117" s="881" t="s">
        <v>108</v>
      </c>
      <c r="C117" s="882"/>
      <c r="D117" s="883"/>
      <c r="E117" s="172"/>
      <c r="G117" s="97"/>
      <c r="K117" s="97"/>
      <c r="CF117" s="734" t="s">
        <v>793</v>
      </c>
      <c r="CG117" s="734"/>
      <c r="CH117" s="734"/>
      <c r="CI117" s="734"/>
      <c r="CJ117" s="734"/>
      <c r="CK117" s="734"/>
      <c r="CL117" s="731"/>
      <c r="CM117" s="731"/>
      <c r="CN117" s="731"/>
      <c r="CO117" s="731"/>
      <c r="CP117" s="731"/>
      <c r="CQ117" s="731"/>
      <c r="CR117" s="731"/>
      <c r="CS117" s="731"/>
      <c r="CT117" s="731"/>
      <c r="CU117" s="731"/>
      <c r="CV117" s="731"/>
      <c r="CW117" s="731"/>
      <c r="CX117" s="731"/>
      <c r="CY117" s="731"/>
      <c r="CZ117" s="731"/>
      <c r="DA117" s="731"/>
      <c r="DB117" s="731"/>
      <c r="DC117" s="731"/>
      <c r="DD117" s="731"/>
      <c r="DE117" s="731"/>
    </row>
    <row r="118" spans="1:109" ht="22.5" x14ac:dyDescent="0.25">
      <c r="A118" s="172"/>
      <c r="B118" s="318" t="s">
        <v>109</v>
      </c>
      <c r="C118" s="816">
        <f>E189</f>
        <v>54352006</v>
      </c>
      <c r="D118" s="817"/>
      <c r="E118" s="288"/>
      <c r="G118" s="171"/>
      <c r="H118" s="725"/>
      <c r="I118" s="726"/>
      <c r="K118" s="97"/>
      <c r="CF118" s="739">
        <v>102</v>
      </c>
      <c r="CG118" s="740" t="s">
        <v>794</v>
      </c>
      <c r="CH118" s="746">
        <f>C66</f>
        <v>0</v>
      </c>
      <c r="CI118" s="740" t="s">
        <v>795</v>
      </c>
      <c r="CJ118" s="742" t="s">
        <v>796</v>
      </c>
      <c r="CK118" s="740" t="s">
        <v>597</v>
      </c>
      <c r="CL118" s="731"/>
      <c r="CM118" s="731"/>
      <c r="CN118" s="731"/>
      <c r="CO118" s="731"/>
      <c r="CP118" s="731"/>
      <c r="CQ118" s="731"/>
      <c r="CR118" s="731"/>
      <c r="CS118" s="731"/>
      <c r="CT118" s="731"/>
      <c r="CU118" s="731"/>
      <c r="CV118" s="731"/>
      <c r="CW118" s="731"/>
      <c r="CX118" s="731"/>
      <c r="CY118" s="731"/>
      <c r="CZ118" s="731"/>
      <c r="DA118" s="731"/>
      <c r="DB118" s="731"/>
      <c r="DC118" s="731"/>
      <c r="DD118" s="731"/>
      <c r="DE118" s="731"/>
    </row>
    <row r="119" spans="1:109" ht="23.25" thickBot="1" x14ac:dyDescent="0.25">
      <c r="A119" s="172"/>
      <c r="B119" s="413" t="s">
        <v>18</v>
      </c>
      <c r="C119" s="283">
        <f>-SUM(E192:E193)</f>
        <v>7141903.2737480383</v>
      </c>
      <c r="D119" s="629">
        <f ca="1">G345/360</f>
        <v>3.2944444444444443</v>
      </c>
      <c r="G119" s="727"/>
      <c r="H119" s="725"/>
      <c r="I119" s="726"/>
      <c r="K119" s="97"/>
      <c r="CF119" s="735">
        <v>103</v>
      </c>
      <c r="CG119" s="736" t="s">
        <v>797</v>
      </c>
      <c r="CH119" s="745">
        <f>D66</f>
        <v>0</v>
      </c>
      <c r="CI119" s="736" t="s">
        <v>795</v>
      </c>
      <c r="CJ119" s="738" t="s">
        <v>798</v>
      </c>
      <c r="CK119" s="736" t="s">
        <v>647</v>
      </c>
      <c r="CL119" s="731"/>
      <c r="CM119" s="731"/>
      <c r="CN119" s="731"/>
      <c r="CO119" s="731"/>
      <c r="CP119" s="731"/>
      <c r="CQ119" s="731"/>
      <c r="CR119" s="731"/>
      <c r="CS119" s="731"/>
      <c r="CT119" s="731"/>
      <c r="CU119" s="731"/>
      <c r="CV119" s="731"/>
      <c r="CW119" s="731"/>
      <c r="CX119" s="731"/>
      <c r="CY119" s="731"/>
      <c r="CZ119" s="731"/>
      <c r="DA119" s="731"/>
      <c r="DB119" s="731"/>
      <c r="DC119" s="731"/>
      <c r="DD119" s="731"/>
      <c r="DE119" s="731"/>
    </row>
    <row r="120" spans="1:109" ht="12.75" x14ac:dyDescent="0.2">
      <c r="A120" s="172"/>
      <c r="B120" s="869" t="s">
        <v>450</v>
      </c>
      <c r="C120" s="870"/>
      <c r="D120" s="871"/>
      <c r="E120" s="294"/>
      <c r="H120" s="725"/>
      <c r="I120" s="726"/>
      <c r="K120" s="97"/>
      <c r="CF120" s="739">
        <v>104</v>
      </c>
      <c r="CG120" s="740" t="s">
        <v>799</v>
      </c>
      <c r="CH120" s="746">
        <f>E66</f>
        <v>0</v>
      </c>
      <c r="CI120" s="740" t="s">
        <v>795</v>
      </c>
      <c r="CJ120" s="742" t="s">
        <v>800</v>
      </c>
      <c r="CK120" s="740" t="s">
        <v>597</v>
      </c>
      <c r="CL120" s="731"/>
      <c r="CM120" s="731"/>
      <c r="CN120" s="731"/>
      <c r="CO120" s="731"/>
      <c r="CP120" s="731"/>
      <c r="CQ120" s="731"/>
      <c r="CR120" s="731"/>
      <c r="CS120" s="731"/>
      <c r="CT120" s="731"/>
      <c r="CU120" s="731"/>
      <c r="CV120" s="731"/>
      <c r="CW120" s="731"/>
      <c r="CX120" s="731"/>
      <c r="CY120" s="731"/>
      <c r="CZ120" s="731"/>
      <c r="DA120" s="731"/>
      <c r="DB120" s="731"/>
      <c r="DC120" s="731"/>
      <c r="DD120" s="731"/>
      <c r="DE120" s="731"/>
    </row>
    <row r="121" spans="1:109" ht="12.75" x14ac:dyDescent="0.2">
      <c r="A121" s="172"/>
      <c r="B121" s="301" t="s">
        <v>451</v>
      </c>
      <c r="C121" s="664" t="s">
        <v>112</v>
      </c>
      <c r="D121" s="664" t="s">
        <v>111</v>
      </c>
      <c r="H121" s="721"/>
      <c r="K121" s="97"/>
      <c r="CF121" s="735">
        <v>105</v>
      </c>
      <c r="CG121" s="736" t="s">
        <v>801</v>
      </c>
      <c r="CH121" s="745">
        <f>F66</f>
        <v>0</v>
      </c>
      <c r="CI121" s="736" t="s">
        <v>795</v>
      </c>
      <c r="CJ121" s="738" t="s">
        <v>802</v>
      </c>
      <c r="CK121" s="736" t="s">
        <v>647</v>
      </c>
      <c r="CL121" s="731"/>
      <c r="CM121" s="731"/>
      <c r="CN121" s="731"/>
      <c r="CO121" s="731"/>
      <c r="CP121" s="731"/>
      <c r="CQ121" s="731"/>
      <c r="CR121" s="731"/>
      <c r="CS121" s="731"/>
      <c r="CT121" s="731"/>
      <c r="CU121" s="731"/>
      <c r="CV121" s="731"/>
      <c r="CW121" s="731"/>
      <c r="CX121" s="731"/>
      <c r="CY121" s="731"/>
      <c r="CZ121" s="731"/>
      <c r="DA121" s="731"/>
      <c r="DB121" s="731"/>
      <c r="DC121" s="731"/>
      <c r="DD121" s="731"/>
      <c r="DE121" s="731"/>
    </row>
    <row r="122" spans="1:109" ht="13.5" thickBot="1" x14ac:dyDescent="0.25">
      <c r="A122" s="172"/>
      <c r="B122" s="325">
        <f ca="1">D354</f>
        <v>5</v>
      </c>
      <c r="C122" s="295">
        <f ca="1">E354</f>
        <v>20.277777777777779</v>
      </c>
      <c r="D122" s="295">
        <f ca="1">F354</f>
        <v>60.833333333333336</v>
      </c>
      <c r="H122" s="721"/>
      <c r="K122" s="172"/>
      <c r="AR122" s="203"/>
      <c r="CF122" s="739">
        <v>106</v>
      </c>
      <c r="CG122" s="740" t="s">
        <v>803</v>
      </c>
      <c r="CH122" s="749">
        <f>G66</f>
        <v>0</v>
      </c>
      <c r="CI122" s="740" t="s">
        <v>795</v>
      </c>
      <c r="CJ122" s="742" t="s">
        <v>804</v>
      </c>
      <c r="CK122" s="740" t="s">
        <v>647</v>
      </c>
      <c r="CL122" s="731"/>
      <c r="CM122" s="731"/>
      <c r="CN122" s="731"/>
      <c r="CO122" s="731"/>
      <c r="CP122" s="731"/>
      <c r="CQ122" s="731"/>
      <c r="CR122" s="731"/>
      <c r="CS122" s="731"/>
      <c r="CT122" s="731"/>
      <c r="CU122" s="731"/>
      <c r="CV122" s="731"/>
      <c r="CW122" s="731"/>
      <c r="CX122" s="731"/>
      <c r="CY122" s="731"/>
      <c r="CZ122" s="731"/>
      <c r="DA122" s="731"/>
      <c r="DB122" s="731"/>
      <c r="DC122" s="731"/>
      <c r="DD122" s="731"/>
      <c r="DE122" s="731"/>
    </row>
    <row r="123" spans="1:109" ht="12.75" x14ac:dyDescent="0.2">
      <c r="A123" s="172"/>
      <c r="H123" s="722"/>
      <c r="K123" s="172"/>
      <c r="CF123" s="735">
        <v>107</v>
      </c>
      <c r="CG123" s="736" t="s">
        <v>805</v>
      </c>
      <c r="CH123" s="750" t="str">
        <f>H66</f>
        <v>0.00</v>
      </c>
      <c r="CI123" s="736" t="s">
        <v>795</v>
      </c>
      <c r="CJ123" s="738" t="s">
        <v>806</v>
      </c>
      <c r="CK123" s="736" t="s">
        <v>694</v>
      </c>
      <c r="CL123" s="731"/>
      <c r="CM123" s="731"/>
      <c r="CN123" s="731"/>
      <c r="CO123" s="731"/>
      <c r="CP123" s="731"/>
      <c r="CQ123" s="731"/>
      <c r="CR123" s="731"/>
      <c r="CS123" s="731"/>
      <c r="CT123" s="731"/>
      <c r="CU123" s="731"/>
      <c r="CV123" s="731"/>
      <c r="CW123" s="731"/>
      <c r="CX123" s="731"/>
      <c r="CY123" s="731"/>
      <c r="CZ123" s="731"/>
      <c r="DA123" s="731"/>
      <c r="DB123" s="731"/>
      <c r="DC123" s="731"/>
      <c r="DD123" s="731"/>
      <c r="DE123" s="731"/>
    </row>
    <row r="124" spans="1:109" ht="12.75" x14ac:dyDescent="0.2">
      <c r="A124" s="172"/>
      <c r="H124" s="722"/>
      <c r="K124" s="172"/>
      <c r="CF124" s="739">
        <v>108</v>
      </c>
      <c r="CG124" s="740" t="s">
        <v>807</v>
      </c>
      <c r="CH124" s="744">
        <f>I66</f>
        <v>0</v>
      </c>
      <c r="CI124" s="740" t="s">
        <v>795</v>
      </c>
      <c r="CJ124" s="742" t="s">
        <v>808</v>
      </c>
      <c r="CK124" s="740" t="s">
        <v>650</v>
      </c>
      <c r="CL124" s="731"/>
      <c r="CM124" s="731"/>
      <c r="CN124" s="731"/>
      <c r="CO124" s="731"/>
      <c r="CP124" s="731"/>
      <c r="CQ124" s="731"/>
      <c r="CR124" s="731"/>
      <c r="CS124" s="731"/>
      <c r="CT124" s="731"/>
      <c r="CU124" s="731"/>
      <c r="CV124" s="731"/>
      <c r="CW124" s="731"/>
      <c r="CX124" s="731"/>
      <c r="CY124" s="731"/>
      <c r="CZ124" s="731"/>
      <c r="DA124" s="731"/>
      <c r="DB124" s="731"/>
      <c r="DC124" s="731"/>
      <c r="DD124" s="731"/>
      <c r="DE124" s="731"/>
    </row>
    <row r="125" spans="1:109" ht="12.75" x14ac:dyDescent="0.2">
      <c r="A125" s="172"/>
      <c r="K125" s="172"/>
      <c r="CF125" s="735">
        <v>109</v>
      </c>
      <c r="CG125" s="736" t="s">
        <v>809</v>
      </c>
      <c r="CH125" s="743">
        <f>J66</f>
        <v>0</v>
      </c>
      <c r="CI125" s="736" t="s">
        <v>795</v>
      </c>
      <c r="CJ125" s="738" t="s">
        <v>810</v>
      </c>
      <c r="CK125" s="736" t="s">
        <v>571</v>
      </c>
      <c r="CL125" s="731"/>
      <c r="CM125" s="731"/>
      <c r="CN125" s="731"/>
      <c r="CO125" s="731"/>
      <c r="CP125" s="731"/>
      <c r="CQ125" s="731"/>
      <c r="CR125" s="731"/>
      <c r="CS125" s="731"/>
      <c r="CT125" s="731"/>
      <c r="CU125" s="731"/>
      <c r="CV125" s="731"/>
      <c r="CW125" s="731"/>
      <c r="CX125" s="731"/>
      <c r="CY125" s="731"/>
      <c r="CZ125" s="731"/>
      <c r="DA125" s="731"/>
      <c r="DB125" s="731"/>
      <c r="DC125" s="731"/>
      <c r="DD125" s="731"/>
      <c r="DE125" s="731"/>
    </row>
    <row r="126" spans="1:109" ht="13.5" thickBot="1" x14ac:dyDescent="0.25">
      <c r="A126" s="172"/>
      <c r="G126" s="97"/>
      <c r="K126" s="172"/>
      <c r="CF126" s="739">
        <v>110</v>
      </c>
      <c r="CG126" s="740" t="s">
        <v>811</v>
      </c>
      <c r="CH126" s="751">
        <f>K66</f>
        <v>0</v>
      </c>
      <c r="CI126" s="740" t="s">
        <v>795</v>
      </c>
      <c r="CJ126" s="742" t="s">
        <v>812</v>
      </c>
      <c r="CK126" s="740" t="s">
        <v>701</v>
      </c>
      <c r="CL126" s="731"/>
      <c r="CM126" s="731"/>
      <c r="CN126" s="731"/>
      <c r="CO126" s="731"/>
      <c r="CP126" s="731"/>
      <c r="CQ126" s="731"/>
      <c r="CR126" s="731"/>
      <c r="CS126" s="731"/>
      <c r="CT126" s="731"/>
      <c r="CU126" s="731"/>
      <c r="CV126" s="731"/>
      <c r="CW126" s="731"/>
      <c r="CX126" s="731"/>
      <c r="CY126" s="731"/>
      <c r="CZ126" s="731"/>
      <c r="DA126" s="731"/>
      <c r="DB126" s="731"/>
      <c r="DC126" s="731"/>
      <c r="DD126" s="731"/>
      <c r="DE126" s="731"/>
    </row>
    <row r="127" spans="1:109" ht="12.75" x14ac:dyDescent="0.2">
      <c r="A127" s="172"/>
      <c r="B127" s="811" t="s">
        <v>113</v>
      </c>
      <c r="C127" s="812"/>
      <c r="D127" s="812"/>
      <c r="E127" s="812"/>
      <c r="F127" s="812"/>
      <c r="G127" s="812"/>
      <c r="H127" s="812"/>
      <c r="I127" s="812"/>
      <c r="J127" s="813"/>
      <c r="L127" s="1031" t="s">
        <v>119</v>
      </c>
      <c r="M127" s="1032"/>
      <c r="N127" s="1032"/>
      <c r="O127" s="1033"/>
      <c r="Q127" s="811" t="s">
        <v>114</v>
      </c>
      <c r="R127" s="812"/>
      <c r="S127" s="812"/>
      <c r="T127" s="812"/>
      <c r="U127" s="812"/>
      <c r="V127" s="812"/>
      <c r="W127" s="812"/>
      <c r="X127" s="812"/>
      <c r="Y127" s="812"/>
      <c r="Z127" s="812"/>
      <c r="AA127" s="812"/>
      <c r="AB127" s="812"/>
      <c r="AC127" s="813"/>
      <c r="CF127" s="735">
        <v>111</v>
      </c>
      <c r="CG127" s="736" t="s">
        <v>813</v>
      </c>
      <c r="CH127" s="752">
        <f>L66</f>
        <v>25</v>
      </c>
      <c r="CI127" s="736" t="s">
        <v>795</v>
      </c>
      <c r="CJ127" s="738" t="s">
        <v>814</v>
      </c>
      <c r="CK127" s="736" t="s">
        <v>704</v>
      </c>
      <c r="CL127" s="731"/>
      <c r="CM127" s="731"/>
      <c r="CN127" s="731"/>
      <c r="CO127" s="731"/>
      <c r="CP127" s="731"/>
      <c r="CQ127" s="731"/>
      <c r="CR127" s="731"/>
      <c r="CS127" s="731"/>
      <c r="CT127" s="731"/>
      <c r="CU127" s="731"/>
      <c r="CV127" s="731"/>
      <c r="CW127" s="731"/>
      <c r="CX127" s="731"/>
      <c r="CY127" s="731"/>
      <c r="CZ127" s="731"/>
      <c r="DA127" s="731"/>
      <c r="DB127" s="731"/>
      <c r="DC127" s="731"/>
      <c r="DD127" s="731"/>
      <c r="DE127" s="731"/>
    </row>
    <row r="128" spans="1:109" ht="22.5" x14ac:dyDescent="0.2">
      <c r="A128" s="172"/>
      <c r="B128" s="24" t="s">
        <v>37</v>
      </c>
      <c r="C128" s="26" t="s">
        <v>115</v>
      </c>
      <c r="D128" s="26" t="s">
        <v>116</v>
      </c>
      <c r="E128" s="25" t="str">
        <f>F60</f>
        <v>المساحات الصافية القابلة للبيع
(NSA)</v>
      </c>
      <c r="F128" s="25" t="str">
        <f>H60</f>
        <v>مساحة الوحدة
(Unit Area)</v>
      </c>
      <c r="G128" s="25" t="s">
        <v>321</v>
      </c>
      <c r="H128" s="25" t="s">
        <v>117</v>
      </c>
      <c r="I128" s="25" t="s">
        <v>118</v>
      </c>
      <c r="J128" s="27" t="s">
        <v>276</v>
      </c>
      <c r="L128" s="280" t="s">
        <v>37</v>
      </c>
      <c r="M128" s="281" t="s">
        <v>4</v>
      </c>
      <c r="N128" s="281" t="s">
        <v>323</v>
      </c>
      <c r="O128" s="30" t="s">
        <v>94</v>
      </c>
      <c r="Q128" s="24" t="s">
        <v>37</v>
      </c>
      <c r="R128" s="25" t="s">
        <v>115</v>
      </c>
      <c r="S128" s="26" t="s">
        <v>116</v>
      </c>
      <c r="T128" s="25" t="s">
        <v>58</v>
      </c>
      <c r="U128" s="25" t="s">
        <v>59</v>
      </c>
      <c r="V128" s="25" t="s">
        <v>321</v>
      </c>
      <c r="W128" s="25" t="s">
        <v>117</v>
      </c>
      <c r="X128" s="25" t="s">
        <v>118</v>
      </c>
      <c r="Y128" s="25" t="s">
        <v>276</v>
      </c>
      <c r="Z128" s="70" t="s">
        <v>270</v>
      </c>
      <c r="AA128" s="89" t="s">
        <v>284</v>
      </c>
      <c r="AB128" s="70" t="s">
        <v>275</v>
      </c>
      <c r="AC128" s="69" t="s">
        <v>286</v>
      </c>
      <c r="CF128" s="734" t="s">
        <v>815</v>
      </c>
      <c r="CG128" s="734"/>
      <c r="CH128" s="734"/>
      <c r="CI128" s="734"/>
      <c r="CJ128" s="734"/>
      <c r="CK128" s="734"/>
      <c r="CL128" s="731"/>
      <c r="CM128" s="731"/>
      <c r="CN128" s="731"/>
      <c r="CO128" s="731"/>
      <c r="CP128" s="731"/>
      <c r="CQ128" s="731"/>
      <c r="CR128" s="731"/>
      <c r="CS128" s="731"/>
      <c r="CT128" s="731"/>
      <c r="CU128" s="731"/>
      <c r="CV128" s="731"/>
      <c r="CW128" s="731"/>
      <c r="CX128" s="731"/>
      <c r="CY128" s="731"/>
      <c r="CZ128" s="731"/>
      <c r="DA128" s="731"/>
      <c r="DB128" s="731"/>
      <c r="DC128" s="731"/>
      <c r="DD128" s="731"/>
      <c r="DE128" s="731"/>
    </row>
    <row r="129" spans="1:109" ht="22.5" x14ac:dyDescent="0.2">
      <c r="A129" s="172"/>
      <c r="B129" s="268" t="s">
        <v>38</v>
      </c>
      <c r="C129" s="269">
        <f t="shared" ref="C129:C138" si="73">G61-R129</f>
        <v>12</v>
      </c>
      <c r="D129" s="162">
        <f>100%-S129</f>
        <v>1</v>
      </c>
      <c r="E129" s="282">
        <f>E61*D129*D61</f>
        <v>3013.7939999999999</v>
      </c>
      <c r="F129" s="282">
        <f>IFERROR(E129/C129, "0")</f>
        <v>251.14949999999999</v>
      </c>
      <c r="G129" s="217">
        <f t="shared" ref="G129:G138" si="74">IFERROR(MAX((H129/AV4)-1, 0), 0)</f>
        <v>0</v>
      </c>
      <c r="H129" s="252"/>
      <c r="I129" s="115">
        <f>H129*F129</f>
        <v>0</v>
      </c>
      <c r="J129" s="71">
        <f>I129*C129</f>
        <v>0</v>
      </c>
      <c r="L129" s="268" t="s">
        <v>38</v>
      </c>
      <c r="M129" s="254">
        <v>0.08</v>
      </c>
      <c r="N129" s="115">
        <f>SUM(F147+V147)/M129</f>
        <v>2574282.375</v>
      </c>
      <c r="O129" s="71">
        <f>(M147+AC147)/M129</f>
        <v>29346819.074999999</v>
      </c>
      <c r="Q129" s="268" t="s">
        <v>38</v>
      </c>
      <c r="R129" s="267"/>
      <c r="S129" s="28">
        <f t="shared" ref="S129:S138" si="75">IFERROR(R129/G61, "0.00%")</f>
        <v>0</v>
      </c>
      <c r="T129" s="282">
        <f t="shared" ref="T129:T138" si="76">E61*S129*D61</f>
        <v>0</v>
      </c>
      <c r="U129" s="282" t="str">
        <f t="shared" ref="U129:U138" si="77">IFERROR(T129/R129, "0")</f>
        <v>0</v>
      </c>
      <c r="V129" s="217">
        <f t="shared" ref="V129:V138" si="78">IFERROR(MAX(((AC129/T129)/AV22)-1, 0), 0)</f>
        <v>0</v>
      </c>
      <c r="W129" s="256">
        <f>H129*80%</f>
        <v>0</v>
      </c>
      <c r="X129" s="269">
        <f t="shared" ref="X129:X138" si="79">W129*U129</f>
        <v>0</v>
      </c>
      <c r="Y129" s="269">
        <f t="shared" ref="Y129:Y138" si="80">(X129*R129)</f>
        <v>0</v>
      </c>
      <c r="Z129" s="85">
        <f t="shared" ref="Z129:Z138" si="81">Y129*$D$308</f>
        <v>0</v>
      </c>
      <c r="AA129" s="85">
        <f t="shared" ref="AA129:AA138" si="82">(Y129*$D$309)+(Y129*$D$310)</f>
        <v>0</v>
      </c>
      <c r="AB129" s="85">
        <f t="shared" ref="AB129:AB138" si="83">Y129*$D$311</f>
        <v>0</v>
      </c>
      <c r="AC129" s="71">
        <f>SUM(Y129)-SUM(Z129:AA129)</f>
        <v>0</v>
      </c>
      <c r="CF129" s="739">
        <v>112</v>
      </c>
      <c r="CG129" s="740" t="s">
        <v>816</v>
      </c>
      <c r="CH129" s="746">
        <f>C67</f>
        <v>0</v>
      </c>
      <c r="CI129" s="740" t="s">
        <v>817</v>
      </c>
      <c r="CJ129" s="742" t="s">
        <v>818</v>
      </c>
      <c r="CK129" s="740" t="s">
        <v>597</v>
      </c>
      <c r="CL129" s="731"/>
      <c r="CM129" s="731"/>
      <c r="CN129" s="731"/>
      <c r="CO129" s="731"/>
      <c r="CP129" s="731"/>
      <c r="CQ129" s="731"/>
      <c r="CR129" s="731"/>
      <c r="CS129" s="731"/>
      <c r="CT129" s="731"/>
      <c r="CU129" s="731"/>
      <c r="CV129" s="731"/>
      <c r="CW129" s="731"/>
      <c r="CX129" s="731"/>
      <c r="CY129" s="731"/>
      <c r="CZ129" s="731"/>
      <c r="DA129" s="731"/>
      <c r="DB129" s="731"/>
      <c r="DC129" s="731"/>
      <c r="DD129" s="731"/>
      <c r="DE129" s="731"/>
    </row>
    <row r="130" spans="1:109" ht="22.5" x14ac:dyDescent="0.2">
      <c r="B130" s="279" t="s">
        <v>518</v>
      </c>
      <c r="C130" s="271">
        <f>G62-R130</f>
        <v>0</v>
      </c>
      <c r="D130" s="163">
        <f>100%-S130</f>
        <v>0</v>
      </c>
      <c r="E130" s="16">
        <f>C77*$C$46</f>
        <v>3340</v>
      </c>
      <c r="F130" s="16" t="str">
        <f>IFERROR(E130/C130, "0")</f>
        <v>0</v>
      </c>
      <c r="G130" s="221">
        <f t="shared" si="74"/>
        <v>0</v>
      </c>
      <c r="H130" s="252"/>
      <c r="I130" s="113">
        <f>H130*F130</f>
        <v>0</v>
      </c>
      <c r="J130" s="72">
        <f>I130*C130</f>
        <v>0</v>
      </c>
      <c r="L130" s="279" t="s">
        <v>39</v>
      </c>
      <c r="M130" s="34">
        <v>0.08</v>
      </c>
      <c r="N130" s="113">
        <f>SUM(F148+V148)/M130</f>
        <v>0</v>
      </c>
      <c r="O130" s="72">
        <f t="shared" ref="O130:O138" si="84">(M148+AC148)/M130</f>
        <v>0</v>
      </c>
      <c r="Q130" s="279" t="s">
        <v>39</v>
      </c>
      <c r="R130" s="267">
        <v>11</v>
      </c>
      <c r="S130" s="221">
        <f>IFERROR(R130/G62, "0.00%")</f>
        <v>1</v>
      </c>
      <c r="T130" s="16">
        <f>C77*$C$46</f>
        <v>3340</v>
      </c>
      <c r="U130" s="16">
        <f>IFERROR(T130/R130, "0")</f>
        <v>303.63636363636363</v>
      </c>
      <c r="V130" s="221">
        <f t="shared" si="78"/>
        <v>0</v>
      </c>
      <c r="W130" s="256">
        <v>14319.187711533457</v>
      </c>
      <c r="X130" s="271">
        <f>W130*U130</f>
        <v>4347826.0869565224</v>
      </c>
      <c r="Y130" s="271">
        <f>(X130*R130)</f>
        <v>47826086.956521749</v>
      </c>
      <c r="Z130" s="86">
        <f t="shared" si="81"/>
        <v>717391.30434782617</v>
      </c>
      <c r="AA130" s="86">
        <f t="shared" si="82"/>
        <v>621739.13043478271</v>
      </c>
      <c r="AB130" s="86">
        <f t="shared" si="83"/>
        <v>0</v>
      </c>
      <c r="AC130" s="72">
        <f>SUM(Y130)-SUM(Z130:AA130)</f>
        <v>46486956.52173914</v>
      </c>
      <c r="CF130" s="735">
        <v>113</v>
      </c>
      <c r="CG130" s="736" t="s">
        <v>819</v>
      </c>
      <c r="CH130" s="745">
        <f>D67</f>
        <v>0</v>
      </c>
      <c r="CI130" s="736" t="s">
        <v>817</v>
      </c>
      <c r="CJ130" s="738" t="s">
        <v>820</v>
      </c>
      <c r="CK130" s="736" t="s">
        <v>647</v>
      </c>
      <c r="CL130" s="731"/>
      <c r="CM130" s="731"/>
      <c r="CN130" s="731"/>
      <c r="CO130" s="731"/>
      <c r="CP130" s="731"/>
      <c r="CQ130" s="731"/>
      <c r="CR130" s="731"/>
      <c r="CS130" s="731"/>
      <c r="CT130" s="731"/>
      <c r="CU130" s="731"/>
      <c r="CV130" s="731"/>
      <c r="CW130" s="731"/>
      <c r="CX130" s="731"/>
      <c r="CY130" s="731"/>
      <c r="CZ130" s="731"/>
      <c r="DA130" s="731"/>
      <c r="DB130" s="731"/>
      <c r="DC130" s="731"/>
      <c r="DD130" s="731"/>
      <c r="DE130" s="731"/>
    </row>
    <row r="131" spans="1:109" ht="22.5" x14ac:dyDescent="0.2">
      <c r="B131" s="268" t="s">
        <v>519</v>
      </c>
      <c r="C131" s="269">
        <f t="shared" si="73"/>
        <v>0</v>
      </c>
      <c r="D131" s="164">
        <f t="shared" ref="D131:D138" si="85">100%-S131</f>
        <v>1</v>
      </c>
      <c r="E131" s="282">
        <f>C78*$C$49</f>
        <v>0</v>
      </c>
      <c r="F131" s="282" t="str">
        <f t="shared" ref="F131:F138" si="86">IFERROR(E131/C131, "0")</f>
        <v>0</v>
      </c>
      <c r="G131" s="28">
        <f t="shared" si="74"/>
        <v>0</v>
      </c>
      <c r="H131" s="252"/>
      <c r="I131" s="115">
        <f t="shared" ref="I131:I138" si="87">H131*F131</f>
        <v>0</v>
      </c>
      <c r="J131" s="71">
        <f t="shared" ref="J131:J138" si="88">I131*C131</f>
        <v>0</v>
      </c>
      <c r="L131" s="268" t="s">
        <v>40</v>
      </c>
      <c r="M131" s="34">
        <v>0.08</v>
      </c>
      <c r="N131" s="115">
        <f t="shared" ref="N131:N138" si="89">SUM(F149+V149)/M131</f>
        <v>0</v>
      </c>
      <c r="O131" s="71">
        <f t="shared" si="84"/>
        <v>0</v>
      </c>
      <c r="Q131" s="268" t="s">
        <v>40</v>
      </c>
      <c r="R131" s="267"/>
      <c r="S131" s="28" t="str">
        <f t="shared" si="75"/>
        <v>0.00%</v>
      </c>
      <c r="T131" s="282">
        <f>C78*$C$49</f>
        <v>0</v>
      </c>
      <c r="U131" s="282" t="str">
        <f t="shared" si="77"/>
        <v>0</v>
      </c>
      <c r="V131" s="28">
        <f t="shared" si="78"/>
        <v>0</v>
      </c>
      <c r="W131" s="256">
        <f t="shared" ref="W131:W138" si="90">H131*80%</f>
        <v>0</v>
      </c>
      <c r="X131" s="269">
        <f t="shared" si="79"/>
        <v>0</v>
      </c>
      <c r="Y131" s="269">
        <f t="shared" si="80"/>
        <v>0</v>
      </c>
      <c r="Z131" s="85">
        <f t="shared" si="81"/>
        <v>0</v>
      </c>
      <c r="AA131" s="85">
        <f t="shared" si="82"/>
        <v>0</v>
      </c>
      <c r="AB131" s="85">
        <f t="shared" si="83"/>
        <v>0</v>
      </c>
      <c r="AC131" s="71">
        <f t="shared" ref="AC131:AC137" si="91">SUM(Y131)-SUM(Z131:AA131)</f>
        <v>0</v>
      </c>
      <c r="CF131" s="739">
        <v>114</v>
      </c>
      <c r="CG131" s="740" t="s">
        <v>821</v>
      </c>
      <c r="CH131" s="746">
        <f>E67</f>
        <v>0</v>
      </c>
      <c r="CI131" s="740" t="s">
        <v>817</v>
      </c>
      <c r="CJ131" s="742" t="s">
        <v>822</v>
      </c>
      <c r="CK131" s="740" t="s">
        <v>597</v>
      </c>
      <c r="CL131" s="731"/>
      <c r="CM131" s="731"/>
      <c r="CN131" s="731"/>
      <c r="CO131" s="731"/>
      <c r="CP131" s="731"/>
      <c r="CQ131" s="731"/>
      <c r="CR131" s="731"/>
      <c r="CS131" s="731"/>
      <c r="CT131" s="731"/>
      <c r="CU131" s="731"/>
      <c r="CV131" s="731"/>
      <c r="CW131" s="731"/>
      <c r="CX131" s="731"/>
      <c r="CY131" s="731"/>
      <c r="CZ131" s="731"/>
      <c r="DA131" s="731"/>
      <c r="DB131" s="731"/>
      <c r="DC131" s="731"/>
      <c r="DD131" s="731"/>
      <c r="DE131" s="731"/>
    </row>
    <row r="132" spans="1:109" ht="22.5" x14ac:dyDescent="0.2">
      <c r="A132" s="172"/>
      <c r="B132" s="279" t="s">
        <v>41</v>
      </c>
      <c r="C132" s="271">
        <f t="shared" si="73"/>
        <v>0</v>
      </c>
      <c r="D132" s="163">
        <f t="shared" si="85"/>
        <v>1</v>
      </c>
      <c r="E132" s="16">
        <f t="shared" ref="E132:E138" si="92">E64*D132*D64</f>
        <v>0</v>
      </c>
      <c r="F132" s="16" t="str">
        <f t="shared" si="86"/>
        <v>0</v>
      </c>
      <c r="G132" s="221">
        <f t="shared" si="74"/>
        <v>0</v>
      </c>
      <c r="H132" s="252"/>
      <c r="I132" s="113">
        <f t="shared" si="87"/>
        <v>0</v>
      </c>
      <c r="J132" s="72">
        <f t="shared" si="88"/>
        <v>0</v>
      </c>
      <c r="L132" s="279" t="s">
        <v>41</v>
      </c>
      <c r="M132" s="34">
        <v>0.08</v>
      </c>
      <c r="N132" s="113">
        <f t="shared" si="89"/>
        <v>0</v>
      </c>
      <c r="O132" s="72">
        <f t="shared" si="84"/>
        <v>0</v>
      </c>
      <c r="Q132" s="279" t="s">
        <v>41</v>
      </c>
      <c r="R132" s="267"/>
      <c r="S132" s="221" t="str">
        <f t="shared" si="75"/>
        <v>0.00%</v>
      </c>
      <c r="T132" s="16">
        <f t="shared" si="76"/>
        <v>0</v>
      </c>
      <c r="U132" s="16" t="str">
        <f t="shared" si="77"/>
        <v>0</v>
      </c>
      <c r="V132" s="221">
        <f t="shared" si="78"/>
        <v>0</v>
      </c>
      <c r="W132" s="256">
        <f t="shared" si="90"/>
        <v>0</v>
      </c>
      <c r="X132" s="271">
        <f t="shared" si="79"/>
        <v>0</v>
      </c>
      <c r="Y132" s="271">
        <f t="shared" si="80"/>
        <v>0</v>
      </c>
      <c r="Z132" s="86">
        <f t="shared" si="81"/>
        <v>0</v>
      </c>
      <c r="AA132" s="86">
        <f t="shared" si="82"/>
        <v>0</v>
      </c>
      <c r="AB132" s="86">
        <f t="shared" si="83"/>
        <v>0</v>
      </c>
      <c r="AC132" s="72">
        <f t="shared" si="91"/>
        <v>0</v>
      </c>
      <c r="CF132" s="735">
        <v>115</v>
      </c>
      <c r="CG132" s="736" t="s">
        <v>823</v>
      </c>
      <c r="CH132" s="745">
        <f>F67</f>
        <v>0</v>
      </c>
      <c r="CI132" s="736" t="s">
        <v>817</v>
      </c>
      <c r="CJ132" s="738" t="s">
        <v>824</v>
      </c>
      <c r="CK132" s="736" t="s">
        <v>647</v>
      </c>
      <c r="CL132" s="731"/>
      <c r="CM132" s="731"/>
      <c r="CN132" s="731"/>
      <c r="CO132" s="731"/>
      <c r="CP132" s="731"/>
      <c r="CQ132" s="731"/>
      <c r="CR132" s="731"/>
      <c r="CS132" s="731"/>
      <c r="CT132" s="731"/>
      <c r="CU132" s="731"/>
      <c r="CV132" s="731"/>
      <c r="CW132" s="731"/>
      <c r="CX132" s="731"/>
      <c r="CY132" s="731"/>
      <c r="CZ132" s="731"/>
      <c r="DA132" s="731"/>
      <c r="DB132" s="731"/>
      <c r="DC132" s="731"/>
      <c r="DD132" s="731"/>
      <c r="DE132" s="731"/>
    </row>
    <row r="133" spans="1:109" ht="22.5" x14ac:dyDescent="0.2">
      <c r="A133" s="172"/>
      <c r="B133" s="268" t="s">
        <v>65</v>
      </c>
      <c r="C133" s="269">
        <f t="shared" si="73"/>
        <v>0</v>
      </c>
      <c r="D133" s="164">
        <f t="shared" si="85"/>
        <v>1</v>
      </c>
      <c r="E133" s="282">
        <f t="shared" si="92"/>
        <v>0</v>
      </c>
      <c r="F133" s="282" t="str">
        <f t="shared" si="86"/>
        <v>0</v>
      </c>
      <c r="G133" s="28">
        <f t="shared" si="74"/>
        <v>0</v>
      </c>
      <c r="H133" s="252"/>
      <c r="I133" s="115">
        <f t="shared" si="87"/>
        <v>0</v>
      </c>
      <c r="J133" s="71">
        <f t="shared" si="88"/>
        <v>0</v>
      </c>
      <c r="L133" s="268" t="s">
        <v>65</v>
      </c>
      <c r="M133" s="34">
        <v>7.0000000000000007E-2</v>
      </c>
      <c r="N133" s="115">
        <f t="shared" si="89"/>
        <v>0</v>
      </c>
      <c r="O133" s="71">
        <f t="shared" si="84"/>
        <v>0</v>
      </c>
      <c r="Q133" s="268" t="s">
        <v>65</v>
      </c>
      <c r="R133" s="267"/>
      <c r="S133" s="28" t="str">
        <f t="shared" si="75"/>
        <v>0.00%</v>
      </c>
      <c r="T133" s="282">
        <f t="shared" si="76"/>
        <v>0</v>
      </c>
      <c r="U133" s="282" t="str">
        <f t="shared" si="77"/>
        <v>0</v>
      </c>
      <c r="V133" s="28">
        <f t="shared" si="78"/>
        <v>0</v>
      </c>
      <c r="W133" s="256">
        <f t="shared" si="90"/>
        <v>0</v>
      </c>
      <c r="X133" s="269">
        <f t="shared" si="79"/>
        <v>0</v>
      </c>
      <c r="Y133" s="269">
        <f t="shared" si="80"/>
        <v>0</v>
      </c>
      <c r="Z133" s="85">
        <f t="shared" si="81"/>
        <v>0</v>
      </c>
      <c r="AA133" s="85">
        <f t="shared" si="82"/>
        <v>0</v>
      </c>
      <c r="AB133" s="85">
        <f t="shared" si="83"/>
        <v>0</v>
      </c>
      <c r="AC133" s="71">
        <f t="shared" si="91"/>
        <v>0</v>
      </c>
      <c r="CF133" s="739">
        <v>116</v>
      </c>
      <c r="CG133" s="740" t="s">
        <v>825</v>
      </c>
      <c r="CH133" s="749">
        <f>G67</f>
        <v>0</v>
      </c>
      <c r="CI133" s="740" t="s">
        <v>817</v>
      </c>
      <c r="CJ133" s="742" t="s">
        <v>826</v>
      </c>
      <c r="CK133" s="740" t="s">
        <v>647</v>
      </c>
      <c r="CL133" s="731"/>
      <c r="CM133" s="731"/>
      <c r="CN133" s="731"/>
      <c r="CO133" s="731"/>
      <c r="CP133" s="731"/>
      <c r="CQ133" s="731"/>
      <c r="CR133" s="731"/>
      <c r="CS133" s="731"/>
      <c r="CT133" s="731"/>
      <c r="CU133" s="731"/>
      <c r="CV133" s="731"/>
      <c r="CW133" s="731"/>
      <c r="CX133" s="731"/>
      <c r="CY133" s="731"/>
      <c r="CZ133" s="731"/>
      <c r="DA133" s="731"/>
      <c r="DB133" s="731"/>
      <c r="DC133" s="731"/>
      <c r="DD133" s="731"/>
      <c r="DE133" s="731"/>
    </row>
    <row r="134" spans="1:109" ht="22.5" x14ac:dyDescent="0.2">
      <c r="A134" s="172"/>
      <c r="B134" s="279" t="s">
        <v>263</v>
      </c>
      <c r="C134" s="271">
        <f t="shared" si="73"/>
        <v>0</v>
      </c>
      <c r="D134" s="163">
        <f t="shared" si="85"/>
        <v>1</v>
      </c>
      <c r="E134" s="16">
        <f t="shared" si="92"/>
        <v>0</v>
      </c>
      <c r="F134" s="16" t="str">
        <f>IFERROR(E134/C134, "0")</f>
        <v>0</v>
      </c>
      <c r="G134" s="221">
        <f t="shared" si="74"/>
        <v>0</v>
      </c>
      <c r="H134" s="252"/>
      <c r="I134" s="113">
        <f>H134*F134</f>
        <v>0</v>
      </c>
      <c r="J134" s="72">
        <f t="shared" si="88"/>
        <v>0</v>
      </c>
      <c r="L134" s="279" t="s">
        <v>263</v>
      </c>
      <c r="M134" s="34">
        <v>0.08</v>
      </c>
      <c r="N134" s="113">
        <f t="shared" si="89"/>
        <v>0</v>
      </c>
      <c r="O134" s="72">
        <f>(M152+AC152)/M134</f>
        <v>0</v>
      </c>
      <c r="Q134" s="279" t="s">
        <v>263</v>
      </c>
      <c r="R134" s="267"/>
      <c r="S134" s="221" t="str">
        <f t="shared" si="75"/>
        <v>0.00%</v>
      </c>
      <c r="T134" s="16">
        <f t="shared" si="76"/>
        <v>0</v>
      </c>
      <c r="U134" s="16" t="str">
        <f t="shared" si="77"/>
        <v>0</v>
      </c>
      <c r="V134" s="221">
        <f t="shared" si="78"/>
        <v>0</v>
      </c>
      <c r="W134" s="256">
        <f t="shared" si="90"/>
        <v>0</v>
      </c>
      <c r="X134" s="271">
        <f t="shared" si="79"/>
        <v>0</v>
      </c>
      <c r="Y134" s="271">
        <f t="shared" si="80"/>
        <v>0</v>
      </c>
      <c r="Z134" s="86">
        <f t="shared" si="81"/>
        <v>0</v>
      </c>
      <c r="AA134" s="86">
        <f t="shared" si="82"/>
        <v>0</v>
      </c>
      <c r="AB134" s="86">
        <f t="shared" si="83"/>
        <v>0</v>
      </c>
      <c r="AC134" s="72">
        <f t="shared" si="91"/>
        <v>0</v>
      </c>
      <c r="CF134" s="735">
        <v>117</v>
      </c>
      <c r="CG134" s="736" t="s">
        <v>827</v>
      </c>
      <c r="CH134" s="750" t="str">
        <f>H67</f>
        <v>0.00</v>
      </c>
      <c r="CI134" s="736" t="s">
        <v>817</v>
      </c>
      <c r="CJ134" s="738" t="s">
        <v>828</v>
      </c>
      <c r="CK134" s="736" t="s">
        <v>694</v>
      </c>
      <c r="CL134" s="731"/>
      <c r="CM134" s="731"/>
      <c r="CN134" s="731"/>
      <c r="CO134" s="731"/>
      <c r="CP134" s="731"/>
      <c r="CQ134" s="731"/>
      <c r="CR134" s="731"/>
      <c r="CS134" s="731"/>
      <c r="CT134" s="731"/>
      <c r="CU134" s="731"/>
      <c r="CV134" s="731"/>
      <c r="CW134" s="731"/>
      <c r="CX134" s="731"/>
      <c r="CY134" s="731"/>
      <c r="CZ134" s="731"/>
      <c r="DA134" s="731"/>
      <c r="DB134" s="731"/>
      <c r="DC134" s="731"/>
      <c r="DD134" s="731"/>
      <c r="DE134" s="731"/>
    </row>
    <row r="135" spans="1:109" ht="22.5" x14ac:dyDescent="0.2">
      <c r="A135" s="172"/>
      <c r="B135" s="268" t="s">
        <v>42</v>
      </c>
      <c r="C135" s="269">
        <f t="shared" si="73"/>
        <v>0</v>
      </c>
      <c r="D135" s="164">
        <f t="shared" si="85"/>
        <v>1</v>
      </c>
      <c r="E135" s="282">
        <f t="shared" si="92"/>
        <v>0</v>
      </c>
      <c r="F135" s="282" t="str">
        <f t="shared" si="86"/>
        <v>0</v>
      </c>
      <c r="G135" s="28">
        <f t="shared" si="74"/>
        <v>0</v>
      </c>
      <c r="H135" s="252"/>
      <c r="I135" s="115">
        <f t="shared" si="87"/>
        <v>0</v>
      </c>
      <c r="J135" s="71">
        <f t="shared" si="88"/>
        <v>0</v>
      </c>
      <c r="L135" s="268" t="s">
        <v>42</v>
      </c>
      <c r="M135" s="34">
        <v>0.08</v>
      </c>
      <c r="N135" s="115">
        <f t="shared" si="89"/>
        <v>0</v>
      </c>
      <c r="O135" s="71">
        <f t="shared" si="84"/>
        <v>0</v>
      </c>
      <c r="Q135" s="268" t="s">
        <v>42</v>
      </c>
      <c r="R135" s="267"/>
      <c r="S135" s="28" t="str">
        <f t="shared" si="75"/>
        <v>0.00%</v>
      </c>
      <c r="T135" s="282">
        <f t="shared" si="76"/>
        <v>0</v>
      </c>
      <c r="U135" s="282" t="str">
        <f t="shared" si="77"/>
        <v>0</v>
      </c>
      <c r="V135" s="28">
        <f t="shared" si="78"/>
        <v>0</v>
      </c>
      <c r="W135" s="256">
        <f t="shared" si="90"/>
        <v>0</v>
      </c>
      <c r="X135" s="269">
        <f t="shared" si="79"/>
        <v>0</v>
      </c>
      <c r="Y135" s="269">
        <f t="shared" si="80"/>
        <v>0</v>
      </c>
      <c r="Z135" s="85">
        <f t="shared" si="81"/>
        <v>0</v>
      </c>
      <c r="AA135" s="85">
        <f t="shared" si="82"/>
        <v>0</v>
      </c>
      <c r="AB135" s="85">
        <f t="shared" si="83"/>
        <v>0</v>
      </c>
      <c r="AC135" s="71">
        <f t="shared" si="91"/>
        <v>0</v>
      </c>
      <c r="CF135" s="739">
        <v>118</v>
      </c>
      <c r="CG135" s="740" t="s">
        <v>829</v>
      </c>
      <c r="CH135" s="744">
        <f>I67</f>
        <v>0</v>
      </c>
      <c r="CI135" s="740" t="s">
        <v>817</v>
      </c>
      <c r="CJ135" s="742" t="s">
        <v>830</v>
      </c>
      <c r="CK135" s="740" t="s">
        <v>650</v>
      </c>
      <c r="CL135" s="731"/>
      <c r="CM135" s="731"/>
      <c r="CN135" s="731"/>
      <c r="CO135" s="731"/>
      <c r="CP135" s="731"/>
      <c r="CQ135" s="731"/>
      <c r="CR135" s="731"/>
      <c r="CS135" s="731"/>
      <c r="CT135" s="731"/>
      <c r="CU135" s="731"/>
      <c r="CV135" s="731"/>
      <c r="CW135" s="731"/>
      <c r="CX135" s="731"/>
      <c r="CY135" s="731"/>
      <c r="CZ135" s="731"/>
      <c r="DA135" s="731"/>
      <c r="DB135" s="731"/>
      <c r="DC135" s="731"/>
      <c r="DD135" s="731"/>
      <c r="DE135" s="731"/>
    </row>
    <row r="136" spans="1:109" ht="22.5" x14ac:dyDescent="0.2">
      <c r="A136" s="172"/>
      <c r="B136" s="279" t="s">
        <v>43</v>
      </c>
      <c r="C136" s="271">
        <f t="shared" si="73"/>
        <v>100</v>
      </c>
      <c r="D136" s="163">
        <f t="shared" si="85"/>
        <v>1</v>
      </c>
      <c r="E136" s="16">
        <f t="shared" si="92"/>
        <v>3566.9999999999991</v>
      </c>
      <c r="F136" s="16">
        <f>IFERROR(E136/C136, "0")</f>
        <v>35.669999999999987</v>
      </c>
      <c r="G136" s="221">
        <f t="shared" si="74"/>
        <v>0</v>
      </c>
      <c r="H136" s="252"/>
      <c r="I136" s="113">
        <f t="shared" si="87"/>
        <v>0</v>
      </c>
      <c r="J136" s="72">
        <f t="shared" si="88"/>
        <v>0</v>
      </c>
      <c r="L136" s="279" t="s">
        <v>43</v>
      </c>
      <c r="M136" s="34">
        <v>7.0000000000000007E-2</v>
      </c>
      <c r="N136" s="113">
        <f t="shared" si="89"/>
        <v>3050357.1428571427</v>
      </c>
      <c r="O136" s="72">
        <f t="shared" si="84"/>
        <v>213524999.99999997</v>
      </c>
      <c r="Q136" s="279" t="s">
        <v>43</v>
      </c>
      <c r="R136" s="267"/>
      <c r="S136" s="221">
        <f t="shared" si="75"/>
        <v>0</v>
      </c>
      <c r="T136" s="16">
        <f t="shared" si="76"/>
        <v>0</v>
      </c>
      <c r="U136" s="16" t="str">
        <f t="shared" si="77"/>
        <v>0</v>
      </c>
      <c r="V136" s="221">
        <f t="shared" si="78"/>
        <v>0</v>
      </c>
      <c r="W136" s="256">
        <f t="shared" si="90"/>
        <v>0</v>
      </c>
      <c r="X136" s="271">
        <f t="shared" si="79"/>
        <v>0</v>
      </c>
      <c r="Y136" s="271">
        <f t="shared" si="80"/>
        <v>0</v>
      </c>
      <c r="Z136" s="86">
        <f t="shared" si="81"/>
        <v>0</v>
      </c>
      <c r="AA136" s="86">
        <f t="shared" si="82"/>
        <v>0</v>
      </c>
      <c r="AB136" s="86">
        <f t="shared" si="83"/>
        <v>0</v>
      </c>
      <c r="AC136" s="72">
        <f t="shared" si="91"/>
        <v>0</v>
      </c>
      <c r="CF136" s="735">
        <v>119</v>
      </c>
      <c r="CG136" s="736" t="s">
        <v>831</v>
      </c>
      <c r="CH136" s="743">
        <f>J67</f>
        <v>0</v>
      </c>
      <c r="CI136" s="736" t="s">
        <v>817</v>
      </c>
      <c r="CJ136" s="738" t="s">
        <v>832</v>
      </c>
      <c r="CK136" s="736" t="s">
        <v>571</v>
      </c>
      <c r="CL136" s="731"/>
      <c r="CM136" s="731"/>
      <c r="CN136" s="731"/>
      <c r="CO136" s="731"/>
      <c r="CP136" s="731"/>
      <c r="CQ136" s="731"/>
      <c r="CR136" s="731"/>
      <c r="CS136" s="731"/>
      <c r="CT136" s="731"/>
      <c r="CU136" s="731"/>
      <c r="CV136" s="731"/>
      <c r="CW136" s="731"/>
      <c r="CX136" s="731"/>
      <c r="CY136" s="731"/>
      <c r="CZ136" s="731"/>
      <c r="DA136" s="731"/>
      <c r="DB136" s="731"/>
      <c r="DC136" s="731"/>
      <c r="DD136" s="731"/>
      <c r="DE136" s="731"/>
    </row>
    <row r="137" spans="1:109" ht="22.5" x14ac:dyDescent="0.2">
      <c r="A137" s="172"/>
      <c r="B137" s="268" t="s">
        <v>44</v>
      </c>
      <c r="C137" s="269">
        <f t="shared" si="73"/>
        <v>0</v>
      </c>
      <c r="D137" s="164">
        <f t="shared" si="85"/>
        <v>1</v>
      </c>
      <c r="E137" s="282">
        <f t="shared" si="92"/>
        <v>0</v>
      </c>
      <c r="F137" s="282" t="str">
        <f t="shared" si="86"/>
        <v>0</v>
      </c>
      <c r="G137" s="28">
        <f t="shared" si="74"/>
        <v>0</v>
      </c>
      <c r="H137" s="252"/>
      <c r="I137" s="115">
        <f t="shared" si="87"/>
        <v>0</v>
      </c>
      <c r="J137" s="71">
        <f t="shared" si="88"/>
        <v>0</v>
      </c>
      <c r="L137" s="268" t="s">
        <v>44</v>
      </c>
      <c r="M137" s="34">
        <v>7.0000000000000007E-2</v>
      </c>
      <c r="N137" s="115">
        <f t="shared" si="89"/>
        <v>0</v>
      </c>
      <c r="O137" s="71">
        <f t="shared" si="84"/>
        <v>0</v>
      </c>
      <c r="Q137" s="268" t="s">
        <v>44</v>
      </c>
      <c r="R137" s="267"/>
      <c r="S137" s="28" t="str">
        <f t="shared" si="75"/>
        <v>0.00%</v>
      </c>
      <c r="T137" s="282">
        <f t="shared" si="76"/>
        <v>0</v>
      </c>
      <c r="U137" s="282" t="str">
        <f t="shared" si="77"/>
        <v>0</v>
      </c>
      <c r="V137" s="28">
        <f t="shared" si="78"/>
        <v>0</v>
      </c>
      <c r="W137" s="256">
        <f t="shared" si="90"/>
        <v>0</v>
      </c>
      <c r="X137" s="269">
        <f t="shared" si="79"/>
        <v>0</v>
      </c>
      <c r="Y137" s="269">
        <f t="shared" si="80"/>
        <v>0</v>
      </c>
      <c r="Z137" s="85">
        <f t="shared" si="81"/>
        <v>0</v>
      </c>
      <c r="AA137" s="85">
        <f t="shared" si="82"/>
        <v>0</v>
      </c>
      <c r="AB137" s="85">
        <f t="shared" si="83"/>
        <v>0</v>
      </c>
      <c r="AC137" s="71">
        <f t="shared" si="91"/>
        <v>0</v>
      </c>
      <c r="CF137" s="739">
        <v>120</v>
      </c>
      <c r="CG137" s="740" t="s">
        <v>833</v>
      </c>
      <c r="CH137" s="751">
        <f>K67</f>
        <v>0</v>
      </c>
      <c r="CI137" s="740" t="s">
        <v>817</v>
      </c>
      <c r="CJ137" s="742" t="s">
        <v>834</v>
      </c>
      <c r="CK137" s="740" t="s">
        <v>701</v>
      </c>
      <c r="CL137" s="731"/>
      <c r="CM137" s="731"/>
      <c r="CN137" s="731"/>
      <c r="CO137" s="731"/>
      <c r="CP137" s="731"/>
      <c r="CQ137" s="731"/>
      <c r="CR137" s="731"/>
      <c r="CS137" s="731"/>
      <c r="CT137" s="731"/>
      <c r="CU137" s="731"/>
      <c r="CV137" s="731"/>
      <c r="CW137" s="731"/>
      <c r="CX137" s="731"/>
      <c r="CY137" s="731"/>
      <c r="CZ137" s="731"/>
      <c r="DA137" s="731"/>
      <c r="DB137" s="731"/>
      <c r="DC137" s="731"/>
      <c r="DD137" s="731"/>
      <c r="DE137" s="731"/>
    </row>
    <row r="138" spans="1:109" ht="22.5" x14ac:dyDescent="0.2">
      <c r="A138" s="172"/>
      <c r="B138" s="279" t="s">
        <v>45</v>
      </c>
      <c r="C138" s="271">
        <f t="shared" si="73"/>
        <v>0</v>
      </c>
      <c r="D138" s="163">
        <f t="shared" si="85"/>
        <v>1</v>
      </c>
      <c r="E138" s="16">
        <f t="shared" si="92"/>
        <v>0</v>
      </c>
      <c r="F138" s="16" t="str">
        <f t="shared" si="86"/>
        <v>0</v>
      </c>
      <c r="G138" s="221">
        <f t="shared" si="74"/>
        <v>0</v>
      </c>
      <c r="H138" s="252"/>
      <c r="I138" s="113">
        <f t="shared" si="87"/>
        <v>0</v>
      </c>
      <c r="J138" s="72">
        <f t="shared" si="88"/>
        <v>0</v>
      </c>
      <c r="L138" s="279" t="s">
        <v>45</v>
      </c>
      <c r="M138" s="34">
        <v>7.0000000000000007E-2</v>
      </c>
      <c r="N138" s="113">
        <f t="shared" si="89"/>
        <v>0</v>
      </c>
      <c r="O138" s="72">
        <f t="shared" si="84"/>
        <v>0</v>
      </c>
      <c r="Q138" s="279" t="s">
        <v>45</v>
      </c>
      <c r="R138" s="267"/>
      <c r="S138" s="221" t="str">
        <f t="shared" si="75"/>
        <v>0.00%</v>
      </c>
      <c r="T138" s="16">
        <f t="shared" si="76"/>
        <v>0</v>
      </c>
      <c r="U138" s="16" t="str">
        <f t="shared" si="77"/>
        <v>0</v>
      </c>
      <c r="V138" s="221">
        <f t="shared" si="78"/>
        <v>0</v>
      </c>
      <c r="W138" s="256">
        <f t="shared" si="90"/>
        <v>0</v>
      </c>
      <c r="X138" s="271">
        <f t="shared" si="79"/>
        <v>0</v>
      </c>
      <c r="Y138" s="271">
        <f t="shared" si="80"/>
        <v>0</v>
      </c>
      <c r="Z138" s="86">
        <f t="shared" si="81"/>
        <v>0</v>
      </c>
      <c r="AA138" s="86">
        <f t="shared" si="82"/>
        <v>0</v>
      </c>
      <c r="AB138" s="86">
        <f t="shared" si="83"/>
        <v>0</v>
      </c>
      <c r="AC138" s="72">
        <f>SUM(Y138)-SUM(Z138:AA138)</f>
        <v>0</v>
      </c>
      <c r="CF138" s="735">
        <v>121</v>
      </c>
      <c r="CG138" s="736" t="s">
        <v>835</v>
      </c>
      <c r="CH138" s="752">
        <f>L67</f>
        <v>45</v>
      </c>
      <c r="CI138" s="736" t="s">
        <v>817</v>
      </c>
      <c r="CJ138" s="738" t="s">
        <v>836</v>
      </c>
      <c r="CK138" s="736" t="s">
        <v>704</v>
      </c>
      <c r="CL138" s="731"/>
      <c r="CM138" s="731"/>
      <c r="CN138" s="731"/>
      <c r="CO138" s="731"/>
      <c r="CP138" s="731"/>
      <c r="CQ138" s="731"/>
      <c r="CR138" s="731"/>
      <c r="CS138" s="731"/>
      <c r="CT138" s="731"/>
      <c r="CU138" s="731"/>
      <c r="CV138" s="731"/>
      <c r="CW138" s="731"/>
      <c r="CX138" s="731"/>
      <c r="CY138" s="731"/>
      <c r="CZ138" s="731"/>
      <c r="DA138" s="731"/>
      <c r="DB138" s="731"/>
      <c r="DC138" s="731"/>
      <c r="DD138" s="731"/>
      <c r="DE138" s="731"/>
    </row>
    <row r="139" spans="1:109" ht="23.25" thickBot="1" x14ac:dyDescent="0.25">
      <c r="A139" s="172"/>
      <c r="B139" s="1" t="s">
        <v>94</v>
      </c>
      <c r="C139" s="216">
        <f>SUM(C129:C138)</f>
        <v>112</v>
      </c>
      <c r="D139" s="29" t="s">
        <v>67</v>
      </c>
      <c r="E139" s="2">
        <f>SUM(E129:E138)</f>
        <v>9920.7939999999981</v>
      </c>
      <c r="F139" s="45">
        <f>IFERROR(E139/C139, "0")</f>
        <v>88.578517857142842</v>
      </c>
      <c r="G139" s="118">
        <f>SUMPRODUCT(G129:G138, E129:E138) / SUM(E129:E138)</f>
        <v>0</v>
      </c>
      <c r="H139" s="46">
        <f>SUMPRODUCT(H129:H138, E129:E138) / SUM(E129:E138)</f>
        <v>0</v>
      </c>
      <c r="I139" s="655" t="e" cm="1">
        <f t="array" ref="I139">SUMPRODUCT((I129:I138&lt;&gt;0)*(I129:I138&lt;&gt;""), I129:I138, C129:C138) / SUMIFS(C129:C138, I129:I138, "&lt;&gt;0", I129:I138, "&lt;&gt;")</f>
        <v>#DIV/0!</v>
      </c>
      <c r="J139" s="96">
        <f>SUMIF(J129:J138, "&lt;&gt;#DIV/0!")</f>
        <v>0</v>
      </c>
      <c r="L139" s="1" t="s">
        <v>94</v>
      </c>
      <c r="M139" s="35" t="s">
        <v>67</v>
      </c>
      <c r="N139" s="656" t="s">
        <v>67</v>
      </c>
      <c r="O139" s="73">
        <f>SUMIF(O129:O138, "&lt;&gt;#DIV/0!")</f>
        <v>242871819.07499996</v>
      </c>
      <c r="Q139" s="1" t="s">
        <v>94</v>
      </c>
      <c r="R139" s="216">
        <f>SUM(R129:R138)</f>
        <v>11</v>
      </c>
      <c r="S139" s="29" t="s">
        <v>67</v>
      </c>
      <c r="T139" s="2">
        <f>SUMIF(T129:T138, "&lt;&gt;#DIV/0!")</f>
        <v>3340</v>
      </c>
      <c r="U139" s="45">
        <f>IFERROR(T139/R139, "0")</f>
        <v>303.63636363636363</v>
      </c>
      <c r="V139" s="118">
        <f>SUMPRODUCT(V129:V138, T129:T138) / SUM(T129:T138)</f>
        <v>0</v>
      </c>
      <c r="W139" s="655">
        <f>SUMPRODUCT(W129:W138, T129:T138) / SUM(T129:T138)</f>
        <v>14319.187711533457</v>
      </c>
      <c r="X139" s="46" cm="1">
        <f t="array" ref="X139">SUMPRODUCT((X129:X138&lt;&gt;0)*(X129:X138&lt;&gt;""), X129:X138, R129:R138) / SUMIFS(R129:R138, X129:X138, "&lt;&gt;0", X129:X138, "&lt;&gt;")</f>
        <v>4347826.0869565224</v>
      </c>
      <c r="Y139" s="216">
        <f>SUMIF(Y129:Y138, "&lt;&gt;#DIV/0!")</f>
        <v>47826086.956521749</v>
      </c>
      <c r="Z139" s="653">
        <f>SUMIF(Z129:Z138, "&lt;&gt;#DIV/0!")</f>
        <v>717391.30434782617</v>
      </c>
      <c r="AA139" s="653">
        <f>SUMIF(AA129:AA138, "&lt;&gt;#DIV/0!")</f>
        <v>621739.13043478271</v>
      </c>
      <c r="AB139" s="653">
        <f>SUMIF(AB129:AB138, "&lt;&gt;#DIV/0!")</f>
        <v>0</v>
      </c>
      <c r="AC139" s="73">
        <f>SUMIF(AC129:AC138, "&lt;&gt;#DIV/0!")</f>
        <v>46486956.52173914</v>
      </c>
      <c r="CF139" s="734" t="s">
        <v>837</v>
      </c>
      <c r="CG139" s="734"/>
      <c r="CH139" s="734"/>
      <c r="CI139" s="734"/>
      <c r="CJ139" s="734"/>
      <c r="CK139" s="734"/>
      <c r="CL139" s="731"/>
      <c r="CM139" s="731"/>
      <c r="CN139" s="731"/>
      <c r="CO139" s="731"/>
      <c r="CP139" s="731"/>
      <c r="CQ139" s="731"/>
      <c r="CR139" s="731"/>
      <c r="CS139" s="731"/>
      <c r="CT139" s="731"/>
      <c r="CU139" s="731"/>
      <c r="CV139" s="731"/>
      <c r="CW139" s="731"/>
      <c r="CX139" s="731"/>
      <c r="CY139" s="731"/>
      <c r="CZ139" s="731"/>
      <c r="DA139" s="731"/>
      <c r="DB139" s="731"/>
      <c r="DC139" s="731"/>
      <c r="DD139" s="731"/>
      <c r="DE139" s="731"/>
    </row>
    <row r="140" spans="1:109" ht="12.75" x14ac:dyDescent="0.2">
      <c r="AC140" s="172"/>
      <c r="CF140" s="739">
        <v>122</v>
      </c>
      <c r="CG140" s="740" t="s">
        <v>838</v>
      </c>
      <c r="CH140" s="746">
        <f>C68</f>
        <v>0.39152921762912818</v>
      </c>
      <c r="CI140" s="740" t="s">
        <v>839</v>
      </c>
      <c r="CJ140" s="742" t="s">
        <v>840</v>
      </c>
      <c r="CK140" s="740" t="s">
        <v>597</v>
      </c>
      <c r="CL140" s="731"/>
      <c r="CM140" s="731"/>
      <c r="CN140" s="731"/>
      <c r="CO140" s="731"/>
      <c r="CP140" s="731"/>
      <c r="CQ140" s="731"/>
      <c r="CR140" s="731"/>
      <c r="CS140" s="731"/>
      <c r="CT140" s="731"/>
      <c r="CU140" s="731"/>
      <c r="CV140" s="731"/>
      <c r="CW140" s="731"/>
      <c r="CX140" s="731"/>
      <c r="CY140" s="731"/>
      <c r="CZ140" s="731"/>
      <c r="DA140" s="731"/>
      <c r="DB140" s="731"/>
      <c r="DC140" s="731"/>
      <c r="DD140" s="731"/>
      <c r="DE140" s="731"/>
    </row>
    <row r="141" spans="1:109" ht="12.75" x14ac:dyDescent="0.2">
      <c r="A141" s="97"/>
      <c r="CF141" s="735">
        <v>123</v>
      </c>
      <c r="CG141" s="736" t="s">
        <v>841</v>
      </c>
      <c r="CH141" s="745">
        <f>D68</f>
        <v>6149.9999999999991</v>
      </c>
      <c r="CI141" s="736" t="s">
        <v>839</v>
      </c>
      <c r="CJ141" s="738" t="s">
        <v>842</v>
      </c>
      <c r="CK141" s="736" t="s">
        <v>647</v>
      </c>
      <c r="CL141" s="731"/>
      <c r="CM141" s="731"/>
      <c r="CN141" s="731"/>
      <c r="CO141" s="731"/>
      <c r="CP141" s="731"/>
      <c r="CQ141" s="731"/>
      <c r="CR141" s="731"/>
      <c r="CS141" s="731"/>
      <c r="CT141" s="731"/>
      <c r="CU141" s="731"/>
      <c r="CV141" s="731"/>
      <c r="CW141" s="731"/>
      <c r="CX141" s="731"/>
      <c r="CY141" s="731"/>
      <c r="CZ141" s="731"/>
      <c r="DA141" s="731"/>
      <c r="DB141" s="731"/>
      <c r="DC141" s="731"/>
      <c r="DD141" s="731"/>
      <c r="DE141" s="731"/>
    </row>
    <row r="142" spans="1:109" ht="12.75" x14ac:dyDescent="0.2">
      <c r="G142" s="97"/>
      <c r="CF142" s="739">
        <v>124</v>
      </c>
      <c r="CG142" s="740" t="s">
        <v>843</v>
      </c>
      <c r="CH142" s="746">
        <f>E68</f>
        <v>0.57999999999999996</v>
      </c>
      <c r="CI142" s="740" t="s">
        <v>839</v>
      </c>
      <c r="CJ142" s="742" t="s">
        <v>844</v>
      </c>
      <c r="CK142" s="740" t="s">
        <v>597</v>
      </c>
      <c r="CL142" s="731"/>
      <c r="CM142" s="731"/>
      <c r="CN142" s="731"/>
      <c r="CO142" s="731"/>
      <c r="CP142" s="731"/>
      <c r="CQ142" s="731"/>
      <c r="CR142" s="731"/>
      <c r="CS142" s="731"/>
      <c r="CT142" s="731"/>
      <c r="CU142" s="731"/>
      <c r="CV142" s="731"/>
      <c r="CW142" s="731"/>
      <c r="CX142" s="731"/>
      <c r="CY142" s="731"/>
      <c r="CZ142" s="731"/>
      <c r="DA142" s="731"/>
      <c r="DB142" s="731"/>
      <c r="DC142" s="731"/>
      <c r="DD142" s="731"/>
      <c r="DE142" s="731"/>
    </row>
    <row r="143" spans="1:109" ht="12.75" x14ac:dyDescent="0.2">
      <c r="C143" s="172"/>
      <c r="D143" s="172"/>
      <c r="E143" s="172"/>
      <c r="F143" s="172"/>
      <c r="G143" s="172"/>
      <c r="J143" s="177"/>
      <c r="L143" s="172"/>
      <c r="M143" s="172"/>
      <c r="N143" s="172"/>
      <c r="P143" s="172"/>
      <c r="Q143" s="172"/>
      <c r="R143" s="172"/>
      <c r="S143" s="172"/>
      <c r="T143" s="172"/>
      <c r="U143" s="172"/>
      <c r="V143" s="172"/>
      <c r="W143" s="172"/>
      <c r="X143" s="172"/>
      <c r="Z143" s="172"/>
      <c r="AA143" s="172"/>
      <c r="AB143" s="172"/>
      <c r="AC143" s="172"/>
      <c r="AD143" s="172"/>
      <c r="CF143" s="735">
        <v>125</v>
      </c>
      <c r="CG143" s="736" t="s">
        <v>845</v>
      </c>
      <c r="CH143" s="745">
        <f>F68</f>
        <v>3566.9999999999991</v>
      </c>
      <c r="CI143" s="736" t="s">
        <v>839</v>
      </c>
      <c r="CJ143" s="738" t="s">
        <v>846</v>
      </c>
      <c r="CK143" s="736" t="s">
        <v>647</v>
      </c>
      <c r="CL143" s="731"/>
      <c r="CM143" s="731"/>
      <c r="CN143" s="731"/>
      <c r="CO143" s="731"/>
      <c r="CP143" s="731"/>
      <c r="CQ143" s="731"/>
      <c r="CR143" s="731"/>
      <c r="CS143" s="731"/>
      <c r="CT143" s="731"/>
      <c r="CU143" s="731"/>
      <c r="CV143" s="731"/>
      <c r="CW143" s="731"/>
      <c r="CX143" s="731"/>
      <c r="CY143" s="731"/>
      <c r="CZ143" s="731"/>
      <c r="DA143" s="731"/>
      <c r="DB143" s="731"/>
      <c r="DC143" s="731"/>
      <c r="DD143" s="731"/>
      <c r="DE143" s="731"/>
    </row>
    <row r="144" spans="1:109" ht="13.5" thickBot="1" x14ac:dyDescent="0.25">
      <c r="C144" s="172"/>
      <c r="D144" s="172"/>
      <c r="E144" s="172"/>
      <c r="F144" s="172"/>
      <c r="G144" s="172"/>
      <c r="J144" s="172"/>
      <c r="AD144" s="172"/>
      <c r="CF144" s="739">
        <v>126</v>
      </c>
      <c r="CG144" s="740" t="s">
        <v>847</v>
      </c>
      <c r="CH144" s="749">
        <f>G68</f>
        <v>100</v>
      </c>
      <c r="CI144" s="740" t="s">
        <v>839</v>
      </c>
      <c r="CJ144" s="742" t="s">
        <v>848</v>
      </c>
      <c r="CK144" s="740" t="s">
        <v>647</v>
      </c>
      <c r="CL144" s="731"/>
      <c r="CM144" s="731"/>
      <c r="CN144" s="731"/>
      <c r="CO144" s="731"/>
      <c r="CP144" s="731"/>
      <c r="CQ144" s="731"/>
      <c r="CR144" s="731"/>
      <c r="CS144" s="731"/>
      <c r="CT144" s="731"/>
      <c r="CU144" s="731"/>
      <c r="CV144" s="731"/>
      <c r="CW144" s="731"/>
      <c r="CX144" s="731"/>
      <c r="CY144" s="731"/>
      <c r="CZ144" s="731"/>
      <c r="DA144" s="731"/>
      <c r="DB144" s="731"/>
      <c r="DC144" s="731"/>
      <c r="DD144" s="731"/>
      <c r="DE144" s="731"/>
    </row>
    <row r="145" spans="1:109" ht="12.75" x14ac:dyDescent="0.2">
      <c r="A145" s="97"/>
      <c r="B145" s="902" t="s">
        <v>210</v>
      </c>
      <c r="C145" s="903"/>
      <c r="D145" s="903"/>
      <c r="E145" s="903"/>
      <c r="F145" s="903"/>
      <c r="G145" s="903"/>
      <c r="H145" s="903"/>
      <c r="I145" s="903"/>
      <c r="J145" s="903"/>
      <c r="K145" s="903"/>
      <c r="L145" s="903"/>
      <c r="M145" s="904"/>
      <c r="Q145" s="811" t="s">
        <v>120</v>
      </c>
      <c r="R145" s="812"/>
      <c r="S145" s="812"/>
      <c r="T145" s="812"/>
      <c r="U145" s="812"/>
      <c r="V145" s="812"/>
      <c r="W145" s="812"/>
      <c r="X145" s="812"/>
      <c r="Y145" s="812"/>
      <c r="Z145" s="812"/>
      <c r="AA145" s="812"/>
      <c r="AB145" s="812"/>
      <c r="AC145" s="813"/>
      <c r="CF145" s="735">
        <v>127</v>
      </c>
      <c r="CG145" s="736" t="s">
        <v>849</v>
      </c>
      <c r="CH145" s="750">
        <f>H68</f>
        <v>35.669999999999987</v>
      </c>
      <c r="CI145" s="736" t="s">
        <v>839</v>
      </c>
      <c r="CJ145" s="738" t="s">
        <v>850</v>
      </c>
      <c r="CK145" s="736" t="s">
        <v>694</v>
      </c>
      <c r="CL145" s="731"/>
      <c r="CM145" s="731"/>
      <c r="CN145" s="731"/>
      <c r="CO145" s="731"/>
      <c r="CP145" s="731"/>
      <c r="CQ145" s="731"/>
      <c r="CR145" s="731"/>
      <c r="CS145" s="731"/>
      <c r="CT145" s="731"/>
      <c r="CU145" s="731"/>
      <c r="CV145" s="731"/>
      <c r="CW145" s="731"/>
      <c r="CX145" s="731"/>
      <c r="CY145" s="731"/>
      <c r="CZ145" s="731"/>
      <c r="DA145" s="731"/>
      <c r="DB145" s="731"/>
      <c r="DC145" s="731"/>
      <c r="DD145" s="731"/>
      <c r="DE145" s="731"/>
    </row>
    <row r="146" spans="1:109" ht="27" x14ac:dyDescent="0.2">
      <c r="A146" s="97"/>
      <c r="B146" s="207" t="s">
        <v>37</v>
      </c>
      <c r="C146" s="208" t="s">
        <v>121</v>
      </c>
      <c r="D146" s="208" t="s">
        <v>122</v>
      </c>
      <c r="E146" s="208" t="s">
        <v>123</v>
      </c>
      <c r="F146" s="208" t="s">
        <v>325</v>
      </c>
      <c r="G146" s="208" t="s">
        <v>124</v>
      </c>
      <c r="H146" s="208" t="s">
        <v>125</v>
      </c>
      <c r="I146" s="208" t="s">
        <v>287</v>
      </c>
      <c r="J146" s="208" t="s">
        <v>324</v>
      </c>
      <c r="K146" s="208" t="s">
        <v>318</v>
      </c>
      <c r="L146" s="208" t="s">
        <v>322</v>
      </c>
      <c r="M146" s="284" t="s">
        <v>207</v>
      </c>
      <c r="Q146" s="31" t="s">
        <v>37</v>
      </c>
      <c r="R146" s="32" t="s">
        <v>121</v>
      </c>
      <c r="S146" s="32" t="s">
        <v>124</v>
      </c>
      <c r="T146" s="32" t="s">
        <v>320</v>
      </c>
      <c r="U146" s="32" t="s">
        <v>126</v>
      </c>
      <c r="V146" s="32" t="s">
        <v>127</v>
      </c>
      <c r="W146" s="32" t="s">
        <v>427</v>
      </c>
      <c r="X146" s="32" t="s">
        <v>8</v>
      </c>
      <c r="Y146" s="32" t="s">
        <v>296</v>
      </c>
      <c r="Z146" s="208" t="s">
        <v>318</v>
      </c>
      <c r="AA146" s="25" t="s">
        <v>322</v>
      </c>
      <c r="AB146" s="208" t="s">
        <v>440</v>
      </c>
      <c r="AC146" s="33" t="s">
        <v>208</v>
      </c>
      <c r="CF146" s="739">
        <v>128</v>
      </c>
      <c r="CG146" s="740" t="s">
        <v>851</v>
      </c>
      <c r="CH146" s="744">
        <f>I68</f>
        <v>6000</v>
      </c>
      <c r="CI146" s="740" t="s">
        <v>839</v>
      </c>
      <c r="CJ146" s="742" t="s">
        <v>852</v>
      </c>
      <c r="CK146" s="740" t="s">
        <v>650</v>
      </c>
      <c r="CL146" s="731"/>
      <c r="CM146" s="731"/>
      <c r="CN146" s="731"/>
      <c r="CO146" s="731"/>
      <c r="CP146" s="731"/>
      <c r="CQ146" s="731"/>
      <c r="CR146" s="731"/>
      <c r="CS146" s="731"/>
      <c r="CT146" s="731"/>
      <c r="CU146" s="731"/>
      <c r="CV146" s="731"/>
      <c r="CW146" s="731"/>
      <c r="CX146" s="731"/>
      <c r="CY146" s="731"/>
      <c r="CZ146" s="731"/>
      <c r="DA146" s="731"/>
      <c r="DB146" s="731"/>
      <c r="DC146" s="731"/>
      <c r="DD146" s="731"/>
      <c r="DE146" s="731"/>
    </row>
    <row r="147" spans="1:109" ht="22.5" x14ac:dyDescent="0.2">
      <c r="A147" s="97"/>
      <c r="B147" s="268" t="s">
        <v>38</v>
      </c>
      <c r="C147" s="269">
        <f>G61</f>
        <v>12</v>
      </c>
      <c r="D147" s="282">
        <f t="shared" ref="D147:D156" si="93">H61</f>
        <v>251.14949999999999</v>
      </c>
      <c r="E147" s="256">
        <v>820</v>
      </c>
      <c r="F147" s="115">
        <f>E147*D147</f>
        <v>205942.59</v>
      </c>
      <c r="G147" s="254">
        <v>1</v>
      </c>
      <c r="H147" s="115">
        <f>(F147*C147)*G147</f>
        <v>2471311.08</v>
      </c>
      <c r="I147" s="85">
        <f t="shared" ref="I147:I156" si="94">$I$158*H147</f>
        <v>123565.554</v>
      </c>
      <c r="J147" s="269">
        <f t="shared" ref="J147:J156" si="95">IFERROR((AU4 * (M129/100)) / (F61 * (G147/100) * (1 - ($I$158/100))), 0)</f>
        <v>756.74176814600025</v>
      </c>
      <c r="K147" s="10">
        <f>IFERROR(100%/L147, "0")</f>
        <v>12.084136669799859</v>
      </c>
      <c r="L147" s="217">
        <f t="shared" ref="L147:L156" si="96">IFERROR(M147/(AU4-AT4), "0.00%")</f>
        <v>8.275311901256098E-2</v>
      </c>
      <c r="M147" s="71">
        <f t="shared" ref="M147:M156" si="97">H147-I147</f>
        <v>2347745.5260000001</v>
      </c>
      <c r="Q147" s="268" t="s">
        <v>38</v>
      </c>
      <c r="R147" s="269">
        <f t="shared" ref="R147:R156" si="98">G61</f>
        <v>12</v>
      </c>
      <c r="S147" s="254"/>
      <c r="T147" s="269">
        <f>(R147*365)*S147</f>
        <v>0</v>
      </c>
      <c r="U147" s="256"/>
      <c r="V147" s="115">
        <f t="shared" ref="V147:V156" si="99">IFERROR((U147*T147)/R147, "0")</f>
        <v>0</v>
      </c>
      <c r="W147" s="254"/>
      <c r="X147" s="115">
        <f t="shared" ref="X147:X156" si="100">(U147*T147)+((T147*U147)*W147)</f>
        <v>0</v>
      </c>
      <c r="Y147" s="85">
        <f t="shared" ref="Y147:Y156" si="101">X147*$Y$158</f>
        <v>0</v>
      </c>
      <c r="Z147" s="10">
        <f t="shared" ref="Z147:Z156" si="102">IFERROR((AU4-AT4) / ((U147 * R147 * (1 - $Y$158) * S147 * 365) * (1 + W147)), 0)</f>
        <v>0</v>
      </c>
      <c r="AA147" s="217">
        <f t="shared" ref="AA147:AA156" si="103">IFERROR(AC147/(AU4-AT4), "0.00%")</f>
        <v>0</v>
      </c>
      <c r="AB147" s="269">
        <f t="shared" ref="AB147:AB156" si="104">IFERROR(((AU4-AT4) * (M129/100)) / (R147 * (S147/100) * (1 - ($Y$158/100)) * 365), 0)*(1+W147)</f>
        <v>0</v>
      </c>
      <c r="AC147" s="71">
        <f t="shared" ref="AC147:AC156" si="105">X147-Y147</f>
        <v>0</v>
      </c>
      <c r="CF147" s="735">
        <v>129</v>
      </c>
      <c r="CG147" s="736" t="s">
        <v>853</v>
      </c>
      <c r="CH147" s="743">
        <f>J68</f>
        <v>36899999.999999993</v>
      </c>
      <c r="CI147" s="736" t="s">
        <v>839</v>
      </c>
      <c r="CJ147" s="738" t="s">
        <v>854</v>
      </c>
      <c r="CK147" s="736" t="s">
        <v>571</v>
      </c>
      <c r="CL147" s="731"/>
      <c r="CM147" s="731"/>
      <c r="CN147" s="731"/>
      <c r="CO147" s="731"/>
      <c r="CP147" s="731"/>
      <c r="CQ147" s="731"/>
      <c r="CR147" s="731"/>
      <c r="CS147" s="731"/>
      <c r="CT147" s="731"/>
      <c r="CU147" s="731"/>
      <c r="CV147" s="731"/>
      <c r="CW147" s="731"/>
      <c r="CX147" s="731"/>
      <c r="CY147" s="731"/>
      <c r="CZ147" s="731"/>
      <c r="DA147" s="731"/>
      <c r="DB147" s="731"/>
      <c r="DC147" s="731"/>
      <c r="DD147" s="731"/>
      <c r="DE147" s="731"/>
    </row>
    <row r="148" spans="1:109" ht="22.5" x14ac:dyDescent="0.2">
      <c r="A148" s="97"/>
      <c r="B148" s="279" t="s">
        <v>39</v>
      </c>
      <c r="C148" s="271">
        <f t="shared" ref="C148:C156" si="106">G62</f>
        <v>11</v>
      </c>
      <c r="D148" s="16">
        <f>H62</f>
        <v>303.63636363636363</v>
      </c>
      <c r="E148" s="256"/>
      <c r="F148" s="113">
        <f>E148*D148</f>
        <v>0</v>
      </c>
      <c r="G148" s="34"/>
      <c r="H148" s="113">
        <f>(F148*C148)*G148</f>
        <v>0</v>
      </c>
      <c r="I148" s="86">
        <f t="shared" si="94"/>
        <v>0</v>
      </c>
      <c r="J148" s="271">
        <f t="shared" si="95"/>
        <v>0</v>
      </c>
      <c r="K148" s="110" t="str">
        <f t="shared" ref="K148:K151" si="107">IFERROR(100%/L148, "0")</f>
        <v>0</v>
      </c>
      <c r="L148" s="114">
        <f t="shared" si="96"/>
        <v>0</v>
      </c>
      <c r="M148" s="72">
        <f>H148-I148</f>
        <v>0</v>
      </c>
      <c r="Q148" s="279" t="s">
        <v>39</v>
      </c>
      <c r="R148" s="271">
        <f t="shared" si="98"/>
        <v>11</v>
      </c>
      <c r="S148" s="34"/>
      <c r="T148" s="271">
        <f t="shared" ref="T148:T153" si="108">(R148*365)*S148</f>
        <v>0</v>
      </c>
      <c r="U148" s="256"/>
      <c r="V148" s="113">
        <f t="shared" si="99"/>
        <v>0</v>
      </c>
      <c r="W148" s="34"/>
      <c r="X148" s="113">
        <f>(U148*T148)+((T148*U148)*W148)</f>
        <v>0</v>
      </c>
      <c r="Y148" s="86">
        <f t="shared" si="101"/>
        <v>0</v>
      </c>
      <c r="Z148" s="110">
        <f t="shared" si="102"/>
        <v>0</v>
      </c>
      <c r="AA148" s="111">
        <f t="shared" si="103"/>
        <v>0</v>
      </c>
      <c r="AB148" s="271">
        <f t="shared" si="104"/>
        <v>0</v>
      </c>
      <c r="AC148" s="72">
        <f>X148-Y148</f>
        <v>0</v>
      </c>
      <c r="CF148" s="739">
        <v>130</v>
      </c>
      <c r="CG148" s="740" t="s">
        <v>855</v>
      </c>
      <c r="CH148" s="751">
        <f>K68</f>
        <v>50</v>
      </c>
      <c r="CI148" s="740" t="s">
        <v>839</v>
      </c>
      <c r="CJ148" s="742" t="s">
        <v>856</v>
      </c>
      <c r="CK148" s="740" t="s">
        <v>701</v>
      </c>
      <c r="CL148" s="731"/>
      <c r="CM148" s="731"/>
      <c r="CN148" s="731"/>
      <c r="CO148" s="731"/>
      <c r="CP148" s="731"/>
      <c r="CQ148" s="731"/>
      <c r="CR148" s="731"/>
      <c r="CS148" s="731"/>
      <c r="CT148" s="731"/>
      <c r="CU148" s="731"/>
      <c r="CV148" s="731"/>
      <c r="CW148" s="731"/>
      <c r="CX148" s="731"/>
      <c r="CY148" s="731"/>
      <c r="CZ148" s="731"/>
      <c r="DA148" s="731"/>
      <c r="DB148" s="731"/>
      <c r="DC148" s="731"/>
      <c r="DD148" s="731"/>
      <c r="DE148" s="731"/>
    </row>
    <row r="149" spans="1:109" ht="22.5" x14ac:dyDescent="0.2">
      <c r="A149" s="97"/>
      <c r="B149" s="268" t="s">
        <v>40</v>
      </c>
      <c r="C149" s="269">
        <f t="shared" si="106"/>
        <v>0</v>
      </c>
      <c r="D149" s="282" t="str">
        <f>H63</f>
        <v>0.00</v>
      </c>
      <c r="E149" s="256"/>
      <c r="F149" s="115">
        <f t="shared" ref="F149:F156" si="109">E149*D149</f>
        <v>0</v>
      </c>
      <c r="G149" s="254"/>
      <c r="H149" s="115">
        <f t="shared" ref="H149:H156" si="110">(F149*C149)*G149</f>
        <v>0</v>
      </c>
      <c r="I149" s="85">
        <f t="shared" si="94"/>
        <v>0</v>
      </c>
      <c r="J149" s="269">
        <f t="shared" si="95"/>
        <v>0</v>
      </c>
      <c r="K149" s="10" t="str">
        <f t="shared" si="107"/>
        <v>0</v>
      </c>
      <c r="L149" s="28" t="str">
        <f t="shared" si="96"/>
        <v>0.00%</v>
      </c>
      <c r="M149" s="71">
        <f t="shared" si="97"/>
        <v>0</v>
      </c>
      <c r="Q149" s="268" t="s">
        <v>40</v>
      </c>
      <c r="R149" s="269">
        <f t="shared" si="98"/>
        <v>0</v>
      </c>
      <c r="S149" s="254"/>
      <c r="T149" s="269">
        <f t="shared" si="108"/>
        <v>0</v>
      </c>
      <c r="U149" s="256"/>
      <c r="V149" s="115" t="str">
        <f t="shared" si="99"/>
        <v>0</v>
      </c>
      <c r="W149" s="254"/>
      <c r="X149" s="115">
        <f t="shared" si="100"/>
        <v>0</v>
      </c>
      <c r="Y149" s="85">
        <f t="shared" si="101"/>
        <v>0</v>
      </c>
      <c r="Z149" s="10">
        <f t="shared" si="102"/>
        <v>0</v>
      </c>
      <c r="AA149" s="28" t="str">
        <f t="shared" si="103"/>
        <v>0.00%</v>
      </c>
      <c r="AB149" s="269">
        <f t="shared" si="104"/>
        <v>0</v>
      </c>
      <c r="AC149" s="71">
        <f t="shared" si="105"/>
        <v>0</v>
      </c>
      <c r="CF149" s="735">
        <v>131</v>
      </c>
      <c r="CG149" s="736" t="s">
        <v>857</v>
      </c>
      <c r="CH149" s="752">
        <f>L68</f>
        <v>2</v>
      </c>
      <c r="CI149" s="736" t="s">
        <v>839</v>
      </c>
      <c r="CJ149" s="738" t="s">
        <v>858</v>
      </c>
      <c r="CK149" s="736" t="s">
        <v>704</v>
      </c>
      <c r="CL149" s="731"/>
      <c r="CM149" s="731"/>
      <c r="CN149" s="731"/>
      <c r="CO149" s="731"/>
      <c r="CP149" s="731"/>
      <c r="CQ149" s="731"/>
      <c r="CR149" s="731"/>
      <c r="CS149" s="731"/>
      <c r="CT149" s="731"/>
      <c r="CU149" s="731"/>
      <c r="CV149" s="731"/>
      <c r="CW149" s="731"/>
      <c r="CX149" s="731"/>
      <c r="CY149" s="731"/>
      <c r="CZ149" s="731"/>
      <c r="DA149" s="731"/>
      <c r="DB149" s="731"/>
      <c r="DC149" s="731"/>
      <c r="DD149" s="731"/>
      <c r="DE149" s="731"/>
    </row>
    <row r="150" spans="1:109" ht="22.5" x14ac:dyDescent="0.2">
      <c r="A150" s="97"/>
      <c r="B150" s="279" t="s">
        <v>41</v>
      </c>
      <c r="C150" s="271">
        <f t="shared" si="106"/>
        <v>0</v>
      </c>
      <c r="D150" s="16" t="str">
        <f t="shared" si="93"/>
        <v>0.00</v>
      </c>
      <c r="E150" s="256"/>
      <c r="F150" s="113">
        <f t="shared" si="109"/>
        <v>0</v>
      </c>
      <c r="G150" s="34"/>
      <c r="H150" s="113">
        <f t="shared" si="110"/>
        <v>0</v>
      </c>
      <c r="I150" s="86">
        <f t="shared" si="94"/>
        <v>0</v>
      </c>
      <c r="J150" s="271">
        <f t="shared" si="95"/>
        <v>0</v>
      </c>
      <c r="K150" s="110" t="str">
        <f t="shared" si="107"/>
        <v>0</v>
      </c>
      <c r="L150" s="221" t="str">
        <f t="shared" si="96"/>
        <v>0.00%</v>
      </c>
      <c r="M150" s="72">
        <f t="shared" si="97"/>
        <v>0</v>
      </c>
      <c r="Q150" s="279" t="s">
        <v>41</v>
      </c>
      <c r="R150" s="271">
        <f t="shared" si="98"/>
        <v>0</v>
      </c>
      <c r="S150" s="34"/>
      <c r="T150" s="271">
        <f t="shared" si="108"/>
        <v>0</v>
      </c>
      <c r="U150" s="256"/>
      <c r="V150" s="113" t="str">
        <f t="shared" si="99"/>
        <v>0</v>
      </c>
      <c r="W150" s="34"/>
      <c r="X150" s="113">
        <f t="shared" si="100"/>
        <v>0</v>
      </c>
      <c r="Y150" s="86">
        <f t="shared" si="101"/>
        <v>0</v>
      </c>
      <c r="Z150" s="110">
        <f t="shared" si="102"/>
        <v>0</v>
      </c>
      <c r="AA150" s="221" t="str">
        <f t="shared" si="103"/>
        <v>0.00%</v>
      </c>
      <c r="AB150" s="271">
        <f t="shared" si="104"/>
        <v>0</v>
      </c>
      <c r="AC150" s="72">
        <f t="shared" si="105"/>
        <v>0</v>
      </c>
      <c r="CF150" s="734" t="s">
        <v>859</v>
      </c>
      <c r="CG150" s="734"/>
      <c r="CH150" s="734"/>
      <c r="CI150" s="734"/>
      <c r="CJ150" s="734"/>
      <c r="CK150" s="734"/>
      <c r="CL150" s="731"/>
      <c r="CM150" s="731"/>
      <c r="CN150" s="731"/>
      <c r="CO150" s="731"/>
      <c r="CP150" s="731"/>
      <c r="CQ150" s="731"/>
      <c r="CR150" s="731"/>
      <c r="CS150" s="731"/>
      <c r="CT150" s="731"/>
      <c r="CU150" s="731"/>
      <c r="CV150" s="731"/>
      <c r="CW150" s="731"/>
      <c r="CX150" s="731"/>
      <c r="CY150" s="731"/>
      <c r="CZ150" s="731"/>
      <c r="DA150" s="731"/>
      <c r="DB150" s="731"/>
      <c r="DC150" s="731"/>
      <c r="DD150" s="731"/>
      <c r="DE150" s="731"/>
    </row>
    <row r="151" spans="1:109" ht="22.5" x14ac:dyDescent="0.2">
      <c r="A151" s="97"/>
      <c r="B151" s="268" t="s">
        <v>65</v>
      </c>
      <c r="C151" s="269">
        <f t="shared" si="106"/>
        <v>0</v>
      </c>
      <c r="D151" s="282" t="str">
        <f t="shared" si="93"/>
        <v>0.00</v>
      </c>
      <c r="E151" s="256"/>
      <c r="F151" s="115">
        <f t="shared" si="109"/>
        <v>0</v>
      </c>
      <c r="G151" s="254"/>
      <c r="H151" s="115">
        <f t="shared" si="110"/>
        <v>0</v>
      </c>
      <c r="I151" s="85">
        <f t="shared" si="94"/>
        <v>0</v>
      </c>
      <c r="J151" s="269">
        <f t="shared" si="95"/>
        <v>0</v>
      </c>
      <c r="K151" s="10" t="str">
        <f t="shared" si="107"/>
        <v>0</v>
      </c>
      <c r="L151" s="28" t="str">
        <f t="shared" si="96"/>
        <v>0.00%</v>
      </c>
      <c r="M151" s="71">
        <f t="shared" si="97"/>
        <v>0</v>
      </c>
      <c r="Q151" s="268" t="s">
        <v>65</v>
      </c>
      <c r="R151" s="269">
        <f t="shared" si="98"/>
        <v>0</v>
      </c>
      <c r="S151" s="254"/>
      <c r="T151" s="269">
        <f t="shared" si="108"/>
        <v>0</v>
      </c>
      <c r="U151" s="256"/>
      <c r="V151" s="115" t="str">
        <f t="shared" si="99"/>
        <v>0</v>
      </c>
      <c r="W151" s="254"/>
      <c r="X151" s="115">
        <f t="shared" si="100"/>
        <v>0</v>
      </c>
      <c r="Y151" s="85">
        <f t="shared" si="101"/>
        <v>0</v>
      </c>
      <c r="Z151" s="10">
        <f t="shared" si="102"/>
        <v>0</v>
      </c>
      <c r="AA151" s="28" t="str">
        <f t="shared" si="103"/>
        <v>0.00%</v>
      </c>
      <c r="AB151" s="269">
        <f t="shared" si="104"/>
        <v>0</v>
      </c>
      <c r="AC151" s="71">
        <f t="shared" si="105"/>
        <v>0</v>
      </c>
      <c r="CF151" s="739">
        <v>132</v>
      </c>
      <c r="CG151" s="740" t="s">
        <v>860</v>
      </c>
      <c r="CH151" s="746">
        <f>C69</f>
        <v>0</v>
      </c>
      <c r="CI151" s="740" t="s">
        <v>861</v>
      </c>
      <c r="CJ151" s="742" t="s">
        <v>862</v>
      </c>
      <c r="CK151" s="740" t="s">
        <v>597</v>
      </c>
      <c r="CL151" s="731"/>
      <c r="CM151" s="731"/>
      <c r="CN151" s="731"/>
      <c r="CO151" s="731"/>
      <c r="CP151" s="731"/>
      <c r="CQ151" s="731"/>
      <c r="CR151" s="731"/>
      <c r="CS151" s="731"/>
      <c r="CT151" s="731"/>
      <c r="CU151" s="731"/>
      <c r="CV151" s="731"/>
      <c r="CW151" s="731"/>
      <c r="CX151" s="731"/>
      <c r="CY151" s="731"/>
      <c r="CZ151" s="731"/>
      <c r="DA151" s="731"/>
      <c r="DB151" s="731"/>
      <c r="DC151" s="731"/>
      <c r="DD151" s="731"/>
      <c r="DE151" s="731"/>
    </row>
    <row r="152" spans="1:109" ht="22.5" x14ac:dyDescent="0.2">
      <c r="A152" s="97"/>
      <c r="B152" s="279" t="s">
        <v>263</v>
      </c>
      <c r="C152" s="271">
        <f t="shared" si="106"/>
        <v>0</v>
      </c>
      <c r="D152" s="16" t="str">
        <f t="shared" si="93"/>
        <v>0.00</v>
      </c>
      <c r="E152" s="256"/>
      <c r="F152" s="113">
        <f>E152*D152</f>
        <v>0</v>
      </c>
      <c r="G152" s="34"/>
      <c r="H152" s="113">
        <f>(F152*C152)*G152</f>
        <v>0</v>
      </c>
      <c r="I152" s="86">
        <f t="shared" si="94"/>
        <v>0</v>
      </c>
      <c r="J152" s="271">
        <f t="shared" si="95"/>
        <v>0</v>
      </c>
      <c r="K152" s="110" t="str">
        <f>IFERROR(100%/L152, "0")</f>
        <v>0</v>
      </c>
      <c r="L152" s="221" t="str">
        <f t="shared" si="96"/>
        <v>0.00%</v>
      </c>
      <c r="M152" s="72">
        <f t="shared" si="97"/>
        <v>0</v>
      </c>
      <c r="Q152" s="279" t="s">
        <v>263</v>
      </c>
      <c r="R152" s="271">
        <f t="shared" si="98"/>
        <v>0</v>
      </c>
      <c r="S152" s="34"/>
      <c r="T152" s="271">
        <f t="shared" si="108"/>
        <v>0</v>
      </c>
      <c r="U152" s="256"/>
      <c r="V152" s="113" t="str">
        <f t="shared" si="99"/>
        <v>0</v>
      </c>
      <c r="W152" s="34"/>
      <c r="X152" s="113">
        <f t="shared" si="100"/>
        <v>0</v>
      </c>
      <c r="Y152" s="86">
        <f t="shared" si="101"/>
        <v>0</v>
      </c>
      <c r="Z152" s="110">
        <f t="shared" si="102"/>
        <v>0</v>
      </c>
      <c r="AA152" s="221" t="str">
        <f t="shared" si="103"/>
        <v>0.00%</v>
      </c>
      <c r="AB152" s="271">
        <f t="shared" si="104"/>
        <v>0</v>
      </c>
      <c r="AC152" s="72">
        <f t="shared" si="105"/>
        <v>0</v>
      </c>
      <c r="CF152" s="735">
        <v>133</v>
      </c>
      <c r="CG152" s="736" t="s">
        <v>863</v>
      </c>
      <c r="CH152" s="745">
        <f>D69</f>
        <v>0</v>
      </c>
      <c r="CI152" s="736" t="s">
        <v>861</v>
      </c>
      <c r="CJ152" s="738" t="s">
        <v>864</v>
      </c>
      <c r="CK152" s="736" t="s">
        <v>647</v>
      </c>
      <c r="CL152" s="731"/>
      <c r="CM152" s="731"/>
      <c r="CN152" s="731"/>
      <c r="CO152" s="731"/>
      <c r="CP152" s="731"/>
      <c r="CQ152" s="731"/>
      <c r="CR152" s="731"/>
      <c r="CS152" s="731"/>
      <c r="CT152" s="731"/>
      <c r="CU152" s="731"/>
      <c r="CV152" s="731"/>
      <c r="CW152" s="731"/>
      <c r="CX152" s="731"/>
      <c r="CY152" s="731"/>
      <c r="CZ152" s="731"/>
      <c r="DA152" s="731"/>
      <c r="DB152" s="731"/>
      <c r="DC152" s="731"/>
      <c r="DD152" s="731"/>
      <c r="DE152" s="731"/>
    </row>
    <row r="153" spans="1:109" ht="22.5" x14ac:dyDescent="0.2">
      <c r="A153" s="97"/>
      <c r="B153" s="268" t="s">
        <v>42</v>
      </c>
      <c r="C153" s="269">
        <f t="shared" si="106"/>
        <v>0</v>
      </c>
      <c r="D153" s="282" t="str">
        <f t="shared" si="93"/>
        <v>0.00</v>
      </c>
      <c r="E153" s="256"/>
      <c r="F153" s="115">
        <f>E153*D153</f>
        <v>0</v>
      </c>
      <c r="G153" s="254"/>
      <c r="H153" s="115">
        <f t="shared" si="110"/>
        <v>0</v>
      </c>
      <c r="I153" s="85">
        <f t="shared" si="94"/>
        <v>0</v>
      </c>
      <c r="J153" s="269">
        <f t="shared" si="95"/>
        <v>0</v>
      </c>
      <c r="K153" s="10" t="str">
        <f>IFERROR(100%/L153, "0")</f>
        <v>0</v>
      </c>
      <c r="L153" s="28" t="str">
        <f t="shared" si="96"/>
        <v>0.00%</v>
      </c>
      <c r="M153" s="71">
        <f t="shared" si="97"/>
        <v>0</v>
      </c>
      <c r="Q153" s="268" t="s">
        <v>42</v>
      </c>
      <c r="R153" s="269">
        <f t="shared" si="98"/>
        <v>0</v>
      </c>
      <c r="S153" s="254"/>
      <c r="T153" s="269">
        <f t="shared" si="108"/>
        <v>0</v>
      </c>
      <c r="U153" s="256"/>
      <c r="V153" s="115" t="str">
        <f t="shared" si="99"/>
        <v>0</v>
      </c>
      <c r="W153" s="254"/>
      <c r="X153" s="115">
        <f t="shared" si="100"/>
        <v>0</v>
      </c>
      <c r="Y153" s="85">
        <f t="shared" si="101"/>
        <v>0</v>
      </c>
      <c r="Z153" s="10">
        <f t="shared" si="102"/>
        <v>0</v>
      </c>
      <c r="AA153" s="28" t="str">
        <f t="shared" si="103"/>
        <v>0.00%</v>
      </c>
      <c r="AB153" s="269">
        <f t="shared" si="104"/>
        <v>0</v>
      </c>
      <c r="AC153" s="71">
        <f t="shared" si="105"/>
        <v>0</v>
      </c>
      <c r="CF153" s="739">
        <v>134</v>
      </c>
      <c r="CG153" s="740" t="s">
        <v>865</v>
      </c>
      <c r="CH153" s="746">
        <f>E69</f>
        <v>0</v>
      </c>
      <c r="CI153" s="740" t="s">
        <v>861</v>
      </c>
      <c r="CJ153" s="742" t="s">
        <v>866</v>
      </c>
      <c r="CK153" s="740" t="s">
        <v>597</v>
      </c>
      <c r="CL153" s="731"/>
      <c r="CM153" s="731"/>
      <c r="CN153" s="731"/>
      <c r="CO153" s="731"/>
      <c r="CP153" s="731"/>
      <c r="CQ153" s="731"/>
      <c r="CR153" s="731"/>
      <c r="CS153" s="731"/>
      <c r="CT153" s="731"/>
      <c r="CU153" s="731"/>
      <c r="CV153" s="731"/>
      <c r="CW153" s="731"/>
      <c r="CX153" s="731"/>
      <c r="CY153" s="731"/>
      <c r="CZ153" s="731"/>
      <c r="DA153" s="731"/>
      <c r="DB153" s="731"/>
      <c r="DC153" s="731"/>
      <c r="DD153" s="731"/>
      <c r="DE153" s="731"/>
    </row>
    <row r="154" spans="1:109" ht="22.5" x14ac:dyDescent="0.2">
      <c r="A154" s="97"/>
      <c r="B154" s="279" t="s">
        <v>43</v>
      </c>
      <c r="C154" s="271">
        <f t="shared" si="106"/>
        <v>100</v>
      </c>
      <c r="D154" s="16">
        <f t="shared" si="93"/>
        <v>35.669999999999987</v>
      </c>
      <c r="E154" s="256"/>
      <c r="F154" s="113">
        <f t="shared" si="109"/>
        <v>0</v>
      </c>
      <c r="G154" s="34"/>
      <c r="H154" s="113">
        <f t="shared" si="110"/>
        <v>0</v>
      </c>
      <c r="I154" s="86">
        <f t="shared" si="94"/>
        <v>0</v>
      </c>
      <c r="J154" s="271">
        <f t="shared" si="95"/>
        <v>0</v>
      </c>
      <c r="K154" s="110" t="str">
        <f t="shared" ref="K154:K156" si="111">IFERROR(100%/L154, "0")</f>
        <v>0</v>
      </c>
      <c r="L154" s="221">
        <f t="shared" si="96"/>
        <v>0</v>
      </c>
      <c r="M154" s="72">
        <f t="shared" si="97"/>
        <v>0</v>
      </c>
      <c r="Q154" s="279" t="s">
        <v>43</v>
      </c>
      <c r="R154" s="271">
        <f t="shared" si="98"/>
        <v>100</v>
      </c>
      <c r="S154" s="34">
        <v>0.65</v>
      </c>
      <c r="T154" s="271">
        <f>(R154*365)*S154</f>
        <v>23725</v>
      </c>
      <c r="U154" s="256">
        <v>900</v>
      </c>
      <c r="V154" s="113">
        <f>IFERROR((U154*T154)/R154, "0")</f>
        <v>213525</v>
      </c>
      <c r="W154" s="34"/>
      <c r="X154" s="113">
        <f>(U154*T154)+((T154*U154)*W154)</f>
        <v>21352500</v>
      </c>
      <c r="Y154" s="86">
        <f t="shared" si="101"/>
        <v>6405750</v>
      </c>
      <c r="Z154" s="110">
        <f t="shared" si="102"/>
        <v>9.4058136153707359</v>
      </c>
      <c r="AA154" s="221">
        <f t="shared" si="103"/>
        <v>0.10631722473915771</v>
      </c>
      <c r="AB154" s="271">
        <f t="shared" si="104"/>
        <v>416.04451397978886</v>
      </c>
      <c r="AC154" s="72">
        <f>X154-Y154</f>
        <v>14946750</v>
      </c>
      <c r="CF154" s="735">
        <v>135</v>
      </c>
      <c r="CG154" s="736" t="s">
        <v>867</v>
      </c>
      <c r="CH154" s="745">
        <f>F69</f>
        <v>0</v>
      </c>
      <c r="CI154" s="736" t="s">
        <v>861</v>
      </c>
      <c r="CJ154" s="738" t="s">
        <v>868</v>
      </c>
      <c r="CK154" s="736" t="s">
        <v>647</v>
      </c>
      <c r="CL154" s="731"/>
      <c r="CM154" s="731"/>
      <c r="CN154" s="731"/>
      <c r="CO154" s="731"/>
      <c r="CP154" s="731"/>
      <c r="CQ154" s="731"/>
      <c r="CR154" s="731"/>
      <c r="CS154" s="731"/>
      <c r="CT154" s="731"/>
      <c r="CU154" s="731"/>
      <c r="CV154" s="731"/>
      <c r="CW154" s="731"/>
      <c r="CX154" s="731"/>
      <c r="CY154" s="731"/>
      <c r="CZ154" s="731"/>
      <c r="DA154" s="731"/>
      <c r="DB154" s="731"/>
      <c r="DC154" s="731"/>
      <c r="DD154" s="731"/>
      <c r="DE154" s="731"/>
    </row>
    <row r="155" spans="1:109" ht="22.5" x14ac:dyDescent="0.2">
      <c r="A155" s="97"/>
      <c r="B155" s="268" t="s">
        <v>44</v>
      </c>
      <c r="C155" s="269">
        <f t="shared" si="106"/>
        <v>0</v>
      </c>
      <c r="D155" s="282" t="str">
        <f t="shared" si="93"/>
        <v>0.00</v>
      </c>
      <c r="E155" s="256"/>
      <c r="F155" s="115">
        <f t="shared" si="109"/>
        <v>0</v>
      </c>
      <c r="G155" s="254"/>
      <c r="H155" s="115">
        <f t="shared" si="110"/>
        <v>0</v>
      </c>
      <c r="I155" s="85">
        <f t="shared" si="94"/>
        <v>0</v>
      </c>
      <c r="J155" s="269">
        <f t="shared" si="95"/>
        <v>0</v>
      </c>
      <c r="K155" s="10" t="str">
        <f t="shared" si="111"/>
        <v>0</v>
      </c>
      <c r="L155" s="28" t="str">
        <f t="shared" si="96"/>
        <v>0.00%</v>
      </c>
      <c r="M155" s="71">
        <f t="shared" si="97"/>
        <v>0</v>
      </c>
      <c r="Q155" s="268" t="s">
        <v>44</v>
      </c>
      <c r="R155" s="269">
        <f t="shared" si="98"/>
        <v>0</v>
      </c>
      <c r="S155" s="254"/>
      <c r="T155" s="269">
        <f t="shared" ref="T155:T156" si="112">(R155*365)*S155</f>
        <v>0</v>
      </c>
      <c r="U155" s="256"/>
      <c r="V155" s="115" t="str">
        <f t="shared" si="99"/>
        <v>0</v>
      </c>
      <c r="W155" s="254"/>
      <c r="X155" s="115">
        <f t="shared" si="100"/>
        <v>0</v>
      </c>
      <c r="Y155" s="85">
        <f t="shared" si="101"/>
        <v>0</v>
      </c>
      <c r="Z155" s="10">
        <f t="shared" si="102"/>
        <v>0</v>
      </c>
      <c r="AA155" s="28" t="str">
        <f t="shared" si="103"/>
        <v>0.00%</v>
      </c>
      <c r="AB155" s="269">
        <f t="shared" si="104"/>
        <v>0</v>
      </c>
      <c r="AC155" s="71">
        <f t="shared" si="105"/>
        <v>0</v>
      </c>
      <c r="AE155" s="172"/>
      <c r="CF155" s="739">
        <v>136</v>
      </c>
      <c r="CG155" s="740" t="s">
        <v>869</v>
      </c>
      <c r="CH155" s="749">
        <f>G69</f>
        <v>0</v>
      </c>
      <c r="CI155" s="740" t="s">
        <v>861</v>
      </c>
      <c r="CJ155" s="742" t="s">
        <v>870</v>
      </c>
      <c r="CK155" s="740" t="s">
        <v>647</v>
      </c>
      <c r="CL155" s="731"/>
      <c r="CM155" s="731"/>
      <c r="CN155" s="731"/>
      <c r="CO155" s="731"/>
      <c r="CP155" s="731"/>
      <c r="CQ155" s="731"/>
      <c r="CR155" s="731"/>
      <c r="CS155" s="731"/>
      <c r="CT155" s="731"/>
      <c r="CU155" s="731"/>
      <c r="CV155" s="731"/>
      <c r="CW155" s="731"/>
      <c r="CX155" s="731"/>
      <c r="CY155" s="731"/>
      <c r="CZ155" s="731"/>
      <c r="DA155" s="731"/>
      <c r="DB155" s="731"/>
      <c r="DC155" s="731"/>
      <c r="DD155" s="731"/>
      <c r="DE155" s="731"/>
    </row>
    <row r="156" spans="1:109" ht="22.5" x14ac:dyDescent="0.2">
      <c r="A156" s="97"/>
      <c r="B156" s="279" t="s">
        <v>45</v>
      </c>
      <c r="C156" s="271">
        <f t="shared" si="106"/>
        <v>0</v>
      </c>
      <c r="D156" s="16" t="str">
        <f t="shared" si="93"/>
        <v>0.00</v>
      </c>
      <c r="E156" s="256"/>
      <c r="F156" s="113">
        <f t="shared" si="109"/>
        <v>0</v>
      </c>
      <c r="G156" s="34"/>
      <c r="H156" s="113">
        <f t="shared" si="110"/>
        <v>0</v>
      </c>
      <c r="I156" s="86">
        <f t="shared" si="94"/>
        <v>0</v>
      </c>
      <c r="J156" s="271">
        <f t="shared" si="95"/>
        <v>0</v>
      </c>
      <c r="K156" s="110" t="str">
        <f t="shared" si="111"/>
        <v>0</v>
      </c>
      <c r="L156" s="221" t="str">
        <f t="shared" si="96"/>
        <v>0.00%</v>
      </c>
      <c r="M156" s="72">
        <f t="shared" si="97"/>
        <v>0</v>
      </c>
      <c r="Q156" s="279" t="s">
        <v>45</v>
      </c>
      <c r="R156" s="271">
        <f t="shared" si="98"/>
        <v>0</v>
      </c>
      <c r="S156" s="34"/>
      <c r="T156" s="271">
        <f t="shared" si="112"/>
        <v>0</v>
      </c>
      <c r="U156" s="256"/>
      <c r="V156" s="113" t="str">
        <f t="shared" si="99"/>
        <v>0</v>
      </c>
      <c r="W156" s="34"/>
      <c r="X156" s="113">
        <f t="shared" si="100"/>
        <v>0</v>
      </c>
      <c r="Y156" s="86">
        <f t="shared" si="101"/>
        <v>0</v>
      </c>
      <c r="Z156" s="110">
        <f t="shared" si="102"/>
        <v>0</v>
      </c>
      <c r="AA156" s="221" t="str">
        <f t="shared" si="103"/>
        <v>0.00%</v>
      </c>
      <c r="AB156" s="271">
        <f t="shared" si="104"/>
        <v>0</v>
      </c>
      <c r="AC156" s="72">
        <f t="shared" si="105"/>
        <v>0</v>
      </c>
      <c r="CF156" s="735">
        <v>137</v>
      </c>
      <c r="CG156" s="736" t="s">
        <v>871</v>
      </c>
      <c r="CH156" s="750" t="str">
        <f>H69</f>
        <v>0.00</v>
      </c>
      <c r="CI156" s="736" t="s">
        <v>861</v>
      </c>
      <c r="CJ156" s="738" t="s">
        <v>872</v>
      </c>
      <c r="CK156" s="736" t="s">
        <v>694</v>
      </c>
      <c r="CL156" s="731"/>
      <c r="CM156" s="731"/>
      <c r="CN156" s="731"/>
      <c r="CO156" s="731"/>
      <c r="CP156" s="731"/>
      <c r="CQ156" s="731"/>
      <c r="CR156" s="731"/>
      <c r="CS156" s="731"/>
      <c r="CT156" s="731"/>
      <c r="CU156" s="731"/>
      <c r="CV156" s="731"/>
      <c r="CW156" s="731"/>
      <c r="CX156" s="731"/>
      <c r="CY156" s="731"/>
      <c r="CZ156" s="731"/>
      <c r="DA156" s="731"/>
      <c r="DB156" s="731"/>
      <c r="DC156" s="731"/>
      <c r="DD156" s="731"/>
      <c r="DE156" s="731"/>
    </row>
    <row r="157" spans="1:109" ht="23.25" thickBot="1" x14ac:dyDescent="0.25">
      <c r="A157" s="97"/>
      <c r="B157" s="1" t="s">
        <v>94</v>
      </c>
      <c r="C157" s="216">
        <f>SUM(C147:C156)</f>
        <v>123</v>
      </c>
      <c r="D157" s="317" t="s">
        <v>67</v>
      </c>
      <c r="E157" s="655" t="s">
        <v>67</v>
      </c>
      <c r="F157" s="655" cm="1">
        <f t="array" ref="F157">SUMPRODUCT((F147:F156&lt;&gt;0)*(F147:F156&lt;&gt;""), F147:F156, C147:C156) / SUMIFS(C147:C156, F147:F156, "&lt;&gt;0", F147:F156, "&lt;&gt;")</f>
        <v>205942.59</v>
      </c>
      <c r="G157" s="326" cm="1">
        <f t="array" ref="G157">SUMPRODUCT((C147:C156&gt;0)*(D147:D156&gt;0), G147:G156, C147:C156, D147:D156) / SUMPRODUCT((C147:C156&gt;0)*(D147:D156&gt;0), C147:C156, D147:D156)</f>
        <v>0.30378556393772521</v>
      </c>
      <c r="H157" s="656">
        <f>SUMIF(H147:H156, "&lt;&gt;#DIV/0!")</f>
        <v>2471311.08</v>
      </c>
      <c r="I157" s="87">
        <f>SUM(I147:I156)</f>
        <v>123565.554</v>
      </c>
      <c r="J157" s="327" cm="1">
        <f t="array" ref="J157">SUMPRODUCT((C147:C156&gt;0)*(D147:D156&gt;0), J147:J156, C147:C156, D147:D156) /
 SUMPRODUCT((C147:C156&gt;0)*(D147:D156&gt;0), C147:C156, D147:D156)</f>
        <v>229.88722479146398</v>
      </c>
      <c r="K157" s="327" t="s">
        <v>67</v>
      </c>
      <c r="L157" s="328" t="s">
        <v>67</v>
      </c>
      <c r="M157" s="73">
        <f>SUMIF(M147:M156, "&lt;&gt;#DIV/0!")</f>
        <v>2347745.5260000001</v>
      </c>
      <c r="Q157" s="1" t="s">
        <v>94</v>
      </c>
      <c r="R157" s="216">
        <f>SUM(R147:R156)</f>
        <v>123</v>
      </c>
      <c r="S157" s="329" t="s">
        <v>67</v>
      </c>
      <c r="T157" s="216">
        <f>SUM(T147:T156)</f>
        <v>23725</v>
      </c>
      <c r="U157" s="216" t="s">
        <v>67</v>
      </c>
      <c r="V157" s="216" t="s">
        <v>67</v>
      </c>
      <c r="W157" s="19" t="s">
        <v>67</v>
      </c>
      <c r="X157" s="656">
        <f>SUM(X147:X156)</f>
        <v>21352500</v>
      </c>
      <c r="Y157" s="653">
        <f>SUM(Y147:Y156)</f>
        <v>6405750</v>
      </c>
      <c r="Z157" s="327" t="s">
        <v>67</v>
      </c>
      <c r="AA157" s="328" t="s">
        <v>67</v>
      </c>
      <c r="AB157" s="313" t="s">
        <v>67</v>
      </c>
      <c r="AC157" s="73">
        <f>SUM(AC147:AC156)</f>
        <v>14946750</v>
      </c>
      <c r="CF157" s="739">
        <v>138</v>
      </c>
      <c r="CG157" s="740" t="s">
        <v>873</v>
      </c>
      <c r="CH157" s="744">
        <f>I69</f>
        <v>0</v>
      </c>
      <c r="CI157" s="740" t="s">
        <v>861</v>
      </c>
      <c r="CJ157" s="742" t="s">
        <v>874</v>
      </c>
      <c r="CK157" s="740" t="s">
        <v>650</v>
      </c>
      <c r="CL157" s="731"/>
      <c r="CM157" s="731"/>
      <c r="CN157" s="731"/>
      <c r="CO157" s="731"/>
      <c r="CP157" s="731"/>
      <c r="CQ157" s="731"/>
      <c r="CR157" s="731"/>
      <c r="CS157" s="731"/>
      <c r="CT157" s="731"/>
      <c r="CU157" s="731"/>
      <c r="CV157" s="731"/>
      <c r="CW157" s="731"/>
      <c r="CX157" s="731"/>
      <c r="CY157" s="731"/>
      <c r="CZ157" s="731"/>
      <c r="DA157" s="731"/>
      <c r="DB157" s="731"/>
      <c r="DC157" s="731"/>
      <c r="DD157" s="731"/>
      <c r="DE157" s="731"/>
    </row>
    <row r="158" spans="1:109" ht="13.5" thickBot="1" x14ac:dyDescent="0.25">
      <c r="C158" s="172"/>
      <c r="D158" s="172"/>
      <c r="E158" s="172"/>
      <c r="F158" s="172"/>
      <c r="G158" s="172"/>
      <c r="I158" s="88">
        <v>0.05</v>
      </c>
      <c r="J158" s="172"/>
      <c r="L158" s="97"/>
      <c r="P158" s="172"/>
      <c r="Q158" s="172"/>
      <c r="R158" s="172"/>
      <c r="S158" s="172"/>
      <c r="T158" s="172"/>
      <c r="U158" s="172"/>
      <c r="V158" s="172"/>
      <c r="W158" s="172"/>
      <c r="X158" s="172"/>
      <c r="Y158" s="107">
        <v>0.3</v>
      </c>
      <c r="AA158" s="258"/>
      <c r="CF158" s="735">
        <v>139</v>
      </c>
      <c r="CG158" s="736" t="s">
        <v>875</v>
      </c>
      <c r="CH158" s="743">
        <f>J69</f>
        <v>0</v>
      </c>
      <c r="CI158" s="736" t="s">
        <v>861</v>
      </c>
      <c r="CJ158" s="738" t="s">
        <v>876</v>
      </c>
      <c r="CK158" s="736" t="s">
        <v>571</v>
      </c>
      <c r="CL158" s="731"/>
      <c r="CM158" s="731"/>
      <c r="CN158" s="731"/>
      <c r="CO158" s="731"/>
      <c r="CP158" s="731"/>
      <c r="CQ158" s="731"/>
      <c r="CR158" s="731"/>
      <c r="CS158" s="731"/>
      <c r="CT158" s="731"/>
      <c r="CU158" s="731"/>
      <c r="CV158" s="731"/>
      <c r="CW158" s="731"/>
      <c r="CX158" s="731"/>
      <c r="CY158" s="731"/>
      <c r="CZ158" s="731"/>
      <c r="DA158" s="731"/>
      <c r="DB158" s="731"/>
      <c r="DC158" s="731"/>
      <c r="DD158" s="731"/>
      <c r="DE158" s="731"/>
    </row>
    <row r="159" spans="1:109" ht="12.75" x14ac:dyDescent="0.2">
      <c r="C159" s="172"/>
      <c r="D159" s="172"/>
      <c r="E159" s="172"/>
      <c r="F159" s="172"/>
      <c r="G159" s="172"/>
      <c r="H159" s="172"/>
      <c r="I159" s="172"/>
      <c r="J159" s="172"/>
      <c r="K159" s="97"/>
      <c r="L159" s="177"/>
      <c r="M159" s="172"/>
      <c r="O159" s="172"/>
      <c r="P159" s="172"/>
      <c r="Q159" s="172"/>
      <c r="R159" s="172"/>
      <c r="S159" s="172"/>
      <c r="T159" s="172"/>
      <c r="U159" s="172"/>
      <c r="V159" s="172"/>
      <c r="W159" s="172"/>
      <c r="X159" s="172"/>
      <c r="AB159" s="172"/>
      <c r="AC159" s="172"/>
      <c r="AD159" s="172"/>
      <c r="CF159" s="739">
        <v>140</v>
      </c>
      <c r="CG159" s="740" t="s">
        <v>877</v>
      </c>
      <c r="CH159" s="751">
        <f>K69</f>
        <v>0</v>
      </c>
      <c r="CI159" s="740" t="s">
        <v>861</v>
      </c>
      <c r="CJ159" s="742" t="s">
        <v>878</v>
      </c>
      <c r="CK159" s="740" t="s">
        <v>701</v>
      </c>
      <c r="CL159" s="731"/>
      <c r="CM159" s="731"/>
      <c r="CN159" s="731"/>
      <c r="CO159" s="731"/>
      <c r="CP159" s="731"/>
      <c r="CQ159" s="731"/>
      <c r="CR159" s="731"/>
      <c r="CS159" s="731"/>
      <c r="CT159" s="731"/>
      <c r="CU159" s="731"/>
      <c r="CV159" s="731"/>
      <c r="CW159" s="731"/>
      <c r="CX159" s="731"/>
      <c r="CY159" s="731"/>
      <c r="CZ159" s="731"/>
      <c r="DA159" s="731"/>
      <c r="DB159" s="731"/>
      <c r="DC159" s="731"/>
      <c r="DD159" s="731"/>
      <c r="DE159" s="731"/>
    </row>
    <row r="160" spans="1:109" ht="12.75" x14ac:dyDescent="0.2">
      <c r="X160" s="97"/>
      <c r="AA160" s="180"/>
      <c r="AB160" s="97"/>
      <c r="CF160" s="735">
        <v>141</v>
      </c>
      <c r="CG160" s="736" t="s">
        <v>879</v>
      </c>
      <c r="CH160" s="752">
        <f>L69</f>
        <v>35</v>
      </c>
      <c r="CI160" s="736" t="s">
        <v>861</v>
      </c>
      <c r="CJ160" s="738" t="s">
        <v>880</v>
      </c>
      <c r="CK160" s="736" t="s">
        <v>704</v>
      </c>
      <c r="CL160" s="731"/>
      <c r="CM160" s="731"/>
      <c r="CN160" s="731"/>
      <c r="CO160" s="731"/>
      <c r="CP160" s="731"/>
      <c r="CQ160" s="731"/>
      <c r="CR160" s="731"/>
      <c r="CS160" s="731"/>
      <c r="CT160" s="731"/>
      <c r="CU160" s="731"/>
      <c r="CV160" s="731"/>
      <c r="CW160" s="731"/>
      <c r="CX160" s="731"/>
      <c r="CY160" s="731"/>
      <c r="CZ160" s="731"/>
      <c r="DA160" s="731"/>
      <c r="DB160" s="731"/>
      <c r="DC160" s="731"/>
      <c r="DD160" s="731"/>
      <c r="DE160" s="731"/>
    </row>
    <row r="161" spans="1:109" ht="15" x14ac:dyDescent="0.2">
      <c r="E161" s="97"/>
      <c r="CF161" s="734" t="s">
        <v>881</v>
      </c>
      <c r="CG161" s="734"/>
      <c r="CH161" s="734"/>
      <c r="CI161" s="734"/>
      <c r="CJ161" s="734"/>
      <c r="CK161" s="734"/>
      <c r="CL161" s="731"/>
      <c r="CM161" s="731"/>
      <c r="CN161" s="731"/>
      <c r="CO161" s="731"/>
      <c r="CP161" s="731"/>
      <c r="CQ161" s="731"/>
      <c r="CR161" s="731"/>
      <c r="CS161" s="731"/>
      <c r="CT161" s="731"/>
      <c r="CU161" s="731"/>
      <c r="CV161" s="731"/>
      <c r="CW161" s="731"/>
      <c r="CX161" s="731"/>
      <c r="CY161" s="731"/>
      <c r="CZ161" s="731"/>
      <c r="DA161" s="731"/>
      <c r="DB161" s="731"/>
      <c r="DC161" s="731"/>
      <c r="DD161" s="731"/>
      <c r="DE161" s="731"/>
    </row>
    <row r="162" spans="1:109" ht="13.5" thickBot="1" x14ac:dyDescent="0.25">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c r="AA162" s="172"/>
      <c r="AB162" s="172"/>
      <c r="AC162" s="172"/>
      <c r="CF162" s="739">
        <v>142</v>
      </c>
      <c r="CG162" s="740" t="s">
        <v>882</v>
      </c>
      <c r="CH162" s="746">
        <f>C70</f>
        <v>0</v>
      </c>
      <c r="CI162" s="740" t="s">
        <v>883</v>
      </c>
      <c r="CJ162" s="742" t="s">
        <v>884</v>
      </c>
      <c r="CK162" s="740" t="s">
        <v>597</v>
      </c>
      <c r="CL162" s="731"/>
      <c r="CM162" s="731"/>
      <c r="CN162" s="731"/>
      <c r="CO162" s="731"/>
      <c r="CP162" s="731"/>
      <c r="CQ162" s="731"/>
      <c r="CR162" s="731"/>
      <c r="CS162" s="731"/>
      <c r="CT162" s="731"/>
      <c r="CU162" s="731"/>
      <c r="CV162" s="731"/>
      <c r="CW162" s="731"/>
      <c r="CX162" s="731"/>
      <c r="CY162" s="731"/>
      <c r="CZ162" s="731"/>
      <c r="DA162" s="731"/>
      <c r="DB162" s="731"/>
      <c r="DC162" s="731"/>
      <c r="DD162" s="731"/>
      <c r="DE162" s="731"/>
    </row>
    <row r="163" spans="1:109" ht="15.75" x14ac:dyDescent="0.2">
      <c r="A163" s="172"/>
      <c r="B163" s="889" t="s">
        <v>280</v>
      </c>
      <c r="C163" s="890"/>
      <c r="D163" s="890"/>
      <c r="E163" s="890"/>
      <c r="F163" s="249"/>
      <c r="G163" s="249"/>
      <c r="H163" s="249"/>
      <c r="I163" s="249"/>
      <c r="J163" s="249"/>
      <c r="K163" s="249"/>
      <c r="L163" s="249"/>
      <c r="M163" s="249"/>
      <c r="N163" s="249"/>
      <c r="O163" s="249"/>
      <c r="P163" s="249"/>
      <c r="Q163" s="249"/>
      <c r="R163" s="249"/>
      <c r="S163" s="249"/>
      <c r="T163" s="249"/>
      <c r="U163" s="249"/>
      <c r="V163" s="249"/>
      <c r="W163" s="249"/>
      <c r="X163" s="249"/>
      <c r="Y163" s="249"/>
      <c r="Z163" s="249"/>
      <c r="AA163" s="249"/>
      <c r="AB163" s="249"/>
      <c r="AC163" s="250"/>
      <c r="AD163" s="172"/>
      <c r="CF163" s="735">
        <v>143</v>
      </c>
      <c r="CG163" s="736" t="s">
        <v>885</v>
      </c>
      <c r="CH163" s="745">
        <f>D70</f>
        <v>0</v>
      </c>
      <c r="CI163" s="736" t="s">
        <v>883</v>
      </c>
      <c r="CJ163" s="738" t="s">
        <v>886</v>
      </c>
      <c r="CK163" s="736" t="s">
        <v>647</v>
      </c>
      <c r="CL163" s="731"/>
      <c r="CM163" s="731"/>
      <c r="CN163" s="731"/>
      <c r="CO163" s="731"/>
      <c r="CP163" s="731"/>
      <c r="CQ163" s="731"/>
      <c r="CR163" s="731"/>
      <c r="CS163" s="731"/>
      <c r="CT163" s="731"/>
      <c r="CU163" s="731"/>
      <c r="CV163" s="731"/>
      <c r="CW163" s="731"/>
      <c r="CX163" s="731"/>
      <c r="CY163" s="731"/>
      <c r="CZ163" s="731"/>
      <c r="DA163" s="731"/>
      <c r="DB163" s="731"/>
      <c r="DC163" s="731"/>
      <c r="DD163" s="731"/>
      <c r="DE163" s="731"/>
    </row>
    <row r="164" spans="1:109" ht="15.75" x14ac:dyDescent="0.2">
      <c r="A164" s="172"/>
      <c r="B164" s="891"/>
      <c r="C164" s="892"/>
      <c r="D164" s="892"/>
      <c r="E164" s="892"/>
      <c r="F164" s="378"/>
      <c r="G164" s="378"/>
      <c r="H164" s="378"/>
      <c r="I164" s="378"/>
      <c r="J164" s="378"/>
      <c r="K164" s="378"/>
      <c r="L164" s="378"/>
      <c r="M164" s="378"/>
      <c r="N164" s="378"/>
      <c r="O164" s="378"/>
      <c r="P164" s="378"/>
      <c r="Q164" s="378"/>
      <c r="R164" s="378"/>
      <c r="S164" s="378"/>
      <c r="T164" s="378"/>
      <c r="U164" s="378"/>
      <c r="V164" s="378"/>
      <c r="W164" s="378"/>
      <c r="X164" s="378"/>
      <c r="Y164" s="378"/>
      <c r="Z164" s="378"/>
      <c r="AA164" s="378"/>
      <c r="AB164" s="378"/>
      <c r="AC164" s="379"/>
      <c r="AD164" s="177"/>
      <c r="CF164" s="739">
        <v>144</v>
      </c>
      <c r="CG164" s="740" t="s">
        <v>887</v>
      </c>
      <c r="CH164" s="746">
        <f>E70</f>
        <v>0</v>
      </c>
      <c r="CI164" s="740" t="s">
        <v>883</v>
      </c>
      <c r="CJ164" s="742" t="s">
        <v>888</v>
      </c>
      <c r="CK164" s="740" t="s">
        <v>597</v>
      </c>
      <c r="CL164" s="731"/>
      <c r="CM164" s="731"/>
      <c r="CN164" s="731"/>
      <c r="CO164" s="731"/>
      <c r="CP164" s="731"/>
      <c r="CQ164" s="731"/>
      <c r="CR164" s="731"/>
      <c r="CS164" s="731"/>
      <c r="CT164" s="731"/>
      <c r="CU164" s="731"/>
      <c r="CV164" s="731"/>
      <c r="CW164" s="731"/>
      <c r="CX164" s="731"/>
      <c r="CY164" s="731"/>
      <c r="CZ164" s="731"/>
      <c r="DA164" s="731"/>
      <c r="DB164" s="731"/>
      <c r="DC164" s="731"/>
      <c r="DD164" s="731"/>
      <c r="DE164" s="731"/>
    </row>
    <row r="165" spans="1:109" ht="15" x14ac:dyDescent="0.2">
      <c r="A165" s="172"/>
      <c r="B165" s="818" t="s">
        <v>279</v>
      </c>
      <c r="C165" s="816" t="s">
        <v>128</v>
      </c>
      <c r="D165" s="816"/>
      <c r="E165" s="884"/>
      <c r="F165" s="899" t="s">
        <v>98</v>
      </c>
      <c r="G165" s="900"/>
      <c r="H165" s="900"/>
      <c r="I165" s="900"/>
      <c r="J165" s="900" t="s">
        <v>100</v>
      </c>
      <c r="K165" s="900"/>
      <c r="L165" s="900"/>
      <c r="M165" s="900"/>
      <c r="N165" s="900" t="s">
        <v>102</v>
      </c>
      <c r="O165" s="900"/>
      <c r="P165" s="900"/>
      <c r="Q165" s="900"/>
      <c r="R165" s="900" t="s">
        <v>104</v>
      </c>
      <c r="S165" s="900"/>
      <c r="T165" s="900"/>
      <c r="U165" s="900"/>
      <c r="V165" s="900" t="s">
        <v>105</v>
      </c>
      <c r="W165" s="900"/>
      <c r="X165" s="900"/>
      <c r="Y165" s="900"/>
      <c r="Z165" s="900" t="s">
        <v>107</v>
      </c>
      <c r="AA165" s="900"/>
      <c r="AB165" s="900"/>
      <c r="AC165" s="936"/>
      <c r="AD165" s="172"/>
      <c r="CF165" s="735">
        <v>145</v>
      </c>
      <c r="CG165" s="736" t="s">
        <v>889</v>
      </c>
      <c r="CH165" s="745">
        <f>F70</f>
        <v>0</v>
      </c>
      <c r="CI165" s="736" t="s">
        <v>883</v>
      </c>
      <c r="CJ165" s="738" t="s">
        <v>890</v>
      </c>
      <c r="CK165" s="736" t="s">
        <v>647</v>
      </c>
      <c r="CL165" s="731"/>
      <c r="CM165" s="731"/>
      <c r="CN165" s="731"/>
      <c r="CO165" s="731"/>
      <c r="CP165" s="731"/>
      <c r="CQ165" s="731"/>
      <c r="CR165" s="731"/>
      <c r="CS165" s="731"/>
      <c r="CT165" s="731"/>
      <c r="CU165" s="731"/>
      <c r="CV165" s="731"/>
      <c r="CW165" s="731"/>
      <c r="CX165" s="731"/>
      <c r="CY165" s="731"/>
      <c r="CZ165" s="731"/>
      <c r="DA165" s="731"/>
      <c r="DB165" s="731"/>
      <c r="DC165" s="731"/>
      <c r="DD165" s="731"/>
      <c r="DE165" s="731"/>
    </row>
    <row r="166" spans="1:109" ht="15" x14ac:dyDescent="0.2">
      <c r="A166" s="172"/>
      <c r="B166" s="818"/>
      <c r="C166" s="17" t="s">
        <v>67</v>
      </c>
      <c r="D166" s="36" t="s">
        <v>67</v>
      </c>
      <c r="E166" s="467" t="s">
        <v>129</v>
      </c>
      <c r="F166" s="461" t="s">
        <v>130</v>
      </c>
      <c r="G166" s="37" t="s">
        <v>131</v>
      </c>
      <c r="H166" s="37" t="s">
        <v>132</v>
      </c>
      <c r="I166" s="37" t="s">
        <v>133</v>
      </c>
      <c r="J166" s="37" t="s">
        <v>134</v>
      </c>
      <c r="K166" s="37" t="s">
        <v>135</v>
      </c>
      <c r="L166" s="37" t="s">
        <v>136</v>
      </c>
      <c r="M166" s="37" t="s">
        <v>137</v>
      </c>
      <c r="N166" s="37" t="s">
        <v>138</v>
      </c>
      <c r="O166" s="37" t="s">
        <v>139</v>
      </c>
      <c r="P166" s="37" t="s">
        <v>140</v>
      </c>
      <c r="Q166" s="37" t="s">
        <v>141</v>
      </c>
      <c r="R166" s="37" t="s">
        <v>142</v>
      </c>
      <c r="S166" s="37" t="s">
        <v>143</v>
      </c>
      <c r="T166" s="37" t="s">
        <v>144</v>
      </c>
      <c r="U166" s="37" t="s">
        <v>145</v>
      </c>
      <c r="V166" s="37" t="s">
        <v>146</v>
      </c>
      <c r="W166" s="37" t="s">
        <v>147</v>
      </c>
      <c r="X166" s="37" t="s">
        <v>148</v>
      </c>
      <c r="Y166" s="37" t="s">
        <v>149</v>
      </c>
      <c r="Z166" s="37" t="s">
        <v>150</v>
      </c>
      <c r="AA166" s="37" t="s">
        <v>151</v>
      </c>
      <c r="AB166" s="37" t="s">
        <v>152</v>
      </c>
      <c r="AC166" s="38" t="s">
        <v>153</v>
      </c>
      <c r="AD166" s="172"/>
      <c r="CF166" s="739">
        <v>146</v>
      </c>
      <c r="CG166" s="740" t="s">
        <v>891</v>
      </c>
      <c r="CH166" s="749">
        <f>G70</f>
        <v>0</v>
      </c>
      <c r="CI166" s="740" t="s">
        <v>883</v>
      </c>
      <c r="CJ166" s="742" t="s">
        <v>892</v>
      </c>
      <c r="CK166" s="740" t="s">
        <v>647</v>
      </c>
      <c r="CL166" s="731"/>
      <c r="CM166" s="731"/>
      <c r="CN166" s="731"/>
      <c r="CO166" s="731"/>
      <c r="CP166" s="731"/>
      <c r="CQ166" s="731"/>
      <c r="CR166" s="731"/>
      <c r="CS166" s="731"/>
      <c r="CT166" s="731"/>
      <c r="CU166" s="731"/>
      <c r="CV166" s="731"/>
      <c r="CW166" s="731"/>
      <c r="CX166" s="731"/>
      <c r="CY166" s="731"/>
      <c r="CZ166" s="731"/>
      <c r="DA166" s="731"/>
      <c r="DB166" s="731"/>
      <c r="DC166" s="731"/>
      <c r="DD166" s="731"/>
      <c r="DE166" s="731"/>
    </row>
    <row r="167" spans="1:109" ht="22.5" x14ac:dyDescent="0.2">
      <c r="A167" s="172"/>
      <c r="B167" s="207" t="s">
        <v>209</v>
      </c>
      <c r="C167" s="17" t="s">
        <v>67</v>
      </c>
      <c r="D167" s="57" t="b">
        <f>E167=100%</f>
        <v>1</v>
      </c>
      <c r="E167" s="473">
        <f t="shared" ref="E167:E175" si="113">SUM(F167:AC167)</f>
        <v>1</v>
      </c>
      <c r="F167" s="470">
        <f t="shared" ref="F167:AC167" si="114">F184/$C$184</f>
        <v>0</v>
      </c>
      <c r="G167" s="290">
        <f t="shared" si="114"/>
        <v>0</v>
      </c>
      <c r="H167" s="290">
        <f t="shared" si="114"/>
        <v>0</v>
      </c>
      <c r="I167" s="290">
        <f t="shared" si="114"/>
        <v>0</v>
      </c>
      <c r="J167" s="290">
        <f t="shared" si="114"/>
        <v>2.8058361391694726E-2</v>
      </c>
      <c r="K167" s="290">
        <f t="shared" si="114"/>
        <v>4.9584736251402917E-2</v>
      </c>
      <c r="L167" s="290">
        <f t="shared" si="114"/>
        <v>8.9623793490460152E-2</v>
      </c>
      <c r="M167" s="290">
        <f t="shared" si="114"/>
        <v>0.13976733108866446</v>
      </c>
      <c r="N167" s="290">
        <f t="shared" si="114"/>
        <v>0.22321779205387207</v>
      </c>
      <c r="O167" s="290">
        <f t="shared" si="114"/>
        <v>0.2282170190590348</v>
      </c>
      <c r="P167" s="290">
        <f t="shared" si="114"/>
        <v>0.14491857999892258</v>
      </c>
      <c r="Q167" s="290">
        <f t="shared" si="114"/>
        <v>6.9560918399482835E-2</v>
      </c>
      <c r="R167" s="290">
        <f t="shared" si="114"/>
        <v>2.1370659930507768E-2</v>
      </c>
      <c r="S167" s="290">
        <f t="shared" si="114"/>
        <v>4.8854951689236738E-3</v>
      </c>
      <c r="T167" s="290">
        <f t="shared" si="114"/>
        <v>7.3964124534169962E-4</v>
      </c>
      <c r="U167" s="290">
        <f t="shared" si="114"/>
        <v>5.5671921692385848E-5</v>
      </c>
      <c r="V167" s="290">
        <f t="shared" si="114"/>
        <v>0</v>
      </c>
      <c r="W167" s="290">
        <f t="shared" si="114"/>
        <v>0</v>
      </c>
      <c r="X167" s="290">
        <f t="shared" si="114"/>
        <v>0</v>
      </c>
      <c r="Y167" s="290">
        <f t="shared" si="114"/>
        <v>0</v>
      </c>
      <c r="Z167" s="290">
        <f t="shared" si="114"/>
        <v>0</v>
      </c>
      <c r="AA167" s="290">
        <f t="shared" si="114"/>
        <v>0</v>
      </c>
      <c r="AB167" s="290">
        <f t="shared" si="114"/>
        <v>0</v>
      </c>
      <c r="AC167" s="291">
        <f t="shared" si="114"/>
        <v>0</v>
      </c>
      <c r="AD167" s="176"/>
      <c r="CF167" s="735">
        <v>147</v>
      </c>
      <c r="CG167" s="736" t="s">
        <v>893</v>
      </c>
      <c r="CH167" s="750" t="str">
        <f>H70</f>
        <v>0.00</v>
      </c>
      <c r="CI167" s="736" t="s">
        <v>883</v>
      </c>
      <c r="CJ167" s="738" t="s">
        <v>894</v>
      </c>
      <c r="CK167" s="736" t="s">
        <v>694</v>
      </c>
      <c r="CL167" s="731"/>
      <c r="CM167" s="731"/>
      <c r="CN167" s="731"/>
      <c r="CO167" s="731"/>
      <c r="CP167" s="731"/>
      <c r="CQ167" s="731"/>
      <c r="CR167" s="731"/>
      <c r="CS167" s="731"/>
      <c r="CT167" s="731"/>
      <c r="CU167" s="731"/>
      <c r="CV167" s="731"/>
      <c r="CW167" s="731"/>
      <c r="CX167" s="731"/>
      <c r="CY167" s="731"/>
      <c r="CZ167" s="731"/>
      <c r="DA167" s="731"/>
      <c r="DB167" s="731"/>
      <c r="DC167" s="731"/>
      <c r="DD167" s="731"/>
      <c r="DE167" s="731"/>
    </row>
    <row r="168" spans="1:109" ht="22.5" x14ac:dyDescent="0.2">
      <c r="A168" s="172"/>
      <c r="B168" s="207" t="s">
        <v>154</v>
      </c>
      <c r="C168" s="17" t="s">
        <v>67</v>
      </c>
      <c r="D168" s="57" t="b">
        <f t="shared" ref="D168:D172" si="115">E168=100%</f>
        <v>1</v>
      </c>
      <c r="E168" s="473">
        <f t="shared" si="113"/>
        <v>1</v>
      </c>
      <c r="F168" s="470">
        <f t="shared" ref="F168:AC168" si="116">F189/$E$189</f>
        <v>0</v>
      </c>
      <c r="G168" s="290">
        <f t="shared" si="116"/>
        <v>0</v>
      </c>
      <c r="H168" s="290">
        <f t="shared" si="116"/>
        <v>0</v>
      </c>
      <c r="I168" s="290">
        <f t="shared" si="116"/>
        <v>0</v>
      </c>
      <c r="J168" s="290">
        <f t="shared" si="116"/>
        <v>0</v>
      </c>
      <c r="K168" s="290">
        <f t="shared" si="116"/>
        <v>0</v>
      </c>
      <c r="L168" s="290">
        <f t="shared" si="116"/>
        <v>4.6953299202976979E-2</v>
      </c>
      <c r="M168" s="290">
        <f t="shared" si="116"/>
        <v>1.4718867965977189E-2</v>
      </c>
      <c r="N168" s="290">
        <f t="shared" si="116"/>
        <v>4.0476886906437269E-2</v>
      </c>
      <c r="O168" s="290">
        <f t="shared" si="116"/>
        <v>4.0476886906437269E-2</v>
      </c>
      <c r="P168" s="290">
        <f t="shared" si="116"/>
        <v>0.10671179275333463</v>
      </c>
      <c r="Q168" s="290">
        <f t="shared" si="116"/>
        <v>0.16558726461724338</v>
      </c>
      <c r="R168" s="290">
        <f t="shared" si="116"/>
        <v>0.11223136824057607</v>
      </c>
      <c r="S168" s="290">
        <f t="shared" si="116"/>
        <v>0.13614952868528901</v>
      </c>
      <c r="T168" s="290">
        <f t="shared" si="116"/>
        <v>0.13246981169379471</v>
      </c>
      <c r="U168" s="290">
        <f t="shared" si="116"/>
        <v>0.18398584957471487</v>
      </c>
      <c r="V168" s="290">
        <f t="shared" si="116"/>
        <v>5.5195754872414465E-3</v>
      </c>
      <c r="W168" s="290">
        <f t="shared" si="116"/>
        <v>1.4718867965977189E-2</v>
      </c>
      <c r="X168" s="290">
        <f t="shared" si="116"/>
        <v>0</v>
      </c>
      <c r="Y168" s="290">
        <f t="shared" si="116"/>
        <v>0</v>
      </c>
      <c r="Z168" s="290">
        <f t="shared" si="116"/>
        <v>0</v>
      </c>
      <c r="AA168" s="290">
        <f t="shared" si="116"/>
        <v>0</v>
      </c>
      <c r="AB168" s="290">
        <f t="shared" si="116"/>
        <v>0</v>
      </c>
      <c r="AC168" s="291">
        <f t="shared" si="116"/>
        <v>0</v>
      </c>
      <c r="AD168" s="176"/>
      <c r="CF168" s="739">
        <v>148</v>
      </c>
      <c r="CG168" s="740" t="s">
        <v>895</v>
      </c>
      <c r="CH168" s="744">
        <f>I70</f>
        <v>0</v>
      </c>
      <c r="CI168" s="740" t="s">
        <v>883</v>
      </c>
      <c r="CJ168" s="742" t="s">
        <v>896</v>
      </c>
      <c r="CK168" s="740" t="s">
        <v>650</v>
      </c>
      <c r="CL168" s="731"/>
      <c r="CM168" s="731"/>
      <c r="CN168" s="731"/>
      <c r="CO168" s="731"/>
      <c r="CP168" s="731"/>
      <c r="CQ168" s="731"/>
      <c r="CR168" s="731"/>
      <c r="CS168" s="731"/>
      <c r="CT168" s="731"/>
      <c r="CU168" s="731"/>
      <c r="CV168" s="731"/>
      <c r="CW168" s="731"/>
      <c r="CX168" s="731"/>
      <c r="CY168" s="731"/>
      <c r="CZ168" s="731"/>
      <c r="DA168" s="731"/>
      <c r="DB168" s="731"/>
      <c r="DC168" s="731"/>
      <c r="DD168" s="731"/>
      <c r="DE168" s="731"/>
    </row>
    <row r="169" spans="1:109" ht="22.5" x14ac:dyDescent="0.2">
      <c r="A169" s="172"/>
      <c r="B169" s="207" t="s">
        <v>155</v>
      </c>
      <c r="C169" s="17" t="s">
        <v>67</v>
      </c>
      <c r="D169" s="57" t="b">
        <f t="shared" si="115"/>
        <v>1</v>
      </c>
      <c r="E169" s="473">
        <f t="shared" si="113"/>
        <v>1</v>
      </c>
      <c r="F169" s="470">
        <f t="shared" ref="F169:AC169" si="117">F191/$E$191</f>
        <v>0</v>
      </c>
      <c r="G169" s="290">
        <f t="shared" si="117"/>
        <v>0</v>
      </c>
      <c r="H169" s="290">
        <f t="shared" si="117"/>
        <v>0</v>
      </c>
      <c r="I169" s="290">
        <f t="shared" si="117"/>
        <v>0</v>
      </c>
      <c r="J169" s="290">
        <f t="shared" si="117"/>
        <v>0</v>
      </c>
      <c r="K169" s="290">
        <f t="shared" si="117"/>
        <v>0</v>
      </c>
      <c r="L169" s="290">
        <f t="shared" si="117"/>
        <v>0</v>
      </c>
      <c r="M169" s="290">
        <f t="shared" si="117"/>
        <v>0</v>
      </c>
      <c r="N169" s="290">
        <f t="shared" si="117"/>
        <v>0</v>
      </c>
      <c r="O169" s="290">
        <f t="shared" si="117"/>
        <v>0</v>
      </c>
      <c r="P169" s="290">
        <f t="shared" si="117"/>
        <v>0</v>
      </c>
      <c r="Q169" s="290">
        <f t="shared" si="117"/>
        <v>0</v>
      </c>
      <c r="R169" s="290">
        <f t="shared" si="117"/>
        <v>0</v>
      </c>
      <c r="S169" s="290">
        <f t="shared" si="117"/>
        <v>0</v>
      </c>
      <c r="T169" s="290">
        <f t="shared" si="117"/>
        <v>0</v>
      </c>
      <c r="U169" s="290">
        <f t="shared" si="117"/>
        <v>0</v>
      </c>
      <c r="V169" s="290">
        <f t="shared" si="117"/>
        <v>0</v>
      </c>
      <c r="W169" s="290">
        <f t="shared" si="117"/>
        <v>0</v>
      </c>
      <c r="X169" s="290">
        <f t="shared" si="117"/>
        <v>4.2866363812242236E-2</v>
      </c>
      <c r="Y169" s="290">
        <f t="shared" si="117"/>
        <v>0.95713363618775771</v>
      </c>
      <c r="Z169" s="290">
        <f t="shared" si="117"/>
        <v>0</v>
      </c>
      <c r="AA169" s="290">
        <f t="shared" si="117"/>
        <v>0</v>
      </c>
      <c r="AB169" s="290">
        <f t="shared" si="117"/>
        <v>0</v>
      </c>
      <c r="AC169" s="291">
        <f t="shared" si="117"/>
        <v>0</v>
      </c>
      <c r="AD169" s="176"/>
      <c r="CF169" s="735">
        <v>149</v>
      </c>
      <c r="CG169" s="736" t="s">
        <v>897</v>
      </c>
      <c r="CH169" s="743">
        <f>J70</f>
        <v>0</v>
      </c>
      <c r="CI169" s="736" t="s">
        <v>883</v>
      </c>
      <c r="CJ169" s="738" t="s">
        <v>898</v>
      </c>
      <c r="CK169" s="736" t="s">
        <v>571</v>
      </c>
      <c r="CL169" s="731"/>
      <c r="CM169" s="731"/>
      <c r="CN169" s="731"/>
      <c r="CO169" s="731"/>
      <c r="CP169" s="731"/>
      <c r="CQ169" s="731"/>
      <c r="CR169" s="731"/>
      <c r="CS169" s="731"/>
      <c r="CT169" s="731"/>
      <c r="CU169" s="731"/>
      <c r="CV169" s="731"/>
      <c r="CW169" s="731"/>
      <c r="CX169" s="731"/>
      <c r="CY169" s="731"/>
      <c r="CZ169" s="731"/>
      <c r="DA169" s="731"/>
      <c r="DB169" s="731"/>
      <c r="DC169" s="731"/>
      <c r="DD169" s="731"/>
      <c r="DE169" s="731"/>
    </row>
    <row r="170" spans="1:109" ht="22.5" x14ac:dyDescent="0.2">
      <c r="A170" s="172"/>
      <c r="B170" s="207" t="s">
        <v>156</v>
      </c>
      <c r="C170" s="17" t="s">
        <v>67</v>
      </c>
      <c r="D170" s="57" t="b">
        <f t="shared" si="115"/>
        <v>1</v>
      </c>
      <c r="E170" s="473">
        <f t="shared" si="113"/>
        <v>1.0000000000000002</v>
      </c>
      <c r="F170" s="470">
        <f t="shared" ref="F170:AC170" si="118">F214/$C$214</f>
        <v>0.37647058823529411</v>
      </c>
      <c r="G170" s="290">
        <f t="shared" si="118"/>
        <v>5.8823529411764705E-2</v>
      </c>
      <c r="H170" s="290">
        <f t="shared" si="118"/>
        <v>0</v>
      </c>
      <c r="I170" s="290">
        <f t="shared" si="118"/>
        <v>5.8823529411764705E-2</v>
      </c>
      <c r="J170" s="290">
        <f t="shared" si="118"/>
        <v>2.3529411764705882E-2</v>
      </c>
      <c r="K170" s="290">
        <f t="shared" si="118"/>
        <v>5.8823529411764705E-2</v>
      </c>
      <c r="L170" s="290">
        <f t="shared" si="118"/>
        <v>0</v>
      </c>
      <c r="M170" s="290">
        <f t="shared" si="118"/>
        <v>5.8823529411764705E-2</v>
      </c>
      <c r="N170" s="290">
        <f t="shared" si="118"/>
        <v>2.3529411764705882E-2</v>
      </c>
      <c r="O170" s="290">
        <f t="shared" si="118"/>
        <v>5.8823529411764705E-2</v>
      </c>
      <c r="P170" s="290">
        <f t="shared" si="118"/>
        <v>0</v>
      </c>
      <c r="Q170" s="290">
        <f t="shared" si="118"/>
        <v>5.8823529411764705E-2</v>
      </c>
      <c r="R170" s="290">
        <f t="shared" si="118"/>
        <v>2.3529411764705882E-2</v>
      </c>
      <c r="S170" s="290">
        <f t="shared" si="118"/>
        <v>5.8823529411764705E-2</v>
      </c>
      <c r="T170" s="290">
        <f t="shared" si="118"/>
        <v>0</v>
      </c>
      <c r="U170" s="290">
        <f t="shared" si="118"/>
        <v>5.8823529411764705E-2</v>
      </c>
      <c r="V170" s="290">
        <f t="shared" si="118"/>
        <v>2.3529411764705882E-2</v>
      </c>
      <c r="W170" s="290">
        <f t="shared" si="118"/>
        <v>5.8823529411764705E-2</v>
      </c>
      <c r="X170" s="290">
        <f t="shared" si="118"/>
        <v>0</v>
      </c>
      <c r="Y170" s="290">
        <f t="shared" si="118"/>
        <v>0</v>
      </c>
      <c r="Z170" s="290">
        <f t="shared" si="118"/>
        <v>0</v>
      </c>
      <c r="AA170" s="290">
        <f t="shared" si="118"/>
        <v>0</v>
      </c>
      <c r="AB170" s="290">
        <f t="shared" si="118"/>
        <v>0</v>
      </c>
      <c r="AC170" s="291">
        <f t="shared" si="118"/>
        <v>0</v>
      </c>
      <c r="AD170" s="176"/>
      <c r="CF170" s="739">
        <v>150</v>
      </c>
      <c r="CG170" s="740" t="s">
        <v>899</v>
      </c>
      <c r="CH170" s="751">
        <f>K70</f>
        <v>0</v>
      </c>
      <c r="CI170" s="740" t="s">
        <v>883</v>
      </c>
      <c r="CJ170" s="742" t="s">
        <v>900</v>
      </c>
      <c r="CK170" s="740" t="s">
        <v>701</v>
      </c>
      <c r="CL170" s="731"/>
      <c r="CM170" s="731"/>
      <c r="CN170" s="731"/>
      <c r="CO170" s="731"/>
      <c r="CP170" s="731"/>
      <c r="CQ170" s="731"/>
      <c r="CR170" s="731"/>
      <c r="CS170" s="731"/>
      <c r="CT170" s="731"/>
      <c r="CU170" s="731"/>
      <c r="CV170" s="731"/>
      <c r="CW170" s="731"/>
      <c r="CX170" s="731"/>
      <c r="CY170" s="731"/>
      <c r="CZ170" s="731"/>
      <c r="DA170" s="731"/>
      <c r="DB170" s="731"/>
      <c r="DC170" s="731"/>
      <c r="DD170" s="731"/>
      <c r="DE170" s="731"/>
    </row>
    <row r="171" spans="1:109" ht="22.5" x14ac:dyDescent="0.2">
      <c r="A171" s="172"/>
      <c r="B171" s="207" t="s">
        <v>211</v>
      </c>
      <c r="C171" s="17" t="s">
        <v>67</v>
      </c>
      <c r="D171" s="57" t="b">
        <f>E171=100%</f>
        <v>1</v>
      </c>
      <c r="E171" s="473">
        <f t="shared" si="113"/>
        <v>1</v>
      </c>
      <c r="F171" s="471">
        <v>0</v>
      </c>
      <c r="G171" s="39">
        <v>0</v>
      </c>
      <c r="H171" s="39">
        <v>0</v>
      </c>
      <c r="I171" s="39">
        <v>0</v>
      </c>
      <c r="J171" s="39">
        <v>0</v>
      </c>
      <c r="K171" s="39">
        <v>0</v>
      </c>
      <c r="L171" s="39">
        <v>0</v>
      </c>
      <c r="M171" s="39">
        <v>0</v>
      </c>
      <c r="N171" s="39">
        <v>0</v>
      </c>
      <c r="O171" s="39">
        <v>0</v>
      </c>
      <c r="P171" s="39">
        <v>0</v>
      </c>
      <c r="Q171" s="39">
        <v>0</v>
      </c>
      <c r="R171" s="39">
        <v>0</v>
      </c>
      <c r="S171" s="39">
        <v>0</v>
      </c>
      <c r="T171" s="39">
        <v>0</v>
      </c>
      <c r="U171" s="39">
        <v>0</v>
      </c>
      <c r="V171" s="39">
        <v>0.25</v>
      </c>
      <c r="W171" s="39">
        <v>0.25</v>
      </c>
      <c r="X171" s="39">
        <v>0.25</v>
      </c>
      <c r="Y171" s="39">
        <v>0.25</v>
      </c>
      <c r="Z171" s="39">
        <v>0</v>
      </c>
      <c r="AA171" s="39">
        <v>0</v>
      </c>
      <c r="AB171" s="39">
        <v>0</v>
      </c>
      <c r="AC171" s="368">
        <v>0</v>
      </c>
      <c r="AD171" s="176"/>
      <c r="CF171" s="735">
        <v>151</v>
      </c>
      <c r="CG171" s="736" t="s">
        <v>901</v>
      </c>
      <c r="CH171" s="752" t="str">
        <f>L70</f>
        <v>لا يــــنــطــبــق</v>
      </c>
      <c r="CI171" s="736" t="s">
        <v>883</v>
      </c>
      <c r="CJ171" s="738" t="s">
        <v>902</v>
      </c>
      <c r="CK171" s="736" t="s">
        <v>704</v>
      </c>
      <c r="CL171" s="731"/>
      <c r="CM171" s="731"/>
      <c r="CN171" s="731"/>
      <c r="CO171" s="731"/>
      <c r="CP171" s="731"/>
      <c r="CQ171" s="731"/>
      <c r="CR171" s="731"/>
      <c r="CS171" s="731"/>
      <c r="CT171" s="731"/>
      <c r="CU171" s="731"/>
      <c r="CV171" s="731"/>
      <c r="CW171" s="731"/>
      <c r="CX171" s="731"/>
      <c r="CY171" s="731"/>
      <c r="CZ171" s="731"/>
      <c r="DA171" s="731"/>
      <c r="DB171" s="731"/>
      <c r="DC171" s="731"/>
      <c r="DD171" s="731"/>
      <c r="DE171" s="731"/>
    </row>
    <row r="172" spans="1:109" ht="22.5" x14ac:dyDescent="0.2">
      <c r="A172" s="172"/>
      <c r="B172" s="207" t="s">
        <v>212</v>
      </c>
      <c r="C172" s="17" t="s">
        <v>67</v>
      </c>
      <c r="D172" s="57" t="b">
        <f t="shared" si="115"/>
        <v>1</v>
      </c>
      <c r="E172" s="473">
        <f t="shared" si="113"/>
        <v>1</v>
      </c>
      <c r="F172" s="471">
        <v>0</v>
      </c>
      <c r="G172" s="39">
        <v>0</v>
      </c>
      <c r="H172" s="39">
        <v>0</v>
      </c>
      <c r="I172" s="39">
        <v>0</v>
      </c>
      <c r="J172" s="39">
        <v>0</v>
      </c>
      <c r="K172" s="39">
        <v>0</v>
      </c>
      <c r="L172" s="39">
        <v>0</v>
      </c>
      <c r="M172" s="39">
        <v>0</v>
      </c>
      <c r="N172" s="39">
        <v>0</v>
      </c>
      <c r="O172" s="39">
        <v>0</v>
      </c>
      <c r="P172" s="39">
        <v>0</v>
      </c>
      <c r="Q172" s="39">
        <v>0</v>
      </c>
      <c r="R172" s="39">
        <v>0</v>
      </c>
      <c r="S172" s="39">
        <v>0</v>
      </c>
      <c r="T172" s="39">
        <v>0</v>
      </c>
      <c r="U172" s="39">
        <v>0</v>
      </c>
      <c r="V172" s="39">
        <v>0.25</v>
      </c>
      <c r="W172" s="39">
        <v>0.25</v>
      </c>
      <c r="X172" s="39">
        <v>0.25</v>
      </c>
      <c r="Y172" s="39">
        <v>0.25</v>
      </c>
      <c r="Z172" s="39">
        <v>0</v>
      </c>
      <c r="AA172" s="39">
        <v>0</v>
      </c>
      <c r="AB172" s="39">
        <v>0</v>
      </c>
      <c r="AC172" s="368">
        <v>0</v>
      </c>
      <c r="AD172" s="176"/>
      <c r="CF172" s="734" t="s">
        <v>903</v>
      </c>
      <c r="CG172" s="734"/>
      <c r="CH172" s="734"/>
      <c r="CI172" s="734"/>
      <c r="CJ172" s="734"/>
      <c r="CK172" s="734"/>
      <c r="CL172" s="731"/>
      <c r="CM172" s="731"/>
      <c r="CN172" s="731"/>
      <c r="CO172" s="731"/>
      <c r="CP172" s="731"/>
      <c r="CQ172" s="731"/>
      <c r="CR172" s="731"/>
      <c r="CS172" s="731"/>
      <c r="CT172" s="731"/>
      <c r="CU172" s="731"/>
      <c r="CV172" s="731"/>
      <c r="CW172" s="731"/>
      <c r="CX172" s="731"/>
      <c r="CY172" s="731"/>
      <c r="CZ172" s="731"/>
      <c r="DA172" s="731"/>
      <c r="DB172" s="731"/>
      <c r="DC172" s="731"/>
      <c r="DD172" s="731"/>
      <c r="DE172" s="731"/>
    </row>
    <row r="173" spans="1:109" ht="22.5" x14ac:dyDescent="0.2">
      <c r="A173" s="172"/>
      <c r="B173" s="207" t="s">
        <v>157</v>
      </c>
      <c r="C173" s="17" t="s">
        <v>67</v>
      </c>
      <c r="D173" s="57" t="b">
        <f>E173=100%</f>
        <v>0</v>
      </c>
      <c r="E173" s="473">
        <f t="shared" si="113"/>
        <v>0</v>
      </c>
      <c r="F173" s="471">
        <v>0</v>
      </c>
      <c r="G173" s="39">
        <v>0</v>
      </c>
      <c r="H173" s="39">
        <v>0</v>
      </c>
      <c r="I173" s="39">
        <v>0</v>
      </c>
      <c r="J173" s="39">
        <v>0</v>
      </c>
      <c r="K173" s="39">
        <v>0</v>
      </c>
      <c r="L173" s="39">
        <v>0</v>
      </c>
      <c r="M173" s="39">
        <v>0</v>
      </c>
      <c r="N173" s="39">
        <v>0</v>
      </c>
      <c r="O173" s="39">
        <v>0</v>
      </c>
      <c r="P173" s="39">
        <v>0</v>
      </c>
      <c r="Q173" s="39">
        <v>0</v>
      </c>
      <c r="R173" s="39">
        <v>0</v>
      </c>
      <c r="S173" s="39">
        <v>0</v>
      </c>
      <c r="T173" s="39">
        <v>0</v>
      </c>
      <c r="U173" s="39">
        <v>0</v>
      </c>
      <c r="V173" s="39">
        <v>0</v>
      </c>
      <c r="W173" s="39">
        <v>0</v>
      </c>
      <c r="X173" s="39">
        <v>0</v>
      </c>
      <c r="Y173" s="39">
        <v>0</v>
      </c>
      <c r="Z173" s="39">
        <v>0</v>
      </c>
      <c r="AA173" s="39">
        <v>0</v>
      </c>
      <c r="AB173" s="39">
        <v>0</v>
      </c>
      <c r="AC173" s="368">
        <v>0</v>
      </c>
      <c r="AD173" s="176"/>
      <c r="CF173" s="739">
        <v>152</v>
      </c>
      <c r="CG173" s="740" t="s">
        <v>904</v>
      </c>
      <c r="CH173" s="746">
        <f>C71</f>
        <v>0</v>
      </c>
      <c r="CI173" s="740" t="s">
        <v>905</v>
      </c>
      <c r="CJ173" s="742" t="s">
        <v>906</v>
      </c>
      <c r="CK173" s="740" t="s">
        <v>597</v>
      </c>
      <c r="CL173" s="731"/>
      <c r="CM173" s="731"/>
      <c r="CN173" s="731"/>
      <c r="CO173" s="731"/>
      <c r="CP173" s="731"/>
      <c r="CQ173" s="731"/>
      <c r="CR173" s="731"/>
      <c r="CS173" s="731"/>
      <c r="CT173" s="731"/>
      <c r="CU173" s="731"/>
      <c r="CV173" s="731"/>
      <c r="CW173" s="731"/>
      <c r="CX173" s="731"/>
      <c r="CY173" s="731"/>
      <c r="CZ173" s="731"/>
      <c r="DA173" s="731"/>
      <c r="DB173" s="731"/>
      <c r="DC173" s="731"/>
      <c r="DD173" s="731"/>
      <c r="DE173" s="731"/>
    </row>
    <row r="174" spans="1:109" ht="22.5" x14ac:dyDescent="0.2">
      <c r="A174" s="172"/>
      <c r="B174" s="207" t="s">
        <v>158</v>
      </c>
      <c r="C174" s="17" t="s">
        <v>67</v>
      </c>
      <c r="D174" s="57" t="b">
        <f>E174=100%</f>
        <v>1</v>
      </c>
      <c r="E174" s="473">
        <f t="shared" si="113"/>
        <v>1</v>
      </c>
      <c r="F174" s="471">
        <v>0</v>
      </c>
      <c r="G174" s="39">
        <v>0</v>
      </c>
      <c r="H174" s="39">
        <v>0</v>
      </c>
      <c r="I174" s="39">
        <v>0</v>
      </c>
      <c r="J174" s="39">
        <v>0</v>
      </c>
      <c r="K174" s="39">
        <v>0</v>
      </c>
      <c r="L174" s="39">
        <v>0</v>
      </c>
      <c r="M174" s="39">
        <v>0</v>
      </c>
      <c r="N174" s="39">
        <v>0</v>
      </c>
      <c r="O174" s="39">
        <v>0</v>
      </c>
      <c r="P174" s="39">
        <v>0</v>
      </c>
      <c r="Q174" s="39">
        <v>0</v>
      </c>
      <c r="R174" s="39">
        <v>0</v>
      </c>
      <c r="S174" s="39">
        <v>0</v>
      </c>
      <c r="T174" s="39">
        <v>0</v>
      </c>
      <c r="U174" s="39">
        <v>0</v>
      </c>
      <c r="V174" s="39">
        <v>0</v>
      </c>
      <c r="W174" s="39">
        <v>0</v>
      </c>
      <c r="X174" s="39">
        <v>0</v>
      </c>
      <c r="Y174" s="39">
        <v>1</v>
      </c>
      <c r="Z174" s="39">
        <v>0</v>
      </c>
      <c r="AA174" s="39">
        <v>0</v>
      </c>
      <c r="AB174" s="39">
        <v>0</v>
      </c>
      <c r="AC174" s="368">
        <v>0</v>
      </c>
      <c r="AD174" s="176"/>
      <c r="CF174" s="735">
        <v>153</v>
      </c>
      <c r="CG174" s="736" t="s">
        <v>907</v>
      </c>
      <c r="CH174" s="745">
        <f>D71</f>
        <v>0</v>
      </c>
      <c r="CI174" s="736" t="s">
        <v>905</v>
      </c>
      <c r="CJ174" s="738" t="s">
        <v>908</v>
      </c>
      <c r="CK174" s="736" t="s">
        <v>647</v>
      </c>
      <c r="CL174" s="731"/>
      <c r="CM174" s="731"/>
      <c r="CN174" s="731"/>
      <c r="CO174" s="731"/>
      <c r="CP174" s="731"/>
      <c r="CQ174" s="731"/>
      <c r="CR174" s="731"/>
      <c r="CS174" s="731"/>
      <c r="CT174" s="731"/>
      <c r="CU174" s="731"/>
      <c r="CV174" s="731"/>
      <c r="CW174" s="731"/>
      <c r="CX174" s="731"/>
      <c r="CY174" s="731"/>
      <c r="CZ174" s="731"/>
      <c r="DA174" s="731"/>
      <c r="DB174" s="731"/>
      <c r="DC174" s="731"/>
      <c r="DD174" s="731"/>
      <c r="DE174" s="731"/>
    </row>
    <row r="175" spans="1:109" ht="23.25" thickBot="1" x14ac:dyDescent="0.25">
      <c r="A175" s="172"/>
      <c r="B175" s="40" t="s">
        <v>159</v>
      </c>
      <c r="C175" s="41" t="s">
        <v>67</v>
      </c>
      <c r="D175" s="58" t="b">
        <f>E175=100%</f>
        <v>1</v>
      </c>
      <c r="E175" s="474">
        <f t="shared" si="113"/>
        <v>1.0000000000000002</v>
      </c>
      <c r="F175" s="472">
        <v>0</v>
      </c>
      <c r="G175" s="42">
        <v>0</v>
      </c>
      <c r="H175" s="42">
        <v>0</v>
      </c>
      <c r="I175" s="42">
        <v>0</v>
      </c>
      <c r="J175" s="42">
        <v>0</v>
      </c>
      <c r="K175" s="42">
        <v>7.0000000000000007E-2</v>
      </c>
      <c r="L175" s="42">
        <v>7.0000000000000007E-2</v>
      </c>
      <c r="M175" s="42">
        <v>7.0000000000000007E-2</v>
      </c>
      <c r="N175" s="42">
        <v>0.13</v>
      </c>
      <c r="O175" s="42">
        <v>0.13</v>
      </c>
      <c r="P175" s="42">
        <v>0.13</v>
      </c>
      <c r="Q175" s="42">
        <v>0.12</v>
      </c>
      <c r="R175" s="42">
        <v>7.0000000000000007E-2</v>
      </c>
      <c r="S175" s="42">
        <v>7.0000000000000007E-2</v>
      </c>
      <c r="T175" s="42">
        <v>7.0000000000000007E-2</v>
      </c>
      <c r="U175" s="42">
        <v>7.0000000000000007E-2</v>
      </c>
      <c r="V175" s="42">
        <v>0</v>
      </c>
      <c r="W175" s="42">
        <v>0</v>
      </c>
      <c r="X175" s="42">
        <v>0</v>
      </c>
      <c r="Y175" s="42">
        <v>0</v>
      </c>
      <c r="Z175" s="42">
        <v>0</v>
      </c>
      <c r="AA175" s="42">
        <v>0</v>
      </c>
      <c r="AB175" s="42">
        <v>0</v>
      </c>
      <c r="AC175" s="369">
        <v>0</v>
      </c>
      <c r="AD175" s="176"/>
      <c r="CF175" s="739">
        <v>154</v>
      </c>
      <c r="CG175" s="740" t="s">
        <v>909</v>
      </c>
      <c r="CH175" s="744">
        <f>I71</f>
        <v>0</v>
      </c>
      <c r="CI175" s="740" t="s">
        <v>905</v>
      </c>
      <c r="CJ175" s="742" t="s">
        <v>910</v>
      </c>
      <c r="CK175" s="740" t="s">
        <v>650</v>
      </c>
      <c r="CL175" s="731"/>
      <c r="CM175" s="731"/>
      <c r="CN175" s="731"/>
      <c r="CO175" s="731"/>
      <c r="CP175" s="731"/>
      <c r="CQ175" s="731"/>
      <c r="CR175" s="731"/>
      <c r="CS175" s="731"/>
      <c r="CT175" s="731"/>
      <c r="CU175" s="731"/>
      <c r="CV175" s="731"/>
      <c r="CW175" s="731"/>
      <c r="CX175" s="731"/>
      <c r="CY175" s="731"/>
      <c r="CZ175" s="731"/>
      <c r="DA175" s="731"/>
      <c r="DB175" s="731"/>
      <c r="DC175" s="731"/>
      <c r="DD175" s="731"/>
      <c r="DE175" s="731"/>
    </row>
    <row r="176" spans="1:109" ht="13.5" thickBot="1" x14ac:dyDescent="0.25">
      <c r="A176" s="172"/>
      <c r="AD176" s="176"/>
      <c r="CF176" s="735">
        <v>155</v>
      </c>
      <c r="CG176" s="736" t="s">
        <v>911</v>
      </c>
      <c r="CH176" s="743">
        <f>J71</f>
        <v>0</v>
      </c>
      <c r="CI176" s="736" t="s">
        <v>905</v>
      </c>
      <c r="CJ176" s="738" t="s">
        <v>912</v>
      </c>
      <c r="CK176" s="736" t="s">
        <v>571</v>
      </c>
      <c r="CL176" s="731"/>
      <c r="CM176" s="731"/>
      <c r="CN176" s="731"/>
      <c r="CO176" s="731"/>
      <c r="CP176" s="731"/>
      <c r="CQ176" s="731"/>
      <c r="CR176" s="731"/>
      <c r="CS176" s="731"/>
      <c r="CT176" s="731"/>
      <c r="CU176" s="731"/>
      <c r="CV176" s="731"/>
      <c r="CW176" s="731"/>
      <c r="CX176" s="731"/>
      <c r="CY176" s="731"/>
      <c r="CZ176" s="731"/>
      <c r="DA176" s="731"/>
      <c r="DB176" s="731"/>
      <c r="DC176" s="731"/>
      <c r="DD176" s="731"/>
      <c r="DE176" s="731"/>
    </row>
    <row r="177" spans="1:109" ht="15" x14ac:dyDescent="0.2">
      <c r="A177" s="172"/>
      <c r="B177" s="905" t="s">
        <v>160</v>
      </c>
      <c r="C177" s="906"/>
      <c r="D177" s="906"/>
      <c r="E177" s="466" t="s">
        <v>161</v>
      </c>
      <c r="F177" s="460">
        <v>46388</v>
      </c>
      <c r="G177" s="406">
        <f>EDATE(F177,3)</f>
        <v>46478</v>
      </c>
      <c r="H177" s="406">
        <f>EDATE(G177,3)</f>
        <v>46569</v>
      </c>
      <c r="I177" s="406">
        <f t="shared" ref="I177:AC177" si="119">EDATE(H177,3)</f>
        <v>46661</v>
      </c>
      <c r="J177" s="406">
        <f t="shared" si="119"/>
        <v>46753</v>
      </c>
      <c r="K177" s="406">
        <f t="shared" si="119"/>
        <v>46844</v>
      </c>
      <c r="L177" s="406">
        <f t="shared" si="119"/>
        <v>46935</v>
      </c>
      <c r="M177" s="406">
        <f t="shared" si="119"/>
        <v>47027</v>
      </c>
      <c r="N177" s="406">
        <f t="shared" si="119"/>
        <v>47119</v>
      </c>
      <c r="O177" s="406">
        <f t="shared" si="119"/>
        <v>47209</v>
      </c>
      <c r="P177" s="406">
        <f t="shared" si="119"/>
        <v>47300</v>
      </c>
      <c r="Q177" s="406">
        <f t="shared" si="119"/>
        <v>47392</v>
      </c>
      <c r="R177" s="406">
        <f t="shared" si="119"/>
        <v>47484</v>
      </c>
      <c r="S177" s="406">
        <f t="shared" si="119"/>
        <v>47574</v>
      </c>
      <c r="T177" s="406">
        <f t="shared" si="119"/>
        <v>47665</v>
      </c>
      <c r="U177" s="406">
        <f t="shared" si="119"/>
        <v>47757</v>
      </c>
      <c r="V177" s="406">
        <f t="shared" si="119"/>
        <v>47849</v>
      </c>
      <c r="W177" s="406">
        <f t="shared" si="119"/>
        <v>47939</v>
      </c>
      <c r="X177" s="406">
        <f t="shared" si="119"/>
        <v>48030</v>
      </c>
      <c r="Y177" s="406">
        <f t="shared" si="119"/>
        <v>48122</v>
      </c>
      <c r="Z177" s="406">
        <f t="shared" si="119"/>
        <v>48214</v>
      </c>
      <c r="AA177" s="406">
        <f t="shared" si="119"/>
        <v>48305</v>
      </c>
      <c r="AB177" s="406">
        <f t="shared" si="119"/>
        <v>48396</v>
      </c>
      <c r="AC177" s="407">
        <f t="shared" si="119"/>
        <v>48488</v>
      </c>
      <c r="AD177" s="176"/>
      <c r="CF177" s="734" t="s">
        <v>913</v>
      </c>
      <c r="CG177" s="734"/>
      <c r="CH177" s="734"/>
      <c r="CI177" s="734"/>
      <c r="CJ177" s="734"/>
      <c r="CK177" s="734"/>
      <c r="CL177" s="731"/>
      <c r="CM177" s="731"/>
      <c r="CN177" s="731"/>
      <c r="CO177" s="731"/>
      <c r="CP177" s="731"/>
      <c r="CQ177" s="731"/>
      <c r="CR177" s="731"/>
      <c r="CS177" s="731"/>
      <c r="CT177" s="731"/>
      <c r="CU177" s="731"/>
      <c r="CV177" s="731"/>
      <c r="CW177" s="731"/>
      <c r="CX177" s="731"/>
      <c r="CY177" s="731"/>
      <c r="CZ177" s="731"/>
      <c r="DA177" s="731"/>
      <c r="DB177" s="731"/>
      <c r="DC177" s="731"/>
      <c r="DD177" s="731"/>
      <c r="DE177" s="731"/>
    </row>
    <row r="178" spans="1:109" ht="12.75" x14ac:dyDescent="0.2">
      <c r="A178" s="172"/>
      <c r="B178" s="1024" t="s">
        <v>214</v>
      </c>
      <c r="C178" s="825"/>
      <c r="D178" s="825"/>
      <c r="E178" s="1025"/>
      <c r="F178" s="431">
        <f>F189</f>
        <v>0</v>
      </c>
      <c r="G178" s="271">
        <f t="shared" ref="G178:AC178" si="120">F178+G189+G191</f>
        <v>0</v>
      </c>
      <c r="H178" s="271">
        <f t="shared" si="120"/>
        <v>0</v>
      </c>
      <c r="I178" s="271">
        <f t="shared" si="120"/>
        <v>0</v>
      </c>
      <c r="J178" s="271">
        <f t="shared" si="120"/>
        <v>0</v>
      </c>
      <c r="K178" s="271">
        <f t="shared" si="120"/>
        <v>0</v>
      </c>
      <c r="L178" s="271">
        <f t="shared" si="120"/>
        <v>2552006</v>
      </c>
      <c r="M178" s="271">
        <f>L178+M189+M191</f>
        <v>3352006</v>
      </c>
      <c r="N178" s="271">
        <f t="shared" si="120"/>
        <v>5552006</v>
      </c>
      <c r="O178" s="271">
        <f t="shared" si="120"/>
        <v>7752006</v>
      </c>
      <c r="P178" s="271">
        <f t="shared" si="120"/>
        <v>13552006</v>
      </c>
      <c r="Q178" s="271">
        <f t="shared" si="120"/>
        <v>22552006</v>
      </c>
      <c r="R178" s="271">
        <f t="shared" si="120"/>
        <v>28652006</v>
      </c>
      <c r="S178" s="271">
        <f t="shared" si="120"/>
        <v>36052006</v>
      </c>
      <c r="T178" s="271">
        <f t="shared" si="120"/>
        <v>43252006</v>
      </c>
      <c r="U178" s="271">
        <f t="shared" si="120"/>
        <v>53252006</v>
      </c>
      <c r="V178" s="271">
        <f t="shared" si="120"/>
        <v>53552006</v>
      </c>
      <c r="W178" s="271">
        <f t="shared" si="120"/>
        <v>54352006</v>
      </c>
      <c r="X178" s="271">
        <f t="shared" si="120"/>
        <v>52022133.136878826</v>
      </c>
      <c r="Y178" s="271">
        <f t="shared" si="120"/>
        <v>0</v>
      </c>
      <c r="Z178" s="271">
        <f t="shared" si="120"/>
        <v>0</v>
      </c>
      <c r="AA178" s="271">
        <f t="shared" si="120"/>
        <v>0</v>
      </c>
      <c r="AB178" s="271">
        <f t="shared" si="120"/>
        <v>0</v>
      </c>
      <c r="AC178" s="272">
        <f t="shared" si="120"/>
        <v>0</v>
      </c>
      <c r="AD178" s="176"/>
      <c r="CF178" s="739">
        <v>156</v>
      </c>
      <c r="CG178" s="740" t="s">
        <v>914</v>
      </c>
      <c r="CH178" s="748">
        <f>C73</f>
        <v>1</v>
      </c>
      <c r="CI178" s="740" t="s">
        <v>915</v>
      </c>
      <c r="CJ178" s="742" t="s">
        <v>916</v>
      </c>
      <c r="CK178" s="740" t="s">
        <v>917</v>
      </c>
      <c r="CL178" s="731"/>
      <c r="CM178" s="731"/>
      <c r="CN178" s="731"/>
      <c r="CO178" s="731"/>
      <c r="CP178" s="731"/>
      <c r="CQ178" s="731"/>
      <c r="CR178" s="731"/>
      <c r="CS178" s="731"/>
      <c r="CT178" s="731"/>
      <c r="CU178" s="731"/>
      <c r="CV178" s="731"/>
      <c r="CW178" s="731"/>
      <c r="CX178" s="731"/>
      <c r="CY178" s="731"/>
      <c r="CZ178" s="731"/>
      <c r="DA178" s="731"/>
      <c r="DB178" s="731"/>
      <c r="DC178" s="731"/>
      <c r="DD178" s="731"/>
      <c r="DE178" s="731"/>
    </row>
    <row r="179" spans="1:109" ht="22.5" x14ac:dyDescent="0.2">
      <c r="A179" s="172"/>
      <c r="B179" s="207" t="s">
        <v>5</v>
      </c>
      <c r="C179" s="271" t="s">
        <v>162</v>
      </c>
      <c r="D179" s="36" t="s">
        <v>67</v>
      </c>
      <c r="E179" s="467" t="s">
        <v>273</v>
      </c>
      <c r="F179" s="461" t="s">
        <v>130</v>
      </c>
      <c r="G179" s="37" t="s">
        <v>131</v>
      </c>
      <c r="H179" s="37" t="s">
        <v>132</v>
      </c>
      <c r="I179" s="37" t="s">
        <v>133</v>
      </c>
      <c r="J179" s="37" t="s">
        <v>134</v>
      </c>
      <c r="K179" s="37" t="s">
        <v>135</v>
      </c>
      <c r="L179" s="37" t="s">
        <v>136</v>
      </c>
      <c r="M179" s="37" t="s">
        <v>137</v>
      </c>
      <c r="N179" s="37" t="s">
        <v>138</v>
      </c>
      <c r="O179" s="37" t="s">
        <v>139</v>
      </c>
      <c r="P179" s="37" t="s">
        <v>140</v>
      </c>
      <c r="Q179" s="37" t="s">
        <v>141</v>
      </c>
      <c r="R179" s="37" t="s">
        <v>142</v>
      </c>
      <c r="S179" s="37" t="s">
        <v>143</v>
      </c>
      <c r="T179" s="37" t="s">
        <v>144</v>
      </c>
      <c r="U179" s="37" t="s">
        <v>145</v>
      </c>
      <c r="V179" s="37" t="s">
        <v>146</v>
      </c>
      <c r="W179" s="37" t="s">
        <v>147</v>
      </c>
      <c r="X179" s="37" t="s">
        <v>148</v>
      </c>
      <c r="Y179" s="37" t="s">
        <v>149</v>
      </c>
      <c r="Z179" s="37" t="s">
        <v>150</v>
      </c>
      <c r="AA179" s="37" t="s">
        <v>151</v>
      </c>
      <c r="AB179" s="37" t="s">
        <v>152</v>
      </c>
      <c r="AC179" s="38" t="s">
        <v>153</v>
      </c>
      <c r="AD179" s="176"/>
      <c r="CF179" s="735">
        <v>157</v>
      </c>
      <c r="CG179" s="736" t="s">
        <v>918</v>
      </c>
      <c r="CH179" s="745">
        <f>D73</f>
        <v>8216</v>
      </c>
      <c r="CI179" s="736" t="s">
        <v>915</v>
      </c>
      <c r="CJ179" s="738" t="s">
        <v>919</v>
      </c>
      <c r="CK179" s="736" t="s">
        <v>647</v>
      </c>
      <c r="CL179" s="731"/>
      <c r="CM179" s="731"/>
      <c r="CN179" s="731"/>
      <c r="CO179" s="731"/>
      <c r="CP179" s="731"/>
      <c r="CQ179" s="731"/>
      <c r="CR179" s="731"/>
      <c r="CS179" s="731"/>
      <c r="CT179" s="731"/>
      <c r="CU179" s="731"/>
      <c r="CV179" s="731"/>
      <c r="CW179" s="731"/>
      <c r="CX179" s="731"/>
      <c r="CY179" s="731"/>
      <c r="CZ179" s="731"/>
      <c r="DA179" s="731"/>
      <c r="DB179" s="731"/>
      <c r="DC179" s="731"/>
      <c r="DD179" s="731"/>
      <c r="DE179" s="731"/>
    </row>
    <row r="180" spans="1:109" ht="22.5" x14ac:dyDescent="0.2">
      <c r="A180" s="172"/>
      <c r="B180" s="43" t="s">
        <v>11</v>
      </c>
      <c r="C180" s="386">
        <f>H19</f>
        <v>34500000</v>
      </c>
      <c r="D180" s="57" t="b">
        <f>IF(ABS(E180 - C180) &lt; MAX(0.00001, E180 * 0.00001), TRUE, FALSE)</f>
        <v>1</v>
      </c>
      <c r="E180" s="468">
        <f t="shared" ref="E180:E188" si="121">SUM(F180:AC180)</f>
        <v>34500000</v>
      </c>
      <c r="F180" s="462">
        <f>C180</f>
        <v>34500000</v>
      </c>
      <c r="G180" s="115">
        <v>0</v>
      </c>
      <c r="H180" s="115">
        <v>0</v>
      </c>
      <c r="I180" s="115">
        <v>0</v>
      </c>
      <c r="J180" s="115">
        <v>0</v>
      </c>
      <c r="K180" s="115">
        <v>0</v>
      </c>
      <c r="L180" s="115">
        <v>0</v>
      </c>
      <c r="M180" s="115">
        <v>0</v>
      </c>
      <c r="N180" s="115">
        <v>0</v>
      </c>
      <c r="O180" s="115">
        <v>0</v>
      </c>
      <c r="P180" s="115">
        <v>0</v>
      </c>
      <c r="Q180" s="115">
        <v>0</v>
      </c>
      <c r="R180" s="115">
        <v>0</v>
      </c>
      <c r="S180" s="115">
        <v>0</v>
      </c>
      <c r="T180" s="115">
        <v>0</v>
      </c>
      <c r="U180" s="115">
        <v>0</v>
      </c>
      <c r="V180" s="115">
        <v>0</v>
      </c>
      <c r="W180" s="115">
        <v>0</v>
      </c>
      <c r="X180" s="115">
        <v>0</v>
      </c>
      <c r="Y180" s="115">
        <v>0</v>
      </c>
      <c r="Z180" s="115">
        <v>0</v>
      </c>
      <c r="AA180" s="115">
        <v>0</v>
      </c>
      <c r="AB180" s="115">
        <v>0</v>
      </c>
      <c r="AC180" s="71">
        <v>0</v>
      </c>
      <c r="AD180" s="176"/>
      <c r="CF180" s="739">
        <v>158</v>
      </c>
      <c r="CG180" s="740" t="s">
        <v>920</v>
      </c>
      <c r="CH180" s="744">
        <f>I73</f>
        <v>750</v>
      </c>
      <c r="CI180" s="740" t="s">
        <v>915</v>
      </c>
      <c r="CJ180" s="742" t="s">
        <v>921</v>
      </c>
      <c r="CK180" s="740" t="s">
        <v>650</v>
      </c>
      <c r="CL180" s="731"/>
      <c r="CM180" s="731"/>
      <c r="CN180" s="731"/>
      <c r="CO180" s="731"/>
      <c r="CP180" s="731"/>
      <c r="CQ180" s="731"/>
      <c r="CR180" s="731"/>
      <c r="CS180" s="731"/>
      <c r="CT180" s="731"/>
      <c r="CU180" s="731"/>
      <c r="CV180" s="731"/>
      <c r="CW180" s="731"/>
      <c r="CX180" s="731"/>
      <c r="CY180" s="731"/>
      <c r="CZ180" s="731"/>
      <c r="DA180" s="731"/>
      <c r="DB180" s="731"/>
      <c r="DC180" s="731"/>
      <c r="DD180" s="731"/>
      <c r="DE180" s="731"/>
    </row>
    <row r="181" spans="1:109" ht="22.5" x14ac:dyDescent="0.2">
      <c r="A181" s="172"/>
      <c r="B181" s="43" t="s">
        <v>15</v>
      </c>
      <c r="C181" s="386">
        <f>H21</f>
        <v>11100000</v>
      </c>
      <c r="D181" s="57" t="b">
        <f t="shared" ref="D181:D187" si="122">IF(ABS(E181 - C181) &lt; MAX(0.00001, E181 * 0.00001), TRUE, FALSE)</f>
        <v>1</v>
      </c>
      <c r="E181" s="468">
        <f t="shared" si="121"/>
        <v>11100000</v>
      </c>
      <c r="F181" s="462">
        <f>C181</f>
        <v>11100000</v>
      </c>
      <c r="G181" s="380">
        <v>0</v>
      </c>
      <c r="H181" s="380">
        <v>0</v>
      </c>
      <c r="I181" s="380">
        <v>0</v>
      </c>
      <c r="J181" s="380">
        <v>0</v>
      </c>
      <c r="K181" s="380">
        <v>0</v>
      </c>
      <c r="L181" s="380">
        <v>0</v>
      </c>
      <c r="M181" s="380">
        <v>0</v>
      </c>
      <c r="N181" s="380">
        <v>0</v>
      </c>
      <c r="O181" s="380">
        <v>0</v>
      </c>
      <c r="P181" s="380">
        <v>0</v>
      </c>
      <c r="Q181" s="380">
        <v>0</v>
      </c>
      <c r="R181" s="380">
        <v>0</v>
      </c>
      <c r="S181" s="380">
        <v>0</v>
      </c>
      <c r="T181" s="380">
        <v>0</v>
      </c>
      <c r="U181" s="380">
        <v>0</v>
      </c>
      <c r="V181" s="380">
        <v>0</v>
      </c>
      <c r="W181" s="380">
        <v>0</v>
      </c>
      <c r="X181" s="380">
        <v>0</v>
      </c>
      <c r="Y181" s="380">
        <v>0</v>
      </c>
      <c r="Z181" s="380">
        <v>0</v>
      </c>
      <c r="AA181" s="380">
        <v>0</v>
      </c>
      <c r="AB181" s="380">
        <v>0</v>
      </c>
      <c r="AC181" s="381">
        <v>0</v>
      </c>
      <c r="AD181" s="176"/>
      <c r="CF181" s="735">
        <v>159</v>
      </c>
      <c r="CG181" s="736" t="s">
        <v>922</v>
      </c>
      <c r="CH181" s="743">
        <f>J73</f>
        <v>6162000</v>
      </c>
      <c r="CI181" s="736" t="s">
        <v>915</v>
      </c>
      <c r="CJ181" s="738" t="s">
        <v>923</v>
      </c>
      <c r="CK181" s="736" t="s">
        <v>571</v>
      </c>
      <c r="CL181" s="731"/>
      <c r="CM181" s="731"/>
      <c r="CN181" s="731"/>
      <c r="CO181" s="731"/>
      <c r="CP181" s="731"/>
      <c r="CQ181" s="731"/>
      <c r="CR181" s="731"/>
      <c r="CS181" s="731"/>
      <c r="CT181" s="731"/>
      <c r="CU181" s="731"/>
      <c r="CV181" s="731"/>
      <c r="CW181" s="731"/>
      <c r="CX181" s="731"/>
      <c r="CY181" s="731"/>
      <c r="CZ181" s="731"/>
      <c r="DA181" s="731"/>
      <c r="DB181" s="731"/>
      <c r="DC181" s="731"/>
      <c r="DD181" s="731"/>
      <c r="DE181" s="731"/>
    </row>
    <row r="182" spans="1:109" ht="22.5" x14ac:dyDescent="0.2">
      <c r="A182" s="172"/>
      <c r="B182" s="43" t="s">
        <v>17</v>
      </c>
      <c r="C182" s="386">
        <f>H22</f>
        <v>0</v>
      </c>
      <c r="D182" s="57" t="b">
        <f t="shared" si="122"/>
        <v>1</v>
      </c>
      <c r="E182" s="468">
        <f t="shared" si="121"/>
        <v>0</v>
      </c>
      <c r="F182" s="462">
        <f t="shared" ref="F182:AC182" si="123">((-$D$104*F196)+(-$E$104*F196))*$J$22</f>
        <v>0</v>
      </c>
      <c r="G182" s="115">
        <f t="shared" si="123"/>
        <v>0</v>
      </c>
      <c r="H182" s="115">
        <f t="shared" si="123"/>
        <v>0</v>
      </c>
      <c r="I182" s="115">
        <f t="shared" si="123"/>
        <v>0</v>
      </c>
      <c r="J182" s="115">
        <f t="shared" si="123"/>
        <v>0</v>
      </c>
      <c r="K182" s="115">
        <f t="shared" si="123"/>
        <v>0</v>
      </c>
      <c r="L182" s="115">
        <f t="shared" si="123"/>
        <v>0</v>
      </c>
      <c r="M182" s="115">
        <f t="shared" si="123"/>
        <v>0</v>
      </c>
      <c r="N182" s="115">
        <f t="shared" si="123"/>
        <v>0</v>
      </c>
      <c r="O182" s="115">
        <f t="shared" si="123"/>
        <v>0</v>
      </c>
      <c r="P182" s="115">
        <f t="shared" si="123"/>
        <v>0</v>
      </c>
      <c r="Q182" s="115">
        <f t="shared" si="123"/>
        <v>0</v>
      </c>
      <c r="R182" s="115">
        <f t="shared" si="123"/>
        <v>0</v>
      </c>
      <c r="S182" s="115">
        <f t="shared" si="123"/>
        <v>0</v>
      </c>
      <c r="T182" s="115">
        <f t="shared" si="123"/>
        <v>0</v>
      </c>
      <c r="U182" s="115">
        <f t="shared" si="123"/>
        <v>0</v>
      </c>
      <c r="V182" s="115">
        <f t="shared" si="123"/>
        <v>0</v>
      </c>
      <c r="W182" s="115">
        <f t="shared" si="123"/>
        <v>0</v>
      </c>
      <c r="X182" s="115">
        <f t="shared" si="123"/>
        <v>0</v>
      </c>
      <c r="Y182" s="115">
        <f t="shared" si="123"/>
        <v>0</v>
      </c>
      <c r="Z182" s="115">
        <f t="shared" si="123"/>
        <v>0</v>
      </c>
      <c r="AA182" s="115">
        <f t="shared" si="123"/>
        <v>0</v>
      </c>
      <c r="AB182" s="115">
        <f t="shared" si="123"/>
        <v>0</v>
      </c>
      <c r="AC182" s="381">
        <f t="shared" si="123"/>
        <v>0</v>
      </c>
      <c r="AD182" s="176"/>
      <c r="CF182" s="739">
        <v>160</v>
      </c>
      <c r="CG182" s="740" t="s">
        <v>924</v>
      </c>
      <c r="CH182" s="748">
        <f>C74</f>
        <v>0.9586173320350535</v>
      </c>
      <c r="CI182" s="740" t="s">
        <v>915</v>
      </c>
      <c r="CJ182" s="742" t="s">
        <v>925</v>
      </c>
      <c r="CK182" s="740" t="s">
        <v>917</v>
      </c>
      <c r="CL182" s="731"/>
      <c r="CM182" s="731"/>
      <c r="CN182" s="731"/>
      <c r="CO182" s="731"/>
      <c r="CP182" s="731"/>
      <c r="CQ182" s="731"/>
      <c r="CR182" s="731"/>
      <c r="CS182" s="731"/>
      <c r="CT182" s="731"/>
      <c r="CU182" s="731"/>
      <c r="CV182" s="731"/>
      <c r="CW182" s="731"/>
      <c r="CX182" s="731"/>
      <c r="CY182" s="731"/>
      <c r="CZ182" s="731"/>
      <c r="DA182" s="731"/>
      <c r="DB182" s="731"/>
      <c r="DC182" s="731"/>
      <c r="DD182" s="731"/>
      <c r="DE182" s="731"/>
    </row>
    <row r="183" spans="1:109" ht="22.5" x14ac:dyDescent="0.2">
      <c r="A183" s="172"/>
      <c r="B183" s="43" t="s">
        <v>19</v>
      </c>
      <c r="C183" s="386">
        <f>H23</f>
        <v>62809599.999999993</v>
      </c>
      <c r="D183" s="57" t="b">
        <f t="shared" si="122"/>
        <v>1</v>
      </c>
      <c r="E183" s="468">
        <f>SUM(F183:AC183)</f>
        <v>62809599.999999993</v>
      </c>
      <c r="F183" s="462">
        <f>C183</f>
        <v>62809599.999999993</v>
      </c>
      <c r="G183" s="380">
        <v>0</v>
      </c>
      <c r="H183" s="380">
        <v>0</v>
      </c>
      <c r="I183" s="380">
        <v>0</v>
      </c>
      <c r="J183" s="380">
        <v>0</v>
      </c>
      <c r="K183" s="380">
        <v>0</v>
      </c>
      <c r="L183" s="380">
        <v>0</v>
      </c>
      <c r="M183" s="380">
        <v>0</v>
      </c>
      <c r="N183" s="380">
        <v>0</v>
      </c>
      <c r="O183" s="380">
        <v>0</v>
      </c>
      <c r="P183" s="380">
        <v>0</v>
      </c>
      <c r="Q183" s="380">
        <v>0</v>
      </c>
      <c r="R183" s="380">
        <v>0</v>
      </c>
      <c r="S183" s="380">
        <v>0</v>
      </c>
      <c r="T183" s="380">
        <v>0</v>
      </c>
      <c r="U183" s="380">
        <v>0</v>
      </c>
      <c r="V183" s="380">
        <v>0</v>
      </c>
      <c r="W183" s="380">
        <v>0</v>
      </c>
      <c r="X183" s="380">
        <v>0</v>
      </c>
      <c r="Y183" s="380">
        <v>0</v>
      </c>
      <c r="Z183" s="380">
        <v>0</v>
      </c>
      <c r="AA183" s="380">
        <v>0</v>
      </c>
      <c r="AB183" s="380">
        <v>0</v>
      </c>
      <c r="AC183" s="381">
        <v>0</v>
      </c>
      <c r="AD183" s="176"/>
      <c r="CF183" s="735">
        <v>161</v>
      </c>
      <c r="CG183" s="736" t="s">
        <v>926</v>
      </c>
      <c r="CH183" s="745">
        <f>D74</f>
        <v>7876</v>
      </c>
      <c r="CI183" s="736" t="s">
        <v>915</v>
      </c>
      <c r="CJ183" s="738" t="s">
        <v>927</v>
      </c>
      <c r="CK183" s="736" t="s">
        <v>647</v>
      </c>
      <c r="CL183" s="731"/>
      <c r="CM183" s="731"/>
      <c r="CN183" s="731"/>
      <c r="CO183" s="731"/>
      <c r="CP183" s="731"/>
      <c r="CQ183" s="731"/>
      <c r="CR183" s="731"/>
      <c r="CS183" s="731"/>
      <c r="CT183" s="731"/>
      <c r="CU183" s="731"/>
      <c r="CV183" s="731"/>
      <c r="CW183" s="731"/>
      <c r="CX183" s="731"/>
      <c r="CY183" s="731"/>
      <c r="CZ183" s="731"/>
      <c r="DA183" s="731"/>
      <c r="DB183" s="731"/>
      <c r="DC183" s="731"/>
      <c r="DD183" s="731"/>
      <c r="DE183" s="731"/>
    </row>
    <row r="184" spans="1:109" ht="22.5" x14ac:dyDescent="0.2">
      <c r="A184" s="176"/>
      <c r="B184" s="207" t="s">
        <v>209</v>
      </c>
      <c r="C184" s="386">
        <f>AC139</f>
        <v>46486956.52173914</v>
      </c>
      <c r="D184" s="57" t="b">
        <f t="shared" si="122"/>
        <v>1</v>
      </c>
      <c r="E184" s="468">
        <f>SUM(F184:AC184)</f>
        <v>46486956.521739148</v>
      </c>
      <c r="F184" s="380">
        <f>F296</f>
        <v>0</v>
      </c>
      <c r="G184" s="380">
        <f t="shared" ref="G184:AC184" si="124">G296</f>
        <v>0</v>
      </c>
      <c r="H184" s="380">
        <f t="shared" si="124"/>
        <v>0</v>
      </c>
      <c r="I184" s="380">
        <f t="shared" si="124"/>
        <v>0</v>
      </c>
      <c r="J184" s="380">
        <f t="shared" si="124"/>
        <v>1304347.8260869568</v>
      </c>
      <c r="K184" s="380">
        <f t="shared" si="124"/>
        <v>2305043.4782608701</v>
      </c>
      <c r="L184" s="380">
        <f t="shared" si="124"/>
        <v>4166337.3913043486</v>
      </c>
      <c r="M184" s="380">
        <f t="shared" si="124"/>
        <v>6497357.8434782634</v>
      </c>
      <c r="N184" s="380">
        <f t="shared" si="124"/>
        <v>10376715.794086959</v>
      </c>
      <c r="O184" s="380">
        <f t="shared" si="124"/>
        <v>10609114.642518263</v>
      </c>
      <c r="P184" s="380">
        <f t="shared" si="124"/>
        <v>6736823.7276020898</v>
      </c>
      <c r="Q184" s="380">
        <f t="shared" si="124"/>
        <v>3233675.3892490026</v>
      </c>
      <c r="R184" s="380">
        <f t="shared" si="124"/>
        <v>993456.93903038744</v>
      </c>
      <c r="S184" s="380">
        <f t="shared" si="124"/>
        <v>227111.80150492143</v>
      </c>
      <c r="T184" s="380">
        <f t="shared" si="124"/>
        <v>34383.670413884582</v>
      </c>
      <c r="U184" s="380">
        <f t="shared" si="124"/>
        <v>2588.0182031956069</v>
      </c>
      <c r="V184" s="380">
        <f t="shared" si="124"/>
        <v>0</v>
      </c>
      <c r="W184" s="380">
        <f t="shared" si="124"/>
        <v>0</v>
      </c>
      <c r="X184" s="380">
        <f t="shared" si="124"/>
        <v>0</v>
      </c>
      <c r="Y184" s="380">
        <f t="shared" si="124"/>
        <v>0</v>
      </c>
      <c r="Z184" s="380">
        <f t="shared" si="124"/>
        <v>0</v>
      </c>
      <c r="AA184" s="380">
        <f t="shared" si="124"/>
        <v>0</v>
      </c>
      <c r="AB184" s="380">
        <f t="shared" si="124"/>
        <v>0</v>
      </c>
      <c r="AC184" s="381">
        <f t="shared" si="124"/>
        <v>0</v>
      </c>
      <c r="AD184" s="176"/>
      <c r="CF184" s="739">
        <v>162</v>
      </c>
      <c r="CG184" s="740" t="s">
        <v>928</v>
      </c>
      <c r="CH184" s="744">
        <f>I74</f>
        <v>1800</v>
      </c>
      <c r="CI184" s="740" t="s">
        <v>915</v>
      </c>
      <c r="CJ184" s="742" t="s">
        <v>929</v>
      </c>
      <c r="CK184" s="740" t="s">
        <v>650</v>
      </c>
      <c r="CL184" s="731"/>
      <c r="CM184" s="731"/>
      <c r="CN184" s="731"/>
      <c r="CO184" s="731"/>
      <c r="CP184" s="731"/>
      <c r="CQ184" s="731"/>
      <c r="CR184" s="731"/>
      <c r="CS184" s="731"/>
      <c r="CT184" s="731"/>
      <c r="CU184" s="731"/>
      <c r="CV184" s="731"/>
      <c r="CW184" s="731"/>
      <c r="CX184" s="731"/>
      <c r="CY184" s="731"/>
      <c r="CZ184" s="731"/>
      <c r="DA184" s="731"/>
      <c r="DB184" s="731"/>
      <c r="DC184" s="731"/>
      <c r="DD184" s="731"/>
      <c r="DE184" s="731"/>
    </row>
    <row r="185" spans="1:109" ht="22.5" x14ac:dyDescent="0.2">
      <c r="A185" s="176"/>
      <c r="B185" s="207" t="s">
        <v>125</v>
      </c>
      <c r="C185" s="386">
        <f>H157</f>
        <v>2471311.08</v>
      </c>
      <c r="D185" s="57" t="b">
        <f t="shared" si="122"/>
        <v>1</v>
      </c>
      <c r="E185" s="468">
        <f t="shared" si="121"/>
        <v>2471311.08</v>
      </c>
      <c r="F185" s="463">
        <f t="shared" ref="F185:AC185" si="125">$C$185*F171</f>
        <v>0</v>
      </c>
      <c r="G185" s="387">
        <f t="shared" si="125"/>
        <v>0</v>
      </c>
      <c r="H185" s="387">
        <f t="shared" si="125"/>
        <v>0</v>
      </c>
      <c r="I185" s="387">
        <f t="shared" si="125"/>
        <v>0</v>
      </c>
      <c r="J185" s="387">
        <f t="shared" si="125"/>
        <v>0</v>
      </c>
      <c r="K185" s="387">
        <f t="shared" si="125"/>
        <v>0</v>
      </c>
      <c r="L185" s="387">
        <f t="shared" si="125"/>
        <v>0</v>
      </c>
      <c r="M185" s="387">
        <f t="shared" si="125"/>
        <v>0</v>
      </c>
      <c r="N185" s="387">
        <f t="shared" si="125"/>
        <v>0</v>
      </c>
      <c r="O185" s="387">
        <f t="shared" si="125"/>
        <v>0</v>
      </c>
      <c r="P185" s="387">
        <f t="shared" si="125"/>
        <v>0</v>
      </c>
      <c r="Q185" s="387">
        <f t="shared" si="125"/>
        <v>0</v>
      </c>
      <c r="R185" s="387">
        <f t="shared" si="125"/>
        <v>0</v>
      </c>
      <c r="S185" s="387">
        <f t="shared" si="125"/>
        <v>0</v>
      </c>
      <c r="T185" s="387">
        <f t="shared" si="125"/>
        <v>0</v>
      </c>
      <c r="U185" s="387">
        <f t="shared" si="125"/>
        <v>0</v>
      </c>
      <c r="V185" s="387">
        <f t="shared" si="125"/>
        <v>617827.77</v>
      </c>
      <c r="W185" s="387">
        <f t="shared" si="125"/>
        <v>617827.77</v>
      </c>
      <c r="X185" s="387">
        <f t="shared" si="125"/>
        <v>617827.77</v>
      </c>
      <c r="Y185" s="387">
        <f t="shared" si="125"/>
        <v>617827.77</v>
      </c>
      <c r="Z185" s="387">
        <f t="shared" si="125"/>
        <v>0</v>
      </c>
      <c r="AA185" s="387">
        <f t="shared" si="125"/>
        <v>0</v>
      </c>
      <c r="AB185" s="387">
        <f t="shared" si="125"/>
        <v>0</v>
      </c>
      <c r="AC185" s="388">
        <f t="shared" si="125"/>
        <v>0</v>
      </c>
      <c r="AD185" s="176"/>
      <c r="CF185" s="735">
        <v>163</v>
      </c>
      <c r="CG185" s="736" t="s">
        <v>930</v>
      </c>
      <c r="CH185" s="743">
        <f>J74</f>
        <v>14176800</v>
      </c>
      <c r="CI185" s="736" t="s">
        <v>915</v>
      </c>
      <c r="CJ185" s="738" t="s">
        <v>931</v>
      </c>
      <c r="CK185" s="736" t="s">
        <v>571</v>
      </c>
      <c r="CL185" s="731"/>
      <c r="CM185" s="731"/>
      <c r="CN185" s="731"/>
      <c r="CO185" s="731"/>
      <c r="CP185" s="731"/>
      <c r="CQ185" s="731"/>
      <c r="CR185" s="731"/>
      <c r="CS185" s="731"/>
      <c r="CT185" s="731"/>
      <c r="CU185" s="731"/>
      <c r="CV185" s="731"/>
      <c r="CW185" s="731"/>
      <c r="CX185" s="731"/>
      <c r="CY185" s="731"/>
      <c r="CZ185" s="731"/>
      <c r="DA185" s="731"/>
      <c r="DB185" s="731"/>
      <c r="DC185" s="731"/>
      <c r="DD185" s="731"/>
      <c r="DE185" s="731"/>
    </row>
    <row r="186" spans="1:109" ht="22.5" x14ac:dyDescent="0.2">
      <c r="A186" s="176"/>
      <c r="B186" s="207" t="s">
        <v>163</v>
      </c>
      <c r="C186" s="386">
        <f>X157</f>
        <v>21352500</v>
      </c>
      <c r="D186" s="57" t="b">
        <f t="shared" si="122"/>
        <v>1</v>
      </c>
      <c r="E186" s="468">
        <f t="shared" si="121"/>
        <v>21352500</v>
      </c>
      <c r="F186" s="464">
        <f t="shared" ref="F186:AC186" si="126">F172*$C$186</f>
        <v>0</v>
      </c>
      <c r="G186" s="113">
        <f t="shared" si="126"/>
        <v>0</v>
      </c>
      <c r="H186" s="113">
        <f t="shared" si="126"/>
        <v>0</v>
      </c>
      <c r="I186" s="113">
        <f t="shared" si="126"/>
        <v>0</v>
      </c>
      <c r="J186" s="113">
        <f t="shared" si="126"/>
        <v>0</v>
      </c>
      <c r="K186" s="113">
        <f t="shared" si="126"/>
        <v>0</v>
      </c>
      <c r="L186" s="113">
        <f t="shared" si="126"/>
        <v>0</v>
      </c>
      <c r="M186" s="113">
        <f t="shared" si="126"/>
        <v>0</v>
      </c>
      <c r="N186" s="113">
        <f t="shared" si="126"/>
        <v>0</v>
      </c>
      <c r="O186" s="113">
        <f t="shared" si="126"/>
        <v>0</v>
      </c>
      <c r="P186" s="113">
        <f t="shared" si="126"/>
        <v>0</v>
      </c>
      <c r="Q186" s="113">
        <f t="shared" si="126"/>
        <v>0</v>
      </c>
      <c r="R186" s="113">
        <f t="shared" si="126"/>
        <v>0</v>
      </c>
      <c r="S186" s="113">
        <f t="shared" si="126"/>
        <v>0</v>
      </c>
      <c r="T186" s="113">
        <f t="shared" si="126"/>
        <v>0</v>
      </c>
      <c r="U186" s="113">
        <f t="shared" si="126"/>
        <v>0</v>
      </c>
      <c r="V186" s="113">
        <f t="shared" si="126"/>
        <v>5338125</v>
      </c>
      <c r="W186" s="113">
        <f t="shared" si="126"/>
        <v>5338125</v>
      </c>
      <c r="X186" s="113">
        <f t="shared" si="126"/>
        <v>5338125</v>
      </c>
      <c r="Y186" s="113">
        <f t="shared" si="126"/>
        <v>5338125</v>
      </c>
      <c r="Z186" s="113">
        <f t="shared" si="126"/>
        <v>0</v>
      </c>
      <c r="AA186" s="113">
        <f t="shared" si="126"/>
        <v>0</v>
      </c>
      <c r="AB186" s="113">
        <f t="shared" si="126"/>
        <v>0</v>
      </c>
      <c r="AC186" s="72">
        <f t="shared" si="126"/>
        <v>0</v>
      </c>
      <c r="AD186" s="176"/>
      <c r="CF186" s="739">
        <v>164</v>
      </c>
      <c r="CG186" s="740" t="s">
        <v>932</v>
      </c>
      <c r="CH186" s="751">
        <f>K74</f>
        <v>175.02222222222221</v>
      </c>
      <c r="CI186" s="740" t="s">
        <v>915</v>
      </c>
      <c r="CJ186" s="742" t="s">
        <v>933</v>
      </c>
      <c r="CK186" s="740" t="s">
        <v>701</v>
      </c>
      <c r="CL186" s="731"/>
      <c r="CM186" s="731"/>
      <c r="CN186" s="731"/>
      <c r="CO186" s="731"/>
      <c r="CP186" s="731"/>
      <c r="CQ186" s="731"/>
      <c r="CR186" s="731"/>
      <c r="CS186" s="731"/>
      <c r="CT186" s="731"/>
      <c r="CU186" s="731"/>
      <c r="CV186" s="731"/>
      <c r="CW186" s="731"/>
      <c r="CX186" s="731"/>
      <c r="CY186" s="731"/>
      <c r="CZ186" s="731"/>
      <c r="DA186" s="731"/>
      <c r="DB186" s="731"/>
      <c r="DC186" s="731"/>
      <c r="DD186" s="731"/>
      <c r="DE186" s="731"/>
    </row>
    <row r="187" spans="1:109" ht="22.5" x14ac:dyDescent="0.2">
      <c r="A187" s="176"/>
      <c r="B187" s="207" t="s">
        <v>157</v>
      </c>
      <c r="C187" s="386">
        <f>J139</f>
        <v>0</v>
      </c>
      <c r="D187" s="57" t="b">
        <f t="shared" si="122"/>
        <v>1</v>
      </c>
      <c r="E187" s="468">
        <f t="shared" si="121"/>
        <v>0</v>
      </c>
      <c r="F187" s="464">
        <f t="shared" ref="F187:AC187" si="127">F173*$C$187</f>
        <v>0</v>
      </c>
      <c r="G187" s="113">
        <f t="shared" si="127"/>
        <v>0</v>
      </c>
      <c r="H187" s="113">
        <f t="shared" si="127"/>
        <v>0</v>
      </c>
      <c r="I187" s="113">
        <f t="shared" si="127"/>
        <v>0</v>
      </c>
      <c r="J187" s="113">
        <f t="shared" si="127"/>
        <v>0</v>
      </c>
      <c r="K187" s="113">
        <f t="shared" si="127"/>
        <v>0</v>
      </c>
      <c r="L187" s="113">
        <f t="shared" si="127"/>
        <v>0</v>
      </c>
      <c r="M187" s="113">
        <f t="shared" si="127"/>
        <v>0</v>
      </c>
      <c r="N187" s="113">
        <f t="shared" si="127"/>
        <v>0</v>
      </c>
      <c r="O187" s="113">
        <f t="shared" si="127"/>
        <v>0</v>
      </c>
      <c r="P187" s="113">
        <f t="shared" si="127"/>
        <v>0</v>
      </c>
      <c r="Q187" s="113">
        <f t="shared" si="127"/>
        <v>0</v>
      </c>
      <c r="R187" s="113">
        <f t="shared" si="127"/>
        <v>0</v>
      </c>
      <c r="S187" s="113">
        <f t="shared" si="127"/>
        <v>0</v>
      </c>
      <c r="T187" s="113">
        <f t="shared" si="127"/>
        <v>0</v>
      </c>
      <c r="U187" s="113">
        <f t="shared" si="127"/>
        <v>0</v>
      </c>
      <c r="V187" s="113">
        <f t="shared" si="127"/>
        <v>0</v>
      </c>
      <c r="W187" s="113">
        <f t="shared" si="127"/>
        <v>0</v>
      </c>
      <c r="X187" s="113">
        <f t="shared" si="127"/>
        <v>0</v>
      </c>
      <c r="Y187" s="113">
        <f t="shared" si="127"/>
        <v>0</v>
      </c>
      <c r="Z187" s="113">
        <f t="shared" si="127"/>
        <v>0</v>
      </c>
      <c r="AA187" s="113">
        <f t="shared" si="127"/>
        <v>0</v>
      </c>
      <c r="AB187" s="113">
        <f t="shared" si="127"/>
        <v>0</v>
      </c>
      <c r="AC187" s="72">
        <f t="shared" si="127"/>
        <v>0</v>
      </c>
      <c r="AD187" s="176"/>
      <c r="CF187" s="735">
        <v>165</v>
      </c>
      <c r="CG187" s="736" t="s">
        <v>934</v>
      </c>
      <c r="CH187" s="752">
        <f>C75</f>
        <v>0</v>
      </c>
      <c r="CI187" s="736" t="s">
        <v>915</v>
      </c>
      <c r="CJ187" s="738" t="s">
        <v>935</v>
      </c>
      <c r="CK187" s="736" t="s">
        <v>917</v>
      </c>
      <c r="CL187" s="731"/>
      <c r="CM187" s="731"/>
      <c r="CN187" s="731"/>
      <c r="CO187" s="731"/>
      <c r="CP187" s="731"/>
      <c r="CQ187" s="731"/>
      <c r="CR187" s="731"/>
      <c r="CS187" s="731"/>
      <c r="CT187" s="731"/>
      <c r="CU187" s="731"/>
      <c r="CV187" s="731"/>
      <c r="CW187" s="731"/>
      <c r="CX187" s="731"/>
      <c r="CY187" s="731"/>
      <c r="CZ187" s="731"/>
      <c r="DA187" s="731"/>
      <c r="DB187" s="731"/>
      <c r="DC187" s="731"/>
      <c r="DD187" s="731"/>
      <c r="DE187" s="731"/>
    </row>
    <row r="188" spans="1:109" ht="22.5" x14ac:dyDescent="0.2">
      <c r="A188" s="176"/>
      <c r="B188" s="382" t="s">
        <v>164</v>
      </c>
      <c r="C188" s="391">
        <f>O139</f>
        <v>242871819.07499996</v>
      </c>
      <c r="D188" s="383" t="b">
        <f>IF(ABS(E188 - C188) &lt; MAX(0.00001, E188 * 0.00001), TRUE, FALSE)</f>
        <v>1</v>
      </c>
      <c r="E188" s="468">
        <f t="shared" si="121"/>
        <v>242871819.07499996</v>
      </c>
      <c r="F188" s="463">
        <f t="shared" ref="F188:AC188" si="128">F174*$C$188</f>
        <v>0</v>
      </c>
      <c r="G188" s="387">
        <f t="shared" si="128"/>
        <v>0</v>
      </c>
      <c r="H188" s="387">
        <f t="shared" si="128"/>
        <v>0</v>
      </c>
      <c r="I188" s="387">
        <f t="shared" si="128"/>
        <v>0</v>
      </c>
      <c r="J188" s="387">
        <f t="shared" si="128"/>
        <v>0</v>
      </c>
      <c r="K188" s="387">
        <f t="shared" si="128"/>
        <v>0</v>
      </c>
      <c r="L188" s="387">
        <f t="shared" si="128"/>
        <v>0</v>
      </c>
      <c r="M188" s="387">
        <f t="shared" si="128"/>
        <v>0</v>
      </c>
      <c r="N188" s="387">
        <f t="shared" si="128"/>
        <v>0</v>
      </c>
      <c r="O188" s="387">
        <f t="shared" si="128"/>
        <v>0</v>
      </c>
      <c r="P188" s="387">
        <f t="shared" si="128"/>
        <v>0</v>
      </c>
      <c r="Q188" s="387">
        <f t="shared" si="128"/>
        <v>0</v>
      </c>
      <c r="R188" s="387">
        <f t="shared" si="128"/>
        <v>0</v>
      </c>
      <c r="S188" s="387">
        <f t="shared" si="128"/>
        <v>0</v>
      </c>
      <c r="T188" s="387">
        <f>T174*$C$188</f>
        <v>0</v>
      </c>
      <c r="U188" s="387">
        <f t="shared" si="128"/>
        <v>0</v>
      </c>
      <c r="V188" s="387">
        <f t="shared" si="128"/>
        <v>0</v>
      </c>
      <c r="W188" s="387">
        <f t="shared" si="128"/>
        <v>0</v>
      </c>
      <c r="X188" s="387">
        <f t="shared" si="128"/>
        <v>0</v>
      </c>
      <c r="Y188" s="387">
        <f t="shared" si="128"/>
        <v>242871819.07499996</v>
      </c>
      <c r="Z188" s="387">
        <f t="shared" si="128"/>
        <v>0</v>
      </c>
      <c r="AA188" s="387">
        <f t="shared" si="128"/>
        <v>0</v>
      </c>
      <c r="AB188" s="387">
        <f t="shared" si="128"/>
        <v>0</v>
      </c>
      <c r="AC188" s="388">
        <f t="shared" si="128"/>
        <v>0</v>
      </c>
      <c r="AD188" s="176"/>
      <c r="CF188" s="739">
        <v>166</v>
      </c>
      <c r="CG188" s="740" t="s">
        <v>936</v>
      </c>
      <c r="CH188" s="749">
        <f>D75</f>
        <v>0</v>
      </c>
      <c r="CI188" s="740" t="s">
        <v>915</v>
      </c>
      <c r="CJ188" s="742" t="s">
        <v>937</v>
      </c>
      <c r="CK188" s="740" t="s">
        <v>647</v>
      </c>
      <c r="CL188" s="731"/>
      <c r="CM188" s="731"/>
      <c r="CN188" s="731"/>
      <c r="CO188" s="731"/>
      <c r="CP188" s="731"/>
      <c r="CQ188" s="731"/>
      <c r="CR188" s="731"/>
      <c r="CS188" s="731"/>
      <c r="CT188" s="731"/>
      <c r="CU188" s="731"/>
      <c r="CV188" s="731"/>
      <c r="CW188" s="731"/>
      <c r="CX188" s="731"/>
      <c r="CY188" s="731"/>
      <c r="CZ188" s="731"/>
      <c r="DA188" s="731"/>
      <c r="DB188" s="731"/>
      <c r="DC188" s="731"/>
      <c r="DD188" s="731"/>
      <c r="DE188" s="731"/>
    </row>
    <row r="189" spans="1:109" ht="23.25" thickBot="1" x14ac:dyDescent="0.25">
      <c r="B189" s="40" t="s">
        <v>213</v>
      </c>
      <c r="C189" s="481">
        <v>0.01</v>
      </c>
      <c r="D189" s="384">
        <f>BI26</f>
        <v>53513191.667199999</v>
      </c>
      <c r="E189" s="469">
        <f>SUM(F189:AC189)</f>
        <v>54352006</v>
      </c>
      <c r="F189" s="465"/>
      <c r="G189" s="389"/>
      <c r="H189" s="390"/>
      <c r="I189" s="390"/>
      <c r="J189" s="390"/>
      <c r="K189" s="390"/>
      <c r="L189" s="390">
        <v>2552006</v>
      </c>
      <c r="M189" s="390">
        <v>800000</v>
      </c>
      <c r="N189" s="390">
        <v>2200000</v>
      </c>
      <c r="O189" s="390">
        <v>2200000</v>
      </c>
      <c r="P189" s="390">
        <v>5800000</v>
      </c>
      <c r="Q189" s="390">
        <v>9000000</v>
      </c>
      <c r="R189" s="390">
        <v>6100000</v>
      </c>
      <c r="S189" s="390">
        <v>7400000</v>
      </c>
      <c r="T189" s="390">
        <v>7200000</v>
      </c>
      <c r="U189" s="390">
        <v>10000000</v>
      </c>
      <c r="V189" s="390">
        <v>300000</v>
      </c>
      <c r="W189" s="390">
        <v>800000</v>
      </c>
      <c r="X189" s="390">
        <v>0</v>
      </c>
      <c r="Y189" s="390">
        <v>0</v>
      </c>
      <c r="Z189" s="390">
        <v>0</v>
      </c>
      <c r="AA189" s="390">
        <v>0</v>
      </c>
      <c r="AB189" s="390">
        <v>0</v>
      </c>
      <c r="AC189" s="390">
        <v>0</v>
      </c>
      <c r="AD189" s="724">
        <f>IF(AC225 + SUM(AD180:AD188) + SUM(AD192:AD216) &gt;= 0, 0, ABS(AC225 + SUM(AD180:AD188) + SUM(AD192:AD216)) * (1 + $C$189))</f>
        <v>0</v>
      </c>
      <c r="CF189" s="735">
        <v>167</v>
      </c>
      <c r="CG189" s="736" t="s">
        <v>938</v>
      </c>
      <c r="CH189" s="743">
        <f>I75</f>
        <v>0</v>
      </c>
      <c r="CI189" s="736" t="s">
        <v>915</v>
      </c>
      <c r="CJ189" s="738" t="s">
        <v>939</v>
      </c>
      <c r="CK189" s="736" t="s">
        <v>650</v>
      </c>
      <c r="CL189" s="731"/>
      <c r="CM189" s="731"/>
      <c r="CN189" s="731"/>
      <c r="CO189" s="731"/>
      <c r="CP189" s="731"/>
      <c r="CQ189" s="731"/>
      <c r="CR189" s="731"/>
      <c r="CS189" s="731"/>
      <c r="CT189" s="731"/>
      <c r="CU189" s="731"/>
      <c r="CV189" s="731"/>
      <c r="CW189" s="731"/>
      <c r="CX189" s="731"/>
      <c r="CY189" s="731"/>
      <c r="CZ189" s="731"/>
      <c r="DA189" s="731"/>
      <c r="DB189" s="731"/>
      <c r="DC189" s="731"/>
      <c r="DD189" s="731"/>
      <c r="DE189" s="731"/>
    </row>
    <row r="190" spans="1:109" ht="13.5" thickBot="1" x14ac:dyDescent="0.25">
      <c r="A190" s="172"/>
      <c r="B190" s="224" t="s">
        <v>165</v>
      </c>
      <c r="C190" s="93"/>
      <c r="D190" s="94"/>
      <c r="Y190" s="93"/>
      <c r="Z190" s="93"/>
      <c r="AA190" s="93"/>
      <c r="AB190" s="93"/>
      <c r="AC190" s="95"/>
      <c r="AD190" s="176"/>
      <c r="CF190" s="739">
        <v>168</v>
      </c>
      <c r="CG190" s="740" t="s">
        <v>940</v>
      </c>
      <c r="CH190" s="744">
        <f>J75</f>
        <v>0</v>
      </c>
      <c r="CI190" s="740" t="s">
        <v>915</v>
      </c>
      <c r="CJ190" s="742" t="s">
        <v>941</v>
      </c>
      <c r="CK190" s="740" t="s">
        <v>571</v>
      </c>
      <c r="CL190" s="731"/>
      <c r="CM190" s="731"/>
      <c r="CN190" s="731"/>
      <c r="CO190" s="731"/>
      <c r="CP190" s="731"/>
      <c r="CQ190" s="731"/>
      <c r="CR190" s="731"/>
      <c r="CS190" s="731"/>
      <c r="CT190" s="731"/>
      <c r="CU190" s="731"/>
      <c r="CV190" s="731"/>
      <c r="CW190" s="731"/>
      <c r="CX190" s="731"/>
      <c r="CY190" s="731"/>
      <c r="CZ190" s="731"/>
      <c r="DA190" s="731"/>
      <c r="DB190" s="731"/>
      <c r="DC190" s="731"/>
      <c r="DD190" s="731"/>
      <c r="DE190" s="731"/>
    </row>
    <row r="191" spans="1:109" ht="22.5" x14ac:dyDescent="0.2">
      <c r="A191" s="172"/>
      <c r="B191" s="435" t="s">
        <v>155</v>
      </c>
      <c r="C191" s="90">
        <f>-E189</f>
        <v>-54352006</v>
      </c>
      <c r="D191" s="109">
        <f>C191-E191</f>
        <v>0</v>
      </c>
      <c r="E191" s="457">
        <f t="shared" ref="E191:E216" si="129">SUM(F191:AC191)</f>
        <v>-54352006</v>
      </c>
      <c r="F191" s="452"/>
      <c r="G191" s="91"/>
      <c r="H191" s="91"/>
      <c r="I191" s="91"/>
      <c r="J191" s="91"/>
      <c r="K191" s="91"/>
      <c r="L191" s="91"/>
      <c r="M191" s="91"/>
      <c r="N191" s="91"/>
      <c r="O191" s="91"/>
      <c r="P191" s="91"/>
      <c r="Q191" s="91"/>
      <c r="R191" s="91"/>
      <c r="S191" s="91"/>
      <c r="T191" s="91"/>
      <c r="U191" s="91"/>
      <c r="V191" s="91"/>
      <c r="W191" s="91"/>
      <c r="X191" s="91">
        <v>-2329872.8631211729</v>
      </c>
      <c r="Y191" s="91">
        <v>-52022133.136878826</v>
      </c>
      <c r="Z191" s="91"/>
      <c r="AA191" s="91"/>
      <c r="AB191" s="91"/>
      <c r="AC191" s="92"/>
      <c r="AD191" s="176"/>
      <c r="CF191" s="735">
        <v>169</v>
      </c>
      <c r="CG191" s="736" t="s">
        <v>942</v>
      </c>
      <c r="CH191" s="750">
        <f>K75</f>
        <v>0</v>
      </c>
      <c r="CI191" s="736" t="s">
        <v>915</v>
      </c>
      <c r="CJ191" s="738" t="s">
        <v>943</v>
      </c>
      <c r="CK191" s="736" t="s">
        <v>701</v>
      </c>
      <c r="CL191" s="731"/>
      <c r="CM191" s="731"/>
      <c r="CN191" s="731"/>
      <c r="CO191" s="731"/>
      <c r="CP191" s="731"/>
      <c r="CQ191" s="731"/>
      <c r="CR191" s="731"/>
      <c r="CS191" s="731"/>
      <c r="CT191" s="731"/>
      <c r="CU191" s="731"/>
      <c r="CV191" s="731"/>
      <c r="CW191" s="731"/>
      <c r="CX191" s="731"/>
      <c r="CY191" s="731"/>
      <c r="CZ191" s="731"/>
      <c r="DA191" s="731"/>
      <c r="DB191" s="731"/>
      <c r="DC191" s="731"/>
      <c r="DD191" s="731"/>
      <c r="DE191" s="731"/>
    </row>
    <row r="192" spans="1:109" ht="22.5" x14ac:dyDescent="0.2">
      <c r="A192" s="179"/>
      <c r="B192" s="207" t="s">
        <v>18</v>
      </c>
      <c r="C192" s="34">
        <v>7.2999999999999995E-2</v>
      </c>
      <c r="D192" s="57" t="b">
        <f>IF(ABS(E192+E193 - AC259) &lt; MAX(0.00001, E192+E193 * 0.00001), TRUE, FALSE)</f>
        <v>1</v>
      </c>
      <c r="E192" s="439">
        <f t="shared" si="129"/>
        <v>-6870143.2437480381</v>
      </c>
      <c r="F192" s="437">
        <v>0</v>
      </c>
      <c r="G192" s="274">
        <f>-(F178*$C$192)/4</f>
        <v>0</v>
      </c>
      <c r="H192" s="274">
        <f t="shared" ref="H192:AC192" si="130">-(G178*$C$192)/4</f>
        <v>0</v>
      </c>
      <c r="I192" s="274">
        <f t="shared" si="130"/>
        <v>0</v>
      </c>
      <c r="J192" s="274">
        <f t="shared" si="130"/>
        <v>0</v>
      </c>
      <c r="K192" s="274">
        <f t="shared" si="130"/>
        <v>0</v>
      </c>
      <c r="L192" s="274">
        <f t="shared" si="130"/>
        <v>0</v>
      </c>
      <c r="M192" s="274">
        <f t="shared" si="130"/>
        <v>-46574.109499999999</v>
      </c>
      <c r="N192" s="274">
        <f t="shared" si="130"/>
        <v>-61174.109499999999</v>
      </c>
      <c r="O192" s="274">
        <f t="shared" si="130"/>
        <v>-101324.10949999999</v>
      </c>
      <c r="P192" s="274">
        <f t="shared" si="130"/>
        <v>-141474.10949999999</v>
      </c>
      <c r="Q192" s="274">
        <f t="shared" si="130"/>
        <v>-247324.10949999999</v>
      </c>
      <c r="R192" s="274">
        <f t="shared" si="130"/>
        <v>-411574.10949999996</v>
      </c>
      <c r="S192" s="274">
        <f t="shared" si="130"/>
        <v>-522899.10949999996</v>
      </c>
      <c r="T192" s="274">
        <f t="shared" si="130"/>
        <v>-657949.1094999999</v>
      </c>
      <c r="U192" s="274">
        <f t="shared" si="130"/>
        <v>-789349.1094999999</v>
      </c>
      <c r="V192" s="274">
        <f t="shared" si="130"/>
        <v>-971849.1094999999</v>
      </c>
      <c r="W192" s="274">
        <f t="shared" si="130"/>
        <v>-977324.1094999999</v>
      </c>
      <c r="X192" s="274">
        <f t="shared" si="130"/>
        <v>-991924.1094999999</v>
      </c>
      <c r="Y192" s="274">
        <f t="shared" si="130"/>
        <v>-949403.92974803853</v>
      </c>
      <c r="Z192" s="274">
        <f t="shared" si="130"/>
        <v>0</v>
      </c>
      <c r="AA192" s="274">
        <f t="shared" si="130"/>
        <v>0</v>
      </c>
      <c r="AB192" s="274">
        <f t="shared" si="130"/>
        <v>0</v>
      </c>
      <c r="AC192" s="276">
        <f t="shared" si="130"/>
        <v>0</v>
      </c>
      <c r="AD192" s="176"/>
      <c r="CF192" s="734" t="s">
        <v>944</v>
      </c>
      <c r="CG192" s="734"/>
      <c r="CH192" s="734"/>
      <c r="CI192" s="734"/>
      <c r="CJ192" s="734"/>
      <c r="CK192" s="734"/>
      <c r="CL192" s="731"/>
      <c r="CM192" s="731"/>
      <c r="CN192" s="731"/>
      <c r="CO192" s="731"/>
      <c r="CP192" s="731"/>
      <c r="CQ192" s="731"/>
      <c r="CR192" s="731"/>
      <c r="CS192" s="731"/>
      <c r="CT192" s="731"/>
      <c r="CU192" s="731"/>
      <c r="CV192" s="731"/>
      <c r="CW192" s="731"/>
      <c r="CX192" s="731"/>
      <c r="CY192" s="731"/>
      <c r="CZ192" s="731"/>
      <c r="DA192" s="731"/>
      <c r="DB192" s="731"/>
      <c r="DC192" s="731"/>
      <c r="DD192" s="731"/>
      <c r="DE192" s="731"/>
    </row>
    <row r="193" spans="1:109" ht="22.5" x14ac:dyDescent="0.2">
      <c r="A193" s="172"/>
      <c r="B193" s="207" t="s">
        <v>166</v>
      </c>
      <c r="C193" s="34">
        <v>5.0000000000000001E-3</v>
      </c>
      <c r="D193" s="57" t="b">
        <f>C193*E191=E193</f>
        <v>1</v>
      </c>
      <c r="E193" s="439">
        <f t="shared" si="129"/>
        <v>-271760.03000000003</v>
      </c>
      <c r="F193" s="436">
        <f>C193*E191</f>
        <v>-271760.03000000003</v>
      </c>
      <c r="G193" s="273">
        <v>0</v>
      </c>
      <c r="H193" s="273">
        <v>0</v>
      </c>
      <c r="I193" s="273">
        <v>0</v>
      </c>
      <c r="J193" s="273">
        <v>0</v>
      </c>
      <c r="K193" s="273">
        <v>0</v>
      </c>
      <c r="L193" s="273">
        <v>0</v>
      </c>
      <c r="M193" s="273">
        <v>0</v>
      </c>
      <c r="N193" s="273">
        <v>0</v>
      </c>
      <c r="O193" s="273">
        <v>0</v>
      </c>
      <c r="P193" s="273">
        <v>0</v>
      </c>
      <c r="Q193" s="273">
        <v>0</v>
      </c>
      <c r="R193" s="273">
        <v>0</v>
      </c>
      <c r="S193" s="273">
        <v>0</v>
      </c>
      <c r="T193" s="273">
        <v>0</v>
      </c>
      <c r="U193" s="273">
        <v>0</v>
      </c>
      <c r="V193" s="273">
        <v>0</v>
      </c>
      <c r="W193" s="273">
        <v>0</v>
      </c>
      <c r="X193" s="273">
        <v>0</v>
      </c>
      <c r="Y193" s="273">
        <v>0</v>
      </c>
      <c r="Z193" s="273">
        <v>0</v>
      </c>
      <c r="AA193" s="273">
        <v>0</v>
      </c>
      <c r="AB193" s="273">
        <v>0</v>
      </c>
      <c r="AC193" s="277">
        <v>0</v>
      </c>
      <c r="AD193" s="176"/>
      <c r="CF193" s="739">
        <v>170</v>
      </c>
      <c r="CG193" s="740" t="s">
        <v>945</v>
      </c>
      <c r="CH193" s="749">
        <f>D76</f>
        <v>31799.64</v>
      </c>
      <c r="CI193" s="740" t="s">
        <v>946</v>
      </c>
      <c r="CJ193" s="742" t="s">
        <v>947</v>
      </c>
      <c r="CK193" s="740" t="s">
        <v>647</v>
      </c>
      <c r="CL193" s="731"/>
      <c r="CM193" s="731"/>
      <c r="CN193" s="731"/>
      <c r="CO193" s="731"/>
      <c r="CP193" s="731"/>
      <c r="CQ193" s="731"/>
      <c r="CR193" s="731"/>
      <c r="CS193" s="731"/>
      <c r="CT193" s="731"/>
      <c r="CU193" s="731"/>
      <c r="CV193" s="731"/>
      <c r="CW193" s="731"/>
      <c r="CX193" s="731"/>
      <c r="CY193" s="731"/>
      <c r="CZ193" s="731"/>
      <c r="DA193" s="731"/>
      <c r="DB193" s="731"/>
      <c r="DC193" s="731"/>
      <c r="DD193" s="731"/>
      <c r="DE193" s="731"/>
    </row>
    <row r="194" spans="1:109" ht="22.5" x14ac:dyDescent="0.2">
      <c r="A194" s="172"/>
      <c r="B194" s="207" t="s">
        <v>167</v>
      </c>
      <c r="C194" s="220">
        <f>-E49</f>
        <v>-89728000</v>
      </c>
      <c r="D194" s="57" t="b">
        <f>IF(ABS(E194 - C194) &lt; MAX(0.00001, E194 * 0.00001), TRUE, FALSE)</f>
        <v>1</v>
      </c>
      <c r="E194" s="439">
        <f t="shared" si="129"/>
        <v>-89728000</v>
      </c>
      <c r="F194" s="437">
        <f>-E49</f>
        <v>-89728000</v>
      </c>
      <c r="G194" s="274">
        <v>0</v>
      </c>
      <c r="H194" s="274">
        <v>0</v>
      </c>
      <c r="I194" s="274">
        <v>0</v>
      </c>
      <c r="J194" s="274">
        <v>0</v>
      </c>
      <c r="K194" s="274">
        <v>0</v>
      </c>
      <c r="L194" s="274">
        <v>0</v>
      </c>
      <c r="M194" s="274">
        <v>0</v>
      </c>
      <c r="N194" s="274">
        <v>0</v>
      </c>
      <c r="O194" s="274">
        <v>0</v>
      </c>
      <c r="P194" s="274">
        <v>0</v>
      </c>
      <c r="Q194" s="274">
        <v>0</v>
      </c>
      <c r="R194" s="274">
        <v>0</v>
      </c>
      <c r="S194" s="274">
        <v>0</v>
      </c>
      <c r="T194" s="274">
        <v>0</v>
      </c>
      <c r="U194" s="274">
        <v>0</v>
      </c>
      <c r="V194" s="274">
        <v>0</v>
      </c>
      <c r="W194" s="274">
        <v>0</v>
      </c>
      <c r="X194" s="274">
        <v>0</v>
      </c>
      <c r="Y194" s="274">
        <v>0</v>
      </c>
      <c r="Z194" s="274">
        <v>0</v>
      </c>
      <c r="AA194" s="274">
        <v>0</v>
      </c>
      <c r="AB194" s="274">
        <v>0</v>
      </c>
      <c r="AC194" s="276">
        <v>0</v>
      </c>
      <c r="AD194" s="176"/>
      <c r="CF194" s="735">
        <v>171</v>
      </c>
      <c r="CG194" s="736" t="s">
        <v>948</v>
      </c>
      <c r="CH194" s="745">
        <f>F76</f>
        <v>9920.7939999999981</v>
      </c>
      <c r="CI194" s="736" t="s">
        <v>946</v>
      </c>
      <c r="CJ194" s="738" t="s">
        <v>949</v>
      </c>
      <c r="CK194" s="736" t="s">
        <v>647</v>
      </c>
      <c r="CL194" s="731"/>
      <c r="CM194" s="731"/>
      <c r="CN194" s="731"/>
      <c r="CO194" s="731"/>
      <c r="CP194" s="731"/>
      <c r="CQ194" s="731"/>
      <c r="CR194" s="731"/>
      <c r="CS194" s="731"/>
      <c r="CT194" s="731"/>
      <c r="CU194" s="731"/>
      <c r="CV194" s="731"/>
      <c r="CW194" s="731"/>
      <c r="CX194" s="731"/>
      <c r="CY194" s="731"/>
      <c r="CZ194" s="731"/>
      <c r="DA194" s="731"/>
      <c r="DB194" s="731"/>
      <c r="DC194" s="731"/>
      <c r="DD194" s="731"/>
      <c r="DE194" s="731"/>
    </row>
    <row r="195" spans="1:109" ht="27" x14ac:dyDescent="0.2">
      <c r="A195" s="172"/>
      <c r="B195" s="31" t="s">
        <v>272</v>
      </c>
      <c r="C195" s="220">
        <f>-SUM(F49:H49)</f>
        <v>-2119824</v>
      </c>
      <c r="D195" s="57" t="b">
        <f t="shared" ref="D195:D216" si="131">IF(ABS(E195 - C195) &lt; MAX(0.00001, E195 * 0.00001), TRUE, FALSE)</f>
        <v>1</v>
      </c>
      <c r="E195" s="439">
        <f>SUM(F195:AC195)</f>
        <v>-2119824</v>
      </c>
      <c r="F195" s="436">
        <f>-SUM(F49:H49)</f>
        <v>-2119824</v>
      </c>
      <c r="G195" s="273">
        <v>0</v>
      </c>
      <c r="H195" s="273">
        <v>0</v>
      </c>
      <c r="I195" s="273">
        <v>0</v>
      </c>
      <c r="J195" s="273">
        <v>0</v>
      </c>
      <c r="K195" s="273">
        <v>0</v>
      </c>
      <c r="L195" s="273">
        <v>0</v>
      </c>
      <c r="M195" s="273">
        <v>0</v>
      </c>
      <c r="N195" s="273">
        <v>0</v>
      </c>
      <c r="O195" s="273">
        <v>0</v>
      </c>
      <c r="P195" s="273">
        <v>0</v>
      </c>
      <c r="Q195" s="273">
        <v>0</v>
      </c>
      <c r="R195" s="273">
        <v>0</v>
      </c>
      <c r="S195" s="273">
        <v>0</v>
      </c>
      <c r="T195" s="273">
        <v>0</v>
      </c>
      <c r="U195" s="273">
        <v>0</v>
      </c>
      <c r="V195" s="273">
        <v>0</v>
      </c>
      <c r="W195" s="273">
        <v>0</v>
      </c>
      <c r="X195" s="273">
        <v>0</v>
      </c>
      <c r="Y195" s="273">
        <v>0</v>
      </c>
      <c r="Z195" s="273">
        <v>0</v>
      </c>
      <c r="AA195" s="273">
        <v>0</v>
      </c>
      <c r="AB195" s="273">
        <v>0</v>
      </c>
      <c r="AC195" s="277">
        <v>0</v>
      </c>
      <c r="AD195" s="176"/>
      <c r="CF195" s="739">
        <v>172</v>
      </c>
      <c r="CG195" s="740" t="s">
        <v>950</v>
      </c>
      <c r="CH195" s="749">
        <f>G76</f>
        <v>123</v>
      </c>
      <c r="CI195" s="740" t="s">
        <v>946</v>
      </c>
      <c r="CJ195" s="742" t="s">
        <v>951</v>
      </c>
      <c r="CK195" s="740" t="s">
        <v>647</v>
      </c>
      <c r="CL195" s="731"/>
      <c r="CM195" s="731"/>
      <c r="CN195" s="731"/>
      <c r="CO195" s="731"/>
      <c r="CP195" s="731"/>
      <c r="CQ195" s="731"/>
      <c r="CR195" s="731"/>
      <c r="CS195" s="731"/>
      <c r="CT195" s="731"/>
      <c r="CU195" s="731"/>
      <c r="CV195" s="731"/>
      <c r="CW195" s="731"/>
      <c r="CX195" s="731"/>
      <c r="CY195" s="731"/>
      <c r="CZ195" s="731"/>
      <c r="DA195" s="731"/>
      <c r="DB195" s="731"/>
      <c r="DC195" s="731"/>
      <c r="DD195" s="731"/>
      <c r="DE195" s="731"/>
    </row>
    <row r="196" spans="1:109" ht="23.25" thickBot="1" x14ac:dyDescent="0.25">
      <c r="A196" s="172"/>
      <c r="B196" s="370" t="s">
        <v>168</v>
      </c>
      <c r="C196" s="371">
        <f>-J76</f>
        <v>-78265608</v>
      </c>
      <c r="D196" s="372" t="b">
        <f t="shared" si="131"/>
        <v>1</v>
      </c>
      <c r="E196" s="458">
        <f t="shared" si="129"/>
        <v>-78265608.000000015</v>
      </c>
      <c r="F196" s="453">
        <f t="shared" ref="F196:AC196" si="132">F175*$C$196</f>
        <v>0</v>
      </c>
      <c r="G196" s="373">
        <f t="shared" si="132"/>
        <v>0</v>
      </c>
      <c r="H196" s="373">
        <f t="shared" si="132"/>
        <v>0</v>
      </c>
      <c r="I196" s="373">
        <f t="shared" si="132"/>
        <v>0</v>
      </c>
      <c r="J196" s="373">
        <f t="shared" si="132"/>
        <v>0</v>
      </c>
      <c r="K196" s="373">
        <f t="shared" si="132"/>
        <v>-5478592.5600000005</v>
      </c>
      <c r="L196" s="373">
        <f t="shared" si="132"/>
        <v>-5478592.5600000005</v>
      </c>
      <c r="M196" s="373">
        <f t="shared" si="132"/>
        <v>-5478592.5600000005</v>
      </c>
      <c r="N196" s="373">
        <f t="shared" si="132"/>
        <v>-10174529.040000001</v>
      </c>
      <c r="O196" s="373">
        <f t="shared" si="132"/>
        <v>-10174529.040000001</v>
      </c>
      <c r="P196" s="373">
        <f t="shared" si="132"/>
        <v>-10174529.040000001</v>
      </c>
      <c r="Q196" s="373">
        <f t="shared" si="132"/>
        <v>-9391872.959999999</v>
      </c>
      <c r="R196" s="373">
        <f t="shared" si="132"/>
        <v>-5478592.5600000005</v>
      </c>
      <c r="S196" s="373">
        <f t="shared" si="132"/>
        <v>-5478592.5600000005</v>
      </c>
      <c r="T196" s="373">
        <f t="shared" si="132"/>
        <v>-5478592.5600000005</v>
      </c>
      <c r="U196" s="373">
        <f t="shared" si="132"/>
        <v>-5478592.5600000005</v>
      </c>
      <c r="V196" s="373">
        <f t="shared" si="132"/>
        <v>0</v>
      </c>
      <c r="W196" s="373">
        <f t="shared" si="132"/>
        <v>0</v>
      </c>
      <c r="X196" s="373">
        <f t="shared" si="132"/>
        <v>0</v>
      </c>
      <c r="Y196" s="373">
        <f t="shared" si="132"/>
        <v>0</v>
      </c>
      <c r="Z196" s="373">
        <f t="shared" si="132"/>
        <v>0</v>
      </c>
      <c r="AA196" s="373">
        <f t="shared" si="132"/>
        <v>0</v>
      </c>
      <c r="AB196" s="373">
        <f t="shared" si="132"/>
        <v>0</v>
      </c>
      <c r="AC196" s="374">
        <f t="shared" si="132"/>
        <v>0</v>
      </c>
      <c r="AD196" s="176"/>
      <c r="CF196" s="735">
        <v>173</v>
      </c>
      <c r="CG196" s="736" t="s">
        <v>952</v>
      </c>
      <c r="CH196" s="750">
        <f>H76</f>
        <v>80.656861788617874</v>
      </c>
      <c r="CI196" s="736" t="s">
        <v>946</v>
      </c>
      <c r="CJ196" s="738" t="s">
        <v>953</v>
      </c>
      <c r="CK196" s="736" t="s">
        <v>694</v>
      </c>
      <c r="CL196" s="731"/>
      <c r="CM196" s="731"/>
      <c r="CN196" s="731"/>
      <c r="CO196" s="731"/>
      <c r="CP196" s="731"/>
      <c r="CQ196" s="731"/>
      <c r="CR196" s="731"/>
      <c r="CS196" s="731"/>
      <c r="CT196" s="731"/>
      <c r="CU196" s="731"/>
      <c r="CV196" s="731"/>
      <c r="CW196" s="731"/>
      <c r="CX196" s="731"/>
      <c r="CY196" s="731"/>
      <c r="CZ196" s="731"/>
      <c r="DA196" s="731"/>
      <c r="DB196" s="731"/>
      <c r="DC196" s="731"/>
      <c r="DD196" s="731"/>
      <c r="DE196" s="731"/>
    </row>
    <row r="197" spans="1:109" ht="22.5" x14ac:dyDescent="0.2">
      <c r="A197" s="172"/>
      <c r="B197" s="66" t="s">
        <v>169</v>
      </c>
      <c r="C197" s="44">
        <f t="shared" ref="C197:C212" si="133">-C86</f>
        <v>-534040</v>
      </c>
      <c r="D197" s="56" t="b">
        <f t="shared" si="131"/>
        <v>1</v>
      </c>
      <c r="E197" s="457">
        <f t="shared" si="129"/>
        <v>-534040</v>
      </c>
      <c r="F197" s="454">
        <f>C197</f>
        <v>-534040</v>
      </c>
      <c r="G197" s="375">
        <v>0</v>
      </c>
      <c r="H197" s="375">
        <v>0</v>
      </c>
      <c r="I197" s="375">
        <v>0</v>
      </c>
      <c r="J197" s="375">
        <v>0</v>
      </c>
      <c r="K197" s="375">
        <v>0</v>
      </c>
      <c r="L197" s="375">
        <v>0</v>
      </c>
      <c r="M197" s="375">
        <v>0</v>
      </c>
      <c r="N197" s="375">
        <v>0</v>
      </c>
      <c r="O197" s="375">
        <v>0</v>
      </c>
      <c r="P197" s="375">
        <v>0</v>
      </c>
      <c r="Q197" s="375">
        <v>0</v>
      </c>
      <c r="R197" s="375">
        <v>0</v>
      </c>
      <c r="S197" s="375">
        <v>0</v>
      </c>
      <c r="T197" s="375">
        <v>0</v>
      </c>
      <c r="U197" s="375">
        <v>0</v>
      </c>
      <c r="V197" s="375">
        <v>0</v>
      </c>
      <c r="W197" s="375">
        <v>0</v>
      </c>
      <c r="X197" s="375">
        <v>0</v>
      </c>
      <c r="Y197" s="375">
        <v>0</v>
      </c>
      <c r="Z197" s="375">
        <v>0</v>
      </c>
      <c r="AA197" s="375">
        <v>0</v>
      </c>
      <c r="AB197" s="375">
        <v>0</v>
      </c>
      <c r="AC197" s="376">
        <v>0</v>
      </c>
      <c r="AD197" s="176"/>
      <c r="CF197" s="739">
        <v>174</v>
      </c>
      <c r="CG197" s="740" t="s">
        <v>954</v>
      </c>
      <c r="CH197" s="744">
        <f>I76</f>
        <v>2461.2105042698595</v>
      </c>
      <c r="CI197" s="740" t="s">
        <v>946</v>
      </c>
      <c r="CJ197" s="742" t="s">
        <v>955</v>
      </c>
      <c r="CK197" s="740" t="s">
        <v>650</v>
      </c>
      <c r="CL197" s="731"/>
      <c r="CM197" s="731"/>
      <c r="CN197" s="731"/>
      <c r="CO197" s="731"/>
      <c r="CP197" s="731"/>
      <c r="CQ197" s="731"/>
      <c r="CR197" s="731"/>
      <c r="CS197" s="731"/>
      <c r="CT197" s="731"/>
      <c r="CU197" s="731"/>
      <c r="CV197" s="731"/>
      <c r="CW197" s="731"/>
      <c r="CX197" s="731"/>
      <c r="CY197" s="731"/>
      <c r="CZ197" s="731"/>
      <c r="DA197" s="731"/>
      <c r="DB197" s="731"/>
      <c r="DC197" s="731"/>
      <c r="DD197" s="731"/>
      <c r="DE197" s="731"/>
    </row>
    <row r="198" spans="1:109" ht="22.5" x14ac:dyDescent="0.2">
      <c r="A198" s="172"/>
      <c r="B198" s="11" t="s">
        <v>77</v>
      </c>
      <c r="C198" s="220">
        <f t="shared" si="133"/>
        <v>-2835360</v>
      </c>
      <c r="D198" s="57" t="b">
        <f t="shared" si="131"/>
        <v>1</v>
      </c>
      <c r="E198" s="439">
        <f t="shared" si="129"/>
        <v>-2835360</v>
      </c>
      <c r="F198" s="437"/>
      <c r="G198" s="274"/>
      <c r="H198" s="274">
        <f t="shared" ref="H198:J198" si="134">$C$198/3</f>
        <v>-945120</v>
      </c>
      <c r="I198" s="274">
        <f t="shared" si="134"/>
        <v>-945120</v>
      </c>
      <c r="J198" s="274">
        <f t="shared" si="134"/>
        <v>-945120</v>
      </c>
      <c r="K198" s="274">
        <v>0</v>
      </c>
      <c r="L198" s="274">
        <v>0</v>
      </c>
      <c r="M198" s="274">
        <v>0</v>
      </c>
      <c r="N198" s="274">
        <v>0</v>
      </c>
      <c r="O198" s="274">
        <v>0</v>
      </c>
      <c r="P198" s="274">
        <v>0</v>
      </c>
      <c r="Q198" s="274">
        <v>0</v>
      </c>
      <c r="R198" s="274">
        <v>0</v>
      </c>
      <c r="S198" s="274">
        <v>0</v>
      </c>
      <c r="T198" s="274">
        <v>0</v>
      </c>
      <c r="U198" s="274">
        <v>0</v>
      </c>
      <c r="V198" s="274">
        <v>0</v>
      </c>
      <c r="W198" s="274">
        <v>0</v>
      </c>
      <c r="X198" s="274">
        <v>0</v>
      </c>
      <c r="Y198" s="274">
        <v>0</v>
      </c>
      <c r="Z198" s="274">
        <v>0</v>
      </c>
      <c r="AA198" s="274">
        <v>0</v>
      </c>
      <c r="AB198" s="274">
        <v>0</v>
      </c>
      <c r="AC198" s="276">
        <v>0</v>
      </c>
      <c r="AD198" s="176"/>
      <c r="CF198" s="735">
        <v>175</v>
      </c>
      <c r="CG198" s="736" t="s">
        <v>956</v>
      </c>
      <c r="CH198" s="743">
        <f>J76</f>
        <v>78265608</v>
      </c>
      <c r="CI198" s="736" t="s">
        <v>946</v>
      </c>
      <c r="CJ198" s="738" t="s">
        <v>957</v>
      </c>
      <c r="CK198" s="736" t="s">
        <v>571</v>
      </c>
      <c r="CL198" s="731"/>
      <c r="CM198" s="731"/>
      <c r="CN198" s="731"/>
      <c r="CO198" s="731"/>
      <c r="CP198" s="731"/>
      <c r="CQ198" s="731"/>
      <c r="CR198" s="731"/>
      <c r="CS198" s="731"/>
      <c r="CT198" s="731"/>
      <c r="CU198" s="731"/>
      <c r="CV198" s="731"/>
      <c r="CW198" s="731"/>
      <c r="CX198" s="731"/>
      <c r="CY198" s="731"/>
      <c r="CZ198" s="731"/>
      <c r="DA198" s="731"/>
      <c r="DB198" s="731"/>
      <c r="DC198" s="731"/>
      <c r="DD198" s="731"/>
      <c r="DE198" s="731"/>
    </row>
    <row r="199" spans="1:109" ht="22.5" x14ac:dyDescent="0.2">
      <c r="A199" s="172"/>
      <c r="B199" s="11" t="s">
        <v>78</v>
      </c>
      <c r="C199" s="220">
        <f t="shared" si="133"/>
        <v>-1330515.3360000001</v>
      </c>
      <c r="D199" s="57" t="b">
        <f t="shared" si="131"/>
        <v>1</v>
      </c>
      <c r="E199" s="439">
        <f>SUM(F199:AC199)</f>
        <v>-1330515.3360000004</v>
      </c>
      <c r="F199" s="273">
        <f t="shared" ref="F199:J199" si="135">(F196/$C$196)*$C$199</f>
        <v>0</v>
      </c>
      <c r="G199" s="273">
        <f t="shared" si="135"/>
        <v>0</v>
      </c>
      <c r="H199" s="273">
        <f t="shared" si="135"/>
        <v>0</v>
      </c>
      <c r="I199" s="273">
        <f t="shared" si="135"/>
        <v>0</v>
      </c>
      <c r="J199" s="273">
        <f t="shared" si="135"/>
        <v>0</v>
      </c>
      <c r="K199" s="273">
        <f>(K196/$C$196)*$C$199</f>
        <v>-93136.07352000002</v>
      </c>
      <c r="L199" s="273">
        <f t="shared" ref="L199:AB199" si="136">(L196/$C$196)*$C$199</f>
        <v>-93136.07352000002</v>
      </c>
      <c r="M199" s="273">
        <f t="shared" si="136"/>
        <v>-93136.07352000002</v>
      </c>
      <c r="N199" s="273">
        <f t="shared" si="136"/>
        <v>-172966.99368000001</v>
      </c>
      <c r="O199" s="273">
        <f t="shared" si="136"/>
        <v>-172966.99368000001</v>
      </c>
      <c r="P199" s="273">
        <f t="shared" si="136"/>
        <v>-172966.99368000001</v>
      </c>
      <c r="Q199" s="273">
        <f t="shared" si="136"/>
        <v>-159661.84031999999</v>
      </c>
      <c r="R199" s="273">
        <f t="shared" si="136"/>
        <v>-93136.07352000002</v>
      </c>
      <c r="S199" s="273">
        <f t="shared" si="136"/>
        <v>-93136.07352000002</v>
      </c>
      <c r="T199" s="273">
        <f t="shared" si="136"/>
        <v>-93136.07352000002</v>
      </c>
      <c r="U199" s="273">
        <f t="shared" si="136"/>
        <v>-93136.07352000002</v>
      </c>
      <c r="V199" s="273">
        <f t="shared" si="136"/>
        <v>0</v>
      </c>
      <c r="W199" s="273">
        <f t="shared" si="136"/>
        <v>0</v>
      </c>
      <c r="X199" s="273">
        <f t="shared" si="136"/>
        <v>0</v>
      </c>
      <c r="Y199" s="273">
        <f t="shared" si="136"/>
        <v>0</v>
      </c>
      <c r="Z199" s="273">
        <f t="shared" si="136"/>
        <v>0</v>
      </c>
      <c r="AA199" s="273">
        <f t="shared" si="136"/>
        <v>0</v>
      </c>
      <c r="AB199" s="273">
        <f t="shared" si="136"/>
        <v>0</v>
      </c>
      <c r="AC199" s="277">
        <f t="shared" ref="AC199" si="137">IF(AC200&lt;0,$C$199,0)</f>
        <v>0</v>
      </c>
      <c r="AD199" s="176"/>
      <c r="AH199"/>
      <c r="AI199"/>
      <c r="AJ199"/>
      <c r="AK199"/>
      <c r="AL199"/>
      <c r="AM199"/>
      <c r="AN199"/>
      <c r="CF199" s="739">
        <v>176</v>
      </c>
      <c r="CG199" s="740" t="s">
        <v>958</v>
      </c>
      <c r="CH199" s="751">
        <f>L76</f>
        <v>62</v>
      </c>
      <c r="CI199" s="740" t="s">
        <v>946</v>
      </c>
      <c r="CJ199" s="742" t="s">
        <v>959</v>
      </c>
      <c r="CK199" s="740" t="s">
        <v>701</v>
      </c>
      <c r="CL199" s="731"/>
      <c r="CM199" s="731"/>
      <c r="CN199" s="731"/>
      <c r="CO199" s="731"/>
      <c r="CP199" s="731"/>
      <c r="CQ199" s="731"/>
      <c r="CR199" s="731"/>
      <c r="CS199" s="731"/>
      <c r="CT199" s="731"/>
      <c r="CU199" s="731"/>
      <c r="CV199" s="731"/>
      <c r="CW199" s="731"/>
      <c r="CX199" s="731"/>
      <c r="CY199" s="731"/>
      <c r="CZ199" s="731"/>
      <c r="DA199" s="731"/>
      <c r="DB199" s="731"/>
      <c r="DC199" s="731"/>
      <c r="DD199" s="731"/>
      <c r="DE199" s="731"/>
    </row>
    <row r="200" spans="1:109" ht="22.5" x14ac:dyDescent="0.2">
      <c r="A200" s="172"/>
      <c r="B200" s="11" t="s">
        <v>170</v>
      </c>
      <c r="C200" s="220">
        <f t="shared" si="133"/>
        <v>-62830.559999999998</v>
      </c>
      <c r="D200" s="57" t="b">
        <f t="shared" si="131"/>
        <v>1</v>
      </c>
      <c r="E200" s="439">
        <f t="shared" si="129"/>
        <v>-62830.559999999998</v>
      </c>
      <c r="F200" s="455">
        <v>0</v>
      </c>
      <c r="G200" s="274">
        <v>0</v>
      </c>
      <c r="H200" s="274">
        <v>0</v>
      </c>
      <c r="I200" s="274">
        <v>0</v>
      </c>
      <c r="J200" s="274">
        <f>C200</f>
        <v>-62830.559999999998</v>
      </c>
      <c r="K200" s="274">
        <v>0</v>
      </c>
      <c r="L200" s="274">
        <v>0</v>
      </c>
      <c r="M200" s="274">
        <v>0</v>
      </c>
      <c r="N200" s="274">
        <v>0</v>
      </c>
      <c r="O200" s="274">
        <v>0</v>
      </c>
      <c r="P200" s="274">
        <v>0</v>
      </c>
      <c r="Q200" s="274">
        <v>0</v>
      </c>
      <c r="R200" s="274">
        <v>0</v>
      </c>
      <c r="S200" s="274">
        <v>0</v>
      </c>
      <c r="T200" s="274">
        <v>0</v>
      </c>
      <c r="U200" s="274">
        <v>0</v>
      </c>
      <c r="V200" s="274">
        <v>0</v>
      </c>
      <c r="W200" s="274">
        <v>0</v>
      </c>
      <c r="X200" s="274">
        <v>0</v>
      </c>
      <c r="Y200" s="274">
        <v>0</v>
      </c>
      <c r="Z200" s="274">
        <v>0</v>
      </c>
      <c r="AA200" s="274">
        <v>0</v>
      </c>
      <c r="AB200" s="274">
        <v>0</v>
      </c>
      <c r="AC200" s="276">
        <v>0</v>
      </c>
      <c r="AD200" s="176"/>
      <c r="AG200"/>
      <c r="AH200"/>
      <c r="AI200"/>
      <c r="AJ200"/>
      <c r="AK200"/>
      <c r="AL200"/>
      <c r="AM200"/>
      <c r="AN200"/>
      <c r="AO200" s="336"/>
      <c r="CF200" s="735">
        <v>177</v>
      </c>
      <c r="CG200" s="736" t="s">
        <v>960</v>
      </c>
      <c r="CH200" s="750">
        <f>L77</f>
        <v>175.02222222222221</v>
      </c>
      <c r="CI200" s="736" t="s">
        <v>946</v>
      </c>
      <c r="CJ200" s="738" t="s">
        <v>961</v>
      </c>
      <c r="CK200" s="736" t="s">
        <v>701</v>
      </c>
      <c r="CL200" s="731"/>
      <c r="CM200" s="731"/>
      <c r="CN200" s="731"/>
      <c r="CO200" s="731"/>
      <c r="CP200" s="731"/>
      <c r="CQ200" s="731"/>
      <c r="CR200" s="731"/>
      <c r="CS200" s="731"/>
      <c r="CT200" s="731"/>
      <c r="CU200" s="731"/>
      <c r="CV200" s="731"/>
      <c r="CW200" s="731"/>
      <c r="CX200" s="731"/>
      <c r="CY200" s="731"/>
      <c r="CZ200" s="731"/>
      <c r="DA200" s="731"/>
      <c r="DB200" s="731"/>
      <c r="DC200" s="731"/>
      <c r="DD200" s="731"/>
      <c r="DE200" s="731"/>
    </row>
    <row r="201" spans="1:109" ht="22.5" x14ac:dyDescent="0.2">
      <c r="A201" s="172"/>
      <c r="B201" s="11" t="s">
        <v>171</v>
      </c>
      <c r="C201" s="220">
        <f t="shared" si="133"/>
        <v>-3913280.4000000004</v>
      </c>
      <c r="D201" s="57" t="b">
        <f t="shared" si="131"/>
        <v>1</v>
      </c>
      <c r="E201" s="439">
        <f t="shared" si="129"/>
        <v>-3913280.4</v>
      </c>
      <c r="F201" s="455">
        <f>$C$201/6</f>
        <v>-652213.4</v>
      </c>
      <c r="G201" s="273">
        <f t="shared" ref="G201:K201" si="138">$C$201/6</f>
        <v>-652213.4</v>
      </c>
      <c r="H201" s="273">
        <f t="shared" si="138"/>
        <v>-652213.4</v>
      </c>
      <c r="I201" s="273">
        <f t="shared" si="138"/>
        <v>-652213.4</v>
      </c>
      <c r="J201" s="273">
        <f t="shared" si="138"/>
        <v>-652213.4</v>
      </c>
      <c r="K201" s="273">
        <f t="shared" si="138"/>
        <v>-652213.4</v>
      </c>
      <c r="L201" s="273">
        <v>0</v>
      </c>
      <c r="M201" s="273">
        <v>0</v>
      </c>
      <c r="N201" s="273">
        <v>0</v>
      </c>
      <c r="O201" s="273">
        <v>0</v>
      </c>
      <c r="P201" s="273">
        <v>0</v>
      </c>
      <c r="Q201" s="273">
        <v>0</v>
      </c>
      <c r="R201" s="273">
        <v>0</v>
      </c>
      <c r="S201" s="273">
        <v>0</v>
      </c>
      <c r="T201" s="273">
        <v>0</v>
      </c>
      <c r="U201" s="273">
        <v>0</v>
      </c>
      <c r="V201" s="273">
        <v>0</v>
      </c>
      <c r="W201" s="273">
        <v>0</v>
      </c>
      <c r="X201" s="273">
        <v>0</v>
      </c>
      <c r="Y201" s="273">
        <v>0</v>
      </c>
      <c r="Z201" s="273">
        <v>0</v>
      </c>
      <c r="AA201" s="273">
        <v>0</v>
      </c>
      <c r="AB201" s="273">
        <v>0</v>
      </c>
      <c r="AC201" s="277">
        <v>0</v>
      </c>
      <c r="AD201" s="176"/>
      <c r="AG201"/>
      <c r="AH201"/>
      <c r="AI201"/>
      <c r="AJ201"/>
      <c r="AK201"/>
      <c r="AL201"/>
      <c r="AM201"/>
      <c r="AN201"/>
      <c r="AO201" s="336"/>
      <c r="CF201" s="739">
        <v>178</v>
      </c>
      <c r="CG201" s="740" t="s">
        <v>962</v>
      </c>
      <c r="CH201" s="751">
        <f>L78</f>
        <v>113.02222222222221</v>
      </c>
      <c r="CI201" s="740" t="s">
        <v>946</v>
      </c>
      <c r="CJ201" s="742" t="s">
        <v>963</v>
      </c>
      <c r="CK201" s="740" t="s">
        <v>701</v>
      </c>
      <c r="CL201" s="731"/>
      <c r="CM201" s="731"/>
      <c r="CN201" s="731"/>
      <c r="CO201" s="731"/>
      <c r="CP201" s="731"/>
      <c r="CQ201" s="731"/>
      <c r="CR201" s="731"/>
      <c r="CS201" s="731"/>
      <c r="CT201" s="731"/>
      <c r="CU201" s="731"/>
      <c r="CV201" s="731"/>
      <c r="CW201" s="731"/>
      <c r="CX201" s="731"/>
      <c r="CY201" s="731"/>
      <c r="CZ201" s="731"/>
      <c r="DA201" s="731"/>
      <c r="DB201" s="731"/>
      <c r="DC201" s="731"/>
      <c r="DD201" s="731"/>
      <c r="DE201" s="731"/>
    </row>
    <row r="202" spans="1:109" ht="22.5" x14ac:dyDescent="0.2">
      <c r="A202" s="172"/>
      <c r="B202" s="11" t="s">
        <v>172</v>
      </c>
      <c r="C202" s="220">
        <f t="shared" si="133"/>
        <v>-6149999.9999999991</v>
      </c>
      <c r="D202" s="57" t="b">
        <f t="shared" si="131"/>
        <v>1</v>
      </c>
      <c r="E202" s="439">
        <f t="shared" si="129"/>
        <v>-6149999.9999999991</v>
      </c>
      <c r="F202" s="455">
        <v>0</v>
      </c>
      <c r="G202" s="274">
        <v>0</v>
      </c>
      <c r="H202" s="274">
        <v>0</v>
      </c>
      <c r="I202" s="274">
        <v>0</v>
      </c>
      <c r="J202" s="274">
        <v>0</v>
      </c>
      <c r="K202" s="274">
        <v>0</v>
      </c>
      <c r="L202" s="274">
        <v>0</v>
      </c>
      <c r="M202" s="274">
        <v>0</v>
      </c>
      <c r="N202" s="274">
        <v>0</v>
      </c>
      <c r="O202" s="274">
        <v>0</v>
      </c>
      <c r="P202" s="274">
        <v>0</v>
      </c>
      <c r="Q202" s="274">
        <v>0</v>
      </c>
      <c r="R202" s="274">
        <v>0</v>
      </c>
      <c r="S202" s="274">
        <v>0</v>
      </c>
      <c r="T202" s="274">
        <v>0</v>
      </c>
      <c r="U202" s="274">
        <v>0</v>
      </c>
      <c r="V202" s="274">
        <f>$C$202/2</f>
        <v>-3074999.9999999995</v>
      </c>
      <c r="W202" s="274">
        <f>$C$202/2</f>
        <v>-3074999.9999999995</v>
      </c>
      <c r="X202" s="274">
        <v>0</v>
      </c>
      <c r="Y202" s="274">
        <v>0</v>
      </c>
      <c r="Z202" s="274">
        <v>0</v>
      </c>
      <c r="AA202" s="274">
        <v>0</v>
      </c>
      <c r="AB202" s="274">
        <v>0</v>
      </c>
      <c r="AC202" s="276">
        <v>0</v>
      </c>
      <c r="AD202" s="176"/>
      <c r="AG202"/>
      <c r="AH202"/>
      <c r="AI202"/>
      <c r="AJ202"/>
      <c r="AK202"/>
      <c r="AL202"/>
      <c r="AM202"/>
      <c r="AN202"/>
      <c r="AO202" s="336"/>
      <c r="CF202" s="734" t="s">
        <v>964</v>
      </c>
      <c r="CG202" s="734"/>
      <c r="CH202" s="734"/>
      <c r="CI202" s="734"/>
      <c r="CJ202" s="734"/>
      <c r="CK202" s="734"/>
      <c r="CL202" s="731"/>
      <c r="CM202" s="731"/>
      <c r="CN202" s="731"/>
      <c r="CO202" s="731"/>
      <c r="CP202" s="731"/>
      <c r="CQ202" s="731"/>
      <c r="CR202" s="731"/>
      <c r="CS202" s="731"/>
      <c r="CT202" s="731"/>
      <c r="CU202" s="731"/>
      <c r="CV202" s="731"/>
      <c r="CW202" s="731"/>
      <c r="CX202" s="731"/>
      <c r="CY202" s="731"/>
      <c r="CZ202" s="731"/>
      <c r="DA202" s="731"/>
      <c r="DB202" s="731"/>
      <c r="DC202" s="731"/>
      <c r="DD202" s="731"/>
      <c r="DE202" s="731"/>
    </row>
    <row r="203" spans="1:109" ht="22.5" x14ac:dyDescent="0.2">
      <c r="A203" s="172"/>
      <c r="B203" s="11" t="s">
        <v>173</v>
      </c>
      <c r="C203" s="220">
        <f t="shared" si="133"/>
        <v>0</v>
      </c>
      <c r="D203" s="57" t="b">
        <f t="shared" si="131"/>
        <v>1</v>
      </c>
      <c r="E203" s="439">
        <f t="shared" si="129"/>
        <v>0</v>
      </c>
      <c r="F203" s="455">
        <v>0</v>
      </c>
      <c r="G203" s="273">
        <v>0</v>
      </c>
      <c r="H203" s="273">
        <v>0</v>
      </c>
      <c r="I203" s="273">
        <v>0</v>
      </c>
      <c r="J203" s="273">
        <v>0</v>
      </c>
      <c r="K203" s="273">
        <v>0</v>
      </c>
      <c r="L203" s="273">
        <v>0</v>
      </c>
      <c r="M203" s="273">
        <v>0</v>
      </c>
      <c r="N203" s="273">
        <v>0</v>
      </c>
      <c r="O203" s="273">
        <v>0</v>
      </c>
      <c r="P203" s="273">
        <v>0</v>
      </c>
      <c r="Q203" s="273">
        <v>0</v>
      </c>
      <c r="R203" s="273">
        <v>0</v>
      </c>
      <c r="S203" s="273">
        <v>0</v>
      </c>
      <c r="T203" s="273">
        <v>0</v>
      </c>
      <c r="U203" s="273">
        <v>0</v>
      </c>
      <c r="V203" s="273">
        <v>0</v>
      </c>
      <c r="W203" s="273">
        <v>0</v>
      </c>
      <c r="X203" s="273">
        <v>0</v>
      </c>
      <c r="Y203" s="273">
        <v>0</v>
      </c>
      <c r="Z203" s="273">
        <v>0</v>
      </c>
      <c r="AA203" s="273">
        <v>0</v>
      </c>
      <c r="AB203" s="273">
        <v>0</v>
      </c>
      <c r="AC203" s="277">
        <v>0</v>
      </c>
      <c r="AD203" s="176"/>
      <c r="AG203"/>
      <c r="AH203"/>
      <c r="AI203"/>
      <c r="AJ203"/>
      <c r="AK203"/>
      <c r="AL203"/>
      <c r="AM203"/>
      <c r="AN203"/>
      <c r="AO203" s="336"/>
      <c r="CF203" s="735">
        <v>179</v>
      </c>
      <c r="CG203" s="736" t="s">
        <v>521</v>
      </c>
      <c r="CH203" s="743">
        <f t="shared" ref="CH203:CH219" si="139">C86</f>
        <v>534040</v>
      </c>
      <c r="CI203" s="736" t="s">
        <v>965</v>
      </c>
      <c r="CJ203" s="738" t="s">
        <v>966</v>
      </c>
      <c r="CK203" s="736" t="s">
        <v>571</v>
      </c>
      <c r="CL203" s="731"/>
      <c r="CM203" s="731"/>
      <c r="CN203" s="731"/>
      <c r="CO203" s="731"/>
      <c r="CP203" s="731"/>
      <c r="CQ203" s="731"/>
      <c r="CR203" s="731"/>
      <c r="CS203" s="731"/>
      <c r="CT203" s="731"/>
      <c r="CU203" s="731"/>
      <c r="CV203" s="731"/>
      <c r="CW203" s="731"/>
      <c r="CX203" s="731"/>
      <c r="CY203" s="731"/>
      <c r="CZ203" s="731"/>
      <c r="DA203" s="731"/>
      <c r="DB203" s="731"/>
      <c r="DC203" s="731"/>
      <c r="DD203" s="731"/>
      <c r="DE203" s="731"/>
    </row>
    <row r="204" spans="1:109" ht="22.5" x14ac:dyDescent="0.2">
      <c r="A204" s="172"/>
      <c r="B204" s="11" t="s">
        <v>174</v>
      </c>
      <c r="C204" s="220">
        <f t="shared" si="133"/>
        <v>-912500</v>
      </c>
      <c r="D204" s="57" t="b">
        <f t="shared" si="131"/>
        <v>1</v>
      </c>
      <c r="E204" s="439">
        <f t="shared" si="129"/>
        <v>-912500</v>
      </c>
      <c r="F204" s="455">
        <v>0</v>
      </c>
      <c r="G204" s="274">
        <v>0</v>
      </c>
      <c r="H204" s="274">
        <v>0</v>
      </c>
      <c r="I204" s="274">
        <v>0</v>
      </c>
      <c r="J204" s="274">
        <v>0</v>
      </c>
      <c r="K204" s="274">
        <v>0</v>
      </c>
      <c r="L204" s="274">
        <v>0</v>
      </c>
      <c r="M204" s="274">
        <v>0</v>
      </c>
      <c r="N204" s="274">
        <v>0</v>
      </c>
      <c r="O204" s="274">
        <v>0</v>
      </c>
      <c r="P204" s="274">
        <v>0</v>
      </c>
      <c r="Q204" s="274">
        <v>0</v>
      </c>
      <c r="R204" s="274">
        <v>0</v>
      </c>
      <c r="S204" s="274">
        <v>0</v>
      </c>
      <c r="T204" s="274">
        <v>0</v>
      </c>
      <c r="U204" s="274">
        <f>C204</f>
        <v>-912500</v>
      </c>
      <c r="V204" s="274">
        <v>0</v>
      </c>
      <c r="W204" s="274">
        <v>0</v>
      </c>
      <c r="X204" s="274">
        <v>0</v>
      </c>
      <c r="Y204" s="274">
        <v>0</v>
      </c>
      <c r="Z204" s="274">
        <v>0</v>
      </c>
      <c r="AA204" s="274">
        <v>0</v>
      </c>
      <c r="AB204" s="274">
        <v>0</v>
      </c>
      <c r="AC204" s="276">
        <v>0</v>
      </c>
      <c r="AD204" s="176"/>
      <c r="AG204"/>
      <c r="AH204"/>
      <c r="AI204"/>
      <c r="AJ204"/>
      <c r="AK204"/>
      <c r="AL204"/>
      <c r="AM204"/>
      <c r="AN204"/>
      <c r="AO204" s="336"/>
      <c r="CF204" s="739">
        <v>180</v>
      </c>
      <c r="CG204" s="740" t="s">
        <v>522</v>
      </c>
      <c r="CH204" s="744">
        <f t="shared" si="139"/>
        <v>2835360</v>
      </c>
      <c r="CI204" s="740" t="s">
        <v>965</v>
      </c>
      <c r="CJ204" s="742" t="s">
        <v>967</v>
      </c>
      <c r="CK204" s="740" t="s">
        <v>571</v>
      </c>
      <c r="CL204" s="731"/>
      <c r="CM204" s="731"/>
      <c r="CN204" s="731"/>
      <c r="CO204" s="731"/>
      <c r="CP204" s="731"/>
      <c r="CQ204" s="731"/>
      <c r="CR204" s="731"/>
      <c r="CS204" s="731"/>
      <c r="CT204" s="731"/>
      <c r="CU204" s="731"/>
      <c r="CV204" s="731"/>
      <c r="CW204" s="731"/>
      <c r="CX204" s="731"/>
      <c r="CY204" s="731"/>
      <c r="CZ204" s="731"/>
      <c r="DA204" s="731"/>
      <c r="DB204" s="731"/>
      <c r="DC204" s="731"/>
      <c r="DD204" s="731"/>
      <c r="DE204" s="731"/>
    </row>
    <row r="205" spans="1:109" ht="22.5" x14ac:dyDescent="0.2">
      <c r="A205" s="172"/>
      <c r="B205" s="11" t="s">
        <v>84</v>
      </c>
      <c r="C205" s="220">
        <f t="shared" si="133"/>
        <v>-984000</v>
      </c>
      <c r="D205" s="57" t="b">
        <f t="shared" si="131"/>
        <v>1</v>
      </c>
      <c r="E205" s="439">
        <f t="shared" si="129"/>
        <v>-984000</v>
      </c>
      <c r="F205" s="455">
        <v>0</v>
      </c>
      <c r="G205" s="273">
        <v>0</v>
      </c>
      <c r="H205" s="273">
        <v>0</v>
      </c>
      <c r="I205" s="273">
        <v>0</v>
      </c>
      <c r="J205" s="273">
        <v>0</v>
      </c>
      <c r="K205" s="273">
        <v>0</v>
      </c>
      <c r="L205" s="273">
        <v>0</v>
      </c>
      <c r="M205" s="273">
        <v>0</v>
      </c>
      <c r="N205" s="273">
        <v>0</v>
      </c>
      <c r="O205" s="273">
        <v>0</v>
      </c>
      <c r="P205" s="273">
        <v>0</v>
      </c>
      <c r="Q205" s="273">
        <v>0</v>
      </c>
      <c r="R205" s="273">
        <v>0</v>
      </c>
      <c r="S205" s="273">
        <v>0</v>
      </c>
      <c r="T205" s="273">
        <v>0</v>
      </c>
      <c r="U205" s="273">
        <f t="shared" ref="U205:U206" si="140">C205</f>
        <v>-984000</v>
      </c>
      <c r="V205" s="273">
        <v>0</v>
      </c>
      <c r="W205" s="273">
        <v>0</v>
      </c>
      <c r="X205" s="273">
        <v>0</v>
      </c>
      <c r="Y205" s="273">
        <v>0</v>
      </c>
      <c r="Z205" s="273">
        <v>0</v>
      </c>
      <c r="AA205" s="273">
        <v>0</v>
      </c>
      <c r="AB205" s="273">
        <v>0</v>
      </c>
      <c r="AC205" s="277">
        <v>0</v>
      </c>
      <c r="AD205" s="176"/>
      <c r="AG205"/>
      <c r="AH205"/>
      <c r="AI205"/>
      <c r="AJ205"/>
      <c r="AK205"/>
      <c r="AL205"/>
      <c r="AM205"/>
      <c r="AN205"/>
      <c r="AO205" s="336"/>
      <c r="CF205" s="735">
        <v>181</v>
      </c>
      <c r="CG205" s="736" t="s">
        <v>523</v>
      </c>
      <c r="CH205" s="743">
        <f t="shared" si="139"/>
        <v>1330515.3360000001</v>
      </c>
      <c r="CI205" s="736" t="s">
        <v>965</v>
      </c>
      <c r="CJ205" s="738" t="s">
        <v>968</v>
      </c>
      <c r="CK205" s="736" t="s">
        <v>571</v>
      </c>
      <c r="CL205" s="731"/>
      <c r="CM205" s="731"/>
      <c r="CN205" s="731"/>
      <c r="CO205" s="731"/>
      <c r="CP205" s="731"/>
      <c r="CQ205" s="731"/>
      <c r="CR205" s="731"/>
      <c r="CS205" s="731"/>
      <c r="CT205" s="731"/>
      <c r="CU205" s="731"/>
      <c r="CV205" s="731"/>
      <c r="CW205" s="731"/>
      <c r="CX205" s="731"/>
      <c r="CY205" s="731"/>
      <c r="CZ205" s="731"/>
      <c r="DA205" s="731"/>
      <c r="DB205" s="731"/>
      <c r="DC205" s="731"/>
      <c r="DD205" s="731"/>
      <c r="DE205" s="731"/>
    </row>
    <row r="206" spans="1:109" ht="22.5" x14ac:dyDescent="0.2">
      <c r="A206" s="172"/>
      <c r="B206" s="11" t="s">
        <v>85</v>
      </c>
      <c r="C206" s="220">
        <f t="shared" si="133"/>
        <v>-18000</v>
      </c>
      <c r="D206" s="57" t="b">
        <f t="shared" si="131"/>
        <v>1</v>
      </c>
      <c r="E206" s="439">
        <f t="shared" si="129"/>
        <v>-18000</v>
      </c>
      <c r="F206" s="455">
        <v>0</v>
      </c>
      <c r="G206" s="274">
        <v>0</v>
      </c>
      <c r="H206" s="274">
        <v>0</v>
      </c>
      <c r="I206" s="274">
        <v>0</v>
      </c>
      <c r="J206" s="274">
        <v>0</v>
      </c>
      <c r="K206" s="274">
        <v>0</v>
      </c>
      <c r="L206" s="274">
        <v>0</v>
      </c>
      <c r="M206" s="274">
        <v>0</v>
      </c>
      <c r="N206" s="274">
        <v>0</v>
      </c>
      <c r="O206" s="274">
        <v>0</v>
      </c>
      <c r="P206" s="274">
        <v>0</v>
      </c>
      <c r="Q206" s="274">
        <v>0</v>
      </c>
      <c r="R206" s="274">
        <v>0</v>
      </c>
      <c r="S206" s="274">
        <v>0</v>
      </c>
      <c r="T206" s="274">
        <v>0</v>
      </c>
      <c r="U206" s="274">
        <f t="shared" si="140"/>
        <v>-18000</v>
      </c>
      <c r="V206" s="274">
        <v>0</v>
      </c>
      <c r="W206" s="274">
        <v>0</v>
      </c>
      <c r="X206" s="274">
        <v>0</v>
      </c>
      <c r="Y206" s="274">
        <v>0</v>
      </c>
      <c r="Z206" s="274">
        <v>0</v>
      </c>
      <c r="AA206" s="274">
        <v>0</v>
      </c>
      <c r="AB206" s="274">
        <v>0</v>
      </c>
      <c r="AC206" s="276">
        <v>0</v>
      </c>
      <c r="AD206" s="176"/>
      <c r="AG206"/>
      <c r="AH206"/>
      <c r="AI206"/>
      <c r="AJ206"/>
      <c r="AK206"/>
      <c r="AL206"/>
      <c r="AM206"/>
      <c r="AN206"/>
      <c r="AO206" s="336"/>
      <c r="CF206" s="739">
        <v>182</v>
      </c>
      <c r="CG206" s="740" t="s">
        <v>524</v>
      </c>
      <c r="CH206" s="744">
        <f t="shared" si="139"/>
        <v>62830.559999999998</v>
      </c>
      <c r="CI206" s="740" t="s">
        <v>965</v>
      </c>
      <c r="CJ206" s="742" t="s">
        <v>969</v>
      </c>
      <c r="CK206" s="740" t="s">
        <v>571</v>
      </c>
      <c r="CL206" s="731"/>
      <c r="CM206" s="731"/>
      <c r="CN206" s="731"/>
      <c r="CO206" s="731"/>
      <c r="CP206" s="731"/>
      <c r="CQ206" s="731"/>
      <c r="CR206" s="731"/>
      <c r="CS206" s="731"/>
      <c r="CT206" s="731"/>
      <c r="CU206" s="731"/>
      <c r="CV206" s="731"/>
      <c r="CW206" s="731"/>
      <c r="CX206" s="731"/>
      <c r="CY206" s="731"/>
      <c r="CZ206" s="731"/>
      <c r="DA206" s="731"/>
      <c r="DB206" s="731"/>
      <c r="DC206" s="731"/>
      <c r="DD206" s="731"/>
      <c r="DE206" s="731"/>
    </row>
    <row r="207" spans="1:109" ht="22.5" x14ac:dyDescent="0.2">
      <c r="A207" s="172"/>
      <c r="B207" s="11" t="s">
        <v>86</v>
      </c>
      <c r="C207" s="220">
        <f t="shared" si="133"/>
        <v>-299000</v>
      </c>
      <c r="D207" s="57" t="b">
        <f t="shared" si="131"/>
        <v>1</v>
      </c>
      <c r="E207" s="439">
        <f t="shared" si="129"/>
        <v>-299000</v>
      </c>
      <c r="F207" s="455">
        <v>0</v>
      </c>
      <c r="G207" s="273">
        <v>0</v>
      </c>
      <c r="H207" s="273">
        <v>0</v>
      </c>
      <c r="I207" s="273">
        <v>0</v>
      </c>
      <c r="J207" s="273">
        <v>0</v>
      </c>
      <c r="K207" s="273">
        <v>0</v>
      </c>
      <c r="L207" s="273">
        <v>0</v>
      </c>
      <c r="M207" s="273">
        <v>0</v>
      </c>
      <c r="N207" s="273">
        <v>0</v>
      </c>
      <c r="O207" s="273">
        <v>0</v>
      </c>
      <c r="P207" s="273">
        <v>0</v>
      </c>
      <c r="Q207" s="273">
        <v>0</v>
      </c>
      <c r="R207" s="273">
        <v>0</v>
      </c>
      <c r="S207" s="273">
        <v>0</v>
      </c>
      <c r="T207" s="273">
        <v>0</v>
      </c>
      <c r="U207" s="273">
        <f>$C$207/4</f>
        <v>-74750</v>
      </c>
      <c r="V207" s="273">
        <f t="shared" ref="V207:X207" si="141">$C$207/4</f>
        <v>-74750</v>
      </c>
      <c r="W207" s="273">
        <f t="shared" si="141"/>
        <v>-74750</v>
      </c>
      <c r="X207" s="273">
        <f t="shared" si="141"/>
        <v>-74750</v>
      </c>
      <c r="Y207" s="273">
        <v>0</v>
      </c>
      <c r="Z207" s="273">
        <v>0</v>
      </c>
      <c r="AA207" s="273">
        <v>0</v>
      </c>
      <c r="AB207" s="273">
        <v>0</v>
      </c>
      <c r="AC207" s="277">
        <v>0</v>
      </c>
      <c r="AD207" s="176"/>
      <c r="AG207"/>
      <c r="AH207"/>
      <c r="AI207"/>
      <c r="AJ207"/>
      <c r="AK207"/>
      <c r="AL207"/>
      <c r="AM207"/>
      <c r="AN207"/>
      <c r="AO207" s="336"/>
      <c r="CF207" s="735">
        <v>183</v>
      </c>
      <c r="CG207" s="736" t="s">
        <v>525</v>
      </c>
      <c r="CH207" s="743">
        <f t="shared" si="139"/>
        <v>3913280.4000000004</v>
      </c>
      <c r="CI207" s="736" t="s">
        <v>965</v>
      </c>
      <c r="CJ207" s="738" t="s">
        <v>970</v>
      </c>
      <c r="CK207" s="736" t="s">
        <v>571</v>
      </c>
      <c r="CL207" s="731"/>
      <c r="CM207" s="731"/>
      <c r="CN207" s="731"/>
      <c r="CO207" s="731"/>
      <c r="CP207" s="731"/>
      <c r="CQ207" s="731"/>
      <c r="CR207" s="731"/>
      <c r="CS207" s="731"/>
      <c r="CT207" s="731"/>
      <c r="CU207" s="731"/>
      <c r="CV207" s="731"/>
      <c r="CW207" s="731"/>
      <c r="CX207" s="731"/>
      <c r="CY207" s="731"/>
      <c r="CZ207" s="731"/>
      <c r="DA207" s="731"/>
      <c r="DB207" s="731"/>
      <c r="DC207" s="731"/>
      <c r="DD207" s="731"/>
      <c r="DE207" s="731"/>
    </row>
    <row r="208" spans="1:109" ht="22.5" x14ac:dyDescent="0.2">
      <c r="A208" s="172"/>
      <c r="B208" s="11" t="s">
        <v>87</v>
      </c>
      <c r="C208" s="220">
        <f t="shared" si="133"/>
        <v>-1173984.1199999999</v>
      </c>
      <c r="D208" s="57" t="b">
        <f t="shared" si="131"/>
        <v>1</v>
      </c>
      <c r="E208" s="439">
        <f t="shared" si="129"/>
        <v>-1173984.1199999999</v>
      </c>
      <c r="F208" s="455">
        <v>0</v>
      </c>
      <c r="G208" s="274">
        <v>0</v>
      </c>
      <c r="H208" s="274">
        <v>0</v>
      </c>
      <c r="I208" s="274">
        <v>0</v>
      </c>
      <c r="J208" s="274">
        <v>0</v>
      </c>
      <c r="K208" s="274">
        <f>$C$208/10</f>
        <v>-117398.41199999998</v>
      </c>
      <c r="L208" s="274">
        <f t="shared" ref="L208:T208" si="142">$C$208/10</f>
        <v>-117398.41199999998</v>
      </c>
      <c r="M208" s="274">
        <f t="shared" si="142"/>
        <v>-117398.41199999998</v>
      </c>
      <c r="N208" s="274">
        <f t="shared" si="142"/>
        <v>-117398.41199999998</v>
      </c>
      <c r="O208" s="274">
        <f t="shared" si="142"/>
        <v>-117398.41199999998</v>
      </c>
      <c r="P208" s="274">
        <f t="shared" si="142"/>
        <v>-117398.41199999998</v>
      </c>
      <c r="Q208" s="274">
        <f t="shared" si="142"/>
        <v>-117398.41199999998</v>
      </c>
      <c r="R208" s="274">
        <f t="shared" si="142"/>
        <v>-117398.41199999998</v>
      </c>
      <c r="S208" s="274">
        <f t="shared" si="142"/>
        <v>-117398.41199999998</v>
      </c>
      <c r="T208" s="274">
        <f t="shared" si="142"/>
        <v>-117398.41199999998</v>
      </c>
      <c r="U208" s="274"/>
      <c r="V208" s="274">
        <v>0</v>
      </c>
      <c r="W208" s="274">
        <v>0</v>
      </c>
      <c r="X208" s="274">
        <v>0</v>
      </c>
      <c r="Y208" s="274">
        <v>0</v>
      </c>
      <c r="Z208" s="274">
        <v>0</v>
      </c>
      <c r="AA208" s="274">
        <v>0</v>
      </c>
      <c r="AB208" s="274">
        <v>0</v>
      </c>
      <c r="AC208" s="276">
        <v>0</v>
      </c>
      <c r="AD208" s="176"/>
      <c r="AG208"/>
      <c r="AH208"/>
      <c r="AI208"/>
      <c r="AJ208"/>
      <c r="AK208"/>
      <c r="AL208"/>
      <c r="AM208"/>
      <c r="AN208"/>
      <c r="AO208" s="336"/>
      <c r="CF208" s="739">
        <v>184</v>
      </c>
      <c r="CG208" s="740" t="s">
        <v>526</v>
      </c>
      <c r="CH208" s="744">
        <f t="shared" si="139"/>
        <v>6149999.9999999991</v>
      </c>
      <c r="CI208" s="740" t="s">
        <v>965</v>
      </c>
      <c r="CJ208" s="742" t="s">
        <v>971</v>
      </c>
      <c r="CK208" s="740" t="s">
        <v>571</v>
      </c>
      <c r="CL208" s="731"/>
      <c r="CM208" s="731"/>
      <c r="CN208" s="731"/>
      <c r="CO208" s="731"/>
      <c r="CP208" s="731"/>
      <c r="CQ208" s="731"/>
      <c r="CR208" s="731"/>
      <c r="CS208" s="731"/>
      <c r="CT208" s="731"/>
      <c r="CU208" s="731"/>
      <c r="CV208" s="731"/>
      <c r="CW208" s="731"/>
      <c r="CX208" s="731"/>
      <c r="CY208" s="731"/>
      <c r="CZ208" s="731"/>
      <c r="DA208" s="731"/>
      <c r="DB208" s="731"/>
      <c r="DC208" s="731"/>
      <c r="DD208" s="731"/>
      <c r="DE208" s="731"/>
    </row>
    <row r="209" spans="1:109" ht="22.5" x14ac:dyDescent="0.2">
      <c r="A209" s="172"/>
      <c r="B209" s="11" t="s">
        <v>425</v>
      </c>
      <c r="C209" s="220">
        <f t="shared" si="133"/>
        <v>-46954.910520000005</v>
      </c>
      <c r="D209" s="57" t="b">
        <f t="shared" si="131"/>
        <v>1</v>
      </c>
      <c r="E209" s="439">
        <f t="shared" si="129"/>
        <v>-46954.910520000005</v>
      </c>
      <c r="F209" s="455">
        <v>0</v>
      </c>
      <c r="G209" s="273">
        <v>0</v>
      </c>
      <c r="H209" s="273">
        <v>0</v>
      </c>
      <c r="I209" s="273">
        <v>0</v>
      </c>
      <c r="J209" s="273">
        <v>0</v>
      </c>
      <c r="K209" s="273">
        <v>0</v>
      </c>
      <c r="L209" s="273">
        <v>0</v>
      </c>
      <c r="M209" s="273">
        <v>0</v>
      </c>
      <c r="N209" s="273">
        <v>0</v>
      </c>
      <c r="O209" s="273">
        <v>0</v>
      </c>
      <c r="P209" s="273">
        <v>0</v>
      </c>
      <c r="Q209" s="273">
        <v>0</v>
      </c>
      <c r="R209" s="273">
        <v>0</v>
      </c>
      <c r="S209" s="273">
        <v>0</v>
      </c>
      <c r="T209" s="273">
        <f>$C$209/4</f>
        <v>-11738.727630000001</v>
      </c>
      <c r="U209" s="273">
        <f t="shared" ref="U209:W209" si="143">$C$209/4</f>
        <v>-11738.727630000001</v>
      </c>
      <c r="V209" s="273">
        <f t="shared" si="143"/>
        <v>-11738.727630000001</v>
      </c>
      <c r="W209" s="273">
        <f t="shared" si="143"/>
        <v>-11738.727630000001</v>
      </c>
      <c r="X209" s="273">
        <v>0</v>
      </c>
      <c r="Y209" s="273">
        <v>0</v>
      </c>
      <c r="Z209" s="273">
        <v>0</v>
      </c>
      <c r="AA209" s="273">
        <v>0</v>
      </c>
      <c r="AB209" s="273">
        <v>0</v>
      </c>
      <c r="AC209" s="277">
        <v>0</v>
      </c>
      <c r="AD209" s="176"/>
      <c r="AG209"/>
      <c r="AH209"/>
      <c r="AI209"/>
      <c r="AJ209"/>
      <c r="AK209"/>
      <c r="AL209"/>
      <c r="AM209"/>
      <c r="AN209"/>
      <c r="AO209" s="336"/>
      <c r="CF209" s="735">
        <v>185</v>
      </c>
      <c r="CG209" s="736" t="s">
        <v>527</v>
      </c>
      <c r="CH209" s="743">
        <f t="shared" si="139"/>
        <v>0</v>
      </c>
      <c r="CI209" s="736" t="s">
        <v>965</v>
      </c>
      <c r="CJ209" s="738" t="s">
        <v>972</v>
      </c>
      <c r="CK209" s="736" t="s">
        <v>571</v>
      </c>
      <c r="CL209" s="731"/>
      <c r="CM209" s="731"/>
      <c r="CN209" s="731"/>
      <c r="CO209" s="731"/>
      <c r="CP209" s="731"/>
      <c r="CQ209" s="731"/>
      <c r="CR209" s="731"/>
      <c r="CS209" s="731"/>
      <c r="CT209" s="731"/>
      <c r="CU209" s="731"/>
      <c r="CV209" s="731"/>
      <c r="CW209" s="731"/>
      <c r="CX209" s="731"/>
      <c r="CY209" s="731"/>
      <c r="CZ209" s="731"/>
      <c r="DA209" s="731"/>
      <c r="DB209" s="731"/>
      <c r="DC209" s="731"/>
      <c r="DD209" s="731"/>
      <c r="DE209" s="731"/>
    </row>
    <row r="210" spans="1:109" ht="22.5" x14ac:dyDescent="0.2">
      <c r="A210" s="172"/>
      <c r="B210" s="11" t="s">
        <v>426</v>
      </c>
      <c r="C210" s="220">
        <f t="shared" si="133"/>
        <v>-952952.44319999998</v>
      </c>
      <c r="D210" s="57" t="b">
        <f>IF(ABS(E210 - C210) &lt; MAX(0.00001, E210 * 0.00001), TRUE, FALSE)</f>
        <v>1</v>
      </c>
      <c r="E210" s="439">
        <f>SUM(F210:AC210)</f>
        <v>-952952.44319999998</v>
      </c>
      <c r="F210" s="455">
        <v>0</v>
      </c>
      <c r="G210" s="273">
        <v>0</v>
      </c>
      <c r="H210" s="273">
        <v>0</v>
      </c>
      <c r="I210" s="273">
        <v>0</v>
      </c>
      <c r="J210" s="273">
        <v>0</v>
      </c>
      <c r="K210" s="273">
        <v>0</v>
      </c>
      <c r="L210" s="273">
        <v>0</v>
      </c>
      <c r="M210" s="273">
        <v>0</v>
      </c>
      <c r="N210" s="273">
        <v>0</v>
      </c>
      <c r="O210" s="273">
        <v>0</v>
      </c>
      <c r="P210" s="273">
        <v>0</v>
      </c>
      <c r="Q210" s="273">
        <v>0</v>
      </c>
      <c r="R210" s="273">
        <v>0</v>
      </c>
      <c r="S210" s="273">
        <v>0</v>
      </c>
      <c r="T210" s="273">
        <v>0</v>
      </c>
      <c r="U210" s="273">
        <v>0</v>
      </c>
      <c r="V210" s="273">
        <f>$C$210/4</f>
        <v>-238238.11079999999</v>
      </c>
      <c r="W210" s="273">
        <f t="shared" ref="W210:Y210" si="144">$C$210/4</f>
        <v>-238238.11079999999</v>
      </c>
      <c r="X210" s="273">
        <f t="shared" si="144"/>
        <v>-238238.11079999999</v>
      </c>
      <c r="Y210" s="273">
        <f t="shared" si="144"/>
        <v>-238238.11079999999</v>
      </c>
      <c r="Z210" s="273">
        <v>0</v>
      </c>
      <c r="AA210" s="273">
        <v>0</v>
      </c>
      <c r="AB210" s="273">
        <v>0</v>
      </c>
      <c r="AC210" s="277">
        <v>0</v>
      </c>
      <c r="AD210" s="176"/>
      <c r="AG210"/>
      <c r="AH210"/>
      <c r="AI210"/>
      <c r="AJ210"/>
      <c r="AK210"/>
      <c r="AL210"/>
      <c r="AM210"/>
      <c r="AN210"/>
      <c r="AO210" s="336"/>
      <c r="CF210" s="739">
        <v>186</v>
      </c>
      <c r="CG210" s="740" t="s">
        <v>528</v>
      </c>
      <c r="CH210" s="744">
        <f t="shared" si="139"/>
        <v>912500</v>
      </c>
      <c r="CI210" s="740" t="s">
        <v>965</v>
      </c>
      <c r="CJ210" s="742" t="s">
        <v>973</v>
      </c>
      <c r="CK210" s="740" t="s">
        <v>571</v>
      </c>
      <c r="CL210" s="731"/>
      <c r="CM210" s="731"/>
      <c r="CN210" s="731"/>
      <c r="CO210" s="731"/>
      <c r="CP210" s="731"/>
      <c r="CQ210" s="731"/>
      <c r="CR210" s="731"/>
      <c r="CS210" s="731"/>
      <c r="CT210" s="731"/>
      <c r="CU210" s="731"/>
      <c r="CV210" s="731"/>
      <c r="CW210" s="731"/>
      <c r="CX210" s="731"/>
      <c r="CY210" s="731"/>
      <c r="CZ210" s="731"/>
      <c r="DA210" s="731"/>
      <c r="DB210" s="731"/>
      <c r="DC210" s="731"/>
      <c r="DD210" s="731"/>
      <c r="DE210" s="731"/>
    </row>
    <row r="211" spans="1:109" ht="22.5" x14ac:dyDescent="0.2">
      <c r="A211" s="172"/>
      <c r="B211" s="11" t="s">
        <v>271</v>
      </c>
      <c r="C211" s="220">
        <f t="shared" si="133"/>
        <v>0</v>
      </c>
      <c r="D211" s="57" t="b">
        <f t="shared" si="131"/>
        <v>1</v>
      </c>
      <c r="E211" s="439"/>
      <c r="F211" s="437"/>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c r="AC211" s="276"/>
      <c r="AD211" s="176"/>
      <c r="AG211"/>
      <c r="AH211"/>
      <c r="AI211"/>
      <c r="AJ211"/>
      <c r="AK211"/>
      <c r="AL211"/>
      <c r="AM211"/>
      <c r="AN211"/>
      <c r="AO211" s="336"/>
      <c r="CF211" s="735">
        <v>187</v>
      </c>
      <c r="CG211" s="736" t="s">
        <v>529</v>
      </c>
      <c r="CH211" s="743">
        <f t="shared" si="139"/>
        <v>984000</v>
      </c>
      <c r="CI211" s="736" t="s">
        <v>965</v>
      </c>
      <c r="CJ211" s="738" t="s">
        <v>974</v>
      </c>
      <c r="CK211" s="736" t="s">
        <v>571</v>
      </c>
      <c r="CL211" s="731"/>
      <c r="CM211" s="731"/>
      <c r="CN211" s="731"/>
      <c r="CO211" s="731"/>
      <c r="CP211" s="731"/>
      <c r="CQ211" s="731"/>
      <c r="CR211" s="731"/>
      <c r="CS211" s="731"/>
      <c r="CT211" s="731"/>
      <c r="CU211" s="731"/>
      <c r="CV211" s="731"/>
      <c r="CW211" s="731"/>
      <c r="CX211" s="731"/>
      <c r="CY211" s="731"/>
      <c r="CZ211" s="731"/>
      <c r="DA211" s="731"/>
      <c r="DB211" s="731"/>
      <c r="DC211" s="731"/>
      <c r="DD211" s="731"/>
      <c r="DE211" s="731"/>
    </row>
    <row r="212" spans="1:109" ht="23.25" thickBot="1" x14ac:dyDescent="0.25">
      <c r="A212" s="172"/>
      <c r="B212" s="377" t="s">
        <v>88</v>
      </c>
      <c r="C212" s="433">
        <f t="shared" si="133"/>
        <v>-1956640.2000000002</v>
      </c>
      <c r="D212" s="58" t="b">
        <f t="shared" si="131"/>
        <v>1</v>
      </c>
      <c r="E212" s="441">
        <f t="shared" si="129"/>
        <v>-1956640.1999999995</v>
      </c>
      <c r="F212" s="438">
        <f>$C$212/16</f>
        <v>-122290.01250000001</v>
      </c>
      <c r="G212" s="438">
        <f t="shared" ref="G212:U212" si="145">$C$212/16</f>
        <v>-122290.01250000001</v>
      </c>
      <c r="H212" s="438">
        <f t="shared" si="145"/>
        <v>-122290.01250000001</v>
      </c>
      <c r="I212" s="438">
        <f t="shared" si="145"/>
        <v>-122290.01250000001</v>
      </c>
      <c r="J212" s="438">
        <f t="shared" si="145"/>
        <v>-122290.01250000001</v>
      </c>
      <c r="K212" s="438">
        <f t="shared" si="145"/>
        <v>-122290.01250000001</v>
      </c>
      <c r="L212" s="438">
        <f t="shared" si="145"/>
        <v>-122290.01250000001</v>
      </c>
      <c r="M212" s="438">
        <f t="shared" si="145"/>
        <v>-122290.01250000001</v>
      </c>
      <c r="N212" s="438">
        <f t="shared" si="145"/>
        <v>-122290.01250000001</v>
      </c>
      <c r="O212" s="438">
        <f t="shared" si="145"/>
        <v>-122290.01250000001</v>
      </c>
      <c r="P212" s="438">
        <f t="shared" si="145"/>
        <v>-122290.01250000001</v>
      </c>
      <c r="Q212" s="438">
        <f t="shared" si="145"/>
        <v>-122290.01250000001</v>
      </c>
      <c r="R212" s="438">
        <f t="shared" si="145"/>
        <v>-122290.01250000001</v>
      </c>
      <c r="S212" s="438">
        <f t="shared" si="145"/>
        <v>-122290.01250000001</v>
      </c>
      <c r="T212" s="438">
        <f t="shared" si="145"/>
        <v>-122290.01250000001</v>
      </c>
      <c r="U212" s="438">
        <f t="shared" si="145"/>
        <v>-122290.01250000001</v>
      </c>
      <c r="V212" s="275">
        <f t="shared" ref="V212:AC212" si="146">$D$101*V196</f>
        <v>0</v>
      </c>
      <c r="W212" s="275">
        <f t="shared" si="146"/>
        <v>0</v>
      </c>
      <c r="X212" s="275">
        <f t="shared" si="146"/>
        <v>0</v>
      </c>
      <c r="Y212" s="275">
        <f t="shared" si="146"/>
        <v>0</v>
      </c>
      <c r="Z212" s="275">
        <f t="shared" si="146"/>
        <v>0</v>
      </c>
      <c r="AA212" s="275">
        <f t="shared" si="146"/>
        <v>0</v>
      </c>
      <c r="AB212" s="275">
        <f t="shared" si="146"/>
        <v>0</v>
      </c>
      <c r="AC212" s="278">
        <f t="shared" si="146"/>
        <v>0</v>
      </c>
      <c r="AD212" s="176"/>
      <c r="AG212"/>
      <c r="AH212"/>
      <c r="AI212"/>
      <c r="AJ212"/>
      <c r="AK212"/>
      <c r="AL212"/>
      <c r="AM212"/>
      <c r="AN212"/>
      <c r="CF212" s="739">
        <v>188</v>
      </c>
      <c r="CG212" s="740" t="s">
        <v>530</v>
      </c>
      <c r="CH212" s="744">
        <f t="shared" si="139"/>
        <v>18000</v>
      </c>
      <c r="CI212" s="740" t="s">
        <v>965</v>
      </c>
      <c r="CJ212" s="742" t="s">
        <v>975</v>
      </c>
      <c r="CK212" s="740" t="s">
        <v>571</v>
      </c>
      <c r="CL212" s="731"/>
      <c r="CM212" s="731"/>
      <c r="CN212" s="731"/>
      <c r="CO212" s="731"/>
      <c r="CP212" s="731"/>
      <c r="CQ212" s="731"/>
      <c r="CR212" s="731"/>
      <c r="CS212" s="731"/>
      <c r="CT212" s="731"/>
      <c r="CU212" s="731"/>
      <c r="CV212" s="731"/>
      <c r="CW212" s="731"/>
      <c r="CX212" s="731"/>
      <c r="CY212" s="731"/>
      <c r="CZ212" s="731"/>
      <c r="DA212" s="731"/>
      <c r="DB212" s="731"/>
      <c r="DC212" s="731"/>
      <c r="DD212" s="731"/>
      <c r="DE212" s="731"/>
    </row>
    <row r="213" spans="1:109" ht="22.5" x14ac:dyDescent="0.2">
      <c r="A213" s="172"/>
      <c r="B213" s="62" t="s">
        <v>176</v>
      </c>
      <c r="C213" s="63">
        <f>-I157+-Y157</f>
        <v>-6529315.5539999995</v>
      </c>
      <c r="D213" s="64" t="b">
        <f>IF(ABS(E213 - C213) &lt; MAX(0.00001, E213 * 0.00001), TRUE, FALSE)</f>
        <v>1</v>
      </c>
      <c r="E213" s="459">
        <f>SUM(F213:AC213)</f>
        <v>-6529315.5539999995</v>
      </c>
      <c r="F213" s="456">
        <f t="shared" ref="F213:AC213" si="147">-($I$158*F185)+-($Y$158*F186)</f>
        <v>0</v>
      </c>
      <c r="G213" s="289">
        <f t="shared" si="147"/>
        <v>0</v>
      </c>
      <c r="H213" s="289">
        <f t="shared" si="147"/>
        <v>0</v>
      </c>
      <c r="I213" s="289">
        <f t="shared" si="147"/>
        <v>0</v>
      </c>
      <c r="J213" s="289">
        <f t="shared" si="147"/>
        <v>0</v>
      </c>
      <c r="K213" s="289">
        <f t="shared" si="147"/>
        <v>0</v>
      </c>
      <c r="L213" s="289">
        <f t="shared" si="147"/>
        <v>0</v>
      </c>
      <c r="M213" s="289">
        <f t="shared" si="147"/>
        <v>0</v>
      </c>
      <c r="N213" s="289">
        <f t="shared" si="147"/>
        <v>0</v>
      </c>
      <c r="O213" s="289">
        <f t="shared" si="147"/>
        <v>0</v>
      </c>
      <c r="P213" s="289">
        <f t="shared" si="147"/>
        <v>0</v>
      </c>
      <c r="Q213" s="289">
        <f t="shared" si="147"/>
        <v>0</v>
      </c>
      <c r="R213" s="289">
        <f t="shared" si="147"/>
        <v>0</v>
      </c>
      <c r="S213" s="289">
        <f t="shared" si="147"/>
        <v>0</v>
      </c>
      <c r="T213" s="289">
        <f>-($I$158*T185)+-($Y$158*T186)</f>
        <v>0</v>
      </c>
      <c r="U213" s="289">
        <f t="shared" si="147"/>
        <v>0</v>
      </c>
      <c r="V213" s="289">
        <f>$C$213/4</f>
        <v>-1632328.8884999999</v>
      </c>
      <c r="W213" s="289">
        <f t="shared" ref="W213:Y213" si="148">$C$213/4</f>
        <v>-1632328.8884999999</v>
      </c>
      <c r="X213" s="289">
        <f t="shared" si="148"/>
        <v>-1632328.8884999999</v>
      </c>
      <c r="Y213" s="289">
        <f t="shared" si="148"/>
        <v>-1632328.8884999999</v>
      </c>
      <c r="Z213" s="289">
        <f t="shared" si="147"/>
        <v>0</v>
      </c>
      <c r="AA213" s="289">
        <f t="shared" si="147"/>
        <v>0</v>
      </c>
      <c r="AB213" s="289">
        <f t="shared" si="147"/>
        <v>0</v>
      </c>
      <c r="AC213" s="292">
        <f t="shared" si="147"/>
        <v>0</v>
      </c>
      <c r="AD213" s="176"/>
      <c r="AG213"/>
      <c r="AH213"/>
      <c r="AI213"/>
      <c r="AJ213"/>
      <c r="AK213"/>
      <c r="AL213"/>
      <c r="AM213"/>
      <c r="AN213"/>
      <c r="CF213" s="735">
        <v>189</v>
      </c>
      <c r="CG213" s="736" t="s">
        <v>976</v>
      </c>
      <c r="CH213" s="743">
        <f t="shared" si="139"/>
        <v>299000</v>
      </c>
      <c r="CI213" s="736" t="s">
        <v>965</v>
      </c>
      <c r="CJ213" s="738" t="s">
        <v>977</v>
      </c>
      <c r="CK213" s="736" t="s">
        <v>571</v>
      </c>
      <c r="CL213" s="731"/>
      <c r="CM213" s="731"/>
      <c r="CN213" s="731"/>
      <c r="CO213" s="731"/>
      <c r="CP213" s="731"/>
      <c r="CQ213" s="731"/>
      <c r="CR213" s="731"/>
      <c r="CS213" s="731"/>
      <c r="CT213" s="731"/>
      <c r="CU213" s="731"/>
      <c r="CV213" s="731"/>
      <c r="CW213" s="731"/>
      <c r="CX213" s="731"/>
      <c r="CY213" s="731"/>
      <c r="CZ213" s="731"/>
      <c r="DA213" s="731"/>
      <c r="DB213" s="731"/>
      <c r="DC213" s="731"/>
      <c r="DD213" s="731"/>
      <c r="DE213" s="731"/>
    </row>
    <row r="214" spans="1:109" ht="22.5" x14ac:dyDescent="0.2">
      <c r="A214" s="172"/>
      <c r="B214" s="11" t="s">
        <v>453</v>
      </c>
      <c r="C214" s="220">
        <f>-C105</f>
        <v>-9214816</v>
      </c>
      <c r="D214" s="57" t="b">
        <f>IF(ABS(E214 - C214) &lt; MAX(0.00001, E214 * 0.00001), TRUE, FALSE)</f>
        <v>1</v>
      </c>
      <c r="E214" s="439">
        <f>SUM(F214:AC214)</f>
        <v>-9214816</v>
      </c>
      <c r="F214" s="436">
        <f>F331</f>
        <v>-3469107.2000000002</v>
      </c>
      <c r="G214" s="273">
        <f t="shared" ref="G214:AC214" si="149">G331</f>
        <v>-542048</v>
      </c>
      <c r="H214" s="273">
        <f t="shared" si="149"/>
        <v>0</v>
      </c>
      <c r="I214" s="273">
        <f t="shared" si="149"/>
        <v>-542048</v>
      </c>
      <c r="J214" s="273">
        <f t="shared" si="149"/>
        <v>-216819.20000000001</v>
      </c>
      <c r="K214" s="273">
        <f t="shared" si="149"/>
        <v>-542048</v>
      </c>
      <c r="L214" s="273">
        <f t="shared" si="149"/>
        <v>0</v>
      </c>
      <c r="M214" s="273">
        <f t="shared" si="149"/>
        <v>-542048</v>
      </c>
      <c r="N214" s="273">
        <f t="shared" si="149"/>
        <v>-216819.20000000001</v>
      </c>
      <c r="O214" s="273">
        <f t="shared" si="149"/>
        <v>-542048</v>
      </c>
      <c r="P214" s="273">
        <f t="shared" si="149"/>
        <v>0</v>
      </c>
      <c r="Q214" s="273">
        <f t="shared" si="149"/>
        <v>-542048</v>
      </c>
      <c r="R214" s="273">
        <f t="shared" si="149"/>
        <v>-216819.20000000001</v>
      </c>
      <c r="S214" s="273">
        <f t="shared" si="149"/>
        <v>-542048</v>
      </c>
      <c r="T214" s="273">
        <f t="shared" si="149"/>
        <v>0</v>
      </c>
      <c r="U214" s="273">
        <f t="shared" si="149"/>
        <v>-542048</v>
      </c>
      <c r="V214" s="273">
        <f t="shared" si="149"/>
        <v>-216819.20000000001</v>
      </c>
      <c r="W214" s="273">
        <f t="shared" si="149"/>
        <v>-542048</v>
      </c>
      <c r="X214" s="273">
        <f t="shared" si="149"/>
        <v>0</v>
      </c>
      <c r="Y214" s="273">
        <f t="shared" si="149"/>
        <v>0</v>
      </c>
      <c r="Z214" s="273">
        <f t="shared" si="149"/>
        <v>0</v>
      </c>
      <c r="AA214" s="273">
        <f t="shared" si="149"/>
        <v>0</v>
      </c>
      <c r="AB214" s="273">
        <f t="shared" si="149"/>
        <v>0</v>
      </c>
      <c r="AC214" s="277">
        <f t="shared" si="149"/>
        <v>0</v>
      </c>
      <c r="AD214" s="176"/>
      <c r="AG214"/>
      <c r="AH214"/>
      <c r="AI214"/>
      <c r="AJ214"/>
      <c r="AK214"/>
      <c r="AL214"/>
      <c r="AM214"/>
      <c r="AN214"/>
      <c r="CF214" s="739">
        <v>190</v>
      </c>
      <c r="CG214" s="740" t="s">
        <v>532</v>
      </c>
      <c r="CH214" s="744">
        <f t="shared" si="139"/>
        <v>1173984.1199999999</v>
      </c>
      <c r="CI214" s="740" t="s">
        <v>965</v>
      </c>
      <c r="CJ214" s="742" t="s">
        <v>978</v>
      </c>
      <c r="CK214" s="740" t="s">
        <v>571</v>
      </c>
      <c r="CL214" s="731"/>
      <c r="CM214" s="731"/>
      <c r="CN214" s="731"/>
      <c r="CO214" s="731"/>
      <c r="CP214" s="731"/>
      <c r="CQ214" s="731"/>
      <c r="CR214" s="731"/>
      <c r="CS214" s="731"/>
      <c r="CT214" s="731"/>
      <c r="CU214" s="731"/>
      <c r="CV214" s="731"/>
      <c r="CW214" s="731"/>
      <c r="CX214" s="731"/>
      <c r="CY214" s="731"/>
      <c r="CZ214" s="731"/>
      <c r="DA214" s="731"/>
      <c r="DB214" s="731"/>
      <c r="DC214" s="731"/>
      <c r="DD214" s="731"/>
      <c r="DE214" s="731"/>
    </row>
    <row r="215" spans="1:109" ht="22.5" x14ac:dyDescent="0.2">
      <c r="A215" s="172"/>
      <c r="B215" s="207" t="s">
        <v>177</v>
      </c>
      <c r="C215" s="220">
        <f ca="1">((((TRUNC(B122))*267000)+292000)*-1)-J215</f>
        <v>-1360000</v>
      </c>
      <c r="D215" s="57" t="b">
        <f ca="1">IF(ABS(E215 - C215) &lt; MAX(0.00001, E215 * 0.00001), TRUE, FALSE)</f>
        <v>1</v>
      </c>
      <c r="E215" s="439">
        <f>SUM(F215:AC215)</f>
        <v>-1360000</v>
      </c>
      <c r="F215" s="455">
        <v>-292000</v>
      </c>
      <c r="G215" s="274">
        <v>0</v>
      </c>
      <c r="H215" s="274">
        <v>0</v>
      </c>
      <c r="I215" s="274">
        <v>0</v>
      </c>
      <c r="J215" s="293">
        <v>-267000</v>
      </c>
      <c r="K215" s="274">
        <v>0</v>
      </c>
      <c r="L215" s="274">
        <v>0</v>
      </c>
      <c r="M215" s="274">
        <v>0</v>
      </c>
      <c r="N215" s="293">
        <v>-267000</v>
      </c>
      <c r="O215" s="274">
        <v>0</v>
      </c>
      <c r="P215" s="274">
        <v>0</v>
      </c>
      <c r="Q215" s="274">
        <v>0</v>
      </c>
      <c r="R215" s="293">
        <v>-267000</v>
      </c>
      <c r="S215" s="274">
        <v>0</v>
      </c>
      <c r="T215" s="274">
        <v>0</v>
      </c>
      <c r="U215" s="274">
        <v>0</v>
      </c>
      <c r="V215" s="293">
        <v>-267000</v>
      </c>
      <c r="W215" s="274">
        <v>0</v>
      </c>
      <c r="X215" s="274">
        <v>0</v>
      </c>
      <c r="Y215" s="274">
        <v>0</v>
      </c>
      <c r="Z215" s="293"/>
      <c r="AA215" s="274">
        <v>0</v>
      </c>
      <c r="AB215" s="274">
        <v>0</v>
      </c>
      <c r="AC215" s="276">
        <v>0</v>
      </c>
      <c r="AD215" s="176"/>
      <c r="AG215"/>
      <c r="AH215"/>
      <c r="AI215"/>
      <c r="AJ215"/>
      <c r="AK215"/>
      <c r="AL215"/>
      <c r="AM215"/>
      <c r="AN215"/>
      <c r="CF215" s="735">
        <v>191</v>
      </c>
      <c r="CG215" s="736" t="s">
        <v>533</v>
      </c>
      <c r="CH215" s="743">
        <f t="shared" si="139"/>
        <v>46954.910520000005</v>
      </c>
      <c r="CI215" s="736" t="s">
        <v>965</v>
      </c>
      <c r="CJ215" s="738" t="s">
        <v>979</v>
      </c>
      <c r="CK215" s="736" t="s">
        <v>571</v>
      </c>
      <c r="CL215" s="731"/>
      <c r="CM215" s="731"/>
      <c r="CN215" s="731"/>
      <c r="CO215" s="731"/>
      <c r="CP215" s="731"/>
      <c r="CQ215" s="731"/>
      <c r="CR215" s="731"/>
      <c r="CS215" s="731"/>
      <c r="CT215" s="731"/>
      <c r="CU215" s="731"/>
      <c r="CV215" s="731"/>
      <c r="CW215" s="731"/>
      <c r="CX215" s="731"/>
      <c r="CY215" s="731"/>
      <c r="CZ215" s="731"/>
      <c r="DA215" s="731"/>
      <c r="DB215" s="731"/>
      <c r="DC215" s="731"/>
      <c r="DD215" s="731"/>
      <c r="DE215" s="731"/>
    </row>
    <row r="216" spans="1:109" ht="23.25" thickBot="1" x14ac:dyDescent="0.25">
      <c r="A216" s="172"/>
      <c r="B216" s="40" t="s">
        <v>178</v>
      </c>
      <c r="C216" s="433">
        <f>-C104</f>
        <v>-11739841.199999999</v>
      </c>
      <c r="D216" s="58" t="b">
        <f t="shared" si="131"/>
        <v>1</v>
      </c>
      <c r="E216" s="441">
        <f t="shared" si="129"/>
        <v>-11739841.199999999</v>
      </c>
      <c r="F216" s="438">
        <f t="shared" ref="F216:AC216" si="150">F196*$D$104</f>
        <v>0</v>
      </c>
      <c r="G216" s="275">
        <f t="shared" si="150"/>
        <v>0</v>
      </c>
      <c r="H216" s="275">
        <f t="shared" si="150"/>
        <v>0</v>
      </c>
      <c r="I216" s="275">
        <f t="shared" si="150"/>
        <v>0</v>
      </c>
      <c r="J216" s="275">
        <f>J196*$D$104</f>
        <v>0</v>
      </c>
      <c r="K216" s="275">
        <f t="shared" si="150"/>
        <v>-821788.88400000008</v>
      </c>
      <c r="L216" s="275">
        <f t="shared" si="150"/>
        <v>-821788.88400000008</v>
      </c>
      <c r="M216" s="275">
        <f t="shared" si="150"/>
        <v>-821788.88400000008</v>
      </c>
      <c r="N216" s="275">
        <f t="shared" si="150"/>
        <v>-1526179.3560000001</v>
      </c>
      <c r="O216" s="275">
        <f t="shared" si="150"/>
        <v>-1526179.3560000001</v>
      </c>
      <c r="P216" s="275">
        <f t="shared" si="150"/>
        <v>-1526179.3560000001</v>
      </c>
      <c r="Q216" s="275">
        <f t="shared" si="150"/>
        <v>-1408780.9439999999</v>
      </c>
      <c r="R216" s="275">
        <f t="shared" si="150"/>
        <v>-821788.88400000008</v>
      </c>
      <c r="S216" s="275">
        <f t="shared" si="150"/>
        <v>-821788.88400000008</v>
      </c>
      <c r="T216" s="275">
        <f t="shared" si="150"/>
        <v>-821788.88400000008</v>
      </c>
      <c r="U216" s="275">
        <f t="shared" si="150"/>
        <v>-821788.88400000008</v>
      </c>
      <c r="V216" s="275">
        <f t="shared" si="150"/>
        <v>0</v>
      </c>
      <c r="W216" s="275">
        <f t="shared" si="150"/>
        <v>0</v>
      </c>
      <c r="X216" s="275">
        <f t="shared" si="150"/>
        <v>0</v>
      </c>
      <c r="Y216" s="275">
        <f t="shared" si="150"/>
        <v>0</v>
      </c>
      <c r="Z216" s="275">
        <f t="shared" si="150"/>
        <v>0</v>
      </c>
      <c r="AA216" s="275">
        <f t="shared" si="150"/>
        <v>0</v>
      </c>
      <c r="AB216" s="275">
        <f t="shared" si="150"/>
        <v>0</v>
      </c>
      <c r="AC216" s="278">
        <f t="shared" si="150"/>
        <v>0</v>
      </c>
      <c r="AD216" s="176"/>
      <c r="AG216"/>
      <c r="AH216"/>
      <c r="AI216"/>
      <c r="AJ216"/>
      <c r="AK216"/>
      <c r="AL216"/>
      <c r="AM216"/>
      <c r="AN216"/>
      <c r="CF216" s="739">
        <v>192</v>
      </c>
      <c r="CG216" s="740" t="s">
        <v>534</v>
      </c>
      <c r="CH216" s="744">
        <f t="shared" si="139"/>
        <v>952952.44319999998</v>
      </c>
      <c r="CI216" s="740" t="s">
        <v>965</v>
      </c>
      <c r="CJ216" s="742" t="s">
        <v>980</v>
      </c>
      <c r="CK216" s="740" t="s">
        <v>571</v>
      </c>
      <c r="CL216" s="731"/>
      <c r="CM216" s="731"/>
      <c r="CN216" s="731"/>
      <c r="CO216" s="731"/>
      <c r="CP216" s="731"/>
      <c r="CQ216" s="731"/>
      <c r="CR216" s="731"/>
      <c r="CS216" s="731"/>
      <c r="CT216" s="731"/>
      <c r="CU216" s="731"/>
      <c r="CV216" s="731"/>
      <c r="CW216" s="731"/>
      <c r="CX216" s="731"/>
      <c r="CY216" s="731"/>
      <c r="CZ216" s="731"/>
      <c r="DA216" s="731"/>
      <c r="DB216" s="731"/>
      <c r="DC216" s="731"/>
      <c r="DD216" s="731"/>
      <c r="DE216" s="731"/>
    </row>
    <row r="217" spans="1:109" ht="15" thickBot="1" x14ac:dyDescent="0.25">
      <c r="A217" s="172"/>
      <c r="B217" s="355"/>
      <c r="C217" s="356"/>
      <c r="D217" s="357"/>
      <c r="E217" s="184"/>
      <c r="F217" s="356"/>
      <c r="G217" s="356"/>
      <c r="H217" s="356"/>
      <c r="I217" s="356"/>
      <c r="J217" s="356"/>
      <c r="K217" s="356"/>
      <c r="L217" s="356"/>
      <c r="M217" s="356"/>
      <c r="N217" s="356"/>
      <c r="O217" s="356"/>
      <c r="P217" s="356"/>
      <c r="Q217" s="356"/>
      <c r="R217" s="356"/>
      <c r="S217" s="356"/>
      <c r="T217" s="356"/>
      <c r="U217" s="356"/>
      <c r="V217" s="356"/>
      <c r="W217" s="356"/>
      <c r="X217" s="356"/>
      <c r="Y217" s="356"/>
      <c r="Z217" s="356"/>
      <c r="AA217" s="356"/>
      <c r="AB217" s="356"/>
      <c r="AC217" s="358"/>
      <c r="AD217" s="172"/>
      <c r="AG217"/>
      <c r="AH217"/>
      <c r="AI217"/>
      <c r="AJ217"/>
      <c r="AK217"/>
      <c r="AL217"/>
      <c r="AM217"/>
      <c r="AN217"/>
      <c r="CF217" s="735">
        <v>193</v>
      </c>
      <c r="CG217" s="736" t="s">
        <v>535</v>
      </c>
      <c r="CH217" s="743">
        <f t="shared" si="139"/>
        <v>0</v>
      </c>
      <c r="CI217" s="736" t="s">
        <v>965</v>
      </c>
      <c r="CJ217" s="738" t="s">
        <v>981</v>
      </c>
      <c r="CK217" s="736" t="s">
        <v>571</v>
      </c>
      <c r="CL217" s="731"/>
      <c r="CM217" s="731"/>
      <c r="CN217" s="731"/>
      <c r="CO217" s="731"/>
      <c r="CP217" s="731"/>
      <c r="CQ217" s="731"/>
      <c r="CR217" s="731"/>
      <c r="CS217" s="731"/>
      <c r="CT217" s="731"/>
      <c r="CU217" s="731"/>
      <c r="CV217" s="731"/>
      <c r="CW217" s="731"/>
      <c r="CX217" s="731"/>
      <c r="CY217" s="731"/>
      <c r="CZ217" s="731"/>
      <c r="DA217" s="731"/>
      <c r="DB217" s="731"/>
      <c r="DC217" s="731"/>
      <c r="DD217" s="731"/>
      <c r="DE217" s="731"/>
    </row>
    <row r="218" spans="1:109" ht="23.25" thickBot="1" x14ac:dyDescent="0.25">
      <c r="A218" s="172"/>
      <c r="B218" s="359" t="s">
        <v>179</v>
      </c>
      <c r="C218" s="44">
        <f>SUM(E184:E189,E191:E216)</f>
        <v>85913220.679271087</v>
      </c>
      <c r="D218" s="360" t="str">
        <f>IF(AND(E218-C218&lt;=1, E218-C218&gt;=-1),"TRUE",E218-C218)</f>
        <v>TRUE</v>
      </c>
      <c r="E218" s="448">
        <f>SUM(F218:AC218)</f>
        <v>85913220.679271042</v>
      </c>
      <c r="F218" s="446">
        <f>SUM(F184:F189,F191:F216)</f>
        <v>-97189234.642500013</v>
      </c>
      <c r="G218" s="67">
        <f>SUM(G184:G189,G191:G216)</f>
        <v>-1316551.4125000001</v>
      </c>
      <c r="H218" s="67">
        <f t="shared" ref="H218:AC218" si="151">SUM(H184:H189,H191:H216)</f>
        <v>-1719623.4124999999</v>
      </c>
      <c r="I218" s="67">
        <f t="shared" si="151"/>
        <v>-2261671.4124999996</v>
      </c>
      <c r="J218" s="67">
        <f>SUM(J184:J189,J191:J216)</f>
        <v>-961925.34641304333</v>
      </c>
      <c r="K218" s="67">
        <f t="shared" si="151"/>
        <v>-5522423.8637591302</v>
      </c>
      <c r="L218" s="67">
        <f t="shared" si="151"/>
        <v>85137.449284347938</v>
      </c>
      <c r="M218" s="67">
        <f t="shared" si="151"/>
        <v>75529.791958262445</v>
      </c>
      <c r="N218" s="67">
        <f t="shared" si="151"/>
        <v>-81641.329593041912</v>
      </c>
      <c r="O218" s="67">
        <f t="shared" si="151"/>
        <v>52378.718838261906</v>
      </c>
      <c r="P218" s="67">
        <f t="shared" si="151"/>
        <v>281985.80392208928</v>
      </c>
      <c r="Q218" s="67">
        <f t="shared" si="151"/>
        <v>244299.11092900322</v>
      </c>
      <c r="R218" s="67">
        <f t="shared" si="151"/>
        <v>-435142.31248961342</v>
      </c>
      <c r="S218" s="67">
        <f t="shared" si="151"/>
        <v>-71041.250015079742</v>
      </c>
      <c r="T218" s="67">
        <f t="shared" si="151"/>
        <v>-68510.108736116439</v>
      </c>
      <c r="U218" s="67">
        <f t="shared" si="151"/>
        <v>154394.65105319419</v>
      </c>
      <c r="V218" s="67">
        <f t="shared" si="151"/>
        <v>-231771.26643000013</v>
      </c>
      <c r="W218" s="67">
        <f t="shared" si="151"/>
        <v>204524.93356999988</v>
      </c>
      <c r="X218" s="67">
        <f t="shared" si="151"/>
        <v>688838.79807882709</v>
      </c>
      <c r="Y218" s="67">
        <f t="shared" si="151"/>
        <v>193985667.77907312</v>
      </c>
      <c r="Z218" s="67">
        <f t="shared" si="151"/>
        <v>0</v>
      </c>
      <c r="AA218" s="67">
        <f t="shared" si="151"/>
        <v>0</v>
      </c>
      <c r="AB218" s="67">
        <f t="shared" si="151"/>
        <v>0</v>
      </c>
      <c r="AC218" s="68">
        <f t="shared" si="151"/>
        <v>0</v>
      </c>
      <c r="AD218" s="172"/>
      <c r="AH218"/>
      <c r="AI218"/>
      <c r="AJ218"/>
      <c r="AK218"/>
      <c r="AL218"/>
      <c r="AM218"/>
      <c r="AN218"/>
      <c r="CF218" s="739">
        <v>194</v>
      </c>
      <c r="CG218" s="740" t="s">
        <v>536</v>
      </c>
      <c r="CH218" s="744">
        <f t="shared" si="139"/>
        <v>1956640.2000000002</v>
      </c>
      <c r="CI218" s="740" t="s">
        <v>965</v>
      </c>
      <c r="CJ218" s="742" t="s">
        <v>982</v>
      </c>
      <c r="CK218" s="740" t="s">
        <v>571</v>
      </c>
      <c r="CL218" s="731"/>
      <c r="CM218" s="731"/>
      <c r="CN218" s="731"/>
      <c r="CO218" s="731"/>
      <c r="CP218" s="731"/>
      <c r="CQ218" s="731"/>
      <c r="CR218" s="731"/>
      <c r="CS218" s="731"/>
      <c r="CT218" s="731"/>
      <c r="CU218" s="731"/>
      <c r="CV218" s="731"/>
      <c r="CW218" s="731"/>
      <c r="CX218" s="731"/>
      <c r="CY218" s="731"/>
      <c r="CZ218" s="731"/>
      <c r="DA218" s="731"/>
      <c r="DB218" s="731"/>
      <c r="DC218" s="731"/>
      <c r="DD218" s="731"/>
      <c r="DE218" s="731"/>
    </row>
    <row r="219" spans="1:109" ht="18.75" thickBot="1" x14ac:dyDescent="0.25">
      <c r="A219" s="172"/>
      <c r="B219" s="83" t="s">
        <v>295</v>
      </c>
      <c r="C219" s="104">
        <f>-SUM(E192:E216)</f>
        <v>227269365.99746799</v>
      </c>
      <c r="D219" s="361" t="b">
        <f>IF(ABS(C219 - C115) &lt; MAX(0.0001, C219 * 0.0001), TRUE, FALSE)</f>
        <v>1</v>
      </c>
      <c r="E219" s="449"/>
      <c r="F219" s="438">
        <f>F218</f>
        <v>-97189234.642500013</v>
      </c>
      <c r="G219" s="275">
        <f>F219+G218</f>
        <v>-98505786.055000007</v>
      </c>
      <c r="H219" s="275">
        <f>G219+H218</f>
        <v>-100225409.4675</v>
      </c>
      <c r="I219" s="275">
        <f>H219+I218</f>
        <v>-102487080.88</v>
      </c>
      <c r="J219" s="275">
        <f t="shared" ref="J219:AC219" si="152">I219+J218</f>
        <v>-103449006.22641304</v>
      </c>
      <c r="K219" s="275">
        <f t="shared" si="152"/>
        <v>-108971430.09017217</v>
      </c>
      <c r="L219" s="275">
        <f t="shared" si="152"/>
        <v>-108886292.64088783</v>
      </c>
      <c r="M219" s="275">
        <f>L219+M218</f>
        <v>-108810762.84892957</v>
      </c>
      <c r="N219" s="275">
        <f t="shared" si="152"/>
        <v>-108892404.17852262</v>
      </c>
      <c r="O219" s="275">
        <f t="shared" si="152"/>
        <v>-108840025.45968436</v>
      </c>
      <c r="P219" s="275">
        <f t="shared" si="152"/>
        <v>-108558039.65576227</v>
      </c>
      <c r="Q219" s="275">
        <f t="shared" si="152"/>
        <v>-108313740.54483327</v>
      </c>
      <c r="R219" s="275">
        <f t="shared" si="152"/>
        <v>-108748882.85732289</v>
      </c>
      <c r="S219" s="275">
        <f t="shared" si="152"/>
        <v>-108819924.10733797</v>
      </c>
      <c r="T219" s="275">
        <f>S219+T218</f>
        <v>-108888434.21607408</v>
      </c>
      <c r="U219" s="275">
        <f t="shared" si="152"/>
        <v>-108734039.56502089</v>
      </c>
      <c r="V219" s="275">
        <f t="shared" si="152"/>
        <v>-108965810.83145089</v>
      </c>
      <c r="W219" s="275">
        <f t="shared" si="152"/>
        <v>-108761285.8978809</v>
      </c>
      <c r="X219" s="275">
        <f t="shared" si="152"/>
        <v>-108072447.09980208</v>
      </c>
      <c r="Y219" s="275">
        <f t="shared" si="152"/>
        <v>85913220.679271042</v>
      </c>
      <c r="Z219" s="275">
        <f t="shared" si="152"/>
        <v>85913220.679271042</v>
      </c>
      <c r="AA219" s="275">
        <f t="shared" si="152"/>
        <v>85913220.679271042</v>
      </c>
      <c r="AB219" s="275">
        <f t="shared" si="152"/>
        <v>85913220.679271042</v>
      </c>
      <c r="AC219" s="278">
        <f t="shared" si="152"/>
        <v>85913220.679271042</v>
      </c>
      <c r="AD219" s="172"/>
      <c r="AH219"/>
      <c r="AI219"/>
      <c r="AJ219"/>
      <c r="AK219"/>
      <c r="AL219"/>
      <c r="AM219"/>
      <c r="AN219"/>
      <c r="CF219" s="735">
        <v>195</v>
      </c>
      <c r="CG219" s="736" t="s">
        <v>576</v>
      </c>
      <c r="CH219" s="743">
        <f t="shared" si="139"/>
        <v>21170057.969719999</v>
      </c>
      <c r="CI219" s="736" t="s">
        <v>965</v>
      </c>
      <c r="CJ219" s="738" t="s">
        <v>983</v>
      </c>
      <c r="CK219" s="736" t="s">
        <v>571</v>
      </c>
      <c r="CL219" s="731"/>
      <c r="CM219" s="731"/>
      <c r="CN219" s="731"/>
      <c r="CO219" s="731"/>
      <c r="CP219" s="731"/>
      <c r="CQ219" s="731"/>
      <c r="CR219" s="731"/>
      <c r="CS219" s="731"/>
      <c r="CT219" s="731"/>
      <c r="CU219" s="731"/>
      <c r="CV219" s="731"/>
      <c r="CW219" s="731"/>
      <c r="CX219" s="731"/>
      <c r="CY219" s="731"/>
      <c r="CZ219" s="731"/>
      <c r="DA219" s="731"/>
      <c r="DB219" s="731"/>
      <c r="DC219" s="731"/>
      <c r="DD219" s="731"/>
      <c r="DE219" s="731"/>
    </row>
    <row r="220" spans="1:109" ht="22.5" x14ac:dyDescent="0.2">
      <c r="A220" s="172"/>
      <c r="B220" s="279" t="s">
        <v>180</v>
      </c>
      <c r="C220" s="367">
        <f>SUM(C184:C188)</f>
        <v>313182586.6767391</v>
      </c>
      <c r="D220" s="361" t="b">
        <f>IF(ABS(C220 - C17) &lt; MAX(0.00001, C220 * 0.00001), TRUE, FALSE)</f>
        <v>1</v>
      </c>
      <c r="E220" s="450"/>
      <c r="F220" s="447" t="s">
        <v>130</v>
      </c>
      <c r="G220" s="365" t="s">
        <v>131</v>
      </c>
      <c r="H220" s="365" t="s">
        <v>132</v>
      </c>
      <c r="I220" s="365" t="s">
        <v>133</v>
      </c>
      <c r="J220" s="365" t="s">
        <v>134</v>
      </c>
      <c r="K220" s="365" t="s">
        <v>135</v>
      </c>
      <c r="L220" s="365" t="s">
        <v>136</v>
      </c>
      <c r="M220" s="365" t="s">
        <v>137</v>
      </c>
      <c r="N220" s="365" t="s">
        <v>138</v>
      </c>
      <c r="O220" s="365" t="s">
        <v>139</v>
      </c>
      <c r="P220" s="365" t="s">
        <v>140</v>
      </c>
      <c r="Q220" s="365" t="s">
        <v>141</v>
      </c>
      <c r="R220" s="365" t="s">
        <v>142</v>
      </c>
      <c r="S220" s="365" t="s">
        <v>143</v>
      </c>
      <c r="T220" s="365" t="s">
        <v>144</v>
      </c>
      <c r="U220" s="365" t="s">
        <v>145</v>
      </c>
      <c r="V220" s="365" t="s">
        <v>146</v>
      </c>
      <c r="W220" s="365" t="s">
        <v>147</v>
      </c>
      <c r="X220" s="365" t="s">
        <v>148</v>
      </c>
      <c r="Y220" s="365" t="s">
        <v>149</v>
      </c>
      <c r="Z220" s="365" t="s">
        <v>150</v>
      </c>
      <c r="AA220" s="365" t="s">
        <v>151</v>
      </c>
      <c r="AB220" s="365" t="s">
        <v>152</v>
      </c>
      <c r="AC220" s="366" t="s">
        <v>153</v>
      </c>
      <c r="AD220" s="172"/>
      <c r="AH220"/>
      <c r="AI220"/>
      <c r="AJ220"/>
      <c r="AK220"/>
      <c r="AL220"/>
      <c r="AM220"/>
      <c r="AN220"/>
      <c r="CF220" s="734" t="s">
        <v>984</v>
      </c>
      <c r="CG220" s="734"/>
      <c r="CH220" s="734"/>
      <c r="CI220" s="734"/>
      <c r="CJ220" s="734"/>
      <c r="CK220" s="734"/>
      <c r="CL220" s="731"/>
      <c r="CM220" s="731"/>
      <c r="CN220" s="731"/>
      <c r="CO220" s="731"/>
      <c r="CP220" s="731"/>
      <c r="CQ220" s="731"/>
      <c r="CR220" s="731"/>
      <c r="CS220" s="731"/>
      <c r="CT220" s="731"/>
      <c r="CU220" s="731"/>
      <c r="CV220" s="731"/>
      <c r="CW220" s="731"/>
      <c r="CX220" s="731"/>
      <c r="CY220" s="731"/>
      <c r="CZ220" s="731"/>
      <c r="DA220" s="731"/>
      <c r="DB220" s="731"/>
      <c r="DC220" s="731"/>
      <c r="DD220" s="731"/>
      <c r="DE220" s="731"/>
    </row>
    <row r="221" spans="1:109" ht="23.25" thickBot="1" x14ac:dyDescent="0.25">
      <c r="A221" s="172"/>
      <c r="B221" s="362" t="s">
        <v>21</v>
      </c>
      <c r="C221" s="363">
        <f>SUM(C184:C188)+SUM(E192:E216)</f>
        <v>85913220.679271102</v>
      </c>
      <c r="D221" s="364" t="b">
        <f>IF(ABS(E218 - C221) &lt; MAX(0.00001, E218 * 0.00001), TRUE, FALSE)</f>
        <v>1</v>
      </c>
      <c r="E221" s="450"/>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6"/>
      <c r="AD221" s="172"/>
      <c r="AH221"/>
      <c r="AI221"/>
      <c r="AJ221"/>
      <c r="AK221"/>
      <c r="AL221"/>
      <c r="AM221"/>
      <c r="AN221"/>
      <c r="CF221" s="739">
        <v>196</v>
      </c>
      <c r="CG221" s="740" t="s">
        <v>985</v>
      </c>
      <c r="CH221" s="744">
        <f>C104</f>
        <v>11739841.199999999</v>
      </c>
      <c r="CI221" s="740" t="s">
        <v>986</v>
      </c>
      <c r="CJ221" s="742" t="s">
        <v>987</v>
      </c>
      <c r="CK221" s="740" t="s">
        <v>571</v>
      </c>
      <c r="CL221" s="731"/>
      <c r="CM221" s="731"/>
      <c r="CN221" s="731"/>
      <c r="CO221" s="731"/>
      <c r="CP221" s="731"/>
      <c r="CQ221" s="731"/>
      <c r="CR221" s="731"/>
      <c r="CS221" s="731"/>
      <c r="CT221" s="731"/>
      <c r="CU221" s="731"/>
      <c r="CV221" s="731"/>
      <c r="CW221" s="731"/>
      <c r="CX221" s="731"/>
      <c r="CY221" s="731"/>
      <c r="CZ221" s="731"/>
      <c r="DA221" s="731"/>
      <c r="DB221" s="731"/>
      <c r="DC221" s="731"/>
      <c r="DD221" s="731"/>
      <c r="DE221" s="731"/>
    </row>
    <row r="222" spans="1:109" ht="15" thickBot="1" x14ac:dyDescent="0.25">
      <c r="A222" s="172"/>
      <c r="B222" s="1026" t="s">
        <v>181</v>
      </c>
      <c r="C222" s="1027"/>
      <c r="D222" s="1028"/>
      <c r="E222" s="450"/>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226"/>
      <c r="AD222" s="172"/>
      <c r="AH222"/>
      <c r="AI222"/>
      <c r="AJ222"/>
      <c r="AK222"/>
      <c r="AL222"/>
      <c r="AM222"/>
      <c r="AN222"/>
      <c r="CF222" s="735">
        <v>197</v>
      </c>
      <c r="CG222" s="736" t="s">
        <v>988</v>
      </c>
      <c r="CH222" s="747">
        <f>D104</f>
        <v>0.15</v>
      </c>
      <c r="CI222" s="736" t="s">
        <v>986</v>
      </c>
      <c r="CJ222" s="738" t="s">
        <v>989</v>
      </c>
      <c r="CK222" s="736" t="s">
        <v>597</v>
      </c>
      <c r="CL222" s="731"/>
      <c r="CM222" s="731"/>
      <c r="CN222" s="731"/>
      <c r="CO222" s="731"/>
      <c r="CP222" s="731"/>
      <c r="CQ222" s="731"/>
      <c r="CR222" s="731"/>
      <c r="CS222" s="731"/>
      <c r="CT222" s="731"/>
      <c r="CU222" s="731"/>
      <c r="CV222" s="731"/>
      <c r="CW222" s="731"/>
      <c r="CX222" s="731"/>
      <c r="CY222" s="731"/>
      <c r="CZ222" s="731"/>
      <c r="DA222" s="731"/>
      <c r="DB222" s="731"/>
      <c r="DC222" s="731"/>
      <c r="DD222" s="731"/>
      <c r="DE222" s="731"/>
    </row>
    <row r="223" spans="1:109" ht="22.5" x14ac:dyDescent="0.2">
      <c r="A223" s="172"/>
      <c r="B223" s="301" t="s">
        <v>22</v>
      </c>
      <c r="C223" s="874">
        <f>XIRR(F218:AC218,F177:AC177)</f>
        <v>0.13308131098747253</v>
      </c>
      <c r="D223" s="875"/>
      <c r="E223" s="450"/>
      <c r="F223" s="907">
        <f>SUM(F180:F189,F191:F216)</f>
        <v>11220365.357499998</v>
      </c>
      <c r="G223" s="897">
        <f t="shared" ref="G223:AC223" si="153">SUM(G180:G189,G191:G216)</f>
        <v>-1316551.4125000001</v>
      </c>
      <c r="H223" s="897">
        <f t="shared" si="153"/>
        <v>-1719623.4124999999</v>
      </c>
      <c r="I223" s="897">
        <f t="shared" si="153"/>
        <v>-2261671.4124999996</v>
      </c>
      <c r="J223" s="897">
        <f>SUM(J180:J189,J191:J216)</f>
        <v>-961925.34641304333</v>
      </c>
      <c r="K223" s="897">
        <f t="shared" si="153"/>
        <v>-5522423.8637591302</v>
      </c>
      <c r="L223" s="897">
        <f t="shared" si="153"/>
        <v>85137.449284347938</v>
      </c>
      <c r="M223" s="897">
        <f t="shared" si="153"/>
        <v>75529.791958262445</v>
      </c>
      <c r="N223" s="897">
        <f t="shared" si="153"/>
        <v>-81641.329593041912</v>
      </c>
      <c r="O223" s="897">
        <f t="shared" si="153"/>
        <v>52378.718838261906</v>
      </c>
      <c r="P223" s="897">
        <f t="shared" si="153"/>
        <v>281985.80392208928</v>
      </c>
      <c r="Q223" s="897">
        <f t="shared" si="153"/>
        <v>244299.11092900322</v>
      </c>
      <c r="R223" s="897">
        <f t="shared" si="153"/>
        <v>-435142.31248961342</v>
      </c>
      <c r="S223" s="897">
        <f t="shared" si="153"/>
        <v>-71041.250015079742</v>
      </c>
      <c r="T223" s="897">
        <f t="shared" si="153"/>
        <v>-68510.108736116439</v>
      </c>
      <c r="U223" s="897">
        <f>SUM(U180:U189,U191:U216)</f>
        <v>154394.65105319419</v>
      </c>
      <c r="V223" s="897">
        <f t="shared" si="153"/>
        <v>-231771.26643000013</v>
      </c>
      <c r="W223" s="897">
        <f t="shared" si="153"/>
        <v>204524.93356999988</v>
      </c>
      <c r="X223" s="897">
        <f t="shared" si="153"/>
        <v>688838.79807882709</v>
      </c>
      <c r="Y223" s="897">
        <f t="shared" si="153"/>
        <v>193985667.77907312</v>
      </c>
      <c r="Z223" s="897">
        <f t="shared" si="153"/>
        <v>0</v>
      </c>
      <c r="AA223" s="897">
        <f t="shared" si="153"/>
        <v>0</v>
      </c>
      <c r="AB223" s="897">
        <f t="shared" si="153"/>
        <v>0</v>
      </c>
      <c r="AC223" s="939">
        <f t="shared" si="153"/>
        <v>0</v>
      </c>
      <c r="AD223" s="172"/>
      <c r="AH223"/>
      <c r="AI223"/>
      <c r="AJ223"/>
      <c r="AK223"/>
      <c r="AL223"/>
      <c r="AM223"/>
      <c r="AN223"/>
      <c r="CF223" s="739">
        <v>198</v>
      </c>
      <c r="CG223" s="740" t="s">
        <v>990</v>
      </c>
      <c r="CH223" s="744">
        <f>C105</f>
        <v>9214816</v>
      </c>
      <c r="CI223" s="740" t="s">
        <v>986</v>
      </c>
      <c r="CJ223" s="742" t="s">
        <v>991</v>
      </c>
      <c r="CK223" s="740" t="s">
        <v>571</v>
      </c>
      <c r="CL223" s="731"/>
      <c r="CM223" s="731"/>
      <c r="CN223" s="731"/>
      <c r="CO223" s="731"/>
      <c r="CP223" s="731"/>
      <c r="CQ223" s="731"/>
      <c r="CR223" s="731"/>
      <c r="CS223" s="731"/>
      <c r="CT223" s="731"/>
      <c r="CU223" s="731"/>
      <c r="CV223" s="731"/>
      <c r="CW223" s="731"/>
      <c r="CX223" s="731"/>
      <c r="CY223" s="731"/>
      <c r="CZ223" s="731"/>
      <c r="DA223" s="731"/>
      <c r="DB223" s="731"/>
      <c r="DC223" s="731"/>
      <c r="DD223" s="731"/>
      <c r="DE223" s="731"/>
    </row>
    <row r="224" spans="1:109" ht="22.5" x14ac:dyDescent="0.2">
      <c r="A224" s="172"/>
      <c r="B224" s="296" t="s">
        <v>23</v>
      </c>
      <c r="C224" s="901">
        <f>C218/(C219+E213)</f>
        <v>0.38920540475854265</v>
      </c>
      <c r="D224" s="821"/>
      <c r="E224" s="450"/>
      <c r="F224" s="908"/>
      <c r="G224" s="898"/>
      <c r="H224" s="898"/>
      <c r="I224" s="898"/>
      <c r="J224" s="898"/>
      <c r="K224" s="898"/>
      <c r="L224" s="898"/>
      <c r="M224" s="898"/>
      <c r="N224" s="898"/>
      <c r="O224" s="898"/>
      <c r="P224" s="898"/>
      <c r="Q224" s="898"/>
      <c r="R224" s="898"/>
      <c r="S224" s="898"/>
      <c r="T224" s="898"/>
      <c r="U224" s="898"/>
      <c r="V224" s="898"/>
      <c r="W224" s="898"/>
      <c r="X224" s="898"/>
      <c r="Y224" s="898"/>
      <c r="Z224" s="898"/>
      <c r="AA224" s="898"/>
      <c r="AB224" s="898"/>
      <c r="AC224" s="925"/>
      <c r="AD224" s="172"/>
      <c r="AH224"/>
      <c r="AI224"/>
      <c r="AJ224"/>
      <c r="AK224"/>
      <c r="AL224"/>
      <c r="AM224"/>
      <c r="AN224"/>
      <c r="CF224" s="735">
        <v>199</v>
      </c>
      <c r="CG224" s="736" t="s">
        <v>992</v>
      </c>
      <c r="CH224" s="743">
        <f>C106</f>
        <v>1360000</v>
      </c>
      <c r="CI224" s="736" t="s">
        <v>986</v>
      </c>
      <c r="CJ224" s="738" t="s">
        <v>993</v>
      </c>
      <c r="CK224" s="736" t="s">
        <v>571</v>
      </c>
      <c r="CL224" s="731"/>
      <c r="CM224" s="731"/>
      <c r="CN224" s="731"/>
      <c r="CO224" s="731"/>
      <c r="CP224" s="731"/>
      <c r="CQ224" s="731"/>
      <c r="CR224" s="731"/>
      <c r="CS224" s="731"/>
      <c r="CT224" s="731"/>
      <c r="CU224" s="731"/>
      <c r="CV224" s="731"/>
      <c r="CW224" s="731"/>
      <c r="CX224" s="731"/>
      <c r="CY224" s="731"/>
      <c r="CZ224" s="731"/>
      <c r="DA224" s="731"/>
      <c r="DB224" s="731"/>
      <c r="DC224" s="731"/>
      <c r="DD224" s="731"/>
      <c r="DE224" s="731"/>
    </row>
    <row r="225" spans="1:109" ht="22.5" x14ac:dyDescent="0.2">
      <c r="A225" s="172"/>
      <c r="B225" s="301" t="s">
        <v>24</v>
      </c>
      <c r="C225" s="874">
        <f>C221/H24</f>
        <v>0.79248720297161046</v>
      </c>
      <c r="D225" s="875"/>
      <c r="E225" s="450"/>
      <c r="F225" s="893">
        <f>F223</f>
        <v>11220365.357499998</v>
      </c>
      <c r="G225" s="895">
        <f>F225+G223</f>
        <v>9903813.9449999984</v>
      </c>
      <c r="H225" s="895">
        <f t="shared" ref="H225:AC225" si="154">G225+H223</f>
        <v>8184190.5324999988</v>
      </c>
      <c r="I225" s="895">
        <f>H225+I223</f>
        <v>5922519.1199999992</v>
      </c>
      <c r="J225" s="895">
        <f t="shared" si="154"/>
        <v>4960593.7735869559</v>
      </c>
      <c r="K225" s="895">
        <f t="shared" si="154"/>
        <v>-561830.09017217439</v>
      </c>
      <c r="L225" s="895">
        <f t="shared" si="154"/>
        <v>-476692.64088782645</v>
      </c>
      <c r="M225" s="895">
        <f>L225+M223</f>
        <v>-401162.848929564</v>
      </c>
      <c r="N225" s="895">
        <f t="shared" si="154"/>
        <v>-482804.17852260591</v>
      </c>
      <c r="O225" s="895">
        <f t="shared" si="154"/>
        <v>-430425.45968434401</v>
      </c>
      <c r="P225" s="895">
        <f t="shared" si="154"/>
        <v>-148439.65576225473</v>
      </c>
      <c r="Q225" s="895">
        <f t="shared" si="154"/>
        <v>95859.455166748492</v>
      </c>
      <c r="R225" s="895">
        <f t="shared" si="154"/>
        <v>-339282.85732286493</v>
      </c>
      <c r="S225" s="895">
        <f t="shared" si="154"/>
        <v>-410324.10733794468</v>
      </c>
      <c r="T225" s="895">
        <f>S225+T223</f>
        <v>-478834.21607406111</v>
      </c>
      <c r="U225" s="895">
        <f t="shared" si="154"/>
        <v>-324439.56502086692</v>
      </c>
      <c r="V225" s="895">
        <f t="shared" si="154"/>
        <v>-556210.831450867</v>
      </c>
      <c r="W225" s="895">
        <f t="shared" si="154"/>
        <v>-351685.89788086712</v>
      </c>
      <c r="X225" s="895">
        <f t="shared" si="154"/>
        <v>337152.90019795997</v>
      </c>
      <c r="Y225" s="895">
        <f t="shared" si="154"/>
        <v>194322820.67927107</v>
      </c>
      <c r="Z225" s="895">
        <f t="shared" si="154"/>
        <v>194322820.67927107</v>
      </c>
      <c r="AA225" s="895">
        <f t="shared" si="154"/>
        <v>194322820.67927107</v>
      </c>
      <c r="AB225" s="895">
        <f t="shared" si="154"/>
        <v>194322820.67927107</v>
      </c>
      <c r="AC225" s="933">
        <f t="shared" si="154"/>
        <v>194322820.67927107</v>
      </c>
      <c r="AD225" s="172"/>
      <c r="AH225"/>
      <c r="AI225"/>
      <c r="AJ225"/>
      <c r="AK225"/>
      <c r="AL225"/>
      <c r="AM225"/>
      <c r="AN225"/>
      <c r="CF225" s="739">
        <v>200</v>
      </c>
      <c r="CG225" s="740" t="s">
        <v>994</v>
      </c>
      <c r="CH225" s="744">
        <f>C107</f>
        <v>22314657.199999999</v>
      </c>
      <c r="CI225" s="740" t="s">
        <v>986</v>
      </c>
      <c r="CJ225" s="742" t="s">
        <v>995</v>
      </c>
      <c r="CK225" s="740" t="s">
        <v>571</v>
      </c>
      <c r="CL225" s="731"/>
      <c r="CM225" s="731"/>
      <c r="CN225" s="731"/>
      <c r="CO225" s="731"/>
      <c r="CP225" s="731"/>
      <c r="CQ225" s="731"/>
      <c r="CR225" s="731"/>
      <c r="CS225" s="731"/>
      <c r="CT225" s="731"/>
      <c r="CU225" s="731"/>
      <c r="CV225" s="731"/>
      <c r="CW225" s="731"/>
      <c r="CX225" s="731"/>
      <c r="CY225" s="731"/>
      <c r="CZ225" s="731"/>
      <c r="DA225" s="731"/>
      <c r="DB225" s="731"/>
      <c r="DC225" s="731"/>
      <c r="DD225" s="731"/>
      <c r="DE225" s="731"/>
    </row>
    <row r="226" spans="1:109" ht="23.25" thickBot="1" x14ac:dyDescent="0.25">
      <c r="A226" s="172"/>
      <c r="B226" s="434" t="s">
        <v>182</v>
      </c>
      <c r="C226" s="876">
        <f ca="1">C225/B122</f>
        <v>0.15849744059432208</v>
      </c>
      <c r="D226" s="877"/>
      <c r="E226" s="451"/>
      <c r="F226" s="894"/>
      <c r="G226" s="896"/>
      <c r="H226" s="896"/>
      <c r="I226" s="896"/>
      <c r="J226" s="896"/>
      <c r="K226" s="896"/>
      <c r="L226" s="896"/>
      <c r="M226" s="896"/>
      <c r="N226" s="896"/>
      <c r="O226" s="896"/>
      <c r="P226" s="896"/>
      <c r="Q226" s="896"/>
      <c r="R226" s="896"/>
      <c r="S226" s="896"/>
      <c r="T226" s="896"/>
      <c r="U226" s="896"/>
      <c r="V226" s="896"/>
      <c r="W226" s="896"/>
      <c r="X226" s="896"/>
      <c r="Y226" s="896"/>
      <c r="Z226" s="896"/>
      <c r="AA226" s="896"/>
      <c r="AB226" s="896"/>
      <c r="AC226" s="937"/>
      <c r="AD226" s="172"/>
      <c r="AH226"/>
      <c r="AI226"/>
      <c r="AJ226"/>
      <c r="AK226"/>
      <c r="AL226"/>
      <c r="AM226"/>
      <c r="AN226"/>
      <c r="CF226" s="734" t="s">
        <v>996</v>
      </c>
      <c r="CG226" s="734"/>
      <c r="CH226" s="734"/>
      <c r="CI226" s="734"/>
      <c r="CJ226" s="734"/>
      <c r="CK226" s="734"/>
      <c r="CL226" s="731"/>
      <c r="CM226" s="731"/>
      <c r="CN226" s="731"/>
      <c r="CO226" s="731"/>
      <c r="CP226" s="731"/>
      <c r="CQ226" s="731"/>
      <c r="CR226" s="731"/>
      <c r="CS226" s="731"/>
      <c r="CT226" s="731"/>
      <c r="CU226" s="731"/>
      <c r="CV226" s="731"/>
      <c r="CW226" s="731"/>
      <c r="CX226" s="731"/>
      <c r="CY226" s="731"/>
      <c r="CZ226" s="731"/>
      <c r="DA226" s="731"/>
      <c r="DB226" s="731"/>
      <c r="DC226" s="731"/>
      <c r="DD226" s="731"/>
      <c r="DE226" s="731"/>
    </row>
    <row r="227" spans="1:109" ht="14.25" x14ac:dyDescent="0.2">
      <c r="A227" s="172"/>
      <c r="B227" s="257" t="b">
        <f ca="1">SUM(C223:D226)=SUM(C28:C34)</f>
        <v>1</v>
      </c>
      <c r="C227" s="257"/>
      <c r="D227" s="257"/>
      <c r="E227" s="218"/>
      <c r="F227" s="49"/>
      <c r="G227" s="49"/>
      <c r="H227" s="49"/>
      <c r="I227" s="49"/>
      <c r="J227" s="49"/>
      <c r="K227" s="49"/>
      <c r="L227" s="49"/>
      <c r="M227" s="49"/>
      <c r="N227" s="49">
        <f>-N225*70%</f>
        <v>337962.92496582412</v>
      </c>
      <c r="O227" s="49">
        <f t="shared" ref="O227:AC227" si="155">-O225*70%</f>
        <v>301297.82177904079</v>
      </c>
      <c r="P227" s="49">
        <f t="shared" si="155"/>
        <v>103907.7590335783</v>
      </c>
      <c r="Q227" s="49">
        <f t="shared" si="155"/>
        <v>-67101.618616723936</v>
      </c>
      <c r="R227" s="49">
        <f t="shared" si="155"/>
        <v>237498.00012600544</v>
      </c>
      <c r="S227" s="49">
        <f t="shared" si="155"/>
        <v>287226.87513656123</v>
      </c>
      <c r="T227" s="49">
        <f t="shared" si="155"/>
        <v>335183.95125184278</v>
      </c>
      <c r="U227" s="49">
        <f t="shared" si="155"/>
        <v>227107.69551460684</v>
      </c>
      <c r="V227" s="49">
        <f t="shared" si="155"/>
        <v>389347.58201560687</v>
      </c>
      <c r="W227" s="49">
        <f t="shared" si="155"/>
        <v>246180.12851660696</v>
      </c>
      <c r="X227" s="49">
        <f t="shared" si="155"/>
        <v>-236007.03013857195</v>
      </c>
      <c r="Y227" s="49">
        <f t="shared" si="155"/>
        <v>-136025974.47548974</v>
      </c>
      <c r="Z227" s="49">
        <f t="shared" si="155"/>
        <v>-136025974.47548974</v>
      </c>
      <c r="AA227" s="49">
        <f t="shared" si="155"/>
        <v>-136025974.47548974</v>
      </c>
      <c r="AB227" s="49">
        <f t="shared" si="155"/>
        <v>-136025974.47548974</v>
      </c>
      <c r="AC227" s="49">
        <f t="shared" si="155"/>
        <v>-136025974.47548974</v>
      </c>
      <c r="AD227" s="172"/>
      <c r="AH227"/>
      <c r="AI227"/>
      <c r="AJ227"/>
      <c r="AK227"/>
      <c r="AL227"/>
      <c r="AM227"/>
      <c r="AN227"/>
      <c r="CF227" s="735">
        <v>201</v>
      </c>
      <c r="CG227" s="736" t="s">
        <v>572</v>
      </c>
      <c r="CH227" s="743">
        <f t="shared" ref="CH227:CH234" si="156">C109</f>
        <v>91847824</v>
      </c>
      <c r="CI227" s="736" t="s">
        <v>997</v>
      </c>
      <c r="CJ227" s="738" t="s">
        <v>998</v>
      </c>
      <c r="CK227" s="736" t="s">
        <v>571</v>
      </c>
      <c r="CL227" s="731"/>
      <c r="CM227" s="731"/>
      <c r="CN227" s="731"/>
      <c r="CO227" s="731"/>
      <c r="CP227" s="731"/>
      <c r="CQ227" s="731"/>
      <c r="CR227" s="731"/>
      <c r="CS227" s="731"/>
      <c r="CT227" s="731"/>
      <c r="CU227" s="731"/>
      <c r="CV227" s="731"/>
      <c r="CW227" s="731"/>
      <c r="CX227" s="731"/>
      <c r="CY227" s="731"/>
      <c r="CZ227" s="731"/>
      <c r="DA227" s="731"/>
      <c r="DB227" s="731"/>
      <c r="DC227" s="731"/>
      <c r="DD227" s="731"/>
      <c r="DE227" s="731"/>
    </row>
    <row r="228" spans="1:109" ht="14.25" x14ac:dyDescent="0.2">
      <c r="A228" s="172"/>
      <c r="K228" s="204"/>
      <c r="L228" s="204"/>
      <c r="M228" s="204"/>
      <c r="N228" s="204"/>
      <c r="O228" s="204"/>
      <c r="P228" s="204"/>
      <c r="Q228" s="204"/>
      <c r="R228" s="204"/>
      <c r="S228" s="204"/>
      <c r="T228" s="204"/>
      <c r="U228" s="204"/>
      <c r="V228" s="204"/>
      <c r="W228" s="204"/>
      <c r="X228" s="205"/>
      <c r="AH228"/>
      <c r="AI228"/>
      <c r="AJ228"/>
      <c r="AK228"/>
      <c r="AL228"/>
      <c r="AM228"/>
      <c r="AN228"/>
      <c r="CF228" s="739">
        <v>202</v>
      </c>
      <c r="CG228" s="740" t="s">
        <v>574</v>
      </c>
      <c r="CH228" s="744">
        <f t="shared" si="156"/>
        <v>78265608</v>
      </c>
      <c r="CI228" s="740" t="s">
        <v>997</v>
      </c>
      <c r="CJ228" s="742" t="s">
        <v>999</v>
      </c>
      <c r="CK228" s="740" t="s">
        <v>571</v>
      </c>
      <c r="CL228" s="731"/>
      <c r="CM228" s="731"/>
      <c r="CN228" s="731"/>
      <c r="CO228" s="731"/>
      <c r="CP228" s="731"/>
      <c r="CQ228" s="731"/>
      <c r="CR228" s="731"/>
      <c r="CS228" s="731"/>
      <c r="CT228" s="731"/>
      <c r="CU228" s="731"/>
      <c r="CV228" s="731"/>
      <c r="CW228" s="731"/>
      <c r="CX228" s="731"/>
      <c r="CY228" s="731"/>
      <c r="CZ228" s="731"/>
      <c r="DA228" s="731"/>
      <c r="DB228" s="731"/>
      <c r="DC228" s="731"/>
      <c r="DD228" s="731"/>
      <c r="DE228" s="731"/>
    </row>
    <row r="229" spans="1:109" ht="14.25" x14ac:dyDescent="0.2">
      <c r="A229" s="172"/>
      <c r="AH229"/>
      <c r="AI229"/>
      <c r="AJ229"/>
      <c r="AK229"/>
      <c r="AL229"/>
      <c r="AM229"/>
      <c r="AN229"/>
      <c r="CF229" s="735">
        <v>203</v>
      </c>
      <c r="CG229" s="736" t="s">
        <v>576</v>
      </c>
      <c r="CH229" s="743">
        <f t="shared" si="156"/>
        <v>21170057.969719999</v>
      </c>
      <c r="CI229" s="736" t="s">
        <v>997</v>
      </c>
      <c r="CJ229" s="738" t="s">
        <v>1000</v>
      </c>
      <c r="CK229" s="736" t="s">
        <v>571</v>
      </c>
      <c r="CL229" s="731"/>
      <c r="CM229" s="731"/>
      <c r="CN229" s="731"/>
      <c r="CO229" s="731"/>
      <c r="CP229" s="731"/>
      <c r="CQ229" s="731"/>
      <c r="CR229" s="731"/>
      <c r="CS229" s="731"/>
      <c r="CT229" s="731"/>
      <c r="CU229" s="731"/>
      <c r="CV229" s="731"/>
      <c r="CW229" s="731"/>
      <c r="CX229" s="731"/>
      <c r="CY229" s="731"/>
      <c r="CZ229" s="731"/>
      <c r="DA229" s="731"/>
      <c r="DB229" s="731"/>
      <c r="DC229" s="731"/>
      <c r="DD229" s="731"/>
      <c r="DE229" s="731"/>
    </row>
    <row r="230" spans="1:109" ht="14.25" x14ac:dyDescent="0.2">
      <c r="A230" s="172"/>
      <c r="AH230"/>
      <c r="AI230"/>
      <c r="AJ230"/>
      <c r="AK230"/>
      <c r="AL230"/>
      <c r="AM230"/>
      <c r="AN230"/>
      <c r="CF230" s="739">
        <v>204</v>
      </c>
      <c r="CG230" s="740" t="s">
        <v>1001</v>
      </c>
      <c r="CH230" s="744">
        <f t="shared" si="156"/>
        <v>99435665.969720006</v>
      </c>
      <c r="CI230" s="740" t="s">
        <v>997</v>
      </c>
      <c r="CJ230" s="742" t="s">
        <v>1002</v>
      </c>
      <c r="CK230" s="740" t="s">
        <v>571</v>
      </c>
      <c r="CL230" s="731"/>
      <c r="CM230" s="731"/>
      <c r="CN230" s="731"/>
      <c r="CO230" s="731"/>
      <c r="CP230" s="731"/>
      <c r="CQ230" s="731"/>
      <c r="CR230" s="731"/>
      <c r="CS230" s="731"/>
      <c r="CT230" s="731"/>
      <c r="CU230" s="731"/>
      <c r="CV230" s="731"/>
      <c r="CW230" s="731"/>
      <c r="CX230" s="731"/>
      <c r="CY230" s="731"/>
      <c r="CZ230" s="731"/>
      <c r="DA230" s="731"/>
      <c r="DB230" s="731"/>
      <c r="DC230" s="731"/>
      <c r="DD230" s="731"/>
      <c r="DE230" s="731"/>
    </row>
    <row r="231" spans="1:109" ht="14.25" x14ac:dyDescent="0.2">
      <c r="A231" s="172"/>
      <c r="AH231"/>
      <c r="AI231"/>
      <c r="AJ231"/>
      <c r="AK231"/>
      <c r="AL231"/>
      <c r="AM231"/>
      <c r="AN231"/>
      <c r="CF231" s="735">
        <v>205</v>
      </c>
      <c r="CG231" s="736" t="s">
        <v>994</v>
      </c>
      <c r="CH231" s="743">
        <f t="shared" si="156"/>
        <v>22314657.199999999</v>
      </c>
      <c r="CI231" s="736" t="s">
        <v>997</v>
      </c>
      <c r="CJ231" s="738" t="s">
        <v>1003</v>
      </c>
      <c r="CK231" s="736" t="s">
        <v>571</v>
      </c>
      <c r="CL231" s="731"/>
      <c r="CM231" s="731"/>
      <c r="CN231" s="731"/>
      <c r="CO231" s="731"/>
      <c r="CP231" s="731"/>
      <c r="CQ231" s="731"/>
      <c r="CR231" s="731"/>
      <c r="CS231" s="731"/>
      <c r="CT231" s="731"/>
      <c r="CU231" s="731"/>
      <c r="CV231" s="731"/>
      <c r="CW231" s="731"/>
      <c r="CX231" s="731"/>
      <c r="CY231" s="731"/>
      <c r="CZ231" s="731"/>
      <c r="DA231" s="731"/>
      <c r="DB231" s="731"/>
      <c r="DC231" s="731"/>
      <c r="DD231" s="731"/>
      <c r="DE231" s="731"/>
    </row>
    <row r="232" spans="1:109" ht="14.25" x14ac:dyDescent="0.2">
      <c r="A232" s="172"/>
      <c r="AH232"/>
      <c r="AI232"/>
      <c r="AJ232"/>
      <c r="AK232"/>
      <c r="AL232"/>
      <c r="AM232"/>
      <c r="AN232"/>
      <c r="CF232" s="739">
        <v>206</v>
      </c>
      <c r="CG232" s="740" t="s">
        <v>1004</v>
      </c>
      <c r="CH232" s="744">
        <f t="shared" si="156"/>
        <v>6529315.5539999995</v>
      </c>
      <c r="CI232" s="740" t="s">
        <v>997</v>
      </c>
      <c r="CJ232" s="742" t="s">
        <v>1005</v>
      </c>
      <c r="CK232" s="740" t="s">
        <v>571</v>
      </c>
      <c r="CL232" s="731"/>
      <c r="CM232" s="731"/>
      <c r="CN232" s="731"/>
      <c r="CO232" s="731"/>
      <c r="CP232" s="731"/>
      <c r="CQ232" s="731"/>
      <c r="CR232" s="731"/>
      <c r="CS232" s="731"/>
      <c r="CT232" s="731"/>
      <c r="CU232" s="731"/>
      <c r="CV232" s="731"/>
      <c r="CW232" s="731"/>
      <c r="CX232" s="731"/>
      <c r="CY232" s="731"/>
      <c r="CZ232" s="731"/>
      <c r="DA232" s="731"/>
      <c r="DB232" s="731"/>
      <c r="DC232" s="731"/>
      <c r="DD232" s="731"/>
      <c r="DE232" s="731"/>
    </row>
    <row r="233" spans="1:109" ht="14.25" x14ac:dyDescent="0.2">
      <c r="A233" s="172"/>
      <c r="E233" s="336"/>
      <c r="F233" s="336"/>
      <c r="G233" s="336"/>
      <c r="H233" s="336"/>
      <c r="I233" s="204"/>
      <c r="J233" s="336"/>
      <c r="AH233"/>
      <c r="AI233"/>
      <c r="AJ233"/>
      <c r="AK233"/>
      <c r="AL233"/>
      <c r="AM233"/>
      <c r="AN233"/>
      <c r="CF233" s="735">
        <v>207</v>
      </c>
      <c r="CG233" s="736" t="s">
        <v>1006</v>
      </c>
      <c r="CH233" s="743">
        <f t="shared" si="156"/>
        <v>227269365.99746802</v>
      </c>
      <c r="CI233" s="736" t="s">
        <v>997</v>
      </c>
      <c r="CJ233" s="738" t="s">
        <v>1007</v>
      </c>
      <c r="CK233" s="736" t="s">
        <v>571</v>
      </c>
      <c r="CL233" s="731"/>
      <c r="CM233" s="731"/>
      <c r="CN233" s="731"/>
      <c r="CO233" s="731"/>
      <c r="CP233" s="731"/>
      <c r="CQ233" s="731"/>
      <c r="CR233" s="731"/>
      <c r="CS233" s="731"/>
      <c r="CT233" s="731"/>
      <c r="CU233" s="731"/>
      <c r="CV233" s="731"/>
      <c r="CW233" s="731"/>
      <c r="CX233" s="731"/>
      <c r="CY233" s="731"/>
      <c r="CZ233" s="731"/>
      <c r="DA233" s="731"/>
      <c r="DB233" s="731"/>
      <c r="DC233" s="731"/>
      <c r="DD233" s="731"/>
      <c r="DE233" s="731"/>
    </row>
    <row r="234" spans="1:109" ht="14.25" x14ac:dyDescent="0.2">
      <c r="A234" s="172"/>
      <c r="B234" s="172"/>
      <c r="D234" s="172"/>
      <c r="E234" s="172"/>
      <c r="F234" s="172"/>
      <c r="G234" s="172"/>
      <c r="H234" s="172"/>
      <c r="I234" s="172"/>
      <c r="AH234"/>
      <c r="AI234"/>
      <c r="AJ234"/>
      <c r="AK234"/>
      <c r="AL234"/>
      <c r="AM234"/>
      <c r="AN234"/>
      <c r="CF234" s="739">
        <v>208</v>
      </c>
      <c r="CG234" s="740" t="s">
        <v>285</v>
      </c>
      <c r="CH234" s="744">
        <f t="shared" si="156"/>
        <v>108409600</v>
      </c>
      <c r="CI234" s="740" t="s">
        <v>997</v>
      </c>
      <c r="CJ234" s="742" t="s">
        <v>1008</v>
      </c>
      <c r="CK234" s="740" t="s">
        <v>571</v>
      </c>
      <c r="CL234" s="731"/>
      <c r="CM234" s="731"/>
      <c r="CN234" s="731"/>
      <c r="CO234" s="731"/>
      <c r="CP234" s="731"/>
      <c r="CQ234" s="731"/>
      <c r="CR234" s="731"/>
      <c r="CS234" s="731"/>
      <c r="CT234" s="731"/>
      <c r="CU234" s="731"/>
      <c r="CV234" s="731"/>
      <c r="CW234" s="731"/>
      <c r="CX234" s="731"/>
      <c r="CY234" s="731"/>
      <c r="CZ234" s="731"/>
      <c r="DA234" s="731"/>
      <c r="DB234" s="731"/>
      <c r="DC234" s="731"/>
      <c r="DD234" s="731"/>
      <c r="DE234" s="731"/>
    </row>
    <row r="235" spans="1:109" ht="15" x14ac:dyDescent="0.2">
      <c r="A235" s="172"/>
      <c r="B235" s="172"/>
      <c r="D235" s="177"/>
      <c r="E235" s="172"/>
      <c r="F235" s="172"/>
      <c r="G235" s="172"/>
      <c r="H235" s="172"/>
      <c r="I235" s="172"/>
      <c r="AH235"/>
      <c r="AI235"/>
      <c r="AJ235"/>
      <c r="AK235"/>
      <c r="AL235"/>
      <c r="AM235"/>
      <c r="AN235"/>
      <c r="CF235" s="734" t="s">
        <v>1009</v>
      </c>
      <c r="CG235" s="734"/>
      <c r="CH235" s="734"/>
      <c r="CI235" s="734"/>
      <c r="CJ235" s="734"/>
      <c r="CK235" s="734"/>
      <c r="CL235" s="731"/>
      <c r="CM235" s="731"/>
      <c r="CN235" s="731"/>
      <c r="CO235" s="731"/>
      <c r="CP235" s="731"/>
      <c r="CQ235" s="731"/>
      <c r="CR235" s="731"/>
      <c r="CS235" s="731"/>
      <c r="CT235" s="731"/>
      <c r="CU235" s="731"/>
      <c r="CV235" s="731"/>
      <c r="CW235" s="731"/>
      <c r="CX235" s="731"/>
      <c r="CY235" s="731"/>
      <c r="CZ235" s="731"/>
      <c r="DA235" s="731"/>
      <c r="DB235" s="731"/>
      <c r="DC235" s="731"/>
      <c r="DD235" s="731"/>
      <c r="DE235" s="731"/>
    </row>
    <row r="236" spans="1:109" ht="15" thickBot="1" x14ac:dyDescent="0.25">
      <c r="A236" s="172"/>
      <c r="B236" s="172"/>
      <c r="C236" s="172"/>
      <c r="D236" s="172"/>
      <c r="E236" s="172"/>
      <c r="F236" s="172"/>
      <c r="G236" s="172"/>
      <c r="H236" s="172"/>
      <c r="I236" s="172"/>
      <c r="AH236"/>
      <c r="AI236"/>
      <c r="AJ236"/>
      <c r="AK236"/>
      <c r="AL236"/>
      <c r="AM236"/>
      <c r="AN236"/>
      <c r="CF236" s="735">
        <v>209</v>
      </c>
      <c r="CG236" s="736" t="s">
        <v>1010</v>
      </c>
      <c r="CH236" s="743">
        <f>C118</f>
        <v>54352006</v>
      </c>
      <c r="CI236" s="736" t="s">
        <v>232</v>
      </c>
      <c r="CJ236" s="738" t="s">
        <v>1011</v>
      </c>
      <c r="CK236" s="736" t="s">
        <v>571</v>
      </c>
      <c r="CL236" s="731"/>
      <c r="CM236" s="731"/>
      <c r="CN236" s="731"/>
      <c r="CO236" s="731"/>
      <c r="CP236" s="731"/>
      <c r="CQ236" s="731"/>
      <c r="CR236" s="731"/>
      <c r="CS236" s="731"/>
      <c r="CT236" s="731"/>
      <c r="CU236" s="731"/>
      <c r="CV236" s="731"/>
      <c r="CW236" s="731"/>
      <c r="CX236" s="731"/>
      <c r="CY236" s="731"/>
      <c r="CZ236" s="731"/>
      <c r="DA236" s="731"/>
      <c r="DB236" s="731"/>
      <c r="DC236" s="731"/>
      <c r="DD236" s="731"/>
      <c r="DE236" s="731"/>
    </row>
    <row r="237" spans="1:109" ht="14.25" x14ac:dyDescent="0.2">
      <c r="A237" s="172"/>
      <c r="B237" s="885" t="s">
        <v>188</v>
      </c>
      <c r="C237" s="886"/>
      <c r="D237" s="886"/>
      <c r="E237" s="886"/>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60"/>
      <c r="AH237"/>
      <c r="AI237"/>
      <c r="AJ237"/>
      <c r="AK237"/>
      <c r="AL237"/>
      <c r="AM237"/>
      <c r="AN237"/>
      <c r="CF237" s="739">
        <v>210</v>
      </c>
      <c r="CG237" s="740" t="s">
        <v>580</v>
      </c>
      <c r="CH237" s="744">
        <f>C119</f>
        <v>7141903.2737480383</v>
      </c>
      <c r="CI237" s="740" t="s">
        <v>232</v>
      </c>
      <c r="CJ237" s="742" t="s">
        <v>1012</v>
      </c>
      <c r="CK237" s="740" t="s">
        <v>571</v>
      </c>
      <c r="CL237" s="731"/>
      <c r="CM237" s="731"/>
      <c r="CN237" s="731"/>
      <c r="CO237" s="731"/>
      <c r="CP237" s="731"/>
      <c r="CQ237" s="731"/>
      <c r="CR237" s="731"/>
      <c r="CS237" s="731"/>
      <c r="CT237" s="731"/>
      <c r="CU237" s="731"/>
      <c r="CV237" s="731"/>
      <c r="CW237" s="731"/>
      <c r="CX237" s="731"/>
      <c r="CY237" s="731"/>
      <c r="CZ237" s="731"/>
      <c r="DA237" s="731"/>
      <c r="DB237" s="731"/>
      <c r="DC237" s="731"/>
      <c r="DD237" s="731"/>
      <c r="DE237" s="731"/>
    </row>
    <row r="238" spans="1:109" ht="14.25" x14ac:dyDescent="0.2">
      <c r="A238" s="172"/>
      <c r="B238" s="887"/>
      <c r="C238" s="888"/>
      <c r="D238" s="888"/>
      <c r="E238" s="888"/>
      <c r="F238" s="337"/>
      <c r="G238" s="337"/>
      <c r="H238" s="337"/>
      <c r="I238" s="337"/>
      <c r="J238" s="337"/>
      <c r="K238" s="337"/>
      <c r="L238" s="337"/>
      <c r="M238" s="337"/>
      <c r="N238" s="337"/>
      <c r="O238" s="337"/>
      <c r="P238" s="337"/>
      <c r="Q238" s="337"/>
      <c r="R238" s="337"/>
      <c r="S238" s="337"/>
      <c r="T238" s="337"/>
      <c r="U238" s="337"/>
      <c r="V238" s="337"/>
      <c r="W238" s="337"/>
      <c r="X238" s="337"/>
      <c r="Y238" s="337"/>
      <c r="Z238" s="337"/>
      <c r="AA238" s="337"/>
      <c r="AB238" s="337"/>
      <c r="AC238" s="338"/>
      <c r="AH238"/>
      <c r="AI238"/>
      <c r="AJ238"/>
      <c r="AK238"/>
      <c r="AL238"/>
      <c r="AM238"/>
      <c r="AN238"/>
      <c r="CF238" s="735">
        <v>211</v>
      </c>
      <c r="CG238" s="736" t="s">
        <v>1013</v>
      </c>
      <c r="CH238" s="745">
        <f>E119</f>
        <v>0</v>
      </c>
      <c r="CI238" s="736" t="s">
        <v>232</v>
      </c>
      <c r="CJ238" s="738" t="s">
        <v>1014</v>
      </c>
      <c r="CK238" s="736" t="s">
        <v>592</v>
      </c>
      <c r="CL238" s="731"/>
      <c r="CM238" s="731"/>
      <c r="CN238" s="731"/>
      <c r="CO238" s="731"/>
      <c r="CP238" s="731"/>
      <c r="CQ238" s="731"/>
      <c r="CR238" s="731"/>
      <c r="CS238" s="731"/>
      <c r="CT238" s="731"/>
      <c r="CU238" s="731"/>
      <c r="CV238" s="731"/>
      <c r="CW238" s="731"/>
      <c r="CX238" s="731"/>
      <c r="CY238" s="731"/>
      <c r="CZ238" s="731"/>
      <c r="DA238" s="731"/>
      <c r="DB238" s="731"/>
      <c r="DC238" s="731"/>
      <c r="DD238" s="731"/>
      <c r="DE238" s="731"/>
    </row>
    <row r="239" spans="1:109" ht="15" x14ac:dyDescent="0.2">
      <c r="A239" s="172"/>
      <c r="B239" s="878" t="s">
        <v>189</v>
      </c>
      <c r="C239" s="879"/>
      <c r="D239" s="879"/>
      <c r="E239" s="880"/>
      <c r="F239" s="940" t="s">
        <v>98</v>
      </c>
      <c r="G239" s="840"/>
      <c r="H239" s="840"/>
      <c r="I239" s="840"/>
      <c r="J239" s="840" t="s">
        <v>100</v>
      </c>
      <c r="K239" s="840"/>
      <c r="L239" s="840"/>
      <c r="M239" s="840"/>
      <c r="N239" s="840" t="s">
        <v>102</v>
      </c>
      <c r="O239" s="840"/>
      <c r="P239" s="840"/>
      <c r="Q239" s="840"/>
      <c r="R239" s="840" t="s">
        <v>104</v>
      </c>
      <c r="S239" s="840"/>
      <c r="T239" s="840"/>
      <c r="U239" s="840"/>
      <c r="V239" s="840" t="s">
        <v>105</v>
      </c>
      <c r="W239" s="840"/>
      <c r="X239" s="840"/>
      <c r="Y239" s="840"/>
      <c r="Z239" s="840" t="s">
        <v>107</v>
      </c>
      <c r="AA239" s="840"/>
      <c r="AB239" s="840"/>
      <c r="AC239" s="841"/>
      <c r="AH239"/>
      <c r="AI239"/>
      <c r="AJ239"/>
      <c r="AK239"/>
      <c r="AL239"/>
      <c r="AM239"/>
      <c r="AN239"/>
      <c r="CF239" s="734" t="s">
        <v>1015</v>
      </c>
      <c r="CG239" s="734"/>
      <c r="CH239" s="734"/>
      <c r="CI239" s="734"/>
      <c r="CJ239" s="734"/>
      <c r="CK239" s="734"/>
      <c r="CL239" s="731"/>
      <c r="CM239" s="731"/>
      <c r="CN239" s="731"/>
      <c r="CO239" s="731"/>
      <c r="CP239" s="731"/>
      <c r="CQ239" s="731"/>
      <c r="CR239" s="731"/>
      <c r="CS239" s="731"/>
      <c r="CT239" s="731"/>
      <c r="CU239" s="731"/>
      <c r="CV239" s="731"/>
      <c r="CW239" s="731"/>
      <c r="CX239" s="731"/>
      <c r="CY239" s="731"/>
      <c r="CZ239" s="731"/>
      <c r="DA239" s="731"/>
      <c r="DB239" s="731"/>
      <c r="DC239" s="731"/>
      <c r="DD239" s="731"/>
      <c r="DE239" s="731"/>
    </row>
    <row r="240" spans="1:109" ht="14.25" x14ac:dyDescent="0.2">
      <c r="A240" s="172"/>
      <c r="B240" s="878"/>
      <c r="C240" s="879"/>
      <c r="D240" s="879"/>
      <c r="E240" s="880"/>
      <c r="F240" s="444">
        <f t="shared" ref="F240:AC240" si="157">F177</f>
        <v>46388</v>
      </c>
      <c r="G240" s="54">
        <f t="shared" si="157"/>
        <v>46478</v>
      </c>
      <c r="H240" s="54">
        <f t="shared" si="157"/>
        <v>46569</v>
      </c>
      <c r="I240" s="54">
        <f t="shared" si="157"/>
        <v>46661</v>
      </c>
      <c r="J240" s="54">
        <f t="shared" si="157"/>
        <v>46753</v>
      </c>
      <c r="K240" s="54">
        <f t="shared" si="157"/>
        <v>46844</v>
      </c>
      <c r="L240" s="54">
        <f t="shared" si="157"/>
        <v>46935</v>
      </c>
      <c r="M240" s="54">
        <f t="shared" si="157"/>
        <v>47027</v>
      </c>
      <c r="N240" s="54">
        <f t="shared" si="157"/>
        <v>47119</v>
      </c>
      <c r="O240" s="54">
        <f t="shared" si="157"/>
        <v>47209</v>
      </c>
      <c r="P240" s="54">
        <f t="shared" si="157"/>
        <v>47300</v>
      </c>
      <c r="Q240" s="54">
        <f t="shared" si="157"/>
        <v>47392</v>
      </c>
      <c r="R240" s="54">
        <f t="shared" si="157"/>
        <v>47484</v>
      </c>
      <c r="S240" s="54">
        <f t="shared" si="157"/>
        <v>47574</v>
      </c>
      <c r="T240" s="54">
        <f t="shared" si="157"/>
        <v>47665</v>
      </c>
      <c r="U240" s="54">
        <f t="shared" si="157"/>
        <v>47757</v>
      </c>
      <c r="V240" s="54">
        <f t="shared" si="157"/>
        <v>47849</v>
      </c>
      <c r="W240" s="54">
        <f t="shared" si="157"/>
        <v>47939</v>
      </c>
      <c r="X240" s="54">
        <f t="shared" si="157"/>
        <v>48030</v>
      </c>
      <c r="Y240" s="54">
        <f t="shared" si="157"/>
        <v>48122</v>
      </c>
      <c r="Z240" s="54">
        <f t="shared" si="157"/>
        <v>48214</v>
      </c>
      <c r="AA240" s="54">
        <f t="shared" si="157"/>
        <v>48305</v>
      </c>
      <c r="AB240" s="54">
        <f t="shared" si="157"/>
        <v>48396</v>
      </c>
      <c r="AC240" s="55">
        <f t="shared" si="157"/>
        <v>48488</v>
      </c>
      <c r="AH240"/>
      <c r="AI240"/>
      <c r="AJ240"/>
      <c r="AK240"/>
      <c r="AL240"/>
      <c r="AM240"/>
      <c r="AN240"/>
      <c r="CF240" s="739">
        <v>212</v>
      </c>
      <c r="CG240" s="740" t="s">
        <v>1016</v>
      </c>
      <c r="CH240" s="749">
        <f ca="1">C122</f>
        <v>20.277777777777779</v>
      </c>
      <c r="CI240" s="740" t="s">
        <v>1017</v>
      </c>
      <c r="CJ240" s="742" t="s">
        <v>1018</v>
      </c>
      <c r="CK240" s="740" t="s">
        <v>1019</v>
      </c>
      <c r="CL240" s="731"/>
      <c r="CM240" s="731"/>
      <c r="CN240" s="731"/>
      <c r="CO240" s="731"/>
      <c r="CP240" s="731"/>
      <c r="CQ240" s="731"/>
      <c r="CR240" s="731"/>
      <c r="CS240" s="731"/>
      <c r="CT240" s="731"/>
      <c r="CU240" s="731"/>
      <c r="CV240" s="731"/>
      <c r="CW240" s="731"/>
      <c r="CX240" s="731"/>
      <c r="CY240" s="731"/>
      <c r="CZ240" s="731"/>
      <c r="DA240" s="731"/>
      <c r="DB240" s="731"/>
      <c r="DC240" s="731"/>
      <c r="DD240" s="731"/>
      <c r="DE240" s="731"/>
    </row>
    <row r="241" spans="1:109" ht="14.25" x14ac:dyDescent="0.2">
      <c r="A241" s="172"/>
      <c r="B241" s="878"/>
      <c r="C241" s="879"/>
      <c r="D241" s="879"/>
      <c r="E241" s="880"/>
      <c r="F241" s="445" t="s">
        <v>130</v>
      </c>
      <c r="G241" s="330" t="s">
        <v>131</v>
      </c>
      <c r="H241" s="330" t="s">
        <v>132</v>
      </c>
      <c r="I241" s="330" t="s">
        <v>133</v>
      </c>
      <c r="J241" s="330" t="s">
        <v>134</v>
      </c>
      <c r="K241" s="330" t="s">
        <v>135</v>
      </c>
      <c r="L241" s="330" t="s">
        <v>136</v>
      </c>
      <c r="M241" s="330" t="s">
        <v>137</v>
      </c>
      <c r="N241" s="330" t="s">
        <v>138</v>
      </c>
      <c r="O241" s="330" t="s">
        <v>139</v>
      </c>
      <c r="P241" s="330" t="s">
        <v>140</v>
      </c>
      <c r="Q241" s="330" t="s">
        <v>141</v>
      </c>
      <c r="R241" s="330" t="s">
        <v>142</v>
      </c>
      <c r="S241" s="330" t="s">
        <v>143</v>
      </c>
      <c r="T241" s="330" t="s">
        <v>144</v>
      </c>
      <c r="U241" s="330" t="s">
        <v>145</v>
      </c>
      <c r="V241" s="330" t="s">
        <v>146</v>
      </c>
      <c r="W241" s="330" t="s">
        <v>147</v>
      </c>
      <c r="X241" s="330" t="s">
        <v>148</v>
      </c>
      <c r="Y241" s="330" t="s">
        <v>149</v>
      </c>
      <c r="Z241" s="330" t="s">
        <v>150</v>
      </c>
      <c r="AA241" s="330" t="s">
        <v>151</v>
      </c>
      <c r="AB241" s="330" t="s">
        <v>152</v>
      </c>
      <c r="AC241" s="302" t="s">
        <v>153</v>
      </c>
      <c r="AH241"/>
      <c r="AI241"/>
      <c r="AJ241"/>
      <c r="AK241"/>
      <c r="AL241"/>
      <c r="AM241"/>
      <c r="AN241"/>
      <c r="CF241" s="735">
        <v>213</v>
      </c>
      <c r="CG241" s="736" t="s">
        <v>1020</v>
      </c>
      <c r="CH241" s="745">
        <f ca="1">D122</f>
        <v>60.833333333333336</v>
      </c>
      <c r="CI241" s="736" t="s">
        <v>1017</v>
      </c>
      <c r="CJ241" s="738" t="s">
        <v>1021</v>
      </c>
      <c r="CK241" s="736" t="s">
        <v>592</v>
      </c>
      <c r="CL241" s="731"/>
      <c r="CM241" s="731"/>
      <c r="CN241" s="731"/>
      <c r="CO241" s="731"/>
      <c r="CP241" s="731"/>
      <c r="CQ241" s="731"/>
      <c r="CR241" s="731"/>
      <c r="CS241" s="731"/>
      <c r="CT241" s="731"/>
      <c r="CU241" s="731"/>
      <c r="CV241" s="731"/>
      <c r="CW241" s="731"/>
      <c r="CX241" s="731"/>
      <c r="CY241" s="731"/>
      <c r="CZ241" s="731"/>
      <c r="DA241" s="731"/>
      <c r="DB241" s="731"/>
      <c r="DC241" s="731"/>
      <c r="DD241" s="731"/>
      <c r="DE241" s="731"/>
    </row>
    <row r="242" spans="1:109" ht="14.25" x14ac:dyDescent="0.2">
      <c r="A242" s="172"/>
      <c r="B242" s="1017" t="s">
        <v>265</v>
      </c>
      <c r="C242" s="1018"/>
      <c r="D242" s="1018"/>
      <c r="E242" s="1019"/>
      <c r="F242" s="1020">
        <f>$C$192</f>
        <v>7.2999999999999995E-2</v>
      </c>
      <c r="G242" s="909"/>
      <c r="H242" s="909"/>
      <c r="I242" s="909"/>
      <c r="J242" s="909">
        <f>$C$192</f>
        <v>7.2999999999999995E-2</v>
      </c>
      <c r="K242" s="909"/>
      <c r="L242" s="909"/>
      <c r="M242" s="909"/>
      <c r="N242" s="909">
        <f>$C$192</f>
        <v>7.2999999999999995E-2</v>
      </c>
      <c r="O242" s="909"/>
      <c r="P242" s="909"/>
      <c r="Q242" s="909"/>
      <c r="R242" s="909">
        <f>$C$192</f>
        <v>7.2999999999999995E-2</v>
      </c>
      <c r="S242" s="909"/>
      <c r="T242" s="909"/>
      <c r="U242" s="909"/>
      <c r="V242" s="909">
        <f>$C$192</f>
        <v>7.2999999999999995E-2</v>
      </c>
      <c r="W242" s="909"/>
      <c r="X242" s="909"/>
      <c r="Y242" s="909"/>
      <c r="Z242" s="909">
        <f>$C$192</f>
        <v>7.2999999999999995E-2</v>
      </c>
      <c r="AA242" s="909"/>
      <c r="AB242" s="909"/>
      <c r="AC242" s="938"/>
      <c r="AH242"/>
      <c r="AI242"/>
      <c r="AJ242"/>
      <c r="AK242"/>
      <c r="AL242"/>
      <c r="AM242"/>
      <c r="AN242"/>
      <c r="CF242" s="739">
        <v>214</v>
      </c>
      <c r="CG242" s="740" t="s">
        <v>1022</v>
      </c>
      <c r="CH242" s="751">
        <f>E122</f>
        <v>0</v>
      </c>
      <c r="CI242" s="740" t="s">
        <v>1017</v>
      </c>
      <c r="CJ242" s="742" t="s">
        <v>1023</v>
      </c>
      <c r="CK242" s="740" t="s">
        <v>1024</v>
      </c>
      <c r="CL242" s="731"/>
      <c r="CM242" s="731"/>
      <c r="CN242" s="731"/>
      <c r="CO242" s="731"/>
      <c r="CP242" s="731"/>
      <c r="CQ242" s="731"/>
      <c r="CR242" s="731"/>
      <c r="CS242" s="731"/>
      <c r="CT242" s="731"/>
      <c r="CU242" s="731"/>
      <c r="CV242" s="731"/>
      <c r="CW242" s="731"/>
      <c r="CX242" s="731"/>
      <c r="CY242" s="731"/>
      <c r="CZ242" s="731"/>
      <c r="DA242" s="731"/>
      <c r="DB242" s="731"/>
      <c r="DC242" s="731"/>
      <c r="DD242" s="731"/>
      <c r="DE242" s="731"/>
    </row>
    <row r="243" spans="1:109" ht="15" x14ac:dyDescent="0.2">
      <c r="A243" s="172"/>
      <c r="B243" s="1017"/>
      <c r="C243" s="1018"/>
      <c r="D243" s="1018"/>
      <c r="E243" s="1019"/>
      <c r="F243" s="1020"/>
      <c r="G243" s="909"/>
      <c r="H243" s="909"/>
      <c r="I243" s="909"/>
      <c r="J243" s="909"/>
      <c r="K243" s="909"/>
      <c r="L243" s="909"/>
      <c r="M243" s="909"/>
      <c r="N243" s="909"/>
      <c r="O243" s="909"/>
      <c r="P243" s="909"/>
      <c r="Q243" s="909"/>
      <c r="R243" s="909"/>
      <c r="S243" s="909"/>
      <c r="T243" s="909"/>
      <c r="U243" s="909"/>
      <c r="V243" s="909"/>
      <c r="W243" s="909"/>
      <c r="X243" s="909"/>
      <c r="Y243" s="909"/>
      <c r="Z243" s="909"/>
      <c r="AA243" s="909"/>
      <c r="AB243" s="909"/>
      <c r="AC243" s="938"/>
      <c r="CF243" s="734" t="s">
        <v>1025</v>
      </c>
      <c r="CG243" s="734"/>
      <c r="CH243" s="734"/>
      <c r="CI243" s="734"/>
      <c r="CJ243" s="734"/>
      <c r="CK243" s="734"/>
      <c r="CL243" s="731"/>
      <c r="CM243" s="731"/>
      <c r="CN243" s="731"/>
      <c r="CO243" s="731"/>
      <c r="CP243" s="731"/>
      <c r="CQ243" s="731"/>
      <c r="CR243" s="731"/>
      <c r="CS243" s="731"/>
      <c r="CT243" s="731"/>
      <c r="CU243" s="731"/>
      <c r="CV243" s="731"/>
      <c r="CW243" s="731"/>
      <c r="CX243" s="731"/>
      <c r="CY243" s="731"/>
      <c r="CZ243" s="731"/>
      <c r="DA243" s="731"/>
      <c r="DB243" s="731"/>
      <c r="DC243" s="731"/>
      <c r="DD243" s="731"/>
      <c r="DE243" s="731"/>
    </row>
    <row r="244" spans="1:109" ht="12.75" x14ac:dyDescent="0.2">
      <c r="A244" s="172"/>
      <c r="B244" s="878" t="s">
        <v>454</v>
      </c>
      <c r="C244" s="879"/>
      <c r="D244" s="879"/>
      <c r="E244" s="880"/>
      <c r="F244" s="1021">
        <f t="shared" ref="F244:Y244" si="158">$C$192/4</f>
        <v>1.8249999999999999E-2</v>
      </c>
      <c r="G244" s="935">
        <f t="shared" si="158"/>
        <v>1.8249999999999999E-2</v>
      </c>
      <c r="H244" s="935">
        <f t="shared" si="158"/>
        <v>1.8249999999999999E-2</v>
      </c>
      <c r="I244" s="935">
        <f t="shared" si="158"/>
        <v>1.8249999999999999E-2</v>
      </c>
      <c r="J244" s="935">
        <f t="shared" si="158"/>
        <v>1.8249999999999999E-2</v>
      </c>
      <c r="K244" s="935">
        <f t="shared" si="158"/>
        <v>1.8249999999999999E-2</v>
      </c>
      <c r="L244" s="935">
        <f t="shared" si="158"/>
        <v>1.8249999999999999E-2</v>
      </c>
      <c r="M244" s="935">
        <f t="shared" si="158"/>
        <v>1.8249999999999999E-2</v>
      </c>
      <c r="N244" s="935">
        <f t="shared" si="158"/>
        <v>1.8249999999999999E-2</v>
      </c>
      <c r="O244" s="935">
        <f t="shared" si="158"/>
        <v>1.8249999999999999E-2</v>
      </c>
      <c r="P244" s="935">
        <f t="shared" si="158"/>
        <v>1.8249999999999999E-2</v>
      </c>
      <c r="Q244" s="935">
        <f t="shared" si="158"/>
        <v>1.8249999999999999E-2</v>
      </c>
      <c r="R244" s="935">
        <f t="shared" si="158"/>
        <v>1.8249999999999999E-2</v>
      </c>
      <c r="S244" s="935">
        <f t="shared" si="158"/>
        <v>1.8249999999999999E-2</v>
      </c>
      <c r="T244" s="935">
        <f t="shared" si="158"/>
        <v>1.8249999999999999E-2</v>
      </c>
      <c r="U244" s="935">
        <f t="shared" si="158"/>
        <v>1.8249999999999999E-2</v>
      </c>
      <c r="V244" s="935">
        <f t="shared" si="158"/>
        <v>1.8249999999999999E-2</v>
      </c>
      <c r="W244" s="935">
        <f t="shared" si="158"/>
        <v>1.8249999999999999E-2</v>
      </c>
      <c r="X244" s="935">
        <f t="shared" si="158"/>
        <v>1.8249999999999999E-2</v>
      </c>
      <c r="Y244" s="935">
        <f t="shared" si="158"/>
        <v>1.8249999999999999E-2</v>
      </c>
      <c r="Z244" s="935">
        <f t="shared" ref="Z244:AC244" si="159">$C$192/4</f>
        <v>1.8249999999999999E-2</v>
      </c>
      <c r="AA244" s="935">
        <f t="shared" si="159"/>
        <v>1.8249999999999999E-2</v>
      </c>
      <c r="AB244" s="935">
        <f t="shared" si="159"/>
        <v>1.8249999999999999E-2</v>
      </c>
      <c r="AC244" s="934">
        <f t="shared" si="159"/>
        <v>1.8249999999999999E-2</v>
      </c>
      <c r="CF244" s="735">
        <v>215</v>
      </c>
      <c r="CG244" s="736" t="s">
        <v>1026</v>
      </c>
      <c r="CH244" s="750">
        <f>C129</f>
        <v>12</v>
      </c>
      <c r="CI244" s="736" t="s">
        <v>1027</v>
      </c>
      <c r="CJ244" s="738" t="s">
        <v>1028</v>
      </c>
      <c r="CK244" s="736" t="s">
        <v>694</v>
      </c>
      <c r="CL244" s="731"/>
      <c r="CM244" s="731"/>
      <c r="CN244" s="731"/>
      <c r="CO244" s="731"/>
      <c r="CP244" s="731"/>
      <c r="CQ244" s="731"/>
      <c r="CR244" s="731"/>
      <c r="CS244" s="731"/>
      <c r="CT244" s="731"/>
      <c r="CU244" s="731"/>
      <c r="CV244" s="731"/>
      <c r="CW244" s="731"/>
      <c r="CX244" s="731"/>
      <c r="CY244" s="731"/>
      <c r="CZ244" s="731"/>
      <c r="DA244" s="731"/>
      <c r="DB244" s="731"/>
      <c r="DC244" s="731"/>
      <c r="DD244" s="731"/>
      <c r="DE244" s="731"/>
    </row>
    <row r="245" spans="1:109" ht="12.75" x14ac:dyDescent="0.2">
      <c r="A245" s="172"/>
      <c r="B245" s="878"/>
      <c r="C245" s="879"/>
      <c r="D245" s="879"/>
      <c r="E245" s="880"/>
      <c r="F245" s="1021"/>
      <c r="G245" s="935"/>
      <c r="H245" s="935"/>
      <c r="I245" s="935"/>
      <c r="J245" s="935"/>
      <c r="K245" s="935"/>
      <c r="L245" s="935"/>
      <c r="M245" s="935"/>
      <c r="N245" s="935"/>
      <c r="O245" s="935"/>
      <c r="P245" s="935"/>
      <c r="Q245" s="935"/>
      <c r="R245" s="935"/>
      <c r="S245" s="935"/>
      <c r="T245" s="935"/>
      <c r="U245" s="935"/>
      <c r="V245" s="935"/>
      <c r="W245" s="935"/>
      <c r="X245" s="935"/>
      <c r="Y245" s="935"/>
      <c r="Z245" s="935"/>
      <c r="AA245" s="935"/>
      <c r="AB245" s="935"/>
      <c r="AC245" s="934"/>
      <c r="CF245" s="739">
        <v>216</v>
      </c>
      <c r="CG245" s="740" t="s">
        <v>1029</v>
      </c>
      <c r="CH245" s="746">
        <f>D129</f>
        <v>1</v>
      </c>
      <c r="CI245" s="740" t="s">
        <v>1027</v>
      </c>
      <c r="CJ245" s="742" t="s">
        <v>1030</v>
      </c>
      <c r="CK245" s="740" t="s">
        <v>597</v>
      </c>
      <c r="CL245" s="731"/>
      <c r="CM245" s="731"/>
      <c r="CN245" s="731"/>
      <c r="CO245" s="731"/>
      <c r="CP245" s="731"/>
      <c r="CQ245" s="731"/>
      <c r="CR245" s="731"/>
      <c r="CS245" s="731"/>
      <c r="CT245" s="731"/>
      <c r="CU245" s="731"/>
      <c r="CV245" s="731"/>
      <c r="CW245" s="731"/>
      <c r="CX245" s="731"/>
      <c r="CY245" s="731"/>
      <c r="CZ245" s="731"/>
      <c r="DA245" s="731"/>
      <c r="DB245" s="731"/>
      <c r="DC245" s="731"/>
      <c r="DD245" s="731"/>
      <c r="DE245" s="731"/>
    </row>
    <row r="246" spans="1:109" ht="12.75" x14ac:dyDescent="0.2">
      <c r="A246" s="172"/>
      <c r="B246" s="941" t="s">
        <v>266</v>
      </c>
      <c r="C246" s="942"/>
      <c r="D246" s="942"/>
      <c r="E246" s="943"/>
      <c r="F246" s="893">
        <f>F248</f>
        <v>0</v>
      </c>
      <c r="G246" s="895">
        <f t="shared" ref="G246:X246" si="160">F246+G248+G256</f>
        <v>0</v>
      </c>
      <c r="H246" s="895">
        <f t="shared" si="160"/>
        <v>0</v>
      </c>
      <c r="I246" s="895">
        <f t="shared" si="160"/>
        <v>0</v>
      </c>
      <c r="J246" s="895">
        <f t="shared" si="160"/>
        <v>0</v>
      </c>
      <c r="K246" s="895">
        <f t="shared" si="160"/>
        <v>0</v>
      </c>
      <c r="L246" s="895">
        <f t="shared" si="160"/>
        <v>2552006</v>
      </c>
      <c r="M246" s="895">
        <f>L246+M248+M256</f>
        <v>3352006</v>
      </c>
      <c r="N246" s="895">
        <f t="shared" si="160"/>
        <v>5552006</v>
      </c>
      <c r="O246" s="895">
        <f t="shared" si="160"/>
        <v>7752006</v>
      </c>
      <c r="P246" s="895">
        <f t="shared" si="160"/>
        <v>13552006</v>
      </c>
      <c r="Q246" s="895">
        <f t="shared" si="160"/>
        <v>22552006</v>
      </c>
      <c r="R246" s="895">
        <f t="shared" si="160"/>
        <v>28652006</v>
      </c>
      <c r="S246" s="895">
        <f t="shared" si="160"/>
        <v>36052006</v>
      </c>
      <c r="T246" s="895">
        <f t="shared" si="160"/>
        <v>43252006</v>
      </c>
      <c r="U246" s="895">
        <f t="shared" si="160"/>
        <v>53252006</v>
      </c>
      <c r="V246" s="895">
        <f t="shared" si="160"/>
        <v>53552006</v>
      </c>
      <c r="W246" s="895">
        <f t="shared" si="160"/>
        <v>54352006</v>
      </c>
      <c r="X246" s="895">
        <f t="shared" si="160"/>
        <v>52022133.136878826</v>
      </c>
      <c r="Y246" s="895">
        <f>X246+Y248+Y256</f>
        <v>0</v>
      </c>
      <c r="Z246" s="895">
        <f>Y246+Z248+Z256</f>
        <v>0</v>
      </c>
      <c r="AA246" s="895">
        <f t="shared" ref="AA246:AB246" si="161">Z246+AA248+AA256</f>
        <v>0</v>
      </c>
      <c r="AB246" s="895">
        <f t="shared" si="161"/>
        <v>0</v>
      </c>
      <c r="AC246" s="933">
        <f>AB246+AC248+AC256</f>
        <v>0</v>
      </c>
      <c r="CF246" s="735">
        <v>217</v>
      </c>
      <c r="CG246" s="736" t="s">
        <v>1031</v>
      </c>
      <c r="CH246" s="745">
        <f>E129</f>
        <v>3013.7939999999999</v>
      </c>
      <c r="CI246" s="736" t="s">
        <v>1027</v>
      </c>
      <c r="CJ246" s="738" t="s">
        <v>1032</v>
      </c>
      <c r="CK246" s="736" t="s">
        <v>647</v>
      </c>
      <c r="CL246" s="731"/>
      <c r="CM246" s="731"/>
      <c r="CN246" s="731"/>
      <c r="CO246" s="731"/>
      <c r="CP246" s="731"/>
      <c r="CQ246" s="731"/>
      <c r="CR246" s="731"/>
      <c r="CS246" s="731"/>
      <c r="CT246" s="731"/>
      <c r="CU246" s="731"/>
      <c r="CV246" s="731"/>
      <c r="CW246" s="731"/>
      <c r="CX246" s="731"/>
      <c r="CY246" s="731"/>
      <c r="CZ246" s="731"/>
      <c r="DA246" s="731"/>
      <c r="DB246" s="731"/>
      <c r="DC246" s="731"/>
      <c r="DD246" s="731"/>
      <c r="DE246" s="731"/>
    </row>
    <row r="247" spans="1:109" ht="12.75" x14ac:dyDescent="0.2">
      <c r="A247" s="177"/>
      <c r="B247" s="941"/>
      <c r="C247" s="942"/>
      <c r="D247" s="942"/>
      <c r="E247" s="943"/>
      <c r="F247" s="893"/>
      <c r="G247" s="895"/>
      <c r="H247" s="895"/>
      <c r="I247" s="895"/>
      <c r="J247" s="895"/>
      <c r="K247" s="895"/>
      <c r="L247" s="895"/>
      <c r="M247" s="895"/>
      <c r="N247" s="895"/>
      <c r="O247" s="895"/>
      <c r="P247" s="895"/>
      <c r="Q247" s="895"/>
      <c r="R247" s="895"/>
      <c r="S247" s="895"/>
      <c r="T247" s="895"/>
      <c r="U247" s="895"/>
      <c r="V247" s="895"/>
      <c r="W247" s="895"/>
      <c r="X247" s="895"/>
      <c r="Y247" s="895"/>
      <c r="Z247" s="895"/>
      <c r="AA247" s="895"/>
      <c r="AB247" s="895"/>
      <c r="AC247" s="933"/>
      <c r="CF247" s="739">
        <v>218</v>
      </c>
      <c r="CG247" s="740" t="s">
        <v>690</v>
      </c>
      <c r="CH247" s="749">
        <f>F129</f>
        <v>251.14949999999999</v>
      </c>
      <c r="CI247" s="740" t="s">
        <v>1027</v>
      </c>
      <c r="CJ247" s="742" t="s">
        <v>1033</v>
      </c>
      <c r="CK247" s="740" t="s">
        <v>647</v>
      </c>
      <c r="CL247" s="731"/>
      <c r="CM247" s="731"/>
      <c r="CN247" s="731"/>
      <c r="CO247" s="731"/>
      <c r="CP247" s="731"/>
      <c r="CQ247" s="731"/>
      <c r="CR247" s="731"/>
      <c r="CS247" s="731"/>
      <c r="CT247" s="731"/>
      <c r="CU247" s="731"/>
      <c r="CV247" s="731"/>
      <c r="CW247" s="731"/>
      <c r="CX247" s="731"/>
      <c r="CY247" s="731"/>
      <c r="CZ247" s="731"/>
      <c r="DA247" s="731"/>
      <c r="DB247" s="731"/>
      <c r="DC247" s="731"/>
      <c r="DD247" s="731"/>
      <c r="DE247" s="731"/>
    </row>
    <row r="248" spans="1:109" ht="12.75" x14ac:dyDescent="0.2">
      <c r="A248" s="177"/>
      <c r="B248" s="878" t="s">
        <v>267</v>
      </c>
      <c r="C248" s="879"/>
      <c r="D248" s="879"/>
      <c r="E248" s="880"/>
      <c r="F248" s="908">
        <f t="shared" ref="F248:AB248" si="162">F189</f>
        <v>0</v>
      </c>
      <c r="G248" s="898">
        <f t="shared" si="162"/>
        <v>0</v>
      </c>
      <c r="H248" s="898">
        <f t="shared" si="162"/>
        <v>0</v>
      </c>
      <c r="I248" s="898">
        <f t="shared" si="162"/>
        <v>0</v>
      </c>
      <c r="J248" s="898">
        <f t="shared" si="162"/>
        <v>0</v>
      </c>
      <c r="K248" s="898">
        <f t="shared" si="162"/>
        <v>0</v>
      </c>
      <c r="L248" s="898">
        <f t="shared" si="162"/>
        <v>2552006</v>
      </c>
      <c r="M248" s="898">
        <f t="shared" si="162"/>
        <v>800000</v>
      </c>
      <c r="N248" s="898">
        <f t="shared" si="162"/>
        <v>2200000</v>
      </c>
      <c r="O248" s="898">
        <f t="shared" si="162"/>
        <v>2200000</v>
      </c>
      <c r="P248" s="898">
        <f t="shared" si="162"/>
        <v>5800000</v>
      </c>
      <c r="Q248" s="898">
        <f t="shared" si="162"/>
        <v>9000000</v>
      </c>
      <c r="R248" s="898">
        <f t="shared" si="162"/>
        <v>6100000</v>
      </c>
      <c r="S248" s="898">
        <f t="shared" si="162"/>
        <v>7400000</v>
      </c>
      <c r="T248" s="898">
        <f t="shared" si="162"/>
        <v>7200000</v>
      </c>
      <c r="U248" s="898">
        <f t="shared" si="162"/>
        <v>10000000</v>
      </c>
      <c r="V248" s="898">
        <f t="shared" si="162"/>
        <v>300000</v>
      </c>
      <c r="W248" s="898">
        <f t="shared" si="162"/>
        <v>800000</v>
      </c>
      <c r="X248" s="898">
        <f t="shared" si="162"/>
        <v>0</v>
      </c>
      <c r="Y248" s="898">
        <f t="shared" si="162"/>
        <v>0</v>
      </c>
      <c r="Z248" s="898">
        <f t="shared" si="162"/>
        <v>0</v>
      </c>
      <c r="AA248" s="898">
        <f t="shared" si="162"/>
        <v>0</v>
      </c>
      <c r="AB248" s="898">
        <f t="shared" si="162"/>
        <v>0</v>
      </c>
      <c r="AC248" s="925">
        <f>AC189</f>
        <v>0</v>
      </c>
      <c r="CF248" s="735">
        <v>219</v>
      </c>
      <c r="CG248" s="736" t="s">
        <v>1034</v>
      </c>
      <c r="CH248" s="743">
        <f>H129</f>
        <v>0</v>
      </c>
      <c r="CI248" s="736" t="s">
        <v>1027</v>
      </c>
      <c r="CJ248" s="738" t="s">
        <v>1035</v>
      </c>
      <c r="CK248" s="736" t="s">
        <v>650</v>
      </c>
      <c r="CL248" s="731"/>
      <c r="CM248" s="731"/>
      <c r="CN248" s="731"/>
      <c r="CO248" s="731"/>
      <c r="CP248" s="731"/>
      <c r="CQ248" s="731"/>
      <c r="CR248" s="731"/>
      <c r="CS248" s="731"/>
      <c r="CT248" s="731"/>
      <c r="CU248" s="731"/>
      <c r="CV248" s="731"/>
      <c r="CW248" s="731"/>
      <c r="CX248" s="731"/>
      <c r="CY248" s="731"/>
      <c r="CZ248" s="731"/>
      <c r="DA248" s="731"/>
      <c r="DB248" s="731"/>
      <c r="DC248" s="731"/>
      <c r="DD248" s="731"/>
      <c r="DE248" s="731"/>
    </row>
    <row r="249" spans="1:109" ht="12.75" x14ac:dyDescent="0.2">
      <c r="A249" s="177"/>
      <c r="B249" s="878"/>
      <c r="C249" s="879"/>
      <c r="D249" s="879"/>
      <c r="E249" s="880"/>
      <c r="F249" s="908"/>
      <c r="G249" s="898"/>
      <c r="H249" s="898"/>
      <c r="I249" s="898"/>
      <c r="J249" s="898"/>
      <c r="K249" s="898"/>
      <c r="L249" s="898"/>
      <c r="M249" s="898"/>
      <c r="N249" s="898"/>
      <c r="O249" s="898"/>
      <c r="P249" s="898"/>
      <c r="Q249" s="898"/>
      <c r="R249" s="898"/>
      <c r="S249" s="898"/>
      <c r="T249" s="898"/>
      <c r="U249" s="898"/>
      <c r="V249" s="898"/>
      <c r="W249" s="898"/>
      <c r="X249" s="898"/>
      <c r="Y249" s="898"/>
      <c r="Z249" s="898"/>
      <c r="AA249" s="898"/>
      <c r="AB249" s="898"/>
      <c r="AC249" s="925"/>
      <c r="CF249" s="739">
        <v>220</v>
      </c>
      <c r="CG249" s="740" t="s">
        <v>1036</v>
      </c>
      <c r="CH249" s="744">
        <f>I129</f>
        <v>0</v>
      </c>
      <c r="CI249" s="740" t="s">
        <v>1027</v>
      </c>
      <c r="CJ249" s="742" t="s">
        <v>1037</v>
      </c>
      <c r="CK249" s="740" t="s">
        <v>571</v>
      </c>
      <c r="CL249" s="731"/>
      <c r="CM249" s="731"/>
      <c r="CN249" s="731"/>
      <c r="CO249" s="731"/>
      <c r="CP249" s="731"/>
      <c r="CQ249" s="731"/>
      <c r="CR249" s="731"/>
      <c r="CS249" s="731"/>
      <c r="CT249" s="731"/>
      <c r="CU249" s="731"/>
      <c r="CV249" s="731"/>
      <c r="CW249" s="731"/>
      <c r="CX249" s="731"/>
      <c r="CY249" s="731"/>
      <c r="CZ249" s="731"/>
      <c r="DA249" s="731"/>
      <c r="DB249" s="731"/>
      <c r="DC249" s="731"/>
      <c r="DD249" s="731"/>
      <c r="DE249" s="731"/>
    </row>
    <row r="250" spans="1:109" ht="12.75" x14ac:dyDescent="0.2">
      <c r="A250" s="177"/>
      <c r="B250" s="941" t="s">
        <v>268</v>
      </c>
      <c r="C250" s="942"/>
      <c r="D250" s="942"/>
      <c r="E250" s="943"/>
      <c r="F250" s="893">
        <f t="shared" ref="F250:AC250" si="163">F192</f>
        <v>0</v>
      </c>
      <c r="G250" s="895">
        <f t="shared" si="163"/>
        <v>0</v>
      </c>
      <c r="H250" s="895">
        <f t="shared" si="163"/>
        <v>0</v>
      </c>
      <c r="I250" s="895">
        <f t="shared" si="163"/>
        <v>0</v>
      </c>
      <c r="J250" s="895">
        <f t="shared" si="163"/>
        <v>0</v>
      </c>
      <c r="K250" s="895">
        <f t="shared" si="163"/>
        <v>0</v>
      </c>
      <c r="L250" s="895">
        <f t="shared" si="163"/>
        <v>0</v>
      </c>
      <c r="M250" s="895">
        <f t="shared" si="163"/>
        <v>-46574.109499999999</v>
      </c>
      <c r="N250" s="895">
        <f t="shared" si="163"/>
        <v>-61174.109499999999</v>
      </c>
      <c r="O250" s="895">
        <f t="shared" si="163"/>
        <v>-101324.10949999999</v>
      </c>
      <c r="P250" s="895">
        <f t="shared" si="163"/>
        <v>-141474.10949999999</v>
      </c>
      <c r="Q250" s="895">
        <f t="shared" si="163"/>
        <v>-247324.10949999999</v>
      </c>
      <c r="R250" s="895">
        <f t="shared" si="163"/>
        <v>-411574.10949999996</v>
      </c>
      <c r="S250" s="895">
        <f t="shared" si="163"/>
        <v>-522899.10949999996</v>
      </c>
      <c r="T250" s="895">
        <f t="shared" si="163"/>
        <v>-657949.1094999999</v>
      </c>
      <c r="U250" s="895">
        <f t="shared" si="163"/>
        <v>-789349.1094999999</v>
      </c>
      <c r="V250" s="895">
        <f t="shared" si="163"/>
        <v>-971849.1094999999</v>
      </c>
      <c r="W250" s="895">
        <f t="shared" si="163"/>
        <v>-977324.1094999999</v>
      </c>
      <c r="X250" s="895">
        <f t="shared" si="163"/>
        <v>-991924.1094999999</v>
      </c>
      <c r="Y250" s="895">
        <f t="shared" si="163"/>
        <v>-949403.92974803853</v>
      </c>
      <c r="Z250" s="895">
        <f t="shared" si="163"/>
        <v>0</v>
      </c>
      <c r="AA250" s="895">
        <f t="shared" si="163"/>
        <v>0</v>
      </c>
      <c r="AB250" s="895">
        <f t="shared" si="163"/>
        <v>0</v>
      </c>
      <c r="AC250" s="933">
        <f t="shared" si="163"/>
        <v>0</v>
      </c>
      <c r="CF250" s="735">
        <v>221</v>
      </c>
      <c r="CG250" s="736" t="s">
        <v>1038</v>
      </c>
      <c r="CH250" s="743">
        <f>J129</f>
        <v>0</v>
      </c>
      <c r="CI250" s="736" t="s">
        <v>1027</v>
      </c>
      <c r="CJ250" s="738" t="s">
        <v>1039</v>
      </c>
      <c r="CK250" s="736" t="s">
        <v>571</v>
      </c>
      <c r="CL250" s="731"/>
      <c r="CM250" s="731"/>
      <c r="CN250" s="731"/>
      <c r="CO250" s="731"/>
      <c r="CP250" s="731"/>
      <c r="CQ250" s="731"/>
      <c r="CR250" s="731"/>
      <c r="CS250" s="731"/>
      <c r="CT250" s="731"/>
      <c r="CU250" s="731"/>
      <c r="CV250" s="731"/>
      <c r="CW250" s="731"/>
      <c r="CX250" s="731"/>
      <c r="CY250" s="731"/>
      <c r="CZ250" s="731"/>
      <c r="DA250" s="731"/>
      <c r="DB250" s="731"/>
      <c r="DC250" s="731"/>
      <c r="DD250" s="731"/>
      <c r="DE250" s="731"/>
    </row>
    <row r="251" spans="1:109" ht="15" x14ac:dyDescent="0.2">
      <c r="B251" s="941"/>
      <c r="C251" s="942"/>
      <c r="D251" s="942"/>
      <c r="E251" s="943"/>
      <c r="F251" s="893"/>
      <c r="G251" s="895"/>
      <c r="H251" s="895"/>
      <c r="I251" s="895"/>
      <c r="J251" s="895"/>
      <c r="K251" s="895"/>
      <c r="L251" s="895"/>
      <c r="M251" s="895"/>
      <c r="N251" s="895"/>
      <c r="O251" s="895"/>
      <c r="P251" s="895"/>
      <c r="Q251" s="895"/>
      <c r="R251" s="895"/>
      <c r="S251" s="895"/>
      <c r="T251" s="895"/>
      <c r="U251" s="895"/>
      <c r="V251" s="895"/>
      <c r="W251" s="895"/>
      <c r="X251" s="895"/>
      <c r="Y251" s="895"/>
      <c r="Z251" s="895"/>
      <c r="AA251" s="895"/>
      <c r="AB251" s="895"/>
      <c r="AC251" s="933"/>
      <c r="CF251" s="734" t="s">
        <v>1040</v>
      </c>
      <c r="CG251" s="734"/>
      <c r="CH251" s="734"/>
      <c r="CI251" s="734"/>
      <c r="CJ251" s="734"/>
      <c r="CK251" s="734"/>
      <c r="CL251" s="731"/>
      <c r="CM251" s="731"/>
      <c r="CN251" s="731"/>
      <c r="CO251" s="731"/>
      <c r="CP251" s="731"/>
      <c r="CQ251" s="731"/>
      <c r="CR251" s="731"/>
      <c r="CS251" s="731"/>
      <c r="CT251" s="731"/>
      <c r="CU251" s="731"/>
      <c r="CV251" s="731"/>
      <c r="CW251" s="731"/>
      <c r="CX251" s="731"/>
      <c r="CY251" s="731"/>
      <c r="CZ251" s="731"/>
      <c r="DA251" s="731"/>
      <c r="DB251" s="731"/>
      <c r="DC251" s="731"/>
      <c r="DD251" s="731"/>
      <c r="DE251" s="731"/>
    </row>
    <row r="252" spans="1:109" ht="12.75" x14ac:dyDescent="0.2">
      <c r="A252" s="179"/>
      <c r="B252" s="944" t="s">
        <v>166</v>
      </c>
      <c r="C252" s="945"/>
      <c r="D252" s="945"/>
      <c r="E252" s="946"/>
      <c r="F252" s="908">
        <f t="shared" ref="F252:AC252" si="164">F193</f>
        <v>-271760.03000000003</v>
      </c>
      <c r="G252" s="898">
        <f t="shared" si="164"/>
        <v>0</v>
      </c>
      <c r="H252" s="898">
        <f t="shared" si="164"/>
        <v>0</v>
      </c>
      <c r="I252" s="898">
        <f t="shared" si="164"/>
        <v>0</v>
      </c>
      <c r="J252" s="898">
        <f t="shared" si="164"/>
        <v>0</v>
      </c>
      <c r="K252" s="898">
        <f t="shared" si="164"/>
        <v>0</v>
      </c>
      <c r="L252" s="898">
        <f t="shared" si="164"/>
        <v>0</v>
      </c>
      <c r="M252" s="898">
        <f t="shared" si="164"/>
        <v>0</v>
      </c>
      <c r="N252" s="898">
        <f t="shared" si="164"/>
        <v>0</v>
      </c>
      <c r="O252" s="898">
        <f t="shared" si="164"/>
        <v>0</v>
      </c>
      <c r="P252" s="898">
        <f t="shared" si="164"/>
        <v>0</v>
      </c>
      <c r="Q252" s="898">
        <f t="shared" si="164"/>
        <v>0</v>
      </c>
      <c r="R252" s="898">
        <f t="shared" si="164"/>
        <v>0</v>
      </c>
      <c r="S252" s="898">
        <f t="shared" si="164"/>
        <v>0</v>
      </c>
      <c r="T252" s="898">
        <f t="shared" si="164"/>
        <v>0</v>
      </c>
      <c r="U252" s="898">
        <f t="shared" si="164"/>
        <v>0</v>
      </c>
      <c r="V252" s="898">
        <f t="shared" si="164"/>
        <v>0</v>
      </c>
      <c r="W252" s="898">
        <f t="shared" si="164"/>
        <v>0</v>
      </c>
      <c r="X252" s="898">
        <f t="shared" si="164"/>
        <v>0</v>
      </c>
      <c r="Y252" s="898">
        <f t="shared" si="164"/>
        <v>0</v>
      </c>
      <c r="Z252" s="898">
        <f t="shared" si="164"/>
        <v>0</v>
      </c>
      <c r="AA252" s="898">
        <f t="shared" si="164"/>
        <v>0</v>
      </c>
      <c r="AB252" s="898">
        <f t="shared" si="164"/>
        <v>0</v>
      </c>
      <c r="AC252" s="925">
        <f t="shared" si="164"/>
        <v>0</v>
      </c>
      <c r="CF252" s="739">
        <v>222</v>
      </c>
      <c r="CG252" s="740" t="s">
        <v>1041</v>
      </c>
      <c r="CH252" s="751">
        <f>C130</f>
        <v>0</v>
      </c>
      <c r="CI252" s="740" t="s">
        <v>1042</v>
      </c>
      <c r="CJ252" s="742" t="s">
        <v>1043</v>
      </c>
      <c r="CK252" s="740" t="s">
        <v>694</v>
      </c>
      <c r="CL252" s="731"/>
      <c r="CM252" s="731"/>
      <c r="CN252" s="731"/>
      <c r="CO252" s="731"/>
      <c r="CP252" s="731"/>
      <c r="CQ252" s="731"/>
      <c r="CR252" s="731"/>
      <c r="CS252" s="731"/>
      <c r="CT252" s="731"/>
      <c r="CU252" s="731"/>
      <c r="CV252" s="731"/>
      <c r="CW252" s="731"/>
      <c r="CX252" s="731"/>
      <c r="CY252" s="731"/>
      <c r="CZ252" s="731"/>
      <c r="DA252" s="731"/>
      <c r="DB252" s="731"/>
      <c r="DC252" s="731"/>
      <c r="DD252" s="731"/>
      <c r="DE252" s="731"/>
    </row>
    <row r="253" spans="1:109" ht="12.75" x14ac:dyDescent="0.2">
      <c r="A253" s="179"/>
      <c r="B253" s="944"/>
      <c r="C253" s="945"/>
      <c r="D253" s="945"/>
      <c r="E253" s="946"/>
      <c r="F253" s="908"/>
      <c r="G253" s="898"/>
      <c r="H253" s="898"/>
      <c r="I253" s="898"/>
      <c r="J253" s="898"/>
      <c r="K253" s="898"/>
      <c r="L253" s="898"/>
      <c r="M253" s="898"/>
      <c r="N253" s="898"/>
      <c r="O253" s="898"/>
      <c r="P253" s="898"/>
      <c r="Q253" s="898"/>
      <c r="R253" s="898"/>
      <c r="S253" s="898"/>
      <c r="T253" s="898"/>
      <c r="U253" s="898"/>
      <c r="V253" s="898"/>
      <c r="W253" s="898"/>
      <c r="X253" s="898"/>
      <c r="Y253" s="898"/>
      <c r="Z253" s="898"/>
      <c r="AA253" s="898"/>
      <c r="AB253" s="898"/>
      <c r="AC253" s="925"/>
      <c r="CF253" s="735">
        <v>223</v>
      </c>
      <c r="CG253" s="736" t="s">
        <v>1044</v>
      </c>
      <c r="CH253" s="747">
        <f>D130</f>
        <v>0</v>
      </c>
      <c r="CI253" s="736" t="s">
        <v>1042</v>
      </c>
      <c r="CJ253" s="738" t="s">
        <v>1045</v>
      </c>
      <c r="CK253" s="736" t="s">
        <v>597</v>
      </c>
      <c r="CL253" s="731"/>
      <c r="CM253" s="731"/>
      <c r="CN253" s="731"/>
      <c r="CO253" s="731"/>
      <c r="CP253" s="731"/>
      <c r="CQ253" s="731"/>
      <c r="CR253" s="731"/>
      <c r="CS253" s="731"/>
      <c r="CT253" s="731"/>
      <c r="CU253" s="731"/>
      <c r="CV253" s="731"/>
      <c r="CW253" s="731"/>
      <c r="CX253" s="731"/>
      <c r="CY253" s="731"/>
      <c r="CZ253" s="731"/>
      <c r="DA253" s="731"/>
      <c r="DB253" s="731"/>
      <c r="DC253" s="731"/>
      <c r="DD253" s="731"/>
      <c r="DE253" s="731"/>
    </row>
    <row r="254" spans="1:109" ht="12.75" x14ac:dyDescent="0.2">
      <c r="A254" s="172"/>
      <c r="B254" s="941" t="s">
        <v>269</v>
      </c>
      <c r="C254" s="942"/>
      <c r="D254" s="942"/>
      <c r="E254" s="943"/>
      <c r="F254" s="893">
        <f>F250+F252</f>
        <v>-271760.03000000003</v>
      </c>
      <c r="G254" s="895">
        <f>G250+G252</f>
        <v>0</v>
      </c>
      <c r="H254" s="895">
        <f>H250+H252</f>
        <v>0</v>
      </c>
      <c r="I254" s="895">
        <f t="shared" ref="I254:W254" si="165">I250+I252</f>
        <v>0</v>
      </c>
      <c r="J254" s="895">
        <f t="shared" si="165"/>
        <v>0</v>
      </c>
      <c r="K254" s="895">
        <f t="shared" si="165"/>
        <v>0</v>
      </c>
      <c r="L254" s="895">
        <f t="shared" si="165"/>
        <v>0</v>
      </c>
      <c r="M254" s="895">
        <f t="shared" si="165"/>
        <v>-46574.109499999999</v>
      </c>
      <c r="N254" s="895">
        <f t="shared" si="165"/>
        <v>-61174.109499999999</v>
      </c>
      <c r="O254" s="895">
        <f t="shared" si="165"/>
        <v>-101324.10949999999</v>
      </c>
      <c r="P254" s="895">
        <f t="shared" si="165"/>
        <v>-141474.10949999999</v>
      </c>
      <c r="Q254" s="895">
        <f t="shared" si="165"/>
        <v>-247324.10949999999</v>
      </c>
      <c r="R254" s="895">
        <f t="shared" si="165"/>
        <v>-411574.10949999996</v>
      </c>
      <c r="S254" s="895">
        <f t="shared" si="165"/>
        <v>-522899.10949999996</v>
      </c>
      <c r="T254" s="895">
        <f t="shared" si="165"/>
        <v>-657949.1094999999</v>
      </c>
      <c r="U254" s="895">
        <f t="shared" si="165"/>
        <v>-789349.1094999999</v>
      </c>
      <c r="V254" s="895">
        <f t="shared" si="165"/>
        <v>-971849.1094999999</v>
      </c>
      <c r="W254" s="895">
        <f t="shared" si="165"/>
        <v>-977324.1094999999</v>
      </c>
      <c r="X254" s="895">
        <f>X250+X252</f>
        <v>-991924.1094999999</v>
      </c>
      <c r="Y254" s="895">
        <f>Y250+Y252</f>
        <v>-949403.92974803853</v>
      </c>
      <c r="Z254" s="895">
        <f>Z250+Z252</f>
        <v>0</v>
      </c>
      <c r="AA254" s="895">
        <f t="shared" ref="AA254:AC254" si="166">AA250+AA252</f>
        <v>0</v>
      </c>
      <c r="AB254" s="895">
        <f t="shared" si="166"/>
        <v>0</v>
      </c>
      <c r="AC254" s="933">
        <f t="shared" si="166"/>
        <v>0</v>
      </c>
      <c r="CF254" s="739">
        <v>224</v>
      </c>
      <c r="CG254" s="740" t="s">
        <v>1046</v>
      </c>
      <c r="CH254" s="749">
        <f>E130</f>
        <v>3340</v>
      </c>
      <c r="CI254" s="740" t="s">
        <v>1042</v>
      </c>
      <c r="CJ254" s="742" t="s">
        <v>1047</v>
      </c>
      <c r="CK254" s="740" t="s">
        <v>647</v>
      </c>
      <c r="CL254" s="731"/>
      <c r="CM254" s="731"/>
      <c r="CN254" s="731"/>
      <c r="CO254" s="731"/>
      <c r="CP254" s="731"/>
      <c r="CQ254" s="731"/>
      <c r="CR254" s="731"/>
      <c r="CS254" s="731"/>
      <c r="CT254" s="731"/>
      <c r="CU254" s="731"/>
      <c r="CV254" s="731"/>
      <c r="CW254" s="731"/>
      <c r="CX254" s="731"/>
      <c r="CY254" s="731"/>
      <c r="CZ254" s="731"/>
      <c r="DA254" s="731"/>
      <c r="DB254" s="731"/>
      <c r="DC254" s="731"/>
      <c r="DD254" s="731"/>
      <c r="DE254" s="731"/>
    </row>
    <row r="255" spans="1:109" ht="12.75" x14ac:dyDescent="0.2">
      <c r="A255" s="172"/>
      <c r="B255" s="941"/>
      <c r="C255" s="942"/>
      <c r="D255" s="942"/>
      <c r="E255" s="943"/>
      <c r="F255" s="893"/>
      <c r="G255" s="895"/>
      <c r="H255" s="895"/>
      <c r="I255" s="895"/>
      <c r="J255" s="895"/>
      <c r="K255" s="895"/>
      <c r="L255" s="895"/>
      <c r="M255" s="895"/>
      <c r="N255" s="895"/>
      <c r="O255" s="895"/>
      <c r="P255" s="895"/>
      <c r="Q255" s="895"/>
      <c r="R255" s="895"/>
      <c r="S255" s="895"/>
      <c r="T255" s="895"/>
      <c r="U255" s="895"/>
      <c r="V255" s="895"/>
      <c r="W255" s="895"/>
      <c r="X255" s="895"/>
      <c r="Y255" s="895"/>
      <c r="Z255" s="895"/>
      <c r="AA255" s="895"/>
      <c r="AB255" s="895"/>
      <c r="AC255" s="933"/>
      <c r="CF255" s="735">
        <v>225</v>
      </c>
      <c r="CG255" s="736" t="s">
        <v>715</v>
      </c>
      <c r="CH255" s="745" t="str">
        <f>F130</f>
        <v>0</v>
      </c>
      <c r="CI255" s="736" t="s">
        <v>1042</v>
      </c>
      <c r="CJ255" s="738" t="s">
        <v>1048</v>
      </c>
      <c r="CK255" s="736" t="s">
        <v>647</v>
      </c>
      <c r="CL255" s="731"/>
      <c r="CM255" s="731"/>
      <c r="CN255" s="731"/>
      <c r="CO255" s="731"/>
      <c r="CP255" s="731"/>
      <c r="CQ255" s="731"/>
      <c r="CR255" s="731"/>
      <c r="CS255" s="731"/>
      <c r="CT255" s="731"/>
      <c r="CU255" s="731"/>
      <c r="CV255" s="731"/>
      <c r="CW255" s="731"/>
      <c r="CX255" s="731"/>
      <c r="CY255" s="731"/>
      <c r="CZ255" s="731"/>
      <c r="DA255" s="731"/>
      <c r="DB255" s="731"/>
      <c r="DC255" s="731"/>
      <c r="DD255" s="731"/>
      <c r="DE255" s="731"/>
    </row>
    <row r="256" spans="1:109" ht="12.75" x14ac:dyDescent="0.2">
      <c r="A256" s="172"/>
      <c r="B256" s="878" t="s">
        <v>155</v>
      </c>
      <c r="C256" s="879"/>
      <c r="D256" s="879"/>
      <c r="E256" s="880"/>
      <c r="F256" s="908">
        <f t="shared" ref="F256:AC256" si="167">F191</f>
        <v>0</v>
      </c>
      <c r="G256" s="898">
        <f t="shared" si="167"/>
        <v>0</v>
      </c>
      <c r="H256" s="898">
        <f t="shared" si="167"/>
        <v>0</v>
      </c>
      <c r="I256" s="898">
        <f t="shared" si="167"/>
        <v>0</v>
      </c>
      <c r="J256" s="898">
        <f t="shared" si="167"/>
        <v>0</v>
      </c>
      <c r="K256" s="898">
        <f t="shared" si="167"/>
        <v>0</v>
      </c>
      <c r="L256" s="898">
        <f t="shared" si="167"/>
        <v>0</v>
      </c>
      <c r="M256" s="898">
        <f t="shared" si="167"/>
        <v>0</v>
      </c>
      <c r="N256" s="898">
        <f t="shared" si="167"/>
        <v>0</v>
      </c>
      <c r="O256" s="898">
        <f t="shared" si="167"/>
        <v>0</v>
      </c>
      <c r="P256" s="898">
        <f t="shared" si="167"/>
        <v>0</v>
      </c>
      <c r="Q256" s="898">
        <f t="shared" si="167"/>
        <v>0</v>
      </c>
      <c r="R256" s="898">
        <f t="shared" si="167"/>
        <v>0</v>
      </c>
      <c r="S256" s="898">
        <f t="shared" si="167"/>
        <v>0</v>
      </c>
      <c r="T256" s="898">
        <f t="shared" si="167"/>
        <v>0</v>
      </c>
      <c r="U256" s="898">
        <f t="shared" si="167"/>
        <v>0</v>
      </c>
      <c r="V256" s="898">
        <f t="shared" si="167"/>
        <v>0</v>
      </c>
      <c r="W256" s="898">
        <f t="shared" si="167"/>
        <v>0</v>
      </c>
      <c r="X256" s="898">
        <f t="shared" si="167"/>
        <v>-2329872.8631211729</v>
      </c>
      <c r="Y256" s="898">
        <f t="shared" si="167"/>
        <v>-52022133.136878826</v>
      </c>
      <c r="Z256" s="898">
        <f t="shared" si="167"/>
        <v>0</v>
      </c>
      <c r="AA256" s="898">
        <f t="shared" si="167"/>
        <v>0</v>
      </c>
      <c r="AB256" s="898">
        <f t="shared" si="167"/>
        <v>0</v>
      </c>
      <c r="AC256" s="925">
        <f t="shared" si="167"/>
        <v>0</v>
      </c>
      <c r="CF256" s="739">
        <v>226</v>
      </c>
      <c r="CG256" s="740" t="s">
        <v>1049</v>
      </c>
      <c r="CH256" s="744">
        <f>H130</f>
        <v>0</v>
      </c>
      <c r="CI256" s="740" t="s">
        <v>1042</v>
      </c>
      <c r="CJ256" s="742" t="s">
        <v>1050</v>
      </c>
      <c r="CK256" s="740" t="s">
        <v>650</v>
      </c>
      <c r="CL256" s="731"/>
      <c r="CM256" s="731"/>
      <c r="CN256" s="731"/>
      <c r="CO256" s="731"/>
      <c r="CP256" s="731"/>
      <c r="CQ256" s="731"/>
      <c r="CR256" s="731"/>
      <c r="CS256" s="731"/>
      <c r="CT256" s="731"/>
      <c r="CU256" s="731"/>
      <c r="CV256" s="731"/>
      <c r="CW256" s="731"/>
      <c r="CX256" s="731"/>
      <c r="CY256" s="731"/>
      <c r="CZ256" s="731"/>
      <c r="DA256" s="731"/>
      <c r="DB256" s="731"/>
      <c r="DC256" s="731"/>
      <c r="DD256" s="731"/>
      <c r="DE256" s="731"/>
    </row>
    <row r="257" spans="1:109" ht="13.5" thickBot="1" x14ac:dyDescent="0.25">
      <c r="B257" s="950"/>
      <c r="C257" s="951"/>
      <c r="D257" s="951"/>
      <c r="E257" s="952"/>
      <c r="F257" s="949"/>
      <c r="G257" s="918"/>
      <c r="H257" s="918"/>
      <c r="I257" s="918"/>
      <c r="J257" s="918"/>
      <c r="K257" s="918"/>
      <c r="L257" s="918"/>
      <c r="M257" s="918"/>
      <c r="N257" s="918"/>
      <c r="O257" s="918"/>
      <c r="P257" s="918"/>
      <c r="Q257" s="918"/>
      <c r="R257" s="918"/>
      <c r="S257" s="918"/>
      <c r="T257" s="918"/>
      <c r="U257" s="918"/>
      <c r="V257" s="918"/>
      <c r="W257" s="918"/>
      <c r="X257" s="918"/>
      <c r="Y257" s="918"/>
      <c r="Z257" s="918"/>
      <c r="AA257" s="918"/>
      <c r="AB257" s="918"/>
      <c r="AC257" s="926"/>
      <c r="CF257" s="735">
        <v>227</v>
      </c>
      <c r="CG257" s="736" t="s">
        <v>1051</v>
      </c>
      <c r="CH257" s="743">
        <f>I130</f>
        <v>0</v>
      </c>
      <c r="CI257" s="736" t="s">
        <v>1042</v>
      </c>
      <c r="CJ257" s="738" t="s">
        <v>1052</v>
      </c>
      <c r="CK257" s="736" t="s">
        <v>571</v>
      </c>
      <c r="CL257" s="731"/>
      <c r="CM257" s="731"/>
      <c r="CN257" s="731"/>
      <c r="CO257" s="731"/>
      <c r="CP257" s="731"/>
      <c r="CQ257" s="731"/>
      <c r="CR257" s="731"/>
      <c r="CS257" s="731"/>
      <c r="CT257" s="731"/>
      <c r="CU257" s="731"/>
      <c r="CV257" s="731"/>
      <c r="CW257" s="731"/>
      <c r="CX257" s="731"/>
      <c r="CY257" s="731"/>
      <c r="CZ257" s="731"/>
      <c r="DA257" s="731"/>
      <c r="DB257" s="731"/>
      <c r="DC257" s="731"/>
      <c r="DD257" s="731"/>
      <c r="DE257" s="731"/>
    </row>
    <row r="258" spans="1:109" ht="12.75" x14ac:dyDescent="0.2">
      <c r="A258" s="172"/>
      <c r="E258" s="172"/>
      <c r="F258" s="172"/>
      <c r="G258" s="172"/>
      <c r="H258" s="172"/>
      <c r="I258" s="172"/>
      <c r="J258" s="172"/>
      <c r="K258" s="172"/>
      <c r="L258" s="172"/>
      <c r="M258" s="172"/>
      <c r="N258" s="172"/>
      <c r="O258" s="172"/>
      <c r="P258" s="172"/>
      <c r="Q258" s="172"/>
      <c r="R258" s="172"/>
      <c r="S258" s="172"/>
      <c r="T258" s="172"/>
      <c r="U258" s="172"/>
      <c r="V258" s="172"/>
      <c r="W258" s="172"/>
      <c r="AB258" s="76" t="s">
        <v>190</v>
      </c>
      <c r="AC258" s="75" t="s">
        <v>191</v>
      </c>
      <c r="CF258" s="739">
        <v>228</v>
      </c>
      <c r="CG258" s="740" t="s">
        <v>1053</v>
      </c>
      <c r="CH258" s="744">
        <f>J130</f>
        <v>0</v>
      </c>
      <c r="CI258" s="740" t="s">
        <v>1042</v>
      </c>
      <c r="CJ258" s="742" t="s">
        <v>1054</v>
      </c>
      <c r="CK258" s="740" t="s">
        <v>571</v>
      </c>
      <c r="CL258" s="731"/>
      <c r="CM258" s="731"/>
      <c r="CN258" s="731"/>
      <c r="CO258" s="731"/>
      <c r="CP258" s="731"/>
      <c r="CQ258" s="731"/>
      <c r="CR258" s="731"/>
      <c r="CS258" s="731"/>
      <c r="CT258" s="731"/>
      <c r="CU258" s="731"/>
      <c r="CV258" s="731"/>
      <c r="CW258" s="731"/>
      <c r="CX258" s="731"/>
      <c r="CY258" s="731"/>
      <c r="CZ258" s="731"/>
      <c r="DA258" s="731"/>
      <c r="DB258" s="731"/>
      <c r="DC258" s="731"/>
      <c r="DD258" s="731"/>
      <c r="DE258" s="731"/>
    </row>
    <row r="259" spans="1:109" ht="15" x14ac:dyDescent="0.2">
      <c r="A259" s="172"/>
      <c r="E259" s="172"/>
      <c r="F259" s="172"/>
      <c r="G259" s="172"/>
      <c r="H259" s="172"/>
      <c r="I259" s="172"/>
      <c r="J259" s="172"/>
      <c r="K259" s="172"/>
      <c r="L259" s="172"/>
      <c r="M259" s="172"/>
      <c r="N259" s="172"/>
      <c r="O259" s="172"/>
      <c r="P259" s="172"/>
      <c r="Q259" s="172"/>
      <c r="R259" s="172"/>
      <c r="S259" s="172"/>
      <c r="T259" s="172"/>
      <c r="U259" s="172"/>
      <c r="V259" s="172"/>
      <c r="W259" s="172"/>
      <c r="AB259" s="243">
        <f>SUM(F248:AC249)</f>
        <v>54352006</v>
      </c>
      <c r="AC259" s="244">
        <f>SUM(F254:AC255)</f>
        <v>-7141903.2737480393</v>
      </c>
      <c r="CF259" s="734" t="s">
        <v>1055</v>
      </c>
      <c r="CG259" s="734"/>
      <c r="CH259" s="734"/>
      <c r="CI259" s="734"/>
      <c r="CJ259" s="734"/>
      <c r="CK259" s="734"/>
      <c r="CL259" s="731"/>
      <c r="CM259" s="731"/>
      <c r="CN259" s="731"/>
      <c r="CO259" s="731"/>
      <c r="CP259" s="731"/>
      <c r="CQ259" s="731"/>
      <c r="CR259" s="731"/>
      <c r="CS259" s="731"/>
      <c r="CT259" s="731"/>
      <c r="CU259" s="731"/>
      <c r="CV259" s="731"/>
      <c r="CW259" s="731"/>
      <c r="CX259" s="731"/>
      <c r="CY259" s="731"/>
      <c r="CZ259" s="731"/>
      <c r="DA259" s="731"/>
      <c r="DB259" s="731"/>
      <c r="DC259" s="731"/>
      <c r="DD259" s="731"/>
      <c r="DE259" s="731"/>
    </row>
    <row r="260" spans="1:109" ht="13.5" thickBot="1" x14ac:dyDescent="0.25">
      <c r="A260" s="172"/>
      <c r="AB260" s="245" t="b">
        <f>AB259=E189</f>
        <v>1</v>
      </c>
      <c r="AC260" s="246" t="b">
        <f>AC259=SUM(E192:E193)</f>
        <v>1</v>
      </c>
      <c r="CF260" s="735">
        <v>229</v>
      </c>
      <c r="CG260" s="736" t="s">
        <v>1056</v>
      </c>
      <c r="CH260" s="750">
        <f>C131</f>
        <v>0</v>
      </c>
      <c r="CI260" s="736" t="s">
        <v>1057</v>
      </c>
      <c r="CJ260" s="738" t="s">
        <v>1058</v>
      </c>
      <c r="CK260" s="736" t="s">
        <v>694</v>
      </c>
      <c r="CL260" s="731"/>
      <c r="CM260" s="731"/>
      <c r="CN260" s="731"/>
      <c r="CO260" s="731"/>
      <c r="CP260" s="731"/>
      <c r="CQ260" s="731"/>
      <c r="CR260" s="731"/>
      <c r="CS260" s="731"/>
      <c r="CT260" s="731"/>
      <c r="CU260" s="731"/>
      <c r="CV260" s="731"/>
      <c r="CW260" s="731"/>
      <c r="CX260" s="731"/>
      <c r="CY260" s="731"/>
      <c r="CZ260" s="731"/>
      <c r="DA260" s="731"/>
      <c r="DB260" s="731"/>
      <c r="DC260" s="731"/>
      <c r="DD260" s="731"/>
      <c r="DE260" s="731"/>
    </row>
    <row r="261" spans="1:109" ht="12.75" x14ac:dyDescent="0.2">
      <c r="A261" s="172"/>
      <c r="W261" s="172"/>
      <c r="CF261" s="739">
        <v>230</v>
      </c>
      <c r="CG261" s="740" t="s">
        <v>1059</v>
      </c>
      <c r="CH261" s="746">
        <f>D131</f>
        <v>1</v>
      </c>
      <c r="CI261" s="740" t="s">
        <v>1057</v>
      </c>
      <c r="CJ261" s="742" t="s">
        <v>1060</v>
      </c>
      <c r="CK261" s="740" t="s">
        <v>597</v>
      </c>
      <c r="CL261" s="731"/>
      <c r="CM261" s="731"/>
      <c r="CN261" s="731"/>
      <c r="CO261" s="731"/>
      <c r="CP261" s="731"/>
      <c r="CQ261" s="731"/>
      <c r="CR261" s="731"/>
      <c r="CS261" s="731"/>
      <c r="CT261" s="731"/>
      <c r="CU261" s="731"/>
      <c r="CV261" s="731"/>
      <c r="CW261" s="731"/>
      <c r="CX261" s="731"/>
      <c r="CY261" s="731"/>
      <c r="CZ261" s="731"/>
      <c r="DA261" s="731"/>
      <c r="DB261" s="731"/>
      <c r="DC261" s="731"/>
      <c r="DD261" s="731"/>
      <c r="DE261" s="731"/>
    </row>
    <row r="262" spans="1:109" ht="12.75" x14ac:dyDescent="0.2">
      <c r="A262" s="172"/>
      <c r="H262" s="97"/>
      <c r="W262" s="172"/>
      <c r="CF262" s="735">
        <v>231</v>
      </c>
      <c r="CG262" s="736" t="s">
        <v>1061</v>
      </c>
      <c r="CH262" s="745">
        <f>E131</f>
        <v>0</v>
      </c>
      <c r="CI262" s="736" t="s">
        <v>1057</v>
      </c>
      <c r="CJ262" s="738" t="s">
        <v>1062</v>
      </c>
      <c r="CK262" s="736" t="s">
        <v>647</v>
      </c>
      <c r="CL262" s="731"/>
      <c r="CM262" s="731"/>
      <c r="CN262" s="731"/>
      <c r="CO262" s="731"/>
      <c r="CP262" s="731"/>
      <c r="CQ262" s="731"/>
      <c r="CR262" s="731"/>
      <c r="CS262" s="731"/>
      <c r="CT262" s="731"/>
      <c r="CU262" s="731"/>
      <c r="CV262" s="731"/>
      <c r="CW262" s="731"/>
      <c r="CX262" s="731"/>
      <c r="CY262" s="731"/>
      <c r="CZ262" s="731"/>
      <c r="DA262" s="731"/>
      <c r="DB262" s="731"/>
      <c r="DC262" s="731"/>
      <c r="DD262" s="731"/>
      <c r="DE262" s="731"/>
    </row>
    <row r="263" spans="1:109" ht="12.75" x14ac:dyDescent="0.2">
      <c r="A263" s="172"/>
      <c r="W263" s="172"/>
      <c r="CF263" s="739">
        <v>232</v>
      </c>
      <c r="CG263" s="740" t="s">
        <v>737</v>
      </c>
      <c r="CH263" s="749" t="str">
        <f>F131</f>
        <v>0</v>
      </c>
      <c r="CI263" s="740" t="s">
        <v>1057</v>
      </c>
      <c r="CJ263" s="742" t="s">
        <v>1063</v>
      </c>
      <c r="CK263" s="740" t="s">
        <v>647</v>
      </c>
      <c r="CL263" s="731"/>
      <c r="CM263" s="731"/>
      <c r="CN263" s="731"/>
      <c r="CO263" s="731"/>
      <c r="CP263" s="731"/>
      <c r="CQ263" s="731"/>
      <c r="CR263" s="731"/>
      <c r="CS263" s="731"/>
      <c r="CT263" s="731"/>
      <c r="CU263" s="731"/>
      <c r="CV263" s="731"/>
      <c r="CW263" s="731"/>
      <c r="CX263" s="731"/>
      <c r="CY263" s="731"/>
      <c r="CZ263" s="731"/>
      <c r="DA263" s="731"/>
      <c r="DB263" s="731"/>
      <c r="DC263" s="731"/>
      <c r="DD263" s="731"/>
      <c r="DE263" s="731"/>
    </row>
    <row r="264" spans="1:109" ht="12.75" x14ac:dyDescent="0.2">
      <c r="A264" s="172"/>
      <c r="W264" s="172"/>
      <c r="CF264" s="735">
        <v>233</v>
      </c>
      <c r="CG264" s="736" t="s">
        <v>1064</v>
      </c>
      <c r="CH264" s="743">
        <f>H131</f>
        <v>0</v>
      </c>
      <c r="CI264" s="736" t="s">
        <v>1057</v>
      </c>
      <c r="CJ264" s="738" t="s">
        <v>1065</v>
      </c>
      <c r="CK264" s="736" t="s">
        <v>650</v>
      </c>
      <c r="CL264" s="731"/>
      <c r="CM264" s="731"/>
      <c r="CN264" s="731"/>
      <c r="CO264" s="731"/>
      <c r="CP264" s="731"/>
      <c r="CQ264" s="731"/>
      <c r="CR264" s="731"/>
      <c r="CS264" s="731"/>
      <c r="CT264" s="731"/>
      <c r="CU264" s="731"/>
      <c r="CV264" s="731"/>
      <c r="CW264" s="731"/>
      <c r="CX264" s="731"/>
      <c r="CY264" s="731"/>
      <c r="CZ264" s="731"/>
      <c r="DA264" s="731"/>
      <c r="DB264" s="731"/>
      <c r="DC264" s="731"/>
      <c r="DD264" s="731"/>
      <c r="DE264" s="731"/>
    </row>
    <row r="265" spans="1:109" ht="13.5" thickBot="1" x14ac:dyDescent="0.25">
      <c r="A265" s="172"/>
      <c r="B265" s="157"/>
      <c r="C265" s="157"/>
      <c r="D265" s="157"/>
      <c r="E265" s="157"/>
      <c r="F265" s="218" t="str">
        <f>IF(
    AND(F200&lt;&gt;0, COUNTIFS($F200:F200,"&lt;&gt;0",$F200:F200,"&lt;&gt;""")=1),
    "بداية البيع على الخارطة",
    IF(
        AND(F204&lt;&gt;0, COUNTIFS(F204:$AC204,"&lt;&gt;0",F204:$AC204,"&lt;&gt;""")=1),
        "نهاية البيع على الخارطة",
        ""
    )
)</f>
        <v/>
      </c>
      <c r="G265" s="218" t="str">
        <f>IF(
    AND(G200&lt;&gt;0, COUNTIFS($F200:G200,"&lt;&gt;0",$F200:G200,"&lt;&gt;""")=1),
    "بداية البيع على الخارطة",
    IF(
        AND(G204&lt;&gt;0, COUNTIFS(G204:$AC204,"&lt;&gt;0",G204:$AC204,"&lt;&gt;""")=1),
        "نهاية البيع على الخارطة",
        ""
    )
)</f>
        <v/>
      </c>
      <c r="H265" s="218" t="str">
        <f>IF(
    AND(H200&lt;&gt;0, COUNTIFS($F200:H200,"&lt;&gt;0",$F200:H200,"&lt;&gt;""")=1),
    "بداية البيع على الخارطة",
    IF(
        AND(H204&lt;&gt;0, COUNTIFS(H204:$AC204,"&lt;&gt;0",H204:$AC204,"&lt;&gt;""")=1),
        "نهاية البيع على الخارطة",
        ""
    )
)</f>
        <v/>
      </c>
      <c r="I265" s="218" t="str">
        <f>IF(
    AND(I200&lt;&gt;0, COUNTIFS($F200:I200,"&lt;&gt;0",$F200:I200,"&lt;&gt;""")=1),
    "بداية البيع على الخارطة",
    IF(
        AND(I204&lt;&gt;0, COUNTIFS(I204:$AC204,"&lt;&gt;0",I204:$AC204,"&lt;&gt;""")=1),
        "نهاية البيع على الخارطة",
        ""
    )
)</f>
        <v/>
      </c>
      <c r="J265" s="218" t="str">
        <f>IF(
    AND(J200&lt;&gt;0, COUNTIFS($F200:J200,"&lt;&gt;0",$F200:J200,"&lt;&gt;""")=1),
    "بداية البيع على الخارطة",
    IF(
        AND(J204&lt;&gt;0, COUNTIFS(J204:$AC204,"&lt;&gt;0",J204:$AC204,"&lt;&gt;""")=1),
        "نهاية البيع على الخارطة",
        ""
    )
)</f>
        <v>بداية البيع على الخارطة</v>
      </c>
      <c r="K265" s="218" t="str">
        <f>IF(
    AND(K200&lt;&gt;0, COUNTIFS($F200:K200,"&lt;&gt;0",$F200:K200,"&lt;&gt;""")=1),
    "بداية البيع على الخارطة",
    IF(
        AND(K204&lt;&gt;0, COUNTIFS(K204:$AC204,"&lt;&gt;0",K204:$AC204,"&lt;&gt;""")=1),
        "نهاية البيع على الخارطة",
        ""
    )
)</f>
        <v/>
      </c>
      <c r="L265" s="218" t="str">
        <f>IF(
    AND(L200&lt;&gt;0, COUNTIFS($F200:L200,"&lt;&gt;0",$F200:L200,"&lt;&gt;""")=1),
    "بداية البيع على الخارطة",
    IF(
        AND(L204&lt;&gt;0, COUNTIFS(L204:$AC204,"&lt;&gt;0",L204:$AC204,"&lt;&gt;""")=1),
        "نهاية البيع على الخارطة",
        ""
    )
)</f>
        <v/>
      </c>
      <c r="M265" s="218" t="str">
        <f>IF(
    AND(M200&lt;&gt;0, COUNTIFS($F200:M200,"&lt;&gt;0",$F200:M200,"&lt;&gt;""")=1),
    "بداية البيع على الخارطة",
    IF(
        AND(M204&lt;&gt;0, COUNTIFS(M204:$AC204,"&lt;&gt;0",M204:$AC204,"&lt;&gt;""")=1),
        "نهاية البيع على الخارطة",
        ""
    )
)</f>
        <v/>
      </c>
      <c r="N265" s="218" t="str">
        <f>IF(
    AND(N200&lt;&gt;0, COUNTIFS($F200:N200,"&lt;&gt;0",$F200:N200,"&lt;&gt;""")=1),
    "بداية البيع على الخارطة",
    IF(
        AND(N204&lt;&gt;0, COUNTIFS(N204:$AC204,"&lt;&gt;0",N204:$AC204,"&lt;&gt;""")=1),
        "نهاية البيع على الخارطة",
        ""
    )
)</f>
        <v/>
      </c>
      <c r="O265" s="218" t="str">
        <f>IF(
    AND(O200&lt;&gt;0, COUNTIFS($F200:O200,"&lt;&gt;0",$F200:O200,"&lt;&gt;""")=1),
    "بداية البيع على الخارطة",
    IF(
        AND(O204&lt;&gt;0, COUNTIFS(O204:$AC204,"&lt;&gt;0",O204:$AC204,"&lt;&gt;""")=1),
        "نهاية البيع على الخارطة",
        ""
    )
)</f>
        <v/>
      </c>
      <c r="P265" s="218" t="str">
        <f>IF(
    AND(P200&lt;&gt;0, COUNTIFS($F200:P200,"&lt;&gt;0",$F200:P200,"&lt;&gt;""")=1),
    "بداية البيع على الخارطة",
    IF(
        AND(P204&lt;&gt;0, COUNTIFS(P204:$AC204,"&lt;&gt;0",P204:$AC204,"&lt;&gt;""")=1),
        "نهاية البيع على الخارطة",
        ""
    )
)</f>
        <v/>
      </c>
      <c r="Q265" s="218" t="str">
        <f>IF(
    AND(Q200&lt;&gt;0, COUNTIFS($F200:Q200,"&lt;&gt;0",$F200:Q200,"&lt;&gt;""")=1),
    "بداية البيع على الخارطة",
    IF(
        AND(Q204&lt;&gt;0, COUNTIFS(Q204:$AC204,"&lt;&gt;0",Q204:$AC204,"&lt;&gt;""")=1),
        "نهاية البيع على الخارطة",
        ""
    )
)</f>
        <v/>
      </c>
      <c r="R265" s="218" t="str">
        <f>IF(
    AND(R200&lt;&gt;0, COUNTIFS($F200:R200,"&lt;&gt;0",$F200:R200,"&lt;&gt;""")=1),
    "بداية البيع على الخارطة",
    IF(
        AND(R204&lt;&gt;0, COUNTIFS(R204:$AC204,"&lt;&gt;0",R204:$AC204,"&lt;&gt;""")=1),
        "نهاية البيع على الخارطة",
        ""
    )
)</f>
        <v/>
      </c>
      <c r="S265" s="218" t="str">
        <f>IF(
    AND(S200&lt;&gt;0, COUNTIFS($F200:S200,"&lt;&gt;0",$F200:S200,"&lt;&gt;""")=1),
    "بداية البيع على الخارطة",
    IF(
        AND(S204&lt;&gt;0, COUNTIFS(S204:$AC204,"&lt;&gt;0",S204:$AC204,"&lt;&gt;""")=1),
        "نهاية البيع على الخارطة",
        ""
    )
)</f>
        <v/>
      </c>
      <c r="T265" s="218" t="str">
        <f>IF(
    AND(T200&lt;&gt;0, COUNTIFS($F200:T200,"&lt;&gt;0",$F200:T200,"&lt;&gt;""")=1),
    "بداية البيع على الخارطة",
    IF(
        AND(T204&lt;&gt;0, COUNTIFS(T204:$AC204,"&lt;&gt;0",T204:$AC204,"&lt;&gt;""")=1),
        "نهاية البيع على الخارطة",
        ""
    )
)</f>
        <v/>
      </c>
      <c r="U265" s="218" t="str">
        <f>IF(
    AND(U200&lt;&gt;0, COUNTIFS($F200:U200,"&lt;&gt;0",$F200:U200,"&lt;&gt;""")=1),
    "بداية البيع على الخارطة",
    IF(
        AND(U204&lt;&gt;0, COUNTIFS(U204:$AC204,"&lt;&gt;0",U204:$AC204,"&lt;&gt;""")=1),
        "نهاية البيع على الخارطة",
        ""
    )
)</f>
        <v>نهاية البيع على الخارطة</v>
      </c>
      <c r="V265" s="218" t="str">
        <f>IF(
    AND(V200&lt;&gt;0, COUNTIFS($F200:V200,"&lt;&gt;0",$F200:V200,"&lt;&gt;""")=1),
    "بداية البيع على الخارطة",
    IF(
        AND(V204&lt;&gt;0, COUNTIFS(V204:$AC204,"&lt;&gt;0",V204:$AC204,"&lt;&gt;""")=1),
        "نهاية البيع على الخارطة",
        ""
    )
)</f>
        <v/>
      </c>
      <c r="W265" s="218" t="str">
        <f>IF(
    AND(W200&lt;&gt;0, COUNTIFS($F200:W200,"&lt;&gt;0",$F200:W200,"&lt;&gt;""")=1),
    "بداية البيع على الخارطة",
    IF(
        AND(W204&lt;&gt;0, COUNTIFS(W204:$AC204,"&lt;&gt;0",W204:$AC204,"&lt;&gt;""")=1),
        "نهاية البيع على الخارطة",
        ""
    )
)</f>
        <v/>
      </c>
      <c r="X265" s="218" t="str">
        <f>IF(
    AND(X200&lt;&gt;0, COUNTIFS($F200:X200,"&lt;&gt;0",$F200:X200,"&lt;&gt;""")=1),
    "بداية البيع على الخارطة",
    IF(
        AND(X204&lt;&gt;0, COUNTIFS(X204:$AC204,"&lt;&gt;0",X204:$AC204,"&lt;&gt;""")=1),
        "نهاية البيع على الخارطة",
        ""
    )
)</f>
        <v/>
      </c>
      <c r="Y265" s="218" t="str">
        <f>IF(
    AND(Y200&lt;&gt;0, COUNTIFS($F200:Y200,"&lt;&gt;0",$F200:Y200,"&lt;&gt;""")=1),
    "بداية البيع على الخارطة",
    IF(
        AND(Y204&lt;&gt;0, COUNTIFS(Y204:$AC204,"&lt;&gt;0",Y204:$AC204,"&lt;&gt;""")=1),
        "نهاية البيع على الخارطة",
        ""
    )
)</f>
        <v/>
      </c>
      <c r="Z265" s="218" t="str">
        <f>IF(
    AND(Z200&lt;&gt;0, COUNTIFS($F200:Z200,"&lt;&gt;0",$F200:Z200,"&lt;&gt;""")=1),
    "بداية البيع على الخارطة",
    IF(
        AND(Z204&lt;&gt;0, COUNTIFS(Z204:$AC204,"&lt;&gt;0",Z204:$AC204,"&lt;&gt;""")=1),
        "نهاية البيع على الخارطة",
        ""
    )
)</f>
        <v/>
      </c>
      <c r="AA265" s="218" t="str">
        <f>IF(
    AND(AA200&lt;&gt;0, COUNTIFS($F200:AA200,"&lt;&gt;0",$F200:AA200,"&lt;&gt;""")=1),
    "بداية البيع على الخارطة",
    IF(
        AND(AA204&lt;&gt;0, COUNTIFS(AA204:$AC204,"&lt;&gt;0",AA204:$AC204,"&lt;&gt;""")=1),
        "نهاية البيع على الخارطة",
        ""
    )
)</f>
        <v/>
      </c>
      <c r="AB265" s="218" t="str">
        <f>IF(
    AND(AB200&lt;&gt;0, COUNTIFS($F200:AB200,"&lt;&gt;0",$F200:AB200,"&lt;&gt;""")=1),
    "بداية البيع على الخارطة",
    IF(
        AND(AB204&lt;&gt;0, COUNTIFS(AB204:$AC204,"&lt;&gt;0",AB204:$AC204,"&lt;&gt;""")=1),
        "نهاية البيع على الخارطة",
        ""
    )
)</f>
        <v/>
      </c>
      <c r="AC265" s="218" t="str">
        <f>IF(
    AND(AC200&lt;&gt;0, COUNTIFS($F200:AC200,"&lt;&gt;0",$F200:AC200,"&lt;&gt;""")=1),
    "بداية البيع على الخارطة",
    IF(
        AND(AC204&lt;&gt;0, COUNTIFS(AC204:$AC204,"&lt;&gt;0",AC204:$AC204,"&lt;&gt;""")=1),
        "نهاية البيع على الخارطة",
        ""
    )
)</f>
        <v/>
      </c>
      <c r="CF265" s="739">
        <v>234</v>
      </c>
      <c r="CG265" s="740" t="s">
        <v>1066</v>
      </c>
      <c r="CH265" s="744">
        <f>I131</f>
        <v>0</v>
      </c>
      <c r="CI265" s="740" t="s">
        <v>1057</v>
      </c>
      <c r="CJ265" s="742" t="s">
        <v>1067</v>
      </c>
      <c r="CK265" s="740" t="s">
        <v>571</v>
      </c>
      <c r="CL265" s="731"/>
      <c r="CM265" s="731"/>
      <c r="CN265" s="731"/>
      <c r="CO265" s="731"/>
      <c r="CP265" s="731"/>
      <c r="CQ265" s="731"/>
      <c r="CR265" s="731"/>
      <c r="CS265" s="731"/>
      <c r="CT265" s="731"/>
      <c r="CU265" s="731"/>
      <c r="CV265" s="731"/>
      <c r="CW265" s="731"/>
      <c r="CX265" s="731"/>
      <c r="CY265" s="731"/>
      <c r="CZ265" s="731"/>
      <c r="DA265" s="731"/>
      <c r="DB265" s="731"/>
      <c r="DC265" s="731"/>
      <c r="DD265" s="731"/>
      <c r="DE265" s="731"/>
    </row>
    <row r="266" spans="1:109" ht="12.75" x14ac:dyDescent="0.2">
      <c r="B266" s="885" t="s">
        <v>192</v>
      </c>
      <c r="C266" s="886"/>
      <c r="D266" s="886"/>
      <c r="E266" s="886"/>
      <c r="F266" s="259"/>
      <c r="G266" s="259"/>
      <c r="H266" s="259"/>
      <c r="I266" s="259"/>
      <c r="J266" s="259"/>
      <c r="K266" s="259"/>
      <c r="L266" s="259"/>
      <c r="M266" s="259"/>
      <c r="N266" s="259"/>
      <c r="O266" s="259"/>
      <c r="P266" s="259"/>
      <c r="Q266" s="259"/>
      <c r="R266" s="259"/>
      <c r="S266" s="259"/>
      <c r="T266" s="259"/>
      <c r="U266" s="259"/>
      <c r="V266" s="259"/>
      <c r="W266" s="259"/>
      <c r="X266" s="259"/>
      <c r="Y266" s="259"/>
      <c r="Z266" s="259"/>
      <c r="AA266" s="259"/>
      <c r="AB266" s="259"/>
      <c r="AC266" s="260"/>
      <c r="CF266" s="735">
        <v>235</v>
      </c>
      <c r="CG266" s="736" t="s">
        <v>1068</v>
      </c>
      <c r="CH266" s="743">
        <f>J131</f>
        <v>0</v>
      </c>
      <c r="CI266" s="736" t="s">
        <v>1057</v>
      </c>
      <c r="CJ266" s="738" t="s">
        <v>1069</v>
      </c>
      <c r="CK266" s="736" t="s">
        <v>571</v>
      </c>
      <c r="CL266" s="731"/>
      <c r="CM266" s="731"/>
      <c r="CN266" s="731"/>
      <c r="CO266" s="731"/>
      <c r="CP266" s="731"/>
      <c r="CQ266" s="731"/>
      <c r="CR266" s="731"/>
      <c r="CS266" s="731"/>
      <c r="CT266" s="731"/>
      <c r="CU266" s="731"/>
      <c r="CV266" s="731"/>
      <c r="CW266" s="731"/>
      <c r="CX266" s="731"/>
      <c r="CY266" s="731"/>
      <c r="CZ266" s="731"/>
      <c r="DA266" s="731"/>
      <c r="DB266" s="731"/>
      <c r="DC266" s="731"/>
      <c r="DD266" s="731"/>
      <c r="DE266" s="731"/>
    </row>
    <row r="267" spans="1:109" ht="15" x14ac:dyDescent="0.2">
      <c r="B267" s="887"/>
      <c r="C267" s="888"/>
      <c r="D267" s="888"/>
      <c r="E267" s="888"/>
      <c r="F267" s="337"/>
      <c r="G267" s="337"/>
      <c r="H267" s="337"/>
      <c r="I267" s="337"/>
      <c r="J267" s="337"/>
      <c r="K267" s="337"/>
      <c r="L267" s="337"/>
      <c r="M267" s="337"/>
      <c r="N267" s="337"/>
      <c r="O267" s="337"/>
      <c r="P267" s="337"/>
      <c r="Q267" s="337"/>
      <c r="R267" s="337"/>
      <c r="S267" s="337"/>
      <c r="T267" s="337"/>
      <c r="U267" s="337"/>
      <c r="V267" s="337"/>
      <c r="W267" s="337"/>
      <c r="X267" s="337"/>
      <c r="Y267" s="337"/>
      <c r="Z267" s="337"/>
      <c r="AA267" s="337"/>
      <c r="AB267" s="337"/>
      <c r="AC267" s="338"/>
      <c r="CF267" s="734" t="s">
        <v>1070</v>
      </c>
      <c r="CG267" s="734"/>
      <c r="CH267" s="734"/>
      <c r="CI267" s="734"/>
      <c r="CJ267" s="734"/>
      <c r="CK267" s="734"/>
      <c r="CL267" s="731"/>
      <c r="CM267" s="731"/>
      <c r="CN267" s="731"/>
      <c r="CO267" s="731"/>
      <c r="CP267" s="731"/>
      <c r="CQ267" s="731"/>
      <c r="CR267" s="731"/>
      <c r="CS267" s="731"/>
      <c r="CT267" s="731"/>
      <c r="CU267" s="731"/>
      <c r="CV267" s="731"/>
      <c r="CW267" s="731"/>
      <c r="CX267" s="731"/>
      <c r="CY267" s="731"/>
      <c r="CZ267" s="731"/>
      <c r="DA267" s="731"/>
      <c r="DB267" s="731"/>
      <c r="DC267" s="731"/>
      <c r="DD267" s="731"/>
      <c r="DE267" s="731"/>
    </row>
    <row r="268" spans="1:109" ht="12.75" x14ac:dyDescent="0.2">
      <c r="B268" s="971">
        <f>R139-E270</f>
        <v>0</v>
      </c>
      <c r="C268" s="972"/>
      <c r="D268" s="967" t="b">
        <f>B268=0</f>
        <v>1</v>
      </c>
      <c r="E268" s="953" t="s">
        <v>189</v>
      </c>
      <c r="F268" s="833" t="s">
        <v>98</v>
      </c>
      <c r="G268" s="816"/>
      <c r="H268" s="816"/>
      <c r="I268" s="816"/>
      <c r="J268" s="816" t="s">
        <v>100</v>
      </c>
      <c r="K268" s="816"/>
      <c r="L268" s="816"/>
      <c r="M268" s="816"/>
      <c r="N268" s="816" t="s">
        <v>102</v>
      </c>
      <c r="O268" s="816"/>
      <c r="P268" s="816"/>
      <c r="Q268" s="816"/>
      <c r="R268" s="816" t="s">
        <v>104</v>
      </c>
      <c r="S268" s="816"/>
      <c r="T268" s="816"/>
      <c r="U268" s="816"/>
      <c r="V268" s="816" t="s">
        <v>105</v>
      </c>
      <c r="W268" s="816"/>
      <c r="X268" s="816"/>
      <c r="Y268" s="816"/>
      <c r="Z268" s="816" t="s">
        <v>107</v>
      </c>
      <c r="AA268" s="816"/>
      <c r="AB268" s="816"/>
      <c r="AC268" s="817"/>
      <c r="CF268" s="739">
        <v>236</v>
      </c>
      <c r="CG268" s="740" t="s">
        <v>1071</v>
      </c>
      <c r="CH268" s="751">
        <f>C132</f>
        <v>0</v>
      </c>
      <c r="CI268" s="740" t="s">
        <v>1072</v>
      </c>
      <c r="CJ268" s="742" t="s">
        <v>1073</v>
      </c>
      <c r="CK268" s="740" t="s">
        <v>694</v>
      </c>
      <c r="CL268" s="731"/>
      <c r="CM268" s="731"/>
      <c r="CN268" s="731"/>
      <c r="CO268" s="731"/>
      <c r="CP268" s="731"/>
      <c r="CQ268" s="731"/>
      <c r="CR268" s="731"/>
      <c r="CS268" s="731"/>
      <c r="CT268" s="731"/>
      <c r="CU268" s="731"/>
      <c r="CV268" s="731"/>
      <c r="CW268" s="731"/>
      <c r="CX268" s="731"/>
      <c r="CY268" s="731"/>
      <c r="CZ268" s="731"/>
      <c r="DA268" s="731"/>
      <c r="DB268" s="731"/>
      <c r="DC268" s="731"/>
      <c r="DD268" s="731"/>
      <c r="DE268" s="731"/>
    </row>
    <row r="269" spans="1:109" ht="12.75" x14ac:dyDescent="0.2">
      <c r="B269" s="973"/>
      <c r="C269" s="974"/>
      <c r="D269" s="968"/>
      <c r="E269" s="954"/>
      <c r="F269" s="432" t="s">
        <v>130</v>
      </c>
      <c r="G269" s="269" t="s">
        <v>131</v>
      </c>
      <c r="H269" s="269" t="s">
        <v>132</v>
      </c>
      <c r="I269" s="269" t="s">
        <v>133</v>
      </c>
      <c r="J269" s="269" t="s">
        <v>134</v>
      </c>
      <c r="K269" s="269" t="s">
        <v>135</v>
      </c>
      <c r="L269" s="269" t="s">
        <v>136</v>
      </c>
      <c r="M269" s="269" t="s">
        <v>137</v>
      </c>
      <c r="N269" s="269" t="s">
        <v>138</v>
      </c>
      <c r="O269" s="269" t="s">
        <v>139</v>
      </c>
      <c r="P269" s="269" t="s">
        <v>140</v>
      </c>
      <c r="Q269" s="269" t="s">
        <v>141</v>
      </c>
      <c r="R269" s="269" t="s">
        <v>142</v>
      </c>
      <c r="S269" s="269" t="s">
        <v>143</v>
      </c>
      <c r="T269" s="269" t="s">
        <v>144</v>
      </c>
      <c r="U269" s="269" t="s">
        <v>145</v>
      </c>
      <c r="V269" s="269" t="s">
        <v>146</v>
      </c>
      <c r="W269" s="269" t="s">
        <v>147</v>
      </c>
      <c r="X269" s="269" t="s">
        <v>148</v>
      </c>
      <c r="Y269" s="269" t="s">
        <v>149</v>
      </c>
      <c r="Z269" s="269" t="s">
        <v>150</v>
      </c>
      <c r="AA269" s="269" t="s">
        <v>151</v>
      </c>
      <c r="AB269" s="269" t="s">
        <v>152</v>
      </c>
      <c r="AC269" s="270" t="s">
        <v>153</v>
      </c>
      <c r="CF269" s="735">
        <v>237</v>
      </c>
      <c r="CG269" s="736" t="s">
        <v>1074</v>
      </c>
      <c r="CH269" s="747">
        <f>D132</f>
        <v>1</v>
      </c>
      <c r="CI269" s="736" t="s">
        <v>1072</v>
      </c>
      <c r="CJ269" s="738" t="s">
        <v>1075</v>
      </c>
      <c r="CK269" s="736" t="s">
        <v>597</v>
      </c>
      <c r="CL269" s="731"/>
      <c r="CM269" s="731"/>
      <c r="CN269" s="731"/>
      <c r="CO269" s="731"/>
      <c r="CP269" s="731"/>
      <c r="CQ269" s="731"/>
      <c r="CR269" s="731"/>
      <c r="CS269" s="731"/>
      <c r="CT269" s="731"/>
      <c r="CU269" s="731"/>
      <c r="CV269" s="731"/>
      <c r="CW269" s="731"/>
      <c r="CX269" s="731"/>
      <c r="CY269" s="731"/>
      <c r="CZ269" s="731"/>
      <c r="DA269" s="731"/>
      <c r="DB269" s="731"/>
      <c r="DC269" s="731"/>
      <c r="DD269" s="731"/>
      <c r="DE269" s="731"/>
    </row>
    <row r="270" spans="1:109" ht="12.75" x14ac:dyDescent="0.2">
      <c r="B270" s="955" t="s">
        <v>193</v>
      </c>
      <c r="C270" s="956"/>
      <c r="D270" s="959" t="b">
        <f>IF(ABS(E270 - R139) &lt; MAX(0.00001, E270 * 0.00001), TRUE, FALSE)</f>
        <v>1</v>
      </c>
      <c r="E270" s="985">
        <f>SUM(F270:Y271)</f>
        <v>11</v>
      </c>
      <c r="F270" s="947"/>
      <c r="G270" s="921"/>
      <c r="H270" s="921"/>
      <c r="I270" s="921"/>
      <c r="J270" s="921">
        <v>2</v>
      </c>
      <c r="K270" s="921">
        <v>2</v>
      </c>
      <c r="L270" s="921">
        <v>2</v>
      </c>
      <c r="M270" s="921">
        <v>2</v>
      </c>
      <c r="N270" s="921">
        <v>2</v>
      </c>
      <c r="O270" s="921">
        <v>1</v>
      </c>
      <c r="P270" s="921"/>
      <c r="Q270" s="921"/>
      <c r="R270" s="921"/>
      <c r="S270" s="921"/>
      <c r="T270" s="921"/>
      <c r="U270" s="921"/>
      <c r="V270" s="921"/>
      <c r="W270" s="921"/>
      <c r="X270" s="921"/>
      <c r="Y270" s="921"/>
      <c r="Z270" s="921"/>
      <c r="AA270" s="921"/>
      <c r="AB270" s="921"/>
      <c r="AC270" s="923"/>
      <c r="CF270" s="739">
        <v>238</v>
      </c>
      <c r="CG270" s="740" t="s">
        <v>1076</v>
      </c>
      <c r="CH270" s="749">
        <f>E132</f>
        <v>0</v>
      </c>
      <c r="CI270" s="740" t="s">
        <v>1072</v>
      </c>
      <c r="CJ270" s="742" t="s">
        <v>1077</v>
      </c>
      <c r="CK270" s="740" t="s">
        <v>647</v>
      </c>
      <c r="CL270" s="731"/>
      <c r="CM270" s="731"/>
      <c r="CN270" s="731"/>
      <c r="CO270" s="731"/>
      <c r="CP270" s="731"/>
      <c r="CQ270" s="731"/>
      <c r="CR270" s="731"/>
      <c r="CS270" s="731"/>
      <c r="CT270" s="731"/>
      <c r="CU270" s="731"/>
      <c r="CV270" s="731"/>
      <c r="CW270" s="731"/>
      <c r="CX270" s="731"/>
      <c r="CY270" s="731"/>
      <c r="CZ270" s="731"/>
      <c r="DA270" s="731"/>
      <c r="DB270" s="731"/>
      <c r="DC270" s="731"/>
      <c r="DD270" s="731"/>
      <c r="DE270" s="731"/>
    </row>
    <row r="271" spans="1:109" ht="12.75" x14ac:dyDescent="0.2">
      <c r="B271" s="957"/>
      <c r="C271" s="958"/>
      <c r="D271" s="960"/>
      <c r="E271" s="986"/>
      <c r="F271" s="948"/>
      <c r="G271" s="922"/>
      <c r="H271" s="922"/>
      <c r="I271" s="922"/>
      <c r="J271" s="922"/>
      <c r="K271" s="922"/>
      <c r="L271" s="922"/>
      <c r="M271" s="922"/>
      <c r="N271" s="922"/>
      <c r="O271" s="922"/>
      <c r="P271" s="922"/>
      <c r="Q271" s="922"/>
      <c r="R271" s="922"/>
      <c r="S271" s="922"/>
      <c r="T271" s="922"/>
      <c r="U271" s="922"/>
      <c r="V271" s="922"/>
      <c r="W271" s="922"/>
      <c r="X271" s="922"/>
      <c r="Y271" s="922"/>
      <c r="Z271" s="922"/>
      <c r="AA271" s="922"/>
      <c r="AB271" s="922"/>
      <c r="AC271" s="924"/>
      <c r="CF271" s="735">
        <v>239</v>
      </c>
      <c r="CG271" s="736" t="s">
        <v>759</v>
      </c>
      <c r="CH271" s="745" t="str">
        <f>F132</f>
        <v>0</v>
      </c>
      <c r="CI271" s="736" t="s">
        <v>1072</v>
      </c>
      <c r="CJ271" s="738" t="s">
        <v>1078</v>
      </c>
      <c r="CK271" s="736" t="s">
        <v>647</v>
      </c>
      <c r="CL271" s="731"/>
      <c r="CM271" s="731"/>
      <c r="CN271" s="731"/>
      <c r="CO271" s="731"/>
      <c r="CP271" s="731"/>
      <c r="CQ271" s="731"/>
      <c r="CR271" s="731"/>
      <c r="CS271" s="731"/>
      <c r="CT271" s="731"/>
      <c r="CU271" s="731"/>
      <c r="CV271" s="731"/>
      <c r="CW271" s="731"/>
      <c r="CX271" s="731"/>
      <c r="CY271" s="731"/>
      <c r="CZ271" s="731"/>
      <c r="DA271" s="731"/>
      <c r="DB271" s="731"/>
      <c r="DC271" s="731"/>
      <c r="DD271" s="731"/>
      <c r="DE271" s="731"/>
    </row>
    <row r="272" spans="1:109" ht="12.75" x14ac:dyDescent="0.2">
      <c r="B272" s="963" t="s">
        <v>194</v>
      </c>
      <c r="C272" s="964"/>
      <c r="D272" s="967" t="b">
        <f>IF(ABS(E272 - C196) &lt; MAX(0.00001, E272 * 0.00001), TRUE, FALSE)</f>
        <v>1</v>
      </c>
      <c r="E272" s="961">
        <f>SUM(F272:AC273)</f>
        <v>-78265608.000000015</v>
      </c>
      <c r="F272" s="969">
        <f t="shared" ref="F272:AC272" si="168">F196</f>
        <v>0</v>
      </c>
      <c r="G272" s="910">
        <f t="shared" si="168"/>
        <v>0</v>
      </c>
      <c r="H272" s="910">
        <f t="shared" si="168"/>
        <v>0</v>
      </c>
      <c r="I272" s="910">
        <f t="shared" si="168"/>
        <v>0</v>
      </c>
      <c r="J272" s="910">
        <f t="shared" si="168"/>
        <v>0</v>
      </c>
      <c r="K272" s="910">
        <f t="shared" si="168"/>
        <v>-5478592.5600000005</v>
      </c>
      <c r="L272" s="910">
        <f t="shared" si="168"/>
        <v>-5478592.5600000005</v>
      </c>
      <c r="M272" s="910">
        <f t="shared" si="168"/>
        <v>-5478592.5600000005</v>
      </c>
      <c r="N272" s="910">
        <f t="shared" si="168"/>
        <v>-10174529.040000001</v>
      </c>
      <c r="O272" s="910">
        <f t="shared" si="168"/>
        <v>-10174529.040000001</v>
      </c>
      <c r="P272" s="910">
        <f t="shared" si="168"/>
        <v>-10174529.040000001</v>
      </c>
      <c r="Q272" s="910">
        <f t="shared" si="168"/>
        <v>-9391872.959999999</v>
      </c>
      <c r="R272" s="910">
        <f t="shared" si="168"/>
        <v>-5478592.5600000005</v>
      </c>
      <c r="S272" s="910">
        <f t="shared" si="168"/>
        <v>-5478592.5600000005</v>
      </c>
      <c r="T272" s="910">
        <f t="shared" si="168"/>
        <v>-5478592.5600000005</v>
      </c>
      <c r="U272" s="910">
        <f t="shared" si="168"/>
        <v>-5478592.5600000005</v>
      </c>
      <c r="V272" s="910">
        <f t="shared" si="168"/>
        <v>0</v>
      </c>
      <c r="W272" s="910">
        <f t="shared" si="168"/>
        <v>0</v>
      </c>
      <c r="X272" s="910">
        <f t="shared" si="168"/>
        <v>0</v>
      </c>
      <c r="Y272" s="910">
        <f t="shared" si="168"/>
        <v>0</v>
      </c>
      <c r="Z272" s="910">
        <f t="shared" si="168"/>
        <v>0</v>
      </c>
      <c r="AA272" s="910">
        <f t="shared" si="168"/>
        <v>0</v>
      </c>
      <c r="AB272" s="910">
        <f t="shared" si="168"/>
        <v>0</v>
      </c>
      <c r="AC272" s="919">
        <f t="shared" si="168"/>
        <v>0</v>
      </c>
      <c r="CF272" s="739">
        <v>240</v>
      </c>
      <c r="CG272" s="740" t="s">
        <v>1079</v>
      </c>
      <c r="CH272" s="744">
        <f>H132</f>
        <v>0</v>
      </c>
      <c r="CI272" s="740" t="s">
        <v>1072</v>
      </c>
      <c r="CJ272" s="742" t="s">
        <v>1080</v>
      </c>
      <c r="CK272" s="740" t="s">
        <v>650</v>
      </c>
      <c r="CL272" s="731"/>
      <c r="CM272" s="731"/>
      <c r="CN272" s="731"/>
      <c r="CO272" s="731"/>
      <c r="CP272" s="731"/>
      <c r="CQ272" s="731"/>
      <c r="CR272" s="731"/>
      <c r="CS272" s="731"/>
      <c r="CT272" s="731"/>
      <c r="CU272" s="731"/>
      <c r="CV272" s="731"/>
      <c r="CW272" s="731"/>
      <c r="CX272" s="731"/>
      <c r="CY272" s="731"/>
      <c r="CZ272" s="731"/>
      <c r="DA272" s="731"/>
      <c r="DB272" s="731"/>
      <c r="DC272" s="731"/>
      <c r="DD272" s="731"/>
      <c r="DE272" s="731"/>
    </row>
    <row r="273" spans="2:109" ht="12.75" x14ac:dyDescent="0.2">
      <c r="B273" s="965"/>
      <c r="C273" s="966"/>
      <c r="D273" s="968"/>
      <c r="E273" s="962"/>
      <c r="F273" s="970"/>
      <c r="G273" s="911"/>
      <c r="H273" s="911"/>
      <c r="I273" s="911"/>
      <c r="J273" s="911"/>
      <c r="K273" s="911"/>
      <c r="L273" s="911"/>
      <c r="M273" s="911"/>
      <c r="N273" s="911"/>
      <c r="O273" s="911"/>
      <c r="P273" s="911"/>
      <c r="Q273" s="911"/>
      <c r="R273" s="911"/>
      <c r="S273" s="911"/>
      <c r="T273" s="911"/>
      <c r="U273" s="911"/>
      <c r="V273" s="911"/>
      <c r="W273" s="911"/>
      <c r="X273" s="911"/>
      <c r="Y273" s="911"/>
      <c r="Z273" s="911"/>
      <c r="AA273" s="911"/>
      <c r="AB273" s="911"/>
      <c r="AC273" s="920"/>
      <c r="CF273" s="735">
        <v>241</v>
      </c>
      <c r="CG273" s="736" t="s">
        <v>1081</v>
      </c>
      <c r="CH273" s="743">
        <f>I132</f>
        <v>0</v>
      </c>
      <c r="CI273" s="736" t="s">
        <v>1072</v>
      </c>
      <c r="CJ273" s="738" t="s">
        <v>1082</v>
      </c>
      <c r="CK273" s="736" t="s">
        <v>571</v>
      </c>
      <c r="CL273" s="731"/>
      <c r="CM273" s="731"/>
      <c r="CN273" s="731"/>
      <c r="CO273" s="731"/>
      <c r="CP273" s="731"/>
      <c r="CQ273" s="731"/>
      <c r="CR273" s="731"/>
      <c r="CS273" s="731"/>
      <c r="CT273" s="731"/>
      <c r="CU273" s="731"/>
      <c r="CV273" s="731"/>
      <c r="CW273" s="731"/>
      <c r="CX273" s="731"/>
      <c r="CY273" s="731"/>
      <c r="CZ273" s="731"/>
      <c r="DA273" s="731"/>
      <c r="DB273" s="731"/>
      <c r="DC273" s="731"/>
      <c r="DD273" s="731"/>
      <c r="DE273" s="731"/>
    </row>
    <row r="274" spans="2:109" ht="12.75" x14ac:dyDescent="0.2">
      <c r="B274" s="975" t="s">
        <v>195</v>
      </c>
      <c r="C274" s="976"/>
      <c r="D274" s="981" t="b">
        <f>E274=100%</f>
        <v>1</v>
      </c>
      <c r="E274" s="979">
        <f>SUM(F274:AC275)</f>
        <v>1.0000000000000002</v>
      </c>
      <c r="F274" s="991">
        <f t="shared" ref="F274:Y274" si="169">F272/$C$196</f>
        <v>0</v>
      </c>
      <c r="G274" s="912">
        <f t="shared" si="169"/>
        <v>0</v>
      </c>
      <c r="H274" s="912">
        <f t="shared" si="169"/>
        <v>0</v>
      </c>
      <c r="I274" s="912">
        <f t="shared" si="169"/>
        <v>0</v>
      </c>
      <c r="J274" s="912">
        <f t="shared" si="169"/>
        <v>0</v>
      </c>
      <c r="K274" s="912">
        <f t="shared" si="169"/>
        <v>7.0000000000000007E-2</v>
      </c>
      <c r="L274" s="912">
        <f t="shared" si="169"/>
        <v>7.0000000000000007E-2</v>
      </c>
      <c r="M274" s="912">
        <f t="shared" si="169"/>
        <v>7.0000000000000007E-2</v>
      </c>
      <c r="N274" s="912">
        <f t="shared" si="169"/>
        <v>0.13</v>
      </c>
      <c r="O274" s="912">
        <f t="shared" si="169"/>
        <v>0.13</v>
      </c>
      <c r="P274" s="912">
        <f t="shared" si="169"/>
        <v>0.13</v>
      </c>
      <c r="Q274" s="912">
        <f t="shared" si="169"/>
        <v>0.11999999999999998</v>
      </c>
      <c r="R274" s="912">
        <f t="shared" si="169"/>
        <v>7.0000000000000007E-2</v>
      </c>
      <c r="S274" s="912">
        <f t="shared" si="169"/>
        <v>7.0000000000000007E-2</v>
      </c>
      <c r="T274" s="912">
        <f t="shared" si="169"/>
        <v>7.0000000000000007E-2</v>
      </c>
      <c r="U274" s="912">
        <f t="shared" si="169"/>
        <v>7.0000000000000007E-2</v>
      </c>
      <c r="V274" s="912">
        <f t="shared" si="169"/>
        <v>0</v>
      </c>
      <c r="W274" s="912">
        <f t="shared" si="169"/>
        <v>0</v>
      </c>
      <c r="X274" s="912">
        <f t="shared" si="169"/>
        <v>0</v>
      </c>
      <c r="Y274" s="912">
        <f t="shared" si="169"/>
        <v>0</v>
      </c>
      <c r="Z274" s="912">
        <f t="shared" ref="Z274:AC274" si="170">Z272/$C$196</f>
        <v>0</v>
      </c>
      <c r="AA274" s="912">
        <f t="shared" si="170"/>
        <v>0</v>
      </c>
      <c r="AB274" s="912">
        <f t="shared" si="170"/>
        <v>0</v>
      </c>
      <c r="AC274" s="931">
        <f t="shared" si="170"/>
        <v>0</v>
      </c>
      <c r="CF274" s="739">
        <v>242</v>
      </c>
      <c r="CG274" s="740" t="s">
        <v>1083</v>
      </c>
      <c r="CH274" s="744">
        <f>J132</f>
        <v>0</v>
      </c>
      <c r="CI274" s="740" t="s">
        <v>1072</v>
      </c>
      <c r="CJ274" s="742" t="s">
        <v>1084</v>
      </c>
      <c r="CK274" s="740" t="s">
        <v>571</v>
      </c>
      <c r="CL274" s="731"/>
      <c r="CM274" s="731"/>
      <c r="CN274" s="731"/>
      <c r="CO274" s="731"/>
      <c r="CP274" s="731"/>
      <c r="CQ274" s="731"/>
      <c r="CR274" s="731"/>
      <c r="CS274" s="731"/>
      <c r="CT274" s="731"/>
      <c r="CU274" s="731"/>
      <c r="CV274" s="731"/>
      <c r="CW274" s="731"/>
      <c r="CX274" s="731"/>
      <c r="CY274" s="731"/>
      <c r="CZ274" s="731"/>
      <c r="DA274" s="731"/>
      <c r="DB274" s="731"/>
      <c r="DC274" s="731"/>
      <c r="DD274" s="731"/>
      <c r="DE274" s="731"/>
    </row>
    <row r="275" spans="2:109" ht="15" x14ac:dyDescent="0.2">
      <c r="B275" s="977"/>
      <c r="C275" s="978"/>
      <c r="D275" s="982"/>
      <c r="E275" s="980"/>
      <c r="F275" s="992"/>
      <c r="G275" s="913"/>
      <c r="H275" s="913"/>
      <c r="I275" s="913"/>
      <c r="J275" s="913"/>
      <c r="K275" s="913"/>
      <c r="L275" s="913"/>
      <c r="M275" s="913"/>
      <c r="N275" s="913"/>
      <c r="O275" s="913"/>
      <c r="P275" s="913"/>
      <c r="Q275" s="913"/>
      <c r="R275" s="913"/>
      <c r="S275" s="913"/>
      <c r="T275" s="913"/>
      <c r="U275" s="913"/>
      <c r="V275" s="913"/>
      <c r="W275" s="913"/>
      <c r="X275" s="913"/>
      <c r="Y275" s="913"/>
      <c r="Z275" s="913"/>
      <c r="AA275" s="913"/>
      <c r="AB275" s="913"/>
      <c r="AC275" s="932"/>
      <c r="CF275" s="734" t="s">
        <v>1085</v>
      </c>
      <c r="CG275" s="734"/>
      <c r="CH275" s="734"/>
      <c r="CI275" s="734"/>
      <c r="CJ275" s="734"/>
      <c r="CK275" s="734"/>
      <c r="CL275" s="731"/>
      <c r="CM275" s="731"/>
      <c r="CN275" s="731"/>
      <c r="CO275" s="731"/>
      <c r="CP275" s="731"/>
      <c r="CQ275" s="731"/>
      <c r="CR275" s="731"/>
      <c r="CS275" s="731"/>
      <c r="CT275" s="731"/>
      <c r="CU275" s="731"/>
      <c r="CV275" s="731"/>
      <c r="CW275" s="731"/>
      <c r="CX275" s="731"/>
      <c r="CY275" s="731"/>
      <c r="CZ275" s="731"/>
      <c r="DA275" s="731"/>
      <c r="DB275" s="731"/>
      <c r="DC275" s="731"/>
      <c r="DD275" s="731"/>
      <c r="DE275" s="731"/>
    </row>
    <row r="276" spans="2:109" ht="12.75" x14ac:dyDescent="0.2">
      <c r="B276" s="963" t="s">
        <v>196</v>
      </c>
      <c r="C276" s="964"/>
      <c r="D276" s="967" t="b">
        <f>B265=B265</f>
        <v>1</v>
      </c>
      <c r="E276" s="983" t="s">
        <v>67</v>
      </c>
      <c r="F276" s="989">
        <f>F274</f>
        <v>0</v>
      </c>
      <c r="G276" s="916">
        <f>G274+F276</f>
        <v>0</v>
      </c>
      <c r="H276" s="916">
        <f>H274+G276</f>
        <v>0</v>
      </c>
      <c r="I276" s="916">
        <f t="shared" ref="I276:U276" si="171">I274+H276</f>
        <v>0</v>
      </c>
      <c r="J276" s="916">
        <f>J274+I276</f>
        <v>0</v>
      </c>
      <c r="K276" s="916">
        <f t="shared" si="171"/>
        <v>7.0000000000000007E-2</v>
      </c>
      <c r="L276" s="916">
        <f t="shared" si="171"/>
        <v>0.14000000000000001</v>
      </c>
      <c r="M276" s="916">
        <f>M274+L276</f>
        <v>0.21000000000000002</v>
      </c>
      <c r="N276" s="916">
        <f>N274+M276</f>
        <v>0.34</v>
      </c>
      <c r="O276" s="916">
        <f t="shared" si="171"/>
        <v>0.47000000000000003</v>
      </c>
      <c r="P276" s="916">
        <f t="shared" si="171"/>
        <v>0.60000000000000009</v>
      </c>
      <c r="Q276" s="916">
        <f>Q274+P276</f>
        <v>0.72000000000000008</v>
      </c>
      <c r="R276" s="916">
        <f t="shared" si="171"/>
        <v>0.79</v>
      </c>
      <c r="S276" s="916">
        <f>S274+R276</f>
        <v>0.8600000000000001</v>
      </c>
      <c r="T276" s="916">
        <f>T274+S276</f>
        <v>0.93000000000000016</v>
      </c>
      <c r="U276" s="916">
        <f t="shared" si="171"/>
        <v>1.0000000000000002</v>
      </c>
      <c r="V276" s="916">
        <f>V274+U276</f>
        <v>1.0000000000000002</v>
      </c>
      <c r="W276" s="916">
        <f>W274+V276</f>
        <v>1.0000000000000002</v>
      </c>
      <c r="X276" s="916">
        <f>X274+W276</f>
        <v>1.0000000000000002</v>
      </c>
      <c r="Y276" s="916">
        <f>Y274+X276</f>
        <v>1.0000000000000002</v>
      </c>
      <c r="Z276" s="916">
        <f t="shared" ref="Z276:AC276" si="172">Z274+Y276</f>
        <v>1.0000000000000002</v>
      </c>
      <c r="AA276" s="916">
        <f t="shared" si="172"/>
        <v>1.0000000000000002</v>
      </c>
      <c r="AB276" s="916">
        <f t="shared" si="172"/>
        <v>1.0000000000000002</v>
      </c>
      <c r="AC276" s="927">
        <f t="shared" si="172"/>
        <v>1.0000000000000002</v>
      </c>
      <c r="CF276" s="735">
        <v>243</v>
      </c>
      <c r="CG276" s="736" t="s">
        <v>1086</v>
      </c>
      <c r="CH276" s="750">
        <f>C133</f>
        <v>0</v>
      </c>
      <c r="CI276" s="736" t="s">
        <v>1087</v>
      </c>
      <c r="CJ276" s="738" t="s">
        <v>1088</v>
      </c>
      <c r="CK276" s="736" t="s">
        <v>694</v>
      </c>
      <c r="CL276" s="731"/>
      <c r="CM276" s="731"/>
      <c r="CN276" s="731"/>
      <c r="CO276" s="731"/>
      <c r="CP276" s="731"/>
      <c r="CQ276" s="731"/>
      <c r="CR276" s="731"/>
      <c r="CS276" s="731"/>
      <c r="CT276" s="731"/>
      <c r="CU276" s="731"/>
      <c r="CV276" s="731"/>
      <c r="CW276" s="731"/>
      <c r="CX276" s="731"/>
      <c r="CY276" s="731"/>
      <c r="CZ276" s="731"/>
      <c r="DA276" s="731"/>
      <c r="DB276" s="731"/>
      <c r="DC276" s="731"/>
      <c r="DD276" s="731"/>
      <c r="DE276" s="731"/>
    </row>
    <row r="277" spans="2:109" ht="12.75" x14ac:dyDescent="0.2">
      <c r="B277" s="965"/>
      <c r="C277" s="966"/>
      <c r="D277" s="968"/>
      <c r="E277" s="984"/>
      <c r="F277" s="990"/>
      <c r="G277" s="917"/>
      <c r="H277" s="917"/>
      <c r="I277" s="917"/>
      <c r="J277" s="917"/>
      <c r="K277" s="917"/>
      <c r="L277" s="917"/>
      <c r="M277" s="917"/>
      <c r="N277" s="917"/>
      <c r="O277" s="917"/>
      <c r="P277" s="917"/>
      <c r="Q277" s="917"/>
      <c r="R277" s="917"/>
      <c r="S277" s="917"/>
      <c r="T277" s="917"/>
      <c r="U277" s="917"/>
      <c r="V277" s="917"/>
      <c r="W277" s="917"/>
      <c r="X277" s="917"/>
      <c r="Y277" s="917"/>
      <c r="Z277" s="917"/>
      <c r="AA277" s="917"/>
      <c r="AB277" s="917"/>
      <c r="AC277" s="928"/>
      <c r="CF277" s="739">
        <v>244</v>
      </c>
      <c r="CG277" s="740" t="s">
        <v>1089</v>
      </c>
      <c r="CH277" s="746">
        <f>D133</f>
        <v>1</v>
      </c>
      <c r="CI277" s="740" t="s">
        <v>1087</v>
      </c>
      <c r="CJ277" s="742" t="s">
        <v>1090</v>
      </c>
      <c r="CK277" s="740" t="s">
        <v>597</v>
      </c>
      <c r="CL277" s="731"/>
      <c r="CM277" s="731"/>
      <c r="CN277" s="731"/>
      <c r="CO277" s="731"/>
      <c r="CP277" s="731"/>
      <c r="CQ277" s="731"/>
      <c r="CR277" s="731"/>
      <c r="CS277" s="731"/>
      <c r="CT277" s="731"/>
      <c r="CU277" s="731"/>
      <c r="CV277" s="731"/>
      <c r="CW277" s="731"/>
      <c r="CX277" s="731"/>
      <c r="CY277" s="731"/>
      <c r="CZ277" s="731"/>
      <c r="DA277" s="731"/>
      <c r="DB277" s="731"/>
      <c r="DC277" s="731"/>
      <c r="DD277" s="731"/>
      <c r="DE277" s="731"/>
    </row>
    <row r="278" spans="2:109" ht="12.75" x14ac:dyDescent="0.2">
      <c r="B278" s="975" t="s">
        <v>227</v>
      </c>
      <c r="C278" s="976"/>
      <c r="D278" s="981" t="b">
        <f>IF(ABS(E278 - C303) &lt; MAX(0.00001, E278 * 0.00001), TRUE, FALSE)</f>
        <v>1</v>
      </c>
      <c r="E278" s="983">
        <f>SUM(F278:AC279)</f>
        <v>47826086.956521749</v>
      </c>
      <c r="F278" s="987">
        <f t="shared" ref="F278:AC278" si="173">F270*$C$307</f>
        <v>0</v>
      </c>
      <c r="G278" s="914">
        <f>G270*$C$307</f>
        <v>0</v>
      </c>
      <c r="H278" s="914">
        <f t="shared" si="173"/>
        <v>0</v>
      </c>
      <c r="I278" s="914">
        <f t="shared" si="173"/>
        <v>0</v>
      </c>
      <c r="J278" s="914">
        <f t="shared" si="173"/>
        <v>8695652.1739130449</v>
      </c>
      <c r="K278" s="914">
        <f t="shared" si="173"/>
        <v>8695652.1739130449</v>
      </c>
      <c r="L278" s="914">
        <f t="shared" si="173"/>
        <v>8695652.1739130449</v>
      </c>
      <c r="M278" s="914">
        <f t="shared" si="173"/>
        <v>8695652.1739130449</v>
      </c>
      <c r="N278" s="914">
        <f t="shared" si="173"/>
        <v>8695652.1739130449</v>
      </c>
      <c r="O278" s="914">
        <f t="shared" si="173"/>
        <v>4347826.0869565224</v>
      </c>
      <c r="P278" s="914">
        <f t="shared" si="173"/>
        <v>0</v>
      </c>
      <c r="Q278" s="914">
        <f t="shared" si="173"/>
        <v>0</v>
      </c>
      <c r="R278" s="914">
        <f t="shared" si="173"/>
        <v>0</v>
      </c>
      <c r="S278" s="914">
        <f t="shared" si="173"/>
        <v>0</v>
      </c>
      <c r="T278" s="914">
        <f>T270*$C$307</f>
        <v>0</v>
      </c>
      <c r="U278" s="914">
        <f t="shared" si="173"/>
        <v>0</v>
      </c>
      <c r="V278" s="914">
        <f t="shared" si="173"/>
        <v>0</v>
      </c>
      <c r="W278" s="914">
        <f t="shared" si="173"/>
        <v>0</v>
      </c>
      <c r="X278" s="914">
        <f t="shared" si="173"/>
        <v>0</v>
      </c>
      <c r="Y278" s="914">
        <f t="shared" si="173"/>
        <v>0</v>
      </c>
      <c r="Z278" s="914">
        <f t="shared" si="173"/>
        <v>0</v>
      </c>
      <c r="AA278" s="914">
        <f t="shared" si="173"/>
        <v>0</v>
      </c>
      <c r="AB278" s="914">
        <f t="shared" si="173"/>
        <v>0</v>
      </c>
      <c r="AC278" s="929">
        <f t="shared" si="173"/>
        <v>0</v>
      </c>
      <c r="CF278" s="735">
        <v>245</v>
      </c>
      <c r="CG278" s="736" t="s">
        <v>1091</v>
      </c>
      <c r="CH278" s="745">
        <f>E133</f>
        <v>0</v>
      </c>
      <c r="CI278" s="736" t="s">
        <v>1087</v>
      </c>
      <c r="CJ278" s="738" t="s">
        <v>1092</v>
      </c>
      <c r="CK278" s="736" t="s">
        <v>647</v>
      </c>
      <c r="CL278" s="731"/>
      <c r="CM278" s="731"/>
      <c r="CN278" s="731"/>
      <c r="CO278" s="731"/>
      <c r="CP278" s="731"/>
      <c r="CQ278" s="731"/>
      <c r="CR278" s="731"/>
      <c r="CS278" s="731"/>
      <c r="CT278" s="731"/>
      <c r="CU278" s="731"/>
      <c r="CV278" s="731"/>
      <c r="CW278" s="731"/>
      <c r="CX278" s="731"/>
      <c r="CY278" s="731"/>
      <c r="CZ278" s="731"/>
      <c r="DA278" s="731"/>
      <c r="DB278" s="731"/>
      <c r="DC278" s="731"/>
      <c r="DD278" s="731"/>
      <c r="DE278" s="731"/>
    </row>
    <row r="279" spans="2:109" ht="12.75" x14ac:dyDescent="0.2">
      <c r="B279" s="977"/>
      <c r="C279" s="978"/>
      <c r="D279" s="982"/>
      <c r="E279" s="984"/>
      <c r="F279" s="988"/>
      <c r="G279" s="915"/>
      <c r="H279" s="915"/>
      <c r="I279" s="915"/>
      <c r="J279" s="915"/>
      <c r="K279" s="915"/>
      <c r="L279" s="915"/>
      <c r="M279" s="915"/>
      <c r="N279" s="915"/>
      <c r="O279" s="915"/>
      <c r="P279" s="915"/>
      <c r="Q279" s="915"/>
      <c r="R279" s="915"/>
      <c r="S279" s="915"/>
      <c r="T279" s="915"/>
      <c r="U279" s="915"/>
      <c r="V279" s="915"/>
      <c r="W279" s="915"/>
      <c r="X279" s="915"/>
      <c r="Y279" s="915"/>
      <c r="Z279" s="915"/>
      <c r="AA279" s="915"/>
      <c r="AB279" s="915"/>
      <c r="AC279" s="930"/>
      <c r="CF279" s="739">
        <v>246</v>
      </c>
      <c r="CG279" s="740" t="s">
        <v>781</v>
      </c>
      <c r="CH279" s="749" t="str">
        <f>F133</f>
        <v>0</v>
      </c>
      <c r="CI279" s="740" t="s">
        <v>1087</v>
      </c>
      <c r="CJ279" s="742" t="s">
        <v>1093</v>
      </c>
      <c r="CK279" s="740" t="s">
        <v>647</v>
      </c>
      <c r="CL279" s="731"/>
      <c r="CM279" s="731"/>
      <c r="CN279" s="731"/>
      <c r="CO279" s="731"/>
      <c r="CP279" s="731"/>
      <c r="CQ279" s="731"/>
      <c r="CR279" s="731"/>
      <c r="CS279" s="731"/>
      <c r="CT279" s="731"/>
      <c r="CU279" s="731"/>
      <c r="CV279" s="731"/>
      <c r="CW279" s="731"/>
      <c r="CX279" s="731"/>
      <c r="CY279" s="731"/>
      <c r="CZ279" s="731"/>
      <c r="DA279" s="731"/>
      <c r="DB279" s="731"/>
      <c r="DC279" s="731"/>
      <c r="DD279" s="731"/>
      <c r="DE279" s="731"/>
    </row>
    <row r="280" spans="2:109" ht="12.75" x14ac:dyDescent="0.2">
      <c r="B280" s="963" t="s">
        <v>175</v>
      </c>
      <c r="C280" s="964"/>
      <c r="D280" s="967" t="b">
        <f>IF(ABS(E280 - C308) &lt; MAX(0.00001, E280 * 0.00001), TRUE, FALSE)</f>
        <v>1</v>
      </c>
      <c r="E280" s="961">
        <f>-SUM(F280:AC281)</f>
        <v>717391.30434782605</v>
      </c>
      <c r="F280" s="969">
        <f t="shared" ref="F280:AC280" si="174">$D$308*-F278</f>
        <v>0</v>
      </c>
      <c r="G280" s="910">
        <f t="shared" si="174"/>
        <v>0</v>
      </c>
      <c r="H280" s="910">
        <f t="shared" si="174"/>
        <v>0</v>
      </c>
      <c r="I280" s="910">
        <f t="shared" si="174"/>
        <v>0</v>
      </c>
      <c r="J280" s="910">
        <f t="shared" si="174"/>
        <v>-130434.78260869566</v>
      </c>
      <c r="K280" s="910">
        <f t="shared" si="174"/>
        <v>-130434.78260869566</v>
      </c>
      <c r="L280" s="910">
        <f t="shared" si="174"/>
        <v>-130434.78260869566</v>
      </c>
      <c r="M280" s="910">
        <f t="shared" si="174"/>
        <v>-130434.78260869566</v>
      </c>
      <c r="N280" s="910">
        <f t="shared" si="174"/>
        <v>-130434.78260869566</v>
      </c>
      <c r="O280" s="910">
        <f t="shared" si="174"/>
        <v>-65217.391304347831</v>
      </c>
      <c r="P280" s="910">
        <f t="shared" si="174"/>
        <v>0</v>
      </c>
      <c r="Q280" s="910">
        <f t="shared" si="174"/>
        <v>0</v>
      </c>
      <c r="R280" s="910">
        <f t="shared" si="174"/>
        <v>0</v>
      </c>
      <c r="S280" s="910">
        <f t="shared" si="174"/>
        <v>0</v>
      </c>
      <c r="T280" s="910">
        <f>$D$308*-T278</f>
        <v>0</v>
      </c>
      <c r="U280" s="910">
        <f t="shared" si="174"/>
        <v>0</v>
      </c>
      <c r="V280" s="910">
        <f t="shared" si="174"/>
        <v>0</v>
      </c>
      <c r="W280" s="910">
        <f t="shared" si="174"/>
        <v>0</v>
      </c>
      <c r="X280" s="910">
        <f t="shared" si="174"/>
        <v>0</v>
      </c>
      <c r="Y280" s="910">
        <f t="shared" si="174"/>
        <v>0</v>
      </c>
      <c r="Z280" s="910">
        <f t="shared" si="174"/>
        <v>0</v>
      </c>
      <c r="AA280" s="910">
        <f t="shared" si="174"/>
        <v>0</v>
      </c>
      <c r="AB280" s="910">
        <f t="shared" si="174"/>
        <v>0</v>
      </c>
      <c r="AC280" s="919">
        <f t="shared" si="174"/>
        <v>0</v>
      </c>
      <c r="CF280" s="735">
        <v>247</v>
      </c>
      <c r="CG280" s="736" t="s">
        <v>1094</v>
      </c>
      <c r="CH280" s="743">
        <f>H133</f>
        <v>0</v>
      </c>
      <c r="CI280" s="736" t="s">
        <v>1087</v>
      </c>
      <c r="CJ280" s="738" t="s">
        <v>1095</v>
      </c>
      <c r="CK280" s="736" t="s">
        <v>650</v>
      </c>
      <c r="CL280" s="731"/>
      <c r="CM280" s="731"/>
      <c r="CN280" s="731"/>
      <c r="CO280" s="731"/>
      <c r="CP280" s="731"/>
      <c r="CQ280" s="731"/>
      <c r="CR280" s="731"/>
      <c r="CS280" s="731"/>
      <c r="CT280" s="731"/>
      <c r="CU280" s="731"/>
      <c r="CV280" s="731"/>
      <c r="CW280" s="731"/>
      <c r="CX280" s="731"/>
      <c r="CY280" s="731"/>
      <c r="CZ280" s="731"/>
      <c r="DA280" s="731"/>
      <c r="DB280" s="731"/>
      <c r="DC280" s="731"/>
      <c r="DD280" s="731"/>
      <c r="DE280" s="731"/>
    </row>
    <row r="281" spans="2:109" ht="12.75" x14ac:dyDescent="0.2">
      <c r="B281" s="965"/>
      <c r="C281" s="966"/>
      <c r="D281" s="968"/>
      <c r="E281" s="962"/>
      <c r="F281" s="970"/>
      <c r="G281" s="911"/>
      <c r="H281" s="911"/>
      <c r="I281" s="911"/>
      <c r="J281" s="911"/>
      <c r="K281" s="911"/>
      <c r="L281" s="911"/>
      <c r="M281" s="911"/>
      <c r="N281" s="911"/>
      <c r="O281" s="911"/>
      <c r="P281" s="911"/>
      <c r="Q281" s="911"/>
      <c r="R281" s="911"/>
      <c r="S281" s="911"/>
      <c r="T281" s="911"/>
      <c r="U281" s="911"/>
      <c r="V281" s="911"/>
      <c r="W281" s="911"/>
      <c r="X281" s="911"/>
      <c r="Y281" s="911"/>
      <c r="Z281" s="911"/>
      <c r="AA281" s="911"/>
      <c r="AB281" s="911"/>
      <c r="AC281" s="920"/>
      <c r="CF281" s="739">
        <v>248</v>
      </c>
      <c r="CG281" s="740" t="s">
        <v>1096</v>
      </c>
      <c r="CH281" s="744">
        <f>I133</f>
        <v>0</v>
      </c>
      <c r="CI281" s="740" t="s">
        <v>1087</v>
      </c>
      <c r="CJ281" s="742" t="s">
        <v>1097</v>
      </c>
      <c r="CK281" s="740" t="s">
        <v>571</v>
      </c>
      <c r="CL281" s="731"/>
      <c r="CM281" s="731"/>
      <c r="CN281" s="731"/>
      <c r="CO281" s="731"/>
      <c r="CP281" s="731"/>
      <c r="CQ281" s="731"/>
      <c r="CR281" s="731"/>
      <c r="CS281" s="731"/>
      <c r="CT281" s="731"/>
      <c r="CU281" s="731"/>
      <c r="CV281" s="731"/>
      <c r="CW281" s="731"/>
      <c r="CX281" s="731"/>
      <c r="CY281" s="731"/>
      <c r="CZ281" s="731"/>
      <c r="DA281" s="731"/>
      <c r="DB281" s="731"/>
      <c r="DC281" s="731"/>
      <c r="DD281" s="731"/>
      <c r="DE281" s="731"/>
    </row>
    <row r="282" spans="2:109" ht="12.75" x14ac:dyDescent="0.2">
      <c r="B282" s="975" t="s">
        <v>283</v>
      </c>
      <c r="C282" s="976"/>
      <c r="D282" s="981" t="b">
        <f>IF(ABS(E282 - C309) &lt; MAX(0.00001, E282 * 0.00001), TRUE, FALSE)</f>
        <v>1</v>
      </c>
      <c r="E282" s="961">
        <f>-SUM(F282:AC283)</f>
        <v>478260.86956521746</v>
      </c>
      <c r="F282" s="987">
        <f t="shared" ref="F282:AC282" si="175">F278*-$D$309</f>
        <v>0</v>
      </c>
      <c r="G282" s="914">
        <f t="shared" si="175"/>
        <v>0</v>
      </c>
      <c r="H282" s="914">
        <f t="shared" si="175"/>
        <v>0</v>
      </c>
      <c r="I282" s="914">
        <f t="shared" si="175"/>
        <v>0</v>
      </c>
      <c r="J282" s="914">
        <f t="shared" si="175"/>
        <v>-86956.521739130447</v>
      </c>
      <c r="K282" s="914">
        <f t="shared" si="175"/>
        <v>-86956.521739130447</v>
      </c>
      <c r="L282" s="914">
        <f t="shared" si="175"/>
        <v>-86956.521739130447</v>
      </c>
      <c r="M282" s="914">
        <f t="shared" si="175"/>
        <v>-86956.521739130447</v>
      </c>
      <c r="N282" s="914">
        <f t="shared" si="175"/>
        <v>-86956.521739130447</v>
      </c>
      <c r="O282" s="914">
        <f t="shared" si="175"/>
        <v>-43478.260869565223</v>
      </c>
      <c r="P282" s="914">
        <f t="shared" si="175"/>
        <v>0</v>
      </c>
      <c r="Q282" s="914">
        <f t="shared" si="175"/>
        <v>0</v>
      </c>
      <c r="R282" s="914">
        <f t="shared" si="175"/>
        <v>0</v>
      </c>
      <c r="S282" s="914">
        <f t="shared" si="175"/>
        <v>0</v>
      </c>
      <c r="T282" s="914">
        <f>T278*-$D$309</f>
        <v>0</v>
      </c>
      <c r="U282" s="914">
        <f t="shared" si="175"/>
        <v>0</v>
      </c>
      <c r="V282" s="914">
        <f t="shared" si="175"/>
        <v>0</v>
      </c>
      <c r="W282" s="914">
        <f t="shared" si="175"/>
        <v>0</v>
      </c>
      <c r="X282" s="914">
        <f t="shared" si="175"/>
        <v>0</v>
      </c>
      <c r="Y282" s="914">
        <f t="shared" si="175"/>
        <v>0</v>
      </c>
      <c r="Z282" s="914">
        <f t="shared" si="175"/>
        <v>0</v>
      </c>
      <c r="AA282" s="914">
        <f t="shared" si="175"/>
        <v>0</v>
      </c>
      <c r="AB282" s="914">
        <f t="shared" si="175"/>
        <v>0</v>
      </c>
      <c r="AC282" s="929">
        <f t="shared" si="175"/>
        <v>0</v>
      </c>
      <c r="CF282" s="735">
        <v>249</v>
      </c>
      <c r="CG282" s="736" t="s">
        <v>1098</v>
      </c>
      <c r="CH282" s="743">
        <f>J133</f>
        <v>0</v>
      </c>
      <c r="CI282" s="736" t="s">
        <v>1087</v>
      </c>
      <c r="CJ282" s="738" t="s">
        <v>1099</v>
      </c>
      <c r="CK282" s="736" t="s">
        <v>571</v>
      </c>
      <c r="CL282" s="731"/>
      <c r="CM282" s="731"/>
      <c r="CN282" s="731"/>
      <c r="CO282" s="731"/>
      <c r="CP282" s="731"/>
      <c r="CQ282" s="731"/>
      <c r="CR282" s="731"/>
      <c r="CS282" s="731"/>
      <c r="CT282" s="731"/>
      <c r="CU282" s="731"/>
      <c r="CV282" s="731"/>
      <c r="CW282" s="731"/>
      <c r="CX282" s="731"/>
      <c r="CY282" s="731"/>
      <c r="CZ282" s="731"/>
      <c r="DA282" s="731"/>
      <c r="DB282" s="731"/>
      <c r="DC282" s="731"/>
      <c r="DD282" s="731"/>
      <c r="DE282" s="731"/>
    </row>
    <row r="283" spans="2:109" ht="15" x14ac:dyDescent="0.2">
      <c r="B283" s="977"/>
      <c r="C283" s="978"/>
      <c r="D283" s="982"/>
      <c r="E283" s="962"/>
      <c r="F283" s="988"/>
      <c r="G283" s="915"/>
      <c r="H283" s="915"/>
      <c r="I283" s="915"/>
      <c r="J283" s="915"/>
      <c r="K283" s="915"/>
      <c r="L283" s="915"/>
      <c r="M283" s="915"/>
      <c r="N283" s="915"/>
      <c r="O283" s="915"/>
      <c r="P283" s="915"/>
      <c r="Q283" s="915"/>
      <c r="R283" s="915"/>
      <c r="S283" s="915"/>
      <c r="T283" s="915"/>
      <c r="U283" s="915"/>
      <c r="V283" s="915"/>
      <c r="W283" s="915"/>
      <c r="X283" s="915"/>
      <c r="Y283" s="915"/>
      <c r="Z283" s="915"/>
      <c r="AA283" s="915"/>
      <c r="AB283" s="915"/>
      <c r="AC283" s="930"/>
      <c r="CF283" s="734" t="s">
        <v>1100</v>
      </c>
      <c r="CG283" s="734"/>
      <c r="CH283" s="734"/>
      <c r="CI283" s="734"/>
      <c r="CJ283" s="734"/>
      <c r="CK283" s="734"/>
      <c r="CL283" s="731"/>
      <c r="CM283" s="731"/>
      <c r="CN283" s="731"/>
      <c r="CO283" s="731"/>
      <c r="CP283" s="731"/>
      <c r="CQ283" s="731"/>
      <c r="CR283" s="731"/>
      <c r="CS283" s="731"/>
      <c r="CT283" s="731"/>
      <c r="CU283" s="731"/>
      <c r="CV283" s="731"/>
      <c r="CW283" s="731"/>
      <c r="CX283" s="731"/>
      <c r="CY283" s="731"/>
      <c r="CZ283" s="731"/>
      <c r="DA283" s="731"/>
      <c r="DB283" s="731"/>
      <c r="DC283" s="731"/>
      <c r="DD283" s="731"/>
      <c r="DE283" s="731"/>
    </row>
    <row r="284" spans="2:109" ht="12.75" x14ac:dyDescent="0.2">
      <c r="B284" s="963" t="s">
        <v>282</v>
      </c>
      <c r="C284" s="964"/>
      <c r="D284" s="967" t="b">
        <f>IF(ABS(E284 - C310) &lt; MAX(0.00001, E284 * 0.00001), TRUE, FALSE)</f>
        <v>1</v>
      </c>
      <c r="E284" s="961">
        <f>-SUM(F284:AC285)</f>
        <v>143478.26086956525</v>
      </c>
      <c r="F284" s="969">
        <f t="shared" ref="F284:AC284" si="176">F278*-$D$310</f>
        <v>0</v>
      </c>
      <c r="G284" s="910">
        <f t="shared" si="176"/>
        <v>0</v>
      </c>
      <c r="H284" s="910">
        <f t="shared" si="176"/>
        <v>0</v>
      </c>
      <c r="I284" s="910">
        <f t="shared" si="176"/>
        <v>0</v>
      </c>
      <c r="J284" s="910">
        <f t="shared" si="176"/>
        <v>-26086.956521739135</v>
      </c>
      <c r="K284" s="910">
        <f t="shared" si="176"/>
        <v>-26086.956521739135</v>
      </c>
      <c r="L284" s="910">
        <f t="shared" si="176"/>
        <v>-26086.956521739135</v>
      </c>
      <c r="M284" s="910">
        <f t="shared" si="176"/>
        <v>-26086.956521739135</v>
      </c>
      <c r="N284" s="910">
        <f t="shared" si="176"/>
        <v>-26086.956521739135</v>
      </c>
      <c r="O284" s="910">
        <f t="shared" si="176"/>
        <v>-13043.478260869568</v>
      </c>
      <c r="P284" s="910">
        <f t="shared" si="176"/>
        <v>0</v>
      </c>
      <c r="Q284" s="910">
        <f t="shared" si="176"/>
        <v>0</v>
      </c>
      <c r="R284" s="910">
        <f t="shared" si="176"/>
        <v>0</v>
      </c>
      <c r="S284" s="910">
        <f t="shared" si="176"/>
        <v>0</v>
      </c>
      <c r="T284" s="910">
        <f>T278*-$D$310</f>
        <v>0</v>
      </c>
      <c r="U284" s="910">
        <f t="shared" si="176"/>
        <v>0</v>
      </c>
      <c r="V284" s="910">
        <f t="shared" si="176"/>
        <v>0</v>
      </c>
      <c r="W284" s="910">
        <f t="shared" si="176"/>
        <v>0</v>
      </c>
      <c r="X284" s="910">
        <f t="shared" si="176"/>
        <v>0</v>
      </c>
      <c r="Y284" s="910">
        <f t="shared" si="176"/>
        <v>0</v>
      </c>
      <c r="Z284" s="910">
        <f t="shared" si="176"/>
        <v>0</v>
      </c>
      <c r="AA284" s="910">
        <f t="shared" si="176"/>
        <v>0</v>
      </c>
      <c r="AB284" s="910">
        <f t="shared" si="176"/>
        <v>0</v>
      </c>
      <c r="AC284" s="919">
        <f t="shared" si="176"/>
        <v>0</v>
      </c>
      <c r="CF284" s="739">
        <v>250</v>
      </c>
      <c r="CG284" s="740" t="s">
        <v>1101</v>
      </c>
      <c r="CH284" s="751">
        <f>C134</f>
        <v>0</v>
      </c>
      <c r="CI284" s="740" t="s">
        <v>1102</v>
      </c>
      <c r="CJ284" s="742" t="s">
        <v>1103</v>
      </c>
      <c r="CK284" s="740" t="s">
        <v>694</v>
      </c>
      <c r="CL284" s="731"/>
      <c r="CM284" s="731"/>
      <c r="CN284" s="731"/>
      <c r="CO284" s="731"/>
      <c r="CP284" s="731"/>
      <c r="CQ284" s="731"/>
      <c r="CR284" s="731"/>
      <c r="CS284" s="731"/>
      <c r="CT284" s="731"/>
      <c r="CU284" s="731"/>
      <c r="CV284" s="731"/>
      <c r="CW284" s="731"/>
      <c r="CX284" s="731"/>
      <c r="CY284" s="731"/>
      <c r="CZ284" s="731"/>
      <c r="DA284" s="731"/>
      <c r="DB284" s="731"/>
      <c r="DC284" s="731"/>
      <c r="DD284" s="731"/>
      <c r="DE284" s="731"/>
    </row>
    <row r="285" spans="2:109" ht="12.75" x14ac:dyDescent="0.2">
      <c r="B285" s="965"/>
      <c r="C285" s="966"/>
      <c r="D285" s="968"/>
      <c r="E285" s="962"/>
      <c r="F285" s="970"/>
      <c r="G285" s="911"/>
      <c r="H285" s="911"/>
      <c r="I285" s="911"/>
      <c r="J285" s="911"/>
      <c r="K285" s="911"/>
      <c r="L285" s="911"/>
      <c r="M285" s="911"/>
      <c r="N285" s="911"/>
      <c r="O285" s="911"/>
      <c r="P285" s="911"/>
      <c r="Q285" s="911"/>
      <c r="R285" s="911"/>
      <c r="S285" s="911"/>
      <c r="T285" s="911"/>
      <c r="U285" s="911"/>
      <c r="V285" s="911"/>
      <c r="W285" s="911"/>
      <c r="X285" s="911"/>
      <c r="Y285" s="911"/>
      <c r="Z285" s="911"/>
      <c r="AA285" s="911"/>
      <c r="AB285" s="911"/>
      <c r="AC285" s="920"/>
      <c r="CF285" s="735">
        <v>251</v>
      </c>
      <c r="CG285" s="736" t="s">
        <v>1104</v>
      </c>
      <c r="CH285" s="747">
        <f>D134</f>
        <v>1</v>
      </c>
      <c r="CI285" s="736" t="s">
        <v>1102</v>
      </c>
      <c r="CJ285" s="738" t="s">
        <v>1105</v>
      </c>
      <c r="CK285" s="736" t="s">
        <v>597</v>
      </c>
      <c r="CL285" s="731"/>
      <c r="CM285" s="731"/>
      <c r="CN285" s="731"/>
      <c r="CO285" s="731"/>
      <c r="CP285" s="731"/>
      <c r="CQ285" s="731"/>
      <c r="CR285" s="731"/>
      <c r="CS285" s="731"/>
      <c r="CT285" s="731"/>
      <c r="CU285" s="731"/>
      <c r="CV285" s="731"/>
      <c r="CW285" s="731"/>
      <c r="CX285" s="731"/>
      <c r="CY285" s="731"/>
      <c r="CZ285" s="731"/>
      <c r="DA285" s="731"/>
      <c r="DB285" s="731"/>
      <c r="DC285" s="731"/>
      <c r="DD285" s="731"/>
      <c r="DE285" s="731"/>
    </row>
    <row r="286" spans="2:109" ht="12.75" x14ac:dyDescent="0.2">
      <c r="B286" s="975" t="s">
        <v>197</v>
      </c>
      <c r="C286" s="976"/>
      <c r="D286" s="981" t="b">
        <f>IF(ABS(E286 - C311) &lt; MAX(0.00001, E286 * 0.00001), TRUE, FALSE)</f>
        <v>1</v>
      </c>
      <c r="E286" s="1001">
        <f>-SUM(F286:AC287)</f>
        <v>0</v>
      </c>
      <c r="F286" s="987">
        <f t="shared" ref="F286:AC286" si="177">$D$311*-F278</f>
        <v>0</v>
      </c>
      <c r="G286" s="914">
        <f>$D$311*-G278</f>
        <v>0</v>
      </c>
      <c r="H286" s="914">
        <f t="shared" si="177"/>
        <v>0</v>
      </c>
      <c r="I286" s="914">
        <f t="shared" si="177"/>
        <v>0</v>
      </c>
      <c r="J286" s="914">
        <f t="shared" si="177"/>
        <v>0</v>
      </c>
      <c r="K286" s="914">
        <f t="shared" si="177"/>
        <v>0</v>
      </c>
      <c r="L286" s="914">
        <f t="shared" si="177"/>
        <v>0</v>
      </c>
      <c r="M286" s="914">
        <f t="shared" si="177"/>
        <v>0</v>
      </c>
      <c r="N286" s="914">
        <f t="shared" si="177"/>
        <v>0</v>
      </c>
      <c r="O286" s="914">
        <f t="shared" si="177"/>
        <v>0</v>
      </c>
      <c r="P286" s="914">
        <f t="shared" si="177"/>
        <v>0</v>
      </c>
      <c r="Q286" s="914">
        <f t="shared" si="177"/>
        <v>0</v>
      </c>
      <c r="R286" s="914">
        <f t="shared" si="177"/>
        <v>0</v>
      </c>
      <c r="S286" s="914">
        <f t="shared" si="177"/>
        <v>0</v>
      </c>
      <c r="T286" s="914">
        <f>$D$311*-T278</f>
        <v>0</v>
      </c>
      <c r="U286" s="914">
        <f t="shared" si="177"/>
        <v>0</v>
      </c>
      <c r="V286" s="914">
        <f t="shared" si="177"/>
        <v>0</v>
      </c>
      <c r="W286" s="914">
        <f t="shared" si="177"/>
        <v>0</v>
      </c>
      <c r="X286" s="914">
        <f t="shared" si="177"/>
        <v>0</v>
      </c>
      <c r="Y286" s="914">
        <f t="shared" si="177"/>
        <v>0</v>
      </c>
      <c r="Z286" s="914">
        <f t="shared" si="177"/>
        <v>0</v>
      </c>
      <c r="AA286" s="914">
        <f t="shared" si="177"/>
        <v>0</v>
      </c>
      <c r="AB286" s="914">
        <f t="shared" si="177"/>
        <v>0</v>
      </c>
      <c r="AC286" s="929">
        <f t="shared" si="177"/>
        <v>0</v>
      </c>
      <c r="CF286" s="739">
        <v>252</v>
      </c>
      <c r="CG286" s="740" t="s">
        <v>1106</v>
      </c>
      <c r="CH286" s="749">
        <f>E134</f>
        <v>0</v>
      </c>
      <c r="CI286" s="740" t="s">
        <v>1102</v>
      </c>
      <c r="CJ286" s="742" t="s">
        <v>1107</v>
      </c>
      <c r="CK286" s="740" t="s">
        <v>647</v>
      </c>
      <c r="CL286" s="731"/>
      <c r="CM286" s="731"/>
      <c r="CN286" s="731"/>
      <c r="CO286" s="731"/>
      <c r="CP286" s="731"/>
      <c r="CQ286" s="731"/>
      <c r="CR286" s="731"/>
      <c r="CS286" s="731"/>
      <c r="CT286" s="731"/>
      <c r="CU286" s="731"/>
      <c r="CV286" s="731"/>
      <c r="CW286" s="731"/>
      <c r="CX286" s="731"/>
      <c r="CY286" s="731"/>
      <c r="CZ286" s="731"/>
      <c r="DA286" s="731"/>
      <c r="DB286" s="731"/>
      <c r="DC286" s="731"/>
      <c r="DD286" s="731"/>
      <c r="DE286" s="731"/>
    </row>
    <row r="287" spans="2:109" ht="12.75" x14ac:dyDescent="0.2">
      <c r="B287" s="977"/>
      <c r="C287" s="978"/>
      <c r="D287" s="982"/>
      <c r="E287" s="1002"/>
      <c r="F287" s="988"/>
      <c r="G287" s="915"/>
      <c r="H287" s="915"/>
      <c r="I287" s="915"/>
      <c r="J287" s="915"/>
      <c r="K287" s="915"/>
      <c r="L287" s="915"/>
      <c r="M287" s="915"/>
      <c r="N287" s="915"/>
      <c r="O287" s="915"/>
      <c r="P287" s="915"/>
      <c r="Q287" s="915"/>
      <c r="R287" s="915"/>
      <c r="S287" s="915"/>
      <c r="T287" s="915"/>
      <c r="U287" s="915"/>
      <c r="V287" s="915"/>
      <c r="W287" s="915"/>
      <c r="X287" s="915"/>
      <c r="Y287" s="915"/>
      <c r="Z287" s="915"/>
      <c r="AA287" s="915"/>
      <c r="AB287" s="915"/>
      <c r="AC287" s="930"/>
      <c r="CF287" s="735">
        <v>253</v>
      </c>
      <c r="CG287" s="736" t="s">
        <v>803</v>
      </c>
      <c r="CH287" s="745" t="str">
        <f>F134</f>
        <v>0</v>
      </c>
      <c r="CI287" s="736" t="s">
        <v>1102</v>
      </c>
      <c r="CJ287" s="738" t="s">
        <v>1108</v>
      </c>
      <c r="CK287" s="736" t="s">
        <v>647</v>
      </c>
      <c r="CL287" s="731"/>
      <c r="CM287" s="731"/>
      <c r="CN287" s="731"/>
      <c r="CO287" s="731"/>
      <c r="CP287" s="731"/>
      <c r="CQ287" s="731"/>
      <c r="CR287" s="731"/>
      <c r="CS287" s="731"/>
      <c r="CT287" s="731"/>
      <c r="CU287" s="731"/>
      <c r="CV287" s="731"/>
      <c r="CW287" s="731"/>
      <c r="CX287" s="731"/>
      <c r="CY287" s="731"/>
      <c r="CZ287" s="731"/>
      <c r="DA287" s="731"/>
      <c r="DB287" s="731"/>
      <c r="DC287" s="731"/>
      <c r="DD287" s="731"/>
      <c r="DE287" s="731"/>
    </row>
    <row r="288" spans="2:109" ht="12.75" x14ac:dyDescent="0.2">
      <c r="B288" s="997" t="s">
        <v>292</v>
      </c>
      <c r="C288" s="998"/>
      <c r="D288" s="967" t="b">
        <f>IF(ABS(C312 - -E288) &lt; MAX(0.00001, C312 * 0.00001), TRUE, FALSE)</f>
        <v>1</v>
      </c>
      <c r="E288" s="983">
        <f>SUM(F288:AC289)</f>
        <v>-7173913.0434782626</v>
      </c>
      <c r="F288" s="969">
        <f t="shared" ref="F288:AC288" si="178">-F278*$D$312</f>
        <v>0</v>
      </c>
      <c r="G288" s="910">
        <f>-G278*$D$312</f>
        <v>0</v>
      </c>
      <c r="H288" s="910">
        <f t="shared" si="178"/>
        <v>0</v>
      </c>
      <c r="I288" s="910">
        <f t="shared" si="178"/>
        <v>0</v>
      </c>
      <c r="J288" s="910">
        <f t="shared" si="178"/>
        <v>-1304347.8260869568</v>
      </c>
      <c r="K288" s="910">
        <f t="shared" si="178"/>
        <v>-1304347.8260869568</v>
      </c>
      <c r="L288" s="910">
        <f t="shared" si="178"/>
        <v>-1304347.8260869568</v>
      </c>
      <c r="M288" s="910">
        <f t="shared" si="178"/>
        <v>-1304347.8260869568</v>
      </c>
      <c r="N288" s="910">
        <f t="shared" si="178"/>
        <v>-1304347.8260869568</v>
      </c>
      <c r="O288" s="910">
        <f t="shared" si="178"/>
        <v>-652173.91304347839</v>
      </c>
      <c r="P288" s="910">
        <f t="shared" si="178"/>
        <v>0</v>
      </c>
      <c r="Q288" s="910">
        <f t="shared" si="178"/>
        <v>0</v>
      </c>
      <c r="R288" s="910">
        <f t="shared" si="178"/>
        <v>0</v>
      </c>
      <c r="S288" s="910">
        <f t="shared" si="178"/>
        <v>0</v>
      </c>
      <c r="T288" s="910">
        <f>-T278*$D$312</f>
        <v>0</v>
      </c>
      <c r="U288" s="910">
        <f t="shared" si="178"/>
        <v>0</v>
      </c>
      <c r="V288" s="910">
        <f t="shared" si="178"/>
        <v>0</v>
      </c>
      <c r="W288" s="910">
        <f t="shared" si="178"/>
        <v>0</v>
      </c>
      <c r="X288" s="910">
        <f t="shared" si="178"/>
        <v>0</v>
      </c>
      <c r="Y288" s="910">
        <f t="shared" si="178"/>
        <v>0</v>
      </c>
      <c r="Z288" s="910">
        <f t="shared" si="178"/>
        <v>0</v>
      </c>
      <c r="AA288" s="910">
        <f t="shared" si="178"/>
        <v>0</v>
      </c>
      <c r="AB288" s="910">
        <f t="shared" si="178"/>
        <v>0</v>
      </c>
      <c r="AC288" s="919">
        <f t="shared" si="178"/>
        <v>0</v>
      </c>
      <c r="CF288" s="739">
        <v>254</v>
      </c>
      <c r="CG288" s="740" t="s">
        <v>1109</v>
      </c>
      <c r="CH288" s="744">
        <f>H134</f>
        <v>0</v>
      </c>
      <c r="CI288" s="740" t="s">
        <v>1102</v>
      </c>
      <c r="CJ288" s="742" t="s">
        <v>1110</v>
      </c>
      <c r="CK288" s="740" t="s">
        <v>650</v>
      </c>
      <c r="CL288" s="731"/>
      <c r="CM288" s="731"/>
      <c r="CN288" s="731"/>
      <c r="CO288" s="731"/>
      <c r="CP288" s="731"/>
      <c r="CQ288" s="731"/>
      <c r="CR288" s="731"/>
      <c r="CS288" s="731"/>
      <c r="CT288" s="731"/>
      <c r="CU288" s="731"/>
      <c r="CV288" s="731"/>
      <c r="CW288" s="731"/>
      <c r="CX288" s="731"/>
      <c r="CY288" s="731"/>
      <c r="CZ288" s="731"/>
      <c r="DA288" s="731"/>
      <c r="DB288" s="731"/>
      <c r="DC288" s="731"/>
      <c r="DD288" s="731"/>
      <c r="DE288" s="731"/>
    </row>
    <row r="289" spans="2:109" ht="12.75" x14ac:dyDescent="0.2">
      <c r="B289" s="999"/>
      <c r="C289" s="1000"/>
      <c r="D289" s="968"/>
      <c r="E289" s="984"/>
      <c r="F289" s="970"/>
      <c r="G289" s="911"/>
      <c r="H289" s="911"/>
      <c r="I289" s="911"/>
      <c r="J289" s="911"/>
      <c r="K289" s="911"/>
      <c r="L289" s="911"/>
      <c r="M289" s="911"/>
      <c r="N289" s="911"/>
      <c r="O289" s="911"/>
      <c r="P289" s="911"/>
      <c r="Q289" s="911"/>
      <c r="R289" s="911"/>
      <c r="S289" s="911"/>
      <c r="T289" s="911"/>
      <c r="U289" s="911"/>
      <c r="V289" s="911"/>
      <c r="W289" s="911"/>
      <c r="X289" s="911"/>
      <c r="Y289" s="911"/>
      <c r="Z289" s="911"/>
      <c r="AA289" s="911"/>
      <c r="AB289" s="911"/>
      <c r="AC289" s="920"/>
      <c r="CF289" s="735">
        <v>255</v>
      </c>
      <c r="CG289" s="736" t="s">
        <v>1111</v>
      </c>
      <c r="CH289" s="743">
        <f>I134</f>
        <v>0</v>
      </c>
      <c r="CI289" s="736" t="s">
        <v>1102</v>
      </c>
      <c r="CJ289" s="738" t="s">
        <v>1112</v>
      </c>
      <c r="CK289" s="736" t="s">
        <v>571</v>
      </c>
      <c r="CL289" s="731"/>
      <c r="CM289" s="731"/>
      <c r="CN289" s="731"/>
      <c r="CO289" s="731"/>
      <c r="CP289" s="731"/>
      <c r="CQ289" s="731"/>
      <c r="CR289" s="731"/>
      <c r="CS289" s="731"/>
      <c r="CT289" s="731"/>
      <c r="CU289" s="731"/>
      <c r="CV289" s="731"/>
      <c r="CW289" s="731"/>
      <c r="CX289" s="731"/>
      <c r="CY289" s="731"/>
      <c r="CZ289" s="731"/>
      <c r="DA289" s="731"/>
      <c r="DB289" s="731"/>
      <c r="DC289" s="731"/>
      <c r="DD289" s="731"/>
      <c r="DE289" s="731"/>
    </row>
    <row r="290" spans="2:109" ht="12.75" x14ac:dyDescent="0.2">
      <c r="B290" s="1003" t="s">
        <v>198</v>
      </c>
      <c r="C290" s="1004"/>
      <c r="D290" s="981" t="b">
        <f>IF(ABS(E290 - (C305-C312)) &lt; MAX(0.00001, E290 * 0.00001), TRUE, FALSE)</f>
        <v>1</v>
      </c>
      <c r="E290" s="983">
        <f>SUM(F290:AC291)</f>
        <v>39313043.478260875</v>
      </c>
      <c r="F290" s="987">
        <f>F278+SUM(F280:F289)</f>
        <v>0</v>
      </c>
      <c r="G290" s="914">
        <f>G278+SUM(G280:G289)</f>
        <v>0</v>
      </c>
      <c r="H290" s="914">
        <f t="shared" ref="H290:AC290" si="179">H278+SUM(H280:H289)</f>
        <v>0</v>
      </c>
      <c r="I290" s="914">
        <f t="shared" si="179"/>
        <v>0</v>
      </c>
      <c r="J290" s="914">
        <f t="shared" si="179"/>
        <v>7147826.0869565234</v>
      </c>
      <c r="K290" s="914">
        <f t="shared" si="179"/>
        <v>7147826.0869565234</v>
      </c>
      <c r="L290" s="914">
        <f t="shared" si="179"/>
        <v>7147826.0869565234</v>
      </c>
      <c r="M290" s="914">
        <f t="shared" si="179"/>
        <v>7147826.0869565234</v>
      </c>
      <c r="N290" s="914">
        <f t="shared" si="179"/>
        <v>7147826.0869565234</v>
      </c>
      <c r="O290" s="914">
        <f t="shared" si="179"/>
        <v>3573913.0434782617</v>
      </c>
      <c r="P290" s="914">
        <f t="shared" si="179"/>
        <v>0</v>
      </c>
      <c r="Q290" s="914">
        <f t="shared" si="179"/>
        <v>0</v>
      </c>
      <c r="R290" s="914">
        <f t="shared" si="179"/>
        <v>0</v>
      </c>
      <c r="S290" s="914">
        <f t="shared" si="179"/>
        <v>0</v>
      </c>
      <c r="T290" s="914">
        <f>T278+SUM(T280:T289)</f>
        <v>0</v>
      </c>
      <c r="U290" s="914">
        <f t="shared" si="179"/>
        <v>0</v>
      </c>
      <c r="V290" s="914">
        <f t="shared" si="179"/>
        <v>0</v>
      </c>
      <c r="W290" s="914">
        <f t="shared" si="179"/>
        <v>0</v>
      </c>
      <c r="X290" s="914">
        <f t="shared" si="179"/>
        <v>0</v>
      </c>
      <c r="Y290" s="914">
        <f t="shared" si="179"/>
        <v>0</v>
      </c>
      <c r="Z290" s="914">
        <f t="shared" si="179"/>
        <v>0</v>
      </c>
      <c r="AA290" s="914">
        <f t="shared" si="179"/>
        <v>0</v>
      </c>
      <c r="AB290" s="914">
        <f t="shared" si="179"/>
        <v>0</v>
      </c>
      <c r="AC290" s="929">
        <f t="shared" si="179"/>
        <v>0</v>
      </c>
      <c r="CF290" s="739">
        <v>256</v>
      </c>
      <c r="CG290" s="740" t="s">
        <v>1113</v>
      </c>
      <c r="CH290" s="744">
        <f>J134</f>
        <v>0</v>
      </c>
      <c r="CI290" s="740" t="s">
        <v>1102</v>
      </c>
      <c r="CJ290" s="742" t="s">
        <v>1114</v>
      </c>
      <c r="CK290" s="740" t="s">
        <v>571</v>
      </c>
      <c r="CL290" s="731"/>
      <c r="CM290" s="731"/>
      <c r="CN290" s="731"/>
      <c r="CO290" s="731"/>
      <c r="CP290" s="731"/>
      <c r="CQ290" s="731"/>
      <c r="CR290" s="731"/>
      <c r="CS290" s="731"/>
      <c r="CT290" s="731"/>
      <c r="CU290" s="731"/>
      <c r="CV290" s="731"/>
      <c r="CW290" s="731"/>
      <c r="CX290" s="731"/>
      <c r="CY290" s="731"/>
      <c r="CZ290" s="731"/>
      <c r="DA290" s="731"/>
      <c r="DB290" s="731"/>
      <c r="DC290" s="731"/>
      <c r="DD290" s="731"/>
      <c r="DE290" s="731"/>
    </row>
    <row r="291" spans="2:109" ht="15" x14ac:dyDescent="0.2">
      <c r="B291" s="1005"/>
      <c r="C291" s="1006"/>
      <c r="D291" s="982"/>
      <c r="E291" s="984"/>
      <c r="F291" s="988"/>
      <c r="G291" s="915"/>
      <c r="H291" s="915"/>
      <c r="I291" s="915"/>
      <c r="J291" s="915"/>
      <c r="K291" s="915"/>
      <c r="L291" s="915"/>
      <c r="M291" s="915"/>
      <c r="N291" s="915"/>
      <c r="O291" s="915"/>
      <c r="P291" s="915"/>
      <c r="Q291" s="915"/>
      <c r="R291" s="915"/>
      <c r="S291" s="915"/>
      <c r="T291" s="915"/>
      <c r="U291" s="915"/>
      <c r="V291" s="915"/>
      <c r="W291" s="915"/>
      <c r="X291" s="915"/>
      <c r="Y291" s="915"/>
      <c r="Z291" s="915"/>
      <c r="AA291" s="915"/>
      <c r="AB291" s="915"/>
      <c r="AC291" s="930"/>
      <c r="CF291" s="734" t="s">
        <v>1115</v>
      </c>
      <c r="CG291" s="734"/>
      <c r="CH291" s="734"/>
      <c r="CI291" s="734"/>
      <c r="CJ291" s="734"/>
      <c r="CK291" s="734"/>
      <c r="CL291" s="731"/>
      <c r="CM291" s="731"/>
      <c r="CN291" s="731"/>
      <c r="CO291" s="731"/>
      <c r="CP291" s="731"/>
      <c r="CQ291" s="731"/>
      <c r="CR291" s="731"/>
      <c r="CS291" s="731"/>
      <c r="CT291" s="731"/>
      <c r="CU291" s="731"/>
      <c r="CV291" s="731"/>
      <c r="CW291" s="731"/>
      <c r="CX291" s="731"/>
      <c r="CY291" s="731"/>
      <c r="CZ291" s="731"/>
      <c r="DA291" s="731"/>
      <c r="DB291" s="731"/>
      <c r="DC291" s="731"/>
      <c r="DD291" s="731"/>
      <c r="DE291" s="731"/>
    </row>
    <row r="292" spans="2:109" ht="12.75" x14ac:dyDescent="0.2">
      <c r="B292" s="963" t="s">
        <v>199</v>
      </c>
      <c r="C292" s="964"/>
      <c r="D292" s="967" t="b">
        <f>B265=B265</f>
        <v>1</v>
      </c>
      <c r="E292" s="983" t="s">
        <v>67</v>
      </c>
      <c r="F292" s="969">
        <f>F290</f>
        <v>0</v>
      </c>
      <c r="G292" s="910">
        <f>MAX((G290+F292)-F294, 0)</f>
        <v>0</v>
      </c>
      <c r="H292" s="910">
        <f t="shared" ref="H292:AC292" si="180">MAX((H290+G292)-G294, 0)</f>
        <v>0</v>
      </c>
      <c r="I292" s="910">
        <f t="shared" si="180"/>
        <v>0</v>
      </c>
      <c r="J292" s="910">
        <f t="shared" si="180"/>
        <v>7147826.0869565234</v>
      </c>
      <c r="K292" s="910">
        <f t="shared" si="180"/>
        <v>14295652.173913047</v>
      </c>
      <c r="L292" s="910">
        <f t="shared" si="180"/>
        <v>20442782.608695656</v>
      </c>
      <c r="M292" s="910">
        <f>MAX((M290+L292)-L294, 0)</f>
        <v>24728619.130434789</v>
      </c>
      <c r="N292" s="910">
        <f t="shared" si="180"/>
        <v>26683435.200000007</v>
      </c>
      <c r="O292" s="910">
        <f t="shared" si="180"/>
        <v>21184980.275478266</v>
      </c>
      <c r="P292" s="910">
        <f t="shared" si="180"/>
        <v>11228039.546003481</v>
      </c>
      <c r="Q292" s="910">
        <f t="shared" si="180"/>
        <v>4491215.8184013916</v>
      </c>
      <c r="R292" s="910">
        <f t="shared" si="180"/>
        <v>1257540.4291523891</v>
      </c>
      <c r="S292" s="910">
        <f t="shared" si="180"/>
        <v>264083.49012200162</v>
      </c>
      <c r="T292" s="910">
        <f>MAX((T290+S292)-S294, 0)</f>
        <v>36971.688617080188</v>
      </c>
      <c r="U292" s="910">
        <f t="shared" si="180"/>
        <v>2588.0182031956065</v>
      </c>
      <c r="V292" s="910">
        <f t="shared" si="180"/>
        <v>0</v>
      </c>
      <c r="W292" s="910">
        <f t="shared" si="180"/>
        <v>0</v>
      </c>
      <c r="X292" s="910">
        <f t="shared" si="180"/>
        <v>0</v>
      </c>
      <c r="Y292" s="910">
        <f t="shared" si="180"/>
        <v>0</v>
      </c>
      <c r="Z292" s="910">
        <f t="shared" si="180"/>
        <v>0</v>
      </c>
      <c r="AA292" s="910">
        <f t="shared" si="180"/>
        <v>0</v>
      </c>
      <c r="AB292" s="910">
        <f t="shared" si="180"/>
        <v>0</v>
      </c>
      <c r="AC292" s="919">
        <f t="shared" si="180"/>
        <v>0</v>
      </c>
      <c r="CF292" s="735">
        <v>257</v>
      </c>
      <c r="CG292" s="736" t="s">
        <v>1116</v>
      </c>
      <c r="CH292" s="750">
        <f>C135</f>
        <v>0</v>
      </c>
      <c r="CI292" s="736" t="s">
        <v>1117</v>
      </c>
      <c r="CJ292" s="738" t="s">
        <v>1118</v>
      </c>
      <c r="CK292" s="736" t="s">
        <v>694</v>
      </c>
      <c r="CL292" s="731"/>
      <c r="CM292" s="731"/>
      <c r="CN292" s="731"/>
      <c r="CO292" s="731"/>
      <c r="CP292" s="731"/>
      <c r="CQ292" s="731"/>
      <c r="CR292" s="731"/>
      <c r="CS292" s="731"/>
      <c r="CT292" s="731"/>
      <c r="CU292" s="731"/>
      <c r="CV292" s="731"/>
      <c r="CW292" s="731"/>
      <c r="CX292" s="731"/>
      <c r="CY292" s="731"/>
      <c r="CZ292" s="731"/>
      <c r="DA292" s="731"/>
      <c r="DB292" s="731"/>
      <c r="DC292" s="731"/>
      <c r="DD292" s="731"/>
      <c r="DE292" s="731"/>
    </row>
    <row r="293" spans="2:109" ht="12.75" x14ac:dyDescent="0.2">
      <c r="B293" s="965"/>
      <c r="C293" s="966"/>
      <c r="D293" s="968"/>
      <c r="E293" s="984"/>
      <c r="F293" s="970"/>
      <c r="G293" s="911"/>
      <c r="H293" s="911"/>
      <c r="I293" s="911"/>
      <c r="J293" s="911"/>
      <c r="K293" s="911"/>
      <c r="L293" s="911"/>
      <c r="M293" s="911"/>
      <c r="N293" s="911"/>
      <c r="O293" s="911"/>
      <c r="P293" s="911"/>
      <c r="Q293" s="911"/>
      <c r="R293" s="911"/>
      <c r="S293" s="911"/>
      <c r="T293" s="911"/>
      <c r="U293" s="911"/>
      <c r="V293" s="911"/>
      <c r="W293" s="911"/>
      <c r="X293" s="911"/>
      <c r="Y293" s="911"/>
      <c r="Z293" s="911"/>
      <c r="AA293" s="911"/>
      <c r="AB293" s="911"/>
      <c r="AC293" s="920"/>
      <c r="CF293" s="739">
        <v>258</v>
      </c>
      <c r="CG293" s="740" t="s">
        <v>1119</v>
      </c>
      <c r="CH293" s="746">
        <f>D135</f>
        <v>1</v>
      </c>
      <c r="CI293" s="740" t="s">
        <v>1117</v>
      </c>
      <c r="CJ293" s="742" t="s">
        <v>1120</v>
      </c>
      <c r="CK293" s="740" t="s">
        <v>597</v>
      </c>
      <c r="CL293" s="731"/>
      <c r="CM293" s="731"/>
      <c r="CN293" s="731"/>
      <c r="CO293" s="731"/>
      <c r="CP293" s="731"/>
      <c r="CQ293" s="731"/>
      <c r="CR293" s="731"/>
      <c r="CS293" s="731"/>
      <c r="CT293" s="731"/>
      <c r="CU293" s="731"/>
      <c r="CV293" s="731"/>
      <c r="CW293" s="731"/>
      <c r="CX293" s="731"/>
      <c r="CY293" s="731"/>
      <c r="CZ293" s="731"/>
      <c r="DA293" s="731"/>
      <c r="DB293" s="731"/>
      <c r="DC293" s="731"/>
      <c r="DD293" s="731"/>
      <c r="DE293" s="731"/>
    </row>
    <row r="294" spans="2:109" ht="12.75" x14ac:dyDescent="0.2">
      <c r="B294" s="975" t="s">
        <v>200</v>
      </c>
      <c r="C294" s="976"/>
      <c r="D294" s="981" t="b">
        <f>IF(ABS(E294 - C304) &lt; MAX(0.00001, E294 * 0.00001), TRUE, FALSE)</f>
        <v>1</v>
      </c>
      <c r="E294" s="983">
        <f>SUM(F294:AC295)</f>
        <v>39313043.478260882</v>
      </c>
      <c r="F294" s="987">
        <f>MAX(((F292*F276)), 0)</f>
        <v>0</v>
      </c>
      <c r="G294" s="914">
        <f>MAX(((G292*G276)), 0)</f>
        <v>0</v>
      </c>
      <c r="H294" s="914">
        <f>MAX(((H292*H276)), 0)</f>
        <v>0</v>
      </c>
      <c r="I294" s="914">
        <f t="shared" ref="I294" si="181">MAX(((I292*I276)), 0)</f>
        <v>0</v>
      </c>
      <c r="J294" s="914">
        <f>MAX(((J292*J276)), 0)</f>
        <v>0</v>
      </c>
      <c r="K294" s="914">
        <f t="shared" ref="K294:AC294" si="182">MAX(((K292*K276)), 0)</f>
        <v>1000695.6521739133</v>
      </c>
      <c r="L294" s="914">
        <f t="shared" si="182"/>
        <v>2861989.5652173921</v>
      </c>
      <c r="M294" s="914">
        <f t="shared" si="182"/>
        <v>5193010.0173913063</v>
      </c>
      <c r="N294" s="914">
        <f t="shared" si="182"/>
        <v>9072367.9680000022</v>
      </c>
      <c r="O294" s="914">
        <f t="shared" si="182"/>
        <v>9956940.7294747848</v>
      </c>
      <c r="P294" s="914">
        <f t="shared" si="182"/>
        <v>6736823.7276020898</v>
      </c>
      <c r="Q294" s="914">
        <f t="shared" si="182"/>
        <v>3233675.3892490026</v>
      </c>
      <c r="R294" s="914">
        <f t="shared" si="182"/>
        <v>993456.93903038744</v>
      </c>
      <c r="S294" s="914">
        <f t="shared" si="182"/>
        <v>227111.80150492143</v>
      </c>
      <c r="T294" s="914">
        <f>MAX(((T292*T276)), 0)</f>
        <v>34383.670413884582</v>
      </c>
      <c r="U294" s="914">
        <f>MAX(((U292*U276)), 0)</f>
        <v>2588.0182031956069</v>
      </c>
      <c r="V294" s="914">
        <f t="shared" si="182"/>
        <v>0</v>
      </c>
      <c r="W294" s="914">
        <f t="shared" si="182"/>
        <v>0</v>
      </c>
      <c r="X294" s="914">
        <f t="shared" si="182"/>
        <v>0</v>
      </c>
      <c r="Y294" s="914">
        <f t="shared" si="182"/>
        <v>0</v>
      </c>
      <c r="Z294" s="914">
        <f t="shared" si="182"/>
        <v>0</v>
      </c>
      <c r="AA294" s="914">
        <f t="shared" si="182"/>
        <v>0</v>
      </c>
      <c r="AB294" s="914">
        <f t="shared" si="182"/>
        <v>0</v>
      </c>
      <c r="AC294" s="929">
        <f t="shared" si="182"/>
        <v>0</v>
      </c>
      <c r="CF294" s="735">
        <v>259</v>
      </c>
      <c r="CG294" s="736" t="s">
        <v>1121</v>
      </c>
      <c r="CH294" s="745">
        <f>E135</f>
        <v>0</v>
      </c>
      <c r="CI294" s="736" t="s">
        <v>1117</v>
      </c>
      <c r="CJ294" s="738" t="s">
        <v>1122</v>
      </c>
      <c r="CK294" s="736" t="s">
        <v>647</v>
      </c>
      <c r="CL294" s="731"/>
      <c r="CM294" s="731"/>
      <c r="CN294" s="731"/>
      <c r="CO294" s="731"/>
      <c r="CP294" s="731"/>
      <c r="CQ294" s="731"/>
      <c r="CR294" s="731"/>
      <c r="CS294" s="731"/>
      <c r="CT294" s="731"/>
      <c r="CU294" s="731"/>
      <c r="CV294" s="731"/>
      <c r="CW294" s="731"/>
      <c r="CX294" s="731"/>
      <c r="CY294" s="731"/>
      <c r="CZ294" s="731"/>
      <c r="DA294" s="731"/>
      <c r="DB294" s="731"/>
      <c r="DC294" s="731"/>
      <c r="DD294" s="731"/>
      <c r="DE294" s="731"/>
    </row>
    <row r="295" spans="2:109" ht="12.75" x14ac:dyDescent="0.2">
      <c r="B295" s="977"/>
      <c r="C295" s="978"/>
      <c r="D295" s="982"/>
      <c r="E295" s="984"/>
      <c r="F295" s="988"/>
      <c r="G295" s="915"/>
      <c r="H295" s="915"/>
      <c r="I295" s="915"/>
      <c r="J295" s="915"/>
      <c r="K295" s="915"/>
      <c r="L295" s="915"/>
      <c r="M295" s="915"/>
      <c r="N295" s="915"/>
      <c r="O295" s="915"/>
      <c r="P295" s="915"/>
      <c r="Q295" s="915"/>
      <c r="R295" s="915"/>
      <c r="S295" s="915"/>
      <c r="T295" s="915"/>
      <c r="U295" s="915"/>
      <c r="V295" s="915"/>
      <c r="W295" s="915"/>
      <c r="X295" s="915"/>
      <c r="Y295" s="915"/>
      <c r="Z295" s="915"/>
      <c r="AA295" s="915"/>
      <c r="AB295" s="915"/>
      <c r="AC295" s="930"/>
      <c r="CF295" s="739">
        <v>260</v>
      </c>
      <c r="CG295" s="740" t="s">
        <v>825</v>
      </c>
      <c r="CH295" s="749" t="str">
        <f>F135</f>
        <v>0</v>
      </c>
      <c r="CI295" s="740" t="s">
        <v>1117</v>
      </c>
      <c r="CJ295" s="742" t="s">
        <v>1123</v>
      </c>
      <c r="CK295" s="740" t="s">
        <v>647</v>
      </c>
      <c r="CL295" s="731"/>
      <c r="CM295" s="731"/>
      <c r="CN295" s="731"/>
      <c r="CO295" s="731"/>
      <c r="CP295" s="731"/>
      <c r="CQ295" s="731"/>
      <c r="CR295" s="731"/>
      <c r="CS295" s="731"/>
      <c r="CT295" s="731"/>
      <c r="CU295" s="731"/>
      <c r="CV295" s="731"/>
      <c r="CW295" s="731"/>
      <c r="CX295" s="731"/>
      <c r="CY295" s="731"/>
      <c r="CZ295" s="731"/>
      <c r="DA295" s="731"/>
      <c r="DB295" s="731"/>
      <c r="DC295" s="731"/>
      <c r="DD295" s="731"/>
      <c r="DE295" s="731"/>
    </row>
    <row r="296" spans="2:109" ht="12.75" x14ac:dyDescent="0.2">
      <c r="B296" s="963" t="s">
        <v>294</v>
      </c>
      <c r="C296" s="964"/>
      <c r="D296" s="967" t="b">
        <f>IF(ABS(E296 - C305) &lt; MAX(0.00001, E296 * 0.00001), TRUE, FALSE)</f>
        <v>1</v>
      </c>
      <c r="E296" s="983">
        <f>SUM(F296:AC297)</f>
        <v>46486956.521739148</v>
      </c>
      <c r="F296" s="995">
        <f>-F288+F294</f>
        <v>0</v>
      </c>
      <c r="G296" s="993">
        <f>-G288+G294</f>
        <v>0</v>
      </c>
      <c r="H296" s="993">
        <f t="shared" ref="H296:K296" si="183">-H288+H294</f>
        <v>0</v>
      </c>
      <c r="I296" s="993">
        <f>-I288+I294</f>
        <v>0</v>
      </c>
      <c r="J296" s="993">
        <f t="shared" si="183"/>
        <v>1304347.8260869568</v>
      </c>
      <c r="K296" s="993">
        <f t="shared" si="183"/>
        <v>2305043.4782608701</v>
      </c>
      <c r="L296" s="993">
        <f t="shared" ref="L296:AC296" si="184">-L288+L294</f>
        <v>4166337.3913043486</v>
      </c>
      <c r="M296" s="993">
        <f t="shared" si="184"/>
        <v>6497357.8434782634</v>
      </c>
      <c r="N296" s="993">
        <f t="shared" si="184"/>
        <v>10376715.794086959</v>
      </c>
      <c r="O296" s="993">
        <f t="shared" si="184"/>
        <v>10609114.642518263</v>
      </c>
      <c r="P296" s="993">
        <f t="shared" si="184"/>
        <v>6736823.7276020898</v>
      </c>
      <c r="Q296" s="993">
        <f t="shared" si="184"/>
        <v>3233675.3892490026</v>
      </c>
      <c r="R296" s="993">
        <f t="shared" si="184"/>
        <v>993456.93903038744</v>
      </c>
      <c r="S296" s="993">
        <f t="shared" si="184"/>
        <v>227111.80150492143</v>
      </c>
      <c r="T296" s="993">
        <f>-T288+T294</f>
        <v>34383.670413884582</v>
      </c>
      <c r="U296" s="993">
        <f>-U288+U294</f>
        <v>2588.0182031956069</v>
      </c>
      <c r="V296" s="993">
        <f t="shared" si="184"/>
        <v>0</v>
      </c>
      <c r="W296" s="993">
        <f t="shared" si="184"/>
        <v>0</v>
      </c>
      <c r="X296" s="993">
        <f t="shared" si="184"/>
        <v>0</v>
      </c>
      <c r="Y296" s="993">
        <f t="shared" si="184"/>
        <v>0</v>
      </c>
      <c r="Z296" s="993">
        <f t="shared" si="184"/>
        <v>0</v>
      </c>
      <c r="AA296" s="993">
        <f t="shared" si="184"/>
        <v>0</v>
      </c>
      <c r="AB296" s="993">
        <f t="shared" si="184"/>
        <v>0</v>
      </c>
      <c r="AC296" s="1011">
        <f t="shared" si="184"/>
        <v>0</v>
      </c>
      <c r="CF296" s="735">
        <v>261</v>
      </c>
      <c r="CG296" s="736" t="s">
        <v>1124</v>
      </c>
      <c r="CH296" s="743">
        <f>H135</f>
        <v>0</v>
      </c>
      <c r="CI296" s="736" t="s">
        <v>1117</v>
      </c>
      <c r="CJ296" s="738" t="s">
        <v>1125</v>
      </c>
      <c r="CK296" s="736" t="s">
        <v>650</v>
      </c>
      <c r="CL296" s="731"/>
      <c r="CM296" s="731"/>
      <c r="CN296" s="731"/>
      <c r="CO296" s="731"/>
      <c r="CP296" s="731"/>
      <c r="CQ296" s="731"/>
      <c r="CR296" s="731"/>
      <c r="CS296" s="731"/>
      <c r="CT296" s="731"/>
      <c r="CU296" s="731"/>
      <c r="CV296" s="731"/>
      <c r="CW296" s="731"/>
      <c r="CX296" s="731"/>
      <c r="CY296" s="731"/>
      <c r="CZ296" s="731"/>
      <c r="DA296" s="731"/>
      <c r="DB296" s="731"/>
      <c r="DC296" s="731"/>
      <c r="DD296" s="731"/>
      <c r="DE296" s="731"/>
    </row>
    <row r="297" spans="2:109" ht="13.5" thickBot="1" x14ac:dyDescent="0.25">
      <c r="B297" s="1007"/>
      <c r="C297" s="1008"/>
      <c r="D297" s="1009"/>
      <c r="E297" s="1010"/>
      <c r="F297" s="996"/>
      <c r="G297" s="994"/>
      <c r="H297" s="994"/>
      <c r="I297" s="994"/>
      <c r="J297" s="994"/>
      <c r="K297" s="994"/>
      <c r="L297" s="994"/>
      <c r="M297" s="994"/>
      <c r="N297" s="994"/>
      <c r="O297" s="994"/>
      <c r="P297" s="994"/>
      <c r="Q297" s="994"/>
      <c r="R297" s="994"/>
      <c r="S297" s="994"/>
      <c r="T297" s="994"/>
      <c r="U297" s="994"/>
      <c r="V297" s="994"/>
      <c r="W297" s="994"/>
      <c r="X297" s="994"/>
      <c r="Y297" s="994"/>
      <c r="Z297" s="994"/>
      <c r="AA297" s="994"/>
      <c r="AB297" s="994"/>
      <c r="AC297" s="1012"/>
      <c r="CF297" s="739">
        <v>262</v>
      </c>
      <c r="CG297" s="740" t="s">
        <v>1126</v>
      </c>
      <c r="CH297" s="744">
        <f>I135</f>
        <v>0</v>
      </c>
      <c r="CI297" s="740" t="s">
        <v>1117</v>
      </c>
      <c r="CJ297" s="742" t="s">
        <v>1127</v>
      </c>
      <c r="CK297" s="740" t="s">
        <v>571</v>
      </c>
      <c r="CL297" s="731"/>
      <c r="CM297" s="731"/>
      <c r="CN297" s="731"/>
      <c r="CO297" s="731"/>
      <c r="CP297" s="731"/>
      <c r="CQ297" s="731"/>
      <c r="CR297" s="731"/>
      <c r="CS297" s="731"/>
      <c r="CT297" s="731"/>
      <c r="CU297" s="731"/>
      <c r="CV297" s="731"/>
      <c r="CW297" s="731"/>
      <c r="CX297" s="731"/>
      <c r="CY297" s="731"/>
      <c r="CZ297" s="731"/>
      <c r="DA297" s="731"/>
      <c r="DB297" s="731"/>
      <c r="DC297" s="731"/>
      <c r="DD297" s="731"/>
      <c r="DE297" s="731"/>
    </row>
    <row r="298" spans="2:109" ht="12.75" x14ac:dyDescent="0.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CF298" s="735">
        <v>263</v>
      </c>
      <c r="CG298" s="736" t="s">
        <v>1128</v>
      </c>
      <c r="CH298" s="743">
        <f>J135</f>
        <v>0</v>
      </c>
      <c r="CI298" s="736" t="s">
        <v>1117</v>
      </c>
      <c r="CJ298" s="738" t="s">
        <v>1129</v>
      </c>
      <c r="CK298" s="736" t="s">
        <v>571</v>
      </c>
      <c r="CL298" s="731"/>
      <c r="CM298" s="731"/>
      <c r="CN298" s="731"/>
      <c r="CO298" s="731"/>
      <c r="CP298" s="731"/>
      <c r="CQ298" s="731"/>
      <c r="CR298" s="731"/>
      <c r="CS298" s="731"/>
      <c r="CT298" s="731"/>
      <c r="CU298" s="731"/>
      <c r="CV298" s="731"/>
      <c r="CW298" s="731"/>
      <c r="CX298" s="731"/>
      <c r="CY298" s="731"/>
      <c r="CZ298" s="731"/>
      <c r="DA298" s="731"/>
      <c r="DB298" s="731"/>
      <c r="DC298" s="731"/>
      <c r="DD298" s="731"/>
      <c r="DE298" s="731"/>
    </row>
    <row r="299" spans="2:109" ht="15" x14ac:dyDescent="0.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CF299" s="734" t="s">
        <v>1130</v>
      </c>
      <c r="CG299" s="734"/>
      <c r="CH299" s="734"/>
      <c r="CI299" s="734"/>
      <c r="CJ299" s="734"/>
      <c r="CK299" s="734"/>
      <c r="CL299" s="731"/>
      <c r="CM299" s="731"/>
      <c r="CN299" s="731"/>
      <c r="CO299" s="731"/>
      <c r="CP299" s="731"/>
      <c r="CQ299" s="731"/>
      <c r="CR299" s="731"/>
      <c r="CS299" s="731"/>
      <c r="CT299" s="731"/>
      <c r="CU299" s="731"/>
      <c r="CV299" s="731"/>
      <c r="CW299" s="731"/>
      <c r="CX299" s="731"/>
      <c r="CY299" s="731"/>
      <c r="CZ299" s="731"/>
      <c r="DA299" s="731"/>
      <c r="DB299" s="731"/>
      <c r="DC299" s="731"/>
      <c r="DD299" s="731"/>
      <c r="DE299" s="731"/>
    </row>
    <row r="300" spans="2:109" ht="13.5" thickBot="1" x14ac:dyDescent="0.25">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CF300" s="739">
        <v>264</v>
      </c>
      <c r="CG300" s="740" t="s">
        <v>1131</v>
      </c>
      <c r="CH300" s="751">
        <f>C136</f>
        <v>100</v>
      </c>
      <c r="CI300" s="740" t="s">
        <v>1132</v>
      </c>
      <c r="CJ300" s="742" t="s">
        <v>1133</v>
      </c>
      <c r="CK300" s="740" t="s">
        <v>694</v>
      </c>
      <c r="CL300" s="731"/>
      <c r="CM300" s="731"/>
      <c r="CN300" s="731"/>
      <c r="CO300" s="731"/>
      <c r="CP300" s="731"/>
      <c r="CQ300" s="731"/>
      <c r="CR300" s="731"/>
      <c r="CS300" s="731"/>
      <c r="CT300" s="731"/>
      <c r="CU300" s="731"/>
      <c r="CV300" s="731"/>
      <c r="CW300" s="731"/>
      <c r="CX300" s="731"/>
      <c r="CY300" s="731"/>
      <c r="CZ300" s="731"/>
      <c r="DA300" s="731"/>
      <c r="DB300" s="731"/>
      <c r="DC300" s="731"/>
      <c r="DD300" s="731"/>
      <c r="DE300" s="731"/>
    </row>
    <row r="301" spans="2:109" ht="12.75" x14ac:dyDescent="0.2">
      <c r="B301" s="1048" t="s">
        <v>201</v>
      </c>
      <c r="C301" s="1049"/>
      <c r="E301" s="172"/>
      <c r="F301" s="172"/>
      <c r="G301" s="172"/>
      <c r="H301" s="172"/>
      <c r="L301" s="172"/>
      <c r="M301" s="172"/>
      <c r="N301" s="172"/>
      <c r="O301" s="172"/>
      <c r="P301" s="172"/>
      <c r="Q301" s="172"/>
      <c r="R301" s="172"/>
      <c r="S301" s="172"/>
      <c r="T301" s="172"/>
      <c r="U301" s="172"/>
      <c r="V301" s="172"/>
      <c r="W301" s="172"/>
      <c r="X301" s="172"/>
      <c r="CF301" s="735">
        <v>265</v>
      </c>
      <c r="CG301" s="736" t="s">
        <v>1134</v>
      </c>
      <c r="CH301" s="747">
        <f>D136</f>
        <v>1</v>
      </c>
      <c r="CI301" s="736" t="s">
        <v>1132</v>
      </c>
      <c r="CJ301" s="738" t="s">
        <v>1135</v>
      </c>
      <c r="CK301" s="736" t="s">
        <v>597</v>
      </c>
      <c r="CL301" s="731"/>
      <c r="CM301" s="731"/>
      <c r="CN301" s="731"/>
      <c r="CO301" s="731"/>
      <c r="CP301" s="731"/>
      <c r="CQ301" s="731"/>
      <c r="CR301" s="731"/>
      <c r="CS301" s="731"/>
      <c r="CT301" s="731"/>
      <c r="CU301" s="731"/>
      <c r="CV301" s="731"/>
      <c r="CW301" s="731"/>
      <c r="CX301" s="731"/>
      <c r="CY301" s="731"/>
      <c r="CZ301" s="731"/>
      <c r="DA301" s="731"/>
      <c r="DB301" s="731"/>
      <c r="DC301" s="731"/>
      <c r="DD301" s="731"/>
      <c r="DE301" s="731"/>
    </row>
    <row r="302" spans="2:109" ht="12.75" x14ac:dyDescent="0.2">
      <c r="B302" s="1050"/>
      <c r="C302" s="1051"/>
      <c r="D302" s="172"/>
      <c r="CF302" s="739">
        <v>266</v>
      </c>
      <c r="CG302" s="740" t="s">
        <v>1136</v>
      </c>
      <c r="CH302" s="749">
        <f>E136</f>
        <v>3566.9999999999991</v>
      </c>
      <c r="CI302" s="740" t="s">
        <v>1132</v>
      </c>
      <c r="CJ302" s="742" t="s">
        <v>1137</v>
      </c>
      <c r="CK302" s="740" t="s">
        <v>647</v>
      </c>
      <c r="CL302" s="731"/>
      <c r="CM302" s="731"/>
      <c r="CN302" s="731"/>
      <c r="CO302" s="731"/>
      <c r="CP302" s="731"/>
      <c r="CQ302" s="731"/>
      <c r="CR302" s="731"/>
      <c r="CS302" s="731"/>
      <c r="CT302" s="731"/>
      <c r="CU302" s="731"/>
      <c r="CV302" s="731"/>
      <c r="CW302" s="731"/>
      <c r="CX302" s="731"/>
      <c r="CY302" s="731"/>
      <c r="CZ302" s="731"/>
      <c r="DA302" s="731"/>
      <c r="DB302" s="731"/>
      <c r="DC302" s="731"/>
      <c r="DD302" s="731"/>
      <c r="DE302" s="731"/>
    </row>
    <row r="303" spans="2:109" ht="22.5" x14ac:dyDescent="0.2">
      <c r="B303" s="301" t="s">
        <v>281</v>
      </c>
      <c r="C303" s="668">
        <f>C306*C307</f>
        <v>47826086.956521749</v>
      </c>
      <c r="CF303" s="735">
        <v>267</v>
      </c>
      <c r="CG303" s="736" t="s">
        <v>847</v>
      </c>
      <c r="CH303" s="745">
        <f>F136</f>
        <v>35.669999999999987</v>
      </c>
      <c r="CI303" s="736" t="s">
        <v>1132</v>
      </c>
      <c r="CJ303" s="738" t="s">
        <v>1138</v>
      </c>
      <c r="CK303" s="736" t="s">
        <v>647</v>
      </c>
      <c r="CL303" s="731"/>
      <c r="CM303" s="731"/>
      <c r="CN303" s="731"/>
      <c r="CO303" s="731"/>
      <c r="CP303" s="731"/>
      <c r="CQ303" s="731"/>
      <c r="CR303" s="731"/>
      <c r="CS303" s="731"/>
      <c r="CT303" s="731"/>
      <c r="CU303" s="731"/>
      <c r="CV303" s="731"/>
      <c r="CW303" s="731"/>
      <c r="CX303" s="731"/>
      <c r="CY303" s="731"/>
      <c r="CZ303" s="731"/>
      <c r="DA303" s="731"/>
      <c r="DB303" s="731"/>
      <c r="DC303" s="731"/>
      <c r="DD303" s="731"/>
      <c r="DE303" s="731"/>
    </row>
    <row r="304" spans="2:109" ht="22.5" x14ac:dyDescent="0.2">
      <c r="B304" s="296" t="s">
        <v>200</v>
      </c>
      <c r="C304" s="669">
        <f>C303-C308-C309-C310-C311-C312</f>
        <v>39313043.478260875</v>
      </c>
      <c r="CF304" s="739">
        <v>268</v>
      </c>
      <c r="CG304" s="740" t="s">
        <v>1139</v>
      </c>
      <c r="CH304" s="744">
        <f>H136</f>
        <v>0</v>
      </c>
      <c r="CI304" s="740" t="s">
        <v>1132</v>
      </c>
      <c r="CJ304" s="742" t="s">
        <v>1140</v>
      </c>
      <c r="CK304" s="740" t="s">
        <v>650</v>
      </c>
      <c r="CL304" s="731"/>
      <c r="CM304" s="731"/>
      <c r="CN304" s="731"/>
      <c r="CO304" s="731"/>
      <c r="CP304" s="731"/>
      <c r="CQ304" s="731"/>
      <c r="CR304" s="731"/>
      <c r="CS304" s="731"/>
      <c r="CT304" s="731"/>
      <c r="CU304" s="731"/>
      <c r="CV304" s="731"/>
      <c r="CW304" s="731"/>
      <c r="CX304" s="731"/>
      <c r="CY304" s="731"/>
      <c r="CZ304" s="731"/>
      <c r="DA304" s="731"/>
      <c r="DB304" s="731"/>
      <c r="DC304" s="731"/>
      <c r="DD304" s="731"/>
      <c r="DE304" s="731"/>
    </row>
    <row r="305" spans="1:109" ht="22.5" x14ac:dyDescent="0.2">
      <c r="B305" s="301" t="s">
        <v>294</v>
      </c>
      <c r="C305" s="668">
        <f>C303-(SUM(C308:C311))</f>
        <v>46486956.52173914</v>
      </c>
      <c r="G305" s="171"/>
      <c r="CF305" s="735">
        <v>269</v>
      </c>
      <c r="CG305" s="736" t="s">
        <v>1141</v>
      </c>
      <c r="CH305" s="743">
        <f>I136</f>
        <v>0</v>
      </c>
      <c r="CI305" s="736" t="s">
        <v>1132</v>
      </c>
      <c r="CJ305" s="738" t="s">
        <v>1142</v>
      </c>
      <c r="CK305" s="736" t="s">
        <v>571</v>
      </c>
      <c r="CL305" s="731"/>
      <c r="CM305" s="731"/>
      <c r="CN305" s="731"/>
      <c r="CO305" s="731"/>
      <c r="CP305" s="731"/>
      <c r="CQ305" s="731"/>
      <c r="CR305" s="731"/>
      <c r="CS305" s="731"/>
      <c r="CT305" s="731"/>
      <c r="CU305" s="731"/>
      <c r="CV305" s="731"/>
      <c r="CW305" s="731"/>
      <c r="CX305" s="731"/>
      <c r="CY305" s="731"/>
      <c r="CZ305" s="731"/>
      <c r="DA305" s="731"/>
      <c r="DB305" s="731"/>
      <c r="DC305" s="731"/>
      <c r="DD305" s="731"/>
      <c r="DE305" s="731"/>
    </row>
    <row r="306" spans="1:109" ht="22.5" x14ac:dyDescent="0.2">
      <c r="B306" s="296" t="s">
        <v>202</v>
      </c>
      <c r="C306" s="669">
        <f>R139</f>
        <v>11</v>
      </c>
      <c r="CF306" s="739">
        <v>270</v>
      </c>
      <c r="CG306" s="740" t="s">
        <v>1143</v>
      </c>
      <c r="CH306" s="744">
        <f>J136</f>
        <v>0</v>
      </c>
      <c r="CI306" s="740" t="s">
        <v>1132</v>
      </c>
      <c r="CJ306" s="742" t="s">
        <v>1144</v>
      </c>
      <c r="CK306" s="740" t="s">
        <v>571</v>
      </c>
      <c r="CL306" s="731"/>
      <c r="CM306" s="731"/>
      <c r="CN306" s="731"/>
      <c r="CO306" s="731"/>
      <c r="CP306" s="731"/>
      <c r="CQ306" s="731"/>
      <c r="CR306" s="731"/>
      <c r="CS306" s="731"/>
      <c r="CT306" s="731"/>
      <c r="CU306" s="731"/>
      <c r="CV306" s="731"/>
      <c r="CW306" s="731"/>
      <c r="CX306" s="731"/>
      <c r="CY306" s="731"/>
      <c r="CZ306" s="731"/>
      <c r="DA306" s="731"/>
      <c r="DB306" s="731"/>
      <c r="DC306" s="731"/>
      <c r="DD306" s="731"/>
      <c r="DE306" s="731"/>
    </row>
    <row r="307" spans="1:109" ht="23.25" thickBot="1" x14ac:dyDescent="0.25">
      <c r="B307" s="301" t="s">
        <v>203</v>
      </c>
      <c r="C307" s="668">
        <f>Y139/R139</f>
        <v>4347826.0869565224</v>
      </c>
      <c r="D307" s="171"/>
      <c r="N307" s="263"/>
      <c r="CF307" s="734" t="s">
        <v>1145</v>
      </c>
      <c r="CG307" s="734"/>
      <c r="CH307" s="734"/>
      <c r="CI307" s="734"/>
      <c r="CJ307" s="734"/>
      <c r="CK307" s="734"/>
      <c r="CL307" s="731"/>
      <c r="CM307" s="731"/>
      <c r="CN307" s="731"/>
      <c r="CO307" s="731"/>
      <c r="CP307" s="731"/>
      <c r="CQ307" s="731"/>
      <c r="CR307" s="731"/>
      <c r="CS307" s="731"/>
      <c r="CT307" s="731"/>
      <c r="CU307" s="731"/>
      <c r="CV307" s="731"/>
      <c r="CW307" s="731"/>
      <c r="CX307" s="731"/>
      <c r="CY307" s="731"/>
      <c r="CZ307" s="731"/>
      <c r="DA307" s="731"/>
      <c r="DB307" s="731"/>
      <c r="DC307" s="731"/>
      <c r="DD307" s="731"/>
      <c r="DE307" s="731"/>
    </row>
    <row r="308" spans="1:109" ht="22.5" x14ac:dyDescent="0.2">
      <c r="B308" s="296" t="s">
        <v>204</v>
      </c>
      <c r="C308" s="219">
        <f>C303*D308</f>
        <v>717391.30434782617</v>
      </c>
      <c r="D308" s="331">
        <v>1.4999999999999999E-2</v>
      </c>
      <c r="N308" s="171"/>
      <c r="CF308" s="735">
        <v>271</v>
      </c>
      <c r="CG308" s="736" t="s">
        <v>1146</v>
      </c>
      <c r="CH308" s="750">
        <f>C137</f>
        <v>0</v>
      </c>
      <c r="CI308" s="736" t="s">
        <v>1147</v>
      </c>
      <c r="CJ308" s="738" t="s">
        <v>1148</v>
      </c>
      <c r="CK308" s="736" t="s">
        <v>694</v>
      </c>
      <c r="CL308" s="731"/>
      <c r="CM308" s="731"/>
      <c r="CN308" s="731"/>
      <c r="CO308" s="731"/>
      <c r="CP308" s="731"/>
      <c r="CQ308" s="731"/>
      <c r="CR308" s="731"/>
      <c r="CS308" s="731"/>
      <c r="CT308" s="731"/>
      <c r="CU308" s="731"/>
      <c r="CV308" s="731"/>
      <c r="CW308" s="731"/>
      <c r="CX308" s="731"/>
      <c r="CY308" s="731"/>
      <c r="CZ308" s="731"/>
      <c r="DA308" s="731"/>
      <c r="DB308" s="731"/>
      <c r="DC308" s="731"/>
      <c r="DD308" s="731"/>
      <c r="DE308" s="731"/>
    </row>
    <row r="309" spans="1:109" ht="22.5" x14ac:dyDescent="0.2">
      <c r="B309" s="301" t="s">
        <v>283</v>
      </c>
      <c r="C309" s="412">
        <f>D309*C303</f>
        <v>478260.86956521752</v>
      </c>
      <c r="D309" s="332">
        <v>0.01</v>
      </c>
      <c r="N309" s="171"/>
      <c r="CF309" s="739">
        <v>272</v>
      </c>
      <c r="CG309" s="740" t="s">
        <v>1149</v>
      </c>
      <c r="CH309" s="746">
        <f>D137</f>
        <v>1</v>
      </c>
      <c r="CI309" s="740" t="s">
        <v>1147</v>
      </c>
      <c r="CJ309" s="742" t="s">
        <v>1150</v>
      </c>
      <c r="CK309" s="740" t="s">
        <v>597</v>
      </c>
      <c r="CL309" s="731"/>
      <c r="CM309" s="731"/>
      <c r="CN309" s="731"/>
      <c r="CO309" s="731"/>
      <c r="CP309" s="731"/>
      <c r="CQ309" s="731"/>
      <c r="CR309" s="731"/>
      <c r="CS309" s="731"/>
      <c r="CT309" s="731"/>
      <c r="CU309" s="731"/>
      <c r="CV309" s="731"/>
      <c r="CW309" s="731"/>
      <c r="CX309" s="731"/>
      <c r="CY309" s="731"/>
      <c r="CZ309" s="731"/>
      <c r="DA309" s="731"/>
      <c r="DB309" s="731"/>
      <c r="DC309" s="731"/>
      <c r="DD309" s="731"/>
      <c r="DE309" s="731"/>
    </row>
    <row r="310" spans="1:109" ht="22.5" x14ac:dyDescent="0.2">
      <c r="B310" s="296" t="s">
        <v>282</v>
      </c>
      <c r="C310" s="219">
        <f>D310*C303</f>
        <v>143478.26086956525</v>
      </c>
      <c r="D310" s="332">
        <v>3.0000000000000001E-3</v>
      </c>
      <c r="CF310" s="735">
        <v>273</v>
      </c>
      <c r="CG310" s="736" t="s">
        <v>1151</v>
      </c>
      <c r="CH310" s="745">
        <f>E137</f>
        <v>0</v>
      </c>
      <c r="CI310" s="736" t="s">
        <v>1147</v>
      </c>
      <c r="CJ310" s="738" t="s">
        <v>1152</v>
      </c>
      <c r="CK310" s="736" t="s">
        <v>647</v>
      </c>
      <c r="CL310" s="731"/>
      <c r="CM310" s="731"/>
      <c r="CN310" s="731"/>
      <c r="CO310" s="731"/>
      <c r="CP310" s="731"/>
      <c r="CQ310" s="731"/>
      <c r="CR310" s="731"/>
      <c r="CS310" s="731"/>
      <c r="CT310" s="731"/>
      <c r="CU310" s="731"/>
      <c r="CV310" s="731"/>
      <c r="CW310" s="731"/>
      <c r="CX310" s="731"/>
      <c r="CY310" s="731"/>
      <c r="CZ310" s="731"/>
      <c r="DA310" s="731"/>
      <c r="DB310" s="731"/>
      <c r="DC310" s="731"/>
      <c r="DD310" s="731"/>
      <c r="DE310" s="731"/>
    </row>
    <row r="311" spans="1:109" ht="22.5" x14ac:dyDescent="0.2">
      <c r="A311" s="172"/>
      <c r="B311" s="301" t="s">
        <v>197</v>
      </c>
      <c r="C311" s="412">
        <f>C303*D311</f>
        <v>0</v>
      </c>
      <c r="D311" s="332">
        <v>0</v>
      </c>
      <c r="CF311" s="739">
        <v>274</v>
      </c>
      <c r="CG311" s="740" t="s">
        <v>869</v>
      </c>
      <c r="CH311" s="749" t="str">
        <f>F137</f>
        <v>0</v>
      </c>
      <c r="CI311" s="740" t="s">
        <v>1147</v>
      </c>
      <c r="CJ311" s="742" t="s">
        <v>1153</v>
      </c>
      <c r="CK311" s="740" t="s">
        <v>647</v>
      </c>
      <c r="CL311" s="731"/>
      <c r="CM311" s="731"/>
      <c r="CN311" s="731"/>
      <c r="CO311" s="731"/>
      <c r="CP311" s="731"/>
      <c r="CQ311" s="731"/>
      <c r="CR311" s="731"/>
      <c r="CS311" s="731"/>
      <c r="CT311" s="731"/>
      <c r="CU311" s="731"/>
      <c r="CV311" s="731"/>
      <c r="CW311" s="731"/>
      <c r="CX311" s="731"/>
      <c r="CY311" s="731"/>
      <c r="CZ311" s="731"/>
      <c r="DA311" s="731"/>
      <c r="DB311" s="731"/>
      <c r="DC311" s="731"/>
      <c r="DD311" s="731"/>
      <c r="DE311" s="731"/>
    </row>
    <row r="312" spans="1:109" ht="22.5" x14ac:dyDescent="0.2">
      <c r="A312" s="172"/>
      <c r="B312" s="296" t="s">
        <v>292</v>
      </c>
      <c r="C312" s="669">
        <f>D312*C303</f>
        <v>7173913.0434782626</v>
      </c>
      <c r="D312" s="333">
        <v>0.15</v>
      </c>
      <c r="CF312" s="735">
        <v>275</v>
      </c>
      <c r="CG312" s="736" t="s">
        <v>1154</v>
      </c>
      <c r="CH312" s="743">
        <f>H137</f>
        <v>0</v>
      </c>
      <c r="CI312" s="736" t="s">
        <v>1147</v>
      </c>
      <c r="CJ312" s="738" t="s">
        <v>1155</v>
      </c>
      <c r="CK312" s="736" t="s">
        <v>650</v>
      </c>
      <c r="CL312" s="731"/>
      <c r="CM312" s="731"/>
      <c r="CN312" s="731"/>
      <c r="CO312" s="731"/>
      <c r="CP312" s="731"/>
      <c r="CQ312" s="731"/>
      <c r="CR312" s="731"/>
      <c r="CS312" s="731"/>
      <c r="CT312" s="731"/>
      <c r="CU312" s="731"/>
      <c r="CV312" s="731"/>
      <c r="CW312" s="731"/>
      <c r="CX312" s="731"/>
      <c r="CY312" s="731"/>
      <c r="CZ312" s="731"/>
      <c r="DA312" s="731"/>
      <c r="DB312" s="731"/>
      <c r="DC312" s="731"/>
      <c r="DD312" s="731"/>
      <c r="DE312" s="731"/>
    </row>
    <row r="313" spans="1:109" ht="23.25" thickBot="1" x14ac:dyDescent="0.25">
      <c r="A313" s="172"/>
      <c r="B313" s="334" t="s">
        <v>274</v>
      </c>
      <c r="C313" s="102">
        <f>C303-(SUM(C308:C310))</f>
        <v>46486956.52173914</v>
      </c>
      <c r="D313" s="335" t="b">
        <f>C313=E278-SUM(E280:E285)</f>
        <v>1</v>
      </c>
      <c r="CF313" s="739">
        <v>276</v>
      </c>
      <c r="CG313" s="740" t="s">
        <v>1156</v>
      </c>
      <c r="CH313" s="744">
        <f>I137</f>
        <v>0</v>
      </c>
      <c r="CI313" s="740" t="s">
        <v>1147</v>
      </c>
      <c r="CJ313" s="742" t="s">
        <v>1157</v>
      </c>
      <c r="CK313" s="740" t="s">
        <v>571</v>
      </c>
      <c r="CL313" s="731"/>
      <c r="CM313" s="731"/>
      <c r="CN313" s="731"/>
      <c r="CO313" s="731"/>
      <c r="CP313" s="731"/>
      <c r="CQ313" s="731"/>
      <c r="CR313" s="731"/>
      <c r="CS313" s="731"/>
      <c r="CT313" s="731"/>
      <c r="CU313" s="731"/>
      <c r="CV313" s="731"/>
      <c r="CW313" s="731"/>
      <c r="CX313" s="731"/>
      <c r="CY313" s="731"/>
      <c r="CZ313" s="731"/>
      <c r="DA313" s="731"/>
      <c r="DB313" s="731"/>
      <c r="DC313" s="731"/>
      <c r="DD313" s="731"/>
      <c r="DE313" s="731"/>
    </row>
    <row r="314" spans="1:109" ht="12.75" x14ac:dyDescent="0.2">
      <c r="A314" s="172"/>
      <c r="CF314" s="735">
        <v>277</v>
      </c>
      <c r="CG314" s="736" t="s">
        <v>1158</v>
      </c>
      <c r="CH314" s="743">
        <f>J137</f>
        <v>0</v>
      </c>
      <c r="CI314" s="736" t="s">
        <v>1147</v>
      </c>
      <c r="CJ314" s="738" t="s">
        <v>1159</v>
      </c>
      <c r="CK314" s="736" t="s">
        <v>571</v>
      </c>
      <c r="CL314" s="731"/>
      <c r="CM314" s="731"/>
      <c r="CN314" s="731"/>
      <c r="CO314" s="731"/>
      <c r="CP314" s="731"/>
      <c r="CQ314" s="731"/>
      <c r="CR314" s="731"/>
      <c r="CS314" s="731"/>
      <c r="CT314" s="731"/>
      <c r="CU314" s="731"/>
      <c r="CV314" s="731"/>
      <c r="CW314" s="731"/>
      <c r="CX314" s="731"/>
      <c r="CY314" s="731"/>
      <c r="CZ314" s="731"/>
      <c r="DA314" s="731"/>
      <c r="DB314" s="731"/>
      <c r="DC314" s="731"/>
      <c r="DD314" s="731"/>
      <c r="DE314" s="731"/>
    </row>
    <row r="315" spans="1:109" ht="15" x14ac:dyDescent="0.2">
      <c r="A315" s="172"/>
      <c r="CF315" s="734" t="s">
        <v>1160</v>
      </c>
      <c r="CG315" s="734"/>
      <c r="CH315" s="734"/>
      <c r="CI315" s="734"/>
      <c r="CJ315" s="734"/>
      <c r="CK315" s="734"/>
      <c r="CL315" s="731"/>
      <c r="CM315" s="731"/>
      <c r="CN315" s="731"/>
      <c r="CO315" s="731"/>
      <c r="CP315" s="731"/>
      <c r="CQ315" s="731"/>
      <c r="CR315" s="731"/>
      <c r="CS315" s="731"/>
      <c r="CT315" s="731"/>
      <c r="CU315" s="731"/>
      <c r="CV315" s="731"/>
      <c r="CW315" s="731"/>
      <c r="CX315" s="731"/>
      <c r="CY315" s="731"/>
      <c r="CZ315" s="731"/>
      <c r="DA315" s="731"/>
      <c r="DB315" s="731"/>
      <c r="DC315" s="731"/>
      <c r="DD315" s="731"/>
      <c r="DE315" s="731"/>
    </row>
    <row r="316" spans="1:109" ht="12.75" x14ac:dyDescent="0.2">
      <c r="A316" s="172"/>
      <c r="CF316" s="739">
        <v>278</v>
      </c>
      <c r="CG316" s="740" t="s">
        <v>1161</v>
      </c>
      <c r="CH316" s="751">
        <f>C138</f>
        <v>0</v>
      </c>
      <c r="CI316" s="740" t="s">
        <v>1162</v>
      </c>
      <c r="CJ316" s="742" t="s">
        <v>1163</v>
      </c>
      <c r="CK316" s="740" t="s">
        <v>694</v>
      </c>
      <c r="CL316" s="731"/>
      <c r="CM316" s="731"/>
      <c r="CN316" s="731"/>
      <c r="CO316" s="731"/>
      <c r="CP316" s="731"/>
      <c r="CQ316" s="731"/>
      <c r="CR316" s="731"/>
      <c r="CS316" s="731"/>
      <c r="CT316" s="731"/>
      <c r="CU316" s="731"/>
      <c r="CV316" s="731"/>
      <c r="CW316" s="731"/>
      <c r="CX316" s="731"/>
      <c r="CY316" s="731"/>
      <c r="CZ316" s="731"/>
      <c r="DA316" s="731"/>
      <c r="DB316" s="731"/>
      <c r="DC316" s="731"/>
      <c r="DD316" s="731"/>
      <c r="DE316" s="731"/>
    </row>
    <row r="317" spans="1:109" ht="12.75" x14ac:dyDescent="0.2">
      <c r="A317" s="172"/>
      <c r="CF317" s="735">
        <v>279</v>
      </c>
      <c r="CG317" s="736" t="s">
        <v>1164</v>
      </c>
      <c r="CH317" s="747">
        <f>D138</f>
        <v>1</v>
      </c>
      <c r="CI317" s="736" t="s">
        <v>1162</v>
      </c>
      <c r="CJ317" s="738" t="s">
        <v>1165</v>
      </c>
      <c r="CK317" s="736" t="s">
        <v>597</v>
      </c>
      <c r="CL317" s="731"/>
      <c r="CM317" s="731"/>
      <c r="CN317" s="731"/>
      <c r="CO317" s="731"/>
      <c r="CP317" s="731"/>
      <c r="CQ317" s="731"/>
      <c r="CR317" s="731"/>
      <c r="CS317" s="731"/>
      <c r="CT317" s="731"/>
      <c r="CU317" s="731"/>
      <c r="CV317" s="731"/>
      <c r="CW317" s="731"/>
      <c r="CX317" s="731"/>
      <c r="CY317" s="731"/>
      <c r="CZ317" s="731"/>
      <c r="DA317" s="731"/>
      <c r="DB317" s="731"/>
      <c r="DC317" s="731"/>
      <c r="DD317" s="731"/>
      <c r="DE317" s="731"/>
    </row>
    <row r="318" spans="1:109" ht="12.75" x14ac:dyDescent="0.2">
      <c r="A318" s="172"/>
      <c r="CF318" s="739">
        <v>280</v>
      </c>
      <c r="CG318" s="740" t="s">
        <v>1166</v>
      </c>
      <c r="CH318" s="749">
        <f>E138</f>
        <v>0</v>
      </c>
      <c r="CI318" s="740" t="s">
        <v>1162</v>
      </c>
      <c r="CJ318" s="742" t="s">
        <v>1167</v>
      </c>
      <c r="CK318" s="740" t="s">
        <v>647</v>
      </c>
      <c r="CL318" s="731"/>
      <c r="CM318" s="731"/>
      <c r="CN318" s="731"/>
      <c r="CO318" s="731"/>
      <c r="CP318" s="731"/>
      <c r="CQ318" s="731"/>
      <c r="CR318" s="731"/>
      <c r="CS318" s="731"/>
      <c r="CT318" s="731"/>
      <c r="CU318" s="731"/>
      <c r="CV318" s="731"/>
      <c r="CW318" s="731"/>
      <c r="CX318" s="731"/>
      <c r="CY318" s="731"/>
      <c r="CZ318" s="731"/>
      <c r="DA318" s="731"/>
      <c r="DB318" s="731"/>
      <c r="DC318" s="731"/>
      <c r="DD318" s="731"/>
      <c r="DE318" s="731"/>
    </row>
    <row r="319" spans="1:109" ht="12.75" x14ac:dyDescent="0.2">
      <c r="A319" s="172"/>
      <c r="CF319" s="735">
        <v>281</v>
      </c>
      <c r="CG319" s="736" t="s">
        <v>891</v>
      </c>
      <c r="CH319" s="745" t="str">
        <f>F138</f>
        <v>0</v>
      </c>
      <c r="CI319" s="736" t="s">
        <v>1162</v>
      </c>
      <c r="CJ319" s="738" t="s">
        <v>1168</v>
      </c>
      <c r="CK319" s="736" t="s">
        <v>647</v>
      </c>
      <c r="CL319" s="731"/>
      <c r="CM319" s="731"/>
      <c r="CN319" s="731"/>
      <c r="CO319" s="731"/>
      <c r="CP319" s="731"/>
      <c r="CQ319" s="731"/>
      <c r="CR319" s="731"/>
      <c r="CS319" s="731"/>
      <c r="CT319" s="731"/>
      <c r="CU319" s="731"/>
      <c r="CV319" s="731"/>
      <c r="CW319" s="731"/>
      <c r="CX319" s="731"/>
      <c r="CY319" s="731"/>
      <c r="CZ319" s="731"/>
      <c r="DA319" s="731"/>
      <c r="DB319" s="731"/>
      <c r="DC319" s="731"/>
      <c r="DD319" s="731"/>
      <c r="DE319" s="731"/>
    </row>
    <row r="320" spans="1:109" ht="12.75" x14ac:dyDescent="0.2">
      <c r="A320" s="172"/>
      <c r="CF320" s="739">
        <v>282</v>
      </c>
      <c r="CG320" s="740" t="s">
        <v>1169</v>
      </c>
      <c r="CH320" s="744">
        <f>H138</f>
        <v>0</v>
      </c>
      <c r="CI320" s="740" t="s">
        <v>1162</v>
      </c>
      <c r="CJ320" s="742" t="s">
        <v>1170</v>
      </c>
      <c r="CK320" s="740" t="s">
        <v>650</v>
      </c>
      <c r="CL320" s="731"/>
      <c r="CM320" s="731"/>
      <c r="CN320" s="731"/>
      <c r="CO320" s="731"/>
      <c r="CP320" s="731"/>
      <c r="CQ320" s="731"/>
      <c r="CR320" s="731"/>
      <c r="CS320" s="731"/>
      <c r="CT320" s="731"/>
      <c r="CU320" s="731"/>
      <c r="CV320" s="731"/>
      <c r="CW320" s="731"/>
      <c r="CX320" s="731"/>
      <c r="CY320" s="731"/>
      <c r="CZ320" s="731"/>
      <c r="DA320" s="731"/>
      <c r="DB320" s="731"/>
      <c r="DC320" s="731"/>
      <c r="DD320" s="731"/>
      <c r="DE320" s="731"/>
    </row>
    <row r="321" spans="1:109" ht="13.5" thickBot="1" x14ac:dyDescent="0.25">
      <c r="A321" s="172"/>
      <c r="CF321" s="735">
        <v>283</v>
      </c>
      <c r="CG321" s="736" t="s">
        <v>1171</v>
      </c>
      <c r="CH321" s="743">
        <f>I138</f>
        <v>0</v>
      </c>
      <c r="CI321" s="736" t="s">
        <v>1162</v>
      </c>
      <c r="CJ321" s="738" t="s">
        <v>1172</v>
      </c>
      <c r="CK321" s="736" t="s">
        <v>571</v>
      </c>
      <c r="CL321" s="731"/>
      <c r="CM321" s="731"/>
      <c r="CN321" s="731"/>
      <c r="CO321" s="731"/>
      <c r="CP321" s="731"/>
      <c r="CQ321" s="731"/>
      <c r="CR321" s="731"/>
      <c r="CS321" s="731"/>
      <c r="CT321" s="731"/>
      <c r="CU321" s="731"/>
      <c r="CV321" s="731"/>
      <c r="CW321" s="731"/>
      <c r="CX321" s="731"/>
      <c r="CY321" s="731"/>
      <c r="CZ321" s="731"/>
      <c r="DA321" s="731"/>
      <c r="DB321" s="731"/>
      <c r="DC321" s="731"/>
      <c r="DD321" s="731"/>
      <c r="DE321" s="731"/>
    </row>
    <row r="322" spans="1:109" ht="12.75" x14ac:dyDescent="0.2">
      <c r="A322" s="172"/>
      <c r="B322" s="885" t="s">
        <v>441</v>
      </c>
      <c r="C322" s="886"/>
      <c r="D322" s="886"/>
      <c r="E322" s="886"/>
      <c r="F322" s="259"/>
      <c r="G322" s="259"/>
      <c r="H322" s="259"/>
      <c r="I322" s="259"/>
      <c r="J322" s="259"/>
      <c r="K322" s="259"/>
      <c r="L322" s="259"/>
      <c r="M322" s="259"/>
      <c r="N322" s="259"/>
      <c r="O322" s="259"/>
      <c r="P322" s="259"/>
      <c r="Q322" s="259"/>
      <c r="R322" s="259"/>
      <c r="S322" s="259"/>
      <c r="T322" s="259"/>
      <c r="U322" s="259"/>
      <c r="V322" s="259"/>
      <c r="W322" s="259"/>
      <c r="X322" s="259"/>
      <c r="Y322" s="259"/>
      <c r="Z322" s="259"/>
      <c r="AA322" s="259"/>
      <c r="AB322" s="259"/>
      <c r="AC322" s="260"/>
      <c r="CF322" s="739">
        <v>284</v>
      </c>
      <c r="CG322" s="740" t="s">
        <v>1173</v>
      </c>
      <c r="CH322" s="744">
        <f>J138</f>
        <v>0</v>
      </c>
      <c r="CI322" s="740" t="s">
        <v>1162</v>
      </c>
      <c r="CJ322" s="742" t="s">
        <v>1174</v>
      </c>
      <c r="CK322" s="740" t="s">
        <v>571</v>
      </c>
      <c r="CL322" s="731"/>
      <c r="CM322" s="731"/>
      <c r="CN322" s="731"/>
      <c r="CO322" s="731"/>
      <c r="CP322" s="731"/>
      <c r="CQ322" s="731"/>
      <c r="CR322" s="731"/>
      <c r="CS322" s="731"/>
      <c r="CT322" s="731"/>
      <c r="CU322" s="731"/>
      <c r="CV322" s="731"/>
      <c r="CW322" s="731"/>
      <c r="CX322" s="731"/>
      <c r="CY322" s="731"/>
      <c r="CZ322" s="731"/>
      <c r="DA322" s="731"/>
      <c r="DB322" s="731"/>
      <c r="DC322" s="731"/>
      <c r="DD322" s="731"/>
      <c r="DE322" s="731"/>
    </row>
    <row r="323" spans="1:109" ht="15" x14ac:dyDescent="0.2">
      <c r="A323" s="172"/>
      <c r="B323" s="887"/>
      <c r="C323" s="888"/>
      <c r="D323" s="888"/>
      <c r="E323" s="888"/>
      <c r="F323" s="337"/>
      <c r="G323" s="337"/>
      <c r="H323" s="337"/>
      <c r="I323" s="337"/>
      <c r="J323" s="337"/>
      <c r="K323" s="337"/>
      <c r="L323" s="337"/>
      <c r="M323" s="337"/>
      <c r="N323" s="337"/>
      <c r="O323" s="337"/>
      <c r="P323" s="337"/>
      <c r="Q323" s="337"/>
      <c r="R323" s="337"/>
      <c r="S323" s="337"/>
      <c r="T323" s="337"/>
      <c r="U323" s="337"/>
      <c r="V323" s="337"/>
      <c r="W323" s="337"/>
      <c r="X323" s="337"/>
      <c r="Y323" s="337"/>
      <c r="Z323" s="337"/>
      <c r="AA323" s="337"/>
      <c r="AB323" s="337"/>
      <c r="AC323" s="338"/>
      <c r="CF323" s="734" t="s">
        <v>1175</v>
      </c>
      <c r="CG323" s="734"/>
      <c r="CH323" s="734"/>
      <c r="CI323" s="734"/>
      <c r="CJ323" s="734"/>
      <c r="CK323" s="734"/>
      <c r="CL323" s="731"/>
      <c r="CM323" s="731"/>
      <c r="CN323" s="731"/>
      <c r="CO323" s="731"/>
      <c r="CP323" s="731"/>
      <c r="CQ323" s="731"/>
      <c r="CR323" s="731"/>
      <c r="CS323" s="731"/>
      <c r="CT323" s="731"/>
      <c r="CU323" s="731"/>
      <c r="CV323" s="731"/>
      <c r="CW323" s="731"/>
      <c r="CX323" s="731"/>
      <c r="CY323" s="731"/>
      <c r="CZ323" s="731"/>
      <c r="DA323" s="731"/>
      <c r="DB323" s="731"/>
      <c r="DC323" s="731"/>
      <c r="DD323" s="731"/>
      <c r="DE323" s="731"/>
    </row>
    <row r="324" spans="1:109" ht="12.75" x14ac:dyDescent="0.2">
      <c r="A324" s="172"/>
      <c r="B324" s="1046" t="s">
        <v>5</v>
      </c>
      <c r="C324" s="922" t="s">
        <v>4</v>
      </c>
      <c r="D324" s="1034" t="s">
        <v>442</v>
      </c>
      <c r="E324" s="954" t="s">
        <v>189</v>
      </c>
      <c r="F324" s="1052" t="s">
        <v>98</v>
      </c>
      <c r="G324" s="1034"/>
      <c r="H324" s="1034"/>
      <c r="I324" s="1034"/>
      <c r="J324" s="1034" t="s">
        <v>100</v>
      </c>
      <c r="K324" s="1034"/>
      <c r="L324" s="1034"/>
      <c r="M324" s="1034"/>
      <c r="N324" s="1034" t="s">
        <v>102</v>
      </c>
      <c r="O324" s="1034"/>
      <c r="P324" s="1034"/>
      <c r="Q324" s="1034"/>
      <c r="R324" s="1034" t="s">
        <v>104</v>
      </c>
      <c r="S324" s="1034"/>
      <c r="T324" s="1034"/>
      <c r="U324" s="1034"/>
      <c r="V324" s="1034" t="s">
        <v>105</v>
      </c>
      <c r="W324" s="1034"/>
      <c r="X324" s="1034"/>
      <c r="Y324" s="1034"/>
      <c r="Z324" s="1034" t="s">
        <v>107</v>
      </c>
      <c r="AA324" s="1034"/>
      <c r="AB324" s="1034"/>
      <c r="AC324" s="1035"/>
      <c r="CF324" s="735">
        <v>285</v>
      </c>
      <c r="CG324" s="736" t="s">
        <v>1176</v>
      </c>
      <c r="CH324" s="750">
        <f>C139</f>
        <v>112</v>
      </c>
      <c r="CI324" s="736" t="s">
        <v>1177</v>
      </c>
      <c r="CJ324" s="738" t="s">
        <v>1178</v>
      </c>
      <c r="CK324" s="736" t="s">
        <v>694</v>
      </c>
      <c r="CL324" s="731"/>
      <c r="CM324" s="731"/>
      <c r="CN324" s="731"/>
      <c r="CO324" s="731"/>
      <c r="CP324" s="731"/>
      <c r="CQ324" s="731"/>
      <c r="CR324" s="731"/>
      <c r="CS324" s="731"/>
      <c r="CT324" s="731"/>
      <c r="CU324" s="731"/>
      <c r="CV324" s="731"/>
      <c r="CW324" s="731"/>
      <c r="CX324" s="731"/>
      <c r="CY324" s="731"/>
      <c r="CZ324" s="731"/>
      <c r="DA324" s="731"/>
      <c r="DB324" s="731"/>
      <c r="DC324" s="731"/>
      <c r="DD324" s="731"/>
      <c r="DE324" s="731"/>
    </row>
    <row r="325" spans="1:109" ht="12.75" x14ac:dyDescent="0.2">
      <c r="A325" s="172"/>
      <c r="B325" s="1047"/>
      <c r="C325" s="1045"/>
      <c r="D325" s="816"/>
      <c r="E325" s="1044"/>
      <c r="F325" s="432" t="s">
        <v>130</v>
      </c>
      <c r="G325" s="269" t="s">
        <v>131</v>
      </c>
      <c r="H325" s="269" t="s">
        <v>132</v>
      </c>
      <c r="I325" s="269" t="s">
        <v>133</v>
      </c>
      <c r="J325" s="269" t="s">
        <v>134</v>
      </c>
      <c r="K325" s="269" t="s">
        <v>135</v>
      </c>
      <c r="L325" s="269" t="s">
        <v>136</v>
      </c>
      <c r="M325" s="269" t="s">
        <v>137</v>
      </c>
      <c r="N325" s="269" t="s">
        <v>138</v>
      </c>
      <c r="O325" s="269" t="s">
        <v>139</v>
      </c>
      <c r="P325" s="269" t="s">
        <v>140</v>
      </c>
      <c r="Q325" s="269" t="s">
        <v>141</v>
      </c>
      <c r="R325" s="269" t="s">
        <v>142</v>
      </c>
      <c r="S325" s="269" t="s">
        <v>143</v>
      </c>
      <c r="T325" s="269" t="s">
        <v>144</v>
      </c>
      <c r="U325" s="269" t="s">
        <v>145</v>
      </c>
      <c r="V325" s="269" t="s">
        <v>146</v>
      </c>
      <c r="W325" s="269" t="s">
        <v>147</v>
      </c>
      <c r="X325" s="269" t="s">
        <v>148</v>
      </c>
      <c r="Y325" s="269" t="s">
        <v>149</v>
      </c>
      <c r="Z325" s="269" t="s">
        <v>150</v>
      </c>
      <c r="AA325" s="269" t="s">
        <v>151</v>
      </c>
      <c r="AB325" s="269" t="s">
        <v>152</v>
      </c>
      <c r="AC325" s="270" t="s">
        <v>153</v>
      </c>
      <c r="CF325" s="739">
        <v>286</v>
      </c>
      <c r="CG325" s="740" t="s">
        <v>1179</v>
      </c>
      <c r="CH325" s="749">
        <f>E139</f>
        <v>9920.7939999999981</v>
      </c>
      <c r="CI325" s="740" t="s">
        <v>1177</v>
      </c>
      <c r="CJ325" s="742" t="s">
        <v>1180</v>
      </c>
      <c r="CK325" s="740" t="s">
        <v>647</v>
      </c>
      <c r="CL325" s="731"/>
      <c r="CM325" s="731"/>
      <c r="CN325" s="731"/>
      <c r="CO325" s="731"/>
      <c r="CP325" s="731"/>
      <c r="CQ325" s="731"/>
      <c r="CR325" s="731"/>
      <c r="CS325" s="731"/>
      <c r="CT325" s="731"/>
      <c r="CU325" s="731"/>
      <c r="CV325" s="731"/>
      <c r="CW325" s="731"/>
      <c r="CX325" s="731"/>
      <c r="CY325" s="731"/>
      <c r="CZ325" s="731"/>
      <c r="DA325" s="731"/>
      <c r="DB325" s="731"/>
      <c r="DC325" s="731"/>
      <c r="DD325" s="731"/>
      <c r="DE325" s="731"/>
    </row>
    <row r="326" spans="1:109" ht="22.5" x14ac:dyDescent="0.2">
      <c r="A326" s="172"/>
      <c r="B326" s="261" t="s">
        <v>430</v>
      </c>
      <c r="C326" s="34">
        <v>0</v>
      </c>
      <c r="D326" s="442" t="s">
        <v>486</v>
      </c>
      <c r="E326" s="439">
        <f>SUM(F326:AC326)</f>
        <v>0</v>
      </c>
      <c r="F326" s="436">
        <f>-C326*H26</f>
        <v>0</v>
      </c>
      <c r="G326" s="273">
        <v>0</v>
      </c>
      <c r="H326" s="273">
        <v>0</v>
      </c>
      <c r="I326" s="273">
        <v>0</v>
      </c>
      <c r="J326" s="273">
        <v>0</v>
      </c>
      <c r="K326" s="273">
        <v>0</v>
      </c>
      <c r="L326" s="273">
        <v>0</v>
      </c>
      <c r="M326" s="273">
        <v>0</v>
      </c>
      <c r="N326" s="273">
        <v>0</v>
      </c>
      <c r="O326" s="273">
        <v>0</v>
      </c>
      <c r="P326" s="273">
        <v>0</v>
      </c>
      <c r="Q326" s="273">
        <v>0</v>
      </c>
      <c r="R326" s="273">
        <v>0</v>
      </c>
      <c r="S326" s="273">
        <v>0</v>
      </c>
      <c r="T326" s="273">
        <v>0</v>
      </c>
      <c r="U326" s="273">
        <v>0</v>
      </c>
      <c r="V326" s="273">
        <v>0</v>
      </c>
      <c r="W326" s="273">
        <v>0</v>
      </c>
      <c r="X326" s="273">
        <v>0</v>
      </c>
      <c r="Y326" s="273">
        <v>0</v>
      </c>
      <c r="Z326" s="273">
        <v>0</v>
      </c>
      <c r="AA326" s="273">
        <v>0</v>
      </c>
      <c r="AB326" s="273">
        <v>0</v>
      </c>
      <c r="AC326" s="277">
        <v>0</v>
      </c>
      <c r="CF326" s="735">
        <v>287</v>
      </c>
      <c r="CG326" s="736" t="s">
        <v>1181</v>
      </c>
      <c r="CH326" s="743">
        <f>H139</f>
        <v>0</v>
      </c>
      <c r="CI326" s="736" t="s">
        <v>1177</v>
      </c>
      <c r="CJ326" s="738" t="s">
        <v>1182</v>
      </c>
      <c r="CK326" s="736" t="s">
        <v>650</v>
      </c>
      <c r="CL326" s="731"/>
      <c r="CM326" s="731"/>
      <c r="CN326" s="731"/>
      <c r="CO326" s="731"/>
      <c r="CP326" s="731"/>
      <c r="CQ326" s="731"/>
      <c r="CR326" s="731"/>
      <c r="CS326" s="731"/>
      <c r="CT326" s="731"/>
      <c r="CU326" s="731"/>
      <c r="CV326" s="731"/>
      <c r="CW326" s="731"/>
      <c r="CX326" s="731"/>
      <c r="CY326" s="731"/>
      <c r="CZ326" s="731"/>
      <c r="DA326" s="731"/>
      <c r="DB326" s="731"/>
      <c r="DC326" s="731"/>
      <c r="DD326" s="731"/>
      <c r="DE326" s="731"/>
    </row>
    <row r="327" spans="1:109" ht="22.5" x14ac:dyDescent="0.2">
      <c r="A327" s="172"/>
      <c r="B327" s="262" t="s">
        <v>431</v>
      </c>
      <c r="C327" s="34">
        <v>0</v>
      </c>
      <c r="D327" s="443" t="s">
        <v>486</v>
      </c>
      <c r="E327" s="440">
        <f>SUM(F327:AC327)</f>
        <v>0</v>
      </c>
      <c r="F327" s="437">
        <f>-C327*H33</f>
        <v>0</v>
      </c>
      <c r="G327" s="274">
        <v>0</v>
      </c>
      <c r="H327" s="274">
        <v>0</v>
      </c>
      <c r="I327" s="274">
        <v>0</v>
      </c>
      <c r="J327" s="274">
        <v>0</v>
      </c>
      <c r="K327" s="274">
        <v>0</v>
      </c>
      <c r="L327" s="274">
        <v>0</v>
      </c>
      <c r="M327" s="274">
        <v>0</v>
      </c>
      <c r="N327" s="274">
        <v>0</v>
      </c>
      <c r="O327" s="274">
        <v>0</v>
      </c>
      <c r="P327" s="274">
        <v>0</v>
      </c>
      <c r="Q327" s="274">
        <v>0</v>
      </c>
      <c r="R327" s="274">
        <v>0</v>
      </c>
      <c r="S327" s="274">
        <v>0</v>
      </c>
      <c r="T327" s="274">
        <v>0</v>
      </c>
      <c r="U327" s="274">
        <v>0</v>
      </c>
      <c r="V327" s="274">
        <v>0</v>
      </c>
      <c r="W327" s="274">
        <v>0</v>
      </c>
      <c r="X327" s="274">
        <v>0</v>
      </c>
      <c r="Y327" s="274">
        <v>0</v>
      </c>
      <c r="Z327" s="274">
        <v>0</v>
      </c>
      <c r="AA327" s="274">
        <v>0</v>
      </c>
      <c r="AB327" s="274">
        <v>0</v>
      </c>
      <c r="AC327" s="276">
        <v>0</v>
      </c>
      <c r="CF327" s="739">
        <v>288</v>
      </c>
      <c r="CG327" s="740" t="s">
        <v>1183</v>
      </c>
      <c r="CH327" s="744">
        <f>J139</f>
        <v>0</v>
      </c>
      <c r="CI327" s="740" t="s">
        <v>1177</v>
      </c>
      <c r="CJ327" s="742" t="s">
        <v>1184</v>
      </c>
      <c r="CK327" s="740" t="s">
        <v>571</v>
      </c>
      <c r="CL327" s="731"/>
      <c r="CM327" s="731"/>
      <c r="CN327" s="731"/>
      <c r="CO327" s="731"/>
      <c r="CP327" s="731"/>
      <c r="CQ327" s="731"/>
      <c r="CR327" s="731"/>
      <c r="CS327" s="731"/>
      <c r="CT327" s="731"/>
      <c r="CU327" s="731"/>
      <c r="CV327" s="731"/>
      <c r="CW327" s="731"/>
      <c r="CX327" s="731"/>
      <c r="CY327" s="731"/>
      <c r="CZ327" s="731"/>
      <c r="DA327" s="731"/>
      <c r="DB327" s="731"/>
      <c r="DC327" s="731"/>
      <c r="DD327" s="731"/>
      <c r="DE327" s="731"/>
    </row>
    <row r="328" spans="1:109" ht="22.5" x14ac:dyDescent="0.2">
      <c r="A328" s="172"/>
      <c r="B328" s="261" t="s">
        <v>551</v>
      </c>
      <c r="C328" s="34">
        <v>0.03</v>
      </c>
      <c r="D328" s="443" t="s">
        <v>486</v>
      </c>
      <c r="E328" s="440">
        <f>SUM(F328:AC328)</f>
        <v>-3252288</v>
      </c>
      <c r="F328" s="437">
        <f>-C328*H24</f>
        <v>-3252288</v>
      </c>
      <c r="G328" s="274"/>
      <c r="H328" s="437"/>
      <c r="I328" s="274"/>
      <c r="J328" s="437"/>
      <c r="K328" s="274"/>
      <c r="L328" s="437"/>
      <c r="M328" s="274"/>
      <c r="N328" s="437"/>
      <c r="O328" s="274"/>
      <c r="P328" s="437"/>
      <c r="Q328" s="274"/>
      <c r="R328" s="437"/>
      <c r="S328" s="274"/>
      <c r="T328" s="437"/>
      <c r="U328" s="274"/>
      <c r="V328" s="437"/>
      <c r="W328" s="274"/>
      <c r="X328" s="274"/>
      <c r="Y328" s="274"/>
      <c r="Z328" s="274"/>
      <c r="AA328" s="274"/>
      <c r="AB328" s="274"/>
      <c r="AC328" s="276"/>
      <c r="CF328" s="734" t="s">
        <v>1185</v>
      </c>
      <c r="CG328" s="734"/>
      <c r="CH328" s="734"/>
      <c r="CI328" s="734"/>
      <c r="CJ328" s="734"/>
      <c r="CK328" s="734"/>
      <c r="CL328" s="731"/>
      <c r="CM328" s="731"/>
      <c r="CN328" s="731"/>
      <c r="CO328" s="731"/>
      <c r="CP328" s="731"/>
      <c r="CQ328" s="731"/>
      <c r="CR328" s="731"/>
      <c r="CS328" s="731"/>
      <c r="CT328" s="731"/>
      <c r="CU328" s="731"/>
      <c r="CV328" s="731"/>
      <c r="CW328" s="731"/>
      <c r="CX328" s="731"/>
      <c r="CY328" s="731"/>
      <c r="CZ328" s="731"/>
      <c r="DA328" s="731"/>
      <c r="DB328" s="731"/>
      <c r="DC328" s="731"/>
      <c r="DD328" s="731"/>
      <c r="DE328" s="731"/>
    </row>
    <row r="329" spans="1:109" ht="22.5" x14ac:dyDescent="0.2">
      <c r="A329" s="172"/>
      <c r="B329" s="262" t="s">
        <v>432</v>
      </c>
      <c r="C329" s="34">
        <v>5.0000000000000001E-3</v>
      </c>
      <c r="D329" s="442" t="s">
        <v>487</v>
      </c>
      <c r="E329" s="439">
        <f>SUM(F329:AC329)</f>
        <v>-4878432</v>
      </c>
      <c r="F329" s="436">
        <v>0</v>
      </c>
      <c r="G329" s="273">
        <f>-$C$329*$H$24</f>
        <v>-542048</v>
      </c>
      <c r="H329" s="436">
        <v>0</v>
      </c>
      <c r="I329" s="273">
        <f t="shared" ref="I329" si="185">-$C$329*$H$24</f>
        <v>-542048</v>
      </c>
      <c r="J329" s="436">
        <v>0</v>
      </c>
      <c r="K329" s="273">
        <f t="shared" ref="K329" si="186">-$C$329*$H$24</f>
        <v>-542048</v>
      </c>
      <c r="L329" s="436">
        <v>0</v>
      </c>
      <c r="M329" s="273">
        <f t="shared" ref="M329" si="187">-$C$329*$H$24</f>
        <v>-542048</v>
      </c>
      <c r="N329" s="436">
        <v>0</v>
      </c>
      <c r="O329" s="273">
        <f t="shared" ref="O329" si="188">-$C$329*$H$24</f>
        <v>-542048</v>
      </c>
      <c r="P329" s="436">
        <v>0</v>
      </c>
      <c r="Q329" s="273">
        <f t="shared" ref="Q329" si="189">-$C$329*$H$24</f>
        <v>-542048</v>
      </c>
      <c r="R329" s="436">
        <v>0</v>
      </c>
      <c r="S329" s="273">
        <f t="shared" ref="S329" si="190">-$C$329*$H$24</f>
        <v>-542048</v>
      </c>
      <c r="T329" s="436">
        <v>0</v>
      </c>
      <c r="U329" s="273">
        <f t="shared" ref="U329" si="191">-$C$329*$H$24</f>
        <v>-542048</v>
      </c>
      <c r="V329" s="436">
        <v>0</v>
      </c>
      <c r="W329" s="273">
        <f t="shared" ref="W329" si="192">-$C$329*$H$24</f>
        <v>-542048</v>
      </c>
      <c r="X329" s="273"/>
      <c r="Y329" s="273"/>
      <c r="Z329" s="273"/>
      <c r="AA329" s="273"/>
      <c r="AB329" s="273"/>
      <c r="AC329" s="277"/>
      <c r="CF329" s="735">
        <v>289</v>
      </c>
      <c r="CG329" s="736" t="s">
        <v>1186</v>
      </c>
      <c r="CH329" s="747">
        <f>M129</f>
        <v>0.08</v>
      </c>
      <c r="CI329" s="736" t="s">
        <v>1187</v>
      </c>
      <c r="CJ329" s="738" t="s">
        <v>1188</v>
      </c>
      <c r="CK329" s="736" t="s">
        <v>597</v>
      </c>
      <c r="CL329" s="731"/>
      <c r="CM329" s="731"/>
      <c r="CN329" s="731"/>
      <c r="CO329" s="731"/>
      <c r="CP329" s="731"/>
      <c r="CQ329" s="731"/>
      <c r="CR329" s="731"/>
      <c r="CS329" s="731"/>
      <c r="CT329" s="731"/>
      <c r="CU329" s="731"/>
      <c r="CV329" s="731"/>
      <c r="CW329" s="731"/>
      <c r="CX329" s="731"/>
      <c r="CY329" s="731"/>
      <c r="CZ329" s="731"/>
      <c r="DA329" s="731"/>
      <c r="DB329" s="731"/>
      <c r="DC329" s="731"/>
      <c r="DD329" s="731"/>
      <c r="DE329" s="731"/>
    </row>
    <row r="330" spans="1:109" ht="22.5" x14ac:dyDescent="0.2">
      <c r="A330" s="172"/>
      <c r="B330" s="261" t="s">
        <v>433</v>
      </c>
      <c r="C330" s="34">
        <v>2E-3</v>
      </c>
      <c r="D330" s="443" t="s">
        <v>487</v>
      </c>
      <c r="E330" s="440">
        <f>SUM(F330:AC330)</f>
        <v>-1084096</v>
      </c>
      <c r="F330" s="437">
        <f>-$C$330*$H$24</f>
        <v>-216819.20000000001</v>
      </c>
      <c r="G330" s="274">
        <v>0</v>
      </c>
      <c r="H330" s="437">
        <v>0</v>
      </c>
      <c r="I330" s="274">
        <v>0</v>
      </c>
      <c r="J330" s="437">
        <f t="shared" ref="J330" si="193">-$C$330*$H$24</f>
        <v>-216819.20000000001</v>
      </c>
      <c r="K330" s="274">
        <v>0</v>
      </c>
      <c r="L330" s="437">
        <v>0</v>
      </c>
      <c r="M330" s="274">
        <v>0</v>
      </c>
      <c r="N330" s="437">
        <f t="shared" ref="N330" si="194">-$C$330*$H$24</f>
        <v>-216819.20000000001</v>
      </c>
      <c r="O330" s="274">
        <v>0</v>
      </c>
      <c r="P330" s="437">
        <v>0</v>
      </c>
      <c r="Q330" s="274">
        <v>0</v>
      </c>
      <c r="R330" s="437">
        <f t="shared" ref="R330" si="195">-$C$330*$H$24</f>
        <v>-216819.20000000001</v>
      </c>
      <c r="S330" s="274">
        <v>0</v>
      </c>
      <c r="T330" s="437">
        <v>0</v>
      </c>
      <c r="U330" s="274">
        <v>0</v>
      </c>
      <c r="V330" s="437">
        <f t="shared" ref="V330" si="196">-$C$330*$H$24</f>
        <v>-216819.20000000001</v>
      </c>
      <c r="W330" s="274">
        <v>0</v>
      </c>
      <c r="X330" s="274">
        <f>IF(AND(X246&gt;0, MOD(COUNTIF($F246:X246,"&gt;0"),2)=0), -X246*$C$330, 0)</f>
        <v>0</v>
      </c>
      <c r="Y330" s="274">
        <f>IF(AND(Y246&gt;0, MOD(COUNTIF($F246:Y246,"&gt;0"),2)=0), -Y246*$C$330, 0)</f>
        <v>0</v>
      </c>
      <c r="Z330" s="274">
        <f>IF(AND(Z246&gt;0, MOD(COUNTIF($F246:Z246,"&gt;0"),2)=0), -Z246*$C$330, 0)</f>
        <v>0</v>
      </c>
      <c r="AA330" s="274">
        <f>IF(AND(AA246&gt;0, MOD(COUNTIF($F246:AA246,"&gt;0"),2)=0), -AA246*$C$330, 0)</f>
        <v>0</v>
      </c>
      <c r="AB330" s="274">
        <f>IF(AND(AB246&gt;0, MOD(COUNTIF($F246:AB246,"&gt;0"),2)=0), -AB246*$C$330, 0)</f>
        <v>0</v>
      </c>
      <c r="AC330" s="276">
        <f>IF(AND(AC246&gt;0, MOD(COUNTIF($F246:AC246,"&gt;0"),2)=0), -AC246*$C$330, 0)</f>
        <v>0</v>
      </c>
      <c r="CF330" s="739">
        <v>290</v>
      </c>
      <c r="CG330" s="740" t="s">
        <v>1189</v>
      </c>
      <c r="CH330" s="744">
        <f>N129</f>
        <v>2574282.375</v>
      </c>
      <c r="CI330" s="740" t="s">
        <v>1187</v>
      </c>
      <c r="CJ330" s="742" t="s">
        <v>1190</v>
      </c>
      <c r="CK330" s="740" t="s">
        <v>571</v>
      </c>
      <c r="CL330" s="731"/>
      <c r="CM330" s="731"/>
      <c r="CN330" s="731"/>
      <c r="CO330" s="731"/>
      <c r="CP330" s="731"/>
      <c r="CQ330" s="731"/>
      <c r="CR330" s="731"/>
      <c r="CS330" s="731"/>
      <c r="CT330" s="731"/>
      <c r="CU330" s="731"/>
      <c r="CV330" s="731"/>
      <c r="CW330" s="731"/>
      <c r="CX330" s="731"/>
      <c r="CY330" s="731"/>
      <c r="CZ330" s="731"/>
      <c r="DA330" s="731"/>
      <c r="DB330" s="731"/>
      <c r="DC330" s="731"/>
      <c r="DD330" s="731"/>
      <c r="DE330" s="731"/>
    </row>
    <row r="331" spans="1:109" ht="13.5" thickBot="1" x14ac:dyDescent="0.25">
      <c r="A331" s="172"/>
      <c r="B331" s="806" t="s">
        <v>520</v>
      </c>
      <c r="C331" s="807"/>
      <c r="D331" s="807"/>
      <c r="E331" s="441">
        <f>SUM(E326:E330)</f>
        <v>-9214816</v>
      </c>
      <c r="F331" s="438">
        <f>SUM(F326:F330)</f>
        <v>-3469107.2000000002</v>
      </c>
      <c r="G331" s="275">
        <f>SUM(G326:G330)</f>
        <v>-542048</v>
      </c>
      <c r="H331" s="275">
        <f t="shared" ref="H331:AB331" si="197">SUM(H326:H330)</f>
        <v>0</v>
      </c>
      <c r="I331" s="275">
        <f t="shared" si="197"/>
        <v>-542048</v>
      </c>
      <c r="J331" s="275">
        <f t="shared" si="197"/>
        <v>-216819.20000000001</v>
      </c>
      <c r="K331" s="275">
        <f t="shared" si="197"/>
        <v>-542048</v>
      </c>
      <c r="L331" s="275">
        <f t="shared" si="197"/>
        <v>0</v>
      </c>
      <c r="M331" s="275">
        <f t="shared" si="197"/>
        <v>-542048</v>
      </c>
      <c r="N331" s="275">
        <f t="shared" si="197"/>
        <v>-216819.20000000001</v>
      </c>
      <c r="O331" s="275">
        <f t="shared" si="197"/>
        <v>-542048</v>
      </c>
      <c r="P331" s="275">
        <f t="shared" si="197"/>
        <v>0</v>
      </c>
      <c r="Q331" s="275">
        <f t="shared" si="197"/>
        <v>-542048</v>
      </c>
      <c r="R331" s="275">
        <f t="shared" si="197"/>
        <v>-216819.20000000001</v>
      </c>
      <c r="S331" s="275">
        <f t="shared" si="197"/>
        <v>-542048</v>
      </c>
      <c r="T331" s="275">
        <f t="shared" si="197"/>
        <v>0</v>
      </c>
      <c r="U331" s="275">
        <f t="shared" si="197"/>
        <v>-542048</v>
      </c>
      <c r="V331" s="275">
        <f t="shared" si="197"/>
        <v>-216819.20000000001</v>
      </c>
      <c r="W331" s="275">
        <f>SUM(W326:W330)</f>
        <v>-542048</v>
      </c>
      <c r="X331" s="275">
        <f t="shared" si="197"/>
        <v>0</v>
      </c>
      <c r="Y331" s="275">
        <f t="shared" si="197"/>
        <v>0</v>
      </c>
      <c r="Z331" s="275">
        <f t="shared" si="197"/>
        <v>0</v>
      </c>
      <c r="AA331" s="275">
        <f t="shared" si="197"/>
        <v>0</v>
      </c>
      <c r="AB331" s="275">
        <f t="shared" si="197"/>
        <v>0</v>
      </c>
      <c r="AC331" s="278">
        <f>SUM(AC326:AC330)</f>
        <v>0</v>
      </c>
      <c r="CF331" s="735">
        <v>291</v>
      </c>
      <c r="CG331" s="736" t="s">
        <v>1191</v>
      </c>
      <c r="CH331" s="743">
        <f>O129</f>
        <v>29346819.074999999</v>
      </c>
      <c r="CI331" s="736" t="s">
        <v>1187</v>
      </c>
      <c r="CJ331" s="738" t="s">
        <v>1192</v>
      </c>
      <c r="CK331" s="736" t="s">
        <v>571</v>
      </c>
      <c r="CL331" s="731"/>
      <c r="CM331" s="731"/>
      <c r="CN331" s="731"/>
      <c r="CO331" s="731"/>
      <c r="CP331" s="731"/>
      <c r="CQ331" s="731"/>
      <c r="CR331" s="731"/>
      <c r="CS331" s="731"/>
      <c r="CT331" s="731"/>
      <c r="CU331" s="731"/>
      <c r="CV331" s="731"/>
      <c r="CW331" s="731"/>
      <c r="CX331" s="731"/>
      <c r="CY331" s="731"/>
      <c r="CZ331" s="731"/>
      <c r="DA331" s="731"/>
      <c r="DB331" s="731"/>
      <c r="DC331" s="731"/>
      <c r="DD331" s="731"/>
      <c r="DE331" s="731"/>
    </row>
    <row r="332" spans="1:109" ht="15" x14ac:dyDescent="0.2">
      <c r="A332" s="172"/>
      <c r="E332" s="336"/>
      <c r="G332" s="97"/>
      <c r="CF332" s="734" t="s">
        <v>1193</v>
      </c>
      <c r="CG332" s="734"/>
      <c r="CH332" s="734"/>
      <c r="CI332" s="734"/>
      <c r="CJ332" s="734"/>
      <c r="CK332" s="734"/>
      <c r="CL332" s="731"/>
      <c r="CM332" s="731"/>
      <c r="CN332" s="731"/>
      <c r="CO332" s="731"/>
      <c r="CP332" s="731"/>
      <c r="CQ332" s="731"/>
      <c r="CR332" s="731"/>
      <c r="CS332" s="731"/>
      <c r="CT332" s="731"/>
      <c r="CU332" s="731"/>
      <c r="CV332" s="731"/>
      <c r="CW332" s="731"/>
      <c r="CX332" s="731"/>
      <c r="CY332" s="731"/>
      <c r="CZ332" s="731"/>
      <c r="DA332" s="731"/>
      <c r="DB332" s="731"/>
      <c r="DC332" s="731"/>
      <c r="DD332" s="731"/>
      <c r="DE332" s="731"/>
    </row>
    <row r="333" spans="1:109" ht="12.75" x14ac:dyDescent="0.2">
      <c r="A333" s="172"/>
      <c r="E333" s="336"/>
      <c r="CF333" s="739">
        <v>292</v>
      </c>
      <c r="CG333" s="740" t="s">
        <v>1194</v>
      </c>
      <c r="CH333" s="746">
        <f>M130</f>
        <v>0.08</v>
      </c>
      <c r="CI333" s="740" t="s">
        <v>1195</v>
      </c>
      <c r="CJ333" s="742" t="s">
        <v>1196</v>
      </c>
      <c r="CK333" s="740" t="s">
        <v>597</v>
      </c>
      <c r="CL333" s="731"/>
      <c r="CM333" s="731"/>
      <c r="CN333" s="731"/>
      <c r="CO333" s="731"/>
      <c r="CP333" s="731"/>
      <c r="CQ333" s="731"/>
      <c r="CR333" s="731"/>
      <c r="CS333" s="731"/>
      <c r="CT333" s="731"/>
      <c r="CU333" s="731"/>
      <c r="CV333" s="731"/>
      <c r="CW333" s="731"/>
      <c r="CX333" s="731"/>
      <c r="CY333" s="731"/>
      <c r="CZ333" s="731"/>
      <c r="DA333" s="731"/>
      <c r="DB333" s="731"/>
      <c r="DC333" s="731"/>
      <c r="DD333" s="731"/>
      <c r="DE333" s="731"/>
    </row>
    <row r="334" spans="1:109" ht="12.75" x14ac:dyDescent="0.2">
      <c r="A334" s="172"/>
      <c r="CF334" s="735">
        <v>293</v>
      </c>
      <c r="CG334" s="736" t="s">
        <v>1197</v>
      </c>
      <c r="CH334" s="743">
        <f>N130</f>
        <v>0</v>
      </c>
      <c r="CI334" s="736" t="s">
        <v>1195</v>
      </c>
      <c r="CJ334" s="738" t="s">
        <v>1198</v>
      </c>
      <c r="CK334" s="736" t="s">
        <v>571</v>
      </c>
      <c r="CL334" s="731"/>
      <c r="CM334" s="731"/>
      <c r="CN334" s="731"/>
      <c r="CO334" s="731"/>
      <c r="CP334" s="731"/>
      <c r="CQ334" s="731"/>
      <c r="CR334" s="731"/>
      <c r="CS334" s="731"/>
      <c r="CT334" s="731"/>
      <c r="CU334" s="731"/>
      <c r="CV334" s="731"/>
      <c r="CW334" s="731"/>
      <c r="CX334" s="731"/>
      <c r="CY334" s="731"/>
      <c r="CZ334" s="731"/>
      <c r="DA334" s="731"/>
      <c r="DB334" s="731"/>
      <c r="DC334" s="731"/>
      <c r="DD334" s="731"/>
      <c r="DE334" s="731"/>
    </row>
    <row r="335" spans="1:109" ht="12.75" x14ac:dyDescent="0.2">
      <c r="A335" s="172"/>
      <c r="CF335" s="739">
        <v>294</v>
      </c>
      <c r="CG335" s="740" t="s">
        <v>1199</v>
      </c>
      <c r="CH335" s="744">
        <f>O130</f>
        <v>0</v>
      </c>
      <c r="CI335" s="740" t="s">
        <v>1195</v>
      </c>
      <c r="CJ335" s="742" t="s">
        <v>1200</v>
      </c>
      <c r="CK335" s="740" t="s">
        <v>571</v>
      </c>
      <c r="CL335" s="731"/>
      <c r="CM335" s="731"/>
      <c r="CN335" s="731"/>
      <c r="CO335" s="731"/>
      <c r="CP335" s="731"/>
      <c r="CQ335" s="731"/>
      <c r="CR335" s="731"/>
      <c r="CS335" s="731"/>
      <c r="CT335" s="731"/>
      <c r="CU335" s="731"/>
      <c r="CV335" s="731"/>
      <c r="CW335" s="731"/>
      <c r="CX335" s="731"/>
      <c r="CY335" s="731"/>
      <c r="CZ335" s="731"/>
      <c r="DA335" s="731"/>
      <c r="DB335" s="731"/>
      <c r="DC335" s="731"/>
      <c r="DD335" s="731"/>
      <c r="DE335" s="731"/>
    </row>
    <row r="336" spans="1:109" ht="15" x14ac:dyDescent="0.2">
      <c r="A336" s="172"/>
      <c r="CF336" s="734" t="s">
        <v>1201</v>
      </c>
      <c r="CG336" s="734"/>
      <c r="CH336" s="734"/>
      <c r="CI336" s="734"/>
      <c r="CJ336" s="734"/>
      <c r="CK336" s="734"/>
      <c r="CL336" s="731"/>
      <c r="CM336" s="731"/>
      <c r="CN336" s="731"/>
      <c r="CO336" s="731"/>
      <c r="CP336" s="731"/>
      <c r="CQ336" s="731"/>
      <c r="CR336" s="731"/>
      <c r="CS336" s="731"/>
      <c r="CT336" s="731"/>
      <c r="CU336" s="731"/>
      <c r="CV336" s="731"/>
      <c r="CW336" s="731"/>
      <c r="CX336" s="731"/>
      <c r="CY336" s="731"/>
      <c r="CZ336" s="731"/>
      <c r="DA336" s="731"/>
      <c r="DB336" s="731"/>
      <c r="DC336" s="731"/>
      <c r="DD336" s="731"/>
      <c r="DE336" s="731"/>
    </row>
    <row r="337" spans="1:109" ht="12.75" x14ac:dyDescent="0.2">
      <c r="A337" s="172"/>
      <c r="CF337" s="735">
        <v>295</v>
      </c>
      <c r="CG337" s="736" t="s">
        <v>1202</v>
      </c>
      <c r="CH337" s="747">
        <f>M131</f>
        <v>0.08</v>
      </c>
      <c r="CI337" s="736" t="s">
        <v>1203</v>
      </c>
      <c r="CJ337" s="738" t="s">
        <v>1204</v>
      </c>
      <c r="CK337" s="736" t="s">
        <v>597</v>
      </c>
      <c r="CL337" s="731"/>
      <c r="CM337" s="731"/>
      <c r="CN337" s="731"/>
      <c r="CO337" s="731"/>
      <c r="CP337" s="731"/>
      <c r="CQ337" s="731"/>
      <c r="CR337" s="731"/>
      <c r="CS337" s="731"/>
      <c r="CT337" s="731"/>
      <c r="CU337" s="731"/>
      <c r="CV337" s="731"/>
      <c r="CW337" s="731"/>
      <c r="CX337" s="731"/>
      <c r="CY337" s="731"/>
      <c r="CZ337" s="731"/>
      <c r="DA337" s="731"/>
      <c r="DB337" s="731"/>
      <c r="DC337" s="731"/>
      <c r="DD337" s="731"/>
      <c r="DE337" s="731"/>
    </row>
    <row r="338" spans="1:109" ht="12.75" x14ac:dyDescent="0.2">
      <c r="A338" s="172"/>
      <c r="CF338" s="739">
        <v>296</v>
      </c>
      <c r="CG338" s="740" t="s">
        <v>1205</v>
      </c>
      <c r="CH338" s="744">
        <f>N131</f>
        <v>0</v>
      </c>
      <c r="CI338" s="740" t="s">
        <v>1203</v>
      </c>
      <c r="CJ338" s="742" t="s">
        <v>1206</v>
      </c>
      <c r="CK338" s="740" t="s">
        <v>571</v>
      </c>
      <c r="CL338" s="731"/>
      <c r="CM338" s="731"/>
      <c r="CN338" s="731"/>
      <c r="CO338" s="731"/>
      <c r="CP338" s="731"/>
      <c r="CQ338" s="731"/>
      <c r="CR338" s="731"/>
      <c r="CS338" s="731"/>
      <c r="CT338" s="731"/>
      <c r="CU338" s="731"/>
      <c r="CV338" s="731"/>
      <c r="CW338" s="731"/>
      <c r="CX338" s="731"/>
      <c r="CY338" s="731"/>
      <c r="CZ338" s="731"/>
      <c r="DA338" s="731"/>
      <c r="DB338" s="731"/>
      <c r="DC338" s="731"/>
      <c r="DD338" s="731"/>
      <c r="DE338" s="731"/>
    </row>
    <row r="339" spans="1:109" ht="12.75" x14ac:dyDescent="0.2">
      <c r="A339" s="172"/>
      <c r="CF339" s="735">
        <v>297</v>
      </c>
      <c r="CG339" s="736" t="s">
        <v>1207</v>
      </c>
      <c r="CH339" s="743">
        <f>O131</f>
        <v>0</v>
      </c>
      <c r="CI339" s="736" t="s">
        <v>1203</v>
      </c>
      <c r="CJ339" s="738" t="s">
        <v>1208</v>
      </c>
      <c r="CK339" s="736" t="s">
        <v>571</v>
      </c>
      <c r="CL339" s="731"/>
      <c r="CM339" s="731"/>
      <c r="CN339" s="731"/>
      <c r="CO339" s="731"/>
      <c r="CP339" s="731"/>
      <c r="CQ339" s="731"/>
      <c r="CR339" s="731"/>
      <c r="CS339" s="731"/>
      <c r="CT339" s="731"/>
      <c r="CU339" s="731"/>
      <c r="CV339" s="731"/>
      <c r="CW339" s="731"/>
      <c r="CX339" s="731"/>
      <c r="CY339" s="731"/>
      <c r="CZ339" s="731"/>
      <c r="DA339" s="731"/>
      <c r="DB339" s="731"/>
      <c r="DC339" s="731"/>
      <c r="DD339" s="731"/>
      <c r="DE339" s="731"/>
    </row>
    <row r="340" spans="1:109" ht="15.75" thickBot="1" x14ac:dyDescent="0.25">
      <c r="A340" s="172"/>
      <c r="CF340" s="734" t="s">
        <v>1209</v>
      </c>
      <c r="CG340" s="734"/>
      <c r="CH340" s="734"/>
      <c r="CI340" s="734"/>
      <c r="CJ340" s="734"/>
      <c r="CK340" s="734"/>
      <c r="CL340" s="731"/>
      <c r="CM340" s="731"/>
      <c r="CN340" s="731"/>
      <c r="CO340" s="731"/>
      <c r="CP340" s="731"/>
      <c r="CQ340" s="731"/>
      <c r="CR340" s="731"/>
      <c r="CS340" s="731"/>
      <c r="CT340" s="731"/>
      <c r="CU340" s="731"/>
      <c r="CV340" s="731"/>
      <c r="CW340" s="731"/>
      <c r="CX340" s="731"/>
      <c r="CY340" s="731"/>
      <c r="CZ340" s="731"/>
      <c r="DA340" s="731"/>
      <c r="DB340" s="731"/>
      <c r="DC340" s="731"/>
      <c r="DD340" s="731"/>
      <c r="DE340" s="731"/>
    </row>
    <row r="341" spans="1:109" ht="12.75" x14ac:dyDescent="0.2">
      <c r="B341" s="776" t="s">
        <v>110</v>
      </c>
      <c r="C341" s="777"/>
      <c r="D341" s="777"/>
      <c r="E341" s="777"/>
      <c r="F341" s="777"/>
      <c r="G341" s="777"/>
      <c r="H341" s="778"/>
      <c r="CF341" s="739">
        <v>298</v>
      </c>
      <c r="CG341" s="740" t="s">
        <v>1210</v>
      </c>
      <c r="CH341" s="746">
        <f>M132</f>
        <v>0.08</v>
      </c>
      <c r="CI341" s="740" t="s">
        <v>1211</v>
      </c>
      <c r="CJ341" s="742" t="s">
        <v>1212</v>
      </c>
      <c r="CK341" s="740" t="s">
        <v>597</v>
      </c>
      <c r="CL341" s="731"/>
      <c r="CM341" s="731"/>
      <c r="CN341" s="731"/>
      <c r="CO341" s="731"/>
      <c r="CP341" s="731"/>
      <c r="CQ341" s="731"/>
      <c r="CR341" s="731"/>
      <c r="CS341" s="731"/>
      <c r="CT341" s="731"/>
      <c r="CU341" s="731"/>
      <c r="CV341" s="731"/>
      <c r="CW341" s="731"/>
      <c r="CX341" s="731"/>
      <c r="CY341" s="731"/>
      <c r="CZ341" s="731"/>
      <c r="DA341" s="731"/>
      <c r="DB341" s="731"/>
      <c r="DC341" s="731"/>
      <c r="DD341" s="731"/>
      <c r="DE341" s="731"/>
    </row>
    <row r="342" spans="1:109" ht="12.75" x14ac:dyDescent="0.2">
      <c r="B342" s="779"/>
      <c r="C342" s="780"/>
      <c r="D342" s="780"/>
      <c r="E342" s="780"/>
      <c r="F342" s="780"/>
      <c r="G342" s="780"/>
      <c r="H342" s="781"/>
      <c r="CF342" s="735">
        <v>299</v>
      </c>
      <c r="CG342" s="736" t="s">
        <v>1213</v>
      </c>
      <c r="CH342" s="743">
        <f>N132</f>
        <v>0</v>
      </c>
      <c r="CI342" s="736" t="s">
        <v>1211</v>
      </c>
      <c r="CJ342" s="738" t="s">
        <v>1214</v>
      </c>
      <c r="CK342" s="736" t="s">
        <v>571</v>
      </c>
      <c r="CL342" s="731"/>
      <c r="CM342" s="731"/>
      <c r="CN342" s="731"/>
      <c r="CO342" s="731"/>
      <c r="CP342" s="731"/>
      <c r="CQ342" s="731"/>
      <c r="CR342" s="731"/>
      <c r="CS342" s="731"/>
      <c r="CT342" s="731"/>
      <c r="CU342" s="731"/>
      <c r="CV342" s="731"/>
      <c r="CW342" s="731"/>
      <c r="CX342" s="731"/>
      <c r="CY342" s="731"/>
      <c r="CZ342" s="731"/>
      <c r="DA342" s="731"/>
      <c r="DB342" s="731"/>
      <c r="DC342" s="731"/>
      <c r="DD342" s="731"/>
      <c r="DE342" s="731"/>
    </row>
    <row r="343" spans="1:109" ht="25.5" x14ac:dyDescent="0.2">
      <c r="B343" s="408" t="s">
        <v>443</v>
      </c>
      <c r="C343" s="409" t="s">
        <v>445</v>
      </c>
      <c r="D343" s="409" t="s">
        <v>507</v>
      </c>
      <c r="E343" s="409" t="s">
        <v>468</v>
      </c>
      <c r="F343" s="409" t="s">
        <v>448</v>
      </c>
      <c r="G343" s="409" t="s">
        <v>449</v>
      </c>
      <c r="H343" s="410" t="s">
        <v>446</v>
      </c>
      <c r="CF343" s="739">
        <v>300</v>
      </c>
      <c r="CG343" s="740" t="s">
        <v>1215</v>
      </c>
      <c r="CH343" s="744">
        <f>O132</f>
        <v>0</v>
      </c>
      <c r="CI343" s="740" t="s">
        <v>1211</v>
      </c>
      <c r="CJ343" s="742" t="s">
        <v>1216</v>
      </c>
      <c r="CK343" s="740" t="s">
        <v>571</v>
      </c>
      <c r="CL343" s="731"/>
      <c r="CM343" s="731"/>
      <c r="CN343" s="731"/>
      <c r="CO343" s="731"/>
      <c r="CP343" s="731"/>
      <c r="CQ343" s="731"/>
      <c r="CR343" s="731"/>
      <c r="CS343" s="731"/>
      <c r="CT343" s="731"/>
      <c r="CU343" s="731"/>
      <c r="CV343" s="731"/>
      <c r="CW343" s="731"/>
      <c r="CX343" s="731"/>
      <c r="CY343" s="731"/>
      <c r="CZ343" s="731"/>
      <c r="DA343" s="731"/>
      <c r="DB343" s="731"/>
      <c r="DC343" s="731"/>
      <c r="DD343" s="731"/>
      <c r="DE343" s="731"/>
    </row>
    <row r="344" spans="1:109" ht="25.5" x14ac:dyDescent="0.2">
      <c r="B344" s="264" t="s">
        <v>469</v>
      </c>
      <c r="C344" s="265" cm="1">
        <f t="array" aca="1" ref="C344" ca="1">_xlfn.LET(
  _xlpm.block, F200:AC201,
  _xlpm.dates, $F$177:$AC$177,
  _xlpm.th, 1,
  _xlpm.rCount, ROWS(_xlpm.block),
  _xlpm.ones, ROW(INDIRECT("1:"&amp;_xlpm.rCount))^0,
  _xlpm.colHas, MMULT(TRANSPOSE(_xlpm.ones), --(ABS(_xlpm.block)&gt;=_xlpm.th)),
  IF(MAX(_xlpm.colHas)=0,"", MIN(IF(_xlpm.colHas&gt;=1, _xlpm.dates)))
)</f>
        <v>46388</v>
      </c>
      <c r="D344" s="489">
        <f ca="1">G344/365</f>
        <v>1.4958904109589042</v>
      </c>
      <c r="E344" s="493">
        <f ca="1">G344/90</f>
        <v>6.0666666666666664</v>
      </c>
      <c r="F344" s="497">
        <f ca="1">G344/30</f>
        <v>18.2</v>
      </c>
      <c r="G344" s="501">
        <f ca="1">H344-C344</f>
        <v>546</v>
      </c>
      <c r="H344" s="266" cm="1">
        <f t="array" aca="1" ref="H344" ca="1">_xlfn.LET(
  _xlpm.block, F200:AC201,
  _xlpm.dates, $F$177:$AC$177,
  _xlpm.th, 1,
  _xlpm.rCount, ROWS(_xlpm.block),
  _xlpm.ones, ROW(INDIRECT("1:"&amp;_xlpm.rCount))^0,
  _xlpm.colHas, MMULT(TRANSPOSE(_xlpm.ones), --(ABS(_xlpm.block)&gt;=_xlpm.th)),
  IF(MAX(_xlpm.colHas)=0,"",
     EDATE(
       MAX(IF(_xlpm.colHas&gt;=1, _xlpm.dates)),
       3
     )-1
  )
)</f>
        <v>46934</v>
      </c>
      <c r="CF344" s="734" t="s">
        <v>1217</v>
      </c>
      <c r="CG344" s="734"/>
      <c r="CH344" s="734"/>
      <c r="CI344" s="734"/>
      <c r="CJ344" s="734"/>
      <c r="CK344" s="734"/>
      <c r="CL344" s="731"/>
      <c r="CM344" s="731"/>
      <c r="CN344" s="731"/>
      <c r="CO344" s="731"/>
      <c r="CP344" s="731"/>
      <c r="CQ344" s="731"/>
      <c r="CR344" s="731"/>
      <c r="CS344" s="731"/>
      <c r="CT344" s="731"/>
      <c r="CU344" s="731"/>
      <c r="CV344" s="731"/>
      <c r="CW344" s="731"/>
      <c r="CX344" s="731"/>
      <c r="CY344" s="731"/>
      <c r="CZ344" s="731"/>
      <c r="DA344" s="731"/>
      <c r="DB344" s="731"/>
      <c r="DC344" s="731"/>
      <c r="DD344" s="731"/>
      <c r="DE344" s="731"/>
    </row>
    <row r="345" spans="1:109" ht="25.5" x14ac:dyDescent="0.2">
      <c r="B345" s="408" t="s">
        <v>18</v>
      </c>
      <c r="C345" s="422" cm="1">
        <f t="array" aca="1" ref="C345" ca="1">_xlfn.LET(
  _xlpm.block, F192:AC192,
  _xlpm.dates, $F$177:$AC$177,
  _xlpm.th, 1,
  _xlpm.rCount, ROWS(_xlpm.block),
  _xlpm.ones, ROW(INDIRECT("1:"&amp;_xlpm.rCount))^0,
  _xlpm.colHas, MMULT(TRANSPOSE(_xlpm.ones), --(ABS(_xlpm.block)&gt;=_xlpm.th)),
  IF(MAX(_xlpm.colHas)=0,"", MIN(IF(_xlpm.colHas&gt;=1, _xlpm.dates)))
)</f>
        <v>47027</v>
      </c>
      <c r="D345" s="490">
        <f ca="1">G345/365</f>
        <v>3.2493150684931509</v>
      </c>
      <c r="E345" s="494">
        <f t="shared" ref="E345:E352" ca="1" si="198">G345/90</f>
        <v>13.177777777777777</v>
      </c>
      <c r="F345" s="498">
        <f ca="1">G345/30</f>
        <v>39.533333333333331</v>
      </c>
      <c r="G345" s="502">
        <f t="shared" ref="G345:G352" ca="1" si="199">H345-C345</f>
        <v>1186</v>
      </c>
      <c r="H345" s="423" cm="1">
        <f t="array" aca="1" ref="H345" ca="1">_xlfn.LET(
  _xlpm.block, F192:AC192,
  _xlpm.dates, $F$177:$AC$177,
  _xlpm.th, 1,
  _xlpm.rCount, ROWS(_xlpm.block),
  _xlpm.ones, ROW(INDIRECT("1:"&amp;_xlpm.rCount))^0,
  _xlpm.colHas, MMULT(TRANSPOSE(_xlpm.ones), --(ABS(_xlpm.block)&gt;=_xlpm.th)),
  IF(MAX(_xlpm.colHas)=0,"",
     EDATE(
       MAX(IF(_xlpm.colHas&gt;=1, _xlpm.dates)),
       3
     )-1
  )
)</f>
        <v>48213</v>
      </c>
      <c r="CF345" s="735">
        <v>301</v>
      </c>
      <c r="CG345" s="736" t="s">
        <v>1218</v>
      </c>
      <c r="CH345" s="747">
        <f>M133</f>
        <v>7.0000000000000007E-2</v>
      </c>
      <c r="CI345" s="736" t="s">
        <v>1219</v>
      </c>
      <c r="CJ345" s="738" t="s">
        <v>1220</v>
      </c>
      <c r="CK345" s="736" t="s">
        <v>597</v>
      </c>
      <c r="CL345" s="731"/>
      <c r="CM345" s="731"/>
      <c r="CN345" s="731"/>
      <c r="CO345" s="731"/>
      <c r="CP345" s="731"/>
      <c r="CQ345" s="731"/>
      <c r="CR345" s="731"/>
      <c r="CS345" s="731"/>
      <c r="CT345" s="731"/>
      <c r="CU345" s="731"/>
      <c r="CV345" s="731"/>
      <c r="CW345" s="731"/>
      <c r="CX345" s="731"/>
      <c r="CY345" s="731"/>
      <c r="CZ345" s="731"/>
      <c r="DA345" s="731"/>
      <c r="DB345" s="731"/>
      <c r="DC345" s="731"/>
      <c r="DD345" s="731"/>
      <c r="DE345" s="731"/>
    </row>
    <row r="346" spans="1:109" ht="25.5" x14ac:dyDescent="0.2">
      <c r="B346" s="264" t="s">
        <v>444</v>
      </c>
      <c r="C346" s="265" cm="1">
        <f t="array" aca="1" ref="C346" ca="1">_xlfn.LET(
  _xlpm.block, F196:AC196,
  _xlpm.dates, $F$177:$AC$177,
  _xlpm.th, 1,
  _xlpm.rCount, ROWS(_xlpm.block),
  _xlpm.ones, ROW(INDIRECT("1:"&amp;_xlpm.rCount))^0,
  _xlpm.colHas, MMULT(TRANSPOSE(_xlpm.ones), --(ABS(_xlpm.block)&gt;=_xlpm.th)),
  IF(MAX(_xlpm.colHas)=0,"", MIN(IF(_xlpm.colHas&gt;=1, _xlpm.dates)))
)</f>
        <v>46844</v>
      </c>
      <c r="D346" s="489">
        <f t="shared" ref="D346:D352" ca="1" si="200">G346/365</f>
        <v>2.7506849315068491</v>
      </c>
      <c r="E346" s="493">
        <f t="shared" ca="1" si="198"/>
        <v>11.155555555555555</v>
      </c>
      <c r="F346" s="497">
        <f ca="1">G346/30</f>
        <v>33.466666666666669</v>
      </c>
      <c r="G346" s="501">
        <f t="shared" ca="1" si="199"/>
        <v>1004</v>
      </c>
      <c r="H346" s="266" cm="1">
        <f t="array" aca="1" ref="H346" ca="1">_xlfn.LET(
  _xlpm.block, F196:AC196,
  _xlpm.dates, $F$177:$AC$177,
  _xlpm.th, 1,
  _xlpm.rCount, ROWS(_xlpm.block),
  _xlpm.ones, ROW(INDIRECT("1:"&amp;_xlpm.rCount))^0,
  _xlpm.colHas, MMULT(TRANSPOSE(_xlpm.ones), --(ABS(_xlpm.block)&gt;=_xlpm.th)),
  IF(MAX(_xlpm.colHas)=0,"",
     EDATE(
       MAX(IF(_xlpm.colHas&gt;=1, _xlpm.dates)),
       3
     )-1
  )
)</f>
        <v>47848</v>
      </c>
      <c r="CF346" s="739">
        <v>302</v>
      </c>
      <c r="CG346" s="740" t="s">
        <v>1221</v>
      </c>
      <c r="CH346" s="744">
        <f>N133</f>
        <v>0</v>
      </c>
      <c r="CI346" s="740" t="s">
        <v>1219</v>
      </c>
      <c r="CJ346" s="742" t="s">
        <v>1222</v>
      </c>
      <c r="CK346" s="740" t="s">
        <v>571</v>
      </c>
      <c r="CL346" s="731"/>
      <c r="CM346" s="731"/>
      <c r="CN346" s="731"/>
      <c r="CO346" s="731"/>
      <c r="CP346" s="731"/>
      <c r="CQ346" s="731"/>
      <c r="CR346" s="731"/>
      <c r="CS346" s="731"/>
      <c r="CT346" s="731"/>
      <c r="CU346" s="731"/>
      <c r="CV346" s="731"/>
      <c r="CW346" s="731"/>
      <c r="CX346" s="731"/>
      <c r="CY346" s="731"/>
      <c r="CZ346" s="731"/>
      <c r="DA346" s="731"/>
      <c r="DB346" s="731"/>
      <c r="DC346" s="731"/>
      <c r="DD346" s="731"/>
      <c r="DE346" s="731"/>
    </row>
    <row r="347" spans="1:109" ht="25.5" x14ac:dyDescent="0.2">
      <c r="B347" s="408" t="s">
        <v>471</v>
      </c>
      <c r="C347" s="422" cm="1">
        <f t="array" aca="1" ref="C347" ca="1">_xlfn.LET(
  _xlpm.block, F204:AC206,
  _xlpm.dates, $F$177:$AC$177,
  _xlpm.th, 1,
  _xlpm.rCount, ROWS(_xlpm.block),
  _xlpm.ones, ROW(INDIRECT("1:"&amp;_xlpm.rCount))^0,
  _xlpm.colHas, MMULT(TRANSPOSE(_xlpm.ones), --(ABS(_xlpm.block)&gt;=_xlpm.th)),
  IF(MAX(_xlpm.colHas)=0,"", MIN(IF(_xlpm.colHas&gt;=1, _xlpm.dates)))
)</f>
        <v>47757</v>
      </c>
      <c r="D347" s="490">
        <f t="shared" ca="1" si="200"/>
        <v>0.24931506849315069</v>
      </c>
      <c r="E347" s="494">
        <f t="shared" ca="1" si="198"/>
        <v>1.0111111111111111</v>
      </c>
      <c r="F347" s="498">
        <f t="shared" ref="F347:F351" ca="1" si="201">G347/30</f>
        <v>3.0333333333333332</v>
      </c>
      <c r="G347" s="502">
        <f t="shared" ca="1" si="199"/>
        <v>91</v>
      </c>
      <c r="H347" s="423" cm="1">
        <f t="array" aca="1" ref="H347" ca="1">_xlfn.LET(
  _xlpm.block, F204:AC206,
  _xlpm.dates, $F$177:$AC$177,
  _xlpm.th, 1,
  _xlpm.rCount, ROWS(_xlpm.block),
  _xlpm.ones, ROW(INDIRECT("1:"&amp;_xlpm.rCount))^0,
  _xlpm.colHas, MMULT(TRANSPOSE(_xlpm.ones), --(ABS(_xlpm.block)&gt;=_xlpm.th)),
  IF(MAX(_xlpm.colHas)=0,"",
     EDATE(
       MAX(IF(_xlpm.colHas&gt;=1, _xlpm.dates)),
       3
     )-1
  )
)</f>
        <v>47848</v>
      </c>
      <c r="CF347" s="735">
        <v>303</v>
      </c>
      <c r="CG347" s="736" t="s">
        <v>1223</v>
      </c>
      <c r="CH347" s="743">
        <f>O133</f>
        <v>0</v>
      </c>
      <c r="CI347" s="736" t="s">
        <v>1219</v>
      </c>
      <c r="CJ347" s="738" t="s">
        <v>1224</v>
      </c>
      <c r="CK347" s="736" t="s">
        <v>571</v>
      </c>
      <c r="CL347" s="731"/>
      <c r="CM347" s="731"/>
      <c r="CN347" s="731"/>
      <c r="CO347" s="731"/>
      <c r="CP347" s="731"/>
      <c r="CQ347" s="731"/>
      <c r="CR347" s="731"/>
      <c r="CS347" s="731"/>
      <c r="CT347" s="731"/>
      <c r="CU347" s="731"/>
      <c r="CV347" s="731"/>
      <c r="CW347" s="731"/>
      <c r="CX347" s="731"/>
      <c r="CY347" s="731"/>
      <c r="CZ347" s="731"/>
      <c r="DA347" s="731"/>
      <c r="DB347" s="731"/>
      <c r="DC347" s="731"/>
      <c r="DD347" s="731"/>
      <c r="DE347" s="731"/>
    </row>
    <row r="348" spans="1:109" ht="25.5" x14ac:dyDescent="0.2">
      <c r="B348" s="264" t="s">
        <v>470</v>
      </c>
      <c r="C348" s="265" cm="1">
        <f t="array" aca="1" ref="C348" ca="1">_xlfn.LET(
  _xlpm.block, F202:AC203,
  _xlpm.dates, $F$177:$AC$177,
  _xlpm.th, 1,
  _xlpm.rCount, ROWS(_xlpm.block),
  _xlpm.ones, ROW(INDIRECT("1:"&amp;_xlpm.rCount))^0,
  _xlpm.colHas, MMULT(TRANSPOSE(_xlpm.ones), --(ABS(_xlpm.block)&gt;=_xlpm.th)),
  IF(MAX(_xlpm.colHas)=0,"", MIN(IF(_xlpm.colHas&gt;=1, _xlpm.dates)))
)</f>
        <v>47849</v>
      </c>
      <c r="D348" s="489">
        <f t="shared" ca="1" si="200"/>
        <v>0.49315068493150682</v>
      </c>
      <c r="E348" s="493">
        <f t="shared" ca="1" si="198"/>
        <v>2</v>
      </c>
      <c r="F348" s="497">
        <f t="shared" ca="1" si="201"/>
        <v>6</v>
      </c>
      <c r="G348" s="501">
        <f t="shared" ca="1" si="199"/>
        <v>180</v>
      </c>
      <c r="H348" s="266" cm="1">
        <f t="array" aca="1" ref="H348" ca="1">_xlfn.LET(
  _xlpm.block, F202:AC203,
  _xlpm.dates, $F$177:$AC$177,
  _xlpm.th, 1,
  _xlpm.rCount, ROWS(_xlpm.block),
  _xlpm.ones, ROW(INDIRECT("1:"&amp;_xlpm.rCount))^0,
  _xlpm.colHas, MMULT(TRANSPOSE(_xlpm.ones), --(ABS(_xlpm.block)&gt;=_xlpm.th)),
  IF(MAX(_xlpm.colHas)=0,"",
     EDATE(
       MAX(IF(_xlpm.colHas&gt;=1, _xlpm.dates)),
       3
     )-1
  )
)</f>
        <v>48029</v>
      </c>
      <c r="CF348" s="734" t="s">
        <v>1225</v>
      </c>
      <c r="CG348" s="734"/>
      <c r="CH348" s="734"/>
      <c r="CI348" s="734"/>
      <c r="CJ348" s="734"/>
      <c r="CK348" s="734"/>
      <c r="CL348" s="731"/>
      <c r="CM348" s="731"/>
      <c r="CN348" s="731"/>
      <c r="CO348" s="731"/>
      <c r="CP348" s="731"/>
      <c r="CQ348" s="731"/>
      <c r="CR348" s="731"/>
      <c r="CS348" s="731"/>
      <c r="CT348" s="731"/>
      <c r="CU348" s="731"/>
      <c r="CV348" s="731"/>
      <c r="CW348" s="731"/>
      <c r="CX348" s="731"/>
      <c r="CY348" s="731"/>
      <c r="CZ348" s="731"/>
      <c r="DA348" s="731"/>
      <c r="DB348" s="731"/>
      <c r="DC348" s="731"/>
      <c r="DD348" s="731"/>
      <c r="DE348" s="731"/>
    </row>
    <row r="349" spans="1:109" ht="25.5" x14ac:dyDescent="0.2">
      <c r="B349" s="408" t="s">
        <v>209</v>
      </c>
      <c r="C349" s="422" cm="1">
        <f t="array" aca="1" ref="C349" ca="1">_xlfn.LET(
  _xlpm.block, F184:AC184,
  _xlpm.dates, $F$177:$AC$177,
  _xlpm.th, 1,
  _xlpm.rCount, ROWS(_xlpm.block),
  _xlpm.ones, ROW(INDIRECT("1:"&amp;_xlpm.rCount))^0,
  _xlpm.colHas, MMULT(TRANSPOSE(_xlpm.ones), --(ABS(_xlpm.block)&gt;=_xlpm.th)),
  IF(MAX(_xlpm.colHas)=0,"", MIN(IF(_xlpm.colHas&gt;=1, _xlpm.dates)))
)</f>
        <v>46753</v>
      </c>
      <c r="D349" s="490">
        <f t="shared" ca="1" si="200"/>
        <v>3</v>
      </c>
      <c r="E349" s="494">
        <f t="shared" ca="1" si="198"/>
        <v>12.166666666666666</v>
      </c>
      <c r="F349" s="498">
        <f ca="1">G349/30</f>
        <v>36.5</v>
      </c>
      <c r="G349" s="502">
        <f ca="1">H349-C349</f>
        <v>1095</v>
      </c>
      <c r="H349" s="423" cm="1">
        <f t="array" aca="1" ref="H349" ca="1">_xlfn.LET(
  _xlpm.block, F184:AC184,
  _xlpm.dates, $F$177:$AC$177,
  _xlpm.th, 1,
  _xlpm.rCount, ROWS(_xlpm.block),
  _xlpm.ones, ROW(INDIRECT("1:"&amp;_xlpm.rCount))^0,
  _xlpm.colHas, MMULT(TRANSPOSE(_xlpm.ones), --(ABS(_xlpm.block)&gt;=_xlpm.th)),
  IF(MAX(_xlpm.colHas)=0,"",
     EDATE(
       MAX(IF(_xlpm.colHas&gt;=1, _xlpm.dates)),
       3
     )-1
  )
)</f>
        <v>47848</v>
      </c>
      <c r="CF349" s="739">
        <v>304</v>
      </c>
      <c r="CG349" s="740" t="s">
        <v>1226</v>
      </c>
      <c r="CH349" s="746">
        <f>M134</f>
        <v>0.08</v>
      </c>
      <c r="CI349" s="740" t="s">
        <v>1227</v>
      </c>
      <c r="CJ349" s="742" t="s">
        <v>1228</v>
      </c>
      <c r="CK349" s="740" t="s">
        <v>597</v>
      </c>
      <c r="CL349" s="731"/>
      <c r="CM349" s="731"/>
      <c r="CN349" s="731"/>
      <c r="CO349" s="731"/>
      <c r="CP349" s="731"/>
      <c r="CQ349" s="731"/>
      <c r="CR349" s="731"/>
      <c r="CS349" s="731"/>
      <c r="CT349" s="731"/>
      <c r="CU349" s="731"/>
      <c r="CV349" s="731"/>
      <c r="CW349" s="731"/>
      <c r="CX349" s="731"/>
      <c r="CY349" s="731"/>
      <c r="CZ349" s="731"/>
      <c r="DA349" s="731"/>
      <c r="DB349" s="731"/>
      <c r="DC349" s="731"/>
      <c r="DD349" s="731"/>
      <c r="DE349" s="731"/>
    </row>
    <row r="350" spans="1:109" ht="25.5" x14ac:dyDescent="0.2">
      <c r="B350" s="264" t="s">
        <v>472</v>
      </c>
      <c r="C350" s="265" cm="1">
        <f t="array" aca="1" ref="C350" ca="1">_xlfn.LET(
  _xlpm.block, F185:AC186,
  _xlpm.dates, $F$177:$AC$177,
  _xlpm.th, 1,
  _xlpm.rCount, ROWS(_xlpm.block),
  _xlpm.ones, ROW(INDIRECT("1:"&amp;_xlpm.rCount))^0,
  _xlpm.colHas, MMULT(TRANSPOSE(_xlpm.ones), --(ABS(_xlpm.block)&gt;=_xlpm.th)),
  IF(MAX(_xlpm.colHas)=0,"", MIN(IF(_xlpm.colHas&gt;=1, _xlpm.dates)))
)</f>
        <v>47849</v>
      </c>
      <c r="D350" s="489">
        <f t="shared" ca="1" si="200"/>
        <v>0.99726027397260275</v>
      </c>
      <c r="E350" s="493">
        <f t="shared" ca="1" si="198"/>
        <v>4.0444444444444443</v>
      </c>
      <c r="F350" s="497">
        <f t="shared" ca="1" si="201"/>
        <v>12.133333333333333</v>
      </c>
      <c r="G350" s="501">
        <f t="shared" ca="1" si="199"/>
        <v>364</v>
      </c>
      <c r="H350" s="266" cm="1">
        <f t="array" aca="1" ref="H350" ca="1">_xlfn.LET(
  _xlpm.block, F185:AC186,
  _xlpm.dates, $F$177:$AC$177,
  _xlpm.th, 1,
  _xlpm.rCount, ROWS(_xlpm.block),
  _xlpm.ones, ROW(INDIRECT("1:"&amp;_xlpm.rCount))^0,
  _xlpm.colHas, MMULT(TRANSPOSE(_xlpm.ones), --(ABS(_xlpm.block)&gt;=_xlpm.th)),
  IF(MAX(_xlpm.colHas)=0,"",
     EDATE(
       MAX(IF(_xlpm.colHas&gt;=1, _xlpm.dates)),
       3
     )-1
  )
)</f>
        <v>48213</v>
      </c>
      <c r="CF350" s="735">
        <v>305</v>
      </c>
      <c r="CG350" s="736" t="s">
        <v>1229</v>
      </c>
      <c r="CH350" s="743">
        <f>N134</f>
        <v>0</v>
      </c>
      <c r="CI350" s="736" t="s">
        <v>1227</v>
      </c>
      <c r="CJ350" s="738" t="s">
        <v>1230</v>
      </c>
      <c r="CK350" s="736" t="s">
        <v>571</v>
      </c>
      <c r="CL350" s="731"/>
      <c r="CM350" s="731"/>
      <c r="CN350" s="731"/>
      <c r="CO350" s="731"/>
      <c r="CP350" s="731"/>
      <c r="CQ350" s="731"/>
      <c r="CR350" s="731"/>
      <c r="CS350" s="731"/>
      <c r="CT350" s="731"/>
      <c r="CU350" s="731"/>
      <c r="CV350" s="731"/>
      <c r="CW350" s="731"/>
      <c r="CX350" s="731"/>
      <c r="CY350" s="731"/>
      <c r="CZ350" s="731"/>
      <c r="DA350" s="731"/>
      <c r="DB350" s="731"/>
      <c r="DC350" s="731"/>
      <c r="DD350" s="731"/>
      <c r="DE350" s="731"/>
    </row>
    <row r="351" spans="1:109" ht="25.5" x14ac:dyDescent="0.2">
      <c r="A351" s="172"/>
      <c r="B351" s="408" t="s">
        <v>157</v>
      </c>
      <c r="C351" s="422" t="str" cm="1">
        <f t="array" aca="1" ref="C351" ca="1">_xlfn.LET(
  _xlpm.block, F187:AC187,
  _xlpm.dates, $F$177:$AC$177,
  _xlpm.th, 1,
  _xlpm.rCount, ROWS(_xlpm.block),
  _xlpm.ones, ROW(INDIRECT("1:"&amp;_xlpm.rCount))^0,
  _xlpm.colHas, MMULT(TRANSPOSE(_xlpm.ones), --(ABS(_xlpm.block)&gt;=_xlpm.th)),
  IF(MAX(_xlpm.colHas)=0,"", MIN(IF(_xlpm.colHas&gt;=1, _xlpm.dates)))
)</f>
        <v/>
      </c>
      <c r="D351" s="490" t="e">
        <f t="shared" ca="1" si="200"/>
        <v>#VALUE!</v>
      </c>
      <c r="E351" s="494" t="e">
        <f t="shared" ca="1" si="198"/>
        <v>#VALUE!</v>
      </c>
      <c r="F351" s="498" t="e">
        <f t="shared" ca="1" si="201"/>
        <v>#VALUE!</v>
      </c>
      <c r="G351" s="502" t="e">
        <f t="shared" ca="1" si="199"/>
        <v>#VALUE!</v>
      </c>
      <c r="H351" s="423" t="str" cm="1">
        <f t="array" aca="1" ref="H351" ca="1">_xlfn.LET(
  _xlpm.block, F187:AC187,
  _xlpm.dates, $F$177:$AC$177,
  _xlpm.th, 1,
  _xlpm.rCount, ROWS(_xlpm.block),
  _xlpm.ones, ROW(INDIRECT("1:"&amp;_xlpm.rCount))^0,
  _xlpm.colHas, MMULT(TRANSPOSE(_xlpm.ones), --(ABS(_xlpm.block)&gt;=_xlpm.th)),
  IF(MAX(_xlpm.colHas)=0,"",
     EDATE(
       MAX(IF(_xlpm.colHas&gt;=1, _xlpm.dates)),
       3
     )-1
  )
)</f>
        <v/>
      </c>
      <c r="CF351" s="739">
        <v>306</v>
      </c>
      <c r="CG351" s="740" t="s">
        <v>1231</v>
      </c>
      <c r="CH351" s="744">
        <f>O134</f>
        <v>0</v>
      </c>
      <c r="CI351" s="740" t="s">
        <v>1227</v>
      </c>
      <c r="CJ351" s="742" t="s">
        <v>1232</v>
      </c>
      <c r="CK351" s="740" t="s">
        <v>571</v>
      </c>
      <c r="CL351" s="731"/>
      <c r="CM351" s="731"/>
      <c r="CN351" s="731"/>
      <c r="CO351" s="731"/>
      <c r="CP351" s="731"/>
      <c r="CQ351" s="731"/>
      <c r="CR351" s="731"/>
      <c r="CS351" s="731"/>
      <c r="CT351" s="731"/>
      <c r="CU351" s="731"/>
      <c r="CV351" s="731"/>
      <c r="CW351" s="731"/>
      <c r="CX351" s="731"/>
      <c r="CY351" s="731"/>
      <c r="CZ351" s="731"/>
      <c r="DA351" s="731"/>
      <c r="DB351" s="731"/>
      <c r="DC351" s="731"/>
      <c r="DD351" s="731"/>
      <c r="DE351" s="731"/>
    </row>
    <row r="352" spans="1:109" ht="26.25" thickBot="1" x14ac:dyDescent="0.25">
      <c r="A352" s="172"/>
      <c r="B352" s="483" t="s">
        <v>164</v>
      </c>
      <c r="C352" s="484" cm="1">
        <f t="array" aca="1" ref="C352" ca="1">_xlfn.LET(
  _xlpm.block, F188:AC188,
  _xlpm.dates, $F$177:$AC$177,
  _xlpm.th, 1,
  _xlpm.rCount, ROWS(_xlpm.block),
  _xlpm.ones, ROW(INDIRECT("1:"&amp;_xlpm.rCount))^0,
  _xlpm.colHas, MMULT(TRANSPOSE(_xlpm.ones), --(ABS(_xlpm.block)&gt;=_xlpm.th)),
  IF(MAX(_xlpm.colHas)=0,"", MIN(IF(_xlpm.colHas&gt;=1, _xlpm.dates)))
)</f>
        <v>48122</v>
      </c>
      <c r="D352" s="491">
        <f t="shared" ca="1" si="200"/>
        <v>0.24931506849315069</v>
      </c>
      <c r="E352" s="495">
        <f t="shared" ca="1" si="198"/>
        <v>1.0111111111111111</v>
      </c>
      <c r="F352" s="499">
        <f ca="1">G352/30</f>
        <v>3.0333333333333332</v>
      </c>
      <c r="G352" s="503">
        <f t="shared" ca="1" si="199"/>
        <v>91</v>
      </c>
      <c r="H352" s="485" cm="1">
        <f t="array" aca="1" ref="H352" ca="1">_xlfn.LET(
  _xlpm.block, F188:AC188,
  _xlpm.dates, $F$177:$AC$177,
  _xlpm.th, 1,
  _xlpm.rCount, ROWS(_xlpm.block),
  _xlpm.ones, ROW(INDIRECT("1:"&amp;_xlpm.rCount))^0,
  _xlpm.colHas, MMULT(TRANSPOSE(_xlpm.ones), --(ABS(_xlpm.block)&gt;=_xlpm.th)),
  IF(MAX(_xlpm.colHas)=0,"",
     EDATE(
       MAX(IF(_xlpm.colHas&gt;=1, _xlpm.dates)),
       3
     )-1
  )
)</f>
        <v>48213</v>
      </c>
      <c r="CF352" s="734" t="s">
        <v>1233</v>
      </c>
      <c r="CG352" s="734"/>
      <c r="CH352" s="734"/>
      <c r="CI352" s="734"/>
      <c r="CJ352" s="734"/>
      <c r="CK352" s="734"/>
      <c r="CL352" s="731"/>
      <c r="CM352" s="731"/>
      <c r="CN352" s="731"/>
      <c r="CO352" s="731"/>
      <c r="CP352" s="731"/>
      <c r="CQ352" s="731"/>
      <c r="CR352" s="731"/>
      <c r="CS352" s="731"/>
      <c r="CT352" s="731"/>
      <c r="CU352" s="731"/>
      <c r="CV352" s="731"/>
      <c r="CW352" s="731"/>
      <c r="CX352" s="731"/>
      <c r="CY352" s="731"/>
      <c r="CZ352" s="731"/>
      <c r="DA352" s="731"/>
      <c r="DB352" s="731"/>
      <c r="DC352" s="731"/>
      <c r="DD352" s="731"/>
      <c r="DE352" s="731"/>
    </row>
    <row r="353" spans="1:109" ht="13.5" thickBot="1" x14ac:dyDescent="0.25">
      <c r="A353" s="172"/>
      <c r="B353" s="224"/>
      <c r="C353" s="94"/>
      <c r="D353" s="94"/>
      <c r="E353" s="94"/>
      <c r="F353" s="94"/>
      <c r="G353" s="94"/>
      <c r="H353" s="403"/>
      <c r="CF353" s="735">
        <v>307</v>
      </c>
      <c r="CG353" s="736" t="s">
        <v>1234</v>
      </c>
      <c r="CH353" s="747">
        <f>M135</f>
        <v>0.08</v>
      </c>
      <c r="CI353" s="736" t="s">
        <v>1235</v>
      </c>
      <c r="CJ353" s="738" t="s">
        <v>1236</v>
      </c>
      <c r="CK353" s="736" t="s">
        <v>597</v>
      </c>
      <c r="CL353" s="731"/>
      <c r="CM353" s="731"/>
      <c r="CN353" s="731"/>
      <c r="CO353" s="731"/>
      <c r="CP353" s="731"/>
      <c r="CQ353" s="731"/>
      <c r="CR353" s="731"/>
      <c r="CS353" s="731"/>
      <c r="CT353" s="731"/>
      <c r="CU353" s="731"/>
      <c r="CV353" s="731"/>
      <c r="CW353" s="731"/>
      <c r="CX353" s="731"/>
      <c r="CY353" s="731"/>
      <c r="CZ353" s="731"/>
      <c r="DA353" s="731"/>
      <c r="DB353" s="731"/>
      <c r="DC353" s="731"/>
      <c r="DD353" s="731"/>
      <c r="DE353" s="731"/>
    </row>
    <row r="354" spans="1:109" ht="26.25" thickBot="1" x14ac:dyDescent="0.25">
      <c r="A354" s="172"/>
      <c r="B354" s="486" t="s">
        <v>508</v>
      </c>
      <c r="C354" s="487" cm="1">
        <f t="array" aca="1" ref="C354" ca="1">_xlfn.LET(
  _xlpm.block, F180:AC189,
  _xlpm.dates, $F$177:$AC$177,
  _xlpm.th, 10,
  _xlpm.rCount, ROWS(_xlpm.block),
  _xlpm.ones, ROW(INDIRECT("1:"&amp;_xlpm.rCount))^0,
  _xlpm.colHas, MMULT(TRANSPOSE(_xlpm.ones), --(ABS(_xlpm.block)&gt;=_xlpm.th)),
  IF(MAX(_xlpm.colHas)=0,"", MIN(IF(_xlpm.colHas&gt;=1, _xlpm.dates)))
)</f>
        <v>46388</v>
      </c>
      <c r="D354" s="492">
        <f ca="1">G354/365</f>
        <v>5</v>
      </c>
      <c r="E354" s="496">
        <f ca="1">F354/3</f>
        <v>20.277777777777779</v>
      </c>
      <c r="F354" s="500">
        <f ca="1">G354/30</f>
        <v>60.833333333333336</v>
      </c>
      <c r="G354" s="504">
        <f ca="1">H354-C354</f>
        <v>1825</v>
      </c>
      <c r="H354" s="488" cm="1">
        <f t="array" aca="1" ref="H354" ca="1">_xlfn.LET(
  _xlpm.block, F180:Y189,
  _xlpm.dates, $F$177:$Y$177,
  _xlpm.th, 1,
  _xlpm.rCount, ROWS(_xlpm.block),
  _xlpm.ones, ROW(INDIRECT("1:"&amp;_xlpm.rCount))^0,
  _xlpm.colHas, MMULT(TRANSPOSE(_xlpm.ones), --(ABS(_xlpm.block)&gt;=_xlpm.th)),
  IF(MAX(_xlpm.colHas)=0,"",
     EDATE(
       MAX(IF(_xlpm.colHas&gt;=1, _xlpm.dates)),
       3
     )-1
  )
)</f>
        <v>48213</v>
      </c>
      <c r="CF354" s="739">
        <v>308</v>
      </c>
      <c r="CG354" s="740" t="s">
        <v>1237</v>
      </c>
      <c r="CH354" s="744">
        <f>N135</f>
        <v>0</v>
      </c>
      <c r="CI354" s="740" t="s">
        <v>1235</v>
      </c>
      <c r="CJ354" s="742" t="s">
        <v>1238</v>
      </c>
      <c r="CK354" s="740" t="s">
        <v>571</v>
      </c>
      <c r="CL354" s="731"/>
      <c r="CM354" s="731"/>
      <c r="CN354" s="731"/>
      <c r="CO354" s="731"/>
      <c r="CP354" s="731"/>
      <c r="CQ354" s="731"/>
      <c r="CR354" s="731"/>
      <c r="CS354" s="731"/>
      <c r="CT354" s="731"/>
      <c r="CU354" s="731"/>
      <c r="CV354" s="731"/>
      <c r="CW354" s="731"/>
      <c r="CX354" s="731"/>
      <c r="CY354" s="731"/>
      <c r="CZ354" s="731"/>
      <c r="DA354" s="731"/>
      <c r="DB354" s="731"/>
      <c r="DC354" s="731"/>
      <c r="DD354" s="731"/>
      <c r="DE354" s="731"/>
    </row>
    <row r="355" spans="1:109" ht="12.75" x14ac:dyDescent="0.2">
      <c r="A355" s="172"/>
      <c r="CF355" s="735">
        <v>309</v>
      </c>
      <c r="CG355" s="736" t="s">
        <v>1239</v>
      </c>
      <c r="CH355" s="743">
        <f>O135</f>
        <v>0</v>
      </c>
      <c r="CI355" s="736" t="s">
        <v>1235</v>
      </c>
      <c r="CJ355" s="738" t="s">
        <v>1240</v>
      </c>
      <c r="CK355" s="736" t="s">
        <v>571</v>
      </c>
      <c r="CL355" s="731"/>
      <c r="CM355" s="731"/>
      <c r="CN355" s="731"/>
      <c r="CO355" s="731"/>
      <c r="CP355" s="731"/>
      <c r="CQ355" s="731"/>
      <c r="CR355" s="731"/>
      <c r="CS355" s="731"/>
      <c r="CT355" s="731"/>
      <c r="CU355" s="731"/>
      <c r="CV355" s="731"/>
      <c r="CW355" s="731"/>
      <c r="CX355" s="731"/>
      <c r="CY355" s="731"/>
      <c r="CZ355" s="731"/>
      <c r="DA355" s="731"/>
      <c r="DB355" s="731"/>
      <c r="DC355" s="731"/>
      <c r="DD355" s="731"/>
      <c r="DE355" s="731"/>
    </row>
    <row r="356" spans="1:109" ht="15" x14ac:dyDescent="0.2">
      <c r="A356" s="172"/>
      <c r="CF356" s="734" t="s">
        <v>1241</v>
      </c>
      <c r="CG356" s="734"/>
      <c r="CH356" s="734"/>
      <c r="CI356" s="734"/>
      <c r="CJ356" s="734"/>
      <c r="CK356" s="734"/>
      <c r="CL356" s="731"/>
      <c r="CM356" s="731"/>
      <c r="CN356" s="731"/>
      <c r="CO356" s="731"/>
      <c r="CP356" s="731"/>
      <c r="CQ356" s="731"/>
      <c r="CR356" s="731"/>
      <c r="CS356" s="731"/>
      <c r="CT356" s="731"/>
      <c r="CU356" s="731"/>
      <c r="CV356" s="731"/>
      <c r="CW356" s="731"/>
      <c r="CX356" s="731"/>
      <c r="CY356" s="731"/>
      <c r="CZ356" s="731"/>
      <c r="DA356" s="731"/>
      <c r="DB356" s="731"/>
      <c r="DC356" s="731"/>
      <c r="DD356" s="731"/>
      <c r="DE356" s="731"/>
    </row>
    <row r="357" spans="1:109" ht="12.75" x14ac:dyDescent="0.2">
      <c r="A357" s="172"/>
      <c r="CF357" s="739">
        <v>310</v>
      </c>
      <c r="CG357" s="740" t="s">
        <v>1242</v>
      </c>
      <c r="CH357" s="746">
        <f>M136</f>
        <v>7.0000000000000007E-2</v>
      </c>
      <c r="CI357" s="740" t="s">
        <v>1243</v>
      </c>
      <c r="CJ357" s="742" t="s">
        <v>1244</v>
      </c>
      <c r="CK357" s="740" t="s">
        <v>597</v>
      </c>
      <c r="CL357" s="731"/>
      <c r="CM357" s="731"/>
      <c r="CN357" s="731"/>
      <c r="CO357" s="731"/>
      <c r="CP357" s="731"/>
      <c r="CQ357" s="731"/>
      <c r="CR357" s="731"/>
      <c r="CS357" s="731"/>
      <c r="CT357" s="731"/>
      <c r="CU357" s="731"/>
      <c r="CV357" s="731"/>
      <c r="CW357" s="731"/>
      <c r="CX357" s="731"/>
      <c r="CY357" s="731"/>
      <c r="CZ357" s="731"/>
      <c r="DA357" s="731"/>
      <c r="DB357" s="731"/>
      <c r="DC357" s="731"/>
      <c r="DD357" s="731"/>
      <c r="DE357" s="731"/>
    </row>
    <row r="358" spans="1:109" ht="12.75" x14ac:dyDescent="0.2">
      <c r="A358" s="172"/>
      <c r="CF358" s="735">
        <v>311</v>
      </c>
      <c r="CG358" s="736" t="s">
        <v>1245</v>
      </c>
      <c r="CH358" s="743">
        <f>N136</f>
        <v>3050357.1428571427</v>
      </c>
      <c r="CI358" s="736" t="s">
        <v>1243</v>
      </c>
      <c r="CJ358" s="738" t="s">
        <v>1246</v>
      </c>
      <c r="CK358" s="736" t="s">
        <v>571</v>
      </c>
      <c r="CL358" s="731"/>
      <c r="CM358" s="731"/>
      <c r="CN358" s="731"/>
      <c r="CO358" s="731"/>
      <c r="CP358" s="731"/>
      <c r="CQ358" s="731"/>
      <c r="CR358" s="731"/>
      <c r="CS358" s="731"/>
      <c r="CT358" s="731"/>
      <c r="CU358" s="731"/>
      <c r="CV358" s="731"/>
      <c r="CW358" s="731"/>
      <c r="CX358" s="731"/>
      <c r="CY358" s="731"/>
      <c r="CZ358" s="731"/>
      <c r="DA358" s="731"/>
      <c r="DB358" s="731"/>
      <c r="DC358" s="731"/>
      <c r="DD358" s="731"/>
      <c r="DE358" s="731"/>
    </row>
    <row r="359" spans="1:109" ht="14.25" x14ac:dyDescent="0.2">
      <c r="A359" s="172"/>
      <c r="B359"/>
      <c r="C359"/>
      <c r="D359" s="628"/>
      <c r="F359" s="729"/>
      <c r="CF359" s="739">
        <v>312</v>
      </c>
      <c r="CG359" s="740" t="s">
        <v>1247</v>
      </c>
      <c r="CH359" s="744">
        <f>O136</f>
        <v>213524999.99999997</v>
      </c>
      <c r="CI359" s="740" t="s">
        <v>1243</v>
      </c>
      <c r="CJ359" s="742" t="s">
        <v>1248</v>
      </c>
      <c r="CK359" s="740" t="s">
        <v>571</v>
      </c>
      <c r="CL359" s="731"/>
      <c r="CM359" s="731"/>
      <c r="CN359" s="731"/>
      <c r="CO359" s="731"/>
      <c r="CP359" s="731"/>
      <c r="CQ359" s="731"/>
      <c r="CR359" s="731"/>
      <c r="CS359" s="731"/>
      <c r="CT359" s="731"/>
      <c r="CU359" s="731"/>
      <c r="CV359" s="731"/>
      <c r="CW359" s="731"/>
      <c r="CX359" s="731"/>
      <c r="CY359" s="731"/>
      <c r="CZ359" s="731"/>
      <c r="DA359" s="731"/>
      <c r="DB359" s="731"/>
      <c r="DC359" s="731"/>
      <c r="DD359" s="731"/>
      <c r="DE359" s="731"/>
    </row>
    <row r="360" spans="1:109" ht="15" x14ac:dyDescent="0.2">
      <c r="A360" s="172"/>
      <c r="E360" s="728"/>
      <c r="CF360" s="734" t="s">
        <v>1249</v>
      </c>
      <c r="CG360" s="734"/>
      <c r="CH360" s="734"/>
      <c r="CI360" s="734"/>
      <c r="CJ360" s="734"/>
      <c r="CK360" s="734"/>
      <c r="CL360" s="731"/>
      <c r="CM360" s="731"/>
      <c r="CN360" s="731"/>
      <c r="CO360" s="731"/>
      <c r="CP360" s="731"/>
      <c r="CQ360" s="731"/>
      <c r="CR360" s="731"/>
      <c r="CS360" s="731"/>
      <c r="CT360" s="731"/>
      <c r="CU360" s="731"/>
      <c r="CV360" s="731"/>
      <c r="CW360" s="731"/>
      <c r="CX360" s="731"/>
      <c r="CY360" s="731"/>
      <c r="CZ360" s="731"/>
      <c r="DA360" s="731"/>
      <c r="DB360" s="731"/>
      <c r="DC360" s="731"/>
      <c r="DD360" s="731"/>
      <c r="DE360" s="731"/>
    </row>
    <row r="361" spans="1:109" ht="12.75" x14ac:dyDescent="0.2">
      <c r="A361" s="172"/>
      <c r="CF361" s="735">
        <v>313</v>
      </c>
      <c r="CG361" s="736" t="s">
        <v>1250</v>
      </c>
      <c r="CH361" s="747">
        <f>M137</f>
        <v>7.0000000000000007E-2</v>
      </c>
      <c r="CI361" s="736" t="s">
        <v>1251</v>
      </c>
      <c r="CJ361" s="738" t="s">
        <v>1252</v>
      </c>
      <c r="CK361" s="736" t="s">
        <v>597</v>
      </c>
      <c r="CL361" s="731"/>
      <c r="CM361" s="731"/>
      <c r="CN361" s="731"/>
      <c r="CO361" s="731"/>
      <c r="CP361" s="731"/>
      <c r="CQ361" s="731"/>
      <c r="CR361" s="731"/>
      <c r="CS361" s="731"/>
      <c r="CT361" s="731"/>
      <c r="CU361" s="731"/>
      <c r="CV361" s="731"/>
      <c r="CW361" s="731"/>
      <c r="CX361" s="731"/>
      <c r="CY361" s="731"/>
      <c r="CZ361" s="731"/>
      <c r="DA361" s="731"/>
      <c r="DB361" s="731"/>
      <c r="DC361" s="731"/>
      <c r="DD361" s="731"/>
      <c r="DE361" s="731"/>
    </row>
    <row r="362" spans="1:109" ht="14.25" x14ac:dyDescent="0.2">
      <c r="A362" s="172"/>
      <c r="B362"/>
      <c r="C362"/>
      <c r="D362"/>
      <c r="CF362" s="739">
        <v>314</v>
      </c>
      <c r="CG362" s="740" t="s">
        <v>1253</v>
      </c>
      <c r="CH362" s="744">
        <f>N137</f>
        <v>0</v>
      </c>
      <c r="CI362" s="740" t="s">
        <v>1251</v>
      </c>
      <c r="CJ362" s="742" t="s">
        <v>1254</v>
      </c>
      <c r="CK362" s="740" t="s">
        <v>571</v>
      </c>
      <c r="CL362" s="731"/>
      <c r="CM362" s="731"/>
      <c r="CN362" s="731"/>
      <c r="CO362" s="731"/>
      <c r="CP362" s="731"/>
      <c r="CQ362" s="731"/>
      <c r="CR362" s="731"/>
      <c r="CS362" s="731"/>
      <c r="CT362" s="731"/>
      <c r="CU362" s="731"/>
      <c r="CV362" s="731"/>
      <c r="CW362" s="731"/>
      <c r="CX362" s="731"/>
      <c r="CY362" s="731"/>
      <c r="CZ362" s="731"/>
      <c r="DA362" s="731"/>
      <c r="DB362" s="731"/>
      <c r="DC362" s="731"/>
      <c r="DD362" s="731"/>
      <c r="DE362" s="731"/>
    </row>
    <row r="363" spans="1:109" ht="14.25" x14ac:dyDescent="0.2">
      <c r="A363" s="172"/>
      <c r="B363"/>
      <c r="C363"/>
      <c r="D363"/>
      <c r="CF363" s="735">
        <v>315</v>
      </c>
      <c r="CG363" s="736" t="s">
        <v>1255</v>
      </c>
      <c r="CH363" s="743">
        <f>O137</f>
        <v>0</v>
      </c>
      <c r="CI363" s="736" t="s">
        <v>1251</v>
      </c>
      <c r="CJ363" s="738" t="s">
        <v>1256</v>
      </c>
      <c r="CK363" s="736" t="s">
        <v>571</v>
      </c>
      <c r="CL363" s="731"/>
      <c r="CM363" s="731"/>
      <c r="CN363" s="731"/>
      <c r="CO363" s="731"/>
      <c r="CP363" s="731"/>
      <c r="CQ363" s="731"/>
      <c r="CR363" s="731"/>
      <c r="CS363" s="731"/>
      <c r="CT363" s="731"/>
      <c r="CU363" s="731"/>
      <c r="CV363" s="731"/>
      <c r="CW363" s="731"/>
      <c r="CX363" s="731"/>
      <c r="CY363" s="731"/>
      <c r="CZ363" s="731"/>
      <c r="DA363" s="731"/>
      <c r="DB363" s="731"/>
      <c r="DC363" s="731"/>
      <c r="DD363" s="731"/>
      <c r="DE363" s="731"/>
    </row>
    <row r="364" spans="1:109" ht="15" x14ac:dyDescent="0.2">
      <c r="A364" s="172"/>
      <c r="B364"/>
      <c r="C364"/>
      <c r="D364"/>
      <c r="CF364" s="734" t="s">
        <v>1257</v>
      </c>
      <c r="CG364" s="734"/>
      <c r="CH364" s="734"/>
      <c r="CI364" s="734"/>
      <c r="CJ364" s="734"/>
      <c r="CK364" s="734"/>
      <c r="CL364" s="731"/>
      <c r="CM364" s="731"/>
      <c r="CN364" s="731"/>
      <c r="CO364" s="731"/>
      <c r="CP364" s="731"/>
      <c r="CQ364" s="731"/>
      <c r="CR364" s="731"/>
      <c r="CS364" s="731"/>
      <c r="CT364" s="731"/>
      <c r="CU364" s="731"/>
      <c r="CV364" s="731"/>
      <c r="CW364" s="731"/>
      <c r="CX364" s="731"/>
      <c r="CY364" s="731"/>
      <c r="CZ364" s="731"/>
      <c r="DA364" s="731"/>
      <c r="DB364" s="731"/>
      <c r="DC364" s="731"/>
      <c r="DD364" s="731"/>
      <c r="DE364" s="731"/>
    </row>
    <row r="365" spans="1:109" ht="14.25" x14ac:dyDescent="0.2">
      <c r="A365" s="172"/>
      <c r="B365"/>
      <c r="C365"/>
      <c r="D365"/>
      <c r="CF365" s="739">
        <v>316</v>
      </c>
      <c r="CG365" s="740" t="s">
        <v>1258</v>
      </c>
      <c r="CH365" s="746">
        <f>M138</f>
        <v>7.0000000000000007E-2</v>
      </c>
      <c r="CI365" s="740" t="s">
        <v>1259</v>
      </c>
      <c r="CJ365" s="742" t="s">
        <v>1260</v>
      </c>
      <c r="CK365" s="740" t="s">
        <v>597</v>
      </c>
      <c r="CL365" s="731"/>
      <c r="CM365" s="731"/>
      <c r="CN365" s="731"/>
      <c r="CO365" s="731"/>
      <c r="CP365" s="731"/>
      <c r="CQ365" s="731"/>
      <c r="CR365" s="731"/>
      <c r="CS365" s="731"/>
      <c r="CT365" s="731"/>
      <c r="CU365" s="731"/>
      <c r="CV365" s="731"/>
      <c r="CW365" s="731"/>
      <c r="CX365" s="731"/>
      <c r="CY365" s="731"/>
      <c r="CZ365" s="731"/>
      <c r="DA365" s="731"/>
      <c r="DB365" s="731"/>
      <c r="DC365" s="731"/>
      <c r="DD365" s="731"/>
      <c r="DE365" s="731"/>
    </row>
    <row r="366" spans="1:109" ht="14.25" x14ac:dyDescent="0.2">
      <c r="A366" s="172"/>
      <c r="B366"/>
      <c r="C366"/>
      <c r="D366"/>
      <c r="CF366" s="735">
        <v>317</v>
      </c>
      <c r="CG366" s="736" t="s">
        <v>1261</v>
      </c>
      <c r="CH366" s="743">
        <f>N138</f>
        <v>0</v>
      </c>
      <c r="CI366" s="736" t="s">
        <v>1259</v>
      </c>
      <c r="CJ366" s="738" t="s">
        <v>1262</v>
      </c>
      <c r="CK366" s="736" t="s">
        <v>571</v>
      </c>
      <c r="CL366" s="731"/>
      <c r="CM366" s="731"/>
      <c r="CN366" s="731"/>
      <c r="CO366" s="731"/>
      <c r="CP366" s="731"/>
      <c r="CQ366" s="731"/>
      <c r="CR366" s="731"/>
      <c r="CS366" s="731"/>
      <c r="CT366" s="731"/>
      <c r="CU366" s="731"/>
      <c r="CV366" s="731"/>
      <c r="CW366" s="731"/>
      <c r="CX366" s="731"/>
      <c r="CY366" s="731"/>
      <c r="CZ366" s="731"/>
      <c r="DA366" s="731"/>
      <c r="DB366" s="731"/>
      <c r="DC366" s="731"/>
      <c r="DD366" s="731"/>
      <c r="DE366" s="731"/>
    </row>
    <row r="367" spans="1:109" ht="14.25" x14ac:dyDescent="0.2">
      <c r="A367" s="172"/>
      <c r="B367"/>
      <c r="C367"/>
      <c r="D367"/>
      <c r="CF367" s="739">
        <v>318</v>
      </c>
      <c r="CG367" s="740" t="s">
        <v>1263</v>
      </c>
      <c r="CH367" s="744">
        <f>O138</f>
        <v>0</v>
      </c>
      <c r="CI367" s="740" t="s">
        <v>1259</v>
      </c>
      <c r="CJ367" s="742" t="s">
        <v>1264</v>
      </c>
      <c r="CK367" s="740" t="s">
        <v>571</v>
      </c>
      <c r="CL367" s="731"/>
      <c r="CM367" s="731"/>
      <c r="CN367" s="731"/>
      <c r="CO367" s="731"/>
      <c r="CP367" s="731"/>
      <c r="CQ367" s="731"/>
      <c r="CR367" s="731"/>
      <c r="CS367" s="731"/>
      <c r="CT367" s="731"/>
      <c r="CU367" s="731"/>
      <c r="CV367" s="731"/>
      <c r="CW367" s="731"/>
      <c r="CX367" s="731"/>
      <c r="CY367" s="731"/>
      <c r="CZ367" s="731"/>
      <c r="DA367" s="731"/>
      <c r="DB367" s="731"/>
      <c r="DC367" s="731"/>
      <c r="DD367" s="731"/>
      <c r="DE367" s="731"/>
    </row>
    <row r="368" spans="1:109" ht="15" x14ac:dyDescent="0.2">
      <c r="A368" s="172"/>
      <c r="B368"/>
      <c r="C368"/>
      <c r="D368"/>
      <c r="CF368" s="734" t="s">
        <v>1265</v>
      </c>
      <c r="CG368" s="734"/>
      <c r="CH368" s="734"/>
      <c r="CI368" s="734"/>
      <c r="CJ368" s="734"/>
      <c r="CK368" s="734"/>
      <c r="CL368" s="731"/>
      <c r="CM368" s="731"/>
      <c r="CN368" s="731"/>
      <c r="CO368" s="731"/>
      <c r="CP368" s="731"/>
      <c r="CQ368" s="731"/>
      <c r="CR368" s="731"/>
      <c r="CS368" s="731"/>
      <c r="CT368" s="731"/>
      <c r="CU368" s="731"/>
      <c r="CV368" s="731"/>
      <c r="CW368" s="731"/>
      <c r="CX368" s="731"/>
      <c r="CY368" s="731"/>
      <c r="CZ368" s="731"/>
      <c r="DA368" s="731"/>
      <c r="DB368" s="731"/>
      <c r="DC368" s="731"/>
      <c r="DD368" s="731"/>
      <c r="DE368" s="731"/>
    </row>
    <row r="369" spans="1:109" ht="14.25" x14ac:dyDescent="0.2">
      <c r="A369" s="172"/>
      <c r="B369" s="411"/>
      <c r="CF369" s="735">
        <v>319</v>
      </c>
      <c r="CG369" s="736" t="s">
        <v>1266</v>
      </c>
      <c r="CH369" s="743">
        <f>O139</f>
        <v>242871819.07499996</v>
      </c>
      <c r="CI369" s="736" t="s">
        <v>1267</v>
      </c>
      <c r="CJ369" s="738" t="s">
        <v>1268</v>
      </c>
      <c r="CK369" s="736" t="s">
        <v>571</v>
      </c>
      <c r="CL369" s="731"/>
      <c r="CM369" s="731"/>
      <c r="CN369" s="731"/>
      <c r="CO369" s="731"/>
      <c r="CP369" s="731"/>
      <c r="CQ369" s="731"/>
      <c r="CR369" s="731"/>
      <c r="CS369" s="731"/>
      <c r="CT369" s="731"/>
      <c r="CU369" s="731"/>
      <c r="CV369" s="731"/>
      <c r="CW369" s="731"/>
      <c r="CX369" s="731"/>
      <c r="CY369" s="731"/>
      <c r="CZ369" s="731"/>
      <c r="DA369" s="731"/>
      <c r="DB369" s="731"/>
      <c r="DC369" s="731"/>
      <c r="DD369" s="731"/>
      <c r="DE369" s="731"/>
    </row>
    <row r="370" spans="1:109" ht="15" x14ac:dyDescent="0.2">
      <c r="A370" s="172"/>
      <c r="B370" s="411"/>
      <c r="CF370" s="734" t="s">
        <v>1269</v>
      </c>
      <c r="CG370" s="734"/>
      <c r="CH370" s="734"/>
      <c r="CI370" s="734"/>
      <c r="CJ370" s="734"/>
      <c r="CK370" s="734"/>
      <c r="CL370" s="731"/>
      <c r="CM370" s="731"/>
      <c r="CN370" s="731"/>
      <c r="CO370" s="731"/>
      <c r="CP370" s="731"/>
      <c r="CQ370" s="731"/>
      <c r="CR370" s="731"/>
      <c r="CS370" s="731"/>
      <c r="CT370" s="731"/>
      <c r="CU370" s="731"/>
      <c r="CV370" s="731"/>
      <c r="CW370" s="731"/>
      <c r="CX370" s="731"/>
      <c r="CY370" s="731"/>
      <c r="CZ370" s="731"/>
      <c r="DA370" s="731"/>
      <c r="DB370" s="731"/>
      <c r="DC370" s="731"/>
      <c r="DD370" s="731"/>
      <c r="DE370" s="731"/>
    </row>
    <row r="371" spans="1:109" ht="14.25" x14ac:dyDescent="0.2">
      <c r="B371" s="411"/>
      <c r="CF371" s="739">
        <v>320</v>
      </c>
      <c r="CG371" s="740" t="s">
        <v>1270</v>
      </c>
      <c r="CH371" s="751">
        <f>C147</f>
        <v>12</v>
      </c>
      <c r="CI371" s="740" t="s">
        <v>1271</v>
      </c>
      <c r="CJ371" s="742" t="s">
        <v>1272</v>
      </c>
      <c r="CK371" s="740" t="s">
        <v>694</v>
      </c>
      <c r="CL371" s="731"/>
      <c r="CM371" s="731"/>
      <c r="CN371" s="731"/>
      <c r="CO371" s="731"/>
      <c r="CP371" s="731"/>
      <c r="CQ371" s="731"/>
      <c r="CR371" s="731"/>
      <c r="CS371" s="731"/>
      <c r="CT371" s="731"/>
      <c r="CU371" s="731"/>
      <c r="CV371" s="731"/>
      <c r="CW371" s="731"/>
      <c r="CX371" s="731"/>
      <c r="CY371" s="731"/>
      <c r="CZ371" s="731"/>
      <c r="DA371" s="731"/>
      <c r="DB371" s="731"/>
      <c r="DC371" s="731"/>
      <c r="DD371" s="731"/>
      <c r="DE371" s="731"/>
    </row>
    <row r="372" spans="1:109" ht="14.25" x14ac:dyDescent="0.2">
      <c r="B372" s="411"/>
      <c r="CF372" s="735">
        <v>321</v>
      </c>
      <c r="CG372" s="736" t="s">
        <v>690</v>
      </c>
      <c r="CH372" s="745">
        <f>D147</f>
        <v>251.14949999999999</v>
      </c>
      <c r="CI372" s="736" t="s">
        <v>1271</v>
      </c>
      <c r="CJ372" s="738" t="s">
        <v>1273</v>
      </c>
      <c r="CK372" s="736" t="s">
        <v>647</v>
      </c>
      <c r="CL372" s="731"/>
      <c r="CM372" s="731"/>
      <c r="CN372" s="731"/>
      <c r="CO372" s="731"/>
      <c r="CP372" s="731"/>
      <c r="CQ372" s="731"/>
      <c r="CR372" s="731"/>
      <c r="CS372" s="731"/>
      <c r="CT372" s="731"/>
      <c r="CU372" s="731"/>
      <c r="CV372" s="731"/>
      <c r="CW372" s="731"/>
      <c r="CX372" s="731"/>
      <c r="CY372" s="731"/>
      <c r="CZ372" s="731"/>
      <c r="DA372" s="731"/>
      <c r="DB372" s="731"/>
      <c r="DC372" s="731"/>
      <c r="DD372" s="731"/>
      <c r="DE372" s="731"/>
    </row>
    <row r="373" spans="1:109" ht="14.25" x14ac:dyDescent="0.2">
      <c r="B373" s="411"/>
      <c r="CF373" s="739">
        <v>322</v>
      </c>
      <c r="CG373" s="740" t="s">
        <v>1274</v>
      </c>
      <c r="CH373" s="744">
        <f>E147</f>
        <v>820</v>
      </c>
      <c r="CI373" s="740" t="s">
        <v>1271</v>
      </c>
      <c r="CJ373" s="742" t="s">
        <v>1275</v>
      </c>
      <c r="CK373" s="740" t="s">
        <v>650</v>
      </c>
      <c r="CL373" s="731"/>
      <c r="CM373" s="731"/>
      <c r="CN373" s="731"/>
      <c r="CO373" s="731"/>
      <c r="CP373" s="731"/>
      <c r="CQ373" s="731"/>
      <c r="CR373" s="731"/>
      <c r="CS373" s="731"/>
      <c r="CT373" s="731"/>
      <c r="CU373" s="731"/>
      <c r="CV373" s="731"/>
      <c r="CW373" s="731"/>
      <c r="CX373" s="731"/>
      <c r="CY373" s="731"/>
      <c r="CZ373" s="731"/>
      <c r="DA373" s="731"/>
      <c r="DB373" s="731"/>
      <c r="DC373" s="731"/>
      <c r="DD373" s="731"/>
      <c r="DE373" s="731"/>
    </row>
    <row r="374" spans="1:109" ht="14.25" x14ac:dyDescent="0.2">
      <c r="B374" s="411"/>
      <c r="CF374" s="735">
        <v>323</v>
      </c>
      <c r="CG374" s="736" t="s">
        <v>1276</v>
      </c>
      <c r="CH374" s="743">
        <f>F147</f>
        <v>205942.59</v>
      </c>
      <c r="CI374" s="736" t="s">
        <v>1271</v>
      </c>
      <c r="CJ374" s="738" t="s">
        <v>1277</v>
      </c>
      <c r="CK374" s="736" t="s">
        <v>571</v>
      </c>
      <c r="CL374" s="731"/>
      <c r="CM374" s="731"/>
      <c r="CN374" s="731"/>
      <c r="CO374" s="731"/>
      <c r="CP374" s="731"/>
      <c r="CQ374" s="731"/>
      <c r="CR374" s="731"/>
      <c r="CS374" s="731"/>
      <c r="CT374" s="731"/>
      <c r="CU374" s="731"/>
      <c r="CV374" s="731"/>
      <c r="CW374" s="731"/>
      <c r="CX374" s="731"/>
      <c r="CY374" s="731"/>
      <c r="CZ374" s="731"/>
      <c r="DA374" s="731"/>
      <c r="DB374" s="731"/>
      <c r="DC374" s="731"/>
      <c r="DD374" s="731"/>
      <c r="DE374" s="731"/>
    </row>
    <row r="375" spans="1:109" ht="14.25" x14ac:dyDescent="0.2">
      <c r="B375" s="411"/>
      <c r="CF375" s="739">
        <v>324</v>
      </c>
      <c r="CG375" s="740" t="s">
        <v>1278</v>
      </c>
      <c r="CH375" s="746">
        <f>G147</f>
        <v>1</v>
      </c>
      <c r="CI375" s="740" t="s">
        <v>1271</v>
      </c>
      <c r="CJ375" s="742" t="s">
        <v>1279</v>
      </c>
      <c r="CK375" s="740" t="s">
        <v>597</v>
      </c>
      <c r="CL375" s="731"/>
      <c r="CM375" s="731"/>
      <c r="CN375" s="731"/>
      <c r="CO375" s="731"/>
      <c r="CP375" s="731"/>
      <c r="CQ375" s="731"/>
      <c r="CR375" s="731"/>
      <c r="CS375" s="731"/>
      <c r="CT375" s="731"/>
      <c r="CU375" s="731"/>
      <c r="CV375" s="731"/>
      <c r="CW375" s="731"/>
      <c r="CX375" s="731"/>
      <c r="CY375" s="731"/>
      <c r="CZ375" s="731"/>
      <c r="DA375" s="731"/>
      <c r="DB375" s="731"/>
      <c r="DC375" s="731"/>
      <c r="DD375" s="731"/>
      <c r="DE375" s="731"/>
    </row>
    <row r="376" spans="1:109" ht="14.25" x14ac:dyDescent="0.2">
      <c r="B376" s="411"/>
      <c r="CF376" s="735">
        <v>325</v>
      </c>
      <c r="CG376" s="736" t="s">
        <v>1280</v>
      </c>
      <c r="CH376" s="743">
        <f>H147</f>
        <v>2471311.08</v>
      </c>
      <c r="CI376" s="736" t="s">
        <v>1271</v>
      </c>
      <c r="CJ376" s="738" t="s">
        <v>1281</v>
      </c>
      <c r="CK376" s="736" t="s">
        <v>571</v>
      </c>
      <c r="CL376" s="731"/>
      <c r="CM376" s="731"/>
      <c r="CN376" s="731"/>
      <c r="CO376" s="731"/>
      <c r="CP376" s="731"/>
      <c r="CQ376" s="731"/>
      <c r="CR376" s="731"/>
      <c r="CS376" s="731"/>
      <c r="CT376" s="731"/>
      <c r="CU376" s="731"/>
      <c r="CV376" s="731"/>
      <c r="CW376" s="731"/>
      <c r="CX376" s="731"/>
      <c r="CY376" s="731"/>
      <c r="CZ376" s="731"/>
      <c r="DA376" s="731"/>
      <c r="DB376" s="731"/>
      <c r="DC376" s="731"/>
      <c r="DD376" s="731"/>
      <c r="DE376" s="731"/>
    </row>
    <row r="377" spans="1:109" ht="14.25" x14ac:dyDescent="0.2">
      <c r="B377" s="411"/>
      <c r="CF377" s="739">
        <v>326</v>
      </c>
      <c r="CG377" s="740" t="s">
        <v>1282</v>
      </c>
      <c r="CH377" s="744">
        <f>I147</f>
        <v>123565.554</v>
      </c>
      <c r="CI377" s="740" t="s">
        <v>1271</v>
      </c>
      <c r="CJ377" s="742" t="s">
        <v>1283</v>
      </c>
      <c r="CK377" s="740" t="s">
        <v>571</v>
      </c>
      <c r="CL377" s="731"/>
      <c r="CM377" s="731"/>
      <c r="CN377" s="731"/>
      <c r="CO377" s="731"/>
      <c r="CP377" s="731"/>
      <c r="CQ377" s="731"/>
      <c r="CR377" s="731"/>
      <c r="CS377" s="731"/>
      <c r="CT377" s="731"/>
      <c r="CU377" s="731"/>
      <c r="CV377" s="731"/>
      <c r="CW377" s="731"/>
      <c r="CX377" s="731"/>
      <c r="CY377" s="731"/>
      <c r="CZ377" s="731"/>
      <c r="DA377" s="731"/>
      <c r="DB377" s="731"/>
      <c r="DC377" s="731"/>
      <c r="DD377" s="731"/>
      <c r="DE377" s="731"/>
    </row>
    <row r="378" spans="1:109" ht="14.25" x14ac:dyDescent="0.2">
      <c r="B378" s="411"/>
      <c r="CF378" s="735">
        <v>327</v>
      </c>
      <c r="CG378" s="736" t="s">
        <v>1284</v>
      </c>
      <c r="CH378" s="745">
        <f>K147</f>
        <v>12.084136669799859</v>
      </c>
      <c r="CI378" s="736" t="s">
        <v>1271</v>
      </c>
      <c r="CJ378" s="738" t="s">
        <v>1285</v>
      </c>
      <c r="CK378" s="736" t="s">
        <v>592</v>
      </c>
      <c r="CL378" s="731"/>
      <c r="CM378" s="731"/>
      <c r="CN378" s="731"/>
      <c r="CO378" s="731"/>
      <c r="CP378" s="731"/>
      <c r="CQ378" s="731"/>
      <c r="CR378" s="731"/>
      <c r="CS378" s="731"/>
      <c r="CT378" s="731"/>
      <c r="CU378" s="731"/>
      <c r="CV378" s="731"/>
      <c r="CW378" s="731"/>
      <c r="CX378" s="731"/>
      <c r="CY378" s="731"/>
      <c r="CZ378" s="731"/>
      <c r="DA378" s="731"/>
      <c r="DB378" s="731"/>
      <c r="DC378" s="731"/>
      <c r="DD378" s="731"/>
      <c r="DE378" s="731"/>
    </row>
    <row r="379" spans="1:109" ht="12.75" x14ac:dyDescent="0.2">
      <c r="CF379" s="739">
        <v>328</v>
      </c>
      <c r="CG379" s="740" t="s">
        <v>1286</v>
      </c>
      <c r="CH379" s="746">
        <f>L147</f>
        <v>8.275311901256098E-2</v>
      </c>
      <c r="CI379" s="740" t="s">
        <v>1271</v>
      </c>
      <c r="CJ379" s="742" t="s">
        <v>1287</v>
      </c>
      <c r="CK379" s="740" t="s">
        <v>597</v>
      </c>
      <c r="CL379" s="731"/>
      <c r="CM379" s="731"/>
      <c r="CN379" s="731"/>
      <c r="CO379" s="731"/>
      <c r="CP379" s="731"/>
      <c r="CQ379" s="731"/>
      <c r="CR379" s="731"/>
      <c r="CS379" s="731"/>
      <c r="CT379" s="731"/>
      <c r="CU379" s="731"/>
      <c r="CV379" s="731"/>
      <c r="CW379" s="731"/>
      <c r="CX379" s="731"/>
      <c r="CY379" s="731"/>
      <c r="CZ379" s="731"/>
      <c r="DA379" s="731"/>
      <c r="DB379" s="731"/>
      <c r="DC379" s="731"/>
      <c r="DD379" s="731"/>
      <c r="DE379" s="731"/>
    </row>
    <row r="380" spans="1:109" ht="12.75" x14ac:dyDescent="0.2">
      <c r="CF380" s="735">
        <v>329</v>
      </c>
      <c r="CG380" s="736" t="s">
        <v>1288</v>
      </c>
      <c r="CH380" s="743">
        <f>M147</f>
        <v>2347745.5260000001</v>
      </c>
      <c r="CI380" s="736" t="s">
        <v>1271</v>
      </c>
      <c r="CJ380" s="738" t="s">
        <v>1289</v>
      </c>
      <c r="CK380" s="736" t="s">
        <v>571</v>
      </c>
      <c r="CL380" s="731"/>
      <c r="CM380" s="731"/>
      <c r="CN380" s="731"/>
      <c r="CO380" s="731"/>
      <c r="CP380" s="731"/>
      <c r="CQ380" s="731"/>
      <c r="CR380" s="731"/>
      <c r="CS380" s="731"/>
      <c r="CT380" s="731"/>
      <c r="CU380" s="731"/>
      <c r="CV380" s="731"/>
      <c r="CW380" s="731"/>
      <c r="CX380" s="731"/>
      <c r="CY380" s="731"/>
      <c r="CZ380" s="731"/>
      <c r="DA380" s="731"/>
      <c r="DB380" s="731"/>
      <c r="DC380" s="731"/>
      <c r="DD380" s="731"/>
      <c r="DE380" s="731"/>
    </row>
    <row r="381" spans="1:109" ht="15" x14ac:dyDescent="0.2">
      <c r="CF381" s="734" t="s">
        <v>1290</v>
      </c>
      <c r="CG381" s="734"/>
      <c r="CH381" s="734"/>
      <c r="CI381" s="734"/>
      <c r="CJ381" s="734"/>
      <c r="CK381" s="734"/>
      <c r="CL381" s="731"/>
      <c r="CM381" s="731"/>
      <c r="CN381" s="731"/>
      <c r="CO381" s="731"/>
      <c r="CP381" s="731"/>
      <c r="CQ381" s="731"/>
      <c r="CR381" s="731"/>
      <c r="CS381" s="731"/>
      <c r="CT381" s="731"/>
      <c r="CU381" s="731"/>
      <c r="CV381" s="731"/>
      <c r="CW381" s="731"/>
      <c r="CX381" s="731"/>
      <c r="CY381" s="731"/>
      <c r="CZ381" s="731"/>
      <c r="DA381" s="731"/>
      <c r="DB381" s="731"/>
      <c r="DC381" s="731"/>
      <c r="DD381" s="731"/>
      <c r="DE381" s="731"/>
    </row>
    <row r="382" spans="1:109" ht="12.75" x14ac:dyDescent="0.2">
      <c r="CF382" s="739">
        <v>330</v>
      </c>
      <c r="CG382" s="740" t="s">
        <v>1291</v>
      </c>
      <c r="CH382" s="751">
        <f>C148</f>
        <v>11</v>
      </c>
      <c r="CI382" s="740" t="s">
        <v>1292</v>
      </c>
      <c r="CJ382" s="742" t="s">
        <v>1293</v>
      </c>
      <c r="CK382" s="740" t="s">
        <v>694</v>
      </c>
      <c r="CL382" s="731"/>
      <c r="CM382" s="731"/>
      <c r="CN382" s="731"/>
      <c r="CO382" s="731"/>
      <c r="CP382" s="731"/>
      <c r="CQ382" s="731"/>
      <c r="CR382" s="731"/>
      <c r="CS382" s="731"/>
      <c r="CT382" s="731"/>
      <c r="CU382" s="731"/>
      <c r="CV382" s="731"/>
      <c r="CW382" s="731"/>
      <c r="CX382" s="731"/>
      <c r="CY382" s="731"/>
      <c r="CZ382" s="731"/>
      <c r="DA382" s="731"/>
      <c r="DB382" s="731"/>
      <c r="DC382" s="731"/>
      <c r="DD382" s="731"/>
      <c r="DE382" s="731"/>
    </row>
    <row r="383" spans="1:109" ht="12.75" x14ac:dyDescent="0.2">
      <c r="CF383" s="735">
        <v>331</v>
      </c>
      <c r="CG383" s="736" t="s">
        <v>715</v>
      </c>
      <c r="CH383" s="745">
        <f>D148</f>
        <v>303.63636363636363</v>
      </c>
      <c r="CI383" s="736" t="s">
        <v>1292</v>
      </c>
      <c r="CJ383" s="738" t="s">
        <v>1294</v>
      </c>
      <c r="CK383" s="736" t="s">
        <v>647</v>
      </c>
      <c r="CL383" s="731"/>
      <c r="CM383" s="731"/>
      <c r="CN383" s="731"/>
      <c r="CO383" s="731"/>
      <c r="CP383" s="731"/>
      <c r="CQ383" s="731"/>
      <c r="CR383" s="731"/>
      <c r="CS383" s="731"/>
      <c r="CT383" s="731"/>
      <c r="CU383" s="731"/>
      <c r="CV383" s="731"/>
      <c r="CW383" s="731"/>
      <c r="CX383" s="731"/>
      <c r="CY383" s="731"/>
      <c r="CZ383" s="731"/>
      <c r="DA383" s="731"/>
      <c r="DB383" s="731"/>
      <c r="DC383" s="731"/>
      <c r="DD383" s="731"/>
      <c r="DE383" s="731"/>
    </row>
    <row r="384" spans="1:109" ht="12.75" x14ac:dyDescent="0.2">
      <c r="CF384" s="739">
        <v>332</v>
      </c>
      <c r="CG384" s="740" t="s">
        <v>1295</v>
      </c>
      <c r="CH384" s="744">
        <f>E148</f>
        <v>0</v>
      </c>
      <c r="CI384" s="740" t="s">
        <v>1292</v>
      </c>
      <c r="CJ384" s="742" t="s">
        <v>1296</v>
      </c>
      <c r="CK384" s="740" t="s">
        <v>650</v>
      </c>
      <c r="CL384" s="731"/>
      <c r="CM384" s="731"/>
      <c r="CN384" s="731"/>
      <c r="CO384" s="731"/>
      <c r="CP384" s="731"/>
      <c r="CQ384" s="731"/>
      <c r="CR384" s="731"/>
      <c r="CS384" s="731"/>
      <c r="CT384" s="731"/>
      <c r="CU384" s="731"/>
      <c r="CV384" s="731"/>
      <c r="CW384" s="731"/>
      <c r="CX384" s="731"/>
      <c r="CY384" s="731"/>
      <c r="CZ384" s="731"/>
      <c r="DA384" s="731"/>
      <c r="DB384" s="731"/>
      <c r="DC384" s="731"/>
      <c r="DD384" s="731"/>
      <c r="DE384" s="731"/>
    </row>
    <row r="385" spans="84:109" ht="12.75" x14ac:dyDescent="0.2">
      <c r="CF385" s="735">
        <v>333</v>
      </c>
      <c r="CG385" s="736" t="s">
        <v>1297</v>
      </c>
      <c r="CH385" s="743">
        <f>F148</f>
        <v>0</v>
      </c>
      <c r="CI385" s="736" t="s">
        <v>1292</v>
      </c>
      <c r="CJ385" s="738" t="s">
        <v>1298</v>
      </c>
      <c r="CK385" s="736" t="s">
        <v>571</v>
      </c>
      <c r="CL385" s="731"/>
      <c r="CM385" s="731"/>
      <c r="CN385" s="731"/>
      <c r="CO385" s="731"/>
      <c r="CP385" s="731"/>
      <c r="CQ385" s="731"/>
      <c r="CR385" s="731"/>
      <c r="CS385" s="731"/>
      <c r="CT385" s="731"/>
      <c r="CU385" s="731"/>
      <c r="CV385" s="731"/>
      <c r="CW385" s="731"/>
      <c r="CX385" s="731"/>
      <c r="CY385" s="731"/>
      <c r="CZ385" s="731"/>
      <c r="DA385" s="731"/>
      <c r="DB385" s="731"/>
      <c r="DC385" s="731"/>
      <c r="DD385" s="731"/>
      <c r="DE385" s="731"/>
    </row>
    <row r="386" spans="84:109" ht="12.75" x14ac:dyDescent="0.2">
      <c r="CF386" s="739">
        <v>334</v>
      </c>
      <c r="CG386" s="740" t="s">
        <v>1299</v>
      </c>
      <c r="CH386" s="746">
        <f>G148</f>
        <v>0</v>
      </c>
      <c r="CI386" s="740" t="s">
        <v>1292</v>
      </c>
      <c r="CJ386" s="742" t="s">
        <v>1300</v>
      </c>
      <c r="CK386" s="740" t="s">
        <v>597</v>
      </c>
      <c r="CL386" s="731"/>
      <c r="CM386" s="731"/>
      <c r="CN386" s="731"/>
      <c r="CO386" s="731"/>
      <c r="CP386" s="731"/>
      <c r="CQ386" s="731"/>
      <c r="CR386" s="731"/>
      <c r="CS386" s="731"/>
      <c r="CT386" s="731"/>
      <c r="CU386" s="731"/>
      <c r="CV386" s="731"/>
      <c r="CW386" s="731"/>
      <c r="CX386" s="731"/>
      <c r="CY386" s="731"/>
      <c r="CZ386" s="731"/>
      <c r="DA386" s="731"/>
      <c r="DB386" s="731"/>
      <c r="DC386" s="731"/>
      <c r="DD386" s="731"/>
      <c r="DE386" s="731"/>
    </row>
    <row r="387" spans="84:109" ht="12.75" x14ac:dyDescent="0.2">
      <c r="CF387" s="735">
        <v>335</v>
      </c>
      <c r="CG387" s="736" t="s">
        <v>1301</v>
      </c>
      <c r="CH387" s="743">
        <f>H148</f>
        <v>0</v>
      </c>
      <c r="CI387" s="736" t="s">
        <v>1292</v>
      </c>
      <c r="CJ387" s="738" t="s">
        <v>1302</v>
      </c>
      <c r="CK387" s="736" t="s">
        <v>571</v>
      </c>
      <c r="CL387" s="731"/>
      <c r="CM387" s="731"/>
      <c r="CN387" s="731"/>
      <c r="CO387" s="731"/>
      <c r="CP387" s="731"/>
      <c r="CQ387" s="731"/>
      <c r="CR387" s="731"/>
      <c r="CS387" s="731"/>
      <c r="CT387" s="731"/>
      <c r="CU387" s="731"/>
      <c r="CV387" s="731"/>
      <c r="CW387" s="731"/>
      <c r="CX387" s="731"/>
      <c r="CY387" s="731"/>
      <c r="CZ387" s="731"/>
      <c r="DA387" s="731"/>
      <c r="DB387" s="731"/>
      <c r="DC387" s="731"/>
      <c r="DD387" s="731"/>
      <c r="DE387" s="731"/>
    </row>
    <row r="388" spans="84:109" ht="12.75" x14ac:dyDescent="0.2">
      <c r="CF388" s="739">
        <v>336</v>
      </c>
      <c r="CG388" s="740" t="s">
        <v>1303</v>
      </c>
      <c r="CH388" s="744">
        <f>I148</f>
        <v>0</v>
      </c>
      <c r="CI388" s="740" t="s">
        <v>1292</v>
      </c>
      <c r="CJ388" s="742" t="s">
        <v>1304</v>
      </c>
      <c r="CK388" s="740" t="s">
        <v>571</v>
      </c>
      <c r="CL388" s="731"/>
      <c r="CM388" s="731"/>
      <c r="CN388" s="731"/>
      <c r="CO388" s="731"/>
      <c r="CP388" s="731"/>
      <c r="CQ388" s="731"/>
      <c r="CR388" s="731"/>
      <c r="CS388" s="731"/>
      <c r="CT388" s="731"/>
      <c r="CU388" s="731"/>
      <c r="CV388" s="731"/>
      <c r="CW388" s="731"/>
      <c r="CX388" s="731"/>
      <c r="CY388" s="731"/>
      <c r="CZ388" s="731"/>
      <c r="DA388" s="731"/>
      <c r="DB388" s="731"/>
      <c r="DC388" s="731"/>
      <c r="DD388" s="731"/>
      <c r="DE388" s="731"/>
    </row>
    <row r="389" spans="84:109" ht="12.75" x14ac:dyDescent="0.2">
      <c r="CF389" s="735">
        <v>337</v>
      </c>
      <c r="CG389" s="736" t="s">
        <v>1305</v>
      </c>
      <c r="CH389" s="745" t="str">
        <f>K148</f>
        <v>0</v>
      </c>
      <c r="CI389" s="736" t="s">
        <v>1292</v>
      </c>
      <c r="CJ389" s="738" t="s">
        <v>1306</v>
      </c>
      <c r="CK389" s="736" t="s">
        <v>592</v>
      </c>
      <c r="CL389" s="731"/>
      <c r="CM389" s="731"/>
      <c r="CN389" s="731"/>
      <c r="CO389" s="731"/>
      <c r="CP389" s="731"/>
      <c r="CQ389" s="731"/>
      <c r="CR389" s="731"/>
      <c r="CS389" s="731"/>
      <c r="CT389" s="731"/>
      <c r="CU389" s="731"/>
      <c r="CV389" s="731"/>
      <c r="CW389" s="731"/>
      <c r="CX389" s="731"/>
      <c r="CY389" s="731"/>
      <c r="CZ389" s="731"/>
      <c r="DA389" s="731"/>
      <c r="DB389" s="731"/>
      <c r="DC389" s="731"/>
      <c r="DD389" s="731"/>
      <c r="DE389" s="731"/>
    </row>
    <row r="390" spans="84:109" ht="12.75" x14ac:dyDescent="0.2">
      <c r="CF390" s="739">
        <v>338</v>
      </c>
      <c r="CG390" s="740" t="s">
        <v>1307</v>
      </c>
      <c r="CH390" s="746">
        <f>L148</f>
        <v>0</v>
      </c>
      <c r="CI390" s="740" t="s">
        <v>1292</v>
      </c>
      <c r="CJ390" s="742" t="s">
        <v>1308</v>
      </c>
      <c r="CK390" s="740" t="s">
        <v>597</v>
      </c>
      <c r="CL390" s="731"/>
      <c r="CM390" s="731"/>
      <c r="CN390" s="731"/>
      <c r="CO390" s="731"/>
      <c r="CP390" s="731"/>
      <c r="CQ390" s="731"/>
      <c r="CR390" s="731"/>
      <c r="CS390" s="731"/>
      <c r="CT390" s="731"/>
      <c r="CU390" s="731"/>
      <c r="CV390" s="731"/>
      <c r="CW390" s="731"/>
      <c r="CX390" s="731"/>
      <c r="CY390" s="731"/>
      <c r="CZ390" s="731"/>
      <c r="DA390" s="731"/>
      <c r="DB390" s="731"/>
      <c r="DC390" s="731"/>
      <c r="DD390" s="731"/>
      <c r="DE390" s="731"/>
    </row>
    <row r="391" spans="84:109" ht="12.75" x14ac:dyDescent="0.2">
      <c r="CF391" s="735">
        <v>339</v>
      </c>
      <c r="CG391" s="736" t="s">
        <v>1309</v>
      </c>
      <c r="CH391" s="743">
        <f>M148</f>
        <v>0</v>
      </c>
      <c r="CI391" s="736" t="s">
        <v>1292</v>
      </c>
      <c r="CJ391" s="738" t="s">
        <v>1310</v>
      </c>
      <c r="CK391" s="736" t="s">
        <v>571</v>
      </c>
      <c r="CL391" s="731"/>
      <c r="CM391" s="731"/>
      <c r="CN391" s="731"/>
      <c r="CO391" s="731"/>
      <c r="CP391" s="731"/>
      <c r="CQ391" s="731"/>
      <c r="CR391" s="731"/>
      <c r="CS391" s="731"/>
      <c r="CT391" s="731"/>
      <c r="CU391" s="731"/>
      <c r="CV391" s="731"/>
      <c r="CW391" s="731"/>
      <c r="CX391" s="731"/>
      <c r="CY391" s="731"/>
      <c r="CZ391" s="731"/>
      <c r="DA391" s="731"/>
      <c r="DB391" s="731"/>
      <c r="DC391" s="731"/>
      <c r="DD391" s="731"/>
      <c r="DE391" s="731"/>
    </row>
    <row r="392" spans="84:109" ht="15" x14ac:dyDescent="0.2">
      <c r="CF392" s="734" t="s">
        <v>1311</v>
      </c>
      <c r="CG392" s="734"/>
      <c r="CH392" s="734"/>
      <c r="CI392" s="734"/>
      <c r="CJ392" s="734"/>
      <c r="CK392" s="734"/>
      <c r="CL392" s="731"/>
      <c r="CM392" s="731"/>
      <c r="CN392" s="731"/>
      <c r="CO392" s="731"/>
      <c r="CP392" s="731"/>
      <c r="CQ392" s="731"/>
      <c r="CR392" s="731"/>
      <c r="CS392" s="731"/>
      <c r="CT392" s="731"/>
      <c r="CU392" s="731"/>
      <c r="CV392" s="731"/>
      <c r="CW392" s="731"/>
      <c r="CX392" s="731"/>
      <c r="CY392" s="731"/>
      <c r="CZ392" s="731"/>
      <c r="DA392" s="731"/>
      <c r="DB392" s="731"/>
      <c r="DC392" s="731"/>
      <c r="DD392" s="731"/>
      <c r="DE392" s="731"/>
    </row>
    <row r="393" spans="84:109" ht="12.75" x14ac:dyDescent="0.2">
      <c r="CF393" s="739">
        <v>340</v>
      </c>
      <c r="CG393" s="740" t="s">
        <v>1312</v>
      </c>
      <c r="CH393" s="751">
        <f>C149</f>
        <v>0</v>
      </c>
      <c r="CI393" s="740" t="s">
        <v>1313</v>
      </c>
      <c r="CJ393" s="742" t="s">
        <v>1314</v>
      </c>
      <c r="CK393" s="740" t="s">
        <v>694</v>
      </c>
      <c r="CL393" s="731"/>
      <c r="CM393" s="731"/>
      <c r="CN393" s="731"/>
      <c r="CO393" s="731"/>
      <c r="CP393" s="731"/>
      <c r="CQ393" s="731"/>
      <c r="CR393" s="731"/>
      <c r="CS393" s="731"/>
      <c r="CT393" s="731"/>
      <c r="CU393" s="731"/>
      <c r="CV393" s="731"/>
      <c r="CW393" s="731"/>
      <c r="CX393" s="731"/>
      <c r="CY393" s="731"/>
      <c r="CZ393" s="731"/>
      <c r="DA393" s="731"/>
      <c r="DB393" s="731"/>
      <c r="DC393" s="731"/>
      <c r="DD393" s="731"/>
      <c r="DE393" s="731"/>
    </row>
    <row r="394" spans="84:109" ht="12.75" x14ac:dyDescent="0.2">
      <c r="CF394" s="735">
        <v>341</v>
      </c>
      <c r="CG394" s="736" t="s">
        <v>737</v>
      </c>
      <c r="CH394" s="745" t="str">
        <f>D149</f>
        <v>0.00</v>
      </c>
      <c r="CI394" s="736" t="s">
        <v>1313</v>
      </c>
      <c r="CJ394" s="738" t="s">
        <v>1315</v>
      </c>
      <c r="CK394" s="736" t="s">
        <v>647</v>
      </c>
      <c r="CL394" s="731"/>
      <c r="CM394" s="731"/>
      <c r="CN394" s="731"/>
      <c r="CO394" s="731"/>
      <c r="CP394" s="731"/>
      <c r="CQ394" s="731"/>
      <c r="CR394" s="731"/>
      <c r="CS394" s="731"/>
      <c r="CT394" s="731"/>
      <c r="CU394" s="731"/>
      <c r="CV394" s="731"/>
      <c r="CW394" s="731"/>
      <c r="CX394" s="731"/>
      <c r="CY394" s="731"/>
      <c r="CZ394" s="731"/>
      <c r="DA394" s="731"/>
      <c r="DB394" s="731"/>
      <c r="DC394" s="731"/>
      <c r="DD394" s="731"/>
      <c r="DE394" s="731"/>
    </row>
    <row r="395" spans="84:109" ht="12.75" x14ac:dyDescent="0.2">
      <c r="CF395" s="739">
        <v>342</v>
      </c>
      <c r="CG395" s="740" t="s">
        <v>1316</v>
      </c>
      <c r="CH395" s="744">
        <f>E149</f>
        <v>0</v>
      </c>
      <c r="CI395" s="740" t="s">
        <v>1313</v>
      </c>
      <c r="CJ395" s="742" t="s">
        <v>1317</v>
      </c>
      <c r="CK395" s="740" t="s">
        <v>650</v>
      </c>
      <c r="CL395" s="731"/>
      <c r="CM395" s="731"/>
      <c r="CN395" s="731"/>
      <c r="CO395" s="731"/>
      <c r="CP395" s="731"/>
      <c r="CQ395" s="731"/>
      <c r="CR395" s="731"/>
      <c r="CS395" s="731"/>
      <c r="CT395" s="731"/>
      <c r="CU395" s="731"/>
      <c r="CV395" s="731"/>
      <c r="CW395" s="731"/>
      <c r="CX395" s="731"/>
      <c r="CY395" s="731"/>
      <c r="CZ395" s="731"/>
      <c r="DA395" s="731"/>
      <c r="DB395" s="731"/>
      <c r="DC395" s="731"/>
      <c r="DD395" s="731"/>
      <c r="DE395" s="731"/>
    </row>
    <row r="396" spans="84:109" ht="12.75" x14ac:dyDescent="0.2">
      <c r="CF396" s="735">
        <v>343</v>
      </c>
      <c r="CG396" s="736" t="s">
        <v>1318</v>
      </c>
      <c r="CH396" s="743">
        <f>F149</f>
        <v>0</v>
      </c>
      <c r="CI396" s="736" t="s">
        <v>1313</v>
      </c>
      <c r="CJ396" s="738" t="s">
        <v>1319</v>
      </c>
      <c r="CK396" s="736" t="s">
        <v>571</v>
      </c>
      <c r="CL396" s="731"/>
      <c r="CM396" s="731"/>
      <c r="CN396" s="731"/>
      <c r="CO396" s="731"/>
      <c r="CP396" s="731"/>
      <c r="CQ396" s="731"/>
      <c r="CR396" s="731"/>
      <c r="CS396" s="731"/>
      <c r="CT396" s="731"/>
      <c r="CU396" s="731"/>
      <c r="CV396" s="731"/>
      <c r="CW396" s="731"/>
      <c r="CX396" s="731"/>
      <c r="CY396" s="731"/>
      <c r="CZ396" s="731"/>
      <c r="DA396" s="731"/>
      <c r="DB396" s="731"/>
      <c r="DC396" s="731"/>
      <c r="DD396" s="731"/>
      <c r="DE396" s="731"/>
    </row>
    <row r="397" spans="84:109" ht="12.75" x14ac:dyDescent="0.2">
      <c r="CF397" s="739">
        <v>344</v>
      </c>
      <c r="CG397" s="740" t="s">
        <v>1320</v>
      </c>
      <c r="CH397" s="746">
        <f>G149</f>
        <v>0</v>
      </c>
      <c r="CI397" s="740" t="s">
        <v>1313</v>
      </c>
      <c r="CJ397" s="742" t="s">
        <v>1321</v>
      </c>
      <c r="CK397" s="740" t="s">
        <v>597</v>
      </c>
      <c r="CL397" s="731"/>
      <c r="CM397" s="731"/>
      <c r="CN397" s="731"/>
      <c r="CO397" s="731"/>
      <c r="CP397" s="731"/>
      <c r="CQ397" s="731"/>
      <c r="CR397" s="731"/>
      <c r="CS397" s="731"/>
      <c r="CT397" s="731"/>
      <c r="CU397" s="731"/>
      <c r="CV397" s="731"/>
      <c r="CW397" s="731"/>
      <c r="CX397" s="731"/>
      <c r="CY397" s="731"/>
      <c r="CZ397" s="731"/>
      <c r="DA397" s="731"/>
      <c r="DB397" s="731"/>
      <c r="DC397" s="731"/>
      <c r="DD397" s="731"/>
      <c r="DE397" s="731"/>
    </row>
    <row r="398" spans="84:109" ht="12.75" x14ac:dyDescent="0.2">
      <c r="CF398" s="735">
        <v>345</v>
      </c>
      <c r="CG398" s="736" t="s">
        <v>1322</v>
      </c>
      <c r="CH398" s="743">
        <f>H149</f>
        <v>0</v>
      </c>
      <c r="CI398" s="736" t="s">
        <v>1313</v>
      </c>
      <c r="CJ398" s="738" t="s">
        <v>1323</v>
      </c>
      <c r="CK398" s="736" t="s">
        <v>571</v>
      </c>
      <c r="CL398" s="731"/>
      <c r="CM398" s="731"/>
      <c r="CN398" s="731"/>
      <c r="CO398" s="731"/>
      <c r="CP398" s="731"/>
      <c r="CQ398" s="731"/>
      <c r="CR398" s="731"/>
      <c r="CS398" s="731"/>
      <c r="CT398" s="731"/>
      <c r="CU398" s="731"/>
      <c r="CV398" s="731"/>
      <c r="CW398" s="731"/>
      <c r="CX398" s="731"/>
      <c r="CY398" s="731"/>
      <c r="CZ398" s="731"/>
      <c r="DA398" s="731"/>
      <c r="DB398" s="731"/>
      <c r="DC398" s="731"/>
      <c r="DD398" s="731"/>
      <c r="DE398" s="731"/>
    </row>
    <row r="399" spans="84:109" ht="12.75" x14ac:dyDescent="0.2">
      <c r="CF399" s="739">
        <v>346</v>
      </c>
      <c r="CG399" s="740" t="s">
        <v>1324</v>
      </c>
      <c r="CH399" s="744">
        <f>I149</f>
        <v>0</v>
      </c>
      <c r="CI399" s="740" t="s">
        <v>1313</v>
      </c>
      <c r="CJ399" s="742" t="s">
        <v>1325</v>
      </c>
      <c r="CK399" s="740" t="s">
        <v>571</v>
      </c>
      <c r="CL399" s="731"/>
      <c r="CM399" s="731"/>
      <c r="CN399" s="731"/>
      <c r="CO399" s="731"/>
      <c r="CP399" s="731"/>
      <c r="CQ399" s="731"/>
      <c r="CR399" s="731"/>
      <c r="CS399" s="731"/>
      <c r="CT399" s="731"/>
      <c r="CU399" s="731"/>
      <c r="CV399" s="731"/>
      <c r="CW399" s="731"/>
      <c r="CX399" s="731"/>
      <c r="CY399" s="731"/>
      <c r="CZ399" s="731"/>
      <c r="DA399" s="731"/>
      <c r="DB399" s="731"/>
      <c r="DC399" s="731"/>
      <c r="DD399" s="731"/>
      <c r="DE399" s="731"/>
    </row>
    <row r="400" spans="84:109" ht="12.75" x14ac:dyDescent="0.2">
      <c r="CF400" s="735">
        <v>347</v>
      </c>
      <c r="CG400" s="736" t="s">
        <v>1326</v>
      </c>
      <c r="CH400" s="745" t="str">
        <f>K149</f>
        <v>0</v>
      </c>
      <c r="CI400" s="736" t="s">
        <v>1313</v>
      </c>
      <c r="CJ400" s="738" t="s">
        <v>1327</v>
      </c>
      <c r="CK400" s="736" t="s">
        <v>592</v>
      </c>
      <c r="CL400" s="731"/>
      <c r="CM400" s="731"/>
      <c r="CN400" s="731"/>
      <c r="CO400" s="731"/>
      <c r="CP400" s="731"/>
      <c r="CQ400" s="731"/>
      <c r="CR400" s="731"/>
      <c r="CS400" s="731"/>
      <c r="CT400" s="731"/>
      <c r="CU400" s="731"/>
      <c r="CV400" s="731"/>
      <c r="CW400" s="731"/>
      <c r="CX400" s="731"/>
      <c r="CY400" s="731"/>
      <c r="CZ400" s="731"/>
      <c r="DA400" s="731"/>
      <c r="DB400" s="731"/>
      <c r="DC400" s="731"/>
      <c r="DD400" s="731"/>
      <c r="DE400" s="731"/>
    </row>
    <row r="401" spans="84:109" ht="12.75" x14ac:dyDescent="0.2">
      <c r="CF401" s="739">
        <v>348</v>
      </c>
      <c r="CG401" s="740" t="s">
        <v>1328</v>
      </c>
      <c r="CH401" s="746" t="str">
        <f>L149</f>
        <v>0.00%</v>
      </c>
      <c r="CI401" s="740" t="s">
        <v>1313</v>
      </c>
      <c r="CJ401" s="742" t="s">
        <v>1329</v>
      </c>
      <c r="CK401" s="740" t="s">
        <v>597</v>
      </c>
      <c r="CL401" s="731"/>
      <c r="CM401" s="731"/>
      <c r="CN401" s="731"/>
      <c r="CO401" s="731"/>
      <c r="CP401" s="731"/>
      <c r="CQ401" s="731"/>
      <c r="CR401" s="731"/>
      <c r="CS401" s="731"/>
      <c r="CT401" s="731"/>
      <c r="CU401" s="731"/>
      <c r="CV401" s="731"/>
      <c r="CW401" s="731"/>
      <c r="CX401" s="731"/>
      <c r="CY401" s="731"/>
      <c r="CZ401" s="731"/>
      <c r="DA401" s="731"/>
      <c r="DB401" s="731"/>
      <c r="DC401" s="731"/>
      <c r="DD401" s="731"/>
      <c r="DE401" s="731"/>
    </row>
    <row r="402" spans="84:109" ht="12.75" x14ac:dyDescent="0.2">
      <c r="CF402" s="735">
        <v>349</v>
      </c>
      <c r="CG402" s="736" t="s">
        <v>1330</v>
      </c>
      <c r="CH402" s="743">
        <f>M149</f>
        <v>0</v>
      </c>
      <c r="CI402" s="736" t="s">
        <v>1313</v>
      </c>
      <c r="CJ402" s="738" t="s">
        <v>1331</v>
      </c>
      <c r="CK402" s="736" t="s">
        <v>571</v>
      </c>
      <c r="CL402" s="731"/>
      <c r="CM402" s="731"/>
      <c r="CN402" s="731"/>
      <c r="CO402" s="731"/>
      <c r="CP402" s="731"/>
      <c r="CQ402" s="731"/>
      <c r="CR402" s="731"/>
      <c r="CS402" s="731"/>
      <c r="CT402" s="731"/>
      <c r="CU402" s="731"/>
      <c r="CV402" s="731"/>
      <c r="CW402" s="731"/>
      <c r="CX402" s="731"/>
      <c r="CY402" s="731"/>
      <c r="CZ402" s="731"/>
      <c r="DA402" s="731"/>
      <c r="DB402" s="731"/>
      <c r="DC402" s="731"/>
      <c r="DD402" s="731"/>
      <c r="DE402" s="731"/>
    </row>
    <row r="403" spans="84:109" ht="15" x14ac:dyDescent="0.2">
      <c r="CF403" s="734" t="s">
        <v>1332</v>
      </c>
      <c r="CG403" s="734"/>
      <c r="CH403" s="734"/>
      <c r="CI403" s="734"/>
      <c r="CJ403" s="734"/>
      <c r="CK403" s="734"/>
      <c r="CL403" s="731"/>
      <c r="CM403" s="731"/>
      <c r="CN403" s="731"/>
      <c r="CO403" s="731"/>
      <c r="CP403" s="731"/>
      <c r="CQ403" s="731"/>
      <c r="CR403" s="731"/>
      <c r="CS403" s="731"/>
      <c r="CT403" s="731"/>
      <c r="CU403" s="731"/>
      <c r="CV403" s="731"/>
      <c r="CW403" s="731"/>
      <c r="CX403" s="731"/>
      <c r="CY403" s="731"/>
      <c r="CZ403" s="731"/>
      <c r="DA403" s="731"/>
      <c r="DB403" s="731"/>
      <c r="DC403" s="731"/>
      <c r="DD403" s="731"/>
      <c r="DE403" s="731"/>
    </row>
    <row r="404" spans="84:109" ht="12.75" x14ac:dyDescent="0.2">
      <c r="CF404" s="739">
        <v>350</v>
      </c>
      <c r="CG404" s="740" t="s">
        <v>1333</v>
      </c>
      <c r="CH404" s="751">
        <f>C150</f>
        <v>0</v>
      </c>
      <c r="CI404" s="740" t="s">
        <v>1334</v>
      </c>
      <c r="CJ404" s="742" t="s">
        <v>1335</v>
      </c>
      <c r="CK404" s="740" t="s">
        <v>694</v>
      </c>
      <c r="CL404" s="731"/>
      <c r="CM404" s="731"/>
      <c r="CN404" s="731"/>
      <c r="CO404" s="731"/>
      <c r="CP404" s="731"/>
      <c r="CQ404" s="731"/>
      <c r="CR404" s="731"/>
      <c r="CS404" s="731"/>
      <c r="CT404" s="731"/>
      <c r="CU404" s="731"/>
      <c r="CV404" s="731"/>
      <c r="CW404" s="731"/>
      <c r="CX404" s="731"/>
      <c r="CY404" s="731"/>
      <c r="CZ404" s="731"/>
      <c r="DA404" s="731"/>
      <c r="DB404" s="731"/>
      <c r="DC404" s="731"/>
      <c r="DD404" s="731"/>
      <c r="DE404" s="731"/>
    </row>
    <row r="405" spans="84:109" ht="12.75" x14ac:dyDescent="0.2">
      <c r="CF405" s="735">
        <v>351</v>
      </c>
      <c r="CG405" s="736" t="s">
        <v>759</v>
      </c>
      <c r="CH405" s="745" t="str">
        <f>D150</f>
        <v>0.00</v>
      </c>
      <c r="CI405" s="736" t="s">
        <v>1334</v>
      </c>
      <c r="CJ405" s="738" t="s">
        <v>1336</v>
      </c>
      <c r="CK405" s="736" t="s">
        <v>647</v>
      </c>
      <c r="CL405" s="731"/>
      <c r="CM405" s="731"/>
      <c r="CN405" s="731"/>
      <c r="CO405" s="731"/>
      <c r="CP405" s="731"/>
      <c r="CQ405" s="731"/>
      <c r="CR405" s="731"/>
      <c r="CS405" s="731"/>
      <c r="CT405" s="731"/>
      <c r="CU405" s="731"/>
      <c r="CV405" s="731"/>
      <c r="CW405" s="731"/>
      <c r="CX405" s="731"/>
      <c r="CY405" s="731"/>
      <c r="CZ405" s="731"/>
      <c r="DA405" s="731"/>
      <c r="DB405" s="731"/>
      <c r="DC405" s="731"/>
      <c r="DD405" s="731"/>
      <c r="DE405" s="731"/>
    </row>
    <row r="406" spans="84:109" ht="12.75" x14ac:dyDescent="0.2">
      <c r="CF406" s="739">
        <v>352</v>
      </c>
      <c r="CG406" s="740" t="s">
        <v>1337</v>
      </c>
      <c r="CH406" s="744">
        <f>E150</f>
        <v>0</v>
      </c>
      <c r="CI406" s="740" t="s">
        <v>1334</v>
      </c>
      <c r="CJ406" s="742" t="s">
        <v>1338</v>
      </c>
      <c r="CK406" s="740" t="s">
        <v>650</v>
      </c>
      <c r="CL406" s="731"/>
      <c r="CM406" s="731"/>
      <c r="CN406" s="731"/>
      <c r="CO406" s="731"/>
      <c r="CP406" s="731"/>
      <c r="CQ406" s="731"/>
      <c r="CR406" s="731"/>
      <c r="CS406" s="731"/>
      <c r="CT406" s="731"/>
      <c r="CU406" s="731"/>
      <c r="CV406" s="731"/>
      <c r="CW406" s="731"/>
      <c r="CX406" s="731"/>
      <c r="CY406" s="731"/>
      <c r="CZ406" s="731"/>
      <c r="DA406" s="731"/>
      <c r="DB406" s="731"/>
      <c r="DC406" s="731"/>
      <c r="DD406" s="731"/>
      <c r="DE406" s="731"/>
    </row>
    <row r="407" spans="84:109" ht="12.75" x14ac:dyDescent="0.2">
      <c r="CF407" s="735">
        <v>353</v>
      </c>
      <c r="CG407" s="736" t="s">
        <v>1339</v>
      </c>
      <c r="CH407" s="743">
        <f>F150</f>
        <v>0</v>
      </c>
      <c r="CI407" s="736" t="s">
        <v>1334</v>
      </c>
      <c r="CJ407" s="738" t="s">
        <v>1340</v>
      </c>
      <c r="CK407" s="736" t="s">
        <v>571</v>
      </c>
      <c r="CL407" s="731"/>
      <c r="CM407" s="731"/>
      <c r="CN407" s="731"/>
      <c r="CO407" s="731"/>
      <c r="CP407" s="731"/>
      <c r="CQ407" s="731"/>
      <c r="CR407" s="731"/>
      <c r="CS407" s="731"/>
      <c r="CT407" s="731"/>
      <c r="CU407" s="731"/>
      <c r="CV407" s="731"/>
      <c r="CW407" s="731"/>
      <c r="CX407" s="731"/>
      <c r="CY407" s="731"/>
      <c r="CZ407" s="731"/>
      <c r="DA407" s="731"/>
      <c r="DB407" s="731"/>
      <c r="DC407" s="731"/>
      <c r="DD407" s="731"/>
      <c r="DE407" s="731"/>
    </row>
    <row r="408" spans="84:109" ht="12.75" x14ac:dyDescent="0.2">
      <c r="CF408" s="739">
        <v>354</v>
      </c>
      <c r="CG408" s="740" t="s">
        <v>1341</v>
      </c>
      <c r="CH408" s="746">
        <f>G150</f>
        <v>0</v>
      </c>
      <c r="CI408" s="740" t="s">
        <v>1334</v>
      </c>
      <c r="CJ408" s="742" t="s">
        <v>1342</v>
      </c>
      <c r="CK408" s="740" t="s">
        <v>597</v>
      </c>
      <c r="CL408" s="731"/>
      <c r="CM408" s="731"/>
      <c r="CN408" s="731"/>
      <c r="CO408" s="731"/>
      <c r="CP408" s="731"/>
      <c r="CQ408" s="731"/>
      <c r="CR408" s="731"/>
      <c r="CS408" s="731"/>
      <c r="CT408" s="731"/>
      <c r="CU408" s="731"/>
      <c r="CV408" s="731"/>
      <c r="CW408" s="731"/>
      <c r="CX408" s="731"/>
      <c r="CY408" s="731"/>
      <c r="CZ408" s="731"/>
      <c r="DA408" s="731"/>
      <c r="DB408" s="731"/>
      <c r="DC408" s="731"/>
      <c r="DD408" s="731"/>
      <c r="DE408" s="731"/>
    </row>
    <row r="409" spans="84:109" ht="12.75" x14ac:dyDescent="0.2">
      <c r="CF409" s="735">
        <v>355</v>
      </c>
      <c r="CG409" s="736" t="s">
        <v>1343</v>
      </c>
      <c r="CH409" s="743">
        <f>H150</f>
        <v>0</v>
      </c>
      <c r="CI409" s="736" t="s">
        <v>1334</v>
      </c>
      <c r="CJ409" s="738" t="s">
        <v>1344</v>
      </c>
      <c r="CK409" s="736" t="s">
        <v>571</v>
      </c>
      <c r="CL409" s="731"/>
      <c r="CM409" s="731"/>
      <c r="CN409" s="731"/>
      <c r="CO409" s="731"/>
      <c r="CP409" s="731"/>
      <c r="CQ409" s="731"/>
      <c r="CR409" s="731"/>
      <c r="CS409" s="731"/>
      <c r="CT409" s="731"/>
      <c r="CU409" s="731"/>
      <c r="CV409" s="731"/>
      <c r="CW409" s="731"/>
      <c r="CX409" s="731"/>
      <c r="CY409" s="731"/>
      <c r="CZ409" s="731"/>
      <c r="DA409" s="731"/>
      <c r="DB409" s="731"/>
      <c r="DC409" s="731"/>
      <c r="DD409" s="731"/>
      <c r="DE409" s="731"/>
    </row>
    <row r="410" spans="84:109" ht="12.75" x14ac:dyDescent="0.2">
      <c r="CF410" s="739">
        <v>356</v>
      </c>
      <c r="CG410" s="740" t="s">
        <v>1345</v>
      </c>
      <c r="CH410" s="744">
        <f>I150</f>
        <v>0</v>
      </c>
      <c r="CI410" s="740" t="s">
        <v>1334</v>
      </c>
      <c r="CJ410" s="742" t="s">
        <v>1346</v>
      </c>
      <c r="CK410" s="740" t="s">
        <v>571</v>
      </c>
      <c r="CL410" s="731"/>
      <c r="CM410" s="731"/>
      <c r="CN410" s="731"/>
      <c r="CO410" s="731"/>
      <c r="CP410" s="731"/>
      <c r="CQ410" s="731"/>
      <c r="CR410" s="731"/>
      <c r="CS410" s="731"/>
      <c r="CT410" s="731"/>
      <c r="CU410" s="731"/>
      <c r="CV410" s="731"/>
      <c r="CW410" s="731"/>
      <c r="CX410" s="731"/>
      <c r="CY410" s="731"/>
      <c r="CZ410" s="731"/>
      <c r="DA410" s="731"/>
      <c r="DB410" s="731"/>
      <c r="DC410" s="731"/>
      <c r="DD410" s="731"/>
      <c r="DE410" s="731"/>
    </row>
    <row r="411" spans="84:109" ht="12.75" x14ac:dyDescent="0.2">
      <c r="CF411" s="735">
        <v>357</v>
      </c>
      <c r="CG411" s="736" t="s">
        <v>1347</v>
      </c>
      <c r="CH411" s="745" t="str">
        <f>K150</f>
        <v>0</v>
      </c>
      <c r="CI411" s="736" t="s">
        <v>1334</v>
      </c>
      <c r="CJ411" s="738" t="s">
        <v>1348</v>
      </c>
      <c r="CK411" s="736" t="s">
        <v>592</v>
      </c>
      <c r="CL411" s="731"/>
      <c r="CM411" s="731"/>
      <c r="CN411" s="731"/>
      <c r="CO411" s="731"/>
      <c r="CP411" s="731"/>
      <c r="CQ411" s="731"/>
      <c r="CR411" s="731"/>
      <c r="CS411" s="731"/>
      <c r="CT411" s="731"/>
      <c r="CU411" s="731"/>
      <c r="CV411" s="731"/>
      <c r="CW411" s="731"/>
      <c r="CX411" s="731"/>
      <c r="CY411" s="731"/>
      <c r="CZ411" s="731"/>
      <c r="DA411" s="731"/>
      <c r="DB411" s="731"/>
      <c r="DC411" s="731"/>
      <c r="DD411" s="731"/>
      <c r="DE411" s="731"/>
    </row>
    <row r="412" spans="84:109" ht="12.75" x14ac:dyDescent="0.2">
      <c r="CF412" s="739">
        <v>358</v>
      </c>
      <c r="CG412" s="740" t="s">
        <v>1349</v>
      </c>
      <c r="CH412" s="746" t="str">
        <f>L150</f>
        <v>0.00%</v>
      </c>
      <c r="CI412" s="740" t="s">
        <v>1334</v>
      </c>
      <c r="CJ412" s="742" t="s">
        <v>1350</v>
      </c>
      <c r="CK412" s="740" t="s">
        <v>597</v>
      </c>
      <c r="CL412" s="731"/>
      <c r="CM412" s="731"/>
      <c r="CN412" s="731"/>
      <c r="CO412" s="731"/>
      <c r="CP412" s="731"/>
      <c r="CQ412" s="731"/>
      <c r="CR412" s="731"/>
      <c r="CS412" s="731"/>
      <c r="CT412" s="731"/>
      <c r="CU412" s="731"/>
      <c r="CV412" s="731"/>
      <c r="CW412" s="731"/>
      <c r="CX412" s="731"/>
      <c r="CY412" s="731"/>
      <c r="CZ412" s="731"/>
      <c r="DA412" s="731"/>
      <c r="DB412" s="731"/>
      <c r="DC412" s="731"/>
      <c r="DD412" s="731"/>
      <c r="DE412" s="731"/>
    </row>
    <row r="413" spans="84:109" ht="12.75" x14ac:dyDescent="0.2">
      <c r="CF413" s="735">
        <v>359</v>
      </c>
      <c r="CG413" s="736" t="s">
        <v>1351</v>
      </c>
      <c r="CH413" s="743">
        <f>M150</f>
        <v>0</v>
      </c>
      <c r="CI413" s="736" t="s">
        <v>1334</v>
      </c>
      <c r="CJ413" s="738" t="s">
        <v>1352</v>
      </c>
      <c r="CK413" s="736" t="s">
        <v>571</v>
      </c>
      <c r="CL413" s="731"/>
      <c r="CM413" s="731"/>
      <c r="CN413" s="731"/>
      <c r="CO413" s="731"/>
      <c r="CP413" s="731"/>
      <c r="CQ413" s="731"/>
      <c r="CR413" s="731"/>
      <c r="CS413" s="731"/>
      <c r="CT413" s="731"/>
      <c r="CU413" s="731"/>
      <c r="CV413" s="731"/>
      <c r="CW413" s="731"/>
      <c r="CX413" s="731"/>
      <c r="CY413" s="731"/>
      <c r="CZ413" s="731"/>
      <c r="DA413" s="731"/>
      <c r="DB413" s="731"/>
      <c r="DC413" s="731"/>
      <c r="DD413" s="731"/>
      <c r="DE413" s="731"/>
    </row>
    <row r="414" spans="84:109" ht="15" x14ac:dyDescent="0.2">
      <c r="CF414" s="734" t="s">
        <v>1353</v>
      </c>
      <c r="CG414" s="734"/>
      <c r="CH414" s="734"/>
      <c r="CI414" s="734"/>
      <c r="CJ414" s="734"/>
      <c r="CK414" s="734"/>
      <c r="CL414" s="731"/>
      <c r="CM414" s="731"/>
      <c r="CN414" s="731"/>
      <c r="CO414" s="731"/>
      <c r="CP414" s="731"/>
      <c r="CQ414" s="731"/>
      <c r="CR414" s="731"/>
      <c r="CS414" s="731"/>
      <c r="CT414" s="731"/>
      <c r="CU414" s="731"/>
      <c r="CV414" s="731"/>
      <c r="CW414" s="731"/>
      <c r="CX414" s="731"/>
      <c r="CY414" s="731"/>
      <c r="CZ414" s="731"/>
      <c r="DA414" s="731"/>
      <c r="DB414" s="731"/>
      <c r="DC414" s="731"/>
      <c r="DD414" s="731"/>
      <c r="DE414" s="731"/>
    </row>
    <row r="415" spans="84:109" ht="12.75" x14ac:dyDescent="0.2">
      <c r="CF415" s="739">
        <v>360</v>
      </c>
      <c r="CG415" s="740" t="s">
        <v>1354</v>
      </c>
      <c r="CH415" s="751">
        <f>C151</f>
        <v>0</v>
      </c>
      <c r="CI415" s="740" t="s">
        <v>1355</v>
      </c>
      <c r="CJ415" s="742" t="s">
        <v>1356</v>
      </c>
      <c r="CK415" s="740" t="s">
        <v>694</v>
      </c>
      <c r="CL415" s="731"/>
      <c r="CM415" s="731"/>
      <c r="CN415" s="731"/>
      <c r="CO415" s="731"/>
      <c r="CP415" s="731"/>
      <c r="CQ415" s="731"/>
      <c r="CR415" s="731"/>
      <c r="CS415" s="731"/>
      <c r="CT415" s="731"/>
      <c r="CU415" s="731"/>
      <c r="CV415" s="731"/>
      <c r="CW415" s="731"/>
      <c r="CX415" s="731"/>
      <c r="CY415" s="731"/>
      <c r="CZ415" s="731"/>
      <c r="DA415" s="731"/>
      <c r="DB415" s="731"/>
      <c r="DC415" s="731"/>
      <c r="DD415" s="731"/>
      <c r="DE415" s="731"/>
    </row>
    <row r="416" spans="84:109" ht="12.75" x14ac:dyDescent="0.2">
      <c r="CF416" s="735">
        <v>361</v>
      </c>
      <c r="CG416" s="736" t="s">
        <v>781</v>
      </c>
      <c r="CH416" s="745" t="str">
        <f>D151</f>
        <v>0.00</v>
      </c>
      <c r="CI416" s="736" t="s">
        <v>1355</v>
      </c>
      <c r="CJ416" s="738" t="s">
        <v>1357</v>
      </c>
      <c r="CK416" s="736" t="s">
        <v>647</v>
      </c>
      <c r="CL416" s="731"/>
      <c r="CM416" s="731"/>
      <c r="CN416" s="731"/>
      <c r="CO416" s="731"/>
      <c r="CP416" s="731"/>
      <c r="CQ416" s="731"/>
      <c r="CR416" s="731"/>
      <c r="CS416" s="731"/>
      <c r="CT416" s="731"/>
      <c r="CU416" s="731"/>
      <c r="CV416" s="731"/>
      <c r="CW416" s="731"/>
      <c r="CX416" s="731"/>
      <c r="CY416" s="731"/>
      <c r="CZ416" s="731"/>
      <c r="DA416" s="731"/>
      <c r="DB416" s="731"/>
      <c r="DC416" s="731"/>
      <c r="DD416" s="731"/>
      <c r="DE416" s="731"/>
    </row>
    <row r="417" spans="84:109" ht="12.75" x14ac:dyDescent="0.2">
      <c r="CF417" s="739">
        <v>362</v>
      </c>
      <c r="CG417" s="740" t="s">
        <v>1358</v>
      </c>
      <c r="CH417" s="744">
        <f>E151</f>
        <v>0</v>
      </c>
      <c r="CI417" s="740" t="s">
        <v>1355</v>
      </c>
      <c r="CJ417" s="742" t="s">
        <v>1359</v>
      </c>
      <c r="CK417" s="740" t="s">
        <v>650</v>
      </c>
      <c r="CL417" s="731"/>
      <c r="CM417" s="731"/>
      <c r="CN417" s="731"/>
      <c r="CO417" s="731"/>
      <c r="CP417" s="731"/>
      <c r="CQ417" s="731"/>
      <c r="CR417" s="731"/>
      <c r="CS417" s="731"/>
      <c r="CT417" s="731"/>
      <c r="CU417" s="731"/>
      <c r="CV417" s="731"/>
      <c r="CW417" s="731"/>
      <c r="CX417" s="731"/>
      <c r="CY417" s="731"/>
      <c r="CZ417" s="731"/>
      <c r="DA417" s="731"/>
      <c r="DB417" s="731"/>
      <c r="DC417" s="731"/>
      <c r="DD417" s="731"/>
      <c r="DE417" s="731"/>
    </row>
    <row r="418" spans="84:109" ht="12.75" x14ac:dyDescent="0.2">
      <c r="CF418" s="735">
        <v>363</v>
      </c>
      <c r="CG418" s="736" t="s">
        <v>1360</v>
      </c>
      <c r="CH418" s="743">
        <f>F151</f>
        <v>0</v>
      </c>
      <c r="CI418" s="736" t="s">
        <v>1355</v>
      </c>
      <c r="CJ418" s="738" t="s">
        <v>1361</v>
      </c>
      <c r="CK418" s="736" t="s">
        <v>571</v>
      </c>
      <c r="CL418" s="731"/>
      <c r="CM418" s="731"/>
      <c r="CN418" s="731"/>
      <c r="CO418" s="731"/>
      <c r="CP418" s="731"/>
      <c r="CQ418" s="731"/>
      <c r="CR418" s="731"/>
      <c r="CS418" s="731"/>
      <c r="CT418" s="731"/>
      <c r="CU418" s="731"/>
      <c r="CV418" s="731"/>
      <c r="CW418" s="731"/>
      <c r="CX418" s="731"/>
      <c r="CY418" s="731"/>
      <c r="CZ418" s="731"/>
      <c r="DA418" s="731"/>
      <c r="DB418" s="731"/>
      <c r="DC418" s="731"/>
      <c r="DD418" s="731"/>
      <c r="DE418" s="731"/>
    </row>
    <row r="419" spans="84:109" ht="12.75" x14ac:dyDescent="0.2">
      <c r="CF419" s="739">
        <v>364</v>
      </c>
      <c r="CG419" s="740" t="s">
        <v>1362</v>
      </c>
      <c r="CH419" s="746">
        <f>G151</f>
        <v>0</v>
      </c>
      <c r="CI419" s="740" t="s">
        <v>1355</v>
      </c>
      <c r="CJ419" s="742" t="s">
        <v>1363</v>
      </c>
      <c r="CK419" s="740" t="s">
        <v>597</v>
      </c>
      <c r="CL419" s="731"/>
      <c r="CM419" s="731"/>
      <c r="CN419" s="731"/>
      <c r="CO419" s="731"/>
      <c r="CP419" s="731"/>
      <c r="CQ419" s="731"/>
      <c r="CR419" s="731"/>
      <c r="CS419" s="731"/>
      <c r="CT419" s="731"/>
      <c r="CU419" s="731"/>
      <c r="CV419" s="731"/>
      <c r="CW419" s="731"/>
      <c r="CX419" s="731"/>
      <c r="CY419" s="731"/>
      <c r="CZ419" s="731"/>
      <c r="DA419" s="731"/>
      <c r="DB419" s="731"/>
      <c r="DC419" s="731"/>
      <c r="DD419" s="731"/>
      <c r="DE419" s="731"/>
    </row>
    <row r="420" spans="84:109" ht="12.75" x14ac:dyDescent="0.2">
      <c r="CF420" s="735">
        <v>365</v>
      </c>
      <c r="CG420" s="736" t="s">
        <v>1364</v>
      </c>
      <c r="CH420" s="743">
        <f>H151</f>
        <v>0</v>
      </c>
      <c r="CI420" s="736" t="s">
        <v>1355</v>
      </c>
      <c r="CJ420" s="738" t="s">
        <v>1365</v>
      </c>
      <c r="CK420" s="736" t="s">
        <v>571</v>
      </c>
      <c r="CL420" s="731"/>
      <c r="CM420" s="731"/>
      <c r="CN420" s="731"/>
      <c r="CO420" s="731"/>
      <c r="CP420" s="731"/>
      <c r="CQ420" s="731"/>
      <c r="CR420" s="731"/>
      <c r="CS420" s="731"/>
      <c r="CT420" s="731"/>
      <c r="CU420" s="731"/>
      <c r="CV420" s="731"/>
      <c r="CW420" s="731"/>
      <c r="CX420" s="731"/>
      <c r="CY420" s="731"/>
      <c r="CZ420" s="731"/>
      <c r="DA420" s="731"/>
      <c r="DB420" s="731"/>
      <c r="DC420" s="731"/>
      <c r="DD420" s="731"/>
      <c r="DE420" s="731"/>
    </row>
    <row r="421" spans="84:109" ht="12.75" x14ac:dyDescent="0.2">
      <c r="CF421" s="739">
        <v>366</v>
      </c>
      <c r="CG421" s="740" t="s">
        <v>1366</v>
      </c>
      <c r="CH421" s="744">
        <f>I151</f>
        <v>0</v>
      </c>
      <c r="CI421" s="740" t="s">
        <v>1355</v>
      </c>
      <c r="CJ421" s="742" t="s">
        <v>1367</v>
      </c>
      <c r="CK421" s="740" t="s">
        <v>571</v>
      </c>
      <c r="CL421" s="731"/>
      <c r="CM421" s="731"/>
      <c r="CN421" s="731"/>
      <c r="CO421" s="731"/>
      <c r="CP421" s="731"/>
      <c r="CQ421" s="731"/>
      <c r="CR421" s="731"/>
      <c r="CS421" s="731"/>
      <c r="CT421" s="731"/>
      <c r="CU421" s="731"/>
      <c r="CV421" s="731"/>
      <c r="CW421" s="731"/>
      <c r="CX421" s="731"/>
      <c r="CY421" s="731"/>
      <c r="CZ421" s="731"/>
      <c r="DA421" s="731"/>
      <c r="DB421" s="731"/>
      <c r="DC421" s="731"/>
      <c r="DD421" s="731"/>
      <c r="DE421" s="731"/>
    </row>
    <row r="422" spans="84:109" ht="12.75" x14ac:dyDescent="0.2">
      <c r="CF422" s="735">
        <v>367</v>
      </c>
      <c r="CG422" s="736" t="s">
        <v>1368</v>
      </c>
      <c r="CH422" s="745" t="str">
        <f>K151</f>
        <v>0</v>
      </c>
      <c r="CI422" s="736" t="s">
        <v>1355</v>
      </c>
      <c r="CJ422" s="738" t="s">
        <v>1369</v>
      </c>
      <c r="CK422" s="736" t="s">
        <v>592</v>
      </c>
      <c r="CL422" s="731"/>
      <c r="CM422" s="731"/>
      <c r="CN422" s="731"/>
      <c r="CO422" s="731"/>
      <c r="CP422" s="731"/>
      <c r="CQ422" s="731"/>
      <c r="CR422" s="731"/>
      <c r="CS422" s="731"/>
      <c r="CT422" s="731"/>
      <c r="CU422" s="731"/>
      <c r="CV422" s="731"/>
      <c r="CW422" s="731"/>
      <c r="CX422" s="731"/>
      <c r="CY422" s="731"/>
      <c r="CZ422" s="731"/>
      <c r="DA422" s="731"/>
      <c r="DB422" s="731"/>
      <c r="DC422" s="731"/>
      <c r="DD422" s="731"/>
      <c r="DE422" s="731"/>
    </row>
    <row r="423" spans="84:109" ht="12.75" x14ac:dyDescent="0.2">
      <c r="CF423" s="739">
        <v>368</v>
      </c>
      <c r="CG423" s="740" t="s">
        <v>1370</v>
      </c>
      <c r="CH423" s="746" t="str">
        <f>L151</f>
        <v>0.00%</v>
      </c>
      <c r="CI423" s="740" t="s">
        <v>1355</v>
      </c>
      <c r="CJ423" s="742" t="s">
        <v>1371</v>
      </c>
      <c r="CK423" s="740" t="s">
        <v>597</v>
      </c>
      <c r="CL423" s="731"/>
      <c r="CM423" s="731"/>
      <c r="CN423" s="731"/>
      <c r="CO423" s="731"/>
      <c r="CP423" s="731"/>
      <c r="CQ423" s="731"/>
      <c r="CR423" s="731"/>
      <c r="CS423" s="731"/>
      <c r="CT423" s="731"/>
      <c r="CU423" s="731"/>
      <c r="CV423" s="731"/>
      <c r="CW423" s="731"/>
      <c r="CX423" s="731"/>
      <c r="CY423" s="731"/>
      <c r="CZ423" s="731"/>
      <c r="DA423" s="731"/>
      <c r="DB423" s="731"/>
      <c r="DC423" s="731"/>
      <c r="DD423" s="731"/>
      <c r="DE423" s="731"/>
    </row>
    <row r="424" spans="84:109" ht="12.75" x14ac:dyDescent="0.2">
      <c r="CF424" s="735">
        <v>369</v>
      </c>
      <c r="CG424" s="736" t="s">
        <v>1372</v>
      </c>
      <c r="CH424" s="743">
        <f>M151</f>
        <v>0</v>
      </c>
      <c r="CI424" s="736" t="s">
        <v>1355</v>
      </c>
      <c r="CJ424" s="738" t="s">
        <v>1373</v>
      </c>
      <c r="CK424" s="736" t="s">
        <v>571</v>
      </c>
      <c r="CL424" s="731"/>
      <c r="CM424" s="731"/>
      <c r="CN424" s="731"/>
      <c r="CO424" s="731"/>
      <c r="CP424" s="731"/>
      <c r="CQ424" s="731"/>
      <c r="CR424" s="731"/>
      <c r="CS424" s="731"/>
      <c r="CT424" s="731"/>
      <c r="CU424" s="731"/>
      <c r="CV424" s="731"/>
      <c r="CW424" s="731"/>
      <c r="CX424" s="731"/>
      <c r="CY424" s="731"/>
      <c r="CZ424" s="731"/>
      <c r="DA424" s="731"/>
      <c r="DB424" s="731"/>
      <c r="DC424" s="731"/>
      <c r="DD424" s="731"/>
      <c r="DE424" s="731"/>
    </row>
    <row r="425" spans="84:109" ht="15" x14ac:dyDescent="0.2">
      <c r="CF425" s="734" t="s">
        <v>1374</v>
      </c>
      <c r="CG425" s="734"/>
      <c r="CH425" s="734"/>
      <c r="CI425" s="734"/>
      <c r="CJ425" s="734"/>
      <c r="CK425" s="734"/>
      <c r="CL425" s="731"/>
      <c r="CM425" s="731"/>
      <c r="CN425" s="731"/>
      <c r="CO425" s="731"/>
      <c r="CP425" s="731"/>
      <c r="CQ425" s="731"/>
      <c r="CR425" s="731"/>
      <c r="CS425" s="731"/>
      <c r="CT425" s="731"/>
      <c r="CU425" s="731"/>
      <c r="CV425" s="731"/>
      <c r="CW425" s="731"/>
      <c r="CX425" s="731"/>
      <c r="CY425" s="731"/>
      <c r="CZ425" s="731"/>
      <c r="DA425" s="731"/>
      <c r="DB425" s="731"/>
      <c r="DC425" s="731"/>
      <c r="DD425" s="731"/>
      <c r="DE425" s="731"/>
    </row>
    <row r="426" spans="84:109" ht="12.75" x14ac:dyDescent="0.2">
      <c r="CF426" s="739">
        <v>370</v>
      </c>
      <c r="CG426" s="740" t="s">
        <v>1375</v>
      </c>
      <c r="CH426" s="751">
        <f>C152</f>
        <v>0</v>
      </c>
      <c r="CI426" s="740" t="s">
        <v>1376</v>
      </c>
      <c r="CJ426" s="742" t="s">
        <v>1377</v>
      </c>
      <c r="CK426" s="740" t="s">
        <v>694</v>
      </c>
      <c r="CL426" s="731"/>
      <c r="CM426" s="731"/>
      <c r="CN426" s="731"/>
      <c r="CO426" s="731"/>
      <c r="CP426" s="731"/>
      <c r="CQ426" s="731"/>
      <c r="CR426" s="731"/>
      <c r="CS426" s="731"/>
      <c r="CT426" s="731"/>
      <c r="CU426" s="731"/>
      <c r="CV426" s="731"/>
      <c r="CW426" s="731"/>
      <c r="CX426" s="731"/>
      <c r="CY426" s="731"/>
      <c r="CZ426" s="731"/>
      <c r="DA426" s="731"/>
      <c r="DB426" s="731"/>
      <c r="DC426" s="731"/>
      <c r="DD426" s="731"/>
      <c r="DE426" s="731"/>
    </row>
    <row r="427" spans="84:109" ht="12.75" x14ac:dyDescent="0.2">
      <c r="CF427" s="735">
        <v>371</v>
      </c>
      <c r="CG427" s="736" t="s">
        <v>803</v>
      </c>
      <c r="CH427" s="745" t="str">
        <f>D152</f>
        <v>0.00</v>
      </c>
      <c r="CI427" s="736" t="s">
        <v>1376</v>
      </c>
      <c r="CJ427" s="738" t="s">
        <v>1378</v>
      </c>
      <c r="CK427" s="736" t="s">
        <v>647</v>
      </c>
      <c r="CL427" s="731"/>
      <c r="CM427" s="731"/>
      <c r="CN427" s="731"/>
      <c r="CO427" s="731"/>
      <c r="CP427" s="731"/>
      <c r="CQ427" s="731"/>
      <c r="CR427" s="731"/>
      <c r="CS427" s="731"/>
      <c r="CT427" s="731"/>
      <c r="CU427" s="731"/>
      <c r="CV427" s="731"/>
      <c r="CW427" s="731"/>
      <c r="CX427" s="731"/>
      <c r="CY427" s="731"/>
      <c r="CZ427" s="731"/>
      <c r="DA427" s="731"/>
      <c r="DB427" s="731"/>
      <c r="DC427" s="731"/>
      <c r="DD427" s="731"/>
      <c r="DE427" s="731"/>
    </row>
    <row r="428" spans="84:109" ht="12.75" x14ac:dyDescent="0.2">
      <c r="CF428" s="739">
        <v>372</v>
      </c>
      <c r="CG428" s="740" t="s">
        <v>1379</v>
      </c>
      <c r="CH428" s="744">
        <f>E152</f>
        <v>0</v>
      </c>
      <c r="CI428" s="740" t="s">
        <v>1376</v>
      </c>
      <c r="CJ428" s="742" t="s">
        <v>1380</v>
      </c>
      <c r="CK428" s="740" t="s">
        <v>650</v>
      </c>
      <c r="CL428" s="731"/>
      <c r="CM428" s="731"/>
      <c r="CN428" s="731"/>
      <c r="CO428" s="731"/>
      <c r="CP428" s="731"/>
      <c r="CQ428" s="731"/>
      <c r="CR428" s="731"/>
      <c r="CS428" s="731"/>
      <c r="CT428" s="731"/>
      <c r="CU428" s="731"/>
      <c r="CV428" s="731"/>
      <c r="CW428" s="731"/>
      <c r="CX428" s="731"/>
      <c r="CY428" s="731"/>
      <c r="CZ428" s="731"/>
      <c r="DA428" s="731"/>
      <c r="DB428" s="731"/>
      <c r="DC428" s="731"/>
      <c r="DD428" s="731"/>
      <c r="DE428" s="731"/>
    </row>
    <row r="429" spans="84:109" ht="12.75" x14ac:dyDescent="0.2">
      <c r="CF429" s="735">
        <v>373</v>
      </c>
      <c r="CG429" s="736" t="s">
        <v>1381</v>
      </c>
      <c r="CH429" s="743">
        <f>F152</f>
        <v>0</v>
      </c>
      <c r="CI429" s="736" t="s">
        <v>1376</v>
      </c>
      <c r="CJ429" s="738" t="s">
        <v>1382</v>
      </c>
      <c r="CK429" s="736" t="s">
        <v>571</v>
      </c>
      <c r="CL429" s="731"/>
      <c r="CM429" s="731"/>
      <c r="CN429" s="731"/>
      <c r="CO429" s="731"/>
      <c r="CP429" s="731"/>
      <c r="CQ429" s="731"/>
      <c r="CR429" s="731"/>
      <c r="CS429" s="731"/>
      <c r="CT429" s="731"/>
      <c r="CU429" s="731"/>
      <c r="CV429" s="731"/>
      <c r="CW429" s="731"/>
      <c r="CX429" s="731"/>
      <c r="CY429" s="731"/>
      <c r="CZ429" s="731"/>
      <c r="DA429" s="731"/>
      <c r="DB429" s="731"/>
      <c r="DC429" s="731"/>
      <c r="DD429" s="731"/>
      <c r="DE429" s="731"/>
    </row>
    <row r="430" spans="84:109" ht="12.75" x14ac:dyDescent="0.2">
      <c r="CF430" s="739">
        <v>374</v>
      </c>
      <c r="CG430" s="740" t="s">
        <v>1383</v>
      </c>
      <c r="CH430" s="746">
        <f>G152</f>
        <v>0</v>
      </c>
      <c r="CI430" s="740" t="s">
        <v>1376</v>
      </c>
      <c r="CJ430" s="742" t="s">
        <v>1384</v>
      </c>
      <c r="CK430" s="740" t="s">
        <v>597</v>
      </c>
      <c r="CL430" s="731"/>
      <c r="CM430" s="731"/>
      <c r="CN430" s="731"/>
      <c r="CO430" s="731"/>
      <c r="CP430" s="731"/>
      <c r="CQ430" s="731"/>
      <c r="CR430" s="731"/>
      <c r="CS430" s="731"/>
      <c r="CT430" s="731"/>
      <c r="CU430" s="731"/>
      <c r="CV430" s="731"/>
      <c r="CW430" s="731"/>
      <c r="CX430" s="731"/>
      <c r="CY430" s="731"/>
      <c r="CZ430" s="731"/>
      <c r="DA430" s="731"/>
      <c r="DB430" s="731"/>
      <c r="DC430" s="731"/>
      <c r="DD430" s="731"/>
      <c r="DE430" s="731"/>
    </row>
    <row r="431" spans="84:109" ht="12.75" x14ac:dyDescent="0.2">
      <c r="CF431" s="735">
        <v>375</v>
      </c>
      <c r="CG431" s="736" t="s">
        <v>1385</v>
      </c>
      <c r="CH431" s="743">
        <f>H152</f>
        <v>0</v>
      </c>
      <c r="CI431" s="736" t="s">
        <v>1376</v>
      </c>
      <c r="CJ431" s="738" t="s">
        <v>1386</v>
      </c>
      <c r="CK431" s="736" t="s">
        <v>571</v>
      </c>
      <c r="CL431" s="731"/>
      <c r="CM431" s="731"/>
      <c r="CN431" s="731"/>
      <c r="CO431" s="731"/>
      <c r="CP431" s="731"/>
      <c r="CQ431" s="731"/>
      <c r="CR431" s="731"/>
      <c r="CS431" s="731"/>
      <c r="CT431" s="731"/>
      <c r="CU431" s="731"/>
      <c r="CV431" s="731"/>
      <c r="CW431" s="731"/>
      <c r="CX431" s="731"/>
      <c r="CY431" s="731"/>
      <c r="CZ431" s="731"/>
      <c r="DA431" s="731"/>
      <c r="DB431" s="731"/>
      <c r="DC431" s="731"/>
      <c r="DD431" s="731"/>
      <c r="DE431" s="731"/>
    </row>
    <row r="432" spans="84:109" ht="12.75" x14ac:dyDescent="0.2">
      <c r="CF432" s="739">
        <v>376</v>
      </c>
      <c r="CG432" s="740" t="s">
        <v>1387</v>
      </c>
      <c r="CH432" s="744">
        <f>I152</f>
        <v>0</v>
      </c>
      <c r="CI432" s="740" t="s">
        <v>1376</v>
      </c>
      <c r="CJ432" s="742" t="s">
        <v>1388</v>
      </c>
      <c r="CK432" s="740" t="s">
        <v>571</v>
      </c>
      <c r="CL432" s="731"/>
      <c r="CM432" s="731"/>
      <c r="CN432" s="731"/>
      <c r="CO432" s="731"/>
      <c r="CP432" s="731"/>
      <c r="CQ432" s="731"/>
      <c r="CR432" s="731"/>
      <c r="CS432" s="731"/>
      <c r="CT432" s="731"/>
      <c r="CU432" s="731"/>
      <c r="CV432" s="731"/>
      <c r="CW432" s="731"/>
      <c r="CX432" s="731"/>
      <c r="CY432" s="731"/>
      <c r="CZ432" s="731"/>
      <c r="DA432" s="731"/>
      <c r="DB432" s="731"/>
      <c r="DC432" s="731"/>
      <c r="DD432" s="731"/>
      <c r="DE432" s="731"/>
    </row>
    <row r="433" spans="84:109" ht="12.75" x14ac:dyDescent="0.2">
      <c r="CF433" s="735">
        <v>377</v>
      </c>
      <c r="CG433" s="736" t="s">
        <v>1389</v>
      </c>
      <c r="CH433" s="745" t="str">
        <f>K152</f>
        <v>0</v>
      </c>
      <c r="CI433" s="736" t="s">
        <v>1376</v>
      </c>
      <c r="CJ433" s="738" t="s">
        <v>1390</v>
      </c>
      <c r="CK433" s="736" t="s">
        <v>592</v>
      </c>
      <c r="CL433" s="731"/>
      <c r="CM433" s="731"/>
      <c r="CN433" s="731"/>
      <c r="CO433" s="731"/>
      <c r="CP433" s="731"/>
      <c r="CQ433" s="731"/>
      <c r="CR433" s="731"/>
      <c r="CS433" s="731"/>
      <c r="CT433" s="731"/>
      <c r="CU433" s="731"/>
      <c r="CV433" s="731"/>
      <c r="CW433" s="731"/>
      <c r="CX433" s="731"/>
      <c r="CY433" s="731"/>
      <c r="CZ433" s="731"/>
      <c r="DA433" s="731"/>
      <c r="DB433" s="731"/>
      <c r="DC433" s="731"/>
      <c r="DD433" s="731"/>
      <c r="DE433" s="731"/>
    </row>
    <row r="434" spans="84:109" ht="12.75" x14ac:dyDescent="0.2">
      <c r="CF434" s="739">
        <v>378</v>
      </c>
      <c r="CG434" s="740" t="s">
        <v>1391</v>
      </c>
      <c r="CH434" s="746" t="str">
        <f>L152</f>
        <v>0.00%</v>
      </c>
      <c r="CI434" s="740" t="s">
        <v>1376</v>
      </c>
      <c r="CJ434" s="742" t="s">
        <v>1392</v>
      </c>
      <c r="CK434" s="740" t="s">
        <v>597</v>
      </c>
      <c r="CL434" s="731"/>
      <c r="CM434" s="731"/>
      <c r="CN434" s="731"/>
      <c r="CO434" s="731"/>
      <c r="CP434" s="731"/>
      <c r="CQ434" s="731"/>
      <c r="CR434" s="731"/>
      <c r="CS434" s="731"/>
      <c r="CT434" s="731"/>
      <c r="CU434" s="731"/>
      <c r="CV434" s="731"/>
      <c r="CW434" s="731"/>
      <c r="CX434" s="731"/>
      <c r="CY434" s="731"/>
      <c r="CZ434" s="731"/>
      <c r="DA434" s="731"/>
      <c r="DB434" s="731"/>
      <c r="DC434" s="731"/>
      <c r="DD434" s="731"/>
      <c r="DE434" s="731"/>
    </row>
    <row r="435" spans="84:109" ht="12.75" x14ac:dyDescent="0.2">
      <c r="CF435" s="735">
        <v>379</v>
      </c>
      <c r="CG435" s="736" t="s">
        <v>1393</v>
      </c>
      <c r="CH435" s="743">
        <f>M152</f>
        <v>0</v>
      </c>
      <c r="CI435" s="736" t="s">
        <v>1376</v>
      </c>
      <c r="CJ435" s="738" t="s">
        <v>1394</v>
      </c>
      <c r="CK435" s="736" t="s">
        <v>571</v>
      </c>
      <c r="CL435" s="731"/>
      <c r="CM435" s="731"/>
      <c r="CN435" s="731"/>
      <c r="CO435" s="731"/>
      <c r="CP435" s="731"/>
      <c r="CQ435" s="731"/>
      <c r="CR435" s="731"/>
      <c r="CS435" s="731"/>
      <c r="CT435" s="731"/>
      <c r="CU435" s="731"/>
      <c r="CV435" s="731"/>
      <c r="CW435" s="731"/>
      <c r="CX435" s="731"/>
      <c r="CY435" s="731"/>
      <c r="CZ435" s="731"/>
      <c r="DA435" s="731"/>
      <c r="DB435" s="731"/>
      <c r="DC435" s="731"/>
      <c r="DD435" s="731"/>
      <c r="DE435" s="731"/>
    </row>
    <row r="436" spans="84:109" ht="15" x14ac:dyDescent="0.2">
      <c r="CF436" s="734" t="s">
        <v>1395</v>
      </c>
      <c r="CG436" s="734"/>
      <c r="CH436" s="734"/>
      <c r="CI436" s="734"/>
      <c r="CJ436" s="734"/>
      <c r="CK436" s="734"/>
      <c r="CL436" s="731"/>
      <c r="CM436" s="731"/>
      <c r="CN436" s="731"/>
      <c r="CO436" s="731"/>
      <c r="CP436" s="731"/>
      <c r="CQ436" s="731"/>
      <c r="CR436" s="731"/>
      <c r="CS436" s="731"/>
      <c r="CT436" s="731"/>
      <c r="CU436" s="731"/>
      <c r="CV436" s="731"/>
      <c r="CW436" s="731"/>
      <c r="CX436" s="731"/>
      <c r="CY436" s="731"/>
      <c r="CZ436" s="731"/>
      <c r="DA436" s="731"/>
      <c r="DB436" s="731"/>
      <c r="DC436" s="731"/>
      <c r="DD436" s="731"/>
      <c r="DE436" s="731"/>
    </row>
    <row r="437" spans="84:109" ht="12.75" x14ac:dyDescent="0.2">
      <c r="CF437" s="739">
        <v>380</v>
      </c>
      <c r="CG437" s="740" t="s">
        <v>1396</v>
      </c>
      <c r="CH437" s="751">
        <f>C153</f>
        <v>0</v>
      </c>
      <c r="CI437" s="740" t="s">
        <v>1397</v>
      </c>
      <c r="CJ437" s="742" t="s">
        <v>1398</v>
      </c>
      <c r="CK437" s="740" t="s">
        <v>694</v>
      </c>
      <c r="CL437" s="731"/>
      <c r="CM437" s="731"/>
      <c r="CN437" s="731"/>
      <c r="CO437" s="731"/>
      <c r="CP437" s="731"/>
      <c r="CQ437" s="731"/>
      <c r="CR437" s="731"/>
      <c r="CS437" s="731"/>
      <c r="CT437" s="731"/>
      <c r="CU437" s="731"/>
      <c r="CV437" s="731"/>
      <c r="CW437" s="731"/>
      <c r="CX437" s="731"/>
      <c r="CY437" s="731"/>
      <c r="CZ437" s="731"/>
      <c r="DA437" s="731"/>
      <c r="DB437" s="731"/>
      <c r="DC437" s="731"/>
      <c r="DD437" s="731"/>
      <c r="DE437" s="731"/>
    </row>
    <row r="438" spans="84:109" ht="12.75" x14ac:dyDescent="0.2">
      <c r="CF438" s="735">
        <v>381</v>
      </c>
      <c r="CG438" s="736" t="s">
        <v>825</v>
      </c>
      <c r="CH438" s="745" t="str">
        <f>D153</f>
        <v>0.00</v>
      </c>
      <c r="CI438" s="736" t="s">
        <v>1397</v>
      </c>
      <c r="CJ438" s="738" t="s">
        <v>1399</v>
      </c>
      <c r="CK438" s="736" t="s">
        <v>647</v>
      </c>
      <c r="CL438" s="731"/>
      <c r="CM438" s="731"/>
      <c r="CN438" s="731"/>
      <c r="CO438" s="731"/>
      <c r="CP438" s="731"/>
      <c r="CQ438" s="731"/>
      <c r="CR438" s="731"/>
      <c r="CS438" s="731"/>
      <c r="CT438" s="731"/>
      <c r="CU438" s="731"/>
      <c r="CV438" s="731"/>
      <c r="CW438" s="731"/>
      <c r="CX438" s="731"/>
      <c r="CY438" s="731"/>
      <c r="CZ438" s="731"/>
      <c r="DA438" s="731"/>
      <c r="DB438" s="731"/>
      <c r="DC438" s="731"/>
      <c r="DD438" s="731"/>
      <c r="DE438" s="731"/>
    </row>
    <row r="439" spans="84:109" ht="12.75" x14ac:dyDescent="0.2">
      <c r="CF439" s="739">
        <v>382</v>
      </c>
      <c r="CG439" s="740" t="s">
        <v>1400</v>
      </c>
      <c r="CH439" s="744">
        <f>E153</f>
        <v>0</v>
      </c>
      <c r="CI439" s="740" t="s">
        <v>1397</v>
      </c>
      <c r="CJ439" s="742" t="s">
        <v>1401</v>
      </c>
      <c r="CK439" s="740" t="s">
        <v>650</v>
      </c>
      <c r="CL439" s="731"/>
      <c r="CM439" s="731"/>
      <c r="CN439" s="731"/>
      <c r="CO439" s="731"/>
      <c r="CP439" s="731"/>
      <c r="CQ439" s="731"/>
      <c r="CR439" s="731"/>
      <c r="CS439" s="731"/>
      <c r="CT439" s="731"/>
      <c r="CU439" s="731"/>
      <c r="CV439" s="731"/>
      <c r="CW439" s="731"/>
      <c r="CX439" s="731"/>
      <c r="CY439" s="731"/>
      <c r="CZ439" s="731"/>
      <c r="DA439" s="731"/>
      <c r="DB439" s="731"/>
      <c r="DC439" s="731"/>
      <c r="DD439" s="731"/>
      <c r="DE439" s="731"/>
    </row>
    <row r="440" spans="84:109" ht="12.75" x14ac:dyDescent="0.2">
      <c r="CF440" s="735">
        <v>383</v>
      </c>
      <c r="CG440" s="736" t="s">
        <v>1402</v>
      </c>
      <c r="CH440" s="743">
        <f>F153</f>
        <v>0</v>
      </c>
      <c r="CI440" s="736" t="s">
        <v>1397</v>
      </c>
      <c r="CJ440" s="738" t="s">
        <v>1403</v>
      </c>
      <c r="CK440" s="736" t="s">
        <v>571</v>
      </c>
      <c r="CL440" s="731"/>
      <c r="CM440" s="731"/>
      <c r="CN440" s="731"/>
      <c r="CO440" s="731"/>
      <c r="CP440" s="731"/>
      <c r="CQ440" s="731"/>
      <c r="CR440" s="731"/>
      <c r="CS440" s="731"/>
      <c r="CT440" s="731"/>
      <c r="CU440" s="731"/>
      <c r="CV440" s="731"/>
      <c r="CW440" s="731"/>
      <c r="CX440" s="731"/>
      <c r="CY440" s="731"/>
      <c r="CZ440" s="731"/>
      <c r="DA440" s="731"/>
      <c r="DB440" s="731"/>
      <c r="DC440" s="731"/>
      <c r="DD440" s="731"/>
      <c r="DE440" s="731"/>
    </row>
    <row r="441" spans="84:109" ht="12.75" x14ac:dyDescent="0.2">
      <c r="CF441" s="739">
        <v>384</v>
      </c>
      <c r="CG441" s="740" t="s">
        <v>1404</v>
      </c>
      <c r="CH441" s="746">
        <f>G153</f>
        <v>0</v>
      </c>
      <c r="CI441" s="740" t="s">
        <v>1397</v>
      </c>
      <c r="CJ441" s="742" t="s">
        <v>1405</v>
      </c>
      <c r="CK441" s="740" t="s">
        <v>597</v>
      </c>
      <c r="CL441" s="731"/>
      <c r="CM441" s="731"/>
      <c r="CN441" s="731"/>
      <c r="CO441" s="731"/>
      <c r="CP441" s="731"/>
      <c r="CQ441" s="731"/>
      <c r="CR441" s="731"/>
      <c r="CS441" s="731"/>
      <c r="CT441" s="731"/>
      <c r="CU441" s="731"/>
      <c r="CV441" s="731"/>
      <c r="CW441" s="731"/>
      <c r="CX441" s="731"/>
      <c r="CY441" s="731"/>
      <c r="CZ441" s="731"/>
      <c r="DA441" s="731"/>
      <c r="DB441" s="731"/>
      <c r="DC441" s="731"/>
      <c r="DD441" s="731"/>
      <c r="DE441" s="731"/>
    </row>
    <row r="442" spans="84:109" ht="12.75" x14ac:dyDescent="0.2">
      <c r="CF442" s="735">
        <v>385</v>
      </c>
      <c r="CG442" s="736" t="s">
        <v>1406</v>
      </c>
      <c r="CH442" s="743">
        <f>H153</f>
        <v>0</v>
      </c>
      <c r="CI442" s="736" t="s">
        <v>1397</v>
      </c>
      <c r="CJ442" s="738" t="s">
        <v>1407</v>
      </c>
      <c r="CK442" s="736" t="s">
        <v>571</v>
      </c>
      <c r="CL442" s="731"/>
      <c r="CM442" s="731"/>
      <c r="CN442" s="731"/>
      <c r="CO442" s="731"/>
      <c r="CP442" s="731"/>
      <c r="CQ442" s="731"/>
      <c r="CR442" s="731"/>
      <c r="CS442" s="731"/>
      <c r="CT442" s="731"/>
      <c r="CU442" s="731"/>
      <c r="CV442" s="731"/>
      <c r="CW442" s="731"/>
      <c r="CX442" s="731"/>
      <c r="CY442" s="731"/>
      <c r="CZ442" s="731"/>
      <c r="DA442" s="731"/>
      <c r="DB442" s="731"/>
      <c r="DC442" s="731"/>
      <c r="DD442" s="731"/>
      <c r="DE442" s="731"/>
    </row>
    <row r="443" spans="84:109" ht="12.75" x14ac:dyDescent="0.2">
      <c r="CF443" s="739">
        <v>386</v>
      </c>
      <c r="CG443" s="740" t="s">
        <v>1408</v>
      </c>
      <c r="CH443" s="744">
        <f>I153</f>
        <v>0</v>
      </c>
      <c r="CI443" s="740" t="s">
        <v>1397</v>
      </c>
      <c r="CJ443" s="742" t="s">
        <v>1409</v>
      </c>
      <c r="CK443" s="740" t="s">
        <v>571</v>
      </c>
      <c r="CL443" s="731"/>
      <c r="CM443" s="731"/>
      <c r="CN443" s="731"/>
      <c r="CO443" s="731"/>
      <c r="CP443" s="731"/>
      <c r="CQ443" s="731"/>
      <c r="CR443" s="731"/>
      <c r="CS443" s="731"/>
      <c r="CT443" s="731"/>
      <c r="CU443" s="731"/>
      <c r="CV443" s="731"/>
      <c r="CW443" s="731"/>
      <c r="CX443" s="731"/>
      <c r="CY443" s="731"/>
      <c r="CZ443" s="731"/>
      <c r="DA443" s="731"/>
      <c r="DB443" s="731"/>
      <c r="DC443" s="731"/>
      <c r="DD443" s="731"/>
      <c r="DE443" s="731"/>
    </row>
    <row r="444" spans="84:109" ht="12.75" x14ac:dyDescent="0.2">
      <c r="CF444" s="735">
        <v>387</v>
      </c>
      <c r="CG444" s="736" t="s">
        <v>1410</v>
      </c>
      <c r="CH444" s="745" t="str">
        <f>K153</f>
        <v>0</v>
      </c>
      <c r="CI444" s="736" t="s">
        <v>1397</v>
      </c>
      <c r="CJ444" s="738" t="s">
        <v>1411</v>
      </c>
      <c r="CK444" s="736" t="s">
        <v>592</v>
      </c>
      <c r="CL444" s="731"/>
      <c r="CM444" s="731"/>
      <c r="CN444" s="731"/>
      <c r="CO444" s="731"/>
      <c r="CP444" s="731"/>
      <c r="CQ444" s="731"/>
      <c r="CR444" s="731"/>
      <c r="CS444" s="731"/>
      <c r="CT444" s="731"/>
      <c r="CU444" s="731"/>
      <c r="CV444" s="731"/>
      <c r="CW444" s="731"/>
      <c r="CX444" s="731"/>
      <c r="CY444" s="731"/>
      <c r="CZ444" s="731"/>
      <c r="DA444" s="731"/>
      <c r="DB444" s="731"/>
      <c r="DC444" s="731"/>
      <c r="DD444" s="731"/>
      <c r="DE444" s="731"/>
    </row>
    <row r="445" spans="84:109" ht="12.75" x14ac:dyDescent="0.2">
      <c r="CF445" s="739">
        <v>388</v>
      </c>
      <c r="CG445" s="740" t="s">
        <v>1412</v>
      </c>
      <c r="CH445" s="746" t="str">
        <f>L153</f>
        <v>0.00%</v>
      </c>
      <c r="CI445" s="740" t="s">
        <v>1397</v>
      </c>
      <c r="CJ445" s="742" t="s">
        <v>1413</v>
      </c>
      <c r="CK445" s="740" t="s">
        <v>597</v>
      </c>
      <c r="CL445" s="731"/>
      <c r="CM445" s="731"/>
      <c r="CN445" s="731"/>
      <c r="CO445" s="731"/>
      <c r="CP445" s="731"/>
      <c r="CQ445" s="731"/>
      <c r="CR445" s="731"/>
      <c r="CS445" s="731"/>
      <c r="CT445" s="731"/>
      <c r="CU445" s="731"/>
      <c r="CV445" s="731"/>
      <c r="CW445" s="731"/>
      <c r="CX445" s="731"/>
      <c r="CY445" s="731"/>
      <c r="CZ445" s="731"/>
      <c r="DA445" s="731"/>
      <c r="DB445" s="731"/>
      <c r="DC445" s="731"/>
      <c r="DD445" s="731"/>
      <c r="DE445" s="731"/>
    </row>
    <row r="446" spans="84:109" ht="12.75" x14ac:dyDescent="0.2">
      <c r="CF446" s="735">
        <v>389</v>
      </c>
      <c r="CG446" s="736" t="s">
        <v>1414</v>
      </c>
      <c r="CH446" s="743">
        <f>M153</f>
        <v>0</v>
      </c>
      <c r="CI446" s="736" t="s">
        <v>1397</v>
      </c>
      <c r="CJ446" s="738" t="s">
        <v>1415</v>
      </c>
      <c r="CK446" s="736" t="s">
        <v>571</v>
      </c>
      <c r="CL446" s="731"/>
      <c r="CM446" s="731"/>
      <c r="CN446" s="731"/>
      <c r="CO446" s="731"/>
      <c r="CP446" s="731"/>
      <c r="CQ446" s="731"/>
      <c r="CR446" s="731"/>
      <c r="CS446" s="731"/>
      <c r="CT446" s="731"/>
      <c r="CU446" s="731"/>
      <c r="CV446" s="731"/>
      <c r="CW446" s="731"/>
      <c r="CX446" s="731"/>
      <c r="CY446" s="731"/>
      <c r="CZ446" s="731"/>
      <c r="DA446" s="731"/>
      <c r="DB446" s="731"/>
      <c r="DC446" s="731"/>
      <c r="DD446" s="731"/>
      <c r="DE446" s="731"/>
    </row>
    <row r="447" spans="84:109" ht="15" x14ac:dyDescent="0.2">
      <c r="CF447" s="734" t="s">
        <v>1416</v>
      </c>
      <c r="CG447" s="734"/>
      <c r="CH447" s="734"/>
      <c r="CI447" s="734"/>
      <c r="CJ447" s="734"/>
      <c r="CK447" s="734"/>
      <c r="CL447" s="731"/>
      <c r="CM447" s="731"/>
      <c r="CN447" s="731"/>
      <c r="CO447" s="731"/>
      <c r="CP447" s="731"/>
      <c r="CQ447" s="731"/>
      <c r="CR447" s="731"/>
      <c r="CS447" s="731"/>
      <c r="CT447" s="731"/>
      <c r="CU447" s="731"/>
      <c r="CV447" s="731"/>
      <c r="CW447" s="731"/>
      <c r="CX447" s="731"/>
      <c r="CY447" s="731"/>
      <c r="CZ447" s="731"/>
      <c r="DA447" s="731"/>
      <c r="DB447" s="731"/>
      <c r="DC447" s="731"/>
      <c r="DD447" s="731"/>
      <c r="DE447" s="731"/>
    </row>
    <row r="448" spans="84:109" ht="12.75" x14ac:dyDescent="0.2">
      <c r="CF448" s="739">
        <v>390</v>
      </c>
      <c r="CG448" s="740" t="s">
        <v>1417</v>
      </c>
      <c r="CH448" s="751">
        <f>C154</f>
        <v>100</v>
      </c>
      <c r="CI448" s="740" t="s">
        <v>1418</v>
      </c>
      <c r="CJ448" s="742" t="s">
        <v>1419</v>
      </c>
      <c r="CK448" s="740" t="s">
        <v>694</v>
      </c>
      <c r="CL448" s="731"/>
      <c r="CM448" s="731"/>
      <c r="CN448" s="731"/>
      <c r="CO448" s="731"/>
      <c r="CP448" s="731"/>
      <c r="CQ448" s="731"/>
      <c r="CR448" s="731"/>
      <c r="CS448" s="731"/>
      <c r="CT448" s="731"/>
      <c r="CU448" s="731"/>
      <c r="CV448" s="731"/>
      <c r="CW448" s="731"/>
      <c r="CX448" s="731"/>
      <c r="CY448" s="731"/>
      <c r="CZ448" s="731"/>
      <c r="DA448" s="731"/>
      <c r="DB448" s="731"/>
      <c r="DC448" s="731"/>
      <c r="DD448" s="731"/>
      <c r="DE448" s="731"/>
    </row>
    <row r="449" spans="84:109" ht="12.75" x14ac:dyDescent="0.2">
      <c r="CF449" s="735">
        <v>391</v>
      </c>
      <c r="CG449" s="736" t="s">
        <v>847</v>
      </c>
      <c r="CH449" s="745">
        <f>D154</f>
        <v>35.669999999999987</v>
      </c>
      <c r="CI449" s="736" t="s">
        <v>1418</v>
      </c>
      <c r="CJ449" s="738" t="s">
        <v>1420</v>
      </c>
      <c r="CK449" s="736" t="s">
        <v>647</v>
      </c>
      <c r="CL449" s="731"/>
      <c r="CM449" s="731"/>
      <c r="CN449" s="731"/>
      <c r="CO449" s="731"/>
      <c r="CP449" s="731"/>
      <c r="CQ449" s="731"/>
      <c r="CR449" s="731"/>
      <c r="CS449" s="731"/>
      <c r="CT449" s="731"/>
      <c r="CU449" s="731"/>
      <c r="CV449" s="731"/>
      <c r="CW449" s="731"/>
      <c r="CX449" s="731"/>
      <c r="CY449" s="731"/>
      <c r="CZ449" s="731"/>
      <c r="DA449" s="731"/>
      <c r="DB449" s="731"/>
      <c r="DC449" s="731"/>
      <c r="DD449" s="731"/>
      <c r="DE449" s="731"/>
    </row>
    <row r="450" spans="84:109" ht="12.75" x14ac:dyDescent="0.2">
      <c r="CF450" s="739">
        <v>392</v>
      </c>
      <c r="CG450" s="740" t="s">
        <v>1421</v>
      </c>
      <c r="CH450" s="744">
        <f>E154</f>
        <v>0</v>
      </c>
      <c r="CI450" s="740" t="s">
        <v>1418</v>
      </c>
      <c r="CJ450" s="742" t="s">
        <v>1422</v>
      </c>
      <c r="CK450" s="740" t="s">
        <v>650</v>
      </c>
      <c r="CL450" s="731"/>
      <c r="CM450" s="731"/>
      <c r="CN450" s="731"/>
      <c r="CO450" s="731"/>
      <c r="CP450" s="731"/>
      <c r="CQ450" s="731"/>
      <c r="CR450" s="731"/>
      <c r="CS450" s="731"/>
      <c r="CT450" s="731"/>
      <c r="CU450" s="731"/>
      <c r="CV450" s="731"/>
      <c r="CW450" s="731"/>
      <c r="CX450" s="731"/>
      <c r="CY450" s="731"/>
      <c r="CZ450" s="731"/>
      <c r="DA450" s="731"/>
      <c r="DB450" s="731"/>
      <c r="DC450" s="731"/>
      <c r="DD450" s="731"/>
      <c r="DE450" s="731"/>
    </row>
    <row r="451" spans="84:109" ht="12.75" x14ac:dyDescent="0.2">
      <c r="CF451" s="735">
        <v>393</v>
      </c>
      <c r="CG451" s="736" t="s">
        <v>1423</v>
      </c>
      <c r="CH451" s="743">
        <f>F154</f>
        <v>0</v>
      </c>
      <c r="CI451" s="736" t="s">
        <v>1418</v>
      </c>
      <c r="CJ451" s="738" t="s">
        <v>1424</v>
      </c>
      <c r="CK451" s="736" t="s">
        <v>571</v>
      </c>
      <c r="CL451" s="731"/>
      <c r="CM451" s="731"/>
      <c r="CN451" s="731"/>
      <c r="CO451" s="731"/>
      <c r="CP451" s="731"/>
      <c r="CQ451" s="731"/>
      <c r="CR451" s="731"/>
      <c r="CS451" s="731"/>
      <c r="CT451" s="731"/>
      <c r="CU451" s="731"/>
      <c r="CV451" s="731"/>
      <c r="CW451" s="731"/>
      <c r="CX451" s="731"/>
      <c r="CY451" s="731"/>
      <c r="CZ451" s="731"/>
      <c r="DA451" s="731"/>
      <c r="DB451" s="731"/>
      <c r="DC451" s="731"/>
      <c r="DD451" s="731"/>
      <c r="DE451" s="731"/>
    </row>
    <row r="452" spans="84:109" ht="12.75" x14ac:dyDescent="0.2">
      <c r="CF452" s="739">
        <v>394</v>
      </c>
      <c r="CG452" s="740" t="s">
        <v>1425</v>
      </c>
      <c r="CH452" s="746">
        <f>G154</f>
        <v>0</v>
      </c>
      <c r="CI452" s="740" t="s">
        <v>1418</v>
      </c>
      <c r="CJ452" s="742" t="s">
        <v>1426</v>
      </c>
      <c r="CK452" s="740" t="s">
        <v>597</v>
      </c>
      <c r="CL452" s="731"/>
      <c r="CM452" s="731"/>
      <c r="CN452" s="731"/>
      <c r="CO452" s="731"/>
      <c r="CP452" s="731"/>
      <c r="CQ452" s="731"/>
      <c r="CR452" s="731"/>
      <c r="CS452" s="731"/>
      <c r="CT452" s="731"/>
      <c r="CU452" s="731"/>
      <c r="CV452" s="731"/>
      <c r="CW452" s="731"/>
      <c r="CX452" s="731"/>
      <c r="CY452" s="731"/>
      <c r="CZ452" s="731"/>
      <c r="DA452" s="731"/>
      <c r="DB452" s="731"/>
      <c r="DC452" s="731"/>
      <c r="DD452" s="731"/>
      <c r="DE452" s="731"/>
    </row>
    <row r="453" spans="84:109" ht="12.75" x14ac:dyDescent="0.2">
      <c r="CF453" s="735">
        <v>395</v>
      </c>
      <c r="CG453" s="736" t="s">
        <v>1427</v>
      </c>
      <c r="CH453" s="743">
        <f>H154</f>
        <v>0</v>
      </c>
      <c r="CI453" s="736" t="s">
        <v>1418</v>
      </c>
      <c r="CJ453" s="738" t="s">
        <v>1428</v>
      </c>
      <c r="CK453" s="736" t="s">
        <v>571</v>
      </c>
      <c r="CL453" s="731"/>
      <c r="CM453" s="731"/>
      <c r="CN453" s="731"/>
      <c r="CO453" s="731"/>
      <c r="CP453" s="731"/>
      <c r="CQ453" s="731"/>
      <c r="CR453" s="731"/>
      <c r="CS453" s="731"/>
      <c r="CT453" s="731"/>
      <c r="CU453" s="731"/>
      <c r="CV453" s="731"/>
      <c r="CW453" s="731"/>
      <c r="CX453" s="731"/>
      <c r="CY453" s="731"/>
      <c r="CZ453" s="731"/>
      <c r="DA453" s="731"/>
      <c r="DB453" s="731"/>
      <c r="DC453" s="731"/>
      <c r="DD453" s="731"/>
      <c r="DE453" s="731"/>
    </row>
    <row r="454" spans="84:109" ht="12.75" x14ac:dyDescent="0.2">
      <c r="CF454" s="739">
        <v>396</v>
      </c>
      <c r="CG454" s="740" t="s">
        <v>1429</v>
      </c>
      <c r="CH454" s="744">
        <f>I154</f>
        <v>0</v>
      </c>
      <c r="CI454" s="740" t="s">
        <v>1418</v>
      </c>
      <c r="CJ454" s="742" t="s">
        <v>1430</v>
      </c>
      <c r="CK454" s="740" t="s">
        <v>571</v>
      </c>
      <c r="CL454" s="731"/>
      <c r="CM454" s="731"/>
      <c r="CN454" s="731"/>
      <c r="CO454" s="731"/>
      <c r="CP454" s="731"/>
      <c r="CQ454" s="731"/>
      <c r="CR454" s="731"/>
      <c r="CS454" s="731"/>
      <c r="CT454" s="731"/>
      <c r="CU454" s="731"/>
      <c r="CV454" s="731"/>
      <c r="CW454" s="731"/>
      <c r="CX454" s="731"/>
      <c r="CY454" s="731"/>
      <c r="CZ454" s="731"/>
      <c r="DA454" s="731"/>
      <c r="DB454" s="731"/>
      <c r="DC454" s="731"/>
      <c r="DD454" s="731"/>
      <c r="DE454" s="731"/>
    </row>
    <row r="455" spans="84:109" ht="12.75" x14ac:dyDescent="0.2">
      <c r="CF455" s="735">
        <v>397</v>
      </c>
      <c r="CG455" s="736" t="s">
        <v>1431</v>
      </c>
      <c r="CH455" s="745" t="str">
        <f>K154</f>
        <v>0</v>
      </c>
      <c r="CI455" s="736" t="s">
        <v>1418</v>
      </c>
      <c r="CJ455" s="738" t="s">
        <v>1432</v>
      </c>
      <c r="CK455" s="736" t="s">
        <v>592</v>
      </c>
      <c r="CL455" s="731"/>
      <c r="CM455" s="731"/>
      <c r="CN455" s="731"/>
      <c r="CO455" s="731"/>
      <c r="CP455" s="731"/>
      <c r="CQ455" s="731"/>
      <c r="CR455" s="731"/>
      <c r="CS455" s="731"/>
      <c r="CT455" s="731"/>
      <c r="CU455" s="731"/>
      <c r="CV455" s="731"/>
      <c r="CW455" s="731"/>
      <c r="CX455" s="731"/>
      <c r="CY455" s="731"/>
      <c r="CZ455" s="731"/>
      <c r="DA455" s="731"/>
      <c r="DB455" s="731"/>
      <c r="DC455" s="731"/>
      <c r="DD455" s="731"/>
      <c r="DE455" s="731"/>
    </row>
    <row r="456" spans="84:109" ht="12.75" x14ac:dyDescent="0.2">
      <c r="CF456" s="739">
        <v>398</v>
      </c>
      <c r="CG456" s="740" t="s">
        <v>1433</v>
      </c>
      <c r="CH456" s="746">
        <f>L154</f>
        <v>0</v>
      </c>
      <c r="CI456" s="740" t="s">
        <v>1418</v>
      </c>
      <c r="CJ456" s="742" t="s">
        <v>1434</v>
      </c>
      <c r="CK456" s="740" t="s">
        <v>597</v>
      </c>
      <c r="CL456" s="731"/>
      <c r="CM456" s="731"/>
      <c r="CN456" s="731"/>
      <c r="CO456" s="731"/>
      <c r="CP456" s="731"/>
      <c r="CQ456" s="731"/>
      <c r="CR456" s="731"/>
      <c r="CS456" s="731"/>
      <c r="CT456" s="731"/>
      <c r="CU456" s="731"/>
      <c r="CV456" s="731"/>
      <c r="CW456" s="731"/>
      <c r="CX456" s="731"/>
      <c r="CY456" s="731"/>
      <c r="CZ456" s="731"/>
      <c r="DA456" s="731"/>
      <c r="DB456" s="731"/>
      <c r="DC456" s="731"/>
      <c r="DD456" s="731"/>
      <c r="DE456" s="731"/>
    </row>
    <row r="457" spans="84:109" ht="12.75" x14ac:dyDescent="0.2">
      <c r="CF457" s="735">
        <v>399</v>
      </c>
      <c r="CG457" s="736" t="s">
        <v>1435</v>
      </c>
      <c r="CH457" s="743">
        <f>M154</f>
        <v>0</v>
      </c>
      <c r="CI457" s="736" t="s">
        <v>1418</v>
      </c>
      <c r="CJ457" s="738" t="s">
        <v>1436</v>
      </c>
      <c r="CK457" s="736" t="s">
        <v>571</v>
      </c>
      <c r="CL457" s="731"/>
      <c r="CM457" s="731"/>
      <c r="CN457" s="731"/>
      <c r="CO457" s="731"/>
      <c r="CP457" s="731"/>
      <c r="CQ457" s="731"/>
      <c r="CR457" s="731"/>
      <c r="CS457" s="731"/>
      <c r="CT457" s="731"/>
      <c r="CU457" s="731"/>
      <c r="CV457" s="731"/>
      <c r="CW457" s="731"/>
      <c r="CX457" s="731"/>
      <c r="CY457" s="731"/>
      <c r="CZ457" s="731"/>
      <c r="DA457" s="731"/>
      <c r="DB457" s="731"/>
      <c r="DC457" s="731"/>
      <c r="DD457" s="731"/>
      <c r="DE457" s="731"/>
    </row>
    <row r="458" spans="84:109" ht="15" x14ac:dyDescent="0.2">
      <c r="CF458" s="734" t="s">
        <v>1437</v>
      </c>
      <c r="CG458" s="734"/>
      <c r="CH458" s="734"/>
      <c r="CI458" s="734"/>
      <c r="CJ458" s="734"/>
      <c r="CK458" s="734"/>
      <c r="CL458" s="731"/>
      <c r="CM458" s="731"/>
      <c r="CN458" s="731"/>
      <c r="CO458" s="731"/>
      <c r="CP458" s="731"/>
      <c r="CQ458" s="731"/>
      <c r="CR458" s="731"/>
      <c r="CS458" s="731"/>
      <c r="CT458" s="731"/>
      <c r="CU458" s="731"/>
      <c r="CV458" s="731"/>
      <c r="CW458" s="731"/>
      <c r="CX458" s="731"/>
      <c r="CY458" s="731"/>
      <c r="CZ458" s="731"/>
      <c r="DA458" s="731"/>
      <c r="DB458" s="731"/>
      <c r="DC458" s="731"/>
      <c r="DD458" s="731"/>
      <c r="DE458" s="731"/>
    </row>
    <row r="459" spans="84:109" ht="12.75" x14ac:dyDescent="0.2">
      <c r="CF459" s="739">
        <v>400</v>
      </c>
      <c r="CG459" s="740" t="s">
        <v>1438</v>
      </c>
      <c r="CH459" s="751">
        <f>C155</f>
        <v>0</v>
      </c>
      <c r="CI459" s="740" t="s">
        <v>1439</v>
      </c>
      <c r="CJ459" s="742" t="s">
        <v>1440</v>
      </c>
      <c r="CK459" s="740" t="s">
        <v>694</v>
      </c>
      <c r="CL459" s="731"/>
      <c r="CM459" s="731"/>
      <c r="CN459" s="731"/>
      <c r="CO459" s="731"/>
      <c r="CP459" s="731"/>
      <c r="CQ459" s="731"/>
      <c r="CR459" s="731"/>
      <c r="CS459" s="731"/>
      <c r="CT459" s="731"/>
      <c r="CU459" s="731"/>
      <c r="CV459" s="731"/>
      <c r="CW459" s="731"/>
      <c r="CX459" s="731"/>
      <c r="CY459" s="731"/>
      <c r="CZ459" s="731"/>
      <c r="DA459" s="731"/>
      <c r="DB459" s="731"/>
      <c r="DC459" s="731"/>
      <c r="DD459" s="731"/>
      <c r="DE459" s="731"/>
    </row>
    <row r="460" spans="84:109" ht="12.75" x14ac:dyDescent="0.2">
      <c r="CF460" s="735">
        <v>401</v>
      </c>
      <c r="CG460" s="736" t="s">
        <v>869</v>
      </c>
      <c r="CH460" s="745" t="str">
        <f>D155</f>
        <v>0.00</v>
      </c>
      <c r="CI460" s="736" t="s">
        <v>1439</v>
      </c>
      <c r="CJ460" s="738" t="s">
        <v>1441</v>
      </c>
      <c r="CK460" s="736" t="s">
        <v>647</v>
      </c>
      <c r="CL460" s="731"/>
      <c r="CM460" s="731"/>
      <c r="CN460" s="731"/>
      <c r="CO460" s="731"/>
      <c r="CP460" s="731"/>
      <c r="CQ460" s="731"/>
      <c r="CR460" s="731"/>
      <c r="CS460" s="731"/>
      <c r="CT460" s="731"/>
      <c r="CU460" s="731"/>
      <c r="CV460" s="731"/>
      <c r="CW460" s="731"/>
      <c r="CX460" s="731"/>
      <c r="CY460" s="731"/>
      <c r="CZ460" s="731"/>
      <c r="DA460" s="731"/>
      <c r="DB460" s="731"/>
      <c r="DC460" s="731"/>
      <c r="DD460" s="731"/>
      <c r="DE460" s="731"/>
    </row>
    <row r="461" spans="84:109" ht="12.75" x14ac:dyDescent="0.2">
      <c r="CF461" s="739">
        <v>402</v>
      </c>
      <c r="CG461" s="740" t="s">
        <v>1442</v>
      </c>
      <c r="CH461" s="744">
        <f>E155</f>
        <v>0</v>
      </c>
      <c r="CI461" s="740" t="s">
        <v>1439</v>
      </c>
      <c r="CJ461" s="742" t="s">
        <v>1443</v>
      </c>
      <c r="CK461" s="740" t="s">
        <v>650</v>
      </c>
      <c r="CL461" s="731"/>
      <c r="CM461" s="731"/>
      <c r="CN461" s="731"/>
      <c r="CO461" s="731"/>
      <c r="CP461" s="731"/>
      <c r="CQ461" s="731"/>
      <c r="CR461" s="731"/>
      <c r="CS461" s="731"/>
      <c r="CT461" s="731"/>
      <c r="CU461" s="731"/>
      <c r="CV461" s="731"/>
      <c r="CW461" s="731"/>
      <c r="CX461" s="731"/>
      <c r="CY461" s="731"/>
      <c r="CZ461" s="731"/>
      <c r="DA461" s="731"/>
      <c r="DB461" s="731"/>
      <c r="DC461" s="731"/>
      <c r="DD461" s="731"/>
      <c r="DE461" s="731"/>
    </row>
    <row r="462" spans="84:109" ht="12.75" x14ac:dyDescent="0.2">
      <c r="CF462" s="735">
        <v>403</v>
      </c>
      <c r="CG462" s="736" t="s">
        <v>1444</v>
      </c>
      <c r="CH462" s="743">
        <f>F155</f>
        <v>0</v>
      </c>
      <c r="CI462" s="736" t="s">
        <v>1439</v>
      </c>
      <c r="CJ462" s="738" t="s">
        <v>1445</v>
      </c>
      <c r="CK462" s="736" t="s">
        <v>571</v>
      </c>
      <c r="CL462" s="731"/>
      <c r="CM462" s="731"/>
      <c r="CN462" s="731"/>
      <c r="CO462" s="731"/>
      <c r="CP462" s="731"/>
      <c r="CQ462" s="731"/>
      <c r="CR462" s="731"/>
      <c r="CS462" s="731"/>
      <c r="CT462" s="731"/>
      <c r="CU462" s="731"/>
      <c r="CV462" s="731"/>
      <c r="CW462" s="731"/>
      <c r="CX462" s="731"/>
      <c r="CY462" s="731"/>
      <c r="CZ462" s="731"/>
      <c r="DA462" s="731"/>
      <c r="DB462" s="731"/>
      <c r="DC462" s="731"/>
      <c r="DD462" s="731"/>
      <c r="DE462" s="731"/>
    </row>
    <row r="463" spans="84:109" ht="12.75" x14ac:dyDescent="0.2">
      <c r="CF463" s="739">
        <v>404</v>
      </c>
      <c r="CG463" s="740" t="s">
        <v>1446</v>
      </c>
      <c r="CH463" s="746">
        <f>G155</f>
        <v>0</v>
      </c>
      <c r="CI463" s="740" t="s">
        <v>1439</v>
      </c>
      <c r="CJ463" s="742" t="s">
        <v>1447</v>
      </c>
      <c r="CK463" s="740" t="s">
        <v>597</v>
      </c>
      <c r="CL463" s="731"/>
      <c r="CM463" s="731"/>
      <c r="CN463" s="731"/>
      <c r="CO463" s="731"/>
      <c r="CP463" s="731"/>
      <c r="CQ463" s="731"/>
      <c r="CR463" s="731"/>
      <c r="CS463" s="731"/>
      <c r="CT463" s="731"/>
      <c r="CU463" s="731"/>
      <c r="CV463" s="731"/>
      <c r="CW463" s="731"/>
      <c r="CX463" s="731"/>
      <c r="CY463" s="731"/>
      <c r="CZ463" s="731"/>
      <c r="DA463" s="731"/>
      <c r="DB463" s="731"/>
      <c r="DC463" s="731"/>
      <c r="DD463" s="731"/>
      <c r="DE463" s="731"/>
    </row>
    <row r="464" spans="84:109" ht="12.75" x14ac:dyDescent="0.2">
      <c r="CF464" s="735">
        <v>405</v>
      </c>
      <c r="CG464" s="736" t="s">
        <v>1448</v>
      </c>
      <c r="CH464" s="743">
        <f>H155</f>
        <v>0</v>
      </c>
      <c r="CI464" s="736" t="s">
        <v>1439</v>
      </c>
      <c r="CJ464" s="738" t="s">
        <v>1449</v>
      </c>
      <c r="CK464" s="736" t="s">
        <v>571</v>
      </c>
      <c r="CL464" s="731"/>
      <c r="CM464" s="731"/>
      <c r="CN464" s="731"/>
      <c r="CO464" s="731"/>
      <c r="CP464" s="731"/>
      <c r="CQ464" s="731"/>
      <c r="CR464" s="731"/>
      <c r="CS464" s="731"/>
      <c r="CT464" s="731"/>
      <c r="CU464" s="731"/>
      <c r="CV464" s="731"/>
      <c r="CW464" s="731"/>
      <c r="CX464" s="731"/>
      <c r="CY464" s="731"/>
      <c r="CZ464" s="731"/>
      <c r="DA464" s="731"/>
      <c r="DB464" s="731"/>
      <c r="DC464" s="731"/>
      <c r="DD464" s="731"/>
      <c r="DE464" s="731"/>
    </row>
    <row r="465" spans="2:109" ht="12.75" x14ac:dyDescent="0.2">
      <c r="CF465" s="739">
        <v>406</v>
      </c>
      <c r="CG465" s="740" t="s">
        <v>1450</v>
      </c>
      <c r="CH465" s="744">
        <f>I155</f>
        <v>0</v>
      </c>
      <c r="CI465" s="740" t="s">
        <v>1439</v>
      </c>
      <c r="CJ465" s="742" t="s">
        <v>1451</v>
      </c>
      <c r="CK465" s="740" t="s">
        <v>571</v>
      </c>
      <c r="CL465" s="731"/>
      <c r="CM465" s="731"/>
      <c r="CN465" s="731"/>
      <c r="CO465" s="731"/>
      <c r="CP465" s="731"/>
      <c r="CQ465" s="731"/>
      <c r="CR465" s="731"/>
      <c r="CS465" s="731"/>
      <c r="CT465" s="731"/>
      <c r="CU465" s="731"/>
      <c r="CV465" s="731"/>
      <c r="CW465" s="731"/>
      <c r="CX465" s="731"/>
      <c r="CY465" s="731"/>
      <c r="CZ465" s="731"/>
      <c r="DA465" s="731"/>
      <c r="DB465" s="731"/>
      <c r="DC465" s="731"/>
      <c r="DD465" s="731"/>
      <c r="DE465" s="731"/>
    </row>
    <row r="466" spans="2:109" ht="12.75" x14ac:dyDescent="0.2">
      <c r="CF466" s="735">
        <v>407</v>
      </c>
      <c r="CG466" s="736" t="s">
        <v>1452</v>
      </c>
      <c r="CH466" s="745" t="str">
        <f>K155</f>
        <v>0</v>
      </c>
      <c r="CI466" s="736" t="s">
        <v>1439</v>
      </c>
      <c r="CJ466" s="738" t="s">
        <v>1453</v>
      </c>
      <c r="CK466" s="736" t="s">
        <v>592</v>
      </c>
      <c r="CL466" s="731"/>
      <c r="CM466" s="731"/>
      <c r="CN466" s="731"/>
      <c r="CO466" s="731"/>
      <c r="CP466" s="731"/>
      <c r="CQ466" s="731"/>
      <c r="CR466" s="731"/>
      <c r="CS466" s="731"/>
      <c r="CT466" s="731"/>
      <c r="CU466" s="731"/>
      <c r="CV466" s="731"/>
      <c r="CW466" s="731"/>
      <c r="CX466" s="731"/>
      <c r="CY466" s="731"/>
      <c r="CZ466" s="731"/>
      <c r="DA466" s="731"/>
      <c r="DB466" s="731"/>
      <c r="DC466" s="731"/>
      <c r="DD466" s="731"/>
      <c r="DE466" s="731"/>
    </row>
    <row r="467" spans="2:109" ht="12.75" x14ac:dyDescent="0.2">
      <c r="B467" s="174"/>
      <c r="C467" s="174"/>
      <c r="CF467" s="739">
        <v>408</v>
      </c>
      <c r="CG467" s="740" t="s">
        <v>1454</v>
      </c>
      <c r="CH467" s="746" t="str">
        <f>L155</f>
        <v>0.00%</v>
      </c>
      <c r="CI467" s="740" t="s">
        <v>1439</v>
      </c>
      <c r="CJ467" s="742" t="s">
        <v>1455</v>
      </c>
      <c r="CK467" s="740" t="s">
        <v>597</v>
      </c>
      <c r="CL467" s="731"/>
      <c r="CM467" s="731"/>
      <c r="CN467" s="731"/>
      <c r="CO467" s="731"/>
      <c r="CP467" s="731"/>
      <c r="CQ467" s="731"/>
      <c r="CR467" s="731"/>
      <c r="CS467" s="731"/>
      <c r="CT467" s="731"/>
      <c r="CU467" s="731"/>
      <c r="CV467" s="731"/>
      <c r="CW467" s="731"/>
      <c r="CX467" s="731"/>
      <c r="CY467" s="731"/>
      <c r="CZ467" s="731"/>
      <c r="DA467" s="731"/>
      <c r="DB467" s="731"/>
      <c r="DC467" s="731"/>
      <c r="DD467" s="731"/>
      <c r="DE467" s="731"/>
    </row>
    <row r="468" spans="2:109" ht="12.75" x14ac:dyDescent="0.2">
      <c r="B468" s="174"/>
      <c r="C468" s="174"/>
      <c r="CF468" s="735">
        <v>409</v>
      </c>
      <c r="CG468" s="736" t="s">
        <v>1456</v>
      </c>
      <c r="CH468" s="743">
        <f>M155</f>
        <v>0</v>
      </c>
      <c r="CI468" s="736" t="s">
        <v>1439</v>
      </c>
      <c r="CJ468" s="738" t="s">
        <v>1457</v>
      </c>
      <c r="CK468" s="736" t="s">
        <v>571</v>
      </c>
      <c r="CL468" s="731"/>
      <c r="CM468" s="731"/>
      <c r="CN468" s="731"/>
      <c r="CO468" s="731"/>
      <c r="CP468" s="731"/>
      <c r="CQ468" s="731"/>
      <c r="CR468" s="731"/>
      <c r="CS468" s="731"/>
      <c r="CT468" s="731"/>
      <c r="CU468" s="731"/>
      <c r="CV468" s="731"/>
      <c r="CW468" s="731"/>
      <c r="CX468" s="731"/>
      <c r="CY468" s="731"/>
      <c r="CZ468" s="731"/>
      <c r="DA468" s="731"/>
      <c r="DB468" s="731"/>
      <c r="DC468" s="731"/>
      <c r="DD468" s="731"/>
      <c r="DE468" s="731"/>
    </row>
    <row r="469" spans="2:109" ht="15" x14ac:dyDescent="0.2">
      <c r="B469" s="175"/>
      <c r="C469" s="174"/>
      <c r="CF469" s="734" t="s">
        <v>1458</v>
      </c>
      <c r="CG469" s="734"/>
      <c r="CH469" s="734"/>
      <c r="CI469" s="734"/>
      <c r="CJ469" s="734"/>
      <c r="CK469" s="734"/>
      <c r="CL469" s="731"/>
      <c r="CM469" s="731"/>
      <c r="CN469" s="731"/>
      <c r="CO469" s="731"/>
      <c r="CP469" s="731"/>
      <c r="CQ469" s="731"/>
      <c r="CR469" s="731"/>
      <c r="CS469" s="731"/>
      <c r="CT469" s="731"/>
      <c r="CU469" s="731"/>
      <c r="CV469" s="731"/>
      <c r="CW469" s="731"/>
      <c r="CX469" s="731"/>
      <c r="CY469" s="731"/>
      <c r="CZ469" s="731"/>
      <c r="DA469" s="731"/>
      <c r="DB469" s="731"/>
      <c r="DC469" s="731"/>
      <c r="DD469" s="731"/>
      <c r="DE469" s="731"/>
    </row>
    <row r="470" spans="2:109" ht="12.75" x14ac:dyDescent="0.2">
      <c r="B470" s="175"/>
      <c r="C470" s="174"/>
      <c r="CF470" s="739">
        <v>410</v>
      </c>
      <c r="CG470" s="740" t="s">
        <v>1459</v>
      </c>
      <c r="CH470" s="751">
        <f>C156</f>
        <v>0</v>
      </c>
      <c r="CI470" s="740" t="s">
        <v>1460</v>
      </c>
      <c r="CJ470" s="742" t="s">
        <v>1461</v>
      </c>
      <c r="CK470" s="740" t="s">
        <v>694</v>
      </c>
      <c r="CL470" s="731"/>
      <c r="CM470" s="731"/>
      <c r="CN470" s="731"/>
      <c r="CO470" s="731"/>
      <c r="CP470" s="731"/>
      <c r="CQ470" s="731"/>
      <c r="CR470" s="731"/>
      <c r="CS470" s="731"/>
      <c r="CT470" s="731"/>
      <c r="CU470" s="731"/>
      <c r="CV470" s="731"/>
      <c r="CW470" s="731"/>
      <c r="CX470" s="731"/>
      <c r="CY470" s="731"/>
      <c r="CZ470" s="731"/>
      <c r="DA470" s="731"/>
      <c r="DB470" s="731"/>
      <c r="DC470" s="731"/>
      <c r="DD470" s="731"/>
      <c r="DE470" s="731"/>
    </row>
    <row r="471" spans="2:109" ht="12.75" x14ac:dyDescent="0.2">
      <c r="B471" s="174"/>
      <c r="C471" s="174"/>
      <c r="CF471" s="735">
        <v>411</v>
      </c>
      <c r="CG471" s="736" t="s">
        <v>891</v>
      </c>
      <c r="CH471" s="745" t="str">
        <f>D156</f>
        <v>0.00</v>
      </c>
      <c r="CI471" s="736" t="s">
        <v>1460</v>
      </c>
      <c r="CJ471" s="738" t="s">
        <v>1462</v>
      </c>
      <c r="CK471" s="736" t="s">
        <v>647</v>
      </c>
      <c r="CL471" s="731"/>
      <c r="CM471" s="731"/>
      <c r="CN471" s="731"/>
      <c r="CO471" s="731"/>
      <c r="CP471" s="731"/>
      <c r="CQ471" s="731"/>
      <c r="CR471" s="731"/>
      <c r="CS471" s="731"/>
      <c r="CT471" s="731"/>
      <c r="CU471" s="731"/>
      <c r="CV471" s="731"/>
      <c r="CW471" s="731"/>
      <c r="CX471" s="731"/>
      <c r="CY471" s="731"/>
      <c r="CZ471" s="731"/>
      <c r="DA471" s="731"/>
      <c r="DB471" s="731"/>
      <c r="DC471" s="731"/>
      <c r="DD471" s="731"/>
      <c r="DE471" s="731"/>
    </row>
    <row r="472" spans="2:109" ht="12.75" x14ac:dyDescent="0.2">
      <c r="B472" s="174"/>
      <c r="C472" s="174"/>
      <c r="CF472" s="739">
        <v>412</v>
      </c>
      <c r="CG472" s="740" t="s">
        <v>1463</v>
      </c>
      <c r="CH472" s="744">
        <f>E156</f>
        <v>0</v>
      </c>
      <c r="CI472" s="740" t="s">
        <v>1460</v>
      </c>
      <c r="CJ472" s="742" t="s">
        <v>1464</v>
      </c>
      <c r="CK472" s="740" t="s">
        <v>650</v>
      </c>
      <c r="CL472" s="731"/>
      <c r="CM472" s="731"/>
      <c r="CN472" s="731"/>
      <c r="CO472" s="731"/>
      <c r="CP472" s="731"/>
      <c r="CQ472" s="731"/>
      <c r="CR472" s="731"/>
      <c r="CS472" s="731"/>
      <c r="CT472" s="731"/>
      <c r="CU472" s="731"/>
      <c r="CV472" s="731"/>
      <c r="CW472" s="731"/>
      <c r="CX472" s="731"/>
      <c r="CY472" s="731"/>
      <c r="CZ472" s="731"/>
      <c r="DA472" s="731"/>
      <c r="DB472" s="731"/>
      <c r="DC472" s="731"/>
      <c r="DD472" s="731"/>
      <c r="DE472" s="731"/>
    </row>
    <row r="473" spans="2:109" ht="12.75" x14ac:dyDescent="0.2">
      <c r="B473" s="174"/>
      <c r="C473" s="174"/>
      <c r="CF473" s="735">
        <v>413</v>
      </c>
      <c r="CG473" s="736" t="s">
        <v>1465</v>
      </c>
      <c r="CH473" s="743">
        <f>F156</f>
        <v>0</v>
      </c>
      <c r="CI473" s="736" t="s">
        <v>1460</v>
      </c>
      <c r="CJ473" s="738" t="s">
        <v>1466</v>
      </c>
      <c r="CK473" s="736" t="s">
        <v>571</v>
      </c>
      <c r="CL473" s="731"/>
      <c r="CM473" s="731"/>
      <c r="CN473" s="731"/>
      <c r="CO473" s="731"/>
      <c r="CP473" s="731"/>
      <c r="CQ473" s="731"/>
      <c r="CR473" s="731"/>
      <c r="CS473" s="731"/>
      <c r="CT473" s="731"/>
      <c r="CU473" s="731"/>
      <c r="CV473" s="731"/>
      <c r="CW473" s="731"/>
      <c r="CX473" s="731"/>
      <c r="CY473" s="731"/>
      <c r="CZ473" s="731"/>
      <c r="DA473" s="731"/>
      <c r="DB473" s="731"/>
      <c r="DC473" s="731"/>
      <c r="DD473" s="731"/>
      <c r="DE473" s="731"/>
    </row>
    <row r="474" spans="2:109" ht="12.75" x14ac:dyDescent="0.2">
      <c r="B474" s="174"/>
      <c r="C474" s="174"/>
      <c r="CF474" s="739">
        <v>414</v>
      </c>
      <c r="CG474" s="740" t="s">
        <v>1467</v>
      </c>
      <c r="CH474" s="746">
        <f>G156</f>
        <v>0</v>
      </c>
      <c r="CI474" s="740" t="s">
        <v>1460</v>
      </c>
      <c r="CJ474" s="742" t="s">
        <v>1468</v>
      </c>
      <c r="CK474" s="740" t="s">
        <v>597</v>
      </c>
      <c r="CL474" s="731"/>
      <c r="CM474" s="731"/>
      <c r="CN474" s="731"/>
      <c r="CO474" s="731"/>
      <c r="CP474" s="731"/>
      <c r="CQ474" s="731"/>
      <c r="CR474" s="731"/>
      <c r="CS474" s="731"/>
      <c r="CT474" s="731"/>
      <c r="CU474" s="731"/>
      <c r="CV474" s="731"/>
      <c r="CW474" s="731"/>
      <c r="CX474" s="731"/>
      <c r="CY474" s="731"/>
      <c r="CZ474" s="731"/>
      <c r="DA474" s="731"/>
      <c r="DB474" s="731"/>
      <c r="DC474" s="731"/>
      <c r="DD474" s="731"/>
      <c r="DE474" s="731"/>
    </row>
    <row r="475" spans="2:109" ht="12.75" x14ac:dyDescent="0.2">
      <c r="B475" s="174"/>
      <c r="C475" s="174"/>
      <c r="CF475" s="735">
        <v>415</v>
      </c>
      <c r="CG475" s="736" t="s">
        <v>1469</v>
      </c>
      <c r="CH475" s="743">
        <f>H156</f>
        <v>0</v>
      </c>
      <c r="CI475" s="736" t="s">
        <v>1460</v>
      </c>
      <c r="CJ475" s="738" t="s">
        <v>1470</v>
      </c>
      <c r="CK475" s="736" t="s">
        <v>571</v>
      </c>
      <c r="CL475" s="731"/>
      <c r="CM475" s="731"/>
      <c r="CN475" s="731"/>
      <c r="CO475" s="731"/>
      <c r="CP475" s="731"/>
      <c r="CQ475" s="731"/>
      <c r="CR475" s="731"/>
      <c r="CS475" s="731"/>
      <c r="CT475" s="731"/>
      <c r="CU475" s="731"/>
      <c r="CV475" s="731"/>
      <c r="CW475" s="731"/>
      <c r="CX475" s="731"/>
      <c r="CY475" s="731"/>
      <c r="CZ475" s="731"/>
      <c r="DA475" s="731"/>
      <c r="DB475" s="731"/>
      <c r="DC475" s="731"/>
      <c r="DD475" s="731"/>
      <c r="DE475" s="731"/>
    </row>
    <row r="476" spans="2:109" ht="12.75" x14ac:dyDescent="0.2">
      <c r="B476" s="174"/>
      <c r="C476" s="174"/>
      <c r="CF476" s="739">
        <v>416</v>
      </c>
      <c r="CG476" s="740" t="s">
        <v>1471</v>
      </c>
      <c r="CH476" s="744">
        <f>I156</f>
        <v>0</v>
      </c>
      <c r="CI476" s="740" t="s">
        <v>1460</v>
      </c>
      <c r="CJ476" s="742" t="s">
        <v>1472</v>
      </c>
      <c r="CK476" s="740" t="s">
        <v>571</v>
      </c>
      <c r="CL476" s="731"/>
      <c r="CM476" s="731"/>
      <c r="CN476" s="731"/>
      <c r="CO476" s="731"/>
      <c r="CP476" s="731"/>
      <c r="CQ476" s="731"/>
      <c r="CR476" s="731"/>
      <c r="CS476" s="731"/>
      <c r="CT476" s="731"/>
      <c r="CU476" s="731"/>
      <c r="CV476" s="731"/>
      <c r="CW476" s="731"/>
      <c r="CX476" s="731"/>
      <c r="CY476" s="731"/>
      <c r="CZ476" s="731"/>
      <c r="DA476" s="731"/>
      <c r="DB476" s="731"/>
      <c r="DC476" s="731"/>
      <c r="DD476" s="731"/>
      <c r="DE476" s="731"/>
    </row>
    <row r="477" spans="2:109" ht="12.75" x14ac:dyDescent="0.2">
      <c r="B477" s="174"/>
      <c r="C477" s="174"/>
      <c r="CF477" s="735">
        <v>417</v>
      </c>
      <c r="CG477" s="736" t="s">
        <v>1473</v>
      </c>
      <c r="CH477" s="745" t="str">
        <f>K156</f>
        <v>0</v>
      </c>
      <c r="CI477" s="736" t="s">
        <v>1460</v>
      </c>
      <c r="CJ477" s="738" t="s">
        <v>1474</v>
      </c>
      <c r="CK477" s="736" t="s">
        <v>592</v>
      </c>
      <c r="CL477" s="731"/>
      <c r="CM477" s="731"/>
      <c r="CN477" s="731"/>
      <c r="CO477" s="731"/>
      <c r="CP477" s="731"/>
      <c r="CQ477" s="731"/>
      <c r="CR477" s="731"/>
      <c r="CS477" s="731"/>
      <c r="CT477" s="731"/>
      <c r="CU477" s="731"/>
      <c r="CV477" s="731"/>
      <c r="CW477" s="731"/>
      <c r="CX477" s="731"/>
      <c r="CY477" s="731"/>
      <c r="CZ477" s="731"/>
      <c r="DA477" s="731"/>
      <c r="DB477" s="731"/>
      <c r="DC477" s="731"/>
      <c r="DD477" s="731"/>
      <c r="DE477" s="731"/>
    </row>
    <row r="478" spans="2:109" ht="12.75" x14ac:dyDescent="0.2">
      <c r="B478" s="174"/>
      <c r="C478" s="174"/>
      <c r="CF478" s="739">
        <v>418</v>
      </c>
      <c r="CG478" s="740" t="s">
        <v>1475</v>
      </c>
      <c r="CH478" s="746" t="str">
        <f>L156</f>
        <v>0.00%</v>
      </c>
      <c r="CI478" s="740" t="s">
        <v>1460</v>
      </c>
      <c r="CJ478" s="742" t="s">
        <v>1476</v>
      </c>
      <c r="CK478" s="740" t="s">
        <v>597</v>
      </c>
      <c r="CL478" s="731"/>
      <c r="CM478" s="731"/>
      <c r="CN478" s="731"/>
      <c r="CO478" s="731"/>
      <c r="CP478" s="731"/>
      <c r="CQ478" s="731"/>
      <c r="CR478" s="731"/>
      <c r="CS478" s="731"/>
      <c r="CT478" s="731"/>
      <c r="CU478" s="731"/>
      <c r="CV478" s="731"/>
      <c r="CW478" s="731"/>
      <c r="CX478" s="731"/>
      <c r="CY478" s="731"/>
      <c r="CZ478" s="731"/>
      <c r="DA478" s="731"/>
      <c r="DB478" s="731"/>
      <c r="DC478" s="731"/>
      <c r="DD478" s="731"/>
      <c r="DE478" s="731"/>
    </row>
    <row r="479" spans="2:109" ht="12.75" x14ac:dyDescent="0.2">
      <c r="B479" s="174"/>
      <c r="C479" s="174"/>
      <c r="CF479" s="735">
        <v>419</v>
      </c>
      <c r="CG479" s="736" t="s">
        <v>1477</v>
      </c>
      <c r="CH479" s="743">
        <f>M156</f>
        <v>0</v>
      </c>
      <c r="CI479" s="736" t="s">
        <v>1460</v>
      </c>
      <c r="CJ479" s="738" t="s">
        <v>1478</v>
      </c>
      <c r="CK479" s="736" t="s">
        <v>571</v>
      </c>
      <c r="CL479" s="731"/>
      <c r="CM479" s="731"/>
      <c r="CN479" s="731"/>
      <c r="CO479" s="731"/>
      <c r="CP479" s="731"/>
      <c r="CQ479" s="731"/>
      <c r="CR479" s="731"/>
      <c r="CS479" s="731"/>
      <c r="CT479" s="731"/>
      <c r="CU479" s="731"/>
      <c r="CV479" s="731"/>
      <c r="CW479" s="731"/>
      <c r="CX479" s="731"/>
      <c r="CY479" s="731"/>
      <c r="CZ479" s="731"/>
      <c r="DA479" s="731"/>
      <c r="DB479" s="731"/>
      <c r="DC479" s="731"/>
      <c r="DD479" s="731"/>
      <c r="DE479" s="731"/>
    </row>
    <row r="480" spans="2:109" ht="15" x14ac:dyDescent="0.2">
      <c r="B480" s="174"/>
      <c r="C480" s="174"/>
      <c r="CF480" s="734" t="s">
        <v>1479</v>
      </c>
      <c r="CG480" s="734"/>
      <c r="CH480" s="734"/>
      <c r="CI480" s="734"/>
      <c r="CJ480" s="734"/>
      <c r="CK480" s="734"/>
      <c r="CL480" s="731"/>
      <c r="CM480" s="731"/>
      <c r="CN480" s="731"/>
      <c r="CO480" s="731"/>
      <c r="CP480" s="731"/>
      <c r="CQ480" s="731"/>
      <c r="CR480" s="731"/>
      <c r="CS480" s="731"/>
      <c r="CT480" s="731"/>
      <c r="CU480" s="731"/>
      <c r="CV480" s="731"/>
      <c r="CW480" s="731"/>
      <c r="CX480" s="731"/>
      <c r="CY480" s="731"/>
      <c r="CZ480" s="731"/>
      <c r="DA480" s="731"/>
      <c r="DB480" s="731"/>
      <c r="DC480" s="731"/>
      <c r="DD480" s="731"/>
      <c r="DE480" s="731"/>
    </row>
    <row r="481" spans="2:109" ht="12.75" x14ac:dyDescent="0.2">
      <c r="B481" s="174"/>
      <c r="C481" s="174"/>
      <c r="CF481" s="739">
        <v>420</v>
      </c>
      <c r="CG481" s="740" t="s">
        <v>1480</v>
      </c>
      <c r="CH481" s="751">
        <f>C157</f>
        <v>123</v>
      </c>
      <c r="CI481" s="740" t="s">
        <v>1481</v>
      </c>
      <c r="CJ481" s="742" t="s">
        <v>1482</v>
      </c>
      <c r="CK481" s="740" t="s">
        <v>694</v>
      </c>
      <c r="CL481" s="731"/>
      <c r="CM481" s="731"/>
      <c r="CN481" s="731"/>
      <c r="CO481" s="731"/>
      <c r="CP481" s="731"/>
      <c r="CQ481" s="731"/>
      <c r="CR481" s="731"/>
      <c r="CS481" s="731"/>
      <c r="CT481" s="731"/>
      <c r="CU481" s="731"/>
      <c r="CV481" s="731"/>
      <c r="CW481" s="731"/>
      <c r="CX481" s="731"/>
      <c r="CY481" s="731"/>
      <c r="CZ481" s="731"/>
      <c r="DA481" s="731"/>
      <c r="DB481" s="731"/>
      <c r="DC481" s="731"/>
      <c r="DD481" s="731"/>
      <c r="DE481" s="731"/>
    </row>
    <row r="482" spans="2:109" ht="12.75" x14ac:dyDescent="0.2">
      <c r="B482" s="174"/>
      <c r="C482" s="174"/>
      <c r="CF482" s="735">
        <v>421</v>
      </c>
      <c r="CG482" s="736" t="s">
        <v>1483</v>
      </c>
      <c r="CH482" s="743">
        <f>F157</f>
        <v>205942.59</v>
      </c>
      <c r="CI482" s="736" t="s">
        <v>1481</v>
      </c>
      <c r="CJ482" s="738" t="s">
        <v>1484</v>
      </c>
      <c r="CK482" s="736" t="s">
        <v>571</v>
      </c>
      <c r="CL482" s="731"/>
      <c r="CM482" s="731"/>
      <c r="CN482" s="731"/>
      <c r="CO482" s="731"/>
      <c r="CP482" s="731"/>
      <c r="CQ482" s="731"/>
      <c r="CR482" s="731"/>
      <c r="CS482" s="731"/>
      <c r="CT482" s="731"/>
      <c r="CU482" s="731"/>
      <c r="CV482" s="731"/>
      <c r="CW482" s="731"/>
      <c r="CX482" s="731"/>
      <c r="CY482" s="731"/>
      <c r="CZ482" s="731"/>
      <c r="DA482" s="731"/>
      <c r="DB482" s="731"/>
      <c r="DC482" s="731"/>
      <c r="DD482" s="731"/>
      <c r="DE482" s="731"/>
    </row>
    <row r="483" spans="2:109" ht="12.75" x14ac:dyDescent="0.2">
      <c r="B483" s="174"/>
      <c r="C483" s="174"/>
      <c r="CF483" s="739">
        <v>422</v>
      </c>
      <c r="CG483" s="740" t="s">
        <v>1485</v>
      </c>
      <c r="CH483" s="746">
        <f>G157</f>
        <v>0.30378556393772521</v>
      </c>
      <c r="CI483" s="740" t="s">
        <v>1481</v>
      </c>
      <c r="CJ483" s="742" t="s">
        <v>1486</v>
      </c>
      <c r="CK483" s="740" t="s">
        <v>597</v>
      </c>
      <c r="CL483" s="731"/>
      <c r="CM483" s="731"/>
      <c r="CN483" s="731"/>
      <c r="CO483" s="731"/>
      <c r="CP483" s="731"/>
      <c r="CQ483" s="731"/>
      <c r="CR483" s="731"/>
      <c r="CS483" s="731"/>
      <c r="CT483" s="731"/>
      <c r="CU483" s="731"/>
      <c r="CV483" s="731"/>
      <c r="CW483" s="731"/>
      <c r="CX483" s="731"/>
      <c r="CY483" s="731"/>
      <c r="CZ483" s="731"/>
      <c r="DA483" s="731"/>
      <c r="DB483" s="731"/>
      <c r="DC483" s="731"/>
      <c r="DD483" s="731"/>
      <c r="DE483" s="731"/>
    </row>
    <row r="484" spans="2:109" ht="12.75" x14ac:dyDescent="0.2">
      <c r="B484" s="174"/>
      <c r="C484" s="178"/>
      <c r="CF484" s="735">
        <v>423</v>
      </c>
      <c r="CG484" s="736" t="s">
        <v>1487</v>
      </c>
      <c r="CH484" s="743">
        <f>H157</f>
        <v>2471311.08</v>
      </c>
      <c r="CI484" s="736" t="s">
        <v>1481</v>
      </c>
      <c r="CJ484" s="738" t="s">
        <v>1488</v>
      </c>
      <c r="CK484" s="736" t="s">
        <v>571</v>
      </c>
      <c r="CL484" s="731"/>
      <c r="CM484" s="731"/>
      <c r="CN484" s="731"/>
      <c r="CO484" s="731"/>
      <c r="CP484" s="731"/>
      <c r="CQ484" s="731"/>
      <c r="CR484" s="731"/>
      <c r="CS484" s="731"/>
      <c r="CT484" s="731"/>
      <c r="CU484" s="731"/>
      <c r="CV484" s="731"/>
      <c r="CW484" s="731"/>
      <c r="CX484" s="731"/>
      <c r="CY484" s="731"/>
      <c r="CZ484" s="731"/>
      <c r="DA484" s="731"/>
      <c r="DB484" s="731"/>
      <c r="DC484" s="731"/>
      <c r="DD484" s="731"/>
      <c r="DE484" s="731"/>
    </row>
    <row r="485" spans="2:109" ht="12.75" x14ac:dyDescent="0.2">
      <c r="B485" s="174"/>
      <c r="C485" s="178"/>
      <c r="CF485" s="739">
        <v>424</v>
      </c>
      <c r="CG485" s="740" t="s">
        <v>1489</v>
      </c>
      <c r="CH485" s="744">
        <f>I157</f>
        <v>123565.554</v>
      </c>
      <c r="CI485" s="740" t="s">
        <v>1481</v>
      </c>
      <c r="CJ485" s="742" t="s">
        <v>1490</v>
      </c>
      <c r="CK485" s="740" t="s">
        <v>571</v>
      </c>
      <c r="CL485" s="731"/>
      <c r="CM485" s="731"/>
      <c r="CN485" s="731"/>
      <c r="CO485" s="731"/>
      <c r="CP485" s="731"/>
      <c r="CQ485" s="731"/>
      <c r="CR485" s="731"/>
      <c r="CS485" s="731"/>
      <c r="CT485" s="731"/>
      <c r="CU485" s="731"/>
      <c r="CV485" s="731"/>
      <c r="CW485" s="731"/>
      <c r="CX485" s="731"/>
      <c r="CY485" s="731"/>
      <c r="CZ485" s="731"/>
      <c r="DA485" s="731"/>
      <c r="DB485" s="731"/>
      <c r="DC485" s="731"/>
      <c r="DD485" s="731"/>
      <c r="DE485" s="731"/>
    </row>
    <row r="486" spans="2:109" ht="12.75" x14ac:dyDescent="0.2">
      <c r="B486" s="174"/>
      <c r="C486" s="178"/>
      <c r="CF486" s="735">
        <v>425</v>
      </c>
      <c r="CG486" s="736" t="s">
        <v>1491</v>
      </c>
      <c r="CH486" s="743">
        <f>M157</f>
        <v>2347745.5260000001</v>
      </c>
      <c r="CI486" s="736" t="s">
        <v>1481</v>
      </c>
      <c r="CJ486" s="738" t="s">
        <v>1492</v>
      </c>
      <c r="CK486" s="736" t="s">
        <v>571</v>
      </c>
      <c r="CL486" s="731"/>
      <c r="CM486" s="731"/>
      <c r="CN486" s="731"/>
      <c r="CO486" s="731"/>
      <c r="CP486" s="731"/>
      <c r="CQ486" s="731"/>
      <c r="CR486" s="731"/>
      <c r="CS486" s="731"/>
      <c r="CT486" s="731"/>
      <c r="CU486" s="731"/>
      <c r="CV486" s="731"/>
      <c r="CW486" s="731"/>
      <c r="CX486" s="731"/>
      <c r="CY486" s="731"/>
      <c r="CZ486" s="731"/>
      <c r="DA486" s="731"/>
      <c r="DB486" s="731"/>
      <c r="DC486" s="731"/>
      <c r="DD486" s="731"/>
      <c r="DE486" s="731"/>
    </row>
    <row r="487" spans="2:109" ht="15" x14ac:dyDescent="0.2">
      <c r="B487" s="174"/>
      <c r="C487" s="178"/>
      <c r="CF487" s="734" t="s">
        <v>1493</v>
      </c>
      <c r="CG487" s="734"/>
      <c r="CH487" s="734"/>
      <c r="CI487" s="734"/>
      <c r="CJ487" s="734"/>
      <c r="CK487" s="734"/>
      <c r="CL487" s="731"/>
      <c r="CM487" s="731"/>
      <c r="CN487" s="731"/>
      <c r="CO487" s="731"/>
      <c r="CP487" s="731"/>
      <c r="CQ487" s="731"/>
      <c r="CR487" s="731"/>
      <c r="CS487" s="731"/>
      <c r="CT487" s="731"/>
      <c r="CU487" s="731"/>
      <c r="CV487" s="731"/>
      <c r="CW487" s="731"/>
      <c r="CX487" s="731"/>
      <c r="CY487" s="731"/>
      <c r="CZ487" s="731"/>
      <c r="DA487" s="731"/>
      <c r="DB487" s="731"/>
      <c r="DC487" s="731"/>
      <c r="DD487" s="731"/>
      <c r="DE487" s="731"/>
    </row>
    <row r="488" spans="2:109" ht="12.75" x14ac:dyDescent="0.2">
      <c r="B488" s="174"/>
      <c r="C488" s="174"/>
      <c r="CF488" s="739">
        <v>426</v>
      </c>
      <c r="CG488" s="740" t="s">
        <v>692</v>
      </c>
      <c r="CH488" s="751">
        <f>R147</f>
        <v>12</v>
      </c>
      <c r="CI488" s="740" t="s">
        <v>1494</v>
      </c>
      <c r="CJ488" s="742" t="s">
        <v>1495</v>
      </c>
      <c r="CK488" s="740" t="s">
        <v>694</v>
      </c>
      <c r="CL488" s="731"/>
      <c r="CM488" s="731"/>
      <c r="CN488" s="731"/>
      <c r="CO488" s="731"/>
      <c r="CP488" s="731"/>
      <c r="CQ488" s="731"/>
      <c r="CR488" s="731"/>
      <c r="CS488" s="731"/>
      <c r="CT488" s="731"/>
      <c r="CU488" s="731"/>
      <c r="CV488" s="731"/>
      <c r="CW488" s="731"/>
      <c r="CX488" s="731"/>
      <c r="CY488" s="731"/>
      <c r="CZ488" s="731"/>
      <c r="DA488" s="731"/>
      <c r="DB488" s="731"/>
      <c r="DC488" s="731"/>
      <c r="DD488" s="731"/>
      <c r="DE488" s="731"/>
    </row>
    <row r="489" spans="2:109" ht="12.75" x14ac:dyDescent="0.2">
      <c r="B489" s="174"/>
      <c r="C489" s="174"/>
      <c r="CF489" s="735">
        <v>427</v>
      </c>
      <c r="CG489" s="736" t="s">
        <v>1278</v>
      </c>
      <c r="CH489" s="747">
        <f>S147</f>
        <v>0</v>
      </c>
      <c r="CI489" s="736" t="s">
        <v>1494</v>
      </c>
      <c r="CJ489" s="738" t="s">
        <v>1496</v>
      </c>
      <c r="CK489" s="736" t="s">
        <v>597</v>
      </c>
      <c r="CL489" s="731"/>
      <c r="CM489" s="731"/>
      <c r="CN489" s="731"/>
      <c r="CO489" s="731"/>
      <c r="CP489" s="731"/>
      <c r="CQ489" s="731"/>
      <c r="CR489" s="731"/>
      <c r="CS489" s="731"/>
      <c r="CT489" s="731"/>
      <c r="CU489" s="731"/>
      <c r="CV489" s="731"/>
      <c r="CW489" s="731"/>
      <c r="CX489" s="731"/>
      <c r="CY489" s="731"/>
      <c r="CZ489" s="731"/>
      <c r="DA489" s="731"/>
      <c r="DB489" s="731"/>
      <c r="DC489" s="731"/>
      <c r="DD489" s="731"/>
      <c r="DE489" s="731"/>
    </row>
    <row r="490" spans="2:109" ht="12.75" x14ac:dyDescent="0.2">
      <c r="B490" s="174"/>
      <c r="C490" s="174"/>
      <c r="CF490" s="739">
        <v>428</v>
      </c>
      <c r="CG490" s="740" t="s">
        <v>1497</v>
      </c>
      <c r="CH490" s="751">
        <f>T147</f>
        <v>0</v>
      </c>
      <c r="CI490" s="740" t="s">
        <v>1494</v>
      </c>
      <c r="CJ490" s="742" t="s">
        <v>1498</v>
      </c>
      <c r="CK490" s="740" t="s">
        <v>1499</v>
      </c>
      <c r="CL490" s="731"/>
      <c r="CM490" s="731"/>
      <c r="CN490" s="731"/>
      <c r="CO490" s="731"/>
      <c r="CP490" s="731"/>
      <c r="CQ490" s="731"/>
      <c r="CR490" s="731"/>
      <c r="CS490" s="731"/>
      <c r="CT490" s="731"/>
      <c r="CU490" s="731"/>
      <c r="CV490" s="731"/>
      <c r="CW490" s="731"/>
      <c r="CX490" s="731"/>
      <c r="CY490" s="731"/>
      <c r="CZ490" s="731"/>
      <c r="DA490" s="731"/>
      <c r="DB490" s="731"/>
      <c r="DC490" s="731"/>
      <c r="DD490" s="731"/>
      <c r="DE490" s="731"/>
    </row>
    <row r="491" spans="2:109" ht="12.75" x14ac:dyDescent="0.2">
      <c r="B491" s="174"/>
      <c r="C491" s="174"/>
      <c r="CF491" s="735">
        <v>429</v>
      </c>
      <c r="CG491" s="736" t="s">
        <v>1500</v>
      </c>
      <c r="CH491" s="743">
        <f>U147</f>
        <v>0</v>
      </c>
      <c r="CI491" s="736" t="s">
        <v>1494</v>
      </c>
      <c r="CJ491" s="738" t="s">
        <v>1501</v>
      </c>
      <c r="CK491" s="736" t="s">
        <v>1502</v>
      </c>
      <c r="CL491" s="731"/>
      <c r="CM491" s="731"/>
      <c r="CN491" s="731"/>
      <c r="CO491" s="731"/>
      <c r="CP491" s="731"/>
      <c r="CQ491" s="731"/>
      <c r="CR491" s="731"/>
      <c r="CS491" s="731"/>
      <c r="CT491" s="731"/>
      <c r="CU491" s="731"/>
      <c r="CV491" s="731"/>
      <c r="CW491" s="731"/>
      <c r="CX491" s="731"/>
      <c r="CY491" s="731"/>
      <c r="CZ491" s="731"/>
      <c r="DA491" s="731"/>
      <c r="DB491" s="731"/>
      <c r="DC491" s="731"/>
      <c r="DD491" s="731"/>
      <c r="DE491" s="731"/>
    </row>
    <row r="492" spans="2:109" ht="12.75" x14ac:dyDescent="0.2">
      <c r="CF492" s="739">
        <v>430</v>
      </c>
      <c r="CG492" s="740" t="s">
        <v>1503</v>
      </c>
      <c r="CH492" s="744">
        <f>V147</f>
        <v>0</v>
      </c>
      <c r="CI492" s="740" t="s">
        <v>1494</v>
      </c>
      <c r="CJ492" s="742" t="s">
        <v>1504</v>
      </c>
      <c r="CK492" s="740" t="s">
        <v>571</v>
      </c>
      <c r="CL492" s="731"/>
      <c r="CM492" s="731"/>
      <c r="CN492" s="731"/>
      <c r="CO492" s="731"/>
      <c r="CP492" s="731"/>
      <c r="CQ492" s="731"/>
      <c r="CR492" s="731"/>
      <c r="CS492" s="731"/>
      <c r="CT492" s="731"/>
      <c r="CU492" s="731"/>
      <c r="CV492" s="731"/>
      <c r="CW492" s="731"/>
      <c r="CX492" s="731"/>
      <c r="CY492" s="731"/>
      <c r="CZ492" s="731"/>
      <c r="DA492" s="731"/>
      <c r="DB492" s="731"/>
      <c r="DC492" s="731"/>
      <c r="DD492" s="731"/>
      <c r="DE492" s="731"/>
    </row>
    <row r="493" spans="2:109" ht="12.75" x14ac:dyDescent="0.2">
      <c r="CF493" s="735">
        <v>431</v>
      </c>
      <c r="CG493" s="736" t="s">
        <v>1505</v>
      </c>
      <c r="CH493" s="747">
        <f>W147</f>
        <v>0</v>
      </c>
      <c r="CI493" s="736" t="s">
        <v>1494</v>
      </c>
      <c r="CJ493" s="738" t="s">
        <v>1506</v>
      </c>
      <c r="CK493" s="736" t="s">
        <v>597</v>
      </c>
      <c r="CL493" s="731"/>
      <c r="CM493" s="731"/>
      <c r="CN493" s="731"/>
      <c r="CO493" s="731"/>
      <c r="CP493" s="731"/>
      <c r="CQ493" s="731"/>
      <c r="CR493" s="731"/>
      <c r="CS493" s="731"/>
      <c r="CT493" s="731"/>
      <c r="CU493" s="731"/>
      <c r="CV493" s="731"/>
      <c r="CW493" s="731"/>
      <c r="CX493" s="731"/>
      <c r="CY493" s="731"/>
      <c r="CZ493" s="731"/>
      <c r="DA493" s="731"/>
      <c r="DB493" s="731"/>
      <c r="DC493" s="731"/>
      <c r="DD493" s="731"/>
      <c r="DE493" s="731"/>
    </row>
    <row r="494" spans="2:109" ht="12.75" x14ac:dyDescent="0.2">
      <c r="D494" s="97"/>
      <c r="CF494" s="739">
        <v>432</v>
      </c>
      <c r="CG494" s="740" t="s">
        <v>1507</v>
      </c>
      <c r="CH494" s="744">
        <f>X147</f>
        <v>0</v>
      </c>
      <c r="CI494" s="740" t="s">
        <v>1494</v>
      </c>
      <c r="CJ494" s="742" t="s">
        <v>1508</v>
      </c>
      <c r="CK494" s="740" t="s">
        <v>571</v>
      </c>
      <c r="CL494" s="731"/>
      <c r="CM494" s="731"/>
      <c r="CN494" s="731"/>
      <c r="CO494" s="731"/>
      <c r="CP494" s="731"/>
      <c r="CQ494" s="731"/>
      <c r="CR494" s="731"/>
      <c r="CS494" s="731"/>
      <c r="CT494" s="731"/>
      <c r="CU494" s="731"/>
      <c r="CV494" s="731"/>
      <c r="CW494" s="731"/>
      <c r="CX494" s="731"/>
      <c r="CY494" s="731"/>
      <c r="CZ494" s="731"/>
      <c r="DA494" s="731"/>
      <c r="DB494" s="731"/>
      <c r="DC494" s="731"/>
      <c r="DD494" s="731"/>
      <c r="DE494" s="731"/>
    </row>
    <row r="495" spans="2:109" ht="12.75" x14ac:dyDescent="0.2">
      <c r="D495" s="97"/>
      <c r="CF495" s="735">
        <v>433</v>
      </c>
      <c r="CG495" s="736" t="s">
        <v>1509</v>
      </c>
      <c r="CH495" s="743">
        <f>Y147</f>
        <v>0</v>
      </c>
      <c r="CI495" s="736" t="s">
        <v>1494</v>
      </c>
      <c r="CJ495" s="738" t="s">
        <v>1510</v>
      </c>
      <c r="CK495" s="736" t="s">
        <v>571</v>
      </c>
      <c r="CL495" s="731"/>
      <c r="CM495" s="731"/>
      <c r="CN495" s="731"/>
      <c r="CO495" s="731"/>
      <c r="CP495" s="731"/>
      <c r="CQ495" s="731"/>
      <c r="CR495" s="731"/>
      <c r="CS495" s="731"/>
      <c r="CT495" s="731"/>
      <c r="CU495" s="731"/>
      <c r="CV495" s="731"/>
      <c r="CW495" s="731"/>
      <c r="CX495" s="731"/>
      <c r="CY495" s="731"/>
      <c r="CZ495" s="731"/>
      <c r="DA495" s="731"/>
      <c r="DB495" s="731"/>
      <c r="DC495" s="731"/>
      <c r="DD495" s="731"/>
      <c r="DE495" s="731"/>
    </row>
    <row r="496" spans="2:109" ht="12.75" x14ac:dyDescent="0.2">
      <c r="D496" s="97"/>
      <c r="CF496" s="739">
        <v>434</v>
      </c>
      <c r="CG496" s="740" t="s">
        <v>1284</v>
      </c>
      <c r="CH496" s="749">
        <f>Z147</f>
        <v>0</v>
      </c>
      <c r="CI496" s="740" t="s">
        <v>1494</v>
      </c>
      <c r="CJ496" s="742" t="s">
        <v>1511</v>
      </c>
      <c r="CK496" s="740" t="s">
        <v>592</v>
      </c>
      <c r="CL496" s="731"/>
      <c r="CM496" s="731"/>
      <c r="CN496" s="731"/>
      <c r="CO496" s="731"/>
      <c r="CP496" s="731"/>
      <c r="CQ496" s="731"/>
      <c r="CR496" s="731"/>
      <c r="CS496" s="731"/>
      <c r="CT496" s="731"/>
      <c r="CU496" s="731"/>
      <c r="CV496" s="731"/>
      <c r="CW496" s="731"/>
      <c r="CX496" s="731"/>
      <c r="CY496" s="731"/>
      <c r="CZ496" s="731"/>
      <c r="DA496" s="731"/>
      <c r="DB496" s="731"/>
      <c r="DC496" s="731"/>
      <c r="DD496" s="731"/>
      <c r="DE496" s="731"/>
    </row>
    <row r="497" spans="2:109" ht="12.75" x14ac:dyDescent="0.2">
      <c r="D497" s="97"/>
      <c r="CF497" s="735">
        <v>435</v>
      </c>
      <c r="CG497" s="736" t="s">
        <v>1286</v>
      </c>
      <c r="CH497" s="747">
        <f>AA147</f>
        <v>0</v>
      </c>
      <c r="CI497" s="736" t="s">
        <v>1494</v>
      </c>
      <c r="CJ497" s="738" t="s">
        <v>1512</v>
      </c>
      <c r="CK497" s="736" t="s">
        <v>597</v>
      </c>
      <c r="CL497" s="731"/>
      <c r="CM497" s="731"/>
      <c r="CN497" s="731"/>
      <c r="CO497" s="731"/>
      <c r="CP497" s="731"/>
      <c r="CQ497" s="731"/>
      <c r="CR497" s="731"/>
      <c r="CS497" s="731"/>
      <c r="CT497" s="731"/>
      <c r="CU497" s="731"/>
      <c r="CV497" s="731"/>
      <c r="CW497" s="731"/>
      <c r="CX497" s="731"/>
      <c r="CY497" s="731"/>
      <c r="CZ497" s="731"/>
      <c r="DA497" s="731"/>
      <c r="DB497" s="731"/>
      <c r="DC497" s="731"/>
      <c r="DD497" s="731"/>
      <c r="DE497" s="731"/>
    </row>
    <row r="498" spans="2:109" ht="15" x14ac:dyDescent="0.2">
      <c r="D498" s="97"/>
      <c r="CF498" s="734" t="s">
        <v>1513</v>
      </c>
      <c r="CG498" s="734"/>
      <c r="CH498" s="734"/>
      <c r="CI498" s="734"/>
      <c r="CJ498" s="734"/>
      <c r="CK498" s="734"/>
      <c r="CL498" s="731"/>
      <c r="CM498" s="731"/>
      <c r="CN498" s="731"/>
      <c r="CO498" s="731"/>
      <c r="CP498" s="731"/>
      <c r="CQ498" s="731"/>
      <c r="CR498" s="731"/>
      <c r="CS498" s="731"/>
      <c r="CT498" s="731"/>
      <c r="CU498" s="731"/>
      <c r="CV498" s="731"/>
      <c r="CW498" s="731"/>
      <c r="CX498" s="731"/>
      <c r="CY498" s="731"/>
      <c r="CZ498" s="731"/>
      <c r="DA498" s="731"/>
      <c r="DB498" s="731"/>
      <c r="DC498" s="731"/>
      <c r="DD498" s="731"/>
      <c r="DE498" s="731"/>
    </row>
    <row r="499" spans="2:109" ht="12.75" x14ac:dyDescent="0.2">
      <c r="D499" s="97"/>
      <c r="CF499" s="739">
        <v>436</v>
      </c>
      <c r="CG499" s="740" t="s">
        <v>717</v>
      </c>
      <c r="CH499" s="751">
        <f>R148</f>
        <v>11</v>
      </c>
      <c r="CI499" s="740" t="s">
        <v>1514</v>
      </c>
      <c r="CJ499" s="742" t="s">
        <v>1515</v>
      </c>
      <c r="CK499" s="740" t="s">
        <v>694</v>
      </c>
      <c r="CL499" s="731"/>
      <c r="CM499" s="731"/>
      <c r="CN499" s="731"/>
      <c r="CO499" s="731"/>
      <c r="CP499" s="731"/>
      <c r="CQ499" s="731"/>
      <c r="CR499" s="731"/>
      <c r="CS499" s="731"/>
      <c r="CT499" s="731"/>
      <c r="CU499" s="731"/>
      <c r="CV499" s="731"/>
      <c r="CW499" s="731"/>
      <c r="CX499" s="731"/>
      <c r="CY499" s="731"/>
      <c r="CZ499" s="731"/>
      <c r="DA499" s="731"/>
      <c r="DB499" s="731"/>
      <c r="DC499" s="731"/>
      <c r="DD499" s="731"/>
      <c r="DE499" s="731"/>
    </row>
    <row r="500" spans="2:109" ht="12.75" x14ac:dyDescent="0.2">
      <c r="D500" s="97"/>
      <c r="CF500" s="735">
        <v>437</v>
      </c>
      <c r="CG500" s="736" t="s">
        <v>1299</v>
      </c>
      <c r="CH500" s="747">
        <f>S148</f>
        <v>0</v>
      </c>
      <c r="CI500" s="736" t="s">
        <v>1514</v>
      </c>
      <c r="CJ500" s="738" t="s">
        <v>1516</v>
      </c>
      <c r="CK500" s="736" t="s">
        <v>597</v>
      </c>
      <c r="CL500" s="731"/>
      <c r="CM500" s="731"/>
      <c r="CN500" s="731"/>
      <c r="CO500" s="731"/>
      <c r="CP500" s="731"/>
      <c r="CQ500" s="731"/>
      <c r="CR500" s="731"/>
      <c r="CS500" s="731"/>
      <c r="CT500" s="731"/>
      <c r="CU500" s="731"/>
      <c r="CV500" s="731"/>
      <c r="CW500" s="731"/>
      <c r="CX500" s="731"/>
      <c r="CY500" s="731"/>
      <c r="CZ500" s="731"/>
      <c r="DA500" s="731"/>
      <c r="DB500" s="731"/>
      <c r="DC500" s="731"/>
      <c r="DD500" s="731"/>
      <c r="DE500" s="731"/>
    </row>
    <row r="501" spans="2:109" ht="12.75" x14ac:dyDescent="0.2">
      <c r="CF501" s="739">
        <v>438</v>
      </c>
      <c r="CG501" s="740" t="s">
        <v>1517</v>
      </c>
      <c r="CH501" s="751">
        <f>T148</f>
        <v>0</v>
      </c>
      <c r="CI501" s="740" t="s">
        <v>1514</v>
      </c>
      <c r="CJ501" s="742" t="s">
        <v>1518</v>
      </c>
      <c r="CK501" s="740" t="s">
        <v>1499</v>
      </c>
      <c r="CL501" s="731"/>
      <c r="CM501" s="731"/>
      <c r="CN501" s="731"/>
      <c r="CO501" s="731"/>
      <c r="CP501" s="731"/>
      <c r="CQ501" s="731"/>
      <c r="CR501" s="731"/>
      <c r="CS501" s="731"/>
      <c r="CT501" s="731"/>
      <c r="CU501" s="731"/>
      <c r="CV501" s="731"/>
      <c r="CW501" s="731"/>
      <c r="CX501" s="731"/>
      <c r="CY501" s="731"/>
      <c r="CZ501" s="731"/>
      <c r="DA501" s="731"/>
      <c r="DB501" s="731"/>
      <c r="DC501" s="731"/>
      <c r="DD501" s="731"/>
      <c r="DE501" s="731"/>
    </row>
    <row r="502" spans="2:109" ht="12.75" x14ac:dyDescent="0.2">
      <c r="D502" s="97"/>
      <c r="CF502" s="735">
        <v>439</v>
      </c>
      <c r="CG502" s="736" t="s">
        <v>1519</v>
      </c>
      <c r="CH502" s="743">
        <f>U148</f>
        <v>0</v>
      </c>
      <c r="CI502" s="736" t="s">
        <v>1514</v>
      </c>
      <c r="CJ502" s="738" t="s">
        <v>1520</v>
      </c>
      <c r="CK502" s="736" t="s">
        <v>1502</v>
      </c>
      <c r="CL502" s="731"/>
      <c r="CM502" s="731"/>
      <c r="CN502" s="731"/>
      <c r="CO502" s="731"/>
      <c r="CP502" s="731"/>
      <c r="CQ502" s="731"/>
      <c r="CR502" s="731"/>
      <c r="CS502" s="731"/>
      <c r="CT502" s="731"/>
      <c r="CU502" s="731"/>
      <c r="CV502" s="731"/>
      <c r="CW502" s="731"/>
      <c r="CX502" s="731"/>
      <c r="CY502" s="731"/>
      <c r="CZ502" s="731"/>
      <c r="DA502" s="731"/>
      <c r="DB502" s="731"/>
      <c r="DC502" s="731"/>
      <c r="DD502" s="731"/>
      <c r="DE502" s="731"/>
    </row>
    <row r="503" spans="2:109" ht="12.75" x14ac:dyDescent="0.2">
      <c r="CF503" s="739">
        <v>440</v>
      </c>
      <c r="CG503" s="740" t="s">
        <v>1521</v>
      </c>
      <c r="CH503" s="744">
        <f>V148</f>
        <v>0</v>
      </c>
      <c r="CI503" s="740" t="s">
        <v>1514</v>
      </c>
      <c r="CJ503" s="742" t="s">
        <v>1522</v>
      </c>
      <c r="CK503" s="740" t="s">
        <v>571</v>
      </c>
      <c r="CL503" s="731"/>
      <c r="CM503" s="731"/>
      <c r="CN503" s="731"/>
      <c r="CO503" s="731"/>
      <c r="CP503" s="731"/>
      <c r="CQ503" s="731"/>
      <c r="CR503" s="731"/>
      <c r="CS503" s="731"/>
      <c r="CT503" s="731"/>
      <c r="CU503" s="731"/>
      <c r="CV503" s="731"/>
      <c r="CW503" s="731"/>
      <c r="CX503" s="731"/>
      <c r="CY503" s="731"/>
      <c r="CZ503" s="731"/>
      <c r="DA503" s="731"/>
      <c r="DB503" s="731"/>
      <c r="DC503" s="731"/>
      <c r="DD503" s="731"/>
      <c r="DE503" s="731"/>
    </row>
    <row r="504" spans="2:109" ht="12.75" x14ac:dyDescent="0.2">
      <c r="D504" s="97"/>
      <c r="CF504" s="735">
        <v>441</v>
      </c>
      <c r="CG504" s="736" t="s">
        <v>1523</v>
      </c>
      <c r="CH504" s="747">
        <f>W148</f>
        <v>0</v>
      </c>
      <c r="CI504" s="736" t="s">
        <v>1514</v>
      </c>
      <c r="CJ504" s="738" t="s">
        <v>1524</v>
      </c>
      <c r="CK504" s="736" t="s">
        <v>597</v>
      </c>
      <c r="CL504" s="731"/>
      <c r="CM504" s="731"/>
      <c r="CN504" s="731"/>
      <c r="CO504" s="731"/>
      <c r="CP504" s="731"/>
      <c r="CQ504" s="731"/>
      <c r="CR504" s="731"/>
      <c r="CS504" s="731"/>
      <c r="CT504" s="731"/>
      <c r="CU504" s="731"/>
      <c r="CV504" s="731"/>
      <c r="CW504" s="731"/>
      <c r="CX504" s="731"/>
      <c r="CY504" s="731"/>
      <c r="CZ504" s="731"/>
      <c r="DA504" s="731"/>
      <c r="DB504" s="731"/>
      <c r="DC504" s="731"/>
      <c r="DD504" s="731"/>
      <c r="DE504" s="731"/>
    </row>
    <row r="505" spans="2:109" ht="12.75" x14ac:dyDescent="0.2">
      <c r="D505" s="97"/>
      <c r="CF505" s="739">
        <v>442</v>
      </c>
      <c r="CG505" s="740" t="s">
        <v>1525</v>
      </c>
      <c r="CH505" s="744">
        <f>X148</f>
        <v>0</v>
      </c>
      <c r="CI505" s="740" t="s">
        <v>1514</v>
      </c>
      <c r="CJ505" s="742" t="s">
        <v>1526</v>
      </c>
      <c r="CK505" s="740" t="s">
        <v>571</v>
      </c>
      <c r="CL505" s="731"/>
      <c r="CM505" s="731"/>
      <c r="CN505" s="731"/>
      <c r="CO505" s="731"/>
      <c r="CP505" s="731"/>
      <c r="CQ505" s="731"/>
      <c r="CR505" s="731"/>
      <c r="CS505" s="731"/>
      <c r="CT505" s="731"/>
      <c r="CU505" s="731"/>
      <c r="CV505" s="731"/>
      <c r="CW505" s="731"/>
      <c r="CX505" s="731"/>
      <c r="CY505" s="731"/>
      <c r="CZ505" s="731"/>
      <c r="DA505" s="731"/>
      <c r="DB505" s="731"/>
      <c r="DC505" s="731"/>
      <c r="DD505" s="731"/>
      <c r="DE505" s="731"/>
    </row>
    <row r="506" spans="2:109" ht="12.75" x14ac:dyDescent="0.2">
      <c r="D506" s="97"/>
      <c r="CF506" s="735">
        <v>443</v>
      </c>
      <c r="CG506" s="736" t="s">
        <v>1527</v>
      </c>
      <c r="CH506" s="743">
        <f>Y148</f>
        <v>0</v>
      </c>
      <c r="CI506" s="736" t="s">
        <v>1514</v>
      </c>
      <c r="CJ506" s="738" t="s">
        <v>1528</v>
      </c>
      <c r="CK506" s="736" t="s">
        <v>571</v>
      </c>
      <c r="CL506" s="731"/>
      <c r="CM506" s="731"/>
      <c r="CN506" s="731"/>
      <c r="CO506" s="731"/>
      <c r="CP506" s="731"/>
      <c r="CQ506" s="731"/>
      <c r="CR506" s="731"/>
      <c r="CS506" s="731"/>
      <c r="CT506" s="731"/>
      <c r="CU506" s="731"/>
      <c r="CV506" s="731"/>
      <c r="CW506" s="731"/>
      <c r="CX506" s="731"/>
      <c r="CY506" s="731"/>
      <c r="CZ506" s="731"/>
      <c r="DA506" s="731"/>
      <c r="DB506" s="731"/>
      <c r="DC506" s="731"/>
      <c r="DD506" s="731"/>
      <c r="DE506" s="731"/>
    </row>
    <row r="507" spans="2:109" ht="12.75" x14ac:dyDescent="0.2">
      <c r="D507" s="97"/>
      <c r="CF507" s="739">
        <v>444</v>
      </c>
      <c r="CG507" s="740" t="s">
        <v>1305</v>
      </c>
      <c r="CH507" s="749">
        <f>Z148</f>
        <v>0</v>
      </c>
      <c r="CI507" s="740" t="s">
        <v>1514</v>
      </c>
      <c r="CJ507" s="742" t="s">
        <v>1529</v>
      </c>
      <c r="CK507" s="740" t="s">
        <v>592</v>
      </c>
      <c r="CL507" s="731"/>
      <c r="CM507" s="731"/>
      <c r="CN507" s="731"/>
      <c r="CO507" s="731"/>
      <c r="CP507" s="731"/>
      <c r="CQ507" s="731"/>
      <c r="CR507" s="731"/>
      <c r="CS507" s="731"/>
      <c r="CT507" s="731"/>
      <c r="CU507" s="731"/>
      <c r="CV507" s="731"/>
      <c r="CW507" s="731"/>
      <c r="CX507" s="731"/>
      <c r="CY507" s="731"/>
      <c r="CZ507" s="731"/>
      <c r="DA507" s="731"/>
      <c r="DB507" s="731"/>
      <c r="DC507" s="731"/>
      <c r="DD507" s="731"/>
      <c r="DE507" s="731"/>
    </row>
    <row r="508" spans="2:109" ht="12.75" x14ac:dyDescent="0.2">
      <c r="B508" s="174"/>
      <c r="C508" s="174"/>
      <c r="D508" s="97"/>
      <c r="CF508" s="735">
        <v>445</v>
      </c>
      <c r="CG508" s="736" t="s">
        <v>1307</v>
      </c>
      <c r="CH508" s="747">
        <f>AA148</f>
        <v>0</v>
      </c>
      <c r="CI508" s="736" t="s">
        <v>1514</v>
      </c>
      <c r="CJ508" s="738" t="s">
        <v>1530</v>
      </c>
      <c r="CK508" s="736" t="s">
        <v>597</v>
      </c>
      <c r="CL508" s="731"/>
      <c r="CM508" s="731"/>
      <c r="CN508" s="731"/>
      <c r="CO508" s="731"/>
      <c r="CP508" s="731"/>
      <c r="CQ508" s="731"/>
      <c r="CR508" s="731"/>
      <c r="CS508" s="731"/>
      <c r="CT508" s="731"/>
      <c r="CU508" s="731"/>
      <c r="CV508" s="731"/>
      <c r="CW508" s="731"/>
      <c r="CX508" s="731"/>
      <c r="CY508" s="731"/>
      <c r="CZ508" s="731"/>
      <c r="DA508" s="731"/>
      <c r="DB508" s="731"/>
      <c r="DC508" s="731"/>
      <c r="DD508" s="731"/>
      <c r="DE508" s="731"/>
    </row>
    <row r="509" spans="2:109" ht="15" x14ac:dyDescent="0.2">
      <c r="B509" s="174"/>
      <c r="C509" s="174"/>
      <c r="D509" s="97"/>
      <c r="CF509" s="734" t="s">
        <v>1531</v>
      </c>
      <c r="CG509" s="734"/>
      <c r="CH509" s="734"/>
      <c r="CI509" s="734"/>
      <c r="CJ509" s="734"/>
      <c r="CK509" s="734"/>
      <c r="CL509" s="731"/>
      <c r="CM509" s="731"/>
      <c r="CN509" s="731"/>
      <c r="CO509" s="731"/>
      <c r="CP509" s="731"/>
      <c r="CQ509" s="731"/>
      <c r="CR509" s="731"/>
      <c r="CS509" s="731"/>
      <c r="CT509" s="731"/>
      <c r="CU509" s="731"/>
      <c r="CV509" s="731"/>
      <c r="CW509" s="731"/>
      <c r="CX509" s="731"/>
      <c r="CY509" s="731"/>
      <c r="CZ509" s="731"/>
      <c r="DA509" s="731"/>
      <c r="DB509" s="731"/>
      <c r="DC509" s="731"/>
      <c r="DD509" s="731"/>
      <c r="DE509" s="731"/>
    </row>
    <row r="510" spans="2:109" ht="12.75" x14ac:dyDescent="0.2">
      <c r="B510" s="174"/>
      <c r="C510" s="174"/>
      <c r="D510" s="97"/>
      <c r="CF510" s="739">
        <v>446</v>
      </c>
      <c r="CG510" s="740" t="s">
        <v>739</v>
      </c>
      <c r="CH510" s="751">
        <f>R149</f>
        <v>0</v>
      </c>
      <c r="CI510" s="740" t="s">
        <v>1532</v>
      </c>
      <c r="CJ510" s="742" t="s">
        <v>1533</v>
      </c>
      <c r="CK510" s="740" t="s">
        <v>694</v>
      </c>
      <c r="CL510" s="731"/>
      <c r="CM510" s="731"/>
      <c r="CN510" s="731"/>
      <c r="CO510" s="731"/>
      <c r="CP510" s="731"/>
      <c r="CQ510" s="731"/>
      <c r="CR510" s="731"/>
      <c r="CS510" s="731"/>
      <c r="CT510" s="731"/>
      <c r="CU510" s="731"/>
      <c r="CV510" s="731"/>
      <c r="CW510" s="731"/>
      <c r="CX510" s="731"/>
      <c r="CY510" s="731"/>
      <c r="CZ510" s="731"/>
      <c r="DA510" s="731"/>
      <c r="DB510" s="731"/>
      <c r="DC510" s="731"/>
      <c r="DD510" s="731"/>
      <c r="DE510" s="731"/>
    </row>
    <row r="511" spans="2:109" ht="12.75" x14ac:dyDescent="0.2">
      <c r="B511" s="174"/>
      <c r="C511" s="174"/>
      <c r="D511" s="97"/>
      <c r="CF511" s="735">
        <v>447</v>
      </c>
      <c r="CG511" s="736" t="s">
        <v>1320</v>
      </c>
      <c r="CH511" s="747">
        <f>S149</f>
        <v>0</v>
      </c>
      <c r="CI511" s="736" t="s">
        <v>1532</v>
      </c>
      <c r="CJ511" s="738" t="s">
        <v>1534</v>
      </c>
      <c r="CK511" s="736" t="s">
        <v>597</v>
      </c>
      <c r="CL511" s="731"/>
      <c r="CM511" s="731"/>
      <c r="CN511" s="731"/>
      <c r="CO511" s="731"/>
      <c r="CP511" s="731"/>
      <c r="CQ511" s="731"/>
      <c r="CR511" s="731"/>
      <c r="CS511" s="731"/>
      <c r="CT511" s="731"/>
      <c r="CU511" s="731"/>
      <c r="CV511" s="731"/>
      <c r="CW511" s="731"/>
      <c r="CX511" s="731"/>
      <c r="CY511" s="731"/>
      <c r="CZ511" s="731"/>
      <c r="DA511" s="731"/>
      <c r="DB511" s="731"/>
      <c r="DC511" s="731"/>
      <c r="DD511" s="731"/>
      <c r="DE511" s="731"/>
    </row>
    <row r="512" spans="2:109" ht="12.75" x14ac:dyDescent="0.2">
      <c r="B512" s="174"/>
      <c r="C512" s="174"/>
      <c r="D512" s="97"/>
      <c r="CF512" s="739">
        <v>448</v>
      </c>
      <c r="CG512" s="740" t="s">
        <v>1535</v>
      </c>
      <c r="CH512" s="751">
        <f>T149</f>
        <v>0</v>
      </c>
      <c r="CI512" s="740" t="s">
        <v>1532</v>
      </c>
      <c r="CJ512" s="742" t="s">
        <v>1536</v>
      </c>
      <c r="CK512" s="740" t="s">
        <v>1499</v>
      </c>
      <c r="CL512" s="731"/>
      <c r="CM512" s="731"/>
      <c r="CN512" s="731"/>
      <c r="CO512" s="731"/>
      <c r="CP512" s="731"/>
      <c r="CQ512" s="731"/>
      <c r="CR512" s="731"/>
      <c r="CS512" s="731"/>
      <c r="CT512" s="731"/>
      <c r="CU512" s="731"/>
      <c r="CV512" s="731"/>
      <c r="CW512" s="731"/>
      <c r="CX512" s="731"/>
      <c r="CY512" s="731"/>
      <c r="CZ512" s="731"/>
      <c r="DA512" s="731"/>
      <c r="DB512" s="731"/>
      <c r="DC512" s="731"/>
      <c r="DD512" s="731"/>
      <c r="DE512" s="731"/>
    </row>
    <row r="513" spans="2:109" ht="12.75" x14ac:dyDescent="0.2">
      <c r="B513" s="174"/>
      <c r="C513" s="174"/>
      <c r="D513" s="97"/>
      <c r="CF513" s="735">
        <v>449</v>
      </c>
      <c r="CG513" s="736" t="s">
        <v>1537</v>
      </c>
      <c r="CH513" s="743">
        <f>U149</f>
        <v>0</v>
      </c>
      <c r="CI513" s="736" t="s">
        <v>1532</v>
      </c>
      <c r="CJ513" s="738" t="s">
        <v>1538</v>
      </c>
      <c r="CK513" s="736" t="s">
        <v>1502</v>
      </c>
      <c r="CL513" s="731"/>
      <c r="CM513" s="731"/>
      <c r="CN513" s="731"/>
      <c r="CO513" s="731"/>
      <c r="CP513" s="731"/>
      <c r="CQ513" s="731"/>
      <c r="CR513" s="731"/>
      <c r="CS513" s="731"/>
      <c r="CT513" s="731"/>
      <c r="CU513" s="731"/>
      <c r="CV513" s="731"/>
      <c r="CW513" s="731"/>
      <c r="CX513" s="731"/>
      <c r="CY513" s="731"/>
      <c r="CZ513" s="731"/>
      <c r="DA513" s="731"/>
      <c r="DB513" s="731"/>
      <c r="DC513" s="731"/>
      <c r="DD513" s="731"/>
      <c r="DE513" s="731"/>
    </row>
    <row r="514" spans="2:109" ht="12.75" x14ac:dyDescent="0.2">
      <c r="B514" s="174"/>
      <c r="C514" s="174"/>
      <c r="D514" s="97"/>
      <c r="CF514" s="739">
        <v>450</v>
      </c>
      <c r="CG514" s="740" t="s">
        <v>1539</v>
      </c>
      <c r="CH514" s="744" t="str">
        <f>V149</f>
        <v>0</v>
      </c>
      <c r="CI514" s="740" t="s">
        <v>1532</v>
      </c>
      <c r="CJ514" s="742" t="s">
        <v>1540</v>
      </c>
      <c r="CK514" s="740" t="s">
        <v>571</v>
      </c>
      <c r="CL514" s="731"/>
      <c r="CM514" s="731"/>
      <c r="CN514" s="731"/>
      <c r="CO514" s="731"/>
      <c r="CP514" s="731"/>
      <c r="CQ514" s="731"/>
      <c r="CR514" s="731"/>
      <c r="CS514" s="731"/>
      <c r="CT514" s="731"/>
      <c r="CU514" s="731"/>
      <c r="CV514" s="731"/>
      <c r="CW514" s="731"/>
      <c r="CX514" s="731"/>
      <c r="CY514" s="731"/>
      <c r="CZ514" s="731"/>
      <c r="DA514" s="731"/>
      <c r="DB514" s="731"/>
      <c r="DC514" s="731"/>
      <c r="DD514" s="731"/>
      <c r="DE514" s="731"/>
    </row>
    <row r="515" spans="2:109" ht="12.75" x14ac:dyDescent="0.2">
      <c r="B515" s="174"/>
      <c r="C515" s="174"/>
      <c r="D515" s="97"/>
      <c r="CF515" s="735">
        <v>451</v>
      </c>
      <c r="CG515" s="736" t="s">
        <v>1541</v>
      </c>
      <c r="CH515" s="747">
        <f>W149</f>
        <v>0</v>
      </c>
      <c r="CI515" s="736" t="s">
        <v>1532</v>
      </c>
      <c r="CJ515" s="738" t="s">
        <v>1542</v>
      </c>
      <c r="CK515" s="736" t="s">
        <v>597</v>
      </c>
      <c r="CL515" s="731"/>
      <c r="CM515" s="731"/>
      <c r="CN515" s="731"/>
      <c r="CO515" s="731"/>
      <c r="CP515" s="731"/>
      <c r="CQ515" s="731"/>
      <c r="CR515" s="731"/>
      <c r="CS515" s="731"/>
      <c r="CT515" s="731"/>
      <c r="CU515" s="731"/>
      <c r="CV515" s="731"/>
      <c r="CW515" s="731"/>
      <c r="CX515" s="731"/>
      <c r="CY515" s="731"/>
      <c r="CZ515" s="731"/>
      <c r="DA515" s="731"/>
      <c r="DB515" s="731"/>
      <c r="DC515" s="731"/>
      <c r="DD515" s="731"/>
      <c r="DE515" s="731"/>
    </row>
    <row r="516" spans="2:109" ht="12.75" x14ac:dyDescent="0.2">
      <c r="B516" s="174"/>
      <c r="C516" s="174"/>
      <c r="D516" s="97"/>
      <c r="CF516" s="739">
        <v>452</v>
      </c>
      <c r="CG516" s="740" t="s">
        <v>1543</v>
      </c>
      <c r="CH516" s="744">
        <f>X149</f>
        <v>0</v>
      </c>
      <c r="CI516" s="740" t="s">
        <v>1532</v>
      </c>
      <c r="CJ516" s="742" t="s">
        <v>1544</v>
      </c>
      <c r="CK516" s="740" t="s">
        <v>571</v>
      </c>
      <c r="CL516" s="731"/>
      <c r="CM516" s="731"/>
      <c r="CN516" s="731"/>
      <c r="CO516" s="731"/>
      <c r="CP516" s="731"/>
      <c r="CQ516" s="731"/>
      <c r="CR516" s="731"/>
      <c r="CS516" s="731"/>
      <c r="CT516" s="731"/>
      <c r="CU516" s="731"/>
      <c r="CV516" s="731"/>
      <c r="CW516" s="731"/>
      <c r="CX516" s="731"/>
      <c r="CY516" s="731"/>
      <c r="CZ516" s="731"/>
      <c r="DA516" s="731"/>
      <c r="DB516" s="731"/>
      <c r="DC516" s="731"/>
      <c r="DD516" s="731"/>
      <c r="DE516" s="731"/>
    </row>
    <row r="517" spans="2:109" ht="12.75" x14ac:dyDescent="0.2">
      <c r="CF517" s="735">
        <v>453</v>
      </c>
      <c r="CG517" s="736" t="s">
        <v>1545</v>
      </c>
      <c r="CH517" s="743">
        <f>Y149</f>
        <v>0</v>
      </c>
      <c r="CI517" s="736" t="s">
        <v>1532</v>
      </c>
      <c r="CJ517" s="738" t="s">
        <v>1546</v>
      </c>
      <c r="CK517" s="736" t="s">
        <v>571</v>
      </c>
      <c r="CL517" s="731"/>
      <c r="CM517" s="731"/>
      <c r="CN517" s="731"/>
      <c r="CO517" s="731"/>
      <c r="CP517" s="731"/>
      <c r="CQ517" s="731"/>
      <c r="CR517" s="731"/>
      <c r="CS517" s="731"/>
      <c r="CT517" s="731"/>
      <c r="CU517" s="731"/>
      <c r="CV517" s="731"/>
      <c r="CW517" s="731"/>
      <c r="CX517" s="731"/>
      <c r="CY517" s="731"/>
      <c r="CZ517" s="731"/>
      <c r="DA517" s="731"/>
      <c r="DB517" s="731"/>
      <c r="DC517" s="731"/>
      <c r="DD517" s="731"/>
      <c r="DE517" s="731"/>
    </row>
    <row r="518" spans="2:109" ht="12.75" x14ac:dyDescent="0.2">
      <c r="CF518" s="739">
        <v>454</v>
      </c>
      <c r="CG518" s="740" t="s">
        <v>1326</v>
      </c>
      <c r="CH518" s="749">
        <f>Z149</f>
        <v>0</v>
      </c>
      <c r="CI518" s="740" t="s">
        <v>1532</v>
      </c>
      <c r="CJ518" s="742" t="s">
        <v>1547</v>
      </c>
      <c r="CK518" s="740" t="s">
        <v>592</v>
      </c>
      <c r="CL518" s="731"/>
      <c r="CM518" s="731"/>
      <c r="CN518" s="731"/>
      <c r="CO518" s="731"/>
      <c r="CP518" s="731"/>
      <c r="CQ518" s="731"/>
      <c r="CR518" s="731"/>
      <c r="CS518" s="731"/>
      <c r="CT518" s="731"/>
      <c r="CU518" s="731"/>
      <c r="CV518" s="731"/>
      <c r="CW518" s="731"/>
      <c r="CX518" s="731"/>
      <c r="CY518" s="731"/>
      <c r="CZ518" s="731"/>
      <c r="DA518" s="731"/>
      <c r="DB518" s="731"/>
      <c r="DC518" s="731"/>
      <c r="DD518" s="731"/>
      <c r="DE518" s="731"/>
    </row>
    <row r="519" spans="2:109" ht="12.75" x14ac:dyDescent="0.2">
      <c r="CF519" s="735">
        <v>455</v>
      </c>
      <c r="CG519" s="736" t="s">
        <v>1328</v>
      </c>
      <c r="CH519" s="747" t="str">
        <f>AA149</f>
        <v>0.00%</v>
      </c>
      <c r="CI519" s="736" t="s">
        <v>1532</v>
      </c>
      <c r="CJ519" s="738" t="s">
        <v>1548</v>
      </c>
      <c r="CK519" s="736" t="s">
        <v>597</v>
      </c>
      <c r="CL519" s="731"/>
      <c r="CM519" s="731"/>
      <c r="CN519" s="731"/>
      <c r="CO519" s="731"/>
      <c r="CP519" s="731"/>
      <c r="CQ519" s="731"/>
      <c r="CR519" s="731"/>
      <c r="CS519" s="731"/>
      <c r="CT519" s="731"/>
      <c r="CU519" s="731"/>
      <c r="CV519" s="731"/>
      <c r="CW519" s="731"/>
      <c r="CX519" s="731"/>
      <c r="CY519" s="731"/>
      <c r="CZ519" s="731"/>
      <c r="DA519" s="731"/>
      <c r="DB519" s="731"/>
      <c r="DC519" s="731"/>
      <c r="DD519" s="731"/>
      <c r="DE519" s="731"/>
    </row>
    <row r="520" spans="2:109" ht="15" x14ac:dyDescent="0.2">
      <c r="CF520" s="734" t="s">
        <v>1549</v>
      </c>
      <c r="CG520" s="734"/>
      <c r="CH520" s="734"/>
      <c r="CI520" s="734"/>
      <c r="CJ520" s="734"/>
      <c r="CK520" s="734"/>
      <c r="CL520" s="731"/>
      <c r="CM520" s="731"/>
      <c r="CN520" s="731"/>
      <c r="CO520" s="731"/>
      <c r="CP520" s="731"/>
      <c r="CQ520" s="731"/>
      <c r="CR520" s="731"/>
      <c r="CS520" s="731"/>
      <c r="CT520" s="731"/>
      <c r="CU520" s="731"/>
      <c r="CV520" s="731"/>
      <c r="CW520" s="731"/>
      <c r="CX520" s="731"/>
      <c r="CY520" s="731"/>
      <c r="CZ520" s="731"/>
      <c r="DA520" s="731"/>
      <c r="DB520" s="731"/>
      <c r="DC520" s="731"/>
      <c r="DD520" s="731"/>
      <c r="DE520" s="731"/>
    </row>
    <row r="521" spans="2:109" ht="12.75" x14ac:dyDescent="0.2">
      <c r="CF521" s="739">
        <v>456</v>
      </c>
      <c r="CG521" s="740" t="s">
        <v>761</v>
      </c>
      <c r="CH521" s="751">
        <f>R150</f>
        <v>0</v>
      </c>
      <c r="CI521" s="740" t="s">
        <v>1550</v>
      </c>
      <c r="CJ521" s="742" t="s">
        <v>1551</v>
      </c>
      <c r="CK521" s="740" t="s">
        <v>694</v>
      </c>
      <c r="CL521" s="731"/>
      <c r="CM521" s="731"/>
      <c r="CN521" s="731"/>
      <c r="CO521" s="731"/>
      <c r="CP521" s="731"/>
      <c r="CQ521" s="731"/>
      <c r="CR521" s="731"/>
      <c r="CS521" s="731"/>
      <c r="CT521" s="731"/>
      <c r="CU521" s="731"/>
      <c r="CV521" s="731"/>
      <c r="CW521" s="731"/>
      <c r="CX521" s="731"/>
      <c r="CY521" s="731"/>
      <c r="CZ521" s="731"/>
      <c r="DA521" s="731"/>
      <c r="DB521" s="731"/>
      <c r="DC521" s="731"/>
      <c r="DD521" s="731"/>
      <c r="DE521" s="731"/>
    </row>
    <row r="522" spans="2:109" ht="12.75" x14ac:dyDescent="0.2">
      <c r="CF522" s="735">
        <v>457</v>
      </c>
      <c r="CG522" s="736" t="s">
        <v>1341</v>
      </c>
      <c r="CH522" s="747">
        <f>S150</f>
        <v>0</v>
      </c>
      <c r="CI522" s="736" t="s">
        <v>1550</v>
      </c>
      <c r="CJ522" s="738" t="s">
        <v>1552</v>
      </c>
      <c r="CK522" s="736" t="s">
        <v>597</v>
      </c>
      <c r="CL522" s="731"/>
      <c r="CM522" s="731"/>
      <c r="CN522" s="731"/>
      <c r="CO522" s="731"/>
      <c r="CP522" s="731"/>
      <c r="CQ522" s="731"/>
      <c r="CR522" s="731"/>
      <c r="CS522" s="731"/>
      <c r="CT522" s="731"/>
      <c r="CU522" s="731"/>
      <c r="CV522" s="731"/>
      <c r="CW522" s="731"/>
      <c r="CX522" s="731"/>
      <c r="CY522" s="731"/>
      <c r="CZ522" s="731"/>
      <c r="DA522" s="731"/>
      <c r="DB522" s="731"/>
      <c r="DC522" s="731"/>
      <c r="DD522" s="731"/>
      <c r="DE522" s="731"/>
    </row>
    <row r="523" spans="2:109" ht="12.75" x14ac:dyDescent="0.2">
      <c r="CF523" s="739">
        <v>458</v>
      </c>
      <c r="CG523" s="740" t="s">
        <v>1553</v>
      </c>
      <c r="CH523" s="751">
        <f>T150</f>
        <v>0</v>
      </c>
      <c r="CI523" s="740" t="s">
        <v>1550</v>
      </c>
      <c r="CJ523" s="742" t="s">
        <v>1554</v>
      </c>
      <c r="CK523" s="740" t="s">
        <v>1499</v>
      </c>
      <c r="CL523" s="731"/>
      <c r="CM523" s="731"/>
      <c r="CN523" s="731"/>
      <c r="CO523" s="731"/>
      <c r="CP523" s="731"/>
      <c r="CQ523" s="731"/>
      <c r="CR523" s="731"/>
      <c r="CS523" s="731"/>
      <c r="CT523" s="731"/>
      <c r="CU523" s="731"/>
      <c r="CV523" s="731"/>
      <c r="CW523" s="731"/>
      <c r="CX523" s="731"/>
      <c r="CY523" s="731"/>
      <c r="CZ523" s="731"/>
      <c r="DA523" s="731"/>
      <c r="DB523" s="731"/>
      <c r="DC523" s="731"/>
      <c r="DD523" s="731"/>
      <c r="DE523" s="731"/>
    </row>
    <row r="524" spans="2:109" ht="12.75" x14ac:dyDescent="0.2">
      <c r="CF524" s="735">
        <v>459</v>
      </c>
      <c r="CG524" s="736" t="s">
        <v>1555</v>
      </c>
      <c r="CH524" s="743">
        <f>U150</f>
        <v>0</v>
      </c>
      <c r="CI524" s="736" t="s">
        <v>1550</v>
      </c>
      <c r="CJ524" s="738" t="s">
        <v>1556</v>
      </c>
      <c r="CK524" s="736" t="s">
        <v>1502</v>
      </c>
      <c r="CL524" s="731"/>
      <c r="CM524" s="731"/>
      <c r="CN524" s="731"/>
      <c r="CO524" s="731"/>
      <c r="CP524" s="731"/>
      <c r="CQ524" s="731"/>
      <c r="CR524" s="731"/>
      <c r="CS524" s="731"/>
      <c r="CT524" s="731"/>
      <c r="CU524" s="731"/>
      <c r="CV524" s="731"/>
      <c r="CW524" s="731"/>
      <c r="CX524" s="731"/>
      <c r="CY524" s="731"/>
      <c r="CZ524" s="731"/>
      <c r="DA524" s="731"/>
      <c r="DB524" s="731"/>
      <c r="DC524" s="731"/>
      <c r="DD524" s="731"/>
      <c r="DE524" s="731"/>
    </row>
    <row r="525" spans="2:109" ht="12.75" x14ac:dyDescent="0.2">
      <c r="CF525" s="739">
        <v>460</v>
      </c>
      <c r="CG525" s="740" t="s">
        <v>1557</v>
      </c>
      <c r="CH525" s="744" t="str">
        <f>V150</f>
        <v>0</v>
      </c>
      <c r="CI525" s="740" t="s">
        <v>1550</v>
      </c>
      <c r="CJ525" s="742" t="s">
        <v>1558</v>
      </c>
      <c r="CK525" s="740" t="s">
        <v>571</v>
      </c>
      <c r="CL525" s="731"/>
      <c r="CM525" s="731"/>
      <c r="CN525" s="731"/>
      <c r="CO525" s="731"/>
      <c r="CP525" s="731"/>
      <c r="CQ525" s="731"/>
      <c r="CR525" s="731"/>
      <c r="CS525" s="731"/>
      <c r="CT525" s="731"/>
      <c r="CU525" s="731"/>
      <c r="CV525" s="731"/>
      <c r="CW525" s="731"/>
      <c r="CX525" s="731"/>
      <c r="CY525" s="731"/>
      <c r="CZ525" s="731"/>
      <c r="DA525" s="731"/>
      <c r="DB525" s="731"/>
      <c r="DC525" s="731"/>
      <c r="DD525" s="731"/>
      <c r="DE525" s="731"/>
    </row>
    <row r="526" spans="2:109" ht="12.75" x14ac:dyDescent="0.2">
      <c r="CF526" s="735">
        <v>461</v>
      </c>
      <c r="CG526" s="736" t="s">
        <v>1559</v>
      </c>
      <c r="CH526" s="747">
        <f>W150</f>
        <v>0</v>
      </c>
      <c r="CI526" s="736" t="s">
        <v>1550</v>
      </c>
      <c r="CJ526" s="738" t="s">
        <v>1560</v>
      </c>
      <c r="CK526" s="736" t="s">
        <v>597</v>
      </c>
      <c r="CL526" s="731"/>
      <c r="CM526" s="731"/>
      <c r="CN526" s="731"/>
      <c r="CO526" s="731"/>
      <c r="CP526" s="731"/>
      <c r="CQ526" s="731"/>
      <c r="CR526" s="731"/>
      <c r="CS526" s="731"/>
      <c r="CT526" s="731"/>
      <c r="CU526" s="731"/>
      <c r="CV526" s="731"/>
      <c r="CW526" s="731"/>
      <c r="CX526" s="731"/>
      <c r="CY526" s="731"/>
      <c r="CZ526" s="731"/>
      <c r="DA526" s="731"/>
      <c r="DB526" s="731"/>
      <c r="DC526" s="731"/>
      <c r="DD526" s="731"/>
      <c r="DE526" s="731"/>
    </row>
    <row r="527" spans="2:109" ht="12.75" x14ac:dyDescent="0.2">
      <c r="CF527" s="739">
        <v>462</v>
      </c>
      <c r="CG527" s="740" t="s">
        <v>1561</v>
      </c>
      <c r="CH527" s="744">
        <f>X150</f>
        <v>0</v>
      </c>
      <c r="CI527" s="740" t="s">
        <v>1550</v>
      </c>
      <c r="CJ527" s="742" t="s">
        <v>1562</v>
      </c>
      <c r="CK527" s="740" t="s">
        <v>571</v>
      </c>
      <c r="CL527" s="731"/>
      <c r="CM527" s="731"/>
      <c r="CN527" s="731"/>
      <c r="CO527" s="731"/>
      <c r="CP527" s="731"/>
      <c r="CQ527" s="731"/>
      <c r="CR527" s="731"/>
      <c r="CS527" s="731"/>
      <c r="CT527" s="731"/>
      <c r="CU527" s="731"/>
      <c r="CV527" s="731"/>
      <c r="CW527" s="731"/>
      <c r="CX527" s="731"/>
      <c r="CY527" s="731"/>
      <c r="CZ527" s="731"/>
      <c r="DA527" s="731"/>
      <c r="DB527" s="731"/>
      <c r="DC527" s="731"/>
      <c r="DD527" s="731"/>
      <c r="DE527" s="731"/>
    </row>
    <row r="528" spans="2:109" ht="12.75" x14ac:dyDescent="0.2">
      <c r="CF528" s="735">
        <v>463</v>
      </c>
      <c r="CG528" s="736" t="s">
        <v>1563</v>
      </c>
      <c r="CH528" s="743">
        <f>Y150</f>
        <v>0</v>
      </c>
      <c r="CI528" s="736" t="s">
        <v>1550</v>
      </c>
      <c r="CJ528" s="738" t="s">
        <v>1564</v>
      </c>
      <c r="CK528" s="736" t="s">
        <v>571</v>
      </c>
      <c r="CL528" s="731"/>
      <c r="CM528" s="731"/>
      <c r="CN528" s="731"/>
      <c r="CO528" s="731"/>
      <c r="CP528" s="731"/>
      <c r="CQ528" s="731"/>
      <c r="CR528" s="731"/>
      <c r="CS528" s="731"/>
      <c r="CT528" s="731"/>
      <c r="CU528" s="731"/>
      <c r="CV528" s="731"/>
      <c r="CW528" s="731"/>
      <c r="CX528" s="731"/>
      <c r="CY528" s="731"/>
      <c r="CZ528" s="731"/>
      <c r="DA528" s="731"/>
      <c r="DB528" s="731"/>
      <c r="DC528" s="731"/>
      <c r="DD528" s="731"/>
      <c r="DE528" s="731"/>
    </row>
    <row r="529" spans="2:109" ht="12.75" x14ac:dyDescent="0.2">
      <c r="B529" s="174"/>
      <c r="C529" s="174"/>
      <c r="CF529" s="739">
        <v>464</v>
      </c>
      <c r="CG529" s="740" t="s">
        <v>1347</v>
      </c>
      <c r="CH529" s="749">
        <f>Z150</f>
        <v>0</v>
      </c>
      <c r="CI529" s="740" t="s">
        <v>1550</v>
      </c>
      <c r="CJ529" s="742" t="s">
        <v>1565</v>
      </c>
      <c r="CK529" s="740" t="s">
        <v>592</v>
      </c>
      <c r="CL529" s="731"/>
      <c r="CM529" s="731"/>
      <c r="CN529" s="731"/>
      <c r="CO529" s="731"/>
      <c r="CP529" s="731"/>
      <c r="CQ529" s="731"/>
      <c r="CR529" s="731"/>
      <c r="CS529" s="731"/>
      <c r="CT529" s="731"/>
      <c r="CU529" s="731"/>
      <c r="CV529" s="731"/>
      <c r="CW529" s="731"/>
      <c r="CX529" s="731"/>
      <c r="CY529" s="731"/>
      <c r="CZ529" s="731"/>
      <c r="DA529" s="731"/>
      <c r="DB529" s="731"/>
      <c r="DC529" s="731"/>
      <c r="DD529" s="731"/>
      <c r="DE529" s="731"/>
    </row>
    <row r="530" spans="2:109" ht="12.75" x14ac:dyDescent="0.2">
      <c r="B530" s="174"/>
      <c r="C530" s="174"/>
      <c r="CF530" s="735">
        <v>465</v>
      </c>
      <c r="CG530" s="736" t="s">
        <v>1349</v>
      </c>
      <c r="CH530" s="747" t="str">
        <f>AA150</f>
        <v>0.00%</v>
      </c>
      <c r="CI530" s="736" t="s">
        <v>1550</v>
      </c>
      <c r="CJ530" s="738" t="s">
        <v>1566</v>
      </c>
      <c r="CK530" s="736" t="s">
        <v>597</v>
      </c>
      <c r="CL530" s="731"/>
      <c r="CM530" s="731"/>
      <c r="CN530" s="731"/>
      <c r="CO530" s="731"/>
      <c r="CP530" s="731"/>
      <c r="CQ530" s="731"/>
      <c r="CR530" s="731"/>
      <c r="CS530" s="731"/>
      <c r="CT530" s="731"/>
      <c r="CU530" s="731"/>
      <c r="CV530" s="731"/>
      <c r="CW530" s="731"/>
      <c r="CX530" s="731"/>
      <c r="CY530" s="731"/>
      <c r="CZ530" s="731"/>
      <c r="DA530" s="731"/>
      <c r="DB530" s="731"/>
      <c r="DC530" s="731"/>
      <c r="DD530" s="731"/>
      <c r="DE530" s="731"/>
    </row>
    <row r="531" spans="2:109" ht="15" x14ac:dyDescent="0.2">
      <c r="B531" s="174"/>
      <c r="C531" s="174"/>
      <c r="CF531" s="734" t="s">
        <v>1567</v>
      </c>
      <c r="CG531" s="734"/>
      <c r="CH531" s="734"/>
      <c r="CI531" s="734"/>
      <c r="CJ531" s="734"/>
      <c r="CK531" s="734"/>
      <c r="CL531" s="731"/>
      <c r="CM531" s="731"/>
      <c r="CN531" s="731"/>
      <c r="CO531" s="731"/>
      <c r="CP531" s="731"/>
      <c r="CQ531" s="731"/>
      <c r="CR531" s="731"/>
      <c r="CS531" s="731"/>
      <c r="CT531" s="731"/>
      <c r="CU531" s="731"/>
      <c r="CV531" s="731"/>
      <c r="CW531" s="731"/>
      <c r="CX531" s="731"/>
      <c r="CY531" s="731"/>
      <c r="CZ531" s="731"/>
      <c r="DA531" s="731"/>
      <c r="DB531" s="731"/>
      <c r="DC531" s="731"/>
      <c r="DD531" s="731"/>
      <c r="DE531" s="731"/>
    </row>
    <row r="532" spans="2:109" ht="12.75" x14ac:dyDescent="0.2">
      <c r="B532" s="174"/>
      <c r="C532" s="174"/>
      <c r="CF532" s="739">
        <v>466</v>
      </c>
      <c r="CG532" s="740" t="s">
        <v>783</v>
      </c>
      <c r="CH532" s="751">
        <f>R151</f>
        <v>0</v>
      </c>
      <c r="CI532" s="740" t="s">
        <v>1568</v>
      </c>
      <c r="CJ532" s="742" t="s">
        <v>1569</v>
      </c>
      <c r="CK532" s="740" t="s">
        <v>694</v>
      </c>
      <c r="CL532" s="731"/>
      <c r="CM532" s="731"/>
      <c r="CN532" s="731"/>
      <c r="CO532" s="731"/>
      <c r="CP532" s="731"/>
      <c r="CQ532" s="731"/>
      <c r="CR532" s="731"/>
      <c r="CS532" s="731"/>
      <c r="CT532" s="731"/>
      <c r="CU532" s="731"/>
      <c r="CV532" s="731"/>
      <c r="CW532" s="731"/>
      <c r="CX532" s="731"/>
      <c r="CY532" s="731"/>
      <c r="CZ532" s="731"/>
      <c r="DA532" s="731"/>
      <c r="DB532" s="731"/>
      <c r="DC532" s="731"/>
      <c r="DD532" s="731"/>
      <c r="DE532" s="731"/>
    </row>
    <row r="533" spans="2:109" ht="12.75" x14ac:dyDescent="0.2">
      <c r="B533" s="174"/>
      <c r="C533" s="174"/>
      <c r="CF533" s="735">
        <v>467</v>
      </c>
      <c r="CG533" s="736" t="s">
        <v>1362</v>
      </c>
      <c r="CH533" s="747">
        <f>S151</f>
        <v>0</v>
      </c>
      <c r="CI533" s="736" t="s">
        <v>1568</v>
      </c>
      <c r="CJ533" s="738" t="s">
        <v>1570</v>
      </c>
      <c r="CK533" s="736" t="s">
        <v>597</v>
      </c>
      <c r="CL533" s="731"/>
      <c r="CM533" s="731"/>
      <c r="CN533" s="731"/>
      <c r="CO533" s="731"/>
      <c r="CP533" s="731"/>
      <c r="CQ533" s="731"/>
      <c r="CR533" s="731"/>
      <c r="CS533" s="731"/>
      <c r="CT533" s="731"/>
      <c r="CU533" s="731"/>
      <c r="CV533" s="731"/>
      <c r="CW533" s="731"/>
      <c r="CX533" s="731"/>
      <c r="CY533" s="731"/>
      <c r="CZ533" s="731"/>
      <c r="DA533" s="731"/>
      <c r="DB533" s="731"/>
      <c r="DC533" s="731"/>
      <c r="DD533" s="731"/>
      <c r="DE533" s="731"/>
    </row>
    <row r="534" spans="2:109" ht="12.75" x14ac:dyDescent="0.2">
      <c r="B534" s="174"/>
      <c r="C534" s="174"/>
      <c r="CF534" s="739">
        <v>468</v>
      </c>
      <c r="CG534" s="740" t="s">
        <v>1571</v>
      </c>
      <c r="CH534" s="751">
        <f>T151</f>
        <v>0</v>
      </c>
      <c r="CI534" s="740" t="s">
        <v>1568</v>
      </c>
      <c r="CJ534" s="742" t="s">
        <v>1572</v>
      </c>
      <c r="CK534" s="740" t="s">
        <v>1499</v>
      </c>
      <c r="CL534" s="731"/>
      <c r="CM534" s="731"/>
      <c r="CN534" s="731"/>
      <c r="CO534" s="731"/>
      <c r="CP534" s="731"/>
      <c r="CQ534" s="731"/>
      <c r="CR534" s="731"/>
      <c r="CS534" s="731"/>
      <c r="CT534" s="731"/>
      <c r="CU534" s="731"/>
      <c r="CV534" s="731"/>
      <c r="CW534" s="731"/>
      <c r="CX534" s="731"/>
      <c r="CY534" s="731"/>
      <c r="CZ534" s="731"/>
      <c r="DA534" s="731"/>
      <c r="DB534" s="731"/>
      <c r="DC534" s="731"/>
      <c r="DD534" s="731"/>
      <c r="DE534" s="731"/>
    </row>
    <row r="535" spans="2:109" ht="12.75" x14ac:dyDescent="0.2">
      <c r="B535" s="174"/>
      <c r="C535" s="174"/>
      <c r="CF535" s="735">
        <v>469</v>
      </c>
      <c r="CG535" s="736" t="s">
        <v>1573</v>
      </c>
      <c r="CH535" s="743">
        <f>U151</f>
        <v>0</v>
      </c>
      <c r="CI535" s="736" t="s">
        <v>1568</v>
      </c>
      <c r="CJ535" s="738" t="s">
        <v>1574</v>
      </c>
      <c r="CK535" s="736" t="s">
        <v>1502</v>
      </c>
      <c r="CL535" s="731"/>
      <c r="CM535" s="731"/>
      <c r="CN535" s="731"/>
      <c r="CO535" s="731"/>
      <c r="CP535" s="731"/>
      <c r="CQ535" s="731"/>
      <c r="CR535" s="731"/>
      <c r="CS535" s="731"/>
      <c r="CT535" s="731"/>
      <c r="CU535" s="731"/>
      <c r="CV535" s="731"/>
      <c r="CW535" s="731"/>
      <c r="CX535" s="731"/>
      <c r="CY535" s="731"/>
      <c r="CZ535" s="731"/>
      <c r="DA535" s="731"/>
      <c r="DB535" s="731"/>
      <c r="DC535" s="731"/>
      <c r="DD535" s="731"/>
      <c r="DE535" s="731"/>
    </row>
    <row r="536" spans="2:109" ht="12.75" x14ac:dyDescent="0.2">
      <c r="B536" s="174"/>
      <c r="C536" s="174"/>
      <c r="CF536" s="739">
        <v>470</v>
      </c>
      <c r="CG536" s="740" t="s">
        <v>1575</v>
      </c>
      <c r="CH536" s="744" t="str">
        <f>V151</f>
        <v>0</v>
      </c>
      <c r="CI536" s="740" t="s">
        <v>1568</v>
      </c>
      <c r="CJ536" s="742" t="s">
        <v>1576</v>
      </c>
      <c r="CK536" s="740" t="s">
        <v>571</v>
      </c>
      <c r="CL536" s="731"/>
      <c r="CM536" s="731"/>
      <c r="CN536" s="731"/>
      <c r="CO536" s="731"/>
      <c r="CP536" s="731"/>
      <c r="CQ536" s="731"/>
      <c r="CR536" s="731"/>
      <c r="CS536" s="731"/>
      <c r="CT536" s="731"/>
      <c r="CU536" s="731"/>
      <c r="CV536" s="731"/>
      <c r="CW536" s="731"/>
      <c r="CX536" s="731"/>
      <c r="CY536" s="731"/>
      <c r="CZ536" s="731"/>
      <c r="DA536" s="731"/>
      <c r="DB536" s="731"/>
      <c r="DC536" s="731"/>
      <c r="DD536" s="731"/>
      <c r="DE536" s="731"/>
    </row>
    <row r="537" spans="2:109" ht="12.75" x14ac:dyDescent="0.2">
      <c r="B537" s="174"/>
      <c r="C537" s="174"/>
      <c r="CF537" s="735">
        <v>471</v>
      </c>
      <c r="CG537" s="736" t="s">
        <v>1577</v>
      </c>
      <c r="CH537" s="747">
        <f>W151</f>
        <v>0</v>
      </c>
      <c r="CI537" s="736" t="s">
        <v>1568</v>
      </c>
      <c r="CJ537" s="738" t="s">
        <v>1578</v>
      </c>
      <c r="CK537" s="736" t="s">
        <v>597</v>
      </c>
      <c r="CL537" s="731"/>
      <c r="CM537" s="731"/>
      <c r="CN537" s="731"/>
      <c r="CO537" s="731"/>
      <c r="CP537" s="731"/>
      <c r="CQ537" s="731"/>
      <c r="CR537" s="731"/>
      <c r="CS537" s="731"/>
      <c r="CT537" s="731"/>
      <c r="CU537" s="731"/>
      <c r="CV537" s="731"/>
      <c r="CW537" s="731"/>
      <c r="CX537" s="731"/>
      <c r="CY537" s="731"/>
      <c r="CZ537" s="731"/>
      <c r="DA537" s="731"/>
      <c r="DB537" s="731"/>
      <c r="DC537" s="731"/>
      <c r="DD537" s="731"/>
      <c r="DE537" s="731"/>
    </row>
    <row r="538" spans="2:109" ht="12.75" x14ac:dyDescent="0.2">
      <c r="B538" s="174"/>
      <c r="C538" s="174"/>
      <c r="CF538" s="739">
        <v>472</v>
      </c>
      <c r="CG538" s="740" t="s">
        <v>1579</v>
      </c>
      <c r="CH538" s="744">
        <f>X151</f>
        <v>0</v>
      </c>
      <c r="CI538" s="740" t="s">
        <v>1568</v>
      </c>
      <c r="CJ538" s="742" t="s">
        <v>1580</v>
      </c>
      <c r="CK538" s="740" t="s">
        <v>571</v>
      </c>
      <c r="CL538" s="731"/>
      <c r="CM538" s="731"/>
      <c r="CN538" s="731"/>
      <c r="CO538" s="731"/>
      <c r="CP538" s="731"/>
      <c r="CQ538" s="731"/>
      <c r="CR538" s="731"/>
      <c r="CS538" s="731"/>
      <c r="CT538" s="731"/>
      <c r="CU538" s="731"/>
      <c r="CV538" s="731"/>
      <c r="CW538" s="731"/>
      <c r="CX538" s="731"/>
      <c r="CY538" s="731"/>
      <c r="CZ538" s="731"/>
      <c r="DA538" s="731"/>
      <c r="DB538" s="731"/>
      <c r="DC538" s="731"/>
      <c r="DD538" s="731"/>
      <c r="DE538" s="731"/>
    </row>
    <row r="539" spans="2:109" ht="12.75" x14ac:dyDescent="0.2">
      <c r="B539" s="174"/>
      <c r="C539" s="174"/>
      <c r="CF539" s="735">
        <v>473</v>
      </c>
      <c r="CG539" s="736" t="s">
        <v>1581</v>
      </c>
      <c r="CH539" s="743">
        <f>Y151</f>
        <v>0</v>
      </c>
      <c r="CI539" s="736" t="s">
        <v>1568</v>
      </c>
      <c r="CJ539" s="738" t="s">
        <v>1582</v>
      </c>
      <c r="CK539" s="736" t="s">
        <v>571</v>
      </c>
      <c r="CL539" s="731"/>
      <c r="CM539" s="731"/>
      <c r="CN539" s="731"/>
      <c r="CO539" s="731"/>
      <c r="CP539" s="731"/>
      <c r="CQ539" s="731"/>
      <c r="CR539" s="731"/>
      <c r="CS539" s="731"/>
      <c r="CT539" s="731"/>
      <c r="CU539" s="731"/>
      <c r="CV539" s="731"/>
      <c r="CW539" s="731"/>
      <c r="CX539" s="731"/>
      <c r="CY539" s="731"/>
      <c r="CZ539" s="731"/>
      <c r="DA539" s="731"/>
      <c r="DB539" s="731"/>
      <c r="DC539" s="731"/>
      <c r="DD539" s="731"/>
      <c r="DE539" s="731"/>
    </row>
    <row r="540" spans="2:109" ht="12.75" x14ac:dyDescent="0.2">
      <c r="B540" s="174"/>
      <c r="C540" s="174"/>
      <c r="CF540" s="739">
        <v>474</v>
      </c>
      <c r="CG540" s="740" t="s">
        <v>1368</v>
      </c>
      <c r="CH540" s="749">
        <f>Z151</f>
        <v>0</v>
      </c>
      <c r="CI540" s="740" t="s">
        <v>1568</v>
      </c>
      <c r="CJ540" s="742" t="s">
        <v>1583</v>
      </c>
      <c r="CK540" s="740" t="s">
        <v>592</v>
      </c>
      <c r="CL540" s="731"/>
      <c r="CM540" s="731"/>
      <c r="CN540" s="731"/>
      <c r="CO540" s="731"/>
      <c r="CP540" s="731"/>
      <c r="CQ540" s="731"/>
      <c r="CR540" s="731"/>
      <c r="CS540" s="731"/>
      <c r="CT540" s="731"/>
      <c r="CU540" s="731"/>
      <c r="CV540" s="731"/>
      <c r="CW540" s="731"/>
      <c r="CX540" s="731"/>
      <c r="CY540" s="731"/>
      <c r="CZ540" s="731"/>
      <c r="DA540" s="731"/>
      <c r="DB540" s="731"/>
      <c r="DC540" s="731"/>
      <c r="DD540" s="731"/>
      <c r="DE540" s="731"/>
    </row>
    <row r="541" spans="2:109" ht="12.75" x14ac:dyDescent="0.2">
      <c r="B541" s="174"/>
      <c r="C541" s="174"/>
      <c r="CF541" s="735">
        <v>475</v>
      </c>
      <c r="CG541" s="736" t="s">
        <v>1370</v>
      </c>
      <c r="CH541" s="747" t="str">
        <f>AA151</f>
        <v>0.00%</v>
      </c>
      <c r="CI541" s="736" t="s">
        <v>1568</v>
      </c>
      <c r="CJ541" s="738" t="s">
        <v>1584</v>
      </c>
      <c r="CK541" s="736" t="s">
        <v>597</v>
      </c>
      <c r="CL541" s="731"/>
      <c r="CM541" s="731"/>
      <c r="CN541" s="731"/>
      <c r="CO541" s="731"/>
      <c r="CP541" s="731"/>
      <c r="CQ541" s="731"/>
      <c r="CR541" s="731"/>
      <c r="CS541" s="731"/>
      <c r="CT541" s="731"/>
      <c r="CU541" s="731"/>
      <c r="CV541" s="731"/>
      <c r="CW541" s="731"/>
      <c r="CX541" s="731"/>
      <c r="CY541" s="731"/>
      <c r="CZ541" s="731"/>
      <c r="DA541" s="731"/>
      <c r="DB541" s="731"/>
      <c r="DC541" s="731"/>
      <c r="DD541" s="731"/>
      <c r="DE541" s="731"/>
    </row>
    <row r="542" spans="2:109" ht="15" x14ac:dyDescent="0.2">
      <c r="B542" s="174"/>
      <c r="C542" s="174"/>
      <c r="CF542" s="734" t="s">
        <v>1585</v>
      </c>
      <c r="CG542" s="734"/>
      <c r="CH542" s="734"/>
      <c r="CI542" s="734"/>
      <c r="CJ542" s="734"/>
      <c r="CK542" s="734"/>
      <c r="CL542" s="731"/>
      <c r="CM542" s="731"/>
      <c r="CN542" s="731"/>
      <c r="CO542" s="731"/>
      <c r="CP542" s="731"/>
      <c r="CQ542" s="731"/>
      <c r="CR542" s="731"/>
      <c r="CS542" s="731"/>
      <c r="CT542" s="731"/>
      <c r="CU542" s="731"/>
      <c r="CV542" s="731"/>
      <c r="CW542" s="731"/>
      <c r="CX542" s="731"/>
      <c r="CY542" s="731"/>
      <c r="CZ542" s="731"/>
      <c r="DA542" s="731"/>
      <c r="DB542" s="731"/>
      <c r="DC542" s="731"/>
      <c r="DD542" s="731"/>
      <c r="DE542" s="731"/>
    </row>
    <row r="543" spans="2:109" ht="12.75" x14ac:dyDescent="0.2">
      <c r="B543" s="174"/>
      <c r="C543" s="174"/>
      <c r="CF543" s="739">
        <v>476</v>
      </c>
      <c r="CG543" s="740" t="s">
        <v>805</v>
      </c>
      <c r="CH543" s="751">
        <f>R152</f>
        <v>0</v>
      </c>
      <c r="CI543" s="740" t="s">
        <v>1586</v>
      </c>
      <c r="CJ543" s="742" t="s">
        <v>1587</v>
      </c>
      <c r="CK543" s="740" t="s">
        <v>694</v>
      </c>
      <c r="CL543" s="731"/>
      <c r="CM543" s="731"/>
      <c r="CN543" s="731"/>
      <c r="CO543" s="731"/>
      <c r="CP543" s="731"/>
      <c r="CQ543" s="731"/>
      <c r="CR543" s="731"/>
      <c r="CS543" s="731"/>
      <c r="CT543" s="731"/>
      <c r="CU543" s="731"/>
      <c r="CV543" s="731"/>
      <c r="CW543" s="731"/>
      <c r="CX543" s="731"/>
      <c r="CY543" s="731"/>
      <c r="CZ543" s="731"/>
      <c r="DA543" s="731"/>
      <c r="DB543" s="731"/>
      <c r="DC543" s="731"/>
      <c r="DD543" s="731"/>
      <c r="DE543" s="731"/>
    </row>
    <row r="544" spans="2:109" ht="12.75" x14ac:dyDescent="0.2">
      <c r="CF544" s="735">
        <v>477</v>
      </c>
      <c r="CG544" s="736" t="s">
        <v>1383</v>
      </c>
      <c r="CH544" s="747">
        <f>S152</f>
        <v>0</v>
      </c>
      <c r="CI544" s="736" t="s">
        <v>1586</v>
      </c>
      <c r="CJ544" s="738" t="s">
        <v>1588</v>
      </c>
      <c r="CK544" s="736" t="s">
        <v>597</v>
      </c>
      <c r="CL544" s="731"/>
      <c r="CM544" s="731"/>
      <c r="CN544" s="731"/>
      <c r="CO544" s="731"/>
      <c r="CP544" s="731"/>
      <c r="CQ544" s="731"/>
      <c r="CR544" s="731"/>
      <c r="CS544" s="731"/>
      <c r="CT544" s="731"/>
      <c r="CU544" s="731"/>
      <c r="CV544" s="731"/>
      <c r="CW544" s="731"/>
      <c r="CX544" s="731"/>
      <c r="CY544" s="731"/>
      <c r="CZ544" s="731"/>
      <c r="DA544" s="731"/>
      <c r="DB544" s="731"/>
      <c r="DC544" s="731"/>
      <c r="DD544" s="731"/>
      <c r="DE544" s="731"/>
    </row>
    <row r="545" spans="2:109" ht="12.75" x14ac:dyDescent="0.2">
      <c r="B545" s="174"/>
      <c r="C545" s="174"/>
      <c r="CF545" s="739">
        <v>478</v>
      </c>
      <c r="CG545" s="740" t="s">
        <v>1589</v>
      </c>
      <c r="CH545" s="751">
        <f>T152</f>
        <v>0</v>
      </c>
      <c r="CI545" s="740" t="s">
        <v>1586</v>
      </c>
      <c r="CJ545" s="742" t="s">
        <v>1590</v>
      </c>
      <c r="CK545" s="740" t="s">
        <v>1499</v>
      </c>
      <c r="CL545" s="731"/>
      <c r="CM545" s="731"/>
      <c r="CN545" s="731"/>
      <c r="CO545" s="731"/>
      <c r="CP545" s="731"/>
      <c r="CQ545" s="731"/>
      <c r="CR545" s="731"/>
      <c r="CS545" s="731"/>
      <c r="CT545" s="731"/>
      <c r="CU545" s="731"/>
      <c r="CV545" s="731"/>
      <c r="CW545" s="731"/>
      <c r="CX545" s="731"/>
      <c r="CY545" s="731"/>
      <c r="CZ545" s="731"/>
      <c r="DA545" s="731"/>
      <c r="DB545" s="731"/>
      <c r="DC545" s="731"/>
      <c r="DD545" s="731"/>
      <c r="DE545" s="731"/>
    </row>
    <row r="546" spans="2:109" ht="12.75" x14ac:dyDescent="0.2">
      <c r="B546" s="174"/>
      <c r="C546" s="174"/>
      <c r="CF546" s="735">
        <v>479</v>
      </c>
      <c r="CG546" s="736" t="s">
        <v>1591</v>
      </c>
      <c r="CH546" s="743">
        <f>U152</f>
        <v>0</v>
      </c>
      <c r="CI546" s="736" t="s">
        <v>1586</v>
      </c>
      <c r="CJ546" s="738" t="s">
        <v>1592</v>
      </c>
      <c r="CK546" s="736" t="s">
        <v>1502</v>
      </c>
      <c r="CL546" s="731"/>
      <c r="CM546" s="731"/>
      <c r="CN546" s="731"/>
      <c r="CO546" s="731"/>
      <c r="CP546" s="731"/>
      <c r="CQ546" s="731"/>
      <c r="CR546" s="731"/>
      <c r="CS546" s="731"/>
      <c r="CT546" s="731"/>
      <c r="CU546" s="731"/>
      <c r="CV546" s="731"/>
      <c r="CW546" s="731"/>
      <c r="CX546" s="731"/>
      <c r="CY546" s="731"/>
      <c r="CZ546" s="731"/>
      <c r="DA546" s="731"/>
      <c r="DB546" s="731"/>
      <c r="DC546" s="731"/>
      <c r="DD546" s="731"/>
      <c r="DE546" s="731"/>
    </row>
    <row r="547" spans="2:109" ht="12.75" x14ac:dyDescent="0.2">
      <c r="B547" s="174"/>
      <c r="C547" s="174"/>
      <c r="CF547" s="739">
        <v>480</v>
      </c>
      <c r="CG547" s="740" t="s">
        <v>1593</v>
      </c>
      <c r="CH547" s="744" t="str">
        <f>V152</f>
        <v>0</v>
      </c>
      <c r="CI547" s="740" t="s">
        <v>1586</v>
      </c>
      <c r="CJ547" s="742" t="s">
        <v>1594</v>
      </c>
      <c r="CK547" s="740" t="s">
        <v>571</v>
      </c>
      <c r="CL547" s="731"/>
      <c r="CM547" s="731"/>
      <c r="CN547" s="731"/>
      <c r="CO547" s="731"/>
      <c r="CP547" s="731"/>
      <c r="CQ547" s="731"/>
      <c r="CR547" s="731"/>
      <c r="CS547" s="731"/>
      <c r="CT547" s="731"/>
      <c r="CU547" s="731"/>
      <c r="CV547" s="731"/>
      <c r="CW547" s="731"/>
      <c r="CX547" s="731"/>
      <c r="CY547" s="731"/>
      <c r="CZ547" s="731"/>
      <c r="DA547" s="731"/>
      <c r="DB547" s="731"/>
      <c r="DC547" s="731"/>
      <c r="DD547" s="731"/>
      <c r="DE547" s="731"/>
    </row>
    <row r="548" spans="2:109" ht="12.75" x14ac:dyDescent="0.2">
      <c r="B548" s="174"/>
      <c r="C548" s="174"/>
      <c r="CF548" s="735">
        <v>481</v>
      </c>
      <c r="CG548" s="736" t="s">
        <v>1595</v>
      </c>
      <c r="CH548" s="747">
        <f>W152</f>
        <v>0</v>
      </c>
      <c r="CI548" s="736" t="s">
        <v>1586</v>
      </c>
      <c r="CJ548" s="738" t="s">
        <v>1596</v>
      </c>
      <c r="CK548" s="736" t="s">
        <v>597</v>
      </c>
      <c r="CL548" s="731"/>
      <c r="CM548" s="731"/>
      <c r="CN548" s="731"/>
      <c r="CO548" s="731"/>
      <c r="CP548" s="731"/>
      <c r="CQ548" s="731"/>
      <c r="CR548" s="731"/>
      <c r="CS548" s="731"/>
      <c r="CT548" s="731"/>
      <c r="CU548" s="731"/>
      <c r="CV548" s="731"/>
      <c r="CW548" s="731"/>
      <c r="CX548" s="731"/>
      <c r="CY548" s="731"/>
      <c r="CZ548" s="731"/>
      <c r="DA548" s="731"/>
      <c r="DB548" s="731"/>
      <c r="DC548" s="731"/>
      <c r="DD548" s="731"/>
      <c r="DE548" s="731"/>
    </row>
    <row r="549" spans="2:109" ht="12.75" x14ac:dyDescent="0.2">
      <c r="CF549" s="739">
        <v>482</v>
      </c>
      <c r="CG549" s="740" t="s">
        <v>1597</v>
      </c>
      <c r="CH549" s="744">
        <f>X152</f>
        <v>0</v>
      </c>
      <c r="CI549" s="740" t="s">
        <v>1586</v>
      </c>
      <c r="CJ549" s="742" t="s">
        <v>1598</v>
      </c>
      <c r="CK549" s="740" t="s">
        <v>571</v>
      </c>
      <c r="CL549" s="731"/>
      <c r="CM549" s="731"/>
      <c r="CN549" s="731"/>
      <c r="CO549" s="731"/>
      <c r="CP549" s="731"/>
      <c r="CQ549" s="731"/>
      <c r="CR549" s="731"/>
      <c r="CS549" s="731"/>
      <c r="CT549" s="731"/>
      <c r="CU549" s="731"/>
      <c r="CV549" s="731"/>
      <c r="CW549" s="731"/>
      <c r="CX549" s="731"/>
      <c r="CY549" s="731"/>
      <c r="CZ549" s="731"/>
      <c r="DA549" s="731"/>
      <c r="DB549" s="731"/>
      <c r="DC549" s="731"/>
      <c r="DD549" s="731"/>
      <c r="DE549" s="731"/>
    </row>
    <row r="550" spans="2:109" ht="12.75" x14ac:dyDescent="0.2">
      <c r="B550" s="174"/>
      <c r="C550" s="174"/>
      <c r="CF550" s="735">
        <v>483</v>
      </c>
      <c r="CG550" s="736" t="s">
        <v>1599</v>
      </c>
      <c r="CH550" s="743">
        <f>Y152</f>
        <v>0</v>
      </c>
      <c r="CI550" s="736" t="s">
        <v>1586</v>
      </c>
      <c r="CJ550" s="738" t="s">
        <v>1600</v>
      </c>
      <c r="CK550" s="736" t="s">
        <v>571</v>
      </c>
      <c r="CL550" s="731"/>
      <c r="CM550" s="731"/>
      <c r="CN550" s="731"/>
      <c r="CO550" s="731"/>
      <c r="CP550" s="731"/>
      <c r="CQ550" s="731"/>
      <c r="CR550" s="731"/>
      <c r="CS550" s="731"/>
      <c r="CT550" s="731"/>
      <c r="CU550" s="731"/>
      <c r="CV550" s="731"/>
      <c r="CW550" s="731"/>
      <c r="CX550" s="731"/>
      <c r="CY550" s="731"/>
      <c r="CZ550" s="731"/>
      <c r="DA550" s="731"/>
      <c r="DB550" s="731"/>
      <c r="DC550" s="731"/>
      <c r="DD550" s="731"/>
      <c r="DE550" s="731"/>
    </row>
    <row r="551" spans="2:109" ht="12.75" x14ac:dyDescent="0.2">
      <c r="B551" s="174"/>
      <c r="C551" s="174"/>
      <c r="CF551" s="739">
        <v>484</v>
      </c>
      <c r="CG551" s="740" t="s">
        <v>1389</v>
      </c>
      <c r="CH551" s="749">
        <f>Z152</f>
        <v>0</v>
      </c>
      <c r="CI551" s="740" t="s">
        <v>1586</v>
      </c>
      <c r="CJ551" s="742" t="s">
        <v>1601</v>
      </c>
      <c r="CK551" s="740" t="s">
        <v>592</v>
      </c>
      <c r="CL551" s="731"/>
      <c r="CM551" s="731"/>
      <c r="CN551" s="731"/>
      <c r="CO551" s="731"/>
      <c r="CP551" s="731"/>
      <c r="CQ551" s="731"/>
      <c r="CR551" s="731"/>
      <c r="CS551" s="731"/>
      <c r="CT551" s="731"/>
      <c r="CU551" s="731"/>
      <c r="CV551" s="731"/>
      <c r="CW551" s="731"/>
      <c r="CX551" s="731"/>
      <c r="CY551" s="731"/>
      <c r="CZ551" s="731"/>
      <c r="DA551" s="731"/>
      <c r="DB551" s="731"/>
      <c r="DC551" s="731"/>
      <c r="DD551" s="731"/>
      <c r="DE551" s="731"/>
    </row>
    <row r="552" spans="2:109" ht="12.75" x14ac:dyDescent="0.2">
      <c r="B552" s="174"/>
      <c r="C552" s="174"/>
      <c r="CF552" s="735">
        <v>485</v>
      </c>
      <c r="CG552" s="736" t="s">
        <v>1391</v>
      </c>
      <c r="CH552" s="747" t="str">
        <f>AA152</f>
        <v>0.00%</v>
      </c>
      <c r="CI552" s="736" t="s">
        <v>1586</v>
      </c>
      <c r="CJ552" s="738" t="s">
        <v>1602</v>
      </c>
      <c r="CK552" s="736" t="s">
        <v>597</v>
      </c>
      <c r="CL552" s="731"/>
      <c r="CM552" s="731"/>
      <c r="CN552" s="731"/>
      <c r="CO552" s="731"/>
      <c r="CP552" s="731"/>
      <c r="CQ552" s="731"/>
      <c r="CR552" s="731"/>
      <c r="CS552" s="731"/>
      <c r="CT552" s="731"/>
      <c r="CU552" s="731"/>
      <c r="CV552" s="731"/>
      <c r="CW552" s="731"/>
      <c r="CX552" s="731"/>
      <c r="CY552" s="731"/>
      <c r="CZ552" s="731"/>
      <c r="DA552" s="731"/>
      <c r="DB552" s="731"/>
      <c r="DC552" s="731"/>
      <c r="DD552" s="731"/>
      <c r="DE552" s="731"/>
    </row>
    <row r="553" spans="2:109" ht="15" x14ac:dyDescent="0.2">
      <c r="CF553" s="734" t="s">
        <v>1603</v>
      </c>
      <c r="CG553" s="734"/>
      <c r="CH553" s="734"/>
      <c r="CI553" s="734"/>
      <c r="CJ553" s="734"/>
      <c r="CK553" s="734"/>
      <c r="CL553" s="731"/>
      <c r="CM553" s="731"/>
      <c r="CN553" s="731"/>
      <c r="CO553" s="731"/>
      <c r="CP553" s="731"/>
      <c r="CQ553" s="731"/>
      <c r="CR553" s="731"/>
      <c r="CS553" s="731"/>
      <c r="CT553" s="731"/>
      <c r="CU553" s="731"/>
      <c r="CV553" s="731"/>
      <c r="CW553" s="731"/>
      <c r="CX553" s="731"/>
      <c r="CY553" s="731"/>
      <c r="CZ553" s="731"/>
      <c r="DA553" s="731"/>
      <c r="DB553" s="731"/>
      <c r="DC553" s="731"/>
      <c r="DD553" s="731"/>
      <c r="DE553" s="731"/>
    </row>
    <row r="554" spans="2:109" ht="12.75" x14ac:dyDescent="0.2">
      <c r="CF554" s="739">
        <v>486</v>
      </c>
      <c r="CG554" s="740" t="s">
        <v>827</v>
      </c>
      <c r="CH554" s="751">
        <f>R153</f>
        <v>0</v>
      </c>
      <c r="CI554" s="740" t="s">
        <v>1604</v>
      </c>
      <c r="CJ554" s="742" t="s">
        <v>1605</v>
      </c>
      <c r="CK554" s="740" t="s">
        <v>694</v>
      </c>
      <c r="CL554" s="731"/>
      <c r="CM554" s="731"/>
      <c r="CN554" s="731"/>
      <c r="CO554" s="731"/>
      <c r="CP554" s="731"/>
      <c r="CQ554" s="731"/>
      <c r="CR554" s="731"/>
      <c r="CS554" s="731"/>
      <c r="CT554" s="731"/>
      <c r="CU554" s="731"/>
      <c r="CV554" s="731"/>
      <c r="CW554" s="731"/>
      <c r="CX554" s="731"/>
      <c r="CY554" s="731"/>
      <c r="CZ554" s="731"/>
      <c r="DA554" s="731"/>
      <c r="DB554" s="731"/>
      <c r="DC554" s="731"/>
      <c r="DD554" s="731"/>
      <c r="DE554" s="731"/>
    </row>
    <row r="555" spans="2:109" ht="12.75" x14ac:dyDescent="0.2">
      <c r="CF555" s="735">
        <v>487</v>
      </c>
      <c r="CG555" s="736" t="s">
        <v>1404</v>
      </c>
      <c r="CH555" s="747">
        <f>S153</f>
        <v>0</v>
      </c>
      <c r="CI555" s="736" t="s">
        <v>1604</v>
      </c>
      <c r="CJ555" s="738" t="s">
        <v>1606</v>
      </c>
      <c r="CK555" s="736" t="s">
        <v>597</v>
      </c>
      <c r="CL555" s="731"/>
      <c r="CM555" s="731"/>
      <c r="CN555" s="731"/>
      <c r="CO555" s="731"/>
      <c r="CP555" s="731"/>
      <c r="CQ555" s="731"/>
      <c r="CR555" s="731"/>
      <c r="CS555" s="731"/>
      <c r="CT555" s="731"/>
      <c r="CU555" s="731"/>
      <c r="CV555" s="731"/>
      <c r="CW555" s="731"/>
      <c r="CX555" s="731"/>
      <c r="CY555" s="731"/>
      <c r="CZ555" s="731"/>
      <c r="DA555" s="731"/>
      <c r="DB555" s="731"/>
      <c r="DC555" s="731"/>
      <c r="DD555" s="731"/>
      <c r="DE555" s="731"/>
    </row>
    <row r="556" spans="2:109" ht="12.75" x14ac:dyDescent="0.2">
      <c r="B556" s="174"/>
      <c r="C556" s="174"/>
      <c r="CF556" s="739">
        <v>488</v>
      </c>
      <c r="CG556" s="740" t="s">
        <v>1607</v>
      </c>
      <c r="CH556" s="751">
        <f>T153</f>
        <v>0</v>
      </c>
      <c r="CI556" s="740" t="s">
        <v>1604</v>
      </c>
      <c r="CJ556" s="742" t="s">
        <v>1608</v>
      </c>
      <c r="CK556" s="740" t="s">
        <v>1499</v>
      </c>
      <c r="CL556" s="731"/>
      <c r="CM556" s="731"/>
      <c r="CN556" s="731"/>
      <c r="CO556" s="731"/>
      <c r="CP556" s="731"/>
      <c r="CQ556" s="731"/>
      <c r="CR556" s="731"/>
      <c r="CS556" s="731"/>
      <c r="CT556" s="731"/>
      <c r="CU556" s="731"/>
      <c r="CV556" s="731"/>
      <c r="CW556" s="731"/>
      <c r="CX556" s="731"/>
      <c r="CY556" s="731"/>
      <c r="CZ556" s="731"/>
      <c r="DA556" s="731"/>
      <c r="DB556" s="731"/>
      <c r="DC556" s="731"/>
      <c r="DD556" s="731"/>
      <c r="DE556" s="731"/>
    </row>
    <row r="557" spans="2:109" ht="12.75" x14ac:dyDescent="0.2">
      <c r="CF557" s="735">
        <v>489</v>
      </c>
      <c r="CG557" s="736" t="s">
        <v>1609</v>
      </c>
      <c r="CH557" s="743">
        <f>U153</f>
        <v>0</v>
      </c>
      <c r="CI557" s="736" t="s">
        <v>1604</v>
      </c>
      <c r="CJ557" s="738" t="s">
        <v>1610</v>
      </c>
      <c r="CK557" s="736" t="s">
        <v>1502</v>
      </c>
      <c r="CL557" s="731"/>
      <c r="CM557" s="731"/>
      <c r="CN557" s="731"/>
      <c r="CO557" s="731"/>
      <c r="CP557" s="731"/>
      <c r="CQ557" s="731"/>
      <c r="CR557" s="731"/>
      <c r="CS557" s="731"/>
      <c r="CT557" s="731"/>
      <c r="CU557" s="731"/>
      <c r="CV557" s="731"/>
      <c r="CW557" s="731"/>
      <c r="CX557" s="731"/>
      <c r="CY557" s="731"/>
      <c r="CZ557" s="731"/>
      <c r="DA557" s="731"/>
      <c r="DB557" s="731"/>
      <c r="DC557" s="731"/>
      <c r="DD557" s="731"/>
      <c r="DE557" s="731"/>
    </row>
    <row r="558" spans="2:109" ht="12.75" x14ac:dyDescent="0.2">
      <c r="CF558" s="739">
        <v>490</v>
      </c>
      <c r="CG558" s="740" t="s">
        <v>1611</v>
      </c>
      <c r="CH558" s="744" t="str">
        <f>V153</f>
        <v>0</v>
      </c>
      <c r="CI558" s="740" t="s">
        <v>1604</v>
      </c>
      <c r="CJ558" s="742" t="s">
        <v>1612</v>
      </c>
      <c r="CK558" s="740" t="s">
        <v>571</v>
      </c>
      <c r="CL558" s="731"/>
      <c r="CM558" s="731"/>
      <c r="CN558" s="731"/>
      <c r="CO558" s="731"/>
      <c r="CP558" s="731"/>
      <c r="CQ558" s="731"/>
      <c r="CR558" s="731"/>
      <c r="CS558" s="731"/>
      <c r="CT558" s="731"/>
      <c r="CU558" s="731"/>
      <c r="CV558" s="731"/>
      <c r="CW558" s="731"/>
      <c r="CX558" s="731"/>
      <c r="CY558" s="731"/>
      <c r="CZ558" s="731"/>
      <c r="DA558" s="731"/>
      <c r="DB558" s="731"/>
      <c r="DC558" s="731"/>
      <c r="DD558" s="731"/>
      <c r="DE558" s="731"/>
    </row>
    <row r="559" spans="2:109" ht="12.75" x14ac:dyDescent="0.2">
      <c r="CF559" s="735">
        <v>491</v>
      </c>
      <c r="CG559" s="736" t="s">
        <v>1613</v>
      </c>
      <c r="CH559" s="747">
        <f>W153</f>
        <v>0</v>
      </c>
      <c r="CI559" s="736" t="s">
        <v>1604</v>
      </c>
      <c r="CJ559" s="738" t="s">
        <v>1614</v>
      </c>
      <c r="CK559" s="736" t="s">
        <v>597</v>
      </c>
      <c r="CL559" s="731"/>
      <c r="CM559" s="731"/>
      <c r="CN559" s="731"/>
      <c r="CO559" s="731"/>
      <c r="CP559" s="731"/>
      <c r="CQ559" s="731"/>
      <c r="CR559" s="731"/>
      <c r="CS559" s="731"/>
      <c r="CT559" s="731"/>
      <c r="CU559" s="731"/>
      <c r="CV559" s="731"/>
      <c r="CW559" s="731"/>
      <c r="CX559" s="731"/>
      <c r="CY559" s="731"/>
      <c r="CZ559" s="731"/>
      <c r="DA559" s="731"/>
      <c r="DB559" s="731"/>
      <c r="DC559" s="731"/>
      <c r="DD559" s="731"/>
      <c r="DE559" s="731"/>
    </row>
    <row r="560" spans="2:109" ht="12.75" x14ac:dyDescent="0.2">
      <c r="CF560" s="739">
        <v>492</v>
      </c>
      <c r="CG560" s="740" t="s">
        <v>1615</v>
      </c>
      <c r="CH560" s="744">
        <f>X153</f>
        <v>0</v>
      </c>
      <c r="CI560" s="740" t="s">
        <v>1604</v>
      </c>
      <c r="CJ560" s="742" t="s">
        <v>1616</v>
      </c>
      <c r="CK560" s="740" t="s">
        <v>571</v>
      </c>
      <c r="CL560" s="731"/>
      <c r="CM560" s="731"/>
      <c r="CN560" s="731"/>
      <c r="CO560" s="731"/>
      <c r="CP560" s="731"/>
      <c r="CQ560" s="731"/>
      <c r="CR560" s="731"/>
      <c r="CS560" s="731"/>
      <c r="CT560" s="731"/>
      <c r="CU560" s="731"/>
      <c r="CV560" s="731"/>
      <c r="CW560" s="731"/>
      <c r="CX560" s="731"/>
      <c r="CY560" s="731"/>
      <c r="CZ560" s="731"/>
      <c r="DA560" s="731"/>
      <c r="DB560" s="731"/>
      <c r="DC560" s="731"/>
      <c r="DD560" s="731"/>
      <c r="DE560" s="731"/>
    </row>
    <row r="561" spans="84:109" ht="12.75" x14ac:dyDescent="0.2">
      <c r="CF561" s="735">
        <v>493</v>
      </c>
      <c r="CG561" s="736" t="s">
        <v>1617</v>
      </c>
      <c r="CH561" s="743">
        <f>Y153</f>
        <v>0</v>
      </c>
      <c r="CI561" s="736" t="s">
        <v>1604</v>
      </c>
      <c r="CJ561" s="738" t="s">
        <v>1618</v>
      </c>
      <c r="CK561" s="736" t="s">
        <v>571</v>
      </c>
      <c r="CL561" s="731"/>
      <c r="CM561" s="731"/>
      <c r="CN561" s="731"/>
      <c r="CO561" s="731"/>
      <c r="CP561" s="731"/>
      <c r="CQ561" s="731"/>
      <c r="CR561" s="731"/>
      <c r="CS561" s="731"/>
      <c r="CT561" s="731"/>
      <c r="CU561" s="731"/>
      <c r="CV561" s="731"/>
      <c r="CW561" s="731"/>
      <c r="CX561" s="731"/>
      <c r="CY561" s="731"/>
      <c r="CZ561" s="731"/>
      <c r="DA561" s="731"/>
      <c r="DB561" s="731"/>
      <c r="DC561" s="731"/>
      <c r="DD561" s="731"/>
      <c r="DE561" s="731"/>
    </row>
    <row r="562" spans="84:109" ht="12.75" x14ac:dyDescent="0.2">
      <c r="CF562" s="739">
        <v>494</v>
      </c>
      <c r="CG562" s="740" t="s">
        <v>1410</v>
      </c>
      <c r="CH562" s="749">
        <f>Z153</f>
        <v>0</v>
      </c>
      <c r="CI562" s="740" t="s">
        <v>1604</v>
      </c>
      <c r="CJ562" s="742" t="s">
        <v>1619</v>
      </c>
      <c r="CK562" s="740" t="s">
        <v>592</v>
      </c>
      <c r="CL562" s="731"/>
      <c r="CM562" s="731"/>
      <c r="CN562" s="731"/>
      <c r="CO562" s="731"/>
      <c r="CP562" s="731"/>
      <c r="CQ562" s="731"/>
      <c r="CR562" s="731"/>
      <c r="CS562" s="731"/>
      <c r="CT562" s="731"/>
      <c r="CU562" s="731"/>
      <c r="CV562" s="731"/>
      <c r="CW562" s="731"/>
      <c r="CX562" s="731"/>
      <c r="CY562" s="731"/>
      <c r="CZ562" s="731"/>
      <c r="DA562" s="731"/>
      <c r="DB562" s="731"/>
      <c r="DC562" s="731"/>
      <c r="DD562" s="731"/>
      <c r="DE562" s="731"/>
    </row>
    <row r="563" spans="84:109" ht="12.75" x14ac:dyDescent="0.2">
      <c r="CF563" s="735">
        <v>495</v>
      </c>
      <c r="CG563" s="736" t="s">
        <v>1412</v>
      </c>
      <c r="CH563" s="747" t="str">
        <f>AA153</f>
        <v>0.00%</v>
      </c>
      <c r="CI563" s="736" t="s">
        <v>1604</v>
      </c>
      <c r="CJ563" s="738" t="s">
        <v>1620</v>
      </c>
      <c r="CK563" s="736" t="s">
        <v>597</v>
      </c>
      <c r="CL563" s="731"/>
      <c r="CM563" s="731"/>
      <c r="CN563" s="731"/>
      <c r="CO563" s="731"/>
      <c r="CP563" s="731"/>
      <c r="CQ563" s="731"/>
      <c r="CR563" s="731"/>
      <c r="CS563" s="731"/>
      <c r="CT563" s="731"/>
      <c r="CU563" s="731"/>
      <c r="CV563" s="731"/>
      <c r="CW563" s="731"/>
      <c r="CX563" s="731"/>
      <c r="CY563" s="731"/>
      <c r="CZ563" s="731"/>
      <c r="DA563" s="731"/>
      <c r="DB563" s="731"/>
      <c r="DC563" s="731"/>
      <c r="DD563" s="731"/>
      <c r="DE563" s="731"/>
    </row>
    <row r="564" spans="84:109" ht="15" x14ac:dyDescent="0.2">
      <c r="CF564" s="734" t="s">
        <v>1621</v>
      </c>
      <c r="CG564" s="734"/>
      <c r="CH564" s="734"/>
      <c r="CI564" s="734"/>
      <c r="CJ564" s="734"/>
      <c r="CK564" s="734"/>
      <c r="CL564" s="731"/>
      <c r="CM564" s="731"/>
      <c r="CN564" s="731"/>
      <c r="CO564" s="731"/>
      <c r="CP564" s="731"/>
      <c r="CQ564" s="731"/>
      <c r="CR564" s="731"/>
      <c r="CS564" s="731"/>
      <c r="CT564" s="731"/>
      <c r="CU564" s="731"/>
      <c r="CV564" s="731"/>
      <c r="CW564" s="731"/>
      <c r="CX564" s="731"/>
      <c r="CY564" s="731"/>
      <c r="CZ564" s="731"/>
      <c r="DA564" s="731"/>
      <c r="DB564" s="731"/>
      <c r="DC564" s="731"/>
      <c r="DD564" s="731"/>
      <c r="DE564" s="731"/>
    </row>
    <row r="565" spans="84:109" ht="12.75" x14ac:dyDescent="0.2">
      <c r="CF565" s="739">
        <v>496</v>
      </c>
      <c r="CG565" s="740" t="s">
        <v>849</v>
      </c>
      <c r="CH565" s="751">
        <f>R154</f>
        <v>100</v>
      </c>
      <c r="CI565" s="740" t="s">
        <v>1622</v>
      </c>
      <c r="CJ565" s="742" t="s">
        <v>1623</v>
      </c>
      <c r="CK565" s="740" t="s">
        <v>694</v>
      </c>
      <c r="CL565" s="731"/>
      <c r="CM565" s="731"/>
      <c r="CN565" s="731"/>
      <c r="CO565" s="731"/>
      <c r="CP565" s="731"/>
      <c r="CQ565" s="731"/>
      <c r="CR565" s="731"/>
      <c r="CS565" s="731"/>
      <c r="CT565" s="731"/>
      <c r="CU565" s="731"/>
      <c r="CV565" s="731"/>
      <c r="CW565" s="731"/>
      <c r="CX565" s="731"/>
      <c r="CY565" s="731"/>
      <c r="CZ565" s="731"/>
      <c r="DA565" s="731"/>
      <c r="DB565" s="731"/>
      <c r="DC565" s="731"/>
      <c r="DD565" s="731"/>
      <c r="DE565" s="731"/>
    </row>
    <row r="566" spans="84:109" ht="12.75" x14ac:dyDescent="0.2">
      <c r="CF566" s="735">
        <v>497</v>
      </c>
      <c r="CG566" s="736" t="s">
        <v>1425</v>
      </c>
      <c r="CH566" s="747">
        <f>S154</f>
        <v>0.65</v>
      </c>
      <c r="CI566" s="736" t="s">
        <v>1622</v>
      </c>
      <c r="CJ566" s="738" t="s">
        <v>1624</v>
      </c>
      <c r="CK566" s="736" t="s">
        <v>597</v>
      </c>
      <c r="CL566" s="731"/>
      <c r="CM566" s="731"/>
      <c r="CN566" s="731"/>
      <c r="CO566" s="731"/>
      <c r="CP566" s="731"/>
      <c r="CQ566" s="731"/>
      <c r="CR566" s="731"/>
      <c r="CS566" s="731"/>
      <c r="CT566" s="731"/>
      <c r="CU566" s="731"/>
      <c r="CV566" s="731"/>
      <c r="CW566" s="731"/>
      <c r="CX566" s="731"/>
      <c r="CY566" s="731"/>
      <c r="CZ566" s="731"/>
      <c r="DA566" s="731"/>
      <c r="DB566" s="731"/>
      <c r="DC566" s="731"/>
      <c r="DD566" s="731"/>
      <c r="DE566" s="731"/>
    </row>
    <row r="567" spans="84:109" ht="12.75" x14ac:dyDescent="0.2">
      <c r="CF567" s="739">
        <v>498</v>
      </c>
      <c r="CG567" s="740" t="s">
        <v>1625</v>
      </c>
      <c r="CH567" s="751">
        <f>T154</f>
        <v>23725</v>
      </c>
      <c r="CI567" s="740" t="s">
        <v>1622</v>
      </c>
      <c r="CJ567" s="742" t="s">
        <v>1626</v>
      </c>
      <c r="CK567" s="740" t="s">
        <v>1499</v>
      </c>
      <c r="CL567" s="731"/>
      <c r="CM567" s="731"/>
      <c r="CN567" s="731"/>
      <c r="CO567" s="731"/>
      <c r="CP567" s="731"/>
      <c r="CQ567" s="731"/>
      <c r="CR567" s="731"/>
      <c r="CS567" s="731"/>
      <c r="CT567" s="731"/>
      <c r="CU567" s="731"/>
      <c r="CV567" s="731"/>
      <c r="CW567" s="731"/>
      <c r="CX567" s="731"/>
      <c r="CY567" s="731"/>
      <c r="CZ567" s="731"/>
      <c r="DA567" s="731"/>
      <c r="DB567" s="731"/>
      <c r="DC567" s="731"/>
      <c r="DD567" s="731"/>
      <c r="DE567" s="731"/>
    </row>
    <row r="568" spans="84:109" ht="12.75" x14ac:dyDescent="0.2">
      <c r="CF568" s="735">
        <v>499</v>
      </c>
      <c r="CG568" s="736" t="s">
        <v>1627</v>
      </c>
      <c r="CH568" s="743">
        <f>U154</f>
        <v>900</v>
      </c>
      <c r="CI568" s="736" t="s">
        <v>1622</v>
      </c>
      <c r="CJ568" s="738" t="s">
        <v>1628</v>
      </c>
      <c r="CK568" s="736" t="s">
        <v>1502</v>
      </c>
      <c r="CL568" s="731"/>
      <c r="CM568" s="731"/>
      <c r="CN568" s="731"/>
      <c r="CO568" s="731"/>
      <c r="CP568" s="731"/>
      <c r="CQ568" s="731"/>
      <c r="CR568" s="731"/>
      <c r="CS568" s="731"/>
      <c r="CT568" s="731"/>
      <c r="CU568" s="731"/>
      <c r="CV568" s="731"/>
      <c r="CW568" s="731"/>
      <c r="CX568" s="731"/>
      <c r="CY568" s="731"/>
      <c r="CZ568" s="731"/>
      <c r="DA568" s="731"/>
      <c r="DB568" s="731"/>
      <c r="DC568" s="731"/>
      <c r="DD568" s="731"/>
      <c r="DE568" s="731"/>
    </row>
    <row r="569" spans="84:109" ht="12.75" x14ac:dyDescent="0.2">
      <c r="CF569" s="739">
        <v>500</v>
      </c>
      <c r="CG569" s="740" t="s">
        <v>1629</v>
      </c>
      <c r="CH569" s="744">
        <f>V154</f>
        <v>213525</v>
      </c>
      <c r="CI569" s="740" t="s">
        <v>1622</v>
      </c>
      <c r="CJ569" s="742" t="s">
        <v>1630</v>
      </c>
      <c r="CK569" s="740" t="s">
        <v>571</v>
      </c>
      <c r="CL569" s="731"/>
      <c r="CM569" s="731"/>
      <c r="CN569" s="731"/>
      <c r="CO569" s="731"/>
      <c r="CP569" s="731"/>
      <c r="CQ569" s="731"/>
      <c r="CR569" s="731"/>
      <c r="CS569" s="731"/>
      <c r="CT569" s="731"/>
      <c r="CU569" s="731"/>
      <c r="CV569" s="731"/>
      <c r="CW569" s="731"/>
      <c r="CX569" s="731"/>
      <c r="CY569" s="731"/>
      <c r="CZ569" s="731"/>
      <c r="DA569" s="731"/>
      <c r="DB569" s="731"/>
      <c r="DC569" s="731"/>
      <c r="DD569" s="731"/>
      <c r="DE569" s="731"/>
    </row>
    <row r="570" spans="84:109" ht="12.75" x14ac:dyDescent="0.2">
      <c r="CF570" s="735">
        <v>501</v>
      </c>
      <c r="CG570" s="736" t="s">
        <v>1631</v>
      </c>
      <c r="CH570" s="747">
        <f>W154</f>
        <v>0</v>
      </c>
      <c r="CI570" s="736" t="s">
        <v>1622</v>
      </c>
      <c r="CJ570" s="738" t="s">
        <v>1632</v>
      </c>
      <c r="CK570" s="736" t="s">
        <v>597</v>
      </c>
      <c r="CL570" s="731"/>
      <c r="CM570" s="731"/>
      <c r="CN570" s="731"/>
      <c r="CO570" s="731"/>
      <c r="CP570" s="731"/>
      <c r="CQ570" s="731"/>
      <c r="CR570" s="731"/>
      <c r="CS570" s="731"/>
      <c r="CT570" s="731"/>
      <c r="CU570" s="731"/>
      <c r="CV570" s="731"/>
      <c r="CW570" s="731"/>
      <c r="CX570" s="731"/>
      <c r="CY570" s="731"/>
      <c r="CZ570" s="731"/>
      <c r="DA570" s="731"/>
      <c r="DB570" s="731"/>
      <c r="DC570" s="731"/>
      <c r="DD570" s="731"/>
      <c r="DE570" s="731"/>
    </row>
    <row r="571" spans="84:109" ht="12.75" x14ac:dyDescent="0.2">
      <c r="CF571" s="739">
        <v>502</v>
      </c>
      <c r="CG571" s="740" t="s">
        <v>1633</v>
      </c>
      <c r="CH571" s="744">
        <f>X154</f>
        <v>21352500</v>
      </c>
      <c r="CI571" s="740" t="s">
        <v>1622</v>
      </c>
      <c r="CJ571" s="742" t="s">
        <v>1634</v>
      </c>
      <c r="CK571" s="740" t="s">
        <v>571</v>
      </c>
      <c r="CL571" s="731"/>
      <c r="CM571" s="731"/>
      <c r="CN571" s="731"/>
      <c r="CO571" s="731"/>
      <c r="CP571" s="731"/>
      <c r="CQ571" s="731"/>
      <c r="CR571" s="731"/>
      <c r="CS571" s="731"/>
      <c r="CT571" s="731"/>
      <c r="CU571" s="731"/>
      <c r="CV571" s="731"/>
      <c r="CW571" s="731"/>
      <c r="CX571" s="731"/>
      <c r="CY571" s="731"/>
      <c r="CZ571" s="731"/>
      <c r="DA571" s="731"/>
      <c r="DB571" s="731"/>
      <c r="DC571" s="731"/>
      <c r="DD571" s="731"/>
      <c r="DE571" s="731"/>
    </row>
    <row r="572" spans="84:109" ht="12.75" x14ac:dyDescent="0.2">
      <c r="CF572" s="735">
        <v>503</v>
      </c>
      <c r="CG572" s="736" t="s">
        <v>1635</v>
      </c>
      <c r="CH572" s="743">
        <f>Y154</f>
        <v>6405750</v>
      </c>
      <c r="CI572" s="736" t="s">
        <v>1622</v>
      </c>
      <c r="CJ572" s="738" t="s">
        <v>1636</v>
      </c>
      <c r="CK572" s="736" t="s">
        <v>571</v>
      </c>
      <c r="CL572" s="731"/>
      <c r="CM572" s="731"/>
      <c r="CN572" s="731"/>
      <c r="CO572" s="731"/>
      <c r="CP572" s="731"/>
      <c r="CQ572" s="731"/>
      <c r="CR572" s="731"/>
      <c r="CS572" s="731"/>
      <c r="CT572" s="731"/>
      <c r="CU572" s="731"/>
      <c r="CV572" s="731"/>
      <c r="CW572" s="731"/>
      <c r="CX572" s="731"/>
      <c r="CY572" s="731"/>
      <c r="CZ572" s="731"/>
      <c r="DA572" s="731"/>
      <c r="DB572" s="731"/>
      <c r="DC572" s="731"/>
      <c r="DD572" s="731"/>
      <c r="DE572" s="731"/>
    </row>
    <row r="573" spans="84:109" ht="12.75" x14ac:dyDescent="0.2">
      <c r="CF573" s="739">
        <v>504</v>
      </c>
      <c r="CG573" s="740" t="s">
        <v>1431</v>
      </c>
      <c r="CH573" s="749">
        <f>Z154</f>
        <v>9.4058136153707359</v>
      </c>
      <c r="CI573" s="740" t="s">
        <v>1622</v>
      </c>
      <c r="CJ573" s="742" t="s">
        <v>1637</v>
      </c>
      <c r="CK573" s="740" t="s">
        <v>592</v>
      </c>
      <c r="CL573" s="731"/>
      <c r="CM573" s="731"/>
      <c r="CN573" s="731"/>
      <c r="CO573" s="731"/>
      <c r="CP573" s="731"/>
      <c r="CQ573" s="731"/>
      <c r="CR573" s="731"/>
      <c r="CS573" s="731"/>
      <c r="CT573" s="731"/>
      <c r="CU573" s="731"/>
      <c r="CV573" s="731"/>
      <c r="CW573" s="731"/>
      <c r="CX573" s="731"/>
      <c r="CY573" s="731"/>
      <c r="CZ573" s="731"/>
      <c r="DA573" s="731"/>
      <c r="DB573" s="731"/>
      <c r="DC573" s="731"/>
      <c r="DD573" s="731"/>
      <c r="DE573" s="731"/>
    </row>
    <row r="574" spans="84:109" ht="12.75" x14ac:dyDescent="0.2">
      <c r="CF574" s="735">
        <v>505</v>
      </c>
      <c r="CG574" s="736" t="s">
        <v>1433</v>
      </c>
      <c r="CH574" s="747">
        <f>AA154</f>
        <v>0.10631722473915771</v>
      </c>
      <c r="CI574" s="736" t="s">
        <v>1622</v>
      </c>
      <c r="CJ574" s="738" t="s">
        <v>1638</v>
      </c>
      <c r="CK574" s="736" t="s">
        <v>597</v>
      </c>
      <c r="CL574" s="731"/>
      <c r="CM574" s="731"/>
      <c r="CN574" s="731"/>
      <c r="CO574" s="731"/>
      <c r="CP574" s="731"/>
      <c r="CQ574" s="731"/>
      <c r="CR574" s="731"/>
      <c r="CS574" s="731"/>
      <c r="CT574" s="731"/>
      <c r="CU574" s="731"/>
      <c r="CV574" s="731"/>
      <c r="CW574" s="731"/>
      <c r="CX574" s="731"/>
      <c r="CY574" s="731"/>
      <c r="CZ574" s="731"/>
      <c r="DA574" s="731"/>
      <c r="DB574" s="731"/>
      <c r="DC574" s="731"/>
      <c r="DD574" s="731"/>
      <c r="DE574" s="731"/>
    </row>
    <row r="575" spans="84:109" ht="15" x14ac:dyDescent="0.2">
      <c r="CF575" s="734" t="s">
        <v>1639</v>
      </c>
      <c r="CG575" s="734"/>
      <c r="CH575" s="734"/>
      <c r="CI575" s="734"/>
      <c r="CJ575" s="734"/>
      <c r="CK575" s="734"/>
      <c r="CL575" s="731"/>
      <c r="CM575" s="731"/>
      <c r="CN575" s="731"/>
      <c r="CO575" s="731"/>
      <c r="CP575" s="731"/>
      <c r="CQ575" s="731"/>
      <c r="CR575" s="731"/>
      <c r="CS575" s="731"/>
      <c r="CT575" s="731"/>
      <c r="CU575" s="731"/>
      <c r="CV575" s="731"/>
      <c r="CW575" s="731"/>
      <c r="CX575" s="731"/>
      <c r="CY575" s="731"/>
      <c r="CZ575" s="731"/>
      <c r="DA575" s="731"/>
      <c r="DB575" s="731"/>
      <c r="DC575" s="731"/>
      <c r="DD575" s="731"/>
      <c r="DE575" s="731"/>
    </row>
    <row r="576" spans="84:109" ht="12.75" x14ac:dyDescent="0.2">
      <c r="CF576" s="739">
        <v>506</v>
      </c>
      <c r="CG576" s="740" t="s">
        <v>871</v>
      </c>
      <c r="CH576" s="751">
        <f>R155</f>
        <v>0</v>
      </c>
      <c r="CI576" s="740" t="s">
        <v>1640</v>
      </c>
      <c r="CJ576" s="742" t="s">
        <v>1641</v>
      </c>
      <c r="CK576" s="740" t="s">
        <v>694</v>
      </c>
      <c r="CL576" s="731"/>
      <c r="CM576" s="731"/>
      <c r="CN576" s="731"/>
      <c r="CO576" s="731"/>
      <c r="CP576" s="731"/>
      <c r="CQ576" s="731"/>
      <c r="CR576" s="731"/>
      <c r="CS576" s="731"/>
      <c r="CT576" s="731"/>
      <c r="CU576" s="731"/>
      <c r="CV576" s="731"/>
      <c r="CW576" s="731"/>
      <c r="CX576" s="731"/>
      <c r="CY576" s="731"/>
      <c r="CZ576" s="731"/>
      <c r="DA576" s="731"/>
      <c r="DB576" s="731"/>
      <c r="DC576" s="731"/>
      <c r="DD576" s="731"/>
      <c r="DE576" s="731"/>
    </row>
    <row r="577" spans="84:109" ht="12.75" x14ac:dyDescent="0.2">
      <c r="CF577" s="735">
        <v>507</v>
      </c>
      <c r="CG577" s="736" t="s">
        <v>1446</v>
      </c>
      <c r="CH577" s="747">
        <f>S155</f>
        <v>0</v>
      </c>
      <c r="CI577" s="736" t="s">
        <v>1640</v>
      </c>
      <c r="CJ577" s="738" t="s">
        <v>1642</v>
      </c>
      <c r="CK577" s="736" t="s">
        <v>597</v>
      </c>
      <c r="CL577" s="731"/>
      <c r="CM577" s="731"/>
      <c r="CN577" s="731"/>
      <c r="CO577" s="731"/>
      <c r="CP577" s="731"/>
      <c r="CQ577" s="731"/>
      <c r="CR577" s="731"/>
      <c r="CS577" s="731"/>
      <c r="CT577" s="731"/>
      <c r="CU577" s="731"/>
      <c r="CV577" s="731"/>
      <c r="CW577" s="731"/>
      <c r="CX577" s="731"/>
      <c r="CY577" s="731"/>
      <c r="CZ577" s="731"/>
      <c r="DA577" s="731"/>
      <c r="DB577" s="731"/>
      <c r="DC577" s="731"/>
      <c r="DD577" s="731"/>
      <c r="DE577" s="731"/>
    </row>
    <row r="578" spans="84:109" ht="12.75" x14ac:dyDescent="0.2">
      <c r="CF578" s="739">
        <v>508</v>
      </c>
      <c r="CG578" s="740" t="s">
        <v>1643</v>
      </c>
      <c r="CH578" s="751">
        <f>T155</f>
        <v>0</v>
      </c>
      <c r="CI578" s="740" t="s">
        <v>1640</v>
      </c>
      <c r="CJ578" s="742" t="s">
        <v>1644</v>
      </c>
      <c r="CK578" s="740" t="s">
        <v>1499</v>
      </c>
      <c r="CL578" s="731"/>
      <c r="CM578" s="731"/>
      <c r="CN578" s="731"/>
      <c r="CO578" s="731"/>
      <c r="CP578" s="731"/>
      <c r="CQ578" s="731"/>
      <c r="CR578" s="731"/>
      <c r="CS578" s="731"/>
      <c r="CT578" s="731"/>
      <c r="CU578" s="731"/>
      <c r="CV578" s="731"/>
      <c r="CW578" s="731"/>
      <c r="CX578" s="731"/>
      <c r="CY578" s="731"/>
      <c r="CZ578" s="731"/>
      <c r="DA578" s="731"/>
      <c r="DB578" s="731"/>
      <c r="DC578" s="731"/>
      <c r="DD578" s="731"/>
      <c r="DE578" s="731"/>
    </row>
    <row r="579" spans="84:109" ht="12.75" x14ac:dyDescent="0.2">
      <c r="CF579" s="735">
        <v>509</v>
      </c>
      <c r="CG579" s="736" t="s">
        <v>1645</v>
      </c>
      <c r="CH579" s="743">
        <f>U155</f>
        <v>0</v>
      </c>
      <c r="CI579" s="736" t="s">
        <v>1640</v>
      </c>
      <c r="CJ579" s="738" t="s">
        <v>1646</v>
      </c>
      <c r="CK579" s="736" t="s">
        <v>1502</v>
      </c>
      <c r="CL579" s="731"/>
      <c r="CM579" s="731"/>
      <c r="CN579" s="731"/>
      <c r="CO579" s="731"/>
      <c r="CP579" s="731"/>
      <c r="CQ579" s="731"/>
      <c r="CR579" s="731"/>
      <c r="CS579" s="731"/>
      <c r="CT579" s="731"/>
      <c r="CU579" s="731"/>
      <c r="CV579" s="731"/>
      <c r="CW579" s="731"/>
      <c r="CX579" s="731"/>
      <c r="CY579" s="731"/>
      <c r="CZ579" s="731"/>
      <c r="DA579" s="731"/>
      <c r="DB579" s="731"/>
      <c r="DC579" s="731"/>
      <c r="DD579" s="731"/>
      <c r="DE579" s="731"/>
    </row>
    <row r="580" spans="84:109" ht="12.75" x14ac:dyDescent="0.2">
      <c r="CF580" s="739">
        <v>510</v>
      </c>
      <c r="CG580" s="740" t="s">
        <v>1647</v>
      </c>
      <c r="CH580" s="744" t="str">
        <f>V155</f>
        <v>0</v>
      </c>
      <c r="CI580" s="740" t="s">
        <v>1640</v>
      </c>
      <c r="CJ580" s="742" t="s">
        <v>1648</v>
      </c>
      <c r="CK580" s="740" t="s">
        <v>571</v>
      </c>
      <c r="CL580" s="731"/>
      <c r="CM580" s="731"/>
      <c r="CN580" s="731"/>
      <c r="CO580" s="731"/>
      <c r="CP580" s="731"/>
      <c r="CQ580" s="731"/>
      <c r="CR580" s="731"/>
      <c r="CS580" s="731"/>
      <c r="CT580" s="731"/>
      <c r="CU580" s="731"/>
      <c r="CV580" s="731"/>
      <c r="CW580" s="731"/>
      <c r="CX580" s="731"/>
      <c r="CY580" s="731"/>
      <c r="CZ580" s="731"/>
      <c r="DA580" s="731"/>
      <c r="DB580" s="731"/>
      <c r="DC580" s="731"/>
      <c r="DD580" s="731"/>
      <c r="DE580" s="731"/>
    </row>
    <row r="581" spans="84:109" ht="12.75" x14ac:dyDescent="0.2">
      <c r="CF581" s="735">
        <v>511</v>
      </c>
      <c r="CG581" s="736" t="s">
        <v>1649</v>
      </c>
      <c r="CH581" s="747">
        <f>W155</f>
        <v>0</v>
      </c>
      <c r="CI581" s="736" t="s">
        <v>1640</v>
      </c>
      <c r="CJ581" s="738" t="s">
        <v>1650</v>
      </c>
      <c r="CK581" s="736" t="s">
        <v>597</v>
      </c>
      <c r="CL581" s="731"/>
      <c r="CM581" s="731"/>
      <c r="CN581" s="731"/>
      <c r="CO581" s="731"/>
      <c r="CP581" s="731"/>
      <c r="CQ581" s="731"/>
      <c r="CR581" s="731"/>
      <c r="CS581" s="731"/>
      <c r="CT581" s="731"/>
      <c r="CU581" s="731"/>
      <c r="CV581" s="731"/>
      <c r="CW581" s="731"/>
      <c r="CX581" s="731"/>
      <c r="CY581" s="731"/>
      <c r="CZ581" s="731"/>
      <c r="DA581" s="731"/>
      <c r="DB581" s="731"/>
      <c r="DC581" s="731"/>
      <c r="DD581" s="731"/>
      <c r="DE581" s="731"/>
    </row>
    <row r="582" spans="84:109" ht="12.75" x14ac:dyDescent="0.2">
      <c r="CF582" s="739">
        <v>512</v>
      </c>
      <c r="CG582" s="740" t="s">
        <v>1651</v>
      </c>
      <c r="CH582" s="744">
        <f>X155</f>
        <v>0</v>
      </c>
      <c r="CI582" s="740" t="s">
        <v>1640</v>
      </c>
      <c r="CJ582" s="742" t="s">
        <v>1652</v>
      </c>
      <c r="CK582" s="740" t="s">
        <v>571</v>
      </c>
      <c r="CL582" s="731"/>
      <c r="CM582" s="731"/>
      <c r="CN582" s="731"/>
      <c r="CO582" s="731"/>
      <c r="CP582" s="731"/>
      <c r="CQ582" s="731"/>
      <c r="CR582" s="731"/>
      <c r="CS582" s="731"/>
      <c r="CT582" s="731"/>
      <c r="CU582" s="731"/>
      <c r="CV582" s="731"/>
      <c r="CW582" s="731"/>
      <c r="CX582" s="731"/>
      <c r="CY582" s="731"/>
      <c r="CZ582" s="731"/>
      <c r="DA582" s="731"/>
      <c r="DB582" s="731"/>
      <c r="DC582" s="731"/>
      <c r="DD582" s="731"/>
      <c r="DE582" s="731"/>
    </row>
    <row r="583" spans="84:109" ht="12.75" x14ac:dyDescent="0.2">
      <c r="CF583" s="735">
        <v>513</v>
      </c>
      <c r="CG583" s="736" t="s">
        <v>1653</v>
      </c>
      <c r="CH583" s="743">
        <f>Y155</f>
        <v>0</v>
      </c>
      <c r="CI583" s="736" t="s">
        <v>1640</v>
      </c>
      <c r="CJ583" s="738" t="s">
        <v>1654</v>
      </c>
      <c r="CK583" s="736" t="s">
        <v>571</v>
      </c>
      <c r="CL583" s="731"/>
      <c r="CM583" s="731"/>
      <c r="CN583" s="731"/>
      <c r="CO583" s="731"/>
      <c r="CP583" s="731"/>
      <c r="CQ583" s="731"/>
      <c r="CR583" s="731"/>
      <c r="CS583" s="731"/>
      <c r="CT583" s="731"/>
      <c r="CU583" s="731"/>
      <c r="CV583" s="731"/>
      <c r="CW583" s="731"/>
      <c r="CX583" s="731"/>
      <c r="CY583" s="731"/>
      <c r="CZ583" s="731"/>
      <c r="DA583" s="731"/>
      <c r="DB583" s="731"/>
      <c r="DC583" s="731"/>
      <c r="DD583" s="731"/>
      <c r="DE583" s="731"/>
    </row>
    <row r="584" spans="84:109" ht="12.75" x14ac:dyDescent="0.2">
      <c r="CF584" s="739">
        <v>514</v>
      </c>
      <c r="CG584" s="740" t="s">
        <v>1452</v>
      </c>
      <c r="CH584" s="749">
        <f>Z155</f>
        <v>0</v>
      </c>
      <c r="CI584" s="740" t="s">
        <v>1640</v>
      </c>
      <c r="CJ584" s="742" t="s">
        <v>1655</v>
      </c>
      <c r="CK584" s="740" t="s">
        <v>592</v>
      </c>
      <c r="CL584" s="731"/>
      <c r="CM584" s="731"/>
      <c r="CN584" s="731"/>
      <c r="CO584" s="731"/>
      <c r="CP584" s="731"/>
      <c r="CQ584" s="731"/>
      <c r="CR584" s="731"/>
      <c r="CS584" s="731"/>
      <c r="CT584" s="731"/>
      <c r="CU584" s="731"/>
      <c r="CV584" s="731"/>
      <c r="CW584" s="731"/>
      <c r="CX584" s="731"/>
      <c r="CY584" s="731"/>
      <c r="CZ584" s="731"/>
      <c r="DA584" s="731"/>
      <c r="DB584" s="731"/>
      <c r="DC584" s="731"/>
      <c r="DD584" s="731"/>
      <c r="DE584" s="731"/>
    </row>
    <row r="585" spans="84:109" ht="12.75" x14ac:dyDescent="0.2">
      <c r="CF585" s="735">
        <v>515</v>
      </c>
      <c r="CG585" s="736" t="s">
        <v>1454</v>
      </c>
      <c r="CH585" s="747" t="str">
        <f>AA155</f>
        <v>0.00%</v>
      </c>
      <c r="CI585" s="736" t="s">
        <v>1640</v>
      </c>
      <c r="CJ585" s="738" t="s">
        <v>1656</v>
      </c>
      <c r="CK585" s="736" t="s">
        <v>597</v>
      </c>
      <c r="CL585" s="731"/>
      <c r="CM585" s="731"/>
      <c r="CN585" s="731"/>
      <c r="CO585" s="731"/>
      <c r="CP585" s="731"/>
      <c r="CQ585" s="731"/>
      <c r="CR585" s="731"/>
      <c r="CS585" s="731"/>
      <c r="CT585" s="731"/>
      <c r="CU585" s="731"/>
      <c r="CV585" s="731"/>
      <c r="CW585" s="731"/>
      <c r="CX585" s="731"/>
      <c r="CY585" s="731"/>
      <c r="CZ585" s="731"/>
      <c r="DA585" s="731"/>
      <c r="DB585" s="731"/>
      <c r="DC585" s="731"/>
      <c r="DD585" s="731"/>
      <c r="DE585" s="731"/>
    </row>
    <row r="586" spans="84:109" ht="15" x14ac:dyDescent="0.2">
      <c r="CF586" s="734" t="s">
        <v>1657</v>
      </c>
      <c r="CG586" s="734"/>
      <c r="CH586" s="734"/>
      <c r="CI586" s="734"/>
      <c r="CJ586" s="734"/>
      <c r="CK586" s="734"/>
      <c r="CL586" s="731"/>
      <c r="CM586" s="731"/>
      <c r="CN586" s="731"/>
      <c r="CO586" s="731"/>
      <c r="CP586" s="731"/>
      <c r="CQ586" s="731"/>
      <c r="CR586" s="731"/>
      <c r="CS586" s="731"/>
      <c r="CT586" s="731"/>
      <c r="CU586" s="731"/>
      <c r="CV586" s="731"/>
      <c r="CW586" s="731"/>
      <c r="CX586" s="731"/>
      <c r="CY586" s="731"/>
      <c r="CZ586" s="731"/>
      <c r="DA586" s="731"/>
      <c r="DB586" s="731"/>
      <c r="DC586" s="731"/>
      <c r="DD586" s="731"/>
      <c r="DE586" s="731"/>
    </row>
    <row r="587" spans="84:109" ht="12.75" x14ac:dyDescent="0.2">
      <c r="CF587" s="739">
        <v>516</v>
      </c>
      <c r="CG587" s="740" t="s">
        <v>893</v>
      </c>
      <c r="CH587" s="751">
        <f>R156</f>
        <v>0</v>
      </c>
      <c r="CI587" s="740" t="s">
        <v>1658</v>
      </c>
      <c r="CJ587" s="742" t="s">
        <v>1659</v>
      </c>
      <c r="CK587" s="740" t="s">
        <v>694</v>
      </c>
      <c r="CL587" s="731"/>
      <c r="CM587" s="731"/>
      <c r="CN587" s="731"/>
      <c r="CO587" s="731"/>
      <c r="CP587" s="731"/>
      <c r="CQ587" s="731"/>
      <c r="CR587" s="731"/>
      <c r="CS587" s="731"/>
      <c r="CT587" s="731"/>
      <c r="CU587" s="731"/>
      <c r="CV587" s="731"/>
      <c r="CW587" s="731"/>
      <c r="CX587" s="731"/>
      <c r="CY587" s="731"/>
      <c r="CZ587" s="731"/>
      <c r="DA587" s="731"/>
      <c r="DB587" s="731"/>
      <c r="DC587" s="731"/>
      <c r="DD587" s="731"/>
      <c r="DE587" s="731"/>
    </row>
    <row r="588" spans="84:109" ht="12.75" x14ac:dyDescent="0.2">
      <c r="CF588" s="735">
        <v>517</v>
      </c>
      <c r="CG588" s="736" t="s">
        <v>1467</v>
      </c>
      <c r="CH588" s="747">
        <f>S156</f>
        <v>0</v>
      </c>
      <c r="CI588" s="736" t="s">
        <v>1658</v>
      </c>
      <c r="CJ588" s="738" t="s">
        <v>1660</v>
      </c>
      <c r="CK588" s="736" t="s">
        <v>597</v>
      </c>
      <c r="CL588" s="731"/>
      <c r="CM588" s="731"/>
      <c r="CN588" s="731"/>
      <c r="CO588" s="731"/>
      <c r="CP588" s="731"/>
      <c r="CQ588" s="731"/>
      <c r="CR588" s="731"/>
      <c r="CS588" s="731"/>
      <c r="CT588" s="731"/>
      <c r="CU588" s="731"/>
      <c r="CV588" s="731"/>
      <c r="CW588" s="731"/>
      <c r="CX588" s="731"/>
      <c r="CY588" s="731"/>
      <c r="CZ588" s="731"/>
      <c r="DA588" s="731"/>
      <c r="DB588" s="731"/>
      <c r="DC588" s="731"/>
      <c r="DD588" s="731"/>
      <c r="DE588" s="731"/>
    </row>
    <row r="589" spans="84:109" ht="12.75" x14ac:dyDescent="0.2">
      <c r="CF589" s="739">
        <v>518</v>
      </c>
      <c r="CG589" s="740" t="s">
        <v>1661</v>
      </c>
      <c r="CH589" s="751">
        <f>T156</f>
        <v>0</v>
      </c>
      <c r="CI589" s="740" t="s">
        <v>1658</v>
      </c>
      <c r="CJ589" s="742" t="s">
        <v>1662</v>
      </c>
      <c r="CK589" s="740" t="s">
        <v>1499</v>
      </c>
      <c r="CL589" s="731"/>
      <c r="CM589" s="731"/>
      <c r="CN589" s="731"/>
      <c r="CO589" s="731"/>
      <c r="CP589" s="731"/>
      <c r="CQ589" s="731"/>
      <c r="CR589" s="731"/>
      <c r="CS589" s="731"/>
      <c r="CT589" s="731"/>
      <c r="CU589" s="731"/>
      <c r="CV589" s="731"/>
      <c r="CW589" s="731"/>
      <c r="CX589" s="731"/>
      <c r="CY589" s="731"/>
      <c r="CZ589" s="731"/>
      <c r="DA589" s="731"/>
      <c r="DB589" s="731"/>
      <c r="DC589" s="731"/>
      <c r="DD589" s="731"/>
      <c r="DE589" s="731"/>
    </row>
    <row r="590" spans="84:109" ht="12.75" x14ac:dyDescent="0.2">
      <c r="CF590" s="735">
        <v>519</v>
      </c>
      <c r="CG590" s="736" t="s">
        <v>1663</v>
      </c>
      <c r="CH590" s="743">
        <f>U156</f>
        <v>0</v>
      </c>
      <c r="CI590" s="736" t="s">
        <v>1658</v>
      </c>
      <c r="CJ590" s="738" t="s">
        <v>1664</v>
      </c>
      <c r="CK590" s="736" t="s">
        <v>1502</v>
      </c>
      <c r="CL590" s="731"/>
      <c r="CM590" s="731"/>
      <c r="CN590" s="731"/>
      <c r="CO590" s="731"/>
      <c r="CP590" s="731"/>
      <c r="CQ590" s="731"/>
      <c r="CR590" s="731"/>
      <c r="CS590" s="731"/>
      <c r="CT590" s="731"/>
      <c r="CU590" s="731"/>
      <c r="CV590" s="731"/>
      <c r="CW590" s="731"/>
      <c r="CX590" s="731"/>
      <c r="CY590" s="731"/>
      <c r="CZ590" s="731"/>
      <c r="DA590" s="731"/>
      <c r="DB590" s="731"/>
      <c r="DC590" s="731"/>
      <c r="DD590" s="731"/>
      <c r="DE590" s="731"/>
    </row>
    <row r="591" spans="84:109" ht="12.75" x14ac:dyDescent="0.2">
      <c r="CF591" s="739">
        <v>520</v>
      </c>
      <c r="CG591" s="740" t="s">
        <v>1665</v>
      </c>
      <c r="CH591" s="744" t="str">
        <f>V156</f>
        <v>0</v>
      </c>
      <c r="CI591" s="740" t="s">
        <v>1658</v>
      </c>
      <c r="CJ591" s="742" t="s">
        <v>1666</v>
      </c>
      <c r="CK591" s="740" t="s">
        <v>571</v>
      </c>
      <c r="CL591" s="731"/>
      <c r="CM591" s="731"/>
      <c r="CN591" s="731"/>
      <c r="CO591" s="731"/>
      <c r="CP591" s="731"/>
      <c r="CQ591" s="731"/>
      <c r="CR591" s="731"/>
      <c r="CS591" s="731"/>
      <c r="CT591" s="731"/>
      <c r="CU591" s="731"/>
      <c r="CV591" s="731"/>
      <c r="CW591" s="731"/>
      <c r="CX591" s="731"/>
      <c r="CY591" s="731"/>
      <c r="CZ591" s="731"/>
      <c r="DA591" s="731"/>
      <c r="DB591" s="731"/>
      <c r="DC591" s="731"/>
      <c r="DD591" s="731"/>
      <c r="DE591" s="731"/>
    </row>
    <row r="592" spans="84:109" ht="12.75" x14ac:dyDescent="0.2">
      <c r="CF592" s="735">
        <v>521</v>
      </c>
      <c r="CG592" s="736" t="s">
        <v>1667</v>
      </c>
      <c r="CH592" s="747">
        <f>W156</f>
        <v>0</v>
      </c>
      <c r="CI592" s="736" t="s">
        <v>1658</v>
      </c>
      <c r="CJ592" s="738" t="s">
        <v>1668</v>
      </c>
      <c r="CK592" s="736" t="s">
        <v>597</v>
      </c>
      <c r="CL592" s="731"/>
      <c r="CM592" s="731"/>
      <c r="CN592" s="731"/>
      <c r="CO592" s="731"/>
      <c r="CP592" s="731"/>
      <c r="CQ592" s="731"/>
      <c r="CR592" s="731"/>
      <c r="CS592" s="731"/>
      <c r="CT592" s="731"/>
      <c r="CU592" s="731"/>
      <c r="CV592" s="731"/>
      <c r="CW592" s="731"/>
      <c r="CX592" s="731"/>
      <c r="CY592" s="731"/>
      <c r="CZ592" s="731"/>
      <c r="DA592" s="731"/>
      <c r="DB592" s="731"/>
      <c r="DC592" s="731"/>
      <c r="DD592" s="731"/>
      <c r="DE592" s="731"/>
    </row>
    <row r="593" spans="84:109" ht="12.75" x14ac:dyDescent="0.2">
      <c r="CF593" s="739">
        <v>522</v>
      </c>
      <c r="CG593" s="740" t="s">
        <v>1669</v>
      </c>
      <c r="CH593" s="744">
        <f>X156</f>
        <v>0</v>
      </c>
      <c r="CI593" s="740" t="s">
        <v>1658</v>
      </c>
      <c r="CJ593" s="742" t="s">
        <v>1670</v>
      </c>
      <c r="CK593" s="740" t="s">
        <v>571</v>
      </c>
      <c r="CL593" s="731"/>
      <c r="CM593" s="731"/>
      <c r="CN593" s="731"/>
      <c r="CO593" s="731"/>
      <c r="CP593" s="731"/>
      <c r="CQ593" s="731"/>
      <c r="CR593" s="731"/>
      <c r="CS593" s="731"/>
      <c r="CT593" s="731"/>
      <c r="CU593" s="731"/>
      <c r="CV593" s="731"/>
      <c r="CW593" s="731"/>
      <c r="CX593" s="731"/>
      <c r="CY593" s="731"/>
      <c r="CZ593" s="731"/>
      <c r="DA593" s="731"/>
      <c r="DB593" s="731"/>
      <c r="DC593" s="731"/>
      <c r="DD593" s="731"/>
      <c r="DE593" s="731"/>
    </row>
    <row r="594" spans="84:109" ht="12.75" x14ac:dyDescent="0.2">
      <c r="CF594" s="735">
        <v>523</v>
      </c>
      <c r="CG594" s="736" t="s">
        <v>1671</v>
      </c>
      <c r="CH594" s="743">
        <f>Y156</f>
        <v>0</v>
      </c>
      <c r="CI594" s="736" t="s">
        <v>1658</v>
      </c>
      <c r="CJ594" s="738" t="s">
        <v>1672</v>
      </c>
      <c r="CK594" s="736" t="s">
        <v>571</v>
      </c>
      <c r="CL594" s="731"/>
      <c r="CM594" s="731"/>
      <c r="CN594" s="731"/>
      <c r="CO594" s="731"/>
      <c r="CP594" s="731"/>
      <c r="CQ594" s="731"/>
      <c r="CR594" s="731"/>
      <c r="CS594" s="731"/>
      <c r="CT594" s="731"/>
      <c r="CU594" s="731"/>
      <c r="CV594" s="731"/>
      <c r="CW594" s="731"/>
      <c r="CX594" s="731"/>
      <c r="CY594" s="731"/>
      <c r="CZ594" s="731"/>
      <c r="DA594" s="731"/>
      <c r="DB594" s="731"/>
      <c r="DC594" s="731"/>
      <c r="DD594" s="731"/>
      <c r="DE594" s="731"/>
    </row>
    <row r="595" spans="84:109" ht="12.75" x14ac:dyDescent="0.2">
      <c r="CF595" s="739">
        <v>524</v>
      </c>
      <c r="CG595" s="740" t="s">
        <v>1473</v>
      </c>
      <c r="CH595" s="749">
        <f>Z156</f>
        <v>0</v>
      </c>
      <c r="CI595" s="740" t="s">
        <v>1658</v>
      </c>
      <c r="CJ595" s="742" t="s">
        <v>1673</v>
      </c>
      <c r="CK595" s="740" t="s">
        <v>592</v>
      </c>
      <c r="CL595" s="731"/>
      <c r="CM595" s="731"/>
      <c r="CN595" s="731"/>
      <c r="CO595" s="731"/>
      <c r="CP595" s="731"/>
      <c r="CQ595" s="731"/>
      <c r="CR595" s="731"/>
      <c r="CS595" s="731"/>
      <c r="CT595" s="731"/>
      <c r="CU595" s="731"/>
      <c r="CV595" s="731"/>
      <c r="CW595" s="731"/>
      <c r="CX595" s="731"/>
      <c r="CY595" s="731"/>
      <c r="CZ595" s="731"/>
      <c r="DA595" s="731"/>
      <c r="DB595" s="731"/>
      <c r="DC595" s="731"/>
      <c r="DD595" s="731"/>
      <c r="DE595" s="731"/>
    </row>
    <row r="596" spans="84:109" ht="12.75" x14ac:dyDescent="0.2">
      <c r="CF596" s="735">
        <v>525</v>
      </c>
      <c r="CG596" s="736" t="s">
        <v>1475</v>
      </c>
      <c r="CH596" s="747" t="str">
        <f>AA156</f>
        <v>0.00%</v>
      </c>
      <c r="CI596" s="736" t="s">
        <v>1658</v>
      </c>
      <c r="CJ596" s="738" t="s">
        <v>1674</v>
      </c>
      <c r="CK596" s="736" t="s">
        <v>597</v>
      </c>
      <c r="CL596" s="731"/>
      <c r="CM596" s="731"/>
      <c r="CN596" s="731"/>
      <c r="CO596" s="731"/>
      <c r="CP596" s="731"/>
      <c r="CQ596" s="731"/>
      <c r="CR596" s="731"/>
      <c r="CS596" s="731"/>
      <c r="CT596" s="731"/>
      <c r="CU596" s="731"/>
      <c r="CV596" s="731"/>
      <c r="CW596" s="731"/>
      <c r="CX596" s="731"/>
      <c r="CY596" s="731"/>
      <c r="CZ596" s="731"/>
      <c r="DA596" s="731"/>
      <c r="DB596" s="731"/>
      <c r="DC596" s="731"/>
      <c r="DD596" s="731"/>
      <c r="DE596" s="731"/>
    </row>
    <row r="597" spans="84:109" ht="15" x14ac:dyDescent="0.2">
      <c r="CF597" s="734" t="s">
        <v>1675</v>
      </c>
      <c r="CG597" s="734"/>
      <c r="CH597" s="734"/>
      <c r="CI597" s="734"/>
      <c r="CJ597" s="734"/>
      <c r="CK597" s="734"/>
      <c r="CL597" s="731"/>
      <c r="CM597" s="731"/>
      <c r="CN597" s="731"/>
      <c r="CO597" s="731"/>
      <c r="CP597" s="731"/>
      <c r="CQ597" s="731"/>
      <c r="CR597" s="731"/>
      <c r="CS597" s="731"/>
      <c r="CT597" s="731"/>
      <c r="CU597" s="731"/>
      <c r="CV597" s="731"/>
      <c r="CW597" s="731"/>
      <c r="CX597" s="731"/>
      <c r="CY597" s="731"/>
      <c r="CZ597" s="731"/>
      <c r="DA597" s="731"/>
      <c r="DB597" s="731"/>
      <c r="DC597" s="731"/>
      <c r="DD597" s="731"/>
      <c r="DE597" s="731"/>
    </row>
    <row r="598" spans="84:109" ht="12.75" x14ac:dyDescent="0.2">
      <c r="CF598" s="739">
        <v>526</v>
      </c>
      <c r="CG598" s="740" t="s">
        <v>1676</v>
      </c>
      <c r="CH598" s="751">
        <f>R157</f>
        <v>123</v>
      </c>
      <c r="CI598" s="740" t="s">
        <v>1677</v>
      </c>
      <c r="CJ598" s="742" t="s">
        <v>1678</v>
      </c>
      <c r="CK598" s="740" t="s">
        <v>694</v>
      </c>
      <c r="CL598" s="731"/>
      <c r="CM598" s="731"/>
      <c r="CN598" s="731"/>
      <c r="CO598" s="731"/>
      <c r="CP598" s="731"/>
      <c r="CQ598" s="731"/>
      <c r="CR598" s="731"/>
      <c r="CS598" s="731"/>
      <c r="CT598" s="731"/>
      <c r="CU598" s="731"/>
      <c r="CV598" s="731"/>
      <c r="CW598" s="731"/>
      <c r="CX598" s="731"/>
      <c r="CY598" s="731"/>
      <c r="CZ598" s="731"/>
      <c r="DA598" s="731"/>
      <c r="DB598" s="731"/>
      <c r="DC598" s="731"/>
      <c r="DD598" s="731"/>
      <c r="DE598" s="731"/>
    </row>
    <row r="599" spans="84:109" ht="12.75" x14ac:dyDescent="0.2">
      <c r="CF599" s="735">
        <v>527</v>
      </c>
      <c r="CG599" s="736" t="s">
        <v>1679</v>
      </c>
      <c r="CH599" s="750">
        <f>T157</f>
        <v>23725</v>
      </c>
      <c r="CI599" s="736" t="s">
        <v>1677</v>
      </c>
      <c r="CJ599" s="738" t="s">
        <v>1680</v>
      </c>
      <c r="CK599" s="736" t="s">
        <v>1499</v>
      </c>
      <c r="CL599" s="731"/>
      <c r="CM599" s="731"/>
      <c r="CN599" s="731"/>
      <c r="CO599" s="731"/>
      <c r="CP599" s="731"/>
      <c r="CQ599" s="731"/>
      <c r="CR599" s="731"/>
      <c r="CS599" s="731"/>
      <c r="CT599" s="731"/>
      <c r="CU599" s="731"/>
      <c r="CV599" s="731"/>
      <c r="CW599" s="731"/>
      <c r="CX599" s="731"/>
      <c r="CY599" s="731"/>
      <c r="CZ599" s="731"/>
      <c r="DA599" s="731"/>
      <c r="DB599" s="731"/>
      <c r="DC599" s="731"/>
      <c r="DD599" s="731"/>
      <c r="DE599" s="731"/>
    </row>
    <row r="600" spans="84:109" ht="12.75" x14ac:dyDescent="0.2">
      <c r="CF600" s="739">
        <v>528</v>
      </c>
      <c r="CG600" s="740" t="s">
        <v>1681</v>
      </c>
      <c r="CH600" s="744">
        <f>X157</f>
        <v>21352500</v>
      </c>
      <c r="CI600" s="740" t="s">
        <v>1677</v>
      </c>
      <c r="CJ600" s="742" t="s">
        <v>1682</v>
      </c>
      <c r="CK600" s="740" t="s">
        <v>571</v>
      </c>
      <c r="CL600" s="731"/>
      <c r="CM600" s="731"/>
      <c r="CN600" s="731"/>
      <c r="CO600" s="731"/>
      <c r="CP600" s="731"/>
      <c r="CQ600" s="731"/>
      <c r="CR600" s="731"/>
      <c r="CS600" s="731"/>
      <c r="CT600" s="731"/>
      <c r="CU600" s="731"/>
      <c r="CV600" s="731"/>
      <c r="CW600" s="731"/>
      <c r="CX600" s="731"/>
      <c r="CY600" s="731"/>
      <c r="CZ600" s="731"/>
      <c r="DA600" s="731"/>
      <c r="DB600" s="731"/>
      <c r="DC600" s="731"/>
      <c r="DD600" s="731"/>
      <c r="DE600" s="731"/>
    </row>
    <row r="601" spans="84:109" ht="12.75" x14ac:dyDescent="0.2">
      <c r="CF601" s="735">
        <v>529</v>
      </c>
      <c r="CG601" s="736" t="s">
        <v>1683</v>
      </c>
      <c r="CH601" s="743">
        <f>Y157</f>
        <v>6405750</v>
      </c>
      <c r="CI601" s="736" t="s">
        <v>1677</v>
      </c>
      <c r="CJ601" s="738" t="s">
        <v>1684</v>
      </c>
      <c r="CK601" s="736" t="s">
        <v>571</v>
      </c>
      <c r="CL601" s="731"/>
      <c r="CM601" s="731"/>
      <c r="CN601" s="731"/>
      <c r="CO601" s="731"/>
      <c r="CP601" s="731"/>
      <c r="CQ601" s="731"/>
      <c r="CR601" s="731"/>
      <c r="CS601" s="731"/>
      <c r="CT601" s="731"/>
      <c r="CU601" s="731"/>
      <c r="CV601" s="731"/>
      <c r="CW601" s="731"/>
      <c r="CX601" s="731"/>
      <c r="CY601" s="731"/>
      <c r="CZ601" s="731"/>
      <c r="DA601" s="731"/>
      <c r="DB601" s="731"/>
      <c r="DC601" s="731"/>
      <c r="DD601" s="731"/>
      <c r="DE601" s="731"/>
    </row>
    <row r="602" spans="84:109" ht="15" x14ac:dyDescent="0.2">
      <c r="CF602" s="734" t="s">
        <v>1685</v>
      </c>
      <c r="CG602" s="734"/>
      <c r="CH602" s="734"/>
      <c r="CI602" s="734"/>
      <c r="CJ602" s="734"/>
      <c r="CK602" s="734"/>
      <c r="CL602" s="731"/>
      <c r="CM602" s="731"/>
      <c r="CN602" s="731"/>
      <c r="CO602" s="731"/>
      <c r="CP602" s="731"/>
      <c r="CQ602" s="731"/>
      <c r="CR602" s="731"/>
      <c r="CS602" s="731"/>
      <c r="CT602" s="731"/>
      <c r="CU602" s="731"/>
      <c r="CV602" s="731"/>
      <c r="CW602" s="731"/>
      <c r="CX602" s="731"/>
      <c r="CY602" s="731"/>
      <c r="CZ602" s="731"/>
      <c r="DA602" s="731"/>
      <c r="DB602" s="731"/>
      <c r="DC602" s="731"/>
      <c r="DD602" s="731"/>
      <c r="DE602" s="731"/>
    </row>
    <row r="603" spans="84:109" ht="12.75" x14ac:dyDescent="0.2">
      <c r="CF603" s="739">
        <v>530</v>
      </c>
      <c r="CG603" s="740" t="s">
        <v>1686</v>
      </c>
      <c r="CH603" s="744">
        <f t="shared" ref="CH603:CH608" si="202">C303</f>
        <v>47826086.956521749</v>
      </c>
      <c r="CI603" s="740" t="s">
        <v>429</v>
      </c>
      <c r="CJ603" s="742" t="s">
        <v>1687</v>
      </c>
      <c r="CK603" s="740" t="s">
        <v>571</v>
      </c>
      <c r="CL603" s="731"/>
      <c r="CM603" s="731"/>
      <c r="CN603" s="731"/>
      <c r="CO603" s="731"/>
      <c r="CP603" s="731"/>
      <c r="CQ603" s="731"/>
      <c r="CR603" s="731"/>
      <c r="CS603" s="731"/>
      <c r="CT603" s="731"/>
      <c r="CU603" s="731"/>
      <c r="CV603" s="731"/>
      <c r="CW603" s="731"/>
      <c r="CX603" s="731"/>
      <c r="CY603" s="731"/>
      <c r="CZ603" s="731"/>
      <c r="DA603" s="731"/>
      <c r="DB603" s="731"/>
      <c r="DC603" s="731"/>
      <c r="DD603" s="731"/>
      <c r="DE603" s="731"/>
    </row>
    <row r="604" spans="84:109" ht="12.75" x14ac:dyDescent="0.2">
      <c r="CF604" s="735">
        <v>531</v>
      </c>
      <c r="CG604" s="736" t="s">
        <v>1688</v>
      </c>
      <c r="CH604" s="743">
        <f t="shared" si="202"/>
        <v>39313043.478260875</v>
      </c>
      <c r="CI604" s="736" t="s">
        <v>429</v>
      </c>
      <c r="CJ604" s="738" t="s">
        <v>1689</v>
      </c>
      <c r="CK604" s="736" t="s">
        <v>571</v>
      </c>
      <c r="CL604" s="731"/>
      <c r="CM604" s="731"/>
      <c r="CN604" s="731"/>
      <c r="CO604" s="731"/>
      <c r="CP604" s="731"/>
      <c r="CQ604" s="731"/>
      <c r="CR604" s="731"/>
      <c r="CS604" s="731"/>
      <c r="CT604" s="731"/>
      <c r="CU604" s="731"/>
      <c r="CV604" s="731"/>
      <c r="CW604" s="731"/>
      <c r="CX604" s="731"/>
      <c r="CY604" s="731"/>
      <c r="CZ604" s="731"/>
      <c r="DA604" s="731"/>
      <c r="DB604" s="731"/>
      <c r="DC604" s="731"/>
      <c r="DD604" s="731"/>
      <c r="DE604" s="731"/>
    </row>
    <row r="605" spans="84:109" ht="12.75" x14ac:dyDescent="0.2">
      <c r="CF605" s="739">
        <v>532</v>
      </c>
      <c r="CG605" s="740" t="s">
        <v>1690</v>
      </c>
      <c r="CH605" s="744">
        <f t="shared" si="202"/>
        <v>46486956.52173914</v>
      </c>
      <c r="CI605" s="740" t="s">
        <v>429</v>
      </c>
      <c r="CJ605" s="742" t="s">
        <v>1691</v>
      </c>
      <c r="CK605" s="740" t="s">
        <v>571</v>
      </c>
      <c r="CL605" s="731"/>
      <c r="CM605" s="731"/>
      <c r="CN605" s="731"/>
      <c r="CO605" s="731"/>
      <c r="CP605" s="731"/>
      <c r="CQ605" s="731"/>
      <c r="CR605" s="731"/>
      <c r="CS605" s="731"/>
      <c r="CT605" s="731"/>
      <c r="CU605" s="731"/>
      <c r="CV605" s="731"/>
      <c r="CW605" s="731"/>
      <c r="CX605" s="731"/>
      <c r="CY605" s="731"/>
      <c r="CZ605" s="731"/>
      <c r="DA605" s="731"/>
      <c r="DB605" s="731"/>
      <c r="DC605" s="731"/>
      <c r="DD605" s="731"/>
      <c r="DE605" s="731"/>
    </row>
    <row r="606" spans="84:109" ht="12.75" x14ac:dyDescent="0.2">
      <c r="CF606" s="735">
        <v>533</v>
      </c>
      <c r="CG606" s="736" t="s">
        <v>1692</v>
      </c>
      <c r="CH606" s="750">
        <f t="shared" si="202"/>
        <v>11</v>
      </c>
      <c r="CI606" s="736" t="s">
        <v>429</v>
      </c>
      <c r="CJ606" s="738" t="s">
        <v>1693</v>
      </c>
      <c r="CK606" s="736" t="s">
        <v>694</v>
      </c>
      <c r="CL606" s="731"/>
      <c r="CM606" s="731"/>
      <c r="CN606" s="731"/>
      <c r="CO606" s="731"/>
      <c r="CP606" s="731"/>
      <c r="CQ606" s="731"/>
      <c r="CR606" s="731"/>
      <c r="CS606" s="731"/>
      <c r="CT606" s="731"/>
      <c r="CU606" s="731"/>
      <c r="CV606" s="731"/>
      <c r="CW606" s="731"/>
      <c r="CX606" s="731"/>
      <c r="CY606" s="731"/>
      <c r="CZ606" s="731"/>
      <c r="DA606" s="731"/>
      <c r="DB606" s="731"/>
      <c r="DC606" s="731"/>
      <c r="DD606" s="731"/>
      <c r="DE606" s="731"/>
    </row>
    <row r="607" spans="84:109" ht="12.75" x14ac:dyDescent="0.2">
      <c r="CF607" s="739">
        <v>534</v>
      </c>
      <c r="CG607" s="740" t="s">
        <v>1694</v>
      </c>
      <c r="CH607" s="744">
        <f t="shared" si="202"/>
        <v>4347826.0869565224</v>
      </c>
      <c r="CI607" s="740" t="s">
        <v>429</v>
      </c>
      <c r="CJ607" s="742" t="s">
        <v>1695</v>
      </c>
      <c r="CK607" s="740" t="s">
        <v>571</v>
      </c>
      <c r="CL607" s="731"/>
      <c r="CM607" s="731"/>
      <c r="CN607" s="731"/>
      <c r="CO607" s="731"/>
      <c r="CP607" s="731"/>
      <c r="CQ607" s="731"/>
      <c r="CR607" s="731"/>
      <c r="CS607" s="731"/>
      <c r="CT607" s="731"/>
      <c r="CU607" s="731"/>
      <c r="CV607" s="731"/>
      <c r="CW607" s="731"/>
      <c r="CX607" s="731"/>
      <c r="CY607" s="731"/>
      <c r="CZ607" s="731"/>
      <c r="DA607" s="731"/>
      <c r="DB607" s="731"/>
      <c r="DC607" s="731"/>
      <c r="DD607" s="731"/>
      <c r="DE607" s="731"/>
    </row>
    <row r="608" spans="84:109" ht="12.75" x14ac:dyDescent="0.2">
      <c r="CF608" s="735">
        <v>535</v>
      </c>
      <c r="CG608" s="736" t="s">
        <v>1696</v>
      </c>
      <c r="CH608" s="743">
        <f t="shared" si="202"/>
        <v>717391.30434782617</v>
      </c>
      <c r="CI608" s="736" t="s">
        <v>429</v>
      </c>
      <c r="CJ608" s="738" t="s">
        <v>1697</v>
      </c>
      <c r="CK608" s="736" t="s">
        <v>571</v>
      </c>
      <c r="CL608" s="731"/>
      <c r="CM608" s="731"/>
      <c r="CN608" s="731"/>
      <c r="CO608" s="731"/>
      <c r="CP608" s="731"/>
      <c r="CQ608" s="731"/>
      <c r="CR608" s="731"/>
      <c r="CS608" s="731"/>
      <c r="CT608" s="731"/>
      <c r="CU608" s="731"/>
      <c r="CV608" s="731"/>
      <c r="CW608" s="731"/>
      <c r="CX608" s="731"/>
      <c r="CY608" s="731"/>
      <c r="CZ608" s="731"/>
      <c r="DA608" s="731"/>
      <c r="DB608" s="731"/>
      <c r="DC608" s="731"/>
      <c r="DD608" s="731"/>
      <c r="DE608" s="731"/>
    </row>
    <row r="609" spans="84:109" ht="12.75" x14ac:dyDescent="0.2">
      <c r="CF609" s="739">
        <v>536</v>
      </c>
      <c r="CG609" s="740" t="s">
        <v>1698</v>
      </c>
      <c r="CH609" s="746">
        <f>D308</f>
        <v>1.4999999999999999E-2</v>
      </c>
      <c r="CI609" s="740" t="s">
        <v>429</v>
      </c>
      <c r="CJ609" s="742" t="s">
        <v>1699</v>
      </c>
      <c r="CK609" s="740" t="s">
        <v>597</v>
      </c>
      <c r="CL609" s="731"/>
      <c r="CM609" s="731"/>
      <c r="CN609" s="731"/>
      <c r="CO609" s="731"/>
      <c r="CP609" s="731"/>
      <c r="CQ609" s="731"/>
      <c r="CR609" s="731"/>
      <c r="CS609" s="731"/>
      <c r="CT609" s="731"/>
      <c r="CU609" s="731"/>
      <c r="CV609" s="731"/>
      <c r="CW609" s="731"/>
      <c r="CX609" s="731"/>
      <c r="CY609" s="731"/>
      <c r="CZ609" s="731"/>
      <c r="DA609" s="731"/>
      <c r="DB609" s="731"/>
      <c r="DC609" s="731"/>
      <c r="DD609" s="731"/>
      <c r="DE609" s="731"/>
    </row>
    <row r="610" spans="84:109" ht="12.75" x14ac:dyDescent="0.2">
      <c r="CF610" s="735">
        <v>537</v>
      </c>
      <c r="CG610" s="736" t="s">
        <v>1700</v>
      </c>
      <c r="CH610" s="743">
        <f>C309</f>
        <v>478260.86956521752</v>
      </c>
      <c r="CI610" s="736" t="s">
        <v>429</v>
      </c>
      <c r="CJ610" s="738" t="s">
        <v>1701</v>
      </c>
      <c r="CK610" s="736" t="s">
        <v>571</v>
      </c>
      <c r="CL610" s="731"/>
      <c r="CM610" s="731"/>
      <c r="CN610" s="731"/>
      <c r="CO610" s="731"/>
      <c r="CP610" s="731"/>
      <c r="CQ610" s="731"/>
      <c r="CR610" s="731"/>
      <c r="CS610" s="731"/>
      <c r="CT610" s="731"/>
      <c r="CU610" s="731"/>
      <c r="CV610" s="731"/>
      <c r="CW610" s="731"/>
      <c r="CX610" s="731"/>
      <c r="CY610" s="731"/>
      <c r="CZ610" s="731"/>
      <c r="DA610" s="731"/>
      <c r="DB610" s="731"/>
      <c r="DC610" s="731"/>
      <c r="DD610" s="731"/>
      <c r="DE610" s="731"/>
    </row>
    <row r="611" spans="84:109" ht="12.75" x14ac:dyDescent="0.2">
      <c r="CF611" s="739">
        <v>538</v>
      </c>
      <c r="CG611" s="740" t="s">
        <v>1702</v>
      </c>
      <c r="CH611" s="746">
        <f>D309</f>
        <v>0.01</v>
      </c>
      <c r="CI611" s="740" t="s">
        <v>429</v>
      </c>
      <c r="CJ611" s="742" t="s">
        <v>1703</v>
      </c>
      <c r="CK611" s="740" t="s">
        <v>597</v>
      </c>
      <c r="CL611" s="731"/>
      <c r="CM611" s="731"/>
      <c r="CN611" s="731"/>
      <c r="CO611" s="731"/>
      <c r="CP611" s="731"/>
      <c r="CQ611" s="731"/>
      <c r="CR611" s="731"/>
      <c r="CS611" s="731"/>
      <c r="CT611" s="731"/>
      <c r="CU611" s="731"/>
      <c r="CV611" s="731"/>
      <c r="CW611" s="731"/>
      <c r="CX611" s="731"/>
      <c r="CY611" s="731"/>
      <c r="CZ611" s="731"/>
      <c r="DA611" s="731"/>
      <c r="DB611" s="731"/>
      <c r="DC611" s="731"/>
      <c r="DD611" s="731"/>
      <c r="DE611" s="731"/>
    </row>
    <row r="612" spans="84:109" ht="12.75" x14ac:dyDescent="0.2">
      <c r="CF612" s="735">
        <v>539</v>
      </c>
      <c r="CG612" s="736" t="s">
        <v>1704</v>
      </c>
      <c r="CH612" s="743">
        <f>C310</f>
        <v>143478.26086956525</v>
      </c>
      <c r="CI612" s="736" t="s">
        <v>429</v>
      </c>
      <c r="CJ612" s="738" t="s">
        <v>1705</v>
      </c>
      <c r="CK612" s="736" t="s">
        <v>571</v>
      </c>
      <c r="CL612" s="731"/>
      <c r="CM612" s="731"/>
      <c r="CN612" s="731"/>
      <c r="CO612" s="731"/>
      <c r="CP612" s="731"/>
      <c r="CQ612" s="731"/>
      <c r="CR612" s="731"/>
      <c r="CS612" s="731"/>
      <c r="CT612" s="731"/>
      <c r="CU612" s="731"/>
      <c r="CV612" s="731"/>
      <c r="CW612" s="731"/>
      <c r="CX612" s="731"/>
      <c r="CY612" s="731"/>
      <c r="CZ612" s="731"/>
      <c r="DA612" s="731"/>
      <c r="DB612" s="731"/>
      <c r="DC612" s="731"/>
      <c r="DD612" s="731"/>
      <c r="DE612" s="731"/>
    </row>
    <row r="613" spans="84:109" ht="12.75" x14ac:dyDescent="0.2">
      <c r="CF613" s="739">
        <v>540</v>
      </c>
      <c r="CG613" s="740" t="s">
        <v>1706</v>
      </c>
      <c r="CH613" s="746">
        <f>D310</f>
        <v>3.0000000000000001E-3</v>
      </c>
      <c r="CI613" s="740" t="s">
        <v>429</v>
      </c>
      <c r="CJ613" s="742" t="s">
        <v>1707</v>
      </c>
      <c r="CK613" s="740" t="s">
        <v>597</v>
      </c>
      <c r="CL613" s="731"/>
      <c r="CM613" s="731"/>
      <c r="CN613" s="731"/>
      <c r="CO613" s="731"/>
      <c r="CP613" s="731"/>
      <c r="CQ613" s="731"/>
      <c r="CR613" s="731"/>
      <c r="CS613" s="731"/>
      <c r="CT613" s="731"/>
      <c r="CU613" s="731"/>
      <c r="CV613" s="731"/>
      <c r="CW613" s="731"/>
      <c r="CX613" s="731"/>
      <c r="CY613" s="731"/>
      <c r="CZ613" s="731"/>
      <c r="DA613" s="731"/>
      <c r="DB613" s="731"/>
      <c r="DC613" s="731"/>
      <c r="DD613" s="731"/>
      <c r="DE613" s="731"/>
    </row>
    <row r="614" spans="84:109" ht="12.75" x14ac:dyDescent="0.2">
      <c r="CF614" s="735">
        <v>541</v>
      </c>
      <c r="CG614" s="736" t="s">
        <v>1708</v>
      </c>
      <c r="CH614" s="743">
        <f>C311</f>
        <v>0</v>
      </c>
      <c r="CI614" s="736" t="s">
        <v>429</v>
      </c>
      <c r="CJ614" s="738" t="s">
        <v>1709</v>
      </c>
      <c r="CK614" s="736" t="s">
        <v>571</v>
      </c>
      <c r="CL614" s="731"/>
      <c r="CM614" s="731"/>
      <c r="CN614" s="731"/>
      <c r="CO614" s="731"/>
      <c r="CP614" s="731"/>
      <c r="CQ614" s="731"/>
      <c r="CR614" s="731"/>
      <c r="CS614" s="731"/>
      <c r="CT614" s="731"/>
      <c r="CU614" s="731"/>
      <c r="CV614" s="731"/>
      <c r="CW614" s="731"/>
      <c r="CX614" s="731"/>
      <c r="CY614" s="731"/>
      <c r="CZ614" s="731"/>
      <c r="DA614" s="731"/>
      <c r="DB614" s="731"/>
      <c r="DC614" s="731"/>
      <c r="DD614" s="731"/>
      <c r="DE614" s="731"/>
    </row>
    <row r="615" spans="84:109" ht="12.75" x14ac:dyDescent="0.2">
      <c r="CF615" s="739">
        <v>542</v>
      </c>
      <c r="CG615" s="740" t="s">
        <v>1710</v>
      </c>
      <c r="CH615" s="746">
        <f>D311</f>
        <v>0</v>
      </c>
      <c r="CI615" s="740" t="s">
        <v>429</v>
      </c>
      <c r="CJ615" s="742" t="s">
        <v>1711</v>
      </c>
      <c r="CK615" s="740" t="s">
        <v>597</v>
      </c>
      <c r="CL615" s="731"/>
      <c r="CM615" s="731"/>
      <c r="CN615" s="731"/>
      <c r="CO615" s="731"/>
      <c r="CP615" s="731"/>
      <c r="CQ615" s="731"/>
      <c r="CR615" s="731"/>
      <c r="CS615" s="731"/>
      <c r="CT615" s="731"/>
      <c r="CU615" s="731"/>
      <c r="CV615" s="731"/>
      <c r="CW615" s="731"/>
      <c r="CX615" s="731"/>
      <c r="CY615" s="731"/>
      <c r="CZ615" s="731"/>
      <c r="DA615" s="731"/>
      <c r="DB615" s="731"/>
      <c r="DC615" s="731"/>
      <c r="DD615" s="731"/>
      <c r="DE615" s="731"/>
    </row>
    <row r="616" spans="84:109" ht="12.75" x14ac:dyDescent="0.2">
      <c r="CF616" s="735">
        <v>543</v>
      </c>
      <c r="CG616" s="736" t="s">
        <v>1712</v>
      </c>
      <c r="CH616" s="743">
        <f>C312</f>
        <v>7173913.0434782626</v>
      </c>
      <c r="CI616" s="736" t="s">
        <v>429</v>
      </c>
      <c r="CJ616" s="738" t="s">
        <v>1713</v>
      </c>
      <c r="CK616" s="736" t="s">
        <v>571</v>
      </c>
      <c r="CL616" s="731"/>
      <c r="CM616" s="731"/>
      <c r="CN616" s="731"/>
      <c r="CO616" s="731"/>
      <c r="CP616" s="731"/>
      <c r="CQ616" s="731"/>
      <c r="CR616" s="731"/>
      <c r="CS616" s="731"/>
      <c r="CT616" s="731"/>
      <c r="CU616" s="731"/>
      <c r="CV616" s="731"/>
      <c r="CW616" s="731"/>
      <c r="CX616" s="731"/>
      <c r="CY616" s="731"/>
      <c r="CZ616" s="731"/>
      <c r="DA616" s="731"/>
      <c r="DB616" s="731"/>
      <c r="DC616" s="731"/>
      <c r="DD616" s="731"/>
      <c r="DE616" s="731"/>
    </row>
    <row r="617" spans="84:109" ht="12.75" x14ac:dyDescent="0.2">
      <c r="CF617" s="739">
        <v>544</v>
      </c>
      <c r="CG617" s="740" t="s">
        <v>1714</v>
      </c>
      <c r="CH617" s="746">
        <f>D312</f>
        <v>0.15</v>
      </c>
      <c r="CI617" s="740" t="s">
        <v>429</v>
      </c>
      <c r="CJ617" s="742" t="s">
        <v>1715</v>
      </c>
      <c r="CK617" s="740" t="s">
        <v>597</v>
      </c>
      <c r="CL617" s="731"/>
      <c r="CM617" s="731"/>
      <c r="CN617" s="731"/>
      <c r="CO617" s="731"/>
      <c r="CP617" s="731"/>
      <c r="CQ617" s="731"/>
      <c r="CR617" s="731"/>
      <c r="CS617" s="731"/>
      <c r="CT617" s="731"/>
      <c r="CU617" s="731"/>
      <c r="CV617" s="731"/>
      <c r="CW617" s="731"/>
      <c r="CX617" s="731"/>
      <c r="CY617" s="731"/>
      <c r="CZ617" s="731"/>
      <c r="DA617" s="731"/>
      <c r="DB617" s="731"/>
      <c r="DC617" s="731"/>
      <c r="DD617" s="731"/>
      <c r="DE617" s="731"/>
    </row>
    <row r="618" spans="84:109" ht="12.75" x14ac:dyDescent="0.2">
      <c r="CF618" s="735">
        <v>545</v>
      </c>
      <c r="CG618" s="736" t="s">
        <v>1716</v>
      </c>
      <c r="CH618" s="743">
        <f>C313</f>
        <v>46486956.52173914</v>
      </c>
      <c r="CI618" s="736" t="s">
        <v>429</v>
      </c>
      <c r="CJ618" s="738" t="s">
        <v>1717</v>
      </c>
      <c r="CK618" s="736" t="s">
        <v>571</v>
      </c>
      <c r="CL618" s="731"/>
      <c r="CM618" s="731"/>
      <c r="CN618" s="731"/>
      <c r="CO618" s="731"/>
      <c r="CP618" s="731"/>
      <c r="CQ618" s="731"/>
      <c r="CR618" s="731"/>
      <c r="CS618" s="731"/>
      <c r="CT618" s="731"/>
      <c r="CU618" s="731"/>
      <c r="CV618" s="731"/>
      <c r="CW618" s="731"/>
      <c r="CX618" s="731"/>
      <c r="CY618" s="731"/>
      <c r="CZ618" s="731"/>
      <c r="DA618" s="731"/>
      <c r="DB618" s="731"/>
      <c r="DC618" s="731"/>
      <c r="DD618" s="731"/>
      <c r="DE618" s="731"/>
    </row>
    <row r="619" spans="84:109" ht="15" x14ac:dyDescent="0.2">
      <c r="CF619" s="734" t="s">
        <v>1718</v>
      </c>
      <c r="CG619" s="734"/>
      <c r="CH619" s="734"/>
      <c r="CI619" s="734"/>
      <c r="CJ619" s="734"/>
      <c r="CK619" s="734"/>
      <c r="CL619" s="731"/>
      <c r="CM619" s="731"/>
      <c r="CN619" s="731"/>
      <c r="CO619" s="731"/>
      <c r="CP619" s="731"/>
      <c r="CQ619" s="731"/>
      <c r="CR619" s="731"/>
      <c r="CS619" s="731"/>
      <c r="CT619" s="731"/>
      <c r="CU619" s="731"/>
      <c r="CV619" s="731"/>
      <c r="CW619" s="731"/>
      <c r="CX619" s="731"/>
      <c r="CY619" s="731"/>
      <c r="CZ619" s="731"/>
      <c r="DA619" s="731"/>
      <c r="DB619" s="731"/>
      <c r="DC619" s="731"/>
      <c r="DD619" s="731"/>
      <c r="DE619" s="731"/>
    </row>
    <row r="620" spans="84:109" ht="12.75" x14ac:dyDescent="0.2">
      <c r="CF620" s="739">
        <v>546</v>
      </c>
      <c r="CG620" s="740" t="s">
        <v>1719</v>
      </c>
      <c r="CH620" s="744">
        <f>E321</f>
        <v>0</v>
      </c>
      <c r="CI620" s="740" t="s">
        <v>1720</v>
      </c>
      <c r="CJ620" s="742" t="s">
        <v>1721</v>
      </c>
      <c r="CK620" s="740" t="s">
        <v>571</v>
      </c>
      <c r="CL620" s="731"/>
      <c r="CM620" s="731"/>
      <c r="CN620" s="731"/>
      <c r="CO620" s="731"/>
      <c r="CP620" s="731"/>
      <c r="CQ620" s="731"/>
      <c r="CR620" s="731"/>
      <c r="CS620" s="731"/>
      <c r="CT620" s="731"/>
      <c r="CU620" s="731"/>
      <c r="CV620" s="731"/>
      <c r="CW620" s="731"/>
      <c r="CX620" s="731"/>
      <c r="CY620" s="731"/>
      <c r="CZ620" s="731"/>
      <c r="DA620" s="731"/>
      <c r="DB620" s="731"/>
      <c r="DC620" s="731"/>
      <c r="DD620" s="731"/>
      <c r="DE620" s="731"/>
    </row>
    <row r="621" spans="84:109" ht="12.75" x14ac:dyDescent="0.2">
      <c r="CF621" s="735">
        <v>547</v>
      </c>
      <c r="CG621" s="736" t="s">
        <v>1722</v>
      </c>
      <c r="CH621" s="747">
        <f>C321</f>
        <v>0</v>
      </c>
      <c r="CI621" s="736" t="s">
        <v>1720</v>
      </c>
      <c r="CJ621" s="738" t="s">
        <v>1723</v>
      </c>
      <c r="CK621" s="736" t="s">
        <v>597</v>
      </c>
      <c r="CL621" s="731"/>
      <c r="CM621" s="731"/>
      <c r="CN621" s="731"/>
      <c r="CO621" s="731"/>
      <c r="CP621" s="731"/>
      <c r="CQ621" s="731"/>
      <c r="CR621" s="731"/>
      <c r="CS621" s="731"/>
      <c r="CT621" s="731"/>
      <c r="CU621" s="731"/>
      <c r="CV621" s="731"/>
      <c r="CW621" s="731"/>
      <c r="CX621" s="731"/>
      <c r="CY621" s="731"/>
      <c r="CZ621" s="731"/>
      <c r="DA621" s="731"/>
      <c r="DB621" s="731"/>
      <c r="DC621" s="731"/>
      <c r="DD621" s="731"/>
      <c r="DE621" s="731"/>
    </row>
    <row r="622" spans="84:109" ht="12.75" x14ac:dyDescent="0.2">
      <c r="CF622" s="739">
        <v>548</v>
      </c>
      <c r="CG622" s="740" t="s">
        <v>1724</v>
      </c>
      <c r="CH622" s="744">
        <f>E322</f>
        <v>0</v>
      </c>
      <c r="CI622" s="740" t="s">
        <v>1720</v>
      </c>
      <c r="CJ622" s="742" t="s">
        <v>1725</v>
      </c>
      <c r="CK622" s="740" t="s">
        <v>571</v>
      </c>
      <c r="CL622" s="731"/>
      <c r="CM622" s="731"/>
      <c r="CN622" s="731"/>
      <c r="CO622" s="731"/>
      <c r="CP622" s="731"/>
      <c r="CQ622" s="731"/>
      <c r="CR622" s="731"/>
      <c r="CS622" s="731"/>
      <c r="CT622" s="731"/>
      <c r="CU622" s="731"/>
      <c r="CV622" s="731"/>
      <c r="CW622" s="731"/>
      <c r="CX622" s="731"/>
      <c r="CY622" s="731"/>
      <c r="CZ622" s="731"/>
      <c r="DA622" s="731"/>
      <c r="DB622" s="731"/>
      <c r="DC622" s="731"/>
      <c r="DD622" s="731"/>
      <c r="DE622" s="731"/>
    </row>
    <row r="623" spans="84:109" ht="12.75" x14ac:dyDescent="0.2">
      <c r="CF623" s="735">
        <v>549</v>
      </c>
      <c r="CG623" s="736" t="s">
        <v>1726</v>
      </c>
      <c r="CH623" s="747">
        <f>C322</f>
        <v>0</v>
      </c>
      <c r="CI623" s="736" t="s">
        <v>1720</v>
      </c>
      <c r="CJ623" s="738" t="s">
        <v>1727</v>
      </c>
      <c r="CK623" s="736" t="s">
        <v>597</v>
      </c>
      <c r="CL623" s="731"/>
      <c r="CM623" s="731"/>
      <c r="CN623" s="731"/>
      <c r="CO623" s="731"/>
      <c r="CP623" s="731"/>
      <c r="CQ623" s="731"/>
      <c r="CR623" s="731"/>
      <c r="CS623" s="731"/>
      <c r="CT623" s="731"/>
      <c r="CU623" s="731"/>
      <c r="CV623" s="731"/>
      <c r="CW623" s="731"/>
      <c r="CX623" s="731"/>
      <c r="CY623" s="731"/>
      <c r="CZ623" s="731"/>
      <c r="DA623" s="731"/>
      <c r="DB623" s="731"/>
      <c r="DC623" s="731"/>
      <c r="DD623" s="731"/>
      <c r="DE623" s="731"/>
    </row>
    <row r="624" spans="84:109" ht="12.75" x14ac:dyDescent="0.2">
      <c r="CF624" s="739">
        <v>550</v>
      </c>
      <c r="CG624" s="740" t="s">
        <v>1728</v>
      </c>
      <c r="CH624" s="744">
        <f>E323</f>
        <v>0</v>
      </c>
      <c r="CI624" s="740" t="s">
        <v>1720</v>
      </c>
      <c r="CJ624" s="742" t="s">
        <v>1729</v>
      </c>
      <c r="CK624" s="740" t="s">
        <v>571</v>
      </c>
      <c r="CL624" s="731"/>
      <c r="CM624" s="731"/>
      <c r="CN624" s="731"/>
      <c r="CO624" s="731"/>
      <c r="CP624" s="731"/>
      <c r="CQ624" s="731"/>
      <c r="CR624" s="731"/>
      <c r="CS624" s="731"/>
      <c r="CT624" s="731"/>
      <c r="CU624" s="731"/>
      <c r="CV624" s="731"/>
      <c r="CW624" s="731"/>
      <c r="CX624" s="731"/>
      <c r="CY624" s="731"/>
      <c r="CZ624" s="731"/>
      <c r="DA624" s="731"/>
      <c r="DB624" s="731"/>
      <c r="DC624" s="731"/>
      <c r="DD624" s="731"/>
      <c r="DE624" s="731"/>
    </row>
    <row r="625" spans="84:109" ht="12.75" x14ac:dyDescent="0.2">
      <c r="CF625" s="735">
        <v>551</v>
      </c>
      <c r="CG625" s="736" t="s">
        <v>1730</v>
      </c>
      <c r="CH625" s="747">
        <f>C323</f>
        <v>0</v>
      </c>
      <c r="CI625" s="736" t="s">
        <v>1720</v>
      </c>
      <c r="CJ625" s="738" t="s">
        <v>1731</v>
      </c>
      <c r="CK625" s="736" t="s">
        <v>597</v>
      </c>
      <c r="CL625" s="731"/>
      <c r="CM625" s="731"/>
      <c r="CN625" s="731"/>
      <c r="CO625" s="731"/>
      <c r="CP625" s="731"/>
      <c r="CQ625" s="731"/>
      <c r="CR625" s="731"/>
      <c r="CS625" s="731"/>
      <c r="CT625" s="731"/>
      <c r="CU625" s="731"/>
      <c r="CV625" s="731"/>
      <c r="CW625" s="731"/>
      <c r="CX625" s="731"/>
      <c r="CY625" s="731"/>
      <c r="CZ625" s="731"/>
      <c r="DA625" s="731"/>
      <c r="DB625" s="731"/>
      <c r="DC625" s="731"/>
      <c r="DD625" s="731"/>
      <c r="DE625" s="731"/>
    </row>
    <row r="626" spans="84:109" ht="12.75" x14ac:dyDescent="0.2">
      <c r="CF626" s="739">
        <v>552</v>
      </c>
      <c r="CG626" s="740" t="s">
        <v>1732</v>
      </c>
      <c r="CH626" s="744" t="str">
        <f>E324</f>
        <v>الإطار الزمني
(Time frame)</v>
      </c>
      <c r="CI626" s="740" t="s">
        <v>1720</v>
      </c>
      <c r="CJ626" s="742" t="s">
        <v>1733</v>
      </c>
      <c r="CK626" s="740" t="s">
        <v>571</v>
      </c>
      <c r="CL626" s="731"/>
      <c r="CM626" s="731"/>
      <c r="CN626" s="731"/>
      <c r="CO626" s="731"/>
      <c r="CP626" s="731"/>
      <c r="CQ626" s="731"/>
      <c r="CR626" s="731"/>
      <c r="CS626" s="731"/>
      <c r="CT626" s="731"/>
      <c r="CU626" s="731"/>
      <c r="CV626" s="731"/>
      <c r="CW626" s="731"/>
      <c r="CX626" s="731"/>
      <c r="CY626" s="731"/>
      <c r="CZ626" s="731"/>
      <c r="DA626" s="731"/>
      <c r="DB626" s="731"/>
      <c r="DC626" s="731"/>
      <c r="DD626" s="731"/>
      <c r="DE626" s="731"/>
    </row>
    <row r="627" spans="84:109" ht="12.75" x14ac:dyDescent="0.2">
      <c r="CF627" s="735">
        <v>553</v>
      </c>
      <c r="CG627" s="736" t="s">
        <v>1734</v>
      </c>
      <c r="CH627" s="747" t="str">
        <f>C324</f>
        <v>%</v>
      </c>
      <c r="CI627" s="736" t="s">
        <v>1720</v>
      </c>
      <c r="CJ627" s="738" t="s">
        <v>1735</v>
      </c>
      <c r="CK627" s="736" t="s">
        <v>597</v>
      </c>
      <c r="CL627" s="731"/>
      <c r="CM627" s="731"/>
      <c r="CN627" s="731"/>
      <c r="CO627" s="731"/>
      <c r="CP627" s="731"/>
      <c r="CQ627" s="731"/>
      <c r="CR627" s="731"/>
      <c r="CS627" s="731"/>
      <c r="CT627" s="731"/>
      <c r="CU627" s="731"/>
      <c r="CV627" s="731"/>
      <c r="CW627" s="731"/>
      <c r="CX627" s="731"/>
      <c r="CY627" s="731"/>
      <c r="CZ627" s="731"/>
      <c r="DA627" s="731"/>
      <c r="DB627" s="731"/>
      <c r="DC627" s="731"/>
      <c r="DD627" s="731"/>
      <c r="DE627" s="731"/>
    </row>
    <row r="628" spans="84:109" ht="12.75" x14ac:dyDescent="0.2">
      <c r="CF628" s="739">
        <v>554</v>
      </c>
      <c r="CG628" s="740" t="s">
        <v>1736</v>
      </c>
      <c r="CH628" s="744">
        <f>E325</f>
        <v>0</v>
      </c>
      <c r="CI628" s="740" t="s">
        <v>1720</v>
      </c>
      <c r="CJ628" s="742" t="s">
        <v>1737</v>
      </c>
      <c r="CK628" s="740" t="s">
        <v>571</v>
      </c>
      <c r="CL628" s="731"/>
      <c r="CM628" s="731"/>
      <c r="CN628" s="731"/>
      <c r="CO628" s="731"/>
      <c r="CP628" s="731"/>
      <c r="CQ628" s="731"/>
      <c r="CR628" s="731"/>
      <c r="CS628" s="731"/>
      <c r="CT628" s="731"/>
      <c r="CU628" s="731"/>
      <c r="CV628" s="731"/>
      <c r="CW628" s="731"/>
      <c r="CX628" s="731"/>
      <c r="CY628" s="731"/>
      <c r="CZ628" s="731"/>
      <c r="DA628" s="731"/>
      <c r="DB628" s="731"/>
      <c r="DC628" s="731"/>
      <c r="DD628" s="731"/>
      <c r="DE628" s="731"/>
    </row>
    <row r="629" spans="84:109" ht="15" x14ac:dyDescent="0.2">
      <c r="CF629" s="734" t="s">
        <v>1738</v>
      </c>
      <c r="CG629" s="734"/>
      <c r="CH629" s="734"/>
      <c r="CI629" s="734"/>
      <c r="CJ629" s="734"/>
      <c r="CK629" s="734"/>
      <c r="CL629" s="731"/>
      <c r="CM629" s="731"/>
      <c r="CN629" s="731"/>
      <c r="CO629" s="731"/>
      <c r="CP629" s="731"/>
      <c r="CQ629" s="731"/>
      <c r="CR629" s="731"/>
      <c r="CS629" s="731"/>
      <c r="CT629" s="731"/>
      <c r="CU629" s="731"/>
      <c r="CV629" s="731"/>
      <c r="CW629" s="731"/>
      <c r="CX629" s="731"/>
      <c r="CY629" s="731"/>
      <c r="CZ629" s="731"/>
      <c r="DA629" s="731"/>
      <c r="DB629" s="731"/>
      <c r="DC629" s="731"/>
      <c r="DD629" s="731"/>
      <c r="DE629" s="731"/>
    </row>
    <row r="630" spans="84:109" ht="12.75" x14ac:dyDescent="0.2">
      <c r="CF630" s="735">
        <v>555</v>
      </c>
      <c r="CG630" s="736" t="s">
        <v>1739</v>
      </c>
      <c r="CH630" s="747">
        <f>F242</f>
        <v>7.2999999999999995E-2</v>
      </c>
      <c r="CI630" s="736" t="s">
        <v>1740</v>
      </c>
      <c r="CJ630" s="738" t="s">
        <v>1741</v>
      </c>
      <c r="CK630" s="736" t="s">
        <v>597</v>
      </c>
      <c r="CL630" s="731"/>
      <c r="CM630" s="731"/>
      <c r="CN630" s="731"/>
      <c r="CO630" s="731"/>
      <c r="CP630" s="731"/>
      <c r="CQ630" s="731"/>
      <c r="CR630" s="731"/>
      <c r="CS630" s="731"/>
      <c r="CT630" s="731"/>
      <c r="CU630" s="731"/>
      <c r="CV630" s="731"/>
      <c r="CW630" s="731"/>
      <c r="CX630" s="731"/>
      <c r="CY630" s="731"/>
      <c r="CZ630" s="731"/>
      <c r="DA630" s="731"/>
      <c r="DB630" s="731"/>
      <c r="DC630" s="731"/>
      <c r="DD630" s="731"/>
      <c r="DE630" s="731"/>
    </row>
    <row r="631" spans="84:109" ht="12.75" x14ac:dyDescent="0.2">
      <c r="CF631" s="739">
        <v>556</v>
      </c>
      <c r="CG631" s="740" t="s">
        <v>1742</v>
      </c>
      <c r="CH631" s="746">
        <f>F244</f>
        <v>1.8249999999999999E-2</v>
      </c>
      <c r="CI631" s="740" t="s">
        <v>1740</v>
      </c>
      <c r="CJ631" s="742" t="s">
        <v>1743</v>
      </c>
      <c r="CK631" s="740" t="s">
        <v>597</v>
      </c>
      <c r="CL631" s="731"/>
      <c r="CM631" s="731"/>
      <c r="CN631" s="731"/>
      <c r="CO631" s="731"/>
      <c r="CP631" s="731"/>
      <c r="CQ631" s="731"/>
      <c r="CR631" s="731"/>
      <c r="CS631" s="731"/>
      <c r="CT631" s="731"/>
      <c r="CU631" s="731"/>
      <c r="CV631" s="731"/>
      <c r="CW631" s="731"/>
      <c r="CX631" s="731"/>
      <c r="CY631" s="731"/>
      <c r="CZ631" s="731"/>
      <c r="DA631" s="731"/>
      <c r="DB631" s="731"/>
      <c r="DC631" s="731"/>
      <c r="DD631" s="731"/>
      <c r="DE631" s="731"/>
    </row>
    <row r="632" spans="84:109" ht="15" x14ac:dyDescent="0.2">
      <c r="CF632" s="734" t="s">
        <v>1744</v>
      </c>
      <c r="CG632" s="734"/>
      <c r="CH632" s="734"/>
      <c r="CI632" s="734"/>
      <c r="CJ632" s="734"/>
      <c r="CK632" s="734"/>
      <c r="CL632" s="731"/>
      <c r="CM632" s="731"/>
      <c r="CN632" s="731"/>
      <c r="CO632" s="731"/>
      <c r="CP632" s="731"/>
      <c r="CQ632" s="731"/>
      <c r="CR632" s="731"/>
      <c r="CS632" s="731"/>
      <c r="CT632" s="731"/>
      <c r="CU632" s="731"/>
      <c r="CV632" s="731"/>
      <c r="CW632" s="731"/>
      <c r="CX632" s="731"/>
      <c r="CY632" s="731"/>
      <c r="CZ632" s="731"/>
      <c r="DA632" s="731"/>
      <c r="DB632" s="731"/>
      <c r="DC632" s="731"/>
      <c r="DD632" s="731"/>
      <c r="DE632" s="731"/>
    </row>
    <row r="633" spans="84:109" ht="12.75" x14ac:dyDescent="0.2">
      <c r="CF633" s="735">
        <v>557</v>
      </c>
      <c r="CG633" s="736" t="s">
        <v>1745</v>
      </c>
      <c r="CH633" s="743">
        <f t="shared" ref="CH633:CH642" si="203">C180</f>
        <v>34500000</v>
      </c>
      <c r="CI633" s="736" t="s">
        <v>1746</v>
      </c>
      <c r="CJ633" s="738" t="s">
        <v>1747</v>
      </c>
      <c r="CK633" s="736" t="s">
        <v>571</v>
      </c>
      <c r="CL633" s="731"/>
      <c r="CM633" s="731"/>
      <c r="CN633" s="731"/>
      <c r="CO633" s="731"/>
      <c r="CP633" s="731"/>
      <c r="CQ633" s="731"/>
      <c r="CR633" s="731"/>
      <c r="CS633" s="731"/>
      <c r="CT633" s="731"/>
      <c r="CU633" s="731"/>
      <c r="CV633" s="731"/>
      <c r="CW633" s="731"/>
      <c r="CX633" s="731"/>
      <c r="CY633" s="731"/>
      <c r="CZ633" s="731"/>
      <c r="DA633" s="731"/>
      <c r="DB633" s="731"/>
      <c r="DC633" s="731"/>
      <c r="DD633" s="731"/>
      <c r="DE633" s="731"/>
    </row>
    <row r="634" spans="84:109" ht="12.75" x14ac:dyDescent="0.2">
      <c r="CF634" s="739">
        <v>558</v>
      </c>
      <c r="CG634" s="740" t="s">
        <v>1748</v>
      </c>
      <c r="CH634" s="744">
        <f t="shared" si="203"/>
        <v>11100000</v>
      </c>
      <c r="CI634" s="740" t="s">
        <v>1746</v>
      </c>
      <c r="CJ634" s="742" t="s">
        <v>1749</v>
      </c>
      <c r="CK634" s="740" t="s">
        <v>571</v>
      </c>
      <c r="CL634" s="731"/>
      <c r="CM634" s="731"/>
      <c r="CN634" s="731"/>
      <c r="CO634" s="731"/>
      <c r="CP634" s="731"/>
      <c r="CQ634" s="731"/>
      <c r="CR634" s="731"/>
      <c r="CS634" s="731"/>
      <c r="CT634" s="731"/>
      <c r="CU634" s="731"/>
      <c r="CV634" s="731"/>
      <c r="CW634" s="731"/>
      <c r="CX634" s="731"/>
      <c r="CY634" s="731"/>
      <c r="CZ634" s="731"/>
      <c r="DA634" s="731"/>
      <c r="DB634" s="731"/>
      <c r="DC634" s="731"/>
      <c r="DD634" s="731"/>
      <c r="DE634" s="731"/>
    </row>
    <row r="635" spans="84:109" ht="12.75" x14ac:dyDescent="0.2">
      <c r="CF635" s="735">
        <v>559</v>
      </c>
      <c r="CG635" s="736" t="s">
        <v>1750</v>
      </c>
      <c r="CH635" s="743">
        <f t="shared" si="203"/>
        <v>0</v>
      </c>
      <c r="CI635" s="736" t="s">
        <v>1746</v>
      </c>
      <c r="CJ635" s="738" t="s">
        <v>1751</v>
      </c>
      <c r="CK635" s="736" t="s">
        <v>571</v>
      </c>
      <c r="CL635" s="731"/>
      <c r="CM635" s="731"/>
      <c r="CN635" s="731"/>
      <c r="CO635" s="731"/>
      <c r="CP635" s="731"/>
      <c r="CQ635" s="731"/>
      <c r="CR635" s="731"/>
      <c r="CS635" s="731"/>
      <c r="CT635" s="731"/>
      <c r="CU635" s="731"/>
      <c r="CV635" s="731"/>
      <c r="CW635" s="731"/>
      <c r="CX635" s="731"/>
      <c r="CY635" s="731"/>
      <c r="CZ635" s="731"/>
      <c r="DA635" s="731"/>
      <c r="DB635" s="731"/>
      <c r="DC635" s="731"/>
      <c r="DD635" s="731"/>
      <c r="DE635" s="731"/>
    </row>
    <row r="636" spans="84:109" ht="12.75" x14ac:dyDescent="0.2">
      <c r="CF636" s="739">
        <v>560</v>
      </c>
      <c r="CG636" s="740" t="s">
        <v>1752</v>
      </c>
      <c r="CH636" s="744">
        <f t="shared" si="203"/>
        <v>62809599.999999993</v>
      </c>
      <c r="CI636" s="740" t="s">
        <v>1746</v>
      </c>
      <c r="CJ636" s="742" t="s">
        <v>1753</v>
      </c>
      <c r="CK636" s="740" t="s">
        <v>571</v>
      </c>
      <c r="CL636" s="731"/>
      <c r="CM636" s="731"/>
      <c r="CN636" s="731"/>
      <c r="CO636" s="731"/>
      <c r="CP636" s="731"/>
      <c r="CQ636" s="731"/>
      <c r="CR636" s="731"/>
      <c r="CS636" s="731"/>
      <c r="CT636" s="731"/>
      <c r="CU636" s="731"/>
      <c r="CV636" s="731"/>
      <c r="CW636" s="731"/>
      <c r="CX636" s="731"/>
      <c r="CY636" s="731"/>
      <c r="CZ636" s="731"/>
      <c r="DA636" s="731"/>
      <c r="DB636" s="731"/>
      <c r="DC636" s="731"/>
      <c r="DD636" s="731"/>
      <c r="DE636" s="731"/>
    </row>
    <row r="637" spans="84:109" ht="12.75" x14ac:dyDescent="0.2">
      <c r="CF637" s="735">
        <v>561</v>
      </c>
      <c r="CG637" s="736" t="s">
        <v>1754</v>
      </c>
      <c r="CH637" s="743">
        <f t="shared" si="203"/>
        <v>46486956.52173914</v>
      </c>
      <c r="CI637" s="736" t="s">
        <v>1746</v>
      </c>
      <c r="CJ637" s="738" t="s">
        <v>1755</v>
      </c>
      <c r="CK637" s="736" t="s">
        <v>571</v>
      </c>
      <c r="CL637" s="731"/>
      <c r="CM637" s="731"/>
      <c r="CN637" s="731"/>
      <c r="CO637" s="731"/>
      <c r="CP637" s="731"/>
      <c r="CQ637" s="731"/>
      <c r="CR637" s="731"/>
      <c r="CS637" s="731"/>
      <c r="CT637" s="731"/>
      <c r="CU637" s="731"/>
      <c r="CV637" s="731"/>
      <c r="CW637" s="731"/>
      <c r="CX637" s="731"/>
      <c r="CY637" s="731"/>
      <c r="CZ637" s="731"/>
      <c r="DA637" s="731"/>
      <c r="DB637" s="731"/>
      <c r="DC637" s="731"/>
      <c r="DD637" s="731"/>
      <c r="DE637" s="731"/>
    </row>
    <row r="638" spans="84:109" ht="12.75" x14ac:dyDescent="0.2">
      <c r="CF638" s="739">
        <v>562</v>
      </c>
      <c r="CG638" s="740" t="s">
        <v>1756</v>
      </c>
      <c r="CH638" s="744">
        <f t="shared" si="203"/>
        <v>2471311.08</v>
      </c>
      <c r="CI638" s="740" t="s">
        <v>1746</v>
      </c>
      <c r="CJ638" s="742" t="s">
        <v>1757</v>
      </c>
      <c r="CK638" s="740" t="s">
        <v>571</v>
      </c>
      <c r="CL638" s="731"/>
      <c r="CM638" s="731"/>
      <c r="CN638" s="731"/>
      <c r="CO638" s="731"/>
      <c r="CP638" s="731"/>
      <c r="CQ638" s="731"/>
      <c r="CR638" s="731"/>
      <c r="CS638" s="731"/>
      <c r="CT638" s="731"/>
      <c r="CU638" s="731"/>
      <c r="CV638" s="731"/>
      <c r="CW638" s="731"/>
      <c r="CX638" s="731"/>
      <c r="CY638" s="731"/>
      <c r="CZ638" s="731"/>
      <c r="DA638" s="731"/>
      <c r="DB638" s="731"/>
      <c r="DC638" s="731"/>
      <c r="DD638" s="731"/>
      <c r="DE638" s="731"/>
    </row>
    <row r="639" spans="84:109" ht="12.75" x14ac:dyDescent="0.2">
      <c r="CF639" s="735">
        <v>563</v>
      </c>
      <c r="CG639" s="736" t="s">
        <v>1758</v>
      </c>
      <c r="CH639" s="743">
        <f t="shared" si="203"/>
        <v>21352500</v>
      </c>
      <c r="CI639" s="736" t="s">
        <v>1746</v>
      </c>
      <c r="CJ639" s="738" t="s">
        <v>1759</v>
      </c>
      <c r="CK639" s="736" t="s">
        <v>571</v>
      </c>
      <c r="CL639" s="731"/>
      <c r="CM639" s="731"/>
      <c r="CN639" s="731"/>
      <c r="CO639" s="731"/>
      <c r="CP639" s="731"/>
      <c r="CQ639" s="731"/>
      <c r="CR639" s="731"/>
      <c r="CS639" s="731"/>
      <c r="CT639" s="731"/>
      <c r="CU639" s="731"/>
      <c r="CV639" s="731"/>
      <c r="CW639" s="731"/>
      <c r="CX639" s="731"/>
      <c r="CY639" s="731"/>
      <c r="CZ639" s="731"/>
      <c r="DA639" s="731"/>
      <c r="DB639" s="731"/>
      <c r="DC639" s="731"/>
      <c r="DD639" s="731"/>
      <c r="DE639" s="731"/>
    </row>
    <row r="640" spans="84:109" ht="12.75" x14ac:dyDescent="0.2">
      <c r="CF640" s="739">
        <v>564</v>
      </c>
      <c r="CG640" s="740" t="s">
        <v>1760</v>
      </c>
      <c r="CH640" s="744">
        <f t="shared" si="203"/>
        <v>0</v>
      </c>
      <c r="CI640" s="740" t="s">
        <v>1746</v>
      </c>
      <c r="CJ640" s="742" t="s">
        <v>1761</v>
      </c>
      <c r="CK640" s="740" t="s">
        <v>571</v>
      </c>
      <c r="CL640" s="731"/>
      <c r="CM640" s="731"/>
      <c r="CN640" s="731"/>
      <c r="CO640" s="731"/>
      <c r="CP640" s="731"/>
      <c r="CQ640" s="731"/>
      <c r="CR640" s="731"/>
      <c r="CS640" s="731"/>
      <c r="CT640" s="731"/>
      <c r="CU640" s="731"/>
      <c r="CV640" s="731"/>
      <c r="CW640" s="731"/>
      <c r="CX640" s="731"/>
      <c r="CY640" s="731"/>
      <c r="CZ640" s="731"/>
      <c r="DA640" s="731"/>
      <c r="DB640" s="731"/>
      <c r="DC640" s="731"/>
      <c r="DD640" s="731"/>
      <c r="DE640" s="731"/>
    </row>
    <row r="641" spans="84:109" ht="12.75" x14ac:dyDescent="0.2">
      <c r="CF641" s="735">
        <v>565</v>
      </c>
      <c r="CG641" s="736" t="s">
        <v>1762</v>
      </c>
      <c r="CH641" s="743">
        <f t="shared" si="203"/>
        <v>242871819.07499996</v>
      </c>
      <c r="CI641" s="736" t="s">
        <v>1746</v>
      </c>
      <c r="CJ641" s="738" t="s">
        <v>1763</v>
      </c>
      <c r="CK641" s="736" t="s">
        <v>571</v>
      </c>
      <c r="CL641" s="731"/>
      <c r="CM641" s="731"/>
      <c r="CN641" s="731"/>
      <c r="CO641" s="731"/>
      <c r="CP641" s="731"/>
      <c r="CQ641" s="731"/>
      <c r="CR641" s="731"/>
      <c r="CS641" s="731"/>
      <c r="CT641" s="731"/>
      <c r="CU641" s="731"/>
      <c r="CV641" s="731"/>
      <c r="CW641" s="731"/>
      <c r="CX641" s="731"/>
      <c r="CY641" s="731"/>
      <c r="CZ641" s="731"/>
      <c r="DA641" s="731"/>
      <c r="DB641" s="731"/>
      <c r="DC641" s="731"/>
      <c r="DD641" s="731"/>
      <c r="DE641" s="731"/>
    </row>
    <row r="642" spans="84:109" ht="12.75" x14ac:dyDescent="0.2">
      <c r="CF642" s="739">
        <v>566</v>
      </c>
      <c r="CG642" s="740" t="s">
        <v>1764</v>
      </c>
      <c r="CH642" s="744">
        <f t="shared" si="203"/>
        <v>0.01</v>
      </c>
      <c r="CI642" s="740" t="s">
        <v>1746</v>
      </c>
      <c r="CJ642" s="742" t="s">
        <v>1765</v>
      </c>
      <c r="CK642" s="740" t="s">
        <v>571</v>
      </c>
      <c r="CL642" s="731"/>
      <c r="CM642" s="731"/>
      <c r="CN642" s="731"/>
      <c r="CO642" s="731"/>
      <c r="CP642" s="731"/>
      <c r="CQ642" s="731"/>
      <c r="CR642" s="731"/>
      <c r="CS642" s="731"/>
      <c r="CT642" s="731"/>
      <c r="CU642" s="731"/>
      <c r="CV642" s="731"/>
      <c r="CW642" s="731"/>
      <c r="CX642" s="731"/>
      <c r="CY642" s="731"/>
      <c r="CZ642" s="731"/>
      <c r="DA642" s="731"/>
      <c r="DB642" s="731"/>
      <c r="DC642" s="731"/>
      <c r="DD642" s="731"/>
      <c r="DE642" s="731"/>
    </row>
    <row r="643" spans="84:109" ht="12.75" x14ac:dyDescent="0.2">
      <c r="CF643" s="735">
        <v>567</v>
      </c>
      <c r="CG643" s="736" t="s">
        <v>1766</v>
      </c>
      <c r="CH643" s="743">
        <f t="shared" ref="CH643:CH648" si="204">C191</f>
        <v>-54352006</v>
      </c>
      <c r="CI643" s="736" t="s">
        <v>1746</v>
      </c>
      <c r="CJ643" s="738" t="s">
        <v>1767</v>
      </c>
      <c r="CK643" s="736" t="s">
        <v>571</v>
      </c>
      <c r="CL643" s="731"/>
      <c r="CM643" s="731"/>
      <c r="CN643" s="731"/>
      <c r="CO643" s="731"/>
      <c r="CP643" s="731"/>
      <c r="CQ643" s="731"/>
      <c r="CR643" s="731"/>
      <c r="CS643" s="731"/>
      <c r="CT643" s="731"/>
      <c r="CU643" s="731"/>
      <c r="CV643" s="731"/>
      <c r="CW643" s="731"/>
      <c r="CX643" s="731"/>
      <c r="CY643" s="731"/>
      <c r="CZ643" s="731"/>
      <c r="DA643" s="731"/>
      <c r="DB643" s="731"/>
      <c r="DC643" s="731"/>
      <c r="DD643" s="731"/>
      <c r="DE643" s="731"/>
    </row>
    <row r="644" spans="84:109" ht="12.75" x14ac:dyDescent="0.2">
      <c r="CF644" s="739">
        <v>568</v>
      </c>
      <c r="CG644" s="740" t="s">
        <v>1768</v>
      </c>
      <c r="CH644" s="746">
        <f t="shared" si="204"/>
        <v>7.2999999999999995E-2</v>
      </c>
      <c r="CI644" s="740" t="s">
        <v>1746</v>
      </c>
      <c r="CJ644" s="742" t="s">
        <v>1769</v>
      </c>
      <c r="CK644" s="740" t="s">
        <v>597</v>
      </c>
      <c r="CL644" s="731"/>
      <c r="CM644" s="731"/>
      <c r="CN644" s="731"/>
      <c r="CO644" s="731"/>
      <c r="CP644" s="731"/>
      <c r="CQ644" s="731"/>
      <c r="CR644" s="731"/>
      <c r="CS644" s="731"/>
      <c r="CT644" s="731"/>
      <c r="CU644" s="731"/>
      <c r="CV644" s="731"/>
      <c r="CW644" s="731"/>
      <c r="CX644" s="731"/>
      <c r="CY644" s="731"/>
      <c r="CZ644" s="731"/>
      <c r="DA644" s="731"/>
      <c r="DB644" s="731"/>
      <c r="DC644" s="731"/>
      <c r="DD644" s="731"/>
      <c r="DE644" s="731"/>
    </row>
    <row r="645" spans="84:109" ht="12.75" x14ac:dyDescent="0.2">
      <c r="CF645" s="735">
        <v>569</v>
      </c>
      <c r="CG645" s="736" t="s">
        <v>1770</v>
      </c>
      <c r="CH645" s="747">
        <f t="shared" si="204"/>
        <v>5.0000000000000001E-3</v>
      </c>
      <c r="CI645" s="736" t="s">
        <v>1746</v>
      </c>
      <c r="CJ645" s="738" t="s">
        <v>1771</v>
      </c>
      <c r="CK645" s="736" t="s">
        <v>597</v>
      </c>
      <c r="CL645" s="731"/>
      <c r="CM645" s="731"/>
      <c r="CN645" s="731"/>
      <c r="CO645" s="731"/>
      <c r="CP645" s="731"/>
      <c r="CQ645" s="731"/>
      <c r="CR645" s="731"/>
      <c r="CS645" s="731"/>
      <c r="CT645" s="731"/>
      <c r="CU645" s="731"/>
      <c r="CV645" s="731"/>
      <c r="CW645" s="731"/>
      <c r="CX645" s="731"/>
      <c r="CY645" s="731"/>
      <c r="CZ645" s="731"/>
      <c r="DA645" s="731"/>
      <c r="DB645" s="731"/>
      <c r="DC645" s="731"/>
      <c r="DD645" s="731"/>
      <c r="DE645" s="731"/>
    </row>
    <row r="646" spans="84:109" ht="12.75" x14ac:dyDescent="0.2">
      <c r="CF646" s="739">
        <v>570</v>
      </c>
      <c r="CG646" s="740" t="s">
        <v>1772</v>
      </c>
      <c r="CH646" s="744">
        <f t="shared" si="204"/>
        <v>-89728000</v>
      </c>
      <c r="CI646" s="740" t="s">
        <v>1746</v>
      </c>
      <c r="CJ646" s="742" t="s">
        <v>1773</v>
      </c>
      <c r="CK646" s="740" t="s">
        <v>571</v>
      </c>
      <c r="CL646" s="731"/>
      <c r="CM646" s="731"/>
      <c r="CN646" s="731"/>
      <c r="CO646" s="731"/>
      <c r="CP646" s="731"/>
      <c r="CQ646" s="731"/>
      <c r="CR646" s="731"/>
      <c r="CS646" s="731"/>
      <c r="CT646" s="731"/>
      <c r="CU646" s="731"/>
      <c r="CV646" s="731"/>
      <c r="CW646" s="731"/>
      <c r="CX646" s="731"/>
      <c r="CY646" s="731"/>
      <c r="CZ646" s="731"/>
      <c r="DA646" s="731"/>
      <c r="DB646" s="731"/>
      <c r="DC646" s="731"/>
      <c r="DD646" s="731"/>
      <c r="DE646" s="731"/>
    </row>
    <row r="647" spans="84:109" ht="12.75" x14ac:dyDescent="0.2">
      <c r="CF647" s="735">
        <v>571</v>
      </c>
      <c r="CG647" s="736" t="s">
        <v>1774</v>
      </c>
      <c r="CH647" s="743">
        <f t="shared" si="204"/>
        <v>-2119824</v>
      </c>
      <c r="CI647" s="736" t="s">
        <v>1746</v>
      </c>
      <c r="CJ647" s="738" t="s">
        <v>1775</v>
      </c>
      <c r="CK647" s="736" t="s">
        <v>571</v>
      </c>
      <c r="CL647" s="731"/>
      <c r="CM647" s="731"/>
      <c r="CN647" s="731"/>
      <c r="CO647" s="731"/>
      <c r="CP647" s="731"/>
      <c r="CQ647" s="731"/>
      <c r="CR647" s="731"/>
      <c r="CS647" s="731"/>
      <c r="CT647" s="731"/>
      <c r="CU647" s="731"/>
      <c r="CV647" s="731"/>
      <c r="CW647" s="731"/>
      <c r="CX647" s="731"/>
      <c r="CY647" s="731"/>
      <c r="CZ647" s="731"/>
      <c r="DA647" s="731"/>
      <c r="DB647" s="731"/>
      <c r="DC647" s="731"/>
      <c r="DD647" s="731"/>
      <c r="DE647" s="731"/>
    </row>
    <row r="648" spans="84:109" ht="12.75" x14ac:dyDescent="0.2">
      <c r="CF648" s="739">
        <v>572</v>
      </c>
      <c r="CG648" s="740" t="s">
        <v>1776</v>
      </c>
      <c r="CH648" s="744">
        <f t="shared" si="204"/>
        <v>-78265608</v>
      </c>
      <c r="CI648" s="740" t="s">
        <v>1746</v>
      </c>
      <c r="CJ648" s="742" t="s">
        <v>1777</v>
      </c>
      <c r="CK648" s="740" t="s">
        <v>571</v>
      </c>
      <c r="CL648" s="731"/>
      <c r="CM648" s="731"/>
      <c r="CN648" s="731"/>
      <c r="CO648" s="731"/>
      <c r="CP648" s="731"/>
      <c r="CQ648" s="731"/>
      <c r="CR648" s="731"/>
      <c r="CS648" s="731"/>
      <c r="CT648" s="731"/>
      <c r="CU648" s="731"/>
      <c r="CV648" s="731"/>
      <c r="CW648" s="731"/>
      <c r="CX648" s="731"/>
      <c r="CY648" s="731"/>
      <c r="CZ648" s="731"/>
      <c r="DA648" s="731"/>
      <c r="DB648" s="731"/>
      <c r="DC648" s="731"/>
      <c r="DD648" s="731"/>
      <c r="DE648" s="731"/>
    </row>
    <row r="649" spans="84:109" ht="12.75" x14ac:dyDescent="0.2">
      <c r="CF649" s="735">
        <v>573</v>
      </c>
      <c r="CG649" s="736" t="s">
        <v>1778</v>
      </c>
      <c r="CH649" s="743">
        <f>C218</f>
        <v>85913220.679271087</v>
      </c>
      <c r="CI649" s="736" t="s">
        <v>1746</v>
      </c>
      <c r="CJ649" s="738" t="s">
        <v>1779</v>
      </c>
      <c r="CK649" s="736" t="s">
        <v>571</v>
      </c>
      <c r="CL649" s="731"/>
      <c r="CM649" s="731"/>
      <c r="CN649" s="731"/>
      <c r="CO649" s="731"/>
      <c r="CP649" s="731"/>
      <c r="CQ649" s="731"/>
      <c r="CR649" s="731"/>
      <c r="CS649" s="731"/>
      <c r="CT649" s="731"/>
      <c r="CU649" s="731"/>
      <c r="CV649" s="731"/>
      <c r="CW649" s="731"/>
      <c r="CX649" s="731"/>
      <c r="CY649" s="731"/>
      <c r="CZ649" s="731"/>
      <c r="DA649" s="731"/>
      <c r="DB649" s="731"/>
      <c r="DC649" s="731"/>
      <c r="DD649" s="731"/>
      <c r="DE649" s="731"/>
    </row>
    <row r="650" spans="84:109" ht="12.75" x14ac:dyDescent="0.2">
      <c r="CF650" s="739">
        <v>574</v>
      </c>
      <c r="CG650" s="740" t="s">
        <v>1780</v>
      </c>
      <c r="CH650" s="744">
        <f>C219</f>
        <v>227269365.99746799</v>
      </c>
      <c r="CI650" s="740" t="s">
        <v>1746</v>
      </c>
      <c r="CJ650" s="742" t="s">
        <v>1781</v>
      </c>
      <c r="CK650" s="740" t="s">
        <v>571</v>
      </c>
      <c r="CL650" s="731"/>
      <c r="CM650" s="731"/>
      <c r="CN650" s="731"/>
      <c r="CO650" s="731"/>
      <c r="CP650" s="731"/>
      <c r="CQ650" s="731"/>
      <c r="CR650" s="731"/>
      <c r="CS650" s="731"/>
      <c r="CT650" s="731"/>
      <c r="CU650" s="731"/>
      <c r="CV650" s="731"/>
      <c r="CW650" s="731"/>
      <c r="CX650" s="731"/>
      <c r="CY650" s="731"/>
      <c r="CZ650" s="731"/>
      <c r="DA650" s="731"/>
      <c r="DB650" s="731"/>
      <c r="DC650" s="731"/>
      <c r="DD650" s="731"/>
      <c r="DE650" s="731"/>
    </row>
    <row r="651" spans="84:109" ht="12.75" x14ac:dyDescent="0.2">
      <c r="CF651" s="735">
        <v>575</v>
      </c>
      <c r="CG651" s="736" t="s">
        <v>1782</v>
      </c>
      <c r="CH651" s="743">
        <f>C220</f>
        <v>313182586.6767391</v>
      </c>
      <c r="CI651" s="736" t="s">
        <v>1746</v>
      </c>
      <c r="CJ651" s="738" t="s">
        <v>1783</v>
      </c>
      <c r="CK651" s="736" t="s">
        <v>571</v>
      </c>
      <c r="CL651" s="731"/>
      <c r="CM651" s="731"/>
      <c r="CN651" s="731"/>
      <c r="CO651" s="731"/>
      <c r="CP651" s="731"/>
      <c r="CQ651" s="731"/>
      <c r="CR651" s="731"/>
      <c r="CS651" s="731"/>
      <c r="CT651" s="731"/>
      <c r="CU651" s="731"/>
      <c r="CV651" s="731"/>
      <c r="CW651" s="731"/>
      <c r="CX651" s="731"/>
      <c r="CY651" s="731"/>
      <c r="CZ651" s="731"/>
      <c r="DA651" s="731"/>
      <c r="DB651" s="731"/>
      <c r="DC651" s="731"/>
      <c r="DD651" s="731"/>
      <c r="DE651" s="731"/>
    </row>
    <row r="652" spans="84:109" ht="12.75" x14ac:dyDescent="0.2">
      <c r="CF652" s="739">
        <v>576</v>
      </c>
      <c r="CG652" s="740" t="s">
        <v>1784</v>
      </c>
      <c r="CH652" s="744">
        <f>C221</f>
        <v>85913220.679271102</v>
      </c>
      <c r="CI652" s="740" t="s">
        <v>1746</v>
      </c>
      <c r="CJ652" s="742" t="s">
        <v>1785</v>
      </c>
      <c r="CK652" s="740" t="s">
        <v>571</v>
      </c>
      <c r="CL652" s="731"/>
      <c r="CM652" s="731"/>
      <c r="CN652" s="731"/>
      <c r="CO652" s="731"/>
      <c r="CP652" s="731"/>
      <c r="CQ652" s="731"/>
      <c r="CR652" s="731"/>
      <c r="CS652" s="731"/>
      <c r="CT652" s="731"/>
      <c r="CU652" s="731"/>
      <c r="CV652" s="731"/>
      <c r="CW652" s="731"/>
      <c r="CX652" s="731"/>
      <c r="CY652" s="731"/>
      <c r="CZ652" s="731"/>
      <c r="DA652" s="731"/>
      <c r="DB652" s="731"/>
      <c r="DC652" s="731"/>
      <c r="DD652" s="731"/>
      <c r="DE652" s="731"/>
    </row>
    <row r="653" spans="84:109" ht="12.75" x14ac:dyDescent="0.2">
      <c r="CF653" s="735">
        <v>577</v>
      </c>
      <c r="CG653" s="736" t="s">
        <v>1786</v>
      </c>
      <c r="CH653" s="743" t="str">
        <f>F179</f>
        <v>Q1</v>
      </c>
      <c r="CI653" s="743" t="str">
        <f t="shared" ref="CI653:DE653" si="205">G179</f>
        <v>Q2</v>
      </c>
      <c r="CJ653" s="743" t="str">
        <f t="shared" si="205"/>
        <v>Q3</v>
      </c>
      <c r="CK653" s="743" t="str">
        <f t="shared" si="205"/>
        <v>Q4</v>
      </c>
      <c r="CL653" s="743" t="str">
        <f t="shared" si="205"/>
        <v>Q5</v>
      </c>
      <c r="CM653" s="743" t="str">
        <f t="shared" si="205"/>
        <v>Q6</v>
      </c>
      <c r="CN653" s="743" t="str">
        <f t="shared" si="205"/>
        <v>Q7</v>
      </c>
      <c r="CO653" s="743" t="str">
        <f t="shared" si="205"/>
        <v>Q8</v>
      </c>
      <c r="CP653" s="743" t="str">
        <f t="shared" si="205"/>
        <v>Q9</v>
      </c>
      <c r="CQ653" s="743" t="str">
        <f t="shared" si="205"/>
        <v>Q10</v>
      </c>
      <c r="CR653" s="743" t="str">
        <f t="shared" si="205"/>
        <v>Q11</v>
      </c>
      <c r="CS653" s="743" t="str">
        <f t="shared" si="205"/>
        <v>Q12</v>
      </c>
      <c r="CT653" s="743" t="str">
        <f t="shared" si="205"/>
        <v>Q13</v>
      </c>
      <c r="CU653" s="743" t="str">
        <f t="shared" si="205"/>
        <v>Q14</v>
      </c>
      <c r="CV653" s="743" t="str">
        <f t="shared" si="205"/>
        <v>Q15</v>
      </c>
      <c r="CW653" s="743" t="str">
        <f t="shared" si="205"/>
        <v>Q16</v>
      </c>
      <c r="CX653" s="743" t="str">
        <f t="shared" si="205"/>
        <v>Q17</v>
      </c>
      <c r="CY653" s="743" t="str">
        <f t="shared" si="205"/>
        <v>Q18</v>
      </c>
      <c r="CZ653" s="743" t="str">
        <f t="shared" si="205"/>
        <v>Q19</v>
      </c>
      <c r="DA653" s="743" t="str">
        <f t="shared" si="205"/>
        <v>Q20</v>
      </c>
      <c r="DB653" s="743" t="str">
        <f t="shared" si="205"/>
        <v>Q21</v>
      </c>
      <c r="DC653" s="743" t="str">
        <f t="shared" si="205"/>
        <v>Q22</v>
      </c>
      <c r="DD653" s="743" t="str">
        <f t="shared" si="205"/>
        <v>Q23</v>
      </c>
      <c r="DE653" s="743" t="str">
        <f t="shared" si="205"/>
        <v>Q24</v>
      </c>
    </row>
    <row r="654" spans="84:109" ht="12.75" x14ac:dyDescent="0.2">
      <c r="CF654" s="739">
        <v>578</v>
      </c>
      <c r="CG654" s="740" t="s">
        <v>1787</v>
      </c>
      <c r="CH654" s="753">
        <f>F177</f>
        <v>46388</v>
      </c>
      <c r="CI654" s="753">
        <f t="shared" ref="CI654:DE654" si="206">G177</f>
        <v>46478</v>
      </c>
      <c r="CJ654" s="753">
        <f t="shared" si="206"/>
        <v>46569</v>
      </c>
      <c r="CK654" s="753">
        <f t="shared" si="206"/>
        <v>46661</v>
      </c>
      <c r="CL654" s="753">
        <f t="shared" si="206"/>
        <v>46753</v>
      </c>
      <c r="CM654" s="753">
        <f t="shared" si="206"/>
        <v>46844</v>
      </c>
      <c r="CN654" s="753">
        <f t="shared" si="206"/>
        <v>46935</v>
      </c>
      <c r="CO654" s="753">
        <f t="shared" si="206"/>
        <v>47027</v>
      </c>
      <c r="CP654" s="753">
        <f t="shared" si="206"/>
        <v>47119</v>
      </c>
      <c r="CQ654" s="753">
        <f t="shared" si="206"/>
        <v>47209</v>
      </c>
      <c r="CR654" s="753">
        <f t="shared" si="206"/>
        <v>47300</v>
      </c>
      <c r="CS654" s="753">
        <f t="shared" si="206"/>
        <v>47392</v>
      </c>
      <c r="CT654" s="753">
        <f t="shared" si="206"/>
        <v>47484</v>
      </c>
      <c r="CU654" s="753">
        <f t="shared" si="206"/>
        <v>47574</v>
      </c>
      <c r="CV654" s="753">
        <f t="shared" si="206"/>
        <v>47665</v>
      </c>
      <c r="CW654" s="753">
        <f t="shared" si="206"/>
        <v>47757</v>
      </c>
      <c r="CX654" s="753">
        <f t="shared" si="206"/>
        <v>47849</v>
      </c>
      <c r="CY654" s="753">
        <f t="shared" si="206"/>
        <v>47939</v>
      </c>
      <c r="CZ654" s="753">
        <f t="shared" si="206"/>
        <v>48030</v>
      </c>
      <c r="DA654" s="753">
        <f t="shared" si="206"/>
        <v>48122</v>
      </c>
      <c r="DB654" s="753">
        <f t="shared" si="206"/>
        <v>48214</v>
      </c>
      <c r="DC654" s="753">
        <f t="shared" si="206"/>
        <v>48305</v>
      </c>
      <c r="DD654" s="753">
        <f t="shared" si="206"/>
        <v>48396</v>
      </c>
      <c r="DE654" s="753">
        <f t="shared" si="206"/>
        <v>48488</v>
      </c>
    </row>
    <row r="655" spans="84:109" ht="25.5" x14ac:dyDescent="0.2">
      <c r="CF655" s="735">
        <v>579</v>
      </c>
      <c r="CG655" s="736" t="str">
        <f>B198</f>
        <v>الحفر والمسح والاختبار 
 (Excavation, surveying, and testing)</v>
      </c>
      <c r="CH655" s="743">
        <f>F194</f>
        <v>-89728000</v>
      </c>
      <c r="CI655" s="743">
        <f t="shared" ref="CI655:DE655" si="207">G194</f>
        <v>0</v>
      </c>
      <c r="CJ655" s="743">
        <f t="shared" si="207"/>
        <v>0</v>
      </c>
      <c r="CK655" s="743">
        <f t="shared" si="207"/>
        <v>0</v>
      </c>
      <c r="CL655" s="743">
        <f t="shared" si="207"/>
        <v>0</v>
      </c>
      <c r="CM655" s="743">
        <f t="shared" si="207"/>
        <v>0</v>
      </c>
      <c r="CN655" s="743">
        <f t="shared" si="207"/>
        <v>0</v>
      </c>
      <c r="CO655" s="743">
        <f t="shared" si="207"/>
        <v>0</v>
      </c>
      <c r="CP655" s="743">
        <f t="shared" si="207"/>
        <v>0</v>
      </c>
      <c r="CQ655" s="743">
        <f t="shared" si="207"/>
        <v>0</v>
      </c>
      <c r="CR655" s="743">
        <f t="shared" si="207"/>
        <v>0</v>
      </c>
      <c r="CS655" s="743">
        <f t="shared" si="207"/>
        <v>0</v>
      </c>
      <c r="CT655" s="743">
        <f t="shared" si="207"/>
        <v>0</v>
      </c>
      <c r="CU655" s="743">
        <f t="shared" si="207"/>
        <v>0</v>
      </c>
      <c r="CV655" s="743">
        <f t="shared" si="207"/>
        <v>0</v>
      </c>
      <c r="CW655" s="743">
        <f t="shared" si="207"/>
        <v>0</v>
      </c>
      <c r="CX655" s="743">
        <f t="shared" si="207"/>
        <v>0</v>
      </c>
      <c r="CY655" s="743">
        <f t="shared" si="207"/>
        <v>0</v>
      </c>
      <c r="CZ655" s="743">
        <f t="shared" si="207"/>
        <v>0</v>
      </c>
      <c r="DA655" s="743">
        <f t="shared" si="207"/>
        <v>0</v>
      </c>
      <c r="DB655" s="743">
        <f t="shared" si="207"/>
        <v>0</v>
      </c>
      <c r="DC655" s="743">
        <f t="shared" si="207"/>
        <v>0</v>
      </c>
      <c r="DD655" s="743">
        <f t="shared" si="207"/>
        <v>0</v>
      </c>
      <c r="DE655" s="743">
        <f t="shared" si="207"/>
        <v>0</v>
      </c>
    </row>
    <row r="656" spans="84:109" ht="25.5" x14ac:dyDescent="0.2">
      <c r="CF656" s="739">
        <v>580</v>
      </c>
      <c r="CG656" s="740" t="str">
        <f>B202</f>
        <v>أثاث الوحدات الفندقية 
 (Apartment furniture)</v>
      </c>
      <c r="CH656" s="744">
        <f>F198</f>
        <v>0</v>
      </c>
      <c r="CI656" s="744">
        <f t="shared" ref="CI656:DE656" si="208">G198</f>
        <v>0</v>
      </c>
      <c r="CJ656" s="744">
        <f t="shared" si="208"/>
        <v>-945120</v>
      </c>
      <c r="CK656" s="744">
        <f t="shared" si="208"/>
        <v>-945120</v>
      </c>
      <c r="CL656" s="744">
        <f t="shared" si="208"/>
        <v>-945120</v>
      </c>
      <c r="CM656" s="744">
        <f t="shared" si="208"/>
        <v>0</v>
      </c>
      <c r="CN656" s="744">
        <f t="shared" si="208"/>
        <v>0</v>
      </c>
      <c r="CO656" s="744">
        <f t="shared" si="208"/>
        <v>0</v>
      </c>
      <c r="CP656" s="744">
        <f t="shared" si="208"/>
        <v>0</v>
      </c>
      <c r="CQ656" s="744">
        <f t="shared" si="208"/>
        <v>0</v>
      </c>
      <c r="CR656" s="744">
        <f t="shared" si="208"/>
        <v>0</v>
      </c>
      <c r="CS656" s="744">
        <f t="shared" si="208"/>
        <v>0</v>
      </c>
      <c r="CT656" s="744">
        <f t="shared" si="208"/>
        <v>0</v>
      </c>
      <c r="CU656" s="744">
        <f t="shared" si="208"/>
        <v>0</v>
      </c>
      <c r="CV656" s="744">
        <f t="shared" si="208"/>
        <v>0</v>
      </c>
      <c r="CW656" s="744">
        <f t="shared" si="208"/>
        <v>0</v>
      </c>
      <c r="CX656" s="744">
        <f t="shared" si="208"/>
        <v>0</v>
      </c>
      <c r="CY656" s="744">
        <f t="shared" si="208"/>
        <v>0</v>
      </c>
      <c r="CZ656" s="744">
        <f t="shared" si="208"/>
        <v>0</v>
      </c>
      <c r="DA656" s="744">
        <f t="shared" si="208"/>
        <v>0</v>
      </c>
      <c r="DB656" s="744">
        <f t="shared" si="208"/>
        <v>0</v>
      </c>
      <c r="DC656" s="744">
        <f t="shared" si="208"/>
        <v>0</v>
      </c>
      <c r="DD656" s="744">
        <f t="shared" si="208"/>
        <v>0</v>
      </c>
      <c r="DE656" s="744">
        <f t="shared" si="208"/>
        <v>0</v>
      </c>
    </row>
    <row r="657" spans="84:109" ht="25.5" x14ac:dyDescent="0.2">
      <c r="CF657" s="735">
        <v>581</v>
      </c>
      <c r="CG657" s="736" t="str">
        <f>B205</f>
        <v>رسوم الماء وصرف الصحي 
 (Water and sewer fees)</v>
      </c>
      <c r="CH657" s="743">
        <f>F201</f>
        <v>-652213.4</v>
      </c>
      <c r="CI657" s="743">
        <f t="shared" ref="CI657:DE657" si="209">G201</f>
        <v>-652213.4</v>
      </c>
      <c r="CJ657" s="743">
        <f t="shared" si="209"/>
        <v>-652213.4</v>
      </c>
      <c r="CK657" s="743">
        <f t="shared" si="209"/>
        <v>-652213.4</v>
      </c>
      <c r="CL657" s="743">
        <f t="shared" si="209"/>
        <v>-652213.4</v>
      </c>
      <c r="CM657" s="743">
        <f t="shared" si="209"/>
        <v>-652213.4</v>
      </c>
      <c r="CN657" s="743">
        <f t="shared" si="209"/>
        <v>0</v>
      </c>
      <c r="CO657" s="743">
        <f t="shared" si="209"/>
        <v>0</v>
      </c>
      <c r="CP657" s="743">
        <f t="shared" si="209"/>
        <v>0</v>
      </c>
      <c r="CQ657" s="743">
        <f t="shared" si="209"/>
        <v>0</v>
      </c>
      <c r="CR657" s="743">
        <f t="shared" si="209"/>
        <v>0</v>
      </c>
      <c r="CS657" s="743">
        <f t="shared" si="209"/>
        <v>0</v>
      </c>
      <c r="CT657" s="743">
        <f t="shared" si="209"/>
        <v>0</v>
      </c>
      <c r="CU657" s="743">
        <f t="shared" si="209"/>
        <v>0</v>
      </c>
      <c r="CV657" s="743">
        <f t="shared" si="209"/>
        <v>0</v>
      </c>
      <c r="CW657" s="743">
        <f t="shared" si="209"/>
        <v>0</v>
      </c>
      <c r="CX657" s="743">
        <f t="shared" si="209"/>
        <v>0</v>
      </c>
      <c r="CY657" s="743">
        <f t="shared" si="209"/>
        <v>0</v>
      </c>
      <c r="CZ657" s="743">
        <f t="shared" si="209"/>
        <v>0</v>
      </c>
      <c r="DA657" s="743">
        <f t="shared" si="209"/>
        <v>0</v>
      </c>
      <c r="DB657" s="743">
        <f t="shared" si="209"/>
        <v>0</v>
      </c>
      <c r="DC657" s="743">
        <f t="shared" si="209"/>
        <v>0</v>
      </c>
      <c r="DD657" s="743">
        <f t="shared" si="209"/>
        <v>0</v>
      </c>
      <c r="DE657" s="743">
        <f t="shared" si="209"/>
        <v>0</v>
      </c>
    </row>
    <row r="658" spans="84:109" ht="25.5" x14ac:dyDescent="0.2">
      <c r="CF658" s="739">
        <v>582</v>
      </c>
      <c r="CG658" s="740" t="str">
        <f>B200</f>
        <v>الرخصة
 (License)</v>
      </c>
      <c r="CH658" s="744">
        <f>F196</f>
        <v>0</v>
      </c>
      <c r="CI658" s="744">
        <f t="shared" ref="CI658:DE658" si="210">G196</f>
        <v>0</v>
      </c>
      <c r="CJ658" s="744">
        <f t="shared" si="210"/>
        <v>0</v>
      </c>
      <c r="CK658" s="744">
        <f t="shared" si="210"/>
        <v>0</v>
      </c>
      <c r="CL658" s="744">
        <f t="shared" si="210"/>
        <v>0</v>
      </c>
      <c r="CM658" s="744">
        <f t="shared" si="210"/>
        <v>-5478592.5600000005</v>
      </c>
      <c r="CN658" s="744">
        <f t="shared" si="210"/>
        <v>-5478592.5600000005</v>
      </c>
      <c r="CO658" s="744">
        <f t="shared" si="210"/>
        <v>-5478592.5600000005</v>
      </c>
      <c r="CP658" s="744">
        <f t="shared" si="210"/>
        <v>-10174529.040000001</v>
      </c>
      <c r="CQ658" s="744">
        <f t="shared" si="210"/>
        <v>-10174529.040000001</v>
      </c>
      <c r="CR658" s="744">
        <f t="shared" si="210"/>
        <v>-10174529.040000001</v>
      </c>
      <c r="CS658" s="744">
        <f t="shared" si="210"/>
        <v>-9391872.959999999</v>
      </c>
      <c r="CT658" s="744">
        <f t="shared" si="210"/>
        <v>-5478592.5600000005</v>
      </c>
      <c r="CU658" s="744">
        <f t="shared" si="210"/>
        <v>-5478592.5600000005</v>
      </c>
      <c r="CV658" s="744">
        <f t="shared" si="210"/>
        <v>-5478592.5600000005</v>
      </c>
      <c r="CW658" s="744">
        <f t="shared" si="210"/>
        <v>-5478592.5600000005</v>
      </c>
      <c r="CX658" s="744">
        <f t="shared" si="210"/>
        <v>0</v>
      </c>
      <c r="CY658" s="744">
        <f t="shared" si="210"/>
        <v>0</v>
      </c>
      <c r="CZ658" s="744">
        <f t="shared" si="210"/>
        <v>0</v>
      </c>
      <c r="DA658" s="744">
        <f t="shared" si="210"/>
        <v>0</v>
      </c>
      <c r="DB658" s="744">
        <f t="shared" si="210"/>
        <v>0</v>
      </c>
      <c r="DC658" s="744">
        <f t="shared" si="210"/>
        <v>0</v>
      </c>
      <c r="DD658" s="744">
        <f t="shared" si="210"/>
        <v>0</v>
      </c>
      <c r="DE658" s="744">
        <f t="shared" si="210"/>
        <v>0</v>
      </c>
    </row>
    <row r="659" spans="84:109" ht="25.5" x14ac:dyDescent="0.2">
      <c r="CF659" s="735">
        <v>583</v>
      </c>
      <c r="CG659" s="736" t="s">
        <v>1788</v>
      </c>
      <c r="CH659" s="743">
        <f>SUM(F185:F188)</f>
        <v>0</v>
      </c>
      <c r="CI659" s="743">
        <f t="shared" ref="CI659:DE659" si="211">SUM(G185:G188)</f>
        <v>0</v>
      </c>
      <c r="CJ659" s="743">
        <f t="shared" si="211"/>
        <v>0</v>
      </c>
      <c r="CK659" s="743">
        <f t="shared" si="211"/>
        <v>0</v>
      </c>
      <c r="CL659" s="743">
        <f t="shared" si="211"/>
        <v>0</v>
      </c>
      <c r="CM659" s="743">
        <f t="shared" si="211"/>
        <v>0</v>
      </c>
      <c r="CN659" s="743">
        <f t="shared" si="211"/>
        <v>0</v>
      </c>
      <c r="CO659" s="743">
        <f t="shared" si="211"/>
        <v>0</v>
      </c>
      <c r="CP659" s="743">
        <f t="shared" si="211"/>
        <v>0</v>
      </c>
      <c r="CQ659" s="743">
        <f t="shared" si="211"/>
        <v>0</v>
      </c>
      <c r="CR659" s="743">
        <f t="shared" si="211"/>
        <v>0</v>
      </c>
      <c r="CS659" s="743">
        <f t="shared" si="211"/>
        <v>0</v>
      </c>
      <c r="CT659" s="743">
        <f t="shared" si="211"/>
        <v>0</v>
      </c>
      <c r="CU659" s="743">
        <f t="shared" si="211"/>
        <v>0</v>
      </c>
      <c r="CV659" s="743">
        <f t="shared" si="211"/>
        <v>0</v>
      </c>
      <c r="CW659" s="743">
        <f t="shared" si="211"/>
        <v>0</v>
      </c>
      <c r="CX659" s="743">
        <f t="shared" si="211"/>
        <v>5955952.7699999996</v>
      </c>
      <c r="CY659" s="743">
        <f t="shared" si="211"/>
        <v>5955952.7699999996</v>
      </c>
      <c r="CZ659" s="743">
        <f t="shared" si="211"/>
        <v>5955952.7699999996</v>
      </c>
      <c r="DA659" s="743">
        <f t="shared" si="211"/>
        <v>248827771.84499997</v>
      </c>
      <c r="DB659" s="743">
        <f t="shared" si="211"/>
        <v>0</v>
      </c>
      <c r="DC659" s="743">
        <f t="shared" si="211"/>
        <v>0</v>
      </c>
      <c r="DD659" s="743">
        <f t="shared" si="211"/>
        <v>0</v>
      </c>
      <c r="DE659" s="743">
        <f t="shared" si="211"/>
        <v>0</v>
      </c>
    </row>
    <row r="660" spans="84:109" ht="38.25" x14ac:dyDescent="0.2">
      <c r="CF660" s="739">
        <v>584</v>
      </c>
      <c r="CG660" s="740" t="str">
        <f>B195</f>
        <v>ضريبة التصرفات العقارية + السعي + ضريبة السعي 
-
(RETT + Commission + Commission tax)</v>
      </c>
      <c r="CH660" s="744">
        <f>F191</f>
        <v>0</v>
      </c>
      <c r="CI660" s="744">
        <f t="shared" ref="CI660:DE660" si="212">G191</f>
        <v>0</v>
      </c>
      <c r="CJ660" s="744">
        <f t="shared" si="212"/>
        <v>0</v>
      </c>
      <c r="CK660" s="744">
        <f t="shared" si="212"/>
        <v>0</v>
      </c>
      <c r="CL660" s="744">
        <f t="shared" si="212"/>
        <v>0</v>
      </c>
      <c r="CM660" s="744">
        <f t="shared" si="212"/>
        <v>0</v>
      </c>
      <c r="CN660" s="744">
        <f t="shared" si="212"/>
        <v>0</v>
      </c>
      <c r="CO660" s="744">
        <f t="shared" si="212"/>
        <v>0</v>
      </c>
      <c r="CP660" s="744">
        <f t="shared" si="212"/>
        <v>0</v>
      </c>
      <c r="CQ660" s="744">
        <f t="shared" si="212"/>
        <v>0</v>
      </c>
      <c r="CR660" s="744">
        <f t="shared" si="212"/>
        <v>0</v>
      </c>
      <c r="CS660" s="744">
        <f t="shared" si="212"/>
        <v>0</v>
      </c>
      <c r="CT660" s="744">
        <f t="shared" si="212"/>
        <v>0</v>
      </c>
      <c r="CU660" s="744">
        <f t="shared" si="212"/>
        <v>0</v>
      </c>
      <c r="CV660" s="744">
        <f t="shared" si="212"/>
        <v>0</v>
      </c>
      <c r="CW660" s="744">
        <f t="shared" si="212"/>
        <v>0</v>
      </c>
      <c r="CX660" s="744">
        <f t="shared" si="212"/>
        <v>0</v>
      </c>
      <c r="CY660" s="744">
        <f t="shared" si="212"/>
        <v>0</v>
      </c>
      <c r="CZ660" s="744">
        <f t="shared" si="212"/>
        <v>-2329872.8631211729</v>
      </c>
      <c r="DA660" s="744">
        <f t="shared" si="212"/>
        <v>-52022133.136878826</v>
      </c>
      <c r="DB660" s="744">
        <f t="shared" si="212"/>
        <v>0</v>
      </c>
      <c r="DC660" s="744">
        <f t="shared" si="212"/>
        <v>0</v>
      </c>
      <c r="DD660" s="744">
        <f t="shared" si="212"/>
        <v>0</v>
      </c>
      <c r="DE660" s="744">
        <f t="shared" si="212"/>
        <v>0</v>
      </c>
    </row>
    <row r="661" spans="84:109" ht="12.75" x14ac:dyDescent="0.2">
      <c r="CF661" s="735">
        <v>585</v>
      </c>
      <c r="CG661" s="754" t="s">
        <v>1789</v>
      </c>
      <c r="CH661" s="755">
        <f>SUM(F192:F216)</f>
        <v>-97189234.642500013</v>
      </c>
      <c r="CI661" s="755">
        <f t="shared" ref="CI661:DE661" si="213">SUM(G192:G216)</f>
        <v>-1316551.4125000001</v>
      </c>
      <c r="CJ661" s="755">
        <f t="shared" si="213"/>
        <v>-1719623.4124999999</v>
      </c>
      <c r="CK661" s="755">
        <f t="shared" si="213"/>
        <v>-2261671.4124999996</v>
      </c>
      <c r="CL661" s="755">
        <f t="shared" si="213"/>
        <v>-2266273.1724999999</v>
      </c>
      <c r="CM661" s="755">
        <f t="shared" si="213"/>
        <v>-7827467.3420200013</v>
      </c>
      <c r="CN661" s="755">
        <f t="shared" si="213"/>
        <v>-6633205.9420200009</v>
      </c>
      <c r="CO661" s="755">
        <f t="shared" si="213"/>
        <v>-7221828.0515200011</v>
      </c>
      <c r="CP661" s="755">
        <f t="shared" si="213"/>
        <v>-12658357.123680001</v>
      </c>
      <c r="CQ661" s="755">
        <f t="shared" si="213"/>
        <v>-12756735.923680002</v>
      </c>
      <c r="CR661" s="755">
        <f t="shared" si="213"/>
        <v>-12254837.923680002</v>
      </c>
      <c r="CS661" s="755">
        <f t="shared" si="213"/>
        <v>-11989376.27832</v>
      </c>
      <c r="CT661" s="755">
        <f t="shared" si="213"/>
        <v>-7528599.2515200004</v>
      </c>
      <c r="CU661" s="755">
        <f t="shared" si="213"/>
        <v>-7698153.0515200011</v>
      </c>
      <c r="CV661" s="755">
        <f t="shared" si="213"/>
        <v>-7302893.7791499998</v>
      </c>
      <c r="CW661" s="755">
        <f t="shared" si="213"/>
        <v>-9848193.3671499994</v>
      </c>
      <c r="CX661" s="755">
        <f t="shared" si="213"/>
        <v>-6487724.0364300003</v>
      </c>
      <c r="CY661" s="755">
        <f t="shared" si="213"/>
        <v>-6551427.8364300001</v>
      </c>
      <c r="CZ661" s="755">
        <f t="shared" si="213"/>
        <v>-2937241.1087999996</v>
      </c>
      <c r="DA661" s="755">
        <f t="shared" si="213"/>
        <v>-2819970.9290480381</v>
      </c>
      <c r="DB661" s="755">
        <f t="shared" si="213"/>
        <v>0</v>
      </c>
      <c r="DC661" s="755">
        <f t="shared" si="213"/>
        <v>0</v>
      </c>
      <c r="DD661" s="755">
        <f t="shared" si="213"/>
        <v>0</v>
      </c>
      <c r="DE661" s="755">
        <f t="shared" si="213"/>
        <v>0</v>
      </c>
    </row>
    <row r="662" spans="84:109" ht="12.75" x14ac:dyDescent="0.2">
      <c r="CF662" s="739">
        <v>586</v>
      </c>
      <c r="CG662" s="756" t="s">
        <v>429</v>
      </c>
      <c r="CH662" s="757">
        <f>F184</f>
        <v>0</v>
      </c>
      <c r="CI662" s="757">
        <f t="shared" ref="CI662:DE662" si="214">G184</f>
        <v>0</v>
      </c>
      <c r="CJ662" s="757">
        <f t="shared" si="214"/>
        <v>0</v>
      </c>
      <c r="CK662" s="757">
        <f t="shared" si="214"/>
        <v>0</v>
      </c>
      <c r="CL662" s="757">
        <f t="shared" si="214"/>
        <v>1304347.8260869568</v>
      </c>
      <c r="CM662" s="757">
        <f t="shared" si="214"/>
        <v>2305043.4782608701</v>
      </c>
      <c r="CN662" s="757">
        <f t="shared" si="214"/>
        <v>4166337.3913043486</v>
      </c>
      <c r="CO662" s="757">
        <f t="shared" si="214"/>
        <v>6497357.8434782634</v>
      </c>
      <c r="CP662" s="757">
        <f t="shared" si="214"/>
        <v>10376715.794086959</v>
      </c>
      <c r="CQ662" s="757">
        <f t="shared" si="214"/>
        <v>10609114.642518263</v>
      </c>
      <c r="CR662" s="757">
        <f t="shared" si="214"/>
        <v>6736823.7276020898</v>
      </c>
      <c r="CS662" s="757">
        <f t="shared" si="214"/>
        <v>3233675.3892490026</v>
      </c>
      <c r="CT662" s="757">
        <f t="shared" si="214"/>
        <v>993456.93903038744</v>
      </c>
      <c r="CU662" s="757">
        <f t="shared" si="214"/>
        <v>227111.80150492143</v>
      </c>
      <c r="CV662" s="757">
        <f t="shared" si="214"/>
        <v>34383.670413884582</v>
      </c>
      <c r="CW662" s="757">
        <f t="shared" si="214"/>
        <v>2588.0182031956069</v>
      </c>
      <c r="CX662" s="757">
        <f t="shared" si="214"/>
        <v>0</v>
      </c>
      <c r="CY662" s="757">
        <f t="shared" si="214"/>
        <v>0</v>
      </c>
      <c r="CZ662" s="757">
        <f t="shared" si="214"/>
        <v>0</v>
      </c>
      <c r="DA662" s="757">
        <f t="shared" si="214"/>
        <v>0</v>
      </c>
      <c r="DB662" s="757">
        <f t="shared" si="214"/>
        <v>0</v>
      </c>
      <c r="DC662" s="757">
        <f t="shared" si="214"/>
        <v>0</v>
      </c>
      <c r="DD662" s="757">
        <f t="shared" si="214"/>
        <v>0</v>
      </c>
      <c r="DE662" s="757">
        <f t="shared" si="214"/>
        <v>0</v>
      </c>
    </row>
    <row r="663" spans="84:109" ht="12.75" x14ac:dyDescent="0.2">
      <c r="CF663" s="735">
        <v>586</v>
      </c>
      <c r="CG663" s="754" t="s">
        <v>1790</v>
      </c>
      <c r="CH663" s="755">
        <f>SUM(F185:F188)</f>
        <v>0</v>
      </c>
      <c r="CI663" s="755">
        <f t="shared" ref="CI663:DE663" si="215">SUM(G185:G188)</f>
        <v>0</v>
      </c>
      <c r="CJ663" s="755">
        <f t="shared" si="215"/>
        <v>0</v>
      </c>
      <c r="CK663" s="755">
        <f t="shared" si="215"/>
        <v>0</v>
      </c>
      <c r="CL663" s="755">
        <f t="shared" si="215"/>
        <v>0</v>
      </c>
      <c r="CM663" s="755">
        <f t="shared" si="215"/>
        <v>0</v>
      </c>
      <c r="CN663" s="755">
        <f t="shared" si="215"/>
        <v>0</v>
      </c>
      <c r="CO663" s="755">
        <f t="shared" si="215"/>
        <v>0</v>
      </c>
      <c r="CP663" s="755">
        <f t="shared" si="215"/>
        <v>0</v>
      </c>
      <c r="CQ663" s="755">
        <f t="shared" si="215"/>
        <v>0</v>
      </c>
      <c r="CR663" s="755">
        <f t="shared" si="215"/>
        <v>0</v>
      </c>
      <c r="CS663" s="755">
        <f t="shared" si="215"/>
        <v>0</v>
      </c>
      <c r="CT663" s="755">
        <f t="shared" si="215"/>
        <v>0</v>
      </c>
      <c r="CU663" s="755">
        <f t="shared" si="215"/>
        <v>0</v>
      </c>
      <c r="CV663" s="755">
        <f t="shared" si="215"/>
        <v>0</v>
      </c>
      <c r="CW663" s="755">
        <f t="shared" si="215"/>
        <v>0</v>
      </c>
      <c r="CX663" s="755">
        <f t="shared" si="215"/>
        <v>5955952.7699999996</v>
      </c>
      <c r="CY663" s="755">
        <f t="shared" si="215"/>
        <v>5955952.7699999996</v>
      </c>
      <c r="CZ663" s="755">
        <f t="shared" si="215"/>
        <v>5955952.7699999996</v>
      </c>
      <c r="DA663" s="755">
        <f t="shared" si="215"/>
        <v>248827771.84499997</v>
      </c>
      <c r="DB663" s="755">
        <f t="shared" si="215"/>
        <v>0</v>
      </c>
      <c r="DC663" s="755">
        <f t="shared" si="215"/>
        <v>0</v>
      </c>
      <c r="DD663" s="755">
        <f t="shared" si="215"/>
        <v>0</v>
      </c>
      <c r="DE663" s="755">
        <f t="shared" si="215"/>
        <v>0</v>
      </c>
    </row>
  </sheetData>
  <sheetProtection formatCells="0" selectLockedCells="1"/>
  <mergeCells count="744">
    <mergeCell ref="B26:C26"/>
    <mergeCell ref="BV21:BW21"/>
    <mergeCell ref="BV20:BW20"/>
    <mergeCell ref="BV19:BW19"/>
    <mergeCell ref="B322:E323"/>
    <mergeCell ref="E324:E325"/>
    <mergeCell ref="D324:D325"/>
    <mergeCell ref="C324:C325"/>
    <mergeCell ref="B324:B325"/>
    <mergeCell ref="B301:C302"/>
    <mergeCell ref="B266:E267"/>
    <mergeCell ref="F324:I324"/>
    <mergeCell ref="J324:M324"/>
    <mergeCell ref="J296:J297"/>
    <mergeCell ref="M286:M287"/>
    <mergeCell ref="K286:K287"/>
    <mergeCell ref="K288:K289"/>
    <mergeCell ref="K296:K297"/>
    <mergeCell ref="M280:M281"/>
    <mergeCell ref="J288:J289"/>
    <mergeCell ref="I290:I291"/>
    <mergeCell ref="K280:K281"/>
    <mergeCell ref="L280:L281"/>
    <mergeCell ref="I282:I283"/>
    <mergeCell ref="N324:Q324"/>
    <mergeCell ref="R324:U324"/>
    <mergeCell ref="V324:Y324"/>
    <mergeCell ref="Z324:AC324"/>
    <mergeCell ref="F268:I268"/>
    <mergeCell ref="J268:M268"/>
    <mergeCell ref="N268:Q268"/>
    <mergeCell ref="R268:U268"/>
    <mergeCell ref="V268:Y268"/>
    <mergeCell ref="Z268:AC268"/>
    <mergeCell ref="O270:O271"/>
    <mergeCell ref="Q270:Q271"/>
    <mergeCell ref="Q274:Q275"/>
    <mergeCell ref="R278:R279"/>
    <mergeCell ref="P276:P277"/>
    <mergeCell ref="P274:P275"/>
    <mergeCell ref="O274:O275"/>
    <mergeCell ref="O278:O279"/>
    <mergeCell ref="R284:R285"/>
    <mergeCell ref="W276:W277"/>
    <mergeCell ref="R276:R277"/>
    <mergeCell ref="U270:U271"/>
    <mergeCell ref="R270:R271"/>
    <mergeCell ref="X280:X281"/>
    <mergeCell ref="B56:L57"/>
    <mergeCell ref="C105:D105"/>
    <mergeCell ref="B242:E243"/>
    <mergeCell ref="F242:I243"/>
    <mergeCell ref="K250:K251"/>
    <mergeCell ref="J250:J251"/>
    <mergeCell ref="I250:I251"/>
    <mergeCell ref="M225:M226"/>
    <mergeCell ref="O225:O226"/>
    <mergeCell ref="N225:N226"/>
    <mergeCell ref="H250:H251"/>
    <mergeCell ref="F244:F245"/>
    <mergeCell ref="B120:D120"/>
    <mergeCell ref="K223:K224"/>
    <mergeCell ref="C115:D115"/>
    <mergeCell ref="B165:B166"/>
    <mergeCell ref="B178:E178"/>
    <mergeCell ref="B222:D222"/>
    <mergeCell ref="C112:D112"/>
    <mergeCell ref="C113:D113"/>
    <mergeCell ref="C116:D116"/>
    <mergeCell ref="J165:M165"/>
    <mergeCell ref="L127:O127"/>
    <mergeCell ref="L225:L226"/>
    <mergeCell ref="M252:M253"/>
    <mergeCell ref="J242:M243"/>
    <mergeCell ref="O256:O257"/>
    <mergeCell ref="P252:P253"/>
    <mergeCell ref="O252:O253"/>
    <mergeCell ref="Q252:Q253"/>
    <mergeCell ref="Q244:Q245"/>
    <mergeCell ref="L250:L251"/>
    <mergeCell ref="J246:J247"/>
    <mergeCell ref="K246:K247"/>
    <mergeCell ref="L246:L247"/>
    <mergeCell ref="M246:M247"/>
    <mergeCell ref="M248:M249"/>
    <mergeCell ref="L248:L249"/>
    <mergeCell ref="P244:P245"/>
    <mergeCell ref="M244:M245"/>
    <mergeCell ref="M250:M251"/>
    <mergeCell ref="P254:P255"/>
    <mergeCell ref="O254:O255"/>
    <mergeCell ref="J252:J253"/>
    <mergeCell ref="N254:N255"/>
    <mergeCell ref="J256:J257"/>
    <mergeCell ref="M254:M255"/>
    <mergeCell ref="Y248:Y249"/>
    <mergeCell ref="X248:X249"/>
    <mergeCell ref="U246:U247"/>
    <mergeCell ref="V246:V247"/>
    <mergeCell ref="S248:S249"/>
    <mergeCell ref="V248:V249"/>
    <mergeCell ref="U248:U249"/>
    <mergeCell ref="N250:N251"/>
    <mergeCell ref="V250:V251"/>
    <mergeCell ref="Q248:Q249"/>
    <mergeCell ref="W250:W251"/>
    <mergeCell ref="T248:T249"/>
    <mergeCell ref="P250:P251"/>
    <mergeCell ref="N246:N247"/>
    <mergeCell ref="O246:O247"/>
    <mergeCell ref="P246:P247"/>
    <mergeCell ref="Q246:Q247"/>
    <mergeCell ref="S246:S247"/>
    <mergeCell ref="P248:P249"/>
    <mergeCell ref="R248:R249"/>
    <mergeCell ref="O250:O251"/>
    <mergeCell ref="X250:X251"/>
    <mergeCell ref="X246:X247"/>
    <mergeCell ref="Y256:Y257"/>
    <mergeCell ref="X256:X257"/>
    <mergeCell ref="X270:X271"/>
    <mergeCell ref="Y270:Y271"/>
    <mergeCell ref="V270:V271"/>
    <mergeCell ref="W256:W257"/>
    <mergeCell ref="X254:X255"/>
    <mergeCell ref="V256:V257"/>
    <mergeCell ref="Y254:Y255"/>
    <mergeCell ref="Y284:Y285"/>
    <mergeCell ref="Y282:Y283"/>
    <mergeCell ref="U284:U285"/>
    <mergeCell ref="T284:T285"/>
    <mergeCell ref="X284:X285"/>
    <mergeCell ref="X282:X283"/>
    <mergeCell ref="W284:W285"/>
    <mergeCell ref="Y276:Y277"/>
    <mergeCell ref="X278:X279"/>
    <mergeCell ref="Y278:Y279"/>
    <mergeCell ref="U276:U277"/>
    <mergeCell ref="W282:W283"/>
    <mergeCell ref="Y280:Y281"/>
    <mergeCell ref="W280:W281"/>
    <mergeCell ref="V280:V281"/>
    <mergeCell ref="V284:V285"/>
    <mergeCell ref="R292:R293"/>
    <mergeCell ref="R290:R291"/>
    <mergeCell ref="P270:P271"/>
    <mergeCell ref="U256:U257"/>
    <mergeCell ref="W270:W271"/>
    <mergeCell ref="Q254:Q255"/>
    <mergeCell ref="Q256:Q257"/>
    <mergeCell ref="T270:T271"/>
    <mergeCell ref="P256:P257"/>
    <mergeCell ref="S290:S291"/>
    <mergeCell ref="T290:T291"/>
    <mergeCell ref="U282:U283"/>
    <mergeCell ref="T282:T283"/>
    <mergeCell ref="S282:S283"/>
    <mergeCell ref="P280:P281"/>
    <mergeCell ref="P282:P283"/>
    <mergeCell ref="P284:P285"/>
    <mergeCell ref="R288:R289"/>
    <mergeCell ref="P288:P289"/>
    <mergeCell ref="P286:P287"/>
    <mergeCell ref="S286:S287"/>
    <mergeCell ref="Q290:Q291"/>
    <mergeCell ref="Q280:Q281"/>
    <mergeCell ref="S270:S271"/>
    <mergeCell ref="AA288:AA289"/>
    <mergeCell ref="Y286:Y287"/>
    <mergeCell ref="W286:W287"/>
    <mergeCell ref="U286:U287"/>
    <mergeCell ref="X288:X289"/>
    <mergeCell ref="Y288:Y289"/>
    <mergeCell ref="W292:W293"/>
    <mergeCell ref="W290:W291"/>
    <mergeCell ref="U290:U291"/>
    <mergeCell ref="V290:V291"/>
    <mergeCell ref="V288:V289"/>
    <mergeCell ref="AB288:AB289"/>
    <mergeCell ref="S288:S289"/>
    <mergeCell ref="T288:T289"/>
    <mergeCell ref="U288:U289"/>
    <mergeCell ref="X292:X293"/>
    <mergeCell ref="Z292:Z293"/>
    <mergeCell ref="AA292:AA293"/>
    <mergeCell ref="AB292:AB293"/>
    <mergeCell ref="AC296:AC297"/>
    <mergeCell ref="Z296:Z297"/>
    <mergeCell ref="AA296:AA297"/>
    <mergeCell ref="AB296:AB297"/>
    <mergeCell ref="U296:U297"/>
    <mergeCell ref="V296:V297"/>
    <mergeCell ref="W296:W297"/>
    <mergeCell ref="X296:X297"/>
    <mergeCell ref="Y296:Y297"/>
    <mergeCell ref="S294:S295"/>
    <mergeCell ref="T294:T295"/>
    <mergeCell ref="S292:S293"/>
    <mergeCell ref="Y290:Y291"/>
    <mergeCell ref="Y292:Y293"/>
    <mergeCell ref="X290:X291"/>
    <mergeCell ref="W288:W289"/>
    <mergeCell ref="L296:L297"/>
    <mergeCell ref="M296:M297"/>
    <mergeCell ref="N296:N297"/>
    <mergeCell ref="O296:O297"/>
    <mergeCell ref="P296:P297"/>
    <mergeCell ref="Q296:Q297"/>
    <mergeCell ref="R296:R297"/>
    <mergeCell ref="S296:S297"/>
    <mergeCell ref="T296:T297"/>
    <mergeCell ref="Y294:Y295"/>
    <mergeCell ref="U294:U295"/>
    <mergeCell ref="X294:X295"/>
    <mergeCell ref="V294:V295"/>
    <mergeCell ref="W294:W295"/>
    <mergeCell ref="X286:X287"/>
    <mergeCell ref="U292:U293"/>
    <mergeCell ref="N280:N281"/>
    <mergeCell ref="N278:N279"/>
    <mergeCell ref="R282:R283"/>
    <mergeCell ref="S278:S279"/>
    <mergeCell ref="O280:O281"/>
    <mergeCell ref="R286:R287"/>
    <mergeCell ref="Q286:Q287"/>
    <mergeCell ref="V292:V293"/>
    <mergeCell ref="U280:U281"/>
    <mergeCell ref="P292:P293"/>
    <mergeCell ref="T292:T293"/>
    <mergeCell ref="Q292:Q293"/>
    <mergeCell ref="P290:P291"/>
    <mergeCell ref="P278:P279"/>
    <mergeCell ref="Q294:Q295"/>
    <mergeCell ref="R294:R295"/>
    <mergeCell ref="P294:P295"/>
    <mergeCell ref="O294:O295"/>
    <mergeCell ref="L292:L293"/>
    <mergeCell ref="Q288:Q289"/>
    <mergeCell ref="W252:W253"/>
    <mergeCell ref="T272:T273"/>
    <mergeCell ref="T274:T275"/>
    <mergeCell ref="S274:S275"/>
    <mergeCell ref="V252:V253"/>
    <mergeCell ref="U252:U253"/>
    <mergeCell ref="T252:T253"/>
    <mergeCell ref="S252:S253"/>
    <mergeCell ref="W254:W255"/>
    <mergeCell ref="V254:V255"/>
    <mergeCell ref="U254:U255"/>
    <mergeCell ref="T254:T255"/>
    <mergeCell ref="S254:S255"/>
    <mergeCell ref="T256:T257"/>
    <mergeCell ref="S256:S257"/>
    <mergeCell ref="R254:R255"/>
    <mergeCell ref="V282:V283"/>
    <mergeCell ref="V286:V287"/>
    <mergeCell ref="S284:S285"/>
    <mergeCell ref="T286:T287"/>
    <mergeCell ref="V276:V277"/>
    <mergeCell ref="M274:M275"/>
    <mergeCell ref="N256:N257"/>
    <mergeCell ref="N274:N275"/>
    <mergeCell ref="N276:N277"/>
    <mergeCell ref="R272:R273"/>
    <mergeCell ref="S272:S273"/>
    <mergeCell ref="T276:T277"/>
    <mergeCell ref="R274:R275"/>
    <mergeCell ref="O284:O285"/>
    <mergeCell ref="O282:O283"/>
    <mergeCell ref="Q284:Q285"/>
    <mergeCell ref="Q282:Q283"/>
    <mergeCell ref="Q276:Q277"/>
    <mergeCell ref="S276:S277"/>
    <mergeCell ref="Q278:Q279"/>
    <mergeCell ref="R280:R281"/>
    <mergeCell ref="M278:M279"/>
    <mergeCell ref="O292:O293"/>
    <mergeCell ref="N288:N289"/>
    <mergeCell ref="O288:O289"/>
    <mergeCell ref="J276:J277"/>
    <mergeCell ref="L274:L275"/>
    <mergeCell ref="M276:M277"/>
    <mergeCell ref="M272:M273"/>
    <mergeCell ref="M256:M257"/>
    <mergeCell ref="M270:M271"/>
    <mergeCell ref="J272:J273"/>
    <mergeCell ref="O290:O291"/>
    <mergeCell ref="L290:L291"/>
    <mergeCell ref="M290:M291"/>
    <mergeCell ref="M284:M285"/>
    <mergeCell ref="O286:O287"/>
    <mergeCell ref="L288:L289"/>
    <mergeCell ref="J282:J283"/>
    <mergeCell ref="K276:K277"/>
    <mergeCell ref="N272:N273"/>
    <mergeCell ref="N270:N271"/>
    <mergeCell ref="L256:L257"/>
    <mergeCell ref="L270:L271"/>
    <mergeCell ref="K256:K257"/>
    <mergeCell ref="K274:K275"/>
    <mergeCell ref="H294:H295"/>
    <mergeCell ref="I294:I295"/>
    <mergeCell ref="J294:J295"/>
    <mergeCell ref="K292:K293"/>
    <mergeCell ref="J290:J291"/>
    <mergeCell ref="N294:N295"/>
    <mergeCell ref="N284:N285"/>
    <mergeCell ref="N282:N283"/>
    <mergeCell ref="M294:M295"/>
    <mergeCell ref="N292:N293"/>
    <mergeCell ref="N290:N291"/>
    <mergeCell ref="J286:J287"/>
    <mergeCell ref="K290:K291"/>
    <mergeCell ref="J292:J293"/>
    <mergeCell ref="K294:K295"/>
    <mergeCell ref="L294:L295"/>
    <mergeCell ref="M292:M293"/>
    <mergeCell ref="N286:N287"/>
    <mergeCell ref="K284:K285"/>
    <mergeCell ref="M288:M289"/>
    <mergeCell ref="L284:L285"/>
    <mergeCell ref="M282:M283"/>
    <mergeCell ref="L286:L287"/>
    <mergeCell ref="I284:I285"/>
    <mergeCell ref="E288:E289"/>
    <mergeCell ref="G292:G293"/>
    <mergeCell ref="F292:F293"/>
    <mergeCell ref="H282:H283"/>
    <mergeCell ref="K282:K283"/>
    <mergeCell ref="L282:L283"/>
    <mergeCell ref="J284:J285"/>
    <mergeCell ref="H290:H291"/>
    <mergeCell ref="I292:I293"/>
    <mergeCell ref="H292:H293"/>
    <mergeCell ref="F284:F285"/>
    <mergeCell ref="F282:F283"/>
    <mergeCell ref="G284:G285"/>
    <mergeCell ref="G282:G283"/>
    <mergeCell ref="G296:G297"/>
    <mergeCell ref="B290:C291"/>
    <mergeCell ref="E290:E291"/>
    <mergeCell ref="B296:C297"/>
    <mergeCell ref="E292:E293"/>
    <mergeCell ref="D290:D291"/>
    <mergeCell ref="D292:D293"/>
    <mergeCell ref="B292:C293"/>
    <mergeCell ref="D296:D297"/>
    <mergeCell ref="E296:E297"/>
    <mergeCell ref="B294:C295"/>
    <mergeCell ref="D294:D295"/>
    <mergeCell ref="E294:E295"/>
    <mergeCell ref="F294:F295"/>
    <mergeCell ref="G294:G295"/>
    <mergeCell ref="H296:H297"/>
    <mergeCell ref="I296:I297"/>
    <mergeCell ref="F296:F297"/>
    <mergeCell ref="F290:F291"/>
    <mergeCell ref="G290:G291"/>
    <mergeCell ref="B282:C283"/>
    <mergeCell ref="B288:C289"/>
    <mergeCell ref="G288:G289"/>
    <mergeCell ref="H288:H289"/>
    <mergeCell ref="I288:I289"/>
    <mergeCell ref="F288:F289"/>
    <mergeCell ref="F286:F287"/>
    <mergeCell ref="I286:I287"/>
    <mergeCell ref="G286:G287"/>
    <mergeCell ref="B284:C285"/>
    <mergeCell ref="H286:H287"/>
    <mergeCell ref="D288:D289"/>
    <mergeCell ref="D286:D287"/>
    <mergeCell ref="D282:D283"/>
    <mergeCell ref="D284:D285"/>
    <mergeCell ref="H284:H285"/>
    <mergeCell ref="E286:E287"/>
    <mergeCell ref="E284:E285"/>
    <mergeCell ref="E282:E283"/>
    <mergeCell ref="B286:C287"/>
    <mergeCell ref="L278:L279"/>
    <mergeCell ref="F276:F277"/>
    <mergeCell ref="H276:H277"/>
    <mergeCell ref="I276:I277"/>
    <mergeCell ref="H274:H275"/>
    <mergeCell ref="F274:F275"/>
    <mergeCell ref="L276:L277"/>
    <mergeCell ref="E280:E281"/>
    <mergeCell ref="K278:K279"/>
    <mergeCell ref="H280:H281"/>
    <mergeCell ref="J278:J279"/>
    <mergeCell ref="F280:F281"/>
    <mergeCell ref="E278:E279"/>
    <mergeCell ref="I280:I281"/>
    <mergeCell ref="J280:J281"/>
    <mergeCell ref="I278:I279"/>
    <mergeCell ref="G280:G281"/>
    <mergeCell ref="G278:G279"/>
    <mergeCell ref="H278:H279"/>
    <mergeCell ref="B274:C275"/>
    <mergeCell ref="I274:I275"/>
    <mergeCell ref="B280:C281"/>
    <mergeCell ref="D280:D281"/>
    <mergeCell ref="I256:I257"/>
    <mergeCell ref="B268:C269"/>
    <mergeCell ref="H270:H271"/>
    <mergeCell ref="G256:G257"/>
    <mergeCell ref="I270:I271"/>
    <mergeCell ref="B278:C279"/>
    <mergeCell ref="B276:C277"/>
    <mergeCell ref="E274:E275"/>
    <mergeCell ref="L272:L273"/>
    <mergeCell ref="K272:K273"/>
    <mergeCell ref="K270:K271"/>
    <mergeCell ref="D268:D269"/>
    <mergeCell ref="H256:H257"/>
    <mergeCell ref="H272:H273"/>
    <mergeCell ref="D278:D279"/>
    <mergeCell ref="E276:E277"/>
    <mergeCell ref="D274:D275"/>
    <mergeCell ref="J274:J275"/>
    <mergeCell ref="E270:E271"/>
    <mergeCell ref="G272:G273"/>
    <mergeCell ref="G274:G275"/>
    <mergeCell ref="F278:F279"/>
    <mergeCell ref="J270:J271"/>
    <mergeCell ref="I272:I273"/>
    <mergeCell ref="F270:F271"/>
    <mergeCell ref="G270:G271"/>
    <mergeCell ref="F256:F257"/>
    <mergeCell ref="B256:E257"/>
    <mergeCell ref="G276:G277"/>
    <mergeCell ref="E268:E269"/>
    <mergeCell ref="B270:C271"/>
    <mergeCell ref="D270:D271"/>
    <mergeCell ref="E272:E273"/>
    <mergeCell ref="B272:C273"/>
    <mergeCell ref="D272:D273"/>
    <mergeCell ref="F272:F273"/>
    <mergeCell ref="D276:D277"/>
    <mergeCell ref="G252:G253"/>
    <mergeCell ref="F252:F253"/>
    <mergeCell ref="I248:I249"/>
    <mergeCell ref="G254:G255"/>
    <mergeCell ref="F254:F255"/>
    <mergeCell ref="I254:I255"/>
    <mergeCell ref="I252:I253"/>
    <mergeCell ref="B246:E247"/>
    <mergeCell ref="B248:E249"/>
    <mergeCell ref="B254:E255"/>
    <mergeCell ref="B250:E251"/>
    <mergeCell ref="G250:G251"/>
    <mergeCell ref="B252:E253"/>
    <mergeCell ref="F250:F251"/>
    <mergeCell ref="F246:F247"/>
    <mergeCell ref="G246:G247"/>
    <mergeCell ref="K225:K226"/>
    <mergeCell ref="J225:J226"/>
    <mergeCell ref="K248:K249"/>
    <mergeCell ref="K244:K245"/>
    <mergeCell ref="L244:L245"/>
    <mergeCell ref="H246:H247"/>
    <mergeCell ref="I246:I247"/>
    <mergeCell ref="B244:E245"/>
    <mergeCell ref="G248:G249"/>
    <mergeCell ref="J248:J249"/>
    <mergeCell ref="G244:G245"/>
    <mergeCell ref="H244:H245"/>
    <mergeCell ref="I244:I245"/>
    <mergeCell ref="J244:J245"/>
    <mergeCell ref="H248:H249"/>
    <mergeCell ref="F248:F249"/>
    <mergeCell ref="J239:M239"/>
    <mergeCell ref="F239:I239"/>
    <mergeCell ref="Z225:Z226"/>
    <mergeCell ref="Y225:Y226"/>
    <mergeCell ref="Z242:AC243"/>
    <mergeCell ref="R225:R226"/>
    <mergeCell ref="AC223:AC224"/>
    <mergeCell ref="AA223:AA224"/>
    <mergeCell ref="Z239:AC239"/>
    <mergeCell ref="Q225:Q226"/>
    <mergeCell ref="H254:H255"/>
    <mergeCell ref="H252:H253"/>
    <mergeCell ref="L252:L253"/>
    <mergeCell ref="K252:K253"/>
    <mergeCell ref="J254:J255"/>
    <mergeCell ref="L254:L255"/>
    <mergeCell ref="K254:K255"/>
    <mergeCell ref="Y252:Y253"/>
    <mergeCell ref="X252:X253"/>
    <mergeCell ref="N252:N253"/>
    <mergeCell ref="Q250:Q251"/>
    <mergeCell ref="R252:R253"/>
    <mergeCell ref="N244:N245"/>
    <mergeCell ref="N242:Q243"/>
    <mergeCell ref="O248:O249"/>
    <mergeCell ref="O244:O245"/>
    <mergeCell ref="Z165:AC165"/>
    <mergeCell ref="AB225:AB226"/>
    <mergeCell ref="V223:V224"/>
    <mergeCell ref="Q145:AC145"/>
    <mergeCell ref="AB248:AB249"/>
    <mergeCell ref="Z223:Z224"/>
    <mergeCell ref="W223:W224"/>
    <mergeCell ref="X223:X224"/>
    <mergeCell ref="Y223:Y224"/>
    <mergeCell ref="X225:X226"/>
    <mergeCell ref="Z246:Z247"/>
    <mergeCell ref="Y244:Y245"/>
    <mergeCell ref="V242:Y243"/>
    <mergeCell ref="Y246:Y247"/>
    <mergeCell ref="W246:W247"/>
    <mergeCell ref="V239:Y239"/>
    <mergeCell ref="AB223:AB224"/>
    <mergeCell ref="AC225:AC226"/>
    <mergeCell ref="T246:T247"/>
    <mergeCell ref="W244:W245"/>
    <mergeCell ref="Z244:Z245"/>
    <mergeCell ref="AA244:AA245"/>
    <mergeCell ref="AB244:AB245"/>
    <mergeCell ref="AA225:AA226"/>
    <mergeCell ref="AC244:AC245"/>
    <mergeCell ref="Z250:Z251"/>
    <mergeCell ref="AA250:AA251"/>
    <mergeCell ref="R239:U239"/>
    <mergeCell ref="N239:Q239"/>
    <mergeCell ref="AB250:AB251"/>
    <mergeCell ref="AC250:AC251"/>
    <mergeCell ref="AC248:AC249"/>
    <mergeCell ref="Y250:Y251"/>
    <mergeCell ref="W248:W249"/>
    <mergeCell ref="AB246:AB247"/>
    <mergeCell ref="AC246:AC247"/>
    <mergeCell ref="X244:X245"/>
    <mergeCell ref="R244:R245"/>
    <mergeCell ref="S244:S245"/>
    <mergeCell ref="T244:T245"/>
    <mergeCell ref="U244:U245"/>
    <mergeCell ref="V244:V245"/>
    <mergeCell ref="R250:R251"/>
    <mergeCell ref="Z248:Z249"/>
    <mergeCell ref="AA248:AA249"/>
    <mergeCell ref="AA246:AA247"/>
    <mergeCell ref="N248:N249"/>
    <mergeCell ref="R246:R247"/>
    <mergeCell ref="AC286:AC287"/>
    <mergeCell ref="Z290:Z291"/>
    <mergeCell ref="AA290:AA291"/>
    <mergeCell ref="AB290:AB291"/>
    <mergeCell ref="AC290:AC291"/>
    <mergeCell ref="AC292:AC293"/>
    <mergeCell ref="Z288:Z289"/>
    <mergeCell ref="Q127:AC127"/>
    <mergeCell ref="N165:Q165"/>
    <mergeCell ref="U250:U251"/>
    <mergeCell ref="T250:T251"/>
    <mergeCell ref="S250:S251"/>
    <mergeCell ref="Q223:Q224"/>
    <mergeCell ref="R165:U165"/>
    <mergeCell ref="U223:U224"/>
    <mergeCell ref="O276:O277"/>
    <mergeCell ref="O272:O273"/>
    <mergeCell ref="S280:S281"/>
    <mergeCell ref="T280:T281"/>
    <mergeCell ref="R256:R257"/>
    <mergeCell ref="P272:P273"/>
    <mergeCell ref="Q272:Q273"/>
    <mergeCell ref="T278:T279"/>
    <mergeCell ref="U278:U279"/>
    <mergeCell ref="AB278:AB279"/>
    <mergeCell ref="AC278:AC279"/>
    <mergeCell ref="AA274:AA275"/>
    <mergeCell ref="AB274:AB275"/>
    <mergeCell ref="AC274:AC275"/>
    <mergeCell ref="AB254:AB255"/>
    <mergeCell ref="AC254:AC255"/>
    <mergeCell ref="Z252:Z253"/>
    <mergeCell ref="AA294:AA295"/>
    <mergeCell ref="AB294:AB295"/>
    <mergeCell ref="AC294:AC295"/>
    <mergeCell ref="Z294:Z295"/>
    <mergeCell ref="AC284:AC285"/>
    <mergeCell ref="AC282:AC283"/>
    <mergeCell ref="AB284:AB285"/>
    <mergeCell ref="AB282:AB283"/>
    <mergeCell ref="AA284:AA285"/>
    <mergeCell ref="AA282:AA283"/>
    <mergeCell ref="Z284:Z285"/>
    <mergeCell ref="Z282:Z283"/>
    <mergeCell ref="AC288:AC289"/>
    <mergeCell ref="Z286:Z287"/>
    <mergeCell ref="AA286:AA287"/>
    <mergeCell ref="AB286:AB287"/>
    <mergeCell ref="Z256:Z257"/>
    <mergeCell ref="AA256:AA257"/>
    <mergeCell ref="AA252:AA253"/>
    <mergeCell ref="AB280:AB281"/>
    <mergeCell ref="AC280:AC281"/>
    <mergeCell ref="Z276:Z277"/>
    <mergeCell ref="AA276:AA277"/>
    <mergeCell ref="Z274:Z275"/>
    <mergeCell ref="AB270:AB271"/>
    <mergeCell ref="AC270:AC271"/>
    <mergeCell ref="AB272:AB273"/>
    <mergeCell ref="AC272:AC273"/>
    <mergeCell ref="Z270:Z271"/>
    <mergeCell ref="AA270:AA271"/>
    <mergeCell ref="Z280:Z281"/>
    <mergeCell ref="AA280:AA281"/>
    <mergeCell ref="AB252:AB253"/>
    <mergeCell ref="AC252:AC253"/>
    <mergeCell ref="Z254:Z255"/>
    <mergeCell ref="AA254:AA255"/>
    <mergeCell ref="AB256:AB257"/>
    <mergeCell ref="AC256:AC257"/>
    <mergeCell ref="AB276:AB277"/>
    <mergeCell ref="AC276:AC277"/>
    <mergeCell ref="Z272:Z273"/>
    <mergeCell ref="AA272:AA273"/>
    <mergeCell ref="Y274:Y275"/>
    <mergeCell ref="X274:X275"/>
    <mergeCell ref="W274:W275"/>
    <mergeCell ref="U274:U275"/>
    <mergeCell ref="V278:V279"/>
    <mergeCell ref="X276:X277"/>
    <mergeCell ref="U272:U273"/>
    <mergeCell ref="W278:W279"/>
    <mergeCell ref="V274:V275"/>
    <mergeCell ref="Z278:Z279"/>
    <mergeCell ref="AA278:AA279"/>
    <mergeCell ref="W272:W273"/>
    <mergeCell ref="Y272:Y273"/>
    <mergeCell ref="X272:X273"/>
    <mergeCell ref="V272:V273"/>
    <mergeCell ref="V165:Y165"/>
    <mergeCell ref="W225:W226"/>
    <mergeCell ref="V225:V226"/>
    <mergeCell ref="U225:U226"/>
    <mergeCell ref="T225:T226"/>
    <mergeCell ref="S225:S226"/>
    <mergeCell ref="R242:U243"/>
    <mergeCell ref="P223:P224"/>
    <mergeCell ref="R223:R224"/>
    <mergeCell ref="S223:S224"/>
    <mergeCell ref="T223:T224"/>
    <mergeCell ref="P225:P226"/>
    <mergeCell ref="N223:N224"/>
    <mergeCell ref="O223:O224"/>
    <mergeCell ref="F165:I165"/>
    <mergeCell ref="C223:D223"/>
    <mergeCell ref="C224:D224"/>
    <mergeCell ref="G223:G224"/>
    <mergeCell ref="I223:I224"/>
    <mergeCell ref="J223:J224"/>
    <mergeCell ref="B145:M145"/>
    <mergeCell ref="B177:D177"/>
    <mergeCell ref="H223:H224"/>
    <mergeCell ref="L223:L224"/>
    <mergeCell ref="M223:M224"/>
    <mergeCell ref="F223:F224"/>
    <mergeCell ref="B84:D84"/>
    <mergeCell ref="C102:D102"/>
    <mergeCell ref="B103:D103"/>
    <mergeCell ref="C107:D107"/>
    <mergeCell ref="C225:D225"/>
    <mergeCell ref="C226:D226"/>
    <mergeCell ref="B239:E241"/>
    <mergeCell ref="C106:D106"/>
    <mergeCell ref="B117:D117"/>
    <mergeCell ref="C165:E165"/>
    <mergeCell ref="B108:D108"/>
    <mergeCell ref="C109:D109"/>
    <mergeCell ref="B127:J127"/>
    <mergeCell ref="C118:D118"/>
    <mergeCell ref="B237:E238"/>
    <mergeCell ref="B163:E164"/>
    <mergeCell ref="F225:F226"/>
    <mergeCell ref="I225:I226"/>
    <mergeCell ref="H225:H226"/>
    <mergeCell ref="G225:G226"/>
    <mergeCell ref="C114:D114"/>
    <mergeCell ref="G32:I32"/>
    <mergeCell ref="BH42:BJ42"/>
    <mergeCell ref="BH19:BJ19"/>
    <mergeCell ref="BH25:BJ25"/>
    <mergeCell ref="BI20:BJ20"/>
    <mergeCell ref="BI23:BJ23"/>
    <mergeCell ref="BI39:BJ39"/>
    <mergeCell ref="BI38:BJ38"/>
    <mergeCell ref="BI37:BJ37"/>
    <mergeCell ref="BI40:BJ40"/>
    <mergeCell ref="BH35:BJ35"/>
    <mergeCell ref="BI34:BJ34"/>
    <mergeCell ref="BI32:BJ32"/>
    <mergeCell ref="BI30:BJ30"/>
    <mergeCell ref="BH26:BH30"/>
    <mergeCell ref="I26:I27"/>
    <mergeCell ref="AP16:AQ16"/>
    <mergeCell ref="K58:K59"/>
    <mergeCell ref="L58:L59"/>
    <mergeCell ref="AE2:BD2"/>
    <mergeCell ref="AE20:BD20"/>
    <mergeCell ref="C32:C33"/>
    <mergeCell ref="I45:J45"/>
    <mergeCell ref="I46:J46"/>
    <mergeCell ref="I47:J47"/>
    <mergeCell ref="I48:J48"/>
    <mergeCell ref="B42:L42"/>
    <mergeCell ref="I43:J43"/>
    <mergeCell ref="I44:J44"/>
    <mergeCell ref="H35:I35"/>
    <mergeCell ref="H34:I34"/>
    <mergeCell ref="C34:C35"/>
    <mergeCell ref="B34:B35"/>
    <mergeCell ref="B32:B33"/>
    <mergeCell ref="B15:C15"/>
    <mergeCell ref="G18:I18"/>
    <mergeCell ref="G16:I16"/>
    <mergeCell ref="G25:I25"/>
    <mergeCell ref="G26:G27"/>
    <mergeCell ref="H26:H27"/>
    <mergeCell ref="B341:H342"/>
    <mergeCell ref="BI7:BJ7"/>
    <mergeCell ref="BI6:BJ6"/>
    <mergeCell ref="BQ2:BS2"/>
    <mergeCell ref="BN2:BP2"/>
    <mergeCell ref="BH5:BJ5"/>
    <mergeCell ref="BH2:BJ4"/>
    <mergeCell ref="BL2:BL5"/>
    <mergeCell ref="B331:D331"/>
    <mergeCell ref="AP51:AQ51"/>
    <mergeCell ref="AP50:AQ50"/>
    <mergeCell ref="AP33:AQ33"/>
    <mergeCell ref="AP32:AQ32"/>
    <mergeCell ref="AP15:AQ15"/>
    <mergeCell ref="AP14:AQ14"/>
    <mergeCell ref="AE38:BD38"/>
    <mergeCell ref="I49:J49"/>
    <mergeCell ref="C111:D111"/>
    <mergeCell ref="G28:I28"/>
    <mergeCell ref="C30:C31"/>
    <mergeCell ref="B30:B31"/>
    <mergeCell ref="C28:C29"/>
    <mergeCell ref="B28:B29"/>
    <mergeCell ref="C110:D110"/>
  </mergeCells>
  <phoneticPr fontId="55" type="noConversion"/>
  <conditionalFormatting sqref="B44:B48 D44:L48">
    <cfRule type="expression" dxfId="56" priority="11">
      <formula>$C44=0</formula>
    </cfRule>
  </conditionalFormatting>
  <conditionalFormatting sqref="B59:C59">
    <cfRule type="expression" dxfId="55" priority="8">
      <formula>$C59=0</formula>
    </cfRule>
  </conditionalFormatting>
  <conditionalFormatting sqref="B86:C101 E86:E101">
    <cfRule type="expression" dxfId="54" priority="15">
      <formula>$D86=0</formula>
    </cfRule>
  </conditionalFormatting>
  <conditionalFormatting sqref="B268:C269">
    <cfRule type="cellIs" dxfId="53" priority="51" operator="greaterThan">
      <formula>0</formula>
    </cfRule>
    <cfRule type="dataBar" priority="71">
      <dataBar>
        <cfvo type="num" val="$R$139"/>
        <cfvo type="num" val="0"/>
        <color rgb="FFF0EAE4"/>
      </dataBar>
      <extLst>
        <ext xmlns:x14="http://schemas.microsoft.com/office/spreadsheetml/2009/9/main" uri="{B025F937-C7B1-47D3-B67F-A62EFF666E3E}">
          <x14:id>{52D739D3-4CB8-48B3-B24F-96557B44A07A}</x14:id>
        </ext>
      </extLst>
    </cfRule>
  </conditionalFormatting>
  <conditionalFormatting sqref="B147:D156 F147:M156">
    <cfRule type="expression" dxfId="52" priority="22">
      <formula>$E147=0</formula>
    </cfRule>
  </conditionalFormatting>
  <conditionalFormatting sqref="B129:G138 I129:J138">
    <cfRule type="expression" dxfId="51" priority="17">
      <formula>$H129=0</formula>
    </cfRule>
  </conditionalFormatting>
  <conditionalFormatting sqref="B59:J59">
    <cfRule type="expression" dxfId="50" priority="9">
      <formula>OR(AND(ISNUMBER(B59), ABS(B59) &lt; 0.0000001), B59="0", B59="0.00%")</formula>
    </cfRule>
  </conditionalFormatting>
  <conditionalFormatting sqref="C25 C28:C35 C223:D226">
    <cfRule type="cellIs" dxfId="49" priority="10" operator="lessThan">
      <formula>0</formula>
    </cfRule>
  </conditionalFormatting>
  <conditionalFormatting sqref="C71">
    <cfRule type="cellIs" dxfId="48" priority="12" operator="lessThan">
      <formula>-0.0001</formula>
    </cfRule>
  </conditionalFormatting>
  <conditionalFormatting sqref="F326:AC331">
    <cfRule type="expression" dxfId="47" priority="3">
      <formula>OR(AND(ISNUMBER(F326), ABS(F326) &lt; 0.0000001), F326="0", F326="0.00%")</formula>
    </cfRule>
  </conditionalFormatting>
  <conditionalFormatting sqref="H35:I35">
    <cfRule type="cellIs" dxfId="46" priority="26" operator="greaterThan">
      <formula>1</formula>
    </cfRule>
  </conditionalFormatting>
  <conditionalFormatting sqref="I33">
    <cfRule type="containsText" dxfId="45" priority="4" operator="containsText" text="TRUE">
      <formula>NOT(ISERROR(SEARCH("TRUE",I33)))</formula>
    </cfRule>
  </conditionalFormatting>
  <conditionalFormatting sqref="L29:L30">
    <cfRule type="cellIs" dxfId="44" priority="25" operator="equal">
      <formula>0</formula>
    </cfRule>
  </conditionalFormatting>
  <conditionalFormatting sqref="L129:M138">
    <cfRule type="expression" dxfId="43" priority="18">
      <formula>$O129=0</formula>
    </cfRule>
  </conditionalFormatting>
  <conditionalFormatting sqref="Q129:Q138 S129:AC138">
    <cfRule type="expression" dxfId="42" priority="19">
      <formula>$R129=0</formula>
    </cfRule>
  </conditionalFormatting>
  <conditionalFormatting sqref="Q147:T156 V147:AC156">
    <cfRule type="expression" dxfId="41" priority="20">
      <formula>$U147=0</formula>
    </cfRule>
  </conditionalFormatting>
  <conditionalFormatting sqref="AE4:AQ13">
    <cfRule type="expression" dxfId="40" priority="58">
      <formula>OR(AND(ISNUMBER(AE4), ABS(AE4) &lt; 0.0000001), AE4="0", AE4="0.00%")</formula>
    </cfRule>
  </conditionalFormatting>
  <conditionalFormatting sqref="AE40:AZ49">
    <cfRule type="expression" dxfId="39" priority="105">
      <formula>OR(AND(ISNUMBER(AE40), ABS(AE40) &lt; 0.0000001), AE40="0", AE40="0.00%")</formula>
    </cfRule>
  </conditionalFormatting>
  <conditionalFormatting sqref="AF22:AQ31">
    <cfRule type="expression" dxfId="38" priority="54">
      <formula>OR(AND(ISNUMBER(AF22), ABS(AF22) &lt; 0.0000001), AF22="0", AF22="0.00%")</formula>
    </cfRule>
  </conditionalFormatting>
  <conditionalFormatting sqref="AF15:BD15 AF33:BD33 AF51:BD51">
    <cfRule type="containsText" dxfId="37" priority="5" operator="containsText" text="FALSE">
      <formula>NOT(ISERROR(SEARCH("FALSE",AF15)))</formula>
    </cfRule>
    <cfRule type="containsText" dxfId="36" priority="6" operator="containsText" text="TRUE">
      <formula>NOT(ISERROR(SEARCH("TRUE",AF15)))</formula>
    </cfRule>
  </conditionalFormatting>
  <conditionalFormatting sqref="AO50:AP51 AR50:AZ51">
    <cfRule type="expression" dxfId="35" priority="109">
      <formula>OR(AND(ISNUMBER(AO50), ABS(AO50) &lt; 0.0000001), AO50="0", AO50="0.00%")</formula>
    </cfRule>
  </conditionalFormatting>
  <conditionalFormatting sqref="AR22:BA31 AO21:BA21">
    <cfRule type="expression" dxfId="34" priority="79">
      <formula>OR(AND(ISNUMBER(AO21), ABS(AO21) &lt; 0.0000001), AO21="0", AO21="0.00%")</formula>
    </cfRule>
  </conditionalFormatting>
  <conditionalFormatting sqref="AR4:BC15">
    <cfRule type="expression" dxfId="33" priority="116">
      <formula>OR(AND(ISNUMBER(AR4), ABS(AR4) &lt; 0.0000001), AR4="0", AR4="0.00%")</formula>
    </cfRule>
  </conditionalFormatting>
  <conditionalFormatting sqref="AY4:AY13 AY22:AY31 AY40:AY49">
    <cfRule type="containsText" dxfId="32" priority="50" operator="containsText" text="0.00">
      <formula>NOT(ISERROR(SEARCH("0.00",AY4)))</formula>
    </cfRule>
  </conditionalFormatting>
  <conditionalFormatting sqref="BA4:BA13 BA22:BA31 BA40:BA49">
    <cfRule type="containsText" dxfId="31" priority="75" operator="containsText" text="0.00">
      <formula>NOT(ISERROR(SEARCH("0.00",BA4)))</formula>
    </cfRule>
    <cfRule type="cellIs" dxfId="30" priority="76" operator="equal">
      <formula>0</formula>
    </cfRule>
    <cfRule type="cellIs" dxfId="29" priority="77" operator="lessThan">
      <formula>1</formula>
    </cfRule>
    <cfRule type="cellIs" dxfId="28" priority="78" operator="greaterThan">
      <formula>1</formula>
    </cfRule>
  </conditionalFormatting>
  <conditionalFormatting sqref="BA40:BD51">
    <cfRule type="expression" dxfId="27" priority="82">
      <formula>OR(AND(ISNUMBER(BA40), ABS(BA40) &lt; 0.0000001), BA40="0", BA40="0.00%")</formula>
    </cfRule>
  </conditionalFormatting>
  <conditionalFormatting sqref="BB22:BC33">
    <cfRule type="expression" dxfId="26" priority="91">
      <formula>OR(AND(ISNUMBER(BB22), ABS(BB22) &lt; 0.0000001), BB22="0", BB22="0.00%")</formula>
    </cfRule>
  </conditionalFormatting>
  <conditionalFormatting sqref="BB4:BD14 BB22:BD32 BB40:BD50">
    <cfRule type="cellIs" dxfId="25" priority="7" operator="lessThan">
      <formula>0</formula>
    </cfRule>
  </conditionalFormatting>
  <conditionalFormatting sqref="BD4:BD16 BD21:BD31 AO14:AP16 AP18:BA18 AP19:BB19 L60">
    <cfRule type="expression" dxfId="24" priority="153">
      <formula>OR(AND(ISNUMBER(L4), ABS(L4) &lt; 0.0000001), L4="0", L4="0.00%")</formula>
    </cfRule>
  </conditionalFormatting>
  <conditionalFormatting sqref="BN3:BS13">
    <cfRule type="expression" dxfId="23" priority="94">
      <formula>OR(AND(ISNUMBER(BN3), ABS(BN3) &lt; 0.0000001), BN3="0", BN3="0.00%")</formula>
    </cfRule>
  </conditionalFormatting>
  <conditionalFormatting sqref="BV10:CB17">
    <cfRule type="expression" dxfId="22" priority="60">
      <formula>OR(AND(ISNUMBER(BV10), ABS(BV10) &lt; 0.0000001), BV10="0", BV10="0.00%")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52D739D3-4CB8-48B3-B24F-96557B44A07A}">
            <x14:dataBar minLength="0" maxLength="100">
              <x14:cfvo type="num">
                <xm:f>$R$139</xm:f>
              </x14:cfvo>
              <x14:cfvo type="num">
                <xm:f>0</xm:f>
              </x14:cfvo>
              <x14:negativeFillColor rgb="FFFF0000"/>
              <x14:axisColor rgb="FF000000"/>
            </x14:dataBar>
          </x14:cfRule>
          <xm:sqref>B268:C269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323B-D381-4623-80ED-3A7EF9817747}">
  <sheetPr codeName="Worksheet____2">
    <pageSetUpPr fitToPage="1"/>
  </sheetPr>
  <dimension ref="B1:BQ181"/>
  <sheetViews>
    <sheetView showGridLines="0" rightToLeft="1" view="pageBreakPreview" zoomScale="70" zoomScaleNormal="70" zoomScaleSheetLayoutView="70" workbookViewId="0">
      <selection activeCell="N2" sqref="N2"/>
    </sheetView>
  </sheetViews>
  <sheetFormatPr defaultColWidth="9" defaultRowHeight="18.75" x14ac:dyDescent="0.2"/>
  <cols>
    <col min="1" max="1" width="1.125" style="52" customWidth="1"/>
    <col min="2" max="2" width="6.125" style="52" customWidth="1"/>
    <col min="3" max="3" width="91.375" style="51" bestFit="1" customWidth="1"/>
    <col min="4" max="4" width="17.875" style="52" bestFit="1" customWidth="1"/>
    <col min="5" max="5" width="15.75" style="52" bestFit="1" customWidth="1"/>
    <col min="6" max="7" width="9.625" style="52" bestFit="1" customWidth="1"/>
    <col min="8" max="8" width="26.375" style="52" bestFit="1" customWidth="1"/>
    <col min="9" max="9" width="22.75" style="52" bestFit="1" customWidth="1"/>
    <col min="10" max="10" width="28" style="52" bestFit="1" customWidth="1"/>
    <col min="11" max="11" width="19.75" style="52" bestFit="1" customWidth="1"/>
    <col min="12" max="12" width="9" style="52" customWidth="1"/>
    <col min="13" max="13" width="9" style="78" customWidth="1"/>
    <col min="14" max="14" width="9" style="78"/>
    <col min="15" max="15" width="9" style="78" customWidth="1"/>
    <col min="16" max="17" width="9" style="78"/>
    <col min="18" max="18" width="13.125" style="78" bestFit="1" customWidth="1"/>
    <col min="19" max="19" width="16" style="78" bestFit="1" customWidth="1"/>
    <col min="20" max="21" width="14.25" style="78" bestFit="1" customWidth="1"/>
    <col min="22" max="23" width="2.375" style="78" bestFit="1" customWidth="1"/>
    <col min="24" max="24" width="7.375" style="78" bestFit="1" customWidth="1"/>
    <col min="25" max="25" width="7.875" style="78" bestFit="1" customWidth="1"/>
    <col min="26" max="26" width="8.625" style="78" bestFit="1" customWidth="1"/>
    <col min="27" max="27" width="8.375" style="78" bestFit="1" customWidth="1"/>
    <col min="28" max="29" width="8.875" style="78" bestFit="1" customWidth="1"/>
    <col min="30" max="30" width="8.625" style="78" bestFit="1" customWidth="1"/>
    <col min="31" max="31" width="8.875" style="78" bestFit="1" customWidth="1"/>
    <col min="32" max="32" width="8.625" style="78" bestFit="1" customWidth="1"/>
    <col min="33" max="33" width="8.75" style="78" bestFit="1" customWidth="1"/>
    <col min="34" max="34" width="7.75" style="52" bestFit="1" customWidth="1"/>
    <col min="35" max="35" width="8.875" style="52" bestFit="1" customWidth="1"/>
    <col min="36" max="36" width="8.75" style="52" bestFit="1" customWidth="1"/>
    <col min="37" max="37" width="9" style="52" bestFit="1" customWidth="1"/>
    <col min="38" max="38" width="8.625" style="52" bestFit="1" customWidth="1"/>
    <col min="39" max="39" width="6.375" style="52" bestFit="1" customWidth="1"/>
    <col min="40" max="43" width="2.375" style="52" bestFit="1" customWidth="1"/>
    <col min="44" max="44" width="12.875" style="52" bestFit="1" customWidth="1"/>
    <col min="45" max="45" width="11.625" style="52" bestFit="1" customWidth="1"/>
    <col min="46" max="46" width="12.375" style="52" bestFit="1" customWidth="1"/>
    <col min="47" max="47" width="12" style="52" bestFit="1" customWidth="1"/>
    <col min="48" max="48" width="12.875" style="52" bestFit="1" customWidth="1"/>
    <col min="49" max="49" width="11.625" style="52" bestFit="1" customWidth="1"/>
    <col min="50" max="50" width="12.375" style="52" bestFit="1" customWidth="1"/>
    <col min="51" max="51" width="12" style="52" bestFit="1" customWidth="1"/>
    <col min="52" max="52" width="12.875" style="52" bestFit="1" customWidth="1"/>
    <col min="53" max="53" width="11.625" style="52" bestFit="1" customWidth="1"/>
    <col min="54" max="54" width="12.375" style="52" bestFit="1" customWidth="1"/>
    <col min="55" max="55" width="12" style="52" bestFit="1" customWidth="1"/>
    <col min="56" max="56" width="12.875" style="52" bestFit="1" customWidth="1"/>
    <col min="57" max="57" width="11.625" style="52" bestFit="1" customWidth="1"/>
    <col min="58" max="58" width="12.375" style="52" bestFit="1" customWidth="1"/>
    <col min="59" max="59" width="12" style="52" bestFit="1" customWidth="1"/>
    <col min="60" max="60" width="12.875" style="52" bestFit="1" customWidth="1"/>
    <col min="61" max="61" width="11.625" style="52" bestFit="1" customWidth="1"/>
    <col min="62" max="67" width="9" style="52"/>
    <col min="68" max="68" width="18.25" style="52" bestFit="1" customWidth="1"/>
    <col min="69" max="69" width="15.125" style="52" bestFit="1" customWidth="1"/>
    <col min="70" max="109" width="9" style="52"/>
    <col min="110" max="110" width="9.125" style="52" bestFit="1" customWidth="1"/>
    <col min="111" max="112" width="12.875" style="52" bestFit="1" customWidth="1"/>
    <col min="113" max="16384" width="9" style="52"/>
  </cols>
  <sheetData>
    <row r="1" spans="2:41" x14ac:dyDescent="0.2">
      <c r="B1" s="1061" t="s">
        <v>447</v>
      </c>
      <c r="C1" s="1062"/>
      <c r="D1" s="1062"/>
      <c r="E1" s="1062"/>
      <c r="F1" s="1062"/>
      <c r="G1" s="1062"/>
      <c r="H1" s="1062"/>
      <c r="I1" s="1062"/>
      <c r="J1" s="1062"/>
      <c r="K1" s="1062"/>
      <c r="L1" s="1063"/>
    </row>
    <row r="2" spans="2:41" x14ac:dyDescent="0.2">
      <c r="B2" s="1064"/>
      <c r="C2" s="1065"/>
      <c r="D2" s="1065"/>
      <c r="E2" s="1065"/>
      <c r="F2" s="1065"/>
      <c r="G2" s="1065"/>
      <c r="H2" s="1065"/>
      <c r="I2" s="1065"/>
      <c r="J2" s="1065"/>
      <c r="K2" s="1065"/>
      <c r="L2" s="1066"/>
    </row>
    <row r="3" spans="2:41" x14ac:dyDescent="0.2">
      <c r="B3" s="1064"/>
      <c r="C3" s="1065"/>
      <c r="D3" s="1065"/>
      <c r="E3" s="1065"/>
      <c r="F3" s="1065"/>
      <c r="G3" s="1065"/>
      <c r="H3" s="1065"/>
      <c r="I3" s="1065"/>
      <c r="J3" s="1065"/>
      <c r="K3" s="1065"/>
      <c r="L3" s="1066"/>
    </row>
    <row r="4" spans="2:41" x14ac:dyDescent="0.2">
      <c r="B4" s="1064"/>
      <c r="C4" s="1065"/>
      <c r="D4" s="1065"/>
      <c r="E4" s="1065"/>
      <c r="F4" s="1065"/>
      <c r="G4" s="1065"/>
      <c r="H4" s="1065"/>
      <c r="I4" s="1065"/>
      <c r="J4" s="1065"/>
      <c r="K4" s="1065"/>
      <c r="L4" s="1066"/>
      <c r="AH4" s="78"/>
      <c r="AI4" s="78"/>
      <c r="AJ4" s="78"/>
      <c r="AK4" s="78"/>
      <c r="AL4" s="78"/>
      <c r="AM4" s="78"/>
      <c r="AN4" s="78"/>
      <c r="AO4" s="78"/>
    </row>
    <row r="5" spans="2:41" x14ac:dyDescent="0.2">
      <c r="B5" s="1064"/>
      <c r="C5" s="1065"/>
      <c r="D5" s="1065"/>
      <c r="E5" s="1065"/>
      <c r="F5" s="1065"/>
      <c r="G5" s="1065"/>
      <c r="H5" s="1065"/>
      <c r="I5" s="1065"/>
      <c r="J5" s="1065"/>
      <c r="K5" s="1065"/>
      <c r="L5" s="1066"/>
      <c r="AH5" s="78"/>
      <c r="AI5" s="78"/>
      <c r="AJ5" s="78"/>
      <c r="AK5" s="78"/>
      <c r="AL5" s="78"/>
      <c r="AM5" s="78"/>
      <c r="AN5" s="78"/>
      <c r="AO5" s="78"/>
    </row>
    <row r="6" spans="2:41" x14ac:dyDescent="0.2">
      <c r="B6" s="1053" t="s">
        <v>480</v>
      </c>
      <c r="C6" s="1054"/>
      <c r="D6" s="1054"/>
      <c r="E6" s="1086" t="s">
        <v>479</v>
      </c>
      <c r="F6" s="1086"/>
      <c r="G6" s="1086"/>
      <c r="H6" s="1086"/>
      <c r="I6" s="1086"/>
      <c r="J6" s="1086"/>
      <c r="K6" s="1086"/>
      <c r="L6" s="1087"/>
      <c r="AH6" s="78"/>
      <c r="AI6" s="78"/>
      <c r="AJ6" s="78"/>
      <c r="AK6" s="78"/>
      <c r="AL6" s="78"/>
      <c r="AM6" s="78"/>
      <c r="AN6" s="78"/>
      <c r="AO6" s="78"/>
    </row>
    <row r="7" spans="2:41" x14ac:dyDescent="0.2">
      <c r="B7" s="1053"/>
      <c r="C7" s="1054"/>
      <c r="D7" s="1054"/>
      <c r="E7" s="1086"/>
      <c r="F7" s="1086"/>
      <c r="G7" s="1086"/>
      <c r="H7" s="1086"/>
      <c r="I7" s="1086"/>
      <c r="J7" s="1086"/>
      <c r="K7" s="1086"/>
      <c r="L7" s="1087"/>
      <c r="AH7" s="78"/>
      <c r="AI7" s="78"/>
      <c r="AJ7" s="78"/>
      <c r="AK7" s="78"/>
      <c r="AL7" s="78"/>
      <c r="AM7" s="78"/>
      <c r="AN7" s="78"/>
      <c r="AO7" s="78"/>
    </row>
    <row r="8" spans="2:41" x14ac:dyDescent="0.2">
      <c r="B8" s="1053"/>
      <c r="C8" s="1054"/>
      <c r="D8" s="1054"/>
      <c r="E8" s="1086"/>
      <c r="F8" s="1086"/>
      <c r="G8" s="1086"/>
      <c r="H8" s="1086"/>
      <c r="I8" s="1086"/>
      <c r="J8" s="1086"/>
      <c r="K8" s="1086"/>
      <c r="L8" s="1087"/>
      <c r="AH8" s="78"/>
      <c r="AI8" s="78"/>
      <c r="AJ8" s="78"/>
      <c r="AK8" s="78"/>
      <c r="AL8" s="78"/>
      <c r="AM8" s="78"/>
      <c r="AN8" s="78"/>
      <c r="AO8" s="78"/>
    </row>
    <row r="9" spans="2:41" x14ac:dyDescent="0.2">
      <c r="B9" s="579"/>
      <c r="C9" s="518"/>
      <c r="D9" s="505"/>
      <c r="E9" s="505"/>
      <c r="F9" s="505"/>
      <c r="G9" s="505"/>
      <c r="H9" s="505"/>
      <c r="I9" s="505"/>
      <c r="J9" s="505"/>
      <c r="K9" s="505"/>
      <c r="L9" s="572"/>
      <c r="AH9" s="78"/>
      <c r="AI9" s="78"/>
      <c r="AJ9" s="78"/>
      <c r="AK9" s="78"/>
      <c r="AL9" s="78"/>
      <c r="AM9" s="78"/>
      <c r="AN9" s="78"/>
      <c r="AO9" s="78"/>
    </row>
    <row r="10" spans="2:41" ht="24" thickBot="1" x14ac:dyDescent="0.25">
      <c r="B10" s="580"/>
      <c r="C10" s="619" t="s">
        <v>234</v>
      </c>
      <c r="D10" s="529"/>
      <c r="E10" s="529"/>
      <c r="F10" s="529"/>
      <c r="G10" s="529"/>
      <c r="H10" s="533"/>
      <c r="I10" s="533"/>
      <c r="J10" s="533"/>
      <c r="K10" s="533"/>
      <c r="L10" s="573"/>
      <c r="AH10" s="78"/>
      <c r="AI10" s="78"/>
      <c r="AJ10" s="78"/>
      <c r="AK10" s="78"/>
      <c r="AL10" s="78"/>
      <c r="AM10" s="78"/>
      <c r="AN10" s="78"/>
    </row>
    <row r="11" spans="2:41" x14ac:dyDescent="0.2">
      <c r="B11" s="582"/>
      <c r="C11" s="507"/>
      <c r="D11" s="506"/>
      <c r="E11" s="506"/>
      <c r="F11" s="506"/>
      <c r="G11" s="506"/>
      <c r="H11" s="505"/>
      <c r="I11" s="598"/>
      <c r="J11" s="598"/>
      <c r="K11" s="598"/>
      <c r="L11" s="597"/>
      <c r="AH11" s="78"/>
      <c r="AI11" s="78"/>
      <c r="AJ11" s="78"/>
      <c r="AK11" s="78"/>
      <c r="AL11" s="78"/>
      <c r="AM11" s="78"/>
      <c r="AN11" s="78"/>
    </row>
    <row r="12" spans="2:41" x14ac:dyDescent="0.2">
      <c r="B12" s="579"/>
      <c r="C12" s="518"/>
      <c r="D12" s="506"/>
      <c r="E12" s="506"/>
      <c r="F12" s="506"/>
      <c r="G12" s="506"/>
      <c r="H12" s="506"/>
      <c r="I12" s="596" t="s">
        <v>255</v>
      </c>
      <c r="J12" s="596" t="s">
        <v>256</v>
      </c>
      <c r="K12" s="1080" t="s">
        <v>206</v>
      </c>
      <c r="L12" s="1081"/>
      <c r="AM12" s="78"/>
      <c r="AN12" s="78"/>
      <c r="AO12" s="78"/>
    </row>
    <row r="13" spans="2:41" ht="30" x14ac:dyDescent="0.2">
      <c r="B13" s="579"/>
      <c r="C13" s="589" t="s">
        <v>506</v>
      </c>
      <c r="D13" s="506"/>
      <c r="E13" s="506"/>
      <c r="F13" s="506"/>
      <c r="G13" s="506"/>
      <c r="H13" s="506"/>
      <c r="I13" s="563">
        <f>Study!C49</f>
        <v>8216</v>
      </c>
      <c r="J13" s="561">
        <f>Study!D49</f>
        <v>10921.129503407985</v>
      </c>
      <c r="K13" s="1078">
        <f>I13*J13</f>
        <v>89728000</v>
      </c>
      <c r="L13" s="1079"/>
      <c r="AM13" s="78"/>
      <c r="AN13" s="78"/>
      <c r="AO13" s="78"/>
    </row>
    <row r="14" spans="2:41" ht="30" x14ac:dyDescent="0.2">
      <c r="B14" s="579"/>
      <c r="C14" s="589" t="s">
        <v>505</v>
      </c>
      <c r="D14" s="506"/>
      <c r="E14" s="506"/>
      <c r="F14" s="506"/>
      <c r="G14" s="506"/>
      <c r="H14" s="506"/>
      <c r="I14" s="564">
        <f>Study!G59</f>
        <v>31799.64</v>
      </c>
      <c r="J14" s="562">
        <f>K14/I14</f>
        <v>6941.5896042680997</v>
      </c>
      <c r="K14" s="1078">
        <f>Study!C23</f>
        <v>220740050.44346803</v>
      </c>
      <c r="L14" s="1079"/>
    </row>
    <row r="15" spans="2:41" ht="30" x14ac:dyDescent="0.2">
      <c r="B15" s="579"/>
      <c r="C15" s="589" t="s">
        <v>8</v>
      </c>
      <c r="D15" s="506"/>
      <c r="E15" s="506"/>
      <c r="F15" s="506"/>
      <c r="G15" s="506"/>
      <c r="H15" s="506"/>
      <c r="I15" s="590">
        <f>Study!J59</f>
        <v>9920.7939999999981</v>
      </c>
      <c r="J15" s="591">
        <f>K15/I15</f>
        <v>31568.298533034671</v>
      </c>
      <c r="K15" s="1076">
        <f>Study!C17</f>
        <v>313182586.6767391</v>
      </c>
      <c r="L15" s="1077"/>
    </row>
    <row r="16" spans="2:41" ht="19.5" thickBot="1" x14ac:dyDescent="0.25">
      <c r="B16" s="582"/>
      <c r="C16" s="505"/>
      <c r="D16" s="505"/>
      <c r="E16" s="505"/>
      <c r="F16" s="505"/>
      <c r="G16" s="505"/>
      <c r="H16" s="505"/>
      <c r="I16" s="595"/>
      <c r="J16" s="595"/>
      <c r="K16" s="595"/>
      <c r="L16" s="594"/>
    </row>
    <row r="17" spans="2:63" ht="21" x14ac:dyDescent="0.2">
      <c r="B17" s="592"/>
      <c r="C17" s="1067" t="s">
        <v>483</v>
      </c>
      <c r="D17" s="593"/>
      <c r="E17" s="593"/>
      <c r="F17" s="593"/>
      <c r="G17" s="593"/>
      <c r="H17" s="593"/>
      <c r="I17" s="1072" t="s">
        <v>260</v>
      </c>
      <c r="J17" s="1072" t="s">
        <v>258</v>
      </c>
      <c r="K17" s="1072" t="s">
        <v>259</v>
      </c>
      <c r="L17" s="1084"/>
    </row>
    <row r="18" spans="2:63" ht="21" x14ac:dyDescent="0.2">
      <c r="B18" s="579"/>
      <c r="C18" s="1068"/>
      <c r="D18" s="519"/>
      <c r="E18" s="519"/>
      <c r="F18" s="519"/>
      <c r="G18" s="519"/>
      <c r="H18" s="519"/>
      <c r="I18" s="1073"/>
      <c r="J18" s="1073"/>
      <c r="K18" s="1073"/>
      <c r="L18" s="1085"/>
      <c r="R18" s="48"/>
    </row>
    <row r="19" spans="2:63" ht="21" x14ac:dyDescent="0.2">
      <c r="B19" s="579"/>
      <c r="C19" s="1068"/>
      <c r="D19" s="519"/>
      <c r="E19" s="519"/>
      <c r="F19" s="519"/>
      <c r="G19" s="519"/>
      <c r="H19" s="519"/>
      <c r="I19" s="1070">
        <f>K95/I13</f>
        <v>5980.2823758519962</v>
      </c>
      <c r="J19" s="1074">
        <f>((K95/K14)*K15)/I13</f>
        <v>8484.7326063572746</v>
      </c>
      <c r="K19" s="1074">
        <f>J19-I19</f>
        <v>2504.4502305052783</v>
      </c>
      <c r="L19" s="1082"/>
    </row>
    <row r="20" spans="2:63" ht="21.75" thickBot="1" x14ac:dyDescent="0.25">
      <c r="B20" s="580"/>
      <c r="C20" s="1069"/>
      <c r="D20" s="542"/>
      <c r="E20" s="542"/>
      <c r="F20" s="542"/>
      <c r="G20" s="542"/>
      <c r="H20" s="542"/>
      <c r="I20" s="1071"/>
      <c r="J20" s="1075"/>
      <c r="K20" s="1075"/>
      <c r="L20" s="1083"/>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row>
    <row r="21" spans="2:63" ht="21" x14ac:dyDescent="0.2">
      <c r="B21" s="579"/>
      <c r="C21" s="1116" t="s">
        <v>181</v>
      </c>
      <c r="D21" s="543"/>
      <c r="E21" s="543"/>
      <c r="F21" s="544"/>
      <c r="G21" s="543"/>
      <c r="H21" s="1104" t="s">
        <v>498</v>
      </c>
      <c r="I21" s="1098" t="s">
        <v>238</v>
      </c>
      <c r="J21" s="1098" t="s">
        <v>239</v>
      </c>
      <c r="K21" s="1098" t="s">
        <v>240</v>
      </c>
      <c r="L21" s="1099"/>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row>
    <row r="22" spans="2:63" ht="21" x14ac:dyDescent="0.2">
      <c r="B22" s="579"/>
      <c r="C22" s="1117"/>
      <c r="D22" s="519"/>
      <c r="E22" s="519"/>
      <c r="F22" s="519"/>
      <c r="G22" s="519"/>
      <c r="H22" s="1105"/>
      <c r="I22" s="1100"/>
      <c r="J22" s="1100"/>
      <c r="K22" s="1100"/>
      <c r="L22" s="1101"/>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row>
    <row r="23" spans="2:63" ht="21" x14ac:dyDescent="0.2">
      <c r="B23" s="579"/>
      <c r="C23" s="1117"/>
      <c r="D23" s="519"/>
      <c r="E23" s="519"/>
      <c r="F23" s="519"/>
      <c r="G23" s="519"/>
      <c r="H23" s="1105"/>
      <c r="I23" s="1100"/>
      <c r="J23" s="1100"/>
      <c r="K23" s="1100"/>
      <c r="L23" s="1101"/>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row>
    <row r="24" spans="2:63" ht="21" x14ac:dyDescent="0.2">
      <c r="B24" s="579"/>
      <c r="C24" s="1117"/>
      <c r="D24" s="519"/>
      <c r="E24" s="519"/>
      <c r="F24" s="519"/>
      <c r="G24" s="519"/>
      <c r="H24" s="1106">
        <f>Study!C28</f>
        <v>0.13308131098747253</v>
      </c>
      <c r="I24" s="1102">
        <f>Study!C30</f>
        <v>0.38920540475854254</v>
      </c>
      <c r="J24" s="1102">
        <f>Study!C32</f>
        <v>0.79248720297161024</v>
      </c>
      <c r="K24" s="1102">
        <f ca="1">Study!C34</f>
        <v>0.15849744059432205</v>
      </c>
      <c r="L24" s="1123"/>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row>
    <row r="25" spans="2:63" ht="21" x14ac:dyDescent="0.2">
      <c r="B25" s="579"/>
      <c r="C25" s="1117"/>
      <c r="D25" s="545"/>
      <c r="E25" s="545"/>
      <c r="F25" s="545"/>
      <c r="G25" s="545"/>
      <c r="H25" s="1106"/>
      <c r="I25" s="1102"/>
      <c r="J25" s="1102"/>
      <c r="K25" s="1102"/>
      <c r="L25" s="1123"/>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row>
    <row r="26" spans="2:63" ht="21.75" thickBot="1" x14ac:dyDescent="0.25">
      <c r="B26" s="580"/>
      <c r="C26" s="1118"/>
      <c r="D26" s="540"/>
      <c r="E26" s="541"/>
      <c r="F26" s="541"/>
      <c r="G26" s="541"/>
      <c r="H26" s="1107"/>
      <c r="I26" s="1103"/>
      <c r="J26" s="1103"/>
      <c r="K26" s="1103"/>
      <c r="L26" s="1124"/>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row>
    <row r="27" spans="2:63" x14ac:dyDescent="0.2">
      <c r="B27" s="579"/>
      <c r="C27" s="1121" t="s">
        <v>264</v>
      </c>
      <c r="D27" s="1055" t="s">
        <v>60</v>
      </c>
      <c r="E27" s="1057" t="s">
        <v>514</v>
      </c>
      <c r="F27" s="528"/>
      <c r="G27" s="528"/>
      <c r="H27" s="1059" t="s">
        <v>481</v>
      </c>
      <c r="I27" s="1059" t="s">
        <v>482</v>
      </c>
      <c r="J27" s="1059" t="s">
        <v>63</v>
      </c>
      <c r="K27" s="1112" t="s">
        <v>64</v>
      </c>
      <c r="L27" s="1113"/>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row>
    <row r="28" spans="2:63" ht="19.5" thickBot="1" x14ac:dyDescent="0.25">
      <c r="B28" s="580"/>
      <c r="C28" s="1122"/>
      <c r="D28" s="1056"/>
      <c r="E28" s="1058"/>
      <c r="F28" s="539"/>
      <c r="G28" s="539"/>
      <c r="H28" s="1060"/>
      <c r="I28" s="1060"/>
      <c r="J28" s="1060"/>
      <c r="K28" s="1114"/>
      <c r="L28" s="1115"/>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row>
    <row r="29" spans="2:63" ht="31.5" x14ac:dyDescent="0.2">
      <c r="B29" s="579"/>
      <c r="C29" s="587" t="s">
        <v>493</v>
      </c>
      <c r="D29" s="559">
        <f>Study!G61</f>
        <v>12</v>
      </c>
      <c r="E29" s="599">
        <f>Study!H61</f>
        <v>251.14949999999999</v>
      </c>
      <c r="F29" s="546"/>
      <c r="G29" s="546"/>
      <c r="H29" s="547">
        <f>Study!AU40</f>
        <v>28494043.356095161</v>
      </c>
      <c r="I29" s="718">
        <f>Study!AY4</f>
        <v>1102.9575342259093</v>
      </c>
      <c r="J29" s="718">
        <f>Study!AZ4</f>
        <v>3324086.7989048399</v>
      </c>
      <c r="K29" s="1119">
        <f>Study!BD4</f>
        <v>0.11716710666957311</v>
      </c>
      <c r="L29" s="1120"/>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row>
    <row r="30" spans="2:63" ht="31.5" x14ac:dyDescent="0.2">
      <c r="B30" s="579"/>
      <c r="C30" s="588" t="s">
        <v>39</v>
      </c>
      <c r="D30" s="559">
        <f>Study!G62</f>
        <v>11</v>
      </c>
      <c r="E30" s="599">
        <f>Study!H62</f>
        <v>303.63636363636363</v>
      </c>
      <c r="F30" s="546"/>
      <c r="G30" s="546"/>
      <c r="H30" s="547">
        <f>Study!AU41</f>
        <v>32912706.774944291</v>
      </c>
      <c r="I30" s="719">
        <f>Study!AY5</f>
        <v>-9854.1038248336208</v>
      </c>
      <c r="J30" s="719">
        <f>Study!AZ5</f>
        <v>-32912706.774944291</v>
      </c>
      <c r="K30" s="1108">
        <f>Study!BD5</f>
        <v>-1</v>
      </c>
      <c r="L30" s="1109"/>
      <c r="AP30" s="78"/>
      <c r="AQ30" s="78"/>
      <c r="AR30" s="78"/>
      <c r="AS30" s="78"/>
      <c r="AT30" s="78"/>
      <c r="AU30" s="78"/>
      <c r="AV30" s="78"/>
      <c r="AW30" s="78"/>
      <c r="AX30" s="78"/>
      <c r="AY30" s="78"/>
      <c r="AZ30" s="78"/>
      <c r="BA30" s="78"/>
      <c r="BB30" s="78"/>
      <c r="BC30" s="78"/>
      <c r="BD30" s="78"/>
      <c r="BE30" s="78"/>
      <c r="BF30" s="78"/>
      <c r="BG30" s="78"/>
      <c r="BH30" s="78"/>
      <c r="BI30" s="78"/>
      <c r="BJ30" s="78"/>
      <c r="BK30" s="78"/>
    </row>
    <row r="31" spans="2:63" ht="31.5" hidden="1" x14ac:dyDescent="0.2">
      <c r="B31" s="579"/>
      <c r="C31" s="586" t="s">
        <v>40</v>
      </c>
      <c r="D31" s="559">
        <f>Study!G63</f>
        <v>0</v>
      </c>
      <c r="E31" s="599" t="str">
        <f>Study!H63</f>
        <v>0.00</v>
      </c>
      <c r="F31" s="546"/>
      <c r="G31" s="546"/>
      <c r="H31" s="547">
        <f>Study!AU42</f>
        <v>0</v>
      </c>
      <c r="I31" s="719" t="str">
        <f>Study!AY6</f>
        <v>0.00</v>
      </c>
      <c r="J31" s="719">
        <f>Study!AZ6</f>
        <v>0</v>
      </c>
      <c r="K31" s="1108" t="str">
        <f>Study!BD6</f>
        <v>0.00%</v>
      </c>
      <c r="L31" s="1109"/>
      <c r="AP31" s="206"/>
      <c r="AQ31" s="78"/>
      <c r="AR31" s="78"/>
      <c r="AS31" s="78"/>
      <c r="AT31" s="78"/>
      <c r="AU31" s="78"/>
      <c r="AV31" s="78"/>
      <c r="AW31" s="78"/>
      <c r="AX31" s="78"/>
      <c r="AY31" s="78"/>
      <c r="AZ31" s="78"/>
      <c r="BA31" s="78"/>
      <c r="BB31" s="78"/>
      <c r="BC31" s="78"/>
      <c r="BD31" s="78"/>
      <c r="BE31" s="78"/>
      <c r="BF31" s="78"/>
      <c r="BG31" s="78"/>
      <c r="BH31" s="78"/>
      <c r="BI31" s="78"/>
      <c r="BJ31" s="78"/>
      <c r="BK31" s="78"/>
    </row>
    <row r="32" spans="2:63" ht="31.5" hidden="1" x14ac:dyDescent="0.2">
      <c r="B32" s="579"/>
      <c r="C32" s="586" t="s">
        <v>41</v>
      </c>
      <c r="D32" s="559">
        <f>Study!G64</f>
        <v>0</v>
      </c>
      <c r="E32" s="599" t="str">
        <f>Study!H64</f>
        <v>0.00</v>
      </c>
      <c r="F32" s="546"/>
      <c r="G32" s="546"/>
      <c r="H32" s="547">
        <f>Study!AU43</f>
        <v>0</v>
      </c>
      <c r="I32" s="719" t="str">
        <f>Study!AY7</f>
        <v>0.00</v>
      </c>
      <c r="J32" s="719">
        <f>Study!AZ7</f>
        <v>0</v>
      </c>
      <c r="K32" s="1108" t="str">
        <f>Study!BD7</f>
        <v>0.00%</v>
      </c>
      <c r="L32" s="1109"/>
      <c r="AP32" s="79"/>
      <c r="AQ32" s="78"/>
      <c r="AR32" s="78"/>
      <c r="AS32" s="78"/>
      <c r="AT32" s="78"/>
      <c r="AU32" s="78"/>
      <c r="AV32" s="78"/>
      <c r="AW32" s="78"/>
      <c r="AX32" s="78"/>
      <c r="AY32" s="78"/>
      <c r="AZ32" s="78"/>
      <c r="BA32" s="78"/>
      <c r="BB32" s="78"/>
      <c r="BC32" s="78"/>
      <c r="BD32" s="78"/>
      <c r="BE32" s="78"/>
      <c r="BF32" s="78"/>
      <c r="BG32" s="78"/>
      <c r="BH32" s="78"/>
      <c r="BI32" s="78"/>
      <c r="BJ32" s="78"/>
      <c r="BK32" s="78"/>
    </row>
    <row r="33" spans="2:63" ht="31.5" hidden="1" x14ac:dyDescent="0.2">
      <c r="B33" s="579"/>
      <c r="C33" s="586" t="s">
        <v>65</v>
      </c>
      <c r="D33" s="559">
        <f>Study!G65</f>
        <v>0</v>
      </c>
      <c r="E33" s="599" t="str">
        <f>Study!H65</f>
        <v>0.00</v>
      </c>
      <c r="F33" s="546"/>
      <c r="G33" s="546"/>
      <c r="H33" s="547">
        <f>Study!AU44</f>
        <v>0</v>
      </c>
      <c r="I33" s="719" t="str">
        <f>Study!AY8</f>
        <v>0.00</v>
      </c>
      <c r="J33" s="719">
        <f>Study!AZ8</f>
        <v>0</v>
      </c>
      <c r="K33" s="1108" t="str">
        <f>Study!BD8</f>
        <v>0.00%</v>
      </c>
      <c r="L33" s="1109"/>
      <c r="AP33" s="78"/>
      <c r="AQ33" s="78"/>
      <c r="AR33" s="78"/>
      <c r="AS33" s="78"/>
      <c r="AT33" s="78"/>
      <c r="AU33" s="78"/>
      <c r="AV33" s="78"/>
      <c r="AW33" s="78"/>
      <c r="AX33" s="78"/>
      <c r="AY33" s="78"/>
      <c r="AZ33" s="78"/>
      <c r="BA33" s="78"/>
      <c r="BB33" s="78"/>
      <c r="BC33" s="78"/>
      <c r="BD33" s="78"/>
      <c r="BE33" s="78"/>
      <c r="BF33" s="78"/>
      <c r="BG33" s="78"/>
      <c r="BH33" s="78"/>
      <c r="BI33" s="78"/>
      <c r="BJ33" s="78"/>
      <c r="BK33" s="78"/>
    </row>
    <row r="34" spans="2:63" ht="31.5" hidden="1" x14ac:dyDescent="0.2">
      <c r="B34" s="579"/>
      <c r="C34" s="586" t="s">
        <v>494</v>
      </c>
      <c r="D34" s="559">
        <f>Study!G66</f>
        <v>0</v>
      </c>
      <c r="E34" s="599" t="str">
        <f>Study!H66</f>
        <v>0.00</v>
      </c>
      <c r="F34" s="546"/>
      <c r="G34" s="546"/>
      <c r="H34" s="547">
        <f>Study!AU45</f>
        <v>0</v>
      </c>
      <c r="I34" s="719" t="str">
        <f>Study!AY9</f>
        <v>0.00</v>
      </c>
      <c r="J34" s="719">
        <f>Study!AZ9</f>
        <v>0</v>
      </c>
      <c r="K34" s="1108" t="str">
        <f>Study!BD9</f>
        <v>0.00%</v>
      </c>
      <c r="L34" s="1109"/>
      <c r="AP34" s="78"/>
      <c r="AQ34" s="78"/>
      <c r="AR34" s="78"/>
      <c r="AS34" s="78"/>
      <c r="AT34" s="78"/>
      <c r="AU34" s="78"/>
      <c r="AV34" s="78"/>
      <c r="AW34" s="78"/>
      <c r="AX34" s="78"/>
      <c r="AY34" s="78"/>
      <c r="AZ34" s="78"/>
      <c r="BA34" s="78"/>
      <c r="BB34" s="78"/>
      <c r="BC34" s="78"/>
      <c r="BD34" s="78"/>
      <c r="BE34" s="78"/>
      <c r="BF34" s="78"/>
      <c r="BG34" s="78"/>
      <c r="BH34" s="78"/>
      <c r="BI34" s="78"/>
      <c r="BJ34" s="78"/>
      <c r="BK34" s="78"/>
    </row>
    <row r="35" spans="2:63" ht="31.5" hidden="1" x14ac:dyDescent="0.2">
      <c r="B35" s="579"/>
      <c r="C35" s="586" t="s">
        <v>495</v>
      </c>
      <c r="D35" s="559">
        <f>Study!G67</f>
        <v>0</v>
      </c>
      <c r="E35" s="599" t="str">
        <f>Study!H67</f>
        <v>0.00</v>
      </c>
      <c r="F35" s="546"/>
      <c r="G35" s="546"/>
      <c r="H35" s="547">
        <f>Study!AU46</f>
        <v>0</v>
      </c>
      <c r="I35" s="719" t="str">
        <f>Study!AY10</f>
        <v>0.00</v>
      </c>
      <c r="J35" s="719">
        <f>Study!AZ10</f>
        <v>0</v>
      </c>
      <c r="K35" s="1108" t="str">
        <f>Study!BD10</f>
        <v>0.00%</v>
      </c>
      <c r="L35" s="1109"/>
      <c r="AP35" s="78"/>
      <c r="AQ35" s="78"/>
      <c r="AR35" s="78"/>
      <c r="AS35" s="78"/>
      <c r="AT35" s="78"/>
      <c r="AU35" s="78"/>
      <c r="AV35" s="78"/>
      <c r="AW35" s="78"/>
      <c r="AX35" s="78"/>
      <c r="AY35" s="78"/>
      <c r="AZ35" s="78"/>
      <c r="BA35" s="78"/>
      <c r="BB35" s="78"/>
      <c r="BC35" s="78"/>
      <c r="BD35" s="78"/>
      <c r="BE35" s="78"/>
      <c r="BF35" s="78"/>
      <c r="BG35" s="78"/>
      <c r="BH35" s="78"/>
      <c r="BI35" s="78"/>
      <c r="BJ35" s="78"/>
      <c r="BK35" s="78"/>
    </row>
    <row r="36" spans="2:63" ht="31.5" x14ac:dyDescent="0.2">
      <c r="B36" s="579"/>
      <c r="C36" s="586" t="s">
        <v>496</v>
      </c>
      <c r="D36" s="559">
        <f>Study!G68</f>
        <v>100</v>
      </c>
      <c r="E36" s="599">
        <f>Study!H68</f>
        <v>35.669999999999987</v>
      </c>
      <c r="F36" s="546"/>
      <c r="G36" s="546"/>
      <c r="H36" s="547">
        <f>Study!AU47</f>
        <v>146992094.65554255</v>
      </c>
      <c r="I36" s="719">
        <f>Study!AY11</f>
        <v>24638.46519328776</v>
      </c>
      <c r="J36" s="719">
        <f>Study!AZ11</f>
        <v>87885405.344457418</v>
      </c>
      <c r="K36" s="1108">
        <f>Study!BD11</f>
        <v>0.62513472101283896</v>
      </c>
      <c r="L36" s="1109"/>
      <c r="AP36" s="78"/>
      <c r="AQ36" s="78"/>
      <c r="AR36" s="78"/>
      <c r="AS36" s="78"/>
      <c r="AT36" s="78"/>
      <c r="AU36" s="78"/>
      <c r="AV36" s="78"/>
      <c r="AW36" s="78"/>
      <c r="AX36" s="78"/>
      <c r="AY36" s="78"/>
      <c r="AZ36" s="78"/>
      <c r="BA36" s="78"/>
      <c r="BB36" s="78"/>
      <c r="BC36" s="78"/>
      <c r="BD36" s="78"/>
      <c r="BE36" s="78"/>
      <c r="BF36" s="78"/>
      <c r="BG36" s="78"/>
      <c r="BH36" s="78"/>
      <c r="BI36" s="78"/>
      <c r="BJ36" s="78"/>
      <c r="BK36" s="78"/>
    </row>
    <row r="37" spans="2:63" ht="31.5" hidden="1" x14ac:dyDescent="0.2">
      <c r="B37" s="579"/>
      <c r="C37" s="586" t="s">
        <v>497</v>
      </c>
      <c r="D37" s="559">
        <f>Study!G69</f>
        <v>0</v>
      </c>
      <c r="E37" s="599" t="str">
        <f>Study!H69</f>
        <v>0.00</v>
      </c>
      <c r="F37" s="546"/>
      <c r="G37" s="546"/>
      <c r="H37" s="547">
        <f>Study!AU48</f>
        <v>0</v>
      </c>
      <c r="I37" s="719" t="str">
        <f>Study!AY12</f>
        <v>0.00</v>
      </c>
      <c r="J37" s="719">
        <f>Study!AZ12</f>
        <v>0</v>
      </c>
      <c r="K37" s="1108" t="str">
        <f>Study!BD12</f>
        <v>0.00%</v>
      </c>
      <c r="L37" s="1109"/>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row>
    <row r="38" spans="2:63" ht="31.5" hidden="1" x14ac:dyDescent="0.2">
      <c r="B38" s="579"/>
      <c r="C38" s="586" t="s">
        <v>45</v>
      </c>
      <c r="D38" s="559">
        <f>Study!G70</f>
        <v>0</v>
      </c>
      <c r="E38" s="599" t="str">
        <f>Study!H70</f>
        <v>0.00</v>
      </c>
      <c r="F38" s="546"/>
      <c r="G38" s="546"/>
      <c r="H38" s="547">
        <f>Study!AU49</f>
        <v>0</v>
      </c>
      <c r="I38" s="719" t="str">
        <f>Study!AY13</f>
        <v>0.00</v>
      </c>
      <c r="J38" s="719">
        <f>Study!AZ13</f>
        <v>0</v>
      </c>
      <c r="K38" s="1108" t="str">
        <f>Study!BD13</f>
        <v>0.00%</v>
      </c>
      <c r="L38" s="1109"/>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row>
    <row r="39" spans="2:63" ht="19.5" thickBot="1" x14ac:dyDescent="0.25">
      <c r="B39" s="580"/>
      <c r="C39" s="539"/>
      <c r="D39" s="560"/>
      <c r="E39" s="565"/>
      <c r="F39" s="539"/>
      <c r="G39" s="539"/>
      <c r="H39" s="539"/>
      <c r="I39" s="720"/>
      <c r="J39" s="720"/>
      <c r="K39" s="1110"/>
      <c r="L39" s="1111"/>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row>
    <row r="40" spans="2:63" x14ac:dyDescent="0.2">
      <c r="B40" s="579"/>
      <c r="C40" s="518"/>
      <c r="D40" s="506"/>
      <c r="E40" s="506">
        <v>1</v>
      </c>
      <c r="F40" s="506">
        <v>2</v>
      </c>
      <c r="G40" s="506">
        <v>3</v>
      </c>
      <c r="H40" s="506">
        <v>4</v>
      </c>
      <c r="I40" s="506">
        <v>5</v>
      </c>
      <c r="J40" s="506">
        <v>6</v>
      </c>
      <c r="K40" s="1139">
        <f ca="1">Study!B122</f>
        <v>5</v>
      </c>
      <c r="L40" s="1140"/>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row>
    <row r="41" spans="2:63" x14ac:dyDescent="0.2">
      <c r="B41" s="579"/>
      <c r="C41" s="548"/>
      <c r="D41" s="506"/>
      <c r="E41" s="506"/>
      <c r="F41" s="506"/>
      <c r="G41" s="506"/>
      <c r="H41" s="506"/>
      <c r="I41" s="506"/>
      <c r="J41" s="506"/>
      <c r="K41" s="1141"/>
      <c r="L41" s="1142"/>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row>
    <row r="42" spans="2:63" ht="31.5" x14ac:dyDescent="0.2">
      <c r="B42" s="620"/>
      <c r="C42" s="586" t="s">
        <v>488</v>
      </c>
      <c r="D42" s="621">
        <f ca="1">Study!C344</f>
        <v>46388</v>
      </c>
      <c r="E42" s="508">
        <f ca="1">IF(ABS(SUM(OFFSET(Study!$F$200,0,(COLUMN()-COLUMN($E$42))*4,2,4)))&lt;0.01,"",SUM(OFFSET(Study!$F$200,0,(COLUMN()-COLUMN($E$42))*4,2,4)))</f>
        <v>-2608853.6</v>
      </c>
      <c r="F42" s="508">
        <f ca="1">IF(ABS(SUM(OFFSET(Study!$F$200,0,(COLUMN()-COLUMN($E$42))*4,2,4)))&lt;0.01,"",SUM(OFFSET(Study!$F$200,0,(COLUMN()-COLUMN($E$42))*4,2,4)))</f>
        <v>-1367257.3599999999</v>
      </c>
      <c r="G42" s="508" t="str">
        <f ca="1">IF(ABS(SUM(OFFSET(Study!$F$200,0,(COLUMN()-COLUMN($E$42))*4,2,4)))&lt;0.01,"",SUM(OFFSET(Study!$F$200,0,(COLUMN()-COLUMN($E$42))*4,2,4)))</f>
        <v/>
      </c>
      <c r="H42" s="508" t="str">
        <f ca="1">IF(ABS(SUM(OFFSET(Study!$F$200,0,(COLUMN()-COLUMN($E$42))*4,2,4)))&lt;0.01,"",SUM(OFFSET(Study!$F$200,0,(COLUMN()-COLUMN($E$42))*4,2,4)))</f>
        <v/>
      </c>
      <c r="I42" s="508" t="str">
        <f ca="1">IF(ABS(SUM(OFFSET(Study!$F$200,0,(COLUMN()-COLUMN($E$42))*4,2,4)))&lt;0.01,"",SUM(OFFSET(Study!$F$200,0,(COLUMN()-COLUMN($E$42))*4,2,4)))</f>
        <v/>
      </c>
      <c r="J42" s="566" t="str">
        <f ca="1">IF(ABS(SUM(OFFSET(Study!$F$200,0,(COLUMN()-COLUMN($E$42))*4,2,4)))&lt;0.01,"",SUM(OFFSET(Study!$F$200,0,(COLUMN()-COLUMN($E$42))*4,2,4)))</f>
        <v/>
      </c>
      <c r="K42" s="1131">
        <f ca="1">Study!H344</f>
        <v>46934</v>
      </c>
      <c r="L42" s="1132"/>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row>
    <row r="43" spans="2:63" ht="5.25" customHeight="1" x14ac:dyDescent="0.2">
      <c r="B43" s="620"/>
      <c r="C43" s="600" t="s">
        <v>492</v>
      </c>
      <c r="D43" s="505"/>
      <c r="E43" s="509"/>
      <c r="F43" s="509"/>
      <c r="G43" s="509"/>
      <c r="H43" s="509"/>
      <c r="I43" s="509"/>
      <c r="J43" s="567"/>
      <c r="K43" s="1137"/>
      <c r="L43" s="113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row>
    <row r="44" spans="2:63" ht="31.5" x14ac:dyDescent="0.2">
      <c r="B44" s="620"/>
      <c r="C44" s="586" t="s">
        <v>489</v>
      </c>
      <c r="D44" s="621">
        <f ca="1">Study!C345</f>
        <v>47027</v>
      </c>
      <c r="E44" s="508">
        <f ca="1">IF(ABS(SUM(OFFSET(Study!$F$192,0,(COLUMN()-COLUMN($E$44))*4,2,4)))&lt;0.0001,"",SUM(OFFSET(Study!$F$192,0,(COLUMN()-COLUMN($E$44))*4,2,4)))</f>
        <v>-271760.03000000003</v>
      </c>
      <c r="F44" s="508">
        <f ca="1">IF(ABS(SUM(OFFSET(Study!$F$192,0,(COLUMN()-COLUMN($E$44))*4,2,4)))&lt;0.0001,"",SUM(OFFSET(Study!$F$192,0,(COLUMN()-COLUMN($E$44))*4,2,4)))</f>
        <v>-46574.109499999999</v>
      </c>
      <c r="G44" s="508">
        <f ca="1">IF(ABS(SUM(OFFSET(Study!$F$192,0,(COLUMN()-COLUMN($E$44))*4,2,4)))&lt;0.0001,"",SUM(OFFSET(Study!$F$192,0,(COLUMN()-COLUMN($E$44))*4,2,4)))</f>
        <v>-551296.43799999997</v>
      </c>
      <c r="H44" s="508">
        <f ca="1">IF(ABS(SUM(OFFSET(Study!$F$192,0,(COLUMN()-COLUMN($E$44))*4,2,4)))&lt;0.0001,"",SUM(OFFSET(Study!$F$192,0,(COLUMN()-COLUMN($E$44))*4,2,4)))</f>
        <v>-2381771.4379999996</v>
      </c>
      <c r="I44" s="508">
        <f ca="1">IF(ABS(SUM(OFFSET(Study!$F$192,0,(COLUMN()-COLUMN($E$44))*4,2,4)))&lt;0.0001,"",SUM(OFFSET(Study!$F$192,0,(COLUMN()-COLUMN($E$44))*4,2,4)))</f>
        <v>-3890501.2582480386</v>
      </c>
      <c r="J44" s="566" t="str">
        <f ca="1">IF(ABS(SUM(OFFSET(Study!$F$192,0,(COLUMN()-COLUMN($E$44))*4,2,4)))&lt;0.0001,"",SUM(OFFSET(Study!$F$192,0,(COLUMN()-COLUMN($E$44))*4,2,4)))</f>
        <v/>
      </c>
      <c r="K44" s="1131">
        <f ca="1">Study!H345</f>
        <v>48213</v>
      </c>
      <c r="L44" s="1132"/>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row>
    <row r="45" spans="2:63" ht="5.25" customHeight="1" x14ac:dyDescent="0.2">
      <c r="B45" s="620"/>
      <c r="C45" s="600" t="s">
        <v>492</v>
      </c>
      <c r="D45" s="505"/>
      <c r="E45" s="509"/>
      <c r="F45" s="509"/>
      <c r="G45" s="509"/>
      <c r="H45" s="509"/>
      <c r="I45" s="509"/>
      <c r="J45" s="567"/>
      <c r="K45" s="1137"/>
      <c r="L45" s="113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row>
    <row r="46" spans="2:63" ht="31.5" x14ac:dyDescent="0.2">
      <c r="B46" s="620"/>
      <c r="C46" s="586" t="s">
        <v>444</v>
      </c>
      <c r="D46" s="621">
        <f ca="1">Study!C346</f>
        <v>46844</v>
      </c>
      <c r="E46" s="508" t="str">
        <f ca="1">IF(ABS(SUM(OFFSET(Study!$F$196,0,(COLUMN()-COLUMN($E$46))*4,1,4)))&lt;0.0001,"",SUM(OFFSET(Study!$F$196,0,(COLUMN()-COLUMN($E$46))*4,1,4)))</f>
        <v/>
      </c>
      <c r="F46" s="508">
        <f ca="1">IF(ABS(SUM(OFFSET(Study!$F$196,0,(COLUMN()-COLUMN($E$46))*4,1,4)))&lt;0.0001,"",SUM(OFFSET(Study!$F$196,0,(COLUMN()-COLUMN($E$46))*4,1,4)))</f>
        <v>-16435777.680000002</v>
      </c>
      <c r="G46" s="508">
        <f ca="1">IF(ABS(SUM(OFFSET(Study!$F$196,0,(COLUMN()-COLUMN($E$46))*4,1,4)))&lt;0.0001,"",SUM(OFFSET(Study!$F$196,0,(COLUMN()-COLUMN($E$46))*4,1,4)))</f>
        <v>-39915460.080000006</v>
      </c>
      <c r="H46" s="508">
        <f ca="1">IF(ABS(SUM(OFFSET(Study!$F$196,0,(COLUMN()-COLUMN($E$46))*4,1,4)))&lt;0.0001,"",SUM(OFFSET(Study!$F$196,0,(COLUMN()-COLUMN($E$46))*4,1,4)))</f>
        <v>-21914370.240000002</v>
      </c>
      <c r="I46" s="508" t="str">
        <f ca="1">IF(ABS(SUM(OFFSET(Study!$F$196,0,(COLUMN()-COLUMN($E$46))*4,1,4)))&lt;0.0001,"",SUM(OFFSET(Study!$F$196,0,(COLUMN()-COLUMN($E$46))*4,1,4)))</f>
        <v/>
      </c>
      <c r="J46" s="566" t="str">
        <f ca="1">IF(ABS(SUM(OFFSET(Study!$F$196,0,(COLUMN()-COLUMN($E$46))*4,1,4)))&lt;0.0001,"",SUM(OFFSET(Study!$F$196,0,(COLUMN()-COLUMN($E$46))*4,1,4)))</f>
        <v/>
      </c>
      <c r="K46" s="1131">
        <f ca="1">Study!H346</f>
        <v>47848</v>
      </c>
      <c r="L46" s="1132"/>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row>
    <row r="47" spans="2:63" ht="5.25" customHeight="1" x14ac:dyDescent="0.2">
      <c r="B47" s="620"/>
      <c r="C47" s="600" t="s">
        <v>492</v>
      </c>
      <c r="D47" s="505"/>
      <c r="E47" s="509"/>
      <c r="F47" s="509"/>
      <c r="G47" s="509"/>
      <c r="H47" s="509"/>
      <c r="I47" s="509"/>
      <c r="J47" s="567"/>
      <c r="K47" s="1137"/>
      <c r="L47" s="113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row>
    <row r="48" spans="2:63" ht="31.5" x14ac:dyDescent="0.2">
      <c r="B48" s="620"/>
      <c r="C48" s="586" t="s">
        <v>471</v>
      </c>
      <c r="D48" s="621">
        <f ca="1">Study!C347</f>
        <v>47757</v>
      </c>
      <c r="E48" s="508" t="str">
        <f ca="1">IF(ABS(SUM(OFFSET(Study!$F$204,0,(COLUMN()-COLUMN($E$48))*4,3,4)))&lt;0.0001,"",SUM(OFFSET(Study!$F$204,0,(COLUMN()-COLUMN($E$48))*4,3,4)))</f>
        <v/>
      </c>
      <c r="F48" s="508" t="str">
        <f ca="1">IF(ABS(SUM(OFFSET(Study!$F$204,0,(COLUMN()-COLUMN($E$48))*4,3,4)))&lt;0.0001,"",SUM(OFFSET(Study!$F$204,0,(COLUMN()-COLUMN($E$48))*4,3,4)))</f>
        <v/>
      </c>
      <c r="G48" s="508" t="str">
        <f ca="1">IF(ABS(SUM(OFFSET(Study!$F$204,0,(COLUMN()-COLUMN($E$48))*4,3,4)))&lt;0.0001,"",SUM(OFFSET(Study!$F$204,0,(COLUMN()-COLUMN($E$48))*4,3,4)))</f>
        <v/>
      </c>
      <c r="H48" s="508">
        <f ca="1">IF(ABS(SUM(OFFSET(Study!$F$204,0,(COLUMN()-COLUMN($E$48))*4,3,4)))&lt;0.0001,"",SUM(OFFSET(Study!$F$204,0,(COLUMN()-COLUMN($E$48))*4,3,4)))</f>
        <v>-1914500</v>
      </c>
      <c r="I48" s="508" t="str">
        <f ca="1">IF(ABS(SUM(OFFSET(Study!$F$204,0,(COLUMN()-COLUMN($E$48))*4,3,4)))&lt;0.0001,"",SUM(OFFSET(Study!$F$204,0,(COLUMN()-COLUMN($E$48))*4,3,4)))</f>
        <v/>
      </c>
      <c r="J48" s="566" t="str">
        <f ca="1">IF(ABS(SUM(OFFSET(Study!$F$204,0,(COLUMN()-COLUMN($E$48))*4,3,4)))&lt;0.0001,"",SUM(OFFSET(Study!$F$204,0,(COLUMN()-COLUMN($E$48))*4,3,4)))</f>
        <v/>
      </c>
      <c r="K48" s="1131">
        <f ca="1">Study!H347</f>
        <v>47848</v>
      </c>
      <c r="L48" s="1132"/>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row>
    <row r="49" spans="2:63" ht="5.25" customHeight="1" x14ac:dyDescent="0.2">
      <c r="B49" s="620"/>
      <c r="C49" s="600" t="s">
        <v>492</v>
      </c>
      <c r="D49" s="505"/>
      <c r="E49" s="510"/>
      <c r="F49" s="510"/>
      <c r="G49" s="510"/>
      <c r="H49" s="510"/>
      <c r="I49" s="510"/>
      <c r="J49" s="568"/>
      <c r="K49" s="1137"/>
      <c r="L49" s="113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row>
    <row r="50" spans="2:63" ht="31.5" x14ac:dyDescent="0.2">
      <c r="B50" s="620"/>
      <c r="C50" s="586" t="s">
        <v>490</v>
      </c>
      <c r="D50" s="621">
        <f ca="1">Study!C348</f>
        <v>47849</v>
      </c>
      <c r="E50" s="508" t="str">
        <f ca="1">IF(ABS(SUM(OFFSET(Study!$F$202,0,(COLUMN()-COLUMN($E$50))*4,2,4)))&lt;0.0001,"",SUM(OFFSET(Study!$F$202,0,(COLUMN()-COLUMN($E$50))*4,2,4)))</f>
        <v/>
      </c>
      <c r="F50" s="508" t="str">
        <f ca="1">IF(ABS(SUM(OFFSET(Study!$F$202,0,(COLUMN()-COLUMN($E$50))*4,2,4)))&lt;0.0001,"",SUM(OFFSET(Study!$F$202,0,(COLUMN()-COLUMN($E$50))*4,2,4)))</f>
        <v/>
      </c>
      <c r="G50" s="508" t="str">
        <f ca="1">IF(ABS(SUM(OFFSET(Study!$F$202,0,(COLUMN()-COLUMN($E$50))*4,2,4)))&lt;0.0001,"",SUM(OFFSET(Study!$F$202,0,(COLUMN()-COLUMN($E$50))*4,2,4)))</f>
        <v/>
      </c>
      <c r="H50" s="508" t="str">
        <f ca="1">IF(ABS(SUM(OFFSET(Study!$F$202,0,(COLUMN()-COLUMN($E$50))*4,2,4)))&lt;0.0001,"",SUM(OFFSET(Study!$F$202,0,(COLUMN()-COLUMN($E$50))*4,2,4)))</f>
        <v/>
      </c>
      <c r="I50" s="508">
        <f ca="1">IF(ABS(SUM(OFFSET(Study!$F$202,0,(COLUMN()-COLUMN($E$50))*4,2,4)))&lt;0.0001,"",SUM(OFFSET(Study!$F$202,0,(COLUMN()-COLUMN($E$50))*4,2,4)))</f>
        <v>-6149999.9999999991</v>
      </c>
      <c r="J50" s="566" t="str">
        <f ca="1">IF(ABS(SUM(OFFSET(Study!$F$202,0,(COLUMN()-COLUMN($E$50))*4,2,4)))&lt;0.0001,"",SUM(OFFSET(Study!$F$202,0,(COLUMN()-COLUMN($E$50))*4,2,4)))</f>
        <v/>
      </c>
      <c r="K50" s="1131">
        <f ca="1">Study!H348</f>
        <v>48029</v>
      </c>
      <c r="L50" s="1132"/>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row>
    <row r="51" spans="2:63" ht="5.25" customHeight="1" x14ac:dyDescent="0.2">
      <c r="B51" s="620"/>
      <c r="C51" s="600" t="s">
        <v>492</v>
      </c>
      <c r="D51" s="549"/>
      <c r="E51" s="510"/>
      <c r="F51" s="510"/>
      <c r="G51" s="510"/>
      <c r="H51" s="510"/>
      <c r="I51" s="510"/>
      <c r="J51" s="568"/>
      <c r="K51" s="1133"/>
      <c r="L51" s="1134"/>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row>
    <row r="52" spans="2:63" ht="31.5" hidden="1" x14ac:dyDescent="0.2">
      <c r="B52" s="620"/>
      <c r="C52" s="586" t="s">
        <v>209</v>
      </c>
      <c r="D52" s="622">
        <f ca="1">Study!C349</f>
        <v>46753</v>
      </c>
      <c r="E52" s="508" t="str">
        <f ca="1">IF(ABS(SUM(OFFSET(Study!$F$184,0,(COLUMN()-COLUMN($E$52))*4,1,4)))&lt;0.0001,"",SUM(OFFSET(Study!$F$184,0,(COLUMN()-COLUMN($E$52))*4,1,4)))</f>
        <v/>
      </c>
      <c r="F52" s="508">
        <f ca="1">IF(ABS(SUM(OFFSET(Study!$F$184,0,(COLUMN()-COLUMN($E$52))*4,1,4)))&lt;0.0001,"",SUM(OFFSET(Study!$F$184,0,(COLUMN()-COLUMN($E$52))*4,1,4)))</f>
        <v>14273086.539130438</v>
      </c>
      <c r="G52" s="508">
        <f ca="1">IF(ABS(SUM(OFFSET(Study!$F$184,0,(COLUMN()-COLUMN($E$52))*4,1,4)))&lt;0.0001,"",SUM(OFFSET(Study!$F$184,0,(COLUMN()-COLUMN($E$52))*4,1,4)))</f>
        <v>30956329.553456314</v>
      </c>
      <c r="H52" s="508">
        <f ca="1">IF(ABS(SUM(OFFSET(Study!$F$184,0,(COLUMN()-COLUMN($E$52))*4,1,4)))&lt;0.0001,"",SUM(OFFSET(Study!$F$184,0,(COLUMN()-COLUMN($E$52))*4,1,4)))</f>
        <v>1257540.4291523891</v>
      </c>
      <c r="I52" s="508" t="str">
        <f ca="1">IF(ABS(SUM(OFFSET(Study!$F$184,0,(COLUMN()-COLUMN($E$52))*4,1,4)))&lt;0.0001,"",SUM(OFFSET(Study!$F$184,0,(COLUMN()-COLUMN($E$52))*4,1,4)))</f>
        <v/>
      </c>
      <c r="J52" s="566" t="str">
        <f ca="1">IF(ABS(SUM(OFFSET(Study!$F$184,0,(COLUMN()-COLUMN($E$52))*4,1,4)))&lt;0.0001,"",SUM(OFFSET(Study!$F$184,0,(COLUMN()-COLUMN($E$52))*4,1,4)))</f>
        <v/>
      </c>
      <c r="K52" s="1135">
        <f ca="1">Study!H349</f>
        <v>47848</v>
      </c>
      <c r="L52" s="1136"/>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row>
    <row r="53" spans="2:63" ht="5.25" customHeight="1" x14ac:dyDescent="0.2">
      <c r="B53" s="620"/>
      <c r="C53" s="600" t="s">
        <v>492</v>
      </c>
      <c r="D53" s="549"/>
      <c r="E53" s="510"/>
      <c r="F53" s="510"/>
      <c r="G53" s="510"/>
      <c r="H53" s="510"/>
      <c r="I53" s="510"/>
      <c r="J53" s="568"/>
      <c r="K53" s="1133"/>
      <c r="L53" s="1134"/>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row>
    <row r="54" spans="2:63" ht="31.5" x14ac:dyDescent="0.2">
      <c r="B54" s="620"/>
      <c r="C54" s="586" t="s">
        <v>472</v>
      </c>
      <c r="D54" s="622">
        <f ca="1">Study!C350</f>
        <v>47849</v>
      </c>
      <c r="E54" s="508" t="str">
        <f ca="1">IF(ABS(SUM(OFFSET(Study!$F$185,0,(COLUMN()-COLUMN($E$54))*4,2,4)))&lt;0.0001,"",SUM(OFFSET(Study!$F$185,0,(COLUMN()-COLUMN($E$54))*4,2,4)))</f>
        <v/>
      </c>
      <c r="F54" s="508" t="str">
        <f ca="1">IF(ABS(SUM(OFFSET(Study!$F$185,0,(COLUMN()-COLUMN($E$54))*4,2,4)))&lt;0.0001,"",SUM(OFFSET(Study!$F$185,0,(COLUMN()-COLUMN($E$54))*4,2,4)))</f>
        <v/>
      </c>
      <c r="G54" s="508" t="str">
        <f ca="1">IF(ABS(SUM(OFFSET(Study!$F$185,0,(COLUMN()-COLUMN($E$54))*4,2,4)))&lt;0.0001,"",SUM(OFFSET(Study!$F$185,0,(COLUMN()-COLUMN($E$54))*4,2,4)))</f>
        <v/>
      </c>
      <c r="H54" s="508" t="str">
        <f ca="1">IF(ABS(SUM(OFFSET(Study!$F$185,0,(COLUMN()-COLUMN($E$54))*4,2,4)))&lt;0.0001,"",SUM(OFFSET(Study!$F$185,0,(COLUMN()-COLUMN($E$54))*4,2,4)))</f>
        <v/>
      </c>
      <c r="I54" s="508">
        <f ca="1">IF(ABS(SUM(OFFSET(Study!$F$185,0,(COLUMN()-COLUMN($E$54))*4,2,4)))&lt;0.0001,"",SUM(OFFSET(Study!$F$185,0,(COLUMN()-COLUMN($E$54))*4,2,4)))</f>
        <v>23823811.079999998</v>
      </c>
      <c r="J54" s="566" t="str">
        <f ca="1">IF(ABS(SUM(OFFSET(Study!$F$185,0,(COLUMN()-COLUMN($E$54))*4,2,4)))&lt;0.0001,"",SUM(OFFSET(Study!$F$185,0,(COLUMN()-COLUMN($E$54))*4,2,4)))</f>
        <v/>
      </c>
      <c r="K54" s="1135">
        <f ca="1">Study!H350</f>
        <v>48213</v>
      </c>
      <c r="L54" s="1136"/>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row>
    <row r="55" spans="2:63" ht="5.25" customHeight="1" x14ac:dyDescent="0.2">
      <c r="B55" s="620"/>
      <c r="C55" s="600" t="s">
        <v>492</v>
      </c>
      <c r="D55" s="549"/>
      <c r="E55" s="510"/>
      <c r="F55" s="510"/>
      <c r="G55" s="510"/>
      <c r="H55" s="510"/>
      <c r="I55" s="510"/>
      <c r="J55" s="568"/>
      <c r="K55" s="1133"/>
      <c r="L55" s="1134"/>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row>
    <row r="56" spans="2:63" ht="31.5" x14ac:dyDescent="0.2">
      <c r="B56" s="620"/>
      <c r="C56" s="586" t="s">
        <v>157</v>
      </c>
      <c r="D56" s="622" t="str">
        <f ca="1">Study!C351</f>
        <v/>
      </c>
      <c r="E56" s="508" t="str">
        <f ca="1">IF(ABS(SUM(OFFSET(Study!$F$187,0,(COLUMN()-COLUMN($E$56))*4,1,4)))&lt;0.0001,"",SUM(OFFSET(Study!$F$187,0,(COLUMN()-COLUMN($E$56))*4,1,4)))</f>
        <v/>
      </c>
      <c r="F56" s="508" t="str">
        <f ca="1">IF(ABS(SUM(OFFSET(Study!$F$187,0,(COLUMN()-COLUMN($E$56))*4,1,4)))&lt;0.0001,"",SUM(OFFSET(Study!$F$187,0,(COLUMN()-COLUMN($E$56))*4,1,4)))</f>
        <v/>
      </c>
      <c r="G56" s="508" t="str">
        <f ca="1">IF(ABS(SUM(OFFSET(Study!$F$187,0,(COLUMN()-COLUMN($E$56))*4,1,4)))&lt;0.0001,"",SUM(OFFSET(Study!$F$187,0,(COLUMN()-COLUMN($E$56))*4,1,4)))</f>
        <v/>
      </c>
      <c r="H56" s="508" t="str">
        <f ca="1">IF(ABS(SUM(OFFSET(Study!$F$187,0,(COLUMN()-COLUMN($E$56))*4,1,4)))&lt;0.0001,"",SUM(OFFSET(Study!$F$187,0,(COLUMN()-COLUMN($E$56))*4,1,4)))</f>
        <v/>
      </c>
      <c r="I56" s="508" t="str">
        <f ca="1">IF(ABS(SUM(OFFSET(Study!$F$187,0,(COLUMN()-COLUMN($E$56))*4,1,4)))&lt;0.0001,"",SUM(OFFSET(Study!$F$187,0,(COLUMN()-COLUMN($E$56))*4,1,4)))</f>
        <v/>
      </c>
      <c r="J56" s="566" t="str">
        <f ca="1">IF(ABS(SUM(OFFSET(Study!$F$187,0,(COLUMN()-COLUMN($E$56))*4,1,4)))&lt;0.0001,"",SUM(OFFSET(Study!$F$187,0,(COLUMN()-COLUMN($E$56))*4,1,4)))</f>
        <v/>
      </c>
      <c r="K56" s="1135" t="str">
        <f ca="1">Study!H351</f>
        <v/>
      </c>
      <c r="L56" s="1136"/>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row>
    <row r="57" spans="2:63" ht="5.25" customHeight="1" x14ac:dyDescent="0.2">
      <c r="B57" s="620"/>
      <c r="C57" s="600" t="s">
        <v>492</v>
      </c>
      <c r="D57" s="549"/>
      <c r="E57" s="510"/>
      <c r="F57" s="510"/>
      <c r="G57" s="510"/>
      <c r="H57" s="510"/>
      <c r="I57" s="510"/>
      <c r="J57" s="568"/>
      <c r="K57" s="1133"/>
      <c r="L57" s="1134"/>
      <c r="AH57" s="78"/>
      <c r="AI57" s="78"/>
      <c r="AJ57" s="78"/>
      <c r="AK57" s="78"/>
      <c r="AL57" s="78"/>
      <c r="AM57" s="78"/>
      <c r="AN57" s="78"/>
      <c r="AO57" s="78"/>
      <c r="AP57" s="78"/>
      <c r="AR57" s="78"/>
      <c r="AS57" s="78"/>
      <c r="AT57" s="78"/>
      <c r="AU57" s="78"/>
      <c r="AV57" s="78"/>
      <c r="AW57" s="78"/>
      <c r="AX57" s="78"/>
      <c r="AY57" s="78"/>
      <c r="AZ57" s="78"/>
      <c r="BA57" s="78"/>
      <c r="BB57" s="78"/>
      <c r="BC57" s="78"/>
      <c r="BD57" s="78"/>
      <c r="BE57" s="78"/>
      <c r="BF57" s="78"/>
      <c r="BG57" s="78"/>
      <c r="BH57" s="78"/>
      <c r="BI57" s="78"/>
      <c r="BJ57" s="78"/>
      <c r="BK57" s="78"/>
    </row>
    <row r="58" spans="2:63" ht="31.5" x14ac:dyDescent="0.2">
      <c r="B58" s="620"/>
      <c r="C58" s="586" t="s">
        <v>491</v>
      </c>
      <c r="D58" s="622">
        <f ca="1">Study!C352</f>
        <v>48122</v>
      </c>
      <c r="E58" s="508" t="str">
        <f ca="1">IF(ABS(SUM(OFFSET(Study!$F$188,0,(COLUMN()-COLUMN($E$58))*4,1,4)))&lt;0.0001,"",SUM(OFFSET(Study!$F$188,0,(COLUMN()-COLUMN($E$58))*4,1,4)))</f>
        <v/>
      </c>
      <c r="F58" s="508" t="str">
        <f ca="1">IF(ABS(SUM(OFFSET(Study!$F$188,0,(COLUMN()-COLUMN($E$58))*4,1,4)))&lt;0.0001,"",SUM(OFFSET(Study!$F$188,0,(COLUMN()-COLUMN($E$58))*4,1,4)))</f>
        <v/>
      </c>
      <c r="G58" s="508" t="str">
        <f ca="1">IF(ABS(SUM(OFFSET(Study!$F$188,0,(COLUMN()-COLUMN($E$58))*4,1,4)))&lt;0.0001,"",SUM(OFFSET(Study!$F$188,0,(COLUMN()-COLUMN($E$58))*4,1,4)))</f>
        <v/>
      </c>
      <c r="H58" s="508" t="str">
        <f ca="1">IF(ABS(SUM(OFFSET(Study!$F$188,0,(COLUMN()-COLUMN($E$58))*4,1,4)))&lt;0.0001,"",SUM(OFFSET(Study!$F$188,0,(COLUMN()-COLUMN($E$58))*4,1,4)))</f>
        <v/>
      </c>
      <c r="I58" s="508">
        <f ca="1">IF(ABS(SUM(OFFSET(Study!$F$188,0,(COLUMN()-COLUMN($E$58))*4,1,4)))&lt;0.0001,"",SUM(OFFSET(Study!$F$188,0,(COLUMN()-COLUMN($E$58))*4,1,4)))</f>
        <v>242871819.07499996</v>
      </c>
      <c r="J58" s="566" t="str">
        <f ca="1">IF(ABS(SUM(OFFSET(Study!$F$188,0,(COLUMN()-COLUMN($E$58))*4,1,4)))&lt;0.0001,"",SUM(OFFSET(Study!$F$188,0,(COLUMN()-COLUMN($E$58))*4,1,4)))</f>
        <v/>
      </c>
      <c r="K58" s="1135">
        <f ca="1">Study!H352</f>
        <v>48213</v>
      </c>
      <c r="L58" s="1136"/>
      <c r="AH58" s="78"/>
      <c r="AI58" s="78"/>
      <c r="AJ58" s="78"/>
      <c r="AK58" s="78"/>
      <c r="AL58" s="78"/>
      <c r="AM58" s="78"/>
      <c r="AN58" s="78"/>
      <c r="AO58" s="78"/>
      <c r="AP58" s="78"/>
      <c r="AR58" s="78"/>
      <c r="AS58" s="78"/>
      <c r="AT58" s="78"/>
      <c r="AU58" s="78"/>
      <c r="AV58" s="78"/>
      <c r="AW58" s="78"/>
      <c r="AX58" s="78"/>
      <c r="AY58" s="78"/>
      <c r="AZ58" s="78"/>
      <c r="BA58" s="78"/>
      <c r="BB58" s="78"/>
      <c r="BC58" s="78"/>
      <c r="BD58" s="78"/>
      <c r="BE58" s="78"/>
      <c r="BF58" s="78"/>
      <c r="BG58" s="78"/>
      <c r="BH58" s="78"/>
      <c r="BI58" s="78"/>
      <c r="BJ58" s="78"/>
      <c r="BK58" s="78"/>
    </row>
    <row r="59" spans="2:63" ht="19.5" thickBot="1" x14ac:dyDescent="0.3">
      <c r="B59" s="623"/>
      <c r="C59" s="602" t="s">
        <v>492</v>
      </c>
      <c r="D59" s="624"/>
      <c r="E59" s="603"/>
      <c r="F59" s="603"/>
      <c r="G59" s="603"/>
      <c r="H59" s="603"/>
      <c r="I59" s="603"/>
      <c r="J59" s="603"/>
      <c r="K59" s="1143"/>
      <c r="L59" s="1144"/>
      <c r="AH59" s="78"/>
      <c r="AI59" s="78"/>
      <c r="AJ59" s="78"/>
      <c r="AK59" s="78"/>
      <c r="AL59" s="78"/>
      <c r="AM59" s="78"/>
      <c r="AN59" s="78"/>
      <c r="AO59" s="78"/>
      <c r="AP59" s="78"/>
      <c r="AR59" s="78"/>
      <c r="AS59" s="78"/>
      <c r="AT59" s="78"/>
      <c r="AU59" s="78"/>
      <c r="AV59" s="78"/>
      <c r="AW59" s="78"/>
      <c r="AX59" s="78"/>
      <c r="AY59" s="78"/>
      <c r="AZ59" s="78"/>
      <c r="BA59" s="78"/>
      <c r="BB59" s="78"/>
      <c r="BC59" s="78"/>
      <c r="BD59" s="78"/>
      <c r="BE59" s="78"/>
      <c r="BF59" s="78"/>
      <c r="BG59" s="78"/>
      <c r="BH59" s="78"/>
      <c r="BI59" s="78"/>
      <c r="BJ59" s="78"/>
      <c r="BK59" s="78"/>
    </row>
    <row r="60" spans="2:63" x14ac:dyDescent="0.2">
      <c r="B60" s="582"/>
      <c r="C60" s="520" t="s">
        <v>235</v>
      </c>
      <c r="D60" s="506"/>
      <c r="E60" s="506"/>
      <c r="F60" s="506"/>
      <c r="G60" s="506"/>
      <c r="H60" s="505"/>
      <c r="I60" s="506"/>
      <c r="J60" s="506" t="s">
        <v>4</v>
      </c>
      <c r="K60" s="1145" t="s">
        <v>229</v>
      </c>
      <c r="L60" s="1146"/>
      <c r="AH60" s="78"/>
      <c r="AI60" s="78"/>
      <c r="AJ60" s="78"/>
      <c r="AK60" s="78"/>
      <c r="AL60" s="78"/>
      <c r="AM60" s="78"/>
      <c r="AN60" s="78"/>
      <c r="AO60" s="78"/>
      <c r="AP60" s="78"/>
      <c r="AR60" s="78"/>
      <c r="AS60" s="78"/>
      <c r="AT60" s="78"/>
      <c r="AU60" s="78"/>
      <c r="AV60" s="78"/>
      <c r="AW60" s="78"/>
      <c r="AX60" s="78"/>
      <c r="AY60" s="78"/>
      <c r="AZ60" s="78"/>
      <c r="BA60" s="78"/>
      <c r="BB60" s="78"/>
      <c r="BC60" s="78"/>
      <c r="BD60" s="78"/>
      <c r="BE60" s="78"/>
      <c r="BF60" s="78"/>
      <c r="BG60" s="78"/>
      <c r="BH60" s="78"/>
      <c r="BI60" s="78"/>
      <c r="BJ60" s="78"/>
      <c r="BK60" s="78"/>
    </row>
    <row r="61" spans="2:63" x14ac:dyDescent="0.2">
      <c r="B61" s="582"/>
      <c r="C61" s="600" t="s">
        <v>515</v>
      </c>
      <c r="D61" s="506"/>
      <c r="E61" s="506"/>
      <c r="F61" s="506"/>
      <c r="G61" s="506"/>
      <c r="H61" s="505"/>
      <c r="I61" s="506"/>
      <c r="J61" s="600" t="s">
        <v>492</v>
      </c>
      <c r="K61" s="1127" t="s">
        <v>492</v>
      </c>
      <c r="L61" s="1128"/>
      <c r="AH61" s="78"/>
      <c r="AI61" s="78"/>
      <c r="AJ61" s="78"/>
      <c r="AK61" s="78"/>
      <c r="AL61" s="78"/>
      <c r="AM61" s="78"/>
      <c r="AN61" s="78"/>
      <c r="AO61" s="78"/>
      <c r="AP61" s="78"/>
      <c r="AR61" s="78"/>
      <c r="AS61" s="78"/>
      <c r="AT61" s="78"/>
      <c r="AU61" s="78"/>
      <c r="AV61" s="78"/>
      <c r="AW61" s="78"/>
      <c r="AX61" s="78"/>
      <c r="AY61" s="78"/>
      <c r="AZ61" s="78"/>
      <c r="BA61" s="78"/>
      <c r="BB61" s="78"/>
      <c r="BC61" s="78"/>
      <c r="BD61" s="78"/>
      <c r="BE61" s="78"/>
      <c r="BF61" s="78"/>
      <c r="BG61" s="78"/>
      <c r="BH61" s="78"/>
      <c r="BI61" s="78"/>
      <c r="BJ61" s="78"/>
      <c r="BK61" s="78"/>
    </row>
    <row r="62" spans="2:63" x14ac:dyDescent="0.2">
      <c r="B62" s="579"/>
      <c r="C62" s="585" t="s">
        <v>473</v>
      </c>
      <c r="D62" s="506"/>
      <c r="E62" s="505"/>
      <c r="F62" s="505"/>
      <c r="G62" s="505"/>
      <c r="H62" s="505"/>
      <c r="I62" s="517"/>
      <c r="J62" s="526">
        <f t="shared" ref="J62:J69" si="0">K62/$K$71</f>
        <v>0.15629243506418206</v>
      </c>
      <c r="K62" s="1125">
        <f>Study!H19</f>
        <v>34500000</v>
      </c>
      <c r="L62" s="1126"/>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row>
    <row r="63" spans="2:63" hidden="1" x14ac:dyDescent="0.2">
      <c r="B63" s="579"/>
      <c r="C63" s="585" t="s">
        <v>474</v>
      </c>
      <c r="D63" s="506"/>
      <c r="E63" s="550"/>
      <c r="F63" s="550"/>
      <c r="G63" s="550"/>
      <c r="H63" s="505"/>
      <c r="I63" s="505"/>
      <c r="J63" s="526">
        <f t="shared" si="0"/>
        <v>0</v>
      </c>
      <c r="K63" s="1125">
        <f>Study!H20</f>
        <v>0</v>
      </c>
      <c r="L63" s="1126"/>
      <c r="AB63" s="80"/>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79"/>
      <c r="BB63" s="79"/>
      <c r="BC63" s="79"/>
      <c r="BD63" s="79"/>
      <c r="BE63" s="79"/>
      <c r="BF63" s="79"/>
      <c r="BG63" s="79"/>
      <c r="BH63" s="79"/>
      <c r="BI63" s="79"/>
      <c r="BJ63" s="78"/>
      <c r="BK63" s="78"/>
    </row>
    <row r="64" spans="2:63" hidden="1" x14ac:dyDescent="0.2">
      <c r="B64" s="579"/>
      <c r="C64" s="585" t="s">
        <v>475</v>
      </c>
      <c r="D64" s="505"/>
      <c r="E64" s="505"/>
      <c r="F64" s="505"/>
      <c r="G64" s="505"/>
      <c r="H64" s="505"/>
      <c r="I64" s="505"/>
      <c r="J64" s="526">
        <f t="shared" si="0"/>
        <v>5.0285392151084664E-2</v>
      </c>
      <c r="K64" s="1125">
        <f>Study!H21</f>
        <v>11100000</v>
      </c>
      <c r="L64" s="1126"/>
      <c r="AB64" s="80"/>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79"/>
      <c r="BB64" s="79"/>
      <c r="BC64" s="79"/>
      <c r="BD64" s="79"/>
      <c r="BE64" s="79"/>
      <c r="BF64" s="79"/>
      <c r="BG64" s="79"/>
      <c r="BH64" s="79"/>
      <c r="BI64" s="79"/>
      <c r="BJ64" s="78"/>
      <c r="BK64" s="78"/>
    </row>
    <row r="65" spans="2:63" x14ac:dyDescent="0.2">
      <c r="B65" s="579"/>
      <c r="C65" s="585" t="s">
        <v>476</v>
      </c>
      <c r="D65" s="505"/>
      <c r="E65" s="505"/>
      <c r="F65" s="505"/>
      <c r="G65" s="505"/>
      <c r="H65" s="505"/>
      <c r="I65" s="505"/>
      <c r="J65" s="526">
        <f t="shared" si="0"/>
        <v>0</v>
      </c>
      <c r="K65" s="1125">
        <f>Study!H22</f>
        <v>0</v>
      </c>
      <c r="L65" s="1126"/>
      <c r="AB65" s="80"/>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78"/>
      <c r="BC65" s="78"/>
      <c r="BD65" s="78"/>
      <c r="BE65" s="78"/>
      <c r="BF65" s="78"/>
      <c r="BG65" s="78"/>
      <c r="BH65" s="78"/>
      <c r="BI65" s="78"/>
      <c r="BJ65" s="78"/>
      <c r="BK65" s="78"/>
    </row>
    <row r="66" spans="2:63" x14ac:dyDescent="0.2">
      <c r="B66" s="579"/>
      <c r="C66" s="585" t="s">
        <v>477</v>
      </c>
      <c r="D66" s="505"/>
      <c r="E66" s="505"/>
      <c r="F66" s="505"/>
      <c r="G66" s="551"/>
      <c r="H66" s="505"/>
      <c r="I66" s="505"/>
      <c r="J66" s="526">
        <f t="shared" si="0"/>
        <v>0.28454102404078979</v>
      </c>
      <c r="K66" s="1125">
        <f>Study!H23</f>
        <v>62809599.999999993</v>
      </c>
      <c r="L66" s="1126"/>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8"/>
      <c r="BB66" s="78"/>
      <c r="BC66" s="78"/>
      <c r="BD66" s="78"/>
      <c r="BE66" s="78"/>
      <c r="BF66" s="78"/>
      <c r="BG66" s="78"/>
      <c r="BH66" s="78"/>
      <c r="BI66" s="78"/>
      <c r="BJ66" s="78"/>
      <c r="BK66" s="78"/>
    </row>
    <row r="67" spans="2:63" x14ac:dyDescent="0.2">
      <c r="B67" s="579"/>
      <c r="C67" s="552" t="s">
        <v>478</v>
      </c>
      <c r="D67" s="505"/>
      <c r="E67" s="505"/>
      <c r="F67" s="505"/>
      <c r="G67" s="551"/>
      <c r="H67" s="505"/>
      <c r="I67" s="506"/>
      <c r="J67" s="526">
        <f t="shared" si="0"/>
        <v>0.24622630053226185</v>
      </c>
      <c r="K67" s="1125">
        <f>Study!H26</f>
        <v>54352006</v>
      </c>
      <c r="L67" s="1126"/>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row>
    <row r="68" spans="2:63" hidden="1" x14ac:dyDescent="0.2">
      <c r="B68" s="579"/>
      <c r="C68" s="552" t="s">
        <v>429</v>
      </c>
      <c r="D68" s="506"/>
      <c r="E68" s="506"/>
      <c r="F68" s="506"/>
      <c r="G68" s="506"/>
      <c r="H68" s="525"/>
      <c r="I68" s="506"/>
      <c r="J68" s="526">
        <f t="shared" si="0"/>
        <v>0.21059593140595273</v>
      </c>
      <c r="K68" s="1125">
        <f>Study!H29</f>
        <v>46486956.52173914</v>
      </c>
      <c r="L68" s="1126"/>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row>
    <row r="69" spans="2:63" x14ac:dyDescent="0.2">
      <c r="B69" s="579"/>
      <c r="C69" s="552" t="s">
        <v>233</v>
      </c>
      <c r="D69" s="506"/>
      <c r="E69" s="506"/>
      <c r="F69" s="506"/>
      <c r="G69" s="506"/>
      <c r="H69" s="525"/>
      <c r="I69" s="525"/>
      <c r="J69" s="526">
        <f t="shared" si="0"/>
        <v>5.2058916805728925E-2</v>
      </c>
      <c r="K69" s="1125">
        <f>Study!H30</f>
        <v>11491487.921728909</v>
      </c>
      <c r="L69" s="1126"/>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row>
    <row r="70" spans="2:63" x14ac:dyDescent="0.2">
      <c r="B70" s="579"/>
      <c r="C70" s="600" t="s">
        <v>492</v>
      </c>
      <c r="D70" s="506"/>
      <c r="E70" s="506"/>
      <c r="F70" s="506"/>
      <c r="G70" s="506"/>
      <c r="H70" s="525"/>
      <c r="I70" s="506"/>
      <c r="J70" s="600" t="s">
        <v>492</v>
      </c>
      <c r="K70" s="1127" t="s">
        <v>492</v>
      </c>
      <c r="L70" s="112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row>
    <row r="71" spans="2:63" ht="19.5" thickBot="1" x14ac:dyDescent="0.25">
      <c r="B71" s="581"/>
      <c r="C71" s="569" t="s">
        <v>230</v>
      </c>
      <c r="D71" s="570"/>
      <c r="E71" s="570"/>
      <c r="F71" s="570"/>
      <c r="G71" s="570"/>
      <c r="H71" s="570"/>
      <c r="I71" s="570"/>
      <c r="J71" s="571">
        <f>SUM(J62:J70)</f>
        <v>0.99999999999999989</v>
      </c>
      <c r="K71" s="1129">
        <f>SUM(K62:K70)</f>
        <v>220740050.44346803</v>
      </c>
      <c r="L71" s="1130"/>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row>
    <row r="72" spans="2:63" x14ac:dyDescent="0.2">
      <c r="B72" s="582"/>
      <c r="C72" s="506"/>
      <c r="D72" s="506"/>
      <c r="E72" s="506"/>
      <c r="F72" s="506"/>
      <c r="G72" s="506"/>
      <c r="H72" s="525"/>
      <c r="I72" s="525"/>
      <c r="J72" s="526"/>
      <c r="K72" s="527"/>
      <c r="L72" s="572"/>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row>
    <row r="73" spans="2:63" x14ac:dyDescent="0.2">
      <c r="B73" s="579"/>
      <c r="C73" s="512"/>
      <c r="D73" s="512"/>
      <c r="E73" s="512"/>
      <c r="F73" s="512"/>
      <c r="G73" s="512"/>
      <c r="H73" s="513"/>
      <c r="I73" s="513"/>
      <c r="J73" s="511"/>
      <c r="K73" s="511"/>
      <c r="L73" s="572"/>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row>
    <row r="74" spans="2:63" x14ac:dyDescent="0.2">
      <c r="B74" s="579"/>
      <c r="C74" s="524"/>
      <c r="D74" s="512"/>
      <c r="E74" s="511"/>
      <c r="F74" s="516"/>
      <c r="G74" s="512"/>
      <c r="H74" s="513"/>
      <c r="I74" s="513"/>
      <c r="J74" s="513"/>
      <c r="K74" s="513"/>
      <c r="L74" s="572"/>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row>
    <row r="75" spans="2:63" x14ac:dyDescent="0.2">
      <c r="B75" s="579"/>
      <c r="C75" s="524"/>
      <c r="D75" s="512"/>
      <c r="E75" s="511"/>
      <c r="F75" s="516"/>
      <c r="G75" s="512"/>
      <c r="H75" s="513"/>
      <c r="I75" s="513"/>
      <c r="J75" s="513"/>
      <c r="K75" s="513"/>
      <c r="L75" s="572"/>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row>
    <row r="76" spans="2:63" x14ac:dyDescent="0.2">
      <c r="B76" s="579"/>
      <c r="C76" s="524"/>
      <c r="D76" s="512"/>
      <c r="E76" s="511"/>
      <c r="F76" s="516"/>
      <c r="G76" s="512"/>
      <c r="H76" s="513"/>
      <c r="I76" s="513"/>
      <c r="J76" s="513"/>
      <c r="K76" s="513"/>
      <c r="L76" s="572"/>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row>
    <row r="77" spans="2:63" x14ac:dyDescent="0.2">
      <c r="B77" s="579"/>
      <c r="C77" s="524"/>
      <c r="D77" s="512"/>
      <c r="E77" s="511"/>
      <c r="F77" s="516"/>
      <c r="G77" s="512"/>
      <c r="H77" s="513"/>
      <c r="I77" s="513"/>
      <c r="J77" s="513"/>
      <c r="K77" s="513"/>
      <c r="L77" s="572"/>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row>
    <row r="78" spans="2:63" x14ac:dyDescent="0.2">
      <c r="B78" s="579"/>
      <c r="C78" s="524"/>
      <c r="D78" s="512"/>
      <c r="E78" s="511"/>
      <c r="F78" s="516"/>
      <c r="G78" s="512"/>
      <c r="H78" s="513"/>
      <c r="I78" s="513"/>
      <c r="J78" s="513"/>
      <c r="K78" s="513"/>
      <c r="L78" s="572"/>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row>
    <row r="79" spans="2:63" x14ac:dyDescent="0.2">
      <c r="B79" s="579"/>
      <c r="C79" s="524"/>
      <c r="D79" s="512"/>
      <c r="E79" s="511"/>
      <c r="F79" s="516"/>
      <c r="G79" s="512"/>
      <c r="H79" s="513"/>
      <c r="I79" s="513"/>
      <c r="J79" s="513"/>
      <c r="K79" s="513"/>
      <c r="L79" s="572"/>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row>
    <row r="80" spans="2:63" x14ac:dyDescent="0.2">
      <c r="B80" s="579"/>
      <c r="C80" s="524"/>
      <c r="D80" s="512"/>
      <c r="E80" s="511"/>
      <c r="F80" s="516"/>
      <c r="G80" s="512"/>
      <c r="H80" s="513"/>
      <c r="I80" s="513"/>
      <c r="J80" s="513"/>
      <c r="K80" s="513"/>
      <c r="L80" s="572"/>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row>
    <row r="81" spans="2:69" x14ac:dyDescent="0.2">
      <c r="B81" s="579"/>
      <c r="C81" s="524"/>
      <c r="D81" s="512"/>
      <c r="E81" s="511"/>
      <c r="F81" s="516"/>
      <c r="G81" s="512"/>
      <c r="H81" s="513"/>
      <c r="I81" s="513"/>
      <c r="J81" s="513"/>
      <c r="K81" s="513"/>
      <c r="L81" s="572"/>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row>
    <row r="82" spans="2:69" x14ac:dyDescent="0.2">
      <c r="B82" s="579"/>
      <c r="C82" s="524"/>
      <c r="D82" s="512"/>
      <c r="E82" s="511"/>
      <c r="F82" s="516"/>
      <c r="G82" s="512"/>
      <c r="H82" s="513"/>
      <c r="I82" s="513"/>
      <c r="J82" s="513"/>
      <c r="K82" s="513"/>
      <c r="L82" s="572"/>
      <c r="R82" s="662"/>
      <c r="S82" s="662"/>
      <c r="T82" s="662"/>
      <c r="U82" s="662"/>
      <c r="V82" s="662"/>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row>
    <row r="83" spans="2:69" x14ac:dyDescent="0.2">
      <c r="B83" s="579"/>
      <c r="C83" s="524"/>
      <c r="D83" s="512"/>
      <c r="E83" s="511"/>
      <c r="F83" s="516"/>
      <c r="G83" s="512"/>
      <c r="H83" s="513"/>
      <c r="I83" s="513"/>
      <c r="J83" s="513"/>
      <c r="K83" s="513"/>
      <c r="L83" s="572"/>
      <c r="R83" s="662"/>
      <c r="S83" s="714" t="s">
        <v>233</v>
      </c>
      <c r="T83" s="715">
        <f>SUM(Summary!K68:K70)</f>
        <v>57978444.443468049</v>
      </c>
      <c r="U83" s="716">
        <f>T83/Summary!$K$71</f>
        <v>0.26265484821168167</v>
      </c>
      <c r="V83" s="662"/>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row>
    <row r="84" spans="2:69" x14ac:dyDescent="0.2">
      <c r="B84" s="579"/>
      <c r="C84" s="524"/>
      <c r="D84" s="512"/>
      <c r="E84" s="511"/>
      <c r="F84" s="516"/>
      <c r="G84" s="512"/>
      <c r="H84" s="513"/>
      <c r="I84" s="513"/>
      <c r="J84" s="513"/>
      <c r="K84" s="513"/>
      <c r="L84" s="572"/>
      <c r="R84" s="662"/>
      <c r="S84" s="714" t="s">
        <v>232</v>
      </c>
      <c r="T84" s="715">
        <f>Summary!K67</f>
        <v>54352006</v>
      </c>
      <c r="U84" s="716">
        <f>T84/Summary!$K$71</f>
        <v>0.24622630053226185</v>
      </c>
      <c r="V84" s="662"/>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row>
    <row r="85" spans="2:69" x14ac:dyDescent="0.2">
      <c r="B85" s="579"/>
      <c r="C85" s="524"/>
      <c r="D85" s="512"/>
      <c r="E85" s="511"/>
      <c r="F85" s="516"/>
      <c r="G85" s="512"/>
      <c r="H85" s="513"/>
      <c r="I85" s="513"/>
      <c r="J85" s="513"/>
      <c r="K85" s="513"/>
      <c r="L85" s="572"/>
      <c r="R85" s="662"/>
      <c r="S85" s="714" t="s">
        <v>262</v>
      </c>
      <c r="T85" s="715">
        <f>Summary!K64+Summary!K65</f>
        <v>11100000</v>
      </c>
      <c r="U85" s="716">
        <f>T85/Summary!K71</f>
        <v>5.0285392151084664E-2</v>
      </c>
      <c r="V85" s="662"/>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P85" s="53"/>
      <c r="BQ85" s="53"/>
    </row>
    <row r="86" spans="2:69" x14ac:dyDescent="0.2">
      <c r="B86" s="579"/>
      <c r="C86" s="524"/>
      <c r="D86" s="512"/>
      <c r="E86" s="511"/>
      <c r="F86" s="516"/>
      <c r="G86" s="512"/>
      <c r="H86" s="513"/>
      <c r="I86" s="513"/>
      <c r="J86" s="513"/>
      <c r="K86" s="513"/>
      <c r="L86" s="572"/>
      <c r="R86" s="662"/>
      <c r="S86" s="714" t="s">
        <v>261</v>
      </c>
      <c r="T86" s="715">
        <f>Summary!K62+Summary!K63+Summary!K66</f>
        <v>97309600</v>
      </c>
      <c r="U86" s="716">
        <f>T86/Summary!K71</f>
        <v>0.4408334591049719</v>
      </c>
      <c r="V86" s="662"/>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P86" s="53"/>
      <c r="BQ86" s="53"/>
    </row>
    <row r="87" spans="2:69" x14ac:dyDescent="0.2">
      <c r="B87" s="579"/>
      <c r="C87" s="524"/>
      <c r="D87" s="512"/>
      <c r="E87" s="511"/>
      <c r="F87" s="516"/>
      <c r="G87" s="512"/>
      <c r="H87" s="513"/>
      <c r="I87" s="513"/>
      <c r="J87" s="513"/>
      <c r="K87" s="513"/>
      <c r="L87" s="572"/>
      <c r="R87" s="662"/>
      <c r="S87" s="717"/>
      <c r="T87" s="717"/>
      <c r="U87" s="717"/>
      <c r="V87" s="662"/>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P87" s="53"/>
      <c r="BQ87" s="53"/>
    </row>
    <row r="88" spans="2:69" x14ac:dyDescent="0.2">
      <c r="B88" s="579"/>
      <c r="C88" s="524"/>
      <c r="D88" s="512"/>
      <c r="E88" s="511"/>
      <c r="F88" s="516"/>
      <c r="G88" s="512"/>
      <c r="H88" s="513"/>
      <c r="I88" s="513"/>
      <c r="J88" s="513"/>
      <c r="K88" s="513"/>
      <c r="L88" s="572"/>
      <c r="R88" s="662"/>
      <c r="S88" s="717"/>
      <c r="T88" s="714" t="str">
        <f>S83</f>
        <v>مصادر أخرى</v>
      </c>
      <c r="U88" s="715">
        <f>T83</f>
        <v>57978444.443468049</v>
      </c>
      <c r="V88" s="662"/>
      <c r="BJ88" s="78"/>
      <c r="BK88" s="78"/>
      <c r="BP88" s="53"/>
      <c r="BQ88" s="53"/>
    </row>
    <row r="89" spans="2:69" x14ac:dyDescent="0.2">
      <c r="B89" s="579"/>
      <c r="C89" s="524"/>
      <c r="D89" s="512"/>
      <c r="E89" s="511"/>
      <c r="F89" s="516"/>
      <c r="G89" s="512"/>
      <c r="H89" s="513"/>
      <c r="I89" s="513"/>
      <c r="J89" s="513"/>
      <c r="K89" s="513"/>
      <c r="L89" s="572"/>
      <c r="R89" s="662"/>
      <c r="S89" s="717"/>
      <c r="T89" s="714" t="str">
        <f>S84</f>
        <v>التمويل</v>
      </c>
      <c r="U89" s="715">
        <f>T84</f>
        <v>54352006</v>
      </c>
      <c r="V89" s="662"/>
      <c r="BJ89" s="78"/>
      <c r="BK89" s="78"/>
      <c r="BP89" s="53"/>
      <c r="BQ89" s="53"/>
    </row>
    <row r="90" spans="2:69" x14ac:dyDescent="0.2">
      <c r="B90" s="579"/>
      <c r="C90" s="524"/>
      <c r="D90" s="512"/>
      <c r="E90" s="511"/>
      <c r="F90" s="516"/>
      <c r="G90" s="512"/>
      <c r="H90" s="513"/>
      <c r="I90" s="513"/>
      <c r="J90" s="513"/>
      <c r="K90" s="513"/>
      <c r="L90" s="572"/>
      <c r="R90" s="662"/>
      <c r="S90" s="717"/>
      <c r="T90" s="714" t="s">
        <v>285</v>
      </c>
      <c r="U90" s="715">
        <f>T85+T86</f>
        <v>108409600</v>
      </c>
      <c r="V90" s="662"/>
      <c r="BJ90" s="78"/>
      <c r="BK90" s="78"/>
      <c r="BP90" s="53"/>
      <c r="BQ90" s="53"/>
    </row>
    <row r="91" spans="2:69" x14ac:dyDescent="0.2">
      <c r="B91" s="579"/>
      <c r="C91" s="524"/>
      <c r="D91" s="512"/>
      <c r="E91" s="511"/>
      <c r="F91" s="516"/>
      <c r="G91" s="512"/>
      <c r="H91" s="513"/>
      <c r="I91" s="513"/>
      <c r="J91" s="513"/>
      <c r="K91" s="513"/>
      <c r="L91" s="572"/>
      <c r="R91" s="662"/>
      <c r="S91" s="662"/>
      <c r="T91" s="662"/>
      <c r="U91" s="662"/>
      <c r="V91" s="662"/>
      <c r="BJ91" s="78"/>
      <c r="BK91" s="78"/>
      <c r="BP91" s="53"/>
      <c r="BQ91" s="53"/>
    </row>
    <row r="92" spans="2:69" x14ac:dyDescent="0.2">
      <c r="B92" s="579"/>
      <c r="C92" s="518"/>
      <c r="D92" s="505"/>
      <c r="E92" s="505"/>
      <c r="F92" s="505"/>
      <c r="G92" s="505"/>
      <c r="H92" s="505"/>
      <c r="I92" s="506"/>
      <c r="J92" s="506"/>
      <c r="K92" s="506"/>
      <c r="L92" s="572"/>
      <c r="BJ92" s="78"/>
      <c r="BK92" s="78"/>
      <c r="BP92" s="53"/>
      <c r="BQ92" s="53"/>
    </row>
    <row r="93" spans="2:69" x14ac:dyDescent="0.2">
      <c r="B93" s="579"/>
      <c r="C93" s="518"/>
      <c r="D93" s="505"/>
      <c r="E93" s="505"/>
      <c r="F93" s="505"/>
      <c r="G93" s="505"/>
      <c r="H93" s="505"/>
      <c r="I93" s="506"/>
      <c r="J93" s="506"/>
      <c r="K93" s="506"/>
      <c r="L93" s="572"/>
      <c r="BJ93" s="78"/>
      <c r="BK93" s="78"/>
      <c r="BP93" s="53"/>
      <c r="BQ93" s="53"/>
    </row>
    <row r="94" spans="2:69" ht="19.5" thickBot="1" x14ac:dyDescent="0.25">
      <c r="B94" s="580"/>
      <c r="C94" s="530" t="s">
        <v>236</v>
      </c>
      <c r="D94" s="529"/>
      <c r="E94" s="529"/>
      <c r="F94" s="529"/>
      <c r="G94" s="529"/>
      <c r="H94" s="533"/>
      <c r="I94" s="529"/>
      <c r="J94" s="529" t="s">
        <v>231</v>
      </c>
      <c r="K94" s="529" t="s">
        <v>229</v>
      </c>
      <c r="L94" s="573"/>
      <c r="BJ94" s="78"/>
      <c r="BK94" s="78"/>
      <c r="BP94" s="53"/>
      <c r="BQ94" s="53"/>
    </row>
    <row r="95" spans="2:69" x14ac:dyDescent="0.2">
      <c r="B95" s="579"/>
      <c r="C95" s="512" t="s">
        <v>241</v>
      </c>
      <c r="D95" s="506"/>
      <c r="E95" s="506"/>
      <c r="F95" s="506"/>
      <c r="G95" s="506"/>
      <c r="H95" s="505"/>
      <c r="I95" s="506"/>
      <c r="J95" s="701">
        <f>J96+J97+J98+J99</f>
        <v>5980.2823758519953</v>
      </c>
      <c r="K95" s="701">
        <f>K96+K97+K98+K99</f>
        <v>49134000</v>
      </c>
      <c r="L95" s="572"/>
      <c r="BJ95" s="78"/>
      <c r="BK95" s="78"/>
      <c r="BP95" s="53"/>
      <c r="BQ95" s="53"/>
    </row>
    <row r="96" spans="2:69" x14ac:dyDescent="0.2">
      <c r="B96" s="579"/>
      <c r="C96" s="552" t="s">
        <v>249</v>
      </c>
      <c r="D96" s="506"/>
      <c r="E96" s="506"/>
      <c r="F96" s="506"/>
      <c r="G96" s="506"/>
      <c r="H96" s="505"/>
      <c r="I96" s="506"/>
      <c r="J96" s="701">
        <f>K96/$I$13</f>
        <v>5842.2590068159689</v>
      </c>
      <c r="K96" s="701">
        <f>Study!E44</f>
        <v>48000000</v>
      </c>
      <c r="L96" s="572"/>
      <c r="BJ96" s="78"/>
      <c r="BK96" s="78"/>
      <c r="BP96" s="53"/>
      <c r="BQ96" s="53"/>
    </row>
    <row r="97" spans="2:69" x14ac:dyDescent="0.2">
      <c r="B97" s="579"/>
      <c r="C97" s="552" t="s">
        <v>465</v>
      </c>
      <c r="D97" s="506"/>
      <c r="E97" s="506"/>
      <c r="F97" s="506"/>
      <c r="G97" s="506"/>
      <c r="H97" s="505"/>
      <c r="I97" s="506"/>
      <c r="J97" s="701">
        <f>K97/$I$13</f>
        <v>43.816942551119766</v>
      </c>
      <c r="K97" s="701">
        <f>Study!G44</f>
        <v>360000</v>
      </c>
      <c r="L97" s="572"/>
      <c r="BJ97" s="78"/>
      <c r="BK97" s="78"/>
      <c r="BP97" s="53"/>
      <c r="BQ97" s="53"/>
    </row>
    <row r="98" spans="2:69" x14ac:dyDescent="0.2">
      <c r="B98" s="579"/>
      <c r="C98" s="552" t="s">
        <v>466</v>
      </c>
      <c r="D98" s="506"/>
      <c r="E98" s="506"/>
      <c r="F98" s="506"/>
      <c r="G98" s="506"/>
      <c r="H98" s="505"/>
      <c r="I98" s="506"/>
      <c r="J98" s="701">
        <f>K98/$I$13</f>
        <v>6.5725413826679651</v>
      </c>
      <c r="K98" s="701">
        <f>Study!H44</f>
        <v>54000</v>
      </c>
      <c r="L98" s="572"/>
      <c r="BJ98" s="78"/>
      <c r="BK98" s="78"/>
      <c r="BP98" s="53"/>
      <c r="BQ98" s="53"/>
    </row>
    <row r="99" spans="2:69" x14ac:dyDescent="0.2">
      <c r="B99" s="579"/>
      <c r="C99" s="552" t="s">
        <v>242</v>
      </c>
      <c r="D99" s="506"/>
      <c r="E99" s="506"/>
      <c r="F99" s="506"/>
      <c r="G99" s="506"/>
      <c r="H99" s="505"/>
      <c r="I99" s="506"/>
      <c r="J99" s="702">
        <f>K99/$I$13</f>
        <v>87.633885102239532</v>
      </c>
      <c r="K99" s="702">
        <f>Study!F44</f>
        <v>720000</v>
      </c>
      <c r="L99" s="572"/>
      <c r="BJ99" s="78"/>
      <c r="BK99" s="78"/>
      <c r="BP99" s="53"/>
      <c r="BQ99" s="53"/>
    </row>
    <row r="100" spans="2:69" x14ac:dyDescent="0.2">
      <c r="B100" s="579"/>
      <c r="C100" s="548" t="s">
        <v>499</v>
      </c>
      <c r="D100" s="506"/>
      <c r="E100" s="506"/>
      <c r="F100" s="506"/>
      <c r="G100" s="506"/>
      <c r="H100" s="505"/>
      <c r="I100" s="506"/>
      <c r="J100" s="553"/>
      <c r="K100" s="553"/>
      <c r="L100" s="572"/>
      <c r="BJ100" s="78"/>
      <c r="BK100" s="78"/>
      <c r="BP100" s="53"/>
      <c r="BQ100" s="53"/>
    </row>
    <row r="101" spans="2:69" x14ac:dyDescent="0.2">
      <c r="B101" s="579"/>
      <c r="C101" s="512" t="s">
        <v>243</v>
      </c>
      <c r="D101" s="506"/>
      <c r="E101" s="506"/>
      <c r="F101" s="506"/>
      <c r="G101" s="506"/>
      <c r="H101" s="505"/>
      <c r="I101" s="506"/>
      <c r="J101" s="701">
        <f>J102+J103+J104</f>
        <v>3494.6481236642931</v>
      </c>
      <c r="K101" s="701">
        <f>K102+K103+K104</f>
        <v>111128552.25920001</v>
      </c>
      <c r="L101" s="572"/>
      <c r="BJ101" s="78"/>
      <c r="BK101" s="78"/>
      <c r="BP101" s="53"/>
      <c r="BQ101" s="53"/>
    </row>
    <row r="102" spans="2:69" x14ac:dyDescent="0.2">
      <c r="B102" s="579"/>
      <c r="C102" s="552" t="s">
        <v>250</v>
      </c>
      <c r="D102" s="506"/>
      <c r="E102" s="506"/>
      <c r="F102" s="506"/>
      <c r="G102" s="506"/>
      <c r="H102" s="505"/>
      <c r="I102" s="506"/>
      <c r="J102" s="701">
        <f>K102/$I$14</f>
        <v>2461.2105042698595</v>
      </c>
      <c r="K102" s="701">
        <f>Study!C19</f>
        <v>78265608</v>
      </c>
      <c r="L102" s="572"/>
      <c r="BJ102" s="78"/>
      <c r="BK102" s="78"/>
      <c r="BP102" s="53"/>
      <c r="BQ102" s="53"/>
    </row>
    <row r="103" spans="2:69" x14ac:dyDescent="0.2">
      <c r="B103" s="579"/>
      <c r="C103" s="552" t="s">
        <v>251</v>
      </c>
      <c r="D103" s="506"/>
      <c r="E103" s="506"/>
      <c r="F103" s="506"/>
      <c r="G103" s="506"/>
      <c r="H103" s="505"/>
      <c r="I103" s="506"/>
      <c r="J103" s="701">
        <f>K103/$I$14</f>
        <v>664.25604375395449</v>
      </c>
      <c r="K103" s="701">
        <f>Study!C102-Study!C98-Study!C100</f>
        <v>21123103.0592</v>
      </c>
      <c r="L103" s="572"/>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P103" s="53"/>
      <c r="BQ103" s="53"/>
    </row>
    <row r="104" spans="2:69" x14ac:dyDescent="0.2">
      <c r="B104" s="579"/>
      <c r="C104" s="554">
        <f>Study!D104</f>
        <v>0.15</v>
      </c>
      <c r="D104" s="506"/>
      <c r="E104" s="506"/>
      <c r="F104" s="506"/>
      <c r="G104" s="506"/>
      <c r="H104" s="505"/>
      <c r="I104" s="506"/>
      <c r="J104" s="702">
        <f>K104/$I$14</f>
        <v>369.18157564047891</v>
      </c>
      <c r="K104" s="702">
        <f>Study!C104</f>
        <v>11739841.199999999</v>
      </c>
      <c r="L104" s="572"/>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P104" s="53"/>
      <c r="BQ104" s="53"/>
    </row>
    <row r="105" spans="2:69" x14ac:dyDescent="0.2">
      <c r="B105" s="579"/>
      <c r="C105" s="548" t="s">
        <v>499</v>
      </c>
      <c r="D105" s="506"/>
      <c r="E105" s="506"/>
      <c r="F105" s="506"/>
      <c r="G105" s="506"/>
      <c r="H105" s="505"/>
      <c r="I105" s="506"/>
      <c r="J105" s="553"/>
      <c r="K105" s="553"/>
      <c r="L105" s="572"/>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P105" s="53"/>
      <c r="BQ105" s="53"/>
    </row>
    <row r="106" spans="2:69" x14ac:dyDescent="0.2">
      <c r="B106" s="579"/>
      <c r="C106" s="512" t="s">
        <v>244</v>
      </c>
      <c r="D106" s="506"/>
      <c r="E106" s="506"/>
      <c r="F106" s="506"/>
      <c r="G106" s="506"/>
      <c r="H106" s="505"/>
      <c r="I106" s="506"/>
      <c r="J106" s="702">
        <f>K106/I15</f>
        <v>4.7329790861497596</v>
      </c>
      <c r="K106" s="702">
        <f>Study!C98+Study!C100</f>
        <v>46954.910520000005</v>
      </c>
      <c r="L106" s="572"/>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P106" s="53"/>
      <c r="BQ106" s="53"/>
    </row>
    <row r="107" spans="2:69" x14ac:dyDescent="0.2">
      <c r="B107" s="579"/>
      <c r="C107" s="548" t="s">
        <v>499</v>
      </c>
      <c r="D107" s="506"/>
      <c r="E107" s="506"/>
      <c r="F107" s="506"/>
      <c r="G107" s="506"/>
      <c r="H107" s="505"/>
      <c r="I107" s="506"/>
      <c r="J107" s="522"/>
      <c r="K107" s="522"/>
      <c r="L107" s="572"/>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P107" s="53"/>
      <c r="BQ107" s="53"/>
    </row>
    <row r="108" spans="2:69" x14ac:dyDescent="0.2">
      <c r="B108" s="579"/>
      <c r="C108" s="512" t="s">
        <v>252</v>
      </c>
      <c r="D108" s="506"/>
      <c r="E108" s="506"/>
      <c r="F108" s="506"/>
      <c r="G108" s="506"/>
      <c r="H108" s="505"/>
      <c r="I108" s="506"/>
      <c r="J108" s="701">
        <f>J110+J109</f>
        <v>224.5906957986958</v>
      </c>
      <c r="K108" s="701">
        <f>K109+K110</f>
        <v>7141903.2737480383</v>
      </c>
      <c r="L108" s="572"/>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P108" s="53"/>
      <c r="BQ108" s="53"/>
    </row>
    <row r="109" spans="2:69" x14ac:dyDescent="0.2">
      <c r="B109" s="579"/>
      <c r="C109" s="555">
        <f>Study!C192</f>
        <v>7.2999999999999995E-2</v>
      </c>
      <c r="D109" s="506"/>
      <c r="E109" s="506"/>
      <c r="F109" s="506"/>
      <c r="G109" s="506"/>
      <c r="H109" s="505"/>
      <c r="I109" s="506"/>
      <c r="J109" s="701">
        <f>K109/$I$14</f>
        <v>216.04468615833508</v>
      </c>
      <c r="K109" s="701">
        <f>-Study!E192</f>
        <v>6870143.2437480381</v>
      </c>
      <c r="L109" s="572"/>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P109" s="53"/>
      <c r="BQ109" s="53"/>
    </row>
    <row r="110" spans="2:69" x14ac:dyDescent="0.2">
      <c r="B110" s="579"/>
      <c r="C110" s="556">
        <f>Study!C193</f>
        <v>5.0000000000000001E-3</v>
      </c>
      <c r="D110" s="506"/>
      <c r="E110" s="506"/>
      <c r="F110" s="506"/>
      <c r="G110" s="506"/>
      <c r="H110" s="505"/>
      <c r="I110" s="506"/>
      <c r="J110" s="702">
        <f>K110/$I$14</f>
        <v>8.54600964036071</v>
      </c>
      <c r="K110" s="702">
        <f>-Study!F252</f>
        <v>271760.03000000003</v>
      </c>
      <c r="L110" s="572"/>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P110" s="53"/>
      <c r="BQ110" s="53"/>
    </row>
    <row r="111" spans="2:69" x14ac:dyDescent="0.2">
      <c r="B111" s="579"/>
      <c r="C111" s="548" t="s">
        <v>499</v>
      </c>
      <c r="D111" s="506"/>
      <c r="E111" s="506"/>
      <c r="F111" s="506"/>
      <c r="G111" s="506"/>
      <c r="H111" s="505"/>
      <c r="I111" s="506"/>
      <c r="J111" s="553"/>
      <c r="K111" s="553"/>
      <c r="L111" s="572"/>
      <c r="BK111" s="78"/>
      <c r="BP111" s="53"/>
      <c r="BQ111" s="53"/>
    </row>
    <row r="112" spans="2:69" x14ac:dyDescent="0.2">
      <c r="B112" s="579"/>
      <c r="C112" s="512" t="s">
        <v>245</v>
      </c>
      <c r="D112" s="506"/>
      <c r="E112" s="506"/>
      <c r="F112" s="506"/>
      <c r="G112" s="506"/>
      <c r="H112" s="505"/>
      <c r="I112" s="506"/>
      <c r="J112" s="701">
        <f>J113+J114</f>
        <v>332.54514830985511</v>
      </c>
      <c r="K112" s="701">
        <f>K113+K114</f>
        <v>10574816</v>
      </c>
      <c r="L112" s="572"/>
      <c r="BK112" s="78"/>
      <c r="BP112" s="53"/>
      <c r="BQ112" s="53"/>
    </row>
    <row r="113" spans="2:69" x14ac:dyDescent="0.2">
      <c r="B113" s="579"/>
      <c r="C113" s="557" t="s">
        <v>467</v>
      </c>
      <c r="D113" s="506"/>
      <c r="E113" s="506"/>
      <c r="F113" s="506"/>
      <c r="G113" s="506"/>
      <c r="H113" s="505"/>
      <c r="I113" s="506"/>
      <c r="J113" s="701">
        <f>K113/$I$14</f>
        <v>289.77736854882636</v>
      </c>
      <c r="K113" s="701">
        <f>Study!C105</f>
        <v>9214816</v>
      </c>
      <c r="L113" s="572"/>
      <c r="BK113" s="78"/>
      <c r="BP113" s="53"/>
      <c r="BQ113" s="53"/>
    </row>
    <row r="114" spans="2:69" x14ac:dyDescent="0.2">
      <c r="B114" s="579"/>
      <c r="C114" s="552" t="s">
        <v>246</v>
      </c>
      <c r="D114" s="506"/>
      <c r="E114" s="506"/>
      <c r="F114" s="506"/>
      <c r="G114" s="506"/>
      <c r="H114" s="505"/>
      <c r="I114" s="506"/>
      <c r="J114" s="702">
        <f>K114/$I$14</f>
        <v>42.767779761028741</v>
      </c>
      <c r="K114" s="702">
        <f>Study!C106</f>
        <v>1360000</v>
      </c>
      <c r="L114" s="572"/>
      <c r="BK114" s="78"/>
      <c r="BP114" s="53"/>
      <c r="BQ114" s="53"/>
    </row>
    <row r="115" spans="2:69" x14ac:dyDescent="0.2">
      <c r="B115" s="579"/>
      <c r="C115" s="548" t="s">
        <v>499</v>
      </c>
      <c r="D115" s="505"/>
      <c r="E115" s="505"/>
      <c r="F115" s="505"/>
      <c r="G115" s="505"/>
      <c r="H115" s="505"/>
      <c r="I115" s="505"/>
      <c r="J115" s="505"/>
      <c r="K115" s="505"/>
      <c r="L115" s="572"/>
      <c r="BK115" s="78"/>
      <c r="BP115" s="53"/>
      <c r="BQ115" s="53"/>
    </row>
    <row r="116" spans="2:69" x14ac:dyDescent="0.2">
      <c r="B116" s="579"/>
      <c r="C116" s="518"/>
      <c r="D116" s="505"/>
      <c r="E116" s="505"/>
      <c r="F116" s="505"/>
      <c r="G116" s="505"/>
      <c r="H116" s="505"/>
      <c r="I116" s="505"/>
      <c r="J116" s="505"/>
      <c r="K116" s="505"/>
      <c r="L116" s="601"/>
      <c r="R116" s="173"/>
      <c r="BK116" s="78"/>
      <c r="BP116" s="53"/>
      <c r="BQ116" s="53"/>
    </row>
    <row r="117" spans="2:69" x14ac:dyDescent="0.2">
      <c r="B117" s="579"/>
      <c r="C117" s="518"/>
      <c r="D117" s="505"/>
      <c r="E117" s="505"/>
      <c r="F117" s="505"/>
      <c r="G117" s="505"/>
      <c r="H117" s="505"/>
      <c r="I117" s="505"/>
      <c r="J117" s="505"/>
      <c r="K117" s="505"/>
      <c r="L117" s="601"/>
      <c r="R117" s="173"/>
      <c r="BK117" s="78"/>
      <c r="BP117" s="53"/>
      <c r="BQ117" s="53"/>
    </row>
    <row r="118" spans="2:69" x14ac:dyDescent="0.2">
      <c r="B118" s="579"/>
      <c r="C118" s="518"/>
      <c r="D118" s="505"/>
      <c r="E118" s="505"/>
      <c r="F118" s="505"/>
      <c r="G118" s="505"/>
      <c r="H118" s="505"/>
      <c r="I118" s="505"/>
      <c r="J118" s="505"/>
      <c r="K118" s="505"/>
      <c r="L118" s="601"/>
      <c r="R118" s="173"/>
      <c r="BK118" s="78"/>
      <c r="BP118" s="53"/>
      <c r="BQ118" s="53"/>
    </row>
    <row r="119" spans="2:69" x14ac:dyDescent="0.2">
      <c r="B119" s="579"/>
      <c r="C119" s="518"/>
      <c r="D119" s="505"/>
      <c r="E119" s="505"/>
      <c r="F119" s="505"/>
      <c r="G119" s="505"/>
      <c r="H119" s="505"/>
      <c r="I119" s="505"/>
      <c r="J119" s="505"/>
      <c r="K119" s="505"/>
      <c r="L119" s="601"/>
      <c r="R119" s="173"/>
      <c r="BK119" s="78"/>
      <c r="BP119" s="53"/>
      <c r="BQ119" s="53"/>
    </row>
    <row r="120" spans="2:69" x14ac:dyDescent="0.2">
      <c r="B120" s="579"/>
      <c r="C120" s="518"/>
      <c r="D120" s="505"/>
      <c r="E120" s="505"/>
      <c r="F120" s="505"/>
      <c r="G120" s="505"/>
      <c r="H120" s="505"/>
      <c r="I120" s="505"/>
      <c r="J120" s="505"/>
      <c r="K120" s="505"/>
      <c r="L120" s="601"/>
      <c r="R120" s="173"/>
      <c r="BK120" s="78"/>
      <c r="BP120" s="53"/>
      <c r="BQ120" s="53"/>
    </row>
    <row r="121" spans="2:69" x14ac:dyDescent="0.2">
      <c r="B121" s="579"/>
      <c r="C121" s="518"/>
      <c r="D121" s="505"/>
      <c r="E121" s="505"/>
      <c r="F121" s="505"/>
      <c r="G121" s="505"/>
      <c r="H121" s="505"/>
      <c r="I121" s="505"/>
      <c r="J121" s="505"/>
      <c r="K121" s="505"/>
      <c r="L121" s="601"/>
      <c r="R121" s="173"/>
      <c r="BK121" s="78"/>
      <c r="BP121" s="53"/>
      <c r="BQ121" s="53"/>
    </row>
    <row r="122" spans="2:69" x14ac:dyDescent="0.2">
      <c r="B122" s="579"/>
      <c r="C122" s="518"/>
      <c r="D122" s="505"/>
      <c r="E122" s="505"/>
      <c r="F122" s="505"/>
      <c r="G122" s="505"/>
      <c r="H122" s="505"/>
      <c r="I122" s="505"/>
      <c r="J122" s="505"/>
      <c r="K122" s="505"/>
      <c r="L122" s="601"/>
      <c r="R122" s="173"/>
      <c r="BK122" s="78"/>
      <c r="BP122" s="53"/>
      <c r="BQ122" s="53"/>
    </row>
    <row r="123" spans="2:69" x14ac:dyDescent="0.2">
      <c r="B123" s="579"/>
      <c r="C123" s="518"/>
      <c r="D123" s="505"/>
      <c r="E123" s="505"/>
      <c r="F123" s="505"/>
      <c r="G123" s="505"/>
      <c r="H123" s="505"/>
      <c r="I123" s="505"/>
      <c r="J123" s="505"/>
      <c r="K123" s="505"/>
      <c r="L123" s="601"/>
      <c r="R123" s="173"/>
      <c r="BK123" s="78"/>
      <c r="BP123" s="53"/>
      <c r="BQ123" s="53"/>
    </row>
    <row r="124" spans="2:69" x14ac:dyDescent="0.2">
      <c r="B124" s="579"/>
      <c r="C124" s="518"/>
      <c r="D124" s="505"/>
      <c r="E124" s="505"/>
      <c r="F124" s="505"/>
      <c r="G124" s="505"/>
      <c r="H124" s="505"/>
      <c r="I124" s="505"/>
      <c r="J124" s="505"/>
      <c r="K124" s="505"/>
      <c r="L124" s="601"/>
      <c r="R124" s="173"/>
      <c r="BK124" s="78"/>
      <c r="BP124" s="53"/>
      <c r="BQ124" s="53"/>
    </row>
    <row r="125" spans="2:69" x14ac:dyDescent="0.2">
      <c r="B125" s="579"/>
      <c r="C125" s="518"/>
      <c r="D125" s="505"/>
      <c r="E125" s="505"/>
      <c r="F125" s="505"/>
      <c r="G125" s="505"/>
      <c r="H125" s="505"/>
      <c r="I125" s="505"/>
      <c r="J125" s="505"/>
      <c r="K125" s="505"/>
      <c r="L125" s="601"/>
      <c r="R125" s="173"/>
      <c r="BK125" s="78"/>
      <c r="BP125" s="53"/>
      <c r="BQ125" s="53"/>
    </row>
    <row r="126" spans="2:69" x14ac:dyDescent="0.2">
      <c r="B126" s="579"/>
      <c r="C126" s="518"/>
      <c r="D126" s="505"/>
      <c r="E126" s="505"/>
      <c r="F126" s="505"/>
      <c r="G126" s="505"/>
      <c r="H126" s="505"/>
      <c r="I126" s="505"/>
      <c r="J126" s="505"/>
      <c r="K126" s="505"/>
      <c r="L126" s="601"/>
      <c r="R126" s="173"/>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P126" s="53"/>
      <c r="BQ126" s="53"/>
    </row>
    <row r="127" spans="2:69" x14ac:dyDescent="0.2">
      <c r="B127" s="579"/>
      <c r="C127" s="518"/>
      <c r="D127" s="505"/>
      <c r="E127" s="505"/>
      <c r="F127" s="505"/>
      <c r="G127" s="505"/>
      <c r="H127" s="505"/>
      <c r="I127" s="505"/>
      <c r="J127" s="505"/>
      <c r="K127" s="505"/>
      <c r="L127" s="601"/>
      <c r="R127" s="173"/>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P127" s="53"/>
      <c r="BQ127" s="53"/>
    </row>
    <row r="128" spans="2:69" x14ac:dyDescent="0.2">
      <c r="B128" s="579"/>
      <c r="C128" s="518"/>
      <c r="D128" s="505"/>
      <c r="E128" s="505"/>
      <c r="F128" s="505"/>
      <c r="G128" s="505"/>
      <c r="H128" s="505"/>
      <c r="I128" s="505"/>
      <c r="J128" s="505"/>
      <c r="K128" s="505"/>
      <c r="L128" s="601"/>
      <c r="R128" s="173"/>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P128" s="53"/>
      <c r="BQ128" s="53"/>
    </row>
    <row r="129" spans="2:69" x14ac:dyDescent="0.2">
      <c r="B129" s="579"/>
      <c r="C129" s="518"/>
      <c r="D129" s="505"/>
      <c r="E129" s="505"/>
      <c r="F129" s="505"/>
      <c r="G129" s="505"/>
      <c r="H129" s="505"/>
      <c r="I129" s="505"/>
      <c r="J129" s="505"/>
      <c r="K129" s="505"/>
      <c r="L129" s="601"/>
      <c r="R129" s="173"/>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P129" s="53"/>
      <c r="BQ129" s="53"/>
    </row>
    <row r="130" spans="2:69" x14ac:dyDescent="0.2">
      <c r="B130" s="579"/>
      <c r="C130" s="518"/>
      <c r="D130" s="505"/>
      <c r="E130" s="505"/>
      <c r="F130" s="505"/>
      <c r="G130" s="505"/>
      <c r="H130" s="505"/>
      <c r="I130" s="505"/>
      <c r="J130" s="505"/>
      <c r="K130" s="505"/>
      <c r="L130" s="601"/>
      <c r="R130" s="173"/>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P130" s="53"/>
      <c r="BQ130" s="53"/>
    </row>
    <row r="131" spans="2:69" x14ac:dyDescent="0.2">
      <c r="B131" s="579"/>
      <c r="C131" s="518"/>
      <c r="D131" s="505"/>
      <c r="E131" s="505"/>
      <c r="F131" s="505"/>
      <c r="G131" s="505"/>
      <c r="H131" s="505"/>
      <c r="I131" s="505"/>
      <c r="J131" s="505"/>
      <c r="K131" s="505"/>
      <c r="L131" s="601"/>
      <c r="R131" s="173"/>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P131" s="53"/>
      <c r="BQ131" s="53"/>
    </row>
    <row r="132" spans="2:69" x14ac:dyDescent="0.2">
      <c r="B132" s="579"/>
      <c r="C132" s="518"/>
      <c r="D132" s="505"/>
      <c r="E132" s="505"/>
      <c r="F132" s="505"/>
      <c r="G132" s="505"/>
      <c r="H132" s="505"/>
      <c r="I132" s="505"/>
      <c r="J132" s="505"/>
      <c r="K132" s="505"/>
      <c r="L132" s="601"/>
      <c r="R132" s="173"/>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P132" s="53"/>
      <c r="BQ132" s="53"/>
    </row>
    <row r="133" spans="2:69" x14ac:dyDescent="0.2">
      <c r="B133" s="579"/>
      <c r="C133" s="518"/>
      <c r="D133" s="505"/>
      <c r="E133" s="505"/>
      <c r="F133" s="505"/>
      <c r="G133" s="505"/>
      <c r="H133" s="505"/>
      <c r="I133" s="505"/>
      <c r="J133" s="505"/>
      <c r="K133" s="505"/>
      <c r="L133" s="572"/>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P133" s="53"/>
      <c r="BQ133" s="53"/>
    </row>
    <row r="134" spans="2:69" x14ac:dyDescent="0.2">
      <c r="B134" s="579"/>
      <c r="C134" s="518"/>
      <c r="D134" s="505"/>
      <c r="E134" s="505"/>
      <c r="F134" s="505"/>
      <c r="G134" s="505"/>
      <c r="H134" s="505"/>
      <c r="I134" s="505"/>
      <c r="J134" s="505"/>
      <c r="K134" s="505"/>
      <c r="L134" s="572"/>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P134" s="53"/>
    </row>
    <row r="135" spans="2:69" x14ac:dyDescent="0.2">
      <c r="B135" s="579"/>
      <c r="C135" s="518"/>
      <c r="D135" s="505"/>
      <c r="E135" s="505"/>
      <c r="F135" s="505"/>
      <c r="G135" s="505"/>
      <c r="H135" s="505"/>
      <c r="I135" s="505"/>
      <c r="J135" s="505"/>
      <c r="K135" s="505"/>
      <c r="L135" s="572"/>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P135" s="53"/>
    </row>
    <row r="136" spans="2:69" x14ac:dyDescent="0.2">
      <c r="B136" s="579"/>
      <c r="C136" s="518"/>
      <c r="D136" s="505"/>
      <c r="E136" s="505"/>
      <c r="F136" s="505"/>
      <c r="G136" s="505"/>
      <c r="H136" s="505"/>
      <c r="I136" s="505"/>
      <c r="J136" s="505"/>
      <c r="K136" s="505"/>
      <c r="L136" s="572"/>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P136" s="53"/>
    </row>
    <row r="137" spans="2:69" x14ac:dyDescent="0.2">
      <c r="B137" s="579"/>
      <c r="C137" s="518"/>
      <c r="D137" s="505"/>
      <c r="E137" s="505"/>
      <c r="F137" s="505"/>
      <c r="G137" s="505"/>
      <c r="H137" s="505"/>
      <c r="I137" s="505"/>
      <c r="J137" s="505"/>
      <c r="K137" s="505"/>
      <c r="L137" s="572"/>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P137" s="53"/>
    </row>
    <row r="138" spans="2:69" x14ac:dyDescent="0.2">
      <c r="B138" s="579"/>
      <c r="C138" s="518"/>
      <c r="D138" s="505"/>
      <c r="E138" s="505"/>
      <c r="F138" s="505"/>
      <c r="G138" s="505"/>
      <c r="H138" s="505"/>
      <c r="I138" s="505"/>
      <c r="J138" s="505"/>
      <c r="K138" s="505"/>
      <c r="L138" s="574"/>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P138" s="53"/>
    </row>
    <row r="139" spans="2:69" x14ac:dyDescent="0.2">
      <c r="B139" s="579"/>
      <c r="C139" s="518"/>
      <c r="D139" s="505"/>
      <c r="E139" s="505"/>
      <c r="F139" s="505"/>
      <c r="G139" s="505"/>
      <c r="H139" s="505"/>
      <c r="I139" s="505"/>
      <c r="J139" s="505"/>
      <c r="K139" s="505"/>
      <c r="L139" s="572"/>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P139" s="53"/>
    </row>
    <row r="140" spans="2:69" x14ac:dyDescent="0.2">
      <c r="B140" s="579"/>
      <c r="C140" s="518"/>
      <c r="D140" s="505"/>
      <c r="E140" s="505"/>
      <c r="F140" s="505"/>
      <c r="G140" s="505"/>
      <c r="H140" s="505"/>
      <c r="I140" s="505"/>
      <c r="J140" s="505"/>
      <c r="K140" s="505"/>
      <c r="L140" s="572"/>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row>
    <row r="141" spans="2:69" ht="19.5" thickBot="1" x14ac:dyDescent="0.25">
      <c r="B141" s="580"/>
      <c r="C141" s="536" t="s">
        <v>247</v>
      </c>
      <c r="D141" s="529"/>
      <c r="E141" s="529"/>
      <c r="F141" s="529"/>
      <c r="G141" s="529"/>
      <c r="H141" s="529"/>
      <c r="I141" s="529"/>
      <c r="J141" s="537">
        <f>K141/I14</f>
        <v>665.73262998323253</v>
      </c>
      <c r="K141" s="538">
        <f>Study!C102</f>
        <v>21170057.969719999</v>
      </c>
      <c r="L141" s="573"/>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row>
    <row r="142" spans="2:69" x14ac:dyDescent="0.2">
      <c r="B142" s="579"/>
      <c r="C142" s="518"/>
      <c r="D142" s="512"/>
      <c r="E142" s="512"/>
      <c r="F142" s="512"/>
      <c r="G142" s="512"/>
      <c r="H142" s="513"/>
      <c r="I142" s="512"/>
      <c r="J142" s="505"/>
      <c r="K142" s="505"/>
      <c r="L142" s="572"/>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row>
    <row r="143" spans="2:69" x14ac:dyDescent="0.2">
      <c r="B143" s="579"/>
      <c r="C143" s="524"/>
      <c r="D143" s="506"/>
      <c r="E143" s="506"/>
      <c r="F143" s="506"/>
      <c r="G143" s="506"/>
      <c r="H143" s="505"/>
      <c r="I143" s="506"/>
      <c r="J143" s="522"/>
      <c r="K143" s="522"/>
      <c r="L143" s="572"/>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row>
    <row r="144" spans="2:69" x14ac:dyDescent="0.2">
      <c r="B144" s="579"/>
      <c r="C144" s="524"/>
      <c r="D144" s="506"/>
      <c r="E144" s="506"/>
      <c r="F144" s="506"/>
      <c r="G144" s="506"/>
      <c r="H144" s="505"/>
      <c r="I144" s="506"/>
      <c r="J144" s="522"/>
      <c r="K144" s="522"/>
      <c r="L144" s="572"/>
      <c r="S144" s="707" t="s">
        <v>509</v>
      </c>
      <c r="T144" s="708" t="s">
        <v>510</v>
      </c>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row>
    <row r="145" spans="2:63" x14ac:dyDescent="0.2">
      <c r="B145" s="579"/>
      <c r="C145" s="524"/>
      <c r="D145" s="506"/>
      <c r="E145" s="506"/>
      <c r="F145" s="506"/>
      <c r="G145" s="506"/>
      <c r="H145" s="505"/>
      <c r="I145" s="506"/>
      <c r="J145" s="522"/>
      <c r="K145" s="522"/>
      <c r="L145" s="572"/>
      <c r="S145" s="709" t="s">
        <v>521</v>
      </c>
      <c r="T145" s="710">
        <f>Study!C86</f>
        <v>534040</v>
      </c>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row>
    <row r="146" spans="2:63" x14ac:dyDescent="0.2">
      <c r="B146" s="579"/>
      <c r="C146" s="524"/>
      <c r="D146" s="506"/>
      <c r="E146" s="506"/>
      <c r="F146" s="506"/>
      <c r="G146" s="506"/>
      <c r="H146" s="505"/>
      <c r="I146" s="506"/>
      <c r="J146" s="522"/>
      <c r="K146" s="522"/>
      <c r="L146" s="572"/>
      <c r="S146" s="709" t="s">
        <v>522</v>
      </c>
      <c r="T146" s="710">
        <f>Study!C87</f>
        <v>2835360</v>
      </c>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row>
    <row r="147" spans="2:63" x14ac:dyDescent="0.2">
      <c r="B147" s="579"/>
      <c r="C147" s="524"/>
      <c r="D147" s="506"/>
      <c r="E147" s="506"/>
      <c r="F147" s="506"/>
      <c r="G147" s="506"/>
      <c r="H147" s="505"/>
      <c r="I147" s="506"/>
      <c r="J147" s="522"/>
      <c r="K147" s="522"/>
      <c r="L147" s="572"/>
      <c r="S147" s="709" t="s">
        <v>523</v>
      </c>
      <c r="T147" s="710">
        <f>Study!C88</f>
        <v>1330515.3360000001</v>
      </c>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row>
    <row r="148" spans="2:63" x14ac:dyDescent="0.2">
      <c r="B148" s="579"/>
      <c r="C148" s="524"/>
      <c r="D148" s="506"/>
      <c r="E148" s="506"/>
      <c r="F148" s="506"/>
      <c r="G148" s="506"/>
      <c r="H148" s="505"/>
      <c r="I148" s="506"/>
      <c r="J148" s="522"/>
      <c r="K148" s="522"/>
      <c r="L148" s="572"/>
      <c r="S148" s="709" t="s">
        <v>524</v>
      </c>
      <c r="T148" s="710">
        <f>Study!C89</f>
        <v>62830.559999999998</v>
      </c>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row>
    <row r="149" spans="2:63" x14ac:dyDescent="0.2">
      <c r="B149" s="579"/>
      <c r="C149" s="524"/>
      <c r="D149" s="506"/>
      <c r="E149" s="506"/>
      <c r="F149" s="506"/>
      <c r="G149" s="506"/>
      <c r="H149" s="505"/>
      <c r="I149" s="506"/>
      <c r="J149" s="522"/>
      <c r="K149" s="522"/>
      <c r="L149" s="572"/>
      <c r="S149" s="709" t="s">
        <v>525</v>
      </c>
      <c r="T149" s="710">
        <f>Study!C90</f>
        <v>3913280.4000000004</v>
      </c>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row>
    <row r="150" spans="2:63" x14ac:dyDescent="0.2">
      <c r="B150" s="579"/>
      <c r="C150" s="524"/>
      <c r="D150" s="506"/>
      <c r="E150" s="506"/>
      <c r="F150" s="506"/>
      <c r="G150" s="506"/>
      <c r="H150" s="505"/>
      <c r="I150" s="506"/>
      <c r="J150" s="522"/>
      <c r="K150" s="522"/>
      <c r="L150" s="572"/>
      <c r="S150" s="709" t="s">
        <v>526</v>
      </c>
      <c r="T150" s="710">
        <f>Study!C91</f>
        <v>6149999.9999999991</v>
      </c>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row>
    <row r="151" spans="2:63" x14ac:dyDescent="0.2">
      <c r="B151" s="579"/>
      <c r="C151" s="524"/>
      <c r="D151" s="506"/>
      <c r="E151" s="506"/>
      <c r="F151" s="506"/>
      <c r="G151" s="506"/>
      <c r="H151" s="505"/>
      <c r="I151" s="506"/>
      <c r="J151" s="522"/>
      <c r="K151" s="522"/>
      <c r="L151" s="572"/>
      <c r="S151" s="709" t="s">
        <v>527</v>
      </c>
      <c r="T151" s="710">
        <f>Study!C92</f>
        <v>0</v>
      </c>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row>
    <row r="152" spans="2:63" x14ac:dyDescent="0.2">
      <c r="B152" s="579"/>
      <c r="C152" s="524"/>
      <c r="D152" s="506"/>
      <c r="E152" s="506"/>
      <c r="F152" s="506"/>
      <c r="G152" s="506"/>
      <c r="H152" s="505"/>
      <c r="I152" s="506"/>
      <c r="J152" s="522"/>
      <c r="K152" s="522"/>
      <c r="L152" s="572"/>
      <c r="S152" s="709" t="s">
        <v>528</v>
      </c>
      <c r="T152" s="710">
        <f>Study!C93</f>
        <v>912500</v>
      </c>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row>
    <row r="153" spans="2:63" x14ac:dyDescent="0.2">
      <c r="B153" s="579"/>
      <c r="C153" s="524"/>
      <c r="D153" s="506"/>
      <c r="E153" s="506"/>
      <c r="F153" s="506"/>
      <c r="G153" s="506"/>
      <c r="H153" s="505"/>
      <c r="I153" s="506"/>
      <c r="J153" s="522"/>
      <c r="K153" s="522"/>
      <c r="L153" s="572"/>
      <c r="S153" s="709" t="s">
        <v>529</v>
      </c>
      <c r="T153" s="710">
        <f>Study!C94</f>
        <v>984000</v>
      </c>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row>
    <row r="154" spans="2:63" x14ac:dyDescent="0.2">
      <c r="B154" s="579"/>
      <c r="C154" s="524"/>
      <c r="D154" s="506"/>
      <c r="E154" s="506"/>
      <c r="F154" s="506"/>
      <c r="G154" s="506"/>
      <c r="H154" s="505"/>
      <c r="I154" s="506"/>
      <c r="J154" s="522"/>
      <c r="K154" s="522"/>
      <c r="L154" s="572"/>
      <c r="S154" s="709" t="s">
        <v>530</v>
      </c>
      <c r="T154" s="710">
        <f>Study!C95</f>
        <v>18000</v>
      </c>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row>
    <row r="155" spans="2:63" x14ac:dyDescent="0.2">
      <c r="B155" s="579"/>
      <c r="C155" s="524"/>
      <c r="D155" s="506"/>
      <c r="E155" s="506"/>
      <c r="F155" s="506"/>
      <c r="G155" s="506"/>
      <c r="H155" s="505"/>
      <c r="I155" s="506"/>
      <c r="J155" s="522"/>
      <c r="K155" s="522"/>
      <c r="L155" s="572"/>
      <c r="S155" s="709" t="s">
        <v>531</v>
      </c>
      <c r="T155" s="710">
        <f>Study!C96</f>
        <v>299000</v>
      </c>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row>
    <row r="156" spans="2:63" x14ac:dyDescent="0.2">
      <c r="B156" s="579"/>
      <c r="C156" s="524"/>
      <c r="D156" s="506"/>
      <c r="E156" s="506"/>
      <c r="F156" s="506"/>
      <c r="G156" s="506"/>
      <c r="H156" s="505"/>
      <c r="I156" s="506"/>
      <c r="J156" s="522"/>
      <c r="K156" s="522"/>
      <c r="L156" s="572"/>
      <c r="S156" s="709" t="s">
        <v>532</v>
      </c>
      <c r="T156" s="710">
        <f>Study!C97</f>
        <v>1173984.1199999999</v>
      </c>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row>
    <row r="157" spans="2:63" x14ac:dyDescent="0.2">
      <c r="B157" s="579"/>
      <c r="C157" s="524"/>
      <c r="D157" s="506"/>
      <c r="E157" s="506"/>
      <c r="F157" s="506"/>
      <c r="G157" s="506"/>
      <c r="H157" s="505"/>
      <c r="I157" s="506"/>
      <c r="J157" s="522"/>
      <c r="K157" s="522"/>
      <c r="L157" s="572"/>
      <c r="S157" s="709" t="s">
        <v>533</v>
      </c>
      <c r="T157" s="710">
        <f>Study!C98</f>
        <v>46954.910520000005</v>
      </c>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row>
    <row r="158" spans="2:63" x14ac:dyDescent="0.2">
      <c r="B158" s="579"/>
      <c r="C158" s="524"/>
      <c r="D158" s="506"/>
      <c r="E158" s="506"/>
      <c r="F158" s="506"/>
      <c r="G158" s="506"/>
      <c r="H158" s="505"/>
      <c r="I158" s="506"/>
      <c r="J158" s="522"/>
      <c r="K158" s="522"/>
      <c r="L158" s="572"/>
      <c r="S158" s="709" t="s">
        <v>534</v>
      </c>
      <c r="T158" s="710">
        <f>Study!C99</f>
        <v>952952.44319999998</v>
      </c>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row>
    <row r="159" spans="2:63" x14ac:dyDescent="0.2">
      <c r="B159" s="579"/>
      <c r="C159" s="524"/>
      <c r="D159" s="506"/>
      <c r="E159" s="506"/>
      <c r="F159" s="506"/>
      <c r="G159" s="506"/>
      <c r="H159" s="505"/>
      <c r="I159" s="506"/>
      <c r="J159" s="522"/>
      <c r="K159" s="522"/>
      <c r="L159" s="572"/>
      <c r="S159" s="709" t="s">
        <v>535</v>
      </c>
      <c r="T159" s="710">
        <f>Study!C100</f>
        <v>0</v>
      </c>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row>
    <row r="160" spans="2:63" x14ac:dyDescent="0.2">
      <c r="B160" s="579"/>
      <c r="C160" s="524"/>
      <c r="D160" s="506"/>
      <c r="E160" s="506"/>
      <c r="F160" s="506"/>
      <c r="G160" s="506"/>
      <c r="H160" s="505"/>
      <c r="I160" s="506"/>
      <c r="J160" s="522"/>
      <c r="K160" s="522"/>
      <c r="L160" s="572"/>
      <c r="S160" s="711" t="s">
        <v>536</v>
      </c>
      <c r="T160" s="712">
        <f>Study!C101</f>
        <v>1956640.2000000002</v>
      </c>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row>
    <row r="161" spans="2:63" x14ac:dyDescent="0.2">
      <c r="B161" s="579"/>
      <c r="C161" s="524"/>
      <c r="D161" s="506"/>
      <c r="E161" s="506"/>
      <c r="F161" s="506"/>
      <c r="G161" s="506"/>
      <c r="H161" s="505"/>
      <c r="I161" s="506"/>
      <c r="J161" s="522"/>
      <c r="K161" s="522"/>
      <c r="L161" s="572"/>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row>
    <row r="162" spans="2:63" x14ac:dyDescent="0.2">
      <c r="B162" s="579"/>
      <c r="C162" s="524"/>
      <c r="D162" s="506"/>
      <c r="E162" s="506"/>
      <c r="F162" s="506"/>
      <c r="G162" s="506"/>
      <c r="H162" s="505"/>
      <c r="I162" s="506"/>
      <c r="J162" s="522"/>
      <c r="K162" s="522"/>
      <c r="L162" s="572"/>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row>
    <row r="163" spans="2:63" x14ac:dyDescent="0.2">
      <c r="B163" s="579"/>
      <c r="C163" s="524"/>
      <c r="D163" s="506"/>
      <c r="E163" s="506"/>
      <c r="F163" s="506"/>
      <c r="G163" s="506"/>
      <c r="H163" s="505"/>
      <c r="I163" s="506"/>
      <c r="J163" s="522"/>
      <c r="K163" s="522"/>
      <c r="L163" s="572"/>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row>
    <row r="164" spans="2:63" ht="19.5" thickBot="1" x14ac:dyDescent="0.25">
      <c r="B164" s="580"/>
      <c r="C164" s="530" t="s">
        <v>464</v>
      </c>
      <c r="D164" s="529"/>
      <c r="E164" s="529"/>
      <c r="F164" s="529"/>
      <c r="G164" s="529"/>
      <c r="H164" s="533"/>
      <c r="I164" s="529"/>
      <c r="J164" s="529"/>
      <c r="K164" s="529" t="s">
        <v>229</v>
      </c>
      <c r="L164" s="573"/>
      <c r="AH164" s="78"/>
      <c r="AI164" s="78"/>
      <c r="AJ164" s="78"/>
      <c r="AK164" s="78"/>
      <c r="AL164" s="78"/>
      <c r="AM164" s="78"/>
      <c r="AN164" s="78"/>
      <c r="AO164" s="78"/>
      <c r="AP164" s="78"/>
      <c r="AR164" s="78"/>
      <c r="AS164" s="78"/>
      <c r="AT164" s="78"/>
      <c r="AU164" s="78"/>
      <c r="AV164" s="78"/>
      <c r="AW164" s="78"/>
      <c r="AX164" s="78"/>
      <c r="AY164" s="78"/>
      <c r="AZ164" s="78"/>
      <c r="BA164" s="78"/>
      <c r="BB164" s="78"/>
      <c r="BC164" s="78"/>
      <c r="BD164" s="78"/>
      <c r="BE164" s="78"/>
      <c r="BF164" s="78"/>
      <c r="BG164" s="78"/>
      <c r="BH164" s="78"/>
      <c r="BI164" s="78"/>
      <c r="BJ164" s="78"/>
      <c r="BK164" s="78"/>
    </row>
    <row r="165" spans="2:63" ht="37.5" x14ac:dyDescent="0.2">
      <c r="B165" s="579"/>
      <c r="C165" s="558" t="s">
        <v>157</v>
      </c>
      <c r="D165" s="506"/>
      <c r="E165" s="506"/>
      <c r="F165" s="506"/>
      <c r="G165" s="506"/>
      <c r="H165" s="505"/>
      <c r="I165" s="506"/>
      <c r="J165" s="522"/>
      <c r="K165" s="523">
        <f>Study!C187</f>
        <v>0</v>
      </c>
      <c r="L165" s="572"/>
      <c r="S165" s="713" t="s">
        <v>511</v>
      </c>
      <c r="T165" s="604">
        <f>Study!F246</f>
        <v>0</v>
      </c>
      <c r="U165" s="604">
        <f>Study!G246</f>
        <v>0</v>
      </c>
      <c r="V165" s="604">
        <f>Study!H246</f>
        <v>0</v>
      </c>
      <c r="W165" s="604">
        <f>Study!I246</f>
        <v>0</v>
      </c>
      <c r="X165" s="604">
        <f>Study!J246</f>
        <v>0</v>
      </c>
      <c r="Y165" s="604">
        <f>Study!K246</f>
        <v>0</v>
      </c>
      <c r="Z165" s="604">
        <f>Study!L246</f>
        <v>2552006</v>
      </c>
      <c r="AA165" s="604">
        <f>Study!M246</f>
        <v>3352006</v>
      </c>
      <c r="AB165" s="604">
        <f>Study!N246</f>
        <v>5552006</v>
      </c>
      <c r="AC165" s="604">
        <f>Study!O246</f>
        <v>7752006</v>
      </c>
      <c r="AD165" s="604">
        <f>Study!P246</f>
        <v>13552006</v>
      </c>
      <c r="AE165" s="604">
        <f>Study!Q246</f>
        <v>22552006</v>
      </c>
      <c r="AF165" s="604">
        <f>Study!R246</f>
        <v>28652006</v>
      </c>
      <c r="AG165" s="604">
        <f>Study!S246</f>
        <v>36052006</v>
      </c>
      <c r="AH165" s="604">
        <f>Study!T246</f>
        <v>43252006</v>
      </c>
      <c r="AI165" s="604">
        <f>Study!U246</f>
        <v>53252006</v>
      </c>
      <c r="AJ165" s="604">
        <f>Study!V246</f>
        <v>53552006</v>
      </c>
      <c r="AK165" s="604">
        <f>Study!W246</f>
        <v>54352006</v>
      </c>
      <c r="AL165" s="604">
        <f>Study!X246</f>
        <v>52022133.136878826</v>
      </c>
      <c r="AM165" s="604">
        <f>Study!Y246</f>
        <v>0</v>
      </c>
      <c r="AN165" s="604">
        <f>Study!Z246</f>
        <v>0</v>
      </c>
      <c r="AO165" s="604">
        <f>Study!AA246</f>
        <v>0</v>
      </c>
      <c r="AP165" s="604">
        <f>Study!AB246</f>
        <v>0</v>
      </c>
      <c r="AQ165" s="604">
        <f>Study!AC246</f>
        <v>0</v>
      </c>
      <c r="AR165" s="78"/>
      <c r="AS165" s="78"/>
      <c r="AT165" s="78"/>
      <c r="AU165" s="78"/>
      <c r="AV165" s="78"/>
      <c r="AW165" s="78"/>
      <c r="AX165" s="78"/>
      <c r="AY165" s="78"/>
      <c r="AZ165" s="78"/>
      <c r="BA165" s="78"/>
      <c r="BB165" s="78"/>
      <c r="BC165" s="78"/>
      <c r="BD165" s="78"/>
      <c r="BE165" s="78"/>
      <c r="BF165" s="78"/>
      <c r="BG165" s="78"/>
      <c r="BH165" s="78"/>
      <c r="BI165" s="78"/>
      <c r="BJ165" s="78"/>
      <c r="BK165" s="78"/>
    </row>
    <row r="166" spans="2:63" ht="37.5" hidden="1" x14ac:dyDescent="0.2">
      <c r="B166" s="579"/>
      <c r="C166" s="521" t="s">
        <v>209</v>
      </c>
      <c r="D166" s="506"/>
      <c r="E166" s="506"/>
      <c r="F166" s="506"/>
      <c r="G166" s="506"/>
      <c r="H166" s="505"/>
      <c r="I166" s="506"/>
      <c r="J166" s="522"/>
      <c r="K166" s="523">
        <f>Study!C184</f>
        <v>46486956.52173914</v>
      </c>
      <c r="L166" s="572"/>
      <c r="S166" s="713" t="s">
        <v>512</v>
      </c>
      <c r="T166" s="604">
        <f>Study!F248</f>
        <v>0</v>
      </c>
      <c r="U166" s="604">
        <f>Study!G248</f>
        <v>0</v>
      </c>
      <c r="V166" s="604">
        <f>Study!H248</f>
        <v>0</v>
      </c>
      <c r="W166" s="604">
        <f>Study!I248</f>
        <v>0</v>
      </c>
      <c r="X166" s="604">
        <f>Study!J248</f>
        <v>0</v>
      </c>
      <c r="Y166" s="604">
        <f>Study!K248</f>
        <v>0</v>
      </c>
      <c r="Z166" s="604">
        <f>Study!L248</f>
        <v>2552006</v>
      </c>
      <c r="AA166" s="604">
        <f>Study!M248</f>
        <v>800000</v>
      </c>
      <c r="AB166" s="604">
        <f>Study!N248</f>
        <v>2200000</v>
      </c>
      <c r="AC166" s="604">
        <f>Study!O248</f>
        <v>2200000</v>
      </c>
      <c r="AD166" s="604">
        <f>Study!P248</f>
        <v>5800000</v>
      </c>
      <c r="AE166" s="604">
        <f>Study!Q248</f>
        <v>9000000</v>
      </c>
      <c r="AF166" s="604">
        <f>Study!R248</f>
        <v>6100000</v>
      </c>
      <c r="AG166" s="604">
        <f>Study!S248</f>
        <v>7400000</v>
      </c>
      <c r="AH166" s="604">
        <f>Study!T248</f>
        <v>7200000</v>
      </c>
      <c r="AI166" s="604">
        <f>Study!U248</f>
        <v>10000000</v>
      </c>
      <c r="AJ166" s="604">
        <f>Study!V248</f>
        <v>300000</v>
      </c>
      <c r="AK166" s="604">
        <f>Study!W248</f>
        <v>800000</v>
      </c>
      <c r="AL166" s="604">
        <f>Study!X248</f>
        <v>0</v>
      </c>
      <c r="AM166" s="604">
        <f>Study!Y248</f>
        <v>0</v>
      </c>
      <c r="AN166" s="604">
        <f>Study!Z248</f>
        <v>0</v>
      </c>
      <c r="AO166" s="604">
        <f>Study!AA248</f>
        <v>0</v>
      </c>
      <c r="AP166" s="604">
        <f>Study!AB248</f>
        <v>0</v>
      </c>
      <c r="AQ166" s="604">
        <f>Study!AC248</f>
        <v>0</v>
      </c>
      <c r="AR166" s="78"/>
      <c r="AS166" s="78"/>
      <c r="AT166" s="78"/>
      <c r="AU166" s="78"/>
      <c r="AV166" s="78"/>
      <c r="AW166" s="78"/>
      <c r="AX166" s="78"/>
      <c r="AY166" s="78"/>
      <c r="AZ166" s="78"/>
      <c r="BA166" s="78"/>
      <c r="BB166" s="78"/>
      <c r="BC166" s="78"/>
      <c r="BD166" s="78"/>
      <c r="BE166" s="78"/>
      <c r="BF166" s="78"/>
      <c r="BG166" s="78"/>
      <c r="BH166" s="78"/>
      <c r="BI166" s="78"/>
      <c r="BJ166" s="78"/>
      <c r="BK166" s="78"/>
    </row>
    <row r="167" spans="2:63" ht="37.5" x14ac:dyDescent="0.2">
      <c r="B167" s="579"/>
      <c r="C167" s="558" t="s">
        <v>125</v>
      </c>
      <c r="D167" s="506"/>
      <c r="E167" s="506"/>
      <c r="F167" s="506"/>
      <c r="G167" s="506"/>
      <c r="H167" s="505"/>
      <c r="I167" s="506"/>
      <c r="J167" s="522"/>
      <c r="K167" s="523">
        <f>Study!C185</f>
        <v>2471311.08</v>
      </c>
      <c r="L167" s="572"/>
      <c r="S167" s="713" t="s">
        <v>513</v>
      </c>
      <c r="T167" s="604">
        <f>-Study!F254</f>
        <v>271760.03000000003</v>
      </c>
      <c r="U167" s="604">
        <f>-Study!G254</f>
        <v>0</v>
      </c>
      <c r="V167" s="604">
        <f>-Study!H254</f>
        <v>0</v>
      </c>
      <c r="W167" s="604">
        <f>-Study!I254</f>
        <v>0</v>
      </c>
      <c r="X167" s="604">
        <f>-Study!J254</f>
        <v>0</v>
      </c>
      <c r="Y167" s="604">
        <f>-Study!K254</f>
        <v>0</v>
      </c>
      <c r="Z167" s="604">
        <f>-Study!L254</f>
        <v>0</v>
      </c>
      <c r="AA167" s="604">
        <f>-Study!M254</f>
        <v>46574.109499999999</v>
      </c>
      <c r="AB167" s="604">
        <f>-Study!N254</f>
        <v>61174.109499999999</v>
      </c>
      <c r="AC167" s="604">
        <f>-Study!O254</f>
        <v>101324.10949999999</v>
      </c>
      <c r="AD167" s="604">
        <f>-Study!P254</f>
        <v>141474.10949999999</v>
      </c>
      <c r="AE167" s="604">
        <f>-Study!Q254</f>
        <v>247324.10949999999</v>
      </c>
      <c r="AF167" s="604">
        <f>-Study!R254</f>
        <v>411574.10949999996</v>
      </c>
      <c r="AG167" s="604">
        <f>-Study!S254</f>
        <v>522899.10949999996</v>
      </c>
      <c r="AH167" s="604">
        <f>-Study!T254</f>
        <v>657949.1094999999</v>
      </c>
      <c r="AI167" s="604">
        <f>-Study!U254</f>
        <v>789349.1094999999</v>
      </c>
      <c r="AJ167" s="604">
        <f>-Study!V254</f>
        <v>971849.1094999999</v>
      </c>
      <c r="AK167" s="604">
        <f>-Study!W254</f>
        <v>977324.1094999999</v>
      </c>
      <c r="AL167" s="604">
        <f>-Study!X254</f>
        <v>991924.1094999999</v>
      </c>
      <c r="AM167" s="604">
        <f>-Study!Y254</f>
        <v>949403.92974803853</v>
      </c>
      <c r="AN167" s="604">
        <f>-Study!Z254</f>
        <v>0</v>
      </c>
      <c r="AO167" s="604">
        <f>-Study!AA254</f>
        <v>0</v>
      </c>
      <c r="AP167" s="604">
        <f>-Study!AB254</f>
        <v>0</v>
      </c>
      <c r="AQ167" s="604">
        <f>-Study!AC254</f>
        <v>0</v>
      </c>
      <c r="AR167" s="78"/>
      <c r="AS167" s="78"/>
      <c r="AT167" s="78"/>
      <c r="AU167" s="78"/>
      <c r="AV167" s="78"/>
      <c r="AW167" s="78"/>
      <c r="AX167" s="78"/>
      <c r="AY167" s="78"/>
      <c r="AZ167" s="78"/>
      <c r="BA167" s="78"/>
      <c r="BB167" s="78"/>
      <c r="BC167" s="78"/>
      <c r="BD167" s="78"/>
      <c r="BE167" s="78"/>
      <c r="BF167" s="78"/>
      <c r="BG167" s="78"/>
      <c r="BH167" s="78"/>
      <c r="BI167" s="78"/>
      <c r="BJ167" s="78"/>
      <c r="BK167" s="78"/>
    </row>
    <row r="168" spans="2:63" ht="37.5" x14ac:dyDescent="0.2">
      <c r="B168" s="579"/>
      <c r="C168" s="558" t="s">
        <v>163</v>
      </c>
      <c r="D168" s="506"/>
      <c r="E168" s="506"/>
      <c r="F168" s="506"/>
      <c r="G168" s="506"/>
      <c r="H168" s="505"/>
      <c r="I168" s="506"/>
      <c r="J168" s="522"/>
      <c r="K168" s="523">
        <f>Study!C186</f>
        <v>21352500</v>
      </c>
      <c r="L168" s="572"/>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row>
    <row r="169" spans="2:63" ht="38.25" thickBot="1" x14ac:dyDescent="0.25">
      <c r="B169" s="580"/>
      <c r="C169" s="532" t="s">
        <v>500</v>
      </c>
      <c r="D169" s="533"/>
      <c r="E169" s="533"/>
      <c r="F169" s="533"/>
      <c r="G169" s="533"/>
      <c r="H169" s="533"/>
      <c r="I169" s="533"/>
      <c r="J169" s="534"/>
      <c r="K169" s="535">
        <f>Study!C188</f>
        <v>242871819.07499996</v>
      </c>
      <c r="L169" s="573"/>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row>
    <row r="170" spans="2:63" x14ac:dyDescent="0.2">
      <c r="B170" s="579"/>
      <c r="C170" s="552" t="s">
        <v>248</v>
      </c>
      <c r="D170" s="512"/>
      <c r="E170" s="512"/>
      <c r="F170" s="512"/>
      <c r="G170" s="512"/>
      <c r="H170" s="513"/>
      <c r="I170" s="512"/>
      <c r="J170" s="514"/>
      <c r="K170" s="515">
        <f>SUM(K165:K169)</f>
        <v>313182586.6767391</v>
      </c>
      <c r="L170" s="572"/>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row>
    <row r="171" spans="2:63" x14ac:dyDescent="0.2">
      <c r="B171" s="579"/>
      <c r="C171" s="505"/>
      <c r="D171" s="505"/>
      <c r="E171" s="505"/>
      <c r="F171" s="505"/>
      <c r="G171" s="505"/>
      <c r="H171" s="505"/>
      <c r="I171" s="505"/>
      <c r="J171" s="505"/>
      <c r="K171" s="505"/>
      <c r="L171" s="572"/>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row>
    <row r="172" spans="2:63" x14ac:dyDescent="0.2">
      <c r="B172" s="579"/>
      <c r="C172" s="505"/>
      <c r="D172" s="505"/>
      <c r="E172" s="505"/>
      <c r="F172" s="505"/>
      <c r="G172" s="505"/>
      <c r="H172" s="505"/>
      <c r="I172" s="505"/>
      <c r="J172" s="505"/>
      <c r="K172" s="505"/>
      <c r="L172" s="572"/>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row>
    <row r="173" spans="2:63" x14ac:dyDescent="0.2">
      <c r="B173" s="579"/>
      <c r="C173" s="505"/>
      <c r="D173" s="505"/>
      <c r="E173" s="505"/>
      <c r="F173" s="505"/>
      <c r="G173" s="505"/>
      <c r="H173" s="505"/>
      <c r="I173" s="505"/>
      <c r="J173" s="505"/>
      <c r="K173" s="505"/>
      <c r="L173" s="572"/>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row>
    <row r="174" spans="2:63" ht="38.25" thickBot="1" x14ac:dyDescent="0.25">
      <c r="B174" s="580"/>
      <c r="C174" s="530" t="s">
        <v>237</v>
      </c>
      <c r="D174" s="531" t="s">
        <v>183</v>
      </c>
      <c r="E174" s="1090" t="s">
        <v>184</v>
      </c>
      <c r="F174" s="1090"/>
      <c r="G174" s="1096" t="s">
        <v>185</v>
      </c>
      <c r="H174" s="1096"/>
      <c r="I174" s="1096"/>
      <c r="J174" s="531" t="s">
        <v>186</v>
      </c>
      <c r="K174" s="531" t="s">
        <v>187</v>
      </c>
      <c r="L174" s="573"/>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row>
    <row r="175" spans="2:63" ht="37.5" x14ac:dyDescent="0.2">
      <c r="B175" s="579"/>
      <c r="C175" s="558" t="s">
        <v>257</v>
      </c>
      <c r="D175" s="613">
        <v>0.1</v>
      </c>
      <c r="E175" s="1091">
        <v>0.05</v>
      </c>
      <c r="F175" s="1092"/>
      <c r="G175" s="1097">
        <v>0</v>
      </c>
      <c r="H175" s="1097"/>
      <c r="I175" s="1097"/>
      <c r="J175" s="614">
        <v>0.05</v>
      </c>
      <c r="K175" s="614">
        <v>0.1</v>
      </c>
      <c r="L175" s="572"/>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row>
    <row r="176" spans="2:63" ht="37.5" x14ac:dyDescent="0.2">
      <c r="B176" s="579"/>
      <c r="C176" s="584" t="s">
        <v>501</v>
      </c>
      <c r="D176" s="615">
        <f>G176-(G176*$D$175)</f>
        <v>77321898.61134398</v>
      </c>
      <c r="E176" s="1093">
        <f>G176-(G176*$E$175)</f>
        <v>81617559.645307526</v>
      </c>
      <c r="F176" s="1094"/>
      <c r="G176" s="1095">
        <f>Study!C218</f>
        <v>85913220.679271087</v>
      </c>
      <c r="H176" s="1095"/>
      <c r="I176" s="1095"/>
      <c r="J176" s="616">
        <f>G176+(G176*$J$175)</f>
        <v>90208881.713234648</v>
      </c>
      <c r="K176" s="616">
        <f>G176+(G176*$K$175)</f>
        <v>94504542.747198194</v>
      </c>
      <c r="L176" s="572"/>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row>
    <row r="177" spans="2:63" ht="37.5" x14ac:dyDescent="0.2">
      <c r="B177" s="579"/>
      <c r="C177" s="558" t="s">
        <v>502</v>
      </c>
      <c r="D177" s="617">
        <f>G177-(G177*$D$175)</f>
        <v>0.3502848642826884</v>
      </c>
      <c r="E177" s="1088">
        <f>G177-(G177*$E$175)</f>
        <v>0.36974513452061553</v>
      </c>
      <c r="F177" s="1089"/>
      <c r="G177" s="1097">
        <f>Study!C224</f>
        <v>0.38920540475854265</v>
      </c>
      <c r="H177" s="1097"/>
      <c r="I177" s="1097"/>
      <c r="J177" s="618">
        <f>G177+(G177*$J$175)</f>
        <v>0.40866567499646977</v>
      </c>
      <c r="K177" s="618">
        <f>G177+(G177*$K$175)</f>
        <v>0.4281259452343969</v>
      </c>
      <c r="L177" s="572"/>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row>
    <row r="178" spans="2:63" ht="37.5" x14ac:dyDescent="0.2">
      <c r="B178" s="579"/>
      <c r="C178" s="558" t="s">
        <v>503</v>
      </c>
      <c r="D178" s="617">
        <f>G178-(G178*$D$175)</f>
        <v>0.71323848267444945</v>
      </c>
      <c r="E178" s="1088">
        <f>G178-(G178*$E$175)</f>
        <v>0.75286284282302995</v>
      </c>
      <c r="F178" s="1089"/>
      <c r="G178" s="1097">
        <f>Study!C225</f>
        <v>0.79248720297161046</v>
      </c>
      <c r="H178" s="1097"/>
      <c r="I178" s="1097"/>
      <c r="J178" s="618">
        <f>G178+(G178*$J$175)</f>
        <v>0.83211156312019097</v>
      </c>
      <c r="K178" s="618">
        <f>G178+(G178*$K$175)</f>
        <v>0.87173592326877147</v>
      </c>
      <c r="L178" s="572"/>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row>
    <row r="179" spans="2:63" ht="37.5" x14ac:dyDescent="0.2">
      <c r="B179" s="579"/>
      <c r="C179" s="558" t="s">
        <v>504</v>
      </c>
      <c r="D179" s="617">
        <f ca="1">G179-(G179*$D$175)</f>
        <v>0.14264769653488987</v>
      </c>
      <c r="E179" s="1088">
        <f ca="1">G179-(G179*$E$175)</f>
        <v>0.15057256856460599</v>
      </c>
      <c r="F179" s="1089"/>
      <c r="G179" s="1097">
        <f ca="1">Study!C226</f>
        <v>0.15849744059432208</v>
      </c>
      <c r="H179" s="1097"/>
      <c r="I179" s="1097"/>
      <c r="J179" s="618">
        <f ca="1">G179+(G179*$J$175)</f>
        <v>0.16642231262403817</v>
      </c>
      <c r="K179" s="618">
        <f ca="1">G179+(G179*$K$175)</f>
        <v>0.17434718465375429</v>
      </c>
      <c r="L179" s="572"/>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row>
    <row r="180" spans="2:63" x14ac:dyDescent="0.2">
      <c r="B180" s="579"/>
      <c r="C180" s="518"/>
      <c r="D180" s="609"/>
      <c r="E180" s="605"/>
      <c r="F180" s="606"/>
      <c r="G180" s="505"/>
      <c r="H180" s="505"/>
      <c r="I180" s="506"/>
      <c r="J180" s="609"/>
      <c r="K180" s="612"/>
      <c r="L180" s="601"/>
    </row>
    <row r="181" spans="2:63" ht="19.5" thickBot="1" x14ac:dyDescent="0.25">
      <c r="B181" s="583"/>
      <c r="C181" s="575"/>
      <c r="D181" s="610"/>
      <c r="E181" s="607"/>
      <c r="F181" s="608"/>
      <c r="G181" s="576"/>
      <c r="H181" s="576"/>
      <c r="I181" s="577"/>
      <c r="J181" s="611"/>
      <c r="K181" s="611"/>
      <c r="L181" s="578"/>
    </row>
  </sheetData>
  <mergeCells count="85">
    <mergeCell ref="K61:L61"/>
    <mergeCell ref="K55:L55"/>
    <mergeCell ref="K56:L56"/>
    <mergeCell ref="K57:L57"/>
    <mergeCell ref="K58:L58"/>
    <mergeCell ref="K59:L59"/>
    <mergeCell ref="K60:L60"/>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67:L67"/>
    <mergeCell ref="K68:L68"/>
    <mergeCell ref="K69:L69"/>
    <mergeCell ref="K70:L70"/>
    <mergeCell ref="K71:L71"/>
    <mergeCell ref="K62:L62"/>
    <mergeCell ref="K63:L63"/>
    <mergeCell ref="K64:L64"/>
    <mergeCell ref="K65:L65"/>
    <mergeCell ref="K66:L66"/>
    <mergeCell ref="K38:L38"/>
    <mergeCell ref="K39:L39"/>
    <mergeCell ref="K27:L28"/>
    <mergeCell ref="C21:C26"/>
    <mergeCell ref="K33:L33"/>
    <mergeCell ref="K34:L34"/>
    <mergeCell ref="K35:L35"/>
    <mergeCell ref="K36:L36"/>
    <mergeCell ref="K37:L37"/>
    <mergeCell ref="K29:L29"/>
    <mergeCell ref="K30:L30"/>
    <mergeCell ref="K31:L31"/>
    <mergeCell ref="K32:L32"/>
    <mergeCell ref="C27:C28"/>
    <mergeCell ref="J21:J23"/>
    <mergeCell ref="K24:L26"/>
    <mergeCell ref="J24:J26"/>
    <mergeCell ref="I21:I23"/>
    <mergeCell ref="I24:I26"/>
    <mergeCell ref="H21:H23"/>
    <mergeCell ref="H24:H26"/>
    <mergeCell ref="E6:L8"/>
    <mergeCell ref="E179:F179"/>
    <mergeCell ref="E174:F174"/>
    <mergeCell ref="E175:F175"/>
    <mergeCell ref="E176:F176"/>
    <mergeCell ref="E177:F177"/>
    <mergeCell ref="E178:F178"/>
    <mergeCell ref="G176:I176"/>
    <mergeCell ref="G174:I174"/>
    <mergeCell ref="G179:I179"/>
    <mergeCell ref="G178:I178"/>
    <mergeCell ref="G177:I177"/>
    <mergeCell ref="G175:I175"/>
    <mergeCell ref="J27:J28"/>
    <mergeCell ref="H27:H28"/>
    <mergeCell ref="K21:L23"/>
    <mergeCell ref="B6:D8"/>
    <mergeCell ref="D27:D28"/>
    <mergeCell ref="E27:E28"/>
    <mergeCell ref="I27:I28"/>
    <mergeCell ref="B1:L5"/>
    <mergeCell ref="C17:C20"/>
    <mergeCell ref="I19:I20"/>
    <mergeCell ref="I17:I18"/>
    <mergeCell ref="J17:J18"/>
    <mergeCell ref="J19:J20"/>
    <mergeCell ref="K15:L15"/>
    <mergeCell ref="K14:L14"/>
    <mergeCell ref="K13:L13"/>
    <mergeCell ref="K12:L12"/>
    <mergeCell ref="K19:L20"/>
    <mergeCell ref="K17:L18"/>
  </mergeCells>
  <phoneticPr fontId="55" type="noConversion"/>
  <conditionalFormatting sqref="C29:C38">
    <cfRule type="expression" dxfId="21" priority="14">
      <formula>OR(NOT(ISNUMBER(INDEX($H$29:$H$38,ROW()-29+1,COLUMN()-3+1))),INDEX($H$29:$H$38,ROW()-29+1,COLUMN()-3+1)=0)</formula>
    </cfRule>
  </conditionalFormatting>
  <conditionalFormatting sqref="C62:C69">
    <cfRule type="expression" dxfId="20" priority="15">
      <formula>OR(NOT(ISNUMBER(INDEX($J$62:$J$69,ROW()-62+1,COLUMN()-3+1))),INDEX($J$62:$J$69,ROW()-62+1,COLUMN()-3+1)=0)</formula>
    </cfRule>
  </conditionalFormatting>
  <conditionalFormatting sqref="C95:C114">
    <cfRule type="expression" dxfId="19" priority="17">
      <formula>OR(NOT(ISNUMBER(INDEX($K$95:$K$114,ROW()-95+1,COLUMN()-3+1))),INDEX($K$95:$K$114,ROW()-95+1,COLUMN()-3+1)=0)</formula>
    </cfRule>
  </conditionalFormatting>
  <conditionalFormatting sqref="C165:C169">
    <cfRule type="expression" dxfId="18" priority="16">
      <formula>OR(NOT(ISNUMBER(INDEX($K$165:$K$169,ROW()-165+1,COLUMN()-3+1))),INDEX($K$165:$K$169,ROW()-165+1,COLUMN()-3+1)=0)</formula>
    </cfRule>
  </conditionalFormatting>
  <conditionalFormatting sqref="D29:E38 H29:L38 J62:L69 J95:K114 K165:K169">
    <cfRule type="expression" dxfId="17" priority="18">
      <formula>OR(AND(ISNUMBER(D29),ABS(D29)&lt;=0.0001),D29="0",D29="0.00",D29="0%",D29="0.00%")</formula>
    </cfRule>
  </conditionalFormatting>
  <conditionalFormatting sqref="E42:J42 E59:J59">
    <cfRule type="cellIs" dxfId="16" priority="13" operator="lessThan">
      <formula>-100</formula>
    </cfRule>
  </conditionalFormatting>
  <conditionalFormatting sqref="E44:J44">
    <cfRule type="cellIs" dxfId="15" priority="9" operator="lessThan">
      <formula>-100</formula>
    </cfRule>
  </conditionalFormatting>
  <conditionalFormatting sqref="E46:J46">
    <cfRule type="cellIs" dxfId="14" priority="11" operator="lessThan">
      <formula>-100</formula>
    </cfRule>
  </conditionalFormatting>
  <conditionalFormatting sqref="E48:J48">
    <cfRule type="cellIs" dxfId="13" priority="12" operator="lessThan">
      <formula>-100</formula>
    </cfRule>
  </conditionalFormatting>
  <conditionalFormatting sqref="E50:J50">
    <cfRule type="cellIs" dxfId="12" priority="10" operator="lessThan">
      <formula>-100</formula>
    </cfRule>
  </conditionalFormatting>
  <conditionalFormatting sqref="E52:J52">
    <cfRule type="cellIs" dxfId="11" priority="8" operator="between">
      <formula>100</formula>
      <formula>10000000000000</formula>
    </cfRule>
  </conditionalFormatting>
  <conditionalFormatting sqref="E54:J54">
    <cfRule type="cellIs" dxfId="10" priority="7" operator="between">
      <formula>100</formula>
      <formula>10000000000000</formula>
    </cfRule>
  </conditionalFormatting>
  <conditionalFormatting sqref="E56:J56">
    <cfRule type="cellIs" dxfId="9" priority="6" operator="between">
      <formula>100</formula>
      <formula>10000000000000</formula>
    </cfRule>
  </conditionalFormatting>
  <conditionalFormatting sqref="E58:J58">
    <cfRule type="cellIs" dxfId="8" priority="5" operator="between">
      <formula>100</formula>
      <formula>10000000000000</formula>
    </cfRule>
  </conditionalFormatting>
  <conditionalFormatting sqref="H24:I24">
    <cfRule type="cellIs" dxfId="7" priority="3" operator="equal">
      <formula>0</formula>
    </cfRule>
  </conditionalFormatting>
  <printOptions horizontalCentered="1" verticalCentered="1"/>
  <pageMargins left="0" right="0" top="0" bottom="0" header="0" footer="0"/>
  <pageSetup paperSize="9" scale="25"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4</vt:i4>
      </vt:variant>
      <vt:variant>
        <vt:lpstr>النطاقات المسماة</vt:lpstr>
      </vt:variant>
      <vt:variant>
        <vt:i4>1</vt:i4>
      </vt:variant>
    </vt:vector>
  </HeadingPairs>
  <TitlesOfParts>
    <vt:vector size="5" baseType="lpstr">
      <vt:lpstr>APP</vt:lpstr>
      <vt:lpstr>Cover Page</vt:lpstr>
      <vt:lpstr>Study</vt:lpstr>
      <vt:lpstr>Summary</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alothman</dc:creator>
  <cp:lastModifiedBy>Omare Almayouf</cp:lastModifiedBy>
  <cp:lastPrinted>2026-02-05T11:09:17Z</cp:lastPrinted>
  <dcterms:created xsi:type="dcterms:W3CDTF">2025-03-23T09:18:25Z</dcterms:created>
  <dcterms:modified xsi:type="dcterms:W3CDTF">2026-05-30T03:26:42Z</dcterms:modified>
</cp:coreProperties>
</file>